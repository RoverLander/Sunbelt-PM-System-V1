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ENG\Calculations\"/>
    </mc:Choice>
  </mc:AlternateContent>
  <xr:revisionPtr revIDLastSave="0" documentId="13_ncr:1_{0946618A-6ED6-4AC8-82A1-A842096413D1}" xr6:coauthVersionLast="47" xr6:coauthVersionMax="47" xr10:uidLastSave="{00000000-0000-0000-0000-000000000000}"/>
  <bookViews>
    <workbookView xWindow="-120" yWindow="-120" windowWidth="29040" windowHeight="15720" firstSheet="1" activeTab="2" xr2:uid="{D77E2026-52B4-430A-A578-1ACBF17B385A}"/>
  </bookViews>
  <sheets>
    <sheet name="HVAC Reference" sheetId="10" state="hidden" r:id="rId1"/>
    <sheet name="Natural Ventilation Calc" sheetId="18" r:id="rId2"/>
    <sheet name="2009 - 2021 IMC-UMC Single Zone" sheetId="8" r:id="rId3"/>
    <sheet name="2009 - 2021 IMC-UMC Multi-Zone" sheetId="7" r:id="rId4"/>
    <sheet name="2024 IMC-UMC Single" sheetId="14" r:id="rId5"/>
    <sheet name="2024 IMC-UMC Multi-Zone" sheetId="17" r:id="rId6"/>
    <sheet name="Calculation Tables" sheetId="11" state="hidden" r:id="rId7"/>
    <sheet name="2022 CA Single Zone Calculator" sheetId="12" r:id="rId8"/>
    <sheet name="2022 CA Multi-Zone Calculator" sheetId="13" r:id="rId9"/>
    <sheet name="2025 CA Single Zone Calculator" sheetId="19" r:id="rId10"/>
    <sheet name="2025 CA Multi-Zone Calculator" sheetId="20" r:id="rId11"/>
    <sheet name="2009 - 2021 IMC Exhaust Rqmts" sheetId="3" r:id="rId12"/>
    <sheet name="2024 IMC Exhaust Rqmts" sheetId="15" r:id="rId13"/>
    <sheet name="2009 - 2021 UMC Exhaust Rqmts" sheetId="4" r:id="rId14"/>
    <sheet name="2024 UMC Exhaust Rqmts" sheetId="16" r:id="rId15"/>
  </sheets>
  <definedNames>
    <definedName name="An">'Calculation Tables'!$S$5:$S$15</definedName>
    <definedName name="Ani">'Calculation Tables'!$S$5:$S$15</definedName>
    <definedName name="Animal">'Calculation Tables'!$S$5:$S$15</definedName>
    <definedName name="bardindex">'HVAC Reference'!$C$4:$E$12</definedName>
    <definedName name="bardsize">'HVAC Reference'!$A$4:$A$12</definedName>
    <definedName name="bardvent">'HVAC Reference'!$C$3:$E$3</definedName>
    <definedName name="CARa">'Calculation Tables'!$G$3:$G$95</definedName>
    <definedName name="CFMtableDaikin" localSheetId="3">'2009 - 2021 IMC-UMC Multi-Zone'!$K$3:$M$10</definedName>
    <definedName name="CFMtableDaikin" localSheetId="2">'2009 - 2021 IMC-UMC Single Zone'!$G$3:$I$8</definedName>
    <definedName name="CFMtableDaikin" localSheetId="8">'2022 CA Multi-Zone Calculator'!$G$3:$I$8</definedName>
    <definedName name="CFMtableDaikin" localSheetId="7">'2022 CA Single Zone Calculator'!$G$3:$I$8</definedName>
    <definedName name="CFMtableDaikin" localSheetId="5">'2024 IMC-UMC Multi-Zone'!$K$3:$M$10</definedName>
    <definedName name="CFMtableDaikin" localSheetId="4">'2024 IMC-UMC Single'!$G$3:$I$8</definedName>
    <definedName name="CFMtableDaikin" localSheetId="10">'2025 CA Multi-Zone Calculator'!$J$5:$L$10</definedName>
    <definedName name="CFMtableDaikin" localSheetId="9">'2025 CA Single Zone Calculator'!$G$6:$I$11</definedName>
    <definedName name="CFMtableDaikin">#REF!</definedName>
    <definedName name="Co">'Calculation Tables'!$S$18:$S$23</definedName>
    <definedName name="Coor">'Calculation Tables'!$A$100:$A$104</definedName>
    <definedName name="Cor">'Calculation Tables'!$S$18:$S$23</definedName>
    <definedName name="Dr">'Calculation Tables'!$S$26:$S$30</definedName>
    <definedName name="Dry">'Calculation Tables'!$A$64:$A$68</definedName>
    <definedName name="Ed">'Calculation Tables'!$S$33:$S$48</definedName>
    <definedName name="EdCA">'Calculation Tables'!$F$3:$F$16</definedName>
    <definedName name="Edu">'Calculation Tables'!$A$21:$A$32</definedName>
    <definedName name="ERVINDEX">'HVAC Reference'!$B$17:$B$18</definedName>
    <definedName name="ERVSIZE">'HVAC Reference'!$A$17:$A$18</definedName>
    <definedName name="Fo">'Calculation Tables'!$S$51:$S$58</definedName>
    <definedName name="FoCA">'Calculation Tables'!$F$19:$F$22</definedName>
    <definedName name="Foo">'Calculation Tables'!$S$51:$S$58</definedName>
    <definedName name="Food">'Calculation Tables'!$A$58:$A$61</definedName>
    <definedName name="GenCA">'Calculation Tables'!$F$25:$F$29</definedName>
    <definedName name="Ho">'Calculation Tables'!$S$61:$S$68</definedName>
    <definedName name="Hot">'Calculation Tables'!$A$43:$A$48</definedName>
    <definedName name="HotCA">'Calculation Tables'!$F$32:$F$37</definedName>
    <definedName name="IMCocc1">'Calculation Tables'!$T$3:$T$161</definedName>
    <definedName name="IMCoccDens">'Calculation Tables'!$D$3:$D$97</definedName>
    <definedName name="IMCoccDensity">'Calculation Tables'!$D$3:$D$104</definedName>
    <definedName name="IMCRa">'Calculation Tables'!$C$3:$C$104</definedName>
    <definedName name="IMCRa1">'Calculation Tables'!$V$3:$V$161</definedName>
    <definedName name="IMCRp">'Calculation Tables'!$B$3:$B$104</definedName>
    <definedName name="IMCRp1">'Calculation Tables'!$U$3:$U$161</definedName>
    <definedName name="IMCRp24">'Calculation Tables'!$U$3:$U$161</definedName>
    <definedName name="IMCuse">'Calculation Tables'!$A$3:$A$104</definedName>
    <definedName name="IMCuse1">'Calculation Tables'!$S$3:$S$161</definedName>
    <definedName name="marairref">'HVAC Reference'!$O$4:$Q$11</definedName>
    <definedName name="marvairsize">'HVAC Reference'!$M$4:$M$11</definedName>
    <definedName name="marvairvent">'HVAC Reference'!$O$3:$Q$3</definedName>
    <definedName name="MisCA">'Calculation Tables'!$F$48:$F$60</definedName>
    <definedName name="MultiCO2">'Calculation Tables'!$N$2:$N$95</definedName>
    <definedName name="NONE">'Calculation Tables'!$A$3</definedName>
    <definedName name="NONE1">'Calculation Tables'!$F$1</definedName>
    <definedName name="Of">'Calculation Tables'!$S$71:$S$77</definedName>
    <definedName name="Off">'Calculation Tables'!$A$5:$A$9</definedName>
    <definedName name="OffCA">'Calculation Tables'!$F$40:$F$45</definedName>
    <definedName name="Ou">'Calculation Tables'!$S$80:$S$97</definedName>
    <definedName name="Out">'Calculation Tables'!$S$80:$S$97</definedName>
    <definedName name="_xlnm.Print_Area" localSheetId="3">'2009 - 2021 IMC-UMC Multi-Zone'!$B$1:$H$9</definedName>
    <definedName name="_xlnm.Print_Area" localSheetId="2">'2009 - 2021 IMC-UMC Single Zone'!$B$1:$D$9</definedName>
    <definedName name="_xlnm.Print_Area" localSheetId="8">'2022 CA Multi-Zone Calculator'!$B$1:$D$10</definedName>
    <definedName name="_xlnm.Print_Area" localSheetId="7">'2022 CA Single Zone Calculator'!$B$1:$D$6</definedName>
    <definedName name="_xlnm.Print_Area" localSheetId="5">'2024 IMC-UMC Multi-Zone'!$B$1:$H$9</definedName>
    <definedName name="_xlnm.Print_Area" localSheetId="4">'2024 IMC-UMC Single'!$B$1:$D$9</definedName>
    <definedName name="_xlnm.Print_Area" localSheetId="10">'2025 CA Multi-Zone Calculator'!$B$1:$D$10</definedName>
    <definedName name="_xlnm.Print_Area" localSheetId="9">'2025 CA Single Zone Calculator'!$B$1:$D$17</definedName>
    <definedName name="_xlnm.Print_Area" localSheetId="1">'Natural Ventilation Calc'!$A$1:$E$16</definedName>
    <definedName name="Pu">'Calculation Tables'!$S$100:$S$107</definedName>
    <definedName name="Pub">'Calculation Tables'!$A$12:$A$18</definedName>
    <definedName name="PubCA">'Calculation Tables'!$F$63:$F$70</definedName>
    <definedName name="Re">'Calculation Tables'!$S$110:$S$115</definedName>
    <definedName name="ResCA">'Calculation Tables'!$F$73</definedName>
    <definedName name="Ret">'Calculation Tables'!$A$51:$A$55</definedName>
    <definedName name="RetCA">'Calculation Tables'!$F$76:$F$82</definedName>
    <definedName name="rturef">'HVAC Reference'!$I$4:$K$10</definedName>
    <definedName name="rtusize">'HVAC Reference'!$G$4:$G$10</definedName>
    <definedName name="RTUsizes" localSheetId="3">'2009 - 2021 IMC-UMC Multi-Zone'!$I$3:$I$10</definedName>
    <definedName name="RTUsizes" localSheetId="2">'2009 - 2021 IMC-UMC Single Zone'!$E$3:$E$10</definedName>
    <definedName name="RTUsizes" localSheetId="8">'2022 CA Multi-Zone Calculator'!$E$3:$E$10</definedName>
    <definedName name="RTUsizes" localSheetId="7">'2022 CA Single Zone Calculator'!$E$3:$E$10</definedName>
    <definedName name="RTUsizes" localSheetId="5">'2024 IMC-UMC Multi-Zone'!$I$3:$I$10</definedName>
    <definedName name="RTUsizes" localSheetId="4">'2024 IMC-UMC Single'!$E$3:$E$10</definedName>
    <definedName name="RTUsizes" localSheetId="10">'2025 CA Multi-Zone Calculator'!#REF!</definedName>
    <definedName name="RTUsizes" localSheetId="9">'2025 CA Single Zone Calculator'!$E$3:$E$10</definedName>
    <definedName name="RTUsizes">#REF!</definedName>
    <definedName name="rtuvent">'HVAC Reference'!$I$3:$K$3</definedName>
    <definedName name="Sa">'Calculation Tables'!$S$126:$S$135</definedName>
    <definedName name="Sg">'Calculation Tables'!$S$138:$S$139</definedName>
    <definedName name="SngZonecO2">'Calculation Tables'!$I$2:$I$95</definedName>
    <definedName name="Sotr">'Calculation Tables'!$A$80:$A$81</definedName>
    <definedName name="Sp">'Calculation Tables'!$S$118:$S$123</definedName>
    <definedName name="Spec">'Calculation Tables'!$A$89:$A$93</definedName>
    <definedName name="SporCA">'Calculation Tables'!$F$85:$F$95</definedName>
    <definedName name="Sport">'Calculation Tables'!$A$71:$A$77</definedName>
    <definedName name="SproCA">'Calculation Tables'!$F$85:$F$95</definedName>
    <definedName name="SprorCA">'Calculation Tables'!$F$85:$F$95</definedName>
    <definedName name="St">'Calculation Tables'!$S$126:$S$135</definedName>
    <definedName name="Th">'Calculation Tables'!$S$142:$S$145</definedName>
    <definedName name="Thea">'Calculation Tables'!$A$84:$A$86</definedName>
    <definedName name="Tr">'Calculation Tables'!$S$148:$S$149</definedName>
    <definedName name="Tran">'Calculation Tables'!$A$96:$A$97</definedName>
    <definedName name="VENTtypeDaikin" localSheetId="3">'2009 - 2021 IMC-UMC Multi-Zone'!$K$2:$M$2</definedName>
    <definedName name="VENTtypeDaikin" localSheetId="2">'2009 - 2021 IMC-UMC Single Zone'!$G$2:$I$2</definedName>
    <definedName name="VENTtypeDaikin" localSheetId="8">'2022 CA Multi-Zone Calculator'!$G$2:$I$2</definedName>
    <definedName name="VENTtypeDaikin" localSheetId="7">'2022 CA Single Zone Calculator'!$G$2:$I$2</definedName>
    <definedName name="VENTtypeDaikin" localSheetId="5">'2024 IMC-UMC Multi-Zone'!$K$2:$M$2</definedName>
    <definedName name="VENTtypeDaikin" localSheetId="4">'2024 IMC-UMC Single'!$G$2:$I$2</definedName>
    <definedName name="VENTtypeDaikin" localSheetId="10">'2025 CA Multi-Zone Calculator'!$AD$2:$AF$2</definedName>
    <definedName name="VENTtypeDaikin" localSheetId="9">'2025 CA Single Zone Calculator'!$G$2:$I$2</definedName>
    <definedName name="VENTtypeDaikin">#REF!</definedName>
    <definedName name="Work">'Calculation Tables'!$A$35:$A$40</definedName>
    <definedName name="Wr">'Calculation Tables'!$S$152:$S$161</definedName>
    <definedName name="Zone">'Calculation Tables'!$A$107:$A$121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20" l="1"/>
  <c r="U16" i="20"/>
  <c r="U15" i="20"/>
  <c r="U14" i="20"/>
  <c r="D7" i="20"/>
  <c r="D6" i="20"/>
  <c r="D5" i="20"/>
  <c r="D4" i="20"/>
  <c r="V17" i="20"/>
  <c r="V16" i="20"/>
  <c r="V15" i="20"/>
  <c r="V14" i="20"/>
  <c r="U3" i="20"/>
  <c r="V3" i="20" s="1"/>
  <c r="U7" i="20"/>
  <c r="V7" i="20"/>
  <c r="U6" i="20"/>
  <c r="V6" i="20" s="1"/>
  <c r="U13" i="20"/>
  <c r="V13" i="20"/>
  <c r="U12" i="20"/>
  <c r="V12" i="20" s="1"/>
  <c r="U11" i="20"/>
  <c r="V11" i="20" s="1"/>
  <c r="U10" i="20"/>
  <c r="V10" i="20" s="1"/>
  <c r="U9" i="20"/>
  <c r="V9" i="20" s="1"/>
  <c r="U8" i="20"/>
  <c r="V8" i="20" s="1"/>
  <c r="U5" i="20"/>
  <c r="V5" i="20" s="1"/>
  <c r="U4" i="20"/>
  <c r="V4" i="20" s="1"/>
  <c r="R2" i="19"/>
  <c r="S2" i="19" s="1"/>
  <c r="S4" i="19"/>
  <c r="R4" i="19"/>
  <c r="AH3" i="11"/>
  <c r="AF99" i="11" s="1"/>
  <c r="B19" i="20" s="1"/>
  <c r="AC95" i="11"/>
  <c r="AC94" i="11"/>
  <c r="AC93" i="11"/>
  <c r="AC92" i="11"/>
  <c r="AC89" i="11"/>
  <c r="AC88" i="11"/>
  <c r="AC86" i="11"/>
  <c r="AC85" i="11"/>
  <c r="AC77" i="11"/>
  <c r="AC70" i="11"/>
  <c r="AC69" i="11"/>
  <c r="AC68" i="11"/>
  <c r="AC66" i="11"/>
  <c r="AC65" i="11"/>
  <c r="AC64" i="11"/>
  <c r="AC63" i="11"/>
  <c r="AC58" i="11"/>
  <c r="AC41" i="11"/>
  <c r="AC40" i="11"/>
  <c r="AA98" i="11" s="1"/>
  <c r="AC36" i="11"/>
  <c r="AC27" i="11"/>
  <c r="AC26" i="11"/>
  <c r="AC25" i="11"/>
  <c r="AC20" i="11"/>
  <c r="AC19" i="11"/>
  <c r="AC16" i="11"/>
  <c r="AC15" i="11"/>
  <c r="AC8" i="11"/>
  <c r="AC7" i="11"/>
  <c r="AC6" i="11"/>
  <c r="AC5" i="11"/>
  <c r="AC3" i="11"/>
  <c r="R3" i="19"/>
  <c r="S3" i="19" s="1"/>
  <c r="AU99" i="11"/>
  <c r="AU100" i="11"/>
  <c r="AU102" i="11"/>
  <c r="AU101" i="11"/>
  <c r="AU98" i="11"/>
  <c r="AV95" i="11"/>
  <c r="AV94" i="11"/>
  <c r="AV93" i="11"/>
  <c r="AV92" i="11"/>
  <c r="AV91" i="11"/>
  <c r="AV90" i="11"/>
  <c r="AV89" i="11"/>
  <c r="AV88" i="11"/>
  <c r="AV87" i="11"/>
  <c r="AV86" i="11"/>
  <c r="AV85" i="11"/>
  <c r="AV82" i="11"/>
  <c r="AW81" i="11"/>
  <c r="AV81" i="11"/>
  <c r="AW80" i="11"/>
  <c r="AV80" i="11"/>
  <c r="AV79" i="11"/>
  <c r="AV78" i="11"/>
  <c r="AV77" i="11"/>
  <c r="AW76" i="11"/>
  <c r="AV76" i="11"/>
  <c r="AV73" i="11"/>
  <c r="AV70" i="11"/>
  <c r="AV69" i="11"/>
  <c r="AV68" i="11"/>
  <c r="AV67" i="11"/>
  <c r="AV66" i="11"/>
  <c r="AV65" i="11"/>
  <c r="AV64" i="11"/>
  <c r="AV63" i="11"/>
  <c r="AV60" i="11"/>
  <c r="AV59" i="11"/>
  <c r="AV58" i="11"/>
  <c r="AV57" i="11"/>
  <c r="AV56" i="11"/>
  <c r="AV55" i="11"/>
  <c r="AV54" i="11"/>
  <c r="AV53" i="11"/>
  <c r="AV52" i="11"/>
  <c r="AV51" i="11"/>
  <c r="AV50" i="11"/>
  <c r="AV49" i="11"/>
  <c r="AV48" i="11"/>
  <c r="AV45" i="11"/>
  <c r="AV44" i="11"/>
  <c r="AV43" i="11"/>
  <c r="AV42" i="11"/>
  <c r="AV41" i="11"/>
  <c r="AV40" i="11"/>
  <c r="AV37" i="11"/>
  <c r="AV36" i="11"/>
  <c r="AV35" i="11"/>
  <c r="AV34" i="11"/>
  <c r="AV33" i="11"/>
  <c r="AV32" i="11"/>
  <c r="AV29" i="11"/>
  <c r="AV28" i="11"/>
  <c r="AV27" i="11"/>
  <c r="AV26" i="11"/>
  <c r="AV25" i="11"/>
  <c r="AV22" i="11"/>
  <c r="AW21" i="11"/>
  <c r="AV21" i="11"/>
  <c r="AV20" i="11"/>
  <c r="AV19" i="11"/>
  <c r="AV16" i="11"/>
  <c r="AV15" i="11"/>
  <c r="AV14" i="11"/>
  <c r="AV13" i="11"/>
  <c r="AV12" i="11"/>
  <c r="AV11" i="11"/>
  <c r="AV10" i="11"/>
  <c r="AV9" i="11"/>
  <c r="AV8" i="11"/>
  <c r="AV7" i="11"/>
  <c r="AV6" i="11"/>
  <c r="AV5" i="11"/>
  <c r="AV4" i="11"/>
  <c r="AV3" i="11"/>
  <c r="AO95" i="11"/>
  <c r="AO94" i="11"/>
  <c r="AO93" i="11"/>
  <c r="AO92" i="11"/>
  <c r="AO91" i="11"/>
  <c r="AO90" i="11"/>
  <c r="AO89" i="11"/>
  <c r="AO88" i="11"/>
  <c r="AO87" i="11"/>
  <c r="AO86" i="11"/>
  <c r="AO85" i="11"/>
  <c r="AO82" i="11"/>
  <c r="AO81" i="11"/>
  <c r="AO80" i="11"/>
  <c r="AO79" i="11"/>
  <c r="AO78" i="11"/>
  <c r="AO77" i="11"/>
  <c r="AO76" i="11"/>
  <c r="AO73" i="11"/>
  <c r="AO67" i="11"/>
  <c r="AO70" i="11"/>
  <c r="AO69" i="11"/>
  <c r="AO68" i="11"/>
  <c r="AO66" i="11"/>
  <c r="AO65" i="11"/>
  <c r="AO64" i="11"/>
  <c r="AO63" i="11"/>
  <c r="AO60" i="11"/>
  <c r="AO59" i="11"/>
  <c r="AO58" i="11"/>
  <c r="AO57" i="11"/>
  <c r="AO56" i="11"/>
  <c r="AO55" i="11"/>
  <c r="AO54" i="11"/>
  <c r="AO53" i="11"/>
  <c r="AO52" i="11"/>
  <c r="AO51" i="11"/>
  <c r="AO50" i="11"/>
  <c r="AO49" i="11"/>
  <c r="AO48" i="11"/>
  <c r="AO45" i="11"/>
  <c r="AO44" i="11"/>
  <c r="AO43" i="11"/>
  <c r="AO42" i="11"/>
  <c r="AO41" i="11"/>
  <c r="AO40" i="11"/>
  <c r="AO37" i="11"/>
  <c r="AO36" i="11"/>
  <c r="AO35" i="11"/>
  <c r="AO34" i="11"/>
  <c r="AO33" i="11"/>
  <c r="AO32" i="11"/>
  <c r="AO29" i="11"/>
  <c r="AO28" i="11"/>
  <c r="AO27" i="11"/>
  <c r="AO26" i="11"/>
  <c r="AO25" i="11"/>
  <c r="AB95" i="11"/>
  <c r="AB94" i="11"/>
  <c r="AB93" i="11"/>
  <c r="AB92" i="11"/>
  <c r="AB91" i="11"/>
  <c r="AB90" i="11"/>
  <c r="AB89" i="11"/>
  <c r="AB88" i="11"/>
  <c r="AB87" i="11"/>
  <c r="AB86" i="11"/>
  <c r="AB78" i="11"/>
  <c r="AB82" i="11"/>
  <c r="AB81" i="11"/>
  <c r="AB80" i="11"/>
  <c r="AB79" i="11"/>
  <c r="AB77" i="11"/>
  <c r="AB76" i="11"/>
  <c r="AB73" i="11"/>
  <c r="AB70" i="11"/>
  <c r="AB68" i="11"/>
  <c r="AB69" i="11"/>
  <c r="AB67" i="11"/>
  <c r="AB66" i="11"/>
  <c r="AB65" i="11"/>
  <c r="AB64" i="11"/>
  <c r="AB63" i="11"/>
  <c r="AB60" i="11"/>
  <c r="AB59" i="11"/>
  <c r="AB58" i="11"/>
  <c r="AB57" i="11"/>
  <c r="AB56" i="11"/>
  <c r="AB55" i="11"/>
  <c r="AB54" i="11"/>
  <c r="AB53" i="11"/>
  <c r="AB52" i="11"/>
  <c r="AB51" i="11"/>
  <c r="AB50" i="11"/>
  <c r="AB49" i="11"/>
  <c r="AB48" i="11"/>
  <c r="AB45" i="11"/>
  <c r="AB44" i="11"/>
  <c r="AB43" i="11"/>
  <c r="AB42" i="11"/>
  <c r="AB41" i="11"/>
  <c r="AB40" i="11"/>
  <c r="AB37" i="11"/>
  <c r="AB36" i="11"/>
  <c r="AB35" i="11"/>
  <c r="AB34" i="11"/>
  <c r="AB33" i="11"/>
  <c r="AB32" i="11"/>
  <c r="AB29" i="11"/>
  <c r="AB28" i="11"/>
  <c r="AB27" i="11"/>
  <c r="AB26" i="11"/>
  <c r="AB25" i="11"/>
  <c r="AB22" i="11"/>
  <c r="AB21" i="11"/>
  <c r="AB20" i="11"/>
  <c r="AB19" i="11"/>
  <c r="AB16" i="11"/>
  <c r="AB15" i="11"/>
  <c r="AB14" i="11"/>
  <c r="AB12" i="11"/>
  <c r="AB11" i="11"/>
  <c r="AB13" i="11"/>
  <c r="AB10" i="11"/>
  <c r="AB9" i="11"/>
  <c r="AB8" i="11"/>
  <c r="AB7" i="11"/>
  <c r="AB6" i="11"/>
  <c r="AB5" i="11"/>
  <c r="AB4" i="11"/>
  <c r="AB3" i="11"/>
  <c r="AO22" i="11"/>
  <c r="AO21" i="11"/>
  <c r="AO20" i="11"/>
  <c r="AO19" i="11"/>
  <c r="AO16" i="11"/>
  <c r="AO15" i="11"/>
  <c r="AO14" i="11"/>
  <c r="AO13" i="11"/>
  <c r="AO12" i="11"/>
  <c r="AO11" i="11"/>
  <c r="AO10" i="11"/>
  <c r="AO9" i="11"/>
  <c r="AO8" i="11"/>
  <c r="AO7" i="11"/>
  <c r="AO6" i="11"/>
  <c r="AO5" i="11"/>
  <c r="AO4" i="11"/>
  <c r="AO3" i="11"/>
  <c r="AF102" i="11"/>
  <c r="B22" i="20" s="1"/>
  <c r="AF101" i="11"/>
  <c r="B21" i="20" s="1"/>
  <c r="AF100" i="11"/>
  <c r="B20" i="20" s="1"/>
  <c r="AF98" i="11"/>
  <c r="B18" i="20" s="1"/>
  <c r="AN98" i="11"/>
  <c r="B14" i="19" s="1"/>
  <c r="AP81" i="11"/>
  <c r="AP80" i="11"/>
  <c r="AP76" i="11"/>
  <c r="AP21" i="11"/>
  <c r="AH95" i="11"/>
  <c r="AH94" i="11"/>
  <c r="AH93" i="11"/>
  <c r="AH92" i="11"/>
  <c r="AH89" i="11"/>
  <c r="AH88" i="11"/>
  <c r="AH86" i="11"/>
  <c r="AH85" i="11"/>
  <c r="AH81" i="11"/>
  <c r="AC81" i="11"/>
  <c r="AH80" i="11"/>
  <c r="AC80" i="11"/>
  <c r="AH77" i="11"/>
  <c r="AH76" i="11"/>
  <c r="AC76" i="11"/>
  <c r="AH70" i="11"/>
  <c r="AH69" i="11"/>
  <c r="AH68" i="11"/>
  <c r="AH66" i="11"/>
  <c r="AH65" i="11"/>
  <c r="AH64" i="11"/>
  <c r="AH63" i="11"/>
  <c r="AH58" i="11"/>
  <c r="AH41" i="11"/>
  <c r="AH40" i="11"/>
  <c r="AH36" i="11"/>
  <c r="AH28" i="11"/>
  <c r="AH26" i="11"/>
  <c r="AH25" i="11"/>
  <c r="AH21" i="11"/>
  <c r="AC21" i="11"/>
  <c r="AH20" i="11"/>
  <c r="AH19" i="11"/>
  <c r="AH16" i="11"/>
  <c r="AH15" i="11"/>
  <c r="AH8" i="11"/>
  <c r="AH7" i="11"/>
  <c r="AH6" i="11"/>
  <c r="AH5" i="11"/>
  <c r="L102" i="11"/>
  <c r="B22" i="13" s="1"/>
  <c r="L101" i="11"/>
  <c r="L100" i="11"/>
  <c r="L99" i="11"/>
  <c r="L98" i="11"/>
  <c r="G98" i="11"/>
  <c r="B14" i="12" s="1"/>
  <c r="L95" i="11"/>
  <c r="L94" i="11"/>
  <c r="L93" i="11"/>
  <c r="N93" i="11" s="1"/>
  <c r="L92" i="11"/>
  <c r="L89" i="11"/>
  <c r="L88" i="11"/>
  <c r="L86" i="11"/>
  <c r="L85" i="11"/>
  <c r="L81" i="11"/>
  <c r="N81" i="11" s="1"/>
  <c r="L80" i="11"/>
  <c r="L77" i="11"/>
  <c r="L76" i="11"/>
  <c r="L70" i="11"/>
  <c r="L69" i="11"/>
  <c r="L68" i="11"/>
  <c r="L66" i="11"/>
  <c r="L65" i="11"/>
  <c r="N65" i="11" s="1"/>
  <c r="L64" i="11"/>
  <c r="L63" i="11"/>
  <c r="L58" i="11"/>
  <c r="L41" i="11"/>
  <c r="L40" i="11"/>
  <c r="L36" i="11"/>
  <c r="N36" i="11" s="1"/>
  <c r="L27" i="11"/>
  <c r="L26" i="11"/>
  <c r="N26" i="11" s="1"/>
  <c r="L25" i="11"/>
  <c r="N25" i="11" s="1"/>
  <c r="L21" i="11"/>
  <c r="N21" i="11" s="1"/>
  <c r="L20" i="11"/>
  <c r="L19" i="11"/>
  <c r="N19" i="11" s="1"/>
  <c r="L16" i="11"/>
  <c r="N16" i="11" s="1"/>
  <c r="L15" i="11"/>
  <c r="N15" i="11" s="1"/>
  <c r="L8" i="11"/>
  <c r="L7" i="11"/>
  <c r="L6" i="11"/>
  <c r="N6" i="11" s="1"/>
  <c r="L3" i="11"/>
  <c r="L5" i="11"/>
  <c r="N5" i="11" s="1"/>
  <c r="G95" i="11"/>
  <c r="G94" i="11"/>
  <c r="G93" i="11"/>
  <c r="I93" i="11" s="1"/>
  <c r="G92" i="11"/>
  <c r="G89" i="11"/>
  <c r="G88" i="11"/>
  <c r="G86" i="11"/>
  <c r="G85" i="11"/>
  <c r="G81" i="11"/>
  <c r="I81" i="11" s="1"/>
  <c r="G80" i="11"/>
  <c r="G77" i="11"/>
  <c r="G76" i="11"/>
  <c r="G70" i="11"/>
  <c r="G69" i="11"/>
  <c r="G68" i="11"/>
  <c r="I68" i="11" s="1"/>
  <c r="G66" i="11"/>
  <c r="G65" i="11"/>
  <c r="G64" i="11"/>
  <c r="G63" i="11"/>
  <c r="G58" i="11"/>
  <c r="I58" i="11" s="1"/>
  <c r="G41" i="11"/>
  <c r="G40" i="11"/>
  <c r="G36" i="11"/>
  <c r="G27" i="11"/>
  <c r="G26" i="11"/>
  <c r="I26" i="11" s="1"/>
  <c r="G25" i="11"/>
  <c r="G21" i="11"/>
  <c r="I21" i="11" s="1"/>
  <c r="G20" i="11"/>
  <c r="G19" i="11"/>
  <c r="I19" i="11" s="1"/>
  <c r="G16" i="11"/>
  <c r="G15" i="11"/>
  <c r="G8" i="11"/>
  <c r="I8" i="11" s="1"/>
  <c r="G7" i="11"/>
  <c r="G6" i="11"/>
  <c r="G5" i="11"/>
  <c r="I5" i="11" s="1"/>
  <c r="G3" i="11"/>
  <c r="I11" i="20"/>
  <c r="L10" i="20"/>
  <c r="L9" i="20"/>
  <c r="L8" i="20"/>
  <c r="L23" i="19" a="1"/>
  <c r="L23" i="19" s="1"/>
  <c r="F12" i="19"/>
  <c r="I11" i="19"/>
  <c r="I10" i="19"/>
  <c r="I9" i="19"/>
  <c r="D6" i="19" s="1"/>
  <c r="AB85" i="11" s="1"/>
  <c r="N24" i="18"/>
  <c r="N23" i="18"/>
  <c r="N22" i="18"/>
  <c r="N21" i="18"/>
  <c r="N19" i="18"/>
  <c r="N20" i="18"/>
  <c r="M24" i="18"/>
  <c r="M23" i="18"/>
  <c r="M22" i="18"/>
  <c r="M21" i="18"/>
  <c r="M20" i="18"/>
  <c r="M14" i="18"/>
  <c r="M13" i="18"/>
  <c r="M12" i="18"/>
  <c r="M11" i="18"/>
  <c r="M10" i="18"/>
  <c r="M9" i="18"/>
  <c r="N14" i="18"/>
  <c r="N13" i="18"/>
  <c r="N12" i="18"/>
  <c r="N11" i="18"/>
  <c r="N10" i="18"/>
  <c r="N9" i="18"/>
  <c r="M19" i="18"/>
  <c r="A7" i="18"/>
  <c r="C7" i="18" s="1"/>
  <c r="A4" i="18"/>
  <c r="A2" i="18"/>
  <c r="M10" i="17"/>
  <c r="M9" i="17"/>
  <c r="M8" i="17"/>
  <c r="M7" i="17"/>
  <c r="M6" i="17"/>
  <c r="I8" i="14"/>
  <c r="I7" i="14"/>
  <c r="I6" i="14"/>
  <c r="M10" i="7"/>
  <c r="M9" i="7"/>
  <c r="M8" i="7"/>
  <c r="M7" i="7"/>
  <c r="M6" i="7"/>
  <c r="I8" i="8"/>
  <c r="I7" i="8"/>
  <c r="I6" i="8"/>
  <c r="G5" i="8"/>
  <c r="F7" i="17"/>
  <c r="G7" i="17" s="1"/>
  <c r="F6" i="17"/>
  <c r="G6" i="17" s="1"/>
  <c r="F5" i="17"/>
  <c r="G5" i="17" s="1"/>
  <c r="F4" i="17"/>
  <c r="G4" i="17" s="1"/>
  <c r="F3" i="17"/>
  <c r="G3" i="17" s="1"/>
  <c r="E7" i="17"/>
  <c r="E6" i="17"/>
  <c r="E5" i="17"/>
  <c r="E4" i="17"/>
  <c r="E3" i="17"/>
  <c r="D7" i="17"/>
  <c r="D6" i="17"/>
  <c r="D5" i="17"/>
  <c r="D4" i="17"/>
  <c r="D3" i="17"/>
  <c r="E28" i="4"/>
  <c r="E26" i="4"/>
  <c r="E24" i="4"/>
  <c r="E22" i="4"/>
  <c r="E19" i="3"/>
  <c r="E17" i="3"/>
  <c r="E23" i="3"/>
  <c r="E25" i="3"/>
  <c r="E38" i="16"/>
  <c r="E36" i="16"/>
  <c r="E34" i="16"/>
  <c r="E32" i="16"/>
  <c r="E12" i="16"/>
  <c r="E11" i="16"/>
  <c r="E10" i="16"/>
  <c r="E9" i="16"/>
  <c r="E8" i="16"/>
  <c r="E7" i="16"/>
  <c r="E6" i="16"/>
  <c r="E5" i="16"/>
  <c r="E4" i="16"/>
  <c r="E3" i="16"/>
  <c r="E39" i="16"/>
  <c r="E37" i="16"/>
  <c r="E35" i="16"/>
  <c r="E33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38" i="15"/>
  <c r="E35" i="15"/>
  <c r="E36" i="15"/>
  <c r="E37" i="15"/>
  <c r="E39" i="15"/>
  <c r="E31" i="15"/>
  <c r="E29" i="15"/>
  <c r="E25" i="15"/>
  <c r="E15" i="15"/>
  <c r="E13" i="15"/>
  <c r="E12" i="15"/>
  <c r="E11" i="15"/>
  <c r="E10" i="15"/>
  <c r="E9" i="15"/>
  <c r="E8" i="15"/>
  <c r="E7" i="15"/>
  <c r="E6" i="15"/>
  <c r="E5" i="15"/>
  <c r="E4" i="15"/>
  <c r="E56" i="15"/>
  <c r="E55" i="15"/>
  <c r="E53" i="15"/>
  <c r="E51" i="15"/>
  <c r="E49" i="15"/>
  <c r="E48" i="15"/>
  <c r="E47" i="15"/>
  <c r="E46" i="15"/>
  <c r="E45" i="15"/>
  <c r="E44" i="15"/>
  <c r="E42" i="15"/>
  <c r="E40" i="15"/>
  <c r="E32" i="15"/>
  <c r="E30" i="15"/>
  <c r="E28" i="15"/>
  <c r="E26" i="15"/>
  <c r="E23" i="15"/>
  <c r="E21" i="15"/>
  <c r="E20" i="15"/>
  <c r="E19" i="15"/>
  <c r="E18" i="15"/>
  <c r="E17" i="15"/>
  <c r="D4" i="14"/>
  <c r="D5" i="14"/>
  <c r="D6" i="14" s="1"/>
  <c r="D3" i="14"/>
  <c r="F9" i="13"/>
  <c r="I8" i="13"/>
  <c r="I7" i="13"/>
  <c r="D7" i="13"/>
  <c r="I6" i="13"/>
  <c r="D6" i="13"/>
  <c r="D5" i="13"/>
  <c r="D4" i="13"/>
  <c r="D3" i="13"/>
  <c r="D2" i="13"/>
  <c r="F13" i="12" a="1"/>
  <c r="F13" i="12" s="1"/>
  <c r="F9" i="12"/>
  <c r="I8" i="12"/>
  <c r="I7" i="12"/>
  <c r="I6" i="12"/>
  <c r="D3" i="12"/>
  <c r="D4" i="12" s="1"/>
  <c r="B3" i="12"/>
  <c r="N28" i="11"/>
  <c r="N3" i="11"/>
  <c r="N95" i="11"/>
  <c r="N94" i="11"/>
  <c r="N92" i="11"/>
  <c r="N89" i="11"/>
  <c r="N88" i="11"/>
  <c r="N86" i="11"/>
  <c r="N85" i="11"/>
  <c r="N80" i="11"/>
  <c r="N77" i="11"/>
  <c r="N76" i="11"/>
  <c r="N70" i="11"/>
  <c r="N69" i="11"/>
  <c r="N68" i="11"/>
  <c r="N66" i="11"/>
  <c r="N64" i="11"/>
  <c r="N63" i="11"/>
  <c r="N58" i="11"/>
  <c r="N41" i="11"/>
  <c r="N40" i="11"/>
  <c r="N20" i="11"/>
  <c r="N8" i="11"/>
  <c r="N7" i="11"/>
  <c r="I95" i="11"/>
  <c r="I94" i="11"/>
  <c r="I92" i="11"/>
  <c r="I89" i="11"/>
  <c r="I88" i="11"/>
  <c r="I86" i="11"/>
  <c r="I85" i="11"/>
  <c r="I80" i="11"/>
  <c r="I77" i="11"/>
  <c r="I76" i="11"/>
  <c r="I70" i="11"/>
  <c r="I69" i="11"/>
  <c r="I66" i="11"/>
  <c r="I65" i="11"/>
  <c r="I64" i="11"/>
  <c r="I63" i="11"/>
  <c r="I41" i="11"/>
  <c r="I40" i="11"/>
  <c r="I36" i="11"/>
  <c r="I27" i="11"/>
  <c r="I25" i="11"/>
  <c r="I20" i="11"/>
  <c r="I16" i="11"/>
  <c r="I15" i="11"/>
  <c r="I7" i="11"/>
  <c r="I6" i="11"/>
  <c r="I3" i="11"/>
  <c r="D5" i="8"/>
  <c r="D6" i="8" s="1"/>
  <c r="D4" i="8"/>
  <c r="D3" i="8"/>
  <c r="F7" i="7"/>
  <c r="E7" i="7"/>
  <c r="D7" i="7"/>
  <c r="F6" i="7"/>
  <c r="E6" i="7"/>
  <c r="D6" i="7"/>
  <c r="F5" i="7"/>
  <c r="E5" i="7"/>
  <c r="D5" i="7"/>
  <c r="F4" i="7"/>
  <c r="E4" i="7"/>
  <c r="D4" i="7"/>
  <c r="F3" i="7"/>
  <c r="E3" i="7"/>
  <c r="D3" i="7"/>
  <c r="Z13" i="20" l="1"/>
  <c r="Z8" i="20"/>
  <c r="Z3" i="20"/>
  <c r="E9" i="20"/>
  <c r="S5" i="19"/>
  <c r="D5" i="19" s="1"/>
  <c r="N25" i="18"/>
  <c r="A12" i="18" s="1"/>
  <c r="N15" i="18"/>
  <c r="M25" i="18"/>
  <c r="M15" i="18"/>
  <c r="H4" i="17"/>
  <c r="D9" i="17"/>
  <c r="H5" i="17"/>
  <c r="H3" i="17"/>
  <c r="H6" i="17"/>
  <c r="H7" i="17"/>
  <c r="B41" i="16"/>
  <c r="B58" i="15"/>
  <c r="D8" i="14"/>
  <c r="D7" i="14"/>
  <c r="D9" i="13"/>
  <c r="B18" i="13"/>
  <c r="B21" i="13"/>
  <c r="D8" i="13"/>
  <c r="C10" i="13" s="1"/>
  <c r="B19" i="13"/>
  <c r="B20" i="13"/>
  <c r="D5" i="12"/>
  <c r="C6" i="12" s="1"/>
  <c r="E12" i="10"/>
  <c r="D12" i="10"/>
  <c r="C12" i="10"/>
  <c r="Q11" i="10"/>
  <c r="P11" i="10"/>
  <c r="O11" i="10"/>
  <c r="E11" i="10"/>
  <c r="D11" i="10"/>
  <c r="C11" i="10"/>
  <c r="Q10" i="10"/>
  <c r="P10" i="10"/>
  <c r="O10" i="10"/>
  <c r="K10" i="10"/>
  <c r="J10" i="10"/>
  <c r="I10" i="10"/>
  <c r="E10" i="10"/>
  <c r="D10" i="10"/>
  <c r="C10" i="10"/>
  <c r="Q9" i="10"/>
  <c r="P9" i="10"/>
  <c r="O9" i="10"/>
  <c r="K9" i="10"/>
  <c r="J9" i="10"/>
  <c r="I9" i="10"/>
  <c r="E9" i="10"/>
  <c r="D9" i="10"/>
  <c r="C9" i="10"/>
  <c r="Q8" i="10"/>
  <c r="P8" i="10"/>
  <c r="O8" i="10"/>
  <c r="K8" i="10"/>
  <c r="J8" i="10"/>
  <c r="I8" i="10"/>
  <c r="E8" i="10"/>
  <c r="D8" i="10"/>
  <c r="C8" i="10"/>
  <c r="Q7" i="10"/>
  <c r="P7" i="10"/>
  <c r="O7" i="10"/>
  <c r="K7" i="10"/>
  <c r="J7" i="10"/>
  <c r="I7" i="10"/>
  <c r="E7" i="10"/>
  <c r="D7" i="10"/>
  <c r="C7" i="10"/>
  <c r="Q6" i="10"/>
  <c r="P6" i="10"/>
  <c r="O6" i="10"/>
  <c r="K6" i="10"/>
  <c r="J6" i="10"/>
  <c r="I6" i="10"/>
  <c r="E6" i="10"/>
  <c r="D6" i="10"/>
  <c r="C6" i="10"/>
  <c r="Q5" i="10"/>
  <c r="P5" i="10"/>
  <c r="O5" i="10"/>
  <c r="K5" i="10"/>
  <c r="J5" i="10"/>
  <c r="I5" i="10"/>
  <c r="E5" i="10"/>
  <c r="D5" i="10"/>
  <c r="C5" i="10"/>
  <c r="Z18" i="20" l="1"/>
  <c r="E7" i="20" s="1"/>
  <c r="B4" i="19"/>
  <c r="D3" i="19"/>
  <c r="C2" i="19"/>
  <c r="B5" i="19"/>
  <c r="B3" i="19"/>
  <c r="D4" i="19"/>
  <c r="A9" i="18"/>
  <c r="N26" i="18"/>
  <c r="A15" i="18" s="1"/>
  <c r="C9" i="14"/>
  <c r="D8" i="17"/>
  <c r="G8" i="17" s="1"/>
  <c r="D7" i="8"/>
  <c r="G7" i="7"/>
  <c r="G6" i="7"/>
  <c r="G5" i="7"/>
  <c r="G4" i="7"/>
  <c r="G3" i="7"/>
  <c r="D3" i="20" l="1"/>
  <c r="E8" i="20" s="1"/>
  <c r="D10" i="20" s="1"/>
  <c r="B8" i="20"/>
  <c r="E6" i="20"/>
  <c r="E3" i="20"/>
  <c r="E4" i="20"/>
  <c r="E5" i="20"/>
  <c r="C2" i="20"/>
  <c r="D2" i="20"/>
  <c r="E2" i="20"/>
  <c r="H5" i="7"/>
  <c r="H3" i="7"/>
  <c r="D9" i="7"/>
  <c r="H6" i="7"/>
  <c r="H4" i="7"/>
  <c r="H7" i="7"/>
  <c r="D8" i="7" l="1"/>
  <c r="G8" i="7" s="1"/>
  <c r="E29" i="4" l="1"/>
  <c r="E27" i="4"/>
  <c r="E25" i="4"/>
  <c r="E23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42" i="3"/>
  <c r="E41" i="3"/>
  <c r="E39" i="3"/>
  <c r="E37" i="3"/>
  <c r="E35" i="3"/>
  <c r="E34" i="3"/>
  <c r="E33" i="3"/>
  <c r="E32" i="3"/>
  <c r="E31" i="3"/>
  <c r="E30" i="3"/>
  <c r="E28" i="3"/>
  <c r="E26" i="3"/>
  <c r="E24" i="3"/>
  <c r="E20" i="3"/>
  <c r="E18" i="3"/>
  <c r="E16" i="3"/>
  <c r="E14" i="3"/>
  <c r="E12" i="3"/>
  <c r="E10" i="3"/>
  <c r="E9" i="3"/>
  <c r="E8" i="3"/>
  <c r="E7" i="3"/>
  <c r="E6" i="3"/>
  <c r="E4" i="3"/>
  <c r="B31" i="4" l="1"/>
  <c r="B44" i="3"/>
  <c r="D8" i="8" l="1"/>
  <c r="C9" i="8" s="1"/>
  <c r="C7" i="1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<sst xmlns="http://schemas.openxmlformats.org/spreadsheetml/2006/main" count="1604" uniqueCount="532">
  <si>
    <t>FRESH AIR CALCULATION</t>
  </si>
  <si>
    <t>CFM</t>
  </si>
  <si>
    <t>SPACE:</t>
  </si>
  <si>
    <t>BUILDING USE:</t>
  </si>
  <si>
    <t>PEOPLE OUTDOOR FLOW RATE (Rp):</t>
  </si>
  <si>
    <t>AREA OUTDOOR FLOW RATE (Ra):</t>
  </si>
  <si>
    <t>OCCUPANT DENSITY /1000 sq. ft.:</t>
  </si>
  <si>
    <t xml:space="preserve">OCCUPANT LOAD OF SPACE (Pz) </t>
  </si>
  <si>
    <t>RECEPTION AREA</t>
  </si>
  <si>
    <t>COPY / PRINTING RM</t>
  </si>
  <si>
    <t>LOBBIES</t>
  </si>
  <si>
    <t>DINING ROOM</t>
  </si>
  <si>
    <t>CAFETERIA</t>
  </si>
  <si>
    <t>PHARMACY PREP AREA</t>
  </si>
  <si>
    <t>CLASSROOM (5-8)</t>
  </si>
  <si>
    <t>CLASSROOM (9+)</t>
  </si>
  <si>
    <t>DAYCARE (UP TO 4YR)</t>
  </si>
  <si>
    <t>AUDITORIUMS</t>
  </si>
  <si>
    <t>ART CLASSROOM</t>
  </si>
  <si>
    <t>SCIENCE LAB</t>
  </si>
  <si>
    <t>COMPUTER LAB</t>
  </si>
  <si>
    <t>MULTIUSE ASSEMBLY</t>
  </si>
  <si>
    <t>CORRIDORS</t>
  </si>
  <si>
    <t>RELIGIOUS WORSHIP</t>
  </si>
  <si>
    <t>COURTROOMS</t>
  </si>
  <si>
    <t>Square Footage:</t>
  </si>
  <si>
    <t>OFFICE SPACE</t>
  </si>
  <si>
    <t>N/A</t>
  </si>
  <si>
    <t>SQUARE FOOTAGE OF AREA (Az):</t>
  </si>
  <si>
    <t>HVAC SIZE:</t>
  </si>
  <si>
    <t>SYSTEM CFM OUTPUT:</t>
  </si>
  <si>
    <t>ECONOMIZER</t>
  </si>
  <si>
    <t>1 TON</t>
  </si>
  <si>
    <t>1.5 TON</t>
  </si>
  <si>
    <t>2 TON</t>
  </si>
  <si>
    <t>2.5 TON</t>
  </si>
  <si>
    <t>3 TON</t>
  </si>
  <si>
    <t>3.5 TON</t>
  </si>
  <si>
    <t>4 TON</t>
  </si>
  <si>
    <t>5 TON</t>
  </si>
  <si>
    <r>
      <rPr>
        <b/>
        <i/>
        <sz val="8"/>
        <color theme="1"/>
        <rFont val="Calibri"/>
        <family val="2"/>
        <scheme val="minor"/>
      </rPr>
      <t>BARD</t>
    </r>
    <r>
      <rPr>
        <b/>
        <sz val="8"/>
        <color theme="1"/>
        <rFont val="Calibri"/>
        <family val="2"/>
        <scheme val="minor"/>
      </rPr>
      <t xml:space="preserve"> WALL MOUNT OUTDOOR AIR VENTILATION:</t>
    </r>
  </si>
  <si>
    <r>
      <rPr>
        <b/>
        <i/>
        <sz val="8"/>
        <color theme="1"/>
        <rFont val="Calibri"/>
        <family val="2"/>
        <scheme val="minor"/>
      </rPr>
      <t>DAIKIN</t>
    </r>
    <r>
      <rPr>
        <b/>
        <sz val="8"/>
        <color theme="1"/>
        <rFont val="Calibri"/>
        <family val="2"/>
        <scheme val="minor"/>
      </rPr>
      <t xml:space="preserve"> ROOF TOP OUTDOOR AIR VENTILATION:</t>
    </r>
  </si>
  <si>
    <t>BARD</t>
  </si>
  <si>
    <t># OF A/C's:</t>
  </si>
  <si>
    <t>FAD</t>
  </si>
  <si>
    <t>CRV</t>
  </si>
  <si>
    <t>CONFERENCE ROOM(S)</t>
  </si>
  <si>
    <t>Type of HVAC:</t>
  </si>
  <si>
    <t>VENTILATION:</t>
  </si>
  <si>
    <t>VENT RATE:</t>
  </si>
  <si>
    <t>OUTDOOR AIR REQUIRED (Vbz=RpPz+RaAz):</t>
  </si>
  <si>
    <t>TOTAL OUTDOOR AIR REQUIRED:</t>
  </si>
  <si>
    <t>TOTAL FRESH AIR SUPPLIED:</t>
  </si>
  <si>
    <t>RESULTS:</t>
  </si>
  <si>
    <r>
      <rPr>
        <b/>
        <i/>
        <sz val="8"/>
        <color theme="1"/>
        <rFont val="Calibri"/>
        <family val="2"/>
        <scheme val="minor"/>
      </rPr>
      <t>Marvair</t>
    </r>
    <r>
      <rPr>
        <b/>
        <sz val="8"/>
        <color theme="1"/>
        <rFont val="Calibri"/>
        <family val="2"/>
        <scheme val="minor"/>
      </rPr>
      <t xml:space="preserve"> WALL MOUNT OUTDOOR AIR VENTILATION:</t>
    </r>
  </si>
  <si>
    <t>OCCUPANT LOAD OF SPACE (Pz):</t>
  </si>
  <si>
    <t>OCCUPANT LOAD DENSITY / 1000 SQ. FT.:</t>
  </si>
  <si>
    <t>Floor Area (Az):</t>
  </si>
  <si>
    <t>IMC Table 403.3.1.1</t>
  </si>
  <si>
    <t>Occupancy Classification:</t>
  </si>
  <si>
    <t>Exhaust Rate:</t>
  </si>
  <si>
    <t># of Fixtures:</t>
  </si>
  <si>
    <t>Exhaust CFM Required:</t>
  </si>
  <si>
    <t>Correction Facilities:</t>
  </si>
  <si>
    <t>Cells W/ Plumbing Fixtures:</t>
  </si>
  <si>
    <t>Education:</t>
  </si>
  <si>
    <t>Art Classroom:</t>
  </si>
  <si>
    <t>Locker/Dressing Rooms:</t>
  </si>
  <si>
    <t>Science Laboratories:</t>
  </si>
  <si>
    <t>Sports Locker Rooms:</t>
  </si>
  <si>
    <t>Wood / Metal Shops:</t>
  </si>
  <si>
    <t>Food and Beverage:</t>
  </si>
  <si>
    <t>Kitchens (cooking):</t>
  </si>
  <si>
    <t>Hotels, Motels, Resorts, and Dormatories:</t>
  </si>
  <si>
    <t>Bathrooms/Toilet - Private:</t>
  </si>
  <si>
    <t>Private Dwellings, Single and Multiple:</t>
  </si>
  <si>
    <t>Garages, common for multi units:</t>
  </si>
  <si>
    <t>Public Spaces:</t>
  </si>
  <si>
    <t>Elevator Car:</t>
  </si>
  <si>
    <t>Retail Stores, Sales Floors and Showroom Floors:</t>
  </si>
  <si>
    <t>Dressing Rooms:</t>
  </si>
  <si>
    <t>Specialty Shops:</t>
  </si>
  <si>
    <t>Auto Motor fuel-dispensing station:</t>
  </si>
  <si>
    <t>Barber:</t>
  </si>
  <si>
    <t>Beauty Salon:</t>
  </si>
  <si>
    <t>Embalming Room:</t>
  </si>
  <si>
    <t>Nail Salon:</t>
  </si>
  <si>
    <t>Pet Shops (Animal area):</t>
  </si>
  <si>
    <t>Sports and Amusement:</t>
  </si>
  <si>
    <t>Ice Arenas without Combustion Engines:</t>
  </si>
  <si>
    <t>Storage:</t>
  </si>
  <si>
    <t>Repair garages, Enclosed parking garages:</t>
  </si>
  <si>
    <t>Workrooms:</t>
  </si>
  <si>
    <t>Copy, Printing rooms</t>
  </si>
  <si>
    <t>Darkrooms:</t>
  </si>
  <si>
    <t>Total Exhaust Required:</t>
  </si>
  <si>
    <t>UMC Table 403.7</t>
  </si>
  <si>
    <t>Arenas:</t>
  </si>
  <si>
    <t>Art Classrooms:</t>
  </si>
  <si>
    <t>Auto Repair Rooms:</t>
  </si>
  <si>
    <t>Barber Shops:</t>
  </si>
  <si>
    <t>Beauty and Nail Salons:</t>
  </si>
  <si>
    <t>Cell with toilet:</t>
  </si>
  <si>
    <t>Copy, Printing rooms:</t>
  </si>
  <si>
    <t>Educational Science Laboratories:</t>
  </si>
  <si>
    <t>Janitor closet, Trash rooms, recylcing:</t>
  </si>
  <si>
    <t>Kitchens - Commercial:</t>
  </si>
  <si>
    <t>Kitchenettes:</t>
  </si>
  <si>
    <t>Locker rooms for athletic, industrial, and Health care facilities:</t>
  </si>
  <si>
    <t>Other Locker rooms:</t>
  </si>
  <si>
    <t>Parking Garages:</t>
  </si>
  <si>
    <t>Pet Shops (animal areas):</t>
  </si>
  <si>
    <t>Soiled Laundry Storage:</t>
  </si>
  <si>
    <t>Storage rooms, Chemical:</t>
  </si>
  <si>
    <t>Woodowork shop/classrooms:</t>
  </si>
  <si>
    <t>Toilets - Public:</t>
  </si>
  <si>
    <t>-</t>
  </si>
  <si>
    <t>MAIN ENRTY LOBBIES</t>
  </si>
  <si>
    <t>LEGISTLATIVE CHAMBERS</t>
  </si>
  <si>
    <t>LIBRARIES</t>
  </si>
  <si>
    <t>SMOKING LOUNGES</t>
  </si>
  <si>
    <t>LECTURE CLASSROOM</t>
  </si>
  <si>
    <t>MEDIA CENTER</t>
  </si>
  <si>
    <t>COMPUTER (WITHOUT PRINTING)</t>
  </si>
  <si>
    <t>PHOTO STUDIOS</t>
  </si>
  <si>
    <t>MEAT PROCESSING</t>
  </si>
  <si>
    <t>SALES</t>
  </si>
  <si>
    <t>STORAGE ROOMS</t>
  </si>
  <si>
    <t>WAREHOUSES</t>
  </si>
  <si>
    <t>MALL COMMON AREAS</t>
  </si>
  <si>
    <t>SHIPPING AND RECEIVING</t>
  </si>
  <si>
    <t>KITCHENS (COOKING)</t>
  </si>
  <si>
    <t>BARS, COCKTAIL LOUNGES</t>
  </si>
  <si>
    <t>OFFICES:</t>
  </si>
  <si>
    <t>PUBLIC USES:</t>
  </si>
  <si>
    <t>EDUCATION:</t>
  </si>
  <si>
    <t>RETAIL STORES, SALES FLOOR AND SHOWROOM FLOORS:</t>
  </si>
  <si>
    <t>COIN-OPERATED DRY CLEANER</t>
  </si>
  <si>
    <t>COIN-OPERATED DRY LAUNDRIES</t>
  </si>
  <si>
    <t>COMMERICAL DRY CLEANER</t>
  </si>
  <si>
    <t>COMMERICAL LAUNDRY</t>
  </si>
  <si>
    <t>STORAGE, PICKUP</t>
  </si>
  <si>
    <t>DORMATORY SLEEPING AREAS</t>
  </si>
  <si>
    <t>MULTIPURPOSE ASSEMBLY</t>
  </si>
  <si>
    <t>GAMBLING CASINOS</t>
  </si>
  <si>
    <t>GYM, STADUIM, ARENA (PLAY AREA)</t>
  </si>
  <si>
    <t>GAME ARCADES</t>
  </si>
  <si>
    <t>BOWLING ALLEYS</t>
  </si>
  <si>
    <t>SPECTATOR AREAS</t>
  </si>
  <si>
    <t>STAGES, STUDIOS</t>
  </si>
  <si>
    <t>TICKET BOOTHS</t>
  </si>
  <si>
    <t>PLATFORMS</t>
  </si>
  <si>
    <t>TRANSPORTATION WAITING</t>
  </si>
  <si>
    <t>BARBER</t>
  </si>
  <si>
    <t>BEAUTY SALONS</t>
  </si>
  <si>
    <t>NAIL SALONS</t>
  </si>
  <si>
    <t>PET SHOPS (ANIMAL AREAS)</t>
  </si>
  <si>
    <t>SUPERMARKETS</t>
  </si>
  <si>
    <t>CELLS (W/O PLUMBING)</t>
  </si>
  <si>
    <t>CELLS (W/ PLUMBING)</t>
  </si>
  <si>
    <t>DAY ROOM</t>
  </si>
  <si>
    <t>GUARD STATIONS</t>
  </si>
  <si>
    <t>(OFFICES:)</t>
  </si>
  <si>
    <t>(PUBLIC USES:)</t>
  </si>
  <si>
    <t>(EDUCATION:)</t>
  </si>
  <si>
    <t>(WORKROOMS:)</t>
  </si>
  <si>
    <t>(HOTELS, MOTELS, RESORTS AND DORMATORIES:)</t>
  </si>
  <si>
    <t>(RETAIL STORES, SALES FLOOR AND SHOWROOM FLOORS:)</t>
  </si>
  <si>
    <t>(FOOD AND BEVERAGE SERVICE:)</t>
  </si>
  <si>
    <t>(DRY CLEANERS, LAUNDRIES:)</t>
  </si>
  <si>
    <t>(SPORTS AND AMUSEMENT:)</t>
  </si>
  <si>
    <t>(STORAGE:)</t>
  </si>
  <si>
    <t>(THEATERS:)</t>
  </si>
  <si>
    <t>(SPECIALTY SHOPS:)</t>
  </si>
  <si>
    <t>(TRANSPORTATION:)</t>
  </si>
  <si>
    <t>(CORRECTIONAL FACILITIES:)</t>
  </si>
  <si>
    <t>IMC:</t>
  </si>
  <si>
    <t>UMC:</t>
  </si>
  <si>
    <t>ASHREA:</t>
  </si>
  <si>
    <t>Daycare (through age 4)</t>
  </si>
  <si>
    <t>Daycare sickroom</t>
  </si>
  <si>
    <t>Classrooms (ages 5-8)</t>
  </si>
  <si>
    <t>Classrooms (ages 9-18)</t>
  </si>
  <si>
    <t>Lecture/postsecondary classroom</t>
  </si>
  <si>
    <t>Lecture hall (fixed seats)</t>
  </si>
  <si>
    <t>Art classroom</t>
  </si>
  <si>
    <t>Science laboratories</t>
  </si>
  <si>
    <t>University/college laboratories</t>
  </si>
  <si>
    <t>Wood/metal shop</t>
  </si>
  <si>
    <t>Computer lab</t>
  </si>
  <si>
    <t>Media center</t>
  </si>
  <si>
    <t>Music/theater/dance</t>
  </si>
  <si>
    <t>Multiuse assembly</t>
  </si>
  <si>
    <t>Restaurant dining rooms</t>
  </si>
  <si>
    <t>Cafeteria/fast-food dining</t>
  </si>
  <si>
    <t>Bars, cocktail lounges</t>
  </si>
  <si>
    <t>Kitchen (cooking)</t>
  </si>
  <si>
    <t>Break rooms</t>
  </si>
  <si>
    <t>Coffee Stations</t>
  </si>
  <si>
    <t>Conference/meeting</t>
  </si>
  <si>
    <t>Corridors</t>
  </si>
  <si>
    <t>Occupiable storage rooms for liquids or gels</t>
  </si>
  <si>
    <t>Bedroom/living room</t>
  </si>
  <si>
    <t>Barracks sleeping areas</t>
  </si>
  <si>
    <t>Laundry rooms, central</t>
  </si>
  <si>
    <t>Laundry rooms within dwelling units</t>
  </si>
  <si>
    <t>Lobbies/pre-function</t>
  </si>
  <si>
    <t>Multipurpose assembly</t>
  </si>
  <si>
    <t>Breakrooms</t>
  </si>
  <si>
    <t>Main entry lobbies</t>
  </si>
  <si>
    <t>Occupiable storage rooms for dry materials</t>
  </si>
  <si>
    <t>Office space</t>
  </si>
  <si>
    <t>Reception areas</t>
  </si>
  <si>
    <t>Telephone/data entry</t>
  </si>
  <si>
    <t>Bank vaults/safe deposit</t>
  </si>
  <si>
    <t>Banks or bank lobbies</t>
  </si>
  <si>
    <t>Computer (not printing)</t>
  </si>
  <si>
    <t>Freezer and refrigerated spaces (&lt;50F)</t>
  </si>
  <si>
    <t>General manufacturing (excludes heavy industrial and process using chemicals)</t>
  </si>
  <si>
    <t>Pharmacy (prep. Area)</t>
  </si>
  <si>
    <t>Photo studios</t>
  </si>
  <si>
    <t>Shipping/receiving</t>
  </si>
  <si>
    <t>Sorting, packing, light assembly</t>
  </si>
  <si>
    <t>Telephone closets</t>
  </si>
  <si>
    <t>Transportation waiting</t>
  </si>
  <si>
    <t>Warehouses</t>
  </si>
  <si>
    <t>All others</t>
  </si>
  <si>
    <t>Auditorium seating area</t>
  </si>
  <si>
    <t>Places of religious worship</t>
  </si>
  <si>
    <t>Courtrooms</t>
  </si>
  <si>
    <t>Legislative chambers</t>
  </si>
  <si>
    <t>Libraries (reading rooms and stack areas)</t>
  </si>
  <si>
    <t>Lobbies</t>
  </si>
  <si>
    <t>Museums (children's)</t>
  </si>
  <si>
    <t>Museums/galleries</t>
  </si>
  <si>
    <t>Common corridors</t>
  </si>
  <si>
    <t>Sales (except as below)</t>
  </si>
  <si>
    <t>Mall common areas</t>
  </si>
  <si>
    <t>Barbershop</t>
  </si>
  <si>
    <t>Beauty and nail salons</t>
  </si>
  <si>
    <t>Pet shops (animal areas)</t>
  </si>
  <si>
    <t>Supermarket</t>
  </si>
  <si>
    <t>Coin-operated laundries</t>
  </si>
  <si>
    <t>Gym, sports arena (play area)</t>
  </si>
  <si>
    <t>Spetator areas</t>
  </si>
  <si>
    <t>Swimming (pool)</t>
  </si>
  <si>
    <t>Swimming (deck)</t>
  </si>
  <si>
    <t>Disco/dance floors</t>
  </si>
  <si>
    <t>Health club/aerobics room</t>
  </si>
  <si>
    <t>Health club/weight rooms</t>
  </si>
  <si>
    <t>Bowling alley (seating)</t>
  </si>
  <si>
    <t>Gambling casinos</t>
  </si>
  <si>
    <t>Game arcades</t>
  </si>
  <si>
    <t>Stages, studios</t>
  </si>
  <si>
    <t>CA Energy Code:</t>
  </si>
  <si>
    <t>OUTDOOR AIR REQUIRED:</t>
  </si>
  <si>
    <t>VALUE(S) ABOVE CAN BE FOUND IN:</t>
  </si>
  <si>
    <t>&lt;--Enter Sq. Ft.</t>
  </si>
  <si>
    <t>&lt;--Enter Square Footage</t>
  </si>
  <si>
    <t>Space 1:</t>
  </si>
  <si>
    <t>(Educational Facilities:)</t>
  </si>
  <si>
    <t>(Food and Beverage Service:)</t>
  </si>
  <si>
    <t>(General:)</t>
  </si>
  <si>
    <t>(Hotels, Motels, Resorts, Dormitories:)</t>
  </si>
  <si>
    <t>(Office Buildings:)</t>
  </si>
  <si>
    <t>(Miscellaneous Spaces:)</t>
  </si>
  <si>
    <t>(Public Assembly Spaces:)</t>
  </si>
  <si>
    <t>(Residential:)</t>
  </si>
  <si>
    <t>(Retail:)</t>
  </si>
  <si>
    <t>(Sports and Entertainment:)</t>
  </si>
  <si>
    <t>Table 120.1-A &amp; Section 120.1(c)(3)</t>
  </si>
  <si>
    <t>FOR 100% OUTSIDE AIR, USE ECONOMIZER OPTION</t>
  </si>
  <si>
    <t>ASHREA 62.1:</t>
  </si>
  <si>
    <t>Table 402.1 / Zone Calc: Section 403.2.1</t>
  </si>
  <si>
    <t>Table 6-1 / Zone Calc: Section 6.2.4.1</t>
  </si>
  <si>
    <t>SPACE</t>
  </si>
  <si>
    <t>Space 2:</t>
  </si>
  <si>
    <t>Space 3:</t>
  </si>
  <si>
    <t>Space 4:</t>
  </si>
  <si>
    <t>Space 5:</t>
  </si>
  <si>
    <r>
      <t>CO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Sensor Requirements: CA Energy Code Section 120.1(d)(3)</t>
    </r>
  </si>
  <si>
    <t>SQUARE FOOTAGE OF FREE ZONE AREA (Az):</t>
  </si>
  <si>
    <t>Table 403.3.1.1 / Zone Calc: Section 403.3.1.1.1.1</t>
  </si>
  <si>
    <t>USE:</t>
  </si>
  <si>
    <t>HOTELS, MOTELS, RESORTS AND DORMATORIES:</t>
  </si>
  <si>
    <t>WORK ROOMS:</t>
  </si>
  <si>
    <t>FOOD AND BEVERAGE SERVICE:</t>
  </si>
  <si>
    <t>DRY CLEANERS, LAUNDRIES:</t>
  </si>
  <si>
    <t>SPORTS AND AMUSEMENT:</t>
  </si>
  <si>
    <t>STORAGE:</t>
  </si>
  <si>
    <t>THEATERS:</t>
  </si>
  <si>
    <t>SPECIALTY SHOPS:</t>
  </si>
  <si>
    <t>TRANSPORTATION:</t>
  </si>
  <si>
    <t>CORRECTIONAL FACILITIES:</t>
  </si>
  <si>
    <t xml:space="preserve">                        -------&gt;&gt;&gt;&gt;                    DON'T COPY AND PASTE THIS PORTION ON PLANS</t>
  </si>
  <si>
    <t>TELEPHONE / DATA ENRTY</t>
  </si>
  <si>
    <t>MUSEUMS / GALLERIES</t>
  </si>
  <si>
    <t>MUSIC / THEATER / DANCE</t>
  </si>
  <si>
    <t>WOOD / METAL SHOP</t>
  </si>
  <si>
    <t>BANK VAULTS / SAFE DEPOSIT</t>
  </si>
  <si>
    <t>BEDROOM / LIVING ROOM</t>
  </si>
  <si>
    <t>CONFERENCE / MEETING</t>
  </si>
  <si>
    <t>LOBBIES / PREFUNCTION</t>
  </si>
  <si>
    <t>HEALTH CLUB / AEROBICS ROOM</t>
  </si>
  <si>
    <t>HEALTH CLUB / WEIGHT ROOM</t>
  </si>
  <si>
    <t>DISCO / DANCE FLOORS</t>
  </si>
  <si>
    <t>REFRIGERATED WAREHOUSES / FREEZERS</t>
  </si>
  <si>
    <t>BOOKING / WAITING</t>
  </si>
  <si>
    <t>N/A:</t>
  </si>
  <si>
    <t>Use</t>
  </si>
  <si>
    <t>Educational Facilities:</t>
  </si>
  <si>
    <t>Food and Beverage Service:</t>
  </si>
  <si>
    <t>General:</t>
  </si>
  <si>
    <t>Hotels, Motels, Resorts, Dormitories:</t>
  </si>
  <si>
    <t>Office Buildings:</t>
  </si>
  <si>
    <t>Miscellaneous Spaces:</t>
  </si>
  <si>
    <t>Public Assembly Spaces:</t>
  </si>
  <si>
    <t>Residential:</t>
  </si>
  <si>
    <t>Retail:</t>
  </si>
  <si>
    <t>Sports and Entertainment:</t>
  </si>
  <si>
    <t>FRESH AIR CALCULATION (Table 120.1-A &amp; Section 120.1(c)(3))</t>
  </si>
  <si>
    <t xml:space="preserve">           ----&gt;&gt;&gt;&gt;               DON'T COPY AND PASTE THIS PORTION ON PLANS</t>
  </si>
  <si>
    <t xml:space="preserve">              -------&gt;&gt;&gt;&gt;               DON'T COPY AND PASTE THIS PORTION ON PLANS</t>
  </si>
  <si>
    <t>2024 IMC</t>
  </si>
  <si>
    <t>2009 - 2021 IMC</t>
  </si>
  <si>
    <t>Animal exam room (Vet Office)</t>
  </si>
  <si>
    <t>Animal imaging (MR/CT/PET)</t>
  </si>
  <si>
    <t>Animal operating rooms</t>
  </si>
  <si>
    <t>Aniaml postoperative revovery room</t>
  </si>
  <si>
    <t>Animal preparation rooms</t>
  </si>
  <si>
    <t>Animal procdure rooms</t>
  </si>
  <si>
    <t>Animal surgery scrub</t>
  </si>
  <si>
    <t>Large-animal holding room</t>
  </si>
  <si>
    <t>Necropsy</t>
  </si>
  <si>
    <t>Small-animal cage room (static cages)</t>
  </si>
  <si>
    <t>Small-animal cage room (ventilated cages)</t>
  </si>
  <si>
    <t>ANIMAL FACILITIES:</t>
  </si>
  <si>
    <t>Booking/waiting</t>
  </si>
  <si>
    <t>Cells without plumbing</t>
  </si>
  <si>
    <t>Cells with plumbing</t>
  </si>
  <si>
    <t>Day room</t>
  </si>
  <si>
    <t>Guard stations</t>
  </si>
  <si>
    <t>Dining halls</t>
  </si>
  <si>
    <t>Coin-operated dry cleaner</t>
  </si>
  <si>
    <t>Commercial dry cleaner</t>
  </si>
  <si>
    <t>Commercial laundry</t>
  </si>
  <si>
    <t>Storage, pick up</t>
  </si>
  <si>
    <t>Auditoriums</t>
  </si>
  <si>
    <t>Classrooms (ages 9 plus)</t>
  </si>
  <si>
    <t>Day care (through age 4)</t>
  </si>
  <si>
    <t>Lecture classroom</t>
  </si>
  <si>
    <t>Medfia center</t>
  </si>
  <si>
    <t>Science labortories</t>
  </si>
  <si>
    <t>Smokeing loundes</t>
  </si>
  <si>
    <t>Sports locker rooms</t>
  </si>
  <si>
    <t>Wood/metal shops</t>
  </si>
  <si>
    <t>Cafereria, fast food</t>
  </si>
  <si>
    <t>Coffee stations</t>
  </si>
  <si>
    <t>Dining rooms</t>
  </si>
  <si>
    <t>Hotels, motes, resorts, and dormitories</t>
  </si>
  <si>
    <t>Dormitory sleeping areas</t>
  </si>
  <si>
    <t>Laundry rooms within dwelling</t>
  </si>
  <si>
    <t>Lobbies/prefunction</t>
  </si>
  <si>
    <t>Offices</t>
  </si>
  <si>
    <t>Conference rooms</t>
  </si>
  <si>
    <t>Main enrty lobbies</t>
  </si>
  <si>
    <t>Occupiable storage rooms for dry material</t>
  </si>
  <si>
    <t>Office spaces</t>
  </si>
  <si>
    <t>Outpatient healthcare facilities</t>
  </si>
  <si>
    <t>Birthing room</t>
  </si>
  <si>
    <t>Class 1 imaging room</t>
  </si>
  <si>
    <t>Dental operatory</t>
  </si>
  <si>
    <t>General exam room</t>
  </si>
  <si>
    <t>Other dental treatment areas</t>
  </si>
  <si>
    <t>Physical therapy exercise areas</t>
  </si>
  <si>
    <t>Physical therapy individual room</t>
  </si>
  <si>
    <t>Physical therapeutic pool area</t>
  </si>
  <si>
    <t>Prosthestics and orthotics room</t>
  </si>
  <si>
    <t>Psychiatric consultation room</t>
  </si>
  <si>
    <t>Psychiatric exam room</t>
  </si>
  <si>
    <t>Psychiatric group room</t>
  </si>
  <si>
    <t>Psychiatric seclusion room</t>
  </si>
  <si>
    <t>Speech therapy room</t>
  </si>
  <si>
    <t>Urgent care exam room</t>
  </si>
  <si>
    <t>Urgent care observation room</t>
  </si>
  <si>
    <t>Urgent care treatment room</t>
  </si>
  <si>
    <t>Urgent care triage room</t>
  </si>
  <si>
    <t>Public spaces</t>
  </si>
  <si>
    <t>Libraries</t>
  </si>
  <si>
    <t>Smoking lounges</t>
  </si>
  <si>
    <t>Retail stores, sales floors and showroom floors</t>
  </si>
  <si>
    <t>Sales</t>
  </si>
  <si>
    <t>Shipping and receiving</t>
  </si>
  <si>
    <t>Storage rooms</t>
  </si>
  <si>
    <t>Specialty shops</t>
  </si>
  <si>
    <t>Banks or lobbies</t>
  </si>
  <si>
    <t>Barber</t>
  </si>
  <si>
    <t>Beauty salons</t>
  </si>
  <si>
    <t>Nail salons</t>
  </si>
  <si>
    <t>Supermarkets</t>
  </si>
  <si>
    <t>Sports and amusement</t>
  </si>
  <si>
    <t>Bowling alleys (seating areas)</t>
  </si>
  <si>
    <t>Gym, stadium, arena (play area)</t>
  </si>
  <si>
    <t>Health club/weight room</t>
  </si>
  <si>
    <t>Ice arenas w/o combustions engines</t>
  </si>
  <si>
    <t>Spectator areas</t>
  </si>
  <si>
    <t>Swimming pools (pool and deck area)</t>
  </si>
  <si>
    <t>Storage</t>
  </si>
  <si>
    <t>Refrigerated warehouses/freezers</t>
  </si>
  <si>
    <t>Theaters</t>
  </si>
  <si>
    <t>Ticket booths</t>
  </si>
  <si>
    <t>Transportation</t>
  </si>
  <si>
    <t>Platforms</t>
  </si>
  <si>
    <t>Workrooms</t>
  </si>
  <si>
    <t>Computer (w/o printing)</t>
  </si>
  <si>
    <t>Copy, printing rooms</t>
  </si>
  <si>
    <t>Manufacturing where hazardous materials are not used</t>
  </si>
  <si>
    <t>Manufacturing where hazardous materials are used</t>
  </si>
  <si>
    <t>Meat processing</t>
  </si>
  <si>
    <t>Animal facilities:</t>
  </si>
  <si>
    <t>Correction facilities:</t>
  </si>
  <si>
    <t>Dry cleaners, laundries:</t>
  </si>
  <si>
    <t>Food and beverage service:</t>
  </si>
  <si>
    <t>Hotels, motels, resorts and domitories:</t>
  </si>
  <si>
    <t>Offices:</t>
  </si>
  <si>
    <t>Outpatien healthcar facilities:</t>
  </si>
  <si>
    <t>Public spaces:</t>
  </si>
  <si>
    <t>Retial stores, sales floors, and show room floors:</t>
  </si>
  <si>
    <t>Specialty shops:</t>
  </si>
  <si>
    <t>Sports and amusement:</t>
  </si>
  <si>
    <t>Theaters:</t>
  </si>
  <si>
    <t>Transportation:</t>
  </si>
  <si>
    <t>Animal Facilities</t>
  </si>
  <si>
    <t>Animal Imaging (MR/CT/PET):</t>
  </si>
  <si>
    <t>Animal Operating Room:</t>
  </si>
  <si>
    <t>Animal PostOp Recovery Room:</t>
  </si>
  <si>
    <t>Animal Preperation Room:</t>
  </si>
  <si>
    <t>Animal Procedure Room:</t>
  </si>
  <si>
    <t>Animal Surgery Scrub:</t>
  </si>
  <si>
    <t>Large-Animal Holding Room:</t>
  </si>
  <si>
    <t>Necropsy:</t>
  </si>
  <si>
    <t>Bathrooms/Toilet - Private (Cont. Running Fan):</t>
  </si>
  <si>
    <t>Bathrooms/Toilet - Private (Intermediate Fan):</t>
  </si>
  <si>
    <t>Kitchens (Cont. Running Fan):</t>
  </si>
  <si>
    <t>Kitchens (Intermediate Fan):</t>
  </si>
  <si>
    <t>Toilet Rooms and Bathrooms (Cont. Running Fan):</t>
  </si>
  <si>
    <t>Toilet Rooms and Bathrooms (Intermediate Fan):</t>
  </si>
  <si>
    <t>Toilet Rooms - Public (Intermediate Fan):</t>
  </si>
  <si>
    <t>Toilet Rooms - Public (Cont. Running Fan):</t>
  </si>
  <si>
    <t>Shower room (per shower head) (Cont. Running Fan):</t>
  </si>
  <si>
    <t>Shower room (per shower head) (Intermediate Fan):</t>
  </si>
  <si>
    <t>Room with adult changing station (Cont. Running Fan):</t>
  </si>
  <si>
    <t>Room with adult changing station (Intermediate Fan):</t>
  </si>
  <si>
    <t>Animal Imaging (MRI/CT/PET):</t>
  </si>
  <si>
    <t>Animal Operating Rooms:</t>
  </si>
  <si>
    <t>Animal Preperation Rooms:</t>
  </si>
  <si>
    <t>Large Animal Holding Room:</t>
  </si>
  <si>
    <t>Small-Animal Cage Room (Static Cages):</t>
  </si>
  <si>
    <t>Small-Animal Cage Room (Ventilated Cages):</t>
  </si>
  <si>
    <t>Snall-Animal Cage Room (Ventilated Cages):</t>
  </si>
  <si>
    <t>Bathroom - Private (Cont. Running Fan):</t>
  </si>
  <si>
    <t>Bathroom - Private (Intermediate Fan):</t>
  </si>
  <si>
    <t>Shower rooms (Per Head) (Cont. Running Fan):</t>
  </si>
  <si>
    <t>Shower rooms (Per Head) (Intermediate Fan):</t>
  </si>
  <si>
    <t>Residential Kitchens (Cont. Running Fan):</t>
  </si>
  <si>
    <t>Residential Kitchens (Intermediate Fan):</t>
  </si>
  <si>
    <t>Toilets - Public (Intermediate Fan):</t>
  </si>
  <si>
    <t>Toilets - Public (Cont. Running Fan):</t>
  </si>
  <si>
    <t>Shower room (per shower head) (Cont. running fan):</t>
  </si>
  <si>
    <t>Toilet Rooms - Public (Cont. running fan):</t>
  </si>
  <si>
    <t>Toilet Rooms - Public (Intermediate fan):</t>
  </si>
  <si>
    <t>Shower room (per shower head) (Intermediate fan):</t>
  </si>
  <si>
    <t>Kitchens (Cont. running fan):</t>
  </si>
  <si>
    <t>Kitchens (Intermediate fan):</t>
  </si>
  <si>
    <t>Toilet Rooms and Bathrooms (Cont. running fan):</t>
  </si>
  <si>
    <t>Toilet Rooms and Bathrooms (Intermediate fan):</t>
  </si>
  <si>
    <t>Bathroom - Private (Cont. running fan):</t>
  </si>
  <si>
    <t>Bathroom - Private (Intermediate fan):</t>
  </si>
  <si>
    <t>Shower rooms - per head (Cont. running fan):</t>
  </si>
  <si>
    <t>Residential Kitchens (Cont. running fan):</t>
  </si>
  <si>
    <t>Toilets - Public (Cont. running fan):</t>
  </si>
  <si>
    <t>Shower rooms - per head (Intermediate fan):</t>
  </si>
  <si>
    <t>Residential Kitchens (Intermediate fan):</t>
  </si>
  <si>
    <t>Gambling Casinos</t>
  </si>
  <si>
    <t>THRU-WALL ERV</t>
  </si>
  <si>
    <t>Yes</t>
  </si>
  <si>
    <t>Code:</t>
  </si>
  <si>
    <t>IMC</t>
  </si>
  <si>
    <t>Is DOAS provided for Washington?</t>
  </si>
  <si>
    <t>Doors</t>
  </si>
  <si>
    <t>Width (Inches):</t>
  </si>
  <si>
    <t>Height (Inches):</t>
  </si>
  <si>
    <t>Operable Sq. Ft.:</t>
  </si>
  <si>
    <t>QTY:</t>
  </si>
  <si>
    <t>Building Sq. Ft.:</t>
  </si>
  <si>
    <t xml:space="preserve">SQ. FT. X 4% = </t>
  </si>
  <si>
    <t>SQ. FT. REQUIRED</t>
  </si>
  <si>
    <t>NATURAL VENTILATION CALCULATION:</t>
  </si>
  <si>
    <t>Type of Window:</t>
  </si>
  <si>
    <t>Type of Door:</t>
  </si>
  <si>
    <t>V.S.</t>
  </si>
  <si>
    <t>Swinging</t>
  </si>
  <si>
    <t>Total:</t>
  </si>
  <si>
    <t>Total SQ. FT. of Glazing:</t>
  </si>
  <si>
    <t>Total SQ. FT. of Doors:</t>
  </si>
  <si>
    <t xml:space="preserve">                     -------&gt;&gt;&gt;&gt;                     DON'T COPY AND PASTE THIS PORTION ON PLANS</t>
  </si>
  <si>
    <t xml:space="preserve">                     -------&gt;&gt;&gt;&gt;                   DON'T COPY AND PASTE THIS PORTION ON PLANS</t>
  </si>
  <si>
    <t>Total of Windows &amp; Doors:</t>
  </si>
  <si>
    <t>Windows</t>
  </si>
  <si>
    <t>---&gt;&gt;</t>
  </si>
  <si>
    <t>COPY ABOVE AND "PASTESPEC" INTO AUTOCAD</t>
  </si>
  <si>
    <t>2022 CEC SINGLE ZONE TABLE</t>
  </si>
  <si>
    <t>2022 CEC MULTI-ZONE TABLE</t>
  </si>
  <si>
    <t>Title 24: CO2 Sensor required</t>
  </si>
  <si>
    <t>2025 CEC SINGLE (Ra x Az)</t>
  </si>
  <si>
    <t>2025 CEC MULTI-ZONE (Ra x Az)</t>
  </si>
  <si>
    <t>2025 CEC SINGLE ZONE (Rp x Pz)</t>
  </si>
  <si>
    <t>2025 CEC MULTI ZONE (Rp x Pz)</t>
  </si>
  <si>
    <t xml:space="preserve">Rp x Pz = </t>
  </si>
  <si>
    <t>Ra x Az =</t>
  </si>
  <si>
    <t>Using Occupant Load Density</t>
  </si>
  <si>
    <t>Using Actual Occupant Load</t>
  </si>
  <si>
    <t>&lt;--Enter Occupant Load</t>
  </si>
  <si>
    <t>&lt;-- Greater of Occ. Load Density &amp; Actual Occupant Load</t>
  </si>
  <si>
    <t>Use 1:</t>
  </si>
  <si>
    <t>Use 2:</t>
  </si>
  <si>
    <t>Use 5:</t>
  </si>
  <si>
    <t>Use 3:</t>
  </si>
  <si>
    <t>Use 4:</t>
  </si>
  <si>
    <t>Sum of Ra X Az</t>
  </si>
  <si>
    <t>Sum of Occ Load Density</t>
  </si>
  <si>
    <t>Sum of Actual Occ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</si>
</sst>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3" fontId="8" fillId="0" borderId="6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3" fontId="8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3" fontId="8" fillId="0" borderId="9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3" fontId="8" fillId="0" borderId="8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3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11" fillId="3" borderId="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quotePrefix="1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64" fontId="10" fillId="0" borderId="25" xfId="0" applyNumberFormat="1" applyFont="1" applyBorder="1" applyAlignment="1">
      <alignment horizontal="center" vertical="center"/>
    </xf>
    <xf numFmtId="0" fontId="0" fillId="0" borderId="44" xfId="0" applyBorder="1" applyAlignment="1">
      <alignment horizontal="right" vertical="center" wrapText="1"/>
    </xf>
    <xf numFmtId="0" fontId="0" fillId="0" borderId="45" xfId="0" applyBorder="1" applyAlignment="1">
      <alignment horizontal="center" vertical="center" wrapText="1"/>
    </xf>
    <xf numFmtId="0" fontId="6" fillId="2" borderId="45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0" fillId="0" borderId="6" xfId="0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7" xfId="0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2" xfId="0" applyBorder="1" applyAlignment="1">
      <alignment horizontal="right" vertical="center" wrapText="1"/>
    </xf>
    <xf numFmtId="0" fontId="0" fillId="0" borderId="23" xfId="0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7" xfId="0" applyBorder="1" applyAlignment="1">
      <alignment horizontal="right" vertical="center" wrapText="1"/>
    </xf>
    <xf numFmtId="0" fontId="0" fillId="0" borderId="38" xfId="0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5" xfId="0" applyBorder="1" applyAlignment="1">
      <alignment horizontal="right" vertical="center" wrapText="1"/>
    </xf>
    <xf numFmtId="0" fontId="0" fillId="0" borderId="9" xfId="0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4" xfId="0" applyBorder="1" applyAlignment="1">
      <alignment horizontal="right" vertical="center" wrapText="1"/>
    </xf>
    <xf numFmtId="0" fontId="0" fillId="0" borderId="17" xfId="0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41" xfId="0" applyBorder="1" applyAlignment="1">
      <alignment horizontal="right" vertical="center" wrapText="1"/>
    </xf>
    <xf numFmtId="0" fontId="0" fillId="0" borderId="42" xfId="0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/>
    </xf>
    <xf numFmtId="0" fontId="6" fillId="4" borderId="42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3" fontId="2" fillId="0" borderId="14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0" borderId="0" xfId="0" applyFont="1"/>
    <xf numFmtId="0" fontId="0" fillId="0" borderId="0" xfId="0" applyAlignment="1">
      <alignment horizontal="left" vertical="center"/>
    </xf>
    <xf numFmtId="0" fontId="10" fillId="0" borderId="17" xfId="0" applyFont="1" applyBorder="1" applyAlignment="1">
      <alignment horizontal="right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3" borderId="2" xfId="0" applyFont="1" applyFill="1" applyBorder="1" applyAlignment="1">
      <alignment vertical="center" wrapText="1"/>
    </xf>
    <xf numFmtId="0" fontId="10" fillId="0" borderId="13" xfId="0" quotePrefix="1" applyFont="1" applyBorder="1" applyAlignment="1">
      <alignment horizontal="center" vertical="center"/>
    </xf>
    <xf numFmtId="0" fontId="10" fillId="3" borderId="3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64" fontId="10" fillId="0" borderId="13" xfId="0" applyNumberFormat="1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10" fillId="0" borderId="14" xfId="0" applyNumberFormat="1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64" fontId="10" fillId="0" borderId="15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6" borderId="50" xfId="0" applyFont="1" applyFill="1" applyBorder="1" applyAlignment="1">
      <alignment horizontal="left" vertical="center" wrapText="1"/>
    </xf>
    <xf numFmtId="0" fontId="10" fillId="6" borderId="47" xfId="0" applyFont="1" applyFill="1" applyBorder="1" applyAlignment="1">
      <alignment horizontal="left" vertical="center" wrapText="1"/>
    </xf>
    <xf numFmtId="0" fontId="10" fillId="6" borderId="53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horizontal="right" vertical="center"/>
    </xf>
    <xf numFmtId="0" fontId="10" fillId="0" borderId="0" xfId="0" applyFont="1" applyAlignment="1">
      <alignment vertical="center" textRotation="90" wrapText="1"/>
    </xf>
    <xf numFmtId="0" fontId="10" fillId="0" borderId="1" xfId="0" applyFont="1" applyBorder="1"/>
    <xf numFmtId="0" fontId="16" fillId="0" borderId="0" xfId="0" applyFont="1"/>
    <xf numFmtId="0" fontId="16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6" fillId="0" borderId="7" xfId="0" applyFont="1" applyBorder="1"/>
    <xf numFmtId="0" fontId="16" fillId="0" borderId="7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7" fillId="0" borderId="7" xfId="0" applyFont="1" applyBorder="1"/>
    <xf numFmtId="0" fontId="16" fillId="0" borderId="7" xfId="0" applyFont="1" applyBorder="1" applyAlignment="1">
      <alignment horizontal="right" vertical="center"/>
    </xf>
    <xf numFmtId="0" fontId="16" fillId="0" borderId="47" xfId="0" applyFont="1" applyBorder="1" applyAlignment="1">
      <alignment vertical="center"/>
    </xf>
    <xf numFmtId="0" fontId="16" fillId="0" borderId="48" xfId="0" applyFont="1" applyBorder="1" applyAlignment="1">
      <alignment horizontal="center" vertical="center"/>
    </xf>
    <xf numFmtId="0" fontId="16" fillId="2" borderId="48" xfId="0" applyFont="1" applyFill="1" applyBorder="1" applyAlignment="1">
      <alignment horizontal="center" vertical="center"/>
    </xf>
    <xf numFmtId="0" fontId="16" fillId="0" borderId="48" xfId="0" applyFont="1" applyBorder="1"/>
    <xf numFmtId="0" fontId="17" fillId="0" borderId="47" xfId="0" applyFont="1" applyBorder="1" applyAlignment="1">
      <alignment vertical="center"/>
    </xf>
    <xf numFmtId="0" fontId="18" fillId="0" borderId="48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7" xfId="0" applyFont="1" applyBorder="1"/>
    <xf numFmtId="0" fontId="16" fillId="0" borderId="7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6" fillId="2" borderId="7" xfId="0" applyFont="1" applyFill="1" applyBorder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10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8" xfId="0" applyFont="1" applyFill="1" applyBorder="1" applyAlignment="1">
      <alignment horizontal="center" vertical="center" wrapText="1"/>
    </xf>
    <xf numFmtId="0" fontId="10" fillId="6" borderId="56" xfId="0" applyFont="1" applyFill="1" applyBorder="1" applyAlignment="1">
      <alignment horizontal="center" vertical="center" wrapText="1"/>
    </xf>
    <xf numFmtId="0" fontId="10" fillId="6" borderId="55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0" fontId="16" fillId="0" borderId="45" xfId="0" applyFont="1" applyBorder="1" applyAlignment="1">
      <alignment vertical="center"/>
    </xf>
    <xf numFmtId="0" fontId="17" fillId="0" borderId="0" xfId="0" applyFont="1"/>
    <xf numFmtId="0" fontId="2" fillId="3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8" xfId="0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horizontal="right" wrapText="1"/>
    </xf>
    <xf numFmtId="0" fontId="6" fillId="4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0" xfId="0" applyFont="1"/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center" vertical="center"/>
    </xf>
    <xf numFmtId="3" fontId="8" fillId="0" borderId="13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6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0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5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61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67" xfId="0" applyBorder="1" applyAlignment="1">
      <alignment vertical="center"/>
    </xf>
    <xf numFmtId="0" fontId="0" fillId="0" borderId="66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7" xfId="0" applyBorder="1"/>
    <xf numFmtId="1" fontId="10" fillId="0" borderId="39" xfId="0" applyNumberFormat="1" applyFont="1" applyBorder="1" applyAlignment="1">
      <alignment horizontal="center" vertical="center"/>
    </xf>
    <xf numFmtId="1" fontId="10" fillId="0" borderId="15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" fontId="10" fillId="0" borderId="26" xfId="0" applyNumberFormat="1" applyFont="1" applyBorder="1" applyAlignment="1">
      <alignment horizontal="center" vertical="center"/>
    </xf>
    <xf numFmtId="0" fontId="9" fillId="0" borderId="66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6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7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7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5" borderId="27" xfId="0" quotePrefix="1" applyFill="1" applyBorder="1" applyAlignment="1">
      <alignment horizontal="center" vertical="center" textRotation="90"/>
    </xf>
    <xf numFmtId="0" fontId="0" fillId="5" borderId="65" xfId="0" applyFill="1" applyBorder="1" applyAlignment="1">
      <alignment horizontal="center" vertical="center" textRotation="90"/>
    </xf>
    <xf numFmtId="0" fontId="0" fillId="5" borderId="30" xfId="0" applyFill="1" applyBorder="1" applyAlignment="1">
      <alignment horizontal="center" vertical="center" textRotation="90"/>
    </xf>
    <xf numFmtId="0" fontId="0" fillId="5" borderId="66" xfId="0" applyFill="1" applyBorder="1" applyAlignment="1">
      <alignment horizontal="center" vertical="center" textRotation="90"/>
    </xf>
    <xf numFmtId="0" fontId="0" fillId="5" borderId="0" xfId="0" applyFill="1" applyAlignment="1">
      <alignment horizontal="center" vertical="center" textRotation="90"/>
    </xf>
    <xf numFmtId="0" fontId="0" fillId="5" borderId="67" xfId="0" applyFill="1" applyBorder="1" applyAlignment="1">
      <alignment horizontal="center" vertical="center" textRotation="90"/>
    </xf>
    <xf numFmtId="0" fontId="0" fillId="5" borderId="66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40" xfId="0" applyFont="1" applyBorder="1" applyAlignment="1">
      <alignment horizontal="right" vertical="center"/>
    </xf>
    <xf numFmtId="0" fontId="10" fillId="0" borderId="36" xfId="0" applyFont="1" applyBorder="1" applyAlignment="1">
      <alignment horizontal="right" vertical="center"/>
    </xf>
    <xf numFmtId="0" fontId="10" fillId="5" borderId="18" xfId="0" quotePrefix="1" applyFont="1" applyFill="1" applyBorder="1" applyAlignment="1">
      <alignment horizontal="center" vertical="center" textRotation="90" wrapText="1"/>
    </xf>
    <xf numFmtId="0" fontId="10" fillId="5" borderId="54" xfId="0" quotePrefix="1" applyFont="1" applyFill="1" applyBorder="1" applyAlignment="1">
      <alignment horizontal="center" vertical="center" textRotation="90" wrapText="1"/>
    </xf>
    <xf numFmtId="0" fontId="10" fillId="5" borderId="55" xfId="0" quotePrefix="1" applyFont="1" applyFill="1" applyBorder="1" applyAlignment="1">
      <alignment horizontal="center" vertical="center" textRotation="90" wrapText="1"/>
    </xf>
    <xf numFmtId="0" fontId="10" fillId="0" borderId="57" xfId="0" applyFont="1" applyBorder="1" applyAlignment="1">
      <alignment horizontal="right" vertical="center"/>
    </xf>
    <xf numFmtId="0" fontId="10" fillId="0" borderId="58" xfId="0" applyFont="1" applyBorder="1" applyAlignment="1">
      <alignment horizontal="right" vertical="center"/>
    </xf>
    <xf numFmtId="0" fontId="10" fillId="0" borderId="32" xfId="0" applyFont="1" applyBorder="1" applyAlignment="1">
      <alignment horizontal="right" vertical="center"/>
    </xf>
    <xf numFmtId="0" fontId="10" fillId="0" borderId="33" xfId="0" applyFont="1" applyBorder="1" applyAlignment="1">
      <alignment horizontal="right" vertical="center"/>
    </xf>
    <xf numFmtId="0" fontId="10" fillId="0" borderId="34" xfId="0" applyFont="1" applyBorder="1" applyAlignment="1">
      <alignment horizontal="right" vertical="center"/>
    </xf>
    <xf numFmtId="0" fontId="10" fillId="0" borderId="35" xfId="0" applyFont="1" applyBorder="1" applyAlignment="1">
      <alignment horizontal="right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5" borderId="54" xfId="0" applyFont="1" applyFill="1" applyBorder="1" applyAlignment="1">
      <alignment horizontal="center" vertical="center" textRotation="90" wrapText="1"/>
    </xf>
    <xf numFmtId="0" fontId="10" fillId="5" borderId="55" xfId="0" applyFont="1" applyFill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51" xfId="0" applyFont="1" applyBorder="1" applyAlignment="1">
      <alignment horizontal="right" vertical="center"/>
    </xf>
    <xf numFmtId="0" fontId="10" fillId="0" borderId="27" xfId="0" applyFont="1" applyBorder="1" applyAlignment="1">
      <alignment horizontal="right" vertical="center"/>
    </xf>
    <xf numFmtId="0" fontId="10" fillId="0" borderId="28" xfId="0" applyFont="1" applyBorder="1" applyAlignment="1">
      <alignment horizontal="right" vertical="center"/>
    </xf>
    <xf numFmtId="0" fontId="10" fillId="0" borderId="31" xfId="0" applyFont="1" applyBorder="1" applyAlignment="1">
      <alignment horizontal="right" vertical="center"/>
    </xf>
    <xf numFmtId="0" fontId="10" fillId="0" borderId="20" xfId="0" applyFont="1" applyBorder="1" applyAlignment="1">
      <alignment horizontal="right" vertical="center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right" vertical="center"/>
    </xf>
    <xf numFmtId="0" fontId="18" fillId="0" borderId="59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10" fillId="0" borderId="59" xfId="0" applyFont="1" applyBorder="1" applyAlignment="1">
      <alignment horizontal="right" vertical="center"/>
    </xf>
    <xf numFmtId="0" fontId="10" fillId="0" borderId="60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68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0" fontId="10" fillId="0" borderId="12" xfId="0" applyFont="1" applyBorder="1" applyAlignment="1">
      <alignment horizontal="right" vertical="center"/>
    </xf>
    <xf numFmtId="0" fontId="1" fillId="0" borderId="44" xfId="0" applyFont="1" applyBorder="1" applyAlignment="1">
      <alignment horizontal="left" vertical="center" wrapText="1"/>
    </xf>
    <xf numFmtId="0" fontId="1" fillId="0" borderId="45" xfId="0" applyFont="1" applyBorder="1" applyAlignment="1">
      <alignment horizontal="left" vertical="center" wrapText="1"/>
    </xf>
    <xf numFmtId="0" fontId="1" fillId="0" borderId="46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16">
    <dxf>
      <fill>
        <patternFill>
          <bgColor theme="5" tint="0.79998168889431442"/>
        </patternFill>
      </fill>
    </dxf>
    <dxf>
      <fill>
        <patternFill>
          <bgColor rgb="FFFF9999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9999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9999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9999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4C3C-25E2-4125-9511-3FD73087E8B8}">
  <dimension ref="A1:Q19"/>
  <sheetViews>
    <sheetView workbookViewId="0">
      <selection activeCell="G14" sqref="G14"/>
    </sheetView>
  </sheetViews>
  <sheetFormatPr defaultRowHeight="15" x14ac:dyDescent="0.25"/>
  <cols>
    <col min="5" max="5" width="19.140625" customWidth="1"/>
    <col min="11" max="11" width="22.140625" customWidth="1"/>
    <col min="17" max="17" width="22.5703125" customWidth="1"/>
  </cols>
  <sheetData>
    <row r="1" spans="1:17" ht="15.75" thickBot="1" x14ac:dyDescent="0.3"/>
    <row r="2" spans="1:17" ht="15.75" thickBot="1" x14ac:dyDescent="0.3">
      <c r="A2" s="236" t="s">
        <v>40</v>
      </c>
      <c r="B2" s="237"/>
      <c r="C2" s="237"/>
      <c r="D2" s="237"/>
      <c r="E2" s="238"/>
      <c r="G2" s="239" t="s">
        <v>41</v>
      </c>
      <c r="H2" s="240"/>
      <c r="I2" s="240"/>
      <c r="J2" s="240"/>
      <c r="K2" s="241"/>
      <c r="M2" s="236" t="s">
        <v>54</v>
      </c>
      <c r="N2" s="237"/>
      <c r="O2" s="237"/>
      <c r="P2" s="237"/>
      <c r="Q2" s="238"/>
    </row>
    <row r="3" spans="1:17" ht="23.25" thickBot="1" x14ac:dyDescent="0.3">
      <c r="A3" s="2" t="s">
        <v>29</v>
      </c>
      <c r="B3" s="2" t="s">
        <v>30</v>
      </c>
      <c r="C3" s="2" t="s">
        <v>44</v>
      </c>
      <c r="D3" s="2" t="s">
        <v>45</v>
      </c>
      <c r="E3" s="2" t="s">
        <v>31</v>
      </c>
      <c r="G3" s="2" t="s">
        <v>29</v>
      </c>
      <c r="H3" s="2" t="s">
        <v>30</v>
      </c>
      <c r="I3" s="2" t="s">
        <v>44</v>
      </c>
      <c r="J3" s="2" t="s">
        <v>45</v>
      </c>
      <c r="K3" s="2" t="s">
        <v>31</v>
      </c>
      <c r="M3" s="2" t="s">
        <v>29</v>
      </c>
      <c r="N3" s="2" t="s">
        <v>30</v>
      </c>
      <c r="O3" s="2" t="s">
        <v>44</v>
      </c>
      <c r="P3" s="2" t="s">
        <v>45</v>
      </c>
      <c r="Q3" s="2" t="s">
        <v>31</v>
      </c>
    </row>
    <row r="4" spans="1:17" x14ac:dyDescent="0.25">
      <c r="A4" s="3" t="s">
        <v>27</v>
      </c>
      <c r="B4" s="4">
        <v>0</v>
      </c>
      <c r="C4" s="5">
        <v>0</v>
      </c>
      <c r="D4" s="5">
        <v>0</v>
      </c>
      <c r="E4" s="6">
        <v>0</v>
      </c>
      <c r="G4" s="3" t="s">
        <v>27</v>
      </c>
      <c r="H4" s="15">
        <v>0</v>
      </c>
      <c r="I4" s="15">
        <v>0</v>
      </c>
      <c r="J4" s="15">
        <v>0</v>
      </c>
      <c r="K4" s="16">
        <v>0</v>
      </c>
      <c r="M4" s="3" t="s">
        <v>27</v>
      </c>
      <c r="N4" s="4">
        <v>0</v>
      </c>
      <c r="O4" s="5">
        <v>0</v>
      </c>
      <c r="P4" s="5">
        <v>0</v>
      </c>
      <c r="Q4" s="6">
        <v>0</v>
      </c>
    </row>
    <row r="5" spans="1:17" x14ac:dyDescent="0.25">
      <c r="A5" s="3" t="s">
        <v>32</v>
      </c>
      <c r="B5" s="4">
        <v>420</v>
      </c>
      <c r="C5" s="5">
        <f t="shared" ref="C5:C12" si="0">SUM(B5*0.25)</f>
        <v>105</v>
      </c>
      <c r="D5" s="5">
        <f t="shared" ref="D5:D12" si="1">SUM(B5*0.5)</f>
        <v>210</v>
      </c>
      <c r="E5" s="6">
        <f t="shared" ref="E5:E12" si="2">SUM(B5*1)</f>
        <v>420</v>
      </c>
      <c r="G5" s="7" t="s">
        <v>34</v>
      </c>
      <c r="H5" s="17">
        <v>780</v>
      </c>
      <c r="I5" s="18">
        <f t="shared" ref="I5:I9" si="3">SUM(H5*0.25)</f>
        <v>195</v>
      </c>
      <c r="J5" s="18">
        <f t="shared" ref="J5:J9" si="4">SUM(H5*0.5)</f>
        <v>390</v>
      </c>
      <c r="K5" s="19">
        <f t="shared" ref="K5:K9" si="5">SUM(H5*1)</f>
        <v>780</v>
      </c>
      <c r="M5" s="7" t="s">
        <v>33</v>
      </c>
      <c r="N5" s="8">
        <v>660</v>
      </c>
      <c r="O5" s="9">
        <f t="shared" ref="O5:O11" si="6">SUM(N5*0.15)</f>
        <v>99</v>
      </c>
      <c r="P5" s="9">
        <f t="shared" ref="P5:P11" si="7">SUM(N5*0.5)</f>
        <v>330</v>
      </c>
      <c r="Q5" s="10">
        <f t="shared" ref="Q5:Q11" si="8">SUM(N5*1)</f>
        <v>660</v>
      </c>
    </row>
    <row r="6" spans="1:17" x14ac:dyDescent="0.25">
      <c r="A6" s="7" t="s">
        <v>33</v>
      </c>
      <c r="B6" s="8">
        <v>600</v>
      </c>
      <c r="C6" s="9">
        <f t="shared" si="0"/>
        <v>150</v>
      </c>
      <c r="D6" s="9">
        <f t="shared" si="1"/>
        <v>300</v>
      </c>
      <c r="E6" s="10">
        <f t="shared" si="2"/>
        <v>600</v>
      </c>
      <c r="G6" s="7" t="s">
        <v>35</v>
      </c>
      <c r="H6" s="17">
        <v>900</v>
      </c>
      <c r="I6" s="18">
        <f t="shared" si="3"/>
        <v>225</v>
      </c>
      <c r="J6" s="18">
        <f t="shared" si="4"/>
        <v>450</v>
      </c>
      <c r="K6" s="19">
        <f t="shared" si="5"/>
        <v>900</v>
      </c>
      <c r="M6" s="7" t="s">
        <v>34</v>
      </c>
      <c r="N6" s="8">
        <v>850</v>
      </c>
      <c r="O6" s="9">
        <f t="shared" si="6"/>
        <v>127.5</v>
      </c>
      <c r="P6" s="9">
        <f t="shared" si="7"/>
        <v>425</v>
      </c>
      <c r="Q6" s="10">
        <f t="shared" si="8"/>
        <v>850</v>
      </c>
    </row>
    <row r="7" spans="1:17" x14ac:dyDescent="0.25">
      <c r="A7" s="7" t="s">
        <v>34</v>
      </c>
      <c r="B7" s="8">
        <v>800</v>
      </c>
      <c r="C7" s="9">
        <f t="shared" si="0"/>
        <v>200</v>
      </c>
      <c r="D7" s="9">
        <f t="shared" si="1"/>
        <v>400</v>
      </c>
      <c r="E7" s="10">
        <f t="shared" si="2"/>
        <v>800</v>
      </c>
      <c r="G7" s="7" t="s">
        <v>36</v>
      </c>
      <c r="H7" s="17">
        <v>1195</v>
      </c>
      <c r="I7" s="18">
        <f t="shared" si="3"/>
        <v>298.75</v>
      </c>
      <c r="J7" s="18">
        <f t="shared" si="4"/>
        <v>597.5</v>
      </c>
      <c r="K7" s="19">
        <f t="shared" si="5"/>
        <v>1195</v>
      </c>
      <c r="M7" s="7" t="s">
        <v>35</v>
      </c>
      <c r="N7" s="8">
        <v>1070</v>
      </c>
      <c r="O7" s="9">
        <f t="shared" si="6"/>
        <v>160.5</v>
      </c>
      <c r="P7" s="9">
        <f t="shared" si="7"/>
        <v>535</v>
      </c>
      <c r="Q7" s="10">
        <f t="shared" si="8"/>
        <v>1070</v>
      </c>
    </row>
    <row r="8" spans="1:17" x14ac:dyDescent="0.25">
      <c r="A8" s="7" t="s">
        <v>35</v>
      </c>
      <c r="B8" s="8">
        <v>950</v>
      </c>
      <c r="C8" s="9">
        <f t="shared" si="0"/>
        <v>237.5</v>
      </c>
      <c r="D8" s="9">
        <f t="shared" si="1"/>
        <v>475</v>
      </c>
      <c r="E8" s="10">
        <f t="shared" si="2"/>
        <v>950</v>
      </c>
      <c r="G8" s="7" t="s">
        <v>37</v>
      </c>
      <c r="H8" s="17">
        <v>1420</v>
      </c>
      <c r="I8" s="18">
        <f t="shared" si="3"/>
        <v>355</v>
      </c>
      <c r="J8" s="18">
        <f t="shared" si="4"/>
        <v>710</v>
      </c>
      <c r="K8" s="19">
        <f t="shared" si="5"/>
        <v>1420</v>
      </c>
      <c r="M8" s="7" t="s">
        <v>36</v>
      </c>
      <c r="N8" s="8">
        <v>1200</v>
      </c>
      <c r="O8" s="9">
        <f t="shared" si="6"/>
        <v>180</v>
      </c>
      <c r="P8" s="9">
        <f t="shared" si="7"/>
        <v>600</v>
      </c>
      <c r="Q8" s="10">
        <f t="shared" si="8"/>
        <v>1200</v>
      </c>
    </row>
    <row r="9" spans="1:17" x14ac:dyDescent="0.25">
      <c r="A9" s="7" t="s">
        <v>36</v>
      </c>
      <c r="B9" s="8">
        <v>1150</v>
      </c>
      <c r="C9" s="9">
        <f t="shared" si="0"/>
        <v>287.5</v>
      </c>
      <c r="D9" s="9">
        <f t="shared" si="1"/>
        <v>575</v>
      </c>
      <c r="E9" s="10">
        <f t="shared" si="2"/>
        <v>1150</v>
      </c>
      <c r="G9" s="7" t="s">
        <v>38</v>
      </c>
      <c r="H9" s="17">
        <v>1605</v>
      </c>
      <c r="I9" s="18">
        <f t="shared" si="3"/>
        <v>401.25</v>
      </c>
      <c r="J9" s="18">
        <f t="shared" si="4"/>
        <v>802.5</v>
      </c>
      <c r="K9" s="19">
        <f t="shared" si="5"/>
        <v>1605</v>
      </c>
      <c r="M9" s="7" t="s">
        <v>37</v>
      </c>
      <c r="N9" s="8">
        <v>1250</v>
      </c>
      <c r="O9" s="9">
        <f t="shared" si="6"/>
        <v>187.5</v>
      </c>
      <c r="P9" s="9">
        <f t="shared" si="7"/>
        <v>625</v>
      </c>
      <c r="Q9" s="10">
        <f t="shared" si="8"/>
        <v>1250</v>
      </c>
    </row>
    <row r="10" spans="1:17" ht="15.75" thickBot="1" x14ac:dyDescent="0.3">
      <c r="A10" s="7" t="s">
        <v>37</v>
      </c>
      <c r="B10" s="8">
        <v>1350</v>
      </c>
      <c r="C10" s="9">
        <f t="shared" si="0"/>
        <v>337.5</v>
      </c>
      <c r="D10" s="9">
        <f t="shared" si="1"/>
        <v>675</v>
      </c>
      <c r="E10" s="10">
        <f t="shared" si="2"/>
        <v>1350</v>
      </c>
      <c r="G10" s="20" t="s">
        <v>39</v>
      </c>
      <c r="H10" s="21">
        <v>1700</v>
      </c>
      <c r="I10" s="22">
        <f>SUM(H10*0.25)</f>
        <v>425</v>
      </c>
      <c r="J10" s="22">
        <f>SUM(H10*0.5)</f>
        <v>850</v>
      </c>
      <c r="K10" s="23">
        <f>SUM(H10*1)</f>
        <v>1700</v>
      </c>
      <c r="M10" s="7" t="s">
        <v>38</v>
      </c>
      <c r="N10" s="8">
        <v>1400</v>
      </c>
      <c r="O10" s="9">
        <f t="shared" si="6"/>
        <v>210</v>
      </c>
      <c r="P10" s="9">
        <f t="shared" si="7"/>
        <v>700</v>
      </c>
      <c r="Q10" s="10">
        <f t="shared" si="8"/>
        <v>1400</v>
      </c>
    </row>
    <row r="11" spans="1:17" ht="15.75" thickBot="1" x14ac:dyDescent="0.3">
      <c r="A11" s="7" t="s">
        <v>38</v>
      </c>
      <c r="B11" s="8">
        <v>1550</v>
      </c>
      <c r="C11" s="9">
        <f t="shared" si="0"/>
        <v>387.5</v>
      </c>
      <c r="D11" s="9">
        <f t="shared" si="1"/>
        <v>775</v>
      </c>
      <c r="E11" s="10">
        <f t="shared" si="2"/>
        <v>1550</v>
      </c>
      <c r="M11" s="11" t="s">
        <v>39</v>
      </c>
      <c r="N11" s="12">
        <v>1750</v>
      </c>
      <c r="O11" s="13">
        <f t="shared" si="6"/>
        <v>262.5</v>
      </c>
      <c r="P11" s="13">
        <f t="shared" si="7"/>
        <v>875</v>
      </c>
      <c r="Q11" s="14">
        <f t="shared" si="8"/>
        <v>1750</v>
      </c>
    </row>
    <row r="12" spans="1:17" ht="15.75" thickBot="1" x14ac:dyDescent="0.3">
      <c r="A12" s="11" t="s">
        <v>39</v>
      </c>
      <c r="B12" s="12">
        <v>1750</v>
      </c>
      <c r="C12" s="13">
        <f t="shared" si="0"/>
        <v>437.5</v>
      </c>
      <c r="D12" s="13">
        <f t="shared" si="1"/>
        <v>875</v>
      </c>
      <c r="E12" s="14">
        <f t="shared" si="2"/>
        <v>1750</v>
      </c>
    </row>
    <row r="14" spans="1:17" ht="15.75" thickBot="1" x14ac:dyDescent="0.3">
      <c r="G14" s="111"/>
    </row>
    <row r="15" spans="1:17" ht="15.75" thickBot="1" x14ac:dyDescent="0.3">
      <c r="A15" s="242" t="s">
        <v>484</v>
      </c>
      <c r="B15" s="243"/>
      <c r="C15" s="192"/>
      <c r="D15" s="192"/>
      <c r="E15" s="192"/>
    </row>
    <row r="16" spans="1:17" ht="23.25" thickBot="1" x14ac:dyDescent="0.3">
      <c r="A16" s="2" t="s">
        <v>29</v>
      </c>
      <c r="B16" s="2" t="s">
        <v>30</v>
      </c>
      <c r="C16" s="24"/>
      <c r="D16" s="24"/>
      <c r="E16" s="24"/>
    </row>
    <row r="17" spans="1:5" x14ac:dyDescent="0.25">
      <c r="A17" s="3" t="s">
        <v>27</v>
      </c>
      <c r="B17" s="196">
        <v>0</v>
      </c>
      <c r="C17" s="193"/>
      <c r="D17" s="193"/>
      <c r="E17" s="193"/>
    </row>
    <row r="18" spans="1:5" ht="15.75" thickBot="1" x14ac:dyDescent="0.3">
      <c r="A18" s="20" t="s">
        <v>484</v>
      </c>
      <c r="B18" s="197">
        <v>30</v>
      </c>
      <c r="C18" s="193"/>
      <c r="D18" s="193"/>
      <c r="E18" s="193"/>
    </row>
    <row r="19" spans="1:5" x14ac:dyDescent="0.25">
      <c r="A19" s="194"/>
      <c r="B19" s="195"/>
      <c r="C19" s="193"/>
      <c r="D19" s="193"/>
      <c r="E19" s="193"/>
    </row>
  </sheetData>
  <mergeCells count="4">
    <mergeCell ref="A2:E2"/>
    <mergeCell ref="G2:K2"/>
    <mergeCell ref="M2:Q2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CD74-ECCE-4D7B-88CE-EB38041328B6}">
  <dimension ref="A1:R26"/>
  <sheetViews>
    <sheetView showGridLines="0" workbookViewId="0">
      <selection activeCell="J1" sqref="J1"/>
    </sheetView>
  </sheetViews>
  <sheetFormatPr defaultRowHeight="15" x14ac:dyDescent="0.25"/>
  <cols>
    <col min="1" max="1" width="8.85546875" style="94"/>
    <col min="2" max="2" width="12.7109375" style="94" customWidth="1"/>
    <col min="3" max="3" width="8.85546875" style="94" customWidth="1"/>
    <col min="4" max="6" width="8.85546875" style="94"/>
    <col min="9" max="9" width="8.7109375" customWidth="1"/>
    <col min="10" max="10" width="15.7109375" customWidth="1"/>
    <col min="11" max="11" width="14.7109375" customWidth="1"/>
    <col min="12" max="12" width="15.7109375" customWidth="1"/>
    <col min="13" max="13" width="20.7109375" customWidth="1"/>
    <col min="14" max="14" width="16.7109375" customWidth="1"/>
  </cols>
  <sheetData>
    <row r="1" spans="1:18" ht="15.75" thickBot="1" x14ac:dyDescent="0.3">
      <c r="A1" s="261" t="s">
        <v>497</v>
      </c>
      <c r="B1" s="262"/>
      <c r="C1" s="262"/>
      <c r="D1" s="262"/>
      <c r="E1" s="263"/>
      <c r="I1" s="95" t="s">
        <v>486</v>
      </c>
      <c r="J1" s="226" t="s">
        <v>487</v>
      </c>
    </row>
    <row r="2" spans="1:18" ht="15.75" thickBot="1" x14ac:dyDescent="0.3">
      <c r="A2" s="270" t="str">
        <f>IF(J3="yes","C403.2.5 DOAS","")</f>
        <v>C403.2.5 DOAS</v>
      </c>
      <c r="B2" s="271"/>
      <c r="C2" s="271"/>
      <c r="D2" s="271"/>
      <c r="E2" s="272"/>
      <c r="I2" s="95" t="s">
        <v>494</v>
      </c>
      <c r="J2" s="227">
        <v>1400</v>
      </c>
    </row>
    <row r="3" spans="1:18" ht="15.75" thickBot="1" x14ac:dyDescent="0.3">
      <c r="A3" s="273"/>
      <c r="B3" s="274"/>
      <c r="C3" s="274"/>
      <c r="D3" s="274"/>
      <c r="E3" s="275"/>
      <c r="I3" s="95" t="s">
        <v>488</v>
      </c>
      <c r="J3" s="226" t="s">
        <v>485</v>
      </c>
    </row>
    <row r="4" spans="1:18" x14ac:dyDescent="0.25">
      <c r="A4" s="264" t="str">
        <f>"NATURAL VENTILATION PER "&amp;J1&amp;" SECTION 402 (4% OF FLOOR AREA)"</f>
        <v>NATURAL VENTILATION PER IMC SECTION 402 (4% OF FLOOR AREA)</v>
      </c>
      <c r="B4" s="265"/>
      <c r="C4" s="265"/>
      <c r="D4" s="265"/>
      <c r="E4" s="266"/>
    </row>
    <row r="5" spans="1:18" x14ac:dyDescent="0.25">
      <c r="A5" s="264"/>
      <c r="B5" s="265"/>
      <c r="C5" s="265"/>
      <c r="D5" s="265"/>
      <c r="E5" s="266"/>
    </row>
    <row r="6" spans="1:18" ht="15.75" thickBot="1" x14ac:dyDescent="0.3">
      <c r="A6" s="273"/>
      <c r="B6" s="274"/>
      <c r="C6" s="274"/>
      <c r="D6" s="274"/>
      <c r="E6" s="275"/>
      <c r="O6" s="94"/>
    </row>
    <row r="7" spans="1:18" ht="15.75" thickBot="1" x14ac:dyDescent="0.3">
      <c r="A7" s="224">
        <f>J2</f>
        <v>1400</v>
      </c>
      <c r="B7" s="94" t="s">
        <v>495</v>
      </c>
      <c r="C7" s="225">
        <f>SUM(A7*0.04)</f>
        <v>56</v>
      </c>
      <c r="D7" s="94" t="s">
        <v>496</v>
      </c>
      <c r="E7" s="223"/>
      <c r="I7" s="244" t="s">
        <v>508</v>
      </c>
      <c r="J7" s="245"/>
      <c r="K7" s="246"/>
      <c r="L7" s="246"/>
      <c r="M7" s="247"/>
      <c r="N7" s="248"/>
    </row>
    <row r="8" spans="1:18" ht="15.75" thickBot="1" x14ac:dyDescent="0.3">
      <c r="A8" s="273"/>
      <c r="B8" s="274"/>
      <c r="C8" s="274"/>
      <c r="D8" s="274"/>
      <c r="E8" s="275"/>
      <c r="I8" s="201" t="s">
        <v>493</v>
      </c>
      <c r="J8" s="201" t="s">
        <v>498</v>
      </c>
      <c r="K8" s="201" t="s">
        <v>490</v>
      </c>
      <c r="L8" s="201" t="s">
        <v>491</v>
      </c>
      <c r="M8" s="201" t="s">
        <v>503</v>
      </c>
      <c r="N8" s="201" t="s">
        <v>492</v>
      </c>
    </row>
    <row r="9" spans="1:18" x14ac:dyDescent="0.25">
      <c r="A9" s="264" t="str">
        <f>IF(N15&gt;0,"NET TOTAL OF WINDOW OPENING(S) = "&amp;N15&amp;" SQ. FT. PROVIDED","NET TOTAL OF WINDOW OPENING(S) = 0 SQ. FT. PROVIDED")</f>
        <v>NET TOTAL OF WINDOW OPENING(S) = 5.4 SQ. FT. PROVIDED</v>
      </c>
      <c r="B9" s="265"/>
      <c r="C9" s="265"/>
      <c r="D9" s="265"/>
      <c r="E9" s="266"/>
      <c r="I9" s="202">
        <v>1</v>
      </c>
      <c r="J9" s="203" t="s">
        <v>500</v>
      </c>
      <c r="K9" s="204">
        <v>48</v>
      </c>
      <c r="L9" s="204">
        <v>36</v>
      </c>
      <c r="M9" s="213">
        <f t="shared" ref="M9:M14" si="0">SUM(((K9*L9)/144)*I9)</f>
        <v>12</v>
      </c>
      <c r="N9" s="216">
        <f t="shared" ref="N9:N14" si="1">IF(OR(J9="FIXED",J9="STOREFRONT"),0,SUM(((K9*L9)/144)*I9)*0.45)</f>
        <v>5.4</v>
      </c>
    </row>
    <row r="10" spans="1:18" x14ac:dyDescent="0.25">
      <c r="A10" s="264"/>
      <c r="B10" s="265"/>
      <c r="C10" s="265"/>
      <c r="D10" s="265"/>
      <c r="E10" s="266"/>
      <c r="H10" s="94"/>
      <c r="I10" s="205">
        <v>0</v>
      </c>
      <c r="J10" s="203" t="s">
        <v>500</v>
      </c>
      <c r="K10" s="199">
        <v>0</v>
      </c>
      <c r="L10" s="199">
        <v>0</v>
      </c>
      <c r="M10" s="213">
        <f t="shared" si="0"/>
        <v>0</v>
      </c>
      <c r="N10" s="217">
        <f t="shared" si="1"/>
        <v>0</v>
      </c>
    </row>
    <row r="11" spans="1:18" ht="15.75" customHeight="1" x14ac:dyDescent="0.25">
      <c r="A11" s="273"/>
      <c r="B11" s="274"/>
      <c r="C11" s="274"/>
      <c r="D11" s="274"/>
      <c r="E11" s="275"/>
      <c r="H11" s="94"/>
      <c r="I11" s="205">
        <v>0</v>
      </c>
      <c r="J11" s="203" t="s">
        <v>500</v>
      </c>
      <c r="K11" s="199">
        <v>0</v>
      </c>
      <c r="L11" s="199">
        <v>0</v>
      </c>
      <c r="M11" s="213">
        <f t="shared" si="0"/>
        <v>0</v>
      </c>
      <c r="N11" s="217">
        <f t="shared" si="1"/>
        <v>0</v>
      </c>
    </row>
    <row r="12" spans="1:18" x14ac:dyDescent="0.25">
      <c r="A12" s="264" t="str">
        <f>IF(N25&gt;0,"NET TOTAL OF DOOR OPENING(S) = "&amp;N25&amp;" SQ. FT. PROVIDED","NET TOTAL OF DOOR OPENING(S) = 0 SQ. FT. PROVIDED")</f>
        <v>NET TOTAL OF DOOR OPENING(S) = 20 SQ. FT. PROVIDED</v>
      </c>
      <c r="B12" s="265"/>
      <c r="C12" s="265"/>
      <c r="D12" s="265"/>
      <c r="E12" s="266"/>
      <c r="H12" s="94"/>
      <c r="I12" s="205">
        <v>0</v>
      </c>
      <c r="J12" s="203" t="s">
        <v>500</v>
      </c>
      <c r="K12" s="199">
        <v>0</v>
      </c>
      <c r="L12" s="199">
        <v>0</v>
      </c>
      <c r="M12" s="213">
        <f t="shared" si="0"/>
        <v>0</v>
      </c>
      <c r="N12" s="217">
        <f t="shared" si="1"/>
        <v>0</v>
      </c>
    </row>
    <row r="13" spans="1:18" x14ac:dyDescent="0.25">
      <c r="A13" s="264"/>
      <c r="B13" s="265"/>
      <c r="C13" s="265"/>
      <c r="D13" s="265"/>
      <c r="E13" s="266"/>
      <c r="H13" s="94"/>
      <c r="I13" s="205">
        <v>0</v>
      </c>
      <c r="J13" s="203" t="s">
        <v>500</v>
      </c>
      <c r="K13" s="199">
        <v>0</v>
      </c>
      <c r="L13" s="199">
        <v>0</v>
      </c>
      <c r="M13" s="213">
        <f t="shared" si="0"/>
        <v>0</v>
      </c>
      <c r="N13" s="217">
        <f t="shared" si="1"/>
        <v>0</v>
      </c>
      <c r="R13" s="200"/>
    </row>
    <row r="14" spans="1:18" ht="15.75" thickBot="1" x14ac:dyDescent="0.3">
      <c r="A14" s="273"/>
      <c r="B14" s="274"/>
      <c r="C14" s="274"/>
      <c r="D14" s="274"/>
      <c r="E14" s="275"/>
      <c r="H14" s="94"/>
      <c r="I14" s="206">
        <v>0</v>
      </c>
      <c r="J14" s="210" t="s">
        <v>500</v>
      </c>
      <c r="K14" s="207">
        <v>0</v>
      </c>
      <c r="L14" s="207">
        <v>0</v>
      </c>
      <c r="M14" s="213">
        <f t="shared" si="0"/>
        <v>0</v>
      </c>
      <c r="N14" s="218">
        <f t="shared" si="1"/>
        <v>0</v>
      </c>
    </row>
    <row r="15" spans="1:18" ht="15.75" thickBot="1" x14ac:dyDescent="0.3">
      <c r="A15" s="264" t="str">
        <f>IF(AND(N15&gt;0,N25&gt;0),"TOTAL "&amp;N26&amp;" SQ.FT. OF WINDOW AND DOOR OPENINGS PROVIDED",IF(AND(N15&gt;0,N25=0),"TOTAL "&amp;N26&amp;" SQ.FT. OF WINDOW OPENINGS PROVIDED",IF(AND(N15=0,N25&gt;0),"TOTAL "&amp;N26&amp;" SQ.FT. OF DOOR OPENINGS PROVIDED","NO NATURAL VENTILATION PROVIDED")))</f>
        <v>TOTAL 25.4 SQ.FT. OF WINDOW AND DOOR OPENINGS PROVIDED</v>
      </c>
      <c r="B15" s="265"/>
      <c r="C15" s="265"/>
      <c r="D15" s="265"/>
      <c r="E15" s="266"/>
      <c r="I15" s="254" t="s">
        <v>502</v>
      </c>
      <c r="J15" s="255"/>
      <c r="K15" s="256"/>
      <c r="L15" s="257"/>
      <c r="M15" s="214">
        <f>SUM(M9:M14)</f>
        <v>12</v>
      </c>
      <c r="N15" s="215">
        <f>SUM(N9:N14)</f>
        <v>5.4</v>
      </c>
      <c r="P15" s="200"/>
    </row>
    <row r="16" spans="1:18" ht="15.75" thickBot="1" x14ac:dyDescent="0.3">
      <c r="A16" s="267"/>
      <c r="B16" s="268"/>
      <c r="C16" s="268"/>
      <c r="D16" s="268"/>
      <c r="E16" s="269"/>
    </row>
    <row r="17" spans="1:16" ht="15.75" thickBot="1" x14ac:dyDescent="0.3">
      <c r="I17" s="249" t="s">
        <v>489</v>
      </c>
      <c r="J17" s="250"/>
      <c r="K17" s="251"/>
      <c r="L17" s="251"/>
      <c r="M17" s="252"/>
      <c r="N17" s="253"/>
    </row>
    <row r="18" spans="1:16" ht="15.75" thickBot="1" x14ac:dyDescent="0.3">
      <c r="A18" s="276" t="s">
        <v>509</v>
      </c>
      <c r="B18" s="277"/>
      <c r="C18" s="277"/>
      <c r="D18" s="277"/>
      <c r="E18" s="278"/>
      <c r="I18" s="201" t="s">
        <v>493</v>
      </c>
      <c r="J18" s="201" t="s">
        <v>499</v>
      </c>
      <c r="K18" s="201" t="s">
        <v>490</v>
      </c>
      <c r="L18" s="201" t="s">
        <v>491</v>
      </c>
      <c r="M18" s="201" t="s">
        <v>504</v>
      </c>
      <c r="N18" s="201" t="s">
        <v>492</v>
      </c>
    </row>
    <row r="19" spans="1:16" x14ac:dyDescent="0.25">
      <c r="A19" s="279"/>
      <c r="B19" s="280"/>
      <c r="C19" s="280"/>
      <c r="D19" s="280"/>
      <c r="E19" s="281"/>
      <c r="I19" s="202">
        <v>1</v>
      </c>
      <c r="J19" s="203" t="s">
        <v>501</v>
      </c>
      <c r="K19" s="204">
        <v>36</v>
      </c>
      <c r="L19" s="208">
        <v>80</v>
      </c>
      <c r="M19" s="212">
        <f t="shared" ref="M19:M24" si="2">SUM((K19*L19)/144)*I19</f>
        <v>20</v>
      </c>
      <c r="N19" s="219">
        <f t="shared" ref="N19:N24" si="3">IF(J19="SLIDER",SUM((((K19/2)-2.5)*L19)/144)*I19,SUM((K19*L19)/144)*I19)</f>
        <v>20</v>
      </c>
      <c r="P19" s="200"/>
    </row>
    <row r="20" spans="1:16" x14ac:dyDescent="0.25">
      <c r="A20" s="282" t="s">
        <v>510</v>
      </c>
      <c r="B20" s="283"/>
      <c r="C20" s="283"/>
      <c r="D20" s="283"/>
      <c r="E20" s="284"/>
      <c r="I20" s="205">
        <v>0</v>
      </c>
      <c r="J20" s="203" t="s">
        <v>501</v>
      </c>
      <c r="K20" s="199">
        <v>0</v>
      </c>
      <c r="L20" s="209">
        <v>0</v>
      </c>
      <c r="M20" s="212">
        <f t="shared" si="2"/>
        <v>0</v>
      </c>
      <c r="N20" s="219">
        <f t="shared" si="3"/>
        <v>0</v>
      </c>
    </row>
    <row r="21" spans="1:16" ht="15.75" thickBot="1" x14ac:dyDescent="0.3">
      <c r="A21" s="285"/>
      <c r="B21" s="286"/>
      <c r="C21" s="286"/>
      <c r="D21" s="286"/>
      <c r="E21" s="287"/>
      <c r="I21" s="205">
        <v>0</v>
      </c>
      <c r="J21" s="203" t="s">
        <v>501</v>
      </c>
      <c r="K21" s="199">
        <v>0</v>
      </c>
      <c r="L21" s="209">
        <v>0</v>
      </c>
      <c r="M21" s="212">
        <f t="shared" si="2"/>
        <v>0</v>
      </c>
      <c r="N21" s="219">
        <f t="shared" si="3"/>
        <v>0</v>
      </c>
    </row>
    <row r="22" spans="1:16" x14ac:dyDescent="0.25">
      <c r="A22" s="221"/>
      <c r="I22" s="205">
        <v>0</v>
      </c>
      <c r="J22" s="203" t="s">
        <v>501</v>
      </c>
      <c r="K22" s="199">
        <v>0</v>
      </c>
      <c r="L22" s="209">
        <v>0</v>
      </c>
      <c r="M22" s="212">
        <f t="shared" si="2"/>
        <v>0</v>
      </c>
      <c r="N22" s="219">
        <f t="shared" si="3"/>
        <v>0</v>
      </c>
    </row>
    <row r="23" spans="1:16" x14ac:dyDescent="0.25">
      <c r="I23" s="205">
        <v>0</v>
      </c>
      <c r="J23" s="203" t="s">
        <v>501</v>
      </c>
      <c r="K23" s="199">
        <v>0</v>
      </c>
      <c r="L23" s="209">
        <v>0</v>
      </c>
      <c r="M23" s="212">
        <f t="shared" si="2"/>
        <v>0</v>
      </c>
      <c r="N23" s="219">
        <f t="shared" si="3"/>
        <v>0</v>
      </c>
    </row>
    <row r="24" spans="1:16" ht="15.75" thickBot="1" x14ac:dyDescent="0.3">
      <c r="I24" s="206">
        <v>0</v>
      </c>
      <c r="J24" s="210" t="s">
        <v>501</v>
      </c>
      <c r="K24" s="207">
        <v>0</v>
      </c>
      <c r="L24" s="211">
        <v>0</v>
      </c>
      <c r="M24" s="222">
        <f t="shared" si="2"/>
        <v>0</v>
      </c>
      <c r="N24" s="219">
        <f t="shared" si="3"/>
        <v>0</v>
      </c>
    </row>
    <row r="25" spans="1:16" ht="15.75" thickBot="1" x14ac:dyDescent="0.3">
      <c r="I25" s="258" t="s">
        <v>502</v>
      </c>
      <c r="J25" s="259"/>
      <c r="K25" s="259"/>
      <c r="L25" s="260"/>
      <c r="M25" s="220">
        <f>SUM(M19:M24)</f>
        <v>20</v>
      </c>
      <c r="N25" s="215">
        <f>SUM(N19:N24)</f>
        <v>20</v>
      </c>
      <c r="P25" s="200"/>
    </row>
    <row r="26" spans="1:16" ht="15.75" thickBot="1" x14ac:dyDescent="0.3">
      <c r="L26" s="258" t="s">
        <v>507</v>
      </c>
      <c r="M26" s="260"/>
      <c r="N26" s="215">
        <f>IF(AND(N15&gt;0,N25&gt;0),SUM(N15+N25),IF(AND(N15&gt;0,N25=0),SUM(N15),IF(AND(N15=0,N25&gt;0),SUM(N25),0)))</f>
        <v>25.4</v>
      </c>
    </row>
  </sheetData>
  <mergeCells count="18">
    <mergeCell ref="L26:M26"/>
    <mergeCell ref="A15:E16"/>
    <mergeCell ref="A9:E10"/>
    <mergeCell ref="A12:E13"/>
    <mergeCell ref="A2:E2"/>
    <mergeCell ref="A3:E3"/>
    <mergeCell ref="A6:E6"/>
    <mergeCell ref="A8:E8"/>
    <mergeCell ref="A11:E11"/>
    <mergeCell ref="A14:E14"/>
    <mergeCell ref="A18:E19"/>
    <mergeCell ref="A20:E21"/>
    <mergeCell ref="I7:N7"/>
    <mergeCell ref="I17:N17"/>
    <mergeCell ref="I15:L15"/>
    <mergeCell ref="I25:L25"/>
    <mergeCell ref="A1:E1"/>
    <mergeCell ref="A4:E5"/>
  </mergeCells>
  <dataValidations count="4">
    <dataValidation type="list" allowBlank="1" showInputMessage="1" showErrorMessage="1" sqref="J3" xr:uid="{47C65ACD-D6E2-41A1-B2C6-D1C520236FFA}">
      <formula1>"Yes, No"</formula1>
    </dataValidation>
    <dataValidation type="list" allowBlank="1" showInputMessage="1" showErrorMessage="1" sqref="J1" xr:uid="{E9764FA7-0BCC-4186-B0F6-EDCAF9F81BAD}">
      <formula1>"IMC,UMC,CMC"</formula1>
    </dataValidation>
    <dataValidation type="list" allowBlank="1" showInputMessage="1" showErrorMessage="1" sqref="J9:J14" xr:uid="{C66985AE-303F-4578-ABB1-A31D47744373}">
      <formula1>"V.S.,H.S.,Fixed,Storefront"</formula1>
    </dataValidation>
    <dataValidation type="list" allowBlank="1" showInputMessage="1" showErrorMessage="1" sqref="J19:J24" xr:uid="{D81ACA65-B867-4318-9D86-C545956A3F31}">
      <formula1>"Swinging,Slider"</formula1>
    </dataValidation>
  </dataValidations>
  <pageMargins left="0.7" right="0.7" top="0.75" bottom="0.75" header="0.3" footer="0.3"/>
  <pageSetup orientation="portrait" r:id="rId1"/>
  <ignoredErrors>
    <ignoredError sqref="N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2046-0D95-486A-AE58-E322699F0246}">
  <dimension ref="A1:P17"/>
  <sheetViews>
    <sheetView tabSelected="1" workbookViewId="0">
      <selection activeCell="B2" sqref="B2"/>
    </sheetView>
  </sheetViews>
  <sheetFormatPr defaultRowHeight="15" x14ac:dyDescent="0.25"/>
  <cols>
    <col min="1" max="1" width="16.5703125" customWidth="1"/>
    <col min="2" max="2" width="18.28515625" customWidth="1"/>
    <col min="3" max="3" width="23.28515625" customWidth="1"/>
    <col min="4" max="4" width="16.28515625" customWidth="1"/>
    <col min="6" max="6" width="14.7109375" customWidth="1"/>
    <col min="7" max="7" width="10.42578125" customWidth="1"/>
    <col min="8" max="8" width="21.7109375" customWidth="1"/>
    <col min="9" max="9" width="12.42578125" customWidth="1"/>
    <col min="16" max="16" width="9.140625" hidden="1" customWidth="1"/>
  </cols>
  <sheetData>
    <row r="1" spans="1:16" ht="15.75" thickBot="1" x14ac:dyDescent="0.3">
      <c r="A1" s="141" t="s">
        <v>309</v>
      </c>
      <c r="B1" s="288" t="s">
        <v>0</v>
      </c>
      <c r="C1" s="289"/>
      <c r="D1" s="290"/>
    </row>
    <row r="2" spans="1:16" ht="30" customHeight="1" thickBot="1" x14ac:dyDescent="0.3">
      <c r="A2" s="136" t="s">
        <v>133</v>
      </c>
      <c r="B2" s="118" t="s">
        <v>26</v>
      </c>
      <c r="C2" s="113" t="s">
        <v>57</v>
      </c>
      <c r="D2" s="31">
        <v>0</v>
      </c>
      <c r="E2" s="109" t="s">
        <v>257</v>
      </c>
      <c r="F2" s="24"/>
      <c r="G2" s="24"/>
    </row>
    <row r="3" spans="1:16" ht="30" customHeight="1" x14ac:dyDescent="0.25">
      <c r="A3" s="293" t="s">
        <v>505</v>
      </c>
      <c r="B3" s="296" t="s">
        <v>4</v>
      </c>
      <c r="C3" s="297"/>
      <c r="D3" s="34">
        <f>INDEX(IMCRp,MATCH(B2,IMCuse,0))</f>
        <v>5</v>
      </c>
      <c r="F3" s="26"/>
      <c r="G3" s="27" t="s">
        <v>47</v>
      </c>
      <c r="H3" s="176" t="s">
        <v>42</v>
      </c>
      <c r="I3" s="26"/>
      <c r="P3" t="s">
        <v>308</v>
      </c>
    </row>
    <row r="4" spans="1:16" ht="30" customHeight="1" thickBot="1" x14ac:dyDescent="0.3">
      <c r="A4" s="294"/>
      <c r="B4" s="291" t="s">
        <v>5</v>
      </c>
      <c r="C4" s="292"/>
      <c r="D4" s="33">
        <f>INDEX(IMCRa,MATCH(B2,IMCuse,0))</f>
        <v>0.06</v>
      </c>
      <c r="F4" s="26"/>
      <c r="G4" s="26"/>
      <c r="H4" s="26"/>
      <c r="I4" s="26"/>
      <c r="P4" t="s">
        <v>133</v>
      </c>
    </row>
    <row r="5" spans="1:16" ht="30" customHeight="1" thickBot="1" x14ac:dyDescent="0.3">
      <c r="A5" s="294"/>
      <c r="B5" s="291" t="s">
        <v>56</v>
      </c>
      <c r="C5" s="292"/>
      <c r="D5" s="32">
        <f>INDEX(IMCoccDensity,MATCH(B2,IMCuse,0))</f>
        <v>5</v>
      </c>
      <c r="F5" s="102" t="s">
        <v>29</v>
      </c>
      <c r="G5" s="104" t="str">
        <f>IF(H3="THRU-WALL ERV","# OF ERV'S:","# OF A/C's:")</f>
        <v># OF A/C's:</v>
      </c>
      <c r="H5" s="102" t="s">
        <v>48</v>
      </c>
      <c r="I5" s="102" t="s">
        <v>49</v>
      </c>
      <c r="P5" t="s">
        <v>134</v>
      </c>
    </row>
    <row r="6" spans="1:16" ht="30" customHeight="1" thickBot="1" x14ac:dyDescent="0.3">
      <c r="A6" s="294"/>
      <c r="B6" s="291" t="s">
        <v>55</v>
      </c>
      <c r="C6" s="292"/>
      <c r="D6" s="33">
        <f>ROUNDUP(((D5/1000)*D2),0)</f>
        <v>0</v>
      </c>
      <c r="F6" s="101" t="s">
        <v>36</v>
      </c>
      <c r="G6" s="103">
        <v>1</v>
      </c>
      <c r="H6" s="105" t="s">
        <v>44</v>
      </c>
      <c r="I6" s="106">
        <f>IF(AND(H3="thru-wall erv",OR(F6="1 ton",F6="1.5 ton",F6="2 ton",F6="2.5 ton",F6="3 ton",F6="3.5 ton",F6="4 ton",F6="5 ton")),"-",IF(H3="bard",INDEX(bardindex,MATCH(F6,bardsize,0),MATCH(H6,bardvent,0))*G6,IF(H3="RTU",INDEX(rturef,MATCH(F6,rtusize,0),MATCH(H6,rtuvent,0))*G6,IF(H3="MARVAIR",INDEX(marairref,MATCH(F6,marvairsize,0),MATCH(H6,marvairvent,0))*G6,IF(H3="THRU-WALL ERV",INDEX(ERVINDEX,MATCH(F6,ERVSIZE,0))*G6,0)))))</f>
        <v>287.5</v>
      </c>
      <c r="P6" t="s">
        <v>135</v>
      </c>
    </row>
    <row r="7" spans="1:16" ht="30" customHeight="1" x14ac:dyDescent="0.25">
      <c r="A7" s="294"/>
      <c r="B7" s="298" t="s">
        <v>50</v>
      </c>
      <c r="C7" s="299"/>
      <c r="D7" s="35">
        <f>SUM(D3*D6)+(D4*D2)</f>
        <v>0</v>
      </c>
      <c r="F7" s="101" t="s">
        <v>38</v>
      </c>
      <c r="G7" s="28">
        <v>0</v>
      </c>
      <c r="H7" s="105" t="s">
        <v>44</v>
      </c>
      <c r="I7" s="97">
        <f>IF(AND(H3="thru-wall erv",OR(F7="1 ton",F7="1.5 ton",F7="2 ton",F7="2.5 ton",F7="3 ton",F7="3.5 ton",F7="4 ton",F7="5 ton")),"-",IF(H3="bard",INDEX(bardindex,MATCH(F7,bardsize,0),MATCH(H7,bardvent,0))*G7,IF(H3="RTU",INDEX(rturef,MATCH(F7,rtusize,0),MATCH(H7,rtuvent,0))*G7,IF(H3="MARVAIR",INDEX(marairref,MATCH(F7,marvairsize,0),MATCH(H7,marvairvent,0))*G7,IF(H3="THRU-WALL ERV",INDEX(ERVINDEX,MATCH(F7,ERVSIZE,0))*G7,0)))))</f>
        <v>0</v>
      </c>
      <c r="P7" t="s">
        <v>285</v>
      </c>
    </row>
    <row r="8" spans="1:16" ht="30" customHeight="1" thickBot="1" x14ac:dyDescent="0.3">
      <c r="A8" s="294"/>
      <c r="B8" s="300" t="s">
        <v>52</v>
      </c>
      <c r="C8" s="301"/>
      <c r="D8" s="36">
        <f>SUM(I6:I8)</f>
        <v>287.5</v>
      </c>
      <c r="F8" s="107" t="s">
        <v>39</v>
      </c>
      <c r="G8" s="99">
        <v>0</v>
      </c>
      <c r="H8" s="124" t="s">
        <v>44</v>
      </c>
      <c r="I8" s="100">
        <f>IF(AND(H3="thru-wall erv",OR(F8="1 ton",F8="1.5 ton",F8="2 ton",F8="2.5 ton",F8="3 ton",F8="3.5 ton",F8="4 ton",F8="5 ton")),"-",IF(H3="bard",INDEX(bardindex,MATCH(F8,bardsize,0),MATCH(H8,bardvent,0))*G8,IF(H3="RTU",INDEX(rturef,MATCH(F8,rtusize,0),MATCH(H8,rtuvent,0))*G8,IF(H3="MARVAIR",INDEX(marairref,MATCH(F8,marvairsize,0),MATCH(H8,marvairvent,0))*G8,IF(H3="THRU-WALL ERV",INDEX(ERVINDEX,MATCH(F8,ERVSIZE,0))*G8,0)))))</f>
        <v>0</v>
      </c>
      <c r="P8" t="s">
        <v>284</v>
      </c>
    </row>
    <row r="9" spans="1:16" ht="15" customHeight="1" thickBot="1" x14ac:dyDescent="0.3">
      <c r="A9" s="295"/>
      <c r="B9" s="25" t="s">
        <v>53</v>
      </c>
      <c r="C9" s="302" t="str">
        <f>IF(D7&gt;D8,""&amp;D8&amp;" CFM &lt; "&amp;D7&amp;" CFM, THEREFORE NG",IF(D7&lt;D8,""&amp;D8&amp;" CFM &gt; "&amp;D7&amp;" CFM, THEREFORE OK",0))</f>
        <v>287.5 CFM &gt; 0 CFM, THEREFORE OK</v>
      </c>
      <c r="D9" s="303"/>
      <c r="P9" t="s">
        <v>136</v>
      </c>
    </row>
    <row r="10" spans="1:16" ht="15.75" customHeight="1" x14ac:dyDescent="0.25">
      <c r="A10" s="140"/>
      <c r="P10" t="s">
        <v>286</v>
      </c>
    </row>
    <row r="11" spans="1:16" ht="15.75" customHeight="1" x14ac:dyDescent="0.25">
      <c r="A11" s="140"/>
      <c r="F11" s="110" t="s">
        <v>271</v>
      </c>
      <c r="P11" t="s">
        <v>287</v>
      </c>
    </row>
    <row r="12" spans="1:16" x14ac:dyDescent="0.25">
      <c r="P12" t="s">
        <v>288</v>
      </c>
    </row>
    <row r="13" spans="1:16" x14ac:dyDescent="0.25">
      <c r="B13" s="94" t="s">
        <v>256</v>
      </c>
      <c r="P13" t="s">
        <v>289</v>
      </c>
    </row>
    <row r="14" spans="1:16" x14ac:dyDescent="0.25">
      <c r="B14" s="95" t="s">
        <v>176</v>
      </c>
      <c r="C14" t="s">
        <v>282</v>
      </c>
      <c r="P14" t="s">
        <v>290</v>
      </c>
    </row>
    <row r="15" spans="1:16" x14ac:dyDescent="0.25">
      <c r="B15" s="95" t="s">
        <v>177</v>
      </c>
      <c r="C15" s="112" t="s">
        <v>273</v>
      </c>
      <c r="P15" t="s">
        <v>291</v>
      </c>
    </row>
    <row r="16" spans="1:16" x14ac:dyDescent="0.25">
      <c r="B16" s="95" t="s">
        <v>178</v>
      </c>
      <c r="C16" s="112" t="s">
        <v>274</v>
      </c>
      <c r="P16" t="s">
        <v>292</v>
      </c>
    </row>
    <row r="17" spans="16:16" x14ac:dyDescent="0.25">
      <c r="P17" t="s">
        <v>293</v>
      </c>
    </row>
  </sheetData>
  <mergeCells count="9">
    <mergeCell ref="B1:D1"/>
    <mergeCell ref="B4:C4"/>
    <mergeCell ref="B5:C5"/>
    <mergeCell ref="A3:A9"/>
    <mergeCell ref="B3:C3"/>
    <mergeCell ref="B7:C7"/>
    <mergeCell ref="B8:C8"/>
    <mergeCell ref="C9:D9"/>
    <mergeCell ref="B6:C6"/>
  </mergeCells>
  <conditionalFormatting sqref="C9">
    <cfRule type="containsText" dxfId="15" priority="1" operator="containsText" text="NG">
      <formula>NOT(ISERROR(SEARCH("NG",C9)))</formula>
    </cfRule>
  </conditionalFormatting>
  <dataValidations count="7">
    <dataValidation type="list" allowBlank="1" showInputMessage="1" showErrorMessage="1" sqref="H3" xr:uid="{EAE112F3-76E6-45DE-A082-BE389DF43136}">
      <formula1>"BARD, RTU, MARVAIR, THRU-WALL ERV"</formula1>
    </dataValidation>
    <dataValidation type="list" allowBlank="1" showInputMessage="1" showErrorMessage="1" sqref="H6:H8" xr:uid="{E2D8F511-81C3-4623-BB8C-CF7694E027EB}">
      <formula1>bardvent</formula1>
    </dataValidation>
    <dataValidation type="list" allowBlank="1" showInputMessage="1" showErrorMessage="1" sqref="F6" xr:uid="{2007CEAA-4117-446E-827A-F5E347E47403}">
      <formula1>IF(H3="bard",bardsize,IF(H3="rtu",rtusize,IF(H3="marvair",marvairsize,IF(H3="THRU-WALL ERV",ERVSIZE,0))))</formula1>
    </dataValidation>
    <dataValidation type="list" allowBlank="1" showInputMessage="1" showErrorMessage="1" sqref="B2" xr:uid="{FD43CF25-C486-40A9-9CAF-5EBBD2714800}">
      <formula1>IF(A2=P3,NONE,IF(A2=P4,Off,IF(A2=P5,Pub,IF(A2=P6,Edu,IF(A2=P7,Work,IF(A2=P8,Hot,IF(A2=P9,Ret,IF(A2=P10,Food,IF(A2=P11,Dry,IF(A2=P12,Sport,IF(A2=P13,Sotr,IF(A2=P14,Thea,IF(A2=P15,Spec,IF(A2=P16,Tran,IF(A2=P17,Coor,0)))))))))))))))</formula1>
    </dataValidation>
    <dataValidation type="list" allowBlank="1" showInputMessage="1" showErrorMessage="1" sqref="A2" xr:uid="{BD65C260-009C-41F0-BAD2-E62A86E463FE}">
      <formula1>$P$4:$P$17</formula1>
    </dataValidation>
    <dataValidation type="list" allowBlank="1" showInputMessage="1" showErrorMessage="1" sqref="F7" xr:uid="{A43AC80A-7F23-4FB4-AA4E-804904700CE9}">
      <formula1>IF(H3="bard",bardsize,IF(H3="rtu",rtusize,IF(H3="marvair",marvairsize,IF(H3="THRU-WALL ERV",ERVSIZE,0))))</formula1>
    </dataValidation>
    <dataValidation type="list" allowBlank="1" showInputMessage="1" showErrorMessage="1" sqref="F8" xr:uid="{B6F92C87-5B56-4567-850B-DB4F34578445}">
      <formula1>IF(H3="bard",bardsize,IF(H3="rtu",rtusize,IF(H3="marvair",marvairsize,IF(H3="THRU-WALL ERV",ERVSIZE,0))))</formula1>
    </dataValidation>
  </dataValidation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51C7-3989-49FD-93E1-33B62F1D4876}">
  <dimension ref="A1:P17"/>
  <sheetViews>
    <sheetView workbookViewId="0">
      <selection activeCell="C3" sqref="C3"/>
    </sheetView>
  </sheetViews>
  <sheetFormatPr defaultRowHeight="15" x14ac:dyDescent="0.25"/>
  <cols>
    <col min="1" max="1" width="16.5703125" customWidth="1"/>
    <col min="2" max="2" width="18.28515625" customWidth="1"/>
    <col min="3" max="8" width="13.7109375" customWidth="1"/>
    <col min="10" max="10" width="14.7109375" customWidth="1"/>
    <col min="11" max="11" width="11.85546875" customWidth="1"/>
    <col min="12" max="12" width="21.7109375" customWidth="1"/>
    <col min="13" max="13" width="12.85546875" customWidth="1"/>
    <col min="16" max="16" width="9.140625" hidden="1" customWidth="1"/>
    <col min="17" max="17" width="16.42578125" customWidth="1"/>
    <col min="18" max="18" width="9.140625" customWidth="1"/>
  </cols>
  <sheetData>
    <row r="1" spans="1:16" ht="15.75" thickBot="1" x14ac:dyDescent="0.3">
      <c r="B1" s="306" t="s">
        <v>0</v>
      </c>
      <c r="C1" s="307"/>
      <c r="D1" s="307"/>
      <c r="E1" s="307"/>
      <c r="F1" s="307"/>
      <c r="G1" s="307"/>
      <c r="H1" s="308"/>
      <c r="I1" s="26"/>
      <c r="J1" s="26"/>
      <c r="K1" s="26"/>
      <c r="L1" s="26"/>
      <c r="M1" s="26"/>
    </row>
    <row r="2" spans="1:16" ht="64.5" thickBot="1" x14ac:dyDescent="0.3">
      <c r="A2" s="135" t="s">
        <v>283</v>
      </c>
      <c r="B2" s="29" t="s">
        <v>2</v>
      </c>
      <c r="C2" s="29" t="s">
        <v>28</v>
      </c>
      <c r="D2" s="29" t="s">
        <v>4</v>
      </c>
      <c r="E2" s="29" t="s">
        <v>5</v>
      </c>
      <c r="F2" s="29" t="s">
        <v>6</v>
      </c>
      <c r="G2" s="29" t="s">
        <v>7</v>
      </c>
      <c r="H2" s="29" t="s">
        <v>50</v>
      </c>
      <c r="I2" s="26"/>
      <c r="J2" s="30"/>
      <c r="K2" s="30"/>
      <c r="L2" s="26"/>
      <c r="M2" s="26"/>
    </row>
    <row r="3" spans="1:16" ht="30" customHeight="1" x14ac:dyDescent="0.25">
      <c r="A3" s="136" t="s">
        <v>133</v>
      </c>
      <c r="B3" s="118" t="s">
        <v>26</v>
      </c>
      <c r="C3" s="125">
        <v>0</v>
      </c>
      <c r="D3" s="38">
        <f>INDEX(IMCRp,MATCH(B3,IMCuse,0))</f>
        <v>5</v>
      </c>
      <c r="E3" s="38">
        <f>INDEX(IMCRa,MATCH(B3,IMCuse,0))</f>
        <v>0.06</v>
      </c>
      <c r="F3" s="39">
        <f>INDEX(IMCoccDensity,MATCH(B3,IMCuse,0))</f>
        <v>5</v>
      </c>
      <c r="G3" s="126">
        <f>ROUNDUP(((F3/1000)*C3),0)</f>
        <v>0</v>
      </c>
      <c r="H3" s="127">
        <f>SUM(D3*G3)+(E3*C3)</f>
        <v>0</v>
      </c>
      <c r="I3" s="26"/>
      <c r="J3" s="26"/>
      <c r="K3" s="27" t="s">
        <v>47</v>
      </c>
      <c r="L3" s="176" t="s">
        <v>42</v>
      </c>
      <c r="M3" s="26"/>
      <c r="P3" t="s">
        <v>308</v>
      </c>
    </row>
    <row r="4" spans="1:16" ht="30" customHeight="1" thickBot="1" x14ac:dyDescent="0.3">
      <c r="A4" s="137" t="s">
        <v>308</v>
      </c>
      <c r="B4" s="118" t="s">
        <v>27</v>
      </c>
      <c r="C4" s="128">
        <v>0</v>
      </c>
      <c r="D4" s="38">
        <f>INDEX(IMCRp,MATCH(B4,IMCuse,0))</f>
        <v>0</v>
      </c>
      <c r="E4" s="38">
        <f>INDEX(IMCRa,MATCH(B4,IMCuse,0))</f>
        <v>0</v>
      </c>
      <c r="F4" s="39">
        <f>INDEX(IMCoccDensity,MATCH(B4,IMCuse,0))</f>
        <v>0</v>
      </c>
      <c r="G4" s="129">
        <f>ROUNDUP(((F4/1000)*C4),0)</f>
        <v>0</v>
      </c>
      <c r="H4" s="130">
        <f>SUM(D4*G4)+(E4*C4)</f>
        <v>0</v>
      </c>
      <c r="I4" s="26"/>
      <c r="J4" s="26"/>
      <c r="K4" s="26"/>
      <c r="L4" s="26"/>
      <c r="M4" s="26"/>
      <c r="P4" t="s">
        <v>133</v>
      </c>
    </row>
    <row r="5" spans="1:16" ht="30" customHeight="1" thickBot="1" x14ac:dyDescent="0.3">
      <c r="A5" s="137" t="s">
        <v>308</v>
      </c>
      <c r="B5" s="118" t="s">
        <v>27</v>
      </c>
      <c r="C5" s="128">
        <v>0</v>
      </c>
      <c r="D5" s="38">
        <f>INDEX(IMCRp,MATCH(B5,IMCuse,0))</f>
        <v>0</v>
      </c>
      <c r="E5" s="38">
        <f>INDEX(IMCRa,MATCH(B5,IMCuse,0))</f>
        <v>0</v>
      </c>
      <c r="F5" s="39">
        <f>INDEX(IMCoccDensity,MATCH(B5,IMCuse,0))</f>
        <v>0</v>
      </c>
      <c r="G5" s="129">
        <f>ROUNDUP(((F5/1000)*C5),0)</f>
        <v>0</v>
      </c>
      <c r="H5" s="130">
        <f>SUM(D5*G5)+(E5*C5)</f>
        <v>0</v>
      </c>
      <c r="I5" s="26"/>
      <c r="J5" s="102" t="s">
        <v>29</v>
      </c>
      <c r="K5" s="104" t="s">
        <v>43</v>
      </c>
      <c r="L5" s="102" t="s">
        <v>48</v>
      </c>
      <c r="M5" s="102" t="s">
        <v>49</v>
      </c>
      <c r="P5" t="s">
        <v>134</v>
      </c>
    </row>
    <row r="6" spans="1:16" ht="30" customHeight="1" x14ac:dyDescent="0.25">
      <c r="A6" s="137" t="s">
        <v>308</v>
      </c>
      <c r="B6" s="118" t="s">
        <v>27</v>
      </c>
      <c r="C6" s="128">
        <v>0</v>
      </c>
      <c r="D6" s="38">
        <f>INDEX(IMCRp,MATCH(B6,IMCuse,0))</f>
        <v>0</v>
      </c>
      <c r="E6" s="38">
        <f>INDEX(IMCRa,MATCH(B6,IMCuse,0))</f>
        <v>0</v>
      </c>
      <c r="F6" s="39">
        <f>INDEX(IMCoccDensity,MATCH(B6,IMCuse,0))</f>
        <v>0</v>
      </c>
      <c r="G6" s="129">
        <f>ROUNDUP(((F6/1000)*C6),0)</f>
        <v>0</v>
      </c>
      <c r="H6" s="130">
        <f>SUM(D6*G6)+(E6*C6)</f>
        <v>0</v>
      </c>
      <c r="I6" s="26"/>
      <c r="J6" s="101" t="s">
        <v>36</v>
      </c>
      <c r="K6" s="103">
        <v>1</v>
      </c>
      <c r="L6" s="105" t="s">
        <v>44</v>
      </c>
      <c r="M6" s="106">
        <f>IF(AND(L3="thru-wall erv",OR(J6="1 ton",J6="1.5 ton",J6="2 ton",J6="2.5 ton",J6="3 ton",J6="3.5 ton",J6="4 ton",J6="5 ton")),"-",IF(L3="bard",INDEX(bardindex,MATCH(J6,bardsize,0),MATCH(L6,bardvent,0))*K6,IF(L3="RTU",INDEX(rturef,MATCH(J6,rtusize,0),MATCH(L6,rtuvent,0))*K6,IF(L3="MARVAIR",INDEX(marairref,MATCH(J6,marvairsize,0),MATCH(L6,marvairvent,0))*K6,IF(L3="THRU-WALL ERV",INDEX(ERVINDEX,MATCH(J6,ERVSIZE,0))*K6,0)))))</f>
        <v>287.5</v>
      </c>
      <c r="P6" t="s">
        <v>135</v>
      </c>
    </row>
    <row r="7" spans="1:16" ht="30" customHeight="1" thickBot="1" x14ac:dyDescent="0.3">
      <c r="A7" s="138" t="s">
        <v>308</v>
      </c>
      <c r="B7" s="131" t="s">
        <v>27</v>
      </c>
      <c r="C7" s="132">
        <v>0</v>
      </c>
      <c r="D7" s="38">
        <f>INDEX(IMCRp,MATCH(B7,IMCuse,0))</f>
        <v>0</v>
      </c>
      <c r="E7" s="38">
        <f>INDEX(IMCRa,MATCH(B7,IMCuse,0))</f>
        <v>0</v>
      </c>
      <c r="F7" s="39">
        <f>INDEX(IMCoccDensity,MATCH(B7,IMCuse,0))</f>
        <v>0</v>
      </c>
      <c r="G7" s="133">
        <f>ROUNDUP(((F7/1000)*C7),0)</f>
        <v>0</v>
      </c>
      <c r="H7" s="134">
        <f>SUM(D7*G7)+(E7*C7)</f>
        <v>0</v>
      </c>
      <c r="I7" s="26"/>
      <c r="J7" s="96" t="s">
        <v>27</v>
      </c>
      <c r="K7" s="28">
        <v>0</v>
      </c>
      <c r="L7" s="105" t="s">
        <v>44</v>
      </c>
      <c r="M7" s="106">
        <f>IF(AND(L3="thru-wall erv",OR(J7="1 ton",J7="1.5 ton",J7="2 ton",J7="2.5 ton",J7="3 ton",J7="3.5 ton",J7="4 ton",J7="5 ton")),"-",IF(L3="bard",INDEX(bardindex,MATCH(J7,bardsize,0),MATCH(L7,bardvent,0))*K7,IF(L3="RTU",INDEX(rturef,MATCH(J7,rtusize,0),MATCH(L7,rtuvent,0))*K7,IF(L3="MARVAIR",INDEX(marairref,MATCH(J7,marvairsize,0),MATCH(L7,marvairvent,0))*K7,IF(L3="THRU-WALL ERV",INDEX(ERVINDEX,MATCH(J7,ERVSIZE,0))*K7,0)))))</f>
        <v>0</v>
      </c>
      <c r="P7" t="s">
        <v>285</v>
      </c>
    </row>
    <row r="8" spans="1:16" x14ac:dyDescent="0.25">
      <c r="A8" s="293" t="s">
        <v>294</v>
      </c>
      <c r="B8" s="309" t="s">
        <v>51</v>
      </c>
      <c r="C8" s="299"/>
      <c r="D8" s="41">
        <f>SUM(H3:H7)</f>
        <v>0</v>
      </c>
      <c r="E8" s="310" t="s">
        <v>53</v>
      </c>
      <c r="F8" s="311"/>
      <c r="G8" s="314" t="str">
        <f>IF(D8&gt;D9,""&amp;D9&amp;" CFM &lt; "&amp;D8&amp;" CFM, THEREFORE NG",IF(D8&lt;D9,""&amp;D9&amp;" CFM &gt; "&amp;D8&amp;" CFM, THEREFORE OK",0))</f>
        <v>287.5 CFM &gt; 0 CFM, THEREFORE OK</v>
      </c>
      <c r="H8" s="315"/>
      <c r="I8" s="26"/>
      <c r="J8" s="96" t="s">
        <v>27</v>
      </c>
      <c r="K8" s="28">
        <v>0</v>
      </c>
      <c r="L8" s="105" t="s">
        <v>44</v>
      </c>
      <c r="M8" s="106">
        <f>IF(AND(L3="thru-wall erv",OR(J8="1 ton",J8="1.5 ton",J8="2 ton",J8="2.5 ton",J8="3 ton",J8="3.5 ton",J8="4 ton",J8="5 ton")),"-",IF(L3="bard",INDEX(bardindex,MATCH(J8,bardsize,0),MATCH(L8,bardvent,0))*K8,IF(L3="RTU",INDEX(rturef,MATCH(J8,rtusize,0),MATCH(L8,rtuvent,0))*K8,IF(L3="MARVAIR",INDEX(marairref,MATCH(J8,marvairsize,0),MATCH(L8,marvairvent,0))*K8,IF(L3="THRU-WALL ERV",INDEX(ERVINDEX,MATCH(J8,ERVSIZE,0))*K8,0)))))</f>
        <v>0</v>
      </c>
      <c r="P8" t="s">
        <v>284</v>
      </c>
    </row>
    <row r="9" spans="1:16" ht="15.75" thickBot="1" x14ac:dyDescent="0.3">
      <c r="A9" s="304"/>
      <c r="B9" s="318" t="s">
        <v>52</v>
      </c>
      <c r="C9" s="301"/>
      <c r="D9" s="36">
        <f>SUM(M6:M10)</f>
        <v>287.5</v>
      </c>
      <c r="E9" s="312"/>
      <c r="F9" s="313"/>
      <c r="G9" s="316"/>
      <c r="H9" s="317"/>
      <c r="I9" s="26"/>
      <c r="J9" s="96" t="s">
        <v>27</v>
      </c>
      <c r="K9" s="28">
        <v>0</v>
      </c>
      <c r="L9" s="105" t="s">
        <v>44</v>
      </c>
      <c r="M9" s="106">
        <f>IF(AND(L3="thru-wall erv",OR(J9="1 ton",J9="1.5 ton",J9="2 ton",J9="2.5 ton",J9="3 ton",J9="3.5 ton",J9="4 ton",J9="5 ton")),"-",IF(L3="bard",INDEX(bardindex,MATCH(J9,bardsize,0),MATCH(L9,bardvent,0))*K9,IF(L3="RTU",INDEX(rturef,MATCH(J9,rtusize,0),MATCH(L9,rtuvent,0))*K9,IF(L3="MARVAIR",INDEX(marairref,MATCH(J9,marvairsize,0),MATCH(L9,marvairvent,0))*K9,IF(L3="THRU-WALL ERV",INDEX(ERVINDEX,MATCH(J9,ERVSIZE,0))*K9,0)))))</f>
        <v>0</v>
      </c>
      <c r="P9" t="s">
        <v>136</v>
      </c>
    </row>
    <row r="10" spans="1:16" ht="15.75" thickBot="1" x14ac:dyDescent="0.3">
      <c r="A10" s="304"/>
      <c r="B10" s="26"/>
      <c r="C10" s="26"/>
      <c r="D10" s="26"/>
      <c r="E10" s="26"/>
      <c r="F10" s="26"/>
      <c r="G10" s="26"/>
      <c r="H10" s="26"/>
      <c r="I10" s="26"/>
      <c r="J10" s="98" t="s">
        <v>27</v>
      </c>
      <c r="K10" s="99">
        <v>0</v>
      </c>
      <c r="L10" s="124" t="s">
        <v>44</v>
      </c>
      <c r="M10" s="198">
        <f>IF(AND(L3="thru-wall erv",OR(J10="1 ton",J10="1.5 ton",J10="2 ton",J10="2.5 ton",J10="3 ton",J10="3.5 ton",J10="4 ton",J10="5 ton")),"-",IF(L3="bard",INDEX(bardindex,MATCH(J10,bardsize,0),MATCH(L10,bardvent,0))*K10,IF(L3="RTU",INDEX(rturef,MATCH(J10,rtusize,0),MATCH(L10,rtuvent,0))*K10,IF(L3="MARVAIR",INDEX(marairref,MATCH(J10,marvairsize,0),MATCH(L10,marvairvent,0))*K10,IF(L3="THRU-WALL ERV",INDEX(ERVINDEX,MATCH(J10,ERVSIZE,0))*K10,0)))))</f>
        <v>0</v>
      </c>
      <c r="P10" t="s">
        <v>286</v>
      </c>
    </row>
    <row r="11" spans="1:16" x14ac:dyDescent="0.25">
      <c r="A11" s="304"/>
      <c r="P11" t="s">
        <v>287</v>
      </c>
    </row>
    <row r="12" spans="1:16" x14ac:dyDescent="0.25">
      <c r="A12" s="304"/>
      <c r="P12" t="s">
        <v>288</v>
      </c>
    </row>
    <row r="13" spans="1:16" x14ac:dyDescent="0.25">
      <c r="A13" s="304"/>
      <c r="C13" s="94" t="s">
        <v>256</v>
      </c>
      <c r="J13" s="110" t="s">
        <v>271</v>
      </c>
      <c r="P13" t="s">
        <v>289</v>
      </c>
    </row>
    <row r="14" spans="1:16" x14ac:dyDescent="0.25">
      <c r="A14" s="304"/>
      <c r="C14" s="95" t="s">
        <v>176</v>
      </c>
      <c r="D14" t="s">
        <v>282</v>
      </c>
      <c r="P14" t="s">
        <v>290</v>
      </c>
    </row>
    <row r="15" spans="1:16" x14ac:dyDescent="0.25">
      <c r="A15" s="304"/>
      <c r="C15" s="95" t="s">
        <v>177</v>
      </c>
      <c r="D15" s="112" t="s">
        <v>273</v>
      </c>
      <c r="P15" t="s">
        <v>291</v>
      </c>
    </row>
    <row r="16" spans="1:16" ht="15.75" thickBot="1" x14ac:dyDescent="0.3">
      <c r="A16" s="305"/>
      <c r="C16" s="95" t="s">
        <v>272</v>
      </c>
      <c r="D16" s="112" t="s">
        <v>274</v>
      </c>
      <c r="P16" t="s">
        <v>292</v>
      </c>
    </row>
    <row r="17" spans="16:16" x14ac:dyDescent="0.25">
      <c r="P17" t="s">
        <v>293</v>
      </c>
    </row>
  </sheetData>
  <mergeCells count="6">
    <mergeCell ref="A8:A16"/>
    <mergeCell ref="B1:H1"/>
    <mergeCell ref="B8:C8"/>
    <mergeCell ref="E8:F9"/>
    <mergeCell ref="G8:H9"/>
    <mergeCell ref="B9:C9"/>
  </mergeCells>
  <conditionalFormatting sqref="G8:H9">
    <cfRule type="containsText" dxfId="14" priority="1" operator="containsText" text="NG">
      <formula>NOT(ISERROR(SEARCH("NG",G8)))</formula>
    </cfRule>
  </conditionalFormatting>
  <dataValidations count="14">
    <dataValidation type="list" allowBlank="1" showInputMessage="1" showErrorMessage="1" sqref="J8" xr:uid="{BC668FE2-973C-492B-8933-5697FB902AD9}">
      <formula1>IF(L3="bard",bardsize,IF(L3="rtu",rtusize,IF(L3="marvair",marvairsize,IF(L3="THRU-WALL ERV",ERVSIZE,0))))</formula1>
    </dataValidation>
    <dataValidation type="list" allowBlank="1" showInputMessage="1" showErrorMessage="1" sqref="J6" xr:uid="{6264F341-5219-41D3-BEEA-7FEC6A3AF9D8}">
      <formula1>IF(L3="bard",bardsize,IF(L3="rtu",rtusize,IF(L3="marvair",marvairsize,IF(L3="THRU-WALL ERV",ERVSIZE,0))))</formula1>
    </dataValidation>
    <dataValidation type="list" allowBlank="1" showInputMessage="1" showErrorMessage="1" sqref="J7" xr:uid="{7AEF5384-32BB-42A3-899B-1F786895302D}">
      <formula1>IF(L3="bard",bardsize,IF(L3="rtu",rtusize,IF(L3="marvair",marvairsize,IF(L3="THRU-WALL ERV",ERVSIZE,0))))</formula1>
    </dataValidation>
    <dataValidation type="list" allowBlank="1" showInputMessage="1" showErrorMessage="1" sqref="L6:L10" xr:uid="{7282D5EB-3566-423D-A2F4-4C0297516767}">
      <formula1>bardvent</formula1>
    </dataValidation>
    <dataValidation type="list" allowBlank="1" showInputMessage="1" showErrorMessage="1" sqref="A3" xr:uid="{1CCFE11B-58F2-434B-B38A-33231B85A5A9}">
      <formula1>$P$4:$P$17</formula1>
    </dataValidation>
    <dataValidation type="list" allowBlank="1" showInputMessage="1" showErrorMessage="1" sqref="A4:A7" xr:uid="{E648437F-4271-4C2E-8F6E-7B2D2F6B9AB3}">
      <formula1>$P$3:$P$17</formula1>
    </dataValidation>
    <dataValidation type="list" allowBlank="1" showInputMessage="1" showErrorMessage="1" sqref="B3" xr:uid="{1E696262-C523-465C-95A0-3BE11A39EC81}">
      <formula1>IF(A3=P3,NONE,IF(A3=P4,Off,IF(A3=P5,Pub,IF(A3=P6,Edu,IF(A3=P7,Work,IF(A3=P8,Hot,IF(A3=P9,Ret,IF(A3=P10,Food,IF(A3=P11,Dry,IF(A3=P12,Sport,IF(A3=P13,Sotr,IF(A3=P14,Thea,IF(A3=P15,Spec,IF(A3=P16,Tran,IF(A3=P17,Coor,0)))))))))))))))</formula1>
    </dataValidation>
    <dataValidation type="list" allowBlank="1" showInputMessage="1" showErrorMessage="1" sqref="B4" xr:uid="{64C03D3D-587E-4F1C-8A87-A9C988564DAD}">
      <formula1>IF(A4=P3,NONE,IF(A4=P4,Off,IF(A4=P5,Pub,IF(A4=P6,Edu,IF(A4=P7,Work,IF(A4=P8,Hot,IF(A4=P9,Ret,IF(A4=P10,Food,IF(A4=P11,Dry,IF(A4=P12,Sport,IF(A4=P13,Sotr,IF(A4=P14,Thea,IF(A4=P15,Spec,IF(A4=P16,Tran,IF(A4=P17,Coor,0)))))))))))))))</formula1>
    </dataValidation>
    <dataValidation type="list" allowBlank="1" showInputMessage="1" showErrorMessage="1" sqref="B5" xr:uid="{A85D04E3-3FFB-45EF-911B-FC813DC9CA0D}">
      <formula1>IF(A5=P3,NONE,IF(A5=P4,Off,IF(A5=P5,Pub,IF(A5=P6,Edu,IF(A5=P7,Work,IF(A5=P8,Hot,IF(A5=P9,Ret,IF(A5=P10,Food,IF(A5=P11,Dry,IF(A5=P12,Sport,IF(A5=P13,Sotr,IF(A5=P14,Thea,IF(A5=P15,Spec,IF(A5=P16,Tran,IF(A5=P17,Coor,0)))))))))))))))</formula1>
    </dataValidation>
    <dataValidation type="list" allowBlank="1" showInputMessage="1" showErrorMessage="1" sqref="B6" xr:uid="{C155519D-80A5-4F8D-8723-51DA7AD52055}">
      <formula1>IF(A6=P3,NONE,IF(A6=P4,Off,IF(A6=P5,Pub,IF(A6=P6,Edu,IF(A6=P7,Work,IF(A6=P8,Hot,IF(A6=P9,Ret,IF(A6=P10,Food,IF(A6=P11,Dry,IF(A6=P12,Sport,IF(A6=P13,Sotr,IF(A6=P14,Thea,IF(A6=P15,Spec,IF(A6=P16,Tran,IF(A6=P17,Coor,0)))))))))))))))</formula1>
    </dataValidation>
    <dataValidation type="list" allowBlank="1" showInputMessage="1" showErrorMessage="1" sqref="B7" xr:uid="{FDEBFC48-B718-49A2-BFB3-07D48EAB62BA}">
      <formula1>IF(A7=P3,NONE,IF(A7=P4,Off,IF(A7=P5,Pub,IF(A7=P6,Edu,IF(A7=P7,Work,IF(A7=P8,Hot,IF(A7=P9,Ret,IF(A7=P10,Food,IF(A7=P11,Dry,IF(A7=P12,Sport,IF(A7=P13,Sotr,IF(A7=P14,Thea,IF(A7=P15,Spec,IF(A7=P16,Tran,IF(A7=P17,Coor,0)))))))))))))))</formula1>
    </dataValidation>
    <dataValidation type="list" allowBlank="1" showInputMessage="1" showErrorMessage="1" sqref="J9" xr:uid="{61C5471C-60BC-4437-8011-03102FD4AA82}">
      <formula1>IF(L3="bard",bardsize,IF(L3="rtu",rtusize,IF(L3="marvair",marvairsize,IF(L3="THRU-WALL ERV",ERVSIZE,0))))</formula1>
    </dataValidation>
    <dataValidation type="list" allowBlank="1" showInputMessage="1" showErrorMessage="1" sqref="J10" xr:uid="{AA0C11C7-112E-4686-8F15-34E08F0D8076}">
      <formula1>IF(L3="bard",bardsize,IF(L3="rtu",rtusize,IF(L3="marvair",marvairsize,IF(L3="THRU-WALL ERV",ERVSIZE,0))))</formula1>
    </dataValidation>
    <dataValidation type="list" allowBlank="1" showInputMessage="1" showErrorMessage="1" sqref="L3" xr:uid="{5519C129-17D9-4968-BB90-CA7973073FE2}">
      <formula1>"BARD, RTU, MARVAIR, THRU-WALL ERV"</formula1>
    </dataValidation>
  </dataValidation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BC7C-B16C-4E12-91AE-1D347E9C1778}">
  <dimension ref="A1:P19"/>
  <sheetViews>
    <sheetView workbookViewId="0">
      <selection activeCell="D2" sqref="D2"/>
    </sheetView>
  </sheetViews>
  <sheetFormatPr defaultRowHeight="15" x14ac:dyDescent="0.25"/>
  <cols>
    <col min="1" max="1" width="16.5703125" customWidth="1"/>
    <col min="2" max="2" width="18.28515625" customWidth="1"/>
    <col min="3" max="3" width="23.28515625" customWidth="1"/>
    <col min="4" max="4" width="16.28515625" customWidth="1"/>
    <col min="6" max="6" width="14.7109375" customWidth="1"/>
    <col min="7" max="7" width="10.42578125" customWidth="1"/>
    <col min="8" max="8" width="21.7109375" customWidth="1"/>
    <col min="9" max="9" width="12.42578125" customWidth="1"/>
    <col min="16" max="16" width="9.140625" hidden="1" customWidth="1"/>
  </cols>
  <sheetData>
    <row r="1" spans="1:16" ht="15.75" thickBot="1" x14ac:dyDescent="0.3">
      <c r="A1" s="141" t="s">
        <v>309</v>
      </c>
      <c r="B1" s="288" t="s">
        <v>0</v>
      </c>
      <c r="C1" s="289"/>
      <c r="D1" s="290"/>
    </row>
    <row r="2" spans="1:16" ht="30" customHeight="1" thickBot="1" x14ac:dyDescent="0.3">
      <c r="A2" s="136" t="s">
        <v>424</v>
      </c>
      <c r="B2" s="118" t="s">
        <v>367</v>
      </c>
      <c r="C2" s="113" t="s">
        <v>57</v>
      </c>
      <c r="D2" s="31">
        <v>0</v>
      </c>
      <c r="E2" s="109" t="s">
        <v>257</v>
      </c>
      <c r="F2" s="24"/>
      <c r="G2" s="24"/>
    </row>
    <row r="3" spans="1:16" ht="30" customHeight="1" x14ac:dyDescent="0.25">
      <c r="A3" s="293" t="s">
        <v>506</v>
      </c>
      <c r="B3" s="296" t="s">
        <v>4</v>
      </c>
      <c r="C3" s="297"/>
      <c r="D3" s="34">
        <f>INDEX(IMCRp1,MATCH(B2,IMCuse1,0))</f>
        <v>5</v>
      </c>
      <c r="F3" s="26"/>
      <c r="G3" s="27" t="s">
        <v>47</v>
      </c>
      <c r="H3" s="176" t="s">
        <v>42</v>
      </c>
      <c r="I3" s="26"/>
      <c r="P3" t="s">
        <v>308</v>
      </c>
    </row>
    <row r="4" spans="1:16" ht="30" customHeight="1" thickBot="1" x14ac:dyDescent="0.3">
      <c r="A4" s="294"/>
      <c r="B4" s="291" t="s">
        <v>5</v>
      </c>
      <c r="C4" s="292"/>
      <c r="D4" s="33">
        <f>INDEX(IMCRa1,MATCH(B2,IMCuse1,0))</f>
        <v>0.06</v>
      </c>
      <c r="F4" s="26"/>
      <c r="G4" s="26"/>
      <c r="H4" s="26"/>
      <c r="I4" s="26"/>
      <c r="P4" t="s">
        <v>419</v>
      </c>
    </row>
    <row r="5" spans="1:16" ht="30" customHeight="1" thickBot="1" x14ac:dyDescent="0.3">
      <c r="A5" s="294"/>
      <c r="B5" s="291" t="s">
        <v>56</v>
      </c>
      <c r="C5" s="292"/>
      <c r="D5" s="32">
        <f>INDEX(IMCocc1,MATCH(B2,IMCuse1,0))</f>
        <v>5</v>
      </c>
      <c r="F5" s="102" t="s">
        <v>29</v>
      </c>
      <c r="G5" s="104" t="s">
        <v>43</v>
      </c>
      <c r="H5" s="102" t="s">
        <v>48</v>
      </c>
      <c r="I5" s="102" t="s">
        <v>49</v>
      </c>
      <c r="P5" s="142" t="s">
        <v>420</v>
      </c>
    </row>
    <row r="6" spans="1:16" ht="30" customHeight="1" thickBot="1" x14ac:dyDescent="0.3">
      <c r="A6" s="294"/>
      <c r="B6" s="291" t="s">
        <v>55</v>
      </c>
      <c r="C6" s="292"/>
      <c r="D6" s="33">
        <f>ROUNDUP(((D5/1000)*D2),0)</f>
        <v>0</v>
      </c>
      <c r="F6" s="101" t="s">
        <v>36</v>
      </c>
      <c r="G6" s="103">
        <v>2</v>
      </c>
      <c r="H6" s="105" t="s">
        <v>44</v>
      </c>
      <c r="I6" s="106">
        <f>IF(AND(H3="thru-wall erv",OR(F6="1 ton",F6="1.5 ton",F6="2 ton",F6="2.5 ton",F6="3 ton",F6="3.5 ton",F6="4 ton",F6="5 ton")),"-",IF(H3="bard",INDEX(bardindex,MATCH(F6,bardsize,0),MATCH(H6,bardvent,0))*G6,IF(H3="RTU",INDEX(rturef,MATCH(F6,rtusize,0),MATCH(H6,rtuvent,0))*G6,IF(H3="MARVAIR",INDEX(marairref,MATCH(F6,marvairsize,0),MATCH(H6,marvairvent,0))*G6,IF(H3="THRU-WALL ERV",INDEX(ERVINDEX,MATCH(F6,ERVSIZE,0))*G6,0)))))</f>
        <v>575</v>
      </c>
      <c r="P6" s="142" t="s">
        <v>421</v>
      </c>
    </row>
    <row r="7" spans="1:16" ht="30" customHeight="1" x14ac:dyDescent="0.25">
      <c r="A7" s="294"/>
      <c r="B7" s="298" t="s">
        <v>50</v>
      </c>
      <c r="C7" s="299"/>
      <c r="D7" s="35">
        <f>SUM(D3*D6)+(D4*D2)</f>
        <v>0</v>
      </c>
      <c r="F7" s="101" t="s">
        <v>38</v>
      </c>
      <c r="G7" s="28">
        <v>0</v>
      </c>
      <c r="H7" s="105" t="s">
        <v>44</v>
      </c>
      <c r="I7" s="97">
        <f>IF(AND(H3="thru-wall erv",OR(F7="1 ton",F7="1.5 ton",F7="2 ton",F7="2.5 ton",F7="3 ton",F7="3.5 ton",F7="4 ton",F7="5 ton")),"-",IF(H3="bard",INDEX(bardindex,MATCH(F7,bardsize,0),MATCH(H7,bardvent,0))*G7,IF(H3="RTU",INDEX(rturef,MATCH(F7,rtusize,0),MATCH(H7,rtuvent,0))*G7,IF(H3="MARVAIR",INDEX(marairref,MATCH(F7,marvairsize,0),MATCH(H7,marvairvent,0))*G7,IF(H3="THRU-WALL ERV",INDEX(ERVINDEX,MATCH(F7,ERVSIZE,0))*G7,0)))))</f>
        <v>0</v>
      </c>
      <c r="P7" s="142" t="s">
        <v>65</v>
      </c>
    </row>
    <row r="8" spans="1:16" ht="30" customHeight="1" thickBot="1" x14ac:dyDescent="0.3">
      <c r="A8" s="294"/>
      <c r="B8" s="300" t="s">
        <v>52</v>
      </c>
      <c r="C8" s="301"/>
      <c r="D8" s="36">
        <f>SUM(I6:I8)</f>
        <v>575</v>
      </c>
      <c r="F8" s="107" t="s">
        <v>38</v>
      </c>
      <c r="G8" s="99">
        <v>0</v>
      </c>
      <c r="H8" s="124" t="s">
        <v>44</v>
      </c>
      <c r="I8" s="100">
        <f>IF(AND(H3="thru-wall erv",OR(F8="1 ton",F8="1.5 ton",F8="2 ton",F8="2.5 ton",F8="3 ton",F8="3.5 ton",F8="4 ton",F8="5 ton")),"-",IF(H3="bard",INDEX(bardindex,MATCH(F8,bardsize,0),MATCH(H8,bardvent,0))*G8,IF(H3="RTU",INDEX(rturef,MATCH(F8,rtusize,0),MATCH(H8,rtuvent,0))*G8,IF(H3="MARVAIR",INDEX(marairref,MATCH(F8,marvairsize,0),MATCH(H8,marvairvent,0))*G8,IF(H3="THRU-WALL ERV",INDEX(ERVINDEX,MATCH(F8,ERVSIZE,0))*G8,0)))))</f>
        <v>0</v>
      </c>
      <c r="P8" s="142" t="s">
        <v>422</v>
      </c>
    </row>
    <row r="9" spans="1:16" ht="15" customHeight="1" thickBot="1" x14ac:dyDescent="0.3">
      <c r="A9" s="295"/>
      <c r="B9" s="25" t="s">
        <v>53</v>
      </c>
      <c r="C9" s="302" t="str">
        <f>IF(D7&gt;D8,""&amp;D8&amp;" CFM &lt; "&amp;D7&amp;" CFM, THEREFORE NG",IF(D7&lt;D8,""&amp;D8&amp;" CFM &gt; "&amp;D7&amp;" CFM, THEREFORE OK",0))</f>
        <v>575 CFM &gt; 0 CFM, THEREFORE OK</v>
      </c>
      <c r="D9" s="303"/>
      <c r="P9" s="142" t="s">
        <v>423</v>
      </c>
    </row>
    <row r="10" spans="1:16" ht="15.75" customHeight="1" x14ac:dyDescent="0.25">
      <c r="A10" s="140"/>
      <c r="P10" s="142" t="s">
        <v>424</v>
      </c>
    </row>
    <row r="11" spans="1:16" ht="15.75" customHeight="1" x14ac:dyDescent="0.25">
      <c r="A11" s="140"/>
      <c r="F11" s="110" t="s">
        <v>271</v>
      </c>
      <c r="P11" s="142" t="s">
        <v>425</v>
      </c>
    </row>
    <row r="12" spans="1:16" x14ac:dyDescent="0.25">
      <c r="P12" s="142" t="s">
        <v>426</v>
      </c>
    </row>
    <row r="13" spans="1:16" x14ac:dyDescent="0.25">
      <c r="B13" s="94" t="s">
        <v>256</v>
      </c>
      <c r="P13" s="142" t="s">
        <v>427</v>
      </c>
    </row>
    <row r="14" spans="1:16" x14ac:dyDescent="0.25">
      <c r="B14" s="95" t="s">
        <v>176</v>
      </c>
      <c r="C14" t="s">
        <v>282</v>
      </c>
      <c r="P14" s="142" t="s">
        <v>428</v>
      </c>
    </row>
    <row r="15" spans="1:16" x14ac:dyDescent="0.25">
      <c r="B15" s="95" t="s">
        <v>177</v>
      </c>
      <c r="C15" s="112" t="s">
        <v>273</v>
      </c>
      <c r="P15" s="142" t="s">
        <v>429</v>
      </c>
    </row>
    <row r="16" spans="1:16" x14ac:dyDescent="0.25">
      <c r="B16" s="95" t="s">
        <v>178</v>
      </c>
      <c r="C16" s="112" t="s">
        <v>274</v>
      </c>
      <c r="P16" s="142" t="s">
        <v>90</v>
      </c>
    </row>
    <row r="17" spans="16:16" x14ac:dyDescent="0.25">
      <c r="P17" s="142" t="s">
        <v>430</v>
      </c>
    </row>
    <row r="18" spans="16:16" x14ac:dyDescent="0.25">
      <c r="P18" s="142" t="s">
        <v>431</v>
      </c>
    </row>
    <row r="19" spans="16:16" x14ac:dyDescent="0.25">
      <c r="P19" s="142" t="s">
        <v>92</v>
      </c>
    </row>
  </sheetData>
  <mergeCells count="9">
    <mergeCell ref="B1:D1"/>
    <mergeCell ref="A3:A9"/>
    <mergeCell ref="B3:C3"/>
    <mergeCell ref="B4:C4"/>
    <mergeCell ref="B5:C5"/>
    <mergeCell ref="B6:C6"/>
    <mergeCell ref="B7:C7"/>
    <mergeCell ref="B8:C8"/>
    <mergeCell ref="C9:D9"/>
  </mergeCells>
  <conditionalFormatting sqref="C9">
    <cfRule type="containsText" dxfId="13" priority="1" operator="containsText" text="NG">
      <formula>NOT(ISERROR(SEARCH("NG",C9)))</formula>
    </cfRule>
  </conditionalFormatting>
  <dataValidations count="6">
    <dataValidation type="list" allowBlank="1" showInputMessage="1" showErrorMessage="1" sqref="B2" xr:uid="{A6A172DA-903E-422F-B0F3-9CC5C8483F5C}">
      <formula1>IF(A2=P3,NONE,IF(A2=P4,An,IF(A2=P5,Co,IF(A2=P6,Dr,IF(A2=P7,Ed,IF(A2=P8,Fo,IF(A2=P9,Ho,IF(A2=P10,Of,IF(A2=P11,Ou,IF(A2=P12,Pu,IF(A2=P13,Re,IF(A2=P14,Sp,IF(A2=P15,Sa,IF(A2=P16,Sg,IF(A2=P17,Th,IF(A2=P18,Tr,IF(A2=P19,Wr,0)))))))))))))))))</formula1>
    </dataValidation>
    <dataValidation type="list" allowBlank="1" showInputMessage="1" showErrorMessage="1" sqref="H6:H8" xr:uid="{BE098043-B884-4637-8600-777B5B133FE6}">
      <formula1>bardvent</formula1>
    </dataValidation>
    <dataValidation type="list" allowBlank="1" showInputMessage="1" showErrorMessage="1" sqref="F8" xr:uid="{F2A6CC6F-8DEC-49E3-84AF-AD843FC4B550}">
      <formula1>IF(H3="bard",bardsize,IF(H3="rtu",rtusize,IF(H3="marvair",marvairsize,IF(H3="THRU-WALL ERV",ERVSIZE,0))))</formula1>
    </dataValidation>
    <dataValidation type="list" allowBlank="1" showInputMessage="1" showErrorMessage="1" sqref="F7" xr:uid="{BC1CB7B4-303F-4130-AA1C-7E4CBB482DA7}">
      <formula1>IF(H3="bard",bardsize,IF(H3="rtu",rtusize,IF(H3="marvair",marvairsize,IF(H3="THRU-WALL ERV",ERVSIZE,0))))</formula1>
    </dataValidation>
    <dataValidation type="list" allowBlank="1" showInputMessage="1" showErrorMessage="1" sqref="F6" xr:uid="{13C8352E-9F6F-47C4-B422-B40EEFC994CD}">
      <formula1>IF(H3="bard",bardsize,IF(H3="rtu",rtusize,IF(H3="marvair",marvairsize,IF(H3="THRU-WALL ERV",ERVSIZE,0))))</formula1>
    </dataValidation>
    <dataValidation type="list" allowBlank="1" showInputMessage="1" showErrorMessage="1" sqref="H3" xr:uid="{A8FA423A-70BC-40E7-9D3B-054154328FB4}">
      <formula1>"BARD, RTU, MARVAIR, THRU-WALL ERV"</formula1>
    </dataValidation>
  </dataValidations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F934CE-3E8D-46A1-B8C8-0DEBDE6082EB}">
          <x14:formula1>
            <xm:f>'Calculation Tables'!$E$107:$E$123</xm:f>
          </x14:formula1>
          <xm:sqref>A2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04129-0F79-49BE-9FA8-CDA6A996A205}">
  <dimension ref="A1:P19"/>
  <sheetViews>
    <sheetView workbookViewId="0">
      <selection activeCell="C3" sqref="C3"/>
    </sheetView>
  </sheetViews>
  <sheetFormatPr defaultRowHeight="15" x14ac:dyDescent="0.25"/>
  <cols>
    <col min="1" max="1" width="16.5703125" customWidth="1"/>
    <col min="2" max="2" width="18.28515625" customWidth="1"/>
    <col min="3" max="8" width="13.7109375" customWidth="1"/>
    <col min="10" max="10" width="14.7109375" customWidth="1"/>
    <col min="11" max="11" width="11.85546875" customWidth="1"/>
    <col min="12" max="12" width="21.7109375" customWidth="1"/>
    <col min="13" max="13" width="12.85546875" customWidth="1"/>
    <col min="16" max="16" width="9.140625" hidden="1" customWidth="1"/>
    <col min="17" max="17" width="16.42578125" customWidth="1"/>
    <col min="18" max="18" width="9.140625" customWidth="1"/>
  </cols>
  <sheetData>
    <row r="1" spans="1:16" ht="15.75" thickBot="1" x14ac:dyDescent="0.3">
      <c r="B1" s="306" t="s">
        <v>0</v>
      </c>
      <c r="C1" s="307"/>
      <c r="D1" s="307"/>
      <c r="E1" s="307"/>
      <c r="F1" s="307"/>
      <c r="G1" s="307"/>
      <c r="H1" s="308"/>
      <c r="I1" s="26"/>
      <c r="J1" s="26"/>
      <c r="K1" s="26"/>
      <c r="L1" s="26"/>
      <c r="M1" s="26"/>
    </row>
    <row r="2" spans="1:16" ht="64.5" thickBot="1" x14ac:dyDescent="0.3">
      <c r="A2" s="135" t="s">
        <v>283</v>
      </c>
      <c r="B2" s="29" t="s">
        <v>2</v>
      </c>
      <c r="C2" s="29" t="s">
        <v>28</v>
      </c>
      <c r="D2" s="29" t="s">
        <v>4</v>
      </c>
      <c r="E2" s="29" t="s">
        <v>5</v>
      </c>
      <c r="F2" s="29" t="s">
        <v>6</v>
      </c>
      <c r="G2" s="29" t="s">
        <v>7</v>
      </c>
      <c r="H2" s="29" t="s">
        <v>50</v>
      </c>
      <c r="I2" s="26"/>
      <c r="J2" s="30"/>
      <c r="K2" s="30"/>
      <c r="L2" s="26"/>
      <c r="M2" s="26"/>
    </row>
    <row r="3" spans="1:16" ht="30" customHeight="1" x14ac:dyDescent="0.25">
      <c r="A3" s="136" t="s">
        <v>133</v>
      </c>
      <c r="B3" s="118" t="s">
        <v>367</v>
      </c>
      <c r="C3" s="125">
        <v>0</v>
      </c>
      <c r="D3" s="38">
        <f>INDEX(IMCRp1,MATCH(B3,IMCuse1,0))</f>
        <v>5</v>
      </c>
      <c r="E3" s="38">
        <f>INDEX(IMCRa1,MATCH(B3,IMCuse1,0))</f>
        <v>0.06</v>
      </c>
      <c r="F3" s="39">
        <f>INDEX(IMCocc1,MATCH(B3,IMCuse1,0))</f>
        <v>5</v>
      </c>
      <c r="G3" s="126">
        <f>ROUNDUP(((F3/1000)*C3),0)</f>
        <v>0</v>
      </c>
      <c r="H3" s="127">
        <f>SUM(D3*G3)+(E3*C3)</f>
        <v>0</v>
      </c>
      <c r="I3" s="26"/>
      <c r="J3" s="26"/>
      <c r="K3" s="27" t="s">
        <v>47</v>
      </c>
      <c r="L3" s="176" t="s">
        <v>42</v>
      </c>
      <c r="M3" s="26"/>
      <c r="P3" t="s">
        <v>308</v>
      </c>
    </row>
    <row r="4" spans="1:16" ht="30" customHeight="1" thickBot="1" x14ac:dyDescent="0.3">
      <c r="A4" s="137" t="s">
        <v>308</v>
      </c>
      <c r="B4" s="118" t="s">
        <v>27</v>
      </c>
      <c r="C4" s="128">
        <v>0</v>
      </c>
      <c r="D4" s="38">
        <f>INDEX(IMCRp1,MATCH(B4,IMCuse1,0))</f>
        <v>0</v>
      </c>
      <c r="E4" s="38">
        <f>INDEX(IMCRa1,MATCH(B4,IMCuse1,0))</f>
        <v>0</v>
      </c>
      <c r="F4" s="39">
        <f>INDEX(IMCocc1,MATCH(B4,IMCuse1,0))</f>
        <v>0</v>
      </c>
      <c r="G4" s="129">
        <f>ROUNDUP(((F4/1000)*C4),0)</f>
        <v>0</v>
      </c>
      <c r="H4" s="130">
        <f>SUM(D4*G4)+(E4*C4)</f>
        <v>0</v>
      </c>
      <c r="I4" s="26"/>
      <c r="J4" s="26"/>
      <c r="K4" s="26"/>
      <c r="L4" s="26"/>
      <c r="M4" s="26"/>
      <c r="P4" t="s">
        <v>419</v>
      </c>
    </row>
    <row r="5" spans="1:16" ht="30" customHeight="1" thickBot="1" x14ac:dyDescent="0.3">
      <c r="A5" s="137" t="s">
        <v>308</v>
      </c>
      <c r="B5" s="118" t="s">
        <v>27</v>
      </c>
      <c r="C5" s="128">
        <v>0</v>
      </c>
      <c r="D5" s="38">
        <f>INDEX(IMCRp1,MATCH(B5,IMCuse1,0))</f>
        <v>0</v>
      </c>
      <c r="E5" s="38">
        <f>INDEX(IMCRa1,MATCH(B5,IMCuse1,0))</f>
        <v>0</v>
      </c>
      <c r="F5" s="39">
        <f>INDEX(IMCocc1,MATCH(B5,IMCuse1,0))</f>
        <v>0</v>
      </c>
      <c r="G5" s="129">
        <f>ROUNDUP(((F5/1000)*C5),0)</f>
        <v>0</v>
      </c>
      <c r="H5" s="130">
        <f>SUM(D5*G5)+(E5*C5)</f>
        <v>0</v>
      </c>
      <c r="I5" s="26"/>
      <c r="J5" s="102" t="s">
        <v>29</v>
      </c>
      <c r="K5" s="104" t="s">
        <v>43</v>
      </c>
      <c r="L5" s="102" t="s">
        <v>48</v>
      </c>
      <c r="M5" s="102" t="s">
        <v>49</v>
      </c>
      <c r="P5" s="142" t="s">
        <v>420</v>
      </c>
    </row>
    <row r="6" spans="1:16" ht="30" customHeight="1" x14ac:dyDescent="0.25">
      <c r="A6" s="137" t="s">
        <v>308</v>
      </c>
      <c r="B6" s="118" t="s">
        <v>27</v>
      </c>
      <c r="C6" s="128">
        <v>0</v>
      </c>
      <c r="D6" s="38">
        <f>INDEX(IMCRp1,MATCH(B6,IMCuse1,0))</f>
        <v>0</v>
      </c>
      <c r="E6" s="38">
        <f>INDEX(IMCRa1,MATCH(B6,IMCuse1,0))</f>
        <v>0</v>
      </c>
      <c r="F6" s="39">
        <f>INDEX(IMCocc1,MATCH(B6,IMCuse1,0))</f>
        <v>0</v>
      </c>
      <c r="G6" s="129">
        <f>ROUNDUP(((F6/1000)*C6),0)</f>
        <v>0</v>
      </c>
      <c r="H6" s="130">
        <f>SUM(D6*G6)+(E6*C6)</f>
        <v>0</v>
      </c>
      <c r="I6" s="26"/>
      <c r="J6" s="101" t="s">
        <v>36</v>
      </c>
      <c r="K6" s="103">
        <v>1</v>
      </c>
      <c r="L6" s="105" t="s">
        <v>44</v>
      </c>
      <c r="M6" s="106">
        <f>IF(AND(L3="thru-wall erv",OR(J6="1 ton",J6="1.5 ton",J6="2 ton",J6="2.5 ton",J6="3 ton",J6="3.5 ton",J6="4 ton",J6="5 ton")),"-",IF(L3="bard",INDEX(bardindex,MATCH(J6,bardsize,0),MATCH(L6,bardvent,0))*K6,IF(L3="RTU",INDEX(rturef,MATCH(J6,rtusize,0),MATCH(L6,rtuvent,0))*K6,IF(L3="MARVAIR",INDEX(marairref,MATCH(J6,marvairsize,0),MATCH(L6,marvairvent,0))*K6,IF(L3="THRU-WALL ERV",INDEX(ERVINDEX,MATCH(J6,ERVSIZE,0))*K6,0)))))</f>
        <v>287.5</v>
      </c>
      <c r="P6" s="142" t="s">
        <v>421</v>
      </c>
    </row>
    <row r="7" spans="1:16" ht="30" customHeight="1" thickBot="1" x14ac:dyDescent="0.3">
      <c r="A7" s="138" t="s">
        <v>308</v>
      </c>
      <c r="B7" s="131" t="s">
        <v>27</v>
      </c>
      <c r="C7" s="132">
        <v>0</v>
      </c>
      <c r="D7" s="38">
        <f>INDEX(IMCRp1,MATCH(B7,IMCuse1,0))</f>
        <v>0</v>
      </c>
      <c r="E7" s="38">
        <f>INDEX(IMCRa1,MATCH(B7,IMCuse1,0))</f>
        <v>0</v>
      </c>
      <c r="F7" s="39">
        <f>INDEX(IMCocc1,MATCH(B7,IMCuse1,0))</f>
        <v>0</v>
      </c>
      <c r="G7" s="133">
        <f>ROUNDUP(((F7/1000)*C7),0)</f>
        <v>0</v>
      </c>
      <c r="H7" s="134">
        <f>SUM(D7*G7)+(E7*C7)</f>
        <v>0</v>
      </c>
      <c r="I7" s="26"/>
      <c r="J7" s="96" t="s">
        <v>27</v>
      </c>
      <c r="K7" s="28">
        <v>1</v>
      </c>
      <c r="L7" s="105" t="s">
        <v>44</v>
      </c>
      <c r="M7" s="106">
        <f>IF(AND(L3="thru-wall erv",OR(J7="1 ton",J7="1.5 ton",J7="2 ton",J7="2.5 ton",J7="3 ton",J7="3.5 ton",J7="4 ton",J7="5 ton")),"-",IF(L3="bard",INDEX(bardindex,MATCH(J7,bardsize,0),MATCH(L7,bardvent,0))*K7,IF(L3="RTU",INDEX(rturef,MATCH(J7,rtusize,0),MATCH(L7,rtuvent,0))*K7,IF(L3="MARVAIR",INDEX(marairref,MATCH(J7,marvairsize,0),MATCH(L7,marvairvent,0))*K7,IF(L3="THRU-WALL ERV",INDEX(ERVINDEX,MATCH(J7,ERVSIZE,0))*K7,0)))))</f>
        <v>0</v>
      </c>
      <c r="P7" s="142" t="s">
        <v>65</v>
      </c>
    </row>
    <row r="8" spans="1:16" x14ac:dyDescent="0.25">
      <c r="A8" s="293" t="s">
        <v>294</v>
      </c>
      <c r="B8" s="309" t="s">
        <v>51</v>
      </c>
      <c r="C8" s="299"/>
      <c r="D8" s="41">
        <f>SUM(H3:H7)</f>
        <v>0</v>
      </c>
      <c r="E8" s="310" t="s">
        <v>53</v>
      </c>
      <c r="F8" s="311"/>
      <c r="G8" s="314" t="str">
        <f>IF(D8&gt;D9,""&amp;D9&amp;" CFM &lt; "&amp;D8&amp;" CFM, THEREFORE NG",IF(D8&lt;D9,""&amp;D9&amp;" CFM &gt; "&amp;D8&amp;" CFM, THEREFORE OK",0))</f>
        <v>287.5 CFM &gt; 0 CFM, THEREFORE OK</v>
      </c>
      <c r="H8" s="315"/>
      <c r="I8" s="26"/>
      <c r="J8" s="96" t="s">
        <v>27</v>
      </c>
      <c r="K8" s="28">
        <v>0</v>
      </c>
      <c r="L8" s="105" t="s">
        <v>44</v>
      </c>
      <c r="M8" s="106">
        <f>IF(AND(L3="thru-wall erv",OR(J8="1 ton",J8="1.5 ton",J8="2 ton",J8="2.5 ton",J8="3 ton",J8="3.5 ton",J8="4 ton",J8="5 ton")),"-",IF(L3="bard",INDEX(bardindex,MATCH(J8,bardsize,0),MATCH(L8,bardvent,0))*K8,IF(L3="RTU",INDEX(rturef,MATCH(J8,rtusize,0),MATCH(L8,rtuvent,0))*K8,IF(L3="MARVAIR",INDEX(marairref,MATCH(J8,marvairsize,0),MATCH(L8,marvairvent,0))*K8,IF(L3="THRU-WALL ERV",INDEX(ERVINDEX,MATCH(J8,ERVSIZE,0))*K8,0)))))</f>
        <v>0</v>
      </c>
      <c r="P8" s="142" t="s">
        <v>422</v>
      </c>
    </row>
    <row r="9" spans="1:16" ht="15.75" thickBot="1" x14ac:dyDescent="0.3">
      <c r="A9" s="304"/>
      <c r="B9" s="318" t="s">
        <v>52</v>
      </c>
      <c r="C9" s="301"/>
      <c r="D9" s="36">
        <f>SUM(M6:M10)</f>
        <v>287.5</v>
      </c>
      <c r="E9" s="312"/>
      <c r="F9" s="313"/>
      <c r="G9" s="316"/>
      <c r="H9" s="317"/>
      <c r="I9" s="26"/>
      <c r="J9" s="96" t="s">
        <v>27</v>
      </c>
      <c r="K9" s="28">
        <v>0</v>
      </c>
      <c r="L9" s="105" t="s">
        <v>44</v>
      </c>
      <c r="M9" s="106">
        <f>IF(AND(L3="thru-wall erv",OR(J9="1 ton",J9="1.5 ton",J9="2 ton",J9="2.5 ton",J9="3 ton",J9="3.5 ton",J9="4 ton",J9="5 ton")),"-",IF(L3="bard",INDEX(bardindex,MATCH(J9,bardsize,0),MATCH(L9,bardvent,0))*K9,IF(L3="RTU",INDEX(rturef,MATCH(J9,rtusize,0),MATCH(L9,rtuvent,0))*K9,IF(L3="MARVAIR",INDEX(marairref,MATCH(J9,marvairsize,0),MATCH(L9,marvairvent,0))*K9,IF(L3="THRU-WALL ERV",INDEX(ERVINDEX,MATCH(J9,ERVSIZE,0))*K9,0)))))</f>
        <v>0</v>
      </c>
      <c r="P9" s="142" t="s">
        <v>423</v>
      </c>
    </row>
    <row r="10" spans="1:16" ht="15.75" thickBot="1" x14ac:dyDescent="0.3">
      <c r="A10" s="304"/>
      <c r="B10" s="26"/>
      <c r="C10" s="26"/>
      <c r="D10" s="26"/>
      <c r="E10" s="26"/>
      <c r="F10" s="26"/>
      <c r="G10" s="26"/>
      <c r="H10" s="26"/>
      <c r="I10" s="26"/>
      <c r="J10" s="98" t="s">
        <v>27</v>
      </c>
      <c r="K10" s="99">
        <v>0</v>
      </c>
      <c r="L10" s="124" t="s">
        <v>44</v>
      </c>
      <c r="M10" s="198">
        <f>IF(AND(L3="thru-wall erv",OR(J10="1 ton",J10="1.5 ton",J10="2 ton",J10="2.5 ton",J10="3 ton",J10="3.5 ton",J10="4 ton",J10="5 ton")),"-",IF(L3="bard",INDEX(bardindex,MATCH(J10,bardsize,0),MATCH(L10,bardvent,0))*K10,IF(L3="RTU",INDEX(rturef,MATCH(J10,rtusize,0),MATCH(L10,rtuvent,0))*K10,IF(L3="MARVAIR",INDEX(marairref,MATCH(J10,marvairsize,0),MATCH(L10,marvairvent,0))*K10,IF(L3="THRU-WALL ERV",INDEX(ERVINDEX,MATCH(J10,ERVSIZE,0))*K10,0)))))</f>
        <v>0</v>
      </c>
      <c r="P10" s="142" t="s">
        <v>424</v>
      </c>
    </row>
    <row r="11" spans="1:16" x14ac:dyDescent="0.25">
      <c r="A11" s="304"/>
      <c r="P11" s="142" t="s">
        <v>425</v>
      </c>
    </row>
    <row r="12" spans="1:16" x14ac:dyDescent="0.25">
      <c r="A12" s="304"/>
      <c r="P12" s="142" t="s">
        <v>426</v>
      </c>
    </row>
    <row r="13" spans="1:16" x14ac:dyDescent="0.25">
      <c r="A13" s="304"/>
      <c r="C13" s="94" t="s">
        <v>256</v>
      </c>
      <c r="J13" s="110" t="s">
        <v>271</v>
      </c>
      <c r="P13" s="142" t="s">
        <v>427</v>
      </c>
    </row>
    <row r="14" spans="1:16" x14ac:dyDescent="0.25">
      <c r="A14" s="304"/>
      <c r="C14" s="95" t="s">
        <v>176</v>
      </c>
      <c r="D14" t="s">
        <v>282</v>
      </c>
      <c r="P14" s="142" t="s">
        <v>428</v>
      </c>
    </row>
    <row r="15" spans="1:16" x14ac:dyDescent="0.25">
      <c r="A15" s="304"/>
      <c r="C15" s="95" t="s">
        <v>177</v>
      </c>
      <c r="D15" s="112" t="s">
        <v>273</v>
      </c>
      <c r="P15" s="142" t="s">
        <v>429</v>
      </c>
    </row>
    <row r="16" spans="1:16" ht="15.75" thickBot="1" x14ac:dyDescent="0.3">
      <c r="A16" s="305"/>
      <c r="C16" s="95" t="s">
        <v>272</v>
      </c>
      <c r="D16" s="112" t="s">
        <v>274</v>
      </c>
      <c r="P16" s="142" t="s">
        <v>90</v>
      </c>
    </row>
    <row r="17" spans="16:16" x14ac:dyDescent="0.25">
      <c r="P17" s="142" t="s">
        <v>430</v>
      </c>
    </row>
    <row r="18" spans="16:16" x14ac:dyDescent="0.25">
      <c r="P18" s="142" t="s">
        <v>431</v>
      </c>
    </row>
    <row r="19" spans="16:16" x14ac:dyDescent="0.25">
      <c r="P19" s="142" t="s">
        <v>92</v>
      </c>
    </row>
  </sheetData>
  <mergeCells count="6">
    <mergeCell ref="B1:H1"/>
    <mergeCell ref="A8:A16"/>
    <mergeCell ref="B8:C8"/>
    <mergeCell ref="E8:F9"/>
    <mergeCell ref="G8:H9"/>
    <mergeCell ref="B9:C9"/>
  </mergeCells>
  <conditionalFormatting sqref="G8:H9">
    <cfRule type="containsText" dxfId="12" priority="1" operator="containsText" text="NG">
      <formula>NOT(ISERROR(SEARCH("NG",G8)))</formula>
    </cfRule>
  </conditionalFormatting>
  <dataValidations count="13">
    <dataValidation type="list" allowBlank="1" showInputMessage="1" showErrorMessage="1" sqref="B7" xr:uid="{AB78A396-15BC-4B58-98CC-21B0DBE2B53C}">
      <formula1>IF(A7=P3,NONE,IF(A7=P4,An,IF(A7=P5,Co,IF(A7=P6,Dr,IF(A7=P7,Ed,IF(A7=P8,Fo,IF(A7=P9,Ho,IF(A7=P10,Of,IF(A7=P11,Ou,IF(A7=P12,Pu,IF(A7=P13,Re,IF(A7=P14,Sp,IF(A7=P15,Sa,IF(A7=P16,Sg,IF(A7=P17,Th,IF(A7=P18,Tr,IF(A7=P19,Wr,0)))))))))))))))))</formula1>
    </dataValidation>
    <dataValidation type="list" allowBlank="1" showInputMessage="1" showErrorMessage="1" sqref="B6" xr:uid="{32F11124-7D43-440F-BD01-8C9F2AED7A6A}">
      <formula1>IF(A6=P3,NONE,IF(A6=P4,An,IF(A6=P5,Co,IF(A6=P6,Dr,IF(A6=P7,Ed,IF(A6=P8,Fo,IF(A6=P9,Ho,IF(A6=P10,Of,IF(A6=P11,Ou,IF(A6=P12,Pu,IF(A6=P13,Re,IF(A6=P14,Sp,IF(A6=P15,Sa,IF(A6=P16,Sg,IF(A6=P17,Th,IF(A6=P18,Tr,IF(A6=P19,Wr,0)))))))))))))))))</formula1>
    </dataValidation>
    <dataValidation type="list" allowBlank="1" showInputMessage="1" showErrorMessage="1" sqref="B5" xr:uid="{E67E1ACE-75AA-44B0-86F7-03FFEA61B157}">
      <formula1>IF(A5=P3,NONE,IF(A5=P4,An,IF(A5=P5,Co,IF(A5=P6,Dr,IF(A5=P7,Ed,IF(A5=P8,Fo,IF(A5=P9,Ho,IF(A5=P10,Of,IF(A5=P11,Ou,IF(A5=P12,Pu,IF(A5=P13,Re,IF(A5=P14,Sp,IF(A5=P15,Sa,IF(A5=P16,Sg,IF(A5=P17,Th,IF(A5=P18,Tr,IF(A5=P19,Wr,0)))))))))))))))))</formula1>
    </dataValidation>
    <dataValidation type="list" allowBlank="1" showInputMessage="1" showErrorMessage="1" sqref="B4" xr:uid="{884A7A27-600D-4321-9B05-2E491E952943}">
      <formula1>IF(A4=P3,NONE,IF(A4=P4,An,IF(A4=P5,Co,IF(A4=P6,Dr,IF(A4=P7,Ed,IF(A4=P8,Fo,IF(A4=P9,Ho,IF(A4=P10,Of,IF(A4=P11,Ou,IF(A4=P12,Pu,IF(A4=P13,Re,IF(A4=P14,Sp,IF(A4=P15,Sa,IF(A4=P16,Sg,IF(A4=P17,Th,IF(A4=P18,Tr,IF(A4=P19,Wr,0)))))))))))))))))</formula1>
    </dataValidation>
    <dataValidation type="list" allowBlank="1" showInputMessage="1" showErrorMessage="1" sqref="B3" xr:uid="{F39A6DBF-B946-49CF-BB0C-CA3141F3BEF5}">
      <formula1>IF(A3=P3,NONE,IF(A3=P4,An,IF(A3=P5,Co,IF(A3=P6,Dr,IF(A3=P7,Ed,IF(A3=P8,Fo,IF(A3=P9,Ho,IF(A3=P10,Of,IF(A3=P11,Ou,IF(A3=P12,Pu,IF(A3=P13,Re,IF(A3=P14,Sp,IF(A3=P15,Sa,IF(A3=P16,Sg,IF(A3=P17,Th,IF(A3=P18,Tr,IF(A3=P19,Wr,0)))))))))))))))))</formula1>
    </dataValidation>
    <dataValidation type="list" allowBlank="1" showInputMessage="1" showErrorMessage="1" sqref="L6:L10" xr:uid="{B058476B-121B-44FA-80E9-0D0C63E6C12F}">
      <formula1>bardvent</formula1>
    </dataValidation>
    <dataValidation type="list" allowBlank="1" showInputMessage="1" showErrorMessage="1" sqref="J15" xr:uid="{F2B9A4F2-314A-483B-9D36-80D1E318B524}">
      <formula1>$J$16</formula1>
    </dataValidation>
    <dataValidation type="list" allowBlank="1" showInputMessage="1" showErrorMessage="1" sqref="L3" xr:uid="{BC1F7F0F-E06E-463E-929A-DBE0F028FAE8}">
      <formula1>"BARD, RTU, MARVAIR, THRU-WALL ERV"</formula1>
    </dataValidation>
    <dataValidation type="list" allowBlank="1" showInputMessage="1" showErrorMessage="1" sqref="J10" xr:uid="{E9D23B1B-0387-4FE7-A6A8-D73274703939}">
      <formula1>IF(L3="bard",bardsize,IF(L3="rtu",rtusize,IF(L3="marvair",marvairsize,IF(L3="THRU-WALL ERV",ERVSIZE,0))))</formula1>
    </dataValidation>
    <dataValidation type="list" allowBlank="1" showInputMessage="1" showErrorMessage="1" sqref="J9" xr:uid="{44694E07-9C87-4C64-BC0E-789D942EC54B}">
      <formula1>IF(L3="bard",bardsize,IF(L3="rtu",rtusize,IF(L3="marvair",marvairsize,IF(L3="THRU-WALL ERV",ERVSIZE,0))))</formula1>
    </dataValidation>
    <dataValidation type="list" allowBlank="1" showInputMessage="1" showErrorMessage="1" sqref="J7" xr:uid="{9EE9EE00-7260-4DC7-AC59-9AFE170045BF}">
      <formula1>IF(L3="bard",bardsize,IF(L3="rtu",rtusize,IF(L3="marvair",marvairsize,IF(L3="THRU-WALL ERV",ERVSIZE,0))))</formula1>
    </dataValidation>
    <dataValidation type="list" allowBlank="1" showInputMessage="1" showErrorMessage="1" sqref="J6" xr:uid="{6403DA97-7E7B-468B-B36B-2ADD3F9D15BE}">
      <formula1>IF(L3="bard",bardsize,IF(L3="rtu",rtusize,IF(L3="marvair",marvairsize,IF(L3="THRU-WALL ERV",ERVSIZE,0))))</formula1>
    </dataValidation>
    <dataValidation type="list" allowBlank="1" showInputMessage="1" showErrorMessage="1" sqref="J8" xr:uid="{2EADF4D4-7AC3-41D3-9795-7A898A52D071}">
      <formula1>IF(L3="bard",bardsize,IF(L3="rtu",rtusize,IF(L3="marvair",marvairsize,IF(L3="THRU-WALL ERV",ERVSIZE,0))))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A0A7C8-AFA5-4784-8890-E599B4D2EA8A}">
          <x14:formula1>
            <xm:f>'Calculation Tables'!$E$107:$E$123</xm:f>
          </x14:formula1>
          <xm:sqref>A3:A7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0BB6-3EC7-4F47-8A94-A716EC78CBC4}">
  <dimension ref="A1:AW161"/>
  <sheetViews>
    <sheetView topLeftCell="AA80" workbookViewId="0">
      <selection activeCell="AT3" sqref="AT3"/>
    </sheetView>
  </sheetViews>
  <sheetFormatPr defaultRowHeight="15" x14ac:dyDescent="0.25"/>
  <cols>
    <col min="1" max="9" width="15.7109375" style="142" customWidth="1"/>
    <col min="13" max="14" width="15.7109375" customWidth="1"/>
    <col min="19" max="19" width="40.85546875" customWidth="1"/>
    <col min="20" max="20" width="21" customWidth="1"/>
    <col min="21" max="21" width="19.42578125" customWidth="1"/>
    <col min="22" max="22" width="18.28515625" customWidth="1"/>
    <col min="26" max="29" width="15.7109375" style="142" customWidth="1"/>
    <col min="33" max="34" width="15.7109375" customWidth="1"/>
    <col min="39" max="39" width="16.7109375" customWidth="1"/>
    <col min="46" max="46" width="18.28515625" customWidth="1"/>
  </cols>
  <sheetData>
    <row r="1" spans="1:49" ht="15.75" thickBot="1" x14ac:dyDescent="0.3">
      <c r="A1" s="319" t="s">
        <v>324</v>
      </c>
      <c r="B1" s="319"/>
      <c r="C1" s="319"/>
      <c r="D1" s="319"/>
      <c r="F1" s="142" t="s">
        <v>27</v>
      </c>
      <c r="G1" s="142">
        <v>0</v>
      </c>
      <c r="H1" s="165" t="s">
        <v>511</v>
      </c>
      <c r="K1" s="142" t="s">
        <v>27</v>
      </c>
      <c r="L1" s="142">
        <v>0</v>
      </c>
      <c r="M1" s="165" t="s">
        <v>512</v>
      </c>
      <c r="S1" s="319" t="s">
        <v>323</v>
      </c>
      <c r="T1" s="319"/>
      <c r="U1" s="319"/>
      <c r="V1" s="319"/>
      <c r="Z1" s="142" t="s">
        <v>27</v>
      </c>
      <c r="AA1" s="142">
        <v>0</v>
      </c>
      <c r="AB1" s="165" t="s">
        <v>514</v>
      </c>
      <c r="AE1" s="142" t="s">
        <v>27</v>
      </c>
      <c r="AF1" s="142">
        <v>0</v>
      </c>
      <c r="AG1" s="165" t="s">
        <v>515</v>
      </c>
      <c r="AM1" s="142" t="s">
        <v>27</v>
      </c>
      <c r="AN1" s="142">
        <v>0</v>
      </c>
      <c r="AO1" s="165" t="s">
        <v>516</v>
      </c>
      <c r="AP1" s="142"/>
      <c r="AT1" s="142" t="s">
        <v>27</v>
      </c>
      <c r="AU1" s="142">
        <v>0</v>
      </c>
      <c r="AV1" s="165" t="s">
        <v>517</v>
      </c>
      <c r="AW1" s="142"/>
    </row>
    <row r="2" spans="1:49" ht="57.75" thickBot="1" x14ac:dyDescent="0.3">
      <c r="A2" s="143" t="s">
        <v>3</v>
      </c>
      <c r="B2" s="143" t="s">
        <v>4</v>
      </c>
      <c r="C2" s="143" t="s">
        <v>5</v>
      </c>
      <c r="D2" s="143" t="s">
        <v>6</v>
      </c>
      <c r="F2" s="144" t="s">
        <v>260</v>
      </c>
      <c r="G2" s="145"/>
      <c r="H2" s="145"/>
      <c r="I2" s="145"/>
      <c r="K2" s="144" t="s">
        <v>260</v>
      </c>
      <c r="L2" s="145"/>
      <c r="M2" s="145"/>
      <c r="N2" s="166"/>
      <c r="S2" s="143" t="s">
        <v>3</v>
      </c>
      <c r="T2" s="143" t="s">
        <v>6</v>
      </c>
      <c r="U2" s="143" t="s">
        <v>4</v>
      </c>
      <c r="V2" s="143" t="s">
        <v>5</v>
      </c>
      <c r="Z2" s="144" t="s">
        <v>260</v>
      </c>
      <c r="AA2" s="145"/>
      <c r="AB2" s="145"/>
      <c r="AC2" s="145"/>
      <c r="AE2" s="144" t="s">
        <v>260</v>
      </c>
      <c r="AF2" s="145"/>
      <c r="AG2" s="145"/>
      <c r="AH2" s="166"/>
      <c r="AM2" s="144" t="s">
        <v>260</v>
      </c>
      <c r="AN2" s="145"/>
      <c r="AO2" s="145"/>
      <c r="AP2" s="145"/>
      <c r="AT2" s="144" t="s">
        <v>260</v>
      </c>
      <c r="AU2" s="145"/>
      <c r="AV2" s="145"/>
      <c r="AW2" s="145"/>
    </row>
    <row r="3" spans="1:49" x14ac:dyDescent="0.25">
      <c r="A3" s="146" t="s">
        <v>27</v>
      </c>
      <c r="B3" s="146">
        <v>0</v>
      </c>
      <c r="C3" s="146">
        <v>0</v>
      </c>
      <c r="D3" s="146">
        <v>0</v>
      </c>
      <c r="F3" s="147" t="s">
        <v>179</v>
      </c>
      <c r="G3" s="148">
        <f>IF(OR('2022 CA Single Zone Calculator'!H6="economizer",'2022 CA Single Zone Calculator'!H7="economizer",'2022 CA Single Zone Calculator'!H8="economizer"),0.15,0.21)</f>
        <v>0.15</v>
      </c>
      <c r="H3" s="149"/>
      <c r="I3" s="146" t="str">
        <f>IF(G3=0.15,"Title 24: CO2 Sensor required","")</f>
        <v>Title 24: CO2 Sensor required</v>
      </c>
      <c r="K3" s="147" t="s">
        <v>179</v>
      </c>
      <c r="L3" s="148">
        <f>IF(OR('2022 CA Multi-Zone Calculator'!H6="economizer",'2022 CA Multi-Zone Calculator'!H7="economizer",'2022 CA Multi-Zone Calculator'!H8="economizer"),0.15,0.21)</f>
        <v>0.15</v>
      </c>
      <c r="M3" s="149"/>
      <c r="N3" s="146" t="str">
        <f>IF(L3=0.15,"Title 24: CO2 Sensor required","")</f>
        <v>Title 24: CO2 Sensor required</v>
      </c>
      <c r="S3" s="146" t="s">
        <v>27</v>
      </c>
      <c r="T3" s="146">
        <v>0</v>
      </c>
      <c r="U3" s="146">
        <v>0</v>
      </c>
      <c r="V3" s="146">
        <v>0</v>
      </c>
      <c r="Z3" s="147" t="s">
        <v>179</v>
      </c>
      <c r="AA3" s="148">
        <v>0.15</v>
      </c>
      <c r="AB3" s="149">
        <f>SUM(AA3*'2025 CA Single Zone Calculator'!D2)</f>
        <v>210</v>
      </c>
      <c r="AC3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3" s="147" t="s">
        <v>179</v>
      </c>
      <c r="AF3" s="148">
        <v>0.15</v>
      </c>
      <c r="AG3" s="149"/>
      <c r="AH3" s="146" t="str">
        <f>IF('2025 CA Multi-Zone Calculator'!K7="economizer","Title 24: CO2 Sensor required","")</f>
        <v/>
      </c>
      <c r="AM3" s="147" t="s">
        <v>179</v>
      </c>
      <c r="AN3" s="148">
        <v>14</v>
      </c>
      <c r="AO3" s="149">
        <f>SUM(AN3/1000)*15*'2025 CA Single Zone Calculator'!D2</f>
        <v>294</v>
      </c>
      <c r="AP3" s="146" t="s">
        <v>513</v>
      </c>
      <c r="AT3" s="147" t="s">
        <v>179</v>
      </c>
      <c r="AU3" s="148">
        <v>14</v>
      </c>
      <c r="AV3" s="149">
        <f>SUM(AU3/1000)*15*'2025 CA Single Zone Calculator'!K2</f>
        <v>0</v>
      </c>
      <c r="AW3" s="146" t="s">
        <v>513</v>
      </c>
    </row>
    <row r="4" spans="1:49" x14ac:dyDescent="0.25">
      <c r="A4" s="150" t="s">
        <v>162</v>
      </c>
      <c r="B4" s="146"/>
      <c r="C4" s="146"/>
      <c r="D4" s="146"/>
      <c r="F4" s="147" t="s">
        <v>180</v>
      </c>
      <c r="G4" s="148">
        <v>0.15</v>
      </c>
      <c r="H4" s="149"/>
      <c r="I4" s="147"/>
      <c r="K4" s="147" t="s">
        <v>180</v>
      </c>
      <c r="L4" s="148">
        <v>0.15</v>
      </c>
      <c r="M4" s="149"/>
      <c r="N4" s="147"/>
      <c r="S4" s="150" t="s">
        <v>336</v>
      </c>
      <c r="T4" s="146"/>
      <c r="U4" s="146"/>
      <c r="V4" s="146"/>
      <c r="Z4" s="147" t="s">
        <v>180</v>
      </c>
      <c r="AA4" s="148">
        <v>0.15</v>
      </c>
      <c r="AB4" s="149">
        <f>SUM(AA4*'2025 CA Single Zone Calculator'!D2)</f>
        <v>210</v>
      </c>
      <c r="AC4" s="147"/>
      <c r="AE4" s="147" t="s">
        <v>180</v>
      </c>
      <c r="AF4" s="148">
        <v>0.15</v>
      </c>
      <c r="AG4" s="149"/>
      <c r="AH4" s="147"/>
      <c r="AM4" s="147" t="s">
        <v>180</v>
      </c>
      <c r="AN4" s="148">
        <v>5</v>
      </c>
      <c r="AO4" s="149">
        <f>SUM(AN4/1000)*15*'2025 CA Single Zone Calculator'!D2</f>
        <v>105</v>
      </c>
      <c r="AP4" s="147"/>
      <c r="AT4" s="147" t="s">
        <v>180</v>
      </c>
      <c r="AU4" s="148">
        <v>5</v>
      </c>
      <c r="AV4" s="149">
        <f>SUM(AU4/1000)*15*'2025 CA Single Zone Calculator'!K2</f>
        <v>0</v>
      </c>
      <c r="AW4" s="147"/>
    </row>
    <row r="5" spans="1:49" x14ac:dyDescent="0.25">
      <c r="A5" s="147" t="s">
        <v>26</v>
      </c>
      <c r="B5" s="147">
        <v>5</v>
      </c>
      <c r="C5" s="147">
        <v>0.06</v>
      </c>
      <c r="D5" s="147">
        <v>5</v>
      </c>
      <c r="F5" s="147" t="s">
        <v>181</v>
      </c>
      <c r="G5" s="148">
        <f>IF(OR('2022 CA Single Zone Calculator'!H6="economizer",'2022 CA Single Zone Calculator'!H7="economizer",'2022 CA Single Zone Calculator'!H8="economizer"),0.15,0.38)</f>
        <v>0.15</v>
      </c>
      <c r="H5" s="149"/>
      <c r="I5" s="146" t="str">
        <f>IF(G5=0.15,"Title 24: CO2 Sensor required","")</f>
        <v>Title 24: CO2 Sensor required</v>
      </c>
      <c r="K5" s="147" t="s">
        <v>181</v>
      </c>
      <c r="L5" s="148">
        <f>IF(OR('2022 CA Multi-Zone Calculator'!H6="economizer",'2022 CA Multi-Zone Calculator'!H7="economizer",'2022 CA Multi-Zone Calculator'!H8="economizer"),0.15,0.38)</f>
        <v>0.15</v>
      </c>
      <c r="M5" s="149"/>
      <c r="N5" s="146" t="str">
        <f>IF(L5=0.15,"Title 24: CO2 Sensor required","")</f>
        <v>Title 24: CO2 Sensor required</v>
      </c>
      <c r="S5" s="147" t="s">
        <v>325</v>
      </c>
      <c r="T5" s="147">
        <v>20</v>
      </c>
      <c r="U5" s="147">
        <v>10</v>
      </c>
      <c r="V5" s="147">
        <v>0.12</v>
      </c>
      <c r="Z5" s="147" t="s">
        <v>181</v>
      </c>
      <c r="AA5" s="148">
        <v>0.15</v>
      </c>
      <c r="AB5" s="149">
        <f>SUM(AA5*'2025 CA Single Zone Calculator'!D2)</f>
        <v>210</v>
      </c>
      <c r="AC5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5" s="147" t="s">
        <v>181</v>
      </c>
      <c r="AF5" s="148">
        <v>0.15</v>
      </c>
      <c r="AG5" s="149"/>
      <c r="AH5" s="146" t="str">
        <f>IF(AF5=0.15,"Title 24: CO2 Sensor required","")</f>
        <v>Title 24: CO2 Sensor required</v>
      </c>
      <c r="AM5" s="147" t="s">
        <v>181</v>
      </c>
      <c r="AN5" s="148">
        <v>25</v>
      </c>
      <c r="AO5" s="149">
        <f>SUM(AN5/1000)*15*'2025 CA Single Zone Calculator'!D2</f>
        <v>525</v>
      </c>
      <c r="AP5" s="146" t="s">
        <v>513</v>
      </c>
      <c r="AT5" s="147" t="s">
        <v>181</v>
      </c>
      <c r="AU5" s="148">
        <v>25</v>
      </c>
      <c r="AV5" s="149">
        <f>SUM(AU5/1000)*15*'2025 CA Single Zone Calculator'!K2</f>
        <v>0</v>
      </c>
      <c r="AW5" s="146" t="s">
        <v>513</v>
      </c>
    </row>
    <row r="6" spans="1:49" x14ac:dyDescent="0.25">
      <c r="A6" s="147" t="s">
        <v>46</v>
      </c>
      <c r="B6" s="147">
        <v>5</v>
      </c>
      <c r="C6" s="147">
        <v>0.06</v>
      </c>
      <c r="D6" s="147">
        <v>50</v>
      </c>
      <c r="F6" s="147" t="s">
        <v>182</v>
      </c>
      <c r="G6" s="148">
        <f>IF(OR('2022 CA Single Zone Calculator'!H6="economizer",'2022 CA Single Zone Calculator'!H7="economizer",'2022 CA Single Zone Calculator'!H8="economizer"),0.15,0.38)</f>
        <v>0.15</v>
      </c>
      <c r="H6" s="149"/>
      <c r="I6" s="146" t="str">
        <f>IF(G6=0.15,"Title 24: CO2 Sensor required","")</f>
        <v>Title 24: CO2 Sensor required</v>
      </c>
      <c r="K6" s="147" t="s">
        <v>182</v>
      </c>
      <c r="L6" s="148">
        <f>IF(OR('2022 CA Multi-Zone Calculator'!H6="economizer",'2022 CA Multi-Zone Calculator'!H7="economizer",'2022 CA Multi-Zone Calculator'!H8="economizer"),0.15,0.38)</f>
        <v>0.15</v>
      </c>
      <c r="M6" s="149"/>
      <c r="N6" s="146" t="str">
        <f>IF(L6=0.15,"Title 24: CO2 Sensor required","")</f>
        <v>Title 24: CO2 Sensor required</v>
      </c>
      <c r="S6" s="147" t="s">
        <v>326</v>
      </c>
      <c r="T6" s="147">
        <v>20</v>
      </c>
      <c r="U6" s="147">
        <v>10</v>
      </c>
      <c r="V6" s="147">
        <v>0.18</v>
      </c>
      <c r="Z6" s="147" t="s">
        <v>182</v>
      </c>
      <c r="AA6" s="148">
        <v>0.15</v>
      </c>
      <c r="AB6" s="149">
        <f>SUM(AA6*'2025 CA Single Zone Calculator'!D2)</f>
        <v>210</v>
      </c>
      <c r="AC6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6" s="147" t="s">
        <v>182</v>
      </c>
      <c r="AF6" s="148">
        <v>0.15</v>
      </c>
      <c r="AG6" s="149"/>
      <c r="AH6" s="146" t="str">
        <f>IF(AF6=0.15,"Title 24: CO2 Sensor required","")</f>
        <v>Title 24: CO2 Sensor required</v>
      </c>
      <c r="AM6" s="147" t="s">
        <v>182</v>
      </c>
      <c r="AN6" s="148">
        <v>25</v>
      </c>
      <c r="AO6" s="149">
        <f>SUM(AN6/1000)*15*'2025 CA Single Zone Calculator'!D2</f>
        <v>525</v>
      </c>
      <c r="AP6" s="146" t="s">
        <v>513</v>
      </c>
      <c r="AT6" s="147" t="s">
        <v>182</v>
      </c>
      <c r="AU6" s="148">
        <v>25</v>
      </c>
      <c r="AV6" s="149">
        <f>SUM(AU6/1000)*15*'2025 CA Single Zone Calculator'!K2</f>
        <v>0</v>
      </c>
      <c r="AW6" s="146" t="s">
        <v>513</v>
      </c>
    </row>
    <row r="7" spans="1:49" x14ac:dyDescent="0.25">
      <c r="A7" s="147" t="s">
        <v>8</v>
      </c>
      <c r="B7" s="147">
        <v>5</v>
      </c>
      <c r="C7" s="147">
        <v>0.06</v>
      </c>
      <c r="D7" s="147">
        <v>30</v>
      </c>
      <c r="F7" s="147" t="s">
        <v>183</v>
      </c>
      <c r="G7" s="148">
        <f>IF(OR('2022 CA Single Zone Calculator'!H6="economizer",'2022 CA Single Zone Calculator'!H7="economizer",'2022 CA Single Zone Calculator'!H8="economizer"),0.15,0.38)</f>
        <v>0.15</v>
      </c>
      <c r="H7" s="149"/>
      <c r="I7" s="146" t="str">
        <f>IF(G7=0.15,"Title 24: CO2 Sensor required","")</f>
        <v>Title 24: CO2 Sensor required</v>
      </c>
      <c r="K7" s="147" t="s">
        <v>183</v>
      </c>
      <c r="L7" s="148">
        <f>IF(OR('2022 CA Multi-Zone Calculator'!H6="economizer",'2022 CA Multi-Zone Calculator'!H7="economizer",'2022 CA Multi-Zone Calculator'!H8="economizer"),0.15,0.38)</f>
        <v>0.15</v>
      </c>
      <c r="M7" s="149"/>
      <c r="N7" s="146" t="str">
        <f>IF(L7=0.15,"Title 24: CO2 Sensor required","")</f>
        <v>Title 24: CO2 Sensor required</v>
      </c>
      <c r="S7" s="147" t="s">
        <v>327</v>
      </c>
      <c r="T7" s="147">
        <v>20</v>
      </c>
      <c r="U7" s="147">
        <v>10</v>
      </c>
      <c r="V7" s="147">
        <v>0.18</v>
      </c>
      <c r="Z7" s="147" t="s">
        <v>183</v>
      </c>
      <c r="AA7" s="148">
        <v>0.15</v>
      </c>
      <c r="AB7" s="149">
        <f>SUM(AA7*'2025 CA Single Zone Calculator'!D2)</f>
        <v>210</v>
      </c>
      <c r="AC7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7" s="147" t="s">
        <v>183</v>
      </c>
      <c r="AF7" s="148">
        <v>0.15</v>
      </c>
      <c r="AG7" s="149"/>
      <c r="AH7" s="146" t="str">
        <f>IF(AF7=0.15,"Title 24: CO2 Sensor required","")</f>
        <v>Title 24: CO2 Sensor required</v>
      </c>
      <c r="AM7" s="147" t="s">
        <v>183</v>
      </c>
      <c r="AN7" s="148">
        <v>25</v>
      </c>
      <c r="AO7" s="149">
        <f>SUM(AN7/1000)*15*'2025 CA Single Zone Calculator'!D2</f>
        <v>525</v>
      </c>
      <c r="AP7" s="146" t="s">
        <v>513</v>
      </c>
      <c r="AT7" s="147" t="s">
        <v>183</v>
      </c>
      <c r="AU7" s="148">
        <v>25</v>
      </c>
      <c r="AV7" s="149">
        <f>SUM(AU7/1000)*15*'2025 CA Single Zone Calculator'!K2</f>
        <v>0</v>
      </c>
      <c r="AW7" s="146" t="s">
        <v>513</v>
      </c>
    </row>
    <row r="8" spans="1:49" x14ac:dyDescent="0.25">
      <c r="A8" s="147" t="s">
        <v>117</v>
      </c>
      <c r="B8" s="147">
        <v>5</v>
      </c>
      <c r="C8" s="147">
        <v>0.06</v>
      </c>
      <c r="D8" s="147">
        <v>10</v>
      </c>
      <c r="F8" s="147" t="s">
        <v>184</v>
      </c>
      <c r="G8" s="148">
        <f>IF(OR('2022 CA Single Zone Calculator'!H6="economizer",'2022 CA Single Zone Calculator'!H7="economizer",'2022 CA Single Zone Calculator'!H8="economizer"),0.15,"-")</f>
        <v>0.15</v>
      </c>
      <c r="H8" s="149"/>
      <c r="I8" s="146" t="str">
        <f>IF(G8=0.15,"Title 24: CO2 Sensor required","")</f>
        <v>Title 24: CO2 Sensor required</v>
      </c>
      <c r="K8" s="147" t="s">
        <v>184</v>
      </c>
      <c r="L8" s="148">
        <f>IF(OR('2022 CA Multi-Zone Calculator'!H6="economizer",'2022 CA Multi-Zone Calculator'!H7="economizer",'2022 CA Multi-Zone Calculator'!H8="economizer"),0.15,"-")</f>
        <v>0.15</v>
      </c>
      <c r="M8" s="149"/>
      <c r="N8" s="146" t="str">
        <f>IF(L8=0.15,"Title 24: CO2 Sensor required","")</f>
        <v>Title 24: CO2 Sensor required</v>
      </c>
      <c r="S8" s="147" t="s">
        <v>328</v>
      </c>
      <c r="T8" s="147">
        <v>20</v>
      </c>
      <c r="U8" s="147">
        <v>10</v>
      </c>
      <c r="V8" s="147">
        <v>0.18</v>
      </c>
      <c r="Z8" s="147" t="s">
        <v>184</v>
      </c>
      <c r="AA8" s="148">
        <v>0.15</v>
      </c>
      <c r="AB8" s="149">
        <f>SUM(AA8*'2025 CA Single Zone Calculator'!D2)</f>
        <v>210</v>
      </c>
      <c r="AC8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8" s="147" t="s">
        <v>184</v>
      </c>
      <c r="AF8" s="148">
        <v>0.15</v>
      </c>
      <c r="AG8" s="149"/>
      <c r="AH8" s="146" t="str">
        <f>IF(AF8=0.15,"Title 24: CO2 Sensor required","")</f>
        <v>Title 24: CO2 Sensor required</v>
      </c>
      <c r="AM8" s="147" t="s">
        <v>184</v>
      </c>
      <c r="AN8" s="148">
        <v>71</v>
      </c>
      <c r="AO8" s="149">
        <f>SUM(AN8/1000)*15*'2025 CA Single Zone Calculator'!D2</f>
        <v>1491</v>
      </c>
      <c r="AP8" s="146" t="s">
        <v>513</v>
      </c>
      <c r="AT8" s="147" t="s">
        <v>184</v>
      </c>
      <c r="AU8" s="148">
        <v>71</v>
      </c>
      <c r="AV8" s="149">
        <f>SUM(AU8/1000)*15*'2025 CA Single Zone Calculator'!K2</f>
        <v>0</v>
      </c>
      <c r="AW8" s="146" t="s">
        <v>513</v>
      </c>
    </row>
    <row r="9" spans="1:49" x14ac:dyDescent="0.25">
      <c r="A9" s="147" t="s">
        <v>295</v>
      </c>
      <c r="B9" s="147">
        <v>5</v>
      </c>
      <c r="C9" s="147">
        <v>0.06</v>
      </c>
      <c r="D9" s="147">
        <v>60</v>
      </c>
      <c r="F9" s="147" t="s">
        <v>185</v>
      </c>
      <c r="G9" s="148">
        <v>0.15</v>
      </c>
      <c r="H9" s="149"/>
      <c r="I9" s="146"/>
      <c r="K9" s="147" t="s">
        <v>185</v>
      </c>
      <c r="L9" s="148">
        <v>0.15</v>
      </c>
      <c r="M9" s="149"/>
      <c r="N9" s="146"/>
      <c r="S9" s="147" t="s">
        <v>329</v>
      </c>
      <c r="T9" s="147">
        <v>20</v>
      </c>
      <c r="U9" s="147">
        <v>10</v>
      </c>
      <c r="V9" s="147">
        <v>0.18</v>
      </c>
      <c r="Z9" s="147" t="s">
        <v>185</v>
      </c>
      <c r="AA9" s="148">
        <v>0.15</v>
      </c>
      <c r="AB9" s="149">
        <f>SUM(AA9*'2025 CA Single Zone Calculator'!D2)</f>
        <v>210</v>
      </c>
      <c r="AC9" s="146"/>
      <c r="AE9" s="147" t="s">
        <v>185</v>
      </c>
      <c r="AF9" s="148">
        <v>0.15</v>
      </c>
      <c r="AG9" s="149"/>
      <c r="AH9" s="146"/>
      <c r="AM9" s="147" t="s">
        <v>185</v>
      </c>
      <c r="AN9" s="148">
        <v>25</v>
      </c>
      <c r="AO9" s="149">
        <f>SUM(AN9/1000)*15*'2025 CA Single Zone Calculator'!D2</f>
        <v>525</v>
      </c>
      <c r="AP9" s="146"/>
      <c r="AT9" s="147" t="s">
        <v>185</v>
      </c>
      <c r="AU9" s="148">
        <v>25</v>
      </c>
      <c r="AV9" s="149">
        <f>SUM(AU9/1000)*15*'2025 CA Single Zone Calculator'!K2</f>
        <v>0</v>
      </c>
      <c r="AW9" s="146"/>
    </row>
    <row r="10" spans="1:49" x14ac:dyDescent="0.25">
      <c r="A10" s="147"/>
      <c r="B10" s="147"/>
      <c r="C10" s="147"/>
      <c r="D10" s="147"/>
      <c r="F10" s="147" t="s">
        <v>186</v>
      </c>
      <c r="G10" s="148">
        <v>0.15</v>
      </c>
      <c r="H10" s="149"/>
      <c r="I10" s="146"/>
      <c r="K10" s="147" t="s">
        <v>186</v>
      </c>
      <c r="L10" s="148">
        <v>0.15</v>
      </c>
      <c r="M10" s="149"/>
      <c r="N10" s="146"/>
      <c r="S10" s="147" t="s">
        <v>330</v>
      </c>
      <c r="T10" s="147">
        <v>20</v>
      </c>
      <c r="U10" s="147">
        <v>10</v>
      </c>
      <c r="V10" s="147">
        <v>0.18</v>
      </c>
      <c r="Z10" s="147" t="s">
        <v>186</v>
      </c>
      <c r="AA10" s="148">
        <v>0.15</v>
      </c>
      <c r="AB10" s="149">
        <f>SUM(AA10*'2025 CA Single Zone Calculator'!D2)</f>
        <v>210</v>
      </c>
      <c r="AC10" s="146"/>
      <c r="AE10" s="147" t="s">
        <v>186</v>
      </c>
      <c r="AF10" s="148">
        <v>0.15</v>
      </c>
      <c r="AG10" s="149"/>
      <c r="AH10" s="146"/>
      <c r="AM10" s="147" t="s">
        <v>186</v>
      </c>
      <c r="AN10" s="148">
        <v>25</v>
      </c>
      <c r="AO10" s="149">
        <f>SUM(AN10/1000)*15*'2025 CA Single Zone Calculator'!D2</f>
        <v>525</v>
      </c>
      <c r="AP10" s="146"/>
      <c r="AT10" s="147" t="s">
        <v>186</v>
      </c>
      <c r="AU10" s="148">
        <v>25</v>
      </c>
      <c r="AV10" s="149">
        <f>SUM(AU10/1000)*15*'2025 CA Single Zone Calculator'!K2</f>
        <v>0</v>
      </c>
      <c r="AW10" s="146"/>
    </row>
    <row r="11" spans="1:49" x14ac:dyDescent="0.25">
      <c r="A11" s="150" t="s">
        <v>163</v>
      </c>
      <c r="B11" s="146"/>
      <c r="C11" s="146"/>
      <c r="D11" s="146"/>
      <c r="F11" s="147" t="s">
        <v>187</v>
      </c>
      <c r="G11" s="148">
        <v>0.15</v>
      </c>
      <c r="H11" s="149"/>
      <c r="I11" s="146"/>
      <c r="K11" s="147" t="s">
        <v>187</v>
      </c>
      <c r="L11" s="148">
        <v>0.15</v>
      </c>
      <c r="M11" s="149"/>
      <c r="N11" s="146"/>
      <c r="S11" s="147" t="s">
        <v>331</v>
      </c>
      <c r="T11" s="147">
        <v>20</v>
      </c>
      <c r="U11" s="147">
        <v>10</v>
      </c>
      <c r="V11" s="147">
        <v>0.18</v>
      </c>
      <c r="Z11" s="147" t="s">
        <v>187</v>
      </c>
      <c r="AA11" s="148">
        <v>0.15</v>
      </c>
      <c r="AB11" s="149">
        <f>SUM(AA11*'2025 CA Single Zone Calculator'!D2)</f>
        <v>210</v>
      </c>
      <c r="AC11" s="146"/>
      <c r="AE11" s="147" t="s">
        <v>187</v>
      </c>
      <c r="AF11" s="148">
        <v>0.15</v>
      </c>
      <c r="AG11" s="149"/>
      <c r="AH11" s="146"/>
      <c r="AM11" s="147" t="s">
        <v>187</v>
      </c>
      <c r="AN11" s="148">
        <v>25</v>
      </c>
      <c r="AO11" s="149">
        <f>SUM(AN11/1000)*15*'2025 CA Single Zone Calculator'!D2</f>
        <v>525</v>
      </c>
      <c r="AP11" s="146"/>
      <c r="AT11" s="147" t="s">
        <v>187</v>
      </c>
      <c r="AU11" s="148">
        <v>25</v>
      </c>
      <c r="AV11" s="149">
        <f>SUM(AU11/1000)*15*'2025 CA Single Zone Calculator'!K2</f>
        <v>0</v>
      </c>
      <c r="AW11" s="146"/>
    </row>
    <row r="12" spans="1:49" x14ac:dyDescent="0.25">
      <c r="A12" s="147" t="s">
        <v>22</v>
      </c>
      <c r="B12" s="151">
        <v>0</v>
      </c>
      <c r="C12" s="151">
        <v>0.06</v>
      </c>
      <c r="D12" s="151">
        <v>0</v>
      </c>
      <c r="F12" s="147" t="s">
        <v>188</v>
      </c>
      <c r="G12" s="148">
        <v>0.15</v>
      </c>
      <c r="H12" s="149"/>
      <c r="I12" s="146"/>
      <c r="K12" s="147" t="s">
        <v>188</v>
      </c>
      <c r="L12" s="148">
        <v>0.15</v>
      </c>
      <c r="M12" s="149"/>
      <c r="N12" s="146"/>
      <c r="S12" s="147" t="s">
        <v>332</v>
      </c>
      <c r="T12" s="147">
        <v>20</v>
      </c>
      <c r="U12" s="147">
        <v>10</v>
      </c>
      <c r="V12" s="147">
        <v>0.18</v>
      </c>
      <c r="Z12" s="147" t="s">
        <v>188</v>
      </c>
      <c r="AA12" s="148">
        <v>0.15</v>
      </c>
      <c r="AB12" s="149">
        <f>SUM(AA12*'2025 CA Single Zone Calculator'!D2)</f>
        <v>210</v>
      </c>
      <c r="AC12" s="146"/>
      <c r="AE12" s="147" t="s">
        <v>188</v>
      </c>
      <c r="AF12" s="148">
        <v>0.15</v>
      </c>
      <c r="AG12" s="149"/>
      <c r="AH12" s="146"/>
      <c r="AM12" s="147" t="s">
        <v>188</v>
      </c>
      <c r="AN12" s="148">
        <v>10</v>
      </c>
      <c r="AO12" s="149">
        <f>SUM(AN12/1000)*15*'2025 CA Single Zone Calculator'!D2</f>
        <v>210</v>
      </c>
      <c r="AP12" s="146"/>
      <c r="AT12" s="147" t="s">
        <v>188</v>
      </c>
      <c r="AU12" s="148">
        <v>10</v>
      </c>
      <c r="AV12" s="149">
        <f>SUM(AU12/1000)*15*'2025 CA Single Zone Calculator'!K2</f>
        <v>0</v>
      </c>
      <c r="AW12" s="146"/>
    </row>
    <row r="13" spans="1:49" x14ac:dyDescent="0.25">
      <c r="A13" s="147" t="s">
        <v>24</v>
      </c>
      <c r="B13" s="151">
        <v>5</v>
      </c>
      <c r="C13" s="151">
        <v>0.06</v>
      </c>
      <c r="D13" s="151">
        <v>70</v>
      </c>
      <c r="F13" s="147" t="s">
        <v>189</v>
      </c>
      <c r="G13" s="148">
        <v>0.15</v>
      </c>
      <c r="H13" s="149"/>
      <c r="I13" s="146"/>
      <c r="K13" s="147" t="s">
        <v>189</v>
      </c>
      <c r="L13" s="148">
        <v>0.15</v>
      </c>
      <c r="M13" s="149"/>
      <c r="N13" s="146"/>
      <c r="S13" s="147" t="s">
        <v>333</v>
      </c>
      <c r="T13" s="147">
        <v>20</v>
      </c>
      <c r="U13" s="147">
        <v>10</v>
      </c>
      <c r="V13" s="147">
        <v>0.18</v>
      </c>
      <c r="Z13" s="147" t="s">
        <v>189</v>
      </c>
      <c r="AA13" s="148">
        <v>0.15</v>
      </c>
      <c r="AB13" s="149">
        <f>SUM(AA13*'2025 CA Single Zone Calculator'!D2)</f>
        <v>210</v>
      </c>
      <c r="AC13" s="146"/>
      <c r="AE13" s="147" t="s">
        <v>189</v>
      </c>
      <c r="AF13" s="148">
        <v>0.15</v>
      </c>
      <c r="AG13" s="149"/>
      <c r="AH13" s="146"/>
      <c r="AM13" s="147" t="s">
        <v>189</v>
      </c>
      <c r="AN13" s="148">
        <v>25</v>
      </c>
      <c r="AO13" s="149">
        <f>SUM(AN13/1000)*15*'2025 CA Single Zone Calculator'!D2</f>
        <v>525</v>
      </c>
      <c r="AP13" s="146"/>
      <c r="AT13" s="147" t="s">
        <v>189</v>
      </c>
      <c r="AU13" s="148">
        <v>25</v>
      </c>
      <c r="AV13" s="149">
        <f>SUM(AU13/1000)*15*'2025 CA Single Zone Calculator'!K2</f>
        <v>0</v>
      </c>
      <c r="AW13" s="146"/>
    </row>
    <row r="14" spans="1:49" x14ac:dyDescent="0.25">
      <c r="A14" s="147" t="s">
        <v>118</v>
      </c>
      <c r="B14" s="151">
        <v>5</v>
      </c>
      <c r="C14" s="151">
        <v>0.06</v>
      </c>
      <c r="D14" s="151">
        <v>50</v>
      </c>
      <c r="F14" s="147" t="s">
        <v>190</v>
      </c>
      <c r="G14" s="148">
        <v>0.15</v>
      </c>
      <c r="H14" s="149"/>
      <c r="I14" s="146"/>
      <c r="K14" s="147" t="s">
        <v>190</v>
      </c>
      <c r="L14" s="148">
        <v>0.15</v>
      </c>
      <c r="M14" s="149"/>
      <c r="N14" s="146"/>
      <c r="S14" s="147" t="s">
        <v>334</v>
      </c>
      <c r="T14" s="147">
        <v>20</v>
      </c>
      <c r="U14" s="147">
        <v>10</v>
      </c>
      <c r="V14" s="147">
        <v>0.18</v>
      </c>
      <c r="Z14" s="147" t="s">
        <v>190</v>
      </c>
      <c r="AA14" s="148">
        <v>0.15</v>
      </c>
      <c r="AB14" s="149">
        <f>SUM(AA14*'2025 CA Single Zone Calculator'!D2)</f>
        <v>210</v>
      </c>
      <c r="AC14" s="146"/>
      <c r="AE14" s="147" t="s">
        <v>190</v>
      </c>
      <c r="AF14" s="148">
        <v>0.15</v>
      </c>
      <c r="AG14" s="149"/>
      <c r="AH14" s="146"/>
      <c r="AM14" s="147" t="s">
        <v>190</v>
      </c>
      <c r="AN14" s="148">
        <v>25</v>
      </c>
      <c r="AO14" s="149">
        <f>SUM(AN14/1000)*15*'2025 CA Single Zone Calculator'!D2</f>
        <v>525</v>
      </c>
      <c r="AP14" s="146"/>
      <c r="AT14" s="147" t="s">
        <v>190</v>
      </c>
      <c r="AU14" s="148">
        <v>25</v>
      </c>
      <c r="AV14" s="149">
        <f>SUM(AU14/1000)*15*'2025 CA Single Zone Calculator'!K2</f>
        <v>0</v>
      </c>
      <c r="AW14" s="146"/>
    </row>
    <row r="15" spans="1:49" x14ac:dyDescent="0.25">
      <c r="A15" s="147" t="s">
        <v>119</v>
      </c>
      <c r="B15" s="151">
        <v>5</v>
      </c>
      <c r="C15" s="151">
        <v>0.12</v>
      </c>
      <c r="D15" s="151">
        <v>10</v>
      </c>
      <c r="F15" s="147" t="s">
        <v>191</v>
      </c>
      <c r="G15" s="148">
        <f>IF(OR('2022 CA Single Zone Calculator'!H6="economizer",'2022 CA Single Zone Calculator'!H7="economizer",'2022 CA Single Zone Calculator'!H8="economizer"),0.15,1.07)</f>
        <v>0.15</v>
      </c>
      <c r="H15" s="149"/>
      <c r="I15" s="146" t="str">
        <f>IF(G15=0.15,"Title 24: CO2 Sensor required","")</f>
        <v>Title 24: CO2 Sensor required</v>
      </c>
      <c r="K15" s="147" t="s">
        <v>191</v>
      </c>
      <c r="L15" s="148">
        <f>IF(OR('2022 CA Multi-Zone Calculator'!H6="economizer",'2022 CA Multi-Zone Calculator'!H7="economizer",'2022 CA Multi-Zone Calculator'!H8="economizer"),0.15,1.07)</f>
        <v>0.15</v>
      </c>
      <c r="M15" s="149"/>
      <c r="N15" s="146" t="str">
        <f>IF(L15=0.15,"Title 24: CO2 Sensor required","")</f>
        <v>Title 24: CO2 Sensor required</v>
      </c>
      <c r="S15" s="147" t="s">
        <v>335</v>
      </c>
      <c r="T15" s="147">
        <v>20</v>
      </c>
      <c r="U15" s="147">
        <v>10</v>
      </c>
      <c r="V15" s="147">
        <v>0.18</v>
      </c>
      <c r="Z15" s="147" t="s">
        <v>191</v>
      </c>
      <c r="AA15" s="148">
        <v>0.15</v>
      </c>
      <c r="AB15" s="149">
        <f>SUM(AA15*'2025 CA Single Zone Calculator'!D2)</f>
        <v>210</v>
      </c>
      <c r="AC15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15" s="147" t="s">
        <v>191</v>
      </c>
      <c r="AF15" s="148">
        <v>0.15</v>
      </c>
      <c r="AG15" s="149"/>
      <c r="AH15" s="146" t="str">
        <f>IF(AF15=0.15,"Title 24: CO2 Sensor required","")</f>
        <v>Title 24: CO2 Sensor required</v>
      </c>
      <c r="AM15" s="147" t="s">
        <v>191</v>
      </c>
      <c r="AN15" s="148">
        <v>33</v>
      </c>
      <c r="AO15" s="149">
        <f>SUM(AN15/1000)*15*'2025 CA Single Zone Calculator'!D2</f>
        <v>693</v>
      </c>
      <c r="AP15" s="146" t="s">
        <v>513</v>
      </c>
      <c r="AT15" s="147" t="s">
        <v>191</v>
      </c>
      <c r="AU15" s="148">
        <v>33</v>
      </c>
      <c r="AV15" s="149">
        <f>SUM(AU15/1000)*15*'2025 CA Single Zone Calculator'!K2</f>
        <v>0</v>
      </c>
      <c r="AW15" s="146" t="s">
        <v>513</v>
      </c>
    </row>
    <row r="16" spans="1:49" x14ac:dyDescent="0.25">
      <c r="A16" s="147" t="s">
        <v>296</v>
      </c>
      <c r="B16" s="151">
        <v>7.5</v>
      </c>
      <c r="C16" s="151">
        <v>0.12</v>
      </c>
      <c r="D16" s="151">
        <v>40</v>
      </c>
      <c r="F16" s="147" t="s">
        <v>192</v>
      </c>
      <c r="G16" s="148">
        <f>IF(OR('2022 CA Single Zone Calculator'!H6="economizer",'2022 CA Single Zone Calculator'!H7="economizer",'2022 CA Single Zone Calculator'!H8="economizer"),0.15,0.5)</f>
        <v>0.15</v>
      </c>
      <c r="H16" s="149"/>
      <c r="I16" s="146" t="str">
        <f>IF(G16=0.15,"Title 24: CO2 Sensor required","")</f>
        <v>Title 24: CO2 Sensor required</v>
      </c>
      <c r="K16" s="147" t="s">
        <v>192</v>
      </c>
      <c r="L16" s="148">
        <f>IF(OR('2022 CA Multi-Zone Calculator'!H6="economizer",'2022 CA Multi-Zone Calculator'!H7="economizer",'2022 CA Multi-Zone Calculator'!H8="economizer"),0.15,0.5)</f>
        <v>0.15</v>
      </c>
      <c r="M16" s="149"/>
      <c r="N16" s="146" t="str">
        <f>IF(L16=0.15,"Title 24: CO2 Sensor required","")</f>
        <v>Title 24: CO2 Sensor required</v>
      </c>
      <c r="S16" s="147"/>
      <c r="T16" s="147"/>
      <c r="U16" s="147"/>
      <c r="V16" s="147"/>
      <c r="Z16" s="147" t="s">
        <v>192</v>
      </c>
      <c r="AA16" s="148">
        <v>0.15</v>
      </c>
      <c r="AB16" s="149">
        <f>SUM(AA16*'2025 CA Single Zone Calculator'!D2)</f>
        <v>210</v>
      </c>
      <c r="AC16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16" s="147" t="s">
        <v>192</v>
      </c>
      <c r="AF16" s="148">
        <v>0.15</v>
      </c>
      <c r="AG16" s="149"/>
      <c r="AH16" s="146" t="str">
        <f>IF(AF16=0.15,"Title 24: CO2 Sensor required","")</f>
        <v>Title 24: CO2 Sensor required</v>
      </c>
      <c r="AM16" s="147" t="s">
        <v>192</v>
      </c>
      <c r="AN16" s="148">
        <v>33</v>
      </c>
      <c r="AO16" s="149">
        <f>SUM(AN16/1000)*15*'2025 CA Single Zone Calculator'!D2</f>
        <v>693</v>
      </c>
      <c r="AP16" s="146" t="s">
        <v>513</v>
      </c>
      <c r="AT16" s="147" t="s">
        <v>192</v>
      </c>
      <c r="AU16" s="148">
        <v>33</v>
      </c>
      <c r="AV16" s="149">
        <f>SUM(AU16/1000)*15*'2025 CA Single Zone Calculator'!K2</f>
        <v>0</v>
      </c>
      <c r="AW16" s="146" t="s">
        <v>513</v>
      </c>
    </row>
    <row r="17" spans="1:49" x14ac:dyDescent="0.25">
      <c r="A17" s="147" t="s">
        <v>23</v>
      </c>
      <c r="B17" s="151">
        <v>5</v>
      </c>
      <c r="C17" s="151">
        <v>0.06</v>
      </c>
      <c r="D17" s="151">
        <v>120</v>
      </c>
      <c r="F17" s="152"/>
      <c r="G17" s="153"/>
      <c r="H17" s="154"/>
      <c r="I17" s="155"/>
      <c r="K17" s="152"/>
      <c r="L17" s="153"/>
      <c r="M17" s="154"/>
      <c r="N17" s="155"/>
      <c r="S17" s="150" t="s">
        <v>293</v>
      </c>
      <c r="T17" s="146"/>
      <c r="U17" s="146"/>
      <c r="V17" s="146"/>
      <c r="Z17" s="152"/>
      <c r="AA17" s="153"/>
      <c r="AB17" s="154"/>
      <c r="AC17" s="155"/>
      <c r="AE17" s="152"/>
      <c r="AF17" s="153"/>
      <c r="AG17" s="154"/>
      <c r="AH17" s="155"/>
      <c r="AM17" s="152"/>
      <c r="AN17" s="153"/>
      <c r="AO17" s="154"/>
      <c r="AP17" s="155"/>
      <c r="AT17" s="152"/>
      <c r="AU17" s="153"/>
      <c r="AV17" s="154"/>
      <c r="AW17" s="155"/>
    </row>
    <row r="18" spans="1:49" x14ac:dyDescent="0.25">
      <c r="A18" s="147" t="s">
        <v>120</v>
      </c>
      <c r="B18" s="151">
        <v>60</v>
      </c>
      <c r="C18" s="151">
        <v>0</v>
      </c>
      <c r="D18" s="151">
        <v>70</v>
      </c>
      <c r="F18" s="156" t="s">
        <v>261</v>
      </c>
      <c r="G18" s="157"/>
      <c r="H18" s="157"/>
      <c r="I18" s="157"/>
      <c r="K18" s="156" t="s">
        <v>261</v>
      </c>
      <c r="L18" s="157"/>
      <c r="M18" s="157"/>
      <c r="N18" s="157"/>
      <c r="S18" s="147" t="s">
        <v>337</v>
      </c>
      <c r="T18" s="151">
        <v>50</v>
      </c>
      <c r="U18" s="151">
        <v>7.5</v>
      </c>
      <c r="V18" s="151">
        <v>0.06</v>
      </c>
      <c r="Z18" s="156" t="s">
        <v>261</v>
      </c>
      <c r="AA18" s="157"/>
      <c r="AB18" s="157"/>
      <c r="AC18" s="157"/>
      <c r="AE18" s="156" t="s">
        <v>261</v>
      </c>
      <c r="AF18" s="157"/>
      <c r="AG18" s="157"/>
      <c r="AH18" s="157"/>
      <c r="AM18" s="156" t="s">
        <v>261</v>
      </c>
      <c r="AN18" s="157"/>
      <c r="AO18" s="157"/>
      <c r="AP18" s="157"/>
      <c r="AT18" s="156" t="s">
        <v>261</v>
      </c>
      <c r="AU18" s="157"/>
      <c r="AV18" s="157"/>
      <c r="AW18" s="157"/>
    </row>
    <row r="19" spans="1:49" x14ac:dyDescent="0.25">
      <c r="A19" s="147"/>
      <c r="B19" s="151"/>
      <c r="C19" s="151"/>
      <c r="D19" s="151"/>
      <c r="F19" s="147" t="s">
        <v>193</v>
      </c>
      <c r="G19" s="148">
        <f>IF(OR('2022 CA Single Zone Calculator'!H6="economizer",'2022 CA Single Zone Calculator'!H7="economizer",'2022 CA Single Zone Calculator'!H8="economizer"),0.15,0.5)</f>
        <v>0.15</v>
      </c>
      <c r="H19" s="149"/>
      <c r="I19" s="146" t="str">
        <f>IF(G19=0.15,"Title 24: CO2 Sensor required","")</f>
        <v>Title 24: CO2 Sensor required</v>
      </c>
      <c r="K19" s="147" t="s">
        <v>193</v>
      </c>
      <c r="L19" s="148">
        <f>IF(OR('2022 CA Multi-Zone Calculator'!H6="economizer",'2022 CA Multi-Zone Calculator'!H7="economizer",'2022 CA Multi-Zone Calculator'!H8="economizer"),0.15,0.5)</f>
        <v>0.15</v>
      </c>
      <c r="M19" s="149"/>
      <c r="N19" s="146" t="str">
        <f>IF(L19=0.15,"Title 24: CO2 Sensor required","")</f>
        <v>Title 24: CO2 Sensor required</v>
      </c>
      <c r="S19" s="147" t="s">
        <v>338</v>
      </c>
      <c r="T19" s="151">
        <v>25</v>
      </c>
      <c r="U19" s="151">
        <v>5</v>
      </c>
      <c r="V19" s="151">
        <v>0.12</v>
      </c>
      <c r="Z19" s="147" t="s">
        <v>193</v>
      </c>
      <c r="AA19" s="148">
        <v>0.15</v>
      </c>
      <c r="AB19" s="149">
        <f>SUM(AA19*'2025 CA Single Zone Calculator'!D2)</f>
        <v>210</v>
      </c>
      <c r="AC19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19" s="147" t="s">
        <v>193</v>
      </c>
      <c r="AF19" s="148">
        <v>0.15</v>
      </c>
      <c r="AG19" s="149"/>
      <c r="AH19" s="146" t="str">
        <f>IF(AF19=0.15,"Title 24: CO2 Sensor required","")</f>
        <v>Title 24: CO2 Sensor required</v>
      </c>
      <c r="AM19" s="147" t="s">
        <v>193</v>
      </c>
      <c r="AN19" s="148">
        <v>33</v>
      </c>
      <c r="AO19" s="149">
        <f>SUM(AN19/1000)*15*'2025 CA Single Zone Calculator'!D2</f>
        <v>693</v>
      </c>
      <c r="AP19" s="146" t="s">
        <v>513</v>
      </c>
      <c r="AT19" s="147" t="s">
        <v>193</v>
      </c>
      <c r="AU19" s="148">
        <v>33</v>
      </c>
      <c r="AV19" s="149">
        <f>SUM(AU19/1000)*15*'2025 CA Single Zone Calculator'!K2</f>
        <v>0</v>
      </c>
      <c r="AW19" s="146" t="s">
        <v>513</v>
      </c>
    </row>
    <row r="20" spans="1:49" x14ac:dyDescent="0.25">
      <c r="A20" s="150" t="s">
        <v>164</v>
      </c>
      <c r="B20" s="146"/>
      <c r="C20" s="146"/>
      <c r="D20" s="146"/>
      <c r="F20" s="147" t="s">
        <v>194</v>
      </c>
      <c r="G20" s="148">
        <f>IF(OR('2022 CA Single Zone Calculator'!H6="economizer",'2022 CA Single Zone Calculator'!H7="economizer",'2022 CA Single Zone Calculator'!H8="economizer"),0.15,0.5)</f>
        <v>0.15</v>
      </c>
      <c r="H20" s="149"/>
      <c r="I20" s="146" t="str">
        <f>IF(G20=0.15,"Title 24: CO2 Sensor required","")</f>
        <v>Title 24: CO2 Sensor required</v>
      </c>
      <c r="K20" s="147" t="s">
        <v>194</v>
      </c>
      <c r="L20" s="148">
        <f>IF(OR('2022 CA Multi-Zone Calculator'!H6="economizer",'2022 CA Multi-Zone Calculator'!H7="economizer",'2022 CA Multi-Zone Calculator'!H8="economizer"),0.15,0.5)</f>
        <v>0.15</v>
      </c>
      <c r="M20" s="149"/>
      <c r="N20" s="146" t="str">
        <f>IF(L20=0.15,"Title 24: CO2 Sensor required","")</f>
        <v>Title 24: CO2 Sensor required</v>
      </c>
      <c r="S20" s="147" t="s">
        <v>339</v>
      </c>
      <c r="T20" s="151">
        <v>25</v>
      </c>
      <c r="U20" s="151">
        <v>5</v>
      </c>
      <c r="V20" s="151">
        <v>0.12</v>
      </c>
      <c r="Z20" s="147" t="s">
        <v>194</v>
      </c>
      <c r="AA20" s="148">
        <v>0.15</v>
      </c>
      <c r="AB20" s="149">
        <f>SUM(AA20*'2025 CA Single Zone Calculator'!D2)</f>
        <v>210</v>
      </c>
      <c r="AC20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20" s="147" t="s">
        <v>194</v>
      </c>
      <c r="AF20" s="148">
        <v>0.15</v>
      </c>
      <c r="AG20" s="149"/>
      <c r="AH20" s="146" t="str">
        <f>IF(AF20=0.15,"Title 24: CO2 Sensor required","")</f>
        <v>Title 24: CO2 Sensor required</v>
      </c>
      <c r="AM20" s="147" t="s">
        <v>194</v>
      </c>
      <c r="AN20" s="148">
        <v>33</v>
      </c>
      <c r="AO20" s="149">
        <f>SUM(AN20/1000)*15*'2025 CA Single Zone Calculator'!D2</f>
        <v>693</v>
      </c>
      <c r="AP20" s="146" t="s">
        <v>513</v>
      </c>
      <c r="AT20" s="147" t="s">
        <v>194</v>
      </c>
      <c r="AU20" s="148">
        <v>33</v>
      </c>
      <c r="AV20" s="149">
        <f>SUM(AU20/1000)*15*'2025 CA Single Zone Calculator'!K2</f>
        <v>0</v>
      </c>
      <c r="AW20" s="146" t="s">
        <v>513</v>
      </c>
    </row>
    <row r="21" spans="1:49" x14ac:dyDescent="0.25">
      <c r="A21" s="147" t="s">
        <v>14</v>
      </c>
      <c r="B21" s="147">
        <v>10</v>
      </c>
      <c r="C21" s="147">
        <v>0.12</v>
      </c>
      <c r="D21" s="147">
        <v>25</v>
      </c>
      <c r="F21" s="147" t="s">
        <v>195</v>
      </c>
      <c r="G21" s="148">
        <f>IF(OR('2022 CA Single Zone Calculator'!H6="economizer",'2022 CA Single Zone Calculator'!H7="economizer",'2022 CA Single Zone Calculator'!H8="economizer"),0.2,0.5)</f>
        <v>0.2</v>
      </c>
      <c r="H21" s="149"/>
      <c r="I21" s="146" t="str">
        <f>IF(G21=0.2,"Title 24: CO2 Sensor required","")</f>
        <v>Title 24: CO2 Sensor required</v>
      </c>
      <c r="K21" s="147" t="s">
        <v>195</v>
      </c>
      <c r="L21" s="148">
        <f>IF(OR('2022 CA Multi-Zone Calculator'!H6="economizer",'2022 CA Multi-Zone Calculator'!H7="economizer",'2022 CA Multi-Zone Calculator'!H8="economizer"),0.2,0.5)</f>
        <v>0.2</v>
      </c>
      <c r="M21" s="149"/>
      <c r="N21" s="146" t="str">
        <f>IF(L21=0.2,"Title 24: CO2 Sensor required","")</f>
        <v>Title 24: CO2 Sensor required</v>
      </c>
      <c r="S21" s="147" t="s">
        <v>340</v>
      </c>
      <c r="T21" s="151">
        <v>30</v>
      </c>
      <c r="U21" s="151">
        <v>5</v>
      </c>
      <c r="V21" s="151">
        <v>0.06</v>
      </c>
      <c r="Z21" s="147" t="s">
        <v>195</v>
      </c>
      <c r="AA21" s="148">
        <v>0.5</v>
      </c>
      <c r="AB21" s="149">
        <f>SUM(AA21*'2025 CA Single Zone Calculator'!D2)</f>
        <v>700</v>
      </c>
      <c r="AC21" s="146" t="str">
        <f>IF(AA21=0.2,"Title 24: CO2 Sensor required","")</f>
        <v/>
      </c>
      <c r="AE21" s="147" t="s">
        <v>195</v>
      </c>
      <c r="AF21" s="148">
        <v>0.5</v>
      </c>
      <c r="AG21" s="149"/>
      <c r="AH21" s="146" t="str">
        <f>IF(AF21=0.2,"Title 24: CO2 Sensor required","")</f>
        <v/>
      </c>
      <c r="AM21" s="147" t="s">
        <v>195</v>
      </c>
      <c r="AN21" s="148">
        <v>33</v>
      </c>
      <c r="AO21" s="149">
        <f>SUM(AN21/1000)*15*'2025 CA Single Zone Calculator'!D2</f>
        <v>693</v>
      </c>
      <c r="AP21" s="146" t="str">
        <f>IF(AN21=0.2,"Title 24: CO2 Sensor required","")</f>
        <v/>
      </c>
      <c r="AT21" s="147" t="s">
        <v>195</v>
      </c>
      <c r="AU21" s="148">
        <v>33</v>
      </c>
      <c r="AV21" s="149">
        <f>SUM(AU21/1000)*15*'2025 CA Single Zone Calculator'!K2</f>
        <v>0</v>
      </c>
      <c r="AW21" s="146" t="str">
        <f>IF(AU21=0.2,"Title 24: CO2 Sensor required","")</f>
        <v/>
      </c>
    </row>
    <row r="22" spans="1:49" x14ac:dyDescent="0.25">
      <c r="A22" s="147" t="s">
        <v>15</v>
      </c>
      <c r="B22" s="147">
        <v>10</v>
      </c>
      <c r="C22" s="147">
        <v>0.12</v>
      </c>
      <c r="D22" s="147">
        <v>35</v>
      </c>
      <c r="F22" s="147" t="s">
        <v>196</v>
      </c>
      <c r="G22" s="148">
        <v>0.15</v>
      </c>
      <c r="H22" s="149"/>
      <c r="I22" s="146"/>
      <c r="K22" s="147" t="s">
        <v>196</v>
      </c>
      <c r="L22" s="148">
        <v>0.15</v>
      </c>
      <c r="M22" s="149"/>
      <c r="N22" s="146"/>
      <c r="S22" s="147" t="s">
        <v>342</v>
      </c>
      <c r="T22" s="147">
        <v>70</v>
      </c>
      <c r="U22" s="147">
        <v>7.5</v>
      </c>
      <c r="V22" s="147">
        <v>0.18</v>
      </c>
      <c r="Z22" s="147" t="s">
        <v>196</v>
      </c>
      <c r="AA22" s="148">
        <v>0.15</v>
      </c>
      <c r="AB22" s="149">
        <f>SUM(AA22*'2025 CA Single Zone Calculator'!D2)</f>
        <v>210</v>
      </c>
      <c r="AC22" s="146"/>
      <c r="AE22" s="147" t="s">
        <v>196</v>
      </c>
      <c r="AF22" s="148">
        <v>0.15</v>
      </c>
      <c r="AG22" s="149"/>
      <c r="AH22" s="146"/>
      <c r="AM22" s="147" t="s">
        <v>196</v>
      </c>
      <c r="AN22" s="148">
        <v>3</v>
      </c>
      <c r="AO22" s="149">
        <f>SUM(AN22/1000)*15*'2025 CA Single Zone Calculator'!D2</f>
        <v>63</v>
      </c>
      <c r="AP22" s="146"/>
      <c r="AT22" s="147" t="s">
        <v>196</v>
      </c>
      <c r="AU22" s="148">
        <v>3</v>
      </c>
      <c r="AV22" s="149">
        <f>SUM(AU22/1000)*15*'2025 CA Single Zone Calculator'!K2</f>
        <v>0</v>
      </c>
      <c r="AW22" s="146"/>
    </row>
    <row r="23" spans="1:49" x14ac:dyDescent="0.25">
      <c r="A23" s="147" t="s">
        <v>16</v>
      </c>
      <c r="B23" s="147">
        <v>10</v>
      </c>
      <c r="C23" s="147">
        <v>0.18</v>
      </c>
      <c r="D23" s="147">
        <v>25</v>
      </c>
      <c r="F23" s="147"/>
      <c r="G23" s="148"/>
      <c r="H23" s="149"/>
      <c r="I23" s="146"/>
      <c r="K23" s="147"/>
      <c r="L23" s="148"/>
      <c r="M23" s="149"/>
      <c r="N23" s="146"/>
      <c r="S23" s="147" t="s">
        <v>341</v>
      </c>
      <c r="T23" s="151">
        <v>15</v>
      </c>
      <c r="U23" s="151">
        <v>5</v>
      </c>
      <c r="V23" s="151">
        <v>0.06</v>
      </c>
      <c r="Z23" s="147"/>
      <c r="AA23" s="148"/>
      <c r="AB23" s="149"/>
      <c r="AC23" s="146"/>
      <c r="AE23" s="147"/>
      <c r="AF23" s="148"/>
      <c r="AG23" s="149"/>
      <c r="AH23" s="146"/>
      <c r="AM23" s="147"/>
      <c r="AN23" s="148"/>
      <c r="AO23" s="149"/>
      <c r="AP23" s="146"/>
      <c r="AT23" s="147"/>
      <c r="AU23" s="148"/>
      <c r="AV23" s="149"/>
      <c r="AW23" s="146"/>
    </row>
    <row r="24" spans="1:49" x14ac:dyDescent="0.25">
      <c r="A24" s="147" t="s">
        <v>18</v>
      </c>
      <c r="B24" s="147">
        <v>10</v>
      </c>
      <c r="C24" s="147">
        <v>0.18</v>
      </c>
      <c r="D24" s="147">
        <v>20</v>
      </c>
      <c r="F24" s="158" t="s">
        <v>262</v>
      </c>
      <c r="G24" s="159"/>
      <c r="H24" s="159"/>
      <c r="I24" s="159"/>
      <c r="K24" s="158" t="s">
        <v>262</v>
      </c>
      <c r="L24" s="159"/>
      <c r="M24" s="159"/>
      <c r="N24" s="159"/>
      <c r="S24" s="147"/>
      <c r="T24" s="151"/>
      <c r="U24" s="151"/>
      <c r="V24" s="151"/>
      <c r="Z24" s="158" t="s">
        <v>262</v>
      </c>
      <c r="AA24" s="159"/>
      <c r="AB24" s="159"/>
      <c r="AC24" s="159"/>
      <c r="AE24" s="158" t="s">
        <v>262</v>
      </c>
      <c r="AF24" s="159"/>
      <c r="AG24" s="159"/>
      <c r="AH24" s="159"/>
      <c r="AM24" s="158" t="s">
        <v>262</v>
      </c>
      <c r="AN24" s="159"/>
      <c r="AO24" s="159"/>
      <c r="AP24" s="159"/>
      <c r="AT24" s="158" t="s">
        <v>262</v>
      </c>
      <c r="AU24" s="159"/>
      <c r="AV24" s="159"/>
      <c r="AW24" s="159"/>
    </row>
    <row r="25" spans="1:49" x14ac:dyDescent="0.25">
      <c r="A25" s="147" t="s">
        <v>17</v>
      </c>
      <c r="B25" s="147">
        <v>5</v>
      </c>
      <c r="C25" s="147">
        <v>0.06</v>
      </c>
      <c r="D25" s="147">
        <v>150</v>
      </c>
      <c r="F25" s="147" t="s">
        <v>197</v>
      </c>
      <c r="G25" s="148">
        <f>IF(OR('2022 CA Single Zone Calculator'!H6="economizer",'2022 CA Single Zone Calculator'!H7="economizer",'2022 CA Single Zone Calculator'!H8="economizer"),0.15,0.5)</f>
        <v>0.15</v>
      </c>
      <c r="H25" s="149"/>
      <c r="I25" s="146" t="str">
        <f>IF(G25=0.15,"Title 24: CO2 Sensor required","")</f>
        <v>Title 24: CO2 Sensor required</v>
      </c>
      <c r="K25" s="147" t="s">
        <v>197</v>
      </c>
      <c r="L25" s="148">
        <f>IF(OR('2022 CA Multi-Zone Calculator'!H6="economizer",'2022 CA Multi-Zone Calculator'!H7="economizer",'2022 CA Multi-Zone Calculator'!H8="economizer"),0.15,0.5)</f>
        <v>0.15</v>
      </c>
      <c r="M25" s="149"/>
      <c r="N25" s="146" t="str">
        <f>IF(L25=0.15,"Title 24: CO2 Sensor required","")</f>
        <v>Title 24: CO2 Sensor required</v>
      </c>
      <c r="S25" s="160" t="s">
        <v>169</v>
      </c>
      <c r="T25" s="142"/>
      <c r="U25" s="142"/>
      <c r="V25" s="142"/>
      <c r="Z25" s="147" t="s">
        <v>197</v>
      </c>
      <c r="AA25" s="148">
        <v>0.15</v>
      </c>
      <c r="AB25" s="149">
        <f>SUM(AA25*'2025 CA Single Zone Calculator'!D2)</f>
        <v>210</v>
      </c>
      <c r="AC25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25" s="147" t="s">
        <v>197</v>
      </c>
      <c r="AF25" s="148">
        <v>0.15</v>
      </c>
      <c r="AG25" s="149"/>
      <c r="AH25" s="146" t="str">
        <f>IF(AF25=0.15,"Title 24: CO2 Sensor required","")</f>
        <v>Title 24: CO2 Sensor required</v>
      </c>
      <c r="AM25" s="147" t="s">
        <v>197</v>
      </c>
      <c r="AN25" s="148">
        <v>33</v>
      </c>
      <c r="AO25" s="149">
        <f>SUM(AN25/1000)*15*'2025 CA Single Zone Calculator'!D2</f>
        <v>693</v>
      </c>
      <c r="AP25" s="146" t="s">
        <v>513</v>
      </c>
      <c r="AT25" s="147" t="s">
        <v>197</v>
      </c>
      <c r="AU25" s="148">
        <v>33</v>
      </c>
      <c r="AV25" s="149">
        <f>SUM(AU25/1000)*15*'2025 CA Single Zone Calculator'!K2</f>
        <v>0</v>
      </c>
      <c r="AW25" s="146" t="s">
        <v>513</v>
      </c>
    </row>
    <row r="26" spans="1:49" x14ac:dyDescent="0.25">
      <c r="A26" s="147" t="s">
        <v>20</v>
      </c>
      <c r="B26" s="147">
        <v>10</v>
      </c>
      <c r="C26" s="147">
        <v>0.12</v>
      </c>
      <c r="D26" s="147">
        <v>25</v>
      </c>
      <c r="F26" s="147" t="s">
        <v>198</v>
      </c>
      <c r="G26" s="148">
        <f>IF(OR('2022 CA Single Zone Calculator'!H6="economizer",'2022 CA Single Zone Calculator'!H7="economizer",'2022 CA Single Zone Calculator'!H8="economizer"),0.15,0.5)</f>
        <v>0.15</v>
      </c>
      <c r="H26" s="149"/>
      <c r="I26" s="146" t="str">
        <f>IF(G26=0.15,"Title 24: CO2 Sensor required","")</f>
        <v>Title 24: CO2 Sensor required</v>
      </c>
      <c r="K26" s="147" t="s">
        <v>198</v>
      </c>
      <c r="L26" s="148">
        <f>IF(OR('2022 CA Multi-Zone Calculator'!H6="economizer",'2022 CA Multi-Zone Calculator'!H7="economizer",'2022 CA Multi-Zone Calculator'!H8="economizer"),0.15,0.5)</f>
        <v>0.15</v>
      </c>
      <c r="M26" s="149"/>
      <c r="N26" s="146" t="str">
        <f>IF(L26=0.15,"Title 24: CO2 Sensor required","")</f>
        <v>Title 24: CO2 Sensor required</v>
      </c>
      <c r="S26" s="147" t="s">
        <v>343</v>
      </c>
      <c r="T26" s="147">
        <v>20</v>
      </c>
      <c r="U26" s="147">
        <v>15</v>
      </c>
      <c r="V26" s="147">
        <v>0</v>
      </c>
      <c r="Z26" s="147" t="s">
        <v>198</v>
      </c>
      <c r="AA26" s="148">
        <v>0.15</v>
      </c>
      <c r="AB26" s="149">
        <f>SUM(AA26*'2025 CA Single Zone Calculator'!D2)</f>
        <v>210</v>
      </c>
      <c r="AC26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26" s="147" t="s">
        <v>198</v>
      </c>
      <c r="AF26" s="148">
        <v>0.15</v>
      </c>
      <c r="AG26" s="149"/>
      <c r="AH26" s="146" t="str">
        <f>IF(AF26=0.15,"Title 24: CO2 Sensor required","")</f>
        <v>Title 24: CO2 Sensor required</v>
      </c>
      <c r="AM26" s="147" t="s">
        <v>198</v>
      </c>
      <c r="AN26" s="148">
        <v>33</v>
      </c>
      <c r="AO26" s="149">
        <f>SUM(AN26/1000)*15*'2025 CA Single Zone Calculator'!D2</f>
        <v>693</v>
      </c>
      <c r="AP26" s="146" t="s">
        <v>513</v>
      </c>
      <c r="AT26" s="147" t="s">
        <v>198</v>
      </c>
      <c r="AU26" s="148">
        <v>33</v>
      </c>
      <c r="AV26" s="149">
        <f>SUM(AU26/1000)*15*'2025 CA Single Zone Calculator'!K2</f>
        <v>0</v>
      </c>
      <c r="AW26" s="146" t="s">
        <v>513</v>
      </c>
    </row>
    <row r="27" spans="1:49" x14ac:dyDescent="0.25">
      <c r="A27" s="147" t="s">
        <v>121</v>
      </c>
      <c r="B27" s="147">
        <v>7.5</v>
      </c>
      <c r="C27" s="147">
        <v>0.06</v>
      </c>
      <c r="D27" s="147">
        <v>65</v>
      </c>
      <c r="F27" s="147" t="s">
        <v>199</v>
      </c>
      <c r="G27" s="148">
        <f>IF(OR('2022 CA Single Zone Calculator'!H6="economizer",'2022 CA Single Zone Calculator'!H7="economizer",'2022 CA Single Zone Calculator'!H8="economizer"),0.15,0.5)</f>
        <v>0.15</v>
      </c>
      <c r="H27" s="149"/>
      <c r="I27" s="146" t="str">
        <f>IF(G27=0.15,"Title 24: CO2 Sensor required","")</f>
        <v>Title 24: CO2 Sensor required</v>
      </c>
      <c r="K27" s="147" t="s">
        <v>199</v>
      </c>
      <c r="L27" s="148">
        <f>IF(OR('2022 CA Multi-Zone Calculator'!H6="economizer",'2022 CA Multi-Zone Calculator'!H7="economizer",'2022 CA Multi-Zone Calculator'!H8="economizer"),0.15,0.5)</f>
        <v>0.15</v>
      </c>
      <c r="M27" s="149"/>
      <c r="N27" s="146"/>
      <c r="S27" s="147" t="s">
        <v>242</v>
      </c>
      <c r="T27" s="147">
        <v>20</v>
      </c>
      <c r="U27" s="147">
        <v>7.5</v>
      </c>
      <c r="V27" s="147">
        <v>0.12</v>
      </c>
      <c r="Z27" s="147" t="s">
        <v>199</v>
      </c>
      <c r="AA27" s="148">
        <v>0.15</v>
      </c>
      <c r="AB27" s="149">
        <f>SUM(AA27*'2025 CA Single Zone Calculator'!D2)</f>
        <v>210</v>
      </c>
      <c r="AC27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27" s="147" t="s">
        <v>199</v>
      </c>
      <c r="AF27" s="148">
        <v>0.15</v>
      </c>
      <c r="AG27" s="149"/>
      <c r="AH27" s="146"/>
      <c r="AM27" s="147" t="s">
        <v>199</v>
      </c>
      <c r="AN27" s="148">
        <v>33</v>
      </c>
      <c r="AO27" s="149">
        <f>SUM(AN27/1000)*15*'2025 CA Single Zone Calculator'!D2</f>
        <v>693</v>
      </c>
      <c r="AP27" s="146" t="s">
        <v>513</v>
      </c>
      <c r="AT27" s="147" t="s">
        <v>199</v>
      </c>
      <c r="AU27" s="148">
        <v>33</v>
      </c>
      <c r="AV27" s="149">
        <f>SUM(AU27/1000)*15*'2025 CA Single Zone Calculator'!K2</f>
        <v>0</v>
      </c>
      <c r="AW27" s="146" t="s">
        <v>513</v>
      </c>
    </row>
    <row r="28" spans="1:49" x14ac:dyDescent="0.25">
      <c r="A28" s="147" t="s">
        <v>122</v>
      </c>
      <c r="B28" s="147">
        <v>10</v>
      </c>
      <c r="C28" s="147">
        <v>0.12</v>
      </c>
      <c r="D28" s="147">
        <v>25</v>
      </c>
      <c r="F28" s="147" t="s">
        <v>200</v>
      </c>
      <c r="G28" s="148">
        <v>0.15</v>
      </c>
      <c r="H28" s="149"/>
      <c r="I28" s="146"/>
      <c r="K28" s="147" t="s">
        <v>200</v>
      </c>
      <c r="L28" s="148">
        <v>0.15</v>
      </c>
      <c r="M28" s="149"/>
      <c r="N28" s="146" t="str">
        <f>IF(L28=0.15,"Title 24: CO2 Sensor required","")</f>
        <v>Title 24: CO2 Sensor required</v>
      </c>
      <c r="S28" s="147" t="s">
        <v>344</v>
      </c>
      <c r="T28" s="147">
        <v>30</v>
      </c>
      <c r="U28" s="147">
        <v>30</v>
      </c>
      <c r="V28" s="147">
        <v>0</v>
      </c>
      <c r="Z28" s="147" t="s">
        <v>200</v>
      </c>
      <c r="AA28" s="148">
        <v>0.15</v>
      </c>
      <c r="AB28" s="149">
        <f>SUM(AA28*'2025 CA Single Zone Calculator'!D2)</f>
        <v>210</v>
      </c>
      <c r="AC28" s="146"/>
      <c r="AE28" s="147" t="s">
        <v>200</v>
      </c>
      <c r="AF28" s="148">
        <v>0.15</v>
      </c>
      <c r="AG28" s="149"/>
      <c r="AH28" s="146" t="str">
        <f>IF(AF28=0.15,"Title 24: CO2 Sensor required","")</f>
        <v>Title 24: CO2 Sensor required</v>
      </c>
      <c r="AM28" s="147" t="s">
        <v>200</v>
      </c>
      <c r="AN28" s="148">
        <v>5</v>
      </c>
      <c r="AO28" s="149">
        <f>SUM(AN28/1000)*15*'2025 CA Single Zone Calculator'!D2</f>
        <v>105</v>
      </c>
      <c r="AP28" s="146"/>
      <c r="AT28" s="147" t="s">
        <v>200</v>
      </c>
      <c r="AU28" s="148">
        <v>5</v>
      </c>
      <c r="AV28" s="149">
        <f>SUM(AU28/1000)*15*'2025 CA Single Zone Calculator'!K2</f>
        <v>0</v>
      </c>
      <c r="AW28" s="146"/>
    </row>
    <row r="29" spans="1:49" x14ac:dyDescent="0.25">
      <c r="A29" s="147" t="s">
        <v>21</v>
      </c>
      <c r="B29" s="147">
        <v>7.5</v>
      </c>
      <c r="C29" s="147">
        <v>0.06</v>
      </c>
      <c r="D29" s="147">
        <v>100</v>
      </c>
      <c r="F29" s="147" t="s">
        <v>201</v>
      </c>
      <c r="G29" s="148">
        <v>0.15</v>
      </c>
      <c r="H29" s="149"/>
      <c r="I29" s="146"/>
      <c r="K29" s="147" t="s">
        <v>201</v>
      </c>
      <c r="L29" s="148">
        <v>0.15</v>
      </c>
      <c r="M29" s="149"/>
      <c r="N29" s="146"/>
      <c r="S29" s="147" t="s">
        <v>345</v>
      </c>
      <c r="T29" s="147">
        <v>10</v>
      </c>
      <c r="U29" s="147">
        <v>5</v>
      </c>
      <c r="V29" s="147">
        <v>0.12</v>
      </c>
      <c r="Z29" s="147" t="s">
        <v>201</v>
      </c>
      <c r="AA29" s="148">
        <v>0.15</v>
      </c>
      <c r="AB29" s="149">
        <f>SUM(AA29*'2025 CA Single Zone Calculator'!D2)</f>
        <v>210</v>
      </c>
      <c r="AC29" s="146"/>
      <c r="AE29" s="147" t="s">
        <v>201</v>
      </c>
      <c r="AF29" s="148">
        <v>0.15</v>
      </c>
      <c r="AG29" s="149"/>
      <c r="AH29" s="146"/>
      <c r="AM29" s="147" t="s">
        <v>201</v>
      </c>
      <c r="AN29" s="148">
        <v>2</v>
      </c>
      <c r="AO29" s="149">
        <f>SUM(AN29/1000)*15*'2025 CA Single Zone Calculator'!D2</f>
        <v>42</v>
      </c>
      <c r="AP29" s="146"/>
      <c r="AT29" s="147" t="s">
        <v>201</v>
      </c>
      <c r="AU29" s="148">
        <v>2</v>
      </c>
      <c r="AV29" s="149">
        <f>SUM(AU29/1000)*15*'2025 CA Single Zone Calculator'!K2</f>
        <v>0</v>
      </c>
      <c r="AW29" s="146"/>
    </row>
    <row r="30" spans="1:49" x14ac:dyDescent="0.25">
      <c r="A30" s="147" t="s">
        <v>297</v>
      </c>
      <c r="B30" s="147">
        <v>10</v>
      </c>
      <c r="C30" s="147">
        <v>0.06</v>
      </c>
      <c r="D30" s="147">
        <v>35</v>
      </c>
      <c r="F30" s="147"/>
      <c r="G30" s="148"/>
      <c r="H30" s="149"/>
      <c r="I30" s="146"/>
      <c r="K30" s="147"/>
      <c r="L30" s="148"/>
      <c r="M30" s="149"/>
      <c r="N30" s="146"/>
      <c r="S30" s="147" t="s">
        <v>346</v>
      </c>
      <c r="T30" s="147">
        <v>30</v>
      </c>
      <c r="U30" s="147">
        <v>7.5</v>
      </c>
      <c r="V30" s="147">
        <v>0.12</v>
      </c>
      <c r="Z30" s="147"/>
      <c r="AA30" s="148"/>
      <c r="AB30" s="149"/>
      <c r="AC30" s="146"/>
      <c r="AE30" s="147"/>
      <c r="AF30" s="148"/>
      <c r="AG30" s="149"/>
      <c r="AH30" s="146"/>
      <c r="AM30" s="147"/>
      <c r="AN30" s="148"/>
      <c r="AO30" s="149"/>
      <c r="AP30" s="146"/>
      <c r="AT30" s="147"/>
      <c r="AU30" s="148"/>
      <c r="AV30" s="149"/>
      <c r="AW30" s="146"/>
    </row>
    <row r="31" spans="1:49" x14ac:dyDescent="0.25">
      <c r="A31" s="147" t="s">
        <v>19</v>
      </c>
      <c r="B31" s="147">
        <v>10</v>
      </c>
      <c r="C31" s="147">
        <v>0.18</v>
      </c>
      <c r="D31" s="147">
        <v>25</v>
      </c>
      <c r="F31" s="158" t="s">
        <v>263</v>
      </c>
      <c r="G31" s="159"/>
      <c r="H31" s="159"/>
      <c r="I31" s="159"/>
      <c r="K31" s="158" t="s">
        <v>263</v>
      </c>
      <c r="L31" s="159"/>
      <c r="M31" s="159"/>
      <c r="N31" s="159"/>
      <c r="S31" s="147"/>
      <c r="T31" s="147"/>
      <c r="U31" s="147"/>
      <c r="V31" s="147"/>
      <c r="Z31" s="158" t="s">
        <v>263</v>
      </c>
      <c r="AA31" s="159"/>
      <c r="AB31" s="159"/>
      <c r="AC31" s="159"/>
      <c r="AE31" s="158" t="s">
        <v>263</v>
      </c>
      <c r="AF31" s="159"/>
      <c r="AG31" s="159"/>
      <c r="AH31" s="159"/>
      <c r="AM31" s="158" t="s">
        <v>263</v>
      </c>
      <c r="AN31" s="159"/>
      <c r="AO31" s="159"/>
      <c r="AP31" s="159"/>
      <c r="AT31" s="158" t="s">
        <v>263</v>
      </c>
      <c r="AU31" s="159"/>
      <c r="AV31" s="159"/>
      <c r="AW31" s="159"/>
    </row>
    <row r="32" spans="1:49" x14ac:dyDescent="0.25">
      <c r="A32" s="147" t="s">
        <v>298</v>
      </c>
      <c r="B32" s="147">
        <v>10</v>
      </c>
      <c r="C32" s="147">
        <v>0.18</v>
      </c>
      <c r="D32" s="147">
        <v>20</v>
      </c>
      <c r="F32" s="147" t="s">
        <v>202</v>
      </c>
      <c r="G32" s="148">
        <v>0.15</v>
      </c>
      <c r="H32" s="149"/>
      <c r="I32" s="146"/>
      <c r="K32" s="147" t="s">
        <v>202</v>
      </c>
      <c r="L32" s="148">
        <v>0.15</v>
      </c>
      <c r="M32" s="149"/>
      <c r="N32" s="146"/>
      <c r="S32" s="150" t="s">
        <v>164</v>
      </c>
      <c r="T32" s="146"/>
      <c r="U32" s="146"/>
      <c r="V32" s="146"/>
      <c r="Z32" s="147" t="s">
        <v>202</v>
      </c>
      <c r="AA32" s="148">
        <v>0.15</v>
      </c>
      <c r="AB32" s="149">
        <f>SUM(AA32*'2025 CA Single Zone Calculator'!D2)</f>
        <v>210</v>
      </c>
      <c r="AC32" s="146"/>
      <c r="AE32" s="147" t="s">
        <v>202</v>
      </c>
      <c r="AF32" s="148">
        <v>0.15</v>
      </c>
      <c r="AG32" s="149"/>
      <c r="AH32" s="146"/>
      <c r="AM32" s="147" t="s">
        <v>202</v>
      </c>
      <c r="AN32" s="148">
        <v>3</v>
      </c>
      <c r="AO32" s="149">
        <f>SUM(AN32/1000)*15*'2025 CA Single Zone Calculator'!D2</f>
        <v>63</v>
      </c>
      <c r="AP32" s="146"/>
      <c r="AT32" s="147" t="s">
        <v>202</v>
      </c>
      <c r="AU32" s="148">
        <v>3</v>
      </c>
      <c r="AV32" s="149">
        <f>SUM(AU32/1000)*15*'2025 CA Single Zone Calculator'!K2</f>
        <v>0</v>
      </c>
      <c r="AW32" s="146"/>
    </row>
    <row r="33" spans="1:49" x14ac:dyDescent="0.25">
      <c r="A33" s="147"/>
      <c r="B33" s="147"/>
      <c r="C33" s="147"/>
      <c r="D33" s="147"/>
      <c r="F33" s="147" t="s">
        <v>203</v>
      </c>
      <c r="G33" s="148">
        <v>0.15</v>
      </c>
      <c r="H33" s="149"/>
      <c r="I33" s="146"/>
      <c r="K33" s="147" t="s">
        <v>203</v>
      </c>
      <c r="L33" s="148">
        <v>0.15</v>
      </c>
      <c r="M33" s="149"/>
      <c r="N33" s="146"/>
      <c r="S33" s="147" t="s">
        <v>185</v>
      </c>
      <c r="T33" s="147">
        <v>20</v>
      </c>
      <c r="U33" s="147">
        <v>10</v>
      </c>
      <c r="V33" s="147">
        <v>0.18</v>
      </c>
      <c r="Z33" s="147" t="s">
        <v>203</v>
      </c>
      <c r="AA33" s="148">
        <v>0.15</v>
      </c>
      <c r="AB33" s="149">
        <f>SUM(AA33*'2025 CA Single Zone Calculator'!D2)</f>
        <v>210</v>
      </c>
      <c r="AC33" s="146"/>
      <c r="AE33" s="147" t="s">
        <v>203</v>
      </c>
      <c r="AF33" s="148">
        <v>0.15</v>
      </c>
      <c r="AG33" s="149"/>
      <c r="AH33" s="146"/>
      <c r="AM33" s="147" t="s">
        <v>203</v>
      </c>
      <c r="AN33" s="148">
        <v>5</v>
      </c>
      <c r="AO33" s="149">
        <f>SUM(AN33/1000)*15*'2025 CA Single Zone Calculator'!D2</f>
        <v>105</v>
      </c>
      <c r="AP33" s="146"/>
      <c r="AT33" s="147" t="s">
        <v>203</v>
      </c>
      <c r="AU33" s="148">
        <v>5</v>
      </c>
      <c r="AV33" s="149">
        <f>SUM(AU33/1000)*15*'2025 CA Single Zone Calculator'!K2</f>
        <v>0</v>
      </c>
      <c r="AW33" s="146"/>
    </row>
    <row r="34" spans="1:49" x14ac:dyDescent="0.25">
      <c r="A34" s="160" t="s">
        <v>165</v>
      </c>
      <c r="B34" s="146"/>
      <c r="C34" s="146"/>
      <c r="D34" s="146"/>
      <c r="F34" s="147" t="s">
        <v>204</v>
      </c>
      <c r="G34" s="148">
        <v>0.15</v>
      </c>
      <c r="H34" s="149"/>
      <c r="I34" s="146"/>
      <c r="K34" s="147" t="s">
        <v>204</v>
      </c>
      <c r="L34" s="148">
        <v>0.15</v>
      </c>
      <c r="M34" s="149"/>
      <c r="N34" s="146"/>
      <c r="S34" s="147" t="s">
        <v>347</v>
      </c>
      <c r="T34" s="147">
        <v>150</v>
      </c>
      <c r="U34" s="147">
        <v>5</v>
      </c>
      <c r="V34" s="147">
        <v>0.06</v>
      </c>
      <c r="Z34" s="147" t="s">
        <v>204</v>
      </c>
      <c r="AA34" s="148">
        <v>0.15</v>
      </c>
      <c r="AB34" s="149">
        <f>SUM(AA34*'2025 CA Single Zone Calculator'!D2)</f>
        <v>210</v>
      </c>
      <c r="AC34" s="146"/>
      <c r="AE34" s="147" t="s">
        <v>204</v>
      </c>
      <c r="AF34" s="148">
        <v>0.15</v>
      </c>
      <c r="AG34" s="149"/>
      <c r="AH34" s="146"/>
      <c r="AM34" s="147" t="s">
        <v>204</v>
      </c>
      <c r="AN34" s="148">
        <v>5</v>
      </c>
      <c r="AO34" s="149">
        <f>SUM(AN34/1000)*15*'2025 CA Single Zone Calculator'!D2</f>
        <v>105</v>
      </c>
      <c r="AP34" s="146"/>
      <c r="AT34" s="147" t="s">
        <v>204</v>
      </c>
      <c r="AU34" s="148">
        <v>5</v>
      </c>
      <c r="AV34" s="149">
        <f>SUM(AU34/1000)*15*'2025 CA Single Zone Calculator'!K2</f>
        <v>0</v>
      </c>
      <c r="AW34" s="146"/>
    </row>
    <row r="35" spans="1:49" x14ac:dyDescent="0.25">
      <c r="A35" s="147" t="s">
        <v>299</v>
      </c>
      <c r="B35" s="147">
        <v>5</v>
      </c>
      <c r="C35" s="147">
        <v>0.06</v>
      </c>
      <c r="D35" s="147">
        <v>5</v>
      </c>
      <c r="F35" s="147" t="s">
        <v>205</v>
      </c>
      <c r="G35" s="148">
        <v>0.15</v>
      </c>
      <c r="H35" s="149"/>
      <c r="I35" s="146"/>
      <c r="K35" s="147" t="s">
        <v>205</v>
      </c>
      <c r="L35" s="148">
        <v>0.15</v>
      </c>
      <c r="M35" s="149"/>
      <c r="N35" s="146"/>
      <c r="S35" s="147" t="s">
        <v>181</v>
      </c>
      <c r="T35" s="147">
        <v>25</v>
      </c>
      <c r="U35" s="147">
        <v>10</v>
      </c>
      <c r="V35" s="147">
        <v>0.12</v>
      </c>
      <c r="Z35" s="147" t="s">
        <v>205</v>
      </c>
      <c r="AA35" s="148">
        <v>0.15</v>
      </c>
      <c r="AB35" s="149">
        <f>SUM(AA35*'2025 CA Single Zone Calculator'!D2)</f>
        <v>210</v>
      </c>
      <c r="AC35" s="146"/>
      <c r="AE35" s="147" t="s">
        <v>205</v>
      </c>
      <c r="AF35" s="148">
        <v>0.15</v>
      </c>
      <c r="AG35" s="149"/>
      <c r="AH35" s="146"/>
      <c r="AM35" s="147" t="s">
        <v>205</v>
      </c>
      <c r="AN35" s="148">
        <v>5</v>
      </c>
      <c r="AO35" s="149">
        <f>SUM(AN35/1000)*15*'2025 CA Single Zone Calculator'!D2</f>
        <v>105</v>
      </c>
      <c r="AP35" s="146"/>
      <c r="AT35" s="147" t="s">
        <v>205</v>
      </c>
      <c r="AU35" s="148">
        <v>5</v>
      </c>
      <c r="AV35" s="149">
        <f>SUM(AU35/1000)*15*'2025 CA Single Zone Calculator'!K2</f>
        <v>0</v>
      </c>
      <c r="AW35" s="146"/>
    </row>
    <row r="36" spans="1:49" x14ac:dyDescent="0.25">
      <c r="A36" s="147" t="s">
        <v>9</v>
      </c>
      <c r="B36" s="147">
        <v>5</v>
      </c>
      <c r="C36" s="147">
        <v>0.06</v>
      </c>
      <c r="D36" s="147">
        <v>4</v>
      </c>
      <c r="F36" s="147" t="s">
        <v>206</v>
      </c>
      <c r="G36" s="148">
        <f>IF(OR('2022 CA Single Zone Calculator'!H6="economizer",'2022 CA Single Zone Calculator'!H7="economizer",'2022 CA Single Zone Calculator'!H8="economizer"),0.15,0.5)</f>
        <v>0.15</v>
      </c>
      <c r="H36" s="149"/>
      <c r="I36" s="146" t="str">
        <f>IF(G36=0.15,"Title 24: CO2 Sensor required","")</f>
        <v>Title 24: CO2 Sensor required</v>
      </c>
      <c r="K36" s="147" t="s">
        <v>206</v>
      </c>
      <c r="L36" s="148">
        <f>IF(OR('2022 CA Multi-Zone Calculator'!H6="economizer",'2022 CA Multi-Zone Calculator'!H7="economizer",'2022 CA Multi-Zone Calculator'!H8="economizer"),0.15,0.5)</f>
        <v>0.15</v>
      </c>
      <c r="M36" s="149"/>
      <c r="N36" s="146" t="str">
        <f>IF(L36=0.15,"Title 24: CO2 Sensor required","")</f>
        <v>Title 24: CO2 Sensor required</v>
      </c>
      <c r="S36" s="147" t="s">
        <v>348</v>
      </c>
      <c r="T36" s="147">
        <v>35</v>
      </c>
      <c r="U36" s="147">
        <v>10</v>
      </c>
      <c r="V36" s="147">
        <v>0.12</v>
      </c>
      <c r="Z36" s="147" t="s">
        <v>206</v>
      </c>
      <c r="AA36" s="148">
        <v>0.15</v>
      </c>
      <c r="AB36" s="149">
        <f>SUM(AA36*'2025 CA Single Zone Calculator'!D2)</f>
        <v>210</v>
      </c>
      <c r="AC36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36" s="147" t="s">
        <v>206</v>
      </c>
      <c r="AF36" s="148">
        <v>0.15</v>
      </c>
      <c r="AG36" s="149"/>
      <c r="AH36" s="146" t="str">
        <f>IF(AF36=0.15,"Title 24: CO2 Sensor required","")</f>
        <v>Title 24: CO2 Sensor required</v>
      </c>
      <c r="AM36" s="147" t="s">
        <v>206</v>
      </c>
      <c r="AN36" s="148">
        <v>33</v>
      </c>
      <c r="AO36" s="149">
        <f>SUM(AN36/1000)*15*'2025 CA Single Zone Calculator'!D2</f>
        <v>693</v>
      </c>
      <c r="AP36" s="146" t="s">
        <v>513</v>
      </c>
      <c r="AT36" s="147" t="s">
        <v>206</v>
      </c>
      <c r="AU36" s="148">
        <v>33</v>
      </c>
      <c r="AV36" s="149">
        <f>SUM(AU36/1000)*15*'2025 CA Single Zone Calculator'!K2</f>
        <v>0</v>
      </c>
      <c r="AW36" s="146" t="s">
        <v>513</v>
      </c>
    </row>
    <row r="37" spans="1:49" x14ac:dyDescent="0.25">
      <c r="A37" s="147" t="s">
        <v>123</v>
      </c>
      <c r="B37" s="147">
        <v>5</v>
      </c>
      <c r="C37" s="147">
        <v>0.06</v>
      </c>
      <c r="D37" s="147">
        <v>4</v>
      </c>
      <c r="F37" s="147" t="s">
        <v>207</v>
      </c>
      <c r="G37" s="148">
        <v>0.5</v>
      </c>
      <c r="H37" s="149"/>
      <c r="I37" s="146"/>
      <c r="K37" s="147" t="s">
        <v>207</v>
      </c>
      <c r="L37" s="148">
        <v>0.5</v>
      </c>
      <c r="M37" s="149"/>
      <c r="N37" s="146"/>
      <c r="S37" s="147" t="s">
        <v>189</v>
      </c>
      <c r="T37" s="147">
        <v>25</v>
      </c>
      <c r="U37" s="147">
        <v>10</v>
      </c>
      <c r="V37" s="147">
        <v>0.12</v>
      </c>
      <c r="Z37" s="147" t="s">
        <v>207</v>
      </c>
      <c r="AA37" s="148">
        <v>0.15</v>
      </c>
      <c r="AB37" s="149">
        <f>SUM(AA37*'2025 CA Single Zone Calculator'!D2)</f>
        <v>210</v>
      </c>
      <c r="AC37" s="146"/>
      <c r="AE37" s="147" t="s">
        <v>207</v>
      </c>
      <c r="AF37" s="148">
        <v>0.15</v>
      </c>
      <c r="AG37" s="149"/>
      <c r="AH37" s="146"/>
      <c r="AM37" s="147" t="s">
        <v>207</v>
      </c>
      <c r="AN37" s="148">
        <v>33</v>
      </c>
      <c r="AO37" s="149">
        <f>SUM(AN37/1000)*15*'2025 CA Single Zone Calculator'!D2</f>
        <v>693</v>
      </c>
      <c r="AP37" s="146"/>
      <c r="AT37" s="147" t="s">
        <v>207</v>
      </c>
      <c r="AU37" s="148">
        <v>33</v>
      </c>
      <c r="AV37" s="149">
        <f>SUM(AU37/1000)*15*'2025 CA Single Zone Calculator'!K2</f>
        <v>0</v>
      </c>
      <c r="AW37" s="146"/>
    </row>
    <row r="38" spans="1:49" x14ac:dyDescent="0.25">
      <c r="A38" s="147" t="s">
        <v>13</v>
      </c>
      <c r="B38" s="147">
        <v>5</v>
      </c>
      <c r="C38" s="147">
        <v>0.18</v>
      </c>
      <c r="D38" s="147">
        <v>10</v>
      </c>
      <c r="F38" s="147"/>
      <c r="G38" s="148"/>
      <c r="H38" s="149"/>
      <c r="I38" s="146"/>
      <c r="K38" s="147"/>
      <c r="L38" s="148"/>
      <c r="M38" s="149"/>
      <c r="N38" s="146"/>
      <c r="S38" s="147" t="s">
        <v>200</v>
      </c>
      <c r="T38" s="146">
        <v>0</v>
      </c>
      <c r="U38" s="146">
        <v>0</v>
      </c>
      <c r="V38" s="146">
        <v>0.06</v>
      </c>
      <c r="Z38" s="147"/>
      <c r="AA38" s="148"/>
      <c r="AB38" s="149"/>
      <c r="AC38" s="146"/>
      <c r="AE38" s="147"/>
      <c r="AF38" s="148"/>
      <c r="AG38" s="149"/>
      <c r="AH38" s="146"/>
      <c r="AM38" s="147"/>
      <c r="AN38" s="148"/>
      <c r="AO38" s="149"/>
      <c r="AP38" s="146"/>
      <c r="AT38" s="147"/>
      <c r="AU38" s="148"/>
      <c r="AV38" s="149"/>
      <c r="AW38" s="146"/>
    </row>
    <row r="39" spans="1:49" x14ac:dyDescent="0.25">
      <c r="A39" s="147" t="s">
        <v>124</v>
      </c>
      <c r="B39" s="147">
        <v>5</v>
      </c>
      <c r="C39" s="147">
        <v>0.12</v>
      </c>
      <c r="D39" s="147">
        <v>10</v>
      </c>
      <c r="F39" s="158" t="s">
        <v>264</v>
      </c>
      <c r="G39" s="159"/>
      <c r="H39" s="159"/>
      <c r="I39" s="159"/>
      <c r="K39" s="158" t="s">
        <v>264</v>
      </c>
      <c r="L39" s="159"/>
      <c r="M39" s="159"/>
      <c r="N39" s="159"/>
      <c r="S39" s="147" t="s">
        <v>349</v>
      </c>
      <c r="T39" s="147">
        <v>25</v>
      </c>
      <c r="U39" s="147">
        <v>10</v>
      </c>
      <c r="V39" s="147">
        <v>0.18</v>
      </c>
      <c r="Z39" s="158" t="s">
        <v>264</v>
      </c>
      <c r="AA39" s="159"/>
      <c r="AB39" s="159"/>
      <c r="AC39" s="159"/>
      <c r="AE39" s="158" t="s">
        <v>264</v>
      </c>
      <c r="AF39" s="159"/>
      <c r="AG39" s="159"/>
      <c r="AH39" s="159"/>
      <c r="AM39" s="158" t="s">
        <v>264</v>
      </c>
      <c r="AN39" s="159"/>
      <c r="AO39" s="159"/>
      <c r="AP39" s="159"/>
      <c r="AT39" s="158" t="s">
        <v>264</v>
      </c>
      <c r="AU39" s="159"/>
      <c r="AV39" s="159"/>
      <c r="AW39" s="159"/>
    </row>
    <row r="40" spans="1:49" x14ac:dyDescent="0.25">
      <c r="A40" s="147" t="s">
        <v>125</v>
      </c>
      <c r="B40" s="147">
        <v>15</v>
      </c>
      <c r="C40" s="147">
        <v>0</v>
      </c>
      <c r="D40" s="147">
        <v>10</v>
      </c>
      <c r="F40" s="147" t="s">
        <v>208</v>
      </c>
      <c r="G40" s="148">
        <f>IF(OR('2022 CA Single Zone Calculator'!H6="economizer",'2022 CA Single Zone Calculator'!H7="economizer",'2022 CA Single Zone Calculator'!H8="economizer"),0.15,0.5)</f>
        <v>0.15</v>
      </c>
      <c r="H40" s="149"/>
      <c r="I40" s="146" t="str">
        <f>IF(G40=0.15,"Title 24: CO2 Sensor required","")</f>
        <v>Title 24: CO2 Sensor required</v>
      </c>
      <c r="K40" s="147" t="s">
        <v>208</v>
      </c>
      <c r="L40" s="148">
        <f>IF(OR('2022 CA Multi-Zone Calculator'!H6="economizer",'2022 CA Multi-Zone Calculator'!H7="economizer",'2022 CA Multi-Zone Calculator'!H8="economizer"),0.15,0.5)</f>
        <v>0.15</v>
      </c>
      <c r="M40" s="149"/>
      <c r="N40" s="146" t="str">
        <f>IF(L40=0.15,"Title 24: CO2 Sensor required","")</f>
        <v>Title 24: CO2 Sensor required</v>
      </c>
      <c r="S40" s="147" t="s">
        <v>350</v>
      </c>
      <c r="T40" s="147">
        <v>65</v>
      </c>
      <c r="U40" s="147">
        <v>7.5</v>
      </c>
      <c r="V40" s="147">
        <v>0.06</v>
      </c>
      <c r="Z40" s="147" t="s">
        <v>208</v>
      </c>
      <c r="AA40" s="148">
        <v>0.15</v>
      </c>
      <c r="AB40" s="149">
        <f>SUM(AA40*'2025 CA Single Zone Calculator'!D2)</f>
        <v>210</v>
      </c>
      <c r="AC40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40" s="147" t="s">
        <v>208</v>
      </c>
      <c r="AF40" s="148">
        <v>0.15</v>
      </c>
      <c r="AG40" s="149"/>
      <c r="AH40" s="146" t="str">
        <f>IF(AF40=0.15,"Title 24: CO2 Sensor required","")</f>
        <v>Title 24: CO2 Sensor required</v>
      </c>
      <c r="AM40" s="147" t="s">
        <v>208</v>
      </c>
      <c r="AN40" s="148">
        <v>33</v>
      </c>
      <c r="AO40" s="149">
        <f>SUM(AN40/1000)*15*'2025 CA Single Zone Calculator'!D2</f>
        <v>693</v>
      </c>
      <c r="AP40" s="146" t="s">
        <v>513</v>
      </c>
      <c r="AT40" s="147" t="s">
        <v>208</v>
      </c>
      <c r="AU40" s="148">
        <v>33</v>
      </c>
      <c r="AV40" s="149">
        <f>SUM(AU40/1000)*15*'2025 CA Single Zone Calculator'!K2</f>
        <v>0</v>
      </c>
      <c r="AW40" s="146" t="s">
        <v>513</v>
      </c>
    </row>
    <row r="41" spans="1:49" x14ac:dyDescent="0.25">
      <c r="A41" s="147"/>
      <c r="B41" s="147"/>
      <c r="C41" s="147"/>
      <c r="D41" s="147"/>
      <c r="F41" s="147" t="s">
        <v>209</v>
      </c>
      <c r="G41" s="148">
        <f>IF(OR('2022 CA Single Zone Calculator'!H6="economizer",'2022 CA Single Zone Calculator'!H7="economizer",'2022 CA Single Zone Calculator'!H8="economizer"),0.15,0.5)</f>
        <v>0.15</v>
      </c>
      <c r="H41" s="149"/>
      <c r="I41" s="146" t="str">
        <f>IF(G41=0.15,"Title 24: CO2 Sensor required","")</f>
        <v>Title 24: CO2 Sensor required</v>
      </c>
      <c r="K41" s="147" t="s">
        <v>209</v>
      </c>
      <c r="L41" s="148">
        <f>IF(OR('2022 CA Multi-Zone Calculator'!H6="economizer",'2022 CA Multi-Zone Calculator'!H7="economizer",'2022 CA Multi-Zone Calculator'!H8="economizer"),0.15,0.5)</f>
        <v>0.15</v>
      </c>
      <c r="M41" s="149"/>
      <c r="N41" s="146" t="str">
        <f>IF(L41=0.15,"Title 24: CO2 Sensor required","")</f>
        <v>Title 24: CO2 Sensor required</v>
      </c>
      <c r="S41" s="147" t="s">
        <v>184</v>
      </c>
      <c r="T41" s="147">
        <v>150</v>
      </c>
      <c r="U41" s="147">
        <v>7.5</v>
      </c>
      <c r="V41" s="147">
        <v>0.06</v>
      </c>
      <c r="Z41" s="147" t="s">
        <v>209</v>
      </c>
      <c r="AA41" s="148">
        <v>0.15</v>
      </c>
      <c r="AB41" s="149">
        <f>SUM(AA41*'2025 CA Single Zone Calculator'!D2)</f>
        <v>210</v>
      </c>
      <c r="AC41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41" s="147" t="s">
        <v>209</v>
      </c>
      <c r="AF41" s="148">
        <v>0.15</v>
      </c>
      <c r="AG41" s="149"/>
      <c r="AH41" s="146" t="str">
        <f>IF(AF41=0.15,"Title 24: CO2 Sensor required","")</f>
        <v>Title 24: CO2 Sensor required</v>
      </c>
      <c r="AM41" s="147" t="s">
        <v>209</v>
      </c>
      <c r="AN41" s="148">
        <v>33</v>
      </c>
      <c r="AO41" s="149">
        <f>SUM(AN41/1000)*15*'2025 CA Single Zone Calculator'!D2</f>
        <v>693</v>
      </c>
      <c r="AP41" s="146" t="s">
        <v>513</v>
      </c>
      <c r="AT41" s="147" t="s">
        <v>209</v>
      </c>
      <c r="AU41" s="148">
        <v>33</v>
      </c>
      <c r="AV41" s="149">
        <f>SUM(AU41/1000)*15*'2025 CA Single Zone Calculator'!K2</f>
        <v>0</v>
      </c>
      <c r="AW41" s="146" t="s">
        <v>513</v>
      </c>
    </row>
    <row r="42" spans="1:49" x14ac:dyDescent="0.25">
      <c r="A42" s="160" t="s">
        <v>166</v>
      </c>
      <c r="B42" s="146"/>
      <c r="C42" s="146"/>
      <c r="D42" s="146"/>
      <c r="F42" s="147" t="s">
        <v>210</v>
      </c>
      <c r="G42" s="148">
        <v>0.15</v>
      </c>
      <c r="H42" s="149"/>
      <c r="I42" s="146"/>
      <c r="K42" s="147" t="s">
        <v>210</v>
      </c>
      <c r="L42" s="148">
        <v>0.15</v>
      </c>
      <c r="M42" s="149"/>
      <c r="N42" s="146"/>
      <c r="S42" s="147" t="s">
        <v>351</v>
      </c>
      <c r="T42" s="147">
        <v>25</v>
      </c>
      <c r="U42" s="147">
        <v>10</v>
      </c>
      <c r="V42" s="147">
        <v>0.12</v>
      </c>
      <c r="Z42" s="147" t="s">
        <v>210</v>
      </c>
      <c r="AA42" s="148">
        <v>0.15</v>
      </c>
      <c r="AB42" s="149">
        <f>SUM(AA42*'2025 CA Single Zone Calculator'!D2)</f>
        <v>210</v>
      </c>
      <c r="AC42" s="146"/>
      <c r="AE42" s="147" t="s">
        <v>210</v>
      </c>
      <c r="AF42" s="148">
        <v>0.15</v>
      </c>
      <c r="AG42" s="149"/>
      <c r="AH42" s="146"/>
      <c r="AM42" s="147" t="s">
        <v>210</v>
      </c>
      <c r="AN42" s="148">
        <v>2</v>
      </c>
      <c r="AO42" s="149">
        <f>SUM(AN42/1000)*15*'2025 CA Single Zone Calculator'!D2</f>
        <v>42</v>
      </c>
      <c r="AP42" s="146"/>
      <c r="AT42" s="147" t="s">
        <v>210</v>
      </c>
      <c r="AU42" s="148">
        <v>2</v>
      </c>
      <c r="AV42" s="149">
        <f>SUM(AU42/1000)*15*'2025 CA Single Zone Calculator'!K2</f>
        <v>0</v>
      </c>
      <c r="AW42" s="146"/>
    </row>
    <row r="43" spans="1:49" x14ac:dyDescent="0.25">
      <c r="A43" s="147" t="s">
        <v>300</v>
      </c>
      <c r="B43" s="147">
        <v>5</v>
      </c>
      <c r="C43" s="147">
        <v>0.06</v>
      </c>
      <c r="D43" s="147">
        <v>10</v>
      </c>
      <c r="F43" s="147" t="s">
        <v>211</v>
      </c>
      <c r="G43" s="148">
        <v>0.15</v>
      </c>
      <c r="H43" s="149"/>
      <c r="I43" s="146"/>
      <c r="K43" s="147" t="s">
        <v>211</v>
      </c>
      <c r="L43" s="148">
        <v>0.15</v>
      </c>
      <c r="M43" s="149"/>
      <c r="N43" s="146"/>
      <c r="S43" s="147" t="s">
        <v>192</v>
      </c>
      <c r="T43" s="147">
        <v>100</v>
      </c>
      <c r="U43" s="147">
        <v>7.5</v>
      </c>
      <c r="V43" s="147">
        <v>0.06</v>
      </c>
      <c r="Z43" s="147" t="s">
        <v>211</v>
      </c>
      <c r="AA43" s="148">
        <v>0.15</v>
      </c>
      <c r="AB43" s="149">
        <f>SUM(AA43*'2025 CA Single Zone Calculator'!D2)</f>
        <v>210</v>
      </c>
      <c r="AC43" s="146"/>
      <c r="AE43" s="147" t="s">
        <v>211</v>
      </c>
      <c r="AF43" s="148">
        <v>0.15</v>
      </c>
      <c r="AG43" s="149"/>
      <c r="AH43" s="146"/>
      <c r="AM43" s="147" t="s">
        <v>211</v>
      </c>
      <c r="AN43" s="148">
        <v>5</v>
      </c>
      <c r="AO43" s="149">
        <f>SUM(AN43/1000)*15*'2025 CA Single Zone Calculator'!D2</f>
        <v>105</v>
      </c>
      <c r="AP43" s="146"/>
      <c r="AT43" s="147" t="s">
        <v>211</v>
      </c>
      <c r="AU43" s="148">
        <v>5</v>
      </c>
      <c r="AV43" s="149">
        <f>SUM(AU43/1000)*15*'2025 CA Single Zone Calculator'!K2</f>
        <v>0</v>
      </c>
      <c r="AW43" s="146"/>
    </row>
    <row r="44" spans="1:49" x14ac:dyDescent="0.25">
      <c r="A44" s="147" t="s">
        <v>301</v>
      </c>
      <c r="B44" s="147">
        <v>5</v>
      </c>
      <c r="C44" s="147">
        <v>0.06</v>
      </c>
      <c r="D44" s="147">
        <v>50</v>
      </c>
      <c r="F44" s="147" t="s">
        <v>212</v>
      </c>
      <c r="G44" s="148">
        <v>0.15</v>
      </c>
      <c r="H44" s="149"/>
      <c r="I44" s="146"/>
      <c r="K44" s="147" t="s">
        <v>212</v>
      </c>
      <c r="L44" s="148">
        <v>0.15</v>
      </c>
      <c r="M44" s="149"/>
      <c r="N44" s="146"/>
      <c r="S44" s="147" t="s">
        <v>191</v>
      </c>
      <c r="T44" s="147">
        <v>35</v>
      </c>
      <c r="U44" s="147">
        <v>10</v>
      </c>
      <c r="V44" s="147">
        <v>0.06</v>
      </c>
      <c r="Z44" s="147" t="s">
        <v>212</v>
      </c>
      <c r="AA44" s="148">
        <v>0.15</v>
      </c>
      <c r="AB44" s="149">
        <f>SUM(AA44*'2025 CA Single Zone Calculator'!D2)</f>
        <v>210</v>
      </c>
      <c r="AC44" s="146"/>
      <c r="AE44" s="147" t="s">
        <v>212</v>
      </c>
      <c r="AF44" s="148">
        <v>0.15</v>
      </c>
      <c r="AG44" s="149"/>
      <c r="AH44" s="146"/>
      <c r="AM44" s="147" t="s">
        <v>212</v>
      </c>
      <c r="AN44" s="148">
        <v>5</v>
      </c>
      <c r="AO44" s="149">
        <f>SUM(AN44/1000)*15*'2025 CA Single Zone Calculator'!D2</f>
        <v>105</v>
      </c>
      <c r="AP44" s="146"/>
      <c r="AT44" s="147" t="s">
        <v>212</v>
      </c>
      <c r="AU44" s="148">
        <v>5</v>
      </c>
      <c r="AV44" s="149">
        <f>SUM(AU44/1000)*15*'2025 CA Single Zone Calculator'!K2</f>
        <v>0</v>
      </c>
      <c r="AW44" s="146"/>
    </row>
    <row r="45" spans="1:49" x14ac:dyDescent="0.25">
      <c r="A45" s="147" t="s">
        <v>142</v>
      </c>
      <c r="B45" s="147">
        <v>5</v>
      </c>
      <c r="C45" s="147">
        <v>0.06</v>
      </c>
      <c r="D45" s="147">
        <v>20</v>
      </c>
      <c r="F45" s="147" t="s">
        <v>213</v>
      </c>
      <c r="G45" s="148">
        <v>0.15</v>
      </c>
      <c r="H45" s="149"/>
      <c r="I45" s="146"/>
      <c r="K45" s="147" t="s">
        <v>213</v>
      </c>
      <c r="L45" s="148">
        <v>0.15</v>
      </c>
      <c r="M45" s="149"/>
      <c r="N45" s="146"/>
      <c r="S45" s="147" t="s">
        <v>352</v>
      </c>
      <c r="T45" s="147">
        <v>25</v>
      </c>
      <c r="U45" s="147">
        <v>10</v>
      </c>
      <c r="V45" s="147">
        <v>0.18</v>
      </c>
      <c r="Z45" s="147" t="s">
        <v>213</v>
      </c>
      <c r="AA45" s="148">
        <v>0.15</v>
      </c>
      <c r="AB45" s="149">
        <f>SUM(AA45*'2025 CA Single Zone Calculator'!D2)</f>
        <v>210</v>
      </c>
      <c r="AC45" s="146"/>
      <c r="AE45" s="147" t="s">
        <v>213</v>
      </c>
      <c r="AF45" s="148">
        <v>0.15</v>
      </c>
      <c r="AG45" s="149"/>
      <c r="AH45" s="146"/>
      <c r="AM45" s="147" t="s">
        <v>213</v>
      </c>
      <c r="AN45" s="148">
        <v>33</v>
      </c>
      <c r="AO45" s="149">
        <f>SUM(AN45/1000)*15*'2025 CA Single Zone Calculator'!D2</f>
        <v>693</v>
      </c>
      <c r="AP45" s="146"/>
      <c r="AT45" s="147" t="s">
        <v>213</v>
      </c>
      <c r="AU45" s="148">
        <v>33</v>
      </c>
      <c r="AV45" s="149">
        <f>SUM(AU45/1000)*15*'2025 CA Single Zone Calculator'!K2</f>
        <v>0</v>
      </c>
      <c r="AW45" s="146"/>
    </row>
    <row r="46" spans="1:49" x14ac:dyDescent="0.25">
      <c r="A46" s="147" t="s">
        <v>302</v>
      </c>
      <c r="B46" s="147">
        <v>7.5</v>
      </c>
      <c r="C46" s="147">
        <v>0.18</v>
      </c>
      <c r="D46" s="147">
        <v>30</v>
      </c>
      <c r="F46" s="147"/>
      <c r="G46" s="148"/>
      <c r="H46" s="149"/>
      <c r="I46" s="146"/>
      <c r="K46" s="147"/>
      <c r="L46" s="148"/>
      <c r="M46" s="149"/>
      <c r="N46" s="146"/>
      <c r="S46" s="147" t="s">
        <v>353</v>
      </c>
      <c r="T46" s="147">
        <v>70</v>
      </c>
      <c r="U46" s="147">
        <v>60</v>
      </c>
      <c r="V46" s="147">
        <v>0</v>
      </c>
      <c r="Z46" s="147"/>
      <c r="AA46" s="148"/>
      <c r="AB46" s="149"/>
      <c r="AC46" s="146"/>
      <c r="AE46" s="147"/>
      <c r="AF46" s="148"/>
      <c r="AG46" s="149"/>
      <c r="AH46" s="146"/>
      <c r="AM46" s="147"/>
      <c r="AN46" s="148"/>
      <c r="AO46" s="149"/>
      <c r="AP46" s="146"/>
      <c r="AT46" s="147"/>
      <c r="AU46" s="148"/>
      <c r="AV46" s="149"/>
      <c r="AW46" s="146"/>
    </row>
    <row r="47" spans="1:49" x14ac:dyDescent="0.25">
      <c r="A47" s="147" t="s">
        <v>143</v>
      </c>
      <c r="B47" s="147">
        <v>5</v>
      </c>
      <c r="C47" s="147">
        <v>0.06</v>
      </c>
      <c r="D47" s="147">
        <v>120</v>
      </c>
      <c r="F47" s="158" t="s">
        <v>265</v>
      </c>
      <c r="G47" s="159"/>
      <c r="H47" s="159"/>
      <c r="I47" s="159"/>
      <c r="K47" s="158" t="s">
        <v>265</v>
      </c>
      <c r="L47" s="159"/>
      <c r="M47" s="159"/>
      <c r="N47" s="159"/>
      <c r="S47" s="146" t="s">
        <v>354</v>
      </c>
      <c r="T47" s="147" t="s">
        <v>116</v>
      </c>
      <c r="U47" s="147" t="s">
        <v>116</v>
      </c>
      <c r="V47" s="147" t="s">
        <v>116</v>
      </c>
      <c r="Z47" s="158" t="s">
        <v>265</v>
      </c>
      <c r="AA47" s="159"/>
      <c r="AB47" s="159"/>
      <c r="AC47" s="159"/>
      <c r="AE47" s="158" t="s">
        <v>265</v>
      </c>
      <c r="AF47" s="159"/>
      <c r="AG47" s="159"/>
      <c r="AH47" s="159"/>
      <c r="AM47" s="158" t="s">
        <v>265</v>
      </c>
      <c r="AN47" s="159"/>
      <c r="AO47" s="159"/>
      <c r="AP47" s="159"/>
      <c r="AT47" s="158" t="s">
        <v>265</v>
      </c>
      <c r="AU47" s="159"/>
      <c r="AV47" s="159"/>
      <c r="AW47" s="159"/>
    </row>
    <row r="48" spans="1:49" x14ac:dyDescent="0.25">
      <c r="A48" s="147" t="s">
        <v>144</v>
      </c>
      <c r="B48" s="147">
        <v>7.5</v>
      </c>
      <c r="C48" s="147">
        <v>0.18</v>
      </c>
      <c r="D48" s="147">
        <v>120</v>
      </c>
      <c r="F48" s="147" t="s">
        <v>214</v>
      </c>
      <c r="G48" s="148">
        <v>0.15</v>
      </c>
      <c r="H48" s="149"/>
      <c r="I48" s="146"/>
      <c r="K48" s="147" t="s">
        <v>214</v>
      </c>
      <c r="L48" s="148">
        <v>0.15</v>
      </c>
      <c r="M48" s="149"/>
      <c r="N48" s="146"/>
      <c r="S48" s="147" t="s">
        <v>355</v>
      </c>
      <c r="T48" s="147">
        <v>20</v>
      </c>
      <c r="U48" s="147">
        <v>10</v>
      </c>
      <c r="V48" s="147">
        <v>0.18</v>
      </c>
      <c r="Z48" s="147" t="s">
        <v>214</v>
      </c>
      <c r="AA48" s="148">
        <v>0.15</v>
      </c>
      <c r="AB48" s="149">
        <f>SUM(AA48*'2025 CA Single Zone Calculator'!D2)</f>
        <v>210</v>
      </c>
      <c r="AC48" s="146"/>
      <c r="AE48" s="147" t="s">
        <v>214</v>
      </c>
      <c r="AF48" s="148">
        <v>0.15</v>
      </c>
      <c r="AG48" s="149"/>
      <c r="AH48" s="146"/>
      <c r="AM48" s="147" t="s">
        <v>214</v>
      </c>
      <c r="AN48" s="148">
        <v>5</v>
      </c>
      <c r="AO48" s="149">
        <f>SUM(AN48/1000)*15*'2025 CA Single Zone Calculator'!D2</f>
        <v>105</v>
      </c>
      <c r="AP48" s="146"/>
      <c r="AT48" s="147" t="s">
        <v>214</v>
      </c>
      <c r="AU48" s="148">
        <v>5</v>
      </c>
      <c r="AV48" s="149">
        <f>SUM(AU48/1000)*15*'2025 CA Single Zone Calculator'!K2</f>
        <v>0</v>
      </c>
      <c r="AW48" s="146"/>
    </row>
    <row r="49" spans="1:49" x14ac:dyDescent="0.25">
      <c r="A49" s="147"/>
      <c r="B49" s="147"/>
      <c r="C49" s="147"/>
      <c r="D49" s="147"/>
      <c r="F49" s="147" t="s">
        <v>215</v>
      </c>
      <c r="G49" s="148">
        <v>0.15</v>
      </c>
      <c r="H49" s="149"/>
      <c r="I49" s="146"/>
      <c r="K49" s="147" t="s">
        <v>215</v>
      </c>
      <c r="L49" s="148">
        <v>0.15</v>
      </c>
      <c r="M49" s="149"/>
      <c r="N49" s="146"/>
      <c r="S49" s="147"/>
      <c r="T49" s="147"/>
      <c r="U49" s="147"/>
      <c r="V49" s="147"/>
      <c r="Z49" s="147" t="s">
        <v>215</v>
      </c>
      <c r="AA49" s="148">
        <v>0.15</v>
      </c>
      <c r="AB49" s="149">
        <f>SUM(AA49*'2025 CA Single Zone Calculator'!D2)</f>
        <v>210</v>
      </c>
      <c r="AC49" s="146"/>
      <c r="AE49" s="147" t="s">
        <v>215</v>
      </c>
      <c r="AF49" s="148">
        <v>0.15</v>
      </c>
      <c r="AG49" s="149"/>
      <c r="AH49" s="146"/>
      <c r="AM49" s="147" t="s">
        <v>215</v>
      </c>
      <c r="AN49" s="148">
        <v>5</v>
      </c>
      <c r="AO49" s="149">
        <f>SUM(AN49/1000)*15*'2025 CA Single Zone Calculator'!D2</f>
        <v>105</v>
      </c>
      <c r="AP49" s="146"/>
      <c r="AT49" s="147" t="s">
        <v>215</v>
      </c>
      <c r="AU49" s="148">
        <v>5</v>
      </c>
      <c r="AV49" s="149">
        <f>SUM(AU49/1000)*15*'2025 CA Single Zone Calculator'!K2</f>
        <v>0</v>
      </c>
      <c r="AW49" s="146"/>
    </row>
    <row r="50" spans="1:49" x14ac:dyDescent="0.25">
      <c r="A50" s="160" t="s">
        <v>167</v>
      </c>
      <c r="B50" s="146"/>
      <c r="C50" s="146"/>
      <c r="D50" s="146"/>
      <c r="F50" s="147" t="s">
        <v>216</v>
      </c>
      <c r="G50" s="148">
        <v>0.15</v>
      </c>
      <c r="H50" s="149"/>
      <c r="I50" s="146"/>
      <c r="K50" s="147" t="s">
        <v>216</v>
      </c>
      <c r="L50" s="148">
        <v>0.15</v>
      </c>
      <c r="M50" s="149"/>
      <c r="N50" s="146"/>
      <c r="S50" s="160" t="s">
        <v>168</v>
      </c>
      <c r="T50" s="142"/>
      <c r="U50" s="142"/>
      <c r="V50" s="142"/>
      <c r="Z50" s="147" t="s">
        <v>216</v>
      </c>
      <c r="AA50" s="148">
        <v>0.15</v>
      </c>
      <c r="AB50" s="149">
        <f>SUM(AA50*'2025 CA Single Zone Calculator'!D2)</f>
        <v>210</v>
      </c>
      <c r="AC50" s="146"/>
      <c r="AE50" s="147" t="s">
        <v>216</v>
      </c>
      <c r="AF50" s="148">
        <v>0.15</v>
      </c>
      <c r="AG50" s="149"/>
      <c r="AH50" s="146"/>
      <c r="AM50" s="147" t="s">
        <v>216</v>
      </c>
      <c r="AN50" s="148">
        <v>5</v>
      </c>
      <c r="AO50" s="149">
        <f>SUM(AN50/1000)*15*'2025 CA Single Zone Calculator'!D2</f>
        <v>105</v>
      </c>
      <c r="AP50" s="146"/>
      <c r="AT50" s="147" t="s">
        <v>216</v>
      </c>
      <c r="AU50" s="148">
        <v>5</v>
      </c>
      <c r="AV50" s="149">
        <f>SUM(AU50/1000)*15*'2025 CA Single Zone Calculator'!K2</f>
        <v>0</v>
      </c>
      <c r="AW50" s="146"/>
    </row>
    <row r="51" spans="1:49" x14ac:dyDescent="0.25">
      <c r="A51" s="147" t="s">
        <v>126</v>
      </c>
      <c r="B51" s="147">
        <v>7.5</v>
      </c>
      <c r="C51" s="147">
        <v>0.12</v>
      </c>
      <c r="D51" s="147">
        <v>15</v>
      </c>
      <c r="F51" s="147" t="s">
        <v>217</v>
      </c>
      <c r="G51" s="148" t="s">
        <v>116</v>
      </c>
      <c r="H51" s="149"/>
      <c r="I51" s="146"/>
      <c r="K51" s="147" t="s">
        <v>217</v>
      </c>
      <c r="L51" s="148" t="s">
        <v>116</v>
      </c>
      <c r="M51" s="149"/>
      <c r="N51" s="146"/>
      <c r="S51" s="147" t="s">
        <v>195</v>
      </c>
      <c r="T51" s="147">
        <v>100</v>
      </c>
      <c r="U51" s="147">
        <v>7.5</v>
      </c>
      <c r="V51" s="147">
        <v>0.18</v>
      </c>
      <c r="Z51" s="147" t="s">
        <v>217</v>
      </c>
      <c r="AA51" s="148">
        <v>0</v>
      </c>
      <c r="AB51" s="149">
        <f>SUM(AA51*'2025 CA Single Zone Calculator'!D2)</f>
        <v>0</v>
      </c>
      <c r="AC51" s="146"/>
      <c r="AE51" s="147" t="s">
        <v>217</v>
      </c>
      <c r="AF51" s="148">
        <v>0</v>
      </c>
      <c r="AG51" s="149"/>
      <c r="AH51" s="146"/>
      <c r="AM51" s="147" t="s">
        <v>217</v>
      </c>
      <c r="AN51" s="148">
        <v>0</v>
      </c>
      <c r="AO51" s="149">
        <f>SUM(AN51/1000)*15*'2025 CA Single Zone Calculator'!D2</f>
        <v>0</v>
      </c>
      <c r="AP51" s="146"/>
      <c r="AT51" s="147" t="s">
        <v>217</v>
      </c>
      <c r="AU51" s="148">
        <v>0</v>
      </c>
      <c r="AV51" s="149">
        <f>SUM(AU51/1000)*15*'2025 CA Single Zone Calculator'!K2</f>
        <v>0</v>
      </c>
      <c r="AW51" s="146"/>
    </row>
    <row r="52" spans="1:49" ht="156.75" x14ac:dyDescent="0.25">
      <c r="A52" s="147" t="s">
        <v>127</v>
      </c>
      <c r="B52" s="147">
        <v>0</v>
      </c>
      <c r="C52" s="147">
        <v>0.12</v>
      </c>
      <c r="D52" s="147">
        <v>0</v>
      </c>
      <c r="F52" s="161" t="s">
        <v>218</v>
      </c>
      <c r="G52" s="148">
        <v>0.15</v>
      </c>
      <c r="H52" s="149"/>
      <c r="I52" s="146"/>
      <c r="K52" s="161" t="s">
        <v>218</v>
      </c>
      <c r="L52" s="148">
        <v>0.15</v>
      </c>
      <c r="M52" s="149"/>
      <c r="N52" s="146"/>
      <c r="S52" s="147" t="s">
        <v>197</v>
      </c>
      <c r="T52" s="147">
        <v>25</v>
      </c>
      <c r="U52" s="147">
        <v>5</v>
      </c>
      <c r="V52" s="147">
        <v>0.06</v>
      </c>
      <c r="Z52" s="161" t="s">
        <v>218</v>
      </c>
      <c r="AA52" s="148">
        <v>0.15</v>
      </c>
      <c r="AB52" s="149">
        <f>SUM(AA52*'2025 CA Single Zone Calculator'!D2)</f>
        <v>210</v>
      </c>
      <c r="AC52" s="146"/>
      <c r="AE52" s="161" t="s">
        <v>218</v>
      </c>
      <c r="AF52" s="148">
        <v>0.15</v>
      </c>
      <c r="AG52" s="149"/>
      <c r="AH52" s="146"/>
      <c r="AM52" s="161" t="s">
        <v>218</v>
      </c>
      <c r="AN52" s="148">
        <v>5</v>
      </c>
      <c r="AO52" s="149">
        <f>SUM(AN52/1000)*15*'2025 CA Single Zone Calculator'!D2</f>
        <v>105</v>
      </c>
      <c r="AP52" s="146"/>
      <c r="AT52" s="161" t="s">
        <v>218</v>
      </c>
      <c r="AU52" s="148">
        <v>5</v>
      </c>
      <c r="AV52" s="149">
        <f>SUM(AU52/1000)*15*'2025 CA Single Zone Calculator'!K2</f>
        <v>0</v>
      </c>
      <c r="AW52" s="146"/>
    </row>
    <row r="53" spans="1:49" x14ac:dyDescent="0.25">
      <c r="A53" s="147" t="s">
        <v>128</v>
      </c>
      <c r="B53" s="147">
        <v>10</v>
      </c>
      <c r="C53" s="147">
        <v>0.06</v>
      </c>
      <c r="D53" s="147">
        <v>0</v>
      </c>
      <c r="F53" s="147" t="s">
        <v>219</v>
      </c>
      <c r="G53" s="148">
        <v>0.15</v>
      </c>
      <c r="H53" s="149"/>
      <c r="I53" s="146"/>
      <c r="K53" s="147" t="s">
        <v>219</v>
      </c>
      <c r="L53" s="148">
        <v>0.15</v>
      </c>
      <c r="M53" s="149"/>
      <c r="N53" s="146"/>
      <c r="S53" s="147" t="s">
        <v>356</v>
      </c>
      <c r="T53" s="147">
        <v>100</v>
      </c>
      <c r="U53" s="147">
        <v>7.5</v>
      </c>
      <c r="V53" s="147">
        <v>0.18</v>
      </c>
      <c r="Z53" s="147" t="s">
        <v>219</v>
      </c>
      <c r="AA53" s="148">
        <v>0.15</v>
      </c>
      <c r="AB53" s="149">
        <f>SUM(AA53*'2025 CA Single Zone Calculator'!D2)</f>
        <v>210</v>
      </c>
      <c r="AC53" s="146"/>
      <c r="AE53" s="147" t="s">
        <v>219</v>
      </c>
      <c r="AF53" s="148">
        <v>0.15</v>
      </c>
      <c r="AG53" s="149"/>
      <c r="AH53" s="146"/>
      <c r="AM53" s="147" t="s">
        <v>219</v>
      </c>
      <c r="AN53" s="148">
        <v>5</v>
      </c>
      <c r="AO53" s="149">
        <f>SUM(AN53/1000)*15*'2025 CA Single Zone Calculator'!D2</f>
        <v>105</v>
      </c>
      <c r="AP53" s="146"/>
      <c r="AT53" s="147" t="s">
        <v>219</v>
      </c>
      <c r="AU53" s="148">
        <v>5</v>
      </c>
      <c r="AV53" s="149">
        <f>SUM(AU53/1000)*15*'2025 CA Single Zone Calculator'!K2</f>
        <v>0</v>
      </c>
      <c r="AW53" s="146"/>
    </row>
    <row r="54" spans="1:49" x14ac:dyDescent="0.25">
      <c r="A54" s="147" t="s">
        <v>129</v>
      </c>
      <c r="B54" s="147">
        <v>7.5</v>
      </c>
      <c r="C54" s="147">
        <v>0.06</v>
      </c>
      <c r="D54" s="147">
        <v>40</v>
      </c>
      <c r="F54" s="147" t="s">
        <v>220</v>
      </c>
      <c r="G54" s="148">
        <v>0.15</v>
      </c>
      <c r="H54" s="149"/>
      <c r="I54" s="146"/>
      <c r="K54" s="147" t="s">
        <v>220</v>
      </c>
      <c r="L54" s="148">
        <v>0.15</v>
      </c>
      <c r="M54" s="149"/>
      <c r="N54" s="146"/>
      <c r="S54" s="147" t="s">
        <v>357</v>
      </c>
      <c r="T54" s="147">
        <v>20</v>
      </c>
      <c r="U54" s="147">
        <v>5</v>
      </c>
      <c r="V54" s="147">
        <v>0.06</v>
      </c>
      <c r="Z54" s="147" t="s">
        <v>220</v>
      </c>
      <c r="AA54" s="148">
        <v>0.15</v>
      </c>
      <c r="AB54" s="149">
        <f>SUM(AA54*'2025 CA Single Zone Calculator'!D2)</f>
        <v>210</v>
      </c>
      <c r="AC54" s="146"/>
      <c r="AE54" s="147" t="s">
        <v>220</v>
      </c>
      <c r="AF54" s="148">
        <v>0.15</v>
      </c>
      <c r="AG54" s="149"/>
      <c r="AH54" s="146"/>
      <c r="AM54" s="147" t="s">
        <v>220</v>
      </c>
      <c r="AN54" s="148">
        <v>5</v>
      </c>
      <c r="AO54" s="149">
        <f>SUM(AN54/1000)*15*'2025 CA Single Zone Calculator'!D2</f>
        <v>105</v>
      </c>
      <c r="AP54" s="146"/>
      <c r="AT54" s="147" t="s">
        <v>220</v>
      </c>
      <c r="AU54" s="148">
        <v>5</v>
      </c>
      <c r="AV54" s="149">
        <f>SUM(AU54/1000)*15*'2025 CA Single Zone Calculator'!K2</f>
        <v>0</v>
      </c>
      <c r="AW54" s="146"/>
    </row>
    <row r="55" spans="1:49" x14ac:dyDescent="0.25">
      <c r="A55" s="147" t="s">
        <v>130</v>
      </c>
      <c r="B55" s="147">
        <v>10</v>
      </c>
      <c r="C55" s="147">
        <v>0.12</v>
      </c>
      <c r="D55" s="147">
        <v>2</v>
      </c>
      <c r="F55" s="147" t="s">
        <v>221</v>
      </c>
      <c r="G55" s="148">
        <v>0.15</v>
      </c>
      <c r="H55" s="149"/>
      <c r="I55" s="146"/>
      <c r="K55" s="147" t="s">
        <v>221</v>
      </c>
      <c r="L55" s="148">
        <v>0.15</v>
      </c>
      <c r="M55" s="149"/>
      <c r="N55" s="146"/>
      <c r="S55" s="146" t="s">
        <v>200</v>
      </c>
      <c r="T55" s="146">
        <v>0</v>
      </c>
      <c r="U55" s="146">
        <v>0</v>
      </c>
      <c r="V55" s="146">
        <v>0.06</v>
      </c>
      <c r="Z55" s="147" t="s">
        <v>221</v>
      </c>
      <c r="AA55" s="148">
        <v>0.15</v>
      </c>
      <c r="AB55" s="149">
        <f>SUM(AA55*'2025 CA Single Zone Calculator'!D2)</f>
        <v>210</v>
      </c>
      <c r="AC55" s="146"/>
      <c r="AE55" s="147" t="s">
        <v>221</v>
      </c>
      <c r="AF55" s="148">
        <v>0.15</v>
      </c>
      <c r="AG55" s="149"/>
      <c r="AH55" s="146"/>
      <c r="AM55" s="147" t="s">
        <v>221</v>
      </c>
      <c r="AN55" s="148">
        <v>2</v>
      </c>
      <c r="AO55" s="149">
        <f>SUM(AN55/1000)*15*'2025 CA Single Zone Calculator'!D2</f>
        <v>42</v>
      </c>
      <c r="AP55" s="146"/>
      <c r="AT55" s="147" t="s">
        <v>221</v>
      </c>
      <c r="AU55" s="148">
        <v>2</v>
      </c>
      <c r="AV55" s="149">
        <f>SUM(AU55/1000)*15*'2025 CA Single Zone Calculator'!K2</f>
        <v>0</v>
      </c>
      <c r="AW55" s="146"/>
    </row>
    <row r="56" spans="1:49" x14ac:dyDescent="0.25">
      <c r="A56" s="147"/>
      <c r="B56" s="162"/>
      <c r="C56" s="162"/>
      <c r="D56" s="162"/>
      <c r="F56" s="147" t="s">
        <v>222</v>
      </c>
      <c r="G56" s="148">
        <v>0.15</v>
      </c>
      <c r="H56" s="149"/>
      <c r="I56" s="146"/>
      <c r="K56" s="147" t="s">
        <v>222</v>
      </c>
      <c r="L56" s="148">
        <v>0.15</v>
      </c>
      <c r="M56" s="149"/>
      <c r="N56" s="146"/>
      <c r="S56" s="147" t="s">
        <v>358</v>
      </c>
      <c r="T56" s="147">
        <v>70</v>
      </c>
      <c r="U56" s="147">
        <v>7.5</v>
      </c>
      <c r="V56" s="147">
        <v>0.18</v>
      </c>
      <c r="Z56" s="147" t="s">
        <v>222</v>
      </c>
      <c r="AA56" s="148">
        <v>0.15</v>
      </c>
      <c r="AB56" s="149">
        <f>SUM(AA56*'2025 CA Single Zone Calculator'!D2)</f>
        <v>210</v>
      </c>
      <c r="AC56" s="146"/>
      <c r="AE56" s="147" t="s">
        <v>222</v>
      </c>
      <c r="AF56" s="148">
        <v>0.15</v>
      </c>
      <c r="AG56" s="149"/>
      <c r="AH56" s="146"/>
      <c r="AM56" s="147" t="s">
        <v>222</v>
      </c>
      <c r="AN56" s="148">
        <v>2</v>
      </c>
      <c r="AO56" s="149">
        <f>SUM(AN56/1000)*15*'2025 CA Single Zone Calculator'!D2</f>
        <v>42</v>
      </c>
      <c r="AP56" s="146"/>
      <c r="AT56" s="147" t="s">
        <v>222</v>
      </c>
      <c r="AU56" s="148">
        <v>2</v>
      </c>
      <c r="AV56" s="149">
        <f>SUM(AU56/1000)*15*'2025 CA Single Zone Calculator'!K2</f>
        <v>0</v>
      </c>
      <c r="AW56" s="146"/>
    </row>
    <row r="57" spans="1:49" x14ac:dyDescent="0.25">
      <c r="A57" s="160" t="s">
        <v>168</v>
      </c>
      <c r="F57" s="147" t="s">
        <v>223</v>
      </c>
      <c r="G57" s="148">
        <v>0.15</v>
      </c>
      <c r="H57" s="149"/>
      <c r="I57" s="146"/>
      <c r="K57" s="147" t="s">
        <v>223</v>
      </c>
      <c r="L57" s="148">
        <v>0.15</v>
      </c>
      <c r="M57" s="149"/>
      <c r="N57" s="146"/>
      <c r="S57" s="147" t="s">
        <v>196</v>
      </c>
      <c r="T57" s="147">
        <v>20</v>
      </c>
      <c r="U57" s="147">
        <v>7.5</v>
      </c>
      <c r="V57" s="147">
        <v>0.12</v>
      </c>
      <c r="Z57" s="147" t="s">
        <v>223</v>
      </c>
      <c r="AA57" s="148">
        <v>0.15</v>
      </c>
      <c r="AB57" s="149">
        <f>SUM(AA57*'2025 CA Single Zone Calculator'!D2)</f>
        <v>210</v>
      </c>
      <c r="AC57" s="146"/>
      <c r="AE57" s="147" t="s">
        <v>223</v>
      </c>
      <c r="AF57" s="148">
        <v>0.15</v>
      </c>
      <c r="AG57" s="149"/>
      <c r="AH57" s="146"/>
      <c r="AM57" s="147" t="s">
        <v>223</v>
      </c>
      <c r="AN57" s="148">
        <v>5</v>
      </c>
      <c r="AO57" s="149">
        <f>SUM(AN57/1000)*15*'2025 CA Single Zone Calculator'!D2</f>
        <v>105</v>
      </c>
      <c r="AP57" s="146"/>
      <c r="AT57" s="147" t="s">
        <v>223</v>
      </c>
      <c r="AU57" s="148">
        <v>5</v>
      </c>
      <c r="AV57" s="149">
        <f>SUM(AU57/1000)*15*'2025 CA Single Zone Calculator'!K2</f>
        <v>0</v>
      </c>
      <c r="AW57" s="146"/>
    </row>
    <row r="58" spans="1:49" x14ac:dyDescent="0.25">
      <c r="A58" s="147" t="s">
        <v>11</v>
      </c>
      <c r="B58" s="147">
        <v>7.5</v>
      </c>
      <c r="C58" s="147">
        <v>0.18</v>
      </c>
      <c r="D58" s="147">
        <v>70</v>
      </c>
      <c r="F58" s="147" t="s">
        <v>224</v>
      </c>
      <c r="G58" s="148">
        <f>IF(OR('2022 CA Single Zone Calculator'!H6="economizer",'2022 CA Single Zone Calculator'!H7="economizer",'2022 CA Single Zone Calculator'!H8="economizer"),0.15,0.5)</f>
        <v>0.15</v>
      </c>
      <c r="H58" s="149"/>
      <c r="I58" s="146" t="str">
        <f>IF(G58=0.15,"Title 24: CO2 Sensor required","")</f>
        <v>Title 24: CO2 Sensor required</v>
      </c>
      <c r="K58" s="147" t="s">
        <v>224</v>
      </c>
      <c r="L58" s="148">
        <f>IF(OR('2022 CA Multi-Zone Calculator'!H6="economizer",'2022 CA Multi-Zone Calculator'!H7="economizer",'2022 CA Multi-Zone Calculator'!H8="economizer"),0.15,0.5)</f>
        <v>0.15</v>
      </c>
      <c r="M58" s="149"/>
      <c r="N58" s="146" t="str">
        <f>IF(L58=0.15,"Title 24: CO2 Sensor required","")</f>
        <v>Title 24: CO2 Sensor required</v>
      </c>
      <c r="S58" s="147" t="s">
        <v>201</v>
      </c>
      <c r="T58" s="147">
        <v>2</v>
      </c>
      <c r="U58" s="147">
        <v>5</v>
      </c>
      <c r="V58" s="147">
        <v>0.12</v>
      </c>
      <c r="Z58" s="147" t="s">
        <v>224</v>
      </c>
      <c r="AA58" s="148">
        <v>0.15</v>
      </c>
      <c r="AB58" s="149">
        <f>SUM(AA58*'2025 CA Single Zone Calculator'!D2)</f>
        <v>210</v>
      </c>
      <c r="AC58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58" s="147" t="s">
        <v>224</v>
      </c>
      <c r="AF58" s="148">
        <v>0.15</v>
      </c>
      <c r="AG58" s="149"/>
      <c r="AH58" s="146" t="str">
        <f>IF(AF58=0.15,"Title 24: CO2 Sensor required","")</f>
        <v>Title 24: CO2 Sensor required</v>
      </c>
      <c r="AM58" s="147" t="s">
        <v>224</v>
      </c>
      <c r="AN58" s="148">
        <v>33</v>
      </c>
      <c r="AO58" s="149">
        <f>SUM(AN58/1000)*15*'2025 CA Single Zone Calculator'!D2</f>
        <v>693</v>
      </c>
      <c r="AP58" s="146" t="s">
        <v>513</v>
      </c>
      <c r="AT58" s="147" t="s">
        <v>224</v>
      </c>
      <c r="AU58" s="148">
        <v>33</v>
      </c>
      <c r="AV58" s="149">
        <f>SUM(AU58/1000)*15*'2025 CA Single Zone Calculator'!K2</f>
        <v>0</v>
      </c>
      <c r="AW58" s="146" t="s">
        <v>513</v>
      </c>
    </row>
    <row r="59" spans="1:49" x14ac:dyDescent="0.25">
      <c r="A59" s="147" t="s">
        <v>12</v>
      </c>
      <c r="B59" s="147">
        <v>7.5</v>
      </c>
      <c r="C59" s="147">
        <v>0.18</v>
      </c>
      <c r="D59" s="147">
        <v>100</v>
      </c>
      <c r="F59" s="147" t="s">
        <v>225</v>
      </c>
      <c r="G59" s="148">
        <v>0.15</v>
      </c>
      <c r="H59" s="149"/>
      <c r="I59" s="146"/>
      <c r="K59" s="147" t="s">
        <v>225</v>
      </c>
      <c r="L59" s="148">
        <v>0.15</v>
      </c>
      <c r="M59" s="149"/>
      <c r="N59" s="146"/>
      <c r="S59" s="147"/>
      <c r="T59" s="147"/>
      <c r="U59" s="147"/>
      <c r="V59" s="147"/>
      <c r="Z59" s="147" t="s">
        <v>225</v>
      </c>
      <c r="AA59" s="148">
        <v>0.15</v>
      </c>
      <c r="AB59" s="149">
        <f>SUM(AA59*'2025 CA Single Zone Calculator'!D2)</f>
        <v>210</v>
      </c>
      <c r="AC59" s="146"/>
      <c r="AE59" s="147" t="s">
        <v>225</v>
      </c>
      <c r="AF59" s="148">
        <v>0.15</v>
      </c>
      <c r="AG59" s="149"/>
      <c r="AH59" s="146"/>
      <c r="AM59" s="147" t="s">
        <v>225</v>
      </c>
      <c r="AN59" s="148">
        <v>1</v>
      </c>
      <c r="AO59" s="149">
        <f>SUM(AN59/1000)*15*'2025 CA Single Zone Calculator'!D2</f>
        <v>21</v>
      </c>
      <c r="AP59" s="146"/>
      <c r="AT59" s="147" t="s">
        <v>225</v>
      </c>
      <c r="AU59" s="148">
        <v>1</v>
      </c>
      <c r="AV59" s="149">
        <f>SUM(AU59/1000)*15*'2025 CA Single Zone Calculator'!K2</f>
        <v>0</v>
      </c>
      <c r="AW59" s="146"/>
    </row>
    <row r="60" spans="1:49" x14ac:dyDescent="0.25">
      <c r="A60" s="147" t="s">
        <v>131</v>
      </c>
      <c r="B60" s="147">
        <v>7.5</v>
      </c>
      <c r="C60" s="147">
        <v>0.12</v>
      </c>
      <c r="D60" s="147">
        <v>20</v>
      </c>
      <c r="F60" s="147" t="s">
        <v>226</v>
      </c>
      <c r="G60" s="148">
        <v>0.15</v>
      </c>
      <c r="H60" s="149"/>
      <c r="I60" s="146"/>
      <c r="K60" s="147" t="s">
        <v>226</v>
      </c>
      <c r="L60" s="148">
        <v>0.15</v>
      </c>
      <c r="M60" s="149"/>
      <c r="N60" s="146"/>
      <c r="S60" s="150" t="s">
        <v>359</v>
      </c>
      <c r="T60" s="147"/>
      <c r="U60" s="147"/>
      <c r="V60" s="147"/>
      <c r="Z60" s="147" t="s">
        <v>226</v>
      </c>
      <c r="AA60" s="148">
        <v>0.15</v>
      </c>
      <c r="AB60" s="149">
        <f>SUM(AA60*'2025 CA Single Zone Calculator'!D2)</f>
        <v>210</v>
      </c>
      <c r="AC60" s="146"/>
      <c r="AE60" s="147" t="s">
        <v>226</v>
      </c>
      <c r="AF60" s="148">
        <v>0.15</v>
      </c>
      <c r="AG60" s="149"/>
      <c r="AH60" s="146"/>
      <c r="AM60" s="147" t="s">
        <v>226</v>
      </c>
      <c r="AN60" s="148">
        <v>5</v>
      </c>
      <c r="AO60" s="149">
        <f>SUM(AN60/1000)*15*'2025 CA Single Zone Calculator'!D2</f>
        <v>105</v>
      </c>
      <c r="AP60" s="146"/>
      <c r="AT60" s="147" t="s">
        <v>226</v>
      </c>
      <c r="AU60" s="148">
        <v>5</v>
      </c>
      <c r="AV60" s="149">
        <f>SUM(AU60/1000)*15*'2025 CA Single Zone Calculator'!K2</f>
        <v>0</v>
      </c>
      <c r="AW60" s="146"/>
    </row>
    <row r="61" spans="1:49" x14ac:dyDescent="0.25">
      <c r="A61" s="147" t="s">
        <v>132</v>
      </c>
      <c r="B61" s="147">
        <v>7.5</v>
      </c>
      <c r="C61" s="147">
        <v>0.18</v>
      </c>
      <c r="D61" s="147">
        <v>100</v>
      </c>
      <c r="F61" s="147"/>
      <c r="G61" s="148"/>
      <c r="H61" s="149"/>
      <c r="I61" s="146"/>
      <c r="K61" s="147"/>
      <c r="L61" s="148"/>
      <c r="M61" s="149"/>
      <c r="N61" s="146"/>
      <c r="S61" s="147" t="s">
        <v>202</v>
      </c>
      <c r="T61" s="147">
        <v>10</v>
      </c>
      <c r="U61" s="147">
        <v>5</v>
      </c>
      <c r="V61" s="147">
        <v>0.06</v>
      </c>
      <c r="Z61" s="147"/>
      <c r="AA61" s="148"/>
      <c r="AB61" s="149"/>
      <c r="AC61" s="146"/>
      <c r="AE61" s="147"/>
      <c r="AF61" s="148"/>
      <c r="AG61" s="149"/>
      <c r="AH61" s="146"/>
      <c r="AM61" s="147"/>
      <c r="AN61" s="148"/>
      <c r="AO61" s="149"/>
      <c r="AP61" s="146"/>
      <c r="AT61" s="147"/>
      <c r="AU61" s="148"/>
      <c r="AV61" s="149"/>
      <c r="AW61" s="146"/>
    </row>
    <row r="62" spans="1:49" x14ac:dyDescent="0.25">
      <c r="A62" s="147"/>
      <c r="B62" s="162"/>
      <c r="C62" s="162"/>
      <c r="D62" s="162"/>
      <c r="F62" s="158" t="s">
        <v>266</v>
      </c>
      <c r="G62" s="159"/>
      <c r="H62" s="159"/>
      <c r="I62" s="159"/>
      <c r="K62" s="158" t="s">
        <v>266</v>
      </c>
      <c r="L62" s="159"/>
      <c r="M62" s="159"/>
      <c r="N62" s="159"/>
      <c r="S62" s="147" t="s">
        <v>199</v>
      </c>
      <c r="T62" s="147">
        <v>50</v>
      </c>
      <c r="U62" s="147">
        <v>5</v>
      </c>
      <c r="V62" s="147">
        <v>0.06</v>
      </c>
      <c r="Z62" s="158" t="s">
        <v>266</v>
      </c>
      <c r="AA62" s="159"/>
      <c r="AB62" s="159"/>
      <c r="AC62" s="159"/>
      <c r="AE62" s="158" t="s">
        <v>266</v>
      </c>
      <c r="AF62" s="159"/>
      <c r="AG62" s="159"/>
      <c r="AH62" s="159"/>
      <c r="AM62" s="158" t="s">
        <v>266</v>
      </c>
      <c r="AN62" s="159"/>
      <c r="AO62" s="159"/>
      <c r="AP62" s="159"/>
      <c r="AT62" s="158" t="s">
        <v>266</v>
      </c>
      <c r="AU62" s="159"/>
      <c r="AV62" s="159"/>
      <c r="AW62" s="159"/>
    </row>
    <row r="63" spans="1:49" x14ac:dyDescent="0.25">
      <c r="A63" s="160" t="s">
        <v>169</v>
      </c>
      <c r="F63" s="147" t="s">
        <v>227</v>
      </c>
      <c r="G63" s="148">
        <f>IF(OR('2022 CA Single Zone Calculator'!H6="economizer",'2022 CA Single Zone Calculator'!H7="economizer",'2022 CA Single Zone Calculator'!H8="economizer"),0.15,1.07)</f>
        <v>0.15</v>
      </c>
      <c r="H63" s="149"/>
      <c r="I63" s="146" t="str">
        <f>IF(G63=0.15,"Title 24: CO2 Sensor required","")</f>
        <v>Title 24: CO2 Sensor required</v>
      </c>
      <c r="K63" s="147" t="s">
        <v>227</v>
      </c>
      <c r="L63" s="148">
        <f>IF(OR('2022 CA Multi-Zone Calculator'!H6="economizer",'2022 CA Multi-Zone Calculator'!H7="economizer",'2022 CA Multi-Zone Calculator'!H8="economizer"),0.15,1.07)</f>
        <v>0.15</v>
      </c>
      <c r="M63" s="149"/>
      <c r="N63" s="146" t="str">
        <f>IF(L63=0.15,"Title 24: CO2 Sensor required","")</f>
        <v>Title 24: CO2 Sensor required</v>
      </c>
      <c r="S63" s="147" t="s">
        <v>360</v>
      </c>
      <c r="T63" s="147">
        <v>20</v>
      </c>
      <c r="U63" s="147">
        <v>5</v>
      </c>
      <c r="V63" s="147">
        <v>0.06</v>
      </c>
      <c r="Z63" s="147" t="s">
        <v>227</v>
      </c>
      <c r="AA63" s="148">
        <v>0.15</v>
      </c>
      <c r="AB63" s="149">
        <f>SUM(AA63*'2025 CA Single Zone Calculator'!D25)</f>
        <v>0</v>
      </c>
      <c r="AC63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63" s="147" t="s">
        <v>227</v>
      </c>
      <c r="AF63" s="148">
        <v>0.15</v>
      </c>
      <c r="AG63" s="149"/>
      <c r="AH63" s="146" t="str">
        <f>IF(AF63=0.15,"Title 24: CO2 Sensor required","")</f>
        <v>Title 24: CO2 Sensor required</v>
      </c>
      <c r="AM63" s="147" t="s">
        <v>227</v>
      </c>
      <c r="AN63" s="148">
        <v>71</v>
      </c>
      <c r="AO63" s="149">
        <f>SUM(AN63/1000)*15*'2025 CA Single Zone Calculator'!D2</f>
        <v>1491</v>
      </c>
      <c r="AP63" s="146" t="s">
        <v>513</v>
      </c>
      <c r="AT63" s="147" t="s">
        <v>227</v>
      </c>
      <c r="AU63" s="148">
        <v>71</v>
      </c>
      <c r="AV63" s="149">
        <f>SUM(AU63/1000)*15*'2025 CA Single Zone Calculator'!K2</f>
        <v>0</v>
      </c>
      <c r="AW63" s="146" t="s">
        <v>513</v>
      </c>
    </row>
    <row r="64" spans="1:49" x14ac:dyDescent="0.25">
      <c r="A64" s="147" t="s">
        <v>137</v>
      </c>
      <c r="B64" s="147">
        <v>15</v>
      </c>
      <c r="C64" s="147">
        <v>0</v>
      </c>
      <c r="D64" s="147">
        <v>20</v>
      </c>
      <c r="F64" s="147" t="s">
        <v>228</v>
      </c>
      <c r="G64" s="148">
        <f>IF(OR('2022 CA Single Zone Calculator'!H6="economizer",'2022 CA Single Zone Calculator'!H7="economizer",'2022 CA Single Zone Calculator'!H8="economizer"),0.15,1.07)</f>
        <v>0.15</v>
      </c>
      <c r="H64" s="149"/>
      <c r="I64" s="146" t="str">
        <f>IF(G64=0.15,"Title 24: CO2 Sensor required","")</f>
        <v>Title 24: CO2 Sensor required</v>
      </c>
      <c r="K64" s="147" t="s">
        <v>228</v>
      </c>
      <c r="L64" s="148">
        <f>IF(OR('2022 CA Multi-Zone Calculator'!H6="economizer",'2022 CA Multi-Zone Calculator'!H7="economizer",'2022 CA Multi-Zone Calculator'!H8="economizer"),0.15,1.07)</f>
        <v>0.15</v>
      </c>
      <c r="M64" s="149"/>
      <c r="N64" s="146" t="str">
        <f>IF(L64=0.15,"Title 24: CO2 Sensor required","")</f>
        <v>Title 24: CO2 Sensor required</v>
      </c>
      <c r="S64" s="147" t="s">
        <v>251</v>
      </c>
      <c r="T64" s="147">
        <v>120</v>
      </c>
      <c r="U64" s="147">
        <v>7.5</v>
      </c>
      <c r="V64" s="147">
        <v>0.18</v>
      </c>
      <c r="Z64" s="147" t="s">
        <v>228</v>
      </c>
      <c r="AA64" s="148">
        <v>0.15</v>
      </c>
      <c r="AB64" s="149">
        <f>SUM(AA64*'2025 CA Single Zone Calculator'!D2)</f>
        <v>210</v>
      </c>
      <c r="AC64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64" s="147" t="s">
        <v>228</v>
      </c>
      <c r="AF64" s="148">
        <v>0.15</v>
      </c>
      <c r="AG64" s="149"/>
      <c r="AH64" s="146" t="str">
        <f>IF(AF64=0.15,"Title 24: CO2 Sensor required","")</f>
        <v>Title 24: CO2 Sensor required</v>
      </c>
      <c r="AM64" s="147" t="s">
        <v>228</v>
      </c>
      <c r="AN64" s="148">
        <v>71</v>
      </c>
      <c r="AO64" s="149">
        <f>SUM(AN64/1000)*15*'2025 CA Single Zone Calculator'!D2</f>
        <v>1491</v>
      </c>
      <c r="AP64" s="146" t="s">
        <v>513</v>
      </c>
      <c r="AT64" s="147" t="s">
        <v>228</v>
      </c>
      <c r="AU64" s="148">
        <v>71</v>
      </c>
      <c r="AV64" s="149">
        <f>SUM(AU64/1000)*15*'2025 CA Single Zone Calculator'!K2</f>
        <v>0</v>
      </c>
      <c r="AW64" s="146" t="s">
        <v>513</v>
      </c>
    </row>
    <row r="65" spans="1:49" x14ac:dyDescent="0.25">
      <c r="A65" s="147" t="s">
        <v>138</v>
      </c>
      <c r="B65" s="147">
        <v>7.5</v>
      </c>
      <c r="C65" s="147">
        <v>0.12</v>
      </c>
      <c r="D65" s="147">
        <v>20</v>
      </c>
      <c r="F65" s="147" t="s">
        <v>229</v>
      </c>
      <c r="G65" s="148">
        <f>IF(OR('2022 CA Single Zone Calculator'!H6="economizer",'2022 CA Single Zone Calculator'!H7="economizer",'2022 CA Single Zone Calculator'!H8="economizer"),0.15,0.19)</f>
        <v>0.15</v>
      </c>
      <c r="H65" s="149"/>
      <c r="I65" s="146" t="str">
        <f>IF(G65=0.15,"Title 24: CO2 Sensor required","")</f>
        <v>Title 24: CO2 Sensor required</v>
      </c>
      <c r="K65" s="147" t="s">
        <v>229</v>
      </c>
      <c r="L65" s="148">
        <f>IF(OR('2022 CA Multi-Zone Calculator'!H6="economizer",'2022 CA Multi-Zone Calculator'!H7="economizer",'2022 CA Multi-Zone Calculator'!H8="economizer"),0.15,0.19)</f>
        <v>0.15</v>
      </c>
      <c r="M65" s="149"/>
      <c r="N65" s="146" t="str">
        <f>IF(L65=0.15,"Title 24: CO2 Sensor required","")</f>
        <v>Title 24: CO2 Sensor required</v>
      </c>
      <c r="S65" s="147" t="s">
        <v>204</v>
      </c>
      <c r="T65" s="147">
        <v>10</v>
      </c>
      <c r="U65" s="147">
        <v>5</v>
      </c>
      <c r="V65" s="147">
        <v>0.12</v>
      </c>
      <c r="Z65" s="147" t="s">
        <v>229</v>
      </c>
      <c r="AA65" s="148">
        <v>0.15</v>
      </c>
      <c r="AB65" s="149">
        <f>SUM(AA65*'2025 CA Single Zone Calculator'!D2)</f>
        <v>210</v>
      </c>
      <c r="AC65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65" s="147" t="s">
        <v>229</v>
      </c>
      <c r="AF65" s="148">
        <v>0.15</v>
      </c>
      <c r="AG65" s="149"/>
      <c r="AH65" s="146" t="str">
        <f>IF(AF65=0.15,"Title 24: CO2 Sensor required","")</f>
        <v>Title 24: CO2 Sensor required</v>
      </c>
      <c r="AM65" s="147" t="s">
        <v>229</v>
      </c>
      <c r="AN65" s="148">
        <v>13</v>
      </c>
      <c r="AO65" s="149">
        <f>SUM(AN65/1000)*15*'2025 CA Single Zone Calculator'!D2</f>
        <v>272.99999999999994</v>
      </c>
      <c r="AP65" s="146" t="s">
        <v>513</v>
      </c>
      <c r="AT65" s="147" t="s">
        <v>229</v>
      </c>
      <c r="AU65" s="148">
        <v>13</v>
      </c>
      <c r="AV65" s="149">
        <f>SUM(AU65/1000)*15*'2025 CA Single Zone Calculator'!K2</f>
        <v>0</v>
      </c>
      <c r="AW65" s="146" t="s">
        <v>513</v>
      </c>
    </row>
    <row r="66" spans="1:49" x14ac:dyDescent="0.25">
      <c r="A66" s="147" t="s">
        <v>139</v>
      </c>
      <c r="B66" s="147">
        <v>30</v>
      </c>
      <c r="C66" s="147">
        <v>0</v>
      </c>
      <c r="D66" s="147">
        <v>30</v>
      </c>
      <c r="F66" s="147" t="s">
        <v>230</v>
      </c>
      <c r="G66" s="148">
        <f>IF(OR('2022 CA Single Zone Calculator'!H6="economizer",'2022 CA Single Zone Calculator'!H7="economizer",'2022 CA Single Zone Calculator'!H8="economizer"),0.15,0.19)</f>
        <v>0.15</v>
      </c>
      <c r="H66" s="149"/>
      <c r="I66" s="146" t="str">
        <f>IF(G66=0.15,"Title 24: CO2 Sensor required","")</f>
        <v>Title 24: CO2 Sensor required</v>
      </c>
      <c r="K66" s="147" t="s">
        <v>230</v>
      </c>
      <c r="L66" s="148">
        <f>IF(OR('2022 CA Multi-Zone Calculator'!H6="economizer",'2022 CA Multi-Zone Calculator'!H7="economizer",'2022 CA Multi-Zone Calculator'!H8="economizer"),0.15,0.19)</f>
        <v>0.15</v>
      </c>
      <c r="M66" s="149"/>
      <c r="N66" s="146" t="str">
        <f>IF(L66=0.15,"Title 24: CO2 Sensor required","")</f>
        <v>Title 24: CO2 Sensor required</v>
      </c>
      <c r="S66" s="147" t="s">
        <v>361</v>
      </c>
      <c r="T66" s="147">
        <v>10</v>
      </c>
      <c r="U66" s="147">
        <v>5</v>
      </c>
      <c r="V66" s="147">
        <v>0.12</v>
      </c>
      <c r="Z66" s="147" t="s">
        <v>230</v>
      </c>
      <c r="AA66" s="148">
        <v>0.15</v>
      </c>
      <c r="AB66" s="149">
        <f>SUM(AA66*'2025 CA Single Zone Calculator'!D2)</f>
        <v>210</v>
      </c>
      <c r="AC66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66" s="147" t="s">
        <v>230</v>
      </c>
      <c r="AF66" s="148">
        <v>0.15</v>
      </c>
      <c r="AG66" s="149"/>
      <c r="AH66" s="146" t="str">
        <f>IF(AF66=0.15,"Title 24: CO2 Sensor required","")</f>
        <v>Title 24: CO2 Sensor required</v>
      </c>
      <c r="AM66" s="147" t="s">
        <v>230</v>
      </c>
      <c r="AN66" s="148">
        <v>13</v>
      </c>
      <c r="AO66" s="149">
        <f>SUM(AN66/1000)*15*'2025 CA Single Zone Calculator'!D2</f>
        <v>272.99999999999994</v>
      </c>
      <c r="AP66" s="146" t="s">
        <v>513</v>
      </c>
      <c r="AT66" s="147" t="s">
        <v>230</v>
      </c>
      <c r="AU66" s="148">
        <v>13</v>
      </c>
      <c r="AV66" s="149">
        <f>SUM(AU66/1000)*15*'2025 CA Single Zone Calculator'!K2</f>
        <v>0</v>
      </c>
      <c r="AW66" s="146" t="s">
        <v>513</v>
      </c>
    </row>
    <row r="67" spans="1:49" x14ac:dyDescent="0.25">
      <c r="A67" s="147" t="s">
        <v>140</v>
      </c>
      <c r="B67" s="147">
        <v>5</v>
      </c>
      <c r="C67" s="147">
        <v>0.12</v>
      </c>
      <c r="D67" s="147">
        <v>10</v>
      </c>
      <c r="F67" s="147" t="s">
        <v>231</v>
      </c>
      <c r="G67" s="148">
        <v>0.15</v>
      </c>
      <c r="H67" s="149"/>
      <c r="I67" s="146"/>
      <c r="K67" s="147" t="s">
        <v>231</v>
      </c>
      <c r="L67" s="148">
        <v>0.15</v>
      </c>
      <c r="M67" s="149"/>
      <c r="N67" s="146"/>
      <c r="S67" s="147" t="s">
        <v>362</v>
      </c>
      <c r="T67" s="147">
        <v>30</v>
      </c>
      <c r="U67" s="147">
        <v>7.5</v>
      </c>
      <c r="V67" s="147">
        <v>0.06</v>
      </c>
      <c r="Z67" s="147" t="s">
        <v>231</v>
      </c>
      <c r="AA67" s="148">
        <v>0.15</v>
      </c>
      <c r="AB67" s="149">
        <f>SUM(AA67*'2025 CA Single Zone Calculator'!D2)</f>
        <v>210</v>
      </c>
      <c r="AC67" s="146"/>
      <c r="AE67" s="147" t="s">
        <v>231</v>
      </c>
      <c r="AF67" s="148">
        <v>0.15</v>
      </c>
      <c r="AG67" s="149"/>
      <c r="AH67" s="146"/>
      <c r="AM67" s="147" t="s">
        <v>231</v>
      </c>
      <c r="AN67" s="148">
        <v>10</v>
      </c>
      <c r="AO67" s="149">
        <f>SUM(AN67/1000)*15*'2025 CA Single Zone Calculator'!D2</f>
        <v>210</v>
      </c>
      <c r="AP67" s="146"/>
      <c r="AT67" s="147" t="s">
        <v>231</v>
      </c>
      <c r="AU67" s="148">
        <v>10</v>
      </c>
      <c r="AV67" s="149">
        <f>SUM(AU67/1000)*15*'2025 CA Single Zone Calculator'!K2</f>
        <v>0</v>
      </c>
      <c r="AW67" s="146"/>
    </row>
    <row r="68" spans="1:49" x14ac:dyDescent="0.25">
      <c r="A68" s="147" t="s">
        <v>141</v>
      </c>
      <c r="B68" s="147">
        <v>7.5</v>
      </c>
      <c r="C68" s="147">
        <v>0.12</v>
      </c>
      <c r="D68" s="147">
        <v>30</v>
      </c>
      <c r="F68" s="147" t="s">
        <v>232</v>
      </c>
      <c r="G68" s="148">
        <f>IF(OR('2022 CA Single Zone Calculator'!H6="economizer",'2022 CA Single Zone Calculator'!H7="economizer",'2022 CA Single Zone Calculator'!H8="economizer"),0.15,0.5)</f>
        <v>0.15</v>
      </c>
      <c r="H68" s="149"/>
      <c r="I68" s="146" t="str">
        <f>IF(G68=0.15,"Title 24: CO2 Sensor required","")</f>
        <v>Title 24: CO2 Sensor required</v>
      </c>
      <c r="K68" s="147" t="s">
        <v>232</v>
      </c>
      <c r="L68" s="148">
        <f>IF(OR('2022 CA Multi-Zone Calculator'!H6="economizer",'2022 CA Multi-Zone Calculator'!H7="economizer",'2022 CA Multi-Zone Calculator'!H8="economizer"),0.15,0.5)</f>
        <v>0.15</v>
      </c>
      <c r="M68" s="149"/>
      <c r="N68" s="146" t="str">
        <f>IF(L68=0.15,"Title 24: CO2 Sensor required","")</f>
        <v>Title 24: CO2 Sensor required</v>
      </c>
      <c r="S68" s="147" t="s">
        <v>207</v>
      </c>
      <c r="T68" s="147">
        <v>120</v>
      </c>
      <c r="U68" s="147">
        <v>5</v>
      </c>
      <c r="V68" s="147">
        <v>0.06</v>
      </c>
      <c r="Z68" s="147" t="s">
        <v>232</v>
      </c>
      <c r="AA68" s="148">
        <v>0.15</v>
      </c>
      <c r="AB68" s="149">
        <f>SUM(AA68*'2025 CA Single Zone Calculator'!D2)</f>
        <v>210</v>
      </c>
      <c r="AC68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68" s="147" t="s">
        <v>232</v>
      </c>
      <c r="AF68" s="148">
        <v>0.15</v>
      </c>
      <c r="AG68" s="149"/>
      <c r="AH68" s="146" t="str">
        <f>IF(AF68=0.15,"Title 24: CO2 Sensor required","")</f>
        <v>Title 24: CO2 Sensor required</v>
      </c>
      <c r="AM68" s="147" t="s">
        <v>232</v>
      </c>
      <c r="AN68" s="148">
        <v>33</v>
      </c>
      <c r="AO68" s="149">
        <f>SUM(AN68/1000)*15*'2025 CA Single Zone Calculator'!D2</f>
        <v>693</v>
      </c>
      <c r="AP68" s="146" t="s">
        <v>513</v>
      </c>
      <c r="AT68" s="147" t="s">
        <v>232</v>
      </c>
      <c r="AU68" s="148">
        <v>33</v>
      </c>
      <c r="AV68" s="149">
        <f>SUM(AU68/1000)*15*'2025 CA Single Zone Calculator'!K2</f>
        <v>0</v>
      </c>
      <c r="AW68" s="146" t="s">
        <v>513</v>
      </c>
    </row>
    <row r="69" spans="1:49" x14ac:dyDescent="0.25">
      <c r="A69" s="147"/>
      <c r="B69" s="162"/>
      <c r="C69" s="162"/>
      <c r="D69" s="162"/>
      <c r="F69" s="147" t="s">
        <v>233</v>
      </c>
      <c r="G69" s="148">
        <f>IF(OR('2022 CA Single Zone Calculator'!H6="economizer",'2022 CA Single Zone Calculator'!H7="economizer",'2022 CA Single Zone Calculator'!H8="economizer"),0.15,0.25)</f>
        <v>0.15</v>
      </c>
      <c r="H69" s="149"/>
      <c r="I69" s="146" t="str">
        <f>IF(G69=0.15,"Title 24: CO2 Sensor required","")</f>
        <v>Title 24: CO2 Sensor required</v>
      </c>
      <c r="K69" s="147" t="s">
        <v>233</v>
      </c>
      <c r="L69" s="148">
        <f>IF(OR('2022 CA Multi-Zone Calculator'!H6="economizer",'2022 CA Multi-Zone Calculator'!H7="economizer",'2022 CA Multi-Zone Calculator'!H8="economizer"),0.15,0.25)</f>
        <v>0.15</v>
      </c>
      <c r="M69" s="149"/>
      <c r="N69" s="146" t="str">
        <f>IF(L69=0.15,"Title 24: CO2 Sensor required","")</f>
        <v>Title 24: CO2 Sensor required</v>
      </c>
      <c r="S69" s="147"/>
      <c r="T69" s="147"/>
      <c r="U69" s="147"/>
      <c r="V69" s="147"/>
      <c r="Z69" s="147" t="s">
        <v>233</v>
      </c>
      <c r="AA69" s="148">
        <v>0.15</v>
      </c>
      <c r="AB69" s="149">
        <f>SUM(AA69*'2025 CA Single Zone Calculator'!D2)</f>
        <v>210</v>
      </c>
      <c r="AC69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69" s="147" t="s">
        <v>233</v>
      </c>
      <c r="AF69" s="148">
        <v>0.15</v>
      </c>
      <c r="AG69" s="149"/>
      <c r="AH69" s="146" t="str">
        <f>IF(AF69=0.15,"Title 24: CO2 Sensor required","")</f>
        <v>Title 24: CO2 Sensor required</v>
      </c>
      <c r="AM69" s="147" t="s">
        <v>233</v>
      </c>
      <c r="AN69" s="148">
        <v>17</v>
      </c>
      <c r="AO69" s="149">
        <f>SUM(AN69/1000)*15*'2025 CA Single Zone Calculator'!D2</f>
        <v>357</v>
      </c>
      <c r="AP69" s="146" t="s">
        <v>513</v>
      </c>
      <c r="AT69" s="147" t="s">
        <v>233</v>
      </c>
      <c r="AU69" s="148">
        <v>17</v>
      </c>
      <c r="AV69" s="149">
        <f>SUM(AU69/1000)*15*'2025 CA Single Zone Calculator'!K2</f>
        <v>0</v>
      </c>
      <c r="AW69" s="146" t="s">
        <v>513</v>
      </c>
    </row>
    <row r="70" spans="1:49" x14ac:dyDescent="0.25">
      <c r="A70" s="160" t="s">
        <v>170</v>
      </c>
      <c r="F70" s="147" t="s">
        <v>234</v>
      </c>
      <c r="G70" s="148">
        <f>IF(OR('2022 CA Single Zone Calculator'!H6="economizer",'2022 CA Single Zone Calculator'!H7="economizer",'2022 CA Single Zone Calculator'!H8="economizer"),0.15,0.25)</f>
        <v>0.15</v>
      </c>
      <c r="H70" s="149"/>
      <c r="I70" s="146" t="str">
        <f>IF(G70=0.15,"Title 24: CO2 Sensor required","")</f>
        <v>Title 24: CO2 Sensor required</v>
      </c>
      <c r="K70" s="147" t="s">
        <v>234</v>
      </c>
      <c r="L70" s="148">
        <f>IF(OR('2022 CA Multi-Zone Calculator'!H6="economizer",'2022 CA Multi-Zone Calculator'!H7="economizer",'2022 CA Multi-Zone Calculator'!H8="economizer"),0.15,0.25)</f>
        <v>0.15</v>
      </c>
      <c r="M70" s="149"/>
      <c r="N70" s="146" t="str">
        <f>IF(L70=0.15,"Title 24: CO2 Sensor required","")</f>
        <v>Title 24: CO2 Sensor required</v>
      </c>
      <c r="S70" s="150" t="s">
        <v>363</v>
      </c>
      <c r="T70" s="147"/>
      <c r="U70" s="147"/>
      <c r="V70" s="147"/>
      <c r="Z70" s="147" t="s">
        <v>234</v>
      </c>
      <c r="AA70" s="148">
        <v>0.15</v>
      </c>
      <c r="AB70" s="149">
        <f>SUM(AA70*'2025 CA Single Zone Calculator'!D2)</f>
        <v>210</v>
      </c>
      <c r="AC70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70" s="147" t="s">
        <v>234</v>
      </c>
      <c r="AF70" s="148">
        <v>0.15</v>
      </c>
      <c r="AG70" s="149"/>
      <c r="AH70" s="146" t="str">
        <f>IF(AF70=0.15,"Title 24: CO2 Sensor required","")</f>
        <v>Title 24: CO2 Sensor required</v>
      </c>
      <c r="AM70" s="147" t="s">
        <v>234</v>
      </c>
      <c r="AN70" s="148">
        <v>17</v>
      </c>
      <c r="AO70" s="149">
        <f>SUM(AN70/1000)*15*'2025 CA Single Zone Calculator'!D2</f>
        <v>357</v>
      </c>
      <c r="AP70" s="146" t="s">
        <v>513</v>
      </c>
      <c r="AT70" s="147" t="s">
        <v>234</v>
      </c>
      <c r="AU70" s="148">
        <v>17</v>
      </c>
      <c r="AV70" s="149">
        <f>SUM(AU70/1000)*15*'2025 CA Single Zone Calculator'!K2</f>
        <v>0</v>
      </c>
      <c r="AW70" s="146" t="s">
        <v>513</v>
      </c>
    </row>
    <row r="71" spans="1:49" x14ac:dyDescent="0.25">
      <c r="A71" s="147" t="s">
        <v>145</v>
      </c>
      <c r="B71" s="147">
        <v>7</v>
      </c>
      <c r="C71" s="147">
        <v>0.18</v>
      </c>
      <c r="D71" s="147">
        <v>7</v>
      </c>
      <c r="F71" s="147"/>
      <c r="G71" s="148"/>
      <c r="H71" s="149"/>
      <c r="I71" s="146"/>
      <c r="K71" s="147"/>
      <c r="L71" s="148"/>
      <c r="M71" s="149"/>
      <c r="N71" s="146"/>
      <c r="S71" s="147" t="s">
        <v>197</v>
      </c>
      <c r="T71" s="147">
        <v>50</v>
      </c>
      <c r="U71" s="147">
        <v>5</v>
      </c>
      <c r="V71" s="147">
        <v>0.12</v>
      </c>
      <c r="Z71" s="147"/>
      <c r="AA71" s="148"/>
      <c r="AB71" s="149"/>
      <c r="AC71" s="146"/>
      <c r="AE71" s="147"/>
      <c r="AF71" s="148"/>
      <c r="AG71" s="149"/>
      <c r="AH71" s="146"/>
      <c r="AM71" s="147"/>
      <c r="AN71" s="148"/>
      <c r="AO71" s="149"/>
      <c r="AP71" s="146"/>
      <c r="AT71" s="147"/>
      <c r="AU71" s="148"/>
      <c r="AV71" s="149"/>
      <c r="AW71" s="146"/>
    </row>
    <row r="72" spans="1:49" x14ac:dyDescent="0.25">
      <c r="A72" s="147" t="s">
        <v>303</v>
      </c>
      <c r="B72" s="151">
        <v>20</v>
      </c>
      <c r="C72" s="151">
        <v>0.06</v>
      </c>
      <c r="D72" s="151">
        <v>40</v>
      </c>
      <c r="F72" s="158" t="s">
        <v>267</v>
      </c>
      <c r="G72" s="159"/>
      <c r="H72" s="159"/>
      <c r="I72" s="159"/>
      <c r="K72" s="158" t="s">
        <v>267</v>
      </c>
      <c r="L72" s="159"/>
      <c r="M72" s="159"/>
      <c r="N72" s="159"/>
      <c r="S72" s="147" t="s">
        <v>364</v>
      </c>
      <c r="T72" s="147">
        <v>50</v>
      </c>
      <c r="U72" s="147">
        <v>5</v>
      </c>
      <c r="V72" s="147">
        <v>0.06</v>
      </c>
      <c r="Z72" s="158" t="s">
        <v>267</v>
      </c>
      <c r="AA72" s="159"/>
      <c r="AB72" s="159"/>
      <c r="AC72" s="159"/>
      <c r="AE72" s="158" t="s">
        <v>267</v>
      </c>
      <c r="AF72" s="159"/>
      <c r="AG72" s="159"/>
      <c r="AH72" s="159"/>
      <c r="AM72" s="158" t="s">
        <v>267</v>
      </c>
      <c r="AN72" s="159"/>
      <c r="AO72" s="159"/>
      <c r="AP72" s="159"/>
      <c r="AT72" s="158" t="s">
        <v>267</v>
      </c>
      <c r="AU72" s="159"/>
      <c r="AV72" s="159"/>
      <c r="AW72" s="159"/>
    </row>
    <row r="73" spans="1:49" x14ac:dyDescent="0.25">
      <c r="A73" s="147" t="s">
        <v>304</v>
      </c>
      <c r="B73" s="151">
        <v>20</v>
      </c>
      <c r="C73" s="151">
        <v>0.06</v>
      </c>
      <c r="D73" s="151">
        <v>10</v>
      </c>
      <c r="F73" s="147" t="s">
        <v>235</v>
      </c>
      <c r="G73" s="147">
        <v>0</v>
      </c>
      <c r="H73" s="163"/>
      <c r="I73" s="146"/>
      <c r="K73" s="147" t="s">
        <v>235</v>
      </c>
      <c r="L73" s="147">
        <v>0</v>
      </c>
      <c r="M73" s="163"/>
      <c r="N73" s="146"/>
      <c r="S73" s="147" t="s">
        <v>365</v>
      </c>
      <c r="T73" s="147">
        <v>10</v>
      </c>
      <c r="U73" s="147">
        <v>5</v>
      </c>
      <c r="V73" s="147">
        <v>0.06</v>
      </c>
      <c r="Z73" s="147" t="s">
        <v>235</v>
      </c>
      <c r="AA73" s="148">
        <v>0.15</v>
      </c>
      <c r="AB73" s="149">
        <f>SUM(AA73*'2025 CA Single Zone Calculator'!D2)</f>
        <v>210</v>
      </c>
      <c r="AC73" s="146"/>
      <c r="AE73" s="147" t="s">
        <v>235</v>
      </c>
      <c r="AF73" s="147">
        <v>0.15</v>
      </c>
      <c r="AG73" s="163"/>
      <c r="AH73" s="146"/>
      <c r="AM73" s="147" t="s">
        <v>235</v>
      </c>
      <c r="AN73" s="148">
        <v>5</v>
      </c>
      <c r="AO73" s="149">
        <f>SUM(AN73/1000)*15*'2025 CA Single Zone Calculator'!D2</f>
        <v>105</v>
      </c>
      <c r="AP73" s="146"/>
      <c r="AT73" s="147" t="s">
        <v>235</v>
      </c>
      <c r="AU73" s="148">
        <v>5</v>
      </c>
      <c r="AV73" s="149">
        <f>SUM(AU73/1000)*15*'2025 CA Single Zone Calculator'!K2</f>
        <v>0</v>
      </c>
      <c r="AW73" s="146"/>
    </row>
    <row r="74" spans="1:49" x14ac:dyDescent="0.25">
      <c r="A74" s="147" t="s">
        <v>146</v>
      </c>
      <c r="B74" s="147">
        <v>7.5</v>
      </c>
      <c r="C74" s="147">
        <v>0.18</v>
      </c>
      <c r="D74" s="147">
        <v>20</v>
      </c>
      <c r="F74" s="147"/>
      <c r="G74" s="147"/>
      <c r="H74" s="163"/>
      <c r="I74" s="146"/>
      <c r="K74" s="147"/>
      <c r="L74" s="147"/>
      <c r="M74" s="163"/>
      <c r="N74" s="146"/>
      <c r="S74" s="147" t="s">
        <v>366</v>
      </c>
      <c r="T74" s="147">
        <v>2</v>
      </c>
      <c r="U74" s="147">
        <v>5</v>
      </c>
      <c r="V74" s="147">
        <v>0.06</v>
      </c>
      <c r="Z74" s="147"/>
      <c r="AA74" s="147"/>
      <c r="AB74" s="163"/>
      <c r="AC74" s="146"/>
      <c r="AE74" s="147"/>
      <c r="AF74" s="147"/>
      <c r="AG74" s="163"/>
      <c r="AH74" s="146"/>
      <c r="AM74" s="147"/>
      <c r="AN74" s="147"/>
      <c r="AO74" s="163"/>
      <c r="AP74" s="146"/>
      <c r="AT74" s="147"/>
      <c r="AU74" s="147"/>
      <c r="AV74" s="163"/>
      <c r="AW74" s="146"/>
    </row>
    <row r="75" spans="1:49" x14ac:dyDescent="0.25">
      <c r="A75" s="147" t="s">
        <v>305</v>
      </c>
      <c r="B75" s="147">
        <v>20</v>
      </c>
      <c r="C75" s="147">
        <v>0.06</v>
      </c>
      <c r="D75" s="147">
        <v>100</v>
      </c>
      <c r="F75" s="158" t="s">
        <v>268</v>
      </c>
      <c r="G75" s="159"/>
      <c r="H75" s="159"/>
      <c r="I75" s="159"/>
      <c r="K75" s="158" t="s">
        <v>268</v>
      </c>
      <c r="L75" s="159"/>
      <c r="M75" s="159"/>
      <c r="N75" s="159"/>
      <c r="S75" s="147" t="s">
        <v>367</v>
      </c>
      <c r="T75" s="147">
        <v>5</v>
      </c>
      <c r="U75" s="147">
        <v>5</v>
      </c>
      <c r="V75" s="147">
        <v>0.06</v>
      </c>
      <c r="Z75" s="158" t="s">
        <v>268</v>
      </c>
      <c r="AA75" s="159"/>
      <c r="AB75" s="159"/>
      <c r="AC75" s="159"/>
      <c r="AE75" s="158" t="s">
        <v>268</v>
      </c>
      <c r="AF75" s="159"/>
      <c r="AG75" s="159"/>
      <c r="AH75" s="159"/>
      <c r="AM75" s="158" t="s">
        <v>268</v>
      </c>
      <c r="AN75" s="159"/>
      <c r="AO75" s="159"/>
      <c r="AP75" s="159"/>
      <c r="AT75" s="158" t="s">
        <v>268</v>
      </c>
      <c r="AU75" s="159"/>
      <c r="AV75" s="159"/>
      <c r="AW75" s="159"/>
    </row>
    <row r="76" spans="1:49" x14ac:dyDescent="0.25">
      <c r="A76" s="147" t="s">
        <v>147</v>
      </c>
      <c r="B76" s="147">
        <v>10</v>
      </c>
      <c r="C76" s="147">
        <v>0.12</v>
      </c>
      <c r="D76" s="147">
        <v>40</v>
      </c>
      <c r="F76" s="147" t="s">
        <v>236</v>
      </c>
      <c r="G76" s="148">
        <f>IF(OR('2022 CA Single Zone Calculator'!H6="economizer",'2022 CA Single Zone Calculator'!H7="economizer",'2022 CA Single Zone Calculator'!H8="economizer"),0.2,0.25)</f>
        <v>0.2</v>
      </c>
      <c r="H76" s="149"/>
      <c r="I76" s="146" t="str">
        <f>IF(G76=0.2,"Title 24: CO2 Sensor required","")</f>
        <v>Title 24: CO2 Sensor required</v>
      </c>
      <c r="K76" s="147" t="s">
        <v>236</v>
      </c>
      <c r="L76" s="148">
        <f>IF(OR('2022 CA Multi-Zone Calculator'!H6="economizer",'2022 CA Multi-Zone Calculator'!H7="economizer",'2022 CA Multi-Zone Calculator'!H8="economizer"),0.2,0.25)</f>
        <v>0.2</v>
      </c>
      <c r="M76" s="149"/>
      <c r="N76" s="146" t="str">
        <f>IF(L76=0.2,"Title 24: CO2 Sensor required","")</f>
        <v>Title 24: CO2 Sensor required</v>
      </c>
      <c r="S76" s="147" t="s">
        <v>212</v>
      </c>
      <c r="T76" s="147">
        <v>30</v>
      </c>
      <c r="U76" s="147">
        <v>5</v>
      </c>
      <c r="V76" s="147">
        <v>0.06</v>
      </c>
      <c r="Z76" s="147" t="s">
        <v>236</v>
      </c>
      <c r="AA76" s="148">
        <v>0.25</v>
      </c>
      <c r="AB76" s="149">
        <f>SUM(AA76*'2025 CA Single Zone Calculator'!D2)</f>
        <v>350</v>
      </c>
      <c r="AC76" s="146" t="str">
        <f>IF(AA76=0.2,"Title 24: CO2 Sensor required","")</f>
        <v/>
      </c>
      <c r="AE76" s="147" t="s">
        <v>236</v>
      </c>
      <c r="AF76" s="148">
        <v>0.25</v>
      </c>
      <c r="AG76" s="149"/>
      <c r="AH76" s="146" t="str">
        <f>IF(AF76=0.2,"Title 24: CO2 Sensor required","")</f>
        <v/>
      </c>
      <c r="AM76" s="147" t="s">
        <v>236</v>
      </c>
      <c r="AN76" s="148">
        <v>17</v>
      </c>
      <c r="AO76" s="149">
        <f>SUM(AN76/1000)*15*'2025 CA Single Zone Calculator'!D2</f>
        <v>357</v>
      </c>
      <c r="AP76" s="146" t="str">
        <f>IF(AN76=0.2,"Title 24: CO2 Sensor required","")</f>
        <v/>
      </c>
      <c r="AT76" s="147" t="s">
        <v>236</v>
      </c>
      <c r="AU76" s="148">
        <v>17</v>
      </c>
      <c r="AV76" s="149">
        <f>SUM(AU76/1000)*15*'2025 CA Single Zone Calculator'!K2</f>
        <v>0</v>
      </c>
      <c r="AW76" s="146" t="str">
        <f>IF(AU76=0.2,"Title 24: CO2 Sensor required","")</f>
        <v/>
      </c>
    </row>
    <row r="77" spans="1:49" x14ac:dyDescent="0.25">
      <c r="A77" s="147" t="s">
        <v>148</v>
      </c>
      <c r="B77" s="147">
        <v>7.5</v>
      </c>
      <c r="C77" s="147">
        <v>0.06</v>
      </c>
      <c r="D77" s="147">
        <v>150</v>
      </c>
      <c r="F77" s="147" t="s">
        <v>237</v>
      </c>
      <c r="G77" s="148">
        <f>IF(OR('2022 CA Single Zone Calculator'!H6="economizer",'2022 CA Single Zone Calculator'!H7="economizer",'2022 CA Single Zone Calculator'!H8="economizer"),0.15,0.25)</f>
        <v>0.15</v>
      </c>
      <c r="H77" s="149"/>
      <c r="I77" s="146" t="str">
        <f>IF(G77=0.15,"Title 24: CO2 Sensor required","")</f>
        <v>Title 24: CO2 Sensor required</v>
      </c>
      <c r="K77" s="147" t="s">
        <v>237</v>
      </c>
      <c r="L77" s="148">
        <f>IF(OR('2022 CA Multi-Zone Calculator'!H6="economizer",'2022 CA Multi-Zone Calculator'!H7="economizer",'2022 CA Multi-Zone Calculator'!H8="economizer"),0.15,0.25)</f>
        <v>0.15</v>
      </c>
      <c r="M77" s="149"/>
      <c r="N77" s="146" t="str">
        <f>IF(L77=0.15,"Title 24: CO2 Sensor required","")</f>
        <v>Title 24: CO2 Sensor required</v>
      </c>
      <c r="S77" s="147" t="s">
        <v>213</v>
      </c>
      <c r="T77" s="151">
        <v>60</v>
      </c>
      <c r="U77" s="151">
        <v>5</v>
      </c>
      <c r="V77" s="151">
        <v>0.06</v>
      </c>
      <c r="Z77" s="147" t="s">
        <v>237</v>
      </c>
      <c r="AA77" s="148">
        <v>0.15</v>
      </c>
      <c r="AB77" s="149">
        <f>SUM(AA77*'2025 CA Single Zone Calculator'!D2)</f>
        <v>210</v>
      </c>
      <c r="AC77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77" s="147" t="s">
        <v>237</v>
      </c>
      <c r="AF77" s="148">
        <v>0.15</v>
      </c>
      <c r="AG77" s="149"/>
      <c r="AH77" s="146" t="str">
        <f>IF(AF77=0.15,"Title 24: CO2 Sensor required","")</f>
        <v>Title 24: CO2 Sensor required</v>
      </c>
      <c r="AM77" s="147" t="s">
        <v>237</v>
      </c>
      <c r="AN77" s="148">
        <v>17</v>
      </c>
      <c r="AO77" s="149">
        <f>SUM(AN77/1000)*15*'2025 CA Single Zone Calculator'!D2</f>
        <v>357</v>
      </c>
      <c r="AP77" s="146" t="s">
        <v>513</v>
      </c>
      <c r="AT77" s="147" t="s">
        <v>237</v>
      </c>
      <c r="AU77" s="148">
        <v>17</v>
      </c>
      <c r="AV77" s="149">
        <f>SUM(AU77/1000)*15*'2025 CA Single Zone Calculator'!K2</f>
        <v>0</v>
      </c>
      <c r="AW77" s="146" t="s">
        <v>513</v>
      </c>
    </row>
    <row r="78" spans="1:49" x14ac:dyDescent="0.25">
      <c r="A78" s="147"/>
      <c r="B78" s="162"/>
      <c r="C78" s="162"/>
      <c r="D78" s="162"/>
      <c r="F78" s="147" t="s">
        <v>238</v>
      </c>
      <c r="G78" s="148">
        <v>0.4</v>
      </c>
      <c r="H78" s="149"/>
      <c r="I78" s="146"/>
      <c r="K78" s="147" t="s">
        <v>238</v>
      </c>
      <c r="L78" s="148">
        <v>0.4</v>
      </c>
      <c r="M78" s="149"/>
      <c r="N78" s="146"/>
      <c r="S78" s="147"/>
      <c r="T78" s="151"/>
      <c r="U78" s="151"/>
      <c r="V78" s="151"/>
      <c r="Z78" s="147" t="s">
        <v>238</v>
      </c>
      <c r="AA78" s="148">
        <v>0.4</v>
      </c>
      <c r="AB78" s="149">
        <f>SUM(AA78*'2025 CA Single Zone Calculator'!D2)</f>
        <v>560</v>
      </c>
      <c r="AC78" s="146"/>
      <c r="AE78" s="147" t="s">
        <v>238</v>
      </c>
      <c r="AF78" s="148">
        <v>0.4</v>
      </c>
      <c r="AG78" s="149"/>
      <c r="AH78" s="146"/>
      <c r="AM78" s="147" t="s">
        <v>238</v>
      </c>
      <c r="AN78" s="148">
        <v>17</v>
      </c>
      <c r="AO78" s="149">
        <f>SUM(AN78/1000)*15*'2025 CA Single Zone Calculator'!D2</f>
        <v>357</v>
      </c>
      <c r="AP78" s="146"/>
      <c r="AT78" s="147" t="s">
        <v>238</v>
      </c>
      <c r="AU78" s="148">
        <v>17</v>
      </c>
      <c r="AV78" s="149">
        <f>SUM(AU78/1000)*15*'2025 CA Single Zone Calculator'!K2</f>
        <v>0</v>
      </c>
      <c r="AW78" s="146"/>
    </row>
    <row r="79" spans="1:49" x14ac:dyDescent="0.25">
      <c r="A79" s="150" t="s">
        <v>171</v>
      </c>
      <c r="F79" s="147" t="s">
        <v>239</v>
      </c>
      <c r="G79" s="148">
        <v>0.4</v>
      </c>
      <c r="H79" s="149"/>
      <c r="I79" s="146"/>
      <c r="K79" s="147" t="s">
        <v>239</v>
      </c>
      <c r="L79" s="148">
        <v>0.4</v>
      </c>
      <c r="M79" s="149"/>
      <c r="N79" s="146"/>
      <c r="S79" s="150" t="s">
        <v>368</v>
      </c>
      <c r="T79" s="147"/>
      <c r="U79" s="147"/>
      <c r="V79" s="147"/>
      <c r="Z79" s="147" t="s">
        <v>239</v>
      </c>
      <c r="AA79" s="148">
        <v>0.4</v>
      </c>
      <c r="AB79" s="149">
        <f>SUM(AA79*'2025 CA Single Zone Calculator'!D2)</f>
        <v>560</v>
      </c>
      <c r="AC79" s="146"/>
      <c r="AE79" s="147" t="s">
        <v>239</v>
      </c>
      <c r="AF79" s="148">
        <v>0.4</v>
      </c>
      <c r="AG79" s="149"/>
      <c r="AH79" s="146"/>
      <c r="AM79" s="147" t="s">
        <v>239</v>
      </c>
      <c r="AN79" s="148">
        <v>17</v>
      </c>
      <c r="AO79" s="149">
        <f>SUM(AN79/1000)*15*'2025 CA Single Zone Calculator'!D2</f>
        <v>357</v>
      </c>
      <c r="AP79" s="146"/>
      <c r="AT79" s="147" t="s">
        <v>239</v>
      </c>
      <c r="AU79" s="148">
        <v>17</v>
      </c>
      <c r="AV79" s="149">
        <f>SUM(AU79/1000)*15*'2025 CA Single Zone Calculator'!K2</f>
        <v>0</v>
      </c>
      <c r="AW79" s="146"/>
    </row>
    <row r="80" spans="1:49" x14ac:dyDescent="0.25">
      <c r="A80" s="147" t="s">
        <v>306</v>
      </c>
      <c r="B80" s="147">
        <v>10</v>
      </c>
      <c r="C80" s="147">
        <v>0</v>
      </c>
      <c r="D80" s="147">
        <v>0</v>
      </c>
      <c r="F80" s="147" t="s">
        <v>240</v>
      </c>
      <c r="G80" s="148">
        <f>IF(OR('2022 CA Single Zone Calculator'!H6="economizer",'2022 CA Single Zone Calculator'!H7="economizer",'2022 CA Single Zone Calculator'!H8="economizer"),0.15,0.25)</f>
        <v>0.15</v>
      </c>
      <c r="H80" s="149"/>
      <c r="I80" s="146" t="str">
        <f>IF(G80=0.15,"Title 24: CO2 Sensor required","")</f>
        <v>Title 24: CO2 Sensor required</v>
      </c>
      <c r="K80" s="147" t="s">
        <v>240</v>
      </c>
      <c r="L80" s="148">
        <f>IF(OR('2022 CA Multi-Zone Calculator'!H6="economizer",'2022 CA Multi-Zone Calculator'!H7="economizer",'2022 CA Multi-Zone Calculator'!H8="economizer"),0.15,0.25)</f>
        <v>0.15</v>
      </c>
      <c r="M80" s="149"/>
      <c r="N80" s="146" t="str">
        <f>IF(L80=0.15,"Title 24: CO2 Sensor required","")</f>
        <v>Title 24: CO2 Sensor required</v>
      </c>
      <c r="S80" s="147" t="s">
        <v>369</v>
      </c>
      <c r="T80" s="147">
        <v>15</v>
      </c>
      <c r="U80" s="147">
        <v>10</v>
      </c>
      <c r="V80" s="147">
        <v>0.18</v>
      </c>
      <c r="Z80" s="147" t="s">
        <v>240</v>
      </c>
      <c r="AA80" s="148">
        <v>0.2</v>
      </c>
      <c r="AB80" s="149">
        <f>SUM(AA80*'2025 CA Single Zone Calculator'!D2)</f>
        <v>280</v>
      </c>
      <c r="AC80" s="146" t="str">
        <f>IF(AA80=0.15,"Title 24: CO2 Sensor required","")</f>
        <v/>
      </c>
      <c r="AE80" s="147" t="s">
        <v>240</v>
      </c>
      <c r="AF80" s="148">
        <v>0.2</v>
      </c>
      <c r="AG80" s="149"/>
      <c r="AH80" s="146" t="str">
        <f>IF(AF80=0.15,"Title 24: CO2 Sensor required","")</f>
        <v/>
      </c>
      <c r="AM80" s="147" t="s">
        <v>240</v>
      </c>
      <c r="AN80" s="148">
        <v>17</v>
      </c>
      <c r="AO80" s="149">
        <f>SUM(AN80/1000)*15*'2025 CA Single Zone Calculator'!D2</f>
        <v>357</v>
      </c>
      <c r="AP80" s="146" t="str">
        <f>IF(AN80=0.15,"Title 24: CO2 Sensor required","")</f>
        <v/>
      </c>
      <c r="AT80" s="147" t="s">
        <v>240</v>
      </c>
      <c r="AU80" s="148">
        <v>17</v>
      </c>
      <c r="AV80" s="149">
        <f>SUM(AU80/1000)*15*'2025 CA Single Zone Calculator'!K2</f>
        <v>0</v>
      </c>
      <c r="AW80" s="146" t="str">
        <f>IF(AU80=0.15,"Title 24: CO2 Sensor required","")</f>
        <v/>
      </c>
    </row>
    <row r="81" spans="1:49" x14ac:dyDescent="0.25">
      <c r="A81" s="147" t="s">
        <v>128</v>
      </c>
      <c r="B81" s="151">
        <v>10</v>
      </c>
      <c r="C81" s="151">
        <v>0.06</v>
      </c>
      <c r="D81" s="151">
        <v>0</v>
      </c>
      <c r="F81" s="147" t="s">
        <v>241</v>
      </c>
      <c r="G81" s="148">
        <f>IF(OR('2022 CA Single Zone Calculator'!H6="economizer",'2022 CA Single Zone Calculator'!H7="economizer",'2022 CA Single Zone Calculator'!H8="economizer"),0.2,0.25)</f>
        <v>0.2</v>
      </c>
      <c r="H81" s="149"/>
      <c r="I81" s="146" t="str">
        <f>IF(G81=0.2,"Title 24: CO2 Sensor required","")</f>
        <v>Title 24: CO2 Sensor required</v>
      </c>
      <c r="K81" s="147" t="s">
        <v>241</v>
      </c>
      <c r="L81" s="148">
        <f>IF(OR('2022 CA Multi-Zone Calculator'!H6="economizer",'2022 CA Multi-Zone Calculator'!H7="economizer",'2022 CA Multi-Zone Calculator'!H8="economizer"),0.2,0.25)</f>
        <v>0.2</v>
      </c>
      <c r="M81" s="149"/>
      <c r="N81" s="146" t="str">
        <f>IF(L81=0.2,"Title 24: CO2 Sensor required","")</f>
        <v>Title 24: CO2 Sensor required</v>
      </c>
      <c r="S81" s="147" t="s">
        <v>370</v>
      </c>
      <c r="T81" s="147">
        <v>5</v>
      </c>
      <c r="U81" s="147">
        <v>5</v>
      </c>
      <c r="V81" s="147">
        <v>0.12</v>
      </c>
      <c r="Z81" s="147" t="s">
        <v>241</v>
      </c>
      <c r="AA81" s="148">
        <v>0.25</v>
      </c>
      <c r="AB81" s="149">
        <f>SUM(AA81*'2025 CA Single Zone Calculator'!D2)</f>
        <v>350</v>
      </c>
      <c r="AC81" s="146" t="str">
        <f>IF(AA81=0.2,"Title 24: CO2 Sensor required","")</f>
        <v/>
      </c>
      <c r="AE81" s="147" t="s">
        <v>241</v>
      </c>
      <c r="AF81" s="148">
        <v>0.25</v>
      </c>
      <c r="AG81" s="149"/>
      <c r="AH81" s="146" t="str">
        <f>IF(AF81=0.2,"Title 24: CO2 Sensor required","")</f>
        <v/>
      </c>
      <c r="AM81" s="147" t="s">
        <v>241</v>
      </c>
      <c r="AN81" s="148">
        <v>17</v>
      </c>
      <c r="AO81" s="149">
        <f>SUM(AN81/1000)*15*'2025 CA Single Zone Calculator'!D2</f>
        <v>357</v>
      </c>
      <c r="AP81" s="146" t="str">
        <f>IF(AN81=0.2,"Title 24: CO2 Sensor required","")</f>
        <v/>
      </c>
      <c r="AT81" s="147" t="s">
        <v>241</v>
      </c>
      <c r="AU81" s="148">
        <v>17</v>
      </c>
      <c r="AV81" s="149">
        <f>SUM(AU81/1000)*15*'2025 CA Single Zone Calculator'!K2</f>
        <v>0</v>
      </c>
      <c r="AW81" s="146" t="str">
        <f>IF(AU81=0.2,"Title 24: CO2 Sensor required","")</f>
        <v/>
      </c>
    </row>
    <row r="82" spans="1:49" x14ac:dyDescent="0.25">
      <c r="A82" s="147"/>
      <c r="B82" s="164"/>
      <c r="C82" s="164"/>
      <c r="D82" s="164"/>
      <c r="F82" s="147" t="s">
        <v>242</v>
      </c>
      <c r="G82" s="148">
        <v>0.3</v>
      </c>
      <c r="H82" s="149"/>
      <c r="I82" s="146"/>
      <c r="K82" s="147" t="s">
        <v>242</v>
      </c>
      <c r="L82" s="148">
        <v>0.3</v>
      </c>
      <c r="M82" s="149"/>
      <c r="N82" s="146"/>
      <c r="S82" s="147" t="s">
        <v>371</v>
      </c>
      <c r="T82" s="147">
        <v>20</v>
      </c>
      <c r="U82" s="147">
        <v>10</v>
      </c>
      <c r="V82" s="147">
        <v>0.18</v>
      </c>
      <c r="Z82" s="147" t="s">
        <v>242</v>
      </c>
      <c r="AA82" s="148">
        <v>0.3</v>
      </c>
      <c r="AB82" s="149">
        <f>SUM(AA82*'2025 CA Single Zone Calculator'!D2)</f>
        <v>420</v>
      </c>
      <c r="AC82" s="146"/>
      <c r="AE82" s="147" t="s">
        <v>242</v>
      </c>
      <c r="AF82" s="148">
        <v>0.3</v>
      </c>
      <c r="AG82" s="149"/>
      <c r="AH82" s="146"/>
      <c r="AM82" s="147" t="s">
        <v>242</v>
      </c>
      <c r="AN82" s="148">
        <v>17</v>
      </c>
      <c r="AO82" s="149">
        <f>SUM(AN82/1000)*15*'2025 CA Single Zone Calculator'!D2</f>
        <v>357</v>
      </c>
      <c r="AP82" s="146"/>
      <c r="AT82" s="147" t="s">
        <v>242</v>
      </c>
      <c r="AU82" s="148">
        <v>17</v>
      </c>
      <c r="AV82" s="149">
        <f>SUM(AU82/1000)*15*'2025 CA Single Zone Calculator'!K2</f>
        <v>0</v>
      </c>
      <c r="AW82" s="146"/>
    </row>
    <row r="83" spans="1:49" x14ac:dyDescent="0.25">
      <c r="A83" s="150" t="s">
        <v>172</v>
      </c>
      <c r="F83" s="147"/>
      <c r="G83" s="148"/>
      <c r="H83" s="149"/>
      <c r="I83" s="146"/>
      <c r="K83" s="147"/>
      <c r="L83" s="148"/>
      <c r="M83" s="149"/>
      <c r="N83" s="146"/>
      <c r="S83" s="147" t="s">
        <v>372</v>
      </c>
      <c r="T83" s="147">
        <v>20</v>
      </c>
      <c r="U83" s="147">
        <v>7.5</v>
      </c>
      <c r="V83" s="147">
        <v>0.12</v>
      </c>
      <c r="Z83" s="147"/>
      <c r="AA83" s="148"/>
      <c r="AB83" s="149"/>
      <c r="AC83" s="146"/>
      <c r="AE83" s="147"/>
      <c r="AF83" s="148"/>
      <c r="AG83" s="149"/>
      <c r="AH83" s="146"/>
      <c r="AM83" s="147"/>
      <c r="AN83" s="148"/>
      <c r="AO83" s="149"/>
      <c r="AP83" s="146"/>
      <c r="AT83" s="147"/>
      <c r="AU83" s="148"/>
      <c r="AV83" s="149"/>
      <c r="AW83" s="146"/>
    </row>
    <row r="84" spans="1:49" x14ac:dyDescent="0.25">
      <c r="A84" s="147" t="s">
        <v>10</v>
      </c>
      <c r="B84" s="147">
        <v>5</v>
      </c>
      <c r="C84" s="147">
        <v>0.06</v>
      </c>
      <c r="D84" s="147">
        <v>150</v>
      </c>
      <c r="F84" s="158" t="s">
        <v>269</v>
      </c>
      <c r="G84" s="159"/>
      <c r="H84" s="159"/>
      <c r="I84" s="159"/>
      <c r="K84" s="158" t="s">
        <v>269</v>
      </c>
      <c r="L84" s="159"/>
      <c r="M84" s="159"/>
      <c r="N84" s="159"/>
      <c r="S84" s="146" t="s">
        <v>373</v>
      </c>
      <c r="T84" s="147">
        <v>5</v>
      </c>
      <c r="U84" s="147">
        <v>5</v>
      </c>
      <c r="V84" s="147">
        <v>0.06</v>
      </c>
      <c r="Z84" s="158" t="s">
        <v>269</v>
      </c>
      <c r="AA84" s="159"/>
      <c r="AB84" s="159"/>
      <c r="AC84" s="159"/>
      <c r="AE84" s="158" t="s">
        <v>269</v>
      </c>
      <c r="AF84" s="159"/>
      <c r="AG84" s="159"/>
      <c r="AH84" s="159"/>
      <c r="AM84" s="158" t="s">
        <v>269</v>
      </c>
      <c r="AN84" s="159"/>
      <c r="AO84" s="159"/>
      <c r="AP84" s="159"/>
      <c r="AT84" s="158" t="s">
        <v>269</v>
      </c>
      <c r="AU84" s="159"/>
      <c r="AV84" s="159"/>
      <c r="AW84" s="159"/>
    </row>
    <row r="85" spans="1:49" x14ac:dyDescent="0.25">
      <c r="A85" s="147" t="s">
        <v>149</v>
      </c>
      <c r="B85" s="147">
        <v>10</v>
      </c>
      <c r="C85" s="147">
        <v>0.06</v>
      </c>
      <c r="D85" s="147">
        <v>70</v>
      </c>
      <c r="F85" s="147" t="s">
        <v>243</v>
      </c>
      <c r="G85" s="148">
        <f>IF(OR('2022 CA Single Zone Calculator'!H6="economizer",'2022 CA Single Zone Calculator'!H7="economizer",'2022 CA Single Zone Calculator'!H8="economizer"),0.15,0.5)</f>
        <v>0.15</v>
      </c>
      <c r="H85" s="149"/>
      <c r="I85" s="146" t="str">
        <f>IF(G85=0.15,"Title 24: CO2 Sensor required","")</f>
        <v>Title 24: CO2 Sensor required</v>
      </c>
      <c r="K85" s="147" t="s">
        <v>243</v>
      </c>
      <c r="L85" s="148">
        <f>IF(OR('2022 CA Multi-Zone Calculator'!H6="economizer",'2022 CA Multi-Zone Calculator'!H7="economizer",'2022 CA Multi-Zone Calculator'!H8="economizer"),0.15,0.5)</f>
        <v>0.15</v>
      </c>
      <c r="M85" s="149"/>
      <c r="N85" s="146" t="str">
        <f>IF(L85=0.15,"Title 24: CO2 Sensor required","")</f>
        <v>Title 24: CO2 Sensor required</v>
      </c>
      <c r="S85" s="147" t="s">
        <v>374</v>
      </c>
      <c r="T85" s="147">
        <v>7</v>
      </c>
      <c r="U85" s="147">
        <v>20</v>
      </c>
      <c r="V85" s="147">
        <v>0.18</v>
      </c>
      <c r="Z85" s="147" t="s">
        <v>243</v>
      </c>
      <c r="AA85" s="148">
        <v>0.15</v>
      </c>
      <c r="AB85" s="149">
        <f>SUM(AA85*'2025 CA Single Zone Calculator'!D6)</f>
        <v>345</v>
      </c>
      <c r="AC85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85" s="147" t="s">
        <v>243</v>
      </c>
      <c r="AF85" s="148">
        <v>0.15</v>
      </c>
      <c r="AG85" s="149"/>
      <c r="AH85" s="146" t="str">
        <f>IF(AF85=0.15,"Title 24: CO2 Sensor required","")</f>
        <v>Title 24: CO2 Sensor required</v>
      </c>
      <c r="AM85" s="147" t="s">
        <v>243</v>
      </c>
      <c r="AN85" s="148">
        <v>10</v>
      </c>
      <c r="AO85" s="149">
        <f>SUM(AN85/1000)*15*'2025 CA Single Zone Calculator'!D2</f>
        <v>210</v>
      </c>
      <c r="AP85" s="146" t="s">
        <v>513</v>
      </c>
      <c r="AT85" s="147" t="s">
        <v>243</v>
      </c>
      <c r="AU85" s="148">
        <v>10</v>
      </c>
      <c r="AV85" s="149">
        <f>SUM(AU85/1000)*15*'2025 CA Single Zone Calculator'!K2</f>
        <v>0</v>
      </c>
      <c r="AW85" s="146" t="s">
        <v>513</v>
      </c>
    </row>
    <row r="86" spans="1:49" x14ac:dyDescent="0.25">
      <c r="A86" s="147" t="s">
        <v>150</v>
      </c>
      <c r="B86" s="147">
        <v>5</v>
      </c>
      <c r="C86" s="147">
        <v>0.06</v>
      </c>
      <c r="D86" s="147">
        <v>60</v>
      </c>
      <c r="F86" s="147" t="s">
        <v>244</v>
      </c>
      <c r="G86" s="148">
        <f>IF(OR('2022 CA Single Zone Calculator'!H6="economizer",'2022 CA Single Zone Calculator'!H7="economizer",'2022 CA Single Zone Calculator'!H8="economizer"),0.15,0.5)</f>
        <v>0.15</v>
      </c>
      <c r="H86" s="149"/>
      <c r="I86" s="146" t="str">
        <f>IF(G86=0.15,"Title 24: CO2 Sensor required","")</f>
        <v>Title 24: CO2 Sensor required</v>
      </c>
      <c r="K86" s="147" t="s">
        <v>244</v>
      </c>
      <c r="L86" s="148">
        <f>IF(OR('2022 CA Multi-Zone Calculator'!H6="economizer",'2022 CA Multi-Zone Calculator'!H7="economizer",'2022 CA Multi-Zone Calculator'!H8="economizer"),0.15,0.5)</f>
        <v>0.15</v>
      </c>
      <c r="M86" s="149"/>
      <c r="N86" s="146" t="str">
        <f>IF(L86=0.15,"Title 24: CO2 Sensor required","")</f>
        <v>Title 24: CO2 Sensor required</v>
      </c>
      <c r="S86" s="147" t="s">
        <v>375</v>
      </c>
      <c r="T86" s="151">
        <v>20</v>
      </c>
      <c r="U86" s="151">
        <v>10</v>
      </c>
      <c r="V86" s="151">
        <v>0.06</v>
      </c>
      <c r="Z86" s="147" t="s">
        <v>244</v>
      </c>
      <c r="AA86" s="148">
        <v>0.15</v>
      </c>
      <c r="AB86" s="149">
        <f>SUM(AA86*'2025 CA Single Zone Calculator'!D2)</f>
        <v>210</v>
      </c>
      <c r="AC86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86" s="147" t="s">
        <v>244</v>
      </c>
      <c r="AF86" s="148">
        <v>0.15</v>
      </c>
      <c r="AG86" s="149"/>
      <c r="AH86" s="146" t="str">
        <f>IF(AF86=0.15,"Title 24: CO2 Sensor required","")</f>
        <v>Title 24: CO2 Sensor required</v>
      </c>
      <c r="AM86" s="147" t="s">
        <v>244</v>
      </c>
      <c r="AN86" s="148">
        <v>33</v>
      </c>
      <c r="AO86" s="149">
        <f>SUM(AN86/1000)*15*'2025 CA Single Zone Calculator'!D2</f>
        <v>693</v>
      </c>
      <c r="AP86" s="146" t="s">
        <v>513</v>
      </c>
      <c r="AT86" s="147" t="s">
        <v>244</v>
      </c>
      <c r="AU86" s="148">
        <v>33</v>
      </c>
      <c r="AV86" s="149">
        <f>SUM(AU86/1000)*15*'2025 CA Single Zone Calculator'!K2</f>
        <v>0</v>
      </c>
      <c r="AW86" s="146" t="s">
        <v>513</v>
      </c>
    </row>
    <row r="87" spans="1:49" x14ac:dyDescent="0.25">
      <c r="A87" s="147"/>
      <c r="B87" s="162"/>
      <c r="C87" s="162"/>
      <c r="D87" s="162"/>
      <c r="F87" s="147" t="s">
        <v>245</v>
      </c>
      <c r="G87" s="148">
        <v>0.15</v>
      </c>
      <c r="H87" s="149"/>
      <c r="I87" s="146"/>
      <c r="K87" s="147" t="s">
        <v>245</v>
      </c>
      <c r="L87" s="148">
        <v>0.15</v>
      </c>
      <c r="M87" s="149"/>
      <c r="N87" s="146"/>
      <c r="S87" s="147" t="s">
        <v>376</v>
      </c>
      <c r="T87" s="147">
        <v>0</v>
      </c>
      <c r="U87" s="147">
        <v>0</v>
      </c>
      <c r="V87" s="147">
        <v>0.48</v>
      </c>
      <c r="Z87" s="147" t="s">
        <v>245</v>
      </c>
      <c r="AA87" s="148">
        <v>0.15</v>
      </c>
      <c r="AB87" s="149">
        <f>SUM(AA87*'2025 CA Single Zone Calculator'!D2)</f>
        <v>210</v>
      </c>
      <c r="AC87" s="146"/>
      <c r="AE87" s="147" t="s">
        <v>245</v>
      </c>
      <c r="AF87" s="148">
        <v>0.15</v>
      </c>
      <c r="AG87" s="149"/>
      <c r="AH87" s="146"/>
      <c r="AM87" s="147" t="s">
        <v>245</v>
      </c>
      <c r="AN87" s="148">
        <v>10</v>
      </c>
      <c r="AO87" s="149">
        <f>SUM(AN87/1000)*15*'2025 CA Single Zone Calculator'!D2</f>
        <v>210</v>
      </c>
      <c r="AP87" s="146"/>
      <c r="AT87" s="147" t="s">
        <v>245</v>
      </c>
      <c r="AU87" s="148">
        <v>10</v>
      </c>
      <c r="AV87" s="149">
        <f>SUM(AU87/1000)*15*'2025 CA Single Zone Calculator'!K2</f>
        <v>0</v>
      </c>
      <c r="AW87" s="146"/>
    </row>
    <row r="88" spans="1:49" x14ac:dyDescent="0.25">
      <c r="A88" s="150" t="s">
        <v>173</v>
      </c>
      <c r="F88" s="147" t="s">
        <v>246</v>
      </c>
      <c r="G88" s="148">
        <f>IF(OR('2022 CA Single Zone Calculator'!H6="economizer",'2022 CA Single Zone Calculator'!H7="economizer",'2022 CA Single Zone Calculator'!H8="economizer"),0.15,0.5)</f>
        <v>0.15</v>
      </c>
      <c r="H88" s="149"/>
      <c r="I88" s="146" t="str">
        <f>IF(G88=0.15,"Title 24: CO2 Sensor required","")</f>
        <v>Title 24: CO2 Sensor required</v>
      </c>
      <c r="K88" s="147" t="s">
        <v>246</v>
      </c>
      <c r="L88" s="148">
        <f>IF(OR('2022 CA Multi-Zone Calculator'!H6="economizer",'2022 CA Multi-Zone Calculator'!H7="economizer",'2022 CA Multi-Zone Calculator'!H8="economizer"),0.15,0.5)</f>
        <v>0.15</v>
      </c>
      <c r="M88" s="149"/>
      <c r="N88" s="146" t="str">
        <f>IF(L88=0.15,"Title 24: CO2 Sensor required","")</f>
        <v>Title 24: CO2 Sensor required</v>
      </c>
      <c r="S88" s="146" t="s">
        <v>377</v>
      </c>
      <c r="T88" s="147">
        <v>20</v>
      </c>
      <c r="U88" s="147">
        <v>10</v>
      </c>
      <c r="V88" s="147">
        <v>0.18</v>
      </c>
      <c r="Z88" s="147" t="s">
        <v>246</v>
      </c>
      <c r="AA88" s="148">
        <v>0.15</v>
      </c>
      <c r="AB88" s="149">
        <f>SUM(AA88*'2025 CA Single Zone Calculator'!D2)</f>
        <v>210</v>
      </c>
      <c r="AC88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88" s="147" t="s">
        <v>246</v>
      </c>
      <c r="AF88" s="148">
        <v>0.15</v>
      </c>
      <c r="AG88" s="149"/>
      <c r="AH88" s="146" t="str">
        <f>IF(AF88=0.15,"Title 24: CO2 Sensor required","")</f>
        <v>Title 24: CO2 Sensor required</v>
      </c>
      <c r="AM88" s="147" t="s">
        <v>246</v>
      </c>
      <c r="AN88" s="148">
        <v>33</v>
      </c>
      <c r="AO88" s="149">
        <f>SUM(AN88/1000)*15*'2025 CA Single Zone Calculator'!D2</f>
        <v>693</v>
      </c>
      <c r="AP88" s="146" t="s">
        <v>513</v>
      </c>
      <c r="AT88" s="147" t="s">
        <v>246</v>
      </c>
      <c r="AU88" s="148">
        <v>33</v>
      </c>
      <c r="AV88" s="149">
        <f>SUM(AU88/1000)*15*'2025 CA Single Zone Calculator'!K2</f>
        <v>0</v>
      </c>
      <c r="AW88" s="146" t="s">
        <v>513</v>
      </c>
    </row>
    <row r="89" spans="1:49" x14ac:dyDescent="0.25">
      <c r="A89" s="147" t="s">
        <v>153</v>
      </c>
      <c r="B89" s="147">
        <v>7.5</v>
      </c>
      <c r="C89" s="147">
        <v>0.06</v>
      </c>
      <c r="D89" s="147">
        <v>25</v>
      </c>
      <c r="F89" s="147" t="s">
        <v>247</v>
      </c>
      <c r="G89" s="148">
        <f>IF(OR('2022 CA Single Zone Calculator'!H6="economizer",'2022 CA Single Zone Calculator'!H7="economizer",'2022 CA Single Zone Calculator'!H8="economizer"),0.15,1.5)</f>
        <v>0.15</v>
      </c>
      <c r="H89" s="149"/>
      <c r="I89" s="146" t="str">
        <f>IF(G89=0.15,"Title 24: CO2 Sensor required","")</f>
        <v>Title 24: CO2 Sensor required</v>
      </c>
      <c r="K89" s="147" t="s">
        <v>247</v>
      </c>
      <c r="L89" s="148">
        <f>IF(OR('2022 CA Multi-Zone Calculator'!H6="economizer",'2022 CA Multi-Zone Calculator'!H7="economizer",'2022 CA Multi-Zone Calculator'!H8="economizer"),0.15,1.5)</f>
        <v>0.15</v>
      </c>
      <c r="M89" s="149"/>
      <c r="N89" s="146" t="str">
        <f>IF(L89=0.15,"Title 24: CO2 Sensor required","")</f>
        <v>Title 24: CO2 Sensor required</v>
      </c>
      <c r="S89" s="147" t="s">
        <v>378</v>
      </c>
      <c r="T89" s="147">
        <v>20</v>
      </c>
      <c r="U89" s="147">
        <v>5</v>
      </c>
      <c r="V89" s="147">
        <v>0.06</v>
      </c>
      <c r="Z89" s="147" t="s">
        <v>247</v>
      </c>
      <c r="AA89" s="148">
        <v>0.15</v>
      </c>
      <c r="AB89" s="149">
        <f>SUM(AA89*'2025 CA Single Zone Calculator'!D2)</f>
        <v>210</v>
      </c>
      <c r="AC89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89" s="147" t="s">
        <v>247</v>
      </c>
      <c r="AF89" s="148">
        <v>0.15</v>
      </c>
      <c r="AG89" s="149"/>
      <c r="AH89" s="146" t="str">
        <f>IF(AF89=0.15,"Title 24: CO2 Sensor required","")</f>
        <v>Title 24: CO2 Sensor required</v>
      </c>
      <c r="AM89" s="147" t="s">
        <v>247</v>
      </c>
      <c r="AN89" s="148">
        <v>100</v>
      </c>
      <c r="AO89" s="149">
        <f>SUM(AN89/1000)*15*'2025 CA Single Zone Calculator'!D2</f>
        <v>2100</v>
      </c>
      <c r="AP89" s="146" t="s">
        <v>513</v>
      </c>
      <c r="AT89" s="147" t="s">
        <v>247</v>
      </c>
      <c r="AU89" s="148">
        <v>100</v>
      </c>
      <c r="AV89" s="149">
        <f>SUM(AU89/1000)*15*'2025 CA Single Zone Calculator'!K2</f>
        <v>0</v>
      </c>
      <c r="AW89" s="146" t="s">
        <v>513</v>
      </c>
    </row>
    <row r="90" spans="1:49" x14ac:dyDescent="0.25">
      <c r="A90" s="147" t="s">
        <v>154</v>
      </c>
      <c r="B90" s="147">
        <v>20</v>
      </c>
      <c r="C90" s="147">
        <v>0.12</v>
      </c>
      <c r="D90" s="147">
        <v>25</v>
      </c>
      <c r="F90" s="147" t="s">
        <v>248</v>
      </c>
      <c r="G90" s="148">
        <v>0.15</v>
      </c>
      <c r="H90" s="149"/>
      <c r="I90" s="146"/>
      <c r="K90" s="147" t="s">
        <v>248</v>
      </c>
      <c r="L90" s="148">
        <v>0.15</v>
      </c>
      <c r="M90" s="149"/>
      <c r="N90" s="146"/>
      <c r="S90" s="147" t="s">
        <v>379</v>
      </c>
      <c r="T90" s="147">
        <v>20</v>
      </c>
      <c r="U90" s="147">
        <v>5</v>
      </c>
      <c r="V90" s="147">
        <v>0.06</v>
      </c>
      <c r="Z90" s="147" t="s">
        <v>248</v>
      </c>
      <c r="AA90" s="148">
        <v>0.15</v>
      </c>
      <c r="AB90" s="149">
        <f>SUM(AA90*'2025 CA Single Zone Calculator'!D10)</f>
        <v>0</v>
      </c>
      <c r="AC90" s="146"/>
      <c r="AE90" s="147" t="s">
        <v>248</v>
      </c>
      <c r="AF90" s="148">
        <v>0.15</v>
      </c>
      <c r="AG90" s="149"/>
      <c r="AH90" s="146"/>
      <c r="AM90" s="147" t="s">
        <v>248</v>
      </c>
      <c r="AN90" s="148">
        <v>10</v>
      </c>
      <c r="AO90" s="149">
        <f>SUM(AN90/1000)*15*'2025 CA Single Zone Calculator'!D2</f>
        <v>210</v>
      </c>
      <c r="AP90" s="146"/>
      <c r="AT90" s="147" t="s">
        <v>248</v>
      </c>
      <c r="AU90" s="148">
        <v>10</v>
      </c>
      <c r="AV90" s="149">
        <f>SUM(AU90/1000)*15*'2025 CA Single Zone Calculator'!K2</f>
        <v>0</v>
      </c>
      <c r="AW90" s="146"/>
    </row>
    <row r="91" spans="1:49" x14ac:dyDescent="0.25">
      <c r="A91" s="147" t="s">
        <v>155</v>
      </c>
      <c r="B91" s="147">
        <v>20</v>
      </c>
      <c r="C91" s="147">
        <v>0.12</v>
      </c>
      <c r="D91" s="147">
        <v>25</v>
      </c>
      <c r="F91" s="147" t="s">
        <v>249</v>
      </c>
      <c r="G91" s="148">
        <v>0.15</v>
      </c>
      <c r="H91" s="149"/>
      <c r="I91" s="146"/>
      <c r="K91" s="147" t="s">
        <v>249</v>
      </c>
      <c r="L91" s="148">
        <v>0.15</v>
      </c>
      <c r="M91" s="149"/>
      <c r="N91" s="146"/>
      <c r="S91" s="147" t="s">
        <v>380</v>
      </c>
      <c r="T91" s="147">
        <v>50</v>
      </c>
      <c r="U91" s="147">
        <v>5</v>
      </c>
      <c r="V91" s="147">
        <v>0.06</v>
      </c>
      <c r="Z91" s="147" t="s">
        <v>249</v>
      </c>
      <c r="AA91" s="148">
        <v>0.15</v>
      </c>
      <c r="AB91" s="149">
        <f>SUM(AA91*'2025 CA Single Zone Calculator'!D11)</f>
        <v>0</v>
      </c>
      <c r="AC91" s="146"/>
      <c r="AE91" s="147" t="s">
        <v>249</v>
      </c>
      <c r="AF91" s="148">
        <v>0.15</v>
      </c>
      <c r="AG91" s="149"/>
      <c r="AH91" s="146"/>
      <c r="AM91" s="147" t="s">
        <v>249</v>
      </c>
      <c r="AN91" s="148">
        <v>10</v>
      </c>
      <c r="AO91" s="149">
        <f>SUM(AN91/1000)*15*'2025 CA Single Zone Calculator'!D2</f>
        <v>210</v>
      </c>
      <c r="AP91" s="146"/>
      <c r="AT91" s="147" t="s">
        <v>249</v>
      </c>
      <c r="AU91" s="148">
        <v>10</v>
      </c>
      <c r="AV91" s="149">
        <f>SUM(AU91/1000)*15*'2025 CA Single Zone Calculator'!K2</f>
        <v>0</v>
      </c>
      <c r="AW91" s="146"/>
    </row>
    <row r="92" spans="1:49" x14ac:dyDescent="0.25">
      <c r="A92" s="147" t="s">
        <v>156</v>
      </c>
      <c r="B92" s="147">
        <v>7.5</v>
      </c>
      <c r="C92" s="147">
        <v>0.18</v>
      </c>
      <c r="D92" s="147">
        <v>10</v>
      </c>
      <c r="F92" s="147" t="s">
        <v>250</v>
      </c>
      <c r="G92" s="148">
        <f>IF(OR('2022 CA Single Zone Calculator'!H6="economizer",'2022 CA Single Zone Calculator'!H7="economizer",'2022 CA Single Zone Calculator'!H8="economizer"),0.15,1.07)</f>
        <v>0.15</v>
      </c>
      <c r="H92" s="149"/>
      <c r="I92" s="146" t="str">
        <f>IF(G92=0.15,"Title 24: CO2 Sensor required","")</f>
        <v>Title 24: CO2 Sensor required</v>
      </c>
      <c r="K92" s="147" t="s">
        <v>250</v>
      </c>
      <c r="L92" s="148">
        <f>IF(OR('2022 CA Multi-Zone Calculator'!H6="economizer",'2022 CA Multi-Zone Calculator'!H7="economizer",'2022 CA Multi-Zone Calculator'!H8="economizer"),0.15,1.07)</f>
        <v>0.15</v>
      </c>
      <c r="M92" s="149"/>
      <c r="N92" s="146" t="str">
        <f>IF(L92=0.15,"Title 24: CO2 Sensor required","")</f>
        <v>Title 24: CO2 Sensor required</v>
      </c>
      <c r="S92" s="147" t="s">
        <v>381</v>
      </c>
      <c r="T92" s="147">
        <v>5</v>
      </c>
      <c r="U92" s="147">
        <v>10</v>
      </c>
      <c r="V92" s="147">
        <v>0.06</v>
      </c>
      <c r="Z92" s="147" t="s">
        <v>250</v>
      </c>
      <c r="AA92" s="148">
        <v>0.15</v>
      </c>
      <c r="AB92" s="149">
        <f>SUM(AA92*'2025 CA Single Zone Calculator'!D2)</f>
        <v>210</v>
      </c>
      <c r="AC92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92" s="147" t="s">
        <v>250</v>
      </c>
      <c r="AF92" s="148">
        <v>0.15</v>
      </c>
      <c r="AG92" s="149"/>
      <c r="AH92" s="146" t="str">
        <f>IF(AF92=0.15,"Title 24: CO2 Sensor required","")</f>
        <v>Title 24: CO2 Sensor required</v>
      </c>
      <c r="AM92" s="147" t="s">
        <v>250</v>
      </c>
      <c r="AN92" s="148">
        <v>7</v>
      </c>
      <c r="AO92" s="149">
        <f>SUM(AN92/1000)*15*'2025 CA Single Zone Calculator'!D2</f>
        <v>147</v>
      </c>
      <c r="AP92" s="146" t="s">
        <v>513</v>
      </c>
      <c r="AT92" s="147" t="s">
        <v>250</v>
      </c>
      <c r="AU92" s="148">
        <v>7</v>
      </c>
      <c r="AV92" s="149">
        <f>SUM(AU92/1000)*15*'2025 CA Single Zone Calculator'!K2</f>
        <v>0</v>
      </c>
      <c r="AW92" s="146" t="s">
        <v>513</v>
      </c>
    </row>
    <row r="93" spans="1:49" x14ac:dyDescent="0.25">
      <c r="A93" s="147" t="s">
        <v>157</v>
      </c>
      <c r="B93" s="147">
        <v>7.5</v>
      </c>
      <c r="C93" s="147">
        <v>0.06</v>
      </c>
      <c r="D93" s="147">
        <v>8</v>
      </c>
      <c r="F93" s="147" t="s">
        <v>251</v>
      </c>
      <c r="G93" s="148">
        <f>IF(OR('2022 CA Single Zone Calculator'!H6="economizer",'2022 CA Single Zone Calculator'!H7="economizer",'2022 CA Single Zone Calculator'!H8="economizer"),0.15,0.68)</f>
        <v>0.15</v>
      </c>
      <c r="H93" s="149"/>
      <c r="I93" s="146" t="str">
        <f>IF(G93=0.15,"Title 24: CO2 Sensor required","")</f>
        <v>Title 24: CO2 Sensor required</v>
      </c>
      <c r="K93" s="147" t="s">
        <v>251</v>
      </c>
      <c r="L93" s="148">
        <f>IF(OR('2022 CA Multi-Zone Calculator'!H6="economizer",'2022 CA Multi-Zone Calculator'!H7="economizer",'2022 CA Multi-Zone Calculator'!H8="economizer"),0.15,0.68)</f>
        <v>0.15</v>
      </c>
      <c r="M93" s="149"/>
      <c r="N93" s="146" t="str">
        <f>IF(L93=0.15,"Title 24: CO2 Sensor required","")</f>
        <v>Title 24: CO2 Sensor required</v>
      </c>
      <c r="S93" s="146" t="s">
        <v>382</v>
      </c>
      <c r="T93" s="147">
        <v>20</v>
      </c>
      <c r="U93" s="147">
        <v>5</v>
      </c>
      <c r="V93" s="147">
        <v>0.06</v>
      </c>
      <c r="Z93" s="147" t="s">
        <v>251</v>
      </c>
      <c r="AA93" s="148">
        <v>0.15</v>
      </c>
      <c r="AB93" s="149">
        <f>SUM(AA93*'2025 CA Single Zone Calculator'!D2)</f>
        <v>210</v>
      </c>
      <c r="AC93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93" s="147" t="s">
        <v>251</v>
      </c>
      <c r="AF93" s="148">
        <v>0.15</v>
      </c>
      <c r="AG93" s="149"/>
      <c r="AH93" s="146" t="str">
        <f>IF(AF93=0.15,"Title 24: CO2 Sensor required","")</f>
        <v>Title 24: CO2 Sensor required</v>
      </c>
      <c r="AM93" s="147" t="s">
        <v>251</v>
      </c>
      <c r="AN93" s="148">
        <v>45</v>
      </c>
      <c r="AO93" s="149">
        <f>SUM(AN93/1000)*15*'2025 CA Single Zone Calculator'!D2</f>
        <v>944.99999999999989</v>
      </c>
      <c r="AP93" s="146" t="s">
        <v>513</v>
      </c>
      <c r="AT93" s="147" t="s">
        <v>251</v>
      </c>
      <c r="AU93" s="148">
        <v>45</v>
      </c>
      <c r="AV93" s="149">
        <f>SUM(AU93/1000)*15*'2025 CA Single Zone Calculator'!K2</f>
        <v>0</v>
      </c>
      <c r="AW93" s="146" t="s">
        <v>513</v>
      </c>
    </row>
    <row r="94" spans="1:49" x14ac:dyDescent="0.25">
      <c r="A94" s="147"/>
      <c r="B94" s="162"/>
      <c r="C94" s="162"/>
      <c r="D94" s="162"/>
      <c r="F94" s="147" t="s">
        <v>252</v>
      </c>
      <c r="G94" s="148">
        <f>IF(OR('2022 CA Single Zone Calculator'!H6="economizer",'2022 CA Single Zone Calculator'!H7="economizer",'2022 CA Single Zone Calculator'!H8="economizer"),0.15,0.68)</f>
        <v>0.15</v>
      </c>
      <c r="H94" s="149"/>
      <c r="I94" s="146" t="str">
        <f>IF(G94=0.15,"Title 24: CO2 Sensor required","")</f>
        <v>Title 24: CO2 Sensor required</v>
      </c>
      <c r="K94" s="147" t="s">
        <v>252</v>
      </c>
      <c r="L94" s="148">
        <f>IF(OR('2022 CA Multi-Zone Calculator'!H6="economizer",'2022 CA Multi-Zone Calculator'!H7="economizer",'2022 CA Multi-Zone Calculator'!H8="economizer"),0.15,0.68)</f>
        <v>0.15</v>
      </c>
      <c r="M94" s="149"/>
      <c r="N94" s="146" t="str">
        <f>IF(L94=0.15,"Title 24: CO2 Sensor required","")</f>
        <v>Title 24: CO2 Sensor required</v>
      </c>
      <c r="S94" s="147" t="s">
        <v>383</v>
      </c>
      <c r="T94" s="147">
        <v>20</v>
      </c>
      <c r="U94" s="147">
        <v>7.5</v>
      </c>
      <c r="V94" s="147">
        <v>0.12</v>
      </c>
      <c r="Z94" s="147" t="s">
        <v>252</v>
      </c>
      <c r="AA94" s="148">
        <v>0.15</v>
      </c>
      <c r="AB94" s="149">
        <f>SUM(AA94*'2025 CA Single Zone Calculator'!D2)</f>
        <v>210</v>
      </c>
      <c r="AC94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94" s="147" t="s">
        <v>252</v>
      </c>
      <c r="AF94" s="148">
        <v>0.15</v>
      </c>
      <c r="AG94" s="149"/>
      <c r="AH94" s="146" t="str">
        <f>IF(AF94=0.15,"Title 24: CO2 Sensor required","")</f>
        <v>Title 24: CO2 Sensor required</v>
      </c>
      <c r="AM94" s="147" t="s">
        <v>252</v>
      </c>
      <c r="AN94" s="148">
        <v>45</v>
      </c>
      <c r="AO94" s="149">
        <f>SUM(AN94/1000)*15*'2025 CA Single Zone Calculator'!D2</f>
        <v>944.99999999999989</v>
      </c>
      <c r="AP94" s="146" t="s">
        <v>513</v>
      </c>
      <c r="AT94" s="147" t="s">
        <v>252</v>
      </c>
      <c r="AU94" s="148">
        <v>45</v>
      </c>
      <c r="AV94" s="149">
        <f>SUM(AU94/1000)*15*'2025 CA Single Zone Calculator'!K2</f>
        <v>0</v>
      </c>
      <c r="AW94" s="146" t="s">
        <v>513</v>
      </c>
    </row>
    <row r="95" spans="1:49" x14ac:dyDescent="0.25">
      <c r="A95" s="150" t="s">
        <v>174</v>
      </c>
      <c r="F95" s="147" t="s">
        <v>253</v>
      </c>
      <c r="G95" s="148">
        <f>IF(OR('2022 CA Single Zone Calculator'!H6="economizer",'2022 CA Single Zone Calculator'!H7="economizer",'2022 CA Single Zone Calculator'!H8="economizer"),0.15,0.5)</f>
        <v>0.15</v>
      </c>
      <c r="H95" s="149"/>
      <c r="I95" s="146" t="str">
        <f>IF(G95=0.15,"Title 24: CO2 Sensor required","")</f>
        <v>Title 24: CO2 Sensor required</v>
      </c>
      <c r="K95" s="147" t="s">
        <v>253</v>
      </c>
      <c r="L95" s="148">
        <f>IF(OR('2022 CA Multi-Zone Calculator'!H6="economizer",'2022 CA Multi-Zone Calculator'!H7="economizer",'2022 CA Multi-Zone Calculator'!H8="economizer"),0.15,0.5)</f>
        <v>0.15</v>
      </c>
      <c r="M95" s="149"/>
      <c r="N95" s="146" t="str">
        <f>IF(L95=0.15,"Title 24: CO2 Sensor required","")</f>
        <v>Title 24: CO2 Sensor required</v>
      </c>
      <c r="S95" s="147" t="s">
        <v>384</v>
      </c>
      <c r="T95" s="147">
        <v>20</v>
      </c>
      <c r="U95" s="147">
        <v>5</v>
      </c>
      <c r="V95" s="147">
        <v>0.06</v>
      </c>
      <c r="Z95" s="147" t="s">
        <v>253</v>
      </c>
      <c r="AA95" s="148">
        <v>0.15</v>
      </c>
      <c r="AB95" s="149">
        <f>SUM(AA95*'2025 CA Single Zone Calculator'!D2)</f>
        <v>210</v>
      </c>
      <c r="AC95" s="146" t="str">
        <f>IF(OR('2025 CA Single Zone Calculator'!H9="economizer",'2025 CA Single Zone Calculator'!H10="economizer",'2025 CA Single Zone Calculator'!H11="economizer"),"Title 24: CO2 Sensor required","")</f>
        <v>Title 24: CO2 Sensor required</v>
      </c>
      <c r="AE95" s="147" t="s">
        <v>253</v>
      </c>
      <c r="AF95" s="148">
        <v>0.15</v>
      </c>
      <c r="AG95" s="149"/>
      <c r="AH95" s="146" t="str">
        <f>IF(AF95=0.15,"Title 24: CO2 Sensor required","")</f>
        <v>Title 24: CO2 Sensor required</v>
      </c>
      <c r="AM95" s="147" t="s">
        <v>253</v>
      </c>
      <c r="AN95" s="148">
        <v>33</v>
      </c>
      <c r="AO95" s="149">
        <f>SUM(AN95/1000)*15*'2025 CA Single Zone Calculator'!D2</f>
        <v>693</v>
      </c>
      <c r="AP95" s="146" t="s">
        <v>513</v>
      </c>
      <c r="AT95" s="147" t="s">
        <v>253</v>
      </c>
      <c r="AU95" s="148">
        <v>33</v>
      </c>
      <c r="AV95" s="149">
        <f>SUM(AU95/1000)*15*'2025 CA Single Zone Calculator'!K2</f>
        <v>0</v>
      </c>
      <c r="AW95" s="146" t="s">
        <v>513</v>
      </c>
    </row>
    <row r="96" spans="1:49" x14ac:dyDescent="0.25">
      <c r="A96" s="147" t="s">
        <v>151</v>
      </c>
      <c r="B96" s="147">
        <v>7.5</v>
      </c>
      <c r="C96" s="147">
        <v>0.06</v>
      </c>
      <c r="D96" s="147">
        <v>100</v>
      </c>
      <c r="S96" s="147" t="s">
        <v>385</v>
      </c>
      <c r="T96" s="147">
        <v>20</v>
      </c>
      <c r="U96" s="147">
        <v>7.5</v>
      </c>
      <c r="V96" s="147">
        <v>0.18</v>
      </c>
      <c r="AM96" s="142"/>
      <c r="AN96" s="142"/>
      <c r="AO96" s="142"/>
      <c r="AP96" s="142"/>
      <c r="AT96" s="142"/>
      <c r="AU96" s="142"/>
      <c r="AV96" s="142"/>
      <c r="AW96" s="142"/>
    </row>
    <row r="97" spans="1:49" x14ac:dyDescent="0.25">
      <c r="A97" s="147" t="s">
        <v>152</v>
      </c>
      <c r="B97" s="147">
        <v>7.5</v>
      </c>
      <c r="C97" s="147">
        <v>0.06</v>
      </c>
      <c r="D97" s="147">
        <v>100</v>
      </c>
      <c r="S97" s="147" t="s">
        <v>386</v>
      </c>
      <c r="T97" s="147">
        <v>20</v>
      </c>
      <c r="U97" s="147">
        <v>10</v>
      </c>
      <c r="V97" s="147">
        <v>0.18</v>
      </c>
      <c r="AM97" s="142"/>
      <c r="AN97" s="142"/>
      <c r="AO97" s="142"/>
      <c r="AP97" s="142"/>
      <c r="AT97" s="142"/>
      <c r="AU97" s="142"/>
      <c r="AV97" s="142"/>
      <c r="AW97" s="142"/>
    </row>
    <row r="98" spans="1:49" x14ac:dyDescent="0.25">
      <c r="A98" s="147"/>
      <c r="B98" s="162"/>
      <c r="C98" s="162"/>
      <c r="D98" s="162"/>
      <c r="F98" s="95" t="s">
        <v>259</v>
      </c>
      <c r="G98">
        <f>INDEX(I1:I95,MATCH('2022 CA Single Zone Calculator'!B2,'Calculation Tables'!F1:F95,0))</f>
        <v>0</v>
      </c>
      <c r="K98" s="95" t="s">
        <v>259</v>
      </c>
      <c r="L98">
        <f>INDEX(N1:N95,MATCH('2022 CA Multi-Zone Calculator'!B3,K1:K95,0))</f>
        <v>0</v>
      </c>
      <c r="S98" s="147"/>
      <c r="T98" s="147"/>
      <c r="U98" s="147"/>
      <c r="V98" s="147"/>
      <c r="Z98" s="95" t="s">
        <v>259</v>
      </c>
      <c r="AA98">
        <f>INDEX(AC1:AC95,MATCH('2025 CA Single Zone Calculator'!B2,Z1:Z95,0))</f>
        <v>0</v>
      </c>
      <c r="AE98" s="95" t="s">
        <v>259</v>
      </c>
      <c r="AF98">
        <f>INDEX(AH1:AH95,MATCH('2025 CA Multi-Zone Calculator'!B3,AE1:AE95,0))</f>
        <v>0</v>
      </c>
      <c r="AM98" s="95" t="s">
        <v>259</v>
      </c>
      <c r="AN98">
        <f>INDEX(AP1:AP95,MATCH('2025 CA Single Zone Calculator'!B2,AM1:AM95,0))</f>
        <v>0</v>
      </c>
      <c r="AO98" s="142"/>
      <c r="AP98" s="142"/>
      <c r="AT98" s="95" t="s">
        <v>259</v>
      </c>
      <c r="AU98">
        <f>INDEX(AW1:AW95,MATCH('2025 CA Multi-Zone Calculator'!B3,AT1:AT95,0))</f>
        <v>0</v>
      </c>
      <c r="AV98" s="142"/>
      <c r="AW98" s="142"/>
    </row>
    <row r="99" spans="1:49" x14ac:dyDescent="0.25">
      <c r="A99" s="150" t="s">
        <v>175</v>
      </c>
      <c r="F99" s="95"/>
      <c r="G99"/>
      <c r="K99" s="95" t="s">
        <v>276</v>
      </c>
      <c r="L99">
        <f>INDEX(N1:N95,MATCH('2022 CA Multi-Zone Calculator'!B4,K1:K95,0))</f>
        <v>0</v>
      </c>
      <c r="S99" s="150" t="s">
        <v>387</v>
      </c>
      <c r="T99" s="147"/>
      <c r="U99" s="147"/>
      <c r="V99" s="147"/>
      <c r="Z99" s="95"/>
      <c r="AA99"/>
      <c r="AE99" s="95" t="s">
        <v>276</v>
      </c>
      <c r="AF99">
        <f>INDEX(AH1:AH95,MATCH('2025 CA Multi-Zone Calculator'!B4,AE1:AE95,0))</f>
        <v>0</v>
      </c>
      <c r="AT99" s="95" t="s">
        <v>276</v>
      </c>
      <c r="AU99">
        <f>INDEX(AW1:AW95,MATCH('2025 CA Multi-Zone Calculator'!B4,AT1:AT95,0))</f>
        <v>0</v>
      </c>
    </row>
    <row r="100" spans="1:49" x14ac:dyDescent="0.25">
      <c r="A100" s="147" t="s">
        <v>307</v>
      </c>
      <c r="B100" s="147">
        <v>7.5</v>
      </c>
      <c r="C100" s="147">
        <v>0.06</v>
      </c>
      <c r="D100" s="147">
        <v>50</v>
      </c>
      <c r="F100" s="95"/>
      <c r="G100"/>
      <c r="K100" s="95" t="s">
        <v>277</v>
      </c>
      <c r="L100">
        <f>INDEX(N1:N95,MATCH('2022 CA Multi-Zone Calculator'!B5,K1:K95,0))</f>
        <v>0</v>
      </c>
      <c r="S100" s="146" t="s">
        <v>200</v>
      </c>
      <c r="T100" s="147">
        <v>0</v>
      </c>
      <c r="U100" s="147">
        <v>0</v>
      </c>
      <c r="V100" s="147">
        <v>0.06</v>
      </c>
      <c r="Z100" s="95"/>
      <c r="AA100"/>
      <c r="AE100" s="95" t="s">
        <v>277</v>
      </c>
      <c r="AF100">
        <f>INDEX(AH1:AH95,MATCH('2025 CA Multi-Zone Calculator'!B5,AE1:AE95,0))</f>
        <v>0</v>
      </c>
      <c r="AT100" s="95" t="s">
        <v>277</v>
      </c>
      <c r="AU100">
        <f>INDEX(AW1:AW95,MATCH('2025 CA Multi-Zone Calculator'!B5,AT1:AT95,0))</f>
        <v>0</v>
      </c>
    </row>
    <row r="101" spans="1:49" x14ac:dyDescent="0.25">
      <c r="A101" s="147" t="s">
        <v>158</v>
      </c>
      <c r="B101" s="147">
        <v>5</v>
      </c>
      <c r="C101" s="147">
        <v>0.12</v>
      </c>
      <c r="D101" s="147">
        <v>25</v>
      </c>
      <c r="F101" s="95"/>
      <c r="G101"/>
      <c r="K101" s="95" t="s">
        <v>278</v>
      </c>
      <c r="L101">
        <f>INDEX(N1:N95,MATCH('2022 CA Multi-Zone Calculator'!B6,K1:K95,0))</f>
        <v>0</v>
      </c>
      <c r="S101" s="147" t="s">
        <v>229</v>
      </c>
      <c r="T101" s="147">
        <v>70</v>
      </c>
      <c r="U101" s="147">
        <v>5</v>
      </c>
      <c r="V101" s="147">
        <v>0.06</v>
      </c>
      <c r="Z101" s="95"/>
      <c r="AA101"/>
      <c r="AE101" s="95" t="s">
        <v>278</v>
      </c>
      <c r="AF101">
        <f>INDEX(AH1:AH95,MATCH('2025 CA Multi-Zone Calculator'!B6,AE1:AE95,0))</f>
        <v>0</v>
      </c>
      <c r="AT101" s="95" t="s">
        <v>278</v>
      </c>
      <c r="AU101">
        <f>INDEX(AW1:AW95,MATCH('2025 CA Multi-Zone Calculator'!B6,AT1:AT95,0))</f>
        <v>0</v>
      </c>
    </row>
    <row r="102" spans="1:49" x14ac:dyDescent="0.25">
      <c r="A102" s="147" t="s">
        <v>159</v>
      </c>
      <c r="B102" s="147">
        <v>5</v>
      </c>
      <c r="C102" s="147">
        <v>0.12</v>
      </c>
      <c r="D102" s="147">
        <v>25</v>
      </c>
      <c r="F102" s="95"/>
      <c r="G102"/>
      <c r="K102" s="95" t="s">
        <v>279</v>
      </c>
      <c r="L102">
        <f>INDEX(N1:N95,MATCH('2022 CA Multi-Zone Calculator'!B7,K1:K95,0))</f>
        <v>0</v>
      </c>
      <c r="S102" s="147" t="s">
        <v>230</v>
      </c>
      <c r="T102" s="147">
        <v>50</v>
      </c>
      <c r="U102" s="147">
        <v>5</v>
      </c>
      <c r="V102" s="147">
        <v>0.06</v>
      </c>
      <c r="Z102" s="95"/>
      <c r="AA102"/>
      <c r="AE102" s="95" t="s">
        <v>279</v>
      </c>
      <c r="AF102">
        <f>INDEX(AH1:AH95,MATCH('2025 CA Multi-Zone Calculator'!B7,AE1:AE95,0))</f>
        <v>0</v>
      </c>
      <c r="AT102" s="95" t="s">
        <v>279</v>
      </c>
      <c r="AU102">
        <f>INDEX(AW1:AW95,MATCH('2025 CA Multi-Zone Calculator'!B7,AT1:AT95,0))</f>
        <v>0</v>
      </c>
    </row>
    <row r="103" spans="1:49" x14ac:dyDescent="0.25">
      <c r="A103" s="147" t="s">
        <v>160</v>
      </c>
      <c r="B103" s="147">
        <v>5</v>
      </c>
      <c r="C103" s="147">
        <v>0.06</v>
      </c>
      <c r="D103" s="147">
        <v>30</v>
      </c>
      <c r="S103" s="147" t="s">
        <v>388</v>
      </c>
      <c r="T103" s="147">
        <v>10</v>
      </c>
      <c r="U103" s="147">
        <v>5</v>
      </c>
      <c r="V103" s="147">
        <v>0.12</v>
      </c>
    </row>
    <row r="104" spans="1:49" x14ac:dyDescent="0.25">
      <c r="A104" s="147" t="s">
        <v>161</v>
      </c>
      <c r="B104" s="151">
        <v>5</v>
      </c>
      <c r="C104" s="151">
        <v>0.06</v>
      </c>
      <c r="D104" s="151">
        <v>15</v>
      </c>
      <c r="S104" s="146" t="s">
        <v>233</v>
      </c>
      <c r="T104" s="147">
        <v>40</v>
      </c>
      <c r="U104" s="147">
        <v>7.5</v>
      </c>
      <c r="V104" s="147">
        <v>0.12</v>
      </c>
    </row>
    <row r="105" spans="1:49" x14ac:dyDescent="0.25">
      <c r="S105" s="147" t="s">
        <v>234</v>
      </c>
      <c r="T105" s="147">
        <v>40</v>
      </c>
      <c r="U105" s="147">
        <v>7.5</v>
      </c>
      <c r="V105" s="147">
        <v>0.06</v>
      </c>
    </row>
    <row r="106" spans="1:49" x14ac:dyDescent="0.25">
      <c r="E106" s="142" t="s">
        <v>323</v>
      </c>
      <c r="S106" s="147" t="s">
        <v>228</v>
      </c>
      <c r="T106" s="147">
        <v>120</v>
      </c>
      <c r="U106" s="147">
        <v>5</v>
      </c>
      <c r="V106" s="147">
        <v>0.06</v>
      </c>
    </row>
    <row r="107" spans="1:49" x14ac:dyDescent="0.25">
      <c r="A107" t="s">
        <v>308</v>
      </c>
      <c r="E107" t="s">
        <v>308</v>
      </c>
      <c r="S107" s="147" t="s">
        <v>389</v>
      </c>
      <c r="T107" s="147">
        <v>70</v>
      </c>
      <c r="U107" s="147">
        <v>60</v>
      </c>
      <c r="V107" s="147">
        <v>0</v>
      </c>
    </row>
    <row r="108" spans="1:49" x14ac:dyDescent="0.25">
      <c r="A108" t="s">
        <v>133</v>
      </c>
      <c r="E108" t="s">
        <v>419</v>
      </c>
      <c r="S108" s="147"/>
      <c r="T108" s="147"/>
      <c r="U108" s="147"/>
      <c r="V108" s="147"/>
    </row>
    <row r="109" spans="1:49" x14ac:dyDescent="0.25">
      <c r="A109" t="s">
        <v>134</v>
      </c>
      <c r="E109" s="142" t="s">
        <v>420</v>
      </c>
      <c r="S109" s="150" t="s">
        <v>390</v>
      </c>
      <c r="T109" s="151"/>
      <c r="U109" s="151"/>
      <c r="V109" s="151"/>
    </row>
    <row r="110" spans="1:49" x14ac:dyDescent="0.25">
      <c r="A110" t="s">
        <v>135</v>
      </c>
      <c r="E110" s="142" t="s">
        <v>421</v>
      </c>
      <c r="S110" s="174" t="s">
        <v>237</v>
      </c>
      <c r="T110" s="174">
        <v>40</v>
      </c>
      <c r="U110" s="174">
        <v>7.5</v>
      </c>
      <c r="V110" s="174">
        <v>0.06</v>
      </c>
    </row>
    <row r="111" spans="1:49" x14ac:dyDescent="0.25">
      <c r="A111" t="s">
        <v>285</v>
      </c>
      <c r="E111" s="142" t="s">
        <v>65</v>
      </c>
      <c r="S111" s="174" t="s">
        <v>391</v>
      </c>
      <c r="T111" s="174">
        <v>15</v>
      </c>
      <c r="U111" s="174">
        <v>7.5</v>
      </c>
      <c r="V111" s="174">
        <v>0.12</v>
      </c>
    </row>
    <row r="112" spans="1:49" x14ac:dyDescent="0.25">
      <c r="A112" t="s">
        <v>284</v>
      </c>
      <c r="E112" s="142" t="s">
        <v>422</v>
      </c>
      <c r="S112" s="174" t="s">
        <v>392</v>
      </c>
      <c r="T112" s="174">
        <v>2</v>
      </c>
      <c r="U112" s="174">
        <v>10</v>
      </c>
      <c r="V112" s="174">
        <v>0.12</v>
      </c>
    </row>
    <row r="113" spans="1:22" x14ac:dyDescent="0.25">
      <c r="A113" t="s">
        <v>136</v>
      </c>
      <c r="E113" s="142" t="s">
        <v>423</v>
      </c>
      <c r="S113" s="174" t="s">
        <v>389</v>
      </c>
      <c r="T113" s="174">
        <v>70</v>
      </c>
      <c r="U113" s="174">
        <v>60</v>
      </c>
      <c r="V113" s="174">
        <v>0</v>
      </c>
    </row>
    <row r="114" spans="1:22" x14ac:dyDescent="0.25">
      <c r="A114" t="s">
        <v>286</v>
      </c>
      <c r="E114" s="142" t="s">
        <v>424</v>
      </c>
      <c r="S114" s="174" t="s">
        <v>393</v>
      </c>
      <c r="T114" s="174">
        <v>0</v>
      </c>
      <c r="U114" s="174">
        <v>0</v>
      </c>
      <c r="V114" s="174">
        <v>0.12</v>
      </c>
    </row>
    <row r="115" spans="1:22" x14ac:dyDescent="0.25">
      <c r="A115" t="s">
        <v>287</v>
      </c>
      <c r="E115" s="142" t="s">
        <v>425</v>
      </c>
      <c r="S115" s="174" t="s">
        <v>225</v>
      </c>
      <c r="T115" s="174">
        <v>0</v>
      </c>
      <c r="U115" s="174">
        <v>10</v>
      </c>
      <c r="V115" s="174">
        <v>0.06</v>
      </c>
    </row>
    <row r="116" spans="1:22" x14ac:dyDescent="0.25">
      <c r="A116" t="s">
        <v>288</v>
      </c>
      <c r="E116" s="142" t="s">
        <v>426</v>
      </c>
    </row>
    <row r="117" spans="1:22" x14ac:dyDescent="0.25">
      <c r="A117" t="s">
        <v>289</v>
      </c>
      <c r="E117" s="142" t="s">
        <v>427</v>
      </c>
      <c r="S117" s="175" t="s">
        <v>394</v>
      </c>
    </row>
    <row r="118" spans="1:22" x14ac:dyDescent="0.25">
      <c r="A118" t="s">
        <v>290</v>
      </c>
      <c r="E118" s="142" t="s">
        <v>428</v>
      </c>
      <c r="S118" s="162" t="s">
        <v>395</v>
      </c>
      <c r="T118" s="162">
        <v>15</v>
      </c>
      <c r="U118" s="162">
        <v>7.5</v>
      </c>
      <c r="V118" s="162">
        <v>0.06</v>
      </c>
    </row>
    <row r="119" spans="1:22" x14ac:dyDescent="0.25">
      <c r="A119" t="s">
        <v>291</v>
      </c>
      <c r="E119" s="142" t="s">
        <v>429</v>
      </c>
      <c r="S119" s="162" t="s">
        <v>396</v>
      </c>
      <c r="T119" s="162">
        <v>25</v>
      </c>
      <c r="U119" s="162">
        <v>7.5</v>
      </c>
      <c r="V119" s="162">
        <v>0.06</v>
      </c>
    </row>
    <row r="120" spans="1:22" x14ac:dyDescent="0.25">
      <c r="A120" t="s">
        <v>292</v>
      </c>
      <c r="E120" s="142" t="s">
        <v>90</v>
      </c>
      <c r="S120" s="162" t="s">
        <v>397</v>
      </c>
      <c r="T120" s="162">
        <v>25</v>
      </c>
      <c r="U120" s="162">
        <v>20</v>
      </c>
      <c r="V120" s="162">
        <v>0.12</v>
      </c>
    </row>
    <row r="121" spans="1:22" x14ac:dyDescent="0.25">
      <c r="A121" t="s">
        <v>293</v>
      </c>
      <c r="E121" s="142" t="s">
        <v>430</v>
      </c>
      <c r="S121" s="162" t="s">
        <v>398</v>
      </c>
      <c r="T121" s="162">
        <v>25</v>
      </c>
      <c r="U121" s="162">
        <v>20</v>
      </c>
      <c r="V121" s="162">
        <v>0.12</v>
      </c>
    </row>
    <row r="122" spans="1:22" x14ac:dyDescent="0.25">
      <c r="E122" s="142" t="s">
        <v>431</v>
      </c>
      <c r="S122" s="162" t="s">
        <v>240</v>
      </c>
      <c r="T122" s="162">
        <v>10</v>
      </c>
      <c r="U122" s="162">
        <v>7.5</v>
      </c>
      <c r="V122" s="162">
        <v>0.18</v>
      </c>
    </row>
    <row r="123" spans="1:22" x14ac:dyDescent="0.25">
      <c r="E123" s="142" t="s">
        <v>92</v>
      </c>
      <c r="S123" s="162" t="s">
        <v>399</v>
      </c>
      <c r="T123" s="162">
        <v>8</v>
      </c>
      <c r="U123" s="162">
        <v>7.5</v>
      </c>
      <c r="V123" s="162">
        <v>0.06</v>
      </c>
    </row>
    <row r="125" spans="1:22" x14ac:dyDescent="0.25">
      <c r="S125" s="175" t="s">
        <v>400</v>
      </c>
    </row>
    <row r="126" spans="1:22" x14ac:dyDescent="0.25">
      <c r="S126" s="162" t="s">
        <v>401</v>
      </c>
      <c r="T126">
        <v>40</v>
      </c>
      <c r="U126">
        <v>10</v>
      </c>
      <c r="V126">
        <v>0.12</v>
      </c>
    </row>
    <row r="127" spans="1:22" x14ac:dyDescent="0.25">
      <c r="S127" s="162" t="s">
        <v>247</v>
      </c>
      <c r="T127">
        <v>100</v>
      </c>
      <c r="U127">
        <v>20</v>
      </c>
      <c r="V127">
        <v>0.06</v>
      </c>
    </row>
    <row r="128" spans="1:22" x14ac:dyDescent="0.25">
      <c r="S128" s="162" t="s">
        <v>483</v>
      </c>
      <c r="T128">
        <v>120</v>
      </c>
      <c r="U128">
        <v>7.5</v>
      </c>
      <c r="V128">
        <v>0.18</v>
      </c>
    </row>
    <row r="129" spans="19:22" x14ac:dyDescent="0.25">
      <c r="S129" s="162" t="s">
        <v>252</v>
      </c>
      <c r="T129">
        <v>20</v>
      </c>
      <c r="U129">
        <v>7.5</v>
      </c>
      <c r="V129">
        <v>0.18</v>
      </c>
    </row>
    <row r="130" spans="19:22" x14ac:dyDescent="0.25">
      <c r="S130" s="162" t="s">
        <v>402</v>
      </c>
      <c r="T130">
        <v>7</v>
      </c>
      <c r="U130">
        <v>20</v>
      </c>
      <c r="V130">
        <v>0.18</v>
      </c>
    </row>
    <row r="131" spans="19:22" x14ac:dyDescent="0.25">
      <c r="S131" s="162" t="s">
        <v>248</v>
      </c>
      <c r="T131">
        <v>40</v>
      </c>
      <c r="U131">
        <v>20</v>
      </c>
      <c r="V131">
        <v>0.06</v>
      </c>
    </row>
    <row r="132" spans="19:22" x14ac:dyDescent="0.25">
      <c r="S132" s="162" t="s">
        <v>403</v>
      </c>
      <c r="T132">
        <v>10</v>
      </c>
      <c r="U132">
        <v>20</v>
      </c>
      <c r="V132">
        <v>0.06</v>
      </c>
    </row>
    <row r="133" spans="19:22" x14ac:dyDescent="0.25">
      <c r="S133" s="162" t="s">
        <v>404</v>
      </c>
      <c r="T133">
        <v>0</v>
      </c>
      <c r="U133">
        <v>0</v>
      </c>
      <c r="V133">
        <v>0.3</v>
      </c>
    </row>
    <row r="134" spans="19:22" x14ac:dyDescent="0.25">
      <c r="S134" s="162" t="s">
        <v>405</v>
      </c>
      <c r="T134">
        <v>150</v>
      </c>
      <c r="U134">
        <v>7.5</v>
      </c>
      <c r="V134">
        <v>0.06</v>
      </c>
    </row>
    <row r="135" spans="19:22" x14ac:dyDescent="0.25">
      <c r="S135" s="162" t="s">
        <v>406</v>
      </c>
      <c r="T135">
        <v>0</v>
      </c>
      <c r="U135">
        <v>0</v>
      </c>
      <c r="V135">
        <v>0.48</v>
      </c>
    </row>
    <row r="137" spans="19:22" x14ac:dyDescent="0.25">
      <c r="S137" s="175" t="s">
        <v>407</v>
      </c>
    </row>
    <row r="138" spans="19:22" x14ac:dyDescent="0.25">
      <c r="S138" s="162" t="s">
        <v>408</v>
      </c>
      <c r="T138">
        <v>0</v>
      </c>
      <c r="U138">
        <v>10</v>
      </c>
      <c r="V138">
        <v>0</v>
      </c>
    </row>
    <row r="139" spans="19:22" x14ac:dyDescent="0.25">
      <c r="S139" s="162" t="s">
        <v>225</v>
      </c>
      <c r="T139">
        <v>0</v>
      </c>
      <c r="U139">
        <v>10</v>
      </c>
      <c r="V139">
        <v>0.06</v>
      </c>
    </row>
    <row r="141" spans="19:22" x14ac:dyDescent="0.25">
      <c r="S141" s="175" t="s">
        <v>409</v>
      </c>
    </row>
    <row r="142" spans="19:22" x14ac:dyDescent="0.25">
      <c r="S142" s="162" t="s">
        <v>347</v>
      </c>
      <c r="T142" s="162">
        <v>150</v>
      </c>
      <c r="U142" s="162">
        <v>5</v>
      </c>
      <c r="V142" s="162">
        <v>0.06</v>
      </c>
    </row>
    <row r="143" spans="19:22" x14ac:dyDescent="0.25">
      <c r="S143" s="162" t="s">
        <v>232</v>
      </c>
      <c r="T143">
        <v>150</v>
      </c>
      <c r="U143">
        <v>5</v>
      </c>
      <c r="V143">
        <v>0.06</v>
      </c>
    </row>
    <row r="144" spans="19:22" x14ac:dyDescent="0.25">
      <c r="S144" s="162" t="s">
        <v>253</v>
      </c>
      <c r="T144">
        <v>70</v>
      </c>
      <c r="U144">
        <v>10</v>
      </c>
      <c r="V144">
        <v>0.06</v>
      </c>
    </row>
    <row r="145" spans="19:22" x14ac:dyDescent="0.25">
      <c r="S145" s="162" t="s">
        <v>410</v>
      </c>
      <c r="T145">
        <v>60</v>
      </c>
      <c r="U145">
        <v>5</v>
      </c>
      <c r="V145">
        <v>0.06</v>
      </c>
    </row>
    <row r="147" spans="19:22" x14ac:dyDescent="0.25">
      <c r="S147" s="175" t="s">
        <v>411</v>
      </c>
    </row>
    <row r="148" spans="19:22" x14ac:dyDescent="0.25">
      <c r="S148" s="162" t="s">
        <v>412</v>
      </c>
      <c r="T148">
        <v>100</v>
      </c>
      <c r="U148">
        <v>7.5</v>
      </c>
      <c r="V148">
        <v>0.06</v>
      </c>
    </row>
    <row r="149" spans="19:22" x14ac:dyDescent="0.25">
      <c r="S149" s="162" t="s">
        <v>224</v>
      </c>
      <c r="T149">
        <v>100</v>
      </c>
      <c r="U149">
        <v>7.5</v>
      </c>
      <c r="V149">
        <v>0.06</v>
      </c>
    </row>
    <row r="151" spans="19:22" x14ac:dyDescent="0.25">
      <c r="S151" s="175" t="s">
        <v>413</v>
      </c>
    </row>
    <row r="152" spans="19:22" x14ac:dyDescent="0.25">
      <c r="S152" t="s">
        <v>214</v>
      </c>
      <c r="T152">
        <v>5</v>
      </c>
      <c r="U152">
        <v>5</v>
      </c>
      <c r="V152">
        <v>0.06</v>
      </c>
    </row>
    <row r="153" spans="19:22" x14ac:dyDescent="0.25">
      <c r="S153" t="s">
        <v>414</v>
      </c>
      <c r="T153">
        <v>4</v>
      </c>
      <c r="U153">
        <v>5</v>
      </c>
      <c r="V153">
        <v>0.06</v>
      </c>
    </row>
    <row r="154" spans="19:22" x14ac:dyDescent="0.25">
      <c r="S154" t="s">
        <v>415</v>
      </c>
      <c r="T154">
        <v>4</v>
      </c>
      <c r="U154">
        <v>5</v>
      </c>
      <c r="V154">
        <v>0.06</v>
      </c>
    </row>
    <row r="155" spans="19:22" x14ac:dyDescent="0.25">
      <c r="S155" t="s">
        <v>416</v>
      </c>
      <c r="T155">
        <v>7</v>
      </c>
      <c r="U155">
        <v>10</v>
      </c>
      <c r="V155">
        <v>0.18</v>
      </c>
    </row>
    <row r="156" spans="19:22" x14ac:dyDescent="0.25">
      <c r="S156" t="s">
        <v>417</v>
      </c>
      <c r="T156">
        <v>7</v>
      </c>
      <c r="U156">
        <v>10</v>
      </c>
      <c r="V156">
        <v>0.18</v>
      </c>
    </row>
    <row r="157" spans="19:22" x14ac:dyDescent="0.25">
      <c r="S157" t="s">
        <v>418</v>
      </c>
      <c r="T157">
        <v>10</v>
      </c>
      <c r="U157">
        <v>15</v>
      </c>
      <c r="V157">
        <v>0</v>
      </c>
    </row>
    <row r="158" spans="19:22" x14ac:dyDescent="0.25">
      <c r="S158" t="s">
        <v>219</v>
      </c>
      <c r="T158">
        <v>10</v>
      </c>
      <c r="U158">
        <v>5</v>
      </c>
      <c r="V158">
        <v>0.18</v>
      </c>
    </row>
    <row r="159" spans="19:22" x14ac:dyDescent="0.25">
      <c r="S159" t="s">
        <v>220</v>
      </c>
      <c r="T159">
        <v>10</v>
      </c>
      <c r="U159">
        <v>5</v>
      </c>
      <c r="V159">
        <v>0.12</v>
      </c>
    </row>
    <row r="160" spans="19:22" x14ac:dyDescent="0.25">
      <c r="S160" t="s">
        <v>222</v>
      </c>
      <c r="T160">
        <v>7</v>
      </c>
      <c r="U160">
        <v>7.5</v>
      </c>
      <c r="V160">
        <v>0.12</v>
      </c>
    </row>
    <row r="161" spans="19:22" x14ac:dyDescent="0.25">
      <c r="S161" t="s">
        <v>223</v>
      </c>
      <c r="T161">
        <v>0</v>
      </c>
      <c r="U161">
        <v>0</v>
      </c>
      <c r="V161">
        <v>0</v>
      </c>
    </row>
  </sheetData>
  <mergeCells count="2">
    <mergeCell ref="A1:D1"/>
    <mergeCell ref="S1:V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996B-5179-462F-B34A-3B14A11936CB}">
  <dimension ref="A1:L18"/>
  <sheetViews>
    <sheetView workbookViewId="0">
      <selection activeCell="B2" sqref="B2"/>
    </sheetView>
  </sheetViews>
  <sheetFormatPr defaultRowHeight="15" x14ac:dyDescent="0.25"/>
  <cols>
    <col min="1" max="1" width="16.28515625" customWidth="1"/>
    <col min="2" max="2" width="30.140625" customWidth="1"/>
    <col min="3" max="3" width="23.28515625" customWidth="1"/>
    <col min="4" max="4" width="16.28515625" customWidth="1"/>
    <col min="6" max="6" width="11.5703125" customWidth="1"/>
    <col min="7" max="7" width="10.42578125" customWidth="1"/>
    <col min="8" max="8" width="21.7109375" customWidth="1"/>
    <col min="9" max="9" width="12.42578125" customWidth="1"/>
    <col min="12" max="12" width="0" hidden="1" customWidth="1"/>
  </cols>
  <sheetData>
    <row r="1" spans="1:12" ht="15.75" thickBot="1" x14ac:dyDescent="0.3">
      <c r="A1" s="117" t="s">
        <v>283</v>
      </c>
      <c r="B1" s="288" t="s">
        <v>320</v>
      </c>
      <c r="C1" s="289"/>
      <c r="D1" s="290"/>
    </row>
    <row r="2" spans="1:12" ht="45" customHeight="1" thickBot="1" x14ac:dyDescent="0.3">
      <c r="A2" s="167" t="s">
        <v>314</v>
      </c>
      <c r="B2" s="171" t="s">
        <v>211</v>
      </c>
      <c r="C2" s="172" t="s">
        <v>57</v>
      </c>
      <c r="D2" s="173">
        <v>1400</v>
      </c>
      <c r="E2" s="109" t="s">
        <v>258</v>
      </c>
      <c r="F2" s="24"/>
      <c r="G2" s="24"/>
    </row>
    <row r="3" spans="1:12" ht="15.75" customHeight="1" thickBot="1" x14ac:dyDescent="0.3">
      <c r="A3" s="293" t="s">
        <v>322</v>
      </c>
      <c r="B3" s="327" t="str">
        <f>IF(OR(H6="economizer",H7="economizer",H8="economizer"),"MIN. VENTILATION AIR RATE FOR DCV (Ra):","TOTAL OUTDOOR AIRFLOW RATE (Rt):")</f>
        <v>MIN. VENTILATION AIR RATE FOR DCV (Ra):</v>
      </c>
      <c r="C3" s="328"/>
      <c r="D3" s="119">
        <f>INDEX(CARa,MATCH(B2,'Calculation Tables'!F2:F95,0))</f>
        <v>0.15</v>
      </c>
      <c r="F3" s="26"/>
      <c r="G3" s="27" t="s">
        <v>47</v>
      </c>
      <c r="H3" s="176" t="s">
        <v>42</v>
      </c>
      <c r="I3" s="26"/>
    </row>
    <row r="4" spans="1:12" ht="15.75" customHeight="1" thickBot="1" x14ac:dyDescent="0.3">
      <c r="A4" s="294"/>
      <c r="B4" s="309" t="s">
        <v>255</v>
      </c>
      <c r="C4" s="299"/>
      <c r="D4" s="35">
        <f>SUM(D3*D2)</f>
        <v>210</v>
      </c>
      <c r="F4" s="26"/>
      <c r="G4" s="26"/>
      <c r="H4" s="26"/>
      <c r="I4" s="26"/>
    </row>
    <row r="5" spans="1:12" ht="15.75" customHeight="1" thickBot="1" x14ac:dyDescent="0.3">
      <c r="A5" s="294"/>
      <c r="B5" s="318" t="s">
        <v>52</v>
      </c>
      <c r="C5" s="301"/>
      <c r="D5" s="36">
        <f>SUM(I6:I8)</f>
        <v>2300</v>
      </c>
      <c r="F5" s="102" t="s">
        <v>29</v>
      </c>
      <c r="G5" s="104" t="s">
        <v>43</v>
      </c>
      <c r="H5" s="102" t="s">
        <v>48</v>
      </c>
      <c r="I5" s="102" t="s">
        <v>49</v>
      </c>
      <c r="L5" t="s">
        <v>314</v>
      </c>
    </row>
    <row r="6" spans="1:12" ht="15.75" thickBot="1" x14ac:dyDescent="0.3">
      <c r="A6" s="294"/>
      <c r="B6" s="139" t="s">
        <v>53</v>
      </c>
      <c r="C6" s="302" t="str">
        <f>IF(D4&gt;D5,""&amp;D5&amp;" CFM &lt; "&amp;D4&amp;" CFM, THEREFORE NG",IF(D4&lt;D5,""&amp;D5&amp;" CFM &gt; "&amp;D4&amp;" CFM, THEREFORE OK",0))</f>
        <v>2300 CFM &gt; 210 CFM, THEREFORE OK</v>
      </c>
      <c r="D6" s="303"/>
      <c r="F6" s="101" t="s">
        <v>36</v>
      </c>
      <c r="G6" s="103">
        <v>2</v>
      </c>
      <c r="H6" s="105" t="s">
        <v>31</v>
      </c>
      <c r="I6" s="106">
        <f>IF(H3="bard",INDEX(bardindex,MATCH(F6,bardsize,0),MATCH(H6,bardvent,0))*G6,IF(H3="RTU",INDEX(rturef,MATCH(F6,rtusize,0),MATCH(H6,rtuvent,0))*G6,IF(H3="MARVAIR",INDEX(marairref,MATCH(F6,marvairsize,0),MATCH(H6,marvairvent,0))*G6,0)))</f>
        <v>2300</v>
      </c>
      <c r="L6" t="s">
        <v>310</v>
      </c>
    </row>
    <row r="7" spans="1:12" x14ac:dyDescent="0.25">
      <c r="A7" s="294"/>
      <c r="F7" s="101" t="s">
        <v>27</v>
      </c>
      <c r="G7" s="28">
        <v>0</v>
      </c>
      <c r="H7" s="105" t="s">
        <v>44</v>
      </c>
      <c r="I7" s="97">
        <f>IF(H3="bard",INDEX(bardindex,MATCH(F7,bardsize,0),MATCH(H7,bardvent,0))*G7,IF(H3="RTU",INDEX(rturef,MATCH(F7,rtusize,0),MATCH(H7,rtuvent,0))*G7,IF(H3="MARVAIR",INDEX(marairref,MATCH(F7,marvairsize,0),MATCH(H7,marvairvent,0))*G7,0)))</f>
        <v>0</v>
      </c>
      <c r="L7" t="s">
        <v>312</v>
      </c>
    </row>
    <row r="8" spans="1:12" ht="15" customHeight="1" thickBot="1" x14ac:dyDescent="0.3">
      <c r="A8" s="294"/>
      <c r="F8" s="107" t="s">
        <v>27</v>
      </c>
      <c r="G8" s="99">
        <v>0</v>
      </c>
      <c r="H8" s="124" t="s">
        <v>44</v>
      </c>
      <c r="I8" s="100">
        <f>IF(H3="bard",INDEX(bardindex,MATCH(F8,bardsize,0),MATCH(H8,bardvent,0))*G8,IF(H3="RTU",INDEX(rturef,MATCH(F8,rtusize,0),MATCH(H8,rtuvent,0))*G8,IF(H3="MARVAIR",INDEX(marairref,MATCH(F8,marvairsize,0),MATCH(H8,marvairvent,0))*G8,0)))</f>
        <v>0</v>
      </c>
      <c r="L8" t="s">
        <v>313</v>
      </c>
    </row>
    <row r="9" spans="1:12" ht="15" customHeight="1" x14ac:dyDescent="0.25">
      <c r="A9" s="294"/>
      <c r="B9" s="94" t="s">
        <v>256</v>
      </c>
      <c r="F9" s="320" t="str">
        <f>IF(AND(AND(G6&gt;0),(F6="5 Ton"),OR(H6="fad",H6="crv")),"Economizer Required for 5 Ton",IF(AND(AND(G7&gt;0),(F7="5 Ton"),OR(H7="fad",H7="crv")),"Economizer Required for 5 Ton",IF(AND(AND(G8&gt;0),(F8="5 Ton"),OR(H8="fad",H8="crv")),"Economizer Required for 5 Ton",IF(AND(AND(G6&gt;0),(F6="3 Ton"),OR(H6="fad",H6="crv")),"Economizer Required for 3 Ton / CEC 140.4(e)(1)",IF(AND(AND(G7&gt;0),(F7="3 Ton"),OR(H7="fad",H7="crv")),"Economizer Required for 3 Ton / CEC 140.4(e)(1)",IF(AND(AND(G8&gt;0),(F8="3 Ton"),OR(H8="fad",H8="crv")),"Economizer Required for 3 Ton / CEC 140.4(e)(1)",IF(AND(AND(G6&gt;0),(F6="3.5 Ton"),OR(H6="fad",H6="crv")),"Economizer Required for 3.5 Ton / CEC 140.4(e)(1)",IF(AND(AND(G7&gt;0),(F7="3.5 Ton"),OR(H7="fad",H7="crv")),"Economizer Required for 3.5 Ton / CEC 140.4(e)(1)",IF(AND(AND(G8&gt;0),(F8="3.5 Ton"),OR(H8="fad",H8="crv")),"Economizer Required for 3.5 Ton / CEC 140.4(e)(1)",IF(AND(AND(G6&gt;0),(F6="4 Ton"),OR(H6="fad",H6="crv")),"Economizer Required for 4 Ton / CEC 140.4(e)(1)",IF(AND(AND(G7&gt;0),(F7="4 Ton"),OR(H7="fad",H7="crv")),"Economizer Required for 4 Ton / CEC 140.4(e)(1)",IF(AND(AND(G8&gt;0),(F8="4 Ton"),OR(H8="fad",H8="crv")),"Economizer Required for 4 Ton / CEC 140.4(e)(1)",""))))))))))))</f>
        <v/>
      </c>
      <c r="G9" s="320"/>
      <c r="H9" s="320"/>
      <c r="I9" s="320"/>
      <c r="L9" t="s">
        <v>311</v>
      </c>
    </row>
    <row r="10" spans="1:12" ht="15.75" customHeight="1" x14ac:dyDescent="0.25">
      <c r="A10" s="294"/>
      <c r="B10" s="95" t="s">
        <v>254</v>
      </c>
      <c r="C10" t="s">
        <v>270</v>
      </c>
      <c r="L10" t="s">
        <v>315</v>
      </c>
    </row>
    <row r="11" spans="1:12" ht="15.75" customHeight="1" x14ac:dyDescent="0.25">
      <c r="A11" s="294"/>
      <c r="F11" s="110" t="s">
        <v>271</v>
      </c>
      <c r="G11" s="111"/>
      <c r="H11" s="111"/>
      <c r="L11" t="s">
        <v>316</v>
      </c>
    </row>
    <row r="12" spans="1:12" ht="15.75" thickBot="1" x14ac:dyDescent="0.3">
      <c r="A12" s="295"/>
      <c r="L12" t="s">
        <v>317</v>
      </c>
    </row>
    <row r="13" spans="1:12" ht="15.75" thickBot="1" x14ac:dyDescent="0.3">
      <c r="B13" s="321" t="s">
        <v>280</v>
      </c>
      <c r="C13" s="322"/>
      <c r="D13" s="323"/>
      <c r="F13" t="str" cm="1">
        <f t="array" ref="F13:F18">IF(A2=L5,OffCA,IF(A2=L6,EdCA,IF(A2=L7,GenCA,IF(A2=L8,HotCA,IF(A2=L9,FoCA,IF(A2=L10,MisCA,IF(A2=L11,PubCA,IF(A2=L12,ResCA,IF(A2=L13,RetCA,IF(A2=L14,SporCA,0))))))))))</f>
        <v>Breakrooms</v>
      </c>
      <c r="L13" t="s">
        <v>318</v>
      </c>
    </row>
    <row r="14" spans="1:12" ht="15.75" thickBot="1" x14ac:dyDescent="0.3">
      <c r="B14" s="324" t="str">
        <f>IF('Calculation Tables'!G98="Title 24: CO2 Sensor required","CO2 Sensor required in spaces for "&amp;B2&amp;"","")</f>
        <v/>
      </c>
      <c r="C14" s="325"/>
      <c r="D14" s="326"/>
      <c r="F14" t="str">
        <v>Main entry lobbies</v>
      </c>
      <c r="L14" t="s">
        <v>319</v>
      </c>
    </row>
    <row r="15" spans="1:12" x14ac:dyDescent="0.25">
      <c r="F15" t="str">
        <v>Occupiable storage rooms for dry materials</v>
      </c>
    </row>
    <row r="16" spans="1:12" x14ac:dyDescent="0.25">
      <c r="F16" t="str">
        <v>Office space</v>
      </c>
    </row>
    <row r="17" spans="6:6" x14ac:dyDescent="0.25">
      <c r="F17" t="str">
        <v>Reception areas</v>
      </c>
    </row>
    <row r="18" spans="6:6" x14ac:dyDescent="0.25">
      <c r="F18" t="str">
        <v>Telephone/data entry</v>
      </c>
    </row>
  </sheetData>
  <mergeCells count="9">
    <mergeCell ref="F9:I9"/>
    <mergeCell ref="B13:D13"/>
    <mergeCell ref="B14:D14"/>
    <mergeCell ref="A3:A12"/>
    <mergeCell ref="B1:D1"/>
    <mergeCell ref="B3:C3"/>
    <mergeCell ref="B4:C4"/>
    <mergeCell ref="B5:C5"/>
    <mergeCell ref="C6:D6"/>
  </mergeCells>
  <conditionalFormatting sqref="B14">
    <cfRule type="containsText" dxfId="11" priority="2" operator="containsText" text="co2">
      <formula>NOT(ISERROR(SEARCH("co2",B14)))</formula>
    </cfRule>
  </conditionalFormatting>
  <conditionalFormatting sqref="C6">
    <cfRule type="containsText" dxfId="10" priority="3" operator="containsText" text="NG">
      <formula>NOT(ISERROR(SEARCH("NG",C6)))</formula>
    </cfRule>
  </conditionalFormatting>
  <conditionalFormatting sqref="F9:I9">
    <cfRule type="containsText" dxfId="9" priority="1" operator="containsText" text="economizer">
      <formula>NOT(ISERROR(SEARCH("economizer",F9)))</formula>
    </cfRule>
  </conditionalFormatting>
  <dataValidations count="7">
    <dataValidation type="list" allowBlank="1" showInputMessage="1" showErrorMessage="1" sqref="H6:H8" xr:uid="{A097DDCB-4F31-438C-B041-9190FE2A7353}">
      <formula1>bardvent</formula1>
    </dataValidation>
    <dataValidation type="list" allowBlank="1" showInputMessage="1" showErrorMessage="1" sqref="F7" xr:uid="{C2C5A59F-AFA7-438A-8A7B-C10B8276D81B}">
      <formula1>IF(H3="bard",bardsize,IF(H3="rtu",rtusize,IF(H3="marvair",marvairsize,0)))</formula1>
    </dataValidation>
    <dataValidation type="list" allowBlank="1" showInputMessage="1" showErrorMessage="1" sqref="F6" xr:uid="{2B092F8B-DCA6-4D0B-B2CD-A58DFA7C3288}">
      <formula1>IF(H3="bard",bardsize,IF(H3="rtu",rtusize,IF(H3="marvair",marvairsize,0)))</formula1>
    </dataValidation>
    <dataValidation type="list" allowBlank="1" showInputMessage="1" showErrorMessage="1" sqref="F8" xr:uid="{10793922-E4F3-4935-9C9B-327CE2CBBC25}">
      <formula1>IF(H3="bard",bardsize,IF(H3="rtu",rtusize,IF(H3="marvair",marvairsize,0)))</formula1>
    </dataValidation>
    <dataValidation type="list" allowBlank="1" showInputMessage="1" showErrorMessage="1" sqref="B2" xr:uid="{6D184CAF-7135-4281-9CA6-E123C7B24D2C}">
      <formula1>IF(A2=L5,OffCA,IF(A2=L6,EdCA,IF(A2=L7,GenCA,IF(A2=L8,HotCA,IF(A2=L9,FoCA,IF(A2=L10,MisCA,IF(A2=L11,PubCA,IF(A2=L12,ResCA,IF(A2=L13,RetCA,IF(A2=L14,SporCA,0))))))))))</formula1>
    </dataValidation>
    <dataValidation type="list" allowBlank="1" showInputMessage="1" showErrorMessage="1" sqref="H3" xr:uid="{06DA2052-7447-4E2B-8183-A5A88C71E125}">
      <formula1>"BARD, RTU, MARVAIR"</formula1>
    </dataValidation>
    <dataValidation type="list" allowBlank="1" showInputMessage="1" showErrorMessage="1" sqref="A2" xr:uid="{7428E917-A2AE-4F95-B268-46037F696574}">
      <formula1>$L$5:$L$14</formula1>
    </dataValidation>
  </dataValidation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C067-C90C-4FBF-8C3B-E62E28FF2294}">
  <dimension ref="A1:L22"/>
  <sheetViews>
    <sheetView workbookViewId="0">
      <selection activeCell="A3" sqref="A3"/>
    </sheetView>
  </sheetViews>
  <sheetFormatPr defaultRowHeight="15" x14ac:dyDescent="0.25"/>
  <cols>
    <col min="1" max="1" width="16.28515625" customWidth="1"/>
    <col min="2" max="2" width="30.140625" customWidth="1"/>
    <col min="3" max="3" width="21.140625" customWidth="1"/>
    <col min="4" max="4" width="21" customWidth="1"/>
    <col min="6" max="6" width="11.5703125" customWidth="1"/>
    <col min="7" max="7" width="10.42578125" customWidth="1"/>
    <col min="8" max="8" width="21.7109375" customWidth="1"/>
    <col min="9" max="9" width="12.42578125" customWidth="1"/>
    <col min="12" max="12" width="16.42578125" hidden="1" customWidth="1"/>
  </cols>
  <sheetData>
    <row r="1" spans="1:12" ht="15.75" thickBot="1" x14ac:dyDescent="0.3">
      <c r="B1" s="288" t="s">
        <v>320</v>
      </c>
      <c r="C1" s="289"/>
      <c r="D1" s="290"/>
    </row>
    <row r="2" spans="1:12" ht="45" customHeight="1" thickBot="1" x14ac:dyDescent="0.3">
      <c r="A2" s="117" t="s">
        <v>283</v>
      </c>
      <c r="B2" s="117" t="s">
        <v>275</v>
      </c>
      <c r="C2" s="29" t="s">
        <v>281</v>
      </c>
      <c r="D2" s="29" t="str">
        <f>IF(OR(H6="economizer",H7="economizer",H8="economizer"),"MIN. VENTILATION AIR RATE FOR DCV (Ra):","TOTAL OUTDOOR AIRFLOW RATE (Rt):")</f>
        <v>MIN. VENTILATION AIR RATE FOR DCV (Ra):</v>
      </c>
      <c r="E2" s="109"/>
      <c r="F2" s="24"/>
      <c r="G2" s="24"/>
    </row>
    <row r="3" spans="1:12" ht="15.75" customHeight="1" x14ac:dyDescent="0.25">
      <c r="A3" s="168" t="s">
        <v>314</v>
      </c>
      <c r="B3" s="108" t="s">
        <v>211</v>
      </c>
      <c r="C3" s="37">
        <v>0</v>
      </c>
      <c r="D3" s="119">
        <f>INDEX('Calculation Tables'!L1:L95,MATCH(B3,'Calculation Tables'!K1:K95,0))</f>
        <v>0.15</v>
      </c>
      <c r="F3" s="26"/>
      <c r="G3" s="27" t="s">
        <v>47</v>
      </c>
      <c r="H3" s="176" t="s">
        <v>42</v>
      </c>
      <c r="I3" s="26"/>
    </row>
    <row r="4" spans="1:12" ht="15.75" customHeight="1" thickBot="1" x14ac:dyDescent="0.3">
      <c r="A4" s="169" t="s">
        <v>308</v>
      </c>
      <c r="B4" s="120" t="s">
        <v>27</v>
      </c>
      <c r="C4" s="40">
        <v>0</v>
      </c>
      <c r="D4" s="33">
        <f>INDEX('Calculation Tables'!L1:L95,MATCH(B4,'Calculation Tables'!K1:K95,0))</f>
        <v>0</v>
      </c>
      <c r="F4" s="26"/>
      <c r="G4" s="26"/>
      <c r="H4" s="26"/>
      <c r="I4" s="26"/>
      <c r="L4" t="s">
        <v>308</v>
      </c>
    </row>
    <row r="5" spans="1:12" ht="15.75" customHeight="1" thickBot="1" x14ac:dyDescent="0.3">
      <c r="A5" s="169" t="s">
        <v>308</v>
      </c>
      <c r="B5" s="120" t="s">
        <v>27</v>
      </c>
      <c r="C5" s="40">
        <v>0</v>
      </c>
      <c r="D5" s="33">
        <f>INDEX('Calculation Tables'!L1:L95,MATCH(B5,'Calculation Tables'!K1:K95,0))</f>
        <v>0</v>
      </c>
      <c r="F5" s="102" t="s">
        <v>29</v>
      </c>
      <c r="G5" s="104" t="s">
        <v>43</v>
      </c>
      <c r="H5" s="102" t="s">
        <v>48</v>
      </c>
      <c r="I5" s="102" t="s">
        <v>49</v>
      </c>
      <c r="L5" t="s">
        <v>314</v>
      </c>
    </row>
    <row r="6" spans="1:12" x14ac:dyDescent="0.25">
      <c r="A6" s="169" t="s">
        <v>308</v>
      </c>
      <c r="B6" s="120" t="s">
        <v>27</v>
      </c>
      <c r="C6" s="40">
        <v>0</v>
      </c>
      <c r="D6" s="33">
        <f>INDEX('Calculation Tables'!L1:L95,MATCH(B6,'Calculation Tables'!K1:K95,0))</f>
        <v>0</v>
      </c>
      <c r="F6" s="101" t="s">
        <v>36</v>
      </c>
      <c r="G6" s="103">
        <v>2</v>
      </c>
      <c r="H6" s="105" t="s">
        <v>31</v>
      </c>
      <c r="I6" s="106">
        <f>IF(H3="bard",INDEX(bardindex,MATCH(F6,bardsize,0),MATCH(H6,bardvent,0))*G6,IF(H3="RTU",INDEX(rturef,MATCH(F6,rtusize,0),MATCH(H6,rtuvent,0))*G6,IF(H3="MARVAIR",INDEX(marairref,MATCH(F6,marvairsize,0),MATCH(H6,marvairvent,0))*G6,0)))</f>
        <v>2300</v>
      </c>
      <c r="L6" t="s">
        <v>310</v>
      </c>
    </row>
    <row r="7" spans="1:12" ht="15.75" thickBot="1" x14ac:dyDescent="0.3">
      <c r="A7" s="170" t="s">
        <v>308</v>
      </c>
      <c r="B7" s="121" t="s">
        <v>27</v>
      </c>
      <c r="C7" s="122">
        <v>0</v>
      </c>
      <c r="D7" s="123">
        <f>INDEX('Calculation Tables'!L1:L95,MATCH(B7,'Calculation Tables'!K1:K95,0))</f>
        <v>0</v>
      </c>
      <c r="F7" s="101" t="s">
        <v>27</v>
      </c>
      <c r="G7" s="28">
        <v>0</v>
      </c>
      <c r="H7" s="105" t="s">
        <v>44</v>
      </c>
      <c r="I7" s="97">
        <f>IF(H3="bard",INDEX(bardindex,MATCH(F7,bardsize,0),MATCH(H7,bardvent,0))*G7,IF(H3="RTU",INDEX(rturef,MATCH(F7,rtusize,0),MATCH(H7,rtuvent,0))*G7,IF(H3="MARVAIR",INDEX(marairref,MATCH(F7,marvairsize,0),MATCH(H7,marvairvent,0))*G7,0)))</f>
        <v>0</v>
      </c>
      <c r="L7" t="s">
        <v>312</v>
      </c>
    </row>
    <row r="8" spans="1:12" ht="15" customHeight="1" thickBot="1" x14ac:dyDescent="0.3">
      <c r="A8" s="293" t="s">
        <v>321</v>
      </c>
      <c r="B8" s="298" t="s">
        <v>255</v>
      </c>
      <c r="C8" s="299"/>
      <c r="D8" s="35">
        <f>SUM(D3*C3)+(D4*C4)+(D5*C5)+(D6*C6)+(D7*C7)</f>
        <v>0</v>
      </c>
      <c r="F8" s="107" t="s">
        <v>27</v>
      </c>
      <c r="G8" s="99">
        <v>0</v>
      </c>
      <c r="H8" s="124" t="s">
        <v>44</v>
      </c>
      <c r="I8" s="100">
        <f>IF(H3="bard",INDEX(bardindex,MATCH(F8,bardsize,0),MATCH(H8,bardvent,0))*G8,IF(H3="RTU",INDEX(rturef,MATCH(F8,rtusize,0),MATCH(H8,rtuvent,0))*G8,IF(H3="MARVAIR",INDEX(marairref,MATCH(F8,marvairsize,0),MATCH(H8,marvairvent,0))*G8,0)))</f>
        <v>0</v>
      </c>
      <c r="L8" t="s">
        <v>313</v>
      </c>
    </row>
    <row r="9" spans="1:12" ht="15" customHeight="1" thickBot="1" x14ac:dyDescent="0.3">
      <c r="A9" s="294"/>
      <c r="B9" s="300" t="s">
        <v>52</v>
      </c>
      <c r="C9" s="301"/>
      <c r="D9" s="36">
        <f>SUM(I6:I8)</f>
        <v>2300</v>
      </c>
      <c r="F9" s="320" t="str">
        <f>IF(AND(AND(G6&gt;0),(F6="5 Ton"),OR(H6="fad",H6="crv")),"Economizer Required for 5 Ton",IF(AND(AND(G7&gt;0),(F7="5 Ton"),OR(H7="fad",H7="crv")),"Economizer Required for 5 Ton",IF(AND(AND(G8&gt;0),(F8="5 Ton"),OR(H8="fad",H8="crv")),"Economizer Required for 5 Ton",IF(AND(AND(G6&gt;0),(F6="3 Ton"),OR(H6="fad",H6="crv")),"Economizer Required for 3 Ton / CEC 140.4(e)(1)",IF(AND(AND(G7&gt;0),(F7="3 Ton"),OR(H7="fad",H7="crv")),"Economizer Required for 3 Ton / CEC 140.4(e)(1)",IF(AND(AND(G8&gt;0),(F8="3 Ton"),OR(H8="fad",H8="crv")),"Economizer Required for 3 Ton / CEC 140.4(e)(1)",IF(AND(AND(G6&gt;0),(F6="3.5 Ton"),OR(H6="fad",H6="crv")),"Economizer Required for 3.5 Ton / CEC 140.4(e)(1)",IF(AND(AND(G7&gt;0),(F7="3.5 Ton"),OR(H7="fad",H7="crv")),"Economizer Required for 3.5 Ton / CEC 140.4(e)(1)",IF(AND(AND(G8&gt;0),(F8="3.5 Ton"),OR(H8="fad",H8="crv")),"Economizer Required for 3.5 Ton / CEC 140.4(e)(1)",IF(AND(AND(G6&gt;0),(F6="4 Ton"),OR(H6="fad",H6="crv")),"Economizer Required for 4 Ton / CEC 140.4(e)(1)",IF(AND(AND(G7&gt;0),(F7="4 Ton"),OR(H7="fad",H7="crv")),"Economizer Required for 4 Ton / CEC 140.4(e)(1)",IF(AND(AND(G8&gt;0),(F8="4 Ton"),OR(H8="fad",H8="crv")),"Economizer Required for 4 Ton / CEC 140.4(e)(1)",""))))))))))))</f>
        <v/>
      </c>
      <c r="G9" s="320"/>
      <c r="H9" s="320"/>
      <c r="I9" s="320"/>
      <c r="L9" t="s">
        <v>311</v>
      </c>
    </row>
    <row r="10" spans="1:12" ht="15.75" customHeight="1" thickBot="1" x14ac:dyDescent="0.3">
      <c r="A10" s="294"/>
      <c r="B10" s="25" t="s">
        <v>53</v>
      </c>
      <c r="C10" s="302" t="str">
        <f>IF(D8&gt;D9,""&amp;D9&amp;" CFM &lt; "&amp;D8&amp;" CFM, THEREFORE NG",IF(D8&lt;D9,""&amp;D9&amp;" CFM &gt; "&amp;D8&amp;" CFM, THEREFORE OK",0))</f>
        <v>2300 CFM &gt; 0 CFM, THEREFORE OK</v>
      </c>
      <c r="D10" s="303"/>
      <c r="L10" t="s">
        <v>315</v>
      </c>
    </row>
    <row r="11" spans="1:12" ht="15.75" customHeight="1" x14ac:dyDescent="0.25">
      <c r="A11" s="294"/>
      <c r="B11" s="114"/>
      <c r="C11" s="114"/>
      <c r="D11" s="114"/>
      <c r="F11" s="110" t="s">
        <v>271</v>
      </c>
      <c r="G11" s="111"/>
      <c r="H11" s="111"/>
      <c r="L11" t="s">
        <v>316</v>
      </c>
    </row>
    <row r="12" spans="1:12" x14ac:dyDescent="0.25">
      <c r="A12" s="294"/>
      <c r="L12" t="s">
        <v>317</v>
      </c>
    </row>
    <row r="13" spans="1:12" ht="15.75" thickBot="1" x14ac:dyDescent="0.3">
      <c r="A13" s="295"/>
      <c r="B13" s="115" t="s">
        <v>256</v>
      </c>
      <c r="C13" s="114"/>
      <c r="L13" t="s">
        <v>318</v>
      </c>
    </row>
    <row r="14" spans="1:12" x14ac:dyDescent="0.25">
      <c r="B14" s="116" t="s">
        <v>254</v>
      </c>
      <c r="C14" s="114" t="s">
        <v>270</v>
      </c>
      <c r="L14" t="s">
        <v>319</v>
      </c>
    </row>
    <row r="16" spans="1:12" ht="15.75" thickBot="1" x14ac:dyDescent="0.3"/>
    <row r="17" spans="2:4" ht="15.75" thickBot="1" x14ac:dyDescent="0.3">
      <c r="B17" s="321" t="s">
        <v>280</v>
      </c>
      <c r="C17" s="322"/>
      <c r="D17" s="323"/>
    </row>
    <row r="18" spans="2:4" x14ac:dyDescent="0.25">
      <c r="B18" s="335" t="str">
        <f>IF('Calculation Tables'!L98="Title 24: CO2 Sensor required","CO2 Sensor required in spaces for "&amp;B3&amp;"","")</f>
        <v/>
      </c>
      <c r="C18" s="336"/>
      <c r="D18" s="337"/>
    </row>
    <row r="19" spans="2:4" x14ac:dyDescent="0.25">
      <c r="B19" s="329" t="str">
        <f>IF('Calculation Tables'!L99="Title 24: CO2 Sensor required","CO2 Sensor required in spaces for "&amp;B4&amp;"","")</f>
        <v/>
      </c>
      <c r="C19" s="330"/>
      <c r="D19" s="331"/>
    </row>
    <row r="20" spans="2:4" x14ac:dyDescent="0.25">
      <c r="B20" s="329" t="str">
        <f>IF('Calculation Tables'!L100="Title 24: CO2 Sensor required","CO2 Sensor required in spaces for "&amp;B5&amp;"","")</f>
        <v/>
      </c>
      <c r="C20" s="330"/>
      <c r="D20" s="331"/>
    </row>
    <row r="21" spans="2:4" x14ac:dyDescent="0.25">
      <c r="B21" s="329" t="str">
        <f>IF('Calculation Tables'!L101="Title 24: CO2 Sensor required","CO2 Sensor required in spaces for "&amp;B6&amp;"","")</f>
        <v/>
      </c>
      <c r="C21" s="330"/>
      <c r="D21" s="331"/>
    </row>
    <row r="22" spans="2:4" ht="15.75" thickBot="1" x14ac:dyDescent="0.3">
      <c r="B22" s="332" t="str">
        <f>IF('Calculation Tables'!L102="Title 24: CO2 Sensor required","CO2 Sensor required in spaces for "&amp;B7&amp;"","")</f>
        <v/>
      </c>
      <c r="C22" s="333"/>
      <c r="D22" s="334"/>
    </row>
  </sheetData>
  <mergeCells count="12">
    <mergeCell ref="B22:D22"/>
    <mergeCell ref="F9:I9"/>
    <mergeCell ref="C10:D10"/>
    <mergeCell ref="B18:D18"/>
    <mergeCell ref="B19:D19"/>
    <mergeCell ref="B20:D20"/>
    <mergeCell ref="B17:D17"/>
    <mergeCell ref="A8:A13"/>
    <mergeCell ref="B1:D1"/>
    <mergeCell ref="B8:C8"/>
    <mergeCell ref="B9:C9"/>
    <mergeCell ref="B21:D21"/>
  </mergeCells>
  <conditionalFormatting sqref="B18:B22">
    <cfRule type="containsText" dxfId="8" priority="2" operator="containsText" text="co2">
      <formula>NOT(ISERROR(SEARCH("co2",B18)))</formula>
    </cfRule>
  </conditionalFormatting>
  <conditionalFormatting sqref="C10">
    <cfRule type="containsText" dxfId="7" priority="3" operator="containsText" text="NG">
      <formula>NOT(ISERROR(SEARCH("NG",C10)))</formula>
    </cfRule>
  </conditionalFormatting>
  <conditionalFormatting sqref="F9:I9">
    <cfRule type="containsText" dxfId="6" priority="1" operator="containsText" text="economizer">
      <formula>NOT(ISERROR(SEARCH("economizer",F9)))</formula>
    </cfRule>
  </conditionalFormatting>
  <dataValidations count="11">
    <dataValidation type="list" allowBlank="1" showInputMessage="1" showErrorMessage="1" sqref="F8" xr:uid="{29731C78-09A9-4918-93FE-12CF8D51AC41}">
      <formula1>IF(H3="bard",bardsize,IF(H3="rtu",rtusize,IF(H3="marvair",marvairsize,0)))</formula1>
    </dataValidation>
    <dataValidation type="list" allowBlank="1" showInputMessage="1" showErrorMessage="1" sqref="F6" xr:uid="{69EDD093-3399-402D-A65E-DD944FD58D99}">
      <formula1>IF(H3="bard",bardsize,IF(H3="rtu",rtusize,IF(H3="marvair",marvairsize,0)))</formula1>
    </dataValidation>
    <dataValidation type="list" allowBlank="1" showInputMessage="1" showErrorMessage="1" sqref="F7" xr:uid="{B2ADD853-92D9-4C50-850F-C33D95E76DBF}">
      <formula1>IF(H3="bard",bardsize,IF(H3="rtu",rtusize,IF(H3="marvair",marvairsize,0)))</formula1>
    </dataValidation>
    <dataValidation type="list" allowBlank="1" showInputMessage="1" showErrorMessage="1" sqref="H6:H8" xr:uid="{B983E42B-2A83-495B-96F3-B42877FDAC98}">
      <formula1>bardvent</formula1>
    </dataValidation>
    <dataValidation type="list" allowBlank="1" showInputMessage="1" showErrorMessage="1" sqref="B7" xr:uid="{90E9EA1F-0983-486C-9347-EECC7ED69EE6}">
      <formula1>IF(A7=L4,NONE1,IF(A7=L5,OffCA,IF(A7=L6,EdCA,IF(A7=L7,GenCA,IF(A7=L8,HotCA,IF(A7=L9,FoCA,IF(A7=L10,MisCA,IF(A7=L11,PubCA,IF(A7=L12,ResCA,IF(A7=L13,RetCA,IF(A7=L14,SporCA,0)))))))))))</formula1>
    </dataValidation>
    <dataValidation type="list" allowBlank="1" showInputMessage="1" showErrorMessage="1" sqref="H3" xr:uid="{ECA2AF4B-F391-4CDC-8615-F8380E5B44C7}">
      <formula1>"BARD, RTU, MARVAIR"</formula1>
    </dataValidation>
    <dataValidation type="list" allowBlank="1" showInputMessage="1" showErrorMessage="1" sqref="A3:A7" xr:uid="{6454EEF1-8077-4970-B8EC-973AEB00741A}">
      <formula1>$L$4:$L$14</formula1>
    </dataValidation>
    <dataValidation type="list" allowBlank="1" showInputMessage="1" showErrorMessage="1" sqref="B3" xr:uid="{08B0B272-A0D3-4D71-AE44-EBE5DD2EFAD3}">
      <formula1>IF(A3=L4,NONE1,IF(A3=L5,OffCA,IF(A3=L6,EdCA,IF(A3=L7,GenCA,IF(A3=L8,HotCA,IF(A3=L9,FoCA,IF(A3=L10,MisCA,IF(A3=L11,PubCA,IF(A3=L12,ResCA,IF(A3=L13,RetCA,IF(A3=L14,SporCA,0)))))))))))</formula1>
    </dataValidation>
    <dataValidation type="list" allowBlank="1" showInputMessage="1" showErrorMessage="1" sqref="B4" xr:uid="{A0873C8A-0FEF-4DEC-AA02-4BA22B6905A1}">
      <formula1>IF(A4=L4,NONE1,IF(A4=L5,OffCA,IF(A4=L6,EdCA,IF(A4=L7,GenCA,IF(A4=L8,HotCA,IF(A4=L9,FoCA,IF(A4=L10,MisCA,IF(A4=L11,PubCA,IF(A4=L12,ResCA,IF(A4=L13,RetCA,IF(A4=L14,SporCA,0)))))))))))</formula1>
    </dataValidation>
    <dataValidation type="list" allowBlank="1" showInputMessage="1" showErrorMessage="1" sqref="B5" xr:uid="{43A6DE43-68F7-426F-A611-73BD445BDFCE}">
      <formula1>IF(A5=L4,NONE1,IF(A5=L5,OffCA,IF(A5=L6,EdCA,IF(A5=L7,GenCA,IF(A5=L8,HotCA,IF(A5=L9,FoCA,IF(A5=L10,MisCA,IF(A5=L11,PubCA,IF(A5=L12,ResCA,IF(A5=L13,RetCA,IF(A5=L14,SporCA,0)))))))))))</formula1>
    </dataValidation>
    <dataValidation type="list" allowBlank="1" showInputMessage="1" showErrorMessage="1" sqref="B6" xr:uid="{80C816B1-E16B-4138-8564-39E5E98EE46D}">
      <formula1>IF(A6=L4,NONE1,IF(A6=L5,OffCA,IF(A6=L6,EdCA,IF(A6=L7,GenCA,IF(A6=L8,HotCA,IF(A6=L9,FoCA,IF(A6=L10,MisCA,IF(A6=L11,PubCA,IF(A6=L12,ResCA,IF(A6=L13,RetCA,IF(A6=L14,SporCA,0)))))))))))</formula1>
    </dataValidation>
  </dataValidation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92C6-84C5-4442-893C-362B922D90CA}">
  <dimension ref="A1:T28"/>
  <sheetViews>
    <sheetView workbookViewId="0">
      <selection activeCell="B2" sqref="B2"/>
    </sheetView>
  </sheetViews>
  <sheetFormatPr defaultRowHeight="15" x14ac:dyDescent="0.25"/>
  <cols>
    <col min="1" max="1" width="16.28515625" customWidth="1"/>
    <col min="2" max="2" width="30.140625" customWidth="1"/>
    <col min="3" max="3" width="23.28515625" customWidth="1"/>
    <col min="4" max="4" width="16.28515625" customWidth="1"/>
    <col min="6" max="6" width="11.5703125" customWidth="1"/>
    <col min="7" max="7" width="10.42578125" customWidth="1"/>
    <col min="8" max="8" width="21.7109375" customWidth="1"/>
    <col min="9" max="9" width="12.42578125" customWidth="1"/>
    <col min="12" max="20" width="9.140625" hidden="1" customWidth="1"/>
  </cols>
  <sheetData>
    <row r="1" spans="1:20" ht="15.75" thickBot="1" x14ac:dyDescent="0.3">
      <c r="A1" s="117" t="s">
        <v>283</v>
      </c>
      <c r="B1" s="288" t="s">
        <v>320</v>
      </c>
      <c r="C1" s="289"/>
      <c r="D1" s="290"/>
    </row>
    <row r="2" spans="1:20" ht="45" customHeight="1" thickBot="1" x14ac:dyDescent="0.3">
      <c r="A2" s="167" t="s">
        <v>314</v>
      </c>
      <c r="B2" s="171" t="s">
        <v>211</v>
      </c>
      <c r="C2" s="172" t="str">
        <f>IF(S2&gt;=S5,"Floor Area (Az):","Floor Area:")</f>
        <v>Floor Area (Az):</v>
      </c>
      <c r="D2" s="173">
        <v>1400</v>
      </c>
      <c r="E2" s="109" t="s">
        <v>258</v>
      </c>
      <c r="F2" s="24"/>
      <c r="G2" s="24"/>
      <c r="Q2" s="228" t="s">
        <v>519</v>
      </c>
      <c r="R2" s="228">
        <f>INDEX('Calculation Tables'!AA3:AA95,MATCH(B2,'Calculation Tables'!Z1:Z95,0))</f>
        <v>0.15</v>
      </c>
      <c r="S2" s="228">
        <f>SUM(R2*D2)</f>
        <v>210</v>
      </c>
    </row>
    <row r="3" spans="1:20" ht="15.75" customHeight="1" thickBot="1" x14ac:dyDescent="0.3">
      <c r="A3" s="293" t="s">
        <v>322</v>
      </c>
      <c r="B3" s="327" t="str">
        <f>IF(S2&gt;=S5,"TOTAL OUTDOOR AIRFLOW RATE (Rt):","OUTDOOR AIRFLOW PER PERSON (Rp):")</f>
        <v>TOTAL OUTDOOR AIRFLOW RATE (Rt):</v>
      </c>
      <c r="C3" s="328"/>
      <c r="D3" s="119">
        <f>IF(S2&gt;S5,R2,15)</f>
        <v>0.15</v>
      </c>
      <c r="Q3" s="228" t="s">
        <v>518</v>
      </c>
      <c r="R3" s="228">
        <f>INDEX('Calculation Tables'!AN3:AN95,MATCH('2025 CA Single Zone Calculator'!B2,'Calculation Tables'!AM3:AM95,0))</f>
        <v>5</v>
      </c>
      <c r="S3" s="228">
        <f>R3*15</f>
        <v>75</v>
      </c>
      <c r="T3" t="s">
        <v>520</v>
      </c>
    </row>
    <row r="4" spans="1:20" ht="15.75" customHeight="1" thickBot="1" x14ac:dyDescent="0.3">
      <c r="A4" s="294"/>
      <c r="B4" s="327" t="str">
        <f>IF(S2&gt;=S5,"",IF(S3&gt;S4,"MIN. OCCUPANT LOAD DENSITY: (Pz):","OCCUPANT LOAD: (Pz):"))</f>
        <v/>
      </c>
      <c r="C4" s="328"/>
      <c r="D4" s="119" t="str">
        <f>IF(S2&gt;S5,"",IF(S3&gt;S4,R3,R4))</f>
        <v/>
      </c>
      <c r="E4" s="233">
        <v>9</v>
      </c>
      <c r="F4" s="109" t="s">
        <v>522</v>
      </c>
      <c r="Q4" s="228" t="s">
        <v>518</v>
      </c>
      <c r="R4" s="228">
        <f>E4</f>
        <v>9</v>
      </c>
      <c r="S4" s="228">
        <f>SUM(E4*15)</f>
        <v>135</v>
      </c>
      <c r="T4" t="s">
        <v>521</v>
      </c>
    </row>
    <row r="5" spans="1:20" ht="15.75" customHeight="1" x14ac:dyDescent="0.25">
      <c r="A5" s="294"/>
      <c r="B5" s="309" t="str">
        <f>IF(S2&gt;=S5,"TOTAL OUTDOOR AIRFLOW RATE (Rt x Az):","TOTAL OUTDOOR AIRFLOW RATE (Rp x Pz):")</f>
        <v>TOTAL OUTDOOR AIRFLOW RATE (Rt x Az):</v>
      </c>
      <c r="C5" s="299"/>
      <c r="D5" s="229">
        <f>IF(S2&gt;=S5,S2,S5)</f>
        <v>210</v>
      </c>
      <c r="L5" t="s">
        <v>314</v>
      </c>
      <c r="S5">
        <f>MAX(S3,S4)</f>
        <v>135</v>
      </c>
      <c r="T5" t="s">
        <v>523</v>
      </c>
    </row>
    <row r="6" spans="1:20" ht="15.75" customHeight="1" thickBot="1" x14ac:dyDescent="0.3">
      <c r="A6" s="294"/>
      <c r="B6" s="300" t="s">
        <v>52</v>
      </c>
      <c r="C6" s="301"/>
      <c r="D6" s="230">
        <f>SUM(I9:I11)</f>
        <v>2300</v>
      </c>
      <c r="F6" s="26"/>
      <c r="G6" s="27" t="s">
        <v>47</v>
      </c>
      <c r="H6" s="176" t="s">
        <v>42</v>
      </c>
      <c r="I6" s="26"/>
      <c r="L6" t="s">
        <v>310</v>
      </c>
    </row>
    <row r="7" spans="1:20" ht="15.75" thickBot="1" x14ac:dyDescent="0.3">
      <c r="A7" s="294"/>
      <c r="B7" s="139" t="s">
        <v>53</v>
      </c>
      <c r="C7" s="338" t="str">
        <f>IF(D5&gt;D6,""&amp;D6&amp;" CFM &lt; "&amp;D5&amp;" CFM, THEREFORE NG",IF(D5&lt;D6,""&amp;D6&amp;" CFM &gt; "&amp;D5&amp;" CFM, THEREFORE OK",0))</f>
        <v>2300 CFM &gt; 210 CFM, THEREFORE OK</v>
      </c>
      <c r="D7" s="339"/>
      <c r="F7" s="26"/>
      <c r="G7" s="26"/>
      <c r="H7" s="26"/>
      <c r="I7" s="26"/>
      <c r="L7" t="s">
        <v>312</v>
      </c>
    </row>
    <row r="8" spans="1:20" ht="15" customHeight="1" thickBot="1" x14ac:dyDescent="0.3">
      <c r="A8" s="294"/>
      <c r="F8" s="102" t="s">
        <v>29</v>
      </c>
      <c r="G8" s="104" t="s">
        <v>43</v>
      </c>
      <c r="H8" s="102" t="s">
        <v>48</v>
      </c>
      <c r="I8" s="102" t="s">
        <v>49</v>
      </c>
      <c r="L8" t="s">
        <v>313</v>
      </c>
    </row>
    <row r="9" spans="1:20" ht="15" customHeight="1" x14ac:dyDescent="0.25">
      <c r="A9" s="294"/>
      <c r="B9" s="94" t="s">
        <v>256</v>
      </c>
      <c r="F9" s="101" t="s">
        <v>36</v>
      </c>
      <c r="G9" s="103">
        <v>2</v>
      </c>
      <c r="H9" s="105" t="s">
        <v>31</v>
      </c>
      <c r="I9" s="106">
        <f>IF(H6="bard",INDEX(bardindex,MATCH(F9,bardsize,0),MATCH(H9,bardvent,0))*G9,IF(H6="RTU",INDEX(rturef,MATCH(F9,rtusize,0),MATCH(H9,rtuvent,0))*G9,IF(H6="MARVAIR",INDEX(marairref,MATCH(F9,marvairsize,0),MATCH(H9,marvairvent,0))*G9,0)))</f>
        <v>2300</v>
      </c>
      <c r="L9" t="s">
        <v>311</v>
      </c>
    </row>
    <row r="10" spans="1:20" ht="15.75" customHeight="1" x14ac:dyDescent="0.25">
      <c r="A10" s="294"/>
      <c r="B10" s="95" t="s">
        <v>254</v>
      </c>
      <c r="C10" t="s">
        <v>270</v>
      </c>
      <c r="F10" s="101" t="s">
        <v>27</v>
      </c>
      <c r="G10" s="28">
        <v>0</v>
      </c>
      <c r="H10" s="105" t="s">
        <v>44</v>
      </c>
      <c r="I10" s="97">
        <f>IF(H6="bard",INDEX(bardindex,MATCH(F10,bardsize,0),MATCH(H10,bardvent,0))*G10,IF(H6="RTU",INDEX(rturef,MATCH(F10,rtusize,0),MATCH(H10,rtuvent,0))*G10,IF(H6="MARVAIR",INDEX(marairref,MATCH(F10,marvairsize,0),MATCH(H10,marvairvent,0))*G10,0)))</f>
        <v>0</v>
      </c>
      <c r="L10" t="s">
        <v>315</v>
      </c>
    </row>
    <row r="11" spans="1:20" ht="15.75" customHeight="1" thickBot="1" x14ac:dyDescent="0.3">
      <c r="A11" s="294"/>
      <c r="F11" s="107" t="s">
        <v>27</v>
      </c>
      <c r="G11" s="99">
        <v>0</v>
      </c>
      <c r="H11" s="124" t="s">
        <v>44</v>
      </c>
      <c r="I11" s="100">
        <f>IF(H6="bard",INDEX(bardindex,MATCH(F11,bardsize,0),MATCH(H11,bardvent,0))*G11,IF(H6="RTU",INDEX(rturef,MATCH(F11,rtusize,0),MATCH(H11,rtuvent,0))*G11,IF(H6="MARVAIR",INDEX(marairref,MATCH(F11,marvairsize,0),MATCH(H11,marvairvent,0))*G11,0)))</f>
        <v>0</v>
      </c>
      <c r="L11" t="s">
        <v>316</v>
      </c>
    </row>
    <row r="12" spans="1:20" ht="15.75" thickBot="1" x14ac:dyDescent="0.3">
      <c r="A12" s="295"/>
      <c r="F12" s="320" t="str">
        <f>IF(AND(AND(G9&gt;0),(F9="5 Ton"),OR(H9="fad",H9="crv")),"Economizer Required for 5 Ton",IF(AND(AND(G10&gt;0),(F10="5 Ton"),OR(H10="fad",H10="crv")),"Economizer Required for 5 Ton",IF(AND(AND(G11&gt;0),(F11="5 Ton"),OR(H11="fad",H11="crv")),"Economizer Required for 5 Ton",IF(AND(AND(G9&gt;0),(F9="3 Ton"),OR(H9="fad",H9="crv")),"Economizer Required for 3 Ton / CEC 140.4(e)(1)",IF(AND(AND(G10&gt;0),(F10="3 Ton"),OR(H10="fad",H10="crv")),"Economizer Required for 3 Ton / CEC 140.4(e)(1)",IF(AND(AND(G11&gt;0),(F11="3 Ton"),OR(H11="fad",H11="crv")),"Economizer Required for 3 Ton / CEC 140.4(e)(1)",IF(AND(AND(G9&gt;0),(F9="3.5 Ton"),OR(H9="fad",H9="crv")),"Economizer Required for 3.5 Ton / CEC 140.4(e)(1)",IF(AND(AND(G10&gt;0),(F10="3.5 Ton"),OR(H10="fad",H10="crv")),"Economizer Required for 3.5 Ton / CEC 140.4(e)(1)",IF(AND(AND(G11&gt;0),(F11="3.5 Ton"),OR(H11="fad",H11="crv")),"Economizer Required for 3.5 Ton / CEC 140.4(e)(1)",IF(AND(AND(G9&gt;0),(F9="4 Ton"),OR(H9="fad",H9="crv")),"Economizer Required for 4 Ton / CEC 140.4(e)(1)",IF(AND(AND(G10&gt;0),(F10="4 Ton"),OR(H10="fad",H10="crv")),"Economizer Required for 4 Ton / CEC 140.4(e)(1)",IF(AND(AND(G11&gt;0),(F11="4 Ton"),OR(H11="fad",H11="crv")),"Economizer Required for 4 Ton / CEC 140.4(e)(1)",""))))))))))))</f>
        <v/>
      </c>
      <c r="G12" s="320"/>
      <c r="H12" s="320"/>
      <c r="I12" s="320"/>
      <c r="L12" t="s">
        <v>317</v>
      </c>
    </row>
    <row r="13" spans="1:20" ht="15.75" thickBot="1" x14ac:dyDescent="0.3">
      <c r="B13" s="321" t="s">
        <v>280</v>
      </c>
      <c r="C13" s="322"/>
      <c r="D13" s="323"/>
      <c r="F13" s="110" t="s">
        <v>271</v>
      </c>
      <c r="L13" t="s">
        <v>318</v>
      </c>
    </row>
    <row r="14" spans="1:20" ht="15.75" thickBot="1" x14ac:dyDescent="0.3">
      <c r="B14" s="324" t="str">
        <f>IF('Calculation Tables'!AN98="Title 24: CO2 Sensor required","CO2 Sensor required in spaces for "&amp;B2&amp;"","")</f>
        <v/>
      </c>
      <c r="C14" s="325"/>
      <c r="D14" s="326"/>
      <c r="L14" t="s">
        <v>319</v>
      </c>
    </row>
    <row r="23" spans="12:12" x14ac:dyDescent="0.25">
      <c r="L23" t="str" cm="1">
        <f t="array" ref="L23:L28">IF(A2=L5,OffCA,IF(A2=L6,EdCA,IF(A2=L7,GenCA,IF(A2=L8,HotCA,IF(A2=L9,FoCA,IF(A2=L10,MisCA,IF(A2=L11,PubCA,IF(A2=L12,ResCA,IF(A2=L13,RetCA,IF(A2=L14,SporCA,0))))))))))</f>
        <v>Breakrooms</v>
      </c>
    </row>
    <row r="24" spans="12:12" x14ac:dyDescent="0.25">
      <c r="L24" t="str">
        <v>Main entry lobbies</v>
      </c>
    </row>
    <row r="25" spans="12:12" x14ac:dyDescent="0.25">
      <c r="L25" t="str">
        <v>Occupiable storage rooms for dry materials</v>
      </c>
    </row>
    <row r="26" spans="12:12" x14ac:dyDescent="0.25">
      <c r="L26" t="str">
        <v>Office space</v>
      </c>
    </row>
    <row r="27" spans="12:12" x14ac:dyDescent="0.25">
      <c r="L27" t="str">
        <v>Reception areas</v>
      </c>
    </row>
    <row r="28" spans="12:12" x14ac:dyDescent="0.25">
      <c r="L28" t="str">
        <v>Telephone/data entry</v>
      </c>
    </row>
  </sheetData>
  <mergeCells count="10">
    <mergeCell ref="A3:A12"/>
    <mergeCell ref="B3:C3"/>
    <mergeCell ref="B5:C5"/>
    <mergeCell ref="B6:C6"/>
    <mergeCell ref="C7:D7"/>
    <mergeCell ref="F12:I12"/>
    <mergeCell ref="B13:D13"/>
    <mergeCell ref="B14:D14"/>
    <mergeCell ref="B4:C4"/>
    <mergeCell ref="B1:D1"/>
  </mergeCells>
  <conditionalFormatting sqref="B14">
    <cfRule type="containsText" dxfId="5" priority="2" operator="containsText" text="co2">
      <formula>NOT(ISERROR(SEARCH("co2",B14)))</formula>
    </cfRule>
  </conditionalFormatting>
  <conditionalFormatting sqref="C7">
    <cfRule type="containsText" dxfId="4" priority="3" operator="containsText" text="NG">
      <formula>NOT(ISERROR(SEARCH("NG",C7)))</formula>
    </cfRule>
  </conditionalFormatting>
  <conditionalFormatting sqref="F12:I12">
    <cfRule type="containsText" dxfId="3" priority="1" operator="containsText" text="economizer">
      <formula>NOT(ISERROR(SEARCH("economizer",F12)))</formula>
    </cfRule>
  </conditionalFormatting>
  <dataValidations count="7">
    <dataValidation type="list" allowBlank="1" showInputMessage="1" showErrorMessage="1" sqref="A2" xr:uid="{C13989EC-AA64-4DC2-9193-9DAFD48C4EC7}">
      <formula1>$L$5:$L$14</formula1>
    </dataValidation>
    <dataValidation type="list" allowBlank="1" showInputMessage="1" showErrorMessage="1" sqref="H6" xr:uid="{95921C2C-34AF-4C3A-916A-D84A431E34EE}">
      <formula1>"BARD, RTU, MARVAIR"</formula1>
    </dataValidation>
    <dataValidation type="list" allowBlank="1" showInputMessage="1" showErrorMessage="1" sqref="F11" xr:uid="{40682968-306C-43C1-BC06-739879593C57}">
      <formula1>IF(H6="bard",bardsize,IF(H6="rtu",rtusize,IF(H6="marvair",marvairsize,0)))</formula1>
    </dataValidation>
    <dataValidation type="list" allowBlank="1" showInputMessage="1" showErrorMessage="1" sqref="F9" xr:uid="{ED5C7B42-C4AF-45DA-AB17-D0631E85B419}">
      <formula1>IF(H6="bard",bardsize,IF(H6="rtu",rtusize,IF(H6="marvair",marvairsize,0)))</formula1>
    </dataValidation>
    <dataValidation type="list" allowBlank="1" showInputMessage="1" showErrorMessage="1" sqref="F10" xr:uid="{EF79D2B6-E879-45AF-AFF8-486DA1B8466D}">
      <formula1>IF(H6="bard",bardsize,IF(H6="rtu",rtusize,IF(H6="marvair",marvairsize,0)))</formula1>
    </dataValidation>
    <dataValidation type="list" allowBlank="1" showInputMessage="1" showErrorMessage="1" sqref="H9:H11" xr:uid="{B7D576F1-0340-412B-B22F-5D39A2103068}">
      <formula1>bardvent</formula1>
    </dataValidation>
    <dataValidation type="list" allowBlank="1" showInputMessage="1" showErrorMessage="1" sqref="B2" xr:uid="{8A45E66E-0613-4DBB-BBB9-DC8EDFB618A5}">
      <formula1>IF(A2=L5,OffCA,IF(A2=L6,EdCA,IF(A2=L7,GenCA,IF(A2=L8,HotCA,IF(A2=L9,FoCA,IF(A2=L10,MisCA,IF(A2=L11,PubCA,IF(A2=L12,ResCA,IF(A2=L13,RetCA,IF(A2=L14,SporCA,0))))))))))</formula1>
    </dataValidation>
  </dataValidation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74F0-AD2B-440F-B7DD-879B790166B3}">
  <dimension ref="A1:AD22"/>
  <sheetViews>
    <sheetView workbookViewId="0">
      <selection activeCell="B3" sqref="B3"/>
    </sheetView>
  </sheetViews>
  <sheetFormatPr defaultRowHeight="15" x14ac:dyDescent="0.25"/>
  <cols>
    <col min="1" max="1" width="16.28515625" customWidth="1"/>
    <col min="2" max="2" width="30.140625" customWidth="1"/>
    <col min="3" max="3" width="21.140625" customWidth="1"/>
    <col min="4" max="5" width="21" customWidth="1"/>
    <col min="8" max="8" width="11.5703125" customWidth="1"/>
    <col min="9" max="9" width="10.42578125" customWidth="1"/>
    <col min="10" max="10" width="21.7109375" customWidth="1"/>
    <col min="11" max="11" width="12.42578125" customWidth="1"/>
    <col min="14" max="14" width="16.42578125" customWidth="1"/>
    <col min="15" max="27" width="0" hidden="1" customWidth="1"/>
  </cols>
  <sheetData>
    <row r="1" spans="1:30" ht="15.75" thickBot="1" x14ac:dyDescent="0.3">
      <c r="B1" s="288" t="s">
        <v>320</v>
      </c>
      <c r="C1" s="289"/>
      <c r="D1" s="289"/>
      <c r="E1" s="290"/>
      <c r="F1" s="235"/>
    </row>
    <row r="2" spans="1:30" ht="45" customHeight="1" thickBot="1" x14ac:dyDescent="0.3">
      <c r="A2" s="117" t="s">
        <v>283</v>
      </c>
      <c r="B2" s="117" t="s">
        <v>275</v>
      </c>
      <c r="C2" s="29" t="str">
        <f>IF(Z3&gt;=Z18,"Floor Area (Az):","Floor Area:")</f>
        <v>Floor Area (Az):</v>
      </c>
      <c r="D2" s="29" t="str">
        <f>IF(Z3&gt;=Z18,"TOTAL OUTDOOR AIRFLOW RATE (Rt):","OUTDOOR AIRFLOW PER PERSON (Rp):")</f>
        <v>TOTAL OUTDOOR AIRFLOW RATE (Rt):</v>
      </c>
      <c r="E2" s="29" t="str">
        <f>IF(Z3&gt;=Z18,"",IF(Z8&gt;Z13,"MIN. OCCUPANT LOAD DENSITY: (Pz):","OCCUPANT LOAD: (Pz):"))</f>
        <v/>
      </c>
      <c r="G2" s="109"/>
      <c r="AC2" s="24"/>
      <c r="AD2" s="24"/>
    </row>
    <row r="3" spans="1:30" ht="30" customHeight="1" thickBot="1" x14ac:dyDescent="0.3">
      <c r="A3" s="168" t="s">
        <v>314</v>
      </c>
      <c r="B3" s="108" t="s">
        <v>211</v>
      </c>
      <c r="C3" s="37">
        <v>1400</v>
      </c>
      <c r="D3" s="119">
        <f>IF(Z3&gt;Z18,U3,IF(Z3&lt;Z18,15,0))</f>
        <v>0.15</v>
      </c>
      <c r="E3" s="119" t="str">
        <f>IF(Z3&gt;Z18,"",IF(Z8&gt;Z13,U8,U13))</f>
        <v/>
      </c>
      <c r="F3" s="233">
        <v>9</v>
      </c>
      <c r="G3" s="109" t="s">
        <v>522</v>
      </c>
      <c r="I3" s="109"/>
      <c r="S3" s="95" t="s">
        <v>524</v>
      </c>
      <c r="T3" s="228" t="s">
        <v>519</v>
      </c>
      <c r="U3" s="228">
        <f>INDEX('Calculation Tables'!AF3:AF95,MATCH(B3,'Calculation Tables'!AE3:AE95,0))</f>
        <v>0.15</v>
      </c>
      <c r="V3" s="228">
        <f>SUM(U3*C3)</f>
        <v>210</v>
      </c>
      <c r="Z3">
        <f>SUM(V3+V4+V5+V6+V7)</f>
        <v>210</v>
      </c>
      <c r="AA3" t="s">
        <v>529</v>
      </c>
    </row>
    <row r="4" spans="1:30" ht="30" customHeight="1" thickBot="1" x14ac:dyDescent="0.3">
      <c r="A4" s="169" t="s">
        <v>308</v>
      </c>
      <c r="B4" s="120" t="s">
        <v>27</v>
      </c>
      <c r="C4" s="40">
        <v>0</v>
      </c>
      <c r="D4" s="33">
        <f>IF(C4=0,0,IF(Z3&gt;Z18,U4,15))</f>
        <v>0</v>
      </c>
      <c r="E4" s="33" t="str">
        <f>IF(Z3&gt;Z18,"",IF(Z8&gt;Z13,U9,U14))</f>
        <v/>
      </c>
      <c r="F4" s="233">
        <v>0</v>
      </c>
      <c r="G4" s="109" t="s">
        <v>522</v>
      </c>
      <c r="O4" t="s">
        <v>308</v>
      </c>
      <c r="S4" s="95" t="s">
        <v>525</v>
      </c>
      <c r="T4" s="228" t="s">
        <v>519</v>
      </c>
      <c r="U4" s="228">
        <f>IF(B4="n/a",0,INDEX('Calculation Tables'!AF3:AF95,MATCH(B4,'Calculation Tables'!AE3:AE95,0)))</f>
        <v>0</v>
      </c>
      <c r="V4" s="228">
        <f>SUM(U4*C4)</f>
        <v>0</v>
      </c>
    </row>
    <row r="5" spans="1:30" ht="30" customHeight="1" thickBot="1" x14ac:dyDescent="0.3">
      <c r="A5" s="169" t="s">
        <v>308</v>
      </c>
      <c r="B5" s="120" t="s">
        <v>27</v>
      </c>
      <c r="C5" s="40">
        <v>0</v>
      </c>
      <c r="D5" s="33">
        <f>IF(C5=0,0,IF(Z3&gt;Z18,U5,15))</f>
        <v>0</v>
      </c>
      <c r="E5" s="33" t="str">
        <f>IF(Z3&gt;Z18,"",IF(Z8&gt;Z13,U10,U15))</f>
        <v/>
      </c>
      <c r="F5" s="233">
        <v>0</v>
      </c>
      <c r="G5" s="109" t="s">
        <v>522</v>
      </c>
      <c r="I5" s="26"/>
      <c r="J5" s="27" t="s">
        <v>47</v>
      </c>
      <c r="K5" s="176" t="s">
        <v>42</v>
      </c>
      <c r="L5" s="26"/>
      <c r="O5" t="s">
        <v>314</v>
      </c>
      <c r="S5" s="95" t="s">
        <v>527</v>
      </c>
      <c r="T5" s="228" t="s">
        <v>519</v>
      </c>
      <c r="U5" s="228">
        <f>IF(B5="n/a",0,INDEX('Calculation Tables'!AF3:AF95,MATCH(B5,'Calculation Tables'!AE3:AE95,0)))</f>
        <v>0</v>
      </c>
      <c r="V5" s="228">
        <f>SUM(U5*C5)</f>
        <v>0</v>
      </c>
    </row>
    <row r="6" spans="1:30" ht="30" customHeight="1" thickBot="1" x14ac:dyDescent="0.3">
      <c r="A6" s="169" t="s">
        <v>308</v>
      </c>
      <c r="B6" s="120" t="s">
        <v>27</v>
      </c>
      <c r="C6" s="40">
        <v>0</v>
      </c>
      <c r="D6" s="33">
        <f>IF(C6=0,0,IF(Z3&gt;Z18,U6,15))</f>
        <v>0</v>
      </c>
      <c r="E6" s="33" t="str">
        <f>IF(Z3&gt;Z18,"",IF(Z8&gt;Z13,U11,U16))</f>
        <v/>
      </c>
      <c r="F6" s="233">
        <v>0</v>
      </c>
      <c r="G6" s="109" t="s">
        <v>522</v>
      </c>
      <c r="I6" s="26"/>
      <c r="J6" s="26"/>
      <c r="K6" s="26"/>
      <c r="L6" s="26"/>
      <c r="O6" t="s">
        <v>310</v>
      </c>
      <c r="S6" s="95" t="s">
        <v>528</v>
      </c>
      <c r="T6" s="228" t="s">
        <v>519</v>
      </c>
      <c r="U6" s="228">
        <f>IF(B6="n/a",0,INDEX('Calculation Tables'!AF3:AF95,MATCH(B6,'Calculation Tables'!AE3:AE95,0)))</f>
        <v>0</v>
      </c>
      <c r="V6" s="228">
        <f>SUM(U6*C6)</f>
        <v>0</v>
      </c>
    </row>
    <row r="7" spans="1:30" ht="30" customHeight="1" thickBot="1" x14ac:dyDescent="0.3">
      <c r="A7" s="170" t="s">
        <v>308</v>
      </c>
      <c r="B7" s="121" t="s">
        <v>27</v>
      </c>
      <c r="C7" s="122">
        <v>0</v>
      </c>
      <c r="D7" s="123">
        <f>IF(C7=0,0,IF(Z3&gt;Z18,U7,15))</f>
        <v>0</v>
      </c>
      <c r="E7" s="123" t="str">
        <f>IF(Z3&gt;Z18,"",IF(Z8&gt;Z13,U12,U17))</f>
        <v/>
      </c>
      <c r="F7" s="233">
        <v>0</v>
      </c>
      <c r="G7" s="109" t="s">
        <v>522</v>
      </c>
      <c r="I7" s="102" t="s">
        <v>29</v>
      </c>
      <c r="J7" s="104" t="s">
        <v>43</v>
      </c>
      <c r="K7" s="102" t="s">
        <v>48</v>
      </c>
      <c r="L7" s="102" t="s">
        <v>49</v>
      </c>
      <c r="O7" t="s">
        <v>312</v>
      </c>
      <c r="S7" s="95" t="s">
        <v>526</v>
      </c>
      <c r="T7" s="228" t="s">
        <v>519</v>
      </c>
      <c r="U7" s="228">
        <f>IF(B7="n/a",0,INDEX('Calculation Tables'!AF3:AF95,MATCH(B7,'Calculation Tables'!AE3:AE95,0)))</f>
        <v>0</v>
      </c>
      <c r="V7" s="228">
        <f>SUM(U7*C7)</f>
        <v>0</v>
      </c>
    </row>
    <row r="8" spans="1:30" ht="15" customHeight="1" x14ac:dyDescent="0.25">
      <c r="A8" s="293" t="s">
        <v>321</v>
      </c>
      <c r="B8" s="298" t="str">
        <f>IF(Z3&gt;=Z18,"TOTAL OUTDOOR AIRFLOW RATE (Rt x Az):","TOTAL OUTDOOR AIRFLOW RATE (Rp x Pz):")</f>
        <v>TOTAL OUTDOOR AIRFLOW RATE (Rt x Az):</v>
      </c>
      <c r="C8" s="309"/>
      <c r="D8" s="299"/>
      <c r="E8" s="229">
        <f>IF(Z3&gt;Z18,SUM(D3*C3)+(D4*C4)+(D5*C5)+(D6*C6)+(D7*C7),Z18)</f>
        <v>210</v>
      </c>
      <c r="I8" s="101" t="s">
        <v>36</v>
      </c>
      <c r="J8" s="103">
        <v>2</v>
      </c>
      <c r="K8" s="105" t="s">
        <v>31</v>
      </c>
      <c r="L8" s="106">
        <f>IF(K5="bard",INDEX(bardindex,MATCH(I8,bardsize,0),MATCH(K8,bardvent,0))*J8,IF(K5="RTU",INDEX(rturef,MATCH(I8,rtusize,0),MATCH(K8,rtuvent,0))*J8,IF(K5="MARVAIR",INDEX(marairref,MATCH(I8,marvairsize,0),MATCH(K8,marvairvent,0))*J8,0)))</f>
        <v>2300</v>
      </c>
      <c r="O8" t="s">
        <v>313</v>
      </c>
      <c r="S8" s="95" t="s">
        <v>524</v>
      </c>
      <c r="T8" s="228" t="s">
        <v>518</v>
      </c>
      <c r="U8" s="228">
        <f>INDEX('Calculation Tables'!AU1:AU95,MATCH(B3,'Calculation Tables'!AT1:AT95,0))</f>
        <v>5</v>
      </c>
      <c r="V8" s="228">
        <f>U8*15</f>
        <v>75</v>
      </c>
      <c r="W8" t="s">
        <v>520</v>
      </c>
      <c r="Z8">
        <f>SUM(V8+V9+V10+V11+V12)</f>
        <v>75</v>
      </c>
      <c r="AA8" t="s">
        <v>530</v>
      </c>
    </row>
    <row r="9" spans="1:30" ht="15" customHeight="1" thickBot="1" x14ac:dyDescent="0.3">
      <c r="A9" s="294"/>
      <c r="B9" s="342" t="s">
        <v>52</v>
      </c>
      <c r="C9" s="343"/>
      <c r="D9" s="344"/>
      <c r="E9" s="234">
        <f>SUM(L8:L10)</f>
        <v>2300</v>
      </c>
      <c r="I9" s="101" t="s">
        <v>27</v>
      </c>
      <c r="J9" s="28">
        <v>0</v>
      </c>
      <c r="K9" s="105" t="s">
        <v>44</v>
      </c>
      <c r="L9" s="97">
        <f>IF(K5="bard",INDEX(bardindex,MATCH(I9,bardsize,0),MATCH(K9,bardvent,0))*J9,IF(K5="RTU",INDEX(rturef,MATCH(I9,rtusize,0),MATCH(K9,rtuvent,0))*J9,IF(K5="MARVAIR",INDEX(marairref,MATCH(I9,marvairsize,0),MATCH(K9,marvairvent,0))*J9,0)))</f>
        <v>0</v>
      </c>
      <c r="O9" t="s">
        <v>311</v>
      </c>
      <c r="S9" s="95" t="s">
        <v>525</v>
      </c>
      <c r="T9" s="228" t="s">
        <v>518</v>
      </c>
      <c r="U9" s="228">
        <f>INDEX('Calculation Tables'!AU1:AU95,MATCH(B4,'Calculation Tables'!AT1:AT95,0))</f>
        <v>0</v>
      </c>
      <c r="V9" s="228">
        <f>U9*15</f>
        <v>0</v>
      </c>
      <c r="W9" t="s">
        <v>520</v>
      </c>
    </row>
    <row r="10" spans="1:30" ht="15.75" customHeight="1" thickBot="1" x14ac:dyDescent="0.3">
      <c r="A10" s="294"/>
      <c r="B10" s="345" t="s">
        <v>53</v>
      </c>
      <c r="C10" s="346"/>
      <c r="D10" s="340" t="str">
        <f>IF(E8&gt;E9,""&amp;E9&amp;" CFM &lt; "&amp;E8&amp;" CFM, THEREFORE NG",IF(E8&lt;E9,""&amp;E9&amp;" CFM &gt; "&amp;E8&amp;" CFM, THEREFORE OK",0))</f>
        <v>2300 CFM &gt; 210 CFM, THEREFORE OK</v>
      </c>
      <c r="E10" s="341"/>
      <c r="I10" s="107" t="s">
        <v>27</v>
      </c>
      <c r="J10" s="99">
        <v>0</v>
      </c>
      <c r="K10" s="124" t="s">
        <v>44</v>
      </c>
      <c r="L10" s="100">
        <f>IF(K5="bard",INDEX(bardindex,MATCH(I10,bardsize,0),MATCH(K10,bardvent,0))*J10,IF(K5="RTU",INDEX(rturef,MATCH(I10,rtusize,0),MATCH(K10,rtuvent,0))*J10,IF(K5="MARVAIR",INDEX(marairref,MATCH(I10,marvairsize,0),MATCH(K10,marvairvent,0))*J10,0)))</f>
        <v>0</v>
      </c>
      <c r="O10" t="s">
        <v>315</v>
      </c>
      <c r="S10" s="95" t="s">
        <v>527</v>
      </c>
      <c r="T10" s="228" t="s">
        <v>518</v>
      </c>
      <c r="U10" s="228">
        <f>INDEX('Calculation Tables'!AU1:AU95,MATCH(B5,'Calculation Tables'!AT1:AT95,0))</f>
        <v>0</v>
      </c>
      <c r="V10" s="228">
        <f>U10*15</f>
        <v>0</v>
      </c>
      <c r="W10" t="s">
        <v>520</v>
      </c>
    </row>
    <row r="11" spans="1:30" ht="15.75" customHeight="1" x14ac:dyDescent="0.25">
      <c r="A11" s="294"/>
      <c r="B11" s="114"/>
      <c r="C11" s="114"/>
      <c r="D11" s="114"/>
      <c r="E11" s="114"/>
      <c r="I11" s="320" t="str">
        <f>IF(AND(AND(J8&gt;0),(I8="5 Ton"),OR(K8="fad",K8="crv")),"Economizer Required for 5 Ton",IF(AND(AND(J9&gt;0),(I9="5 Ton"),OR(K9="fad",K9="crv")),"Economizer Required for 5 Ton",IF(AND(AND(J10&gt;0),(I10="5 Ton"),OR(K10="fad",K10="crv")),"Economizer Required for 5 Ton",IF(AND(AND(J8&gt;0),(I8="3 Ton"),OR(K8="fad",K8="crv")),"Economizer Required for 3 Ton / CEC 140.4(e)(1)",IF(AND(AND(J9&gt;0),(I9="3 Ton"),OR(K9="fad",K9="crv")),"Economizer Required for 3 Ton / CEC 140.4(e)(1)",IF(AND(AND(J10&gt;0),(I10="3 Ton"),OR(K10="fad",K10="crv")),"Economizer Required for 3 Ton / CEC 140.4(e)(1)",IF(AND(AND(J8&gt;0),(I8="3.5 Ton"),OR(K8="fad",K8="crv")),"Economizer Required for 3.5 Ton / CEC 140.4(e)(1)",IF(AND(AND(J9&gt;0),(I9="3.5 Ton"),OR(K9="fad",K9="crv")),"Economizer Required for 3.5 Ton / CEC 140.4(e)(1)",IF(AND(AND(J10&gt;0),(I10="3.5 Ton"),OR(K10="fad",K10="crv")),"Economizer Required for 3.5 Ton / CEC 140.4(e)(1)",IF(AND(AND(J8&gt;0),(I8="4 Ton"),OR(K8="fad",K8="crv")),"Economizer Required for 4 Ton / CEC 140.4(e)(1)",IF(AND(AND(J9&gt;0),(I9="4 Ton"),OR(K9="fad",K9="crv")),"Economizer Required for 4 Ton / CEC 140.4(e)(1)",IF(AND(AND(J10&gt;0),(I10="4 Ton"),OR(K10="fad",K10="crv")),"Economizer Required for 4 Ton / CEC 140.4(e)(1)",""))))))))))))</f>
        <v/>
      </c>
      <c r="J11" s="320"/>
      <c r="K11" s="320"/>
      <c r="L11" s="320"/>
      <c r="O11" t="s">
        <v>316</v>
      </c>
      <c r="S11" s="95" t="s">
        <v>528</v>
      </c>
      <c r="T11" s="228" t="s">
        <v>518</v>
      </c>
      <c r="U11" s="228">
        <f>INDEX('Calculation Tables'!AU1:AU95,MATCH(B6,'Calculation Tables'!AT1:AT95,0))</f>
        <v>0</v>
      </c>
      <c r="V11" s="228">
        <f>U11*15</f>
        <v>0</v>
      </c>
      <c r="W11" t="s">
        <v>520</v>
      </c>
    </row>
    <row r="12" spans="1:30" x14ac:dyDescent="0.25">
      <c r="A12" s="294"/>
      <c r="O12" t="s">
        <v>317</v>
      </c>
      <c r="S12" s="95" t="s">
        <v>526</v>
      </c>
      <c r="T12" s="228" t="s">
        <v>518</v>
      </c>
      <c r="U12" s="228">
        <f>INDEX('Calculation Tables'!AU1:AU95,MATCH(B7,'Calculation Tables'!AT1:AT95,0))</f>
        <v>0</v>
      </c>
      <c r="V12" s="228">
        <f>U12*15</f>
        <v>0</v>
      </c>
      <c r="W12" t="s">
        <v>520</v>
      </c>
    </row>
    <row r="13" spans="1:30" ht="15.75" thickBot="1" x14ac:dyDescent="0.3">
      <c r="A13" s="295"/>
      <c r="B13" s="115" t="s">
        <v>256</v>
      </c>
      <c r="C13" s="114"/>
      <c r="I13" s="110" t="s">
        <v>271</v>
      </c>
      <c r="J13" s="111"/>
      <c r="K13" s="111"/>
      <c r="O13" t="s">
        <v>318</v>
      </c>
      <c r="S13" s="95" t="s">
        <v>524</v>
      </c>
      <c r="T13" s="228" t="s">
        <v>518</v>
      </c>
      <c r="U13" s="228">
        <f>F3</f>
        <v>9</v>
      </c>
      <c r="V13" s="228">
        <f>SUM(F3*15)</f>
        <v>135</v>
      </c>
      <c r="W13" t="s">
        <v>521</v>
      </c>
      <c r="Z13">
        <f>SUM(V13+V14+V15+V16+V17)</f>
        <v>135</v>
      </c>
      <c r="AA13" t="s">
        <v>531</v>
      </c>
    </row>
    <row r="14" spans="1:30" x14ac:dyDescent="0.25">
      <c r="B14" s="116" t="s">
        <v>254</v>
      </c>
      <c r="C14" s="114" t="s">
        <v>270</v>
      </c>
      <c r="O14" t="s">
        <v>319</v>
      </c>
      <c r="S14" s="95" t="s">
        <v>525</v>
      </c>
      <c r="T14" s="228" t="s">
        <v>518</v>
      </c>
      <c r="U14" s="228">
        <f>F4</f>
        <v>0</v>
      </c>
      <c r="V14" s="228">
        <f>SUM(F4*15)</f>
        <v>0</v>
      </c>
      <c r="W14" t="s">
        <v>521</v>
      </c>
    </row>
    <row r="15" spans="1:30" x14ac:dyDescent="0.25">
      <c r="E15" s="231"/>
      <c r="S15" s="95" t="s">
        <v>527</v>
      </c>
      <c r="T15" s="228" t="s">
        <v>518</v>
      </c>
      <c r="U15" s="228">
        <f>F5</f>
        <v>0</v>
      </c>
      <c r="V15" s="228">
        <f>SUM(F5*15)</f>
        <v>0</v>
      </c>
      <c r="W15" t="s">
        <v>521</v>
      </c>
    </row>
    <row r="16" spans="1:30" ht="15.75" thickBot="1" x14ac:dyDescent="0.3">
      <c r="S16" s="95" t="s">
        <v>528</v>
      </c>
      <c r="T16" s="228" t="s">
        <v>518</v>
      </c>
      <c r="U16" s="228">
        <f>F6</f>
        <v>0</v>
      </c>
      <c r="V16" s="228">
        <f>SUM(F6*15)</f>
        <v>0</v>
      </c>
      <c r="W16" t="s">
        <v>521</v>
      </c>
    </row>
    <row r="17" spans="2:27" ht="15.75" thickBot="1" x14ac:dyDescent="0.3">
      <c r="B17" s="321" t="s">
        <v>280</v>
      </c>
      <c r="C17" s="322"/>
      <c r="D17" s="323"/>
      <c r="E17" s="112"/>
      <c r="S17" s="95" t="s">
        <v>526</v>
      </c>
      <c r="T17" s="228" t="s">
        <v>518</v>
      </c>
      <c r="U17" s="228">
        <f>F7</f>
        <v>0</v>
      </c>
      <c r="V17" s="228">
        <f>SUM(F7*15)</f>
        <v>0</v>
      </c>
      <c r="W17" t="s">
        <v>521</v>
      </c>
    </row>
    <row r="18" spans="2:27" x14ac:dyDescent="0.25">
      <c r="B18" s="335" t="str">
        <f>IF('Calculation Tables'!AF98="Title 24: CO2 Sensor required","CO2 Sensor required in spaces for "&amp;B3&amp;"","")</f>
        <v/>
      </c>
      <c r="C18" s="336"/>
      <c r="D18" s="337"/>
      <c r="E18" s="232"/>
      <c r="Z18">
        <f>MAX(Z8,Z13)</f>
        <v>135</v>
      </c>
      <c r="AA18" t="s">
        <v>523</v>
      </c>
    </row>
    <row r="19" spans="2:27" x14ac:dyDescent="0.25">
      <c r="B19" s="329" t="str">
        <f>IF('Calculation Tables'!AF99="Title 24: CO2 Sensor required","CO2 Sensor required in spaces for "&amp;B4&amp;"","")</f>
        <v/>
      </c>
      <c r="C19" s="330"/>
      <c r="D19" s="331"/>
      <c r="E19" s="232"/>
    </row>
    <row r="20" spans="2:27" x14ac:dyDescent="0.25">
      <c r="B20" s="329" t="str">
        <f>IF('Calculation Tables'!AF100="Title 24: CO2 Sensor required","CO2 Sensor required in spaces for "&amp;B5&amp;"","")</f>
        <v/>
      </c>
      <c r="C20" s="330"/>
      <c r="D20" s="331"/>
      <c r="E20" s="232"/>
    </row>
    <row r="21" spans="2:27" x14ac:dyDescent="0.25">
      <c r="B21" s="329" t="str">
        <f>IF('Calculation Tables'!AF101="Title 24: CO2 Sensor required","CO2 Sensor required in spaces for "&amp;B6&amp;"","")</f>
        <v/>
      </c>
      <c r="C21" s="330"/>
      <c r="D21" s="331"/>
      <c r="E21" s="232"/>
    </row>
    <row r="22" spans="2:27" ht="15.75" thickBot="1" x14ac:dyDescent="0.3">
      <c r="B22" s="332" t="str">
        <f>IF('Calculation Tables'!AF102="Title 24: CO2 Sensor required","CO2 Sensor required in spaces for "&amp;B7&amp;"","")</f>
        <v/>
      </c>
      <c r="C22" s="333"/>
      <c r="D22" s="334"/>
      <c r="E22" s="232"/>
    </row>
  </sheetData>
  <mergeCells count="13">
    <mergeCell ref="B1:E1"/>
    <mergeCell ref="I11:L11"/>
    <mergeCell ref="D10:E10"/>
    <mergeCell ref="B8:D8"/>
    <mergeCell ref="B9:D9"/>
    <mergeCell ref="B10:C10"/>
    <mergeCell ref="B22:D22"/>
    <mergeCell ref="A8:A13"/>
    <mergeCell ref="B17:D17"/>
    <mergeCell ref="B18:D18"/>
    <mergeCell ref="B19:D19"/>
    <mergeCell ref="B20:D20"/>
    <mergeCell ref="B21:D21"/>
  </mergeCells>
  <conditionalFormatting sqref="B18:B22">
    <cfRule type="containsText" dxfId="2" priority="2" operator="containsText" text="co2">
      <formula>NOT(ISERROR(SEARCH("co2",B18)))</formula>
    </cfRule>
  </conditionalFormatting>
  <conditionalFormatting sqref="D10">
    <cfRule type="containsText" dxfId="1" priority="3" operator="containsText" text="NG">
      <formula>NOT(ISERROR(SEARCH("NG",D10)))</formula>
    </cfRule>
  </conditionalFormatting>
  <conditionalFormatting sqref="I11:L11">
    <cfRule type="containsText" dxfId="0" priority="1" operator="containsText" text="economizer">
      <formula>NOT(ISERROR(SEARCH("economizer",I11)))</formula>
    </cfRule>
  </conditionalFormatting>
  <dataValidations count="11">
    <dataValidation type="list" allowBlank="1" showInputMessage="1" showErrorMessage="1" sqref="K5" xr:uid="{3F4741DE-5AF5-4C35-A961-801954E38518}">
      <formula1>"BARD, RTU, MARVAIR"</formula1>
    </dataValidation>
    <dataValidation type="list" allowBlank="1" showInputMessage="1" showErrorMessage="1" sqref="K8:K10" xr:uid="{E3594D4F-F9B4-490A-A947-F30F9478F689}">
      <formula1>bardvent</formula1>
    </dataValidation>
    <dataValidation type="list" allowBlank="1" showInputMessage="1" showErrorMessage="1" sqref="I9" xr:uid="{4812DDAE-47CA-44B7-8BA0-42F0A6FE3C0E}">
      <formula1>IF(K5="bard",bardsize,IF(K5="rtu",rtusize,IF(K5="marvair",marvairsize,0)))</formula1>
    </dataValidation>
    <dataValidation type="list" allowBlank="1" showInputMessage="1" showErrorMessage="1" sqref="I8" xr:uid="{195BB1D2-6AE7-4A09-B3AC-262B48FBFB4C}">
      <formula1>IF(K5="bard",bardsize,IF(K5="rtu",rtusize,IF(K5="marvair",marvairsize,0)))</formula1>
    </dataValidation>
    <dataValidation type="list" allowBlank="1" showInputMessage="1" showErrorMessage="1" sqref="I10" xr:uid="{875AD935-010F-4CA9-9BD2-3EE22EFD36E6}">
      <formula1>IF(K5="bard",bardsize,IF(K5="rtu",rtusize,IF(K5="marvair",marvairsize,0)))</formula1>
    </dataValidation>
    <dataValidation type="list" allowBlank="1" showInputMessage="1" showErrorMessage="1" sqref="A3:A7" xr:uid="{D5D05D63-1611-42A2-8B5E-159CAC66271E}">
      <formula1>$O$4:$O$14</formula1>
    </dataValidation>
    <dataValidation type="list" allowBlank="1" showInputMessage="1" showErrorMessage="1" sqref="B6" xr:uid="{75EF31FC-CB8E-4AA0-A595-D61695B5E948}">
      <formula1>IF(A6=O4,NONE1,IF(A6=O5,OffCA,IF(A6=O6,EdCA,IF(A6=O7,GenCA,IF(A6=O8,HotCA,IF(A6=O9,FoCA,IF(A6=O10,MisCA,IF(A6=O11,PubCA,IF(A6=O12,ResCA,IF(A6=O13,RetCA,IF(A6=O14,SporCA,0)))))))))))</formula1>
    </dataValidation>
    <dataValidation type="list" allowBlank="1" showInputMessage="1" showErrorMessage="1" sqref="B5" xr:uid="{45CF89EB-C593-4762-ADED-89D791E5C107}">
      <formula1>IF(A5=O4,NONE1,IF(A5=O5,OffCA,IF(A5=O6,EdCA,IF(A5=O7,GenCA,IF(A5=O8,HotCA,IF(A5=O9,FoCA,IF(A5=O10,MisCA,IF(A5=O11,PubCA,IF(A5=O12,ResCA,IF(A5=O13,RetCA,IF(A5=O14,SporCA,0)))))))))))</formula1>
    </dataValidation>
    <dataValidation type="list" allowBlank="1" showInputMessage="1" showErrorMessage="1" sqref="B4" xr:uid="{2466771A-103B-437C-BCE2-0033B29FED67}">
      <formula1>IF(A4=O4,NONE1,IF(A4=O5,OffCA,IF(A4=O6,EdCA,IF(A4=O7,GenCA,IF(A4=O8,HotCA,IF(A4=O9,FoCA,IF(A4=O10,MisCA,IF(A4=O11,PubCA,IF(A4=O12,ResCA,IF(A4=O13,RetCA,IF(A4=O14,SporCA,0)))))))))))</formula1>
    </dataValidation>
    <dataValidation type="list" allowBlank="1" showInputMessage="1" showErrorMessage="1" sqref="B7" xr:uid="{9E0E2BC0-916E-4BA5-A6E4-C87D5BF3073F}">
      <formula1>IF(A7=O4,NONE1,IF(A7=O5,OffCA,IF(A7=O6,EdCA,IF(A7=O7,GenCA,IF(A7=O8,HotCA,IF(A7=O9,FoCA,IF(A7=O10,MisCA,IF(A7=O11,PubCA,IF(A7=O12,ResCA,IF(A7=O13,RetCA,IF(A7=O14,SporCA,0)))))))))))</formula1>
    </dataValidation>
    <dataValidation type="list" allowBlank="1" showInputMessage="1" showErrorMessage="1" sqref="B3" xr:uid="{76C3D905-4AC4-4473-A9C5-CB6BB7E2DDE4}">
      <formula1>IF(A3=O4,NONE1,IF(A3=O5,OffCA,IF(A3=O6,EdCA,IF(A3=O7,GenCA,IF(A3=O8,HotCA,IF(A3=O9,FoCA,IF(A3=O10,MisCA,IF(A3=O11,PubCA,IF(A3=O12,ResCA,IF(A3=O13,RetCA,IF(A3=O14,SporCA,0)))))))))))</formula1>
    </dataValidation>
  </dataValidation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D83D-4F32-43E9-84F1-BD9221104F74}">
  <dimension ref="A1:E44"/>
  <sheetViews>
    <sheetView workbookViewId="0">
      <selection activeCell="C4" sqref="C4"/>
    </sheetView>
  </sheetViews>
  <sheetFormatPr defaultRowHeight="15" x14ac:dyDescent="0.25"/>
  <cols>
    <col min="1" max="1" width="30.7109375" customWidth="1"/>
    <col min="2" max="5" width="9.7109375" customWidth="1"/>
  </cols>
  <sheetData>
    <row r="1" spans="1:5" ht="19.5" thickBot="1" x14ac:dyDescent="0.3">
      <c r="A1" s="350" t="s">
        <v>58</v>
      </c>
      <c r="B1" s="351"/>
      <c r="C1" s="351"/>
      <c r="D1" s="351"/>
      <c r="E1" s="352"/>
    </row>
    <row r="2" spans="1:5" ht="45.75" customHeight="1" thickBot="1" x14ac:dyDescent="0.3">
      <c r="A2" s="1" t="s">
        <v>59</v>
      </c>
      <c r="B2" s="1" t="s">
        <v>60</v>
      </c>
      <c r="C2" s="1" t="s">
        <v>25</v>
      </c>
      <c r="D2" s="1" t="s">
        <v>61</v>
      </c>
      <c r="E2" s="1" t="s">
        <v>62</v>
      </c>
    </row>
    <row r="3" spans="1:5" ht="30" customHeight="1" thickBot="1" x14ac:dyDescent="0.3">
      <c r="A3" s="353" t="s">
        <v>63</v>
      </c>
      <c r="B3" s="354"/>
      <c r="C3" s="354"/>
      <c r="D3" s="354"/>
      <c r="E3" s="355"/>
    </row>
    <row r="4" spans="1:5" ht="30" customHeight="1" thickBot="1" x14ac:dyDescent="0.3">
      <c r="A4" s="42" t="s">
        <v>64</v>
      </c>
      <c r="B4" s="43">
        <v>1</v>
      </c>
      <c r="C4" s="44">
        <v>0</v>
      </c>
      <c r="D4" s="45"/>
      <c r="E4" s="46">
        <f>SUM(B4*C4)</f>
        <v>0</v>
      </c>
    </row>
    <row r="5" spans="1:5" ht="30" customHeight="1" thickBot="1" x14ac:dyDescent="0.3">
      <c r="A5" s="353" t="s">
        <v>65</v>
      </c>
      <c r="B5" s="354"/>
      <c r="C5" s="354"/>
      <c r="D5" s="354"/>
      <c r="E5" s="355"/>
    </row>
    <row r="6" spans="1:5" ht="30" customHeight="1" x14ac:dyDescent="0.25">
      <c r="A6" s="47" t="s">
        <v>66</v>
      </c>
      <c r="B6" s="48">
        <v>0.7</v>
      </c>
      <c r="C6" s="49">
        <v>0</v>
      </c>
      <c r="D6" s="50"/>
      <c r="E6" s="51">
        <f>SUM(B6*C6)</f>
        <v>0</v>
      </c>
    </row>
    <row r="7" spans="1:5" ht="30" customHeight="1" x14ac:dyDescent="0.25">
      <c r="A7" s="52" t="s">
        <v>67</v>
      </c>
      <c r="B7" s="53">
        <v>0.25</v>
      </c>
      <c r="C7" s="54">
        <v>0</v>
      </c>
      <c r="D7" s="55"/>
      <c r="E7" s="56">
        <f>SUM(B7*C7)</f>
        <v>0</v>
      </c>
    </row>
    <row r="8" spans="1:5" ht="30" customHeight="1" x14ac:dyDescent="0.25">
      <c r="A8" s="52" t="s">
        <v>68</v>
      </c>
      <c r="B8" s="53">
        <v>1</v>
      </c>
      <c r="C8" s="54">
        <v>0</v>
      </c>
      <c r="D8" s="55"/>
      <c r="E8" s="56">
        <f>SUM(B8*C8)</f>
        <v>0</v>
      </c>
    </row>
    <row r="9" spans="1:5" ht="30" customHeight="1" x14ac:dyDescent="0.25">
      <c r="A9" s="52" t="s">
        <v>69</v>
      </c>
      <c r="B9" s="53">
        <v>0.5</v>
      </c>
      <c r="C9" s="54">
        <v>0</v>
      </c>
      <c r="D9" s="55"/>
      <c r="E9" s="56">
        <f>SUM(B9*C9)</f>
        <v>0</v>
      </c>
    </row>
    <row r="10" spans="1:5" ht="30" customHeight="1" thickBot="1" x14ac:dyDescent="0.3">
      <c r="A10" s="57" t="s">
        <v>70</v>
      </c>
      <c r="B10" s="58">
        <v>0.5</v>
      </c>
      <c r="C10" s="59">
        <v>0</v>
      </c>
      <c r="D10" s="60"/>
      <c r="E10" s="61">
        <f>SUM(B10*C10)</f>
        <v>0</v>
      </c>
    </row>
    <row r="11" spans="1:5" ht="30" customHeight="1" thickBot="1" x14ac:dyDescent="0.3">
      <c r="A11" s="353" t="s">
        <v>71</v>
      </c>
      <c r="B11" s="354"/>
      <c r="C11" s="354"/>
      <c r="D11" s="354"/>
      <c r="E11" s="355"/>
    </row>
    <row r="12" spans="1:5" ht="30" customHeight="1" thickBot="1" x14ac:dyDescent="0.3">
      <c r="A12" s="62" t="s">
        <v>72</v>
      </c>
      <c r="B12" s="63">
        <v>0.7</v>
      </c>
      <c r="C12" s="64">
        <v>0</v>
      </c>
      <c r="D12" s="65"/>
      <c r="E12" s="66">
        <f>SUM(B12*C12)</f>
        <v>0</v>
      </c>
    </row>
    <row r="13" spans="1:5" ht="30" customHeight="1" thickBot="1" x14ac:dyDescent="0.3">
      <c r="A13" s="353" t="s">
        <v>73</v>
      </c>
      <c r="B13" s="354"/>
      <c r="C13" s="354"/>
      <c r="D13" s="354"/>
      <c r="E13" s="355"/>
    </row>
    <row r="14" spans="1:5" ht="30" customHeight="1" x14ac:dyDescent="0.25">
      <c r="A14" s="47" t="s">
        <v>74</v>
      </c>
      <c r="B14" s="48">
        <v>50</v>
      </c>
      <c r="C14" s="67"/>
      <c r="D14" s="68">
        <v>0</v>
      </c>
      <c r="E14" s="51">
        <f>SUM(B14*D14)</f>
        <v>0</v>
      </c>
    </row>
    <row r="15" spans="1:5" ht="30" customHeight="1" x14ac:dyDescent="0.25">
      <c r="A15" s="356" t="s">
        <v>75</v>
      </c>
      <c r="B15" s="357"/>
      <c r="C15" s="357"/>
      <c r="D15" s="357"/>
      <c r="E15" s="358"/>
    </row>
    <row r="16" spans="1:5" ht="30" customHeight="1" x14ac:dyDescent="0.25">
      <c r="A16" s="52" t="s">
        <v>76</v>
      </c>
      <c r="B16" s="53">
        <v>0.75</v>
      </c>
      <c r="C16" s="54">
        <v>0</v>
      </c>
      <c r="D16" s="55"/>
      <c r="E16" s="56">
        <f>SUM(B16*C16)</f>
        <v>0</v>
      </c>
    </row>
    <row r="17" spans="1:5" ht="30" customHeight="1" x14ac:dyDescent="0.25">
      <c r="A17" s="52" t="s">
        <v>472</v>
      </c>
      <c r="B17" s="53">
        <v>50</v>
      </c>
      <c r="C17" s="69"/>
      <c r="D17" s="70">
        <v>0</v>
      </c>
      <c r="E17" s="56">
        <f>SUM(B17*D17)</f>
        <v>0</v>
      </c>
    </row>
    <row r="18" spans="1:5" ht="30" customHeight="1" x14ac:dyDescent="0.25">
      <c r="A18" s="52" t="s">
        <v>473</v>
      </c>
      <c r="B18" s="53">
        <v>100</v>
      </c>
      <c r="C18" s="69"/>
      <c r="D18" s="70">
        <v>0</v>
      </c>
      <c r="E18" s="56">
        <f>SUM(B18*D18)</f>
        <v>0</v>
      </c>
    </row>
    <row r="19" spans="1:5" ht="30" customHeight="1" x14ac:dyDescent="0.25">
      <c r="A19" s="52" t="s">
        <v>474</v>
      </c>
      <c r="B19" s="53">
        <v>25</v>
      </c>
      <c r="C19" s="69"/>
      <c r="D19" s="70">
        <v>0</v>
      </c>
      <c r="E19" s="56">
        <f>SUM(B19*D19)</f>
        <v>0</v>
      </c>
    </row>
    <row r="20" spans="1:5" ht="30" customHeight="1" thickBot="1" x14ac:dyDescent="0.3">
      <c r="A20" s="183" t="s">
        <v>475</v>
      </c>
      <c r="B20" s="185">
        <v>50</v>
      </c>
      <c r="C20" s="186"/>
      <c r="D20" s="187">
        <v>0</v>
      </c>
      <c r="E20" s="188">
        <f>SUM(B20*D20)</f>
        <v>0</v>
      </c>
    </row>
    <row r="21" spans="1:5" ht="30" customHeight="1" thickBot="1" x14ac:dyDescent="0.3">
      <c r="A21" s="347" t="s">
        <v>77</v>
      </c>
      <c r="B21" s="348"/>
      <c r="C21" s="348"/>
      <c r="D21" s="348"/>
      <c r="E21" s="349"/>
    </row>
    <row r="22" spans="1:5" ht="30" customHeight="1" x14ac:dyDescent="0.25">
      <c r="A22" s="76" t="s">
        <v>78</v>
      </c>
      <c r="B22" s="77">
        <v>1</v>
      </c>
      <c r="C22" s="78">
        <v>0</v>
      </c>
      <c r="D22" s="79"/>
      <c r="E22" s="80"/>
    </row>
    <row r="23" spans="1:5" ht="30" customHeight="1" x14ac:dyDescent="0.25">
      <c r="A23" s="52" t="s">
        <v>468</v>
      </c>
      <c r="B23" s="53">
        <v>20</v>
      </c>
      <c r="C23" s="69"/>
      <c r="D23" s="70">
        <v>0</v>
      </c>
      <c r="E23" s="56">
        <f>SUM(B23*D23)</f>
        <v>0</v>
      </c>
    </row>
    <row r="24" spans="1:5" ht="30" customHeight="1" x14ac:dyDescent="0.25">
      <c r="A24" s="52" t="s">
        <v>471</v>
      </c>
      <c r="B24" s="53">
        <v>50</v>
      </c>
      <c r="C24" s="69"/>
      <c r="D24" s="70">
        <v>0</v>
      </c>
      <c r="E24" s="56">
        <f>SUM(B24*D24)</f>
        <v>0</v>
      </c>
    </row>
    <row r="25" spans="1:5" ht="30" customHeight="1" x14ac:dyDescent="0.25">
      <c r="A25" s="52" t="s">
        <v>469</v>
      </c>
      <c r="B25" s="53">
        <v>50</v>
      </c>
      <c r="C25" s="69"/>
      <c r="D25" s="70">
        <v>0</v>
      </c>
      <c r="E25" s="56">
        <f>SUM(B25*D25)</f>
        <v>0</v>
      </c>
    </row>
    <row r="26" spans="1:5" ht="30" customHeight="1" thickBot="1" x14ac:dyDescent="0.3">
      <c r="A26" s="183" t="s">
        <v>470</v>
      </c>
      <c r="B26" s="185">
        <v>70</v>
      </c>
      <c r="C26" s="186"/>
      <c r="D26" s="187">
        <v>0</v>
      </c>
      <c r="E26" s="188">
        <f>SUM(B26*D26)</f>
        <v>0</v>
      </c>
    </row>
    <row r="27" spans="1:5" ht="30" customHeight="1" thickBot="1" x14ac:dyDescent="0.3">
      <c r="A27" s="347" t="s">
        <v>79</v>
      </c>
      <c r="B27" s="348"/>
      <c r="C27" s="348"/>
      <c r="D27" s="348"/>
      <c r="E27" s="349"/>
    </row>
    <row r="28" spans="1:5" ht="30" customHeight="1" thickBot="1" x14ac:dyDescent="0.3">
      <c r="A28" s="81" t="s">
        <v>80</v>
      </c>
      <c r="B28" s="82">
        <v>0.25</v>
      </c>
      <c r="C28" s="83">
        <v>0</v>
      </c>
      <c r="D28" s="84"/>
      <c r="E28" s="85">
        <f>SUM(B28*C28)</f>
        <v>0</v>
      </c>
    </row>
    <row r="29" spans="1:5" ht="30" customHeight="1" thickBot="1" x14ac:dyDescent="0.3">
      <c r="A29" s="347" t="s">
        <v>81</v>
      </c>
      <c r="B29" s="348"/>
      <c r="C29" s="348"/>
      <c r="D29" s="348"/>
      <c r="E29" s="349"/>
    </row>
    <row r="30" spans="1:5" ht="30" customHeight="1" x14ac:dyDescent="0.25">
      <c r="A30" s="76" t="s">
        <v>82</v>
      </c>
      <c r="B30" s="77">
        <v>1.5</v>
      </c>
      <c r="C30" s="78">
        <v>0</v>
      </c>
      <c r="D30" s="79"/>
      <c r="E30" s="80">
        <f t="shared" ref="E30:E35" si="0">SUM(B30*C30)</f>
        <v>0</v>
      </c>
    </row>
    <row r="31" spans="1:5" ht="30" customHeight="1" x14ac:dyDescent="0.25">
      <c r="A31" s="52" t="s">
        <v>83</v>
      </c>
      <c r="B31" s="53">
        <v>0.5</v>
      </c>
      <c r="C31" s="54">
        <v>0</v>
      </c>
      <c r="D31" s="55"/>
      <c r="E31" s="56">
        <f t="shared" si="0"/>
        <v>0</v>
      </c>
    </row>
    <row r="32" spans="1:5" ht="30" customHeight="1" x14ac:dyDescent="0.25">
      <c r="A32" s="52" t="s">
        <v>84</v>
      </c>
      <c r="B32" s="53">
        <v>0.6</v>
      </c>
      <c r="C32" s="54">
        <v>0</v>
      </c>
      <c r="D32" s="55"/>
      <c r="E32" s="56">
        <f t="shared" si="0"/>
        <v>0</v>
      </c>
    </row>
    <row r="33" spans="1:5" ht="30" customHeight="1" x14ac:dyDescent="0.25">
      <c r="A33" s="52" t="s">
        <v>85</v>
      </c>
      <c r="B33" s="53">
        <v>2</v>
      </c>
      <c r="C33" s="54">
        <v>0</v>
      </c>
      <c r="D33" s="55"/>
      <c r="E33" s="56">
        <f t="shared" si="0"/>
        <v>0</v>
      </c>
    </row>
    <row r="34" spans="1:5" ht="30" customHeight="1" x14ac:dyDescent="0.25">
      <c r="A34" s="52" t="s">
        <v>86</v>
      </c>
      <c r="B34" s="53">
        <v>0.6</v>
      </c>
      <c r="C34" s="54">
        <v>0</v>
      </c>
      <c r="D34" s="55"/>
      <c r="E34" s="56">
        <f t="shared" si="0"/>
        <v>0</v>
      </c>
    </row>
    <row r="35" spans="1:5" ht="30" customHeight="1" thickBot="1" x14ac:dyDescent="0.3">
      <c r="A35" s="71" t="s">
        <v>87</v>
      </c>
      <c r="B35" s="72">
        <v>0.9</v>
      </c>
      <c r="C35" s="86">
        <v>0</v>
      </c>
      <c r="D35" s="87"/>
      <c r="E35" s="75">
        <f t="shared" si="0"/>
        <v>0</v>
      </c>
    </row>
    <row r="36" spans="1:5" ht="30" customHeight="1" thickBot="1" x14ac:dyDescent="0.3">
      <c r="A36" s="347" t="s">
        <v>88</v>
      </c>
      <c r="B36" s="348"/>
      <c r="C36" s="348"/>
      <c r="D36" s="348"/>
      <c r="E36" s="349"/>
    </row>
    <row r="37" spans="1:5" ht="30" customHeight="1" thickBot="1" x14ac:dyDescent="0.3">
      <c r="A37" s="81" t="s">
        <v>89</v>
      </c>
      <c r="B37" s="82">
        <v>0.5</v>
      </c>
      <c r="C37" s="83">
        <v>0</v>
      </c>
      <c r="D37" s="84"/>
      <c r="E37" s="85">
        <f>SUM(B37*C37)</f>
        <v>0</v>
      </c>
    </row>
    <row r="38" spans="1:5" ht="30" customHeight="1" thickBot="1" x14ac:dyDescent="0.3">
      <c r="A38" s="347" t="s">
        <v>90</v>
      </c>
      <c r="B38" s="348"/>
      <c r="C38" s="348"/>
      <c r="D38" s="348"/>
      <c r="E38" s="349"/>
    </row>
    <row r="39" spans="1:5" ht="30" customHeight="1" thickBot="1" x14ac:dyDescent="0.3">
      <c r="A39" s="81" t="s">
        <v>91</v>
      </c>
      <c r="B39" s="82">
        <v>0.75</v>
      </c>
      <c r="C39" s="83">
        <v>0</v>
      </c>
      <c r="D39" s="84"/>
      <c r="E39" s="85">
        <f>SUM(B39*C39)</f>
        <v>0</v>
      </c>
    </row>
    <row r="40" spans="1:5" ht="30" customHeight="1" thickBot="1" x14ac:dyDescent="0.3">
      <c r="A40" s="347" t="s">
        <v>92</v>
      </c>
      <c r="B40" s="348"/>
      <c r="C40" s="348"/>
      <c r="D40" s="348"/>
      <c r="E40" s="349"/>
    </row>
    <row r="41" spans="1:5" ht="30" customHeight="1" x14ac:dyDescent="0.25">
      <c r="A41" s="76" t="s">
        <v>93</v>
      </c>
      <c r="B41" s="77">
        <v>0.5</v>
      </c>
      <c r="C41" s="78">
        <v>0</v>
      </c>
      <c r="D41" s="79"/>
      <c r="E41" s="80">
        <f>SUM(B41*C41)</f>
        <v>0</v>
      </c>
    </row>
    <row r="42" spans="1:5" ht="30" customHeight="1" thickBot="1" x14ac:dyDescent="0.3">
      <c r="A42" s="71" t="s">
        <v>94</v>
      </c>
      <c r="B42" s="72">
        <v>1</v>
      </c>
      <c r="C42" s="86">
        <v>0</v>
      </c>
      <c r="D42" s="87"/>
      <c r="E42" s="75">
        <f>SUM(B42*C42)</f>
        <v>0</v>
      </c>
    </row>
    <row r="43" spans="1:5" ht="15" customHeight="1" thickBot="1" x14ac:dyDescent="0.3">
      <c r="A43" s="88"/>
      <c r="B43" s="89"/>
      <c r="C43" s="89"/>
      <c r="D43" s="89"/>
      <c r="E43" s="89"/>
    </row>
    <row r="44" spans="1:5" ht="30" customHeight="1" thickBot="1" x14ac:dyDescent="0.3">
      <c r="A44" s="90" t="s">
        <v>95</v>
      </c>
      <c r="B44" s="91">
        <f>SUM(E4+E6+E7+E8+E9+E10+E12+E14+E16+E18+E20+E24+E26+E28+E30+E31+E32+E33+E34+E35+E37+E39+E41+E42)</f>
        <v>0</v>
      </c>
      <c r="C44" s="92" t="s">
        <v>1</v>
      </c>
      <c r="D44" s="89"/>
      <c r="E44" s="89"/>
    </row>
  </sheetData>
  <mergeCells count="12">
    <mergeCell ref="A40:E40"/>
    <mergeCell ref="A1:E1"/>
    <mergeCell ref="A3:E3"/>
    <mergeCell ref="A5:E5"/>
    <mergeCell ref="A11:E11"/>
    <mergeCell ref="A13:E13"/>
    <mergeCell ref="A15:E15"/>
    <mergeCell ref="A21:E21"/>
    <mergeCell ref="A27:E27"/>
    <mergeCell ref="A29:E29"/>
    <mergeCell ref="A36:E36"/>
    <mergeCell ref="A38:E3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9673-6C1E-421F-9741-FE86587E25F9}">
  <dimension ref="A1:N58"/>
  <sheetViews>
    <sheetView workbookViewId="0">
      <selection activeCell="C4" sqref="C4"/>
    </sheetView>
  </sheetViews>
  <sheetFormatPr defaultRowHeight="15" x14ac:dyDescent="0.25"/>
  <cols>
    <col min="1" max="1" width="28.140625" customWidth="1"/>
    <col min="2" max="5" width="9.7109375" customWidth="1"/>
  </cols>
  <sheetData>
    <row r="1" spans="1:5" ht="19.5" thickBot="1" x14ac:dyDescent="0.3">
      <c r="A1" s="350" t="s">
        <v>58</v>
      </c>
      <c r="B1" s="351"/>
      <c r="C1" s="351"/>
      <c r="D1" s="351"/>
      <c r="E1" s="352"/>
    </row>
    <row r="2" spans="1:5" ht="45.75" customHeight="1" thickBot="1" x14ac:dyDescent="0.3">
      <c r="A2" s="1" t="s">
        <v>59</v>
      </c>
      <c r="B2" s="1" t="s">
        <v>60</v>
      </c>
      <c r="C2" s="1" t="s">
        <v>25</v>
      </c>
      <c r="D2" s="1" t="s">
        <v>61</v>
      </c>
      <c r="E2" s="1" t="s">
        <v>62</v>
      </c>
    </row>
    <row r="3" spans="1:5" ht="15" customHeight="1" thickBot="1" x14ac:dyDescent="0.3">
      <c r="A3" s="353" t="s">
        <v>432</v>
      </c>
      <c r="B3" s="354"/>
      <c r="C3" s="354"/>
      <c r="D3" s="354"/>
      <c r="E3" s="355"/>
    </row>
    <row r="4" spans="1:5" ht="30" customHeight="1" x14ac:dyDescent="0.25">
      <c r="A4" s="177" t="s">
        <v>433</v>
      </c>
      <c r="B4" s="48">
        <v>0.9</v>
      </c>
      <c r="C4" s="49">
        <v>0</v>
      </c>
      <c r="D4" s="50"/>
      <c r="E4" s="51">
        <f t="shared" ref="E4:E13" si="0">SUM(B4*C4)</f>
        <v>0</v>
      </c>
    </row>
    <row r="5" spans="1:5" ht="30" customHeight="1" x14ac:dyDescent="0.25">
      <c r="A5" s="177" t="s">
        <v>434</v>
      </c>
      <c r="B5" s="48">
        <v>3</v>
      </c>
      <c r="C5" s="54">
        <v>0</v>
      </c>
      <c r="D5" s="55"/>
      <c r="E5" s="56">
        <f t="shared" si="0"/>
        <v>0</v>
      </c>
    </row>
    <row r="6" spans="1:5" ht="30" customHeight="1" x14ac:dyDescent="0.25">
      <c r="A6" s="177" t="s">
        <v>435</v>
      </c>
      <c r="B6" s="48">
        <v>1.5</v>
      </c>
      <c r="C6" s="54">
        <v>0</v>
      </c>
      <c r="D6" s="55"/>
      <c r="E6" s="56">
        <f t="shared" si="0"/>
        <v>0</v>
      </c>
    </row>
    <row r="7" spans="1:5" ht="30" customHeight="1" x14ac:dyDescent="0.25">
      <c r="A7" s="177" t="s">
        <v>436</v>
      </c>
      <c r="B7" s="48">
        <v>1.5</v>
      </c>
      <c r="C7" s="54">
        <v>0</v>
      </c>
      <c r="D7" s="55"/>
      <c r="E7" s="56">
        <f t="shared" si="0"/>
        <v>0</v>
      </c>
    </row>
    <row r="8" spans="1:5" ht="30" customHeight="1" x14ac:dyDescent="0.25">
      <c r="A8" s="177" t="s">
        <v>437</v>
      </c>
      <c r="B8" s="48">
        <v>2.25</v>
      </c>
      <c r="C8" s="54">
        <v>0</v>
      </c>
      <c r="D8" s="55"/>
      <c r="E8" s="56">
        <f t="shared" si="0"/>
        <v>0</v>
      </c>
    </row>
    <row r="9" spans="1:5" ht="30" customHeight="1" x14ac:dyDescent="0.25">
      <c r="A9" s="177" t="s">
        <v>438</v>
      </c>
      <c r="B9" s="48">
        <v>1.5</v>
      </c>
      <c r="C9" s="54">
        <v>0</v>
      </c>
      <c r="D9" s="55"/>
      <c r="E9" s="56">
        <f t="shared" si="0"/>
        <v>0</v>
      </c>
    </row>
    <row r="10" spans="1:5" ht="30" customHeight="1" x14ac:dyDescent="0.25">
      <c r="A10" s="177" t="s">
        <v>439</v>
      </c>
      <c r="B10" s="48">
        <v>2.25</v>
      </c>
      <c r="C10" s="54">
        <v>0</v>
      </c>
      <c r="D10" s="55"/>
      <c r="E10" s="56">
        <f t="shared" si="0"/>
        <v>0</v>
      </c>
    </row>
    <row r="11" spans="1:5" ht="30" customHeight="1" x14ac:dyDescent="0.25">
      <c r="A11" s="177" t="s">
        <v>440</v>
      </c>
      <c r="B11" s="48">
        <v>2.25</v>
      </c>
      <c r="C11" s="54">
        <v>0</v>
      </c>
      <c r="D11" s="55"/>
      <c r="E11" s="56">
        <f t="shared" si="0"/>
        <v>0</v>
      </c>
    </row>
    <row r="12" spans="1:5" ht="30" customHeight="1" x14ac:dyDescent="0.25">
      <c r="A12" s="177" t="s">
        <v>457</v>
      </c>
      <c r="B12" s="178">
        <v>2.25</v>
      </c>
      <c r="C12" s="54">
        <v>0</v>
      </c>
      <c r="D12" s="55"/>
      <c r="E12" s="56">
        <f t="shared" si="0"/>
        <v>0</v>
      </c>
    </row>
    <row r="13" spans="1:5" ht="30" customHeight="1" thickBot="1" x14ac:dyDescent="0.3">
      <c r="A13" s="189" t="s">
        <v>458</v>
      </c>
      <c r="B13" s="179">
        <v>1.5</v>
      </c>
      <c r="C13" s="54">
        <v>0</v>
      </c>
      <c r="D13" s="55"/>
      <c r="E13" s="56">
        <f t="shared" si="0"/>
        <v>0</v>
      </c>
    </row>
    <row r="14" spans="1:5" ht="30" customHeight="1" thickBot="1" x14ac:dyDescent="0.3">
      <c r="A14" s="353" t="s">
        <v>63</v>
      </c>
      <c r="B14" s="354"/>
      <c r="C14" s="354"/>
      <c r="D14" s="354"/>
      <c r="E14" s="355"/>
    </row>
    <row r="15" spans="1:5" ht="30" customHeight="1" thickBot="1" x14ac:dyDescent="0.3">
      <c r="A15" s="42" t="s">
        <v>64</v>
      </c>
      <c r="B15" s="43">
        <v>1</v>
      </c>
      <c r="C15" s="44">
        <v>0</v>
      </c>
      <c r="D15" s="45"/>
      <c r="E15" s="46">
        <f>SUM(B15*C15)</f>
        <v>0</v>
      </c>
    </row>
    <row r="16" spans="1:5" ht="30" customHeight="1" thickBot="1" x14ac:dyDescent="0.3">
      <c r="A16" s="353" t="s">
        <v>65</v>
      </c>
      <c r="B16" s="354"/>
      <c r="C16" s="354"/>
      <c r="D16" s="354"/>
      <c r="E16" s="355"/>
    </row>
    <row r="17" spans="1:14" ht="30" customHeight="1" x14ac:dyDescent="0.25">
      <c r="A17" s="47" t="s">
        <v>66</v>
      </c>
      <c r="B17" s="48">
        <v>0.7</v>
      </c>
      <c r="C17" s="49">
        <v>0</v>
      </c>
      <c r="D17" s="50"/>
      <c r="E17" s="51">
        <f>SUM(B17*C17)</f>
        <v>0</v>
      </c>
    </row>
    <row r="18" spans="1:14" ht="30" customHeight="1" x14ac:dyDescent="0.25">
      <c r="A18" s="52" t="s">
        <v>67</v>
      </c>
      <c r="B18" s="53">
        <v>0.25</v>
      </c>
      <c r="C18" s="54">
        <v>0</v>
      </c>
      <c r="D18" s="55"/>
      <c r="E18" s="56">
        <f>SUM(B18*C18)</f>
        <v>0</v>
      </c>
      <c r="J18" s="180"/>
      <c r="K18" s="180"/>
      <c r="L18" s="180"/>
      <c r="M18" s="180"/>
      <c r="N18" s="180"/>
    </row>
    <row r="19" spans="1:14" ht="30" customHeight="1" x14ac:dyDescent="0.25">
      <c r="A19" s="52" t="s">
        <v>68</v>
      </c>
      <c r="B19" s="53">
        <v>1</v>
      </c>
      <c r="C19" s="54">
        <v>0</v>
      </c>
      <c r="D19" s="55"/>
      <c r="E19" s="56">
        <f>SUM(B19*C19)</f>
        <v>0</v>
      </c>
      <c r="J19" s="95"/>
      <c r="K19" s="181"/>
      <c r="L19" s="182"/>
      <c r="M19" s="182"/>
      <c r="N19" s="181"/>
    </row>
    <row r="20" spans="1:14" ht="30" customHeight="1" x14ac:dyDescent="0.25">
      <c r="A20" s="52" t="s">
        <v>69</v>
      </c>
      <c r="B20" s="53">
        <v>0.5</v>
      </c>
      <c r="C20" s="54">
        <v>0</v>
      </c>
      <c r="D20" s="55"/>
      <c r="E20" s="56">
        <f>SUM(B20*C20)</f>
        <v>0</v>
      </c>
    </row>
    <row r="21" spans="1:14" ht="30" customHeight="1" thickBot="1" x14ac:dyDescent="0.3">
      <c r="A21" s="57" t="s">
        <v>70</v>
      </c>
      <c r="B21" s="58">
        <v>0.5</v>
      </c>
      <c r="C21" s="59">
        <v>0</v>
      </c>
      <c r="D21" s="60"/>
      <c r="E21" s="61">
        <f>SUM(B21*C21)</f>
        <v>0</v>
      </c>
    </row>
    <row r="22" spans="1:14" ht="30" customHeight="1" thickBot="1" x14ac:dyDescent="0.3">
      <c r="A22" s="353" t="s">
        <v>71</v>
      </c>
      <c r="B22" s="354"/>
      <c r="C22" s="354"/>
      <c r="D22" s="354"/>
      <c r="E22" s="355"/>
    </row>
    <row r="23" spans="1:14" ht="30" customHeight="1" thickBot="1" x14ac:dyDescent="0.3">
      <c r="A23" s="62" t="s">
        <v>72</v>
      </c>
      <c r="B23" s="63">
        <v>0.7</v>
      </c>
      <c r="C23" s="64">
        <v>0</v>
      </c>
      <c r="D23" s="65"/>
      <c r="E23" s="66">
        <f>SUM(B23*C23)</f>
        <v>0</v>
      </c>
    </row>
    <row r="24" spans="1:14" ht="30" customHeight="1" thickBot="1" x14ac:dyDescent="0.3">
      <c r="A24" s="353" t="s">
        <v>73</v>
      </c>
      <c r="B24" s="354"/>
      <c r="C24" s="354"/>
      <c r="D24" s="354"/>
      <c r="E24" s="355"/>
    </row>
    <row r="25" spans="1:14" ht="30" customHeight="1" x14ac:dyDescent="0.25">
      <c r="A25" s="47" t="s">
        <v>441</v>
      </c>
      <c r="B25" s="48">
        <v>25</v>
      </c>
      <c r="C25" s="67"/>
      <c r="D25" s="68">
        <v>0</v>
      </c>
      <c r="E25" s="51">
        <f>SUM(B25*D25)</f>
        <v>0</v>
      </c>
    </row>
    <row r="26" spans="1:14" ht="30" customHeight="1" x14ac:dyDescent="0.25">
      <c r="A26" s="47" t="s">
        <v>442</v>
      </c>
      <c r="B26" s="48">
        <v>50</v>
      </c>
      <c r="C26" s="67"/>
      <c r="D26" s="68">
        <v>0</v>
      </c>
      <c r="E26" s="51">
        <f>SUM(B26*D26)</f>
        <v>0</v>
      </c>
    </row>
    <row r="27" spans="1:14" ht="30" customHeight="1" x14ac:dyDescent="0.25">
      <c r="A27" s="356" t="s">
        <v>75</v>
      </c>
      <c r="B27" s="357"/>
      <c r="C27" s="357"/>
      <c r="D27" s="357"/>
      <c r="E27" s="358"/>
    </row>
    <row r="28" spans="1:14" ht="30" customHeight="1" x14ac:dyDescent="0.25">
      <c r="A28" s="52" t="s">
        <v>76</v>
      </c>
      <c r="B28" s="53">
        <v>0.75</v>
      </c>
      <c r="C28" s="54">
        <v>0</v>
      </c>
      <c r="D28" s="55"/>
      <c r="E28" s="56">
        <f>SUM(B28*C28)</f>
        <v>0</v>
      </c>
    </row>
    <row r="29" spans="1:14" ht="30" customHeight="1" x14ac:dyDescent="0.25">
      <c r="A29" s="52" t="s">
        <v>443</v>
      </c>
      <c r="B29" s="53">
        <v>50</v>
      </c>
      <c r="C29" s="69"/>
      <c r="D29" s="70">
        <v>0</v>
      </c>
      <c r="E29" s="56">
        <f>SUM(B29*D29)</f>
        <v>0</v>
      </c>
    </row>
    <row r="30" spans="1:14" ht="30" customHeight="1" x14ac:dyDescent="0.25">
      <c r="A30" s="52" t="s">
        <v>444</v>
      </c>
      <c r="B30" s="53">
        <v>100</v>
      </c>
      <c r="C30" s="69"/>
      <c r="D30" s="70">
        <v>0</v>
      </c>
      <c r="E30" s="56">
        <f>SUM(B30*D30)</f>
        <v>0</v>
      </c>
    </row>
    <row r="31" spans="1:14" ht="30" customHeight="1" x14ac:dyDescent="0.25">
      <c r="A31" s="184" t="s">
        <v>445</v>
      </c>
      <c r="B31" s="53">
        <v>25</v>
      </c>
      <c r="C31" s="69"/>
      <c r="D31" s="70">
        <v>0</v>
      </c>
      <c r="E31" s="56">
        <f>SUM(B31*D31)</f>
        <v>0</v>
      </c>
    </row>
    <row r="32" spans="1:14" ht="30" customHeight="1" thickBot="1" x14ac:dyDescent="0.3">
      <c r="A32" s="183" t="s">
        <v>446</v>
      </c>
      <c r="B32" s="72">
        <v>50</v>
      </c>
      <c r="C32" s="73"/>
      <c r="D32" s="74">
        <v>0</v>
      </c>
      <c r="E32" s="75">
        <f>SUM(B32*D32)</f>
        <v>0</v>
      </c>
    </row>
    <row r="33" spans="1:5" ht="30" customHeight="1" thickBot="1" x14ac:dyDescent="0.3">
      <c r="A33" s="347" t="s">
        <v>77</v>
      </c>
      <c r="B33" s="348"/>
      <c r="C33" s="348"/>
      <c r="D33" s="348"/>
      <c r="E33" s="349"/>
    </row>
    <row r="34" spans="1:5" ht="30" customHeight="1" x14ac:dyDescent="0.25">
      <c r="A34" s="76" t="s">
        <v>78</v>
      </c>
      <c r="B34" s="77">
        <v>1</v>
      </c>
      <c r="C34" s="78">
        <v>0</v>
      </c>
      <c r="D34" s="79"/>
      <c r="E34" s="80"/>
    </row>
    <row r="35" spans="1:5" ht="30" customHeight="1" x14ac:dyDescent="0.25">
      <c r="A35" s="47" t="s">
        <v>451</v>
      </c>
      <c r="B35" s="48">
        <v>50</v>
      </c>
      <c r="C35" s="69"/>
      <c r="D35" s="70">
        <v>0</v>
      </c>
      <c r="E35" s="56">
        <f t="shared" ref="E35:E40" si="1">SUM(B35*D35)</f>
        <v>0</v>
      </c>
    </row>
    <row r="36" spans="1:5" ht="30" customHeight="1" x14ac:dyDescent="0.25">
      <c r="A36" s="47" t="s">
        <v>452</v>
      </c>
      <c r="B36" s="48">
        <v>70</v>
      </c>
      <c r="C36" s="69"/>
      <c r="D36" s="70">
        <v>0</v>
      </c>
      <c r="E36" s="56">
        <f t="shared" si="1"/>
        <v>0</v>
      </c>
    </row>
    <row r="37" spans="1:5" ht="30" customHeight="1" x14ac:dyDescent="0.25">
      <c r="A37" s="52" t="s">
        <v>449</v>
      </c>
      <c r="B37" s="53">
        <v>20</v>
      </c>
      <c r="C37" s="69"/>
      <c r="D37" s="70">
        <v>0</v>
      </c>
      <c r="E37" s="56">
        <f t="shared" si="1"/>
        <v>0</v>
      </c>
    </row>
    <row r="38" spans="1:5" ht="30" customHeight="1" x14ac:dyDescent="0.25">
      <c r="A38" s="52" t="s">
        <v>450</v>
      </c>
      <c r="B38" s="53">
        <v>50</v>
      </c>
      <c r="C38" s="69"/>
      <c r="D38" s="70">
        <v>0</v>
      </c>
      <c r="E38" s="56">
        <f t="shared" si="1"/>
        <v>0</v>
      </c>
    </row>
    <row r="39" spans="1:5" ht="30" customHeight="1" x14ac:dyDescent="0.25">
      <c r="A39" s="52" t="s">
        <v>448</v>
      </c>
      <c r="B39" s="53">
        <v>50</v>
      </c>
      <c r="C39" s="69"/>
      <c r="D39" s="70">
        <v>0</v>
      </c>
      <c r="E39" s="56">
        <f t="shared" si="1"/>
        <v>0</v>
      </c>
    </row>
    <row r="40" spans="1:5" ht="30" customHeight="1" thickBot="1" x14ac:dyDescent="0.3">
      <c r="A40" s="183" t="s">
        <v>447</v>
      </c>
      <c r="B40" s="185">
        <v>70</v>
      </c>
      <c r="C40" s="186"/>
      <c r="D40" s="187">
        <v>0</v>
      </c>
      <c r="E40" s="188">
        <f t="shared" si="1"/>
        <v>0</v>
      </c>
    </row>
    <row r="41" spans="1:5" ht="30" customHeight="1" thickBot="1" x14ac:dyDescent="0.3">
      <c r="A41" s="347" t="s">
        <v>79</v>
      </c>
      <c r="B41" s="348"/>
      <c r="C41" s="348"/>
      <c r="D41" s="348"/>
      <c r="E41" s="349"/>
    </row>
    <row r="42" spans="1:5" ht="30" customHeight="1" thickBot="1" x14ac:dyDescent="0.3">
      <c r="A42" s="81" t="s">
        <v>80</v>
      </c>
      <c r="B42" s="82">
        <v>0.25</v>
      </c>
      <c r="C42" s="83">
        <v>0</v>
      </c>
      <c r="D42" s="84"/>
      <c r="E42" s="85">
        <f>SUM(B42*C42)</f>
        <v>0</v>
      </c>
    </row>
    <row r="43" spans="1:5" ht="30" customHeight="1" thickBot="1" x14ac:dyDescent="0.3">
      <c r="A43" s="347" t="s">
        <v>81</v>
      </c>
      <c r="B43" s="348"/>
      <c r="C43" s="348"/>
      <c r="D43" s="348"/>
      <c r="E43" s="349"/>
    </row>
    <row r="44" spans="1:5" ht="30" customHeight="1" x14ac:dyDescent="0.25">
      <c r="A44" s="76" t="s">
        <v>82</v>
      </c>
      <c r="B44" s="77">
        <v>1.5</v>
      </c>
      <c r="C44" s="78">
        <v>0</v>
      </c>
      <c r="D44" s="79"/>
      <c r="E44" s="80">
        <f t="shared" ref="E44:E49" si="2">SUM(B44*C44)</f>
        <v>0</v>
      </c>
    </row>
    <row r="45" spans="1:5" ht="30" customHeight="1" x14ac:dyDescent="0.25">
      <c r="A45" s="52" t="s">
        <v>83</v>
      </c>
      <c r="B45" s="53">
        <v>0.5</v>
      </c>
      <c r="C45" s="54">
        <v>0</v>
      </c>
      <c r="D45" s="55"/>
      <c r="E45" s="56">
        <f t="shared" si="2"/>
        <v>0</v>
      </c>
    </row>
    <row r="46" spans="1:5" ht="30" customHeight="1" x14ac:dyDescent="0.25">
      <c r="A46" s="52" t="s">
        <v>84</v>
      </c>
      <c r="B46" s="53">
        <v>0.6</v>
      </c>
      <c r="C46" s="54">
        <v>0</v>
      </c>
      <c r="D46" s="55"/>
      <c r="E46" s="56">
        <f t="shared" si="2"/>
        <v>0</v>
      </c>
    </row>
    <row r="47" spans="1:5" ht="30" customHeight="1" x14ac:dyDescent="0.25">
      <c r="A47" s="52" t="s">
        <v>85</v>
      </c>
      <c r="B47" s="53">
        <v>2</v>
      </c>
      <c r="C47" s="54">
        <v>0</v>
      </c>
      <c r="D47" s="55"/>
      <c r="E47" s="56">
        <f t="shared" si="2"/>
        <v>0</v>
      </c>
    </row>
    <row r="48" spans="1:5" ht="30" customHeight="1" x14ac:dyDescent="0.25">
      <c r="A48" s="52" t="s">
        <v>86</v>
      </c>
      <c r="B48" s="53">
        <v>0.6</v>
      </c>
      <c r="C48" s="54">
        <v>0</v>
      </c>
      <c r="D48" s="55"/>
      <c r="E48" s="56">
        <f t="shared" si="2"/>
        <v>0</v>
      </c>
    </row>
    <row r="49" spans="1:5" ht="30" customHeight="1" thickBot="1" x14ac:dyDescent="0.3">
      <c r="A49" s="71" t="s">
        <v>87</v>
      </c>
      <c r="B49" s="72">
        <v>0.9</v>
      </c>
      <c r="C49" s="86">
        <v>0</v>
      </c>
      <c r="D49" s="87"/>
      <c r="E49" s="75">
        <f t="shared" si="2"/>
        <v>0</v>
      </c>
    </row>
    <row r="50" spans="1:5" ht="30" customHeight="1" thickBot="1" x14ac:dyDescent="0.3">
      <c r="A50" s="347" t="s">
        <v>88</v>
      </c>
      <c r="B50" s="348"/>
      <c r="C50" s="348"/>
      <c r="D50" s="348"/>
      <c r="E50" s="349"/>
    </row>
    <row r="51" spans="1:5" ht="30" customHeight="1" thickBot="1" x14ac:dyDescent="0.3">
      <c r="A51" s="81" t="s">
        <v>89</v>
      </c>
      <c r="B51" s="82">
        <v>0.5</v>
      </c>
      <c r="C51" s="83">
        <v>0</v>
      </c>
      <c r="D51" s="84"/>
      <c r="E51" s="85">
        <f>SUM(B51*C51)</f>
        <v>0</v>
      </c>
    </row>
    <row r="52" spans="1:5" ht="30" customHeight="1" thickBot="1" x14ac:dyDescent="0.3">
      <c r="A52" s="347" t="s">
        <v>90</v>
      </c>
      <c r="B52" s="348"/>
      <c r="C52" s="348"/>
      <c r="D52" s="348"/>
      <c r="E52" s="349"/>
    </row>
    <row r="53" spans="1:5" ht="30" customHeight="1" thickBot="1" x14ac:dyDescent="0.3">
      <c r="A53" s="81" t="s">
        <v>91</v>
      </c>
      <c r="B53" s="82">
        <v>0.75</v>
      </c>
      <c r="C53" s="83">
        <v>0</v>
      </c>
      <c r="D53" s="84"/>
      <c r="E53" s="85">
        <f>SUM(B53*C53)</f>
        <v>0</v>
      </c>
    </row>
    <row r="54" spans="1:5" ht="30" customHeight="1" thickBot="1" x14ac:dyDescent="0.3">
      <c r="A54" s="347" t="s">
        <v>92</v>
      </c>
      <c r="B54" s="348"/>
      <c r="C54" s="348"/>
      <c r="D54" s="348"/>
      <c r="E54" s="349"/>
    </row>
    <row r="55" spans="1:5" ht="30" customHeight="1" x14ac:dyDescent="0.25">
      <c r="A55" s="76" t="s">
        <v>93</v>
      </c>
      <c r="B55" s="77">
        <v>0.5</v>
      </c>
      <c r="C55" s="78">
        <v>0</v>
      </c>
      <c r="D55" s="79"/>
      <c r="E55" s="80">
        <f>SUM(B55*C55)</f>
        <v>0</v>
      </c>
    </row>
    <row r="56" spans="1:5" ht="30" customHeight="1" thickBot="1" x14ac:dyDescent="0.3">
      <c r="A56" s="71" t="s">
        <v>94</v>
      </c>
      <c r="B56" s="72">
        <v>1</v>
      </c>
      <c r="C56" s="86">
        <v>0</v>
      </c>
      <c r="D56" s="87"/>
      <c r="E56" s="75">
        <f>SUM(B56*C56)</f>
        <v>0</v>
      </c>
    </row>
    <row r="57" spans="1:5" ht="15" customHeight="1" thickBot="1" x14ac:dyDescent="0.3">
      <c r="A57" s="88"/>
      <c r="B57" s="89"/>
      <c r="C57" s="89"/>
      <c r="D57" s="89"/>
      <c r="E57" s="89"/>
    </row>
    <row r="58" spans="1:5" ht="30" customHeight="1" thickBot="1" x14ac:dyDescent="0.3">
      <c r="A58" s="90" t="s">
        <v>95</v>
      </c>
      <c r="B58" s="91">
        <f>SUM(N19+E17+E18+E19+E20+E21+E23+E26+E28+E30+E32+E38+E40+E42+E44+E45+E46+E47+E48+E49+E51+E53+E55+E56)</f>
        <v>0</v>
      </c>
      <c r="C58" s="92" t="s">
        <v>1</v>
      </c>
      <c r="D58" s="89"/>
      <c r="E58" s="89"/>
    </row>
  </sheetData>
  <mergeCells count="13">
    <mergeCell ref="A54:E54"/>
    <mergeCell ref="A1:E1"/>
    <mergeCell ref="A16:E16"/>
    <mergeCell ref="A22:E22"/>
    <mergeCell ref="A24:E24"/>
    <mergeCell ref="A27:E27"/>
    <mergeCell ref="A3:E3"/>
    <mergeCell ref="A14:E14"/>
    <mergeCell ref="A33:E33"/>
    <mergeCell ref="A41:E41"/>
    <mergeCell ref="A43:E43"/>
    <mergeCell ref="A50:E50"/>
    <mergeCell ref="A52:E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A34C-4504-49B4-82BE-8DFB13F77ADB}">
  <dimension ref="A1:E31"/>
  <sheetViews>
    <sheetView workbookViewId="0">
      <selection activeCell="C3" sqref="C3"/>
    </sheetView>
  </sheetViews>
  <sheetFormatPr defaultRowHeight="15" x14ac:dyDescent="0.25"/>
  <cols>
    <col min="1" max="1" width="30.7109375" customWidth="1"/>
    <col min="2" max="5" width="9.7109375" customWidth="1"/>
  </cols>
  <sheetData>
    <row r="1" spans="1:5" ht="19.5" thickBot="1" x14ac:dyDescent="0.3">
      <c r="A1" s="350" t="s">
        <v>96</v>
      </c>
      <c r="B1" s="351"/>
      <c r="C1" s="351"/>
      <c r="D1" s="351"/>
      <c r="E1" s="352"/>
    </row>
    <row r="2" spans="1:5" ht="45.75" thickBot="1" x14ac:dyDescent="0.3">
      <c r="A2" s="1" t="s">
        <v>59</v>
      </c>
      <c r="B2" s="1" t="s">
        <v>60</v>
      </c>
      <c r="C2" s="1" t="s">
        <v>25</v>
      </c>
      <c r="D2" s="1" t="s">
        <v>61</v>
      </c>
      <c r="E2" s="1" t="s">
        <v>62</v>
      </c>
    </row>
    <row r="3" spans="1:5" ht="30" customHeight="1" x14ac:dyDescent="0.25">
      <c r="A3" s="47" t="s">
        <v>97</v>
      </c>
      <c r="B3" s="48">
        <v>0.5</v>
      </c>
      <c r="C3" s="49">
        <v>0</v>
      </c>
      <c r="D3" s="50"/>
      <c r="E3" s="51">
        <f t="shared" ref="E3:E21" si="0">SUM(B3*C3)</f>
        <v>0</v>
      </c>
    </row>
    <row r="4" spans="1:5" ht="30" customHeight="1" x14ac:dyDescent="0.25">
      <c r="A4" s="52" t="s">
        <v>98</v>
      </c>
      <c r="B4" s="53">
        <v>0.7</v>
      </c>
      <c r="C4" s="54">
        <v>0</v>
      </c>
      <c r="D4" s="55"/>
      <c r="E4" s="56">
        <f t="shared" si="0"/>
        <v>0</v>
      </c>
    </row>
    <row r="5" spans="1:5" ht="30" customHeight="1" x14ac:dyDescent="0.25">
      <c r="A5" s="52" t="s">
        <v>99</v>
      </c>
      <c r="B5" s="53">
        <v>1.5</v>
      </c>
      <c r="C5" s="54">
        <v>0</v>
      </c>
      <c r="D5" s="55"/>
      <c r="E5" s="56">
        <f t="shared" si="0"/>
        <v>0</v>
      </c>
    </row>
    <row r="6" spans="1:5" ht="30" customHeight="1" x14ac:dyDescent="0.25">
      <c r="A6" s="52" t="s">
        <v>100</v>
      </c>
      <c r="B6" s="53">
        <v>0.5</v>
      </c>
      <c r="C6" s="54">
        <v>0</v>
      </c>
      <c r="D6" s="55"/>
      <c r="E6" s="56">
        <f t="shared" si="0"/>
        <v>0</v>
      </c>
    </row>
    <row r="7" spans="1:5" ht="30" customHeight="1" x14ac:dyDescent="0.25">
      <c r="A7" s="52" t="s">
        <v>101</v>
      </c>
      <c r="B7" s="53">
        <v>0.6</v>
      </c>
      <c r="C7" s="54">
        <v>0</v>
      </c>
      <c r="D7" s="55"/>
      <c r="E7" s="56">
        <f t="shared" si="0"/>
        <v>0</v>
      </c>
    </row>
    <row r="8" spans="1:5" ht="30" customHeight="1" x14ac:dyDescent="0.25">
      <c r="A8" s="52" t="s">
        <v>102</v>
      </c>
      <c r="B8" s="53">
        <v>1</v>
      </c>
      <c r="C8" s="54">
        <v>0</v>
      </c>
      <c r="D8" s="55"/>
      <c r="E8" s="56">
        <f t="shared" si="0"/>
        <v>0</v>
      </c>
    </row>
    <row r="9" spans="1:5" ht="30" customHeight="1" x14ac:dyDescent="0.25">
      <c r="A9" s="52" t="s">
        <v>103</v>
      </c>
      <c r="B9" s="53">
        <v>0.5</v>
      </c>
      <c r="C9" s="54">
        <v>0</v>
      </c>
      <c r="D9" s="55"/>
      <c r="E9" s="56">
        <f t="shared" si="0"/>
        <v>0</v>
      </c>
    </row>
    <row r="10" spans="1:5" ht="30" customHeight="1" x14ac:dyDescent="0.25">
      <c r="A10" s="52" t="s">
        <v>94</v>
      </c>
      <c r="B10" s="53">
        <v>1</v>
      </c>
      <c r="C10" s="54">
        <v>0</v>
      </c>
      <c r="D10" s="55"/>
      <c r="E10" s="56">
        <f t="shared" si="0"/>
        <v>0</v>
      </c>
    </row>
    <row r="11" spans="1:5" ht="30" customHeight="1" x14ac:dyDescent="0.25">
      <c r="A11" s="52" t="s">
        <v>104</v>
      </c>
      <c r="B11" s="53">
        <v>1</v>
      </c>
      <c r="C11" s="54">
        <v>0</v>
      </c>
      <c r="D11" s="55"/>
      <c r="E11" s="56">
        <f t="shared" si="0"/>
        <v>0</v>
      </c>
    </row>
    <row r="12" spans="1:5" ht="30" customHeight="1" x14ac:dyDescent="0.25">
      <c r="A12" s="52" t="s">
        <v>105</v>
      </c>
      <c r="B12" s="53">
        <v>1</v>
      </c>
      <c r="C12" s="54">
        <v>0</v>
      </c>
      <c r="D12" s="55"/>
      <c r="E12" s="56">
        <f t="shared" si="0"/>
        <v>0</v>
      </c>
    </row>
    <row r="13" spans="1:5" ht="30" customHeight="1" x14ac:dyDescent="0.25">
      <c r="A13" s="52" t="s">
        <v>106</v>
      </c>
      <c r="B13" s="53">
        <v>0.7</v>
      </c>
      <c r="C13" s="54">
        <v>0</v>
      </c>
      <c r="D13" s="55"/>
      <c r="E13" s="56">
        <f t="shared" si="0"/>
        <v>0</v>
      </c>
    </row>
    <row r="14" spans="1:5" ht="30" customHeight="1" x14ac:dyDescent="0.25">
      <c r="A14" s="52" t="s">
        <v>107</v>
      </c>
      <c r="B14" s="53">
        <v>0.3</v>
      </c>
      <c r="C14" s="54">
        <v>0</v>
      </c>
      <c r="D14" s="55"/>
      <c r="E14" s="56">
        <f t="shared" si="0"/>
        <v>0</v>
      </c>
    </row>
    <row r="15" spans="1:5" ht="45" customHeight="1" x14ac:dyDescent="0.25">
      <c r="A15" s="52" t="s">
        <v>108</v>
      </c>
      <c r="B15" s="53">
        <v>0.5</v>
      </c>
      <c r="C15" s="54">
        <v>0</v>
      </c>
      <c r="D15" s="55"/>
      <c r="E15" s="56">
        <f t="shared" si="0"/>
        <v>0</v>
      </c>
    </row>
    <row r="16" spans="1:5" ht="30" customHeight="1" x14ac:dyDescent="0.25">
      <c r="A16" s="52" t="s">
        <v>109</v>
      </c>
      <c r="B16" s="53">
        <v>0.25</v>
      </c>
      <c r="C16" s="54">
        <v>0</v>
      </c>
      <c r="D16" s="55"/>
      <c r="E16" s="56">
        <f t="shared" si="0"/>
        <v>0</v>
      </c>
    </row>
    <row r="17" spans="1:5" ht="30" customHeight="1" x14ac:dyDescent="0.25">
      <c r="A17" s="52" t="s">
        <v>110</v>
      </c>
      <c r="B17" s="53">
        <v>0.75</v>
      </c>
      <c r="C17" s="54">
        <v>0</v>
      </c>
      <c r="D17" s="55"/>
      <c r="E17" s="56">
        <f t="shared" si="0"/>
        <v>0</v>
      </c>
    </row>
    <row r="18" spans="1:5" ht="30" customHeight="1" x14ac:dyDescent="0.25">
      <c r="A18" s="52" t="s">
        <v>111</v>
      </c>
      <c r="B18" s="53">
        <v>0.9</v>
      </c>
      <c r="C18" s="54">
        <v>0</v>
      </c>
      <c r="D18" s="55"/>
      <c r="E18" s="56">
        <f t="shared" si="0"/>
        <v>0</v>
      </c>
    </row>
    <row r="19" spans="1:5" ht="30" customHeight="1" x14ac:dyDescent="0.25">
      <c r="A19" s="52" t="s">
        <v>112</v>
      </c>
      <c r="B19" s="53">
        <v>1</v>
      </c>
      <c r="C19" s="54">
        <v>0</v>
      </c>
      <c r="D19" s="55"/>
      <c r="E19" s="56">
        <f t="shared" si="0"/>
        <v>0</v>
      </c>
    </row>
    <row r="20" spans="1:5" ht="30" customHeight="1" x14ac:dyDescent="0.25">
      <c r="A20" s="52" t="s">
        <v>113</v>
      </c>
      <c r="B20" s="53">
        <v>1.5</v>
      </c>
      <c r="C20" s="54">
        <v>0</v>
      </c>
      <c r="D20" s="55"/>
      <c r="E20" s="56">
        <f t="shared" si="0"/>
        <v>0</v>
      </c>
    </row>
    <row r="21" spans="1:5" ht="30" customHeight="1" x14ac:dyDescent="0.25">
      <c r="A21" s="52" t="s">
        <v>114</v>
      </c>
      <c r="B21" s="53">
        <v>0.5</v>
      </c>
      <c r="C21" s="54">
        <v>0</v>
      </c>
      <c r="D21" s="55"/>
      <c r="E21" s="56">
        <f t="shared" si="0"/>
        <v>0</v>
      </c>
    </row>
    <row r="22" spans="1:5" ht="30" customHeight="1" x14ac:dyDescent="0.25">
      <c r="A22" s="52" t="s">
        <v>476</v>
      </c>
      <c r="B22" s="53">
        <v>25</v>
      </c>
      <c r="C22" s="55"/>
      <c r="D22" s="54">
        <v>0</v>
      </c>
      <c r="E22" s="56">
        <f t="shared" ref="E22:E29" si="1">SUM(B22*D22)</f>
        <v>0</v>
      </c>
    </row>
    <row r="23" spans="1:5" ht="30" customHeight="1" x14ac:dyDescent="0.25">
      <c r="A23" s="52" t="s">
        <v>477</v>
      </c>
      <c r="B23" s="53">
        <v>50</v>
      </c>
      <c r="C23" s="55"/>
      <c r="D23" s="54">
        <v>0</v>
      </c>
      <c r="E23" s="56">
        <f t="shared" si="1"/>
        <v>0</v>
      </c>
    </row>
    <row r="24" spans="1:5" ht="30" customHeight="1" x14ac:dyDescent="0.25">
      <c r="A24" s="52" t="s">
        <v>478</v>
      </c>
      <c r="B24" s="53">
        <v>20</v>
      </c>
      <c r="C24" s="55"/>
      <c r="D24" s="54">
        <v>0</v>
      </c>
      <c r="E24" s="56">
        <f t="shared" si="1"/>
        <v>0</v>
      </c>
    </row>
    <row r="25" spans="1:5" ht="30" customHeight="1" x14ac:dyDescent="0.25">
      <c r="A25" s="52" t="s">
        <v>481</v>
      </c>
      <c r="B25" s="53">
        <v>50</v>
      </c>
      <c r="C25" s="55"/>
      <c r="D25" s="54">
        <v>0</v>
      </c>
      <c r="E25" s="56">
        <f t="shared" si="1"/>
        <v>0</v>
      </c>
    </row>
    <row r="26" spans="1:5" ht="30" customHeight="1" x14ac:dyDescent="0.25">
      <c r="A26" s="52" t="s">
        <v>479</v>
      </c>
      <c r="B26" s="53">
        <v>50</v>
      </c>
      <c r="C26" s="55"/>
      <c r="D26" s="54">
        <v>0</v>
      </c>
      <c r="E26" s="56">
        <f t="shared" si="1"/>
        <v>0</v>
      </c>
    </row>
    <row r="27" spans="1:5" ht="30" customHeight="1" x14ac:dyDescent="0.25">
      <c r="A27" s="52" t="s">
        <v>482</v>
      </c>
      <c r="B27" s="53">
        <v>100</v>
      </c>
      <c r="C27" s="55"/>
      <c r="D27" s="54">
        <v>0</v>
      </c>
      <c r="E27" s="56">
        <f t="shared" si="1"/>
        <v>0</v>
      </c>
    </row>
    <row r="28" spans="1:5" ht="30" customHeight="1" x14ac:dyDescent="0.25">
      <c r="A28" s="52" t="s">
        <v>480</v>
      </c>
      <c r="B28" s="53">
        <v>50</v>
      </c>
      <c r="C28" s="55"/>
      <c r="D28" s="54">
        <v>0</v>
      </c>
      <c r="E28" s="56">
        <f t="shared" si="1"/>
        <v>0</v>
      </c>
    </row>
    <row r="29" spans="1:5" ht="30" customHeight="1" thickBot="1" x14ac:dyDescent="0.3">
      <c r="A29" s="183" t="s">
        <v>115</v>
      </c>
      <c r="B29" s="185">
        <v>70</v>
      </c>
      <c r="C29" s="190"/>
      <c r="D29" s="191">
        <v>0</v>
      </c>
      <c r="E29" s="188">
        <f t="shared" si="1"/>
        <v>0</v>
      </c>
    </row>
    <row r="30" spans="1:5" ht="15" customHeight="1" thickBot="1" x14ac:dyDescent="0.3">
      <c r="A30" s="88"/>
      <c r="B30" s="89"/>
      <c r="C30" s="93"/>
      <c r="D30" s="93"/>
      <c r="E30" s="89"/>
    </row>
    <row r="31" spans="1:5" ht="30" customHeight="1" thickBot="1" x14ac:dyDescent="0.3">
      <c r="A31" s="90" t="s">
        <v>95</v>
      </c>
      <c r="B31" s="91">
        <f>SUM(E3:E29)</f>
        <v>0</v>
      </c>
      <c r="C31" s="92" t="s">
        <v>1</v>
      </c>
      <c r="D31" s="93"/>
      <c r="E31" s="89"/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05E20-6258-417B-813D-214E0903CC9A}">
  <dimension ref="A1:E41"/>
  <sheetViews>
    <sheetView workbookViewId="0">
      <selection activeCell="C3" sqref="C3"/>
    </sheetView>
  </sheetViews>
  <sheetFormatPr defaultRowHeight="15" x14ac:dyDescent="0.25"/>
  <cols>
    <col min="1" max="1" width="30.7109375" customWidth="1"/>
    <col min="2" max="5" width="9.7109375" customWidth="1"/>
  </cols>
  <sheetData>
    <row r="1" spans="1:5" ht="19.5" thickBot="1" x14ac:dyDescent="0.3">
      <c r="A1" s="350" t="s">
        <v>96</v>
      </c>
      <c r="B1" s="351"/>
      <c r="C1" s="351"/>
      <c r="D1" s="351"/>
      <c r="E1" s="352"/>
    </row>
    <row r="2" spans="1:5" ht="45.75" thickBot="1" x14ac:dyDescent="0.3">
      <c r="A2" s="1" t="s">
        <v>59</v>
      </c>
      <c r="B2" s="1" t="s">
        <v>60</v>
      </c>
      <c r="C2" s="1" t="s">
        <v>25</v>
      </c>
      <c r="D2" s="1" t="s">
        <v>61</v>
      </c>
      <c r="E2" s="1" t="s">
        <v>62</v>
      </c>
    </row>
    <row r="3" spans="1:5" ht="30" customHeight="1" x14ac:dyDescent="0.25">
      <c r="A3" s="47" t="s">
        <v>453</v>
      </c>
      <c r="B3" s="48">
        <v>0.9</v>
      </c>
      <c r="C3" s="49">
        <v>0</v>
      </c>
      <c r="D3" s="50"/>
      <c r="E3" s="51">
        <f t="shared" ref="E3:E12" si="0">SUM(B3*C3)</f>
        <v>0</v>
      </c>
    </row>
    <row r="4" spans="1:5" ht="30" customHeight="1" x14ac:dyDescent="0.25">
      <c r="A4" s="52" t="s">
        <v>454</v>
      </c>
      <c r="B4" s="48">
        <v>3</v>
      </c>
      <c r="C4" s="49">
        <v>0</v>
      </c>
      <c r="D4" s="50"/>
      <c r="E4" s="51">
        <f t="shared" si="0"/>
        <v>0</v>
      </c>
    </row>
    <row r="5" spans="1:5" ht="30" customHeight="1" x14ac:dyDescent="0.25">
      <c r="A5" s="52" t="s">
        <v>435</v>
      </c>
      <c r="B5" s="48">
        <v>1.5</v>
      </c>
      <c r="C5" s="49">
        <v>0</v>
      </c>
      <c r="D5" s="50"/>
      <c r="E5" s="51">
        <f t="shared" si="0"/>
        <v>0</v>
      </c>
    </row>
    <row r="6" spans="1:5" ht="30" customHeight="1" x14ac:dyDescent="0.25">
      <c r="A6" s="52" t="s">
        <v>455</v>
      </c>
      <c r="B6" s="48">
        <v>1.5</v>
      </c>
      <c r="C6" s="49">
        <v>0</v>
      </c>
      <c r="D6" s="50"/>
      <c r="E6" s="51">
        <f t="shared" si="0"/>
        <v>0</v>
      </c>
    </row>
    <row r="7" spans="1:5" ht="30" customHeight="1" x14ac:dyDescent="0.25">
      <c r="A7" s="52" t="s">
        <v>437</v>
      </c>
      <c r="B7" s="48">
        <v>2.25</v>
      </c>
      <c r="C7" s="49">
        <v>0</v>
      </c>
      <c r="D7" s="50"/>
      <c r="E7" s="51">
        <f t="shared" si="0"/>
        <v>0</v>
      </c>
    </row>
    <row r="8" spans="1:5" ht="30" customHeight="1" x14ac:dyDescent="0.25">
      <c r="A8" s="52" t="s">
        <v>438</v>
      </c>
      <c r="B8" s="48">
        <v>1.5</v>
      </c>
      <c r="C8" s="49">
        <v>0</v>
      </c>
      <c r="D8" s="50"/>
      <c r="E8" s="51">
        <f t="shared" si="0"/>
        <v>0</v>
      </c>
    </row>
    <row r="9" spans="1:5" ht="30" customHeight="1" x14ac:dyDescent="0.25">
      <c r="A9" s="52" t="s">
        <v>456</v>
      </c>
      <c r="B9" s="48">
        <v>2.25</v>
      </c>
      <c r="C9" s="49">
        <v>0</v>
      </c>
      <c r="D9" s="50"/>
      <c r="E9" s="51">
        <f t="shared" si="0"/>
        <v>0</v>
      </c>
    </row>
    <row r="10" spans="1:5" ht="30" customHeight="1" x14ac:dyDescent="0.25">
      <c r="A10" s="52" t="s">
        <v>440</v>
      </c>
      <c r="B10" s="48">
        <v>2.25</v>
      </c>
      <c r="C10" s="49">
        <v>0</v>
      </c>
      <c r="D10" s="50"/>
      <c r="E10" s="51">
        <f t="shared" si="0"/>
        <v>0</v>
      </c>
    </row>
    <row r="11" spans="1:5" ht="30" customHeight="1" x14ac:dyDescent="0.25">
      <c r="A11" s="52" t="s">
        <v>457</v>
      </c>
      <c r="B11" s="48">
        <v>2.25</v>
      </c>
      <c r="C11" s="49">
        <v>0</v>
      </c>
      <c r="D11" s="50"/>
      <c r="E11" s="51">
        <f t="shared" si="0"/>
        <v>0</v>
      </c>
    </row>
    <row r="12" spans="1:5" ht="30" customHeight="1" x14ac:dyDescent="0.25">
      <c r="A12" s="52" t="s">
        <v>459</v>
      </c>
      <c r="B12" s="48">
        <v>1.5</v>
      </c>
      <c r="C12" s="49">
        <v>0</v>
      </c>
      <c r="D12" s="50"/>
      <c r="E12" s="51">
        <f t="shared" si="0"/>
        <v>0</v>
      </c>
    </row>
    <row r="13" spans="1:5" ht="30" customHeight="1" x14ac:dyDescent="0.25">
      <c r="A13" s="47" t="s">
        <v>97</v>
      </c>
      <c r="B13" s="48">
        <v>0.5</v>
      </c>
      <c r="C13" s="49">
        <v>0</v>
      </c>
      <c r="D13" s="50"/>
      <c r="E13" s="51">
        <f t="shared" ref="E13:E31" si="1">SUM(B13*C13)</f>
        <v>0</v>
      </c>
    </row>
    <row r="14" spans="1:5" ht="30" customHeight="1" x14ac:dyDescent="0.25">
      <c r="A14" s="52" t="s">
        <v>98</v>
      </c>
      <c r="B14" s="53">
        <v>0.7</v>
      </c>
      <c r="C14" s="54">
        <v>0</v>
      </c>
      <c r="D14" s="55"/>
      <c r="E14" s="56">
        <f t="shared" si="1"/>
        <v>0</v>
      </c>
    </row>
    <row r="15" spans="1:5" ht="30" customHeight="1" x14ac:dyDescent="0.25">
      <c r="A15" s="52" t="s">
        <v>99</v>
      </c>
      <c r="B15" s="53">
        <v>1.5</v>
      </c>
      <c r="C15" s="54">
        <v>0</v>
      </c>
      <c r="D15" s="55"/>
      <c r="E15" s="56">
        <f t="shared" si="1"/>
        <v>0</v>
      </c>
    </row>
    <row r="16" spans="1:5" ht="30" customHeight="1" x14ac:dyDescent="0.25">
      <c r="A16" s="52" t="s">
        <v>100</v>
      </c>
      <c r="B16" s="53">
        <v>0.5</v>
      </c>
      <c r="C16" s="54">
        <v>0</v>
      </c>
      <c r="D16" s="55"/>
      <c r="E16" s="56">
        <f t="shared" si="1"/>
        <v>0</v>
      </c>
    </row>
    <row r="17" spans="1:5" ht="30" customHeight="1" x14ac:dyDescent="0.25">
      <c r="A17" s="52" t="s">
        <v>101</v>
      </c>
      <c r="B17" s="53">
        <v>0.6</v>
      </c>
      <c r="C17" s="54">
        <v>0</v>
      </c>
      <c r="D17" s="55"/>
      <c r="E17" s="56">
        <f t="shared" si="1"/>
        <v>0</v>
      </c>
    </row>
    <row r="18" spans="1:5" ht="30" customHeight="1" x14ac:dyDescent="0.25">
      <c r="A18" s="52" t="s">
        <v>102</v>
      </c>
      <c r="B18" s="53">
        <v>1</v>
      </c>
      <c r="C18" s="54">
        <v>0</v>
      </c>
      <c r="D18" s="55"/>
      <c r="E18" s="56">
        <f t="shared" si="1"/>
        <v>0</v>
      </c>
    </row>
    <row r="19" spans="1:5" ht="30" customHeight="1" x14ac:dyDescent="0.25">
      <c r="A19" s="52" t="s">
        <v>103</v>
      </c>
      <c r="B19" s="53">
        <v>0.5</v>
      </c>
      <c r="C19" s="54">
        <v>0</v>
      </c>
      <c r="D19" s="55"/>
      <c r="E19" s="56">
        <f t="shared" si="1"/>
        <v>0</v>
      </c>
    </row>
    <row r="20" spans="1:5" ht="30" customHeight="1" x14ac:dyDescent="0.25">
      <c r="A20" s="52" t="s">
        <v>94</v>
      </c>
      <c r="B20" s="53">
        <v>1</v>
      </c>
      <c r="C20" s="54">
        <v>0</v>
      </c>
      <c r="D20" s="55"/>
      <c r="E20" s="56">
        <f t="shared" si="1"/>
        <v>0</v>
      </c>
    </row>
    <row r="21" spans="1:5" ht="30" customHeight="1" x14ac:dyDescent="0.25">
      <c r="A21" s="52" t="s">
        <v>104</v>
      </c>
      <c r="B21" s="53">
        <v>1</v>
      </c>
      <c r="C21" s="54">
        <v>0</v>
      </c>
      <c r="D21" s="55"/>
      <c r="E21" s="56">
        <f t="shared" si="1"/>
        <v>0</v>
      </c>
    </row>
    <row r="22" spans="1:5" ht="30" customHeight="1" x14ac:dyDescent="0.25">
      <c r="A22" s="52" t="s">
        <v>105</v>
      </c>
      <c r="B22" s="53">
        <v>1</v>
      </c>
      <c r="C22" s="54">
        <v>0</v>
      </c>
      <c r="D22" s="55"/>
      <c r="E22" s="56">
        <f t="shared" si="1"/>
        <v>0</v>
      </c>
    </row>
    <row r="23" spans="1:5" ht="30" customHeight="1" x14ac:dyDescent="0.25">
      <c r="A23" s="52" t="s">
        <v>106</v>
      </c>
      <c r="B23" s="53">
        <v>0.7</v>
      </c>
      <c r="C23" s="54">
        <v>0</v>
      </c>
      <c r="D23" s="55"/>
      <c r="E23" s="56">
        <f t="shared" si="1"/>
        <v>0</v>
      </c>
    </row>
    <row r="24" spans="1:5" ht="30" customHeight="1" x14ac:dyDescent="0.25">
      <c r="A24" s="52" t="s">
        <v>107</v>
      </c>
      <c r="B24" s="53">
        <v>0.3</v>
      </c>
      <c r="C24" s="54">
        <v>0</v>
      </c>
      <c r="D24" s="55"/>
      <c r="E24" s="56">
        <f t="shared" si="1"/>
        <v>0</v>
      </c>
    </row>
    <row r="25" spans="1:5" ht="30" customHeight="1" x14ac:dyDescent="0.25">
      <c r="A25" s="52" t="s">
        <v>108</v>
      </c>
      <c r="B25" s="53">
        <v>0.5</v>
      </c>
      <c r="C25" s="54">
        <v>0</v>
      </c>
      <c r="D25" s="55"/>
      <c r="E25" s="56">
        <f t="shared" si="1"/>
        <v>0</v>
      </c>
    </row>
    <row r="26" spans="1:5" ht="30" customHeight="1" x14ac:dyDescent="0.25">
      <c r="A26" s="52" t="s">
        <v>109</v>
      </c>
      <c r="B26" s="53">
        <v>0.25</v>
      </c>
      <c r="C26" s="54">
        <v>0</v>
      </c>
      <c r="D26" s="55"/>
      <c r="E26" s="56">
        <f t="shared" si="1"/>
        <v>0</v>
      </c>
    </row>
    <row r="27" spans="1:5" ht="30" customHeight="1" x14ac:dyDescent="0.25">
      <c r="A27" s="52" t="s">
        <v>110</v>
      </c>
      <c r="B27" s="53">
        <v>0.75</v>
      </c>
      <c r="C27" s="54">
        <v>0</v>
      </c>
      <c r="D27" s="55"/>
      <c r="E27" s="56">
        <f t="shared" si="1"/>
        <v>0</v>
      </c>
    </row>
    <row r="28" spans="1:5" ht="30" customHeight="1" x14ac:dyDescent="0.25">
      <c r="A28" s="52" t="s">
        <v>111</v>
      </c>
      <c r="B28" s="53">
        <v>0.9</v>
      </c>
      <c r="C28" s="54">
        <v>0</v>
      </c>
      <c r="D28" s="55"/>
      <c r="E28" s="56">
        <f t="shared" si="1"/>
        <v>0</v>
      </c>
    </row>
    <row r="29" spans="1:5" ht="30" customHeight="1" x14ac:dyDescent="0.25">
      <c r="A29" s="52" t="s">
        <v>112</v>
      </c>
      <c r="B29" s="53">
        <v>1</v>
      </c>
      <c r="C29" s="54">
        <v>0</v>
      </c>
      <c r="D29" s="55"/>
      <c r="E29" s="56">
        <f t="shared" si="1"/>
        <v>0</v>
      </c>
    </row>
    <row r="30" spans="1:5" ht="30" customHeight="1" x14ac:dyDescent="0.25">
      <c r="A30" s="52" t="s">
        <v>113</v>
      </c>
      <c r="B30" s="53">
        <v>1.5</v>
      </c>
      <c r="C30" s="54">
        <v>0</v>
      </c>
      <c r="D30" s="55"/>
      <c r="E30" s="56">
        <f t="shared" si="1"/>
        <v>0</v>
      </c>
    </row>
    <row r="31" spans="1:5" ht="30" customHeight="1" x14ac:dyDescent="0.25">
      <c r="A31" s="52" t="s">
        <v>114</v>
      </c>
      <c r="B31" s="53">
        <v>0.5</v>
      </c>
      <c r="C31" s="54">
        <v>0</v>
      </c>
      <c r="D31" s="55"/>
      <c r="E31" s="56">
        <f t="shared" si="1"/>
        <v>0</v>
      </c>
    </row>
    <row r="32" spans="1:5" ht="30" customHeight="1" x14ac:dyDescent="0.25">
      <c r="A32" s="52" t="s">
        <v>460</v>
      </c>
      <c r="B32" s="53">
        <v>25</v>
      </c>
      <c r="C32" s="55"/>
      <c r="D32" s="54">
        <v>0</v>
      </c>
      <c r="E32" s="56">
        <f t="shared" ref="E32:E39" si="2">SUM(B32*D32)</f>
        <v>0</v>
      </c>
    </row>
    <row r="33" spans="1:5" ht="30" customHeight="1" x14ac:dyDescent="0.25">
      <c r="A33" s="52" t="s">
        <v>461</v>
      </c>
      <c r="B33" s="53">
        <v>50</v>
      </c>
      <c r="C33" s="55"/>
      <c r="D33" s="54">
        <v>0</v>
      </c>
      <c r="E33" s="56">
        <f t="shared" si="2"/>
        <v>0</v>
      </c>
    </row>
    <row r="34" spans="1:5" ht="30" customHeight="1" x14ac:dyDescent="0.25">
      <c r="A34" s="52" t="s">
        <v>462</v>
      </c>
      <c r="B34" s="53">
        <v>20</v>
      </c>
      <c r="C34" s="55"/>
      <c r="D34" s="54">
        <v>0</v>
      </c>
      <c r="E34" s="56">
        <f t="shared" si="2"/>
        <v>0</v>
      </c>
    </row>
    <row r="35" spans="1:5" ht="30" customHeight="1" x14ac:dyDescent="0.25">
      <c r="A35" s="52" t="s">
        <v>463</v>
      </c>
      <c r="B35" s="53">
        <v>50</v>
      </c>
      <c r="C35" s="55"/>
      <c r="D35" s="54">
        <v>0</v>
      </c>
      <c r="E35" s="56">
        <f t="shared" si="2"/>
        <v>0</v>
      </c>
    </row>
    <row r="36" spans="1:5" ht="30" customHeight="1" x14ac:dyDescent="0.25">
      <c r="A36" s="52" t="s">
        <v>464</v>
      </c>
      <c r="B36" s="53">
        <v>50</v>
      </c>
      <c r="C36" s="55"/>
      <c r="D36" s="54">
        <v>0</v>
      </c>
      <c r="E36" s="56">
        <f t="shared" si="2"/>
        <v>0</v>
      </c>
    </row>
    <row r="37" spans="1:5" ht="30" customHeight="1" x14ac:dyDescent="0.25">
      <c r="A37" s="52" t="s">
        <v>465</v>
      </c>
      <c r="B37" s="53">
        <v>100</v>
      </c>
      <c r="C37" s="55"/>
      <c r="D37" s="54">
        <v>0</v>
      </c>
      <c r="E37" s="56">
        <f t="shared" si="2"/>
        <v>0</v>
      </c>
    </row>
    <row r="38" spans="1:5" ht="30" customHeight="1" x14ac:dyDescent="0.25">
      <c r="A38" s="57" t="s">
        <v>467</v>
      </c>
      <c r="B38" s="58">
        <v>50</v>
      </c>
      <c r="C38" s="60"/>
      <c r="D38" s="59">
        <v>0</v>
      </c>
      <c r="E38" s="56">
        <f t="shared" si="2"/>
        <v>0</v>
      </c>
    </row>
    <row r="39" spans="1:5" ht="30" customHeight="1" thickBot="1" x14ac:dyDescent="0.3">
      <c r="A39" s="71" t="s">
        <v>466</v>
      </c>
      <c r="B39" s="72">
        <v>70</v>
      </c>
      <c r="C39" s="87"/>
      <c r="D39" s="86">
        <v>0</v>
      </c>
      <c r="E39" s="75">
        <f t="shared" si="2"/>
        <v>0</v>
      </c>
    </row>
    <row r="40" spans="1:5" ht="15" customHeight="1" thickBot="1" x14ac:dyDescent="0.3">
      <c r="A40" s="88"/>
      <c r="B40" s="89"/>
      <c r="C40" s="93"/>
      <c r="D40" s="93"/>
      <c r="E40" s="89"/>
    </row>
    <row r="41" spans="1:5" ht="30" customHeight="1" thickBot="1" x14ac:dyDescent="0.3">
      <c r="A41" s="90" t="s">
        <v>95</v>
      </c>
      <c r="B41" s="91">
        <f>SUM(E13:E39)</f>
        <v>0</v>
      </c>
      <c r="C41" s="92" t="s">
        <v>1</v>
      </c>
      <c r="D41" s="93"/>
      <c r="E41" s="89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107</vt:i4>
      </vt:variant>
    </vt:vector>
  </HeadingPairs>
  <TitlesOfParts>
    <vt:vector size="122" baseType="lpstr">
      <vt:lpstr>HVAC Reference</vt:lpstr>
      <vt:lpstr>Natural Ventilation Calc</vt:lpstr>
      <vt:lpstr>2009 - 2021 IMC-UMC Single Zone</vt:lpstr>
      <vt:lpstr>2009 - 2021 IMC-UMC Multi-Zone</vt:lpstr>
      <vt:lpstr>2024 IMC-UMC Single</vt:lpstr>
      <vt:lpstr>2024 IMC-UMC Multi-Zone</vt:lpstr>
      <vt:lpstr>Calculation Tables</vt:lpstr>
      <vt:lpstr>2022 CA Single Zone Calculator</vt:lpstr>
      <vt:lpstr>2022 CA Multi-Zone Calculator</vt:lpstr>
      <vt:lpstr>2025 CA Single Zone Calculator</vt:lpstr>
      <vt:lpstr>2025 CA Multi-Zone Calculator</vt:lpstr>
      <vt:lpstr>2009 - 2021 IMC Exhaust Rqmts</vt:lpstr>
      <vt:lpstr>2024 IMC Exhaust Rqmts</vt:lpstr>
      <vt:lpstr>2009 - 2021 UMC Exhaust Rqmts</vt:lpstr>
      <vt:lpstr>2024 UMC Exhaust Rqmts</vt:lpstr>
      <vt:lpstr>An</vt:lpstr>
      <vt:lpstr>Ani</vt:lpstr>
      <vt:lpstr>Animal</vt:lpstr>
      <vt:lpstr>bardindex</vt:lpstr>
      <vt:lpstr>bardsize</vt:lpstr>
      <vt:lpstr>bardvent</vt:lpstr>
      <vt:lpstr>CARa</vt:lpstr>
      <vt:lpstr>'2009 - 2021 IMC-UMC Multi-Zone'!CFMtableDaikin</vt:lpstr>
      <vt:lpstr>'2009 - 2021 IMC-UMC Single Zone'!CFMtableDaikin</vt:lpstr>
      <vt:lpstr>'2022 CA Multi-Zone Calculator'!CFMtableDaikin</vt:lpstr>
      <vt:lpstr>'2022 CA Single Zone Calculator'!CFMtableDaikin</vt:lpstr>
      <vt:lpstr>'2024 IMC-UMC Multi-Zone'!CFMtableDaikin</vt:lpstr>
      <vt:lpstr>'2024 IMC-UMC Single'!CFMtableDaikin</vt:lpstr>
      <vt:lpstr>'2025 CA Multi-Zone Calculator'!CFMtableDaikin</vt:lpstr>
      <vt:lpstr>'2025 CA Single Zone Calculator'!CFMtableDaikin</vt:lpstr>
      <vt:lpstr>Co</vt:lpstr>
      <vt:lpstr>Coor</vt:lpstr>
      <vt:lpstr>Cor</vt:lpstr>
      <vt:lpstr>Dr</vt:lpstr>
      <vt:lpstr>Dry</vt:lpstr>
      <vt:lpstr>Ed</vt:lpstr>
      <vt:lpstr>EdCA</vt:lpstr>
      <vt:lpstr>Edu</vt:lpstr>
      <vt:lpstr>ERVINDEX</vt:lpstr>
      <vt:lpstr>ERVSIZE</vt:lpstr>
      <vt:lpstr>Fo</vt:lpstr>
      <vt:lpstr>FoCA</vt:lpstr>
      <vt:lpstr>Foo</vt:lpstr>
      <vt:lpstr>Food</vt:lpstr>
      <vt:lpstr>GenCA</vt:lpstr>
      <vt:lpstr>Ho</vt:lpstr>
      <vt:lpstr>Hot</vt:lpstr>
      <vt:lpstr>HotCA</vt:lpstr>
      <vt:lpstr>IMCocc1</vt:lpstr>
      <vt:lpstr>IMCoccDens</vt:lpstr>
      <vt:lpstr>IMCoccDensity</vt:lpstr>
      <vt:lpstr>IMCRa</vt:lpstr>
      <vt:lpstr>IMCRa1</vt:lpstr>
      <vt:lpstr>IMCRp</vt:lpstr>
      <vt:lpstr>IMCRp1</vt:lpstr>
      <vt:lpstr>IMCRp24</vt:lpstr>
      <vt:lpstr>IMCuse</vt:lpstr>
      <vt:lpstr>IMCuse1</vt:lpstr>
      <vt:lpstr>marairref</vt:lpstr>
      <vt:lpstr>marvairsize</vt:lpstr>
      <vt:lpstr>marvairvent</vt:lpstr>
      <vt:lpstr>MisCA</vt:lpstr>
      <vt:lpstr>MultiCO2</vt:lpstr>
      <vt:lpstr>NONE</vt:lpstr>
      <vt:lpstr>NONE1</vt:lpstr>
      <vt:lpstr>Of</vt:lpstr>
      <vt:lpstr>Off</vt:lpstr>
      <vt:lpstr>OffCA</vt:lpstr>
      <vt:lpstr>Ou</vt:lpstr>
      <vt:lpstr>Out</vt:lpstr>
      <vt:lpstr>'2009 - 2021 IMC-UMC Multi-Zone'!Print_Area</vt:lpstr>
      <vt:lpstr>'2009 - 2021 IMC-UMC Single Zone'!Print_Area</vt:lpstr>
      <vt:lpstr>'2022 CA Multi-Zone Calculator'!Print_Area</vt:lpstr>
      <vt:lpstr>'2022 CA Single Zone Calculator'!Print_Area</vt:lpstr>
      <vt:lpstr>'2024 IMC-UMC Multi-Zone'!Print_Area</vt:lpstr>
      <vt:lpstr>'2024 IMC-UMC Single'!Print_Area</vt:lpstr>
      <vt:lpstr>'2025 CA Multi-Zone Calculator'!Print_Area</vt:lpstr>
      <vt:lpstr>'2025 CA Single Zone Calculator'!Print_Area</vt:lpstr>
      <vt:lpstr>'Natural Ventilation Calc'!Print_Area</vt:lpstr>
      <vt:lpstr>Pu</vt:lpstr>
      <vt:lpstr>Pub</vt:lpstr>
      <vt:lpstr>PubCA</vt:lpstr>
      <vt:lpstr>Re</vt:lpstr>
      <vt:lpstr>ResCA</vt:lpstr>
      <vt:lpstr>Ret</vt:lpstr>
      <vt:lpstr>RetCA</vt:lpstr>
      <vt:lpstr>rturef</vt:lpstr>
      <vt:lpstr>rtusize</vt:lpstr>
      <vt:lpstr>'2009 - 2021 IMC-UMC Multi-Zone'!RTUsizes</vt:lpstr>
      <vt:lpstr>'2009 - 2021 IMC-UMC Single Zone'!RTUsizes</vt:lpstr>
      <vt:lpstr>'2022 CA Multi-Zone Calculator'!RTUsizes</vt:lpstr>
      <vt:lpstr>'2022 CA Single Zone Calculator'!RTUsizes</vt:lpstr>
      <vt:lpstr>'2024 IMC-UMC Multi-Zone'!RTUsizes</vt:lpstr>
      <vt:lpstr>'2024 IMC-UMC Single'!RTUsizes</vt:lpstr>
      <vt:lpstr>'2025 CA Single Zone Calculator'!RTUsizes</vt:lpstr>
      <vt:lpstr>rtuvent</vt:lpstr>
      <vt:lpstr>Sa</vt:lpstr>
      <vt:lpstr>Sg</vt:lpstr>
      <vt:lpstr>SngZonecO2</vt:lpstr>
      <vt:lpstr>Sotr</vt:lpstr>
      <vt:lpstr>Sp</vt:lpstr>
      <vt:lpstr>Spec</vt:lpstr>
      <vt:lpstr>SporCA</vt:lpstr>
      <vt:lpstr>Sport</vt:lpstr>
      <vt:lpstr>SproCA</vt:lpstr>
      <vt:lpstr>SprorCA</vt:lpstr>
      <vt:lpstr>St</vt:lpstr>
      <vt:lpstr>Th</vt:lpstr>
      <vt:lpstr>Thea</vt:lpstr>
      <vt:lpstr>Tr</vt:lpstr>
      <vt:lpstr>Tran</vt:lpstr>
      <vt:lpstr>'2009 - 2021 IMC-UMC Multi-Zone'!VENTtypeDaikin</vt:lpstr>
      <vt:lpstr>'2009 - 2021 IMC-UMC Single Zone'!VENTtypeDaikin</vt:lpstr>
      <vt:lpstr>'2022 CA Multi-Zone Calculator'!VENTtypeDaikin</vt:lpstr>
      <vt:lpstr>'2022 CA Single Zone Calculator'!VENTtypeDaikin</vt:lpstr>
      <vt:lpstr>'2024 IMC-UMC Multi-Zone'!VENTtypeDaikin</vt:lpstr>
      <vt:lpstr>'2024 IMC-UMC Single'!VENTtypeDaikin</vt:lpstr>
      <vt:lpstr>'2025 CA Multi-Zone Calculator'!VENTtypeDaikin</vt:lpstr>
      <vt:lpstr>'2025 CA Single Zone Calculator'!VENTtypeDaikin</vt:lpstr>
      <vt:lpstr>Work</vt:lpstr>
      <vt:lpstr>Wr</vt:lpstr>
      <vt:lpstr>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Schneider</dc:creator>
  <cp:lastModifiedBy>Michael Schneider</cp:lastModifiedBy>
  <cp:lastPrinted>2024-08-26T14:42:20Z</cp:lastPrinted>
  <dcterms:created xsi:type="dcterms:W3CDTF">2023-12-19T17:36:21Z</dcterms:created>
  <dcterms:modified xsi:type="dcterms:W3CDTF">2025-09-06T21:18:51Z</dcterms:modified>
</cp:coreProperties>
</file>
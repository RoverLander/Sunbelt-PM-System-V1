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Mike.Schneider_Local\Desktop\Calculations\"/>
    </mc:Choice>
  </mc:AlternateContent>
  <xr:revisionPtr revIDLastSave="0" documentId="13_ncr:1_{C62462CA-9473-47F2-BAEC-2EF01C82AA99}" xr6:coauthVersionLast="47" xr6:coauthVersionMax="47" xr10:uidLastSave="{00000000-0000-0000-0000-000000000000}"/>
  <bookViews>
    <workbookView xWindow="28680" yWindow="1605" windowWidth="29040" windowHeight="15720" xr2:uid="{00000000-000D-0000-FFFF-FFFF00000000}"/>
  </bookViews>
  <sheets>
    <sheet name="2021-2024 Frontage Increase" sheetId="8" r:id="rId1"/>
    <sheet name="2009-2018 Frontage Increase" sheetId="1" r:id="rId2"/>
    <sheet name="2021-2024 Mixed Occupancy" sheetId="12" r:id="rId3"/>
    <sheet name="2009-2018 Mixed Occupancy" sheetId="7" r:id="rId4"/>
    <sheet name="2021 Bldg Ht Table 504.3" sheetId="9" state="hidden" r:id="rId5"/>
    <sheet name="2021 Stories Table 504.4" sheetId="10" state="hidden" r:id="rId6"/>
    <sheet name="2021 area Table 506.2" sheetId="11" state="hidden" r:id="rId7"/>
    <sheet name="Allowable Bldg Ht Table 504.3" sheetId="4" state="hidden" r:id="rId8"/>
    <sheet name="Allowable Stories Table 504.4" sheetId="3" state="hidden" r:id="rId9"/>
    <sheet name="Allowable area Table 506.2" sheetId="5" state="hidden" r:id="rId10"/>
  </sheets>
  <definedNames>
    <definedName name="ConstrucS" localSheetId="6">'2021 area Table 506.2'!$Q$2:$AB$2</definedName>
    <definedName name="ConstrucS">'Allowable area Table 506.2'!$N$2:$V$2</definedName>
    <definedName name="Construction13D" localSheetId="6">'2021 area Table 506.2'!$BJ$2:$BU$2</definedName>
    <definedName name="Construction13D">'Allowable area Table 506.2'!$AX$2:$BF$2</definedName>
    <definedName name="Construction13R" localSheetId="6">'2021 area Table 506.2'!$BY$2:$CJ$2</definedName>
    <definedName name="Construction13R">'Allowable area Table 506.2'!$BJ$2:$BR$2</definedName>
    <definedName name="ConstructionAIL" localSheetId="6">'2021 area Table 506.2'!$AU$2:$BF$2</definedName>
    <definedName name="ConstructionAIL">'Allowable area Table 506.2'!$AL$2:$AT$2</definedName>
    <definedName name="ConstructionHt13D" localSheetId="4">'2021 Bldg Ht Table 504.3'!$AR$2:$BC$2</definedName>
    <definedName name="ConstructionHt13D">'Allowable Bldg Ht Table 504.3'!$AI$2:$AQ$2</definedName>
    <definedName name="ConstructionHt13R" localSheetId="4">'2021 Bldg Ht Table 504.3'!$BF$2:$BQ$2</definedName>
    <definedName name="ConstructionHt13R">'Allowable Bldg Ht Table 504.3'!$AT$2:$BB$2</definedName>
    <definedName name="ConstructionHtAIL" localSheetId="4">'2021 Bldg Ht Table 504.3'!$AD$2:$AO$2</definedName>
    <definedName name="ConstructionHtAIL">'Allowable Bldg Ht Table 504.3'!$X$2:$AF$2</definedName>
    <definedName name="ConstructionHtNS" localSheetId="4">'2021 Bldg Ht Table 504.3'!$B$2:$M$2</definedName>
    <definedName name="ConstructionHtNS">'Allowable Bldg Ht Table 504.3'!$B$2:$J$2</definedName>
    <definedName name="ConstructionHtSS" localSheetId="4">'2021 Bldg Ht Table 504.3'!$P$2:$AA$2</definedName>
    <definedName name="ConstructionHtSS">'Allowable Bldg Ht Table 504.3'!$M$2:$U$2</definedName>
    <definedName name="ConstructionNS" localSheetId="6">'2021 area Table 506.2'!$B$2:$M$2</definedName>
    <definedName name="ConstructionNS">'Allowable area Table 506.2'!$B$2:$J$2</definedName>
    <definedName name="ConstructionSM" localSheetId="6">'2021 area Table 506.2'!$AF$2:$AQ$2</definedName>
    <definedName name="ConstructionSM">'Allowable area Table 506.2'!$Z$2:$AH$2</definedName>
    <definedName name="ConstructionStories13D" localSheetId="5">'2021 Stories Table 504.4'!$AU$2:$BF$2</definedName>
    <definedName name="ConstructionStories13D">'Allowable Stories Table 504.4'!$AL$2:$AT$2</definedName>
    <definedName name="ConstructionStories13R" localSheetId="5">'2021 Stories Table 504.4'!$BJ$2:$BU$2</definedName>
    <definedName name="ConstructionStories13R">'Allowable Stories Table 504.4'!$AX$2:$BF$2</definedName>
    <definedName name="ConstructionStoriesAIL" localSheetId="5">'2021 Stories Table 504.4'!$AF$2:$AQ$2</definedName>
    <definedName name="ConstructionStoriesAIL">'Allowable Stories Table 504.4'!$Z$2:$AH$2</definedName>
    <definedName name="ConstructionStoriesNS" localSheetId="5">'2021 Stories Table 504.4'!$B$2:$M$2</definedName>
    <definedName name="ConstructionStoriesNS">'Allowable Stories Table 504.4'!$B$2:$J$2</definedName>
    <definedName name="ConstructionStoriesSS" localSheetId="5">'2021 Stories Table 504.4'!$Q$2:$AB$2</definedName>
    <definedName name="ConstructionStoriesSS">'Allowable Stories Table 504.4'!$N$2:$V$2</definedName>
    <definedName name="Occ13D" localSheetId="6">'2021 area Table 506.2'!$BI$3:$BI$33</definedName>
    <definedName name="Occ13D">'Allowable area Table 506.2'!$AW$3:$AW$33</definedName>
    <definedName name="Occ13R" localSheetId="6">'2021 area Table 506.2'!$BX$3:$BX$33</definedName>
    <definedName name="Occ13R">'Allowable area Table 506.2'!$BI$3:$BI$33</definedName>
    <definedName name="OccAIL" localSheetId="6">'2021 area Table 506.2'!$AT$3:$AT$33</definedName>
    <definedName name="OccAIL">'Allowable area Table 506.2'!$AK$3:$AK$33</definedName>
    <definedName name="OccHt13D" localSheetId="4">'2021 Bldg Ht Table 504.3'!$AQ$3:$AQ$32</definedName>
    <definedName name="OccHt13D">'Allowable Bldg Ht Table 504.3'!$AH$3:$AH$32</definedName>
    <definedName name="OccHt13R" localSheetId="4">'2021 Bldg Ht Table 504.3'!$BE$3:$BE$32</definedName>
    <definedName name="OccHt13R">'Allowable Bldg Ht Table 504.3'!$AS$3:$AS$32</definedName>
    <definedName name="OccHtAIL" localSheetId="4">'2021 Bldg Ht Table 504.3'!$AC$3:$AC$32</definedName>
    <definedName name="OccHtAIL">'Allowable Bldg Ht Table 504.3'!$W$3:$W$32</definedName>
    <definedName name="OccHtNS" localSheetId="4">'2021 Bldg Ht Table 504.3'!$A$3:$A$32</definedName>
    <definedName name="OccHtNS">'Allowable Bldg Ht Table 504.3'!$A$3:$A$32</definedName>
    <definedName name="OccHtSS" localSheetId="4">'2021 Bldg Ht Table 504.3'!$O$3:$O$32</definedName>
    <definedName name="OccHtSS">'Allowable Bldg Ht Table 504.3'!$L$3:$L$32</definedName>
    <definedName name="OccNS" localSheetId="6">'2021 area Table 506.2'!$A$3:$A$33</definedName>
    <definedName name="OccNS">'Allowable area Table 506.2'!$A$3:$A$33</definedName>
    <definedName name="OccS" localSheetId="6">'2021 area Table 506.2'!$P$2:$P$33</definedName>
    <definedName name="OccS">'Allowable area Table 506.2'!$M$2:$M$33</definedName>
    <definedName name="OccSM" localSheetId="6">'2021 area Table 506.2'!$AE$3:$AE$33</definedName>
    <definedName name="OccSM">'Allowable area Table 506.2'!$Y$3:$Y$33</definedName>
    <definedName name="OccSS" localSheetId="6">'2021 area Table 506.2'!$P$3:$P$33</definedName>
    <definedName name="OccSS">'Allowable area Table 506.2'!$M$3:$M$33</definedName>
    <definedName name="OccStories13D" localSheetId="5">'2021 Stories Table 504.4'!$AT$3:$AT$32</definedName>
    <definedName name="OccStories13D">'Allowable Stories Table 504.4'!$AK$3:$AK$32</definedName>
    <definedName name="OccStories13R" localSheetId="5">'2021 Stories Table 504.4'!$BI$3:$BI$32</definedName>
    <definedName name="OccStories13R">'Allowable Stories Table 504.4'!$AW$3:$AW$32</definedName>
    <definedName name="OccStoriesAIL" localSheetId="5">'2021 Stories Table 504.4'!$AE$3:$AE$32</definedName>
    <definedName name="OccStoriesAIL">'Allowable Stories Table 504.4'!$Y$3:$Y$32</definedName>
    <definedName name="OccStoriesNS" localSheetId="5">'2021 Stories Table 504.4'!$A$3:$A$32</definedName>
    <definedName name="OccStoriesNS">'Allowable Stories Table 504.4'!$A$3:$A$32</definedName>
    <definedName name="OccStoriesSS" localSheetId="5">'2021 Stories Table 504.4'!$P$3:$P$32</definedName>
    <definedName name="OccStoriesSS">'Allowable Stories Table 504.4'!$M$3:$M$32</definedName>
    <definedName name="_xlnm.Print_Area" localSheetId="1">'2009-2018 Frontage Increase'!$A$1:$N$44</definedName>
    <definedName name="_xlnm.Print_Area" localSheetId="3">'2009-2018 Mixed Occupancy'!$A$1:$D$34</definedName>
    <definedName name="_xlnm.Print_Area" localSheetId="0">'2021-2024 Frontage Increase'!$A$1:$N$44</definedName>
    <definedName name="_xlnm.Print_Area" localSheetId="2">'2021-2024 Mixed Occupancy'!$A$1:$D$34</definedName>
    <definedName name="SqFt1" localSheetId="6">'2021 area Table 506.2'!$Q$3:$AB$33</definedName>
    <definedName name="SqFt1">'Allowable area Table 506.2'!$N$3:$V$33</definedName>
    <definedName name="Table1" localSheetId="6">'2021 area Table 506.2'!$Q$3:$AB$33</definedName>
    <definedName name="Table1">'Allowable area Table 506.2'!$N$3:$V$33</definedName>
    <definedName name="Table13D" localSheetId="6">'2021 area Table 506.2'!$BJ$3:$BU$33</definedName>
    <definedName name="Table13D">'Allowable area Table 506.2'!$AX$3:$BF$33</definedName>
    <definedName name="Table13R" localSheetId="6">'2021 area Table 506.2'!$BY$3:$CJ$33</definedName>
    <definedName name="Table13R">'Allowable area Table 506.2'!$BJ$3:$BR$33</definedName>
    <definedName name="TableAIL" localSheetId="6">'2021 area Table 506.2'!$AU$3:$BF$33</definedName>
    <definedName name="TableAIL">'Allowable area Table 506.2'!$AL$3:$AT$33</definedName>
    <definedName name="TableHt13D" localSheetId="4">'2021 Bldg Ht Table 504.3'!$AR$3:$BC$32</definedName>
    <definedName name="TableHt13D">'Allowable Bldg Ht Table 504.3'!$AI$3:$AQ$32</definedName>
    <definedName name="TableHt13R" localSheetId="4">'2021 Bldg Ht Table 504.3'!$BF$3:$BQ$32</definedName>
    <definedName name="TableHt13R">'Allowable Bldg Ht Table 504.3'!$AT$3:$BB$32</definedName>
    <definedName name="TableHtAIL" localSheetId="4">'2021 Bldg Ht Table 504.3'!$AD$3:$AO$32</definedName>
    <definedName name="TableHtAIL">'Allowable Bldg Ht Table 504.3'!$X$3:$AF$32</definedName>
    <definedName name="TableHtNS" localSheetId="4">'2021 Bldg Ht Table 504.3'!$B$3:$M$32</definedName>
    <definedName name="TableHtNS">'Allowable Bldg Ht Table 504.3'!$B$3:$J$32</definedName>
    <definedName name="TableHtSS" localSheetId="4">'2021 Bldg Ht Table 504.3'!$P$3:$AA$32</definedName>
    <definedName name="TableHtSS">'Allowable Bldg Ht Table 504.3'!$M$3:$U$32</definedName>
    <definedName name="TableNS" localSheetId="6">'2021 area Table 506.2'!$B$3:$M$33</definedName>
    <definedName name="TableNS">'Allowable area Table 506.2'!$B$3:$J$33</definedName>
    <definedName name="TableSM" localSheetId="6">'2021 area Table 506.2'!$AF$3:$AQ$33</definedName>
    <definedName name="TableSM">'Allowable area Table 506.2'!$Z$3:$AH$33</definedName>
    <definedName name="TableSS" localSheetId="6">'2021 area Table 506.2'!$Q$3:$AB$33</definedName>
    <definedName name="TableSS">'Allowable area Table 506.2'!$N$3:$V$33</definedName>
    <definedName name="TableStories13D" localSheetId="5">'2021 Stories Table 504.4'!$AU$3:$BF$32</definedName>
    <definedName name="TableStories13D">'Allowable Stories Table 504.4'!$AL$3:$AT$32</definedName>
    <definedName name="TableStories13R" localSheetId="5">'2021 Stories Table 504.4'!$BJ$3:$BU$32</definedName>
    <definedName name="TableStories13R">'Allowable Stories Table 504.4'!$AX$3:$BF$32</definedName>
    <definedName name="TableStoriesAIL" localSheetId="5">'2021 Stories Table 504.4'!$AF$3:$AQ$32</definedName>
    <definedName name="TableStoriesAIL">'Allowable Stories Table 504.4'!$Z$3:$AH$32</definedName>
    <definedName name="TableStoriesNS" localSheetId="5">'2021 Stories Table 504.4'!$B$3:$M$32</definedName>
    <definedName name="TableStoriesNS">'Allowable Stories Table 504.4'!$B$3:$J$32</definedName>
    <definedName name="TableStoriesSS" localSheetId="5">'2021 Stories Table 504.4'!$Q$3:$AB$32</definedName>
    <definedName name="TableStoriesSS">'Allowable Stories Table 504.4'!$N$3:$V$32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7" l="1"/>
  <c r="G2" i="12"/>
  <c r="G2" i="1"/>
  <c r="G2" i="8"/>
  <c r="G1" i="7" l="1"/>
  <c r="B8" i="7"/>
  <c r="B8" i="12"/>
  <c r="G1" i="12"/>
  <c r="G1" i="1" l="1"/>
  <c r="G1" i="8"/>
  <c r="L10" i="12"/>
  <c r="L12" i="12" a="1"/>
  <c r="L12" i="12" s="1"/>
  <c r="L9" i="12"/>
  <c r="K12" i="12" a="1"/>
  <c r="K12" i="12" s="1"/>
  <c r="K10" i="12"/>
  <c r="K11" i="12" s="1"/>
  <c r="K9" i="12"/>
  <c r="H38" i="11"/>
  <c r="F38" i="11"/>
  <c r="E38" i="11"/>
  <c r="L7" i="12"/>
  <c r="K7" i="12"/>
  <c r="T2" i="12"/>
  <c r="T3" i="12" s="1"/>
  <c r="O2" i="12"/>
  <c r="O3" i="12" s="1"/>
  <c r="B4" i="1"/>
  <c r="B4" i="8"/>
  <c r="K14" i="8" a="1"/>
  <c r="K14" i="8" s="1"/>
  <c r="L11" i="12" l="1"/>
  <c r="L13" i="12" s="1"/>
  <c r="K13" i="12"/>
  <c r="J10" i="12"/>
  <c r="B37" i="11"/>
  <c r="A37" i="11"/>
  <c r="A36" i="10"/>
  <c r="B36" i="10"/>
  <c r="AC34" i="11"/>
  <c r="AB34" i="11"/>
  <c r="O5" i="11"/>
  <c r="AE34" i="11" l="1"/>
  <c r="P34" i="11"/>
  <c r="AT34" i="11"/>
  <c r="B34" i="8" s="1"/>
  <c r="BI34" i="11"/>
  <c r="AR34" i="11"/>
  <c r="BU34" i="11"/>
  <c r="A34" i="11"/>
  <c r="BV34" i="11"/>
  <c r="M34" i="11"/>
  <c r="K5" i="12" s="1"/>
  <c r="B32" i="12" s="1"/>
  <c r="BX34" i="11"/>
  <c r="N34" i="11"/>
  <c r="L5" i="12" s="1"/>
  <c r="L14" i="12" s="1"/>
  <c r="C31" i="12" s="1"/>
  <c r="CJ34" i="11"/>
  <c r="CK34" i="11"/>
  <c r="AQ34" i="11"/>
  <c r="K5" i="8" l="1"/>
  <c r="K14" i="12"/>
  <c r="B31" i="12" s="1"/>
  <c r="AT33" i="10"/>
  <c r="BI33" i="10" l="1"/>
  <c r="A33" i="10"/>
  <c r="P33" i="10"/>
  <c r="K7" i="8" s="1"/>
  <c r="AE33" i="10"/>
  <c r="B36" i="8" s="1"/>
  <c r="A37" i="9"/>
  <c r="B37" i="9"/>
  <c r="T15" i="8"/>
  <c r="T16" i="8" s="1"/>
  <c r="O14" i="8"/>
  <c r="O15" i="8" s="1"/>
  <c r="K12" i="8"/>
  <c r="K11" i="8"/>
  <c r="K9" i="8"/>
  <c r="L9" i="8" s="1"/>
  <c r="O3" i="8"/>
  <c r="T2" i="8"/>
  <c r="T3" i="8" s="1"/>
  <c r="O2" i="8"/>
  <c r="K13" i="8" l="1"/>
  <c r="AQ33" i="9"/>
  <c r="A33" i="9"/>
  <c r="BE33" i="9"/>
  <c r="O33" i="9"/>
  <c r="AC33" i="9"/>
  <c r="J12" i="8"/>
  <c r="L7" i="7"/>
  <c r="K15" i="8" l="1"/>
  <c r="K6" i="8"/>
  <c r="B35" i="8" s="1"/>
  <c r="L11" i="7"/>
  <c r="L12" i="7" s="1"/>
  <c r="L10" i="7"/>
  <c r="K11" i="7"/>
  <c r="K12" i="7" s="1"/>
  <c r="K10" i="7"/>
  <c r="K7" i="7"/>
  <c r="T15" i="1"/>
  <c r="O14" i="1"/>
  <c r="K16" i="8" l="1"/>
  <c r="K17" i="8" s="1"/>
  <c r="J11" i="7"/>
  <c r="L9" i="7"/>
  <c r="K9" i="7"/>
  <c r="O3" i="1"/>
  <c r="T2" i="7" l="1"/>
  <c r="T3" i="7" s="1"/>
  <c r="T2" i="1" l="1"/>
  <c r="T3" i="1" s="1"/>
  <c r="K9" i="1" l="1"/>
  <c r="L9" i="1" s="1"/>
  <c r="O2" i="1" l="1"/>
  <c r="K13" i="1" l="1"/>
  <c r="T16" i="1" l="1"/>
  <c r="O2" i="7" l="1"/>
  <c r="O3" i="7" s="1"/>
  <c r="O15" i="1" l="1"/>
  <c r="F38" i="5"/>
  <c r="E38" i="5" l="1"/>
  <c r="BR34" i="5" s="1"/>
  <c r="H38" i="5"/>
  <c r="W34" i="5" s="1"/>
  <c r="C32" i="12" l="1"/>
  <c r="AH34" i="5"/>
  <c r="BF34" i="5"/>
  <c r="V34" i="5"/>
  <c r="J34" i="5"/>
  <c r="K34" i="5"/>
  <c r="L5" i="7" s="1"/>
  <c r="C32" i="7" s="1"/>
  <c r="BS34" i="5"/>
  <c r="BG34" i="5"/>
  <c r="AI34" i="5"/>
  <c r="B37" i="4"/>
  <c r="A37" i="4"/>
  <c r="B37" i="5"/>
  <c r="B36" i="3"/>
  <c r="A36" i="3"/>
  <c r="A37" i="5"/>
  <c r="B34" i="12" l="1"/>
  <c r="C34" i="12" s="1"/>
  <c r="B33" i="12"/>
  <c r="C33" i="12" s="1"/>
  <c r="L6" i="12"/>
  <c r="K4" i="12" s="1"/>
  <c r="K6" i="12"/>
  <c r="K5" i="7"/>
  <c r="B32" i="7" s="1"/>
  <c r="B34" i="7" s="1"/>
  <c r="C34" i="7" s="1"/>
  <c r="L6" i="7"/>
  <c r="K4" i="7" s="1"/>
  <c r="L13" i="7"/>
  <c r="W33" i="4"/>
  <c r="A33" i="3"/>
  <c r="B33" i="8" s="1"/>
  <c r="AK33" i="3"/>
  <c r="M33" i="3"/>
  <c r="AW33" i="3"/>
  <c r="A33" i="4"/>
  <c r="AH33" i="4"/>
  <c r="A34" i="5"/>
  <c r="BI34" i="5"/>
  <c r="AS33" i="4"/>
  <c r="Y33" i="3"/>
  <c r="Y34" i="5"/>
  <c r="L5" i="5" s="1"/>
  <c r="M34" i="5"/>
  <c r="AK34" i="5"/>
  <c r="AW34" i="5"/>
  <c r="L33" i="4"/>
  <c r="K7" i="1" l="1"/>
  <c r="K6" i="7"/>
  <c r="K13" i="7"/>
  <c r="B31" i="7" s="1"/>
  <c r="B32" i="8"/>
  <c r="B34" i="1"/>
  <c r="K8" i="8"/>
  <c r="L4" i="8" s="1"/>
  <c r="B30" i="8"/>
  <c r="C31" i="7"/>
  <c r="K6" i="1"/>
  <c r="B35" i="1" s="1"/>
  <c r="K5" i="1"/>
  <c r="K8" i="1" s="1"/>
  <c r="B33" i="7" l="1"/>
  <c r="C33" i="7" s="1"/>
  <c r="B31" i="8"/>
  <c r="L4" i="1"/>
  <c r="B32" i="1"/>
  <c r="K12" i="1"/>
  <c r="J13" i="1" s="1"/>
  <c r="B36" i="1" l="1"/>
  <c r="K14" i="1"/>
  <c r="K11" i="1" s="1"/>
  <c r="K15" i="1" s="1"/>
  <c r="K16" i="1" s="1"/>
  <c r="B30" i="1" l="1"/>
  <c r="B31" i="1"/>
  <c r="B33" i="1" l="1"/>
</calcChain>
</file>

<file path=xl/sharedStrings.xml><?xml version="1.0" encoding="utf-8"?>
<sst xmlns="http://schemas.openxmlformats.org/spreadsheetml/2006/main" count="7410" uniqueCount="207">
  <si>
    <t>PROPERTY LINE EXAMPLE:</t>
  </si>
  <si>
    <t>Occupancy Classification:</t>
  </si>
  <si>
    <t>Construction Type:</t>
  </si>
  <si>
    <t>Sprinkled:</t>
  </si>
  <si>
    <t>Number Of Stories:</t>
  </si>
  <si>
    <t>Facing North (Ft):</t>
  </si>
  <si>
    <t>Facing South (Ft):</t>
  </si>
  <si>
    <t>Facing East (Ft):</t>
  </si>
  <si>
    <t>Facing West (Ft):</t>
  </si>
  <si>
    <t>(R.O.W.=Right Of Way)</t>
  </si>
  <si>
    <t>B</t>
  </si>
  <si>
    <t>A-1</t>
  </si>
  <si>
    <t>NS</t>
  </si>
  <si>
    <t>S1</t>
  </si>
  <si>
    <t>SM</t>
  </si>
  <si>
    <t>A-2</t>
  </si>
  <si>
    <t>A-3</t>
  </si>
  <si>
    <t>A-4</t>
  </si>
  <si>
    <t>A-5</t>
  </si>
  <si>
    <t>E</t>
  </si>
  <si>
    <t>F-1</t>
  </si>
  <si>
    <t>H-1</t>
  </si>
  <si>
    <t>H-2</t>
  </si>
  <si>
    <t>H-3</t>
  </si>
  <si>
    <t>H-4</t>
  </si>
  <si>
    <t>H-5</t>
  </si>
  <si>
    <t>I-3</t>
  </si>
  <si>
    <t>I-4</t>
  </si>
  <si>
    <t>L</t>
  </si>
  <si>
    <t>S-1</t>
  </si>
  <si>
    <t>M</t>
  </si>
  <si>
    <t>S13R</t>
  </si>
  <si>
    <t>SM (with ht. increase)</t>
  </si>
  <si>
    <t>SM (without ht. increase)</t>
  </si>
  <si>
    <t>R-2 Type VA construction</t>
  </si>
  <si>
    <t>S13D</t>
  </si>
  <si>
    <t>S-2</t>
  </si>
  <si>
    <t>U</t>
  </si>
  <si>
    <t>UL</t>
  </si>
  <si>
    <t>I-2/I-2.1</t>
  </si>
  <si>
    <t>NP</t>
  </si>
  <si>
    <t>F-2</t>
  </si>
  <si>
    <t>Note: UL = Unlimited; NP = Not Permitted;</t>
  </si>
  <si>
    <r>
      <t>For SI: 1 square foot = 0.0929 m</t>
    </r>
    <r>
      <rPr>
        <vertAlign val="superscript"/>
        <sz val="11"/>
        <color theme="1"/>
        <rFont val="Calibri"/>
        <family val="2"/>
        <scheme val="minor"/>
      </rPr>
      <t>2</t>
    </r>
  </si>
  <si>
    <t>NS = Buildings not equipped throughout with an automatic sprinkler system.</t>
  </si>
  <si>
    <t>S13D = Buildings equipped throughout with an automatic sprinkler system in accordance with Section 903.3.1.3.</t>
  </si>
  <si>
    <t>S13R = Buildings equipped throughout with an automatic sprinkler system in accordance with Section 903.3.1.2</t>
  </si>
  <si>
    <t>S (without area increase)</t>
  </si>
  <si>
    <t>S (with area increase)</t>
  </si>
  <si>
    <t>S</t>
  </si>
  <si>
    <t>R-1</t>
  </si>
  <si>
    <t>For SI: 1 square foot = 304.8 mm</t>
  </si>
  <si>
    <t>S = Buildings equipped throughout with an automatic sprinkler system in accordance with Section 903.3.1.1.</t>
  </si>
  <si>
    <t>Project #:</t>
  </si>
  <si>
    <t>R-2</t>
  </si>
  <si>
    <t>R-2.1</t>
  </si>
  <si>
    <t>R-3/R-3.1</t>
  </si>
  <si>
    <t>R-4</t>
  </si>
  <si>
    <t>Notes:</t>
  </si>
  <si>
    <t>Allowed height:</t>
  </si>
  <si>
    <t>Allowed Stories:</t>
  </si>
  <si>
    <t>NFPA 13 Sprinklers:</t>
  </si>
  <si>
    <t>Allowable per story area, Aa = At+(NS x If):</t>
  </si>
  <si>
    <t>I-A</t>
  </si>
  <si>
    <t>I-B</t>
  </si>
  <si>
    <t>II-A</t>
  </si>
  <si>
    <t>II-B</t>
  </si>
  <si>
    <t>III-A</t>
  </si>
  <si>
    <t>III-B</t>
  </si>
  <si>
    <t>V-A</t>
  </si>
  <si>
    <t>V-B</t>
  </si>
  <si>
    <t>IV-HT</t>
  </si>
  <si>
    <t>S13D SPRINKLERS</t>
  </si>
  <si>
    <t>S13R SPRINKLERS</t>
  </si>
  <si>
    <t>= Buildings not equipped throughout with an automatic sprinkler system.</t>
  </si>
  <si>
    <t xml:space="preserve">S1 </t>
  </si>
  <si>
    <t>= Buildings a maximum of one story above grade equipped throughout with an automatic sprinkler system in accordance with Section 903.3.1.1.</t>
  </si>
  <si>
    <t xml:space="preserve">SM </t>
  </si>
  <si>
    <t>= Buildings two or more stories above grade equipped throughout with an automatic sprinkler system in accordance with Section 903.3.1.1.</t>
  </si>
  <si>
    <t xml:space="preserve">S13R </t>
  </si>
  <si>
    <t xml:space="preserve">S13D </t>
  </si>
  <si>
    <t>= Buildings equipped throughout with an automatic sprinkler system in accordance with Section 903.3.1.3.</t>
  </si>
  <si>
    <t>Group R and NFPA 13R/D:</t>
  </si>
  <si>
    <t>NOT SPRINKLED</t>
  </si>
  <si>
    <t xml:space="preserve">NS </t>
  </si>
  <si>
    <t>= Buildings equipped throughout with an automatic sprinkler system in accordance with Section 903.3.1.2.</t>
  </si>
  <si>
    <t>SPRINKLED 13D</t>
  </si>
  <si>
    <t>SPRINKLED 13R</t>
  </si>
  <si>
    <t>AREA INCREASE LIMITATIONS</t>
  </si>
  <si>
    <t>Allowed Stories W/ Area Increase (CA only):</t>
  </si>
  <si>
    <t>No Limitations</t>
  </si>
  <si>
    <t>Average frontage distance (W):</t>
  </si>
  <si>
    <t>*Distance to property line or to far side of R.O.W. (feet):</t>
  </si>
  <si>
    <t>Total allowable area [Aa x # of Stories]:</t>
  </si>
  <si>
    <t>Area increase: If=[F/P - 0.25]W/30</t>
  </si>
  <si>
    <t>Tubular per floor area limit per Table 506.2:</t>
  </si>
  <si>
    <t>Allowable area per floor (Aa=[At+(NSxIf)]:</t>
  </si>
  <si>
    <t>DO NOT OVERIDE BELOW</t>
  </si>
  <si>
    <t>Special Conditions:</t>
  </si>
  <si>
    <t>Unlimited area allowed with 1-Story (non-sprinkled), Groups F-2 or S-2 with public ways or yards not less than 60' on all sides.  Section 507.3 (2018 IBC / 2019 CBC)</t>
  </si>
  <si>
    <t>Unlimited area reduction in public ways or yard allowed (60' to 40').  Restrictions apply.  Section 507.2 (2018 IBC / 2019 CBC)</t>
  </si>
  <si>
    <t>Sprinklers required for all Group R occupancies.  Certain R occupancies / conditions allow for an NFPA 13D system (See sub-sections).  Section 903.2.8 (2018 IBC / 2019 CBC)</t>
  </si>
  <si>
    <t>See Table 602 for fire rating requirements for exterior walls based on seperation distance.</t>
  </si>
  <si>
    <t>Type V-A construction requires all structural elements / members be 1-hour rated (Ext. Walls, floors, roof, ridge beams, and columns).  Table 601.</t>
  </si>
  <si>
    <t>OCCUPANCY 1</t>
  </si>
  <si>
    <t>OCCUPANCY 2</t>
  </si>
  <si>
    <t>For Mixed Occ. #2</t>
  </si>
  <si>
    <t>SQ. FT. OF OCC. 1</t>
  </si>
  <si>
    <t>SQ. FT. OF OCC. 2</t>
  </si>
  <si>
    <t>Max. allowable Height (Table 504.3):</t>
  </si>
  <si>
    <t>Max. Allowable Stories (Aa=[At+(NSxIf)]xSa:</t>
  </si>
  <si>
    <t>Multi-Story not to exceed 3 without sprinkler system.  See Section 506.2.3 (2018 IBC / 2019 CBC)</t>
  </si>
  <si>
    <t>See Section 506.2.2.1 for Group H-2 and Group H-3 restrictions. (2018 IBC / 2019 CBC)</t>
  </si>
  <si>
    <t>See Section 506.2.2 for mixed-occupancy, single story buildings. (2018 IBC / 2019 CBC)</t>
  </si>
  <si>
    <t>occ2</t>
  </si>
  <si>
    <t>area increase</t>
  </si>
  <si>
    <t>For Mixed Occ. #1</t>
  </si>
  <si>
    <t>occ1</t>
  </si>
  <si>
    <t>Allowed Area Increase Multi-Story (CA only):</t>
  </si>
  <si>
    <t>See Table 508.4 for occupancy seperation requirements (Ratings) (2018 IBC / 2019 CBC)</t>
  </si>
  <si>
    <t>Max. occupancy area, Aa = At+(NS x If):</t>
  </si>
  <si>
    <t>To qualify for area factor increase based on frontage, atleast 25% of the building perimeter on public way / space shall have min. width of 20'.  Section 506.3.1 (2018 IBC / 2019 CBC)</t>
  </si>
  <si>
    <t>Building Perimeter Lengths (Feet):</t>
  </si>
  <si>
    <t>Type B construction referes to "Unprotected" (non-rated) construction, except with Type I structures.</t>
  </si>
  <si>
    <t>Type A construction referes to "Protected" (rated) construction, except with Type I structures.</t>
  </si>
  <si>
    <t>See Table 601 for fire resistance requirements.</t>
  </si>
  <si>
    <t>See Table 602 for fire resistance requirements for exterior walls based on seperation distance.</t>
  </si>
  <si>
    <t>NP W/ 13D</t>
  </si>
  <si>
    <t>NP W/13R</t>
  </si>
  <si>
    <t>NP W/13D</t>
  </si>
  <si>
    <t>NP W/ 13R</t>
  </si>
  <si>
    <t>Unlimited area allowed with 1-Story (sprinkled), Groups A-4 (other than type V) A-3, B, F, M or S with public ways or yards not less than 60' on all sides.  Section 507.4 (2018 IBC / 2019 CBC)</t>
  </si>
  <si>
    <t>CONSTRUCTION TYPES:</t>
  </si>
  <si>
    <t>SPRINKLERS (S1 &amp; SM)</t>
  </si>
  <si>
    <t>SPRINKLED (S1)</t>
  </si>
  <si>
    <t>SPRINKLED (S1 &amp; SM)</t>
  </si>
  <si>
    <t>SPRINKLED MULTI-STORY (SM)</t>
  </si>
  <si>
    <t>R-2.2 (CA Only)</t>
  </si>
  <si>
    <t>Allowed Height W/ Area Increase (CA only):</t>
  </si>
  <si>
    <t>Feet</t>
  </si>
  <si>
    <t>36000 w/ Ht. Increase</t>
  </si>
  <si>
    <t>Perimeter, (P):</t>
  </si>
  <si>
    <t>Frontage perimeter, (F):</t>
  </si>
  <si>
    <t>Frontage coefficient, (If):</t>
  </si>
  <si>
    <t>Maximum allowable area, Aa=[At+(NSxIf)]xSa:</t>
  </si>
  <si>
    <t>W/ Area Increase (Sq. Ft./Aa 1) + (Sq. Ft./Aa 2):</t>
  </si>
  <si>
    <t>Occupancy W/O Area Increase:</t>
  </si>
  <si>
    <t>W/O Area Increase (Sq. Ft./Aa 1) + (Sq. Ft./Aa 2):</t>
  </si>
  <si>
    <t>Square Footage of Area(s):</t>
  </si>
  <si>
    <t>Sprinkler Types:</t>
  </si>
  <si>
    <t>Occupancy Classifications:</t>
  </si>
  <si>
    <t>I-1 Cond. 1</t>
  </si>
  <si>
    <t>I-1 Cond. 2</t>
  </si>
  <si>
    <t>Sq. Ft. per floor</t>
  </si>
  <si>
    <t>Sq. Ft. total</t>
  </si>
  <si>
    <t>Storie(s)</t>
  </si>
  <si>
    <t>Sq. Ft. each story</t>
  </si>
  <si>
    <t>Feet total</t>
  </si>
  <si>
    <t>Fire Alarm Requirements:</t>
  </si>
  <si>
    <t>See Chapter 3 for Occupancy Classifications.</t>
  </si>
  <si>
    <t>See Section 907 for Fire Alarm requirements (2018 IBC / 2019 CBC).</t>
  </si>
  <si>
    <t>NP W/ III-B or V-B</t>
  </si>
  <si>
    <t>NP W/ V-B Construction</t>
  </si>
  <si>
    <t>NP 1-Story Only</t>
  </si>
  <si>
    <t>NP W/ II-B, III-B, IV-HT, V-B Construction</t>
  </si>
  <si>
    <t>NP W/O S1 or SM Sprinklers</t>
  </si>
  <si>
    <t>NP / Construction V-A Only</t>
  </si>
  <si>
    <t>NP W/O S1 or SM Spinklers</t>
  </si>
  <si>
    <t>NP W/ II-B, III-B, IV-HT (OK Sprinkled), V-B Construction</t>
  </si>
  <si>
    <t>NP / Use I-A or I-B Construction</t>
  </si>
  <si>
    <t>NP W/ III-B or V-B Construction</t>
  </si>
  <si>
    <t>NP W/ IV-HT Construction</t>
  </si>
  <si>
    <t>NP W/ III-B Construction</t>
  </si>
  <si>
    <t>NP W II-B Construction</t>
  </si>
  <si>
    <t>Maximum allowable area, Aa = At+(NS x If):</t>
  </si>
  <si>
    <t>IV-A</t>
  </si>
  <si>
    <t>IV-B</t>
  </si>
  <si>
    <t>IV-C</t>
  </si>
  <si>
    <t>NP W/ II-B, III-B, IV-A, IV-B, IV-C, IV-HT, V-B Construction</t>
  </si>
  <si>
    <t>Minimum distance (W):</t>
  </si>
  <si>
    <t>Percentage of perimeter &gt; 20':</t>
  </si>
  <si>
    <t>See Table 705.5 for fire resistance requirements for exterior walls based on seperation distance.</t>
  </si>
  <si>
    <t>See Table 705.5 for fire rating requirements for exterior walls based on seperation distance.</t>
  </si>
  <si>
    <t>Unlimited area reduction in public ways or yard allowed (60' to 40').  Restrictions apply.  Section 507.</t>
  </si>
  <si>
    <t>See Section 907 for Fire Alarm requirements.</t>
  </si>
  <si>
    <t>Unlimited area allowed with 1-Story (non-sprinkled), Groups F-2 or S-2 with public ways or yards not less than 60' on all sides.  Section 507.3.</t>
  </si>
  <si>
    <t>Sprinklers required for all Group R occupancies.  Certain R occupancies / conditions allow for an NFPA 13D system.  Section 903.2.8.</t>
  </si>
  <si>
    <t>Multi-Story not to exceed 3 without sprinkler system.  See Section 506.2.3.</t>
  </si>
  <si>
    <t>Frontage Increase Factor (If):</t>
  </si>
  <si>
    <t>Frontage Increase Factor: Table 506.3</t>
  </si>
  <si>
    <t>Frontage Increase: If=[F/P - 0.25]W/30</t>
  </si>
  <si>
    <r>
      <t xml:space="preserve">To qualify for area factor increase based on frontage, </t>
    </r>
    <r>
      <rPr>
        <i/>
        <u/>
        <sz val="11"/>
        <color theme="1"/>
        <rFont val="Calibri"/>
        <family val="2"/>
        <scheme val="minor"/>
      </rPr>
      <t>at least 25%</t>
    </r>
    <r>
      <rPr>
        <sz val="11"/>
        <color theme="1"/>
        <rFont val="Calibri"/>
        <family val="2"/>
        <scheme val="minor"/>
      </rPr>
      <t xml:space="preserve"> of the building perimeter on public way / space shall have min. width of 20'.  Section 506.3.1 (2018 IBC / 2019 CBC)</t>
    </r>
  </si>
  <si>
    <r>
      <t xml:space="preserve">To qualify for area factor increase based on frontage, </t>
    </r>
    <r>
      <rPr>
        <i/>
        <u/>
        <sz val="11"/>
        <color theme="1"/>
        <rFont val="Calibri"/>
        <family val="2"/>
        <scheme val="minor"/>
      </rPr>
      <t>at least 25%</t>
    </r>
    <r>
      <rPr>
        <sz val="11"/>
        <color theme="1"/>
        <rFont val="Calibri"/>
        <family val="2"/>
        <scheme val="minor"/>
      </rPr>
      <t xml:space="preserve"> of the building perimeter on public way / space shall have min. width of 20'.  Section 506.3.1.</t>
    </r>
  </si>
  <si>
    <t>2009 - 2018 IBC FRONTAGE INCREASE CALCULATOR</t>
  </si>
  <si>
    <t>Unlimited area allowed with 1-Story (NFPA-13 sprinkled), Groups A-4 (other than type V) or B, F, M or S with public ways or yards not less than 60' on all sides.  Section 507.4.</t>
  </si>
  <si>
    <t>NP W/ II-B, III-B, IV-A (216,000 Sprinkled), IV-B, IV-C, IV-HT, V-B Construction</t>
  </si>
  <si>
    <t>W/ II-B, III-B, IV-A (216,000 Sprinkled), IV-B, IV-C, IV-HT, V-B Construction</t>
  </si>
  <si>
    <t>NP W/ II-B &amp; III-BConstruction</t>
  </si>
  <si>
    <t>NP For CA.</t>
  </si>
  <si>
    <t>2009 - 2018 IBC MIXED OCCUPANCY SINGLE STORY</t>
  </si>
  <si>
    <t>See Section 507.4 for mixed-occupancy, single story buildings.</t>
  </si>
  <si>
    <t>See Section 507.8 for Group H-2, H-3, and Group H-3 restrictions.</t>
  </si>
  <si>
    <t>To qualify for area factor increase based on frontage, at least 25% of the building perimeter on public way / space shall have min. width of 20'.  Section 506.3.2.</t>
  </si>
  <si>
    <t>See Table 508.4 for occupancy seperation requirements (Ratings) as applicable.</t>
  </si>
  <si>
    <t>Note: Per section 506.3.2, the smallest public way or open space must be used.</t>
  </si>
  <si>
    <t>2021-2024 IBC FRONTAGE INCREASE CALCULATOR</t>
  </si>
  <si>
    <t>2021-2024 IBC MIXED OCCUPANCY SINGLE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</si>
</sst>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
  </numFmts>
  <fonts count="11" x14ac:knownFonts="1">
    <font>
      <sz val="11"/>
      <color theme="1"/>
      <name val="Calibri"/>
      <family val="2"/>
      <scheme val="minor"/>
    </font>
    <font>
      <vertAlign val="superscript"/>
      <sz val="11"/>
      <color theme="1"/>
      <name val="Calibri"/>
      <family val="2"/>
      <scheme val="minor"/>
    </font>
    <font>
      <sz val="11"/>
      <color rgb="FFFF0000"/>
      <name val="Calibri"/>
      <family val="2"/>
      <scheme val="minor"/>
    </font>
    <font>
      <sz val="11"/>
      <name val="Calibri"/>
      <family val="2"/>
      <scheme val="minor"/>
    </font>
    <font>
      <b/>
      <sz val="11"/>
      <color theme="1"/>
      <name val="Calibri"/>
      <family val="2"/>
      <scheme val="minor"/>
    </font>
    <font>
      <u/>
      <sz val="11"/>
      <color theme="1"/>
      <name val="Calibri"/>
      <family val="2"/>
      <scheme val="minor"/>
    </font>
    <font>
      <b/>
      <i/>
      <sz val="11"/>
      <color theme="1"/>
      <name val="Calibri"/>
      <family val="2"/>
      <scheme val="minor"/>
    </font>
    <font>
      <i/>
      <sz val="11"/>
      <color theme="1"/>
      <name val="Calibri"/>
      <family val="2"/>
      <scheme val="minor"/>
    </font>
    <font>
      <i/>
      <u/>
      <sz val="11"/>
      <color theme="1"/>
      <name val="Calibri"/>
      <family val="2"/>
      <scheme val="minor"/>
    </font>
    <font>
      <b/>
      <sz val="9"/>
      <color rgb="FF333333"/>
      <name val="Arial"/>
      <family val="2"/>
    </font>
    <font>
      <b/>
      <sz val="14"/>
      <color rgb="FF7030A0"/>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9"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1">
    <xf numFmtId="0" fontId="0" fillId="0" borderId="0" xfId="0"/>
    <xf numFmtId="0" fontId="0" fillId="0" borderId="0" xfId="0" applyAlignment="1">
      <alignment vertical="center" wrapText="1"/>
    </xf>
    <xf numFmtId="0" fontId="0" fillId="0" borderId="0" xfId="0" applyAlignment="1">
      <alignment vertical="center"/>
    </xf>
    <xf numFmtId="0" fontId="0" fillId="0" borderId="1" xfId="0" applyBorder="1" applyAlignment="1">
      <alignment horizontal="center" vertical="center"/>
    </xf>
    <xf numFmtId="3"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right" vertical="center"/>
    </xf>
    <xf numFmtId="0" fontId="0" fillId="0" borderId="0" xfId="0" applyAlignment="1">
      <alignment horizontal="center" vertical="center" wrapText="1"/>
    </xf>
    <xf numFmtId="0" fontId="0" fillId="0" borderId="1" xfId="0" applyBorder="1" applyAlignment="1">
      <alignment vertical="center"/>
    </xf>
    <xf numFmtId="0" fontId="0" fillId="0" borderId="1" xfId="0" applyBorder="1"/>
    <xf numFmtId="0" fontId="0" fillId="0" borderId="1" xfId="0" applyBorder="1" applyAlignment="1">
      <alignment vertical="center" wrapText="1"/>
    </xf>
    <xf numFmtId="0" fontId="0" fillId="0" borderId="2" xfId="0" applyBorder="1" applyAlignment="1">
      <alignment vertical="center"/>
    </xf>
    <xf numFmtId="0" fontId="0" fillId="0" borderId="0" xfId="0" quotePrefix="1"/>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xf>
    <xf numFmtId="3" fontId="0" fillId="0" borderId="0" xfId="0" applyNumberFormat="1" applyAlignment="1">
      <alignment horizontal="center" vertical="center"/>
    </xf>
    <xf numFmtId="0" fontId="2" fillId="0" borderId="0" xfId="0" applyFont="1"/>
    <xf numFmtId="0" fontId="2" fillId="0" borderId="0" xfId="0" applyFont="1" applyAlignment="1">
      <alignment vertical="center"/>
    </xf>
    <xf numFmtId="0" fontId="0" fillId="0" borderId="1" xfId="0" applyBorder="1" applyAlignment="1">
      <alignment horizontal="right" vertical="center"/>
    </xf>
    <xf numFmtId="0" fontId="0" fillId="0" borderId="1" xfId="0" applyBorder="1" applyAlignment="1">
      <alignment horizontal="left" vertical="center"/>
    </xf>
    <xf numFmtId="3" fontId="0" fillId="0" borderId="1" xfId="0" applyNumberFormat="1" applyBorder="1" applyAlignment="1">
      <alignment horizontal="right" vertical="center"/>
    </xf>
    <xf numFmtId="3" fontId="0" fillId="0" borderId="0" xfId="0" applyNumberFormat="1" applyAlignment="1">
      <alignment horizontal="right" vertical="center"/>
    </xf>
    <xf numFmtId="0" fontId="0" fillId="0" borderId="0" xfId="0" applyAlignment="1">
      <alignment horizontal="center"/>
    </xf>
    <xf numFmtId="0" fontId="0" fillId="0" borderId="12" xfId="0" applyBorder="1"/>
    <xf numFmtId="3" fontId="0" fillId="0" borderId="0" xfId="0" applyNumberFormat="1" applyAlignment="1">
      <alignment horizontal="left" vertical="center"/>
    </xf>
    <xf numFmtId="164" fontId="3" fillId="0" borderId="0" xfId="0" applyNumberFormat="1" applyFont="1" applyAlignment="1">
      <alignment horizontal="left" vertical="center"/>
    </xf>
    <xf numFmtId="0" fontId="0" fillId="0" borderId="0" xfId="0" applyAlignment="1">
      <alignment horizontal="right" vertical="center" wrapText="1"/>
    </xf>
    <xf numFmtId="0" fontId="0" fillId="0" borderId="0" xfId="0" applyAlignment="1">
      <alignment horizontal="right" vertical="top" wrapText="1"/>
    </xf>
    <xf numFmtId="0" fontId="5" fillId="0" borderId="0" xfId="0" applyFont="1" applyAlignment="1">
      <alignment vertical="center"/>
    </xf>
    <xf numFmtId="0" fontId="4" fillId="0" borderId="0" xfId="0" applyFont="1" applyAlignment="1">
      <alignment horizontal="center" vertical="center"/>
    </xf>
    <xf numFmtId="3" fontId="0" fillId="0" borderId="4" xfId="0" applyNumberFormat="1" applyBorder="1" applyAlignment="1">
      <alignment horizontal="center" vertical="center"/>
    </xf>
    <xf numFmtId="3" fontId="0" fillId="0" borderId="2" xfId="0" applyNumberFormat="1" applyBorder="1" applyAlignment="1">
      <alignment horizontal="center" vertical="center"/>
    </xf>
    <xf numFmtId="165" fontId="0" fillId="0" borderId="4" xfId="0" applyNumberFormat="1" applyBorder="1" applyAlignment="1">
      <alignment horizontal="right" vertical="center"/>
    </xf>
    <xf numFmtId="0" fontId="0" fillId="0" borderId="0" xfId="0" applyAlignment="1">
      <alignment vertical="top" wrapText="1"/>
    </xf>
    <xf numFmtId="0" fontId="5" fillId="0" borderId="0" xfId="0" applyFont="1"/>
    <xf numFmtId="0" fontId="0" fillId="0" borderId="0" xfId="0" applyAlignment="1">
      <alignment horizontal="right"/>
    </xf>
    <xf numFmtId="3" fontId="0" fillId="0" borderId="32" xfId="0" applyNumberFormat="1" applyBorder="1" applyAlignment="1">
      <alignment horizontal="center" vertical="center"/>
    </xf>
    <xf numFmtId="0" fontId="0" fillId="0" borderId="33" xfId="0" applyBorder="1" applyAlignment="1">
      <alignment horizontal="left" vertical="center"/>
    </xf>
    <xf numFmtId="0" fontId="0" fillId="0" borderId="34" xfId="0" applyBorder="1" applyAlignment="1">
      <alignment horizontal="left" vertical="center"/>
    </xf>
    <xf numFmtId="166" fontId="3" fillId="0" borderId="0" xfId="0" applyNumberFormat="1" applyFont="1" applyAlignment="1">
      <alignment horizontal="left" vertical="center"/>
    </xf>
    <xf numFmtId="0" fontId="7" fillId="0" borderId="0" xfId="0" applyFont="1" applyAlignment="1">
      <alignment horizontal="right" vertical="center"/>
    </xf>
    <xf numFmtId="3" fontId="3" fillId="0" borderId="0" xfId="0" applyNumberFormat="1" applyFont="1" applyAlignment="1">
      <alignment horizontal="left" vertical="center"/>
    </xf>
    <xf numFmtId="166" fontId="0" fillId="0" borderId="0" xfId="0" applyNumberFormat="1" applyAlignment="1">
      <alignment vertical="center"/>
    </xf>
    <xf numFmtId="0" fontId="0" fillId="0" borderId="4" xfId="0" applyBorder="1" applyAlignment="1">
      <alignment horizontal="right" vertical="center"/>
    </xf>
    <xf numFmtId="0" fontId="2" fillId="2" borderId="0" xfId="0" applyFont="1" applyFill="1"/>
    <xf numFmtId="0" fontId="0" fillId="2" borderId="0" xfId="0" applyFill="1"/>
    <xf numFmtId="9" fontId="0" fillId="0" borderId="0" xfId="0" applyNumberFormat="1" applyAlignment="1">
      <alignment horizontal="left" vertical="center"/>
    </xf>
    <xf numFmtId="0" fontId="9" fillId="0" borderId="0" xfId="0" applyFont="1" applyAlignment="1">
      <alignment horizontal="left" vertical="center" wrapText="1" indent="1"/>
    </xf>
    <xf numFmtId="0" fontId="0" fillId="3" borderId="4" xfId="0" applyFill="1" applyBorder="1" applyAlignment="1">
      <alignment horizontal="center" vertical="center"/>
    </xf>
    <xf numFmtId="0" fontId="0" fillId="3" borderId="3" xfId="0" applyFill="1" applyBorder="1" applyAlignment="1">
      <alignment vertical="center"/>
    </xf>
    <xf numFmtId="0" fontId="0" fillId="3" borderId="1" xfId="0" applyFill="1" applyBorder="1" applyAlignment="1">
      <alignment vertical="center"/>
    </xf>
    <xf numFmtId="0" fontId="0" fillId="3" borderId="8" xfId="0" applyFill="1" applyBorder="1" applyAlignment="1">
      <alignment vertical="center"/>
    </xf>
    <xf numFmtId="3" fontId="0" fillId="3" borderId="3" xfId="0" applyNumberFormat="1" applyFill="1" applyBorder="1" applyAlignment="1">
      <alignment horizontal="center" vertical="center"/>
    </xf>
    <xf numFmtId="0" fontId="6" fillId="3" borderId="4" xfId="0" applyFont="1" applyFill="1" applyBorder="1" applyAlignment="1">
      <alignment vertical="center"/>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15" xfId="0" applyBorder="1" applyAlignment="1">
      <alignment horizontal="center" vertical="top" wrapText="1"/>
    </xf>
    <xf numFmtId="0" fontId="0" fillId="0" borderId="0" xfId="0" applyAlignment="1">
      <alignment horizontal="center" vertical="top" wrapText="1"/>
    </xf>
    <xf numFmtId="0" fontId="0" fillId="0" borderId="19" xfId="0" applyBorder="1" applyAlignment="1">
      <alignment horizontal="center" vertical="top" wrapText="1"/>
    </xf>
    <xf numFmtId="0" fontId="0" fillId="0" borderId="20" xfId="0" applyBorder="1" applyAlignment="1">
      <alignment horizontal="center" vertical="top" wrapText="1"/>
    </xf>
    <xf numFmtId="0" fontId="0" fillId="0" borderId="21" xfId="0" applyBorder="1" applyAlignment="1">
      <alignment horizontal="center" vertical="top" wrapText="1"/>
    </xf>
    <xf numFmtId="0" fontId="0" fillId="0" borderId="22" xfId="0" applyBorder="1" applyAlignment="1">
      <alignment horizontal="center" vertical="top" wrapText="1"/>
    </xf>
    <xf numFmtId="0" fontId="0" fillId="0" borderId="0" xfId="0" applyAlignment="1">
      <alignment horizontal="left" vertical="center"/>
    </xf>
    <xf numFmtId="0" fontId="0" fillId="0" borderId="19" xfId="0" applyBorder="1" applyAlignment="1">
      <alignment horizontal="left" vertical="center"/>
    </xf>
    <xf numFmtId="0" fontId="0" fillId="0" borderId="0" xfId="0" applyAlignment="1">
      <alignment horizontal="left" vertical="top"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left" vertical="center" wrapText="1"/>
    </xf>
    <xf numFmtId="0" fontId="0" fillId="0" borderId="19" xfId="0" applyBorder="1" applyAlignment="1">
      <alignment horizontal="left" vertical="center" wrapText="1"/>
    </xf>
    <xf numFmtId="0" fontId="0" fillId="0" borderId="21" xfId="0" applyBorder="1" applyAlignment="1">
      <alignment horizontal="left" vertical="top" wrapText="1"/>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25" xfId="0" applyBorder="1" applyAlignment="1">
      <alignment horizontal="center" vertical="center"/>
    </xf>
    <xf numFmtId="0" fontId="0" fillId="0" borderId="8"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1"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top" wrapText="1"/>
    </xf>
    <xf numFmtId="0" fontId="0" fillId="0" borderId="30" xfId="0" applyBorder="1" applyAlignment="1">
      <alignment horizontal="center" vertical="top" wrapText="1"/>
    </xf>
    <xf numFmtId="0" fontId="0" fillId="0" borderId="31" xfId="0" applyBorder="1" applyAlignment="1">
      <alignment horizontal="center" vertical="top" wrapText="1"/>
    </xf>
    <xf numFmtId="0" fontId="5" fillId="0" borderId="0" xfId="0" applyFont="1" applyAlignment="1">
      <alignment horizontal="left" vertical="center" wrapText="1"/>
    </xf>
    <xf numFmtId="0" fontId="0" fillId="0" borderId="33" xfId="0" applyBorder="1" applyAlignment="1">
      <alignment horizontal="left" vertical="center"/>
    </xf>
    <xf numFmtId="0" fontId="0" fillId="0" borderId="34" xfId="0" applyBorder="1" applyAlignment="1">
      <alignment horizontal="left" vertical="center"/>
    </xf>
    <xf numFmtId="3" fontId="0" fillId="0" borderId="0" xfId="0" applyNumberFormat="1" applyAlignment="1">
      <alignment horizontal="left" vertical="center" wrapText="1"/>
    </xf>
    <xf numFmtId="3" fontId="0" fillId="0" borderId="1" xfId="0" applyNumberFormat="1" applyBorder="1" applyAlignment="1">
      <alignment horizontal="center" vertical="center"/>
    </xf>
    <xf numFmtId="3" fontId="0" fillId="0" borderId="23" xfId="0" applyNumberFormat="1" applyBorder="1" applyAlignment="1">
      <alignment horizontal="center" vertical="center"/>
    </xf>
    <xf numFmtId="3" fontId="0" fillId="0" borderId="24" xfId="0" applyNumberFormat="1" applyBorder="1" applyAlignment="1">
      <alignment horizontal="center" vertical="center"/>
    </xf>
    <xf numFmtId="0" fontId="0" fillId="0" borderId="10" xfId="0" applyBorder="1" applyAlignment="1">
      <alignment horizontal="left" vertical="center"/>
    </xf>
    <xf numFmtId="0" fontId="0" fillId="0" borderId="11" xfId="0" applyBorder="1" applyAlignment="1">
      <alignment horizontal="left" vertical="center"/>
    </xf>
    <xf numFmtId="3" fontId="0" fillId="0" borderId="9" xfId="0" applyNumberFormat="1" applyBorder="1" applyAlignment="1">
      <alignment horizontal="center" vertical="center"/>
    </xf>
    <xf numFmtId="3" fontId="0" fillId="0" borderId="11" xfId="0" applyNumberFormat="1" applyBorder="1" applyAlignment="1">
      <alignment horizontal="center" vertical="center"/>
    </xf>
    <xf numFmtId="3" fontId="0" fillId="3" borderId="13" xfId="0" applyNumberFormat="1" applyFill="1" applyBorder="1" applyAlignment="1">
      <alignment horizontal="center" vertical="center"/>
    </xf>
    <xf numFmtId="3" fontId="0" fillId="3" borderId="14" xfId="0" applyNumberFormat="1" applyFill="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cellXfs>
  <cellStyles count="1">
    <cellStyle name="Normal" xfId="0" builtinId="0"/>
  </cellStyles>
  <dxfs count="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FF0000"/>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46</xdr:row>
      <xdr:rowOff>1</xdr:rowOff>
    </xdr:from>
    <xdr:to>
      <xdr:col>4</xdr:col>
      <xdr:colOff>19499</xdr:colOff>
      <xdr:row>66</xdr:row>
      <xdr:rowOff>76201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679181"/>
          <a:ext cx="6149789" cy="3733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46</xdr:row>
      <xdr:rowOff>24765</xdr:rowOff>
    </xdr:from>
    <xdr:to>
      <xdr:col>3</xdr:col>
      <xdr:colOff>494936</xdr:colOff>
      <xdr:row>62</xdr:row>
      <xdr:rowOff>62865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1725275" y="5673090"/>
          <a:ext cx="5108846" cy="3055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8"/>
  <sheetViews>
    <sheetView tabSelected="1" workbookViewId="0">
      <selection activeCell="B3" sqref="B3"/>
    </sheetView>
  </sheetViews>
  <sheetFormatPr defaultRowHeight="14.4" x14ac:dyDescent="0.3"/>
  <cols>
    <col min="1" max="1" width="40.6640625" customWidth="1"/>
    <col min="2" max="2" width="26.109375" customWidth="1"/>
    <col min="3" max="3" width="2.44140625" customWidth="1"/>
    <col min="4" max="4" width="20.33203125" customWidth="1"/>
    <col min="5" max="5" width="2.44140625" customWidth="1"/>
    <col min="6" max="6" width="3.44140625" customWidth="1"/>
    <col min="7" max="7" width="15.6640625" customWidth="1"/>
    <col min="16" max="21" width="9.109375" customWidth="1"/>
  </cols>
  <sheetData>
    <row r="1" spans="1:39" ht="18.600000000000001" thickBot="1" x14ac:dyDescent="0.35">
      <c r="A1" s="98" t="s">
        <v>205</v>
      </c>
      <c r="B1" s="99"/>
      <c r="C1" s="99"/>
      <c r="D1" s="100"/>
      <c r="E1" s="2"/>
      <c r="F1" s="2"/>
      <c r="G1" s="2" t="str">
        <f>IF(B5="E","AZ: Sprinklers required is above grade set.","")</f>
        <v/>
      </c>
      <c r="I1" s="2"/>
      <c r="J1" s="2"/>
      <c r="K1" s="2"/>
      <c r="L1" s="2"/>
      <c r="M1" s="2"/>
      <c r="N1" s="2"/>
      <c r="O1" s="73" t="s">
        <v>150</v>
      </c>
      <c r="P1" s="74"/>
      <c r="Q1" s="74"/>
      <c r="R1" s="75"/>
      <c r="S1" s="2"/>
      <c r="T1" s="73" t="s">
        <v>158</v>
      </c>
      <c r="U1" s="74"/>
      <c r="V1" s="74"/>
      <c r="W1" s="75"/>
      <c r="Y1" s="2"/>
      <c r="Z1" s="2"/>
      <c r="AA1" s="2"/>
      <c r="AB1" s="2"/>
      <c r="AC1" s="2"/>
      <c r="AD1" s="2"/>
    </row>
    <row r="2" spans="1:39" ht="15" thickBot="1" x14ac:dyDescent="0.35">
      <c r="A2" s="2"/>
      <c r="B2" s="2"/>
      <c r="C2" s="2"/>
      <c r="D2" s="2"/>
      <c r="E2" s="2"/>
      <c r="F2" s="2"/>
      <c r="G2" s="70" t="str">
        <f>IF(B5="E","FL, GA, RI, &amp; DE: Sprinklers required.  Exception: Under 1,000 sq. ft., single classroom, and less than 30' from other buildings. (NFPA 101: 14.3.5) / No exception for SREF classroom for FL.","")</f>
        <v/>
      </c>
      <c r="H2" s="70"/>
      <c r="I2" s="70"/>
      <c r="J2" s="70"/>
      <c r="K2" s="70"/>
      <c r="L2" s="70"/>
      <c r="M2" s="70"/>
      <c r="N2" s="71"/>
      <c r="O2" s="73" t="str">
        <f>IF(OR(B5="A-1",2="A-2",B5="A-3",B5="A-4",B5="A-5"),"A: Assembly Group",IF(B5="B","B: Business Group",IF(B5="E","E: Educational Group",IF(OR(B5="F-1",B5="F-2"),"F: Factory Group",IF(OR(B5="H-1",B5="H-2",B5="H-3",B5="H-4",B5="H-5"),"H: High Hazard Group",IF(OR(B5="I-1 Cond. 1",B5="I-1 Cond. 2",B5="I-2/I-2.1",B5="I-3",B5="I-4"),"I: Institutional Group",IF(B5="M","M: Mercantile Group",IF(OR(B5="R-1",B5="r-2",B5="r-2.1",B5="r-2.2 (ca only)",B5="r-3/r-3.1",B5="r-4"),"R: Residential Group",IF(OR(B5="s-1",B5="s-2"),"S: Storage Group",IF(B5="U","U: Utility &amp; Miscellaneous Group",IF(B5="L","L: Labortories Group","")))))))))))</f>
        <v>B: Business Group</v>
      </c>
      <c r="P2" s="74"/>
      <c r="Q2" s="74"/>
      <c r="R2" s="75"/>
      <c r="T2" s="73" t="str">
        <f>$B$5</f>
        <v>B</v>
      </c>
      <c r="U2" s="74"/>
      <c r="V2" s="74"/>
      <c r="W2" s="75"/>
      <c r="AA2" s="2"/>
    </row>
    <row r="3" spans="1:39" ht="15" customHeight="1" thickBot="1" x14ac:dyDescent="0.35">
      <c r="A3" s="6" t="s">
        <v>53</v>
      </c>
      <c r="B3" s="54"/>
      <c r="C3" s="2"/>
      <c r="D3" s="2"/>
      <c r="E3" s="2"/>
      <c r="F3" s="2"/>
      <c r="G3" s="70"/>
      <c r="H3" s="70"/>
      <c r="I3" s="70"/>
      <c r="J3" s="70"/>
      <c r="K3" s="70"/>
      <c r="L3" s="70"/>
      <c r="M3" s="70"/>
      <c r="N3" s="71"/>
      <c r="O3" s="55" t="str">
        <f>IF(B5="a-1","A-1: Assembly use intended for the production &amp; viewing of performing arts or motion pictures.  Motion Picture Theaters, Concert Halls, TV/Radio Studios w/ audience, Theaters.",IF(B5="a-2","A-2: Assembly use intended for food / drink consumption.  Banquet Halls, Casinos, Nightclubs, Restaurants, Break Rooms.",IF(B5="A-3","A-3: Assembly use for worship, recreation/amusement, and other assembly uses.  Conferences, Lecture Halls, Libraries, Places of Worship, Waiting areas, Bowling Alleys, Court Rooms, Amusement Arcades, Community Halls, Dance Halls, Etc.",IF(B5="A-4","A-4: Assembly use intended for viewing indoor sporting events/activities with seating.  Arenas, Skating Rinks, Swimming Pools, Tennis Courts.",IF(B5="A-5","A-5: assembly use intended for participation in or viewing outdoor activities.  Amusement park structures, Bleachers, Grandstands, Stadiums",IF(B5="b","B: Air Traffic Towers, Ambulatory Care (serving 6 or fewer), Banks, Barber/Beauty Shops, Vet Clinic, Bank, Offices, Outpatient Clinic, Education grade over 12th grade, food processing, print shops, radio/TV stations.",IF(B5="E","E: Grades Pre-K thru 12th occupied by more than 6 persons. Group E Daycare occupied by 5 or more kids older than 2-1/2 yo and receive less than 24hr. care.  See Section 303.1.4 for accessory to places of worship.",IF(B5="F-1","F-1: Factory industrial that are considered Moderate Hazard.  Aircraft repair, Appliances, Bakeries, Bicylces, Boats, Business Machines, Clothing, Construction and Agricultural Machinery, Dry Cleaning, Engines, Electronics, Paper Mill, Tabacco, Wood.",IF(B5="f-2","F-2: Factory industrial that are considered Low Hazard. Beverage up to 16% alcohol content, Brick/Masonry, Ceramic Products, Foundries, Glass Products, Gypsum, Ice, Metal Procucts.",IF(B5="H-1","H-1: Occupancies containing explosives.  Explosives, Div. 1.1, 1.2, 1.3, 1.5, 1.6.",IF(B5="H-2","H-2: Buildings containing materials that pose a deflagration hazard or hazard from accelerated burning. Combustible Duct &amp; Liquid, Cryogentic Liquid/Flammable, Div. 1.3 Explosives, Flammable Gas or Liquid (Type IA, IB, or IC).",IF(B5="H-3","H-3: Buildings containing materials that readily support combustion or pose a physical hazard. Combustible Fiber, Liquid (Type II or IIIA, Cryogenic oxidizing, Flammable Liquid, solid or combination, organic peroxide.",IF(B5="H-4","H-4: Buildings containing materials that are health hazards. Corrosives, Highly Toxic materials, Toxic materials.",IF(B5="H-5","H-5: Semiconductor fabrication facilities and comparable research and develpment areas in which hazardous production materials are used and the aggregate quantity of materials is in excess of those listed in Tables 307.1(1) &amp; 307.1(2).",IF(B5="I-1 Cond. 1","I-1 Cond. 1: Buildings for more than 16 persons, excluding staff who reside on a 24-hr. basis in a supv enriroment and receive custodial care.  Halfway house, Assisted Living.  Cond 1: Person in custodial care, but can respond to an emergency situation.",IF(B5="I-1 Cond. 2","I-1 Cond. 2: Bldgs for 16+ persons, excl. staff who reside on a 24-hr basis in a supv enriroment and receive custodial care.  Halfway house, Assisted Living. Cond 2: Person in care who require limited verbal/physical asst. while rspnd to emer. sitn.",IF(B5="i-2/i-2.1","I-2: Buildings for medical care on 24hr. basis for more than 5 persons who are incapable of self-preservation or nonambulatory.  Hospitals, Nursing Homes, Psyc. Hospitals.  5 or fewer persons receiving medical care shall be classifed as Group R-3.",IF(B5="I-3","I-3: Buildings or portions of that are inhabited by one or more than 5 who are under restaint or security.  Corrections centers, hospitals, nursing, mental, holding, treatment.  Detention Centers, Jails, Juvenile Halls, Prisons, Temporary Holding.",IF(B5="i-4","I-4: Buildings occupied by more than 6 clients of any age who recieve custodial care for fewer than 24hr per day other than parents or guardians.  Adult Daycare, Child Daycare. See Section 308.5.1 to classify as Group E daycare",IF(B5="L","L: Building contains 1 or more labatory suites as defined in Section 453 (2019 CBC).",IF(B5="M","M: Buildings for the display and sale of merchandise, and involves stocks or goods, wares or merchandise incidental to such purposes and accessible to the public.  Department Stores, Drug Stores, Greenhouses (Display and Sale), Markets, Sales Rooms.",IF(B5="R-1","R-1: Building for sleeping purposes where occupants are transient in nature.  Hotels, Motels.",IF(B5="r-2","R-2: Buildings for sleeping purposes when not classified as an Institutional Group I or when not regulated by the International Residential Code.  Boarding House, Dormatory, Congregate Living, Group Home, Hotels, Motels, Fraternities, Transient.",IF(B5="R-2.1","R-2.1: Buildings housing clients on a 24hr. basis, who because of age, mental disability or other reasons, live in a supervised enviroment.  Res. Care Facilities for children or elderly, Group Homes, Comm. Correction centers, alcohol/drug treatment.",IF(B5="R-2.2 (CA Only)","R-2.2: Residential occupanies operated by CDCR in a community located facility that provides housing and community based program services for nontransient ambulatory care in a nonlicensed facility w/ 24/7 upervision.",IF(B5="R-3/r-3.1","R-3/R-3.1: Occupants are primary in nature and not classified as R-1, R-2, R-2.1, R-2.2 (CA), R-3.1, R-4, or I.  Nontransient with 16 or fewer occupants, Boarding houses, Convents, Dorms, Fraternities, Monasteries, Adult/Child care with 6 or fewer.",IF(B5="R-4","R-4: Buildings for more than 6 ambulatory clients, but no more than 16 persons, excluding staff, who reisde on a 24hr basis in a supervised residential enviroment.  R-4 shall meet the requirements of R-3.  Section 310.5 (CBC)",IF(B5="s-1","S-1: Moderate-Hazard Storage buildings not classified as S-2.  Aerol products, Aircraft Hanger (Storage/Repari), Bags, Bamboo, Books/Paper in rolls or packs, Boots/Shoes, Cardboard, Dry boat storage, Lino, Lumber, Soaps, Wax candles.",IF(B5="s-2","S-2: Low Hazard Storage.  Asbestos, Cement Bags, Chalk/Crayons, Dairy Products in nonwaxed containers, Dry Cell Batteries, Electrical Coils, Empty Cans, Glass, Gypsu Board, Meats, Metal Parts, Porcelain, Stoves.",IF(B5="U","U: Buildings not classified in any specific occupancy shall be constructed, equipped and maintained to conform with code requirements.  Agriculural buildings, Barns, Carports, Comm equip., Private garages, Sheds, Stables, Tanks, Towers.",""))))))))))))))))))))))))))))))</f>
        <v>B: Air Traffic Towers, Ambulatory Care (serving 6 or fewer), Banks, Barber/Beauty Shops, Vet Clinic, Bank, Offices, Outpatient Clinic, Education grade over 12th grade, food processing, print shops, radio/TV stations.</v>
      </c>
      <c r="P3" s="56"/>
      <c r="Q3" s="56"/>
      <c r="R3" s="57"/>
      <c r="T3" s="55" t="str">
        <f>IF(OR(T2="A-1",T2="A-2",T2="A-3",T2="A-4",T2="A-5"),"Occupant load 300+ @ grade level, or 100+ above/below grade.  Exception: Where a building is equipped with sprinkler system and occ. notification appliances activate throughout upon sprinkler water flow.",IF(T2="B","Combined occupant load of 500+, or 100+ above/below grade.  Fire area contains an ambulatory care facility.  Exception: Where a building is equipped with sprinkler system and occ. notification appliances activate throughout upon sprinkler water flow.",IF(T2="E","Required. Exception: Occupants of 50 or less. Emer. voice/arlarm communication installed and occupant load is 100 or less. Alarm boxes not required if: building has a sprinkler system, emer. voice/alarm installed, activation from an norm. occupied area.",IF(OR(T2="F-1",T2="F-2"),"Combined occupant load of 500+ above or below grade and has 2+ stories in height.  Exception: Where a building is equipped with sprinkler system and occ. notification appliances activate throughout upon sprinkler water flow.",IF(OR(T2="I-1 Cond. 1",T2="I-1 Cond. 2",T2="I-2/I-2.1",T2="I-3",T2="I-4"),"Required.  Exception: Alarm boxes in sleeping units of I-1 &amp; I-2 are not required at all care provider stations or constantly attended staff lctns.  See Sections 907.2.6.1 thru 907.2.6.3.3 for additional exceptions.",IF(T2="M","Combined occupant load of 500+, or 100+ above/below grade.  Exception: Where a building is equipped with sprinkler system and occ. notification appliances activate throughout upon sprinkler water flow.  Not required in covered or open mall buildings.",IF(T2="R-1","Required.  Exception: Where a building is equipped with sprinkler system and occ. notification appliances activate throughout upon sprinkler water flow and no fewer than one manual fire box at approved lctn.  See 907.2.8.1 for additional exceptions.",IF(OR(T2="R-2",T2="R-2.1",T2="R-2.2 (CA Only)"),"Contains 16+ dwelling units or Units are 3+ stories below or 1+ story above grade. Exception: Where a bldg is equipped with sprinkler system and occ. notification appliances activate throughout upon sprinkler water flow. See 907.2.9.1 for exceptions.",IF(OR(T2="R-3/R-3.1",T2="R-4"),"Required @ ceiling or wall ourside each dwelling unit.  Each sleeping room.  Each story withing a dwelling unit.",IF(T2="H-5","Required.  No exceptions.",IF(OR(T2="S-1",T2="S-2",T2="U",T2="H-1",T2="H-2",T2="H-3",T2="H-4",T2="L"),"Not Required","")))))))))))</f>
        <v>Combined occupant load of 500+, or 100+ above/below grade.  Fire area contains an ambulatory care facility.  Exception: Where a building is equipped with sprinkler system and occ. notification appliances activate throughout upon sprinkler water flow.</v>
      </c>
      <c r="U3" s="56"/>
      <c r="V3" s="56"/>
      <c r="W3" s="57"/>
      <c r="AA3" s="2"/>
    </row>
    <row r="4" spans="1:39" ht="15" thickBot="1" x14ac:dyDescent="0.35">
      <c r="B4" s="25" t="str">
        <f>IF(AND(B5="i-3",(OR(B6="v-b",B6="v-a",B6="iv-ht",B6="iv-c",B6="iv-b",B6="iv-a",B6="iii-b",B6="iii-a",B6="ii-b",B6="ii-a"))),"NP in California only.  Use Construction Type I-A or I-B.",IF(AND(B5="I-2/I-2.1",(OR(B6="iv-c",B6="iv-b",B6="iv-a",B6="iii-b"))),"Construction type IV-A, IV-B, IV-C, &amp; III-B NP in California only.",""))</f>
        <v/>
      </c>
      <c r="C4" s="2"/>
      <c r="D4" s="2"/>
      <c r="E4" s="2"/>
      <c r="F4" s="29" t="s">
        <v>58</v>
      </c>
      <c r="G4" s="29"/>
      <c r="H4" s="2"/>
      <c r="I4" s="2"/>
      <c r="J4" s="2"/>
      <c r="L4" s="64" t="str">
        <f>IF(OR(K5="NP",K5="NP W/ S13R",K5="NP / Use I-A or I-B Construction",K5="NP W/ S13D",K5="NP W/O S1 or SM Sprinklers",K5="NP W/ II-B, III-B, IV-HT, V-B Construction",K5="NP W/ II-B, III-B, IV-HT (OK Sprinkled), V-B Construction",K5="NP / Construction V-A Only",K5="NP W/ V-B Construction",K6="NP",K6="NP W/ S13R",K6="NP / Use I-A or I-B Construction",K6="NP W/ S13D",K6="NP W/O S1 or SM Sprinklers",K6="NP W/ II-B, III-B, IV-HT, V-B Construction",K6="NP W/ II-B, III-B, IV-HT (OK Sprinkled), V-B Construction",K6="NP / Construction V-A Only",K6="NP W/ V-B Construction",K7="NP",K7="NP W/ S13R",K7="NP / Use I-A or I-B Construction",K7="NP W/ S13D",K7="NP W/O S1 or SM Sprinklers",K7="NP W/ II-B, III-B, IV-HT, V-B Construction",K7="NP W/ II-B, III-B, IV-HT (OK Sprinkled), V-B Construction",K7="NP / Construction V-A Only",K7="NP W/ V-B Construction"),"Note: NP = Not Permitted",IF(OR(K5="UL",K6="UL",K7="UL",K8="UL",K9="UL"),"Note: UL = Unlimited",""))</f>
        <v/>
      </c>
      <c r="M4" s="64"/>
      <c r="N4" s="65"/>
      <c r="O4" s="58"/>
      <c r="P4" s="59"/>
      <c r="Q4" s="59"/>
      <c r="R4" s="60"/>
      <c r="T4" s="58"/>
      <c r="U4" s="59"/>
      <c r="V4" s="59"/>
      <c r="W4" s="60"/>
      <c r="AA4" s="2"/>
    </row>
    <row r="5" spans="1:39" ht="15" thickBot="1" x14ac:dyDescent="0.35">
      <c r="A5" s="6" t="s">
        <v>1</v>
      </c>
      <c r="B5" s="49" t="s">
        <v>10</v>
      </c>
      <c r="C5" s="2"/>
      <c r="D5" s="2"/>
      <c r="E5" s="2"/>
      <c r="F5" s="2">
        <v>1</v>
      </c>
      <c r="G5" s="2" t="s">
        <v>95</v>
      </c>
      <c r="H5" s="2"/>
      <c r="I5" s="2"/>
      <c r="J5" s="2"/>
      <c r="K5" s="25">
        <f>IF(B7="NS",'2021 area Table 506.2'!A34,IF(B7="S1",'2021 area Table 506.2'!P34,IF(B7="SM",'2021 area Table 506.2'!AE34,IF(B7="S13D",'2021 area Table 506.2'!BI34,IF(B7="S13R",'2021 area Table 506.2'!BX34,0)))))</f>
        <v>9000</v>
      </c>
      <c r="M5" s="2"/>
      <c r="O5" s="58"/>
      <c r="P5" s="59"/>
      <c r="Q5" s="59"/>
      <c r="R5" s="60"/>
      <c r="T5" s="58"/>
      <c r="U5" s="59"/>
      <c r="V5" s="59"/>
      <c r="W5" s="60"/>
    </row>
    <row r="6" spans="1:39" ht="15" thickBot="1" x14ac:dyDescent="0.35">
      <c r="A6" s="6" t="s">
        <v>2</v>
      </c>
      <c r="B6" s="49" t="s">
        <v>70</v>
      </c>
      <c r="C6" s="2"/>
      <c r="E6" s="2"/>
      <c r="F6" s="2">
        <v>2</v>
      </c>
      <c r="G6" s="2" t="s">
        <v>59</v>
      </c>
      <c r="H6" s="2"/>
      <c r="I6" s="2"/>
      <c r="J6" s="2"/>
      <c r="K6" s="25">
        <f>IF(B7="NS",'2021 Bldg Ht Table 504.3'!A33,IF(B7="SM",'2021 Bldg Ht Table 504.3'!O33,IF(B7="S1",'2021 Bldg Ht Table 504.3'!O33,IF(B7="S13R",'2021 Bldg Ht Table 504.3'!BE33,IF(B7="S13D",'2021 Bldg Ht Table 504.3'!AQ33,0)))))</f>
        <v>40</v>
      </c>
      <c r="O6" s="58"/>
      <c r="P6" s="59"/>
      <c r="Q6" s="59"/>
      <c r="R6" s="60"/>
      <c r="T6" s="58"/>
      <c r="U6" s="59"/>
      <c r="V6" s="59"/>
      <c r="W6" s="60"/>
    </row>
    <row r="7" spans="1:39" ht="15" thickBot="1" x14ac:dyDescent="0.35">
      <c r="A7" s="6" t="s">
        <v>3</v>
      </c>
      <c r="B7" s="49" t="s">
        <v>12</v>
      </c>
      <c r="C7" s="2"/>
      <c r="D7" s="2"/>
      <c r="E7" s="2"/>
      <c r="F7" s="2"/>
      <c r="G7" s="2" t="s">
        <v>60</v>
      </c>
      <c r="H7" s="2"/>
      <c r="I7" s="2"/>
      <c r="J7" s="2"/>
      <c r="K7" s="25">
        <f>IF(B7="NS",'2021 Stories Table 504.4'!A33,IF(B7="S13D",'2021 Stories Table 504.4'!AT33,IF(B7="S13R",'2021 Stories Table 504.4'!BI33,IF(B7="S1",'2021 Stories Table 504.4'!P33,IF(B7="SM",'2021 Stories Table 504.4'!P33,0)))))</f>
        <v>2</v>
      </c>
      <c r="O7" s="58"/>
      <c r="P7" s="59"/>
      <c r="Q7" s="59"/>
      <c r="R7" s="60"/>
      <c r="T7" s="58"/>
      <c r="U7" s="59"/>
      <c r="V7" s="59"/>
      <c r="W7" s="60"/>
    </row>
    <row r="8" spans="1:39" ht="15" thickBot="1" x14ac:dyDescent="0.35">
      <c r="A8" s="6" t="s">
        <v>4</v>
      </c>
      <c r="B8" s="49">
        <v>1</v>
      </c>
      <c r="C8" s="2"/>
      <c r="D8" s="2"/>
      <c r="E8" s="2"/>
      <c r="F8" s="2"/>
      <c r="G8" s="2" t="s">
        <v>82</v>
      </c>
      <c r="H8" s="2"/>
      <c r="I8" s="2"/>
      <c r="J8" s="2"/>
      <c r="K8" s="14" t="str">
        <f>IF(AND(B5="R-1",OR(B7="NS",B7="S13D")),"S13R Required",IF(AND(B5="R-2",OR(B7="NS",B7="S13D")),"S13R Required",IF(AND(B5="R-2.1",OR(B7="NS",B7="S13D")),"S13R Required",IF(AND(B5="R-2.2 (CA Only)",OR(B7="NS",B7="S13R",B7="S13D")),"S1 OR SM Required",IF(AND(B5="R-3/r-3.1",OR(B7="NS")),"S13D OR S13R Required",IF(AND(B5="R-4",OR(B7="NS",B7="S13D")),"S13D OR S13R Required",IF(AND(B5="i-1 Cond. 1",OR(B7="NS",B7="S13D")),"S13R or S1 or SM Required",IF(AND(B7="S13R",OR(B5="A-1",B5="A-2",B5="A-3",B5="A-4",B5="A-5",B5="B",B5="E",B5="F-1",B5="F-2",B5="H-1",B5="H-2",B5="H-3",B5="H-4",B5="H-5",B5="I-1 COND. 2",B5="I-2/I-2.1",B5="I-3",B5="I-4",B5="L",B5="M",B5="S-1",B5="S-2",B5="U")),"NP",IF(AND(B7="S13D",OR(B5="A-1",B5="A-2",B5="A-3",B5="A-4",B5="A-5",B5="B",B5="E",B5="F-1",B5="F-2",B5="H-1",B5="H-2",B5="H-3",B5="H-4",B5="H-5",B5="I-1 COND. 2",B5="I-2/I-2.1",B5="I-3",B5="I-4",B5="L",B5="M",B5="S-1",B5="S-2",B5="U")),"NP",IF(K5="NP W/ 13D","NP",IF(B7="S13R","Yes",IF(B7="S13D","Yes","None"))))))))))))</f>
        <v>None</v>
      </c>
      <c r="M8" s="2"/>
      <c r="O8" s="58"/>
      <c r="P8" s="59"/>
      <c r="Q8" s="59"/>
      <c r="R8" s="60"/>
      <c r="T8" s="58"/>
      <c r="U8" s="59"/>
      <c r="V8" s="59"/>
      <c r="W8" s="60"/>
    </row>
    <row r="9" spans="1:39" ht="15.75" customHeight="1" thickBot="1" x14ac:dyDescent="0.35">
      <c r="A9" s="2"/>
      <c r="B9" s="2"/>
      <c r="C9" s="2"/>
      <c r="D9" s="2"/>
      <c r="E9" s="2"/>
      <c r="F9" s="2"/>
      <c r="G9" s="2" t="s">
        <v>61</v>
      </c>
      <c r="H9" s="2"/>
      <c r="I9" s="2"/>
      <c r="J9" s="2"/>
      <c r="K9" s="25" t="str">
        <f>IF(AND(B5="I-1 Cond. 2",OR(B7="S13R",B7="S13D",B7="NS")),"Required",IF(AND(B5="I-4",OR(B7="S13R",B7="S13D",B7="NS")),"Required",IF(AND(B5="I-1",OR(B7="S13R",B7="S13D",B7="NS")),"Required",IF(AND(B5="I-2/I-2.1",OR(B7="S13R",B7="S13D",B7="NS")),"Required",IF(AND(B5="I-3",OR(B7="S13R",B7="S13D",B7="NS")),"Required",IF(AND(B5="H-1",OR(B7="S13R",B7="S13D",B7="NS")),"Required",IF(AND(B5="H-2",OR(B7="S13R",B7="S13D",B7="NS")),"Required",IF(AND(B5="H-3",OR(B7="S13R",B7="S13D",B7="NS")),"Required",IF(AND(B5="H-4",OR(B7="S13R",B7="S13D",B7="NS")),"Required",IF(AND(B5="H-5",OR(B7="S13R",B7="S13D",B7="NS")),"Required",IF(B7="NS","None",IF(B7="S13R","None",IF(B7="S13D","None","Yes")))))))))))))</f>
        <v>None</v>
      </c>
      <c r="L9" s="66" t="str">
        <f>IF(AND(K9="REQUIRED",B5="I-4"),"&lt;--- Exception: Each daycare room / classroom has an exterior at exit level discharge.",IF(B5="A-1","&lt;--- Sprinklers required when over 12,000 sq. ft. or occupant load is greater than 300 or fire area is above or below exit discharge.  Fire area contains a multitheater complex.",IF(B5="A-3","&lt;--- Sprinklers required when over 12,000 sq. ft. or occupant load is greater than 300 or fire area is above or below exit discharge.",IF(B5="A-4","&lt;--- Sprinklers required when over 12,000 sq. ft. or occupant load is greater than 300 or fire area is above or below exit discharge.",IF(B5="A-5","&lt;--- Sprinkler required when enclosed area(s) are greater than 1,000 sq. ft.  Enclosed spaces under bleachers 1,000 sf. ft. of less and not constructed in accordance with Section 1029.1.1.1. or enclosed area exceeds 1,000 sq. ft.",IF(B5="E","&lt;--- Sprinklers required when over 12,000 sq. ft. or occupant load is greater than 300 or fire area is above or below exit discharge.  Exception: Each classroom at level of discharge and has a direct exit.",IF(AND(B5="A-2",B7="NS"),"&lt;--- Sprinklers required when over 5000 sq. ft. or occupant load is greater than 100 or fire area is above or below grade.",IF(AND(B5="M",B7="NS"),"&lt;--- Sprinkler required when 12,000 sq. ft. or greater or all combined floors (including mezzanines) exceeds 24,000 sq. ft. or area for furniture or mattresses exceed 5,000 sq. ft. or M occupancy located over 3 stories above grade.",IF(B5="F-1","Fire area exceeds 12,000 sq. ft., fire area is located more the 3-stories above grade, all combined areas exceed 24,000 sq. ft., manufacture of upholstered furniture or matresses exceed 2,500 sq. ft.",IF(B5="I-1","&lt;---  Group I-1, Condition 1 facilities allowed to have an NFPA 13R sprinkler system",IF(B5="S-1","&lt;--- Sprinkler required when enclosed area is 12,000 sq. ft.+ or more than 3-Stories above grade or all combined areas exceed 24,000 sq. ft. or motor vehicle storage exceed 5,000 sq. ft. or upholstered furniture or matress storage exceed 2,500 sq. ft.",IF(B5="S-2","&lt;--- Sprinkler required in enclosed parking garage exceed 12,000 sq. ft. or when enclosed parking garage is located beneath other groups (Exception: Parking garages located beneath Group R-3 occupancies.",""))))))))))))</f>
        <v/>
      </c>
      <c r="M9" s="66"/>
      <c r="N9" s="66"/>
      <c r="O9" s="61"/>
      <c r="P9" s="62"/>
      <c r="Q9" s="62"/>
      <c r="R9" s="63"/>
      <c r="T9" s="61"/>
      <c r="U9" s="62"/>
      <c r="V9" s="62"/>
      <c r="W9" s="63"/>
    </row>
    <row r="10" spans="1:39" ht="14.4" customHeight="1" x14ac:dyDescent="0.3">
      <c r="A10" s="1"/>
      <c r="B10" s="67" t="s">
        <v>122</v>
      </c>
      <c r="C10" s="1"/>
      <c r="D10" s="67" t="s">
        <v>92</v>
      </c>
      <c r="E10" s="1"/>
      <c r="F10" s="1">
        <v>3</v>
      </c>
      <c r="G10" s="2" t="s">
        <v>189</v>
      </c>
      <c r="H10" s="2"/>
      <c r="I10" s="2"/>
      <c r="J10" s="2"/>
      <c r="K10" s="25"/>
      <c r="L10" s="66"/>
      <c r="M10" s="66"/>
      <c r="N10" s="66"/>
      <c r="O10" s="35" t="s">
        <v>58</v>
      </c>
      <c r="T10" s="35" t="s">
        <v>58</v>
      </c>
    </row>
    <row r="11" spans="1:39" ht="15" customHeight="1" x14ac:dyDescent="0.3">
      <c r="A11" s="1"/>
      <c r="B11" s="68"/>
      <c r="C11" s="1"/>
      <c r="D11" s="68"/>
      <c r="E11" s="1"/>
      <c r="F11" s="1"/>
      <c r="G11" s="2" t="s">
        <v>141</v>
      </c>
      <c r="H11" s="2"/>
      <c r="I11" s="2"/>
      <c r="J11" s="2"/>
      <c r="K11" s="25">
        <f>SUM(B13:B27)</f>
        <v>168</v>
      </c>
      <c r="L11" s="66"/>
      <c r="M11" s="66"/>
      <c r="N11" s="66"/>
      <c r="O11">
        <v>1</v>
      </c>
      <c r="P11" s="66" t="s">
        <v>159</v>
      </c>
      <c r="Q11" s="66"/>
      <c r="R11" s="66"/>
      <c r="T11">
        <v>1</v>
      </c>
      <c r="U11" s="66" t="s">
        <v>184</v>
      </c>
      <c r="V11" s="66"/>
      <c r="W11" s="66"/>
    </row>
    <row r="12" spans="1:39" ht="15" thickBot="1" x14ac:dyDescent="0.35">
      <c r="A12" s="1"/>
      <c r="B12" s="69"/>
      <c r="C12" s="1"/>
      <c r="D12" s="69"/>
      <c r="E12" s="1"/>
      <c r="F12" s="1"/>
      <c r="G12" s="2" t="s">
        <v>142</v>
      </c>
      <c r="H12" s="2"/>
      <c r="J12" s="6" t="str">
        <f>IF(K12&lt;(K11/4),"(See note 8)","")</f>
        <v/>
      </c>
      <c r="K12" s="25">
        <f>IF(D13&lt;20,0,B13)+IF(D14&lt;20,0,B14)+IF(D15&lt;20,0,B15)+IF(D17&lt;20,0,B17)+IF(D18&lt;20,0,B18)+IF(D19&lt;20,0,B19)+IF(D21&lt;20,0,B21)+IF(D22&lt;20,0,B22)+IF(D23&lt;20,0,B23)+IF(D25&lt;20,0,B25)+IF(D26&lt;20,0,B26)+IF(D27&lt;20,0,B27)</f>
        <v>168</v>
      </c>
      <c r="L12" s="66"/>
      <c r="M12" s="66"/>
      <c r="N12" s="66"/>
      <c r="P12" s="72"/>
      <c r="Q12" s="72"/>
      <c r="R12" s="72"/>
      <c r="T12" s="2"/>
      <c r="U12" s="66"/>
      <c r="V12" s="66"/>
      <c r="W12" s="66"/>
    </row>
    <row r="13" spans="1:39" ht="15" thickBot="1" x14ac:dyDescent="0.35">
      <c r="A13" s="6" t="s">
        <v>5</v>
      </c>
      <c r="B13" s="50">
        <v>60</v>
      </c>
      <c r="C13" s="1"/>
      <c r="D13" s="52">
        <v>30</v>
      </c>
      <c r="E13" s="1"/>
      <c r="F13" s="1"/>
      <c r="G13" s="2" t="s">
        <v>180</v>
      </c>
      <c r="H13" s="2"/>
      <c r="I13" s="2"/>
      <c r="J13" s="2"/>
      <c r="K13" s="47">
        <f>K12/K11</f>
        <v>1</v>
      </c>
      <c r="L13" s="66"/>
      <c r="M13" s="66"/>
      <c r="N13" s="66"/>
      <c r="O13" s="73" t="s">
        <v>132</v>
      </c>
      <c r="P13" s="74"/>
      <c r="Q13" s="74"/>
      <c r="R13" s="75"/>
      <c r="U13" s="72"/>
      <c r="V13" s="72"/>
      <c r="W13" s="72"/>
    </row>
    <row r="14" spans="1:39" ht="15" thickBot="1" x14ac:dyDescent="0.35">
      <c r="A14" s="2"/>
      <c r="B14" s="51"/>
      <c r="C14" s="2"/>
      <c r="D14" s="51"/>
      <c r="E14" s="1"/>
      <c r="F14" s="2"/>
      <c r="G14" s="2" t="s">
        <v>179</v>
      </c>
      <c r="K14" s="14">
        <f t="array" ref="K14">MIN(IF(D13:D27&gt;=20,D13:D27))</f>
        <v>24</v>
      </c>
      <c r="L14" s="66"/>
      <c r="M14" s="66"/>
      <c r="N14" s="66"/>
      <c r="O14" s="73" t="str">
        <f>$B$6</f>
        <v>V-B</v>
      </c>
      <c r="P14" s="74"/>
      <c r="Q14" s="74"/>
      <c r="R14" s="75"/>
      <c r="S14" s="1"/>
      <c r="T14" s="76" t="s">
        <v>149</v>
      </c>
      <c r="U14" s="77"/>
      <c r="V14" s="77"/>
      <c r="W14" s="78"/>
      <c r="X14" s="34"/>
      <c r="Y14" s="34"/>
      <c r="Z14" s="34"/>
    </row>
    <row r="15" spans="1:39" x14ac:dyDescent="0.3">
      <c r="A15" s="2"/>
      <c r="B15" s="51"/>
      <c r="C15" s="2"/>
      <c r="D15" s="51"/>
      <c r="E15" s="1"/>
      <c r="G15" s="2" t="s">
        <v>188</v>
      </c>
      <c r="K15" s="15">
        <f>IF(AND(AND(AND(K14&gt;=20),K14&lt;25),K13&gt;=25%,K13&lt;50%),0.17,IF(AND(AND(AND(K14&gt;=25),K14&lt;30),K13&gt;=25%,K13&lt;50%),0.21,IF(AND(AND(K14&gt;=30),K13&gt;=25%,K13&lt;50%),0.25,IF(AND(AND(AND(K14&gt;=20),K14&lt;25),K13&gt;=50%,K13&lt;75%),0.33,IF(AND(AND(AND(K14&gt;=25),K14&lt;30),K13&gt;=50%,K13&lt;75%),0.42,IF(AND(AND(K14&gt;=30),K13&gt;=50%,K13&lt;75%),0.5,IF(AND(AND(AND(K14&gt;=20),K14&lt;25),K13&gt;=75%,K13&lt;=100%),0.5,IF(AND(AND(AND(K14&gt;=25),K14&lt;30),K13&gt;=75%,K13&lt;=100%),0.63,IF(AND(AND(K14&gt;=30),K13&gt;=75%,K13&lt;=100%),0.75,0)))))))))</f>
        <v>0.5</v>
      </c>
      <c r="L15" s="66"/>
      <c r="M15" s="66"/>
      <c r="N15" s="66"/>
      <c r="O15" s="55" t="str">
        <f>IF(O14="I-A","Buildings of Non-Combustible material.  Type A require structural framing / elements to be 3-hr. rated.  Exception: Fire retardent treated wood at non-bearing walls rated 2-hrs or less.  See Section 603 for additional exceptions.",IF(O14="I-B","Buildings of Non-Combustible material.  Type B require no fire rating.  Exception: Fire retardent treated wood at non-bearing walls rated 2-hrs or less.  See Section 603 for additional exceptions",IF(O14="II-A","Buildings of Non-Combustible material.  Type A require structural framing / elements to be 1-hr. rating.  Exception: Fire retardent treated wood at non-bearing walls rated 2-hrs or less.  See Section 603 for additional exceptions.",IF(O14="II-B","Buildings of Non-Combustible material.  Type B require no fire rating.  Exception: Fire retardent treated wood at non-bearing walls rated 2-hrs or less.  See Section 603 for additional exceptions.",IF(O14="III-A","Ext. walls are non-combustible material, int. walls are non-combustible material.   Type A require structural framing / elements to be 1-hr. rated, ext. walls are 2-hr rated.  Ext. walls can be reduced to 1-hr. rated when supporting a roof only.",IF(O14="III-B","Exterior walls are of non-combustible material and interior walls can be made of non-combustible material.   Type B require no fire rating of structural framing / elements.",IF(O14="IV-HT","Ext. walls are of non-combustible material and int. building elements are of solid wood, laminate wood, heavy timber or structural composite lumber.   Ext. walls are required to be 2-hr. rated.  Structural elements are to be with material listed above.",IF(O14="V-A","All exterior and interior walls made of combustible material.  Type A require structural framing / elements to be 1-hr. rated.",IF(O14="V-B","All exterior and interior walls made of combustible material.  Type B requires no rating of structural framing / elements.",IF(O14="IV-A","Ext. walls are of non-combustible material w/ min. rating of 40 min. and int. elements include mass timber walls and roof w/ min. 80 min. rating.   See section 602.4.1 for all requirements.",IF(O14="IV-B","Ext. walls are of non-combustible material w/ min. rating of 40 min. and int. elements include mass timber walls and roof w/ min. 80 min. rating.   See section 602.4.2 for all requirements.",IF(O14="IV-C","Ext. walls are of non-combustible material w/ min. rating of 40 min. and int. elements include mass timber walls and roof permitted to be unprotected.   See section 602.4.3 for all requirements.",""))))))))))))</f>
        <v>All exterior and interior walls made of combustible material.  Type B requires no rating of structural framing / elements.</v>
      </c>
      <c r="P15" s="56"/>
      <c r="Q15" s="56"/>
      <c r="R15" s="57"/>
      <c r="T15" s="79" t="str">
        <f>$B$7</f>
        <v>NS</v>
      </c>
      <c r="U15" s="80"/>
      <c r="V15" s="80"/>
      <c r="W15" s="81"/>
      <c r="AE15" s="2"/>
      <c r="AF15" s="2"/>
      <c r="AG15" s="2"/>
      <c r="AH15" s="2"/>
      <c r="AI15" s="2"/>
      <c r="AJ15" s="2"/>
    </row>
    <row r="16" spans="1:39" ht="15" thickBot="1" x14ac:dyDescent="0.35">
      <c r="A16" s="2"/>
      <c r="B16" s="2"/>
      <c r="C16" s="2"/>
      <c r="D16" s="2"/>
      <c r="E16" s="1"/>
      <c r="F16">
        <v>4</v>
      </c>
      <c r="G16" s="2" t="s">
        <v>62</v>
      </c>
      <c r="H16" s="2"/>
      <c r="I16" s="2"/>
      <c r="J16" s="2"/>
      <c r="K16" s="25">
        <f>IF(OR(K5="UL",K5="NP",K5="NP W/ S13R",K5="NP / Use I-A or I-B Construction",K5="NP W/ S13D",K5="NP W/O S1 or SM Sprinklers",K5="NP W/ II-B, III-B, IV-HT, V-B Construction",K5="NP W/ II-B, III-B, IV-HT (OK Sprinkled), V-B Construction",K5="NP / Construction V-A Only",K5="NP W/ V-B Construction",K7="Choose Spinkler SM"),K5,(K5+('2021 area Table 506.2'!A34*K15)))</f>
        <v>13500</v>
      </c>
      <c r="L16" s="66"/>
      <c r="M16" s="66"/>
      <c r="N16" s="66"/>
      <c r="O16" s="58"/>
      <c r="P16" s="59"/>
      <c r="Q16" s="59"/>
      <c r="R16" s="60"/>
      <c r="T16" s="82" t="str">
        <f>IF(T15="NS","NS: Non Sprinkled",IF(T15="S1","S1: NFPA 13 Single Story Sprinkled",IF(T15="SM","SM: NFPA 13 Multi-Story Sprinkled",IF(T15="S13R","S13R: Residential Sprinkler System",IF(T15="S13D","S13D: Residential Sprinkler System","")))))</f>
        <v>NS: Non Sprinkled</v>
      </c>
      <c r="U16" s="83"/>
      <c r="V16" s="83"/>
      <c r="W16" s="84"/>
      <c r="AA16" s="34"/>
      <c r="AB16" s="34"/>
      <c r="AC16" s="34"/>
      <c r="AD16" s="34"/>
      <c r="AE16" s="34"/>
      <c r="AF16" s="34"/>
      <c r="AG16" s="34"/>
      <c r="AH16" s="34"/>
      <c r="AI16" s="34"/>
      <c r="AJ16" s="34"/>
      <c r="AK16" s="34"/>
      <c r="AL16" s="34"/>
      <c r="AM16" s="34"/>
    </row>
    <row r="17" spans="1:39" x14ac:dyDescent="0.3">
      <c r="A17" s="6" t="s">
        <v>7</v>
      </c>
      <c r="B17" s="51">
        <v>24</v>
      </c>
      <c r="C17" s="2"/>
      <c r="D17" s="51">
        <v>35</v>
      </c>
      <c r="E17" s="1"/>
      <c r="F17" s="1">
        <v>5</v>
      </c>
      <c r="G17" s="2" t="s">
        <v>144</v>
      </c>
      <c r="H17" s="2"/>
      <c r="I17" s="2"/>
      <c r="J17" s="2"/>
      <c r="K17" s="25">
        <f>IF(OR(K5="UL",K5="NP",K5="NP W/ S13R",K5="NP / Use I-A or I-B Construction",K5="NP W/ S13D",K5="NP W/O S1 or SM Sprinklers",K5="NP W/ II-B, III-B, IV-HT, V-B Construction",K5="NP W/ II-B, III-B, IV-HT (OK Sprinkled), V-B Construction",K5="NP / Construction V-A Only",K5="NP W/ V-B Construction",K7="Choose Spinkler SM"),K5,(K16*B8))</f>
        <v>13500</v>
      </c>
      <c r="L17" s="66"/>
      <c r="M17" s="66"/>
      <c r="N17" s="66"/>
      <c r="O17" s="58"/>
      <c r="P17" s="59"/>
      <c r="Q17" s="59"/>
      <c r="R17" s="60"/>
      <c r="T17" s="2"/>
      <c r="AA17" s="34"/>
      <c r="AB17" s="34"/>
      <c r="AC17" s="34"/>
      <c r="AD17" s="34"/>
      <c r="AE17" s="34"/>
      <c r="AF17" s="34"/>
      <c r="AG17" s="34"/>
      <c r="AH17" s="34"/>
      <c r="AI17" s="34"/>
      <c r="AJ17" s="34"/>
      <c r="AK17" s="34"/>
      <c r="AL17" s="34"/>
      <c r="AM17" s="34"/>
    </row>
    <row r="18" spans="1:39" x14ac:dyDescent="0.3">
      <c r="A18" s="2"/>
      <c r="B18" s="51"/>
      <c r="C18" s="2"/>
      <c r="D18" s="51"/>
      <c r="E18" s="1"/>
      <c r="F18" s="1"/>
      <c r="N18" s="34"/>
      <c r="O18" s="58"/>
      <c r="P18" s="59"/>
      <c r="Q18" s="59"/>
      <c r="R18" s="60"/>
      <c r="U18" s="2"/>
      <c r="AA18" s="34"/>
      <c r="AB18" s="34"/>
      <c r="AC18" s="34"/>
      <c r="AD18" s="34"/>
      <c r="AE18" s="34"/>
      <c r="AF18" s="34"/>
      <c r="AG18" s="34"/>
      <c r="AH18" s="34"/>
      <c r="AI18" s="34"/>
      <c r="AJ18" s="34"/>
      <c r="AK18" s="34"/>
      <c r="AL18" s="34"/>
      <c r="AM18" s="34"/>
    </row>
    <row r="19" spans="1:39" ht="15" customHeight="1" x14ac:dyDescent="0.3">
      <c r="A19" s="2"/>
      <c r="B19" s="51"/>
      <c r="C19" s="2"/>
      <c r="D19" s="51"/>
      <c r="E19" s="1"/>
      <c r="F19" s="85" t="s">
        <v>98</v>
      </c>
      <c r="G19" s="85"/>
      <c r="H19" s="2"/>
      <c r="I19" s="2"/>
      <c r="J19" s="2"/>
      <c r="K19" s="2"/>
      <c r="L19" s="34"/>
      <c r="O19" s="58"/>
      <c r="P19" s="59"/>
      <c r="Q19" s="59"/>
      <c r="R19" s="60"/>
      <c r="U19" s="2"/>
      <c r="AA19" s="34"/>
      <c r="AB19" s="34"/>
      <c r="AC19" s="34"/>
      <c r="AD19" s="34"/>
      <c r="AE19" s="34"/>
      <c r="AF19" s="34"/>
      <c r="AG19" s="34"/>
      <c r="AH19" s="34"/>
      <c r="AI19" s="34"/>
      <c r="AJ19" s="34"/>
      <c r="AK19" s="34"/>
      <c r="AL19" s="34"/>
      <c r="AM19" s="34"/>
    </row>
    <row r="20" spans="1:39" x14ac:dyDescent="0.3">
      <c r="A20" s="2"/>
      <c r="B20" s="2"/>
      <c r="C20" s="2"/>
      <c r="D20" s="2"/>
      <c r="E20" s="2"/>
      <c r="F20" s="1">
        <v>1</v>
      </c>
      <c r="G20" s="70" t="s">
        <v>183</v>
      </c>
      <c r="H20" s="70"/>
      <c r="I20" s="70"/>
      <c r="J20" s="70"/>
      <c r="K20" s="70"/>
      <c r="L20" s="70"/>
      <c r="O20" s="58"/>
      <c r="P20" s="59"/>
      <c r="Q20" s="59"/>
      <c r="R20" s="60"/>
      <c r="U20" s="2"/>
      <c r="AA20" s="34"/>
      <c r="AB20" s="34"/>
      <c r="AC20" s="34"/>
      <c r="AD20" s="34"/>
      <c r="AE20" s="34"/>
      <c r="AF20" s="34"/>
      <c r="AG20" s="34"/>
      <c r="AH20" s="34"/>
      <c r="AI20" s="34"/>
      <c r="AJ20" s="34"/>
      <c r="AK20" s="34"/>
      <c r="AL20" s="34"/>
      <c r="AM20" s="34"/>
    </row>
    <row r="21" spans="1:39" ht="15" customHeight="1" thickBot="1" x14ac:dyDescent="0.35">
      <c r="A21" s="6" t="s">
        <v>6</v>
      </c>
      <c r="B21" s="51">
        <v>60</v>
      </c>
      <c r="C21" s="2"/>
      <c r="D21" s="51">
        <v>24</v>
      </c>
      <c r="E21" s="1"/>
      <c r="F21" s="2"/>
      <c r="G21" s="70"/>
      <c r="H21" s="70"/>
      <c r="I21" s="70"/>
      <c r="J21" s="70"/>
      <c r="K21" s="70"/>
      <c r="L21" s="70"/>
      <c r="O21" s="61"/>
      <c r="P21" s="62"/>
      <c r="Q21" s="62"/>
      <c r="R21" s="63"/>
      <c r="T21" s="2"/>
      <c r="U21" s="2"/>
      <c r="AA21" s="34"/>
      <c r="AB21" s="34"/>
      <c r="AC21" s="34"/>
      <c r="AD21" s="34"/>
      <c r="AE21" s="34"/>
      <c r="AF21" s="34"/>
      <c r="AG21" s="34"/>
      <c r="AH21" s="34"/>
      <c r="AI21" s="34"/>
      <c r="AJ21" s="34"/>
      <c r="AK21" s="34"/>
      <c r="AL21" s="34"/>
      <c r="AM21" s="34"/>
    </row>
    <row r="22" spans="1:39" ht="15" customHeight="1" x14ac:dyDescent="0.3">
      <c r="A22" s="2"/>
      <c r="B22" s="51"/>
      <c r="C22" s="2"/>
      <c r="D22" s="51"/>
      <c r="E22" s="2"/>
      <c r="F22" s="2">
        <v>2</v>
      </c>
      <c r="G22" s="66" t="s">
        <v>185</v>
      </c>
      <c r="H22" s="66"/>
      <c r="I22" s="66"/>
      <c r="J22" s="66"/>
      <c r="K22" s="66"/>
      <c r="L22" s="66"/>
      <c r="O22" s="35" t="s">
        <v>58</v>
      </c>
      <c r="Q22" s="34"/>
      <c r="R22" s="34"/>
      <c r="T22" s="2"/>
      <c r="U22" s="2"/>
      <c r="AA22" s="34"/>
      <c r="AB22" s="34"/>
      <c r="AC22" s="34"/>
      <c r="AD22" s="34"/>
      <c r="AE22" s="34"/>
      <c r="AF22" s="34"/>
      <c r="AG22" s="34"/>
      <c r="AH22" s="34"/>
      <c r="AI22" s="34"/>
      <c r="AJ22" s="34"/>
      <c r="AK22" s="34"/>
      <c r="AL22" s="34"/>
      <c r="AM22" s="34"/>
    </row>
    <row r="23" spans="1:39" ht="15" customHeight="1" x14ac:dyDescent="0.3">
      <c r="A23" s="2"/>
      <c r="B23" s="51"/>
      <c r="C23" s="2"/>
      <c r="D23" s="51"/>
      <c r="E23" s="7"/>
      <c r="F23" s="7"/>
      <c r="G23" s="66"/>
      <c r="H23" s="66"/>
      <c r="I23" s="66"/>
      <c r="J23" s="66"/>
      <c r="K23" s="66"/>
      <c r="L23" s="66"/>
      <c r="O23">
        <v>1</v>
      </c>
      <c r="P23" s="66" t="s">
        <v>124</v>
      </c>
      <c r="Q23" s="66"/>
      <c r="R23" s="66"/>
      <c r="S23" s="66"/>
      <c r="T23" s="2"/>
      <c r="U23" s="2"/>
      <c r="AA23" s="34"/>
      <c r="AB23" s="34"/>
      <c r="AC23" s="34"/>
      <c r="AD23" s="34"/>
      <c r="AE23" s="34"/>
      <c r="AF23" s="34"/>
      <c r="AG23" s="34"/>
      <c r="AH23" s="34"/>
      <c r="AI23" s="34"/>
      <c r="AJ23" s="34"/>
      <c r="AK23" s="34"/>
      <c r="AL23" s="34"/>
      <c r="AM23" s="34"/>
    </row>
    <row r="24" spans="1:39" ht="15" customHeight="1" x14ac:dyDescent="0.3">
      <c r="A24" s="2"/>
      <c r="B24" s="2"/>
      <c r="C24" s="2"/>
      <c r="D24" s="2"/>
      <c r="E24" s="7"/>
      <c r="F24" s="7"/>
      <c r="G24" s="66"/>
      <c r="H24" s="66"/>
      <c r="I24" s="66"/>
      <c r="J24" s="66"/>
      <c r="K24" s="66"/>
      <c r="L24" s="66"/>
      <c r="P24" s="66"/>
      <c r="Q24" s="66"/>
      <c r="R24" s="66"/>
      <c r="S24" s="66"/>
      <c r="T24" s="2"/>
      <c r="U24" s="2"/>
      <c r="V24" s="2"/>
      <c r="AA24" s="34"/>
      <c r="AB24" s="34"/>
      <c r="AC24" s="34"/>
      <c r="AD24" s="34"/>
      <c r="AE24" s="34"/>
      <c r="AF24" s="34"/>
      <c r="AG24" s="34"/>
      <c r="AH24" s="34"/>
      <c r="AI24" s="34"/>
      <c r="AJ24" s="34"/>
      <c r="AK24" s="34"/>
      <c r="AL24" s="34"/>
      <c r="AM24" s="34"/>
    </row>
    <row r="25" spans="1:39" ht="15" customHeight="1" x14ac:dyDescent="0.3">
      <c r="A25" s="6" t="s">
        <v>8</v>
      </c>
      <c r="B25" s="51">
        <v>24</v>
      </c>
      <c r="C25" s="2"/>
      <c r="D25" s="51">
        <v>60</v>
      </c>
      <c r="E25" s="7"/>
      <c r="F25" s="27">
        <v>3</v>
      </c>
      <c r="G25" s="88" t="s">
        <v>194</v>
      </c>
      <c r="H25" s="88"/>
      <c r="I25" s="88"/>
      <c r="J25" s="88"/>
      <c r="K25" s="88"/>
      <c r="L25" s="88"/>
      <c r="P25" s="66"/>
      <c r="Q25" s="66"/>
      <c r="R25" s="66"/>
      <c r="S25" s="66"/>
      <c r="T25" s="1"/>
      <c r="U25" s="2"/>
      <c r="AA25" s="34"/>
      <c r="AB25" s="34"/>
      <c r="AC25" s="34"/>
      <c r="AD25" s="34"/>
      <c r="AE25" s="34"/>
      <c r="AF25" s="34"/>
      <c r="AG25" s="34"/>
      <c r="AH25" s="34"/>
      <c r="AI25" s="34"/>
      <c r="AJ25" s="34"/>
      <c r="AK25" s="34"/>
      <c r="AL25" s="34"/>
      <c r="AM25" s="34"/>
    </row>
    <row r="26" spans="1:39" ht="14.4" customHeight="1" x14ac:dyDescent="0.3">
      <c r="A26" s="2"/>
      <c r="B26" s="51"/>
      <c r="C26" s="2"/>
      <c r="D26" s="51"/>
      <c r="E26" s="7"/>
      <c r="G26" s="88"/>
      <c r="H26" s="88"/>
      <c r="I26" s="88"/>
      <c r="J26" s="88"/>
      <c r="K26" s="88"/>
      <c r="L26" s="88"/>
      <c r="O26">
        <v>2</v>
      </c>
      <c r="P26" s="66" t="s">
        <v>123</v>
      </c>
      <c r="Q26" s="66"/>
      <c r="R26" s="66"/>
      <c r="S26" s="66"/>
      <c r="T26" s="2"/>
      <c r="U26" s="2"/>
      <c r="AA26" s="34"/>
      <c r="AB26" s="34"/>
      <c r="AC26" s="34"/>
      <c r="AD26" s="34"/>
      <c r="AE26" s="34"/>
      <c r="AF26" s="34"/>
      <c r="AG26" s="34"/>
      <c r="AH26" s="34"/>
      <c r="AI26" s="34"/>
      <c r="AJ26" s="34"/>
      <c r="AK26" s="34"/>
      <c r="AL26" s="34"/>
      <c r="AM26" s="34"/>
    </row>
    <row r="27" spans="1:39" ht="15" customHeight="1" x14ac:dyDescent="0.3">
      <c r="A27" s="2"/>
      <c r="B27" s="51"/>
      <c r="C27" s="2"/>
      <c r="D27" s="51"/>
      <c r="E27" s="2"/>
      <c r="F27" s="7"/>
      <c r="G27" s="88"/>
      <c r="H27" s="88"/>
      <c r="I27" s="88"/>
      <c r="J27" s="88"/>
      <c r="K27" s="88"/>
      <c r="L27" s="88"/>
      <c r="M27" s="48"/>
      <c r="P27" s="66"/>
      <c r="Q27" s="66"/>
      <c r="R27" s="66"/>
      <c r="S27" s="66"/>
      <c r="T27" s="2"/>
      <c r="U27" s="2"/>
    </row>
    <row r="28" spans="1:39" ht="16.2" customHeight="1" x14ac:dyDescent="0.3">
      <c r="A28" s="2"/>
      <c r="B28" s="2"/>
      <c r="C28" s="2"/>
      <c r="D28" s="7"/>
      <c r="E28" s="7"/>
      <c r="F28" s="2">
        <v>4</v>
      </c>
      <c r="G28" s="70" t="s">
        <v>186</v>
      </c>
      <c r="H28" s="70"/>
      <c r="I28" s="70"/>
      <c r="J28" s="70"/>
      <c r="K28" s="70"/>
      <c r="L28" s="70"/>
      <c r="P28" s="66"/>
      <c r="Q28" s="66"/>
      <c r="R28" s="66"/>
      <c r="S28" s="66"/>
      <c r="T28" s="2"/>
      <c r="U28" s="2"/>
    </row>
    <row r="29" spans="1:39" ht="16.2" customHeight="1" x14ac:dyDescent="0.3">
      <c r="A29" s="2"/>
      <c r="B29" s="2"/>
      <c r="C29" s="2"/>
      <c r="D29" s="2"/>
      <c r="E29" s="7"/>
      <c r="F29" s="7"/>
      <c r="G29" s="70"/>
      <c r="H29" s="70"/>
      <c r="I29" s="70"/>
      <c r="J29" s="70"/>
      <c r="K29" s="70"/>
      <c r="L29" s="70"/>
      <c r="N29" s="2"/>
      <c r="O29">
        <v>3</v>
      </c>
      <c r="P29" s="66" t="s">
        <v>125</v>
      </c>
      <c r="Q29" s="66"/>
      <c r="R29" s="66"/>
      <c r="S29" s="66"/>
      <c r="T29" s="2"/>
      <c r="U29" s="2"/>
    </row>
    <row r="30" spans="1:39" x14ac:dyDescent="0.3">
      <c r="A30" s="19" t="s">
        <v>96</v>
      </c>
      <c r="B30" s="21">
        <f>(K16)</f>
        <v>13500</v>
      </c>
      <c r="C30" s="86" t="s">
        <v>153</v>
      </c>
      <c r="D30" s="87"/>
      <c r="E30" s="7"/>
      <c r="F30" s="28">
        <v>5</v>
      </c>
      <c r="G30" s="70" t="s">
        <v>103</v>
      </c>
      <c r="H30" s="70"/>
      <c r="I30" s="70"/>
      <c r="J30" s="70"/>
      <c r="K30" s="70"/>
      <c r="L30" s="70"/>
      <c r="N30" s="2"/>
      <c r="P30" s="66"/>
      <c r="Q30" s="66"/>
      <c r="R30" s="66"/>
      <c r="S30" s="66"/>
      <c r="U30" s="2"/>
    </row>
    <row r="31" spans="1:39" ht="15" customHeight="1" x14ac:dyDescent="0.3">
      <c r="A31" s="19" t="s">
        <v>93</v>
      </c>
      <c r="B31" s="21">
        <f>(K17)</f>
        <v>13500</v>
      </c>
      <c r="C31" s="86" t="s">
        <v>154</v>
      </c>
      <c r="D31" s="87"/>
      <c r="E31" s="7"/>
      <c r="F31" s="7"/>
      <c r="G31" s="70"/>
      <c r="H31" s="70"/>
      <c r="I31" s="70"/>
      <c r="J31" s="70"/>
      <c r="K31" s="70"/>
      <c r="L31" s="70"/>
      <c r="N31" s="2"/>
      <c r="O31">
        <v>4</v>
      </c>
      <c r="P31" s="66" t="s">
        <v>181</v>
      </c>
      <c r="Q31" s="66"/>
      <c r="R31" s="66"/>
      <c r="S31" s="66"/>
      <c r="U31" s="2"/>
    </row>
    <row r="32" spans="1:39" x14ac:dyDescent="0.3">
      <c r="A32" s="19" t="s">
        <v>109</v>
      </c>
      <c r="B32" s="21">
        <f>(K6)</f>
        <v>40</v>
      </c>
      <c r="C32" s="86" t="s">
        <v>139</v>
      </c>
      <c r="D32" s="87"/>
      <c r="E32" s="2"/>
      <c r="G32" s="70"/>
      <c r="H32" s="70"/>
      <c r="I32" s="70"/>
      <c r="J32" s="70"/>
      <c r="K32" s="70"/>
      <c r="L32" s="70"/>
      <c r="N32" s="2"/>
      <c r="P32" s="66"/>
      <c r="Q32" s="66"/>
      <c r="R32" s="66"/>
      <c r="S32" s="66"/>
      <c r="U32" s="2"/>
    </row>
    <row r="33" spans="1:21" ht="14.4" customHeight="1" x14ac:dyDescent="0.3">
      <c r="A33" s="19" t="s">
        <v>110</v>
      </c>
      <c r="B33" s="21">
        <f>IF(B8&gt;K7,"NP",K7)</f>
        <v>2</v>
      </c>
      <c r="C33" s="38" t="s">
        <v>155</v>
      </c>
      <c r="D33" s="39"/>
      <c r="E33" s="6"/>
      <c r="F33" s="27">
        <v>6</v>
      </c>
      <c r="G33" s="70" t="s">
        <v>182</v>
      </c>
      <c r="H33" s="70"/>
      <c r="I33" s="70"/>
      <c r="J33" s="70"/>
      <c r="K33" s="70"/>
      <c r="L33" s="70"/>
      <c r="P33" s="66"/>
      <c r="Q33" s="66"/>
      <c r="R33" s="66"/>
      <c r="S33" s="66"/>
      <c r="U33" s="2"/>
    </row>
    <row r="34" spans="1:21" x14ac:dyDescent="0.3">
      <c r="A34" s="19" t="s">
        <v>118</v>
      </c>
      <c r="B34" s="21" t="str">
        <f>'2021 area Table 506.2'!AT34</f>
        <v>No Limitations</v>
      </c>
      <c r="C34" s="86" t="s">
        <v>156</v>
      </c>
      <c r="D34" s="87"/>
      <c r="E34" s="6"/>
      <c r="F34" s="2"/>
      <c r="G34" s="70"/>
      <c r="H34" s="70"/>
      <c r="I34" s="70"/>
      <c r="J34" s="70"/>
      <c r="K34" s="70"/>
      <c r="L34" s="70"/>
      <c r="N34" s="2"/>
      <c r="P34" s="34"/>
      <c r="Q34" s="34"/>
      <c r="R34" s="34"/>
      <c r="S34" s="34"/>
      <c r="U34" s="2"/>
    </row>
    <row r="35" spans="1:21" ht="14.4" customHeight="1" x14ac:dyDescent="0.3">
      <c r="A35" s="19" t="s">
        <v>138</v>
      </c>
      <c r="B35" s="21">
        <f>IF(OR(B7="S1",B7="SM"),'2021 Bldg Ht Table 504.3'!AC33,'2021-2024 Frontage Increase'!K6)</f>
        <v>40</v>
      </c>
      <c r="C35" s="20" t="s">
        <v>157</v>
      </c>
      <c r="D35" s="8"/>
      <c r="E35" s="6"/>
      <c r="F35" s="2">
        <v>7</v>
      </c>
      <c r="G35" s="70" t="s">
        <v>187</v>
      </c>
      <c r="H35" s="70"/>
      <c r="I35" s="70"/>
      <c r="J35" s="70"/>
      <c r="K35" s="70"/>
      <c r="L35" s="70"/>
      <c r="N35" s="2"/>
      <c r="U35" s="2"/>
    </row>
    <row r="36" spans="1:21" x14ac:dyDescent="0.3">
      <c r="A36" s="19" t="s">
        <v>89</v>
      </c>
      <c r="B36" s="21" t="str">
        <f>'2021 Stories Table 504.4'!AE33</f>
        <v>No Limitations</v>
      </c>
      <c r="C36" s="20" t="s">
        <v>155</v>
      </c>
      <c r="D36" s="8"/>
      <c r="E36" s="2"/>
      <c r="F36" s="2"/>
      <c r="G36" s="70"/>
      <c r="H36" s="70"/>
      <c r="I36" s="70"/>
      <c r="J36" s="70"/>
      <c r="K36" s="70"/>
      <c r="L36" s="70"/>
      <c r="N36" s="2"/>
    </row>
    <row r="37" spans="1:21" x14ac:dyDescent="0.3">
      <c r="A37" s="2"/>
      <c r="B37" s="2"/>
      <c r="C37" s="2"/>
      <c r="D37" s="2"/>
      <c r="E37" s="2"/>
      <c r="F37" s="2">
        <v>8</v>
      </c>
      <c r="G37" s="70" t="s">
        <v>192</v>
      </c>
      <c r="H37" s="70"/>
      <c r="I37" s="70"/>
      <c r="J37" s="70"/>
      <c r="K37" s="70"/>
      <c r="L37" s="70"/>
      <c r="N37" s="2"/>
    </row>
    <row r="38" spans="1:21" x14ac:dyDescent="0.3">
      <c r="C38" s="2"/>
      <c r="D38" s="2"/>
      <c r="E38" s="2"/>
      <c r="F38" s="2"/>
      <c r="G38" s="70"/>
      <c r="H38" s="70"/>
      <c r="I38" s="70"/>
      <c r="J38" s="70"/>
      <c r="K38" s="70"/>
      <c r="L38" s="70"/>
      <c r="N38" s="2"/>
    </row>
    <row r="39" spans="1:21" x14ac:dyDescent="0.3">
      <c r="A39" s="13"/>
      <c r="B39" s="2"/>
      <c r="C39" s="2"/>
      <c r="D39" s="2"/>
      <c r="E39" s="2"/>
      <c r="F39" s="2"/>
      <c r="G39" s="70"/>
      <c r="H39" s="70"/>
      <c r="I39" s="70"/>
      <c r="J39" s="70"/>
      <c r="K39" s="70"/>
      <c r="L39" s="70"/>
    </row>
    <row r="40" spans="1:21" x14ac:dyDescent="0.3">
      <c r="A40" s="2"/>
      <c r="B40" s="2"/>
      <c r="C40" s="2"/>
      <c r="D40" s="2"/>
      <c r="E40" s="2"/>
      <c r="M40" s="2"/>
    </row>
    <row r="41" spans="1:21" x14ac:dyDescent="0.3">
      <c r="A41" s="2"/>
      <c r="B41" s="2"/>
      <c r="C41" s="2"/>
      <c r="D41" s="2"/>
      <c r="E41" s="2"/>
      <c r="M41" s="2"/>
    </row>
    <row r="42" spans="1:21" x14ac:dyDescent="0.3">
      <c r="M42" s="2"/>
    </row>
    <row r="43" spans="1:21" x14ac:dyDescent="0.3">
      <c r="M43" s="2"/>
    </row>
    <row r="44" spans="1:21" x14ac:dyDescent="0.3">
      <c r="M44" s="2"/>
    </row>
    <row r="45" spans="1:21" x14ac:dyDescent="0.3">
      <c r="M45" s="2"/>
    </row>
    <row r="46" spans="1:21" x14ac:dyDescent="0.3">
      <c r="A46" s="2" t="s">
        <v>0</v>
      </c>
      <c r="B46" s="2"/>
      <c r="C46" s="2"/>
      <c r="D46" s="2" t="s">
        <v>9</v>
      </c>
      <c r="M46" s="2"/>
    </row>
    <row r="47" spans="1:21" x14ac:dyDescent="0.3">
      <c r="A47" s="2"/>
      <c r="B47" s="2"/>
      <c r="C47" s="2"/>
      <c r="D47" s="2"/>
      <c r="M47" s="2"/>
    </row>
    <row r="48" spans="1:21" x14ac:dyDescent="0.3">
      <c r="A48" s="2"/>
      <c r="B48" s="2"/>
      <c r="C48" s="2"/>
      <c r="D48" s="2"/>
      <c r="F48" t="s">
        <v>204</v>
      </c>
      <c r="M48" s="2"/>
    </row>
    <row r="49" spans="1:16" x14ac:dyDescent="0.3">
      <c r="A49" s="2"/>
      <c r="B49" s="2"/>
      <c r="C49" s="2"/>
      <c r="D49" s="2"/>
      <c r="M49" s="2"/>
    </row>
    <row r="50" spans="1:16" x14ac:dyDescent="0.3">
      <c r="A50" s="2"/>
      <c r="B50" s="2"/>
      <c r="C50" s="2"/>
      <c r="D50" s="2"/>
      <c r="M50" s="2"/>
    </row>
    <row r="51" spans="1:16" x14ac:dyDescent="0.3">
      <c r="A51" s="2"/>
      <c r="B51" s="2"/>
      <c r="C51" s="2"/>
      <c r="D51" s="2"/>
      <c r="M51" s="2"/>
    </row>
    <row r="52" spans="1:16" x14ac:dyDescent="0.3">
      <c r="A52" s="2"/>
      <c r="B52" s="2"/>
      <c r="C52" s="2"/>
      <c r="D52" s="2"/>
      <c r="J52" s="2"/>
      <c r="K52" s="2"/>
      <c r="L52" s="2"/>
      <c r="M52" s="2"/>
    </row>
    <row r="53" spans="1:16" x14ac:dyDescent="0.3">
      <c r="A53" s="2"/>
      <c r="B53" s="2"/>
      <c r="C53" s="2"/>
      <c r="D53" s="2"/>
      <c r="J53" s="2"/>
      <c r="K53" s="2"/>
      <c r="L53" s="2"/>
      <c r="M53" s="2"/>
    </row>
    <row r="54" spans="1:16" x14ac:dyDescent="0.3">
      <c r="A54" s="2"/>
      <c r="B54" s="2"/>
      <c r="C54" s="2"/>
      <c r="D54" s="2"/>
      <c r="J54" s="2"/>
      <c r="K54" s="2"/>
      <c r="L54" s="2"/>
      <c r="M54" s="2"/>
    </row>
    <row r="55" spans="1:16" x14ac:dyDescent="0.3">
      <c r="A55" s="2"/>
      <c r="B55" s="2"/>
      <c r="C55" s="2"/>
      <c r="D55" s="2"/>
      <c r="J55" s="2"/>
      <c r="K55" s="2"/>
      <c r="L55" s="2"/>
      <c r="M55" s="2"/>
    </row>
    <row r="56" spans="1:16" x14ac:dyDescent="0.3">
      <c r="A56" s="2"/>
      <c r="B56" s="2"/>
      <c r="C56" s="2"/>
      <c r="D56" s="2"/>
      <c r="J56" s="2"/>
      <c r="K56" s="2"/>
      <c r="L56" s="2"/>
      <c r="M56" s="2"/>
    </row>
    <row r="57" spans="1:16" x14ac:dyDescent="0.3">
      <c r="A57" s="2"/>
      <c r="B57" s="2"/>
      <c r="C57" s="2"/>
      <c r="D57" s="2"/>
      <c r="J57" s="2"/>
      <c r="K57" s="2"/>
      <c r="L57" s="2"/>
      <c r="M57" s="2"/>
    </row>
    <row r="58" spans="1:16" x14ac:dyDescent="0.3">
      <c r="A58" s="2"/>
      <c r="B58" s="2"/>
      <c r="C58" s="2"/>
      <c r="D58" s="2"/>
      <c r="J58" s="2"/>
      <c r="K58" s="2"/>
      <c r="L58" s="2"/>
      <c r="M58" s="2"/>
    </row>
    <row r="59" spans="1:16" x14ac:dyDescent="0.3">
      <c r="A59" s="2"/>
      <c r="B59" s="2"/>
      <c r="C59" s="2"/>
      <c r="D59" s="2"/>
      <c r="E59" s="2"/>
      <c r="F59" s="2"/>
      <c r="G59" s="2"/>
      <c r="H59" s="2"/>
      <c r="I59" s="2"/>
      <c r="J59" s="2"/>
      <c r="K59" s="2"/>
      <c r="L59" s="2"/>
      <c r="M59" s="2"/>
    </row>
    <row r="60" spans="1:16" x14ac:dyDescent="0.3">
      <c r="A60" s="2"/>
      <c r="B60" s="2"/>
      <c r="C60" s="2"/>
      <c r="D60" s="2"/>
      <c r="E60" s="2"/>
      <c r="F60" s="2"/>
      <c r="G60" s="2"/>
      <c r="H60" s="2"/>
      <c r="I60" s="2"/>
      <c r="J60" s="2"/>
      <c r="K60" s="2"/>
      <c r="L60" s="2"/>
      <c r="M60" s="2"/>
      <c r="N60" s="2"/>
      <c r="O60" s="2"/>
      <c r="P60" s="2"/>
    </row>
    <row r="61" spans="1:16" x14ac:dyDescent="0.3">
      <c r="A61" s="2"/>
      <c r="B61" s="2"/>
      <c r="C61" s="2"/>
      <c r="D61" s="2"/>
      <c r="E61" s="2"/>
      <c r="F61" s="2"/>
      <c r="G61" s="2"/>
      <c r="H61" s="2"/>
      <c r="I61" s="2"/>
      <c r="J61" s="2"/>
      <c r="K61" s="2"/>
      <c r="L61" s="2"/>
      <c r="M61" s="2"/>
      <c r="N61" s="2"/>
      <c r="O61" s="2"/>
      <c r="P61" s="2"/>
    </row>
    <row r="62" spans="1:16" x14ac:dyDescent="0.3">
      <c r="A62" s="2"/>
      <c r="B62" s="2"/>
      <c r="C62" s="2"/>
      <c r="D62" s="2"/>
      <c r="E62" s="2"/>
      <c r="F62" s="2"/>
      <c r="G62" s="2"/>
      <c r="H62" s="2"/>
      <c r="I62" s="2"/>
      <c r="J62" s="2"/>
      <c r="K62" s="2"/>
      <c r="L62" s="2"/>
      <c r="M62" s="2"/>
      <c r="N62" s="2"/>
      <c r="O62" s="2"/>
      <c r="P62" s="2"/>
    </row>
    <row r="63" spans="1:16" x14ac:dyDescent="0.3">
      <c r="E63" s="2"/>
      <c r="F63" s="2"/>
      <c r="G63" s="2"/>
      <c r="H63" s="2"/>
      <c r="I63" s="2"/>
      <c r="J63" s="2"/>
      <c r="K63" s="2"/>
      <c r="L63" s="2"/>
      <c r="M63" s="2"/>
      <c r="N63" s="2"/>
      <c r="O63" s="2"/>
      <c r="P63" s="2"/>
    </row>
    <row r="64" spans="1:16" x14ac:dyDescent="0.3">
      <c r="E64" s="2"/>
      <c r="F64" s="2"/>
      <c r="G64" s="2"/>
      <c r="H64" s="2"/>
      <c r="I64" s="2"/>
      <c r="J64" s="2"/>
      <c r="K64" s="2"/>
      <c r="L64" s="2"/>
      <c r="M64" s="2"/>
      <c r="N64" s="2"/>
      <c r="O64" s="2"/>
      <c r="P64" s="2"/>
    </row>
    <row r="65" spans="1:16" x14ac:dyDescent="0.3">
      <c r="E65" s="2"/>
      <c r="F65" s="2"/>
      <c r="G65" s="2"/>
      <c r="H65" s="2"/>
      <c r="I65" s="2"/>
      <c r="J65" s="2"/>
      <c r="K65" s="2"/>
      <c r="L65" s="2"/>
      <c r="M65" s="2"/>
      <c r="N65" s="2"/>
      <c r="O65" s="2"/>
      <c r="P65" s="2"/>
    </row>
    <row r="66" spans="1:16" x14ac:dyDescent="0.3">
      <c r="E66" s="2"/>
      <c r="F66" s="2"/>
      <c r="G66" s="2"/>
      <c r="H66" s="2"/>
      <c r="I66" s="2"/>
      <c r="J66" s="2"/>
      <c r="K66" s="2"/>
      <c r="L66" s="2"/>
      <c r="M66" s="2"/>
      <c r="N66" s="2"/>
      <c r="O66" s="2"/>
      <c r="P66" s="2"/>
    </row>
    <row r="67" spans="1:16" x14ac:dyDescent="0.3">
      <c r="A67" s="2"/>
      <c r="B67" s="2"/>
      <c r="C67" s="2"/>
      <c r="D67" s="2"/>
      <c r="E67" s="2"/>
      <c r="F67" s="2"/>
      <c r="G67" s="2"/>
      <c r="H67" s="2"/>
      <c r="I67" s="2"/>
      <c r="J67" s="2"/>
      <c r="K67" s="2"/>
      <c r="L67" s="2"/>
      <c r="M67" s="2"/>
      <c r="N67" s="2"/>
      <c r="O67" s="2"/>
      <c r="P67" s="2"/>
    </row>
    <row r="68" spans="1:16" x14ac:dyDescent="0.3">
      <c r="A68" s="2"/>
      <c r="B68" s="2"/>
      <c r="C68" s="2"/>
      <c r="D68" s="2"/>
      <c r="E68" s="2"/>
      <c r="F68" s="2"/>
      <c r="G68" s="2"/>
      <c r="H68" s="2"/>
      <c r="I68" s="2"/>
      <c r="J68" s="2"/>
      <c r="K68" s="2"/>
      <c r="L68" s="2"/>
      <c r="M68" s="2"/>
      <c r="N68" s="2"/>
      <c r="O68" s="2"/>
      <c r="P68" s="2"/>
    </row>
    <row r="69" spans="1:16" x14ac:dyDescent="0.3">
      <c r="A69" s="2"/>
      <c r="B69" s="2"/>
      <c r="C69" s="2"/>
      <c r="D69" s="2"/>
      <c r="E69" s="2"/>
      <c r="F69" s="2"/>
      <c r="G69" s="2"/>
      <c r="H69" s="2"/>
      <c r="I69" s="2"/>
      <c r="J69" s="2"/>
      <c r="K69" s="2"/>
      <c r="L69" s="2"/>
      <c r="M69" s="2"/>
      <c r="N69" s="2"/>
      <c r="O69" s="2"/>
      <c r="P69" s="2"/>
    </row>
    <row r="70" spans="1:16" x14ac:dyDescent="0.3">
      <c r="A70" s="2"/>
      <c r="B70" s="2"/>
      <c r="C70" s="2"/>
      <c r="D70" s="2"/>
      <c r="E70" s="2"/>
      <c r="F70" s="2"/>
      <c r="G70" s="2"/>
    </row>
    <row r="71" spans="1:16" x14ac:dyDescent="0.3">
      <c r="A71" s="2"/>
      <c r="B71" s="2"/>
      <c r="C71" s="2"/>
      <c r="D71" s="2"/>
      <c r="E71" s="2"/>
      <c r="F71" s="2"/>
      <c r="G71" s="2"/>
    </row>
    <row r="72" spans="1:16" ht="15" customHeight="1" x14ac:dyDescent="0.3">
      <c r="A72" s="2"/>
      <c r="B72" s="2"/>
      <c r="C72" s="2"/>
      <c r="D72" s="2"/>
      <c r="E72" s="2"/>
      <c r="F72" s="2"/>
      <c r="G72" s="2"/>
    </row>
    <row r="73" spans="1:16" x14ac:dyDescent="0.3">
      <c r="A73" s="2"/>
      <c r="B73" s="2"/>
      <c r="C73" s="2"/>
      <c r="D73" s="2"/>
      <c r="E73" s="2"/>
      <c r="F73" s="2"/>
      <c r="G73" s="2"/>
    </row>
    <row r="74" spans="1:16" x14ac:dyDescent="0.3">
      <c r="A74" s="2"/>
      <c r="B74" s="2"/>
      <c r="C74" s="2"/>
      <c r="D74" s="2"/>
      <c r="E74" s="2"/>
      <c r="F74" s="2"/>
      <c r="G74" s="2"/>
    </row>
    <row r="80" spans="1:16" ht="15" customHeight="1" x14ac:dyDescent="0.3"/>
    <row r="107" spans="16:16" x14ac:dyDescent="0.3">
      <c r="P107" s="2"/>
    </row>
    <row r="108" spans="16:16" x14ac:dyDescent="0.3">
      <c r="P108" s="2"/>
    </row>
  </sheetData>
  <dataConsolidate function="max"/>
  <mergeCells count="37">
    <mergeCell ref="P31:S33"/>
    <mergeCell ref="C32:D32"/>
    <mergeCell ref="G33:L34"/>
    <mergeCell ref="G20:L21"/>
    <mergeCell ref="C34:D34"/>
    <mergeCell ref="G22:L24"/>
    <mergeCell ref="P23:S25"/>
    <mergeCell ref="G25:L27"/>
    <mergeCell ref="P26:S28"/>
    <mergeCell ref="G28:L29"/>
    <mergeCell ref="P29:S30"/>
    <mergeCell ref="G35:L36"/>
    <mergeCell ref="G37:L39"/>
    <mergeCell ref="G30:L32"/>
    <mergeCell ref="C30:D30"/>
    <mergeCell ref="C31:D31"/>
    <mergeCell ref="A1:D1"/>
    <mergeCell ref="O1:R1"/>
    <mergeCell ref="T1:W1"/>
    <mergeCell ref="O2:R2"/>
    <mergeCell ref="T2:W2"/>
    <mergeCell ref="O3:R9"/>
    <mergeCell ref="T3:W9"/>
    <mergeCell ref="L4:N4"/>
    <mergeCell ref="L9:N17"/>
    <mergeCell ref="B10:B12"/>
    <mergeCell ref="G2:N3"/>
    <mergeCell ref="D10:D12"/>
    <mergeCell ref="P11:R12"/>
    <mergeCell ref="U11:W13"/>
    <mergeCell ref="O13:R13"/>
    <mergeCell ref="O14:R14"/>
    <mergeCell ref="T14:W14"/>
    <mergeCell ref="O15:R21"/>
    <mergeCell ref="T15:W15"/>
    <mergeCell ref="T16:W16"/>
    <mergeCell ref="F19:G19"/>
  </mergeCells>
  <conditionalFormatting sqref="B4">
    <cfRule type="containsText" dxfId="50" priority="4" operator="containsText" text="NP">
      <formula>NOT(ISERROR(SEARCH("NP",B4)))</formula>
    </cfRule>
  </conditionalFormatting>
  <conditionalFormatting sqref="B30:B36">
    <cfRule type="containsText" dxfId="49" priority="8" operator="containsText" text="NP">
      <formula>NOT(ISERROR(SEARCH("NP",B30)))</formula>
    </cfRule>
  </conditionalFormatting>
  <conditionalFormatting sqref="G1:G2">
    <cfRule type="expression" dxfId="48" priority="1">
      <formula>$B$5="E"</formula>
    </cfRule>
  </conditionalFormatting>
  <conditionalFormatting sqref="J12">
    <cfRule type="containsText" dxfId="47" priority="15" operator="containsText" text="(See note 8)">
      <formula>NOT(ISERROR(SEARCH("(See note 8)",J12)))</formula>
    </cfRule>
  </conditionalFormatting>
  <conditionalFormatting sqref="K5:K8">
    <cfRule type="containsText" dxfId="46" priority="18" operator="containsText" text="NP">
      <formula>NOT(ISERROR(SEARCH("NP",K5)))</formula>
    </cfRule>
  </conditionalFormatting>
  <conditionalFormatting sqref="K7">
    <cfRule type="containsText" dxfId="45" priority="9" operator="containsText" text="CHOOSE">
      <formula>NOT(ISERROR(SEARCH("CHOOSE",K7)))</formula>
    </cfRule>
    <cfRule type="cellIs" dxfId="44" priority="11" operator="lessThan">
      <formula>$B$8</formula>
    </cfRule>
  </conditionalFormatting>
  <conditionalFormatting sqref="K8:K9">
    <cfRule type="containsText" dxfId="43" priority="21" operator="containsText" text="Required">
      <formula>NOT(ISERROR(SEARCH("Required",K8)))</formula>
    </cfRule>
  </conditionalFormatting>
  <conditionalFormatting sqref="K16:K17">
    <cfRule type="containsText" dxfId="42" priority="7" operator="containsText" text="NP">
      <formula>NOT(ISERROR(SEARCH("NP",K16)))</formula>
    </cfRule>
  </conditionalFormatting>
  <dataValidations count="3">
    <dataValidation type="list" allowBlank="1" showInputMessage="1" showErrorMessage="1" sqref="B6" xr:uid="{00000000-0002-0000-0000-000000000000}">
      <formula1>"I-A,I-B,II-A,II-B,III-A,III-B,IV-A,IV-B,IV-C,IV-HT,V-A,V-B"</formula1>
    </dataValidation>
    <dataValidation type="list" allowBlank="1" showInputMessage="1" showErrorMessage="1" sqref="B7" xr:uid="{00000000-0002-0000-0000-000001000000}">
      <formula1>"NS, S1, SM, S13D, S13R"</formula1>
    </dataValidation>
    <dataValidation type="list" allowBlank="1" showInputMessage="1" showErrorMessage="1" sqref="B5" xr:uid="{00000000-0002-0000-0000-000002000000}">
      <formula1>"A-1,A-2,A-3,A-4,A-5,B,E,F-1,F-2,H-1,H-2,H-3,H-4,H-5,I-1 Cond. 1,I-1 Cond. 2,I-2/I-2.1,I-3,I-4,L,M,R-1,R-2,R-2.1,R-2.2 (CA Only),R-3/R-3.1,R-4,S-1,S-2,U"</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08"/>
  <sheetViews>
    <sheetView workbookViewId="0">
      <selection activeCell="B3" sqref="B3"/>
    </sheetView>
  </sheetViews>
  <sheetFormatPr defaultRowHeight="14.4" x14ac:dyDescent="0.3"/>
  <cols>
    <col min="1" max="1" width="40.6640625" customWidth="1"/>
    <col min="2" max="2" width="26.109375" customWidth="1"/>
    <col min="3" max="3" width="2.44140625" customWidth="1"/>
    <col min="4" max="4" width="20.33203125" customWidth="1"/>
    <col min="5" max="5" width="2.44140625" customWidth="1"/>
    <col min="6" max="6" width="3.44140625" customWidth="1"/>
    <col min="7" max="7" width="15.6640625" customWidth="1"/>
    <col min="16" max="21" width="9.109375" customWidth="1"/>
  </cols>
  <sheetData>
    <row r="1" spans="1:39" ht="18.600000000000001" thickBot="1" x14ac:dyDescent="0.35">
      <c r="A1" s="98" t="s">
        <v>193</v>
      </c>
      <c r="B1" s="99"/>
      <c r="C1" s="99"/>
      <c r="D1" s="100"/>
      <c r="E1" s="2"/>
      <c r="F1" s="2"/>
      <c r="G1" s="2" t="str">
        <f>IF(B5="E","AZ: Sprinklers required is above grade set.","")</f>
        <v/>
      </c>
      <c r="I1" s="2"/>
      <c r="J1" s="2"/>
      <c r="K1" s="2"/>
      <c r="L1" s="2"/>
      <c r="M1" s="2"/>
      <c r="N1" s="2"/>
      <c r="O1" s="73" t="s">
        <v>150</v>
      </c>
      <c r="P1" s="74"/>
      <c r="Q1" s="74"/>
      <c r="R1" s="75"/>
      <c r="S1" s="2"/>
      <c r="T1" s="73" t="s">
        <v>158</v>
      </c>
      <c r="U1" s="74"/>
      <c r="V1" s="74"/>
      <c r="W1" s="75"/>
      <c r="Y1" s="2"/>
      <c r="Z1" s="2"/>
      <c r="AA1" s="2"/>
      <c r="AB1" s="2"/>
      <c r="AC1" s="2"/>
      <c r="AD1" s="2"/>
    </row>
    <row r="2" spans="1:39" ht="15" thickBot="1" x14ac:dyDescent="0.35">
      <c r="A2" s="2"/>
      <c r="B2" s="2"/>
      <c r="C2" s="2"/>
      <c r="D2" s="2"/>
      <c r="E2" s="2"/>
      <c r="F2" s="2"/>
      <c r="G2" s="70" t="str">
        <f>IF(B5="E","FL, GA, RI, &amp; DE: Sprinklers required.  Exception: Under 1,000 sq. ft., single classroom, and less than 30' from other buildings. (NFPA 101: 14.3.5) / No exception for SREF classroom for FL.","")</f>
        <v/>
      </c>
      <c r="H2" s="70"/>
      <c r="I2" s="70"/>
      <c r="J2" s="70"/>
      <c r="K2" s="70"/>
      <c r="L2" s="70"/>
      <c r="M2" s="70"/>
      <c r="N2" s="71"/>
      <c r="O2" s="73" t="str">
        <f>IF(OR(B5="A-1",2="A-2",B5="A-3",B5="A-4",B5="A-5"),"A: Assembly Group",IF(B5="B","B: Business Group",IF(B5="E","E: Educational Group",IF(OR(B5="F-1",B5="F-2"),"F: Factory Group",IF(OR(B5="H-1",B5="H-2",B5="H-3",B5="H-4",B5="H-5"),"H: High Hazard Group",IF(OR(B5="I-1 Cond. 1",B5="I-1 Cond. 2",B5="I-2/I-2.1",B5="I-3",B5="I-4"),"I: Institutional Group",IF(B5="M","M: Mercantile Group",IF(OR(B5="R-1",B5="r-2",B5="r-2.1",B5="r-2.2 (ca only)",B5="r-3/r-3.1",B5="r-4"),"R: Residential Group",IF(OR(B5="s-1",B5="s-2"),"S: Storage Group",IF(B5="U","U: Utility &amp; Miscellaneous Group",IF(B5="L","L: Labortories Group","")))))))))))</f>
        <v>B: Business Group</v>
      </c>
      <c r="P2" s="74"/>
      <c r="Q2" s="74"/>
      <c r="R2" s="75"/>
      <c r="T2" s="73" t="str">
        <f>$B$5</f>
        <v>B</v>
      </c>
      <c r="U2" s="74"/>
      <c r="V2" s="74"/>
      <c r="W2" s="75"/>
      <c r="AA2" s="2"/>
    </row>
    <row r="3" spans="1:39" ht="15" customHeight="1" thickBot="1" x14ac:dyDescent="0.35">
      <c r="A3" s="6" t="s">
        <v>53</v>
      </c>
      <c r="B3" s="54"/>
      <c r="C3" s="2"/>
      <c r="D3" s="2"/>
      <c r="E3" s="2"/>
      <c r="F3" s="2"/>
      <c r="G3" s="70"/>
      <c r="H3" s="70"/>
      <c r="I3" s="70"/>
      <c r="J3" s="70"/>
      <c r="K3" s="70"/>
      <c r="L3" s="70"/>
      <c r="M3" s="70"/>
      <c r="N3" s="71"/>
      <c r="O3" s="55" t="str">
        <f>IF(B5="a-1","A-1: Assembly use intended for the production &amp; viewing of performing arts or motion pictures.  Motion Picture Theaters, Concert Halls, TV/Radio Studios w/ audience, Theaters.",IF(B5="a-2","A-2: Assembly use intended for food / drink consumption.  Banquet Halls, Casinos, Nightclubs, Restaurants, Break Rooms.",IF(B5="A-3","A-3: Assembly use for worship, recreation/amusement, and other assembly uses.  Conferences, Lecture Halls, Libraries, Places of Worship, Waiting areas, Bowling Alleys, Court Rooms, Amusement Arcades, Community Halls, Dance Halls, Etc.",IF(B5="A-4","A-4: Assembly use intended for viewing indoor sporting events/activities with seating.  Arenas, Skating Rinks, Swimming Pools, Tennis Courts.",IF(B5="A-5","A-5: assembly use intended for participation in or viewing outdoor activities.  Amusement park structures, Bleachers, Grandstands, Stadiums",IF(B5="b","B: Air Traffic Towers, Ambulatory Care (serving 6 or fewer), Banks, Barber/Beauty Shops, Vet Clinic, Bank, Offices, Outpatient Clinic, Education grade over 12th grade, food processing, print shops, radio/TV stations.",IF(B5="E","E: Grades Pre-K thru 12th occupied by more than 6 persons. Group E Daycare occupied by 5 or more kids older than 2-1/2 yo and receive less than 24hr. care.  See Section 303.1.4 for accessory to places of worship.",IF(B5="F-1","F-1: Factory industrial that are considered Moderate Hazard.  Aircraft repair, Appliances, Bakeries, Bicylces, Boats, Business Machines, Clothing, Construction and Agricultural Machinery, Dry Cleaning, Engines, Electronics, Paper Mill, Tabacco, Wood.",IF(B5="f-2","F-2: Factory industrial that are considered Low Hazard. Beverage up to 16% alcohol content, Brick/Masonry, Ceramic Products, Foundries, Glass Products, Gypsum, Ice, Metal Procucts.",IF(B5="H-1","H-1: Occupancies containing explosives.  Explosives, Div. 1.1, 1.2, 1.3, 1.5, 1.6.",IF(B5="H-2","H-2: Buildings containing materials that pose a deflagration hazard or hazard from accelerated burning. Combustible Duct &amp; Liquid, Cryogentic Liquid/Flammable, Div. 1.3 Explosives, Flammable Gas or Liquid (Type IA, IB, or IC).",IF(B5="H-3","H-3: Buildings containing materials that readily support combustion or pose a physical hazard. Combustible Fiber, Liquid (Type II or IIIA, Cryogenic oxidizing, Flammable Liquid, solid or combination, organic peroxide.",IF(B5="H-4","H-4: Buildings containing materials that are health hazards. Corrosives, Highly Toxic materials, Toxic materials.",IF(B5="H-5","H-5: Semiconductor fabrication facilities and comparable research and develpment areas in which hazardous production materials are used and the aggregate quantity of materials is in excess of those listed in Tables 307.1(1) &amp; 307.1(2).",IF(B5="I-1 Cond. 1","I-1 Cond. 1: Buildings for more than 16 persons, excluding staff who reside on a 24-hr. basis in a supv enriroment and receive custodial care.  Halfway house, Assisted Living.  Cond 1: Person in custodial care, but can respond to an emergency situation.",IF(B5="I-1 Cond. 2","I-1 Cond. 2: Bldgs for 16+ persons, excl. staff who reside on a 24-hr basis in a supv enriroment and receive custodial care.  Halfway house, Assisted Living. Cond 2: Person in care who require limited verbal/physical asst. while rspnd to emer. sitn.",IF(B5="i-2/i-2.1","I-2: Buildings for medical care on 24hr. basis for more than 5 persons who are incapable of self-preservation or nonambulatory.  Hospitals, Nursing Homes, Psyc. Hospitals.  5 or fewer persons receiving medical care shall be classifed as Group R-3.",IF(B5="I-3","I-3: Buildings or portions of that are inhabited by one or more than 5 who are under restaint or security.  Corrections centers, hospitals, nursing, mental, holding, treatment.  Detention Centers, Jails, Juvenile Halls, Prisons, Temporary Holding.",IF(B5="i-4","I-4: Buildings occupied by more than 6 clients of any age who recieve custodial care for fewer than 24hr per day other than parents or guardians.  Adult Daycare, Child Daycare. See Section 308.5.1 to classify as Group E daycare",IF(B5="L","L: Building contains 1 or more labatory suites as defined in Section 453 (2019 CBC).",IF(B5="M","M: Buildings for the display and sale of merchandise, and involves stocks or goods, wares or merchandise incidental to such purposes and accessible to the public.  Department Stores, Drug Stores, Greenhouses (Display and Sale), Markets, Sales Rooms.",IF(B5="R-1","R-1: Building for sleeping purposes where occupants are transient in nature.  Hotels, Motels.",IF(B5="r-2","R-2: Buildings for sleeping purposes when not classified as an Institutional Group I or when not regulated by the International Residential Code.  Boarding House, Dormatory, Congregate Living, Group Home, Hotels, Motels, Fraternities, Transient.",IF(B5="R-2.1","R-2.1: Buildings housing clients on a 24hr. basis, who because of age, mental disability or other reasons, live in a supervised enviroment.  Res. Care Facilities for children or elderly, Group Homes, Comm. Correction centers, alcohol/drug treatment.",IF(B5="R-2.2 (CA Only)","R-2.2: Residential occupanies operated by CDCR in a community located facility that provides housing and community based program services for nontransient ambulatory care in a nonlicensed facility w/ 24/7 upervision.",IF(B5="R-3/r-3.1","R-3/R-3.1: Occupants are primary in nature and not classified as R-1, R-2, R-2.1, R-2.2 (CA), R-3.1, R-4, or I.  Nontransient with 16 or fewer occupants, Boarding houses, Convents, Dorms, Fraternities, Monasteries, Adult/Child care with 6 or fewer.",IF(B5="R-4","R-4: Buildings for more than 6 ambulatory clients, but no more than 16 persons, excluding staff, who reisde on a 24hr basis in a supervised residential enviroment.  R-4 shall meet the requirements of R-3.  Section 310.5 (CBC)",IF(B5="s-1","S-1: Moderate-Hazard Storage buildings not classified as S-2.  Aerol products, Aircraft Hanger (Storage/Repari), Bags, Bamboo, Books/Paper in rolls or packs, Boots/Shoes, Cardboard, Dry boat storage, Lino, Lumber, Soaps, Wax candles.",IF(B5="s-2","S-2: Low Hazard Storage.  Asbestos, Cement Bags, Chalk/Crayons, Dairy Products in nonwaxed containers, Dry Cell Batteries, Electrical Coils, Empty Cans, Glass, Gypsu Board, Meats, Metal Parts, Porcelain, Stoves.",IF(B5="U","U: Buildings not classified in any specific occupancy shall be constructed, equipped and maintained to conform with code requirements.  Agriculural buildings, Barns, Carports, Comm equip., Private garages, Sheds, Stables, Tanks, Towers.",""))))))))))))))))))))))))))))))</f>
        <v>B: Air Traffic Towers, Ambulatory Care (serving 6 or fewer), Banks, Barber/Beauty Shops, Vet Clinic, Bank, Offices, Outpatient Clinic, Education grade over 12th grade, food processing, print shops, radio/TV stations.</v>
      </c>
      <c r="P3" s="56"/>
      <c r="Q3" s="56"/>
      <c r="R3" s="57"/>
      <c r="T3" s="55" t="str">
        <f>IF(OR(T2="A-1",T2="A-2",T2="A-3",T2="A-4",T2="A-5"),"Occupant load 300+ @ grade level, or 100+ above/below grade.  Exception: Where a building is equipped with sprinkler system and occ. notification appliances activate throughout upon sprinkler water flow.",IF(T2="B","Combined occupant load of 500+, or 100+ above/below grade.  Fire area contains an ambulatory care facility.  Exception: Where a building is equipped with sprinkler system and occ. notification appliances activate throughout upon sprinkler water flow.",IF(T2="E","Required. Exception: Occupants of 50 or less. Emer. voice/arlarm communication installed and occupant load is 100 or less. Alarm boxes not required if: building has a sprinkler system, emer. voice/alarm installed, activation from an norm. occupied area.",IF(OR(T2="F-1",T2="F-2"),"Combined occupant load of 500+ above or below grade and has 2+ stories in height.  Exception: Where a building is equipped with sprinkler system and occ. notification appliances activate throughout upon sprinkler water flow.",IF(OR(T2="I-1 Cond. 1",T2="I-1 Cond. 2",T2="I-2/I-2.1",T2="I-3",T2="I-4"),"Required.  Exception: Alarm boxes in sleeping units of I-1 &amp; I-2 are not required at all care provider stations or constantly attended staff lctns.  See Sections 907.2.6.1 thru 907.2.6.3.3 for additional exceptions.",IF(T2="M","Combined occupant load of 500+, or 100+ above/below grade.  Exception: Where a building is equipped with sprinkler system and occ. notification appliances activate throughout upon sprinkler water flow.  Not required in covered or open mall buildings.",IF(T2="R-1","Required.  Exception: Where a building is equipped with sprinkler system and occ. notification appliances activate throughout upon sprinkler water flow and no fewer than one manual fire box at approved lctn.  See 907.2.8.1 for additional exceptions.",IF(OR(T2="R-2",T2="R-2.1",T2="R-2.2 (CA Only)"),"Contains 16+ dwelling units or Units are 3+ stories below or 1+ story above grade. Exception: Where a bldg is equipped with sprinkler system and occ. notification appliances activate throughout upon sprinkler water flow. See 907.2.9.1 for exceptions.",IF(OR(T2="R-3/R-3.1",T2="R-4"),"Required @ ceiling or wall ourside each dwelling unit.  Each sleeping room.  Each story withing a dwelling unit.",IF(T2="H-5","Required.  No exceptions.",IF(OR(T2="S-1",T2="S-2",T2="U",T2="H-1",T2="H-2",T2="H-3",T2="H-4",T2="L"),"Not Required","")))))))))))</f>
        <v>Combined occupant load of 500+, or 100+ above/below grade.  Fire area contains an ambulatory care facility.  Exception: Where a building is equipped with sprinkler system and occ. notification appliances activate throughout upon sprinkler water flow.</v>
      </c>
      <c r="U3" s="56"/>
      <c r="V3" s="56"/>
      <c r="W3" s="57"/>
      <c r="AA3" s="2"/>
    </row>
    <row r="4" spans="1:39" ht="15" thickBot="1" x14ac:dyDescent="0.35">
      <c r="A4" s="2"/>
      <c r="B4" s="25" t="str">
        <f>IF(AND(B5="i-3",(OR(B6="v-b",B6="v-a",B6="iv-ht",B6="iv-c",B6="iv-b",B6="iv-a",B6="iii-b",B6="iii-a",B6="ii-b",B6="ii-a"))),"NP in California only.  Use Construction Type I-A or I-B.",IF(AND(B5="I-2/I-2.1",(OR(B6="iv-c",B6="iv-b",B6="iv-a",B6="iii-b"))),"Construction type IV-A, IV-B, IV-C, &amp; III-B NP in California only.",""))</f>
        <v/>
      </c>
      <c r="C4" s="2"/>
      <c r="D4" s="2"/>
      <c r="E4" s="2"/>
      <c r="F4" s="29" t="s">
        <v>58</v>
      </c>
      <c r="G4" s="29"/>
      <c r="H4" s="2"/>
      <c r="I4" s="2"/>
      <c r="J4" s="2"/>
      <c r="L4" s="64" t="str">
        <f>IF(OR(K5="NP",K5="NP W/ S13R",K5="NP / Use I-A or I-B Construction",K5="NP W/ S13D",K5="NP W/O S1 or SM Sprinklers",K5="NP W/ II-B, III-B, IV-HT, V-B Construction",K5="NP W/ II-B, III-B, IV-HT (OK Sprinkled), V-B Construction",K5="NP / Construction V-A Only",K5="NP W/ V-B Construction",K6="NP",K6="NP W/ S13R",K6="NP / Use I-A or I-B Construction",K6="NP W/ S13D",K6="NP W/O S1 or SM Sprinklers",K6="NP W/ II-B, III-B, IV-HT, V-B Construction",K6="NP W/ II-B, III-B, IV-HT (OK Sprinkled), V-B Construction",K6="NP / Construction V-A Only",K6="NP W/ V-B Construction",K7="NP",K7="NP W/ S13R",K7="NP / Use I-A or I-B Construction",K7="NP W/ S13D",K7="NP W/O S1 or SM Sprinklers",K7="NP W/ II-B, III-B, IV-HT, V-B Construction",K7="NP W/ II-B, III-B, IV-HT (OK Sprinkled), V-B Construction",K7="NP / Construction V-A Only",K7="NP W/ V-B Construction"),"Note: NP = Not Permitted",IF(OR(K5="UL",K6="UL",K7="UL",K8="UL",K9="UL"),"Note: UL = Unlimited",""))</f>
        <v/>
      </c>
      <c r="M4" s="64"/>
      <c r="N4" s="65"/>
      <c r="O4" s="58"/>
      <c r="P4" s="59"/>
      <c r="Q4" s="59"/>
      <c r="R4" s="60"/>
      <c r="T4" s="58"/>
      <c r="U4" s="59"/>
      <c r="V4" s="59"/>
      <c r="W4" s="60"/>
      <c r="AA4" s="2"/>
    </row>
    <row r="5" spans="1:39" ht="15" thickBot="1" x14ac:dyDescent="0.35">
      <c r="A5" s="6" t="s">
        <v>1</v>
      </c>
      <c r="B5" s="49" t="s">
        <v>10</v>
      </c>
      <c r="C5" s="2"/>
      <c r="D5" s="2"/>
      <c r="E5" s="2"/>
      <c r="F5" s="2">
        <v>1</v>
      </c>
      <c r="G5" s="2" t="s">
        <v>95</v>
      </c>
      <c r="H5" s="2"/>
      <c r="I5" s="2"/>
      <c r="J5" s="2"/>
      <c r="K5" s="25">
        <f>IF(B7="NS",'Allowable area Table 506.2'!A34,IF(B7="S1",'Allowable area Table 506.2'!M34,IF(B7="SM",'Allowable area Table 506.2'!Y34,IF(B7="S13D",'Allowable area Table 506.2'!AW34,IF(B7="S13R",'Allowable area Table 506.2'!BI34,0)))))</f>
        <v>9000</v>
      </c>
      <c r="M5" s="2"/>
      <c r="O5" s="58"/>
      <c r="P5" s="59"/>
      <c r="Q5" s="59"/>
      <c r="R5" s="60"/>
      <c r="T5" s="58"/>
      <c r="U5" s="59"/>
      <c r="V5" s="59"/>
      <c r="W5" s="60"/>
    </row>
    <row r="6" spans="1:39" ht="15" thickBot="1" x14ac:dyDescent="0.35">
      <c r="A6" s="6" t="s">
        <v>2</v>
      </c>
      <c r="B6" s="49" t="s">
        <v>70</v>
      </c>
      <c r="C6" s="2"/>
      <c r="D6" s="2"/>
      <c r="E6" s="2"/>
      <c r="F6" s="2">
        <v>2</v>
      </c>
      <c r="G6" s="2" t="s">
        <v>59</v>
      </c>
      <c r="H6" s="2"/>
      <c r="I6" s="2"/>
      <c r="J6" s="2"/>
      <c r="K6" s="25">
        <f>IF(B7="NS",'Allowable Bldg Ht Table 504.3'!A33,IF(B7="SM",'Allowable Bldg Ht Table 504.3'!L33,IF(B7="S1",'Allowable Bldg Ht Table 504.3'!L33,IF(B7="S13R",'Allowable Bldg Ht Table 504.3'!AS33,IF(B7="S13D",'Allowable Bldg Ht Table 504.3'!AH33,0)))))</f>
        <v>40</v>
      </c>
      <c r="M6" s="2"/>
      <c r="O6" s="58"/>
      <c r="P6" s="59"/>
      <c r="Q6" s="59"/>
      <c r="R6" s="60"/>
      <c r="T6" s="58"/>
      <c r="U6" s="59"/>
      <c r="V6" s="59"/>
      <c r="W6" s="60"/>
    </row>
    <row r="7" spans="1:39" ht="15" thickBot="1" x14ac:dyDescent="0.35">
      <c r="A7" s="6" t="s">
        <v>3</v>
      </c>
      <c r="B7" s="49" t="s">
        <v>12</v>
      </c>
      <c r="C7" s="2"/>
      <c r="D7" s="2"/>
      <c r="E7" s="2"/>
      <c r="F7" s="2"/>
      <c r="G7" s="2" t="s">
        <v>60</v>
      </c>
      <c r="H7" s="2"/>
      <c r="I7" s="2"/>
      <c r="J7" s="2"/>
      <c r="K7" s="25">
        <f>IF(B7="NS",'Allowable Stories Table 504.4'!A33,IF(B7="S13D",'Allowable Stories Table 504.4'!AK33,IF(B7="S13R",'Allowable Stories Table 504.4'!AW33,IF(B7="S1",'Allowable Stories Table 504.4'!M33,IF(B7="SM",'Allowable Stories Table 504.4'!M33,0)))))</f>
        <v>2</v>
      </c>
      <c r="M7" s="2"/>
      <c r="O7" s="58"/>
      <c r="P7" s="59"/>
      <c r="Q7" s="59"/>
      <c r="R7" s="60"/>
      <c r="T7" s="58"/>
      <c r="U7" s="59"/>
      <c r="V7" s="59"/>
      <c r="W7" s="60"/>
    </row>
    <row r="8" spans="1:39" ht="15" thickBot="1" x14ac:dyDescent="0.35">
      <c r="A8" s="6" t="s">
        <v>4</v>
      </c>
      <c r="B8" s="49">
        <v>1</v>
      </c>
      <c r="C8" s="2"/>
      <c r="D8" s="2"/>
      <c r="E8" s="2"/>
      <c r="F8" s="2"/>
      <c r="G8" s="2" t="s">
        <v>82</v>
      </c>
      <c r="H8" s="2"/>
      <c r="I8" s="2"/>
      <c r="J8" s="2"/>
      <c r="K8" s="2" t="str">
        <f>IF(AND(B5="R-1",OR(B7="NS",B7="S13D")),"S13R Required",IF(AND(B5="R-2",OR(B7="NS",B7="S13D")),"S13R Required",IF(AND(B5="R-2.1",OR(B7="NS",B7="S13D")),"S13R Required",IF(AND(B5="R-2.2 (CA Only)",OR(B7="NS",B7="S13R",B7="S13D")),"S1 OR SM Required",IF(AND(B5="R-3/r-3.1",OR(B7="NS")),"S13D OR S13R Required",IF(AND(B5="R-4",OR(B7="NS",B7="S13D")),"S13D OR S13R Required",IF(AND(B5="i-1 Cond. 1",OR(B7="NS",B7="S13D")),"S13R or S1 or SM Required",IF(AND(B7="S13R",OR(B5="A-1",B5="A-2",B5="A-3",B5="A-4",B5="A-5",B5="B",B5="E",B5="F-1",B5="F-2",B5="H-1",B5="H-2",B5="H-3",B5="H-4",B5="H-5",B5="I-1 COND. 2",B5="I-2/I-2.1",B5="I-3",B5="I-4",B5="L",B5="M",B5="S-1",B5="S-2",B5="U")),"NP",IF(AND(B7="S13D",OR(B5="A-1",B5="A-2",B5="A-3",B5="A-4",B5="A-5",B5="B",B5="E",B5="F-1",B5="F-2",B5="H-1",B5="H-2",B5="H-3",B5="H-4",B5="H-5",B5="I-1 COND. 2",B5="I-2/I-2.1",B5="I-3",B5="I-4",B5="L",B5="M",B5="S-1",B5="S-2",B5="U")),"NP",IF(K5="NP W/ 13D","NP",IF(B7="S13R","Yes",IF(B7="S13D","Yes","None"))))))))))))</f>
        <v>None</v>
      </c>
      <c r="M8" s="2"/>
      <c r="O8" s="58"/>
      <c r="P8" s="59"/>
      <c r="Q8" s="59"/>
      <c r="R8" s="60"/>
      <c r="T8" s="58"/>
      <c r="U8" s="59"/>
      <c r="V8" s="59"/>
      <c r="W8" s="60"/>
    </row>
    <row r="9" spans="1:39" ht="15.75" customHeight="1" thickBot="1" x14ac:dyDescent="0.35">
      <c r="A9" s="2"/>
      <c r="B9" s="2"/>
      <c r="C9" s="2"/>
      <c r="D9" s="2"/>
      <c r="E9" s="2"/>
      <c r="F9" s="2"/>
      <c r="G9" s="2" t="s">
        <v>61</v>
      </c>
      <c r="H9" s="2"/>
      <c r="I9" s="2"/>
      <c r="J9" s="2"/>
      <c r="K9" s="25" t="str">
        <f>IF(AND(B5="I-1 Cond. 2",OR(B7="S13R",B7="S13D",B7="NS")),"Required",IF(AND(B5="I-4",OR(B7="S13R",B7="S13D",B7="NS")),"Required",IF(AND(B5="I-1",OR(B7="S13R",B7="S13D",B7="NS")),"Required",IF(AND(B5="I-2/I-2.1",OR(B7="S13R",B7="S13D",B7="NS")),"Required",IF(AND(B5="I-3",OR(B7="S13R",B7="S13D",B7="NS")),"Required",IF(AND(B5="H-1",OR(B7="S13R",B7="S13D",B7="NS")),"Required",IF(AND(B5="H-2",OR(B7="S13R",B7="S13D",B7="NS")),"Required",IF(AND(B5="H-3",OR(B7="S13R",B7="S13D",B7="NS")),"Required",IF(AND(B5="H-4",OR(B7="S13R",B7="S13D",B7="NS")),"Required",IF(AND(B5="H-5",OR(B7="S13R",B7="S13D",B7="NS")),"Required",IF(B7="NS","None",IF(B7="S13R","None",IF(B7="S13D","None","Yes")))))))))))))</f>
        <v>None</v>
      </c>
      <c r="L9" s="66" t="str">
        <f>IF(AND(K9="REQUIRED",B5="I-4"),"&lt;--- Exception: Each daycare room / classroom has an exterior at exit level discharge.",IF(B5="A-1","&lt;--- Sprinklers required when over 12,000 sq. ft. or occupant load is greater than 300 or fire area is above or below exit discharge.  Fire area contains a multitheater complex.",IF(B5="A-3","&lt;--- Sprinklers required when over 12,000 sq. ft. or occupant load is greater than 300 or fire area is above or below exit discharge.",IF(B5="A-4","&lt;--- Sprinklers required when over 12,000 sq. ft. or occupant load is greater than 300 or fire area is above or below exit discharge.",IF(B5="A-5","&lt;--- Sprinkler required when enclosed area(s) are greater than 1,000 sq. ft.  Enclosed spaces under bleachers 1,000 sf. ft. of less and not constructed in accordance with Section 1029.1.1.1. or enclosed area exceeds 1,000 sq. ft.",IF(B5="E","&lt;--- Sprinklers required when over 12,000 sq. ft. or occupant load is greater than 300 or fire area is above or below exit discharge.  Exception: Each classroom at level of discharge and has a direct exit.",IF(AND(B5="A-2",B7="NS"),"&lt;--- Sprinklers required when over 5000 sq. ft. or occupant load is greater than 100 or fire area is above or below grade.",IF(AND(B5="M",B7="NS"),"&lt;--- Sprinkler required when 12,000 sq. ft. or greater or all combined floors (including mezzanines) exceeds 24,000 sq. ft. or area for furniture or mattresses exceed 5,000 sq. ft. or M occupancy located over 3 stories above grade.",IF(B5="F-1","Fire area exceeds 12,000 sq. ft., fire area is located more the 3-stories above grade, all combined areas exceed 24,000 sq. ft., manufacture of upholstered furniture or matresses exceed 2,500 sq. ft.",IF(B5="I-1","&lt;---  Group I-1, Condition 1 facilities allowed to have an NFPA 13R sprinkler system",IF(B5="S-1","&lt;--- Sprinkler required when enclosed area is 12,000 sq. ft.+ or more than 3-Stories above grade or all combined areas exceed 24,000 sq. ft. or motor vehicle storage exceed 5,000 sq. ft. or upholstered furniture or matress storage exceed 2,500 sq. ft.",IF(B5="S-2","&lt;--- Sprinkler required in enclosed parking garage exceed 12,000 sq. ft. or when enclosed parking garage is located beneath other groups (Exception: Parking garages located beneath Group R-3 occupancies.",""))))))))))))</f>
        <v/>
      </c>
      <c r="M9" s="66"/>
      <c r="N9" s="66"/>
      <c r="O9" s="61"/>
      <c r="P9" s="62"/>
      <c r="Q9" s="62"/>
      <c r="R9" s="63"/>
      <c r="T9" s="61"/>
      <c r="U9" s="62"/>
      <c r="V9" s="62"/>
      <c r="W9" s="63"/>
    </row>
    <row r="10" spans="1:39" ht="14.4" customHeight="1" x14ac:dyDescent="0.3">
      <c r="A10" s="1"/>
      <c r="B10" s="67" t="s">
        <v>122</v>
      </c>
      <c r="C10" s="1"/>
      <c r="D10" s="67" t="s">
        <v>92</v>
      </c>
      <c r="E10" s="1"/>
      <c r="F10" s="1">
        <v>3</v>
      </c>
      <c r="G10" s="2" t="s">
        <v>190</v>
      </c>
      <c r="H10" s="2"/>
      <c r="I10" s="2"/>
      <c r="J10" s="2"/>
      <c r="K10" s="25"/>
      <c r="L10" s="66"/>
      <c r="M10" s="66"/>
      <c r="N10" s="66"/>
      <c r="O10" s="35" t="s">
        <v>58</v>
      </c>
      <c r="T10" s="35" t="s">
        <v>58</v>
      </c>
    </row>
    <row r="11" spans="1:39" ht="15" customHeight="1" x14ac:dyDescent="0.3">
      <c r="A11" s="1"/>
      <c r="B11" s="68"/>
      <c r="C11" s="1"/>
      <c r="D11" s="68"/>
      <c r="E11" s="1"/>
      <c r="F11" s="1"/>
      <c r="G11" s="2" t="s">
        <v>143</v>
      </c>
      <c r="H11" s="2"/>
      <c r="I11" s="2"/>
      <c r="J11" s="2"/>
      <c r="K11" s="26">
        <f>SUM(((K13/K12)-0.25)*(K14/30))</f>
        <v>0.32407407407407407</v>
      </c>
      <c r="L11" s="66"/>
      <c r="M11" s="66"/>
      <c r="N11" s="66"/>
      <c r="O11">
        <v>1</v>
      </c>
      <c r="P11" s="66" t="s">
        <v>159</v>
      </c>
      <c r="Q11" s="66"/>
      <c r="R11" s="66"/>
      <c r="T11">
        <v>1</v>
      </c>
      <c r="U11" s="66" t="s">
        <v>160</v>
      </c>
      <c r="V11" s="66"/>
      <c r="W11" s="66"/>
    </row>
    <row r="12" spans="1:39" ht="15" thickBot="1" x14ac:dyDescent="0.35">
      <c r="A12" s="1"/>
      <c r="B12" s="69"/>
      <c r="C12" s="1"/>
      <c r="D12" s="69"/>
      <c r="E12" s="1"/>
      <c r="F12" s="1"/>
      <c r="G12" s="2" t="s">
        <v>141</v>
      </c>
      <c r="H12" s="2"/>
      <c r="I12" s="2"/>
      <c r="J12" s="2"/>
      <c r="K12" s="25">
        <f>SUM(B13:B27)</f>
        <v>300</v>
      </c>
      <c r="L12" s="66"/>
      <c r="M12" s="66"/>
      <c r="N12" s="66"/>
      <c r="P12" s="72"/>
      <c r="Q12" s="72"/>
      <c r="R12" s="72"/>
      <c r="T12" s="2"/>
      <c r="U12" s="66"/>
      <c r="V12" s="66"/>
      <c r="W12" s="66"/>
    </row>
    <row r="13" spans="1:39" ht="15" thickBot="1" x14ac:dyDescent="0.35">
      <c r="A13" s="6" t="s">
        <v>5</v>
      </c>
      <c r="B13" s="50">
        <v>120</v>
      </c>
      <c r="C13" s="1"/>
      <c r="D13" s="52">
        <v>18</v>
      </c>
      <c r="E13" s="1"/>
      <c r="F13" s="1"/>
      <c r="G13" s="2" t="s">
        <v>142</v>
      </c>
      <c r="H13" s="2"/>
      <c r="J13" s="6" t="str">
        <f>IF(K13&lt;(K12/4),"(See note 8)","")</f>
        <v/>
      </c>
      <c r="K13" s="25">
        <f>IF(D13&lt;20,0,B13)+IF(D14&lt;20,0,B14)+IF(D15&lt;20,0,B15)+IF(D17&lt;20,0,B17)+IF(D18&lt;20,0,B18)+IF(D19&lt;20,0,B19)+IF(D21&lt;20,0,B21)+IF(D22&lt;20,0,B22)+IF(D23&lt;20,0,B23)+IF(D25&lt;20,0,B25)+IF(D26&lt;20,0,B26)+IF(D27&lt;20,0,B27)</f>
        <v>180</v>
      </c>
      <c r="L13" s="66"/>
      <c r="M13" s="66"/>
      <c r="N13" s="66"/>
      <c r="O13" s="73" t="s">
        <v>132</v>
      </c>
      <c r="P13" s="74"/>
      <c r="Q13" s="74"/>
      <c r="R13" s="75"/>
      <c r="U13" s="72"/>
      <c r="V13" s="72"/>
      <c r="W13" s="72"/>
    </row>
    <row r="14" spans="1:39" ht="15" thickBot="1" x14ac:dyDescent="0.35">
      <c r="A14" s="2"/>
      <c r="B14" s="51"/>
      <c r="C14" s="2"/>
      <c r="D14" s="51"/>
      <c r="E14" s="1"/>
      <c r="F14" s="2"/>
      <c r="G14" s="2" t="s">
        <v>91</v>
      </c>
      <c r="H14" s="2"/>
      <c r="I14" s="2"/>
      <c r="J14" s="2"/>
      <c r="K14" s="25">
        <f>SUM(IF(OR(D13&lt;20,D13&gt;30),0,(B13*D13))+IF(D13&gt;30,(B13*30),0)+IF(OR(D14&lt;20,D14&gt;30),0,(B14*D14))+IF(D14&gt;30,(B14*30),0)+IF(OR(D15&lt;20,D15&gt;30),0,(B15*D15))+IF(D15&gt;30,(B15*30),0)+IF(OR(D17&lt;20,D17&gt;30),0,(B17*D17))+IF(D17&gt;30,(B17*30),0)+IF(OR(D18&lt;20,D18&gt;30),0,(B18*D18))+IF(D18&gt;30,(B18*30),0)+IF(OR(D19&lt;20,D19&gt;30),0,(B19*D19))+IF(D19&gt;30,(B19*30),0)+IF(OR(D21&lt;20,D21&gt;30),0,(B21*D21))+IF(D21&gt;30,(B21*30),0)+IF(OR(D22&lt;20,D22&gt;30),0,(B22*D22))+IF(D22&gt;30,(B22*30),0)+IF(OR(D23&lt;20,D23&gt;30),0,(B23*D23))+IF(D23&gt;30,(B23*30),0)+IF(OR(D25&lt;20,D25&gt;30),0,(B25*D25))+IF(D25&gt;30,(B25*30),0)+IF(OR(D26&lt;20,D26&gt;30),0,(B26*D26))+IF(D26&gt;30,(B26*30),0)+IF(OR(D27&lt;20,D27&gt;30),0,(B27*D27))+IF(D27&gt;30,(B27*30),0),0)/K13</f>
        <v>27.777777777777779</v>
      </c>
      <c r="L14" s="66"/>
      <c r="M14" s="66"/>
      <c r="N14" s="66"/>
      <c r="O14" s="73" t="str">
        <f>$B$6</f>
        <v>V-B</v>
      </c>
      <c r="P14" s="74"/>
      <c r="Q14" s="74"/>
      <c r="R14" s="75"/>
      <c r="S14" s="1"/>
      <c r="T14" s="76" t="s">
        <v>149</v>
      </c>
      <c r="U14" s="77"/>
      <c r="V14" s="77"/>
      <c r="W14" s="78"/>
      <c r="X14" s="34"/>
      <c r="Y14" s="34"/>
      <c r="Z14" s="34"/>
    </row>
    <row r="15" spans="1:39" x14ac:dyDescent="0.3">
      <c r="A15" s="2"/>
      <c r="B15" s="51"/>
      <c r="C15" s="2"/>
      <c r="D15" s="51"/>
      <c r="E15" s="1"/>
      <c r="F15" s="1">
        <v>4</v>
      </c>
      <c r="G15" s="2" t="s">
        <v>62</v>
      </c>
      <c r="H15" s="2"/>
      <c r="I15" s="2"/>
      <c r="J15" s="2"/>
      <c r="K15" s="25">
        <f>IF(OR(K5="UL",K5="NP",K5="NP W/ S13R",K5="NP / Use I-A or I-B Construction",K5="NP W/ S13D",K5="NP W/O S1 or SM Sprinklers",K5="NP W/ II-B, III-B, IV-HT, V-B Construction",K5="NP W/ II-B, III-B, IV-HT (OK Sprinkled), V-B Construction",K5="NP / Construction V-A Only",K5="NP W/ V-B Construction",K7="Choose Spinkler SM"),K5,(K5+('Allowable area Table 506.2'!A34*'2009-2018 Frontage Increase'!K11)))</f>
        <v>11916.666666666666</v>
      </c>
      <c r="L15" s="66"/>
      <c r="M15" s="66"/>
      <c r="N15" s="66"/>
      <c r="O15" s="55" t="str">
        <f>IF(O14="I-A","Buildings of Non-Combustible material.  Type A require structural framing / elements to be 3-hr. rated.  Exception: Fire retardent treated wood at non-bearing walls rated 2-hrs or less.  See Section 603 for additional exceptions.",IF(O14="I-B","Buildings of Non-Combustible material.  Type B require no fire rating.  Exception: Fire retardent treated wood at non-bearing walls rated 2-hrs or less.  See Section 603 for additional exceptions",IF(O14="II-A","Buildings of Non-Combustible material.  Type A require structural framing / elements to be 1-hr. rating.  Exception: Fire retardent treated wood at non-bearing walls rated 2-hrs or less.  See Section 603 for additional exceptions.",IF(O14="II-B","Buildings of Non-Combustible material.  Type B require no fire rating.  Exception: Fire retardent treated wood at non-bearing walls rated 2-hrs or less.  See Section 603 for additional exceptions.",IF(O14="III-A","Ext. walls are non-combustible material, int. walls are non-combustible material.   Type A require structural framing / elements to be 1-hr. rated, ext. walls are 2-hr rated.  Ext. walls can be reduced to 1-hr. rated when supporting a roof only.",IF(O14="III-B","Exterior walls are of non-combustible material and interior walls can be made of non-combustible material.   Type B require no fire rating of structural framing / elements.",IF(O14="IV-HT","Ext. walls are of non-combustible material and int. building elements are of solid wood, laminate wood, heavy timber or structural composite lumber.   Ext. walls are required to be 2-hr. rated.  Structural elements are to be with material listed above.",IF(O14="V-A","All exterior and interior walls made of combustible material.  Type A require structural framing / elements to be 1-hr. rated.",IF(O14="V-B","All exterior and interior walls made of combustible material.  Type B requires no rating of structural framing / elements.","")))))))))</f>
        <v>All exterior and interior walls made of combustible material.  Type B requires no rating of structural framing / elements.</v>
      </c>
      <c r="P15" s="56"/>
      <c r="Q15" s="56"/>
      <c r="R15" s="57"/>
      <c r="T15" s="79" t="str">
        <f>$B$7</f>
        <v>NS</v>
      </c>
      <c r="U15" s="80"/>
      <c r="V15" s="80"/>
      <c r="W15" s="81"/>
      <c r="AE15" s="2"/>
      <c r="AF15" s="2"/>
      <c r="AG15" s="2"/>
      <c r="AH15" s="2"/>
      <c r="AI15" s="2"/>
      <c r="AJ15" s="2"/>
    </row>
    <row r="16" spans="1:39" ht="15" thickBot="1" x14ac:dyDescent="0.35">
      <c r="A16" s="2"/>
      <c r="B16" s="2"/>
      <c r="C16" s="2"/>
      <c r="D16" s="2"/>
      <c r="E16" s="1"/>
      <c r="F16" s="1">
        <v>5</v>
      </c>
      <c r="G16" s="2" t="s">
        <v>144</v>
      </c>
      <c r="H16" s="2"/>
      <c r="I16" s="2"/>
      <c r="J16" s="2"/>
      <c r="K16" s="25">
        <f>IF(OR(K5="UL",K5="NP",K5="NP W/ S13R",K5="NP / Use I-A or I-B Construction",K5="NP W/ S13D",K5="NP W/O S1 or SM Sprinklers",K5="NP W/ II-B, III-B, IV-HT, V-B Construction",K5="NP W/ II-B, III-B, IV-HT (OK Sprinkled), V-B Construction",K5="NP / Construction V-A Only",K5="NP W/ V-B Construction",K7="Choose Spinkler SM"),K5,(K15*B8))</f>
        <v>11916.666666666666</v>
      </c>
      <c r="L16" s="66"/>
      <c r="M16" s="66"/>
      <c r="N16" s="66"/>
      <c r="O16" s="58"/>
      <c r="P16" s="59"/>
      <c r="Q16" s="59"/>
      <c r="R16" s="60"/>
      <c r="T16" s="82" t="str">
        <f>IF(T15="NS","NS: Non Sprinkled",IF(T15="S1","S1: NFPA 13 Single Story Sprinkled",IF(T15="SM","SM: NFPA 13 Multi-Story Sprinkled",IF(T15="S13R","S13R: Residential Sprinkler System",IF(T15="S13D","S13D: Residential Sprinkler System","")))))</f>
        <v>NS: Non Sprinkled</v>
      </c>
      <c r="U16" s="83"/>
      <c r="V16" s="83"/>
      <c r="W16" s="84"/>
      <c r="AA16" s="34"/>
      <c r="AB16" s="34"/>
      <c r="AC16" s="34"/>
      <c r="AD16" s="34"/>
      <c r="AE16" s="34"/>
      <c r="AF16" s="34"/>
      <c r="AG16" s="34"/>
      <c r="AH16" s="34"/>
      <c r="AI16" s="34"/>
      <c r="AJ16" s="34"/>
      <c r="AK16" s="34"/>
      <c r="AL16" s="34"/>
      <c r="AM16" s="34"/>
    </row>
    <row r="17" spans="1:39" x14ac:dyDescent="0.3">
      <c r="A17" s="6" t="s">
        <v>7</v>
      </c>
      <c r="B17" s="51">
        <v>80</v>
      </c>
      <c r="C17" s="2"/>
      <c r="D17" s="51">
        <v>50</v>
      </c>
      <c r="E17" s="1"/>
      <c r="L17" s="66"/>
      <c r="M17" s="66"/>
      <c r="N17" s="66"/>
      <c r="O17" s="58"/>
      <c r="P17" s="59"/>
      <c r="Q17" s="59"/>
      <c r="R17" s="60"/>
      <c r="T17" s="2"/>
      <c r="AA17" s="34"/>
      <c r="AB17" s="34"/>
      <c r="AC17" s="34"/>
      <c r="AD17" s="34"/>
      <c r="AE17" s="34"/>
      <c r="AF17" s="34"/>
      <c r="AG17" s="34"/>
      <c r="AH17" s="34"/>
      <c r="AI17" s="34"/>
      <c r="AJ17" s="34"/>
      <c r="AK17" s="34"/>
      <c r="AL17" s="34"/>
      <c r="AM17" s="34"/>
    </row>
    <row r="18" spans="1:39" x14ac:dyDescent="0.3">
      <c r="A18" s="2"/>
      <c r="B18" s="51"/>
      <c r="C18" s="2"/>
      <c r="D18" s="51"/>
      <c r="E18" s="1"/>
      <c r="F18" s="85" t="s">
        <v>98</v>
      </c>
      <c r="G18" s="85"/>
      <c r="H18" s="2"/>
      <c r="I18" s="2"/>
      <c r="J18" s="2"/>
      <c r="K18" s="2"/>
      <c r="L18" s="34"/>
      <c r="M18" s="34"/>
      <c r="N18" s="34"/>
      <c r="O18" s="58"/>
      <c r="P18" s="59"/>
      <c r="Q18" s="59"/>
      <c r="R18" s="60"/>
      <c r="U18" s="2"/>
      <c r="AA18" s="34"/>
      <c r="AB18" s="34"/>
      <c r="AC18" s="34"/>
      <c r="AD18" s="34"/>
      <c r="AE18" s="34"/>
      <c r="AF18" s="34"/>
      <c r="AG18" s="34"/>
      <c r="AH18" s="34"/>
      <c r="AI18" s="34"/>
      <c r="AJ18" s="34"/>
      <c r="AK18" s="34"/>
      <c r="AL18" s="34"/>
      <c r="AM18" s="34"/>
    </row>
    <row r="19" spans="1:39" ht="15" customHeight="1" x14ac:dyDescent="0.3">
      <c r="A19" s="2"/>
      <c r="B19" s="51"/>
      <c r="C19" s="2"/>
      <c r="D19" s="51"/>
      <c r="E19" s="1"/>
      <c r="F19" s="1">
        <v>1</v>
      </c>
      <c r="G19" s="70" t="s">
        <v>100</v>
      </c>
      <c r="H19" s="70"/>
      <c r="I19" s="70"/>
      <c r="J19" s="70"/>
      <c r="K19" s="70"/>
      <c r="L19" s="70"/>
      <c r="M19" s="2"/>
      <c r="O19" s="58"/>
      <c r="P19" s="59"/>
      <c r="Q19" s="59"/>
      <c r="R19" s="60"/>
      <c r="U19" s="2"/>
      <c r="AA19" s="34"/>
      <c r="AB19" s="34"/>
      <c r="AC19" s="34"/>
      <c r="AD19" s="34"/>
      <c r="AE19" s="34"/>
      <c r="AF19" s="34"/>
      <c r="AG19" s="34"/>
      <c r="AH19" s="34"/>
      <c r="AI19" s="34"/>
      <c r="AJ19" s="34"/>
      <c r="AK19" s="34"/>
      <c r="AL19" s="34"/>
      <c r="AM19" s="34"/>
    </row>
    <row r="20" spans="1:39" x14ac:dyDescent="0.3">
      <c r="A20" s="2"/>
      <c r="B20" s="2"/>
      <c r="C20" s="2"/>
      <c r="D20" s="2"/>
      <c r="E20" s="2"/>
      <c r="F20" s="2"/>
      <c r="G20" s="70"/>
      <c r="H20" s="70"/>
      <c r="I20" s="70"/>
      <c r="J20" s="70"/>
      <c r="K20" s="70"/>
      <c r="L20" s="70"/>
      <c r="M20" s="2"/>
      <c r="O20" s="58"/>
      <c r="P20" s="59"/>
      <c r="Q20" s="59"/>
      <c r="R20" s="60"/>
      <c r="U20" s="2"/>
      <c r="AA20" s="34"/>
      <c r="AB20" s="34"/>
      <c r="AC20" s="34"/>
      <c r="AD20" s="34"/>
      <c r="AE20" s="34"/>
      <c r="AF20" s="34"/>
      <c r="AG20" s="34"/>
      <c r="AH20" s="34"/>
      <c r="AI20" s="34"/>
      <c r="AJ20" s="34"/>
      <c r="AK20" s="34"/>
      <c r="AL20" s="34"/>
      <c r="AM20" s="34"/>
    </row>
    <row r="21" spans="1:39" ht="15" customHeight="1" thickBot="1" x14ac:dyDescent="0.35">
      <c r="A21" s="6" t="s">
        <v>6</v>
      </c>
      <c r="B21" s="51">
        <v>60</v>
      </c>
      <c r="C21" s="2"/>
      <c r="D21" s="51">
        <v>40</v>
      </c>
      <c r="E21" s="1"/>
      <c r="F21" s="2">
        <v>2</v>
      </c>
      <c r="G21" s="66" t="s">
        <v>99</v>
      </c>
      <c r="H21" s="66"/>
      <c r="I21" s="66"/>
      <c r="J21" s="66"/>
      <c r="K21" s="66"/>
      <c r="L21" s="66"/>
      <c r="M21" s="2"/>
      <c r="O21" s="61"/>
      <c r="P21" s="62"/>
      <c r="Q21" s="62"/>
      <c r="R21" s="63"/>
      <c r="T21" s="2"/>
      <c r="U21" s="2"/>
      <c r="AA21" s="34"/>
      <c r="AB21" s="34"/>
      <c r="AC21" s="34"/>
      <c r="AD21" s="34"/>
      <c r="AE21" s="34"/>
      <c r="AF21" s="34"/>
      <c r="AG21" s="34"/>
      <c r="AH21" s="34"/>
      <c r="AI21" s="34"/>
      <c r="AJ21" s="34"/>
      <c r="AK21" s="34"/>
      <c r="AL21" s="34"/>
      <c r="AM21" s="34"/>
    </row>
    <row r="22" spans="1:39" ht="15" customHeight="1" x14ac:dyDescent="0.3">
      <c r="A22" s="2"/>
      <c r="B22" s="51"/>
      <c r="C22" s="2"/>
      <c r="D22" s="51"/>
      <c r="E22" s="2"/>
      <c r="F22" s="7"/>
      <c r="G22" s="66"/>
      <c r="H22" s="66"/>
      <c r="I22" s="66"/>
      <c r="J22" s="66"/>
      <c r="K22" s="66"/>
      <c r="L22" s="66"/>
      <c r="M22" s="2"/>
      <c r="O22" s="35" t="s">
        <v>58</v>
      </c>
      <c r="Q22" s="34"/>
      <c r="R22" s="34"/>
      <c r="T22" s="2"/>
      <c r="U22" s="2"/>
      <c r="AA22" s="34"/>
      <c r="AB22" s="34"/>
      <c r="AC22" s="34"/>
      <c r="AD22" s="34"/>
      <c r="AE22" s="34"/>
      <c r="AF22" s="34"/>
      <c r="AG22" s="34"/>
      <c r="AH22" s="34"/>
      <c r="AI22" s="34"/>
      <c r="AJ22" s="34"/>
      <c r="AK22" s="34"/>
      <c r="AL22" s="34"/>
      <c r="AM22" s="34"/>
    </row>
    <row r="23" spans="1:39" ht="15" customHeight="1" x14ac:dyDescent="0.3">
      <c r="A23" s="2"/>
      <c r="B23" s="51"/>
      <c r="C23" s="2"/>
      <c r="D23" s="51"/>
      <c r="E23" s="7"/>
      <c r="F23" s="7"/>
      <c r="G23" s="66"/>
      <c r="H23" s="66"/>
      <c r="I23" s="66"/>
      <c r="J23" s="66"/>
      <c r="K23" s="66"/>
      <c r="L23" s="66"/>
      <c r="M23" s="2"/>
      <c r="O23">
        <v>1</v>
      </c>
      <c r="P23" s="66" t="s">
        <v>124</v>
      </c>
      <c r="Q23" s="66"/>
      <c r="R23" s="66"/>
      <c r="S23" s="66"/>
      <c r="T23" s="2"/>
      <c r="U23" s="2"/>
      <c r="AA23" s="34"/>
      <c r="AB23" s="34"/>
      <c r="AC23" s="34"/>
      <c r="AD23" s="34"/>
      <c r="AE23" s="34"/>
      <c r="AF23" s="34"/>
      <c r="AG23" s="34"/>
      <c r="AH23" s="34"/>
      <c r="AI23" s="34"/>
      <c r="AJ23" s="34"/>
      <c r="AK23" s="34"/>
      <c r="AL23" s="34"/>
      <c r="AM23" s="34"/>
    </row>
    <row r="24" spans="1:39" ht="15" customHeight="1" x14ac:dyDescent="0.3">
      <c r="A24" s="2"/>
      <c r="B24" s="2"/>
      <c r="C24" s="2"/>
      <c r="D24" s="2"/>
      <c r="E24" s="7"/>
      <c r="F24" s="27">
        <v>3</v>
      </c>
      <c r="G24" s="88" t="s">
        <v>131</v>
      </c>
      <c r="H24" s="88"/>
      <c r="I24" s="88"/>
      <c r="J24" s="88"/>
      <c r="K24" s="88"/>
      <c r="L24" s="88"/>
      <c r="M24" s="2"/>
      <c r="P24" s="66"/>
      <c r="Q24" s="66"/>
      <c r="R24" s="66"/>
      <c r="S24" s="66"/>
      <c r="T24" s="2"/>
      <c r="U24" s="2"/>
      <c r="AA24" s="34"/>
      <c r="AB24" s="34"/>
      <c r="AC24" s="34"/>
      <c r="AD24" s="34"/>
      <c r="AE24" s="34"/>
      <c r="AF24" s="34"/>
      <c r="AG24" s="34"/>
      <c r="AH24" s="34"/>
      <c r="AI24" s="34"/>
      <c r="AJ24" s="34"/>
      <c r="AK24" s="34"/>
      <c r="AL24" s="34"/>
      <c r="AM24" s="34"/>
    </row>
    <row r="25" spans="1:39" ht="15" customHeight="1" x14ac:dyDescent="0.3">
      <c r="A25" s="6" t="s">
        <v>8</v>
      </c>
      <c r="B25" s="51">
        <v>40</v>
      </c>
      <c r="C25" s="2"/>
      <c r="D25" s="51">
        <v>20</v>
      </c>
      <c r="E25" s="7"/>
      <c r="G25" s="88"/>
      <c r="H25" s="88"/>
      <c r="I25" s="88"/>
      <c r="J25" s="88"/>
      <c r="K25" s="88"/>
      <c r="L25" s="88"/>
      <c r="M25" s="2"/>
      <c r="P25" s="66"/>
      <c r="Q25" s="66"/>
      <c r="R25" s="66"/>
      <c r="S25" s="66"/>
      <c r="T25" s="1"/>
      <c r="U25" s="2"/>
      <c r="AA25" s="34"/>
      <c r="AB25" s="34"/>
      <c r="AC25" s="34"/>
      <c r="AD25" s="34"/>
      <c r="AE25" s="34"/>
      <c r="AF25" s="34"/>
      <c r="AG25" s="34"/>
      <c r="AH25" s="34"/>
      <c r="AI25" s="34"/>
      <c r="AJ25" s="34"/>
      <c r="AK25" s="34"/>
      <c r="AL25" s="34"/>
      <c r="AM25" s="34"/>
    </row>
    <row r="26" spans="1:39" ht="14.4" customHeight="1" x14ac:dyDescent="0.3">
      <c r="A26" s="2"/>
      <c r="B26" s="51"/>
      <c r="C26" s="2"/>
      <c r="D26" s="51"/>
      <c r="E26" s="7"/>
      <c r="F26" s="7"/>
      <c r="G26" s="88"/>
      <c r="H26" s="88"/>
      <c r="I26" s="88"/>
      <c r="J26" s="88"/>
      <c r="K26" s="88"/>
      <c r="L26" s="88"/>
      <c r="M26" s="2"/>
      <c r="O26">
        <v>2</v>
      </c>
      <c r="P26" s="66" t="s">
        <v>123</v>
      </c>
      <c r="Q26" s="66"/>
      <c r="R26" s="66"/>
      <c r="S26" s="66"/>
      <c r="T26" s="2"/>
      <c r="U26" s="2"/>
      <c r="AA26" s="34"/>
      <c r="AB26" s="34"/>
      <c r="AC26" s="34"/>
      <c r="AD26" s="34"/>
      <c r="AE26" s="34"/>
      <c r="AF26" s="34"/>
      <c r="AG26" s="34"/>
      <c r="AH26" s="34"/>
      <c r="AI26" s="34"/>
      <c r="AJ26" s="34"/>
      <c r="AK26" s="34"/>
      <c r="AL26" s="34"/>
      <c r="AM26" s="34"/>
    </row>
    <row r="27" spans="1:39" ht="15" customHeight="1" x14ac:dyDescent="0.3">
      <c r="A27" s="2"/>
      <c r="B27" s="51"/>
      <c r="C27" s="2"/>
      <c r="D27" s="51"/>
      <c r="E27" s="2"/>
      <c r="F27" s="2">
        <v>4</v>
      </c>
      <c r="G27" s="70" t="s">
        <v>101</v>
      </c>
      <c r="H27" s="70"/>
      <c r="I27" s="70"/>
      <c r="J27" s="70"/>
      <c r="K27" s="70"/>
      <c r="L27" s="70"/>
      <c r="M27" s="2"/>
      <c r="P27" s="66"/>
      <c r="Q27" s="66"/>
      <c r="R27" s="66"/>
      <c r="S27" s="66"/>
      <c r="T27" s="2"/>
      <c r="U27" s="2"/>
    </row>
    <row r="28" spans="1:39" ht="16.2" customHeight="1" x14ac:dyDescent="0.3">
      <c r="A28" s="2"/>
      <c r="B28" s="2"/>
      <c r="C28" s="2"/>
      <c r="D28" s="7"/>
      <c r="E28" s="7"/>
      <c r="F28" s="7"/>
      <c r="G28" s="70"/>
      <c r="H28" s="70"/>
      <c r="I28" s="70"/>
      <c r="J28" s="70"/>
      <c r="K28" s="70"/>
      <c r="L28" s="70"/>
      <c r="M28" s="2"/>
      <c r="P28" s="66"/>
      <c r="Q28" s="66"/>
      <c r="R28" s="66"/>
      <c r="S28" s="66"/>
      <c r="T28" s="2"/>
      <c r="U28" s="2"/>
    </row>
    <row r="29" spans="1:39" ht="16.2" customHeight="1" x14ac:dyDescent="0.3">
      <c r="A29" s="2"/>
      <c r="B29" s="2"/>
      <c r="C29" s="2"/>
      <c r="D29" s="2"/>
      <c r="E29" s="7"/>
      <c r="F29" s="28">
        <v>5</v>
      </c>
      <c r="G29" s="70" t="s">
        <v>103</v>
      </c>
      <c r="H29" s="70"/>
      <c r="I29" s="70"/>
      <c r="J29" s="70"/>
      <c r="K29" s="70"/>
      <c r="L29" s="70"/>
      <c r="M29" s="2"/>
      <c r="N29" s="2"/>
      <c r="O29">
        <v>3</v>
      </c>
      <c r="P29" s="66" t="s">
        <v>125</v>
      </c>
      <c r="Q29" s="66"/>
      <c r="R29" s="66"/>
      <c r="S29" s="66"/>
      <c r="T29" s="2"/>
      <c r="U29" s="2"/>
    </row>
    <row r="30" spans="1:39" x14ac:dyDescent="0.3">
      <c r="A30" s="19" t="s">
        <v>96</v>
      </c>
      <c r="B30" s="21">
        <f>(K15)</f>
        <v>11916.666666666666</v>
      </c>
      <c r="C30" s="86" t="s">
        <v>153</v>
      </c>
      <c r="D30" s="87"/>
      <c r="E30" s="7"/>
      <c r="F30" s="7"/>
      <c r="G30" s="70"/>
      <c r="H30" s="70"/>
      <c r="I30" s="70"/>
      <c r="J30" s="70"/>
      <c r="K30" s="70"/>
      <c r="L30" s="70"/>
      <c r="M30" s="2"/>
      <c r="N30" s="2"/>
      <c r="P30" s="66"/>
      <c r="Q30" s="66"/>
      <c r="R30" s="66"/>
      <c r="S30" s="66"/>
      <c r="U30" s="2"/>
    </row>
    <row r="31" spans="1:39" ht="15" customHeight="1" x14ac:dyDescent="0.3">
      <c r="A31" s="19" t="s">
        <v>93</v>
      </c>
      <c r="B31" s="21">
        <f>(K16)</f>
        <v>11916.666666666666</v>
      </c>
      <c r="C31" s="86" t="s">
        <v>154</v>
      </c>
      <c r="D31" s="87"/>
      <c r="E31" s="7"/>
      <c r="G31" s="70"/>
      <c r="H31" s="70"/>
      <c r="I31" s="70"/>
      <c r="J31" s="70"/>
      <c r="K31" s="70"/>
      <c r="L31" s="70"/>
      <c r="M31" s="2"/>
      <c r="N31" s="2"/>
      <c r="O31">
        <v>4</v>
      </c>
      <c r="P31" s="66" t="s">
        <v>126</v>
      </c>
      <c r="Q31" s="66"/>
      <c r="R31" s="66"/>
      <c r="S31" s="66"/>
      <c r="U31" s="2"/>
    </row>
    <row r="32" spans="1:39" x14ac:dyDescent="0.3">
      <c r="A32" s="19" t="s">
        <v>109</v>
      </c>
      <c r="B32" s="21">
        <f>(K6)</f>
        <v>40</v>
      </c>
      <c r="C32" s="86" t="s">
        <v>139</v>
      </c>
      <c r="D32" s="87"/>
      <c r="E32" s="2"/>
      <c r="F32" s="27">
        <v>6</v>
      </c>
      <c r="G32" s="70" t="s">
        <v>102</v>
      </c>
      <c r="H32" s="70"/>
      <c r="I32" s="70"/>
      <c r="J32" s="70"/>
      <c r="K32" s="70"/>
      <c r="L32" s="70"/>
      <c r="M32" s="2"/>
      <c r="N32" s="2"/>
      <c r="P32" s="66"/>
      <c r="Q32" s="66"/>
      <c r="R32" s="66"/>
      <c r="S32" s="66"/>
      <c r="U32" s="2"/>
    </row>
    <row r="33" spans="1:21" ht="14.4" customHeight="1" x14ac:dyDescent="0.3">
      <c r="A33" s="19" t="s">
        <v>110</v>
      </c>
      <c r="B33" s="21">
        <f>IF(B8&gt;K7,"NP",K7)</f>
        <v>2</v>
      </c>
      <c r="C33" s="38" t="s">
        <v>155</v>
      </c>
      <c r="D33" s="39"/>
      <c r="E33" s="6"/>
      <c r="F33" s="2"/>
      <c r="G33" s="70"/>
      <c r="H33" s="70"/>
      <c r="I33" s="70"/>
      <c r="J33" s="70"/>
      <c r="K33" s="70"/>
      <c r="L33" s="70"/>
      <c r="M33" s="2"/>
      <c r="P33" s="66"/>
      <c r="Q33" s="66"/>
      <c r="R33" s="66"/>
      <c r="S33" s="66"/>
      <c r="U33" s="2"/>
    </row>
    <row r="34" spans="1:21" x14ac:dyDescent="0.3">
      <c r="A34" s="19" t="s">
        <v>118</v>
      </c>
      <c r="B34" s="21" t="str">
        <f>'Allowable area Table 506.2'!AK34</f>
        <v>No Limitations</v>
      </c>
      <c r="C34" s="86" t="s">
        <v>156</v>
      </c>
      <c r="D34" s="87"/>
      <c r="E34" s="6"/>
      <c r="F34" s="2">
        <v>7</v>
      </c>
      <c r="G34" s="70" t="s">
        <v>111</v>
      </c>
      <c r="H34" s="70"/>
      <c r="I34" s="70"/>
      <c r="J34" s="70"/>
      <c r="K34" s="70"/>
      <c r="L34" s="70"/>
      <c r="M34" s="2"/>
      <c r="N34" s="2"/>
      <c r="P34" s="34"/>
      <c r="Q34" s="34"/>
      <c r="R34" s="34"/>
      <c r="S34" s="34"/>
      <c r="U34" s="2"/>
    </row>
    <row r="35" spans="1:21" ht="14.4" customHeight="1" x14ac:dyDescent="0.3">
      <c r="A35" s="19" t="s">
        <v>138</v>
      </c>
      <c r="B35" s="21">
        <f>IF(OR(B7="S1",B7="SM"),'Allowable Bldg Ht Table 504.3'!W33,'2009-2018 Frontage Increase'!K6)</f>
        <v>40</v>
      </c>
      <c r="C35" s="20" t="s">
        <v>157</v>
      </c>
      <c r="D35" s="8"/>
      <c r="E35" s="6"/>
      <c r="F35" s="2"/>
      <c r="G35" s="70"/>
      <c r="H35" s="70"/>
      <c r="I35" s="70"/>
      <c r="J35" s="70"/>
      <c r="K35" s="70"/>
      <c r="L35" s="70"/>
      <c r="M35" s="2"/>
      <c r="N35" s="2"/>
      <c r="U35" s="2"/>
    </row>
    <row r="36" spans="1:21" x14ac:dyDescent="0.3">
      <c r="A36" s="19" t="s">
        <v>89</v>
      </c>
      <c r="B36" s="21" t="str">
        <f>('Allowable Stories Table 504.4'!Y33)</f>
        <v>No Limitations</v>
      </c>
      <c r="C36" s="20" t="s">
        <v>155</v>
      </c>
      <c r="D36" s="8"/>
      <c r="E36" s="2"/>
      <c r="F36" s="2">
        <v>8</v>
      </c>
      <c r="G36" s="70" t="s">
        <v>191</v>
      </c>
      <c r="H36" s="70"/>
      <c r="I36" s="70"/>
      <c r="J36" s="70"/>
      <c r="K36" s="70"/>
      <c r="L36" s="70"/>
      <c r="M36" s="2"/>
      <c r="N36" s="2"/>
      <c r="U36" s="2"/>
    </row>
    <row r="37" spans="1:21" x14ac:dyDescent="0.3">
      <c r="A37" s="2"/>
      <c r="B37" s="2"/>
      <c r="C37" s="2"/>
      <c r="D37" s="2"/>
      <c r="E37" s="2"/>
      <c r="F37" s="2"/>
      <c r="G37" s="70"/>
      <c r="H37" s="70"/>
      <c r="I37" s="70"/>
      <c r="J37" s="70"/>
      <c r="K37" s="70"/>
      <c r="L37" s="70"/>
      <c r="M37" s="2"/>
      <c r="N37" s="2"/>
      <c r="U37" s="2"/>
    </row>
    <row r="38" spans="1:21" x14ac:dyDescent="0.3">
      <c r="C38" s="2"/>
      <c r="D38" s="2"/>
      <c r="E38" s="2"/>
      <c r="F38" s="2"/>
      <c r="G38" s="70"/>
      <c r="H38" s="70"/>
      <c r="I38" s="70"/>
      <c r="J38" s="70"/>
      <c r="K38" s="70"/>
      <c r="L38" s="70"/>
      <c r="M38" s="2"/>
      <c r="N38" s="2"/>
      <c r="U38" s="2"/>
    </row>
    <row r="39" spans="1:21" x14ac:dyDescent="0.3">
      <c r="A39" s="13"/>
      <c r="B39" s="2"/>
      <c r="C39" s="2"/>
      <c r="D39" s="2"/>
      <c r="E39" s="2"/>
      <c r="M39" s="2"/>
      <c r="N39" s="2"/>
      <c r="U39" s="2"/>
    </row>
    <row r="40" spans="1:21" x14ac:dyDescent="0.3">
      <c r="A40" s="2"/>
      <c r="B40" s="2"/>
      <c r="C40" s="2"/>
      <c r="D40" s="2"/>
      <c r="E40" s="2"/>
      <c r="M40" s="2"/>
      <c r="N40" s="2"/>
      <c r="U40" s="2"/>
    </row>
    <row r="41" spans="1:21" x14ac:dyDescent="0.3">
      <c r="A41" s="2"/>
      <c r="B41" s="2"/>
      <c r="C41" s="2"/>
      <c r="D41" s="2"/>
      <c r="E41" s="2"/>
      <c r="M41" s="2"/>
      <c r="N41" s="2"/>
      <c r="U41" s="2"/>
    </row>
    <row r="42" spans="1:21" x14ac:dyDescent="0.3">
      <c r="M42" s="2"/>
      <c r="N42" s="2"/>
      <c r="U42" s="2"/>
    </row>
    <row r="43" spans="1:21" x14ac:dyDescent="0.3">
      <c r="M43" s="2"/>
      <c r="N43" s="2"/>
      <c r="U43" s="1"/>
    </row>
    <row r="44" spans="1:21" x14ac:dyDescent="0.3">
      <c r="M44" s="2"/>
      <c r="N44" s="2"/>
    </row>
    <row r="45" spans="1:21" x14ac:dyDescent="0.3">
      <c r="M45" s="2"/>
      <c r="N45" s="2"/>
    </row>
    <row r="46" spans="1:21" x14ac:dyDescent="0.3">
      <c r="A46" s="2" t="s">
        <v>0</v>
      </c>
      <c r="B46" s="2"/>
      <c r="C46" s="2"/>
      <c r="D46" s="2" t="s">
        <v>9</v>
      </c>
      <c r="M46" s="2"/>
      <c r="N46" s="2"/>
    </row>
    <row r="47" spans="1:21" x14ac:dyDescent="0.3">
      <c r="A47" s="2"/>
      <c r="B47" s="2"/>
      <c r="C47" s="2"/>
      <c r="D47" s="2"/>
      <c r="M47" s="2"/>
      <c r="N47" s="2"/>
    </row>
    <row r="48" spans="1:21" x14ac:dyDescent="0.3">
      <c r="A48" s="2"/>
      <c r="B48" s="2"/>
      <c r="C48" s="2"/>
      <c r="D48" s="2"/>
      <c r="M48" s="2"/>
      <c r="N48" s="2"/>
    </row>
    <row r="49" spans="1:16" x14ac:dyDescent="0.3">
      <c r="A49" s="2"/>
      <c r="B49" s="2"/>
      <c r="C49" s="2"/>
      <c r="D49" s="2"/>
      <c r="M49" s="2"/>
      <c r="N49" s="2"/>
    </row>
    <row r="50" spans="1:16" x14ac:dyDescent="0.3">
      <c r="A50" s="2"/>
      <c r="B50" s="2"/>
      <c r="C50" s="2"/>
      <c r="D50" s="2"/>
      <c r="M50" s="2"/>
      <c r="N50" s="2"/>
    </row>
    <row r="51" spans="1:16" x14ac:dyDescent="0.3">
      <c r="A51" s="2"/>
      <c r="B51" s="2"/>
      <c r="C51" s="2"/>
      <c r="D51" s="2"/>
      <c r="M51" s="2"/>
      <c r="N51" s="2"/>
    </row>
    <row r="52" spans="1:16" x14ac:dyDescent="0.3">
      <c r="A52" s="2"/>
      <c r="B52" s="2"/>
      <c r="C52" s="2"/>
      <c r="D52" s="2"/>
      <c r="J52" s="2"/>
      <c r="K52" s="2"/>
      <c r="L52" s="2"/>
      <c r="M52" s="2"/>
      <c r="N52" s="2"/>
    </row>
    <row r="53" spans="1:16" x14ac:dyDescent="0.3">
      <c r="A53" s="2"/>
      <c r="B53" s="2"/>
      <c r="C53" s="2"/>
      <c r="D53" s="2"/>
      <c r="J53" s="2"/>
      <c r="K53" s="2"/>
      <c r="L53" s="2"/>
      <c r="M53" s="2"/>
      <c r="N53" s="2"/>
    </row>
    <row r="54" spans="1:16" x14ac:dyDescent="0.3">
      <c r="A54" s="2"/>
      <c r="B54" s="2"/>
      <c r="C54" s="2"/>
      <c r="D54" s="2"/>
      <c r="J54" s="2"/>
      <c r="K54" s="2"/>
      <c r="L54" s="2"/>
      <c r="M54" s="2"/>
      <c r="N54" s="2"/>
    </row>
    <row r="55" spans="1:16" x14ac:dyDescent="0.3">
      <c r="A55" s="2"/>
      <c r="B55" s="2"/>
      <c r="C55" s="2"/>
      <c r="D55" s="2"/>
      <c r="J55" s="2"/>
      <c r="K55" s="2"/>
      <c r="L55" s="2"/>
      <c r="M55" s="2"/>
      <c r="N55" s="2"/>
    </row>
    <row r="56" spans="1:16" x14ac:dyDescent="0.3">
      <c r="A56" s="2"/>
      <c r="B56" s="2"/>
      <c r="C56" s="2"/>
      <c r="D56" s="2"/>
      <c r="J56" s="2"/>
      <c r="K56" s="2"/>
      <c r="L56" s="2"/>
      <c r="M56" s="2"/>
      <c r="N56" s="2"/>
    </row>
    <row r="57" spans="1:16" x14ac:dyDescent="0.3">
      <c r="A57" s="2"/>
      <c r="B57" s="2"/>
      <c r="C57" s="2"/>
      <c r="D57" s="2"/>
      <c r="J57" s="2"/>
      <c r="K57" s="2"/>
      <c r="L57" s="2"/>
      <c r="M57" s="2"/>
      <c r="N57" s="2"/>
    </row>
    <row r="58" spans="1:16" x14ac:dyDescent="0.3">
      <c r="A58" s="2"/>
      <c r="B58" s="2"/>
      <c r="C58" s="2"/>
      <c r="D58" s="2"/>
      <c r="J58" s="2"/>
      <c r="K58" s="2"/>
      <c r="L58" s="2"/>
      <c r="M58" s="2"/>
      <c r="N58" s="2"/>
      <c r="O58" s="2"/>
      <c r="P58" s="2"/>
    </row>
    <row r="59" spans="1:16" x14ac:dyDescent="0.3">
      <c r="A59" s="2"/>
      <c r="B59" s="2"/>
      <c r="C59" s="2"/>
      <c r="D59" s="2"/>
      <c r="E59" s="2"/>
      <c r="F59" s="2"/>
      <c r="G59" s="2"/>
      <c r="H59" s="2"/>
      <c r="I59" s="2"/>
      <c r="J59" s="2"/>
      <c r="K59" s="2"/>
      <c r="L59" s="2"/>
      <c r="M59" s="2"/>
      <c r="N59" s="2"/>
      <c r="O59" s="2"/>
      <c r="P59" s="2"/>
    </row>
    <row r="60" spans="1:16" x14ac:dyDescent="0.3">
      <c r="A60" s="2"/>
      <c r="B60" s="2"/>
      <c r="C60" s="2"/>
      <c r="D60" s="2"/>
      <c r="E60" s="2"/>
      <c r="F60" s="2"/>
      <c r="G60" s="2"/>
      <c r="H60" s="2"/>
      <c r="I60" s="2"/>
      <c r="J60" s="2"/>
      <c r="K60" s="2"/>
      <c r="L60" s="2"/>
      <c r="M60" s="2"/>
      <c r="N60" s="2"/>
      <c r="O60" s="2"/>
      <c r="P60" s="2"/>
    </row>
    <row r="61" spans="1:16" x14ac:dyDescent="0.3">
      <c r="A61" s="2"/>
      <c r="B61" s="2"/>
      <c r="C61" s="2"/>
      <c r="D61" s="2"/>
      <c r="E61" s="2"/>
      <c r="F61" s="2"/>
      <c r="G61" s="2"/>
      <c r="H61" s="2"/>
      <c r="I61" s="2"/>
      <c r="J61" s="2"/>
      <c r="K61" s="2"/>
      <c r="L61" s="2"/>
      <c r="M61" s="2"/>
      <c r="N61" s="2"/>
      <c r="O61" s="2"/>
      <c r="P61" s="2"/>
    </row>
    <row r="62" spans="1:16" x14ac:dyDescent="0.3">
      <c r="A62" s="2"/>
      <c r="B62" s="2"/>
      <c r="C62" s="2"/>
      <c r="D62" s="2"/>
      <c r="E62" s="2"/>
      <c r="F62" s="2"/>
      <c r="G62" s="2"/>
      <c r="H62" s="2"/>
      <c r="I62" s="2"/>
      <c r="J62" s="2"/>
      <c r="K62" s="2"/>
      <c r="L62" s="2"/>
      <c r="M62" s="2"/>
      <c r="N62" s="2"/>
      <c r="O62" s="2"/>
      <c r="P62" s="2"/>
    </row>
    <row r="63" spans="1:16" x14ac:dyDescent="0.3">
      <c r="E63" s="2"/>
      <c r="F63" s="2"/>
      <c r="G63" s="2"/>
      <c r="H63" s="2"/>
      <c r="I63" s="2"/>
      <c r="J63" s="2"/>
      <c r="K63" s="2"/>
      <c r="L63" s="2"/>
      <c r="M63" s="2"/>
      <c r="N63" s="2"/>
      <c r="O63" s="2"/>
      <c r="P63" s="2"/>
    </row>
    <row r="64" spans="1:16" x14ac:dyDescent="0.3">
      <c r="E64" s="2"/>
      <c r="F64" s="2"/>
      <c r="G64" s="2"/>
      <c r="H64" s="2"/>
      <c r="I64" s="2"/>
      <c r="J64" s="2"/>
      <c r="K64" s="2"/>
      <c r="L64" s="2"/>
      <c r="M64" s="2"/>
      <c r="N64" s="2"/>
      <c r="O64" s="2"/>
      <c r="P64" s="2"/>
    </row>
    <row r="65" spans="1:16" x14ac:dyDescent="0.3">
      <c r="E65" s="2"/>
      <c r="F65" s="2"/>
      <c r="G65" s="2"/>
      <c r="H65" s="2"/>
      <c r="I65" s="2"/>
      <c r="J65" s="2"/>
      <c r="K65" s="2"/>
      <c r="L65" s="2"/>
      <c r="M65" s="2"/>
      <c r="N65" s="2"/>
      <c r="O65" s="2"/>
      <c r="P65" s="2"/>
    </row>
    <row r="66" spans="1:16" x14ac:dyDescent="0.3">
      <c r="E66" s="2"/>
      <c r="F66" s="2"/>
      <c r="G66" s="2"/>
      <c r="H66" s="2"/>
      <c r="I66" s="2"/>
      <c r="J66" s="2"/>
      <c r="K66" s="2"/>
      <c r="L66" s="2"/>
      <c r="M66" s="2"/>
      <c r="N66" s="2"/>
      <c r="O66" s="2"/>
      <c r="P66" s="2"/>
    </row>
    <row r="67" spans="1:16" x14ac:dyDescent="0.3">
      <c r="A67" s="2"/>
      <c r="B67" s="2"/>
      <c r="C67" s="2"/>
      <c r="D67" s="2"/>
      <c r="E67" s="2"/>
      <c r="F67" s="2"/>
      <c r="G67" s="2"/>
      <c r="H67" s="2"/>
      <c r="I67" s="2"/>
      <c r="J67" s="2"/>
      <c r="K67" s="2"/>
      <c r="L67" s="2"/>
      <c r="M67" s="2"/>
      <c r="N67" s="2"/>
      <c r="O67" s="2"/>
      <c r="P67" s="2"/>
    </row>
    <row r="68" spans="1:16" x14ac:dyDescent="0.3">
      <c r="A68" s="2"/>
      <c r="B68" s="2"/>
      <c r="C68" s="2"/>
      <c r="D68" s="2"/>
      <c r="E68" s="2"/>
      <c r="F68" s="2"/>
      <c r="G68" s="2"/>
      <c r="H68" s="2"/>
      <c r="I68" s="2"/>
      <c r="J68" s="2"/>
      <c r="K68" s="2"/>
      <c r="L68" s="2"/>
      <c r="M68" s="2"/>
      <c r="N68" s="2"/>
      <c r="O68" s="2"/>
      <c r="P68" s="2"/>
    </row>
    <row r="69" spans="1:16" x14ac:dyDescent="0.3">
      <c r="A69" s="2"/>
      <c r="B69" s="2"/>
      <c r="C69" s="2"/>
      <c r="D69" s="2"/>
      <c r="E69" s="2"/>
      <c r="F69" s="2"/>
      <c r="G69" s="2"/>
      <c r="H69" s="2"/>
      <c r="I69" s="2"/>
      <c r="J69" s="2"/>
      <c r="K69" s="2"/>
      <c r="L69" s="2"/>
      <c r="M69" s="2"/>
      <c r="N69" s="2"/>
      <c r="O69" s="2"/>
      <c r="P69" s="2"/>
    </row>
    <row r="70" spans="1:16" x14ac:dyDescent="0.3">
      <c r="A70" s="2"/>
      <c r="B70" s="2"/>
      <c r="C70" s="2"/>
      <c r="D70" s="2"/>
      <c r="E70" s="2"/>
      <c r="F70" s="2"/>
      <c r="G70" s="2"/>
    </row>
    <row r="71" spans="1:16" x14ac:dyDescent="0.3">
      <c r="A71" s="2"/>
      <c r="B71" s="2"/>
      <c r="C71" s="2"/>
      <c r="D71" s="2"/>
      <c r="E71" s="2"/>
      <c r="F71" s="2"/>
      <c r="G71" s="2"/>
    </row>
    <row r="72" spans="1:16" ht="15" customHeight="1" x14ac:dyDescent="0.3">
      <c r="A72" s="2"/>
      <c r="B72" s="2"/>
      <c r="C72" s="2"/>
      <c r="D72" s="2"/>
      <c r="E72" s="2"/>
      <c r="F72" s="2"/>
      <c r="G72" s="2"/>
    </row>
    <row r="73" spans="1:16" x14ac:dyDescent="0.3">
      <c r="A73" s="2"/>
      <c r="B73" s="2"/>
      <c r="C73" s="2"/>
      <c r="D73" s="2"/>
      <c r="E73" s="2"/>
      <c r="F73" s="2"/>
      <c r="G73" s="2"/>
    </row>
    <row r="74" spans="1:16" x14ac:dyDescent="0.3">
      <c r="A74" s="2"/>
      <c r="B74" s="2"/>
      <c r="C74" s="2"/>
      <c r="D74" s="2"/>
      <c r="E74" s="2"/>
      <c r="F74" s="2"/>
      <c r="G74" s="2"/>
    </row>
    <row r="80" spans="1:16" ht="15" customHeight="1" x14ac:dyDescent="0.3"/>
    <row r="107" spans="16:16" x14ac:dyDescent="0.3">
      <c r="P107" s="2"/>
    </row>
    <row r="108" spans="16:16" x14ac:dyDescent="0.3">
      <c r="P108" s="2"/>
    </row>
  </sheetData>
  <dataConsolidate function="max"/>
  <mergeCells count="37">
    <mergeCell ref="C32:D32"/>
    <mergeCell ref="C31:D31"/>
    <mergeCell ref="C30:D30"/>
    <mergeCell ref="C34:D34"/>
    <mergeCell ref="P31:S33"/>
    <mergeCell ref="T15:W15"/>
    <mergeCell ref="T16:W16"/>
    <mergeCell ref="U11:W13"/>
    <mergeCell ref="G27:L28"/>
    <mergeCell ref="O1:R1"/>
    <mergeCell ref="O2:R2"/>
    <mergeCell ref="O3:R9"/>
    <mergeCell ref="O15:R21"/>
    <mergeCell ref="F18:G18"/>
    <mergeCell ref="L9:N17"/>
    <mergeCell ref="G19:L20"/>
    <mergeCell ref="T1:W1"/>
    <mergeCell ref="T2:W2"/>
    <mergeCell ref="T3:W9"/>
    <mergeCell ref="P11:R12"/>
    <mergeCell ref="T14:W14"/>
    <mergeCell ref="G36:L38"/>
    <mergeCell ref="G34:L35"/>
    <mergeCell ref="G29:L31"/>
    <mergeCell ref="G32:L33"/>
    <mergeCell ref="P23:S25"/>
    <mergeCell ref="P26:S28"/>
    <mergeCell ref="P29:S30"/>
    <mergeCell ref="G24:L26"/>
    <mergeCell ref="G21:L23"/>
    <mergeCell ref="B10:B12"/>
    <mergeCell ref="D10:D12"/>
    <mergeCell ref="A1:D1"/>
    <mergeCell ref="O14:R14"/>
    <mergeCell ref="O13:R13"/>
    <mergeCell ref="L4:N4"/>
    <mergeCell ref="G2:N3"/>
  </mergeCells>
  <conditionalFormatting sqref="B4">
    <cfRule type="containsText" dxfId="41" priority="12" operator="containsText" text="NP">
      <formula>NOT(ISERROR(SEARCH("NP",B4)))</formula>
    </cfRule>
  </conditionalFormatting>
  <conditionalFormatting sqref="B30:B36">
    <cfRule type="containsText" dxfId="40" priority="14" operator="containsText" text="NP">
      <formula>NOT(ISERROR(SEARCH("NP",B30)))</formula>
    </cfRule>
  </conditionalFormatting>
  <conditionalFormatting sqref="G1:G2">
    <cfRule type="expression" dxfId="39" priority="1">
      <formula>$B$5="E"</formula>
    </cfRule>
  </conditionalFormatting>
  <conditionalFormatting sqref="J13">
    <cfRule type="containsText" dxfId="38" priority="22" operator="containsText" text="(See note 8)">
      <formula>NOT(ISERROR(SEARCH("(See note 8)",J13)))</formula>
    </cfRule>
  </conditionalFormatting>
  <conditionalFormatting sqref="K5:K8">
    <cfRule type="containsText" dxfId="37" priority="25" operator="containsText" text="NP">
      <formula>NOT(ISERROR(SEARCH("NP",K5)))</formula>
    </cfRule>
  </conditionalFormatting>
  <conditionalFormatting sqref="K7">
    <cfRule type="containsText" dxfId="36" priority="15" operator="containsText" text="CHOOSE">
      <formula>NOT(ISERROR(SEARCH("CHOOSE",K7)))</formula>
    </cfRule>
    <cfRule type="cellIs" dxfId="35" priority="18" operator="lessThan">
      <formula>$B$8</formula>
    </cfRule>
  </conditionalFormatting>
  <conditionalFormatting sqref="K8:K9">
    <cfRule type="containsText" dxfId="34" priority="28" operator="containsText" text="Required">
      <formula>NOT(ISERROR(SEARCH("Required",K8)))</formula>
    </cfRule>
  </conditionalFormatting>
  <conditionalFormatting sqref="K11">
    <cfRule type="cellIs" dxfId="33" priority="21" operator="lessThan">
      <formula>0</formula>
    </cfRule>
  </conditionalFormatting>
  <conditionalFormatting sqref="K15:K16">
    <cfRule type="containsText" dxfId="32" priority="13" operator="containsText" text="NP">
      <formula>NOT(ISERROR(SEARCH("NP",K15)))</formula>
    </cfRule>
  </conditionalFormatting>
  <dataValidations count="3">
    <dataValidation type="list" allowBlank="1" showInputMessage="1" showErrorMessage="1" sqref="B5" xr:uid="{00000000-0002-0000-0100-000000000000}">
      <formula1>"A-1,A-2,A-3,A-4,A-5,B,E,F-1,F-2,H-1,H-2,H-3,H-4,H-5,I-1 Cond. 1,I-1 Cond. 2,I-2/I-2.1,I-3,I-4,L,M,R-1,R-2,R-2.1,R-2.2 (CA Only),R-3/R-3.1,R-4,S-1,S-2,U"</formula1>
    </dataValidation>
    <dataValidation type="list" allowBlank="1" showInputMessage="1" showErrorMessage="1" sqref="B7" xr:uid="{00000000-0002-0000-0100-000001000000}">
      <formula1>"NS, S1, SM, S13D, S13R"</formula1>
    </dataValidation>
    <dataValidation type="list" allowBlank="1" showInputMessage="1" showErrorMessage="1" sqref="B6" xr:uid="{00000000-0002-0000-0100-000002000000}">
      <formula1>"I-A,I-B,II-A,II-B,III-A,III-B,IV-HT,V-A,V-B"</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7"/>
  <sheetViews>
    <sheetView workbookViewId="0">
      <selection activeCell="B3" sqref="B3"/>
    </sheetView>
  </sheetViews>
  <sheetFormatPr defaultRowHeight="14.4" x14ac:dyDescent="0.3"/>
  <cols>
    <col min="1" max="1" width="41.44140625" customWidth="1"/>
    <col min="2" max="2" width="26.109375" customWidth="1"/>
    <col min="3" max="3" width="2.44140625" customWidth="1"/>
    <col min="4" max="4" width="20.33203125" customWidth="1"/>
    <col min="5" max="5" width="2.5546875" customWidth="1"/>
    <col min="6" max="6" width="3.44140625" customWidth="1"/>
    <col min="7" max="7" width="15.6640625" customWidth="1"/>
    <col min="16" max="16" width="9.109375" customWidth="1"/>
    <col min="21" max="21" width="9.109375" customWidth="1"/>
  </cols>
  <sheetData>
    <row r="1" spans="1:23" ht="18.600000000000001" thickBot="1" x14ac:dyDescent="0.35">
      <c r="A1" s="98" t="s">
        <v>206</v>
      </c>
      <c r="B1" s="99"/>
      <c r="C1" s="99"/>
      <c r="D1" s="100"/>
      <c r="E1" s="2"/>
      <c r="F1" s="2"/>
      <c r="G1" s="2" t="str">
        <f>IF(B5="E","AZ: Sprinklers required is above grade set.","")</f>
        <v/>
      </c>
      <c r="I1" s="2"/>
      <c r="J1" s="2"/>
      <c r="K1" s="2"/>
      <c r="L1" s="2"/>
      <c r="M1" s="2"/>
      <c r="N1" s="2"/>
      <c r="O1" s="73" t="s">
        <v>132</v>
      </c>
      <c r="P1" s="74"/>
      <c r="Q1" s="74"/>
      <c r="R1" s="75"/>
      <c r="T1" s="76" t="s">
        <v>149</v>
      </c>
      <c r="U1" s="77"/>
      <c r="V1" s="77"/>
      <c r="W1" s="78"/>
    </row>
    <row r="2" spans="1:23" ht="15" thickBot="1" x14ac:dyDescent="0.35">
      <c r="A2" s="2"/>
      <c r="B2" s="2"/>
      <c r="C2" s="2"/>
      <c r="D2" s="2"/>
      <c r="E2" s="2"/>
      <c r="F2" s="2"/>
      <c r="G2" s="70" t="str">
        <f>IF(B5="E","FL, GA, RI, &amp; DE: Sprinklers required.  Exception: Under 1,000 sq. ft., single classroom, and less than 30' from other buildings. (NFPA 101: 14.3.5) / No exception for SREF classroom for FL.","")</f>
        <v/>
      </c>
      <c r="H2" s="70"/>
      <c r="I2" s="70"/>
      <c r="J2" s="70"/>
      <c r="K2" s="70"/>
      <c r="L2" s="70"/>
      <c r="M2" s="70"/>
      <c r="N2" s="71"/>
      <c r="O2" s="73" t="str">
        <f>B$6</f>
        <v>V-B</v>
      </c>
      <c r="P2" s="74"/>
      <c r="Q2" s="74"/>
      <c r="R2" s="75"/>
      <c r="T2" s="79" t="str">
        <f>B7</f>
        <v>NS</v>
      </c>
      <c r="U2" s="80"/>
      <c r="V2" s="80"/>
      <c r="W2" s="81"/>
    </row>
    <row r="3" spans="1:23" ht="15" thickBot="1" x14ac:dyDescent="0.35">
      <c r="A3" s="6" t="s">
        <v>53</v>
      </c>
      <c r="B3" s="54"/>
      <c r="C3" s="2"/>
      <c r="D3" s="2"/>
      <c r="E3" s="2"/>
      <c r="F3" s="2"/>
      <c r="G3" s="70"/>
      <c r="H3" s="70"/>
      <c r="I3" s="70"/>
      <c r="J3" s="70"/>
      <c r="K3" s="70"/>
      <c r="L3" s="70"/>
      <c r="M3" s="70"/>
      <c r="N3" s="71"/>
      <c r="O3" s="55" t="str">
        <f>IF(O2="I-A","Buildings of Non-Combustible material.  Type A require structural framing / elements to be 3-hr. rated.  Exception: Fire retardent treated wood at non-bearing walls rated 2-hrs or less.  See Section 603 for additional exceptions.",IF(O2="I-B","Buildings of Non-Combustible material.  Type B require no fire rating.  Exception: Fire retardent treated wood at non-bearing walls rated 2-hrs or less.  See Section 603 for additional exceptions",IF(O2="II-A","Buildings of Non-Combustible material.  Type A require structural framing / elements to be 1-hr. rating.  Exception: Fire retardent treated wood at non-bearing walls rated 2-hrs or less.  See Section 603 for additional exceptions.",IF(O2="II-B","Buildings of Non-Combustible material.  Type B require no fire rating.  Exception: Fire retardent treated wood at non-bearing walls rated 2-hrs or less.  See Section 603 for additional exceptions.",IF(O2="III-A","Ext. walls are non-combustible material, int. walls are non-combustible material.   Type A require structural framing / elements to be 1-hr. rated, ext. walls are 2-hr rated.  Ext. walls can be reduced to 1-hr. rated when supporting a roof only.",IF(O2="III-B","Exterior walls are of non-combustible material and interior walls can be made of non-combustible material.   Type B require no fire rating of structural framing / elements.",IF(O2="IV-HT","Ext. walls are of non-combustible material and int. building elements are of solid wood, laminate wood, heavy timber or structural composite lumber.   Ext. walls are required to be 2-hr. rated.  Structural elements are to be with material listed above.",IF(O2="V-A","All exterior and interior walls made of combustible material.  Type A require structural framing / elements to be 1-hr. rated.",IF(O2="V-B","All exterior and interior walls made of combustible material.  Type B requires no rating of structural framing / elements.",IF(O14="IV-A","Ext. walls are of non-combustible material w/ min. rating of 40 min. and int. elements include mass timber walls and roof w/ min. 80 min. rating.   See section 602.4.1 for all requirements.",IF(O14="IV-B","Ext. walls are of non-combustible material w/ min. rating of 40 min. and int. elements include mass timber walls and roof w/ min. 80 min. rating.   See section 602.4.2 for all requirements.",IF(O14="IV-C","Ext. walls are of non-combustible material w/ min. rating of 40 min. and int. elements include mass timber walls and roof permitted to be unprotected.   See section 602.4.3 for all requirements.",""))))))))))))</f>
        <v>All exterior and interior walls made of combustible material.  Type B requires no rating of structural framing / elements.</v>
      </c>
      <c r="P3" s="56"/>
      <c r="Q3" s="56"/>
      <c r="R3" s="57"/>
      <c r="T3" s="82" t="str">
        <f>IF(T2="NS","NS: Non Sprinkled",IF(T2="S1","S1: NFPA 13 Single Story Sprinkled",IF(T2="SM","SM: NFPA 13 Multi-Story Sprinkled",IF(T2="S13R","S13R: Residential Sprinkler System",IF(T2="S13D","S13D: Residential Sprinkler System","")))))</f>
        <v>NS: Non Sprinkled</v>
      </c>
      <c r="U3" s="83"/>
      <c r="V3" s="83"/>
      <c r="W3" s="84"/>
    </row>
    <row r="4" spans="1:23" ht="15" thickBot="1" x14ac:dyDescent="0.35">
      <c r="A4" s="2"/>
      <c r="B4" s="30" t="s">
        <v>104</v>
      </c>
      <c r="C4" s="2"/>
      <c r="D4" s="30" t="s">
        <v>105</v>
      </c>
      <c r="E4" s="2"/>
      <c r="F4" s="29" t="s">
        <v>58</v>
      </c>
      <c r="G4" s="29"/>
      <c r="H4" s="2"/>
      <c r="I4" s="2"/>
      <c r="J4" s="2"/>
      <c r="K4" s="64" t="str">
        <f>IF(OR(L5="NP",L5="NP W/ S13R",L5="NP / Use I-A or I-B Construction",L5="NP W/ S13D",L5="NP W/O S1 or SM Sprinklers",L5="NP W/ II-B, III-B, IV-HT, V-B Construction",L5="NP W/ II-B, III-B, IV-HT (OK Sprinkled), V-B Construction",L5="NP / Construction V-A Only",L5="NP W/ V-B Construction",L6="NP",L6="NP W/ S13R",L6="NP / Use I-A or I-B Construction",L6="NP W/ S13D",L6="NP W/O S1 or SM Sprinklers",L6="NP W/ II-B, III-B, IV-HT, V-B Construction",L6="NP W/ II-B, III-B, IV-HT (OK Sprinkled), V-B Construction",L6="NP / Construction V-A Only",L6="NP W/ V-B Construction"),"Note: NP = Not Permitted",IF(OR(L5="UL",L6="UL",L7="UL",),"Note: UL = Unlimited",""))</f>
        <v/>
      </c>
      <c r="L4" s="64"/>
      <c r="M4" s="64"/>
      <c r="O4" s="58"/>
      <c r="P4" s="59"/>
      <c r="Q4" s="59"/>
      <c r="R4" s="60"/>
    </row>
    <row r="5" spans="1:23" ht="15" thickBot="1" x14ac:dyDescent="0.35">
      <c r="A5" s="6" t="s">
        <v>1</v>
      </c>
      <c r="B5" s="49" t="s">
        <v>10</v>
      </c>
      <c r="C5" s="2"/>
      <c r="D5" s="49" t="s">
        <v>19</v>
      </c>
      <c r="E5" s="2"/>
      <c r="F5" s="2">
        <v>1</v>
      </c>
      <c r="G5" s="2" t="s">
        <v>95</v>
      </c>
      <c r="H5" s="2"/>
      <c r="I5" s="2"/>
      <c r="J5" s="2"/>
      <c r="K5" s="25">
        <f>IF(B7="NS",'2021 area Table 506.2'!M34,IF(B7="S1",'2021 area Table 506.2'!AB34,IF(B7="SM",'2021 area Table 506.2'!AQ34,IF(B7="S13D",'2021 area Table 506.2'!BI34,IF(B7="S13R",'2021 area Table 506.2'!BX34,0)))))</f>
        <v>9000</v>
      </c>
      <c r="L5" s="25">
        <f>IF(B7="NS",'2021 area Table 506.2'!N34,IF(B7="S1",'2021 area Table 506.2'!AC34,IF(B7="SM",'2021 area Table 506.2'!AR34,IF(B7="S13D",'2021 area Table 506.2'!BI34,IF(B7="S13R",'2021 area Table 506.2'!BX34,0)))))</f>
        <v>9500</v>
      </c>
      <c r="M5" s="2"/>
      <c r="N5" s="18"/>
      <c r="O5" s="58"/>
      <c r="P5" s="59"/>
      <c r="Q5" s="59"/>
      <c r="R5" s="60"/>
    </row>
    <row r="6" spans="1:23" ht="15" thickBot="1" x14ac:dyDescent="0.35">
      <c r="A6" s="6" t="s">
        <v>2</v>
      </c>
      <c r="B6" s="49" t="s">
        <v>70</v>
      </c>
      <c r="C6" s="2"/>
      <c r="D6" s="13"/>
      <c r="E6" s="2"/>
      <c r="F6" s="2"/>
      <c r="G6" s="2" t="s">
        <v>82</v>
      </c>
      <c r="H6" s="2"/>
      <c r="I6" s="2"/>
      <c r="J6" s="2"/>
      <c r="K6" s="2" t="str">
        <f>IF(AND(B5="R-1",OR(B7="NS",B7="S13D")),"S13R Required",IF(AND(B5="R-2",OR(B7="NS",B7="S13D")),"S13R Required",IF(AND(B5="R-2.1",OR(B7="NS",B7="S13D")),"S13R Required",IF(AND(B5="R-2.2 (CA Only)",OR(B7="NS",B7="S13R",B7="S13D")),"S1 OR SM Required",IF(AND(B5="R-3/r-3.1",OR(B7="NS")),"S13D OR S13R Required",IF(AND(B5="R-4",OR(B7="NS",B7="S13D")),"S13D OR S13R Required",IF(AND(B5="i-1 Cond. 1",OR(B7="NS",B7="S13D")),"S13R or S1 or SM Required",IF(AND(B7="S13R",OR(B5="A-1",B5="A-2",B5="A-3",B5="A-4",B5="A-5",B5="B",B5="E",B5="F-1",B5="F-2",B5="H-1",B5="H-2",B5="H-3",B5="H-4",B5="H-5",B5="I-1 COND. 2",B5="I-2/I-2.1",B5="I-3",B5="I-4",B5="L",B5="M",B5="S-1",B5="S-2",B5="U")),"NP",IF(AND(B7="S13D",OR(B5="A-1",B5="A-2",B5="A-3",B5="A-4",B5="A-5",B5="B",B5="E",B5="F-1",B5="F-2",B5="H-1",B5="H-2",B5="H-3",B5="H-4",B5="H-5",B5="I-1 COND. 2",B5="I-2/I-2.1",B5="I-3",B5="I-4",B5="L",B5="M",B5="S-1",B5="S-2",B5="U")),"NP",IF(K5="NP W/ 13D","NP",IF(B7="S13R","Yes",IF(B7="S13D","Yes","None"))))))))))))</f>
        <v>None</v>
      </c>
      <c r="L6" s="2" t="str">
        <f>IF(AND(D5="R-1",OR(B7="NS",B7="S13D")),"S13R Required",IF(AND(D5="R-2",OR(B7="NS",B7="S13D")),"S13R Required",IF(AND(D5="R-2.1",OR(B7="NS",B7="S13D")),"S13R Required",IF(AND(D5="R-2.2 (CA Only)",OR(B7="NS",B7="S13R",B7="S13D")),"S1 OR SM Required",IF(AND(D5="R-3/r-3.1",OR(B7="NS")),"S13D OR S13R Required",IF(AND(D5="R-4",OR(B7="NS",B7="S13D")),"S13D OR S13R Required",IF(AND(D5="i-1 Cond. 1",OR(B7="NS",B7="S13D")),"S13R or S1 or SM Required",IF(AND(B7="S13R",OR(D5="A-1",D5="A-2",D5="A-3",D5="A-4",D5="A-5",D5="B",D5="E",D5="F-1",D5="F-2",D5="H-1",D5="H-2",D5="H-3",D5="H-4",D5="H-5",D5="I-1 COND. 2",D5="I-2/I-2.1",D5="I-3",D5="I-4",D5="L",D5="M",D5="S-1",D5="S-2",D5="U")),"NP",IF(AND(B7="S13D",OR(D5="A-1",D5="A-2",D5="A-3",D5="A-4",D5="A-5",D5="B",D5="E",D5="F-1",D5="F-2",D5="H-1",D5="H-2",D5="H-3",D5="H-4",D5="H-5",D5="I-1 COND. 2",D5="I-2/I-2.1",D5="I-3",D5="I-4",D5="L",D5="M",D5="S-1",D5="S-2",D5="U")),"NP",IF(K5="NP W/ 13D","NP",IF(B7="S13R","Yes",IF(B7="S13D","Yes","None"))))))))))))</f>
        <v>None</v>
      </c>
      <c r="M6" s="2"/>
      <c r="N6" s="18"/>
      <c r="O6" s="58"/>
      <c r="P6" s="59"/>
      <c r="Q6" s="59"/>
      <c r="R6" s="60"/>
    </row>
    <row r="7" spans="1:23" ht="15" thickBot="1" x14ac:dyDescent="0.35">
      <c r="A7" s="6" t="s">
        <v>3</v>
      </c>
      <c r="B7" s="49" t="s">
        <v>12</v>
      </c>
      <c r="C7" s="2"/>
      <c r="D7" s="2"/>
      <c r="E7" s="2"/>
      <c r="F7" s="2"/>
      <c r="G7" s="2" t="s">
        <v>61</v>
      </c>
      <c r="H7" s="2"/>
      <c r="I7" s="2"/>
      <c r="J7" s="2"/>
      <c r="K7" s="25" t="str">
        <f>IF(AND(B5="I-1 Cond. 2",OR(B7="S13R",B7="S13D",B7="NS")),"Required",IF(AND(B5="I-4",OR(B7="S13R",B7="S13D",B7="NS")),"Required",IF(AND(B5="I-1",OR(B7="S13R",B7="S13D",B7="NS")),"Required",IF(AND(B5="I-2/I-2.1",OR(B7="S13R",B7="S13D",B7="NS")),"Required",IF(AND(B5="I-3",OR(B7="S13R",B7="S13D",B7="NS")),"Required",IF(AND(B5="H-1",OR(B7="S13R",B7="S13D",B7="NS")),"Required",IF(AND(B5="H-2",OR(B7="S13R",B7="S13D",B7="NS")),"Required",IF(AND(B5="H-3",OR(B7="S13R",B7="S13D",B7="NS")),"Required",IF(AND(B5="H-4",OR(B7="S13R",B7="S13D",B7="NS")),"Required",IF(AND(B5="H-5",OR(B7="S13R",B7="S13D",B7="NS")),"Required",IF(B7="NS","None",IF(B7="S13R","None",IF(B7="S13D","None","Yes")))))))))))))</f>
        <v>None</v>
      </c>
      <c r="L7" s="42" t="str">
        <f>IF(AND(D5="I-1 Cond. 2",OR(B7="S13R",B7="S13D",B7="NS")),"Required",IF(AND(D5="I-4",OR(B7="S13R",B7="S13D",B7="NS")),"Required",IF(AND(D5="I-1",OR(B7="S13R",B7="S13D",B7="NS")),"Required",IF(AND(D5="I-2/I-2.1",OR(B7="S13R",B7="S13D",B7="NS")),"Required",IF(AND(D5="I-3",OR(B7="S13R",B7="S13D",B7="NS")),"Required",IF(AND(D5="H-1",OR(B7="S13R",B7="S13D",B7="NS")),"Required",IF(AND(D5="H-2",OR(B7="S13R",B7="S13D",B7="NS")),"Required",IF(AND(D5="H-3",OR(B7="S13R",B7="S13D",B7="NS")),"Required",IF(AND(D5="H-4",OR(B7="S13R",B7="S13D",B7="NS")),"Required",IF(AND(D5="H-5",OR(B7="S13R",B7="S13D",B7="NS")),"Required",IF(B7="NS","None",IF(B7="S13R","None",IF(B7="S13D","None","Yes")))))))))))))</f>
        <v>None</v>
      </c>
      <c r="M7" s="2"/>
      <c r="N7" s="18"/>
      <c r="O7" s="58"/>
      <c r="P7" s="59"/>
      <c r="Q7" s="59"/>
      <c r="R7" s="60"/>
    </row>
    <row r="8" spans="1:23" x14ac:dyDescent="0.3">
      <c r="A8" s="6"/>
      <c r="B8" s="25" t="str">
        <f>IF(AND(B9="i-3",(OR(B10="v-b",B10="v-a",B10="iv-ht",B10="iv-c",B10="iv-b",B10="iv-a",B10="iii-b",B10="iii-a",B10="ii-b",B10="ii-a"))),"NP in California only.  Use Construction Type I-A or I-B.",IF(AND(B9="I-2/I-2.1",(OR(B10="iv-c",B10="iv-b",B10="iv-a",B10="iii-b"))),"Construction type IV-A, IV-B, IV-C, &amp; III-B NP in California only.",""))</f>
        <v/>
      </c>
      <c r="C8" s="2"/>
      <c r="D8" s="2"/>
      <c r="E8" s="2"/>
      <c r="F8" s="1">
        <v>3</v>
      </c>
      <c r="G8" s="2" t="s">
        <v>189</v>
      </c>
      <c r="H8" s="2"/>
      <c r="I8" s="2"/>
      <c r="J8" s="2"/>
      <c r="K8" s="25"/>
      <c r="L8" s="25"/>
      <c r="M8" s="2"/>
      <c r="N8" s="18"/>
      <c r="O8" s="58"/>
      <c r="P8" s="59"/>
      <c r="Q8" s="59"/>
      <c r="R8" s="60"/>
    </row>
    <row r="9" spans="1:23" ht="15" thickBot="1" x14ac:dyDescent="0.35">
      <c r="A9" s="2"/>
      <c r="B9" s="2"/>
      <c r="C9" s="2"/>
      <c r="D9" s="2"/>
      <c r="E9" s="2"/>
      <c r="F9" s="1"/>
      <c r="G9" s="2" t="s">
        <v>141</v>
      </c>
      <c r="H9" s="2"/>
      <c r="I9" s="2"/>
      <c r="J9" s="2"/>
      <c r="K9" s="25">
        <f>SUM(B13:B27)</f>
        <v>168</v>
      </c>
      <c r="L9" s="25">
        <f>SUM(B13:B27)</f>
        <v>168</v>
      </c>
      <c r="M9" s="2"/>
      <c r="N9" s="18"/>
      <c r="O9" s="61"/>
      <c r="P9" s="62"/>
      <c r="Q9" s="62"/>
      <c r="R9" s="63"/>
    </row>
    <row r="10" spans="1:23" ht="14.4" customHeight="1" x14ac:dyDescent="0.3">
      <c r="A10" s="1"/>
      <c r="B10" s="67" t="s">
        <v>122</v>
      </c>
      <c r="C10" s="1"/>
      <c r="D10" s="67" t="s">
        <v>92</v>
      </c>
      <c r="E10" s="1"/>
      <c r="F10" s="1"/>
      <c r="G10" s="2" t="s">
        <v>142</v>
      </c>
      <c r="H10" s="2"/>
      <c r="J10" s="6" t="str">
        <f>IF(K10&lt;(K9/4),"(See note 8)","")</f>
        <v/>
      </c>
      <c r="K10" s="25">
        <f>IF(D13&lt;20,0,B13)+IF(D14&lt;20,0,B14)+IF(D15&lt;20,0,B15)+IF(D17&lt;20,0,B17)+IF(D18&lt;20,0,B18)+IF(D19&lt;20,0,B19)+IF(D21&lt;20,0,B21)+IF(D22&lt;20,0,B22)+IF(D23&lt;20,0,B23)+IF(D25&lt;20,0,B25)+IF(D26&lt;20,0,B26)+IF(D27&lt;20,0,B27)</f>
        <v>168</v>
      </c>
      <c r="L10" s="25">
        <f>IF(D13&lt;20,0,B13)+IF(D14&lt;20,0,B14)+IF(D15&lt;20,0,B15)+IF(D17&lt;20,0,B17)+IF(D18&lt;20,0,B18)+IF(D19&lt;20,0,B19)+IF(D21&lt;20,0,B21)+IF(D22&lt;20,0,B22)+IF(D23&lt;20,0,B23)+IF(D25&lt;20,0,B25)+IF(D26&lt;20,0,B26)+IF(D27&lt;20,0,B27)</f>
        <v>168</v>
      </c>
      <c r="M10" s="2"/>
      <c r="N10" s="2"/>
      <c r="O10" s="35" t="s">
        <v>58</v>
      </c>
      <c r="Q10" s="34"/>
      <c r="R10" s="34"/>
    </row>
    <row r="11" spans="1:23" ht="14.4" customHeight="1" x14ac:dyDescent="0.3">
      <c r="A11" s="1"/>
      <c r="B11" s="68"/>
      <c r="C11" s="1"/>
      <c r="D11" s="68"/>
      <c r="E11" s="1"/>
      <c r="F11" s="1"/>
      <c r="G11" s="2" t="s">
        <v>180</v>
      </c>
      <c r="H11" s="2"/>
      <c r="I11" s="2"/>
      <c r="J11" s="2"/>
      <c r="K11" s="47">
        <f>K10/K9</f>
        <v>1</v>
      </c>
      <c r="L11" s="47">
        <f>L10/L9</f>
        <v>1</v>
      </c>
      <c r="M11" s="2"/>
      <c r="N11" s="2"/>
      <c r="O11">
        <v>1</v>
      </c>
      <c r="P11" s="66" t="s">
        <v>124</v>
      </c>
      <c r="Q11" s="66"/>
      <c r="R11" s="66"/>
      <c r="S11" s="66"/>
    </row>
    <row r="12" spans="1:23" ht="15" thickBot="1" x14ac:dyDescent="0.35">
      <c r="A12" s="1"/>
      <c r="B12" s="69"/>
      <c r="C12" s="1"/>
      <c r="D12" s="69"/>
      <c r="E12" s="1"/>
      <c r="F12" s="2"/>
      <c r="G12" s="2" t="s">
        <v>179</v>
      </c>
      <c r="K12" s="14">
        <f t="array" ref="K12">MIN(IF(D13:D27&gt;=20,D13:D27))</f>
        <v>20</v>
      </c>
      <c r="L12" s="14">
        <f t="array" ref="L12">MIN(IF(D13:D27&gt;=20,D13:D27))</f>
        <v>20</v>
      </c>
      <c r="M12" s="2"/>
      <c r="N12" s="2"/>
      <c r="P12" s="66"/>
      <c r="Q12" s="66"/>
      <c r="R12" s="66"/>
      <c r="S12" s="66"/>
    </row>
    <row r="13" spans="1:23" x14ac:dyDescent="0.3">
      <c r="A13" s="6" t="s">
        <v>5</v>
      </c>
      <c r="B13" s="50">
        <v>60</v>
      </c>
      <c r="C13" s="1"/>
      <c r="D13" s="52">
        <v>20</v>
      </c>
      <c r="E13" s="1"/>
      <c r="G13" s="2" t="s">
        <v>188</v>
      </c>
      <c r="K13" s="15">
        <f>IF(AND(AND(AND(K12&gt;=20),K12&lt;25),K11&gt;=25%,K11&lt;50%),0.17,IF(AND(AND(AND(K12&gt;=25),K12&lt;30),K11&gt;=25%,K11&lt;50%),0.21,IF(AND(AND(K12&gt;=30),K11&gt;=25%,K11&lt;50%),0.25,IF(AND(AND(AND(K12&gt;=20),K12&lt;25),K11&gt;=50%,K11&lt;75%),0.33,IF(AND(AND(AND(K12&gt;=25),K12&lt;30),K11&gt;=50%,K11&lt;75%),0.42,IF(AND(AND(K12&gt;=30),K11&gt;=50%,K11&lt;75%),0.5,IF(AND(AND(AND(K12&gt;=20),K12&lt;25),K11&gt;=75%,K11&lt;=100%),0.5,IF(AND(AND(AND(K12&gt;=25),K12&lt;30),K11&gt;=75%,K11&lt;=100%),0.63,IF(AND(AND(K12&gt;=30),K11&gt;=75%,K11&lt;=100%),0.75,0)))))))))</f>
        <v>0.5</v>
      </c>
      <c r="L13" s="15">
        <f>IF(AND(AND(AND(L12&gt;=20),L12&lt;25),L11&gt;=25%,L11&lt;50%),0.17,IF(AND(AND(AND(L12&gt;=25),L12&lt;30),L11&gt;=25%,L11&lt;50%),0.21,IF(AND(AND(L12&gt;=30),L11&gt;=25%,L11&lt;50%),0.25,IF(AND(AND(AND(L12&gt;=20),L12&lt;25),L11&gt;=50%,L11&lt;75%),0.33,IF(AND(AND(AND(L12&gt;=25),L12&lt;30),L11&gt;=50%,L11&lt;75%),0.42,IF(AND(AND(L12&gt;=30),L11&gt;=50%,L11&lt;75%),0.5,IF(AND(AND(AND(L12&gt;=20),L12&lt;25),L11&gt;=75%,L11&lt;=100%),0.5,IF(AND(AND(AND(L12&gt;=25),L12&lt;30),L11&gt;=75%,L11&lt;=100%),0.63,IF(AND(AND(L12&gt;=30),L11&gt;=75%,L11&lt;=100%),0.75,0)))))))))</f>
        <v>0.5</v>
      </c>
      <c r="M13" s="2"/>
      <c r="N13" s="2"/>
      <c r="P13" s="66"/>
      <c r="Q13" s="66"/>
      <c r="R13" s="66"/>
      <c r="S13" s="66"/>
    </row>
    <row r="14" spans="1:23" ht="14.4" customHeight="1" x14ac:dyDescent="0.3">
      <c r="A14" s="2"/>
      <c r="B14" s="51"/>
      <c r="C14" s="2"/>
      <c r="D14" s="51"/>
      <c r="E14" s="1"/>
      <c r="G14" s="2" t="s">
        <v>62</v>
      </c>
      <c r="H14" s="2"/>
      <c r="I14" s="2"/>
      <c r="J14" s="2"/>
      <c r="K14" s="25">
        <f>IF(OR(K5="UL",K5="NP",K5="NP W/ S13R",K5="NP / Use I-A or I-B Construction",K5="NP W/ S13D",K5="NP W/O S1 or SM Sprinklers",K5="NP W/ II-B, III-B, IV-HT, V-B Construction",K5="NP W/ II-B, III-B, IV-HT (OK Sprinkled), V-B Construction",K5="NP / Construction V-A Only",K5="NP W/ V-B Construction",K7="Choose Spinkler SM"),K5,(K5+('2021 area Table 506.2'!M34*K13)))</f>
        <v>13500</v>
      </c>
      <c r="L14" s="25">
        <f>IF(OR(L5="UL",L5="NP",L5="NP W/ S13R",L5="NP / Use I-A or I-B Construction",L5="NP W/ S13D",L5="NP W/O S1 or SM Sprinklers",L5="NP W/ II-B, III-B, IV-HT, V-B Construction",L5="NP W/ II-B, III-B, IV-HT (OK Sprinkled), V-B Construction",L5="NP / Construction V-A Only",L5="NP W/ V-B Construction",L7="Choose Spinkler SM"),L5,(L5+('2021 area Table 506.2'!N34*L13)))</f>
        <v>14250</v>
      </c>
      <c r="M14" s="2"/>
      <c r="N14" s="2"/>
      <c r="O14">
        <v>2</v>
      </c>
      <c r="P14" s="66" t="s">
        <v>123</v>
      </c>
      <c r="Q14" s="66"/>
      <c r="R14" s="66"/>
      <c r="S14" s="66"/>
    </row>
    <row r="15" spans="1:23" x14ac:dyDescent="0.3">
      <c r="A15" s="2"/>
      <c r="B15" s="51"/>
      <c r="C15" s="2"/>
      <c r="D15" s="51"/>
      <c r="E15" s="1"/>
      <c r="F15" s="1"/>
      <c r="G15" s="2"/>
      <c r="H15" s="2"/>
      <c r="I15" s="2"/>
      <c r="J15" s="2"/>
      <c r="K15" s="25"/>
      <c r="M15" s="2"/>
      <c r="N15" s="2"/>
      <c r="P15" s="66"/>
      <c r="Q15" s="66"/>
      <c r="R15" s="66"/>
      <c r="S15" s="66"/>
    </row>
    <row r="16" spans="1:23" x14ac:dyDescent="0.3">
      <c r="A16" s="2"/>
      <c r="B16" s="2"/>
      <c r="C16" s="2"/>
      <c r="D16" s="2"/>
      <c r="E16" s="1"/>
      <c r="F16" s="85" t="s">
        <v>98</v>
      </c>
      <c r="G16" s="85"/>
      <c r="H16" s="2"/>
      <c r="I16" s="2"/>
      <c r="J16" s="2"/>
      <c r="K16" s="2"/>
      <c r="L16" s="22"/>
      <c r="M16" s="2"/>
      <c r="N16" s="2"/>
      <c r="P16" s="66"/>
      <c r="Q16" s="66"/>
      <c r="R16" s="66"/>
      <c r="S16" s="66"/>
    </row>
    <row r="17" spans="1:19" ht="15" customHeight="1" x14ac:dyDescent="0.3">
      <c r="A17" s="6" t="s">
        <v>7</v>
      </c>
      <c r="B17" s="51">
        <v>24</v>
      </c>
      <c r="C17" s="2"/>
      <c r="D17" s="51">
        <v>30</v>
      </c>
      <c r="E17" s="1"/>
      <c r="F17" s="27">
        <v>1</v>
      </c>
      <c r="G17" s="70" t="s">
        <v>200</v>
      </c>
      <c r="H17" s="70"/>
      <c r="I17" s="70"/>
      <c r="J17" s="70"/>
      <c r="K17" s="70"/>
      <c r="L17" s="70"/>
      <c r="N17" s="2"/>
      <c r="O17">
        <v>3</v>
      </c>
      <c r="P17" s="66" t="s">
        <v>125</v>
      </c>
      <c r="Q17" s="66"/>
      <c r="R17" s="66"/>
      <c r="S17" s="66"/>
    </row>
    <row r="18" spans="1:19" x14ac:dyDescent="0.3">
      <c r="A18" s="2"/>
      <c r="B18" s="51"/>
      <c r="C18" s="2"/>
      <c r="D18" s="51"/>
      <c r="E18" s="1"/>
      <c r="F18" s="6"/>
      <c r="G18" s="70"/>
      <c r="H18" s="70"/>
      <c r="I18" s="70"/>
      <c r="J18" s="70"/>
      <c r="K18" s="70"/>
      <c r="L18" s="70"/>
      <c r="M18" s="2"/>
      <c r="N18" s="2"/>
      <c r="P18" s="66"/>
      <c r="Q18" s="66"/>
      <c r="R18" s="66"/>
      <c r="S18" s="66"/>
    </row>
    <row r="19" spans="1:19" ht="15" customHeight="1" x14ac:dyDescent="0.3">
      <c r="A19" s="2"/>
      <c r="B19" s="51"/>
      <c r="C19" s="2"/>
      <c r="D19" s="51"/>
      <c r="E19" s="1"/>
      <c r="F19" s="6">
        <v>2</v>
      </c>
      <c r="G19" s="70" t="s">
        <v>201</v>
      </c>
      <c r="H19" s="70"/>
      <c r="I19" s="70"/>
      <c r="J19" s="70"/>
      <c r="K19" s="70"/>
      <c r="L19" s="70"/>
      <c r="M19" s="2"/>
      <c r="N19" s="2"/>
      <c r="O19">
        <v>4</v>
      </c>
      <c r="P19" s="66" t="s">
        <v>181</v>
      </c>
      <c r="Q19" s="66"/>
      <c r="R19" s="66"/>
      <c r="S19" s="66"/>
    </row>
    <row r="20" spans="1:19" x14ac:dyDescent="0.3">
      <c r="A20" s="2"/>
      <c r="B20" s="2"/>
      <c r="C20" s="2"/>
      <c r="D20" s="2"/>
      <c r="E20" s="2"/>
      <c r="F20" s="27"/>
      <c r="G20" s="70"/>
      <c r="H20" s="70"/>
      <c r="I20" s="70"/>
      <c r="J20" s="70"/>
      <c r="K20" s="70"/>
      <c r="L20" s="70"/>
      <c r="M20" s="2"/>
      <c r="N20" s="2"/>
      <c r="P20" s="66"/>
      <c r="Q20" s="66"/>
      <c r="R20" s="66"/>
      <c r="S20" s="66"/>
    </row>
    <row r="21" spans="1:19" ht="15" customHeight="1" x14ac:dyDescent="0.3">
      <c r="A21" s="6" t="s">
        <v>6</v>
      </c>
      <c r="B21" s="51">
        <v>60</v>
      </c>
      <c r="C21" s="2"/>
      <c r="D21" s="51">
        <v>30</v>
      </c>
      <c r="E21" s="1"/>
      <c r="F21" s="27">
        <v>3</v>
      </c>
      <c r="G21" s="70" t="s">
        <v>203</v>
      </c>
      <c r="H21" s="70"/>
      <c r="I21" s="70"/>
      <c r="J21" s="70"/>
      <c r="K21" s="70"/>
      <c r="L21" s="70"/>
      <c r="M21" s="2"/>
      <c r="N21" s="2"/>
      <c r="P21" s="66"/>
      <c r="Q21" s="66"/>
      <c r="R21" s="66"/>
      <c r="S21" s="66"/>
    </row>
    <row r="22" spans="1:19" ht="15" customHeight="1" x14ac:dyDescent="0.3">
      <c r="A22" s="2"/>
      <c r="B22" s="51"/>
      <c r="C22" s="2"/>
      <c r="D22" s="51"/>
      <c r="E22" s="2"/>
      <c r="F22" s="6"/>
      <c r="G22" s="70"/>
      <c r="H22" s="70"/>
      <c r="I22" s="70"/>
      <c r="J22" s="70"/>
      <c r="K22" s="70"/>
      <c r="L22" s="70"/>
      <c r="M22" s="2"/>
      <c r="N22" s="2"/>
      <c r="O22" s="18"/>
      <c r="P22" s="2"/>
    </row>
    <row r="23" spans="1:19" x14ac:dyDescent="0.3">
      <c r="A23" s="2"/>
      <c r="B23" s="51"/>
      <c r="C23" s="2"/>
      <c r="D23" s="51"/>
      <c r="E23" s="7"/>
      <c r="F23" s="2">
        <v>4</v>
      </c>
      <c r="G23" s="70" t="s">
        <v>202</v>
      </c>
      <c r="H23" s="70"/>
      <c r="I23" s="70"/>
      <c r="J23" s="70"/>
      <c r="K23" s="70"/>
      <c r="L23" s="70"/>
      <c r="M23" s="2"/>
    </row>
    <row r="24" spans="1:19" ht="15" customHeight="1" x14ac:dyDescent="0.3">
      <c r="A24" s="2"/>
      <c r="B24" s="2"/>
      <c r="C24" s="2"/>
      <c r="D24" s="2"/>
      <c r="E24" s="7"/>
      <c r="F24" s="2"/>
      <c r="G24" s="70"/>
      <c r="H24" s="70"/>
      <c r="I24" s="70"/>
      <c r="J24" s="70"/>
      <c r="K24" s="70"/>
      <c r="L24" s="70"/>
      <c r="M24" s="2"/>
    </row>
    <row r="25" spans="1:19" ht="15" customHeight="1" x14ac:dyDescent="0.3">
      <c r="A25" s="6" t="s">
        <v>8</v>
      </c>
      <c r="B25" s="51">
        <v>24</v>
      </c>
      <c r="C25" s="2"/>
      <c r="D25" s="51">
        <v>30</v>
      </c>
      <c r="E25" s="7"/>
      <c r="F25" s="2"/>
      <c r="G25" s="70"/>
      <c r="H25" s="70"/>
      <c r="I25" s="70"/>
      <c r="J25" s="70"/>
      <c r="K25" s="70"/>
      <c r="L25" s="70"/>
      <c r="M25" s="2"/>
    </row>
    <row r="26" spans="1:19" x14ac:dyDescent="0.3">
      <c r="A26" s="2"/>
      <c r="B26" s="51"/>
      <c r="C26" s="2"/>
      <c r="D26" s="51"/>
      <c r="E26" s="7"/>
      <c r="M26" s="2"/>
    </row>
    <row r="27" spans="1:19" ht="15" customHeight="1" x14ac:dyDescent="0.3">
      <c r="A27" s="2"/>
      <c r="B27" s="51"/>
      <c r="C27" s="2"/>
      <c r="D27" s="51"/>
      <c r="E27" s="2"/>
      <c r="M27" s="2"/>
    </row>
    <row r="28" spans="1:19" ht="30" customHeight="1" thickBot="1" x14ac:dyDescent="0.35">
      <c r="A28" s="2"/>
      <c r="B28" s="2"/>
      <c r="C28" s="2"/>
      <c r="D28" s="7"/>
      <c r="E28" s="7"/>
      <c r="M28" s="2"/>
    </row>
    <row r="29" spans="1:19" ht="30" customHeight="1" thickBot="1" x14ac:dyDescent="0.35">
      <c r="A29" s="6"/>
      <c r="B29" s="31" t="s">
        <v>107</v>
      </c>
      <c r="C29" s="94" t="s">
        <v>108</v>
      </c>
      <c r="D29" s="95"/>
      <c r="E29" s="7"/>
      <c r="M29" s="2"/>
    </row>
    <row r="30" spans="1:19" x14ac:dyDescent="0.3">
      <c r="A30" s="41" t="s">
        <v>148</v>
      </c>
      <c r="B30" s="53">
        <v>0</v>
      </c>
      <c r="C30" s="96">
        <v>0</v>
      </c>
      <c r="D30" s="97"/>
      <c r="E30" s="7"/>
      <c r="M30" s="2"/>
      <c r="N30" s="2"/>
      <c r="O30" s="2"/>
      <c r="P30" s="2"/>
    </row>
    <row r="31" spans="1:19" x14ac:dyDescent="0.3">
      <c r="A31" s="6" t="s">
        <v>120</v>
      </c>
      <c r="B31" s="4">
        <f>$K$14</f>
        <v>13500</v>
      </c>
      <c r="C31" s="89">
        <f>$L$14</f>
        <v>14250</v>
      </c>
      <c r="D31" s="89"/>
      <c r="E31" s="7"/>
      <c r="M31" s="2"/>
      <c r="N31" s="2"/>
      <c r="O31" s="2"/>
      <c r="P31" s="2"/>
    </row>
    <row r="32" spans="1:19" ht="14.4" customHeight="1" thickBot="1" x14ac:dyDescent="0.35">
      <c r="A32" s="36" t="s">
        <v>146</v>
      </c>
      <c r="B32" s="32">
        <f>$K$5</f>
        <v>9000</v>
      </c>
      <c r="C32" s="90">
        <f>$L$5</f>
        <v>9500</v>
      </c>
      <c r="D32" s="91"/>
      <c r="E32" s="6"/>
      <c r="M32" s="2"/>
      <c r="N32" s="2"/>
      <c r="O32" s="2"/>
      <c r="P32" s="2"/>
    </row>
    <row r="33" spans="1:16" ht="15" thickBot="1" x14ac:dyDescent="0.35">
      <c r="A33" s="6" t="s">
        <v>145</v>
      </c>
      <c r="B33" s="44">
        <f>IF(AND(B31="UL",C31="UL"),"UL",IF(B31="UL",C30/C31,IF(C31="UL",B30/B31,((B30/B31)+(C30/C31)))))</f>
        <v>0</v>
      </c>
      <c r="C33" s="92" t="str">
        <f>IF(B33&lt;=1,"&lt; 1 THEREFORE OK",IF(B33="UL","Unlimited Area","NG"))</f>
        <v>&lt; 1 THEREFORE OK</v>
      </c>
      <c r="D33" s="93"/>
      <c r="E33" s="6"/>
      <c r="M33" s="2"/>
      <c r="N33" s="2"/>
      <c r="O33" s="2"/>
      <c r="P33" s="2"/>
    </row>
    <row r="34" spans="1:16" ht="14.4" customHeight="1" thickBot="1" x14ac:dyDescent="0.35">
      <c r="A34" s="6" t="s">
        <v>147</v>
      </c>
      <c r="B34" s="33">
        <f>IF(AND(B32="UL",C32="UL"),"UL",IF(B32="UL",C30/C32,IF(C32="UL",B30/B32,((B30/B32)+(C30/C32)))))</f>
        <v>0</v>
      </c>
      <c r="C34" s="92" t="str">
        <f>IF(B34&lt;=1,"&lt; 1 THEREFORE OK",IF(B34="UL","Unlimited Area","NG"))</f>
        <v>&lt; 1 THEREFORE OK</v>
      </c>
      <c r="D34" s="93"/>
      <c r="E34" s="6"/>
      <c r="M34" s="2"/>
      <c r="N34" s="2"/>
      <c r="O34" s="2"/>
      <c r="P34" s="2"/>
    </row>
    <row r="35" spans="1:16" x14ac:dyDescent="0.3">
      <c r="A35" s="6"/>
      <c r="B35" s="22"/>
      <c r="C35" s="14"/>
      <c r="D35" s="2"/>
      <c r="E35" s="2"/>
      <c r="M35" s="2"/>
      <c r="N35" s="2"/>
      <c r="O35" s="2"/>
      <c r="P35" s="1"/>
    </row>
    <row r="36" spans="1:16" x14ac:dyDescent="0.3">
      <c r="A36" s="2"/>
      <c r="B36" s="2"/>
      <c r="C36" s="2"/>
      <c r="D36" s="2"/>
      <c r="E36" s="2"/>
      <c r="F36" s="2"/>
      <c r="G36" s="2"/>
      <c r="H36" s="2"/>
      <c r="I36" s="2"/>
      <c r="J36" s="2"/>
      <c r="K36" s="2"/>
      <c r="L36" s="2"/>
      <c r="M36" s="2"/>
      <c r="N36" s="2"/>
      <c r="O36" s="2"/>
      <c r="P36" s="1"/>
    </row>
    <row r="37" spans="1:16" x14ac:dyDescent="0.3">
      <c r="C37" s="2"/>
      <c r="D37" s="2"/>
      <c r="E37" s="2"/>
      <c r="F37" s="2"/>
      <c r="G37" s="2"/>
      <c r="H37" s="2"/>
      <c r="I37" s="2"/>
      <c r="J37" s="2"/>
      <c r="K37" s="2"/>
      <c r="L37" s="2"/>
      <c r="M37" s="2"/>
      <c r="N37" s="2"/>
      <c r="O37" s="2"/>
      <c r="P37" s="1"/>
    </row>
    <row r="38" spans="1:16" x14ac:dyDescent="0.3">
      <c r="A38" s="13"/>
      <c r="B38" s="2"/>
      <c r="C38" s="2"/>
      <c r="D38" s="2"/>
      <c r="E38" s="2"/>
      <c r="F38" s="2"/>
      <c r="G38" s="2"/>
      <c r="H38" s="2"/>
      <c r="I38" s="2"/>
      <c r="J38" s="2"/>
      <c r="K38" s="2"/>
      <c r="L38" s="2"/>
      <c r="M38" s="2"/>
      <c r="N38" s="2"/>
      <c r="O38" s="2"/>
      <c r="P38" s="1"/>
    </row>
    <row r="39" spans="1:16" x14ac:dyDescent="0.3">
      <c r="A39" s="2"/>
      <c r="B39" s="2"/>
      <c r="C39" s="2"/>
      <c r="D39" s="2"/>
      <c r="E39" s="2"/>
      <c r="F39" s="2"/>
      <c r="G39" s="2"/>
      <c r="H39" s="2"/>
      <c r="I39" s="2"/>
      <c r="J39" s="2"/>
      <c r="K39" s="2"/>
      <c r="L39" s="2"/>
      <c r="M39" s="2"/>
      <c r="N39" s="2"/>
      <c r="O39" s="2"/>
      <c r="P39" s="2"/>
    </row>
    <row r="40" spans="1:16" x14ac:dyDescent="0.3">
      <c r="A40" s="2"/>
      <c r="B40" s="2"/>
      <c r="C40" s="2"/>
      <c r="D40" s="2"/>
      <c r="E40" s="2"/>
      <c r="F40" s="2"/>
      <c r="G40" s="2"/>
      <c r="H40" s="2"/>
      <c r="I40" s="2"/>
      <c r="J40" s="2"/>
      <c r="K40" s="2"/>
      <c r="L40" s="2"/>
      <c r="M40" s="2"/>
      <c r="N40" s="2"/>
      <c r="O40" s="2"/>
      <c r="P40" s="2"/>
    </row>
    <row r="41" spans="1:16" x14ac:dyDescent="0.3">
      <c r="A41" s="2"/>
      <c r="B41" s="2"/>
      <c r="C41" s="2"/>
      <c r="D41" s="2"/>
      <c r="E41" s="2"/>
      <c r="F41" s="2"/>
      <c r="G41" s="2"/>
      <c r="H41" s="2"/>
      <c r="I41" s="2"/>
      <c r="J41" s="2"/>
      <c r="K41" s="2"/>
      <c r="L41" s="2"/>
      <c r="M41" s="2"/>
      <c r="N41" s="2"/>
      <c r="O41" s="2"/>
      <c r="P41" s="2"/>
    </row>
    <row r="42" spans="1:16" x14ac:dyDescent="0.3">
      <c r="A42" s="2"/>
      <c r="B42" s="2"/>
      <c r="C42" s="2"/>
      <c r="D42" s="2"/>
      <c r="E42" s="2"/>
      <c r="F42" s="2"/>
      <c r="G42" s="2"/>
      <c r="H42" s="2"/>
      <c r="I42" s="2"/>
      <c r="J42" s="2"/>
      <c r="K42" s="2"/>
      <c r="L42" s="2"/>
      <c r="M42" s="2"/>
      <c r="N42" s="2"/>
      <c r="O42" s="2"/>
      <c r="P42" s="2"/>
    </row>
    <row r="43" spans="1:16" x14ac:dyDescent="0.3">
      <c r="A43" s="2"/>
      <c r="B43" s="2"/>
      <c r="C43" s="2"/>
      <c r="D43" s="2"/>
      <c r="E43" s="2"/>
      <c r="F43" s="2"/>
      <c r="G43" s="2"/>
      <c r="H43" s="2"/>
      <c r="I43" s="2"/>
      <c r="J43" s="2"/>
      <c r="K43" s="2"/>
      <c r="L43" s="2"/>
      <c r="M43" s="2"/>
      <c r="N43" s="2"/>
      <c r="O43" s="2"/>
      <c r="P43" s="2"/>
    </row>
    <row r="44" spans="1:16" x14ac:dyDescent="0.3">
      <c r="A44" s="2"/>
      <c r="B44" s="2"/>
      <c r="C44" s="2"/>
      <c r="D44" s="2"/>
      <c r="E44" s="2"/>
      <c r="F44" s="2"/>
      <c r="G44" s="2"/>
      <c r="H44" s="2"/>
      <c r="I44" s="2"/>
      <c r="J44" s="2"/>
      <c r="K44" s="2"/>
      <c r="L44" s="2"/>
      <c r="M44" s="2"/>
      <c r="N44" s="2"/>
      <c r="O44" s="2"/>
      <c r="P44" s="2"/>
    </row>
    <row r="45" spans="1:16" x14ac:dyDescent="0.3">
      <c r="A45" s="2"/>
      <c r="B45" s="2"/>
      <c r="C45" s="2"/>
      <c r="D45" s="2"/>
      <c r="E45" s="2"/>
      <c r="F45" s="2"/>
      <c r="G45" s="2"/>
      <c r="H45" s="2"/>
      <c r="I45" s="2"/>
      <c r="J45" s="2"/>
      <c r="K45" s="2"/>
      <c r="L45" s="2"/>
      <c r="M45" s="2"/>
      <c r="N45" s="2"/>
      <c r="O45" s="2"/>
      <c r="P45" s="2"/>
    </row>
    <row r="46" spans="1:16" x14ac:dyDescent="0.3">
      <c r="A46" s="2"/>
      <c r="B46" s="2"/>
      <c r="C46" s="2"/>
      <c r="D46" s="2"/>
      <c r="E46" s="2"/>
      <c r="F46" s="2"/>
      <c r="G46" s="2"/>
      <c r="H46" s="2"/>
      <c r="I46" s="2"/>
      <c r="J46" s="2"/>
      <c r="K46" s="2"/>
      <c r="L46" s="2"/>
      <c r="M46" s="2"/>
      <c r="N46" s="2"/>
      <c r="O46" s="2"/>
      <c r="P46" s="2"/>
    </row>
    <row r="47" spans="1:16" x14ac:dyDescent="0.3">
      <c r="A47" s="2"/>
      <c r="B47" s="2"/>
      <c r="C47" s="2"/>
      <c r="D47" s="2"/>
      <c r="E47" s="2"/>
      <c r="F47" s="2"/>
      <c r="G47" s="2"/>
      <c r="H47" s="2"/>
      <c r="I47" s="2"/>
      <c r="J47" s="2"/>
      <c r="K47" s="2"/>
      <c r="L47" s="2"/>
      <c r="M47" s="2"/>
      <c r="N47" s="2"/>
      <c r="O47" s="2"/>
      <c r="P47" s="2"/>
    </row>
    <row r="48" spans="1:16" x14ac:dyDescent="0.3">
      <c r="A48" s="2"/>
      <c r="B48" s="2"/>
      <c r="C48" s="2"/>
      <c r="D48" s="2"/>
      <c r="E48" s="2"/>
      <c r="F48" s="2"/>
      <c r="G48" s="2"/>
      <c r="H48" s="2"/>
      <c r="I48" s="2"/>
      <c r="J48" s="2"/>
      <c r="K48" s="2"/>
      <c r="L48" s="2"/>
      <c r="M48" s="2"/>
      <c r="N48" s="2"/>
      <c r="O48" s="2"/>
      <c r="P48" s="2"/>
    </row>
    <row r="49" spans="1:16" x14ac:dyDescent="0.3">
      <c r="A49" s="2"/>
      <c r="B49" s="2"/>
      <c r="C49" s="2"/>
      <c r="D49" s="2"/>
      <c r="E49" s="2"/>
      <c r="F49" s="2"/>
      <c r="G49" s="2"/>
      <c r="H49" s="2"/>
      <c r="I49" s="2"/>
      <c r="J49" s="2"/>
      <c r="K49" s="2"/>
      <c r="L49" s="2"/>
      <c r="M49" s="2"/>
      <c r="N49" s="2"/>
      <c r="O49" s="2"/>
      <c r="P49" s="2"/>
    </row>
    <row r="50" spans="1:16" x14ac:dyDescent="0.3">
      <c r="A50" s="2"/>
      <c r="B50" s="2"/>
      <c r="C50" s="2"/>
      <c r="D50" s="2"/>
      <c r="E50" s="2"/>
      <c r="F50" s="2"/>
      <c r="G50" s="2"/>
      <c r="H50" s="2"/>
      <c r="I50" s="2"/>
      <c r="J50" s="2"/>
      <c r="K50" s="2"/>
      <c r="L50" s="2"/>
      <c r="M50" s="2"/>
      <c r="N50" s="2"/>
      <c r="O50" s="2"/>
      <c r="P50" s="2"/>
    </row>
    <row r="51" spans="1:16" x14ac:dyDescent="0.3">
      <c r="A51" s="2"/>
      <c r="B51" s="2"/>
      <c r="C51" s="2"/>
      <c r="D51" s="2"/>
      <c r="E51" s="2"/>
      <c r="F51" s="2"/>
      <c r="G51" s="2"/>
      <c r="H51" s="2"/>
      <c r="I51" s="2"/>
      <c r="J51" s="2"/>
      <c r="K51" s="2"/>
      <c r="L51" s="2"/>
      <c r="M51" s="2"/>
      <c r="N51" s="2"/>
      <c r="O51" s="2"/>
      <c r="P51" s="2"/>
    </row>
    <row r="52" spans="1:16" x14ac:dyDescent="0.3">
      <c r="A52" s="2"/>
      <c r="B52" s="2"/>
      <c r="C52" s="2"/>
      <c r="D52" s="2"/>
      <c r="E52" s="2"/>
      <c r="F52" s="2"/>
      <c r="G52" s="2"/>
      <c r="H52" s="2"/>
      <c r="I52" s="2"/>
      <c r="J52" s="2"/>
      <c r="K52" s="2"/>
      <c r="L52" s="2"/>
      <c r="M52" s="2"/>
      <c r="N52" s="2"/>
      <c r="O52" s="2"/>
      <c r="P52" s="2"/>
    </row>
    <row r="53" spans="1:16" x14ac:dyDescent="0.3">
      <c r="A53" s="2"/>
      <c r="B53" s="2"/>
      <c r="C53" s="2"/>
      <c r="D53" s="2"/>
      <c r="E53" s="2"/>
      <c r="F53" s="2"/>
      <c r="G53" s="2"/>
      <c r="H53" s="2"/>
      <c r="I53" s="2"/>
      <c r="J53" s="2"/>
      <c r="K53" s="2"/>
      <c r="L53" s="2"/>
      <c r="M53" s="2"/>
      <c r="N53" s="2"/>
      <c r="O53" s="2"/>
      <c r="P53" s="2"/>
    </row>
    <row r="54" spans="1:16" x14ac:dyDescent="0.3">
      <c r="A54" s="2"/>
      <c r="B54" s="2"/>
      <c r="C54" s="2"/>
      <c r="D54" s="2"/>
      <c r="E54" s="2"/>
      <c r="F54" s="2"/>
      <c r="G54" s="2"/>
      <c r="H54" s="2"/>
      <c r="I54" s="2"/>
      <c r="J54" s="2"/>
      <c r="K54" s="2"/>
      <c r="L54" s="2"/>
      <c r="M54" s="2"/>
      <c r="N54" s="2"/>
      <c r="O54" s="2"/>
      <c r="P54" s="2"/>
    </row>
    <row r="55" spans="1:16" x14ac:dyDescent="0.3">
      <c r="A55" s="2"/>
      <c r="B55" s="2"/>
      <c r="C55" s="2"/>
      <c r="D55" s="2"/>
      <c r="E55" s="2"/>
      <c r="F55" s="2"/>
      <c r="G55" s="2"/>
      <c r="H55" s="2"/>
      <c r="I55" s="2"/>
      <c r="J55" s="2"/>
      <c r="K55" s="2"/>
      <c r="L55" s="2"/>
      <c r="M55" s="2"/>
      <c r="N55" s="2"/>
      <c r="O55" s="2"/>
      <c r="P55" s="2"/>
    </row>
    <row r="56" spans="1:16" x14ac:dyDescent="0.3">
      <c r="A56" s="2"/>
      <c r="B56" s="2"/>
      <c r="C56" s="2"/>
      <c r="D56" s="2"/>
      <c r="E56" s="2"/>
      <c r="F56" s="2"/>
      <c r="G56" s="2"/>
      <c r="H56" s="2"/>
      <c r="I56" s="2"/>
      <c r="J56" s="2"/>
      <c r="K56" s="2"/>
      <c r="L56" s="2"/>
      <c r="M56" s="2"/>
      <c r="N56" s="2"/>
      <c r="O56" s="2"/>
      <c r="P56" s="2"/>
    </row>
    <row r="57" spans="1:16" x14ac:dyDescent="0.3">
      <c r="A57" s="2"/>
      <c r="B57" s="2"/>
      <c r="C57" s="2"/>
      <c r="D57" s="2"/>
      <c r="E57" s="2"/>
      <c r="F57" s="2"/>
      <c r="G57" s="2"/>
      <c r="H57" s="2"/>
      <c r="I57" s="2"/>
      <c r="J57" s="2"/>
      <c r="K57" s="2"/>
      <c r="L57" s="2"/>
      <c r="M57" s="2"/>
      <c r="N57" s="2"/>
      <c r="O57" s="2"/>
      <c r="P57" s="2"/>
    </row>
    <row r="58" spans="1:16" x14ac:dyDescent="0.3">
      <c r="A58" s="2"/>
      <c r="B58" s="2"/>
      <c r="C58" s="2"/>
      <c r="D58" s="2"/>
      <c r="E58" s="2"/>
      <c r="F58" s="2"/>
      <c r="G58" s="2"/>
      <c r="H58" s="2"/>
      <c r="I58" s="2"/>
      <c r="J58" s="2"/>
      <c r="K58" s="2"/>
      <c r="L58" s="2"/>
      <c r="M58" s="2"/>
      <c r="N58" s="2"/>
      <c r="O58" s="2"/>
      <c r="P58" s="2"/>
    </row>
    <row r="59" spans="1:16" x14ac:dyDescent="0.3">
      <c r="A59" s="2"/>
      <c r="B59" s="2"/>
      <c r="C59" s="2"/>
      <c r="D59" s="2"/>
      <c r="E59" s="2"/>
      <c r="F59" s="2"/>
      <c r="G59" s="2"/>
      <c r="H59" s="2"/>
      <c r="I59" s="2"/>
      <c r="J59" s="2"/>
      <c r="K59" s="2"/>
      <c r="L59" s="2"/>
      <c r="M59" s="2"/>
      <c r="N59" s="2"/>
      <c r="O59" s="2"/>
      <c r="P59" s="2"/>
    </row>
    <row r="60" spans="1:16" x14ac:dyDescent="0.3">
      <c r="A60" s="2"/>
      <c r="B60" s="2"/>
      <c r="C60" s="2"/>
      <c r="D60" s="2"/>
      <c r="E60" s="2"/>
      <c r="F60" s="2"/>
      <c r="G60" s="2"/>
      <c r="H60" s="2"/>
      <c r="I60" s="2"/>
      <c r="J60" s="2"/>
      <c r="K60" s="2"/>
      <c r="L60" s="2"/>
      <c r="M60" s="2"/>
      <c r="N60" s="2"/>
      <c r="O60" s="2"/>
      <c r="P60" s="2"/>
    </row>
    <row r="61" spans="1:16" x14ac:dyDescent="0.3">
      <c r="A61" s="2"/>
      <c r="B61" s="2"/>
      <c r="C61" s="2"/>
      <c r="D61" s="2"/>
      <c r="E61" s="2"/>
      <c r="F61" s="2"/>
      <c r="G61" s="2"/>
      <c r="H61" s="2"/>
      <c r="I61" s="2"/>
      <c r="J61" s="2"/>
      <c r="K61" s="2"/>
      <c r="L61" s="2"/>
      <c r="M61" s="2"/>
      <c r="N61" s="2"/>
      <c r="O61" s="2"/>
      <c r="P61" s="2"/>
    </row>
    <row r="62" spans="1:16" x14ac:dyDescent="0.3">
      <c r="E62" s="2"/>
      <c r="F62" s="2"/>
      <c r="G62" s="2"/>
      <c r="H62" s="2"/>
      <c r="I62" s="2"/>
      <c r="J62" s="2"/>
      <c r="K62" s="2"/>
      <c r="L62" s="2"/>
      <c r="M62" s="2"/>
      <c r="N62" s="2"/>
      <c r="O62" s="2"/>
      <c r="P62" s="2"/>
    </row>
    <row r="63" spans="1:16" x14ac:dyDescent="0.3">
      <c r="A63" s="2"/>
      <c r="B63" s="2"/>
      <c r="C63" s="2"/>
      <c r="D63" s="2"/>
      <c r="E63" s="2"/>
      <c r="F63" s="2"/>
      <c r="G63" s="2"/>
      <c r="H63" s="2"/>
      <c r="I63" s="2"/>
      <c r="J63" s="2"/>
      <c r="K63" s="2"/>
      <c r="L63" s="2"/>
      <c r="M63" s="2"/>
      <c r="N63" s="2"/>
      <c r="O63" s="2"/>
      <c r="P63" s="2"/>
    </row>
    <row r="64" spans="1:16" x14ac:dyDescent="0.3">
      <c r="A64" s="2"/>
      <c r="B64" s="2"/>
      <c r="C64" s="2"/>
      <c r="D64" s="2"/>
      <c r="E64" s="2"/>
      <c r="F64" s="2"/>
      <c r="G64" s="2"/>
      <c r="H64" s="2"/>
      <c r="I64" s="2"/>
      <c r="J64" s="2"/>
      <c r="K64" s="2"/>
      <c r="L64" s="2"/>
      <c r="M64" s="2"/>
      <c r="N64" s="2"/>
      <c r="O64" s="2"/>
      <c r="P64" s="2"/>
    </row>
    <row r="65" spans="1:16" x14ac:dyDescent="0.3">
      <c r="A65" s="2"/>
      <c r="B65" s="2"/>
      <c r="C65" s="2"/>
      <c r="D65" s="2"/>
      <c r="E65" s="2"/>
      <c r="F65" s="2"/>
      <c r="G65" s="2"/>
      <c r="H65" s="2"/>
      <c r="I65" s="2"/>
      <c r="J65" s="2"/>
      <c r="K65" s="2"/>
      <c r="L65" s="2"/>
      <c r="M65" s="2"/>
      <c r="N65" s="2"/>
      <c r="O65" s="2"/>
      <c r="P65" s="2"/>
    </row>
    <row r="66" spans="1:16" x14ac:dyDescent="0.3">
      <c r="A66" s="2"/>
      <c r="B66" s="2"/>
      <c r="C66" s="2"/>
      <c r="D66" s="2"/>
      <c r="E66" s="2"/>
      <c r="F66" s="2"/>
      <c r="G66" s="2"/>
      <c r="H66" s="2"/>
      <c r="I66" s="2"/>
      <c r="J66" s="2"/>
      <c r="K66" s="2"/>
      <c r="L66" s="2"/>
      <c r="M66" s="2"/>
      <c r="N66" s="2"/>
      <c r="O66" s="2"/>
      <c r="P66" s="2"/>
    </row>
    <row r="67" spans="1:16" x14ac:dyDescent="0.3">
      <c r="A67" s="2"/>
      <c r="B67" s="2"/>
      <c r="C67" s="2"/>
      <c r="D67" s="2"/>
      <c r="E67" s="2"/>
      <c r="F67" s="2"/>
      <c r="G67" s="2"/>
      <c r="H67" s="2"/>
      <c r="I67" s="2"/>
      <c r="J67" s="2"/>
      <c r="K67" s="2"/>
      <c r="L67" s="2"/>
      <c r="M67" s="2"/>
      <c r="N67" s="2"/>
      <c r="O67" s="2"/>
      <c r="P67" s="2"/>
    </row>
    <row r="68" spans="1:16" x14ac:dyDescent="0.3">
      <c r="A68" s="2"/>
      <c r="B68" s="2"/>
      <c r="C68" s="2"/>
      <c r="D68" s="2"/>
      <c r="E68" s="2"/>
      <c r="F68" s="2"/>
      <c r="G68" s="2"/>
      <c r="H68" s="2"/>
      <c r="I68" s="2"/>
      <c r="J68" s="2"/>
      <c r="K68" s="2"/>
      <c r="L68" s="2"/>
      <c r="M68" s="2"/>
      <c r="N68" s="2"/>
      <c r="O68" s="2"/>
      <c r="P68" s="2"/>
    </row>
    <row r="69" spans="1:16" x14ac:dyDescent="0.3">
      <c r="A69" s="2"/>
      <c r="B69" s="2"/>
      <c r="C69" s="2"/>
      <c r="D69" s="2"/>
      <c r="E69" s="2"/>
      <c r="F69" s="2"/>
      <c r="G69" s="2"/>
      <c r="H69" s="2"/>
      <c r="I69" s="2"/>
      <c r="J69" s="2"/>
      <c r="K69" s="2"/>
      <c r="L69" s="2"/>
      <c r="M69" s="2"/>
      <c r="N69" s="2"/>
      <c r="O69" s="2"/>
      <c r="P69" s="2"/>
    </row>
    <row r="70" spans="1:16" x14ac:dyDescent="0.3">
      <c r="A70" s="2"/>
      <c r="B70" s="2"/>
      <c r="C70" s="2"/>
      <c r="D70" s="2"/>
      <c r="E70" s="2"/>
      <c r="F70" s="2"/>
      <c r="G70" s="2"/>
      <c r="H70" s="2"/>
      <c r="I70" s="2"/>
      <c r="J70" s="2"/>
      <c r="K70" s="2"/>
      <c r="L70" s="2"/>
      <c r="M70" s="2"/>
      <c r="N70" s="2"/>
      <c r="O70" s="2"/>
      <c r="P70" s="2"/>
    </row>
    <row r="71" spans="1:16" x14ac:dyDescent="0.3">
      <c r="A71" s="2"/>
      <c r="B71" s="2"/>
      <c r="C71" s="2"/>
      <c r="D71" s="2"/>
      <c r="E71" s="2"/>
      <c r="F71" s="2"/>
      <c r="G71" s="2"/>
      <c r="H71" s="2"/>
      <c r="I71" s="2"/>
      <c r="J71" s="2"/>
      <c r="K71" s="2"/>
      <c r="L71" s="2"/>
      <c r="M71" s="2"/>
      <c r="N71" s="2"/>
      <c r="O71" s="2"/>
      <c r="P71" s="2"/>
    </row>
    <row r="72" spans="1:16" x14ac:dyDescent="0.3">
      <c r="A72" s="2"/>
      <c r="B72" s="2"/>
      <c r="C72" s="2"/>
      <c r="D72" s="2"/>
      <c r="E72" s="2"/>
      <c r="F72" s="2"/>
      <c r="G72" s="2"/>
      <c r="H72" s="2"/>
      <c r="I72" s="2"/>
      <c r="J72" s="2"/>
      <c r="K72" s="2"/>
      <c r="L72" s="2"/>
      <c r="M72" s="2"/>
      <c r="N72" s="2"/>
      <c r="O72" s="2"/>
      <c r="P72" s="2"/>
    </row>
    <row r="73" spans="1:16" x14ac:dyDescent="0.3">
      <c r="A73" s="2"/>
      <c r="B73" s="2"/>
      <c r="C73" s="2"/>
      <c r="D73" s="2"/>
      <c r="E73" s="2"/>
      <c r="F73" s="2"/>
      <c r="G73" s="2"/>
      <c r="H73" s="2"/>
      <c r="I73" s="2"/>
      <c r="J73" s="2"/>
      <c r="K73" s="2"/>
      <c r="L73" s="2"/>
      <c r="M73" s="2"/>
      <c r="N73" s="2"/>
      <c r="O73" s="2"/>
      <c r="P73" s="2"/>
    </row>
    <row r="79" spans="1:16" ht="15" customHeight="1" x14ac:dyDescent="0.3"/>
    <row r="106" spans="16:16" x14ac:dyDescent="0.3">
      <c r="P106" s="2"/>
    </row>
    <row r="107" spans="16:16" x14ac:dyDescent="0.3">
      <c r="P107" s="2"/>
    </row>
  </sheetData>
  <dataConsolidate function="max"/>
  <mergeCells count="26">
    <mergeCell ref="G17:L18"/>
    <mergeCell ref="P17:S18"/>
    <mergeCell ref="A1:D1"/>
    <mergeCell ref="O1:R1"/>
    <mergeCell ref="T1:W1"/>
    <mergeCell ref="O2:R2"/>
    <mergeCell ref="T2:W2"/>
    <mergeCell ref="O3:R9"/>
    <mergeCell ref="T3:W3"/>
    <mergeCell ref="K4:M4"/>
    <mergeCell ref="G2:N3"/>
    <mergeCell ref="B10:B12"/>
    <mergeCell ref="D10:D12"/>
    <mergeCell ref="P11:S13"/>
    <mergeCell ref="P14:S16"/>
    <mergeCell ref="F16:G16"/>
    <mergeCell ref="P19:S21"/>
    <mergeCell ref="G21:L22"/>
    <mergeCell ref="G23:L25"/>
    <mergeCell ref="C29:D29"/>
    <mergeCell ref="C30:D30"/>
    <mergeCell ref="C31:D31"/>
    <mergeCell ref="C32:D32"/>
    <mergeCell ref="C33:D33"/>
    <mergeCell ref="C34:D34"/>
    <mergeCell ref="G19:L20"/>
  </mergeCells>
  <conditionalFormatting sqref="B8">
    <cfRule type="containsText" dxfId="31" priority="2" operator="containsText" text="NP">
      <formula>NOT(ISERROR(SEARCH("NP",B8)))</formula>
    </cfRule>
  </conditionalFormatting>
  <conditionalFormatting sqref="B33:B34">
    <cfRule type="containsText" dxfId="30" priority="8" operator="containsText" text="UL">
      <formula>NOT(ISERROR(SEARCH("UL",B33)))</formula>
    </cfRule>
    <cfRule type="containsText" dxfId="29" priority="10" operator="containsText" text="UL">
      <formula>NOT(ISERROR(SEARCH("UL",B33)))</formula>
    </cfRule>
    <cfRule type="cellIs" dxfId="28" priority="29" operator="greaterThan">
      <formula>1</formula>
    </cfRule>
    <cfRule type="containsText" dxfId="27" priority="30" operator="containsText" text="NP">
      <formula>NOT(ISERROR(SEARCH("NP",B33)))</formula>
    </cfRule>
  </conditionalFormatting>
  <conditionalFormatting sqref="C33:C34">
    <cfRule type="containsText" dxfId="26" priority="28" operator="containsText" text="NG">
      <formula>NOT(ISERROR(SEARCH("NG",C33)))</formula>
    </cfRule>
  </conditionalFormatting>
  <conditionalFormatting sqref="C33:D33">
    <cfRule type="containsText" dxfId="25" priority="14" operator="containsText" text="Unlimited">
      <formula>NOT(ISERROR(SEARCH("Unlimited",C33)))</formula>
    </cfRule>
  </conditionalFormatting>
  <conditionalFormatting sqref="C33:D34">
    <cfRule type="containsText" dxfId="24" priority="12" operator="containsText" text="Unlimited">
      <formula>NOT(ISERROR(SEARCH("Unlimited",C33)))</formula>
    </cfRule>
    <cfRule type="containsText" dxfId="23" priority="26" operator="containsText" text="NG">
      <formula>NOT(ISERROR(SEARCH("NG",C33)))</formula>
    </cfRule>
    <cfRule type="containsText" dxfId="22" priority="27" operator="containsText" text="&lt; 1 THEREFORE OK">
      <formula>NOT(ISERROR(SEARCH("&lt; 1 THEREFORE OK",C33)))</formula>
    </cfRule>
  </conditionalFormatting>
  <conditionalFormatting sqref="G1:G2">
    <cfRule type="expression" dxfId="21" priority="1">
      <formula>$B$5="E"</formula>
    </cfRule>
  </conditionalFormatting>
  <conditionalFormatting sqref="J10">
    <cfRule type="containsText" dxfId="20" priority="7" operator="containsText" text="(See note 8)">
      <formula>NOT(ISERROR(SEARCH("(See note 8)",J10)))</formula>
    </cfRule>
  </conditionalFormatting>
  <conditionalFormatting sqref="K14:K15">
    <cfRule type="containsText" dxfId="19" priority="6" operator="containsText" text="NP">
      <formula>NOT(ISERROR(SEARCH("NP",K14)))</formula>
    </cfRule>
  </conditionalFormatting>
  <conditionalFormatting sqref="K5:L6">
    <cfRule type="containsText" dxfId="18" priority="17" operator="containsText" text="NP">
      <formula>NOT(ISERROR(SEARCH("NP",K5)))</formula>
    </cfRule>
  </conditionalFormatting>
  <conditionalFormatting sqref="K6:L7">
    <cfRule type="containsText" dxfId="17" priority="19" operator="containsText" text="Required">
      <formula>NOT(ISERROR(SEARCH("Required",K6)))</formula>
    </cfRule>
  </conditionalFormatting>
  <conditionalFormatting sqref="L14">
    <cfRule type="containsText" dxfId="16" priority="5" operator="containsText" text="NP">
      <formula>NOT(ISERROR(SEARCH("NP",L14)))</formula>
    </cfRule>
  </conditionalFormatting>
  <dataValidations count="3">
    <dataValidation type="list" allowBlank="1" showInputMessage="1" showErrorMessage="1" sqref="D5 B5" xr:uid="{00000000-0002-0000-0200-000000000000}">
      <formula1>"A-1,A-2,A-3,A-4,A-5,B,E,F-1,F-2,H-1,H-2,H-3,H-4,H-5,I-1 Cond. 1,I-1 Cond. 2,I-2/I-2.1,I-3,I-4,L,M,R-1,R-2,R-2.1,R-2.2 (CA Only),R-3/R-3.1,R-4,S-1,S-2,U"</formula1>
    </dataValidation>
    <dataValidation type="list" allowBlank="1" showInputMessage="1" showErrorMessage="1" sqref="B7" xr:uid="{00000000-0002-0000-0200-000001000000}">
      <formula1>"NS, S1, SM, S13D, S13R"</formula1>
    </dataValidation>
    <dataValidation type="list" allowBlank="1" showInputMessage="1" showErrorMessage="1" sqref="B6" xr:uid="{00000000-0002-0000-0200-000002000000}">
      <formula1>"I-A,I-B,II-A,II-B,III-A,III-B,IV-A,IV-B,IV-C,IV-HT,V-A,V-B"</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7"/>
  <sheetViews>
    <sheetView workbookViewId="0">
      <selection activeCell="B3" sqref="B3"/>
    </sheetView>
  </sheetViews>
  <sheetFormatPr defaultRowHeight="14.4" x14ac:dyDescent="0.3"/>
  <cols>
    <col min="1" max="1" width="41.44140625" customWidth="1"/>
    <col min="2" max="2" width="26.109375" customWidth="1"/>
    <col min="3" max="3" width="2.44140625" customWidth="1"/>
    <col min="4" max="4" width="20.33203125" customWidth="1"/>
    <col min="5" max="5" width="2.5546875" customWidth="1"/>
    <col min="6" max="6" width="3.44140625" customWidth="1"/>
    <col min="7" max="7" width="15.6640625" customWidth="1"/>
    <col min="16" max="16" width="9.109375" customWidth="1"/>
    <col min="21" max="21" width="9.109375" customWidth="1"/>
  </cols>
  <sheetData>
    <row r="1" spans="1:23" ht="18.600000000000001" thickBot="1" x14ac:dyDescent="0.35">
      <c r="A1" s="98" t="s">
        <v>199</v>
      </c>
      <c r="B1" s="99"/>
      <c r="C1" s="99"/>
      <c r="D1" s="100"/>
      <c r="E1" s="2"/>
      <c r="F1" s="2"/>
      <c r="G1" s="2" t="str">
        <f>IF(B5="E","AZ: Sprinklers required is above grade set.","")</f>
        <v/>
      </c>
      <c r="I1" s="2"/>
      <c r="J1" s="2"/>
      <c r="K1" s="2"/>
      <c r="L1" s="2"/>
      <c r="M1" s="2"/>
      <c r="N1" s="2"/>
      <c r="O1" s="73" t="s">
        <v>132</v>
      </c>
      <c r="P1" s="74"/>
      <c r="Q1" s="74"/>
      <c r="R1" s="75"/>
      <c r="T1" s="76" t="s">
        <v>149</v>
      </c>
      <c r="U1" s="77"/>
      <c r="V1" s="77"/>
      <c r="W1" s="78"/>
    </row>
    <row r="2" spans="1:23" ht="15" thickBot="1" x14ac:dyDescent="0.35">
      <c r="A2" s="2"/>
      <c r="B2" s="2"/>
      <c r="C2" s="2"/>
      <c r="D2" s="2"/>
      <c r="E2" s="2"/>
      <c r="F2" s="2"/>
      <c r="G2" s="70" t="str">
        <f>IF(B5="E","FL, GA, RI, &amp; DE: Sprinklers required.  Exception: Under 1,000 sq. ft., single classroom, and less than 30' from other buildings. (NFPA 101: 14.3.5) / No exception for SREF classroom for FL.","")</f>
        <v/>
      </c>
      <c r="H2" s="70"/>
      <c r="I2" s="70"/>
      <c r="J2" s="70"/>
      <c r="K2" s="70"/>
      <c r="L2" s="70"/>
      <c r="M2" s="70"/>
      <c r="N2" s="71"/>
      <c r="O2" s="73" t="str">
        <f>B$6</f>
        <v>V-B</v>
      </c>
      <c r="P2" s="74"/>
      <c r="Q2" s="74"/>
      <c r="R2" s="75"/>
      <c r="T2" s="79" t="str">
        <f>B7</f>
        <v>NS</v>
      </c>
      <c r="U2" s="80"/>
      <c r="V2" s="80"/>
      <c r="W2" s="81"/>
    </row>
    <row r="3" spans="1:23" ht="15" thickBot="1" x14ac:dyDescent="0.35">
      <c r="A3" s="6" t="s">
        <v>53</v>
      </c>
      <c r="B3" s="54"/>
      <c r="C3" s="2"/>
      <c r="D3" s="2"/>
      <c r="E3" s="2"/>
      <c r="F3" s="2"/>
      <c r="G3" s="70"/>
      <c r="H3" s="70"/>
      <c r="I3" s="70"/>
      <c r="J3" s="70"/>
      <c r="K3" s="70"/>
      <c r="L3" s="70"/>
      <c r="M3" s="70"/>
      <c r="N3" s="71"/>
      <c r="O3" s="55" t="str">
        <f>IF(O2="I-A","Buildings of Non-Combustible material.  Type A require structural framing / elements to be 3-hr. rated.  Exception: Fire retardent treated wood at non-bearing walls rated 2-hrs or less.  See Section 603 for additional exceptions.",IF(O2="I-B","Buildings of Non-Combustible material.  Type B require no fire rating.  Exception: Fire retardent treated wood at non-bearing walls rated 2-hrs or less.  See Section 603 for additional exceptions",IF(O2="II-A","Buildings of Non-Combustible material.  Type A require structural framing / elements to be 1-hr. rating.  Exception: Fire retardent treated wood at non-bearing walls rated 2-hrs or less.  See Section 603 for additional exceptions.",IF(O2="II-B","Buildings of Non-Combustible material.  Type B require no fire rating.  Exception: Fire retardent treated wood at non-bearing walls rated 2-hrs or less.  See Section 603 for additional exceptions.",IF(O2="III-A","Ext. walls are non-combustible material, int. walls are non-combustible material.   Type A require structural framing / elements to be 1-hr. rated, ext. walls are 2-hr rated.  Ext. walls can be reduced to 1-hr. rated when supporting a roof only.",IF(O2="III-B","Exterior walls are of non-combustible material and interior walls can be made of non-combustible material.   Type B require no fire rating of structural framing / elements.",IF(O2="IV-HT","Ext. walls are of non-combustible material and int. building elements are of solid wood, laminate wood, heavy timber or structural composite lumber.   Ext. walls are required to be 2-hr. rated.  Structural elements are to be with material listed above.",IF(O2="V-A","All exterior and interior walls made of combustible material.  Type A require structural framing / elements to be 1-hr. rated.",IF(O2="V-B","All exterior and interior walls made of combustible material.  Type B requires no rating of structural framing / elements.","")))))))))</f>
        <v>All exterior and interior walls made of combustible material.  Type B requires no rating of structural framing / elements.</v>
      </c>
      <c r="P3" s="56"/>
      <c r="Q3" s="56"/>
      <c r="R3" s="57"/>
      <c r="T3" s="82" t="str">
        <f>IF(T2="NS","NS: Non Sprinkled",IF(T2="S1","S1: NFPA 13 Single Story Sprinkled",IF(T2="SM","SM: NFPA 13 Multi-Story Sprinkled",IF(T2="S13R","S13R: Residential Sprinkler System",IF(T2="S13D","S13D: Residential Sprinkler System","")))))</f>
        <v>NS: Non Sprinkled</v>
      </c>
      <c r="U3" s="83"/>
      <c r="V3" s="83"/>
      <c r="W3" s="84"/>
    </row>
    <row r="4" spans="1:23" ht="15" thickBot="1" x14ac:dyDescent="0.35">
      <c r="A4" s="2"/>
      <c r="B4" s="30" t="s">
        <v>104</v>
      </c>
      <c r="C4" s="2"/>
      <c r="D4" s="30" t="s">
        <v>105</v>
      </c>
      <c r="E4" s="2"/>
      <c r="F4" s="29" t="s">
        <v>58</v>
      </c>
      <c r="G4" s="29"/>
      <c r="H4" s="2"/>
      <c r="I4" s="2"/>
      <c r="J4" s="2"/>
      <c r="K4" s="64" t="str">
        <f>IF(OR(L5="NP",L5="NP W/ S13R",L5="NP / Use I-A or I-B Construction",L5="NP W/ S13D",L5="NP W/O S1 or SM Sprinklers",L5="NP W/ II-B, III-B, IV-HT, V-B Construction",L5="NP W/ II-B, III-B, IV-HT (OK Sprinkled), V-B Construction",L5="NP / Construction V-A Only",L5="NP W/ V-B Construction",L6="NP",L6="NP W/ S13R",L6="NP / Use I-A or I-B Construction",L6="NP W/ S13D",L6="NP W/O S1 or SM Sprinklers",L6="NP W/ II-B, III-B, IV-HT, V-B Construction",L6="NP W/ II-B, III-B, IV-HT (OK Sprinkled), V-B Construction",L6="NP / Construction V-A Only",L6="NP W/ V-B Construction"),"Note: NP = Not Permitted",IF(OR(L5="UL",L6="UL",L7="UL",),"Note: UL = Unlimited",""))</f>
        <v/>
      </c>
      <c r="L4" s="64"/>
      <c r="M4" s="64"/>
      <c r="O4" s="58"/>
      <c r="P4" s="59"/>
      <c r="Q4" s="59"/>
      <c r="R4" s="60"/>
    </row>
    <row r="5" spans="1:23" ht="15" thickBot="1" x14ac:dyDescent="0.35">
      <c r="A5" s="6" t="s">
        <v>1</v>
      </c>
      <c r="B5" s="49" t="s">
        <v>10</v>
      </c>
      <c r="C5" s="2"/>
      <c r="D5" s="49" t="s">
        <v>19</v>
      </c>
      <c r="E5" s="2"/>
      <c r="F5" s="2">
        <v>1</v>
      </c>
      <c r="G5" s="2" t="s">
        <v>95</v>
      </c>
      <c r="H5" s="2"/>
      <c r="I5" s="2"/>
      <c r="J5" s="2"/>
      <c r="K5" s="25">
        <f>IF(B7="NS",'Allowable area Table 506.2'!J34,IF(B7="S1",'Allowable area Table 506.2'!V34,IF(B7="SM",'Allowable area Table 506.2'!AH34,IF(B7="S13D",'Allowable area Table 506.2'!BF34,IF(B7="S13R",'Allowable area Table 506.2'!BR34,0)))))</f>
        <v>9000</v>
      </c>
      <c r="L5" s="25">
        <f>IF(B7="NS",'Allowable area Table 506.2'!K34,IF(B7="S1",'Allowable area Table 506.2'!W34,IF(B7="SM",'Allowable area Table 506.2'!AI34,IF(B7="S13D",'Allowable area Table 506.2'!BG34,IF(B7="S13R",'Allowable area Table 506.2'!BS34,0)))))</f>
        <v>9500</v>
      </c>
      <c r="M5" s="2"/>
      <c r="N5" s="18"/>
      <c r="O5" s="58"/>
      <c r="P5" s="59"/>
      <c r="Q5" s="59"/>
      <c r="R5" s="60"/>
    </row>
    <row r="6" spans="1:23" ht="15" thickBot="1" x14ac:dyDescent="0.35">
      <c r="A6" s="6" t="s">
        <v>2</v>
      </c>
      <c r="B6" s="49" t="s">
        <v>70</v>
      </c>
      <c r="C6" s="2"/>
      <c r="D6" s="13"/>
      <c r="E6" s="2"/>
      <c r="F6" s="2"/>
      <c r="G6" s="2" t="s">
        <v>82</v>
      </c>
      <c r="H6" s="2"/>
      <c r="I6" s="2"/>
      <c r="J6" s="2"/>
      <c r="K6" s="2" t="str">
        <f>IF(AND(B5="R-1",OR(B7="NS",B7="S13D")),"S13R Required",IF(AND(B5="R-2",OR(B7="NS",B7="S13D")),"S13R Required",IF(AND(B5="R-2.1",OR(B7="NS",B7="S13D")),"S13R Required",IF(AND(B5="R-2.2 (CA Only)",OR(B7="NS",B7="S13R",B7="S13D")),"S1 OR SM Required",IF(AND(B5="R-3/r-3.1",OR(B7="NS")),"S13D OR S13R Required",IF(AND(B5="R-4",OR(B7="NS",B7="S13D")),"S13D OR S13R Required",IF(AND(B5="i-1 Cond. 1",OR(B7="NS",B7="S13D")),"S13R or S1 or SM Required",IF(AND(B7="S13R",OR(B5="A-1",B5="A-2",B5="A-3",B5="A-4",B5="A-5",B5="B",B5="E",B5="F-1",B5="F-2",B5="H-1",B5="H-2",B5="H-3",B5="H-4",B5="H-5",B5="I-1 COND. 2",B5="I-2/I-2.1",B5="I-3",B5="I-4",B5="L",B5="M",B5="S-1",B5="S-2",B5="U")),"NP",IF(AND(B7="S13D",OR(B5="A-1",B5="A-2",B5="A-3",B5="A-4",B5="A-5",B5="B",B5="E",B5="F-1",B5="F-2",B5="H-1",B5="H-2",B5="H-3",B5="H-4",B5="H-5",B5="I-1 COND. 2",B5="I-2/I-2.1",B5="I-3",B5="I-4",B5="L",B5="M",B5="S-1",B5="S-2",B5="U")),"NP",IF(K5="NP W/ 13D","NP",IF(B7="S13R","Yes",IF(B7="S13D","Yes","None"))))))))))))</f>
        <v>None</v>
      </c>
      <c r="L6" s="2" t="str">
        <f>IF(AND(D5="R-1",OR(B7="NS",B7="S13D")),"S13R Required",IF(AND(D5="R-2",OR(B7="NS",B7="S13D")),"S13R Required",IF(AND(D5="R-2.1",OR(B7="NS",B7="S13D")),"S13R Required",IF(AND(D5="R-2.2 (CA Only)",OR(B7="NS",B7="S13R",B7="S13D")),"S1 OR SM Required",IF(AND(D5="R-3/r-3.1",OR(B7="NS")),"S13D OR S13R Required",IF(AND(D5="R-4",OR(B7="NS",B7="S13D")),"S13D OR S13R Required",IF(AND(D5="i-1 Cond. 1",OR(B7="NS",B7="S13D")),"S13R or S1 or SM Required",IF(AND(B7="S13R",OR(D5="A-1",D5="A-2",D5="A-3",D5="A-4",D5="A-5",D5="B",D5="E",D5="F-1",D5="F-2",D5="H-1",D5="H-2",D5="H-3",D5="H-4",D5="H-5",D5="I-1 COND. 2",D5="I-2/I-2.1",D5="I-3",D5="I-4",D5="L",D5="M",D5="S-1",D5="S-2",D5="U")),"NP",IF(AND(B7="S13D",OR(D5="A-1",D5="A-2",D5="A-3",D5="A-4",D5="A-5",D5="B",D5="E",D5="F-1",D5="F-2",D5="H-1",D5="H-2",D5="H-3",D5="H-4",D5="H-5",D5="I-1 COND. 2",D5="I-2/I-2.1",D5="I-3",D5="I-4",D5="L",D5="M",D5="S-1",D5="S-2",D5="U")),"NP",IF(K5="NP W/ 13D","NP",IF(B7="S13R","Yes",IF(B7="S13D","Yes","None"))))))))))))</f>
        <v>None</v>
      </c>
      <c r="M6" s="2"/>
      <c r="N6" s="18"/>
      <c r="O6" s="58"/>
      <c r="P6" s="59"/>
      <c r="Q6" s="59"/>
      <c r="R6" s="60"/>
    </row>
    <row r="7" spans="1:23" ht="15" thickBot="1" x14ac:dyDescent="0.35">
      <c r="A7" s="6" t="s">
        <v>3</v>
      </c>
      <c r="B7" s="49" t="s">
        <v>12</v>
      </c>
      <c r="C7" s="2"/>
      <c r="D7" s="2"/>
      <c r="E7" s="2"/>
      <c r="F7" s="2"/>
      <c r="G7" s="2" t="s">
        <v>61</v>
      </c>
      <c r="H7" s="2"/>
      <c r="I7" s="2"/>
      <c r="J7" s="2"/>
      <c r="K7" s="25" t="str">
        <f>IF(AND(B5="I-1 Cond. 2",OR(B7="S13R",B7="S13D",B7="NS")),"Required",IF(AND(B5="I-4",OR(B7="S13R",B7="S13D",B7="NS")),"Required",IF(AND(B5="I-1",OR(B7="S13R",B7="S13D",B7="NS")),"Required",IF(AND(B5="I-2/I-2.1",OR(B7="S13R",B7="S13D",B7="NS")),"Required",IF(AND(B5="I-3",OR(B7="S13R",B7="S13D",B7="NS")),"Required",IF(AND(B5="H-1",OR(B7="S13R",B7="S13D",B7="NS")),"Required",IF(AND(B5="H-2",OR(B7="S13R",B7="S13D",B7="NS")),"Required",IF(AND(B5="H-3",OR(B7="S13R",B7="S13D",B7="NS")),"Required",IF(AND(B5="H-4",OR(B7="S13R",B7="S13D",B7="NS")),"Required",IF(AND(B5="H-5",OR(B7="S13R",B7="S13D",B7="NS")),"Required",IF(B7="NS","None",IF(B7="S13R","None",IF(B7="S13D","None","Yes")))))))))))))</f>
        <v>None</v>
      </c>
      <c r="L7" s="42" t="str">
        <f>IF(AND(D5="I-1 Cond. 2",OR(B7="S13R",B7="S13D",B7="NS")),"Required",IF(AND(D5="I-4",OR(B7="S13R",B7="S13D",B7="NS")),"Required",IF(AND(D5="I-1",OR(B7="S13R",B7="S13D",B7="NS")),"Required",IF(AND(D5="I-2/I-2.1",OR(B7="S13R",B7="S13D",B7="NS")),"Required",IF(AND(D5="I-3",OR(B7="S13R",B7="S13D",B7="NS")),"Required",IF(AND(D5="H-1",OR(B7="S13R",B7="S13D",B7="NS")),"Required",IF(AND(D5="H-2",OR(B7="S13R",B7="S13D",B7="NS")),"Required",IF(AND(D5="H-3",OR(B7="S13R",B7="S13D",B7="NS")),"Required",IF(AND(D5="H-4",OR(B7="S13R",B7="S13D",B7="NS")),"Required",IF(AND(D5="H-5",OR(B7="S13R",B7="S13D",B7="NS")),"Required",IF(B7="NS","None",IF(B7="S13R","None",IF(B7="S13D","None","Yes")))))))))))))</f>
        <v>None</v>
      </c>
      <c r="M7" s="2"/>
      <c r="N7" s="18"/>
      <c r="O7" s="58"/>
      <c r="P7" s="59"/>
      <c r="Q7" s="59"/>
      <c r="R7" s="60"/>
    </row>
    <row r="8" spans="1:23" x14ac:dyDescent="0.3">
      <c r="A8" s="6"/>
      <c r="B8" s="25" t="str">
        <f>IF(AND(B9="i-3",(OR(B10="v-b",B10="v-a",B10="iv-ht",B10="iv-c",B10="iv-b",B10="iv-a",B10="iii-b",B10="iii-a",B10="ii-b",B10="ii-a"))),"NP in California only.  Use Construction Type I-A or I-B.",IF(AND(B9="I-2/I-2.1",(OR(B10="iv-c",B10="iv-b",B10="iv-a",B10="iii-b"))),"Construction type IV-A, IV-B, IV-C, &amp; III-B NP in California only.",""))</f>
        <v/>
      </c>
      <c r="C8" s="2"/>
      <c r="D8" s="2"/>
      <c r="E8" s="2"/>
      <c r="F8" s="1">
        <v>3</v>
      </c>
      <c r="G8" s="2" t="s">
        <v>94</v>
      </c>
      <c r="H8" s="2"/>
      <c r="I8" s="2"/>
      <c r="J8" s="2"/>
      <c r="K8" s="25"/>
      <c r="L8" s="25"/>
      <c r="M8" s="2"/>
      <c r="N8" s="18"/>
      <c r="O8" s="58"/>
      <c r="P8" s="59"/>
      <c r="Q8" s="59"/>
      <c r="R8" s="60"/>
    </row>
    <row r="9" spans="1:23" ht="15" thickBot="1" x14ac:dyDescent="0.35">
      <c r="A9" s="2"/>
      <c r="B9" s="2"/>
      <c r="C9" s="2"/>
      <c r="D9" s="2"/>
      <c r="E9" s="2"/>
      <c r="F9" s="1"/>
      <c r="G9" s="2" t="s">
        <v>143</v>
      </c>
      <c r="H9" s="2"/>
      <c r="I9" s="2"/>
      <c r="J9" s="2"/>
      <c r="K9" s="40">
        <f>SUM(((K11/K10)-0.25)*(K12/30))</f>
        <v>0.5</v>
      </c>
      <c r="L9" s="40">
        <f>SUM(((L11/L10)-0.25)*(L12/30))</f>
        <v>0.5</v>
      </c>
      <c r="M9" s="2"/>
      <c r="N9" s="18"/>
      <c r="O9" s="61"/>
      <c r="P9" s="62"/>
      <c r="Q9" s="62"/>
      <c r="R9" s="63"/>
    </row>
    <row r="10" spans="1:23" ht="14.4" customHeight="1" x14ac:dyDescent="0.3">
      <c r="A10" s="1"/>
      <c r="B10" s="67" t="s">
        <v>122</v>
      </c>
      <c r="C10" s="1"/>
      <c r="D10" s="67" t="s">
        <v>92</v>
      </c>
      <c r="E10" s="1"/>
      <c r="F10" s="1"/>
      <c r="G10" s="2" t="s">
        <v>141</v>
      </c>
      <c r="H10" s="2"/>
      <c r="I10" s="2"/>
      <c r="J10" s="2"/>
      <c r="K10" s="25">
        <f>SUM(B13:B27)</f>
        <v>168</v>
      </c>
      <c r="L10" s="25">
        <f>SUM(B13:B27)</f>
        <v>168</v>
      </c>
      <c r="M10" s="2"/>
      <c r="N10" s="2"/>
      <c r="O10" s="35" t="s">
        <v>58</v>
      </c>
      <c r="Q10" s="34"/>
      <c r="R10" s="34"/>
    </row>
    <row r="11" spans="1:23" x14ac:dyDescent="0.3">
      <c r="A11" s="1"/>
      <c r="B11" s="68"/>
      <c r="C11" s="1"/>
      <c r="D11" s="68"/>
      <c r="E11" s="1"/>
      <c r="F11" s="1"/>
      <c r="G11" s="2" t="s">
        <v>142</v>
      </c>
      <c r="H11" s="2"/>
      <c r="J11" s="6" t="str">
        <f>IF(K11&lt;(K10/4),"(See note 4)","")</f>
        <v/>
      </c>
      <c r="K11" s="25">
        <f>IF(D13&lt;20,0,B13)+IF(D14&lt;20,0,B14)+IF(D15&lt;20,0,B15)+IF(D17&lt;20,0,B17)+IF(D18&lt;20,0,B18)+IF(D19&lt;20,0,B19)+IF(D21&lt;20,0,B21)+IF(D22&lt;20,0,B22)+IF(D23&lt;20,0,B23)+IF(D25&lt;20,0,B25)+IF(D26&lt;20,0,B26)+IF(D27&lt;20,0,B27)</f>
        <v>168</v>
      </c>
      <c r="L11" s="25">
        <f>IF(D13&lt;20,0,B13)+IF(D14&lt;20,0,B14)+IF(D15&lt;20,0,B15)+IF(D17&lt;20,0,B17)+IF(D18&lt;20,0,B18)+IF(D19&lt;20,0,B19)+IF(D21&lt;20,0,B21)+IF(D22&lt;20,0,B22)+IF(D23&lt;20,0,B23)+IF(D25&lt;20,0,B25)+IF(D26&lt;20,0,B26)+IF(D27&lt;20,0,B27)</f>
        <v>168</v>
      </c>
      <c r="M11" s="2"/>
      <c r="N11" s="2"/>
      <c r="O11">
        <v>1</v>
      </c>
      <c r="P11" s="66" t="s">
        <v>124</v>
      </c>
      <c r="Q11" s="66"/>
      <c r="R11" s="66"/>
      <c r="S11" s="66"/>
    </row>
    <row r="12" spans="1:23" ht="15" thickBot="1" x14ac:dyDescent="0.35">
      <c r="A12" s="1"/>
      <c r="B12" s="69"/>
      <c r="C12" s="1"/>
      <c r="D12" s="69"/>
      <c r="E12" s="1"/>
      <c r="F12" s="2"/>
      <c r="G12" s="2" t="s">
        <v>91</v>
      </c>
      <c r="H12" s="2"/>
      <c r="I12" s="2"/>
      <c r="J12" s="2"/>
      <c r="K12" s="25">
        <f>SUM(IF(OR(D13&lt;20,D13&gt;30),0,(B13*D13))+IF(D13&gt;30,(B13*30),0)+IF(OR(D14&lt;20,D14&gt;30),0,(B14*D14))+IF(D14&gt;30,(B14*30),0)+IF(OR(D15&lt;20,D15&gt;30),0,(B15*D15))+IF(D15&gt;30,(B15*30),0)+IF(OR(D17&lt;20,D17&gt;30),0,(B17*D17))+IF(D17&gt;30,(B17*30),0)+IF(OR(D18&lt;20,D18&gt;30),0,(B18*D18))+IF(D18&gt;30,(B18*30),0)+IF(OR(D19&lt;20,D19&gt;30),0,(B19*D19))+IF(D19&gt;30,(B19*30),0)+IF(OR(D21&lt;20,D21&gt;30),0,(B21*D21))+IF(D21&gt;30,(B21*30),0)+IF(OR(D22&lt;20,D22&gt;30),0,(B22*D22))+IF(D22&gt;30,(B22*30),0)+IF(OR(D23&lt;20,D23&gt;30),0,(B23*D23))+IF(D23&gt;30,(B23*30),0)+IF(OR(D25&lt;20,D25&gt;30),0,(B25*D25))+IF(D25&gt;30,(B25*30),0)+IF(OR(D26&lt;20,D26&gt;30),0,(B26*D26))+IF(D26&gt;30,(B26*30),0)+IF(OR(D27&lt;20,D27&gt;30),0,(B27*D27))+IF(D27&gt;30,(B27*30),0),0)/K11</f>
        <v>20</v>
      </c>
      <c r="L12" s="25">
        <f>SUM(IF(OR(D13&lt;20,D13&gt;30),0,(B13*D13))+IF(D13&gt;30,(B13*30),0)+IF(OR(D14&lt;20,D14&gt;30),0,(B14*D14))+IF(D14&gt;30,(B14*30),0)+IF(OR(D15&lt;20,D15&gt;30),0,(B15*D15))+IF(D15&gt;30,(B15*30),0)+IF(OR(D17&lt;20,D17&gt;30),0,(B17*D17))+IF(D17&gt;30,(B17*30),0)+IF(OR(D18&lt;20,D18&gt;30),0,(B18*D18))+IF(D18&gt;30,(B18*30),0)+IF(OR(D19&lt;20,D19&gt;30),0,(B19*D19))+IF(D19&gt;30,(B19*30),0)+IF(OR(D21&lt;20,D21&gt;30),0,(B21*D21))+IF(D21&gt;30,(B21*30),0)+IF(OR(D22&lt;20,D22&gt;30),0,(B22*D22))+IF(D22&gt;30,(B22*30),0)+IF(OR(D23&lt;20,D23&gt;30),0,(B23*D23))+IF(D23&gt;30,(B23*30),0)+IF(OR(D25&lt;20,D25&gt;30),0,(B25*D25))+IF(D25&gt;30,(B25*30),0)+IF(OR(D26&lt;20,D26&gt;30),0,(B26*D26))+IF(D26&gt;30,(B26*30),0)+IF(OR(D27&lt;20,D27&gt;30),0,(B27*D27))+IF(D27&gt;30,(B27*30),0),0)/L11</f>
        <v>20</v>
      </c>
      <c r="M12" s="2"/>
      <c r="N12" s="2"/>
      <c r="P12" s="66"/>
      <c r="Q12" s="66"/>
      <c r="R12" s="66"/>
      <c r="S12" s="66"/>
    </row>
    <row r="13" spans="1:23" x14ac:dyDescent="0.3">
      <c r="A13" s="6" t="s">
        <v>5</v>
      </c>
      <c r="B13" s="50">
        <v>60</v>
      </c>
      <c r="C13" s="1"/>
      <c r="D13" s="52">
        <v>20</v>
      </c>
      <c r="E13" s="1"/>
      <c r="F13" s="1">
        <v>4</v>
      </c>
      <c r="G13" s="2" t="s">
        <v>174</v>
      </c>
      <c r="H13" s="2"/>
      <c r="I13" s="2"/>
      <c r="J13" s="2"/>
      <c r="K13" s="25">
        <f>IF(OR(K5="UL",K5="NP",K5="NP W/ S13R",K5="NP / Use I-A or I-B Construction",K5="NP W/ S13D",K5="NP W/O S1 or SM Sprinklers",K5="NP W/ II-B, III-B, IV-HT, V-B Construction",K5="NP W/ II-B, III-B, IV-HT (OK Sprinkled), V-B Construction",K5="NP / Construction V-A Only",K5="NP W/ V-B Construction"),K5,(K5+(K5*K9)))</f>
        <v>13500</v>
      </c>
      <c r="L13" s="25">
        <f>IF(OR(L5="UL",L5="NP",L5="NP W/ S13R",L5="NP / Use I-A or I-B Construction",L5="NP W/ S13D",L5="NP W/O S1 or SM Sprinklers",L5="NP W/ II-B, III-B, IV-HT, V-B Construction",L5="NP W/ II-B, III-B, IV-HT (OK Sprinkled), V-B Construction",L5="NP / Construction V-A Only",L5="NP W/ V-B Construction"),L5,(L5+(L5*L9)))</f>
        <v>14250</v>
      </c>
      <c r="M13" s="2"/>
      <c r="N13" s="2"/>
      <c r="P13" s="66"/>
      <c r="Q13" s="66"/>
      <c r="R13" s="66"/>
      <c r="S13" s="66"/>
    </row>
    <row r="14" spans="1:23" x14ac:dyDescent="0.3">
      <c r="A14" s="2"/>
      <c r="B14" s="51"/>
      <c r="C14" s="2"/>
      <c r="D14" s="51"/>
      <c r="E14" s="1"/>
      <c r="M14" s="2"/>
      <c r="N14" s="2"/>
      <c r="O14">
        <v>2</v>
      </c>
      <c r="P14" s="66" t="s">
        <v>123</v>
      </c>
      <c r="Q14" s="66"/>
      <c r="R14" s="66"/>
      <c r="S14" s="66"/>
    </row>
    <row r="15" spans="1:23" x14ac:dyDescent="0.3">
      <c r="A15" s="2"/>
      <c r="B15" s="51"/>
      <c r="C15" s="2"/>
      <c r="D15" s="51"/>
      <c r="E15" s="1"/>
      <c r="M15" s="2"/>
      <c r="N15" s="2"/>
      <c r="P15" s="66"/>
      <c r="Q15" s="66"/>
      <c r="R15" s="66"/>
      <c r="S15" s="66"/>
    </row>
    <row r="16" spans="1:23" x14ac:dyDescent="0.3">
      <c r="A16" s="2"/>
      <c r="B16" s="2"/>
      <c r="C16" s="2"/>
      <c r="D16" s="2"/>
      <c r="E16" s="1"/>
      <c r="F16" s="85" t="s">
        <v>98</v>
      </c>
      <c r="G16" s="85"/>
      <c r="H16" s="2"/>
      <c r="I16" s="2"/>
      <c r="J16" s="2"/>
      <c r="K16" s="2"/>
      <c r="L16" s="22"/>
      <c r="M16" s="2"/>
      <c r="N16" s="2"/>
      <c r="P16" s="66"/>
      <c r="Q16" s="66"/>
      <c r="R16" s="66"/>
      <c r="S16" s="66"/>
    </row>
    <row r="17" spans="1:19" ht="15" customHeight="1" x14ac:dyDescent="0.3">
      <c r="A17" s="6" t="s">
        <v>7</v>
      </c>
      <c r="B17" s="51">
        <v>24</v>
      </c>
      <c r="C17" s="2"/>
      <c r="D17" s="51">
        <v>20</v>
      </c>
      <c r="E17" s="1"/>
      <c r="F17" s="27">
        <v>1</v>
      </c>
      <c r="G17" s="70" t="s">
        <v>113</v>
      </c>
      <c r="H17" s="70"/>
      <c r="I17" s="70"/>
      <c r="J17" s="70"/>
      <c r="K17" s="70"/>
      <c r="L17" s="70"/>
      <c r="N17" s="2"/>
      <c r="O17">
        <v>3</v>
      </c>
      <c r="P17" s="66" t="s">
        <v>125</v>
      </c>
      <c r="Q17" s="66"/>
      <c r="R17" s="66"/>
      <c r="S17" s="66"/>
    </row>
    <row r="18" spans="1:19" x14ac:dyDescent="0.3">
      <c r="A18" s="2"/>
      <c r="B18" s="51"/>
      <c r="C18" s="2"/>
      <c r="D18" s="51"/>
      <c r="E18" s="1"/>
      <c r="F18" s="6"/>
      <c r="G18" s="70"/>
      <c r="H18" s="70"/>
      <c r="I18" s="70"/>
      <c r="J18" s="70"/>
      <c r="K18" s="70"/>
      <c r="L18" s="70"/>
      <c r="M18" s="2"/>
      <c r="N18" s="2"/>
      <c r="P18" s="66"/>
      <c r="Q18" s="66"/>
      <c r="R18" s="66"/>
      <c r="S18" s="66"/>
    </row>
    <row r="19" spans="1:19" ht="15" customHeight="1" x14ac:dyDescent="0.3">
      <c r="A19" s="2"/>
      <c r="B19" s="51"/>
      <c r="C19" s="2"/>
      <c r="D19" s="51"/>
      <c r="E19" s="1"/>
      <c r="F19" s="6">
        <v>2</v>
      </c>
      <c r="G19" s="70" t="s">
        <v>112</v>
      </c>
      <c r="H19" s="70"/>
      <c r="I19" s="70"/>
      <c r="J19" s="70"/>
      <c r="K19" s="70"/>
      <c r="L19" s="70"/>
      <c r="M19" s="2"/>
      <c r="N19" s="2"/>
      <c r="O19">
        <v>4</v>
      </c>
      <c r="P19" s="66" t="s">
        <v>126</v>
      </c>
      <c r="Q19" s="66"/>
      <c r="R19" s="66"/>
      <c r="S19" s="66"/>
    </row>
    <row r="20" spans="1:19" x14ac:dyDescent="0.3">
      <c r="A20" s="2"/>
      <c r="B20" s="2"/>
      <c r="C20" s="2"/>
      <c r="D20" s="2"/>
      <c r="E20" s="2"/>
      <c r="F20" s="27"/>
      <c r="G20" s="70"/>
      <c r="H20" s="70"/>
      <c r="I20" s="70"/>
      <c r="J20" s="70"/>
      <c r="K20" s="70"/>
      <c r="L20" s="70"/>
      <c r="M20" s="2"/>
      <c r="N20" s="2"/>
      <c r="P20" s="66"/>
      <c r="Q20" s="66"/>
      <c r="R20" s="66"/>
      <c r="S20" s="66"/>
    </row>
    <row r="21" spans="1:19" ht="15" customHeight="1" x14ac:dyDescent="0.3">
      <c r="A21" s="6" t="s">
        <v>6</v>
      </c>
      <c r="B21" s="51">
        <v>60</v>
      </c>
      <c r="C21" s="2"/>
      <c r="D21" s="51">
        <v>20</v>
      </c>
      <c r="E21" s="1"/>
      <c r="F21" s="27">
        <v>3</v>
      </c>
      <c r="G21" s="70" t="s">
        <v>119</v>
      </c>
      <c r="H21" s="70"/>
      <c r="I21" s="70"/>
      <c r="J21" s="70"/>
      <c r="K21" s="70"/>
      <c r="L21" s="70"/>
      <c r="M21" s="2"/>
      <c r="N21" s="2"/>
      <c r="P21" s="66"/>
      <c r="Q21" s="66"/>
      <c r="R21" s="66"/>
      <c r="S21" s="66"/>
    </row>
    <row r="22" spans="1:19" ht="15" customHeight="1" x14ac:dyDescent="0.3">
      <c r="A22" s="2"/>
      <c r="B22" s="51"/>
      <c r="C22" s="2"/>
      <c r="D22" s="51"/>
      <c r="E22" s="2"/>
      <c r="F22" s="6"/>
      <c r="G22" s="70"/>
      <c r="H22" s="70"/>
      <c r="I22" s="70"/>
      <c r="J22" s="70"/>
      <c r="K22" s="70"/>
      <c r="L22" s="70"/>
      <c r="M22" s="2"/>
      <c r="N22" s="2"/>
      <c r="O22" s="18"/>
      <c r="P22" s="2"/>
    </row>
    <row r="23" spans="1:19" x14ac:dyDescent="0.3">
      <c r="A23" s="2"/>
      <c r="B23" s="51"/>
      <c r="C23" s="2"/>
      <c r="D23" s="51"/>
      <c r="E23" s="7"/>
      <c r="F23" s="2">
        <v>4</v>
      </c>
      <c r="G23" s="70" t="s">
        <v>121</v>
      </c>
      <c r="H23" s="70"/>
      <c r="I23" s="70"/>
      <c r="J23" s="70"/>
      <c r="K23" s="70"/>
      <c r="L23" s="70"/>
      <c r="M23" s="2"/>
    </row>
    <row r="24" spans="1:19" ht="15" customHeight="1" x14ac:dyDescent="0.3">
      <c r="A24" s="2"/>
      <c r="B24" s="2"/>
      <c r="C24" s="2"/>
      <c r="D24" s="2"/>
      <c r="E24" s="7"/>
      <c r="F24" s="2"/>
      <c r="G24" s="70"/>
      <c r="H24" s="70"/>
      <c r="I24" s="70"/>
      <c r="J24" s="70"/>
      <c r="K24" s="70"/>
      <c r="L24" s="70"/>
      <c r="M24" s="2"/>
    </row>
    <row r="25" spans="1:19" ht="15" customHeight="1" x14ac:dyDescent="0.3">
      <c r="A25" s="6" t="s">
        <v>8</v>
      </c>
      <c r="B25" s="51">
        <v>24</v>
      </c>
      <c r="C25" s="2"/>
      <c r="D25" s="51">
        <v>20</v>
      </c>
      <c r="E25" s="7"/>
      <c r="F25" s="2"/>
      <c r="G25" s="70"/>
      <c r="H25" s="70"/>
      <c r="I25" s="70"/>
      <c r="J25" s="70"/>
      <c r="K25" s="70"/>
      <c r="L25" s="70"/>
      <c r="M25" s="2"/>
    </row>
    <row r="26" spans="1:19" x14ac:dyDescent="0.3">
      <c r="A26" s="2"/>
      <c r="B26" s="51"/>
      <c r="C26" s="2"/>
      <c r="D26" s="51"/>
      <c r="E26" s="7"/>
      <c r="M26" s="2"/>
    </row>
    <row r="27" spans="1:19" ht="15" customHeight="1" x14ac:dyDescent="0.3">
      <c r="A27" s="2"/>
      <c r="B27" s="51"/>
      <c r="C27" s="2"/>
      <c r="D27" s="51"/>
      <c r="E27" s="2"/>
      <c r="M27" s="2"/>
    </row>
    <row r="28" spans="1:19" ht="30" customHeight="1" thickBot="1" x14ac:dyDescent="0.35">
      <c r="A28" s="2"/>
      <c r="B28" s="2"/>
      <c r="C28" s="2"/>
      <c r="D28" s="7"/>
      <c r="E28" s="7"/>
      <c r="M28" s="2"/>
    </row>
    <row r="29" spans="1:19" ht="30" customHeight="1" thickBot="1" x14ac:dyDescent="0.35">
      <c r="A29" s="6"/>
      <c r="B29" s="31" t="s">
        <v>107</v>
      </c>
      <c r="C29" s="94" t="s">
        <v>108</v>
      </c>
      <c r="D29" s="95"/>
      <c r="E29" s="7"/>
      <c r="M29" s="2"/>
    </row>
    <row r="30" spans="1:19" x14ac:dyDescent="0.3">
      <c r="A30" s="41" t="s">
        <v>148</v>
      </c>
      <c r="B30" s="53">
        <v>0</v>
      </c>
      <c r="C30" s="96">
        <v>0</v>
      </c>
      <c r="D30" s="97"/>
      <c r="E30" s="7"/>
      <c r="F30" s="13"/>
      <c r="G30" s="2"/>
      <c r="H30" s="2"/>
      <c r="I30" s="2"/>
      <c r="J30" s="2"/>
      <c r="K30" s="2"/>
      <c r="L30" s="2"/>
      <c r="M30" s="2"/>
      <c r="N30" s="2"/>
      <c r="O30" s="2"/>
      <c r="P30" s="2"/>
    </row>
    <row r="31" spans="1:19" x14ac:dyDescent="0.3">
      <c r="A31" s="6" t="s">
        <v>120</v>
      </c>
      <c r="B31" s="4">
        <f>$K$13</f>
        <v>13500</v>
      </c>
      <c r="C31" s="89">
        <f>$L$13</f>
        <v>14250</v>
      </c>
      <c r="D31" s="89"/>
      <c r="E31" s="7"/>
      <c r="F31" s="13"/>
      <c r="G31" s="43"/>
      <c r="H31" s="2"/>
      <c r="I31" s="2"/>
      <c r="J31" s="2"/>
      <c r="K31" s="2"/>
      <c r="L31" s="2"/>
      <c r="M31" s="2"/>
      <c r="N31" s="2"/>
      <c r="O31" s="2"/>
      <c r="P31" s="2"/>
    </row>
    <row r="32" spans="1:19" ht="14.4" customHeight="1" thickBot="1" x14ac:dyDescent="0.35">
      <c r="A32" s="36" t="s">
        <v>146</v>
      </c>
      <c r="B32" s="32">
        <f>$K$5</f>
        <v>9000</v>
      </c>
      <c r="C32" s="90">
        <f>$L$5</f>
        <v>9500</v>
      </c>
      <c r="D32" s="91"/>
      <c r="E32" s="6"/>
      <c r="F32" s="2"/>
      <c r="G32" s="43"/>
      <c r="H32" s="2"/>
      <c r="I32" s="2"/>
      <c r="J32" s="2"/>
      <c r="K32" s="2"/>
      <c r="L32" s="2"/>
      <c r="M32" s="2"/>
      <c r="N32" s="2"/>
      <c r="O32" s="2"/>
      <c r="P32" s="2"/>
    </row>
    <row r="33" spans="1:16" ht="15" thickBot="1" x14ac:dyDescent="0.35">
      <c r="A33" s="6" t="s">
        <v>145</v>
      </c>
      <c r="B33" s="44">
        <f>IF(AND(B31="UL",C31="UL"),"UL",IF(B31="UL",C30/C31,IF(C31="UL",B30/B31,((B30/B31)+(C30/C31)))))</f>
        <v>0</v>
      </c>
      <c r="C33" s="92" t="str">
        <f>IF(B33&lt;=1,"&lt; 1 THEREFORE OK",IF(B33="UL","Unlimited Area","NG"))</f>
        <v>&lt; 1 THEREFORE OK</v>
      </c>
      <c r="D33" s="93"/>
      <c r="E33" s="6"/>
      <c r="F33" s="2"/>
      <c r="G33" s="2"/>
      <c r="H33" s="2"/>
      <c r="I33" s="2"/>
      <c r="J33" s="2"/>
      <c r="K33" s="2"/>
      <c r="L33" s="2"/>
      <c r="M33" s="2"/>
      <c r="N33" s="2"/>
      <c r="O33" s="2"/>
      <c r="P33" s="2"/>
    </row>
    <row r="34" spans="1:16" ht="14.4" customHeight="1" thickBot="1" x14ac:dyDescent="0.35">
      <c r="A34" s="6" t="s">
        <v>147</v>
      </c>
      <c r="B34" s="33">
        <f>IF(AND(B32="UL",C32="UL"),"UL",IF(B32="UL",C30/C32,IF(C32="UL",B30/B32,((B30/B32)+(C30/C32)))))</f>
        <v>0</v>
      </c>
      <c r="C34" s="92" t="str">
        <f>IF(B34&lt;=1,"&lt; 1 THEREFORE OK",IF(B34="UL","Unlimited Area","NG"))</f>
        <v>&lt; 1 THEREFORE OK</v>
      </c>
      <c r="D34" s="93"/>
      <c r="E34" s="6"/>
      <c r="F34" s="2"/>
      <c r="G34" s="2"/>
      <c r="H34" s="2"/>
      <c r="I34" s="2"/>
      <c r="J34" s="2"/>
      <c r="K34" s="2"/>
      <c r="L34" s="2"/>
      <c r="M34" s="2"/>
      <c r="N34" s="2"/>
      <c r="O34" s="2"/>
      <c r="P34" s="2"/>
    </row>
    <row r="35" spans="1:16" x14ac:dyDescent="0.3">
      <c r="A35" s="6"/>
      <c r="B35" s="22"/>
      <c r="C35" s="14"/>
      <c r="D35" s="2"/>
      <c r="E35" s="2"/>
      <c r="F35" s="2"/>
      <c r="G35" s="2"/>
      <c r="H35" s="2"/>
      <c r="I35" s="2"/>
      <c r="J35" s="2"/>
      <c r="K35" s="2"/>
      <c r="L35" s="2"/>
      <c r="M35" s="2"/>
      <c r="N35" s="2"/>
      <c r="O35" s="2"/>
      <c r="P35" s="1"/>
    </row>
    <row r="36" spans="1:16" x14ac:dyDescent="0.3">
      <c r="A36" s="2"/>
      <c r="B36" s="2"/>
      <c r="C36" s="2"/>
      <c r="D36" s="2"/>
      <c r="E36" s="2"/>
      <c r="F36" s="2"/>
      <c r="G36" s="2"/>
      <c r="H36" s="2"/>
      <c r="I36" s="2"/>
      <c r="J36" s="2"/>
      <c r="K36" s="2"/>
      <c r="L36" s="2"/>
      <c r="M36" s="2"/>
      <c r="N36" s="2"/>
      <c r="O36" s="2"/>
      <c r="P36" s="1"/>
    </row>
    <row r="37" spans="1:16" x14ac:dyDescent="0.3">
      <c r="C37" s="2"/>
      <c r="D37" s="2"/>
      <c r="E37" s="2"/>
      <c r="F37" s="2"/>
      <c r="G37" s="2"/>
      <c r="H37" s="2"/>
      <c r="I37" s="2"/>
      <c r="J37" s="2"/>
      <c r="K37" s="2"/>
      <c r="L37" s="2"/>
      <c r="M37" s="2"/>
      <c r="N37" s="2"/>
      <c r="O37" s="2"/>
      <c r="P37" s="1"/>
    </row>
    <row r="38" spans="1:16" x14ac:dyDescent="0.3">
      <c r="A38" s="13"/>
      <c r="B38" s="2"/>
      <c r="C38" s="2"/>
      <c r="D38" s="2"/>
      <c r="E38" s="2"/>
      <c r="F38" s="2"/>
      <c r="G38" s="2"/>
      <c r="H38" s="2"/>
      <c r="I38" s="2"/>
      <c r="J38" s="2"/>
      <c r="K38" s="2"/>
      <c r="L38" s="2"/>
      <c r="M38" s="2"/>
      <c r="N38" s="2"/>
      <c r="O38" s="2"/>
      <c r="P38" s="1"/>
    </row>
    <row r="39" spans="1:16" x14ac:dyDescent="0.3">
      <c r="A39" s="2"/>
      <c r="B39" s="2"/>
      <c r="C39" s="2"/>
      <c r="D39" s="2"/>
      <c r="E39" s="2"/>
      <c r="F39" s="2"/>
      <c r="G39" s="2"/>
      <c r="H39" s="2"/>
      <c r="I39" s="2"/>
      <c r="J39" s="2"/>
      <c r="K39" s="2"/>
      <c r="L39" s="2"/>
      <c r="M39" s="2"/>
      <c r="N39" s="2"/>
      <c r="O39" s="2"/>
      <c r="P39" s="2"/>
    </row>
    <row r="40" spans="1:16" x14ac:dyDescent="0.3">
      <c r="A40" s="2"/>
      <c r="B40" s="2"/>
      <c r="C40" s="2"/>
      <c r="D40" s="2"/>
      <c r="E40" s="2"/>
      <c r="F40" s="2"/>
      <c r="G40" s="2"/>
      <c r="H40" s="2"/>
      <c r="I40" s="2"/>
      <c r="J40" s="2"/>
      <c r="K40" s="2"/>
      <c r="L40" s="2"/>
      <c r="M40" s="2"/>
      <c r="N40" s="2"/>
      <c r="O40" s="2"/>
      <c r="P40" s="2"/>
    </row>
    <row r="41" spans="1:16" x14ac:dyDescent="0.3">
      <c r="A41" s="2"/>
      <c r="B41" s="2"/>
      <c r="C41" s="2"/>
      <c r="D41" s="2"/>
      <c r="E41" s="2"/>
      <c r="F41" s="2"/>
      <c r="G41" s="2"/>
      <c r="H41" s="2"/>
      <c r="I41" s="2"/>
      <c r="J41" s="2"/>
      <c r="K41" s="2"/>
      <c r="L41" s="2"/>
      <c r="M41" s="2"/>
      <c r="N41" s="2"/>
      <c r="O41" s="2"/>
      <c r="P41" s="2"/>
    </row>
    <row r="42" spans="1:16" x14ac:dyDescent="0.3">
      <c r="A42" s="2"/>
      <c r="B42" s="2"/>
      <c r="C42" s="2"/>
      <c r="D42" s="2"/>
      <c r="E42" s="2"/>
      <c r="F42" s="2"/>
      <c r="G42" s="2"/>
      <c r="H42" s="2"/>
      <c r="I42" s="2"/>
      <c r="J42" s="2"/>
      <c r="K42" s="2"/>
      <c r="L42" s="2"/>
      <c r="M42" s="2"/>
      <c r="N42" s="2"/>
      <c r="O42" s="2"/>
      <c r="P42" s="2"/>
    </row>
    <row r="43" spans="1:16" x14ac:dyDescent="0.3">
      <c r="A43" s="2"/>
      <c r="B43" s="2"/>
      <c r="C43" s="2"/>
      <c r="D43" s="2"/>
      <c r="E43" s="2"/>
      <c r="F43" s="2"/>
      <c r="G43" s="2"/>
      <c r="H43" s="2"/>
      <c r="I43" s="2"/>
      <c r="J43" s="2"/>
      <c r="K43" s="2"/>
      <c r="L43" s="2"/>
      <c r="M43" s="2"/>
      <c r="N43" s="2"/>
      <c r="O43" s="2"/>
      <c r="P43" s="2"/>
    </row>
    <row r="44" spans="1:16" x14ac:dyDescent="0.3">
      <c r="A44" s="2"/>
      <c r="B44" s="2"/>
      <c r="C44" s="2"/>
      <c r="D44" s="2"/>
      <c r="E44" s="2"/>
      <c r="F44" s="2"/>
      <c r="G44" s="2"/>
      <c r="H44" s="2"/>
      <c r="I44" s="2"/>
      <c r="J44" s="2"/>
      <c r="K44" s="2"/>
      <c r="L44" s="2"/>
      <c r="M44" s="2"/>
      <c r="N44" s="2"/>
      <c r="O44" s="2"/>
      <c r="P44" s="2"/>
    </row>
    <row r="45" spans="1:16" x14ac:dyDescent="0.3">
      <c r="A45" s="2"/>
      <c r="B45" s="2"/>
      <c r="C45" s="2"/>
      <c r="D45" s="2"/>
      <c r="E45" s="2"/>
      <c r="F45" s="2"/>
      <c r="G45" s="2"/>
      <c r="H45" s="2"/>
      <c r="I45" s="2"/>
      <c r="J45" s="2"/>
      <c r="K45" s="2"/>
      <c r="L45" s="2"/>
      <c r="M45" s="2"/>
      <c r="N45" s="2"/>
      <c r="O45" s="2"/>
      <c r="P45" s="2"/>
    </row>
    <row r="46" spans="1:16" x14ac:dyDescent="0.3">
      <c r="A46" s="2"/>
      <c r="B46" s="2"/>
      <c r="C46" s="2"/>
      <c r="D46" s="2"/>
      <c r="E46" s="2"/>
      <c r="F46" s="2"/>
      <c r="G46" s="2"/>
      <c r="H46" s="2"/>
      <c r="I46" s="2"/>
      <c r="J46" s="2"/>
      <c r="K46" s="2"/>
      <c r="L46" s="2"/>
      <c r="M46" s="2"/>
      <c r="N46" s="2"/>
      <c r="O46" s="2"/>
      <c r="P46" s="2"/>
    </row>
    <row r="47" spans="1:16" x14ac:dyDescent="0.3">
      <c r="A47" s="2"/>
      <c r="B47" s="2"/>
      <c r="C47" s="2"/>
      <c r="D47" s="2"/>
      <c r="E47" s="2"/>
      <c r="F47" s="2"/>
      <c r="G47" s="2"/>
      <c r="H47" s="2"/>
      <c r="I47" s="2"/>
      <c r="J47" s="2"/>
      <c r="K47" s="2"/>
      <c r="L47" s="2"/>
      <c r="M47" s="2"/>
      <c r="N47" s="2"/>
      <c r="O47" s="2"/>
      <c r="P47" s="2"/>
    </row>
    <row r="48" spans="1:16" x14ac:dyDescent="0.3">
      <c r="A48" s="2"/>
      <c r="B48" s="2"/>
      <c r="C48" s="2"/>
      <c r="D48" s="2"/>
      <c r="E48" s="2"/>
      <c r="F48" s="2"/>
      <c r="G48" s="2"/>
      <c r="H48" s="2"/>
      <c r="I48" s="2"/>
      <c r="J48" s="2"/>
      <c r="K48" s="2"/>
      <c r="L48" s="2"/>
      <c r="M48" s="2"/>
      <c r="N48" s="2"/>
      <c r="O48" s="2"/>
      <c r="P48" s="2"/>
    </row>
    <row r="49" spans="1:16" x14ac:dyDescent="0.3">
      <c r="A49" s="2"/>
      <c r="B49" s="2"/>
      <c r="C49" s="2"/>
      <c r="D49" s="2"/>
      <c r="E49" s="2"/>
      <c r="F49" s="2"/>
      <c r="G49" s="2"/>
      <c r="H49" s="2"/>
      <c r="I49" s="2"/>
      <c r="J49" s="2"/>
      <c r="K49" s="2"/>
      <c r="L49" s="2"/>
      <c r="M49" s="2"/>
      <c r="N49" s="2"/>
      <c r="O49" s="2"/>
      <c r="P49" s="2"/>
    </row>
    <row r="50" spans="1:16" x14ac:dyDescent="0.3">
      <c r="A50" s="2"/>
      <c r="B50" s="2"/>
      <c r="C50" s="2"/>
      <c r="D50" s="2"/>
      <c r="E50" s="2"/>
      <c r="F50" s="2"/>
      <c r="G50" s="2"/>
      <c r="H50" s="2"/>
      <c r="I50" s="2"/>
      <c r="J50" s="2"/>
      <c r="K50" s="2"/>
      <c r="L50" s="2"/>
      <c r="M50" s="2"/>
      <c r="N50" s="2"/>
      <c r="O50" s="2"/>
      <c r="P50" s="2"/>
    </row>
    <row r="51" spans="1:16" x14ac:dyDescent="0.3">
      <c r="A51" s="2"/>
      <c r="B51" s="2"/>
      <c r="C51" s="2"/>
      <c r="D51" s="2"/>
      <c r="E51" s="2"/>
      <c r="F51" s="2"/>
      <c r="G51" s="2"/>
      <c r="H51" s="2"/>
      <c r="I51" s="2"/>
      <c r="J51" s="2"/>
      <c r="K51" s="2"/>
      <c r="L51" s="2"/>
      <c r="M51" s="2"/>
      <c r="N51" s="2"/>
      <c r="O51" s="2"/>
      <c r="P51" s="2"/>
    </row>
    <row r="52" spans="1:16" x14ac:dyDescent="0.3">
      <c r="A52" s="2"/>
      <c r="B52" s="2"/>
      <c r="C52" s="2"/>
      <c r="D52" s="2"/>
      <c r="E52" s="2"/>
      <c r="F52" s="2"/>
      <c r="G52" s="2"/>
      <c r="H52" s="2"/>
      <c r="I52" s="2"/>
      <c r="J52" s="2"/>
      <c r="K52" s="2"/>
      <c r="L52" s="2"/>
      <c r="M52" s="2"/>
      <c r="N52" s="2"/>
      <c r="O52" s="2"/>
      <c r="P52" s="2"/>
    </row>
    <row r="53" spans="1:16" x14ac:dyDescent="0.3">
      <c r="A53" s="2"/>
      <c r="B53" s="2"/>
      <c r="C53" s="2"/>
      <c r="D53" s="2"/>
      <c r="E53" s="2"/>
      <c r="F53" s="2"/>
      <c r="G53" s="2"/>
      <c r="H53" s="2"/>
      <c r="I53" s="2"/>
      <c r="J53" s="2"/>
      <c r="K53" s="2"/>
      <c r="L53" s="2"/>
      <c r="M53" s="2"/>
      <c r="N53" s="2"/>
      <c r="O53" s="2"/>
      <c r="P53" s="2"/>
    </row>
    <row r="54" spans="1:16" x14ac:dyDescent="0.3">
      <c r="A54" s="2"/>
      <c r="B54" s="2"/>
      <c r="C54" s="2"/>
      <c r="D54" s="2"/>
      <c r="E54" s="2"/>
      <c r="F54" s="2"/>
      <c r="G54" s="2"/>
      <c r="H54" s="2"/>
      <c r="I54" s="2"/>
      <c r="J54" s="2"/>
      <c r="K54" s="2"/>
      <c r="L54" s="2"/>
      <c r="M54" s="2"/>
      <c r="N54" s="2"/>
      <c r="O54" s="2"/>
      <c r="P54" s="2"/>
    </row>
    <row r="55" spans="1:16" x14ac:dyDescent="0.3">
      <c r="A55" s="2"/>
      <c r="B55" s="2"/>
      <c r="C55" s="2"/>
      <c r="D55" s="2"/>
      <c r="E55" s="2"/>
      <c r="F55" s="2"/>
      <c r="G55" s="2"/>
      <c r="H55" s="2"/>
      <c r="I55" s="2"/>
      <c r="J55" s="2"/>
      <c r="K55" s="2"/>
      <c r="L55" s="2"/>
      <c r="M55" s="2"/>
      <c r="N55" s="2"/>
      <c r="O55" s="2"/>
      <c r="P55" s="2"/>
    </row>
    <row r="56" spans="1:16" x14ac:dyDescent="0.3">
      <c r="A56" s="2"/>
      <c r="B56" s="2"/>
      <c r="C56" s="2"/>
      <c r="D56" s="2"/>
      <c r="E56" s="2"/>
      <c r="F56" s="2"/>
      <c r="G56" s="2"/>
      <c r="H56" s="2"/>
      <c r="I56" s="2"/>
      <c r="J56" s="2"/>
      <c r="K56" s="2"/>
      <c r="L56" s="2"/>
      <c r="M56" s="2"/>
      <c r="N56" s="2"/>
      <c r="O56" s="2"/>
      <c r="P56" s="2"/>
    </row>
    <row r="57" spans="1:16" x14ac:dyDescent="0.3">
      <c r="A57" s="2"/>
      <c r="B57" s="2"/>
      <c r="C57" s="2"/>
      <c r="D57" s="2"/>
      <c r="E57" s="2"/>
      <c r="F57" s="2"/>
      <c r="G57" s="2"/>
      <c r="H57" s="2"/>
      <c r="I57" s="2"/>
      <c r="J57" s="2"/>
      <c r="K57" s="2"/>
      <c r="L57" s="2"/>
      <c r="M57" s="2"/>
      <c r="N57" s="2"/>
      <c r="O57" s="2"/>
      <c r="P57" s="2"/>
    </row>
    <row r="58" spans="1:16" x14ac:dyDescent="0.3">
      <c r="A58" s="2"/>
      <c r="B58" s="2"/>
      <c r="C58" s="2"/>
      <c r="D58" s="2"/>
      <c r="E58" s="2"/>
      <c r="F58" s="2"/>
      <c r="G58" s="2"/>
      <c r="H58" s="2"/>
      <c r="I58" s="2"/>
      <c r="J58" s="2"/>
      <c r="K58" s="2"/>
      <c r="L58" s="2"/>
      <c r="M58" s="2"/>
      <c r="N58" s="2"/>
      <c r="O58" s="2"/>
      <c r="P58" s="2"/>
    </row>
    <row r="59" spans="1:16" x14ac:dyDescent="0.3">
      <c r="A59" s="2"/>
      <c r="B59" s="2"/>
      <c r="C59" s="2"/>
      <c r="D59" s="2"/>
      <c r="E59" s="2"/>
      <c r="F59" s="2"/>
      <c r="G59" s="2"/>
      <c r="H59" s="2"/>
      <c r="I59" s="2"/>
      <c r="J59" s="2"/>
      <c r="K59" s="2"/>
      <c r="L59" s="2"/>
      <c r="M59" s="2"/>
      <c r="N59" s="2"/>
      <c r="O59" s="2"/>
      <c r="P59" s="2"/>
    </row>
    <row r="60" spans="1:16" x14ac:dyDescent="0.3">
      <c r="A60" s="2"/>
      <c r="B60" s="2"/>
      <c r="C60" s="2"/>
      <c r="D60" s="2"/>
      <c r="E60" s="2"/>
      <c r="F60" s="2"/>
      <c r="G60" s="2"/>
      <c r="H60" s="2"/>
      <c r="I60" s="2"/>
      <c r="J60" s="2"/>
      <c r="K60" s="2"/>
      <c r="L60" s="2"/>
      <c r="M60" s="2"/>
      <c r="N60" s="2"/>
      <c r="O60" s="2"/>
      <c r="P60" s="2"/>
    </row>
    <row r="61" spans="1:16" x14ac:dyDescent="0.3">
      <c r="A61" s="2"/>
      <c r="B61" s="2"/>
      <c r="C61" s="2"/>
      <c r="D61" s="2"/>
      <c r="E61" s="2"/>
      <c r="F61" s="2"/>
      <c r="G61" s="2"/>
      <c r="H61" s="2"/>
      <c r="I61" s="2"/>
      <c r="J61" s="2"/>
      <c r="K61" s="2"/>
      <c r="L61" s="2"/>
      <c r="M61" s="2"/>
      <c r="N61" s="2"/>
      <c r="O61" s="2"/>
      <c r="P61" s="2"/>
    </row>
    <row r="62" spans="1:16" x14ac:dyDescent="0.3">
      <c r="E62" s="2"/>
      <c r="F62" s="2"/>
      <c r="G62" s="2"/>
      <c r="H62" s="2"/>
      <c r="I62" s="2"/>
      <c r="J62" s="2"/>
      <c r="K62" s="2"/>
      <c r="L62" s="2"/>
      <c r="M62" s="2"/>
      <c r="N62" s="2"/>
      <c r="O62" s="2"/>
      <c r="P62" s="2"/>
    </row>
    <row r="63" spans="1:16" x14ac:dyDescent="0.3">
      <c r="A63" s="2"/>
      <c r="B63" s="2"/>
      <c r="C63" s="2"/>
      <c r="D63" s="2"/>
      <c r="E63" s="2"/>
      <c r="F63" s="2"/>
      <c r="G63" s="2"/>
      <c r="H63" s="2"/>
      <c r="I63" s="2"/>
      <c r="J63" s="2"/>
      <c r="K63" s="2"/>
      <c r="L63" s="2"/>
      <c r="M63" s="2"/>
      <c r="N63" s="2"/>
      <c r="O63" s="2"/>
      <c r="P63" s="2"/>
    </row>
    <row r="64" spans="1:16" x14ac:dyDescent="0.3">
      <c r="A64" s="2"/>
      <c r="B64" s="2"/>
      <c r="C64" s="2"/>
      <c r="D64" s="2"/>
      <c r="E64" s="2"/>
      <c r="F64" s="2"/>
      <c r="G64" s="2"/>
      <c r="H64" s="2"/>
      <c r="I64" s="2"/>
      <c r="J64" s="2"/>
      <c r="K64" s="2"/>
      <c r="L64" s="2"/>
      <c r="M64" s="2"/>
      <c r="N64" s="2"/>
      <c r="O64" s="2"/>
      <c r="P64" s="2"/>
    </row>
    <row r="65" spans="1:16" x14ac:dyDescent="0.3">
      <c r="A65" s="2"/>
      <c r="B65" s="2"/>
      <c r="C65" s="2"/>
      <c r="D65" s="2"/>
      <c r="E65" s="2"/>
      <c r="F65" s="2"/>
      <c r="G65" s="2"/>
      <c r="H65" s="2"/>
      <c r="I65" s="2"/>
      <c r="J65" s="2"/>
      <c r="K65" s="2"/>
      <c r="L65" s="2"/>
      <c r="M65" s="2"/>
      <c r="N65" s="2"/>
      <c r="O65" s="2"/>
      <c r="P65" s="2"/>
    </row>
    <row r="66" spans="1:16" x14ac:dyDescent="0.3">
      <c r="A66" s="2"/>
      <c r="B66" s="2"/>
      <c r="C66" s="2"/>
      <c r="D66" s="2"/>
      <c r="E66" s="2"/>
      <c r="F66" s="2"/>
      <c r="G66" s="2"/>
      <c r="H66" s="2"/>
      <c r="I66" s="2"/>
      <c r="J66" s="2"/>
      <c r="K66" s="2"/>
      <c r="L66" s="2"/>
      <c r="M66" s="2"/>
      <c r="N66" s="2"/>
      <c r="O66" s="2"/>
      <c r="P66" s="2"/>
    </row>
    <row r="67" spans="1:16" x14ac:dyDescent="0.3">
      <c r="A67" s="2"/>
      <c r="B67" s="2"/>
      <c r="C67" s="2"/>
      <c r="D67" s="2"/>
      <c r="E67" s="2"/>
      <c r="F67" s="2"/>
      <c r="G67" s="2"/>
      <c r="H67" s="2"/>
      <c r="I67" s="2"/>
      <c r="J67" s="2"/>
      <c r="K67" s="2"/>
      <c r="L67" s="2"/>
      <c r="M67" s="2"/>
      <c r="N67" s="2"/>
      <c r="O67" s="2"/>
      <c r="P67" s="2"/>
    </row>
    <row r="68" spans="1:16" x14ac:dyDescent="0.3">
      <c r="A68" s="2"/>
      <c r="B68" s="2"/>
      <c r="C68" s="2"/>
      <c r="D68" s="2"/>
      <c r="E68" s="2"/>
      <c r="F68" s="2"/>
      <c r="G68" s="2"/>
      <c r="H68" s="2"/>
      <c r="I68" s="2"/>
      <c r="J68" s="2"/>
      <c r="K68" s="2"/>
      <c r="L68" s="2"/>
      <c r="M68" s="2"/>
      <c r="N68" s="2"/>
      <c r="O68" s="2"/>
      <c r="P68" s="2"/>
    </row>
    <row r="69" spans="1:16" x14ac:dyDescent="0.3">
      <c r="A69" s="2"/>
      <c r="B69" s="2"/>
      <c r="C69" s="2"/>
      <c r="D69" s="2"/>
      <c r="E69" s="2"/>
      <c r="F69" s="2"/>
      <c r="G69" s="2"/>
      <c r="H69" s="2"/>
      <c r="I69" s="2"/>
      <c r="J69" s="2"/>
      <c r="K69" s="2"/>
      <c r="L69" s="2"/>
      <c r="M69" s="2"/>
      <c r="N69" s="2"/>
      <c r="O69" s="2"/>
      <c r="P69" s="2"/>
    </row>
    <row r="70" spans="1:16" x14ac:dyDescent="0.3">
      <c r="A70" s="2"/>
      <c r="B70" s="2"/>
      <c r="C70" s="2"/>
      <c r="D70" s="2"/>
      <c r="E70" s="2"/>
      <c r="F70" s="2"/>
      <c r="G70" s="2"/>
      <c r="H70" s="2"/>
      <c r="I70" s="2"/>
      <c r="J70" s="2"/>
      <c r="K70" s="2"/>
      <c r="L70" s="2"/>
      <c r="M70" s="2"/>
      <c r="N70" s="2"/>
      <c r="O70" s="2"/>
      <c r="P70" s="2"/>
    </row>
    <row r="71" spans="1:16" x14ac:dyDescent="0.3">
      <c r="A71" s="2"/>
      <c r="B71" s="2"/>
      <c r="C71" s="2"/>
      <c r="D71" s="2"/>
      <c r="E71" s="2"/>
      <c r="F71" s="2"/>
      <c r="G71" s="2"/>
      <c r="H71" s="2"/>
      <c r="I71" s="2"/>
      <c r="J71" s="2"/>
      <c r="K71" s="2"/>
      <c r="L71" s="2"/>
      <c r="M71" s="2"/>
      <c r="N71" s="2"/>
      <c r="O71" s="2"/>
      <c r="P71" s="2"/>
    </row>
    <row r="72" spans="1:16" x14ac:dyDescent="0.3">
      <c r="A72" s="2"/>
      <c r="B72" s="2"/>
      <c r="C72" s="2"/>
      <c r="D72" s="2"/>
      <c r="E72" s="2"/>
      <c r="F72" s="2"/>
      <c r="G72" s="2"/>
      <c r="H72" s="2"/>
      <c r="I72" s="2"/>
      <c r="J72" s="2"/>
      <c r="K72" s="2"/>
      <c r="L72" s="2"/>
      <c r="M72" s="2"/>
      <c r="N72" s="2"/>
      <c r="O72" s="2"/>
      <c r="P72" s="2"/>
    </row>
    <row r="73" spans="1:16" x14ac:dyDescent="0.3">
      <c r="A73" s="2"/>
      <c r="B73" s="2"/>
      <c r="C73" s="2"/>
      <c r="D73" s="2"/>
      <c r="E73" s="2"/>
      <c r="F73" s="2"/>
      <c r="G73" s="2"/>
      <c r="H73" s="2"/>
      <c r="I73" s="2"/>
      <c r="J73" s="2"/>
      <c r="K73" s="2"/>
      <c r="L73" s="2"/>
      <c r="M73" s="2"/>
      <c r="N73" s="2"/>
      <c r="O73" s="2"/>
      <c r="P73" s="2"/>
    </row>
    <row r="79" spans="1:16" ht="15" customHeight="1" x14ac:dyDescent="0.3"/>
    <row r="106" spans="16:16" x14ac:dyDescent="0.3">
      <c r="P106" s="2"/>
    </row>
    <row r="107" spans="16:16" x14ac:dyDescent="0.3">
      <c r="P107" s="2"/>
    </row>
  </sheetData>
  <dataConsolidate function="max"/>
  <mergeCells count="26">
    <mergeCell ref="P11:S13"/>
    <mergeCell ref="P14:S16"/>
    <mergeCell ref="P17:S18"/>
    <mergeCell ref="P19:S21"/>
    <mergeCell ref="F16:G16"/>
    <mergeCell ref="G17:L18"/>
    <mergeCell ref="G19:L20"/>
    <mergeCell ref="G21:L22"/>
    <mergeCell ref="G2:N3"/>
    <mergeCell ref="C34:D34"/>
    <mergeCell ref="C33:D33"/>
    <mergeCell ref="C31:D31"/>
    <mergeCell ref="A1:D1"/>
    <mergeCell ref="B10:B12"/>
    <mergeCell ref="D10:D12"/>
    <mergeCell ref="C29:D29"/>
    <mergeCell ref="C30:D30"/>
    <mergeCell ref="C32:D32"/>
    <mergeCell ref="G23:L25"/>
    <mergeCell ref="K4:M4"/>
    <mergeCell ref="O1:R1"/>
    <mergeCell ref="O2:R2"/>
    <mergeCell ref="O3:R9"/>
    <mergeCell ref="T1:W1"/>
    <mergeCell ref="T2:W2"/>
    <mergeCell ref="T3:W3"/>
  </mergeCells>
  <conditionalFormatting sqref="B8">
    <cfRule type="containsText" dxfId="15" priority="4" operator="containsText" text="NP">
      <formula>NOT(ISERROR(SEARCH("NP",B8)))</formula>
    </cfRule>
  </conditionalFormatting>
  <conditionalFormatting sqref="B33:B34">
    <cfRule type="containsText" dxfId="14" priority="6" operator="containsText" text="UL">
      <formula>NOT(ISERROR(SEARCH("UL",B33)))</formula>
    </cfRule>
    <cfRule type="containsText" dxfId="13" priority="8" operator="containsText" text="UL">
      <formula>NOT(ISERROR(SEARCH("UL",B33)))</formula>
    </cfRule>
    <cfRule type="cellIs" dxfId="12" priority="45" operator="greaterThan">
      <formula>1</formula>
    </cfRule>
    <cfRule type="containsText" dxfId="11" priority="46" operator="containsText" text="NP">
      <formula>NOT(ISERROR(SEARCH("NP",B33)))</formula>
    </cfRule>
  </conditionalFormatting>
  <conditionalFormatting sqref="C33:C34">
    <cfRule type="containsText" dxfId="10" priority="44" operator="containsText" text="NG">
      <formula>NOT(ISERROR(SEARCH("NG",C33)))</formula>
    </cfRule>
  </conditionalFormatting>
  <conditionalFormatting sqref="C33:D33">
    <cfRule type="containsText" dxfId="9" priority="12" operator="containsText" text="Unlimited">
      <formula>NOT(ISERROR(SEARCH("Unlimited",C33)))</formula>
    </cfRule>
  </conditionalFormatting>
  <conditionalFormatting sqref="C33:D34">
    <cfRule type="containsText" dxfId="8" priority="10" operator="containsText" text="Unlimited">
      <formula>NOT(ISERROR(SEARCH("Unlimited",C33)))</formula>
    </cfRule>
    <cfRule type="containsText" dxfId="7" priority="42" operator="containsText" text="NG">
      <formula>NOT(ISERROR(SEARCH("NG",C33)))</formula>
    </cfRule>
    <cfRule type="containsText" dxfId="6" priority="43" operator="containsText" text="&lt; 1 THEREFORE OK">
      <formula>NOT(ISERROR(SEARCH("&lt; 1 THEREFORE OK",C33)))</formula>
    </cfRule>
  </conditionalFormatting>
  <conditionalFormatting sqref="G1:G2">
    <cfRule type="expression" dxfId="5" priority="1">
      <formula>$B$5="E"</formula>
    </cfRule>
  </conditionalFormatting>
  <conditionalFormatting sqref="J11">
    <cfRule type="containsText" dxfId="4" priority="13" operator="containsText" text="SEE">
      <formula>NOT(ISERROR(SEARCH("SEE",J11)))</formula>
    </cfRule>
  </conditionalFormatting>
  <conditionalFormatting sqref="K5:L6">
    <cfRule type="containsText" dxfId="3" priority="22" operator="containsText" text="NP">
      <formula>NOT(ISERROR(SEARCH("NP",K5)))</formula>
    </cfRule>
  </conditionalFormatting>
  <conditionalFormatting sqref="K6:L7">
    <cfRule type="containsText" dxfId="2" priority="26" operator="containsText" text="Required">
      <formula>NOT(ISERROR(SEARCH("Required",K6)))</formula>
    </cfRule>
  </conditionalFormatting>
  <conditionalFormatting sqref="K9:L9">
    <cfRule type="cellIs" dxfId="1" priority="21" operator="lessThan">
      <formula>0</formula>
    </cfRule>
  </conditionalFormatting>
  <conditionalFormatting sqref="K13:L13">
    <cfRule type="containsText" dxfId="0" priority="25" operator="containsText" text="NP">
      <formula>NOT(ISERROR(SEARCH("NP",K13)))</formula>
    </cfRule>
  </conditionalFormatting>
  <dataValidations count="3">
    <dataValidation type="list" allowBlank="1" showInputMessage="1" showErrorMessage="1" sqref="B6" xr:uid="{00000000-0002-0000-0300-000000000000}">
      <formula1>"I-A,I-B,II-A,II-B,III-A,III-B,IV-HT,V-A,V-B"</formula1>
    </dataValidation>
    <dataValidation type="list" allowBlank="1" showInputMessage="1" showErrorMessage="1" sqref="B7" xr:uid="{00000000-0002-0000-0300-000001000000}">
      <formula1>"NS, S1, SM, S13D, S13R"</formula1>
    </dataValidation>
    <dataValidation type="list" allowBlank="1" showInputMessage="1" showErrorMessage="1" sqref="D5 B5" xr:uid="{00000000-0002-0000-0300-000002000000}">
      <formula1>"A-1,A-2,A-3,A-4,A-5,B,E,F-1,F-2,H-1,H-2,H-3,H-4,H-5,I-1 Cond. 1,I-1 Cond. 2,I-2/I-2.1,I-3,I-4,L,M,R-1,R-2,R-2.1,R-2.2 (CA Only),R-3/R-3.1,R-4,S-1,S-2,U"</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Q142"/>
  <sheetViews>
    <sheetView zoomScale="75" zoomScaleNormal="75" workbookViewId="0">
      <selection activeCell="B20" sqref="B20"/>
    </sheetView>
  </sheetViews>
  <sheetFormatPr defaultRowHeight="14.4" x14ac:dyDescent="0.3"/>
  <cols>
    <col min="1" max="1" width="14.88671875" customWidth="1"/>
    <col min="2" max="2" width="10.6640625" customWidth="1"/>
    <col min="13" max="13" width="11.44140625" customWidth="1"/>
    <col min="14" max="14" width="13.44140625" customWidth="1"/>
    <col min="15" max="15" width="14.109375" customWidth="1"/>
    <col min="16" max="16" width="15" customWidth="1"/>
  </cols>
  <sheetData>
    <row r="1" spans="1:69" ht="15" customHeight="1" x14ac:dyDescent="0.3">
      <c r="A1" s="15" t="s">
        <v>83</v>
      </c>
      <c r="M1" s="2"/>
      <c r="N1" s="2"/>
      <c r="O1" s="14" t="s">
        <v>133</v>
      </c>
      <c r="P1" s="2"/>
      <c r="Q1" s="2"/>
      <c r="R1" s="2"/>
      <c r="S1" s="2"/>
      <c r="T1" s="2"/>
      <c r="U1" s="2"/>
      <c r="AC1" s="14" t="s">
        <v>88</v>
      </c>
      <c r="AQ1" t="s">
        <v>72</v>
      </c>
      <c r="BE1" t="s">
        <v>73</v>
      </c>
    </row>
    <row r="2" spans="1:69" x14ac:dyDescent="0.3">
      <c r="A2" s="9"/>
      <c r="B2" s="3" t="s">
        <v>63</v>
      </c>
      <c r="C2" s="3" t="s">
        <v>64</v>
      </c>
      <c r="D2" s="3" t="s">
        <v>65</v>
      </c>
      <c r="E2" s="3" t="s">
        <v>66</v>
      </c>
      <c r="F2" s="3" t="s">
        <v>67</v>
      </c>
      <c r="G2" s="3" t="s">
        <v>68</v>
      </c>
      <c r="H2" s="3" t="s">
        <v>175</v>
      </c>
      <c r="I2" s="3" t="s">
        <v>176</v>
      </c>
      <c r="J2" s="3" t="s">
        <v>177</v>
      </c>
      <c r="K2" s="3" t="s">
        <v>71</v>
      </c>
      <c r="L2" s="3" t="s">
        <v>69</v>
      </c>
      <c r="M2" s="3" t="s">
        <v>70</v>
      </c>
      <c r="O2" s="10"/>
      <c r="P2" s="3" t="s">
        <v>63</v>
      </c>
      <c r="Q2" s="3" t="s">
        <v>64</v>
      </c>
      <c r="R2" s="3" t="s">
        <v>65</v>
      </c>
      <c r="S2" s="3" t="s">
        <v>66</v>
      </c>
      <c r="T2" s="3" t="s">
        <v>67</v>
      </c>
      <c r="U2" s="3" t="s">
        <v>68</v>
      </c>
      <c r="V2" s="3" t="s">
        <v>175</v>
      </c>
      <c r="W2" s="3" t="s">
        <v>176</v>
      </c>
      <c r="X2" s="3" t="s">
        <v>177</v>
      </c>
      <c r="Y2" s="3" t="s">
        <v>71</v>
      </c>
      <c r="Z2" s="3" t="s">
        <v>69</v>
      </c>
      <c r="AA2" s="3" t="s">
        <v>70</v>
      </c>
      <c r="AC2" s="10"/>
      <c r="AD2" s="3" t="s">
        <v>63</v>
      </c>
      <c r="AE2" s="3" t="s">
        <v>64</v>
      </c>
      <c r="AF2" s="3" t="s">
        <v>65</v>
      </c>
      <c r="AG2" s="3" t="s">
        <v>66</v>
      </c>
      <c r="AH2" s="3" t="s">
        <v>67</v>
      </c>
      <c r="AI2" s="3" t="s">
        <v>68</v>
      </c>
      <c r="AJ2" s="3" t="s">
        <v>175</v>
      </c>
      <c r="AK2" s="3" t="s">
        <v>176</v>
      </c>
      <c r="AL2" s="3" t="s">
        <v>177</v>
      </c>
      <c r="AM2" s="3" t="s">
        <v>71</v>
      </c>
      <c r="AN2" s="3" t="s">
        <v>69</v>
      </c>
      <c r="AO2" s="3" t="s">
        <v>70</v>
      </c>
      <c r="AQ2" s="10"/>
      <c r="AR2" s="3" t="s">
        <v>63</v>
      </c>
      <c r="AS2" s="3" t="s">
        <v>64</v>
      </c>
      <c r="AT2" s="3" t="s">
        <v>65</v>
      </c>
      <c r="AU2" s="3" t="s">
        <v>66</v>
      </c>
      <c r="AV2" s="3" t="s">
        <v>67</v>
      </c>
      <c r="AW2" s="3" t="s">
        <v>68</v>
      </c>
      <c r="AX2" s="3" t="s">
        <v>175</v>
      </c>
      <c r="AY2" s="3" t="s">
        <v>176</v>
      </c>
      <c r="AZ2" s="3" t="s">
        <v>177</v>
      </c>
      <c r="BA2" s="3" t="s">
        <v>71</v>
      </c>
      <c r="BB2" s="3" t="s">
        <v>69</v>
      </c>
      <c r="BC2" s="3" t="s">
        <v>70</v>
      </c>
      <c r="BE2" s="10"/>
      <c r="BF2" s="3" t="s">
        <v>63</v>
      </c>
      <c r="BG2" s="3" t="s">
        <v>64</v>
      </c>
      <c r="BH2" s="3" t="s">
        <v>65</v>
      </c>
      <c r="BI2" s="3" t="s">
        <v>66</v>
      </c>
      <c r="BJ2" s="3" t="s">
        <v>67</v>
      </c>
      <c r="BK2" s="3" t="s">
        <v>68</v>
      </c>
      <c r="BL2" s="3" t="s">
        <v>175</v>
      </c>
      <c r="BM2" s="3" t="s">
        <v>176</v>
      </c>
      <c r="BN2" s="3" t="s">
        <v>177</v>
      </c>
      <c r="BO2" s="3" t="s">
        <v>71</v>
      </c>
      <c r="BP2" s="3" t="s">
        <v>69</v>
      </c>
      <c r="BQ2" s="3" t="s">
        <v>70</v>
      </c>
    </row>
    <row r="3" spans="1:69" x14ac:dyDescent="0.3">
      <c r="A3" s="8" t="s">
        <v>11</v>
      </c>
      <c r="B3" s="4" t="s">
        <v>38</v>
      </c>
      <c r="C3" s="4">
        <v>160</v>
      </c>
      <c r="D3" s="4">
        <v>65</v>
      </c>
      <c r="E3" s="4">
        <v>55</v>
      </c>
      <c r="F3" s="4">
        <v>65</v>
      </c>
      <c r="G3" s="4">
        <v>55</v>
      </c>
      <c r="H3" s="4">
        <v>65</v>
      </c>
      <c r="I3" s="4">
        <v>65</v>
      </c>
      <c r="J3" s="4">
        <v>65</v>
      </c>
      <c r="K3" s="4">
        <v>65</v>
      </c>
      <c r="L3" s="4">
        <v>50</v>
      </c>
      <c r="M3" s="4">
        <v>40</v>
      </c>
      <c r="O3" s="8" t="s">
        <v>11</v>
      </c>
      <c r="P3" s="4" t="s">
        <v>38</v>
      </c>
      <c r="Q3" s="4">
        <v>180</v>
      </c>
      <c r="R3" s="4">
        <v>85</v>
      </c>
      <c r="S3" s="4">
        <v>75</v>
      </c>
      <c r="T3" s="4">
        <v>85</v>
      </c>
      <c r="U3" s="4">
        <v>75</v>
      </c>
      <c r="V3" s="4">
        <v>270</v>
      </c>
      <c r="W3" s="4">
        <v>180</v>
      </c>
      <c r="X3" s="4">
        <v>85</v>
      </c>
      <c r="Y3" s="4">
        <v>85</v>
      </c>
      <c r="Z3" s="4">
        <v>70</v>
      </c>
      <c r="AA3" s="4">
        <v>60</v>
      </c>
      <c r="AC3" s="8" t="s">
        <v>11</v>
      </c>
      <c r="AD3" s="4" t="s">
        <v>38</v>
      </c>
      <c r="AE3" s="4">
        <v>160</v>
      </c>
      <c r="AF3" s="4">
        <v>65</v>
      </c>
      <c r="AG3" s="4">
        <v>55</v>
      </c>
      <c r="AH3" s="4">
        <v>65</v>
      </c>
      <c r="AI3" s="4">
        <v>55</v>
      </c>
      <c r="AJ3" s="4">
        <v>65</v>
      </c>
      <c r="AK3" s="4">
        <v>65</v>
      </c>
      <c r="AL3" s="4">
        <v>65</v>
      </c>
      <c r="AM3" s="4">
        <v>65</v>
      </c>
      <c r="AN3" s="4">
        <v>50</v>
      </c>
      <c r="AO3" s="4">
        <v>40</v>
      </c>
      <c r="AQ3" s="8" t="s">
        <v>11</v>
      </c>
      <c r="AR3" s="4" t="s">
        <v>129</v>
      </c>
      <c r="AS3" s="4" t="s">
        <v>129</v>
      </c>
      <c r="AT3" s="4" t="s">
        <v>129</v>
      </c>
      <c r="AU3" s="4" t="s">
        <v>129</v>
      </c>
      <c r="AV3" s="4" t="s">
        <v>129</v>
      </c>
      <c r="AW3" s="4" t="s">
        <v>129</v>
      </c>
      <c r="AX3" s="4" t="s">
        <v>129</v>
      </c>
      <c r="AY3" s="4" t="s">
        <v>129</v>
      </c>
      <c r="AZ3" s="4" t="s">
        <v>129</v>
      </c>
      <c r="BA3" s="4" t="s">
        <v>129</v>
      </c>
      <c r="BB3" s="4" t="s">
        <v>129</v>
      </c>
      <c r="BC3" s="4" t="s">
        <v>129</v>
      </c>
      <c r="BE3" s="8" t="s">
        <v>11</v>
      </c>
      <c r="BF3" s="4" t="s">
        <v>130</v>
      </c>
      <c r="BG3" s="4" t="s">
        <v>130</v>
      </c>
      <c r="BH3" s="4" t="s">
        <v>130</v>
      </c>
      <c r="BI3" s="4" t="s">
        <v>130</v>
      </c>
      <c r="BJ3" s="4" t="s">
        <v>130</v>
      </c>
      <c r="BK3" s="4" t="s">
        <v>130</v>
      </c>
      <c r="BL3" s="4" t="s">
        <v>130</v>
      </c>
      <c r="BM3" s="4" t="s">
        <v>130</v>
      </c>
      <c r="BN3" s="4" t="s">
        <v>130</v>
      </c>
      <c r="BO3" s="4" t="s">
        <v>130</v>
      </c>
      <c r="BP3" s="4" t="s">
        <v>130</v>
      </c>
      <c r="BQ3" s="4" t="s">
        <v>130</v>
      </c>
    </row>
    <row r="4" spans="1:69" x14ac:dyDescent="0.3">
      <c r="A4" s="8" t="s">
        <v>15</v>
      </c>
      <c r="B4" s="4" t="s">
        <v>38</v>
      </c>
      <c r="C4" s="4">
        <v>160</v>
      </c>
      <c r="D4" s="4">
        <v>65</v>
      </c>
      <c r="E4" s="4">
        <v>55</v>
      </c>
      <c r="F4" s="4">
        <v>65</v>
      </c>
      <c r="G4" s="4">
        <v>55</v>
      </c>
      <c r="H4" s="4">
        <v>65</v>
      </c>
      <c r="I4" s="4">
        <v>65</v>
      </c>
      <c r="J4" s="4">
        <v>65</v>
      </c>
      <c r="K4" s="4">
        <v>65</v>
      </c>
      <c r="L4" s="4">
        <v>50</v>
      </c>
      <c r="M4" s="4">
        <v>40</v>
      </c>
      <c r="O4" s="8" t="s">
        <v>15</v>
      </c>
      <c r="P4" s="4" t="s">
        <v>38</v>
      </c>
      <c r="Q4" s="4">
        <v>180</v>
      </c>
      <c r="R4" s="4">
        <v>85</v>
      </c>
      <c r="S4" s="4">
        <v>75</v>
      </c>
      <c r="T4" s="4">
        <v>85</v>
      </c>
      <c r="U4" s="4">
        <v>75</v>
      </c>
      <c r="V4" s="4">
        <v>270</v>
      </c>
      <c r="W4" s="4">
        <v>180</v>
      </c>
      <c r="X4" s="4">
        <v>85</v>
      </c>
      <c r="Y4" s="4">
        <v>85</v>
      </c>
      <c r="Z4" s="4">
        <v>70</v>
      </c>
      <c r="AA4" s="4">
        <v>60</v>
      </c>
      <c r="AC4" s="8" t="s">
        <v>15</v>
      </c>
      <c r="AD4" s="4" t="s">
        <v>38</v>
      </c>
      <c r="AE4" s="4">
        <v>160</v>
      </c>
      <c r="AF4" s="4">
        <v>65</v>
      </c>
      <c r="AG4" s="4">
        <v>55</v>
      </c>
      <c r="AH4" s="4">
        <v>65</v>
      </c>
      <c r="AI4" s="4">
        <v>55</v>
      </c>
      <c r="AJ4" s="4">
        <v>65</v>
      </c>
      <c r="AK4" s="4">
        <v>65</v>
      </c>
      <c r="AL4" s="4">
        <v>65</v>
      </c>
      <c r="AM4" s="4">
        <v>65</v>
      </c>
      <c r="AN4" s="4">
        <v>50</v>
      </c>
      <c r="AO4" s="4">
        <v>40</v>
      </c>
      <c r="AQ4" s="8" t="s">
        <v>15</v>
      </c>
      <c r="AR4" s="4" t="s">
        <v>129</v>
      </c>
      <c r="AS4" s="4" t="s">
        <v>129</v>
      </c>
      <c r="AT4" s="4" t="s">
        <v>129</v>
      </c>
      <c r="AU4" s="4" t="s">
        <v>129</v>
      </c>
      <c r="AV4" s="4" t="s">
        <v>129</v>
      </c>
      <c r="AW4" s="4" t="s">
        <v>129</v>
      </c>
      <c r="AX4" s="4" t="s">
        <v>129</v>
      </c>
      <c r="AY4" s="4" t="s">
        <v>129</v>
      </c>
      <c r="AZ4" s="4" t="s">
        <v>129</v>
      </c>
      <c r="BA4" s="4" t="s">
        <v>129</v>
      </c>
      <c r="BB4" s="4" t="s">
        <v>129</v>
      </c>
      <c r="BC4" s="4" t="s">
        <v>129</v>
      </c>
      <c r="BE4" s="8" t="s">
        <v>15</v>
      </c>
      <c r="BF4" s="4" t="s">
        <v>130</v>
      </c>
      <c r="BG4" s="4" t="s">
        <v>130</v>
      </c>
      <c r="BH4" s="4" t="s">
        <v>130</v>
      </c>
      <c r="BI4" s="4" t="s">
        <v>130</v>
      </c>
      <c r="BJ4" s="4" t="s">
        <v>130</v>
      </c>
      <c r="BK4" s="4" t="s">
        <v>130</v>
      </c>
      <c r="BL4" s="4" t="s">
        <v>130</v>
      </c>
      <c r="BM4" s="4" t="s">
        <v>130</v>
      </c>
      <c r="BN4" s="4" t="s">
        <v>130</v>
      </c>
      <c r="BO4" s="4" t="s">
        <v>130</v>
      </c>
      <c r="BP4" s="4" t="s">
        <v>130</v>
      </c>
      <c r="BQ4" s="4" t="s">
        <v>130</v>
      </c>
    </row>
    <row r="5" spans="1:69" x14ac:dyDescent="0.3">
      <c r="A5" s="8" t="s">
        <v>16</v>
      </c>
      <c r="B5" s="4" t="s">
        <v>38</v>
      </c>
      <c r="C5" s="4">
        <v>160</v>
      </c>
      <c r="D5" s="4">
        <v>65</v>
      </c>
      <c r="E5" s="4">
        <v>55</v>
      </c>
      <c r="F5" s="4">
        <v>65</v>
      </c>
      <c r="G5" s="4">
        <v>55</v>
      </c>
      <c r="H5" s="4">
        <v>65</v>
      </c>
      <c r="I5" s="4">
        <v>65</v>
      </c>
      <c r="J5" s="4">
        <v>65</v>
      </c>
      <c r="K5" s="4">
        <v>65</v>
      </c>
      <c r="L5" s="4">
        <v>50</v>
      </c>
      <c r="M5" s="4">
        <v>40</v>
      </c>
      <c r="O5" s="8" t="s">
        <v>16</v>
      </c>
      <c r="P5" s="4" t="s">
        <v>38</v>
      </c>
      <c r="Q5" s="4">
        <v>160</v>
      </c>
      <c r="R5" s="4">
        <v>65</v>
      </c>
      <c r="S5" s="4">
        <v>55</v>
      </c>
      <c r="T5" s="4">
        <v>65</v>
      </c>
      <c r="U5" s="4">
        <v>55</v>
      </c>
      <c r="V5" s="4">
        <v>270</v>
      </c>
      <c r="W5" s="4">
        <v>180</v>
      </c>
      <c r="X5" s="4">
        <v>85</v>
      </c>
      <c r="Y5" s="4">
        <v>85</v>
      </c>
      <c r="Z5" s="4">
        <v>50</v>
      </c>
      <c r="AA5" s="4">
        <v>40</v>
      </c>
      <c r="AC5" s="8" t="s">
        <v>16</v>
      </c>
      <c r="AD5" s="4" t="s">
        <v>38</v>
      </c>
      <c r="AE5" s="4">
        <v>160</v>
      </c>
      <c r="AF5" s="4">
        <v>65</v>
      </c>
      <c r="AG5" s="4">
        <v>55</v>
      </c>
      <c r="AH5" s="4">
        <v>65</v>
      </c>
      <c r="AI5" s="4">
        <v>55</v>
      </c>
      <c r="AJ5" s="4">
        <v>65</v>
      </c>
      <c r="AK5" s="4">
        <v>65</v>
      </c>
      <c r="AL5" s="4">
        <v>65</v>
      </c>
      <c r="AM5" s="4">
        <v>65</v>
      </c>
      <c r="AN5" s="4">
        <v>50</v>
      </c>
      <c r="AO5" s="4">
        <v>40</v>
      </c>
      <c r="AQ5" s="8" t="s">
        <v>16</v>
      </c>
      <c r="AR5" s="4" t="s">
        <v>129</v>
      </c>
      <c r="AS5" s="4" t="s">
        <v>129</v>
      </c>
      <c r="AT5" s="4" t="s">
        <v>129</v>
      </c>
      <c r="AU5" s="4" t="s">
        <v>129</v>
      </c>
      <c r="AV5" s="4" t="s">
        <v>129</v>
      </c>
      <c r="AW5" s="4" t="s">
        <v>129</v>
      </c>
      <c r="AX5" s="4" t="s">
        <v>129</v>
      </c>
      <c r="AY5" s="4" t="s">
        <v>129</v>
      </c>
      <c r="AZ5" s="4" t="s">
        <v>129</v>
      </c>
      <c r="BA5" s="4" t="s">
        <v>129</v>
      </c>
      <c r="BB5" s="4" t="s">
        <v>129</v>
      </c>
      <c r="BC5" s="4" t="s">
        <v>129</v>
      </c>
      <c r="BE5" s="8" t="s">
        <v>16</v>
      </c>
      <c r="BF5" s="4" t="s">
        <v>130</v>
      </c>
      <c r="BG5" s="4" t="s">
        <v>130</v>
      </c>
      <c r="BH5" s="4" t="s">
        <v>130</v>
      </c>
      <c r="BI5" s="4" t="s">
        <v>130</v>
      </c>
      <c r="BJ5" s="4" t="s">
        <v>130</v>
      </c>
      <c r="BK5" s="4" t="s">
        <v>130</v>
      </c>
      <c r="BL5" s="4" t="s">
        <v>130</v>
      </c>
      <c r="BM5" s="4" t="s">
        <v>130</v>
      </c>
      <c r="BN5" s="4" t="s">
        <v>130</v>
      </c>
      <c r="BO5" s="4" t="s">
        <v>130</v>
      </c>
      <c r="BP5" s="4" t="s">
        <v>130</v>
      </c>
      <c r="BQ5" s="4" t="s">
        <v>130</v>
      </c>
    </row>
    <row r="6" spans="1:69" x14ac:dyDescent="0.3">
      <c r="A6" s="8" t="s">
        <v>17</v>
      </c>
      <c r="B6" s="4" t="s">
        <v>38</v>
      </c>
      <c r="C6" s="4">
        <v>160</v>
      </c>
      <c r="D6" s="4">
        <v>65</v>
      </c>
      <c r="E6" s="4">
        <v>55</v>
      </c>
      <c r="F6" s="4">
        <v>65</v>
      </c>
      <c r="G6" s="4">
        <v>55</v>
      </c>
      <c r="H6" s="4">
        <v>65</v>
      </c>
      <c r="I6" s="4">
        <v>65</v>
      </c>
      <c r="J6" s="4">
        <v>65</v>
      </c>
      <c r="K6" s="4">
        <v>65</v>
      </c>
      <c r="L6" s="4">
        <v>50</v>
      </c>
      <c r="M6" s="4">
        <v>40</v>
      </c>
      <c r="O6" s="8" t="s">
        <v>17</v>
      </c>
      <c r="P6" s="4" t="s">
        <v>38</v>
      </c>
      <c r="Q6" s="4">
        <v>180</v>
      </c>
      <c r="R6" s="4">
        <v>85</v>
      </c>
      <c r="S6" s="4">
        <v>75</v>
      </c>
      <c r="T6" s="4">
        <v>85</v>
      </c>
      <c r="U6" s="4">
        <v>75</v>
      </c>
      <c r="V6" s="4">
        <v>270</v>
      </c>
      <c r="W6" s="4">
        <v>180</v>
      </c>
      <c r="X6" s="4">
        <v>85</v>
      </c>
      <c r="Y6" s="4">
        <v>85</v>
      </c>
      <c r="Z6" s="4">
        <v>70</v>
      </c>
      <c r="AA6" s="4">
        <v>60</v>
      </c>
      <c r="AC6" s="8" t="s">
        <v>17</v>
      </c>
      <c r="AD6" s="4" t="s">
        <v>38</v>
      </c>
      <c r="AE6" s="4">
        <v>160</v>
      </c>
      <c r="AF6" s="4">
        <v>65</v>
      </c>
      <c r="AG6" s="4">
        <v>55</v>
      </c>
      <c r="AH6" s="4">
        <v>65</v>
      </c>
      <c r="AI6" s="4">
        <v>55</v>
      </c>
      <c r="AJ6" s="4">
        <v>65</v>
      </c>
      <c r="AK6" s="4">
        <v>65</v>
      </c>
      <c r="AL6" s="4">
        <v>65</v>
      </c>
      <c r="AM6" s="4">
        <v>65</v>
      </c>
      <c r="AN6" s="4">
        <v>50</v>
      </c>
      <c r="AO6" s="4">
        <v>40</v>
      </c>
      <c r="AQ6" s="8" t="s">
        <v>17</v>
      </c>
      <c r="AR6" s="4" t="s">
        <v>129</v>
      </c>
      <c r="AS6" s="4" t="s">
        <v>129</v>
      </c>
      <c r="AT6" s="4" t="s">
        <v>129</v>
      </c>
      <c r="AU6" s="4" t="s">
        <v>129</v>
      </c>
      <c r="AV6" s="4" t="s">
        <v>129</v>
      </c>
      <c r="AW6" s="4" t="s">
        <v>129</v>
      </c>
      <c r="AX6" s="4" t="s">
        <v>129</v>
      </c>
      <c r="AY6" s="4" t="s">
        <v>129</v>
      </c>
      <c r="AZ6" s="4" t="s">
        <v>129</v>
      </c>
      <c r="BA6" s="4" t="s">
        <v>129</v>
      </c>
      <c r="BB6" s="4" t="s">
        <v>129</v>
      </c>
      <c r="BC6" s="4" t="s">
        <v>129</v>
      </c>
      <c r="BE6" s="8" t="s">
        <v>17</v>
      </c>
      <c r="BF6" s="4" t="s">
        <v>130</v>
      </c>
      <c r="BG6" s="4" t="s">
        <v>130</v>
      </c>
      <c r="BH6" s="4" t="s">
        <v>130</v>
      </c>
      <c r="BI6" s="4" t="s">
        <v>130</v>
      </c>
      <c r="BJ6" s="4" t="s">
        <v>130</v>
      </c>
      <c r="BK6" s="4" t="s">
        <v>130</v>
      </c>
      <c r="BL6" s="4" t="s">
        <v>130</v>
      </c>
      <c r="BM6" s="4" t="s">
        <v>130</v>
      </c>
      <c r="BN6" s="4" t="s">
        <v>130</v>
      </c>
      <c r="BO6" s="4" t="s">
        <v>130</v>
      </c>
      <c r="BP6" s="4" t="s">
        <v>130</v>
      </c>
      <c r="BQ6" s="4" t="s">
        <v>130</v>
      </c>
    </row>
    <row r="7" spans="1:69" x14ac:dyDescent="0.3">
      <c r="A7" s="8" t="s">
        <v>18</v>
      </c>
      <c r="B7" s="4" t="s">
        <v>38</v>
      </c>
      <c r="C7" s="4">
        <v>160</v>
      </c>
      <c r="D7" s="4">
        <v>65</v>
      </c>
      <c r="E7" s="4">
        <v>55</v>
      </c>
      <c r="F7" s="4">
        <v>65</v>
      </c>
      <c r="G7" s="4">
        <v>55</v>
      </c>
      <c r="H7" s="4">
        <v>65</v>
      </c>
      <c r="I7" s="4">
        <v>65</v>
      </c>
      <c r="J7" s="4">
        <v>65</v>
      </c>
      <c r="K7" s="4">
        <v>65</v>
      </c>
      <c r="L7" s="4">
        <v>50</v>
      </c>
      <c r="M7" s="4">
        <v>40</v>
      </c>
      <c r="O7" s="8" t="s">
        <v>18</v>
      </c>
      <c r="P7" s="4" t="s">
        <v>38</v>
      </c>
      <c r="Q7" s="4">
        <v>180</v>
      </c>
      <c r="R7" s="4">
        <v>85</v>
      </c>
      <c r="S7" s="4">
        <v>75</v>
      </c>
      <c r="T7" s="4">
        <v>85</v>
      </c>
      <c r="U7" s="4">
        <v>75</v>
      </c>
      <c r="V7" s="4">
        <v>270</v>
      </c>
      <c r="W7" s="4">
        <v>180</v>
      </c>
      <c r="X7" s="4">
        <v>85</v>
      </c>
      <c r="Y7" s="4">
        <v>85</v>
      </c>
      <c r="Z7" s="4">
        <v>70</v>
      </c>
      <c r="AA7" s="4">
        <v>60</v>
      </c>
      <c r="AC7" s="8" t="s">
        <v>18</v>
      </c>
      <c r="AD7" s="4" t="s">
        <v>38</v>
      </c>
      <c r="AE7" s="4">
        <v>160</v>
      </c>
      <c r="AF7" s="4">
        <v>65</v>
      </c>
      <c r="AG7" s="4">
        <v>55</v>
      </c>
      <c r="AH7" s="4">
        <v>65</v>
      </c>
      <c r="AI7" s="4">
        <v>55</v>
      </c>
      <c r="AJ7" s="4">
        <v>65</v>
      </c>
      <c r="AK7" s="4">
        <v>65</v>
      </c>
      <c r="AL7" s="4">
        <v>65</v>
      </c>
      <c r="AM7" s="4">
        <v>65</v>
      </c>
      <c r="AN7" s="4">
        <v>50</v>
      </c>
      <c r="AO7" s="4">
        <v>40</v>
      </c>
      <c r="AQ7" s="8" t="s">
        <v>18</v>
      </c>
      <c r="AR7" s="4" t="s">
        <v>129</v>
      </c>
      <c r="AS7" s="4" t="s">
        <v>129</v>
      </c>
      <c r="AT7" s="4" t="s">
        <v>129</v>
      </c>
      <c r="AU7" s="4" t="s">
        <v>129</v>
      </c>
      <c r="AV7" s="4" t="s">
        <v>129</v>
      </c>
      <c r="AW7" s="4" t="s">
        <v>129</v>
      </c>
      <c r="AX7" s="4" t="s">
        <v>129</v>
      </c>
      <c r="AY7" s="4" t="s">
        <v>129</v>
      </c>
      <c r="AZ7" s="4" t="s">
        <v>129</v>
      </c>
      <c r="BA7" s="4" t="s">
        <v>129</v>
      </c>
      <c r="BB7" s="4" t="s">
        <v>129</v>
      </c>
      <c r="BC7" s="4" t="s">
        <v>129</v>
      </c>
      <c r="BE7" s="8" t="s">
        <v>18</v>
      </c>
      <c r="BF7" s="4" t="s">
        <v>130</v>
      </c>
      <c r="BG7" s="4" t="s">
        <v>130</v>
      </c>
      <c r="BH7" s="4" t="s">
        <v>130</v>
      </c>
      <c r="BI7" s="4" t="s">
        <v>130</v>
      </c>
      <c r="BJ7" s="4" t="s">
        <v>130</v>
      </c>
      <c r="BK7" s="4" t="s">
        <v>130</v>
      </c>
      <c r="BL7" s="4" t="s">
        <v>130</v>
      </c>
      <c r="BM7" s="4" t="s">
        <v>130</v>
      </c>
      <c r="BN7" s="4" t="s">
        <v>130</v>
      </c>
      <c r="BO7" s="4" t="s">
        <v>130</v>
      </c>
      <c r="BP7" s="4" t="s">
        <v>130</v>
      </c>
      <c r="BQ7" s="4" t="s">
        <v>130</v>
      </c>
    </row>
    <row r="8" spans="1:69" x14ac:dyDescent="0.3">
      <c r="A8" s="8" t="s">
        <v>10</v>
      </c>
      <c r="B8" s="4" t="s">
        <v>38</v>
      </c>
      <c r="C8" s="4">
        <v>160</v>
      </c>
      <c r="D8" s="4">
        <v>65</v>
      </c>
      <c r="E8" s="4">
        <v>55</v>
      </c>
      <c r="F8" s="4">
        <v>65</v>
      </c>
      <c r="G8" s="4">
        <v>55</v>
      </c>
      <c r="H8" s="4">
        <v>65</v>
      </c>
      <c r="I8" s="4">
        <v>65</v>
      </c>
      <c r="J8" s="4">
        <v>65</v>
      </c>
      <c r="K8" s="4">
        <v>65</v>
      </c>
      <c r="L8" s="4">
        <v>50</v>
      </c>
      <c r="M8" s="4">
        <v>40</v>
      </c>
      <c r="O8" s="8" t="s">
        <v>10</v>
      </c>
      <c r="P8" s="4" t="s">
        <v>38</v>
      </c>
      <c r="Q8" s="4">
        <v>180</v>
      </c>
      <c r="R8" s="4">
        <v>85</v>
      </c>
      <c r="S8" s="4">
        <v>75</v>
      </c>
      <c r="T8" s="4">
        <v>85</v>
      </c>
      <c r="U8" s="4">
        <v>75</v>
      </c>
      <c r="V8" s="4">
        <v>270</v>
      </c>
      <c r="W8" s="4">
        <v>180</v>
      </c>
      <c r="X8" s="4">
        <v>85</v>
      </c>
      <c r="Y8" s="4">
        <v>85</v>
      </c>
      <c r="Z8" s="4">
        <v>70</v>
      </c>
      <c r="AA8" s="4">
        <v>60</v>
      </c>
      <c r="AC8" s="8" t="s">
        <v>10</v>
      </c>
      <c r="AD8" s="9" t="s">
        <v>90</v>
      </c>
      <c r="AE8" s="9" t="s">
        <v>90</v>
      </c>
      <c r="AF8" s="9" t="s">
        <v>90</v>
      </c>
      <c r="AG8" s="9" t="s">
        <v>90</v>
      </c>
      <c r="AH8" s="9" t="s">
        <v>90</v>
      </c>
      <c r="AI8" s="9" t="s">
        <v>90</v>
      </c>
      <c r="AJ8" s="9" t="s">
        <v>90</v>
      </c>
      <c r="AK8" s="9" t="s">
        <v>90</v>
      </c>
      <c r="AL8" s="9" t="s">
        <v>90</v>
      </c>
      <c r="AM8" s="9" t="s">
        <v>90</v>
      </c>
      <c r="AN8" s="9" t="s">
        <v>90</v>
      </c>
      <c r="AO8" s="9" t="s">
        <v>90</v>
      </c>
      <c r="AQ8" s="8" t="s">
        <v>10</v>
      </c>
      <c r="AR8" s="4" t="s">
        <v>129</v>
      </c>
      <c r="AS8" s="4" t="s">
        <v>129</v>
      </c>
      <c r="AT8" s="4" t="s">
        <v>129</v>
      </c>
      <c r="AU8" s="4" t="s">
        <v>129</v>
      </c>
      <c r="AV8" s="4" t="s">
        <v>129</v>
      </c>
      <c r="AW8" s="4" t="s">
        <v>129</v>
      </c>
      <c r="AX8" s="4" t="s">
        <v>129</v>
      </c>
      <c r="AY8" s="4" t="s">
        <v>129</v>
      </c>
      <c r="AZ8" s="4" t="s">
        <v>129</v>
      </c>
      <c r="BA8" s="4" t="s">
        <v>129</v>
      </c>
      <c r="BB8" s="4" t="s">
        <v>129</v>
      </c>
      <c r="BC8" s="4" t="s">
        <v>129</v>
      </c>
      <c r="BE8" s="8" t="s">
        <v>10</v>
      </c>
      <c r="BF8" s="4" t="s">
        <v>130</v>
      </c>
      <c r="BG8" s="4" t="s">
        <v>130</v>
      </c>
      <c r="BH8" s="4" t="s">
        <v>130</v>
      </c>
      <c r="BI8" s="4" t="s">
        <v>130</v>
      </c>
      <c r="BJ8" s="4" t="s">
        <v>130</v>
      </c>
      <c r="BK8" s="4" t="s">
        <v>130</v>
      </c>
      <c r="BL8" s="4" t="s">
        <v>130</v>
      </c>
      <c r="BM8" s="4" t="s">
        <v>130</v>
      </c>
      <c r="BN8" s="4" t="s">
        <v>130</v>
      </c>
      <c r="BO8" s="4" t="s">
        <v>130</v>
      </c>
      <c r="BP8" s="4" t="s">
        <v>130</v>
      </c>
      <c r="BQ8" s="4" t="s">
        <v>130</v>
      </c>
    </row>
    <row r="9" spans="1:69" x14ac:dyDescent="0.3">
      <c r="A9" s="8" t="s">
        <v>19</v>
      </c>
      <c r="B9" s="4" t="s">
        <v>38</v>
      </c>
      <c r="C9" s="4">
        <v>160</v>
      </c>
      <c r="D9" s="4">
        <v>65</v>
      </c>
      <c r="E9" s="4">
        <v>55</v>
      </c>
      <c r="F9" s="4">
        <v>65</v>
      </c>
      <c r="G9" s="4">
        <v>55</v>
      </c>
      <c r="H9" s="4">
        <v>65</v>
      </c>
      <c r="I9" s="4">
        <v>65</v>
      </c>
      <c r="J9" s="4">
        <v>65</v>
      </c>
      <c r="K9" s="4">
        <v>65</v>
      </c>
      <c r="L9" s="4">
        <v>50</v>
      </c>
      <c r="M9" s="4">
        <v>40</v>
      </c>
      <c r="O9" s="8" t="s">
        <v>19</v>
      </c>
      <c r="P9" s="4" t="s">
        <v>38</v>
      </c>
      <c r="Q9" s="4">
        <v>160</v>
      </c>
      <c r="R9" s="4">
        <v>85</v>
      </c>
      <c r="S9" s="4">
        <v>75</v>
      </c>
      <c r="T9" s="4">
        <v>85</v>
      </c>
      <c r="U9" s="4">
        <v>75</v>
      </c>
      <c r="V9" s="4">
        <v>270</v>
      </c>
      <c r="W9" s="4">
        <v>180</v>
      </c>
      <c r="X9" s="4">
        <v>85</v>
      </c>
      <c r="Y9" s="4">
        <v>85</v>
      </c>
      <c r="Z9" s="4">
        <v>70</v>
      </c>
      <c r="AA9" s="4">
        <v>60</v>
      </c>
      <c r="AC9" s="8" t="s">
        <v>19</v>
      </c>
      <c r="AD9" s="4" t="s">
        <v>38</v>
      </c>
      <c r="AE9" s="4">
        <v>160</v>
      </c>
      <c r="AF9" s="4">
        <v>65</v>
      </c>
      <c r="AG9" s="4">
        <v>55</v>
      </c>
      <c r="AH9" s="4">
        <v>65</v>
      </c>
      <c r="AI9" s="4">
        <v>55</v>
      </c>
      <c r="AJ9" s="4">
        <v>65</v>
      </c>
      <c r="AK9" s="4">
        <v>65</v>
      </c>
      <c r="AL9" s="4">
        <v>65</v>
      </c>
      <c r="AM9" s="4">
        <v>65</v>
      </c>
      <c r="AN9" s="4">
        <v>50</v>
      </c>
      <c r="AO9" s="4">
        <v>40</v>
      </c>
      <c r="AQ9" s="8" t="s">
        <v>19</v>
      </c>
      <c r="AR9" s="4" t="s">
        <v>129</v>
      </c>
      <c r="AS9" s="4" t="s">
        <v>129</v>
      </c>
      <c r="AT9" s="4" t="s">
        <v>129</v>
      </c>
      <c r="AU9" s="4" t="s">
        <v>129</v>
      </c>
      <c r="AV9" s="4" t="s">
        <v>129</v>
      </c>
      <c r="AW9" s="4" t="s">
        <v>129</v>
      </c>
      <c r="AX9" s="4" t="s">
        <v>129</v>
      </c>
      <c r="AY9" s="4" t="s">
        <v>129</v>
      </c>
      <c r="AZ9" s="4" t="s">
        <v>129</v>
      </c>
      <c r="BA9" s="4" t="s">
        <v>129</v>
      </c>
      <c r="BB9" s="4" t="s">
        <v>129</v>
      </c>
      <c r="BC9" s="4" t="s">
        <v>129</v>
      </c>
      <c r="BE9" s="8" t="s">
        <v>19</v>
      </c>
      <c r="BF9" s="4" t="s">
        <v>130</v>
      </c>
      <c r="BG9" s="4" t="s">
        <v>130</v>
      </c>
      <c r="BH9" s="4" t="s">
        <v>130</v>
      </c>
      <c r="BI9" s="4" t="s">
        <v>130</v>
      </c>
      <c r="BJ9" s="4" t="s">
        <v>130</v>
      </c>
      <c r="BK9" s="4" t="s">
        <v>130</v>
      </c>
      <c r="BL9" s="4" t="s">
        <v>130</v>
      </c>
      <c r="BM9" s="4" t="s">
        <v>130</v>
      </c>
      <c r="BN9" s="4" t="s">
        <v>130</v>
      </c>
      <c r="BO9" s="4" t="s">
        <v>130</v>
      </c>
      <c r="BP9" s="4" t="s">
        <v>130</v>
      </c>
      <c r="BQ9" s="4" t="s">
        <v>130</v>
      </c>
    </row>
    <row r="10" spans="1:69" x14ac:dyDescent="0.3">
      <c r="A10" s="8" t="s">
        <v>20</v>
      </c>
      <c r="B10" s="4" t="s">
        <v>38</v>
      </c>
      <c r="C10" s="4">
        <v>160</v>
      </c>
      <c r="D10" s="4">
        <v>65</v>
      </c>
      <c r="E10" s="4">
        <v>55</v>
      </c>
      <c r="F10" s="4">
        <v>65</v>
      </c>
      <c r="G10" s="4">
        <v>55</v>
      </c>
      <c r="H10" s="4">
        <v>65</v>
      </c>
      <c r="I10" s="4">
        <v>65</v>
      </c>
      <c r="J10" s="4">
        <v>65</v>
      </c>
      <c r="K10" s="4">
        <v>65</v>
      </c>
      <c r="L10" s="4">
        <v>50</v>
      </c>
      <c r="M10" s="4">
        <v>40</v>
      </c>
      <c r="O10" s="8" t="s">
        <v>20</v>
      </c>
      <c r="P10" s="4" t="s">
        <v>38</v>
      </c>
      <c r="Q10" s="4">
        <v>180</v>
      </c>
      <c r="R10" s="4">
        <v>85</v>
      </c>
      <c r="S10" s="4">
        <v>75</v>
      </c>
      <c r="T10" s="4">
        <v>85</v>
      </c>
      <c r="U10" s="4">
        <v>75</v>
      </c>
      <c r="V10" s="4">
        <v>270</v>
      </c>
      <c r="W10" s="4">
        <v>180</v>
      </c>
      <c r="X10" s="4">
        <v>85</v>
      </c>
      <c r="Y10" s="4">
        <v>85</v>
      </c>
      <c r="Z10" s="4">
        <v>70</v>
      </c>
      <c r="AA10" s="4">
        <v>60</v>
      </c>
      <c r="AC10" s="8" t="s">
        <v>20</v>
      </c>
      <c r="AD10" s="9" t="s">
        <v>90</v>
      </c>
      <c r="AE10" s="9" t="s">
        <v>90</v>
      </c>
      <c r="AF10" s="9" t="s">
        <v>90</v>
      </c>
      <c r="AG10" s="9" t="s">
        <v>90</v>
      </c>
      <c r="AH10" s="9" t="s">
        <v>90</v>
      </c>
      <c r="AI10" s="9" t="s">
        <v>90</v>
      </c>
      <c r="AJ10" s="9" t="s">
        <v>90</v>
      </c>
      <c r="AK10" s="9" t="s">
        <v>90</v>
      </c>
      <c r="AL10" s="9" t="s">
        <v>90</v>
      </c>
      <c r="AM10" s="9" t="s">
        <v>90</v>
      </c>
      <c r="AN10" s="9" t="s">
        <v>90</v>
      </c>
      <c r="AO10" s="9" t="s">
        <v>90</v>
      </c>
      <c r="AQ10" s="8" t="s">
        <v>20</v>
      </c>
      <c r="AR10" s="4" t="s">
        <v>129</v>
      </c>
      <c r="AS10" s="4" t="s">
        <v>129</v>
      </c>
      <c r="AT10" s="4" t="s">
        <v>129</v>
      </c>
      <c r="AU10" s="4" t="s">
        <v>129</v>
      </c>
      <c r="AV10" s="4" t="s">
        <v>129</v>
      </c>
      <c r="AW10" s="4" t="s">
        <v>129</v>
      </c>
      <c r="AX10" s="4" t="s">
        <v>129</v>
      </c>
      <c r="AY10" s="4" t="s">
        <v>129</v>
      </c>
      <c r="AZ10" s="4" t="s">
        <v>129</v>
      </c>
      <c r="BA10" s="4" t="s">
        <v>129</v>
      </c>
      <c r="BB10" s="4" t="s">
        <v>129</v>
      </c>
      <c r="BC10" s="4" t="s">
        <v>129</v>
      </c>
      <c r="BE10" s="8" t="s">
        <v>20</v>
      </c>
      <c r="BF10" s="4" t="s">
        <v>130</v>
      </c>
      <c r="BG10" s="4" t="s">
        <v>130</v>
      </c>
      <c r="BH10" s="4" t="s">
        <v>130</v>
      </c>
      <c r="BI10" s="4" t="s">
        <v>130</v>
      </c>
      <c r="BJ10" s="4" t="s">
        <v>130</v>
      </c>
      <c r="BK10" s="4" t="s">
        <v>130</v>
      </c>
      <c r="BL10" s="4" t="s">
        <v>130</v>
      </c>
      <c r="BM10" s="4" t="s">
        <v>130</v>
      </c>
      <c r="BN10" s="4" t="s">
        <v>130</v>
      </c>
      <c r="BO10" s="4" t="s">
        <v>130</v>
      </c>
      <c r="BP10" s="4" t="s">
        <v>130</v>
      </c>
      <c r="BQ10" s="4" t="s">
        <v>130</v>
      </c>
    </row>
    <row r="11" spans="1:69" x14ac:dyDescent="0.3">
      <c r="A11" s="8" t="s">
        <v>41</v>
      </c>
      <c r="B11" s="4" t="s">
        <v>38</v>
      </c>
      <c r="C11" s="4">
        <v>160</v>
      </c>
      <c r="D11" s="4">
        <v>65</v>
      </c>
      <c r="E11" s="4">
        <v>55</v>
      </c>
      <c r="F11" s="4">
        <v>65</v>
      </c>
      <c r="G11" s="4">
        <v>55</v>
      </c>
      <c r="H11" s="4">
        <v>65</v>
      </c>
      <c r="I11" s="4">
        <v>65</v>
      </c>
      <c r="J11" s="4">
        <v>65</v>
      </c>
      <c r="K11" s="4">
        <v>65</v>
      </c>
      <c r="L11" s="4">
        <v>50</v>
      </c>
      <c r="M11" s="4">
        <v>40</v>
      </c>
      <c r="O11" s="8" t="s">
        <v>41</v>
      </c>
      <c r="P11" s="4" t="s">
        <v>38</v>
      </c>
      <c r="Q11" s="4">
        <v>180</v>
      </c>
      <c r="R11" s="4">
        <v>85</v>
      </c>
      <c r="S11" s="4">
        <v>75</v>
      </c>
      <c r="T11" s="4">
        <v>85</v>
      </c>
      <c r="U11" s="4">
        <v>75</v>
      </c>
      <c r="V11" s="4">
        <v>270</v>
      </c>
      <c r="W11" s="4">
        <v>180</v>
      </c>
      <c r="X11" s="4">
        <v>85</v>
      </c>
      <c r="Y11" s="4">
        <v>85</v>
      </c>
      <c r="Z11" s="4">
        <v>70</v>
      </c>
      <c r="AA11" s="4">
        <v>60</v>
      </c>
      <c r="AC11" s="8" t="s">
        <v>41</v>
      </c>
      <c r="AD11" s="9" t="s">
        <v>90</v>
      </c>
      <c r="AE11" s="9" t="s">
        <v>90</v>
      </c>
      <c r="AF11" s="9" t="s">
        <v>90</v>
      </c>
      <c r="AG11" s="9" t="s">
        <v>90</v>
      </c>
      <c r="AH11" s="9" t="s">
        <v>90</v>
      </c>
      <c r="AI11" s="9" t="s">
        <v>90</v>
      </c>
      <c r="AJ11" s="9" t="s">
        <v>90</v>
      </c>
      <c r="AK11" s="9" t="s">
        <v>90</v>
      </c>
      <c r="AL11" s="9" t="s">
        <v>90</v>
      </c>
      <c r="AM11" s="9" t="s">
        <v>90</v>
      </c>
      <c r="AN11" s="9" t="s">
        <v>90</v>
      </c>
      <c r="AO11" s="9" t="s">
        <v>90</v>
      </c>
      <c r="AQ11" s="8" t="s">
        <v>41</v>
      </c>
      <c r="AR11" s="4" t="s">
        <v>129</v>
      </c>
      <c r="AS11" s="4" t="s">
        <v>129</v>
      </c>
      <c r="AT11" s="4" t="s">
        <v>129</v>
      </c>
      <c r="AU11" s="4" t="s">
        <v>129</v>
      </c>
      <c r="AV11" s="4" t="s">
        <v>129</v>
      </c>
      <c r="AW11" s="4" t="s">
        <v>129</v>
      </c>
      <c r="AX11" s="4" t="s">
        <v>129</v>
      </c>
      <c r="AY11" s="4" t="s">
        <v>129</v>
      </c>
      <c r="AZ11" s="4" t="s">
        <v>129</v>
      </c>
      <c r="BA11" s="4" t="s">
        <v>129</v>
      </c>
      <c r="BB11" s="4" t="s">
        <v>129</v>
      </c>
      <c r="BC11" s="4" t="s">
        <v>129</v>
      </c>
      <c r="BE11" s="8" t="s">
        <v>41</v>
      </c>
      <c r="BF11" s="4" t="s">
        <v>130</v>
      </c>
      <c r="BG11" s="4" t="s">
        <v>130</v>
      </c>
      <c r="BH11" s="4" t="s">
        <v>130</v>
      </c>
      <c r="BI11" s="4" t="s">
        <v>130</v>
      </c>
      <c r="BJ11" s="4" t="s">
        <v>130</v>
      </c>
      <c r="BK11" s="4" t="s">
        <v>130</v>
      </c>
      <c r="BL11" s="4" t="s">
        <v>130</v>
      </c>
      <c r="BM11" s="4" t="s">
        <v>130</v>
      </c>
      <c r="BN11" s="4" t="s">
        <v>130</v>
      </c>
      <c r="BO11" s="4" t="s">
        <v>130</v>
      </c>
      <c r="BP11" s="4" t="s">
        <v>130</v>
      </c>
      <c r="BQ11" s="4" t="s">
        <v>130</v>
      </c>
    </row>
    <row r="12" spans="1:69" x14ac:dyDescent="0.3">
      <c r="A12" s="8" t="s">
        <v>21</v>
      </c>
      <c r="B12" s="4" t="s">
        <v>38</v>
      </c>
      <c r="C12" s="4">
        <v>160</v>
      </c>
      <c r="D12" s="4">
        <v>65</v>
      </c>
      <c r="E12" s="4">
        <v>55</v>
      </c>
      <c r="F12" s="4">
        <v>65</v>
      </c>
      <c r="G12" s="4">
        <v>55</v>
      </c>
      <c r="H12" s="4">
        <v>120</v>
      </c>
      <c r="I12" s="4">
        <v>90</v>
      </c>
      <c r="J12" s="4">
        <v>65</v>
      </c>
      <c r="K12" s="4">
        <v>65</v>
      </c>
      <c r="L12" s="4">
        <v>50</v>
      </c>
      <c r="M12" s="4">
        <v>40</v>
      </c>
      <c r="O12" s="8" t="s">
        <v>21</v>
      </c>
      <c r="P12" s="4" t="s">
        <v>38</v>
      </c>
      <c r="Q12" s="4">
        <v>160</v>
      </c>
      <c r="R12" s="4">
        <v>65</v>
      </c>
      <c r="S12" s="4">
        <v>55</v>
      </c>
      <c r="T12" s="4">
        <v>65</v>
      </c>
      <c r="U12" s="4">
        <v>55</v>
      </c>
      <c r="V12" s="4">
        <v>120</v>
      </c>
      <c r="W12" s="4">
        <v>90</v>
      </c>
      <c r="X12" s="4">
        <v>65</v>
      </c>
      <c r="Y12" s="4">
        <v>65</v>
      </c>
      <c r="Z12" s="4">
        <v>50</v>
      </c>
      <c r="AA12" s="4">
        <v>40</v>
      </c>
      <c r="AC12" s="8" t="s">
        <v>21</v>
      </c>
      <c r="AD12" s="4" t="s">
        <v>38</v>
      </c>
      <c r="AE12" s="4">
        <v>160</v>
      </c>
      <c r="AF12" s="4">
        <v>65</v>
      </c>
      <c r="AG12" s="4">
        <v>55</v>
      </c>
      <c r="AH12" s="4">
        <v>65</v>
      </c>
      <c r="AI12" s="4">
        <v>55</v>
      </c>
      <c r="AJ12" s="4">
        <v>120</v>
      </c>
      <c r="AK12" s="4">
        <v>90</v>
      </c>
      <c r="AL12" s="4">
        <v>65</v>
      </c>
      <c r="AM12" s="4">
        <v>65</v>
      </c>
      <c r="AN12" s="4">
        <v>50</v>
      </c>
      <c r="AO12" s="4">
        <v>40</v>
      </c>
      <c r="AQ12" s="8" t="s">
        <v>21</v>
      </c>
      <c r="AR12" s="4" t="s">
        <v>129</v>
      </c>
      <c r="AS12" s="4" t="s">
        <v>129</v>
      </c>
      <c r="AT12" s="4" t="s">
        <v>129</v>
      </c>
      <c r="AU12" s="4" t="s">
        <v>129</v>
      </c>
      <c r="AV12" s="4" t="s">
        <v>129</v>
      </c>
      <c r="AW12" s="4" t="s">
        <v>129</v>
      </c>
      <c r="AX12" s="4" t="s">
        <v>129</v>
      </c>
      <c r="AY12" s="4" t="s">
        <v>129</v>
      </c>
      <c r="AZ12" s="4" t="s">
        <v>129</v>
      </c>
      <c r="BA12" s="4" t="s">
        <v>129</v>
      </c>
      <c r="BB12" s="4" t="s">
        <v>129</v>
      </c>
      <c r="BC12" s="4" t="s">
        <v>129</v>
      </c>
      <c r="BE12" s="8" t="s">
        <v>21</v>
      </c>
      <c r="BF12" s="4" t="s">
        <v>130</v>
      </c>
      <c r="BG12" s="4" t="s">
        <v>130</v>
      </c>
      <c r="BH12" s="4" t="s">
        <v>130</v>
      </c>
      <c r="BI12" s="4" t="s">
        <v>130</v>
      </c>
      <c r="BJ12" s="4" t="s">
        <v>130</v>
      </c>
      <c r="BK12" s="4" t="s">
        <v>130</v>
      </c>
      <c r="BL12" s="4" t="s">
        <v>130</v>
      </c>
      <c r="BM12" s="4" t="s">
        <v>130</v>
      </c>
      <c r="BN12" s="4" t="s">
        <v>130</v>
      </c>
      <c r="BO12" s="4" t="s">
        <v>130</v>
      </c>
      <c r="BP12" s="4" t="s">
        <v>130</v>
      </c>
      <c r="BQ12" s="4" t="s">
        <v>130</v>
      </c>
    </row>
    <row r="13" spans="1:69" x14ac:dyDescent="0.3">
      <c r="A13" s="8" t="s">
        <v>22</v>
      </c>
      <c r="B13" s="4" t="s">
        <v>38</v>
      </c>
      <c r="C13" s="4">
        <v>160</v>
      </c>
      <c r="D13" s="4">
        <v>65</v>
      </c>
      <c r="E13" s="4">
        <v>55</v>
      </c>
      <c r="F13" s="4">
        <v>65</v>
      </c>
      <c r="G13" s="4">
        <v>55</v>
      </c>
      <c r="H13" s="4">
        <v>120</v>
      </c>
      <c r="I13" s="4">
        <v>90</v>
      </c>
      <c r="J13" s="4">
        <v>65</v>
      </c>
      <c r="K13" s="4">
        <v>65</v>
      </c>
      <c r="L13" s="4">
        <v>50</v>
      </c>
      <c r="M13" s="4">
        <v>40</v>
      </c>
      <c r="O13" s="8" t="s">
        <v>22</v>
      </c>
      <c r="P13" s="4" t="s">
        <v>38</v>
      </c>
      <c r="Q13" s="4">
        <v>160</v>
      </c>
      <c r="R13" s="4">
        <v>65</v>
      </c>
      <c r="S13" s="4">
        <v>55</v>
      </c>
      <c r="T13" s="4">
        <v>65</v>
      </c>
      <c r="U13" s="4">
        <v>55</v>
      </c>
      <c r="V13" s="4">
        <v>120</v>
      </c>
      <c r="W13" s="4">
        <v>90</v>
      </c>
      <c r="X13" s="4">
        <v>65</v>
      </c>
      <c r="Y13" s="4">
        <v>65</v>
      </c>
      <c r="Z13" s="4">
        <v>50</v>
      </c>
      <c r="AA13" s="4">
        <v>40</v>
      </c>
      <c r="AC13" s="8" t="s">
        <v>22</v>
      </c>
      <c r="AD13" s="4" t="s">
        <v>38</v>
      </c>
      <c r="AE13" s="4">
        <v>160</v>
      </c>
      <c r="AF13" s="4">
        <v>65</v>
      </c>
      <c r="AG13" s="4">
        <v>55</v>
      </c>
      <c r="AH13" s="4">
        <v>65</v>
      </c>
      <c r="AI13" s="4">
        <v>55</v>
      </c>
      <c r="AJ13" s="4">
        <v>120</v>
      </c>
      <c r="AK13" s="4">
        <v>90</v>
      </c>
      <c r="AL13" s="4">
        <v>65</v>
      </c>
      <c r="AM13" s="4">
        <v>65</v>
      </c>
      <c r="AN13" s="4">
        <v>50</v>
      </c>
      <c r="AO13" s="4">
        <v>40</v>
      </c>
      <c r="AQ13" s="8" t="s">
        <v>22</v>
      </c>
      <c r="AR13" s="4" t="s">
        <v>129</v>
      </c>
      <c r="AS13" s="4" t="s">
        <v>129</v>
      </c>
      <c r="AT13" s="4" t="s">
        <v>129</v>
      </c>
      <c r="AU13" s="4" t="s">
        <v>129</v>
      </c>
      <c r="AV13" s="4" t="s">
        <v>129</v>
      </c>
      <c r="AW13" s="4" t="s">
        <v>129</v>
      </c>
      <c r="AX13" s="4" t="s">
        <v>129</v>
      </c>
      <c r="AY13" s="4" t="s">
        <v>129</v>
      </c>
      <c r="AZ13" s="4" t="s">
        <v>129</v>
      </c>
      <c r="BA13" s="4" t="s">
        <v>129</v>
      </c>
      <c r="BB13" s="4" t="s">
        <v>129</v>
      </c>
      <c r="BC13" s="4" t="s">
        <v>129</v>
      </c>
      <c r="BE13" s="8" t="s">
        <v>22</v>
      </c>
      <c r="BF13" s="4" t="s">
        <v>130</v>
      </c>
      <c r="BG13" s="4" t="s">
        <v>130</v>
      </c>
      <c r="BH13" s="4" t="s">
        <v>130</v>
      </c>
      <c r="BI13" s="4" t="s">
        <v>130</v>
      </c>
      <c r="BJ13" s="4" t="s">
        <v>130</v>
      </c>
      <c r="BK13" s="4" t="s">
        <v>130</v>
      </c>
      <c r="BL13" s="4" t="s">
        <v>130</v>
      </c>
      <c r="BM13" s="4" t="s">
        <v>130</v>
      </c>
      <c r="BN13" s="4" t="s">
        <v>130</v>
      </c>
      <c r="BO13" s="4" t="s">
        <v>130</v>
      </c>
      <c r="BP13" s="4" t="s">
        <v>130</v>
      </c>
      <c r="BQ13" s="4" t="s">
        <v>130</v>
      </c>
    </row>
    <row r="14" spans="1:69" x14ac:dyDescent="0.3">
      <c r="A14" s="8" t="s">
        <v>23</v>
      </c>
      <c r="B14" s="4" t="s">
        <v>38</v>
      </c>
      <c r="C14" s="4">
        <v>160</v>
      </c>
      <c r="D14" s="4">
        <v>65</v>
      </c>
      <c r="E14" s="4">
        <v>55</v>
      </c>
      <c r="F14" s="4">
        <v>65</v>
      </c>
      <c r="G14" s="4">
        <v>55</v>
      </c>
      <c r="H14" s="4">
        <v>120</v>
      </c>
      <c r="I14" s="4">
        <v>90</v>
      </c>
      <c r="J14" s="4">
        <v>65</v>
      </c>
      <c r="K14" s="4">
        <v>65</v>
      </c>
      <c r="L14" s="4">
        <v>50</v>
      </c>
      <c r="M14" s="4">
        <v>40</v>
      </c>
      <c r="O14" s="8" t="s">
        <v>23</v>
      </c>
      <c r="P14" s="4" t="s">
        <v>38</v>
      </c>
      <c r="Q14" s="4">
        <v>160</v>
      </c>
      <c r="R14" s="4">
        <v>65</v>
      </c>
      <c r="S14" s="4">
        <v>55</v>
      </c>
      <c r="T14" s="4">
        <v>65</v>
      </c>
      <c r="U14" s="4">
        <v>55</v>
      </c>
      <c r="V14" s="4">
        <v>120</v>
      </c>
      <c r="W14" s="4">
        <v>90</v>
      </c>
      <c r="X14" s="4">
        <v>65</v>
      </c>
      <c r="Y14" s="4">
        <v>65</v>
      </c>
      <c r="Z14" s="4">
        <v>50</v>
      </c>
      <c r="AA14" s="4">
        <v>40</v>
      </c>
      <c r="AC14" s="8" t="s">
        <v>23</v>
      </c>
      <c r="AD14" s="4" t="s">
        <v>38</v>
      </c>
      <c r="AE14" s="4">
        <v>160</v>
      </c>
      <c r="AF14" s="4">
        <v>65</v>
      </c>
      <c r="AG14" s="4">
        <v>55</v>
      </c>
      <c r="AH14" s="4">
        <v>65</v>
      </c>
      <c r="AI14" s="4">
        <v>55</v>
      </c>
      <c r="AJ14" s="4">
        <v>120</v>
      </c>
      <c r="AK14" s="4">
        <v>90</v>
      </c>
      <c r="AL14" s="4">
        <v>65</v>
      </c>
      <c r="AM14" s="4">
        <v>65</v>
      </c>
      <c r="AN14" s="4">
        <v>50</v>
      </c>
      <c r="AO14" s="4">
        <v>40</v>
      </c>
      <c r="AQ14" s="8" t="s">
        <v>23</v>
      </c>
      <c r="AR14" s="4" t="s">
        <v>129</v>
      </c>
      <c r="AS14" s="4" t="s">
        <v>129</v>
      </c>
      <c r="AT14" s="4" t="s">
        <v>129</v>
      </c>
      <c r="AU14" s="4" t="s">
        <v>129</v>
      </c>
      <c r="AV14" s="4" t="s">
        <v>129</v>
      </c>
      <c r="AW14" s="4" t="s">
        <v>129</v>
      </c>
      <c r="AX14" s="4" t="s">
        <v>129</v>
      </c>
      <c r="AY14" s="4" t="s">
        <v>129</v>
      </c>
      <c r="AZ14" s="4" t="s">
        <v>129</v>
      </c>
      <c r="BA14" s="4" t="s">
        <v>129</v>
      </c>
      <c r="BB14" s="4" t="s">
        <v>129</v>
      </c>
      <c r="BC14" s="4" t="s">
        <v>129</v>
      </c>
      <c r="BE14" s="8" t="s">
        <v>23</v>
      </c>
      <c r="BF14" s="4" t="s">
        <v>130</v>
      </c>
      <c r="BG14" s="4" t="s">
        <v>130</v>
      </c>
      <c r="BH14" s="4" t="s">
        <v>130</v>
      </c>
      <c r="BI14" s="4" t="s">
        <v>130</v>
      </c>
      <c r="BJ14" s="4" t="s">
        <v>130</v>
      </c>
      <c r="BK14" s="4" t="s">
        <v>130</v>
      </c>
      <c r="BL14" s="4" t="s">
        <v>130</v>
      </c>
      <c r="BM14" s="4" t="s">
        <v>130</v>
      </c>
      <c r="BN14" s="4" t="s">
        <v>130</v>
      </c>
      <c r="BO14" s="4" t="s">
        <v>130</v>
      </c>
      <c r="BP14" s="4" t="s">
        <v>130</v>
      </c>
      <c r="BQ14" s="4" t="s">
        <v>130</v>
      </c>
    </row>
    <row r="15" spans="1:69" x14ac:dyDescent="0.3">
      <c r="A15" s="8" t="s">
        <v>24</v>
      </c>
      <c r="B15" s="4" t="s">
        <v>38</v>
      </c>
      <c r="C15" s="4">
        <v>160</v>
      </c>
      <c r="D15" s="4">
        <v>65</v>
      </c>
      <c r="E15" s="4">
        <v>55</v>
      </c>
      <c r="F15" s="4">
        <v>65</v>
      </c>
      <c r="G15" s="4">
        <v>55</v>
      </c>
      <c r="H15" s="4">
        <v>65</v>
      </c>
      <c r="I15" s="4">
        <v>65</v>
      </c>
      <c r="J15" s="4">
        <v>65</v>
      </c>
      <c r="K15" s="4">
        <v>65</v>
      </c>
      <c r="L15" s="4">
        <v>50</v>
      </c>
      <c r="M15" s="4">
        <v>40</v>
      </c>
      <c r="O15" s="8" t="s">
        <v>24</v>
      </c>
      <c r="P15" s="4" t="s">
        <v>38</v>
      </c>
      <c r="Q15" s="4">
        <v>180</v>
      </c>
      <c r="R15" s="4">
        <v>85</v>
      </c>
      <c r="S15" s="4">
        <v>75</v>
      </c>
      <c r="T15" s="4">
        <v>85</v>
      </c>
      <c r="U15" s="4">
        <v>75</v>
      </c>
      <c r="V15" s="4">
        <v>140</v>
      </c>
      <c r="W15" s="4">
        <v>100</v>
      </c>
      <c r="X15" s="4">
        <v>85</v>
      </c>
      <c r="Y15" s="4">
        <v>85</v>
      </c>
      <c r="Z15" s="4">
        <v>70</v>
      </c>
      <c r="AA15" s="4">
        <v>60</v>
      </c>
      <c r="AC15" s="8" t="s">
        <v>24</v>
      </c>
      <c r="AD15" s="4" t="s">
        <v>38</v>
      </c>
      <c r="AE15" s="4">
        <v>160</v>
      </c>
      <c r="AF15" s="4">
        <v>65</v>
      </c>
      <c r="AG15" s="4">
        <v>55</v>
      </c>
      <c r="AH15" s="4">
        <v>65</v>
      </c>
      <c r="AI15" s="4">
        <v>55</v>
      </c>
      <c r="AJ15" s="4">
        <v>65</v>
      </c>
      <c r="AK15" s="4">
        <v>65</v>
      </c>
      <c r="AL15" s="4">
        <v>65</v>
      </c>
      <c r="AM15" s="4">
        <v>65</v>
      </c>
      <c r="AN15" s="4">
        <v>50</v>
      </c>
      <c r="AO15" s="4">
        <v>40</v>
      </c>
      <c r="AQ15" s="8" t="s">
        <v>24</v>
      </c>
      <c r="AR15" s="4" t="s">
        <v>129</v>
      </c>
      <c r="AS15" s="4" t="s">
        <v>129</v>
      </c>
      <c r="AT15" s="4" t="s">
        <v>129</v>
      </c>
      <c r="AU15" s="4" t="s">
        <v>129</v>
      </c>
      <c r="AV15" s="4" t="s">
        <v>129</v>
      </c>
      <c r="AW15" s="4" t="s">
        <v>129</v>
      </c>
      <c r="AX15" s="4" t="s">
        <v>129</v>
      </c>
      <c r="AY15" s="4" t="s">
        <v>129</v>
      </c>
      <c r="AZ15" s="4" t="s">
        <v>129</v>
      </c>
      <c r="BA15" s="4" t="s">
        <v>129</v>
      </c>
      <c r="BB15" s="4" t="s">
        <v>129</v>
      </c>
      <c r="BC15" s="4" t="s">
        <v>129</v>
      </c>
      <c r="BE15" s="8" t="s">
        <v>24</v>
      </c>
      <c r="BF15" s="4" t="s">
        <v>130</v>
      </c>
      <c r="BG15" s="4" t="s">
        <v>130</v>
      </c>
      <c r="BH15" s="4" t="s">
        <v>130</v>
      </c>
      <c r="BI15" s="4" t="s">
        <v>130</v>
      </c>
      <c r="BJ15" s="4" t="s">
        <v>130</v>
      </c>
      <c r="BK15" s="4" t="s">
        <v>130</v>
      </c>
      <c r="BL15" s="4" t="s">
        <v>130</v>
      </c>
      <c r="BM15" s="4" t="s">
        <v>130</v>
      </c>
      <c r="BN15" s="4" t="s">
        <v>130</v>
      </c>
      <c r="BO15" s="4" t="s">
        <v>130</v>
      </c>
      <c r="BP15" s="4" t="s">
        <v>130</v>
      </c>
      <c r="BQ15" s="4" t="s">
        <v>130</v>
      </c>
    </row>
    <row r="16" spans="1:69" x14ac:dyDescent="0.3">
      <c r="A16" s="8" t="s">
        <v>25</v>
      </c>
      <c r="B16" s="4" t="s">
        <v>38</v>
      </c>
      <c r="C16" s="4">
        <v>160</v>
      </c>
      <c r="D16" s="4">
        <v>65</v>
      </c>
      <c r="E16" s="4">
        <v>55</v>
      </c>
      <c r="F16" s="4">
        <v>65</v>
      </c>
      <c r="G16" s="4">
        <v>55</v>
      </c>
      <c r="H16" s="4">
        <v>120</v>
      </c>
      <c r="I16" s="4">
        <v>90</v>
      </c>
      <c r="J16" s="4">
        <v>65</v>
      </c>
      <c r="K16" s="4">
        <v>65</v>
      </c>
      <c r="L16" s="4">
        <v>50</v>
      </c>
      <c r="M16" s="4">
        <v>40</v>
      </c>
      <c r="O16" s="8" t="s">
        <v>25</v>
      </c>
      <c r="P16" s="4" t="s">
        <v>38</v>
      </c>
      <c r="Q16" s="4">
        <v>160</v>
      </c>
      <c r="R16" s="4">
        <v>65</v>
      </c>
      <c r="S16" s="4">
        <v>55</v>
      </c>
      <c r="T16" s="4">
        <v>65</v>
      </c>
      <c r="U16" s="4">
        <v>55</v>
      </c>
      <c r="V16" s="4">
        <v>120</v>
      </c>
      <c r="W16" s="4">
        <v>90</v>
      </c>
      <c r="X16" s="4">
        <v>65</v>
      </c>
      <c r="Y16" s="4">
        <v>65</v>
      </c>
      <c r="Z16" s="4">
        <v>50</v>
      </c>
      <c r="AA16" s="4">
        <v>40</v>
      </c>
      <c r="AC16" s="8" t="s">
        <v>25</v>
      </c>
      <c r="AD16" s="4" t="s">
        <v>38</v>
      </c>
      <c r="AE16" s="4">
        <v>160</v>
      </c>
      <c r="AF16" s="4">
        <v>65</v>
      </c>
      <c r="AG16" s="4">
        <v>55</v>
      </c>
      <c r="AH16" s="4">
        <v>65</v>
      </c>
      <c r="AI16" s="4">
        <v>55</v>
      </c>
      <c r="AJ16" s="4">
        <v>120</v>
      </c>
      <c r="AK16" s="4">
        <v>90</v>
      </c>
      <c r="AL16" s="4">
        <v>65</v>
      </c>
      <c r="AM16" s="4">
        <v>65</v>
      </c>
      <c r="AN16" s="4">
        <v>50</v>
      </c>
      <c r="AO16" s="4">
        <v>40</v>
      </c>
      <c r="AQ16" s="8" t="s">
        <v>25</v>
      </c>
      <c r="AR16" s="4" t="s">
        <v>129</v>
      </c>
      <c r="AS16" s="4" t="s">
        <v>129</v>
      </c>
      <c r="AT16" s="4" t="s">
        <v>129</v>
      </c>
      <c r="AU16" s="4" t="s">
        <v>129</v>
      </c>
      <c r="AV16" s="4" t="s">
        <v>129</v>
      </c>
      <c r="AW16" s="4" t="s">
        <v>129</v>
      </c>
      <c r="AX16" s="4" t="s">
        <v>129</v>
      </c>
      <c r="AY16" s="4" t="s">
        <v>129</v>
      </c>
      <c r="AZ16" s="4" t="s">
        <v>129</v>
      </c>
      <c r="BA16" s="4" t="s">
        <v>129</v>
      </c>
      <c r="BB16" s="4" t="s">
        <v>129</v>
      </c>
      <c r="BC16" s="4" t="s">
        <v>129</v>
      </c>
      <c r="BE16" s="8" t="s">
        <v>25</v>
      </c>
      <c r="BF16" s="4" t="s">
        <v>130</v>
      </c>
      <c r="BG16" s="4" t="s">
        <v>130</v>
      </c>
      <c r="BH16" s="4" t="s">
        <v>130</v>
      </c>
      <c r="BI16" s="4" t="s">
        <v>130</v>
      </c>
      <c r="BJ16" s="4" t="s">
        <v>130</v>
      </c>
      <c r="BK16" s="4" t="s">
        <v>130</v>
      </c>
      <c r="BL16" s="4" t="s">
        <v>130</v>
      </c>
      <c r="BM16" s="4" t="s">
        <v>130</v>
      </c>
      <c r="BN16" s="4" t="s">
        <v>130</v>
      </c>
      <c r="BO16" s="4" t="s">
        <v>130</v>
      </c>
      <c r="BP16" s="4" t="s">
        <v>130</v>
      </c>
      <c r="BQ16" s="4" t="s">
        <v>130</v>
      </c>
    </row>
    <row r="17" spans="1:69" x14ac:dyDescent="0.3">
      <c r="A17" s="8" t="s">
        <v>151</v>
      </c>
      <c r="B17" s="4" t="s">
        <v>38</v>
      </c>
      <c r="C17" s="4">
        <v>160</v>
      </c>
      <c r="D17" s="4">
        <v>65</v>
      </c>
      <c r="E17" s="4">
        <v>55</v>
      </c>
      <c r="F17" s="4">
        <v>65</v>
      </c>
      <c r="G17" s="4">
        <v>55</v>
      </c>
      <c r="H17" s="4">
        <v>65</v>
      </c>
      <c r="I17" s="4">
        <v>65</v>
      </c>
      <c r="J17" s="4">
        <v>65</v>
      </c>
      <c r="K17" s="4">
        <v>65</v>
      </c>
      <c r="L17" s="4">
        <v>50</v>
      </c>
      <c r="M17" s="4">
        <v>40</v>
      </c>
      <c r="O17" s="8" t="s">
        <v>151</v>
      </c>
      <c r="P17" s="4" t="s">
        <v>38</v>
      </c>
      <c r="Q17" s="4">
        <v>180</v>
      </c>
      <c r="R17" s="4">
        <v>85</v>
      </c>
      <c r="S17" s="4">
        <v>75</v>
      </c>
      <c r="T17" s="4">
        <v>85</v>
      </c>
      <c r="U17" s="4">
        <v>75</v>
      </c>
      <c r="V17" s="4">
        <v>180</v>
      </c>
      <c r="W17" s="4">
        <v>120</v>
      </c>
      <c r="X17" s="4">
        <v>85</v>
      </c>
      <c r="Y17" s="4">
        <v>85</v>
      </c>
      <c r="Z17" s="4">
        <v>70</v>
      </c>
      <c r="AA17" s="4">
        <v>60</v>
      </c>
      <c r="AC17" s="8" t="s">
        <v>151</v>
      </c>
      <c r="AD17" s="4" t="s">
        <v>38</v>
      </c>
      <c r="AE17" s="4">
        <v>160</v>
      </c>
      <c r="AF17" s="4">
        <v>65</v>
      </c>
      <c r="AG17" s="4">
        <v>55</v>
      </c>
      <c r="AH17" s="4">
        <v>65</v>
      </c>
      <c r="AI17" s="4">
        <v>55</v>
      </c>
      <c r="AJ17" s="4">
        <v>65</v>
      </c>
      <c r="AK17" s="4">
        <v>65</v>
      </c>
      <c r="AL17" s="4">
        <v>65</v>
      </c>
      <c r="AM17" s="4">
        <v>65</v>
      </c>
      <c r="AN17" s="4">
        <v>50</v>
      </c>
      <c r="AO17" s="4">
        <v>40</v>
      </c>
      <c r="AQ17" s="8" t="s">
        <v>151</v>
      </c>
      <c r="AR17" s="4" t="s">
        <v>129</v>
      </c>
      <c r="AS17" s="4" t="s">
        <v>129</v>
      </c>
      <c r="AT17" s="4" t="s">
        <v>129</v>
      </c>
      <c r="AU17" s="4" t="s">
        <v>129</v>
      </c>
      <c r="AV17" s="4" t="s">
        <v>129</v>
      </c>
      <c r="AW17" s="4" t="s">
        <v>129</v>
      </c>
      <c r="AX17" s="4" t="s">
        <v>129</v>
      </c>
      <c r="AY17" s="4" t="s">
        <v>129</v>
      </c>
      <c r="AZ17" s="4" t="s">
        <v>129</v>
      </c>
      <c r="BA17" s="4" t="s">
        <v>129</v>
      </c>
      <c r="BB17" s="4" t="s">
        <v>129</v>
      </c>
      <c r="BC17" s="4" t="s">
        <v>129</v>
      </c>
      <c r="BE17" s="8" t="s">
        <v>151</v>
      </c>
      <c r="BF17" s="4">
        <v>60</v>
      </c>
      <c r="BG17" s="4">
        <v>60</v>
      </c>
      <c r="BH17" s="4">
        <v>60</v>
      </c>
      <c r="BI17" s="4">
        <v>60</v>
      </c>
      <c r="BJ17" s="4">
        <v>60</v>
      </c>
      <c r="BK17" s="4">
        <v>60</v>
      </c>
      <c r="BL17" s="4">
        <v>60</v>
      </c>
      <c r="BM17" s="4">
        <v>60</v>
      </c>
      <c r="BN17" s="4">
        <v>60</v>
      </c>
      <c r="BO17" s="4">
        <v>60</v>
      </c>
      <c r="BP17" s="4">
        <v>60</v>
      </c>
      <c r="BQ17" s="4">
        <v>60</v>
      </c>
    </row>
    <row r="18" spans="1:69" x14ac:dyDescent="0.3">
      <c r="A18" s="8" t="s">
        <v>152</v>
      </c>
      <c r="B18" s="4" t="s">
        <v>38</v>
      </c>
      <c r="C18" s="4">
        <v>160</v>
      </c>
      <c r="D18" s="4">
        <v>65</v>
      </c>
      <c r="E18" s="4">
        <v>55</v>
      </c>
      <c r="F18" s="4">
        <v>65</v>
      </c>
      <c r="G18" s="4">
        <v>55</v>
      </c>
      <c r="H18" s="4">
        <v>65</v>
      </c>
      <c r="I18" s="4">
        <v>65</v>
      </c>
      <c r="J18" s="4">
        <v>65</v>
      </c>
      <c r="K18" s="4">
        <v>65</v>
      </c>
      <c r="L18" s="4">
        <v>50</v>
      </c>
      <c r="M18" s="4">
        <v>40</v>
      </c>
      <c r="O18" s="8" t="s">
        <v>152</v>
      </c>
      <c r="P18" s="4" t="s">
        <v>38</v>
      </c>
      <c r="Q18" s="4">
        <v>180</v>
      </c>
      <c r="R18" s="4">
        <v>85</v>
      </c>
      <c r="S18" s="4">
        <v>55</v>
      </c>
      <c r="T18" s="4">
        <v>65</v>
      </c>
      <c r="U18" s="4">
        <v>55</v>
      </c>
      <c r="V18" s="4">
        <v>65</v>
      </c>
      <c r="W18" s="4">
        <v>65</v>
      </c>
      <c r="X18" s="4">
        <v>65</v>
      </c>
      <c r="Y18" s="4">
        <v>65</v>
      </c>
      <c r="Z18" s="4">
        <v>50</v>
      </c>
      <c r="AA18" s="4">
        <v>40</v>
      </c>
      <c r="AC18" s="8" t="s">
        <v>152</v>
      </c>
      <c r="AD18" s="4" t="s">
        <v>38</v>
      </c>
      <c r="AE18" s="4">
        <v>160</v>
      </c>
      <c r="AF18" s="4">
        <v>65</v>
      </c>
      <c r="AG18" s="4">
        <v>55</v>
      </c>
      <c r="AH18" s="4">
        <v>65</v>
      </c>
      <c r="AI18" s="4">
        <v>55</v>
      </c>
      <c r="AJ18" s="4">
        <v>65</v>
      </c>
      <c r="AK18" s="4">
        <v>65</v>
      </c>
      <c r="AL18" s="4">
        <v>65</v>
      </c>
      <c r="AM18" s="4">
        <v>65</v>
      </c>
      <c r="AN18" s="4">
        <v>50</v>
      </c>
      <c r="AO18" s="4">
        <v>40</v>
      </c>
      <c r="AQ18" s="8" t="s">
        <v>152</v>
      </c>
      <c r="AR18" s="4" t="s">
        <v>129</v>
      </c>
      <c r="AS18" s="4" t="s">
        <v>129</v>
      </c>
      <c r="AT18" s="4" t="s">
        <v>129</v>
      </c>
      <c r="AU18" s="4" t="s">
        <v>129</v>
      </c>
      <c r="AV18" s="4" t="s">
        <v>129</v>
      </c>
      <c r="AW18" s="4" t="s">
        <v>129</v>
      </c>
      <c r="AX18" s="4" t="s">
        <v>129</v>
      </c>
      <c r="AY18" s="4" t="s">
        <v>129</v>
      </c>
      <c r="AZ18" s="4" t="s">
        <v>129</v>
      </c>
      <c r="BA18" s="4" t="s">
        <v>129</v>
      </c>
      <c r="BB18" s="4" t="s">
        <v>129</v>
      </c>
      <c r="BC18" s="4" t="s">
        <v>129</v>
      </c>
      <c r="BE18" s="8" t="s">
        <v>152</v>
      </c>
      <c r="BF18" s="4" t="s">
        <v>130</v>
      </c>
      <c r="BG18" s="4" t="s">
        <v>130</v>
      </c>
      <c r="BH18" s="4" t="s">
        <v>130</v>
      </c>
      <c r="BI18" s="4" t="s">
        <v>130</v>
      </c>
      <c r="BJ18" s="4" t="s">
        <v>130</v>
      </c>
      <c r="BK18" s="4" t="s">
        <v>130</v>
      </c>
      <c r="BL18" s="4" t="s">
        <v>130</v>
      </c>
      <c r="BM18" s="4" t="s">
        <v>130</v>
      </c>
      <c r="BN18" s="4" t="s">
        <v>130</v>
      </c>
      <c r="BO18" s="4" t="s">
        <v>130</v>
      </c>
      <c r="BP18" s="4" t="s">
        <v>130</v>
      </c>
      <c r="BQ18" s="4" t="s">
        <v>130</v>
      </c>
    </row>
    <row r="19" spans="1:69" x14ac:dyDescent="0.3">
      <c r="A19" s="8" t="s">
        <v>39</v>
      </c>
      <c r="B19" s="4" t="s">
        <v>38</v>
      </c>
      <c r="C19" s="4">
        <v>160</v>
      </c>
      <c r="D19" s="4">
        <v>65</v>
      </c>
      <c r="E19" s="4">
        <v>55</v>
      </c>
      <c r="F19" s="4">
        <v>65</v>
      </c>
      <c r="G19" s="4">
        <v>55</v>
      </c>
      <c r="H19" s="4">
        <v>65</v>
      </c>
      <c r="I19" s="4">
        <v>65</v>
      </c>
      <c r="J19" s="4">
        <v>65</v>
      </c>
      <c r="K19" s="4">
        <v>65</v>
      </c>
      <c r="L19" s="4">
        <v>50</v>
      </c>
      <c r="M19" s="4">
        <v>40</v>
      </c>
      <c r="O19" s="8" t="s">
        <v>39</v>
      </c>
      <c r="P19" s="4" t="s">
        <v>38</v>
      </c>
      <c r="Q19" s="4">
        <v>180</v>
      </c>
      <c r="R19" s="4">
        <v>85</v>
      </c>
      <c r="S19" s="4">
        <v>55</v>
      </c>
      <c r="T19" s="4">
        <v>65</v>
      </c>
      <c r="U19" s="4">
        <v>55</v>
      </c>
      <c r="V19" s="4">
        <v>65</v>
      </c>
      <c r="W19" s="4">
        <v>65</v>
      </c>
      <c r="X19" s="4">
        <v>65</v>
      </c>
      <c r="Y19" s="4">
        <v>65</v>
      </c>
      <c r="Z19" s="4">
        <v>50</v>
      </c>
      <c r="AA19" s="4">
        <v>40</v>
      </c>
      <c r="AC19" s="8" t="s">
        <v>39</v>
      </c>
      <c r="AD19" s="4" t="s">
        <v>38</v>
      </c>
      <c r="AE19" s="4">
        <v>160</v>
      </c>
      <c r="AF19" s="4">
        <v>65</v>
      </c>
      <c r="AG19" s="4">
        <v>55</v>
      </c>
      <c r="AH19" s="4">
        <v>65</v>
      </c>
      <c r="AI19" s="4">
        <v>55</v>
      </c>
      <c r="AJ19" s="4">
        <v>65</v>
      </c>
      <c r="AK19" s="4">
        <v>65</v>
      </c>
      <c r="AL19" s="4">
        <v>65</v>
      </c>
      <c r="AM19" s="4">
        <v>65</v>
      </c>
      <c r="AN19" s="4">
        <v>50</v>
      </c>
      <c r="AO19" s="4">
        <v>40</v>
      </c>
      <c r="AQ19" s="8" t="s">
        <v>39</v>
      </c>
      <c r="AR19" s="4" t="s">
        <v>129</v>
      </c>
      <c r="AS19" s="4" t="s">
        <v>129</v>
      </c>
      <c r="AT19" s="4" t="s">
        <v>129</v>
      </c>
      <c r="AU19" s="4" t="s">
        <v>129</v>
      </c>
      <c r="AV19" s="4" t="s">
        <v>129</v>
      </c>
      <c r="AW19" s="4" t="s">
        <v>129</v>
      </c>
      <c r="AX19" s="4" t="s">
        <v>129</v>
      </c>
      <c r="AY19" s="4" t="s">
        <v>129</v>
      </c>
      <c r="AZ19" s="4" t="s">
        <v>129</v>
      </c>
      <c r="BA19" s="4" t="s">
        <v>129</v>
      </c>
      <c r="BB19" s="4" t="s">
        <v>129</v>
      </c>
      <c r="BC19" s="4" t="s">
        <v>129</v>
      </c>
      <c r="BE19" s="8" t="s">
        <v>39</v>
      </c>
      <c r="BF19" s="4" t="s">
        <v>130</v>
      </c>
      <c r="BG19" s="4" t="s">
        <v>130</v>
      </c>
      <c r="BH19" s="4" t="s">
        <v>130</v>
      </c>
      <c r="BI19" s="4" t="s">
        <v>130</v>
      </c>
      <c r="BJ19" s="4" t="s">
        <v>130</v>
      </c>
      <c r="BK19" s="4" t="s">
        <v>130</v>
      </c>
      <c r="BL19" s="4" t="s">
        <v>130</v>
      </c>
      <c r="BM19" s="4" t="s">
        <v>130</v>
      </c>
      <c r="BN19" s="4" t="s">
        <v>130</v>
      </c>
      <c r="BO19" s="4" t="s">
        <v>130</v>
      </c>
      <c r="BP19" s="4" t="s">
        <v>130</v>
      </c>
      <c r="BQ19" s="4" t="s">
        <v>130</v>
      </c>
    </row>
    <row r="20" spans="1:69" x14ac:dyDescent="0.3">
      <c r="A20" s="8" t="s">
        <v>26</v>
      </c>
      <c r="B20" s="4" t="s">
        <v>38</v>
      </c>
      <c r="C20" s="4">
        <v>160</v>
      </c>
      <c r="D20" s="4">
        <v>65</v>
      </c>
      <c r="E20" s="4">
        <v>55</v>
      </c>
      <c r="F20" s="4">
        <v>65</v>
      </c>
      <c r="G20" s="4">
        <v>55</v>
      </c>
      <c r="H20" s="4">
        <v>65</v>
      </c>
      <c r="I20" s="4">
        <v>65</v>
      </c>
      <c r="J20" s="4">
        <v>65</v>
      </c>
      <c r="K20" s="4">
        <v>65</v>
      </c>
      <c r="L20" s="4">
        <v>50</v>
      </c>
      <c r="M20" s="4">
        <v>40</v>
      </c>
      <c r="O20" s="8" t="s">
        <v>26</v>
      </c>
      <c r="P20" s="4" t="s">
        <v>38</v>
      </c>
      <c r="Q20" s="4">
        <v>180</v>
      </c>
      <c r="R20" s="4">
        <v>85</v>
      </c>
      <c r="S20" s="4">
        <v>75</v>
      </c>
      <c r="T20" s="4">
        <v>85</v>
      </c>
      <c r="U20" s="4">
        <v>75</v>
      </c>
      <c r="V20" s="4">
        <v>180</v>
      </c>
      <c r="W20" s="4">
        <v>120</v>
      </c>
      <c r="X20" s="4">
        <v>85</v>
      </c>
      <c r="Y20" s="4">
        <v>85</v>
      </c>
      <c r="Z20" s="4">
        <v>70</v>
      </c>
      <c r="AA20" s="4">
        <v>60</v>
      </c>
      <c r="AC20" s="8" t="s">
        <v>26</v>
      </c>
      <c r="AD20" s="4" t="s">
        <v>38</v>
      </c>
      <c r="AE20" s="4">
        <v>160</v>
      </c>
      <c r="AF20" s="4">
        <v>65</v>
      </c>
      <c r="AG20" s="4">
        <v>55</v>
      </c>
      <c r="AH20" s="4">
        <v>65</v>
      </c>
      <c r="AI20" s="4">
        <v>55</v>
      </c>
      <c r="AJ20" s="4">
        <v>65</v>
      </c>
      <c r="AK20" s="4">
        <v>65</v>
      </c>
      <c r="AL20" s="4">
        <v>65</v>
      </c>
      <c r="AM20" s="4">
        <v>65</v>
      </c>
      <c r="AN20" s="4">
        <v>50</v>
      </c>
      <c r="AO20" s="4">
        <v>40</v>
      </c>
      <c r="AQ20" s="8" t="s">
        <v>26</v>
      </c>
      <c r="AR20" s="4" t="s">
        <v>129</v>
      </c>
      <c r="AS20" s="4" t="s">
        <v>129</v>
      </c>
      <c r="AT20" s="4" t="s">
        <v>129</v>
      </c>
      <c r="AU20" s="4" t="s">
        <v>129</v>
      </c>
      <c r="AV20" s="4" t="s">
        <v>129</v>
      </c>
      <c r="AW20" s="4" t="s">
        <v>129</v>
      </c>
      <c r="AX20" s="4" t="s">
        <v>129</v>
      </c>
      <c r="AY20" s="4" t="s">
        <v>129</v>
      </c>
      <c r="AZ20" s="4" t="s">
        <v>129</v>
      </c>
      <c r="BA20" s="4" t="s">
        <v>129</v>
      </c>
      <c r="BB20" s="4" t="s">
        <v>129</v>
      </c>
      <c r="BC20" s="4" t="s">
        <v>129</v>
      </c>
      <c r="BE20" s="8" t="s">
        <v>26</v>
      </c>
      <c r="BF20" s="4" t="s">
        <v>130</v>
      </c>
      <c r="BG20" s="4" t="s">
        <v>130</v>
      </c>
      <c r="BH20" s="4" t="s">
        <v>130</v>
      </c>
      <c r="BI20" s="4" t="s">
        <v>130</v>
      </c>
      <c r="BJ20" s="4" t="s">
        <v>130</v>
      </c>
      <c r="BK20" s="4" t="s">
        <v>130</v>
      </c>
      <c r="BL20" s="4" t="s">
        <v>130</v>
      </c>
      <c r="BM20" s="4" t="s">
        <v>130</v>
      </c>
      <c r="BN20" s="4" t="s">
        <v>130</v>
      </c>
      <c r="BO20" s="4" t="s">
        <v>130</v>
      </c>
      <c r="BP20" s="4" t="s">
        <v>130</v>
      </c>
      <c r="BQ20" s="4" t="s">
        <v>130</v>
      </c>
    </row>
    <row r="21" spans="1:69" x14ac:dyDescent="0.3">
      <c r="A21" s="8" t="s">
        <v>27</v>
      </c>
      <c r="B21" s="4" t="s">
        <v>38</v>
      </c>
      <c r="C21" s="4">
        <v>160</v>
      </c>
      <c r="D21" s="4">
        <v>65</v>
      </c>
      <c r="E21" s="4">
        <v>55</v>
      </c>
      <c r="F21" s="4">
        <v>65</v>
      </c>
      <c r="G21" s="4">
        <v>55</v>
      </c>
      <c r="H21" s="4">
        <v>65</v>
      </c>
      <c r="I21" s="4">
        <v>65</v>
      </c>
      <c r="J21" s="4">
        <v>65</v>
      </c>
      <c r="K21" s="4">
        <v>65</v>
      </c>
      <c r="L21" s="4">
        <v>50</v>
      </c>
      <c r="M21" s="4">
        <v>40</v>
      </c>
      <c r="O21" s="8" t="s">
        <v>27</v>
      </c>
      <c r="P21" s="4" t="s">
        <v>38</v>
      </c>
      <c r="Q21" s="4">
        <v>180</v>
      </c>
      <c r="R21" s="4">
        <v>85</v>
      </c>
      <c r="S21" s="4">
        <v>75</v>
      </c>
      <c r="T21" s="4">
        <v>85</v>
      </c>
      <c r="U21" s="4">
        <v>75</v>
      </c>
      <c r="V21" s="4">
        <v>180</v>
      </c>
      <c r="W21" s="4">
        <v>120</v>
      </c>
      <c r="X21" s="4">
        <v>85</v>
      </c>
      <c r="Y21" s="4">
        <v>85</v>
      </c>
      <c r="Z21" s="4">
        <v>70</v>
      </c>
      <c r="AA21" s="4">
        <v>60</v>
      </c>
      <c r="AC21" s="8" t="s">
        <v>27</v>
      </c>
      <c r="AD21" s="4" t="s">
        <v>38</v>
      </c>
      <c r="AE21" s="4">
        <v>160</v>
      </c>
      <c r="AF21" s="4">
        <v>65</v>
      </c>
      <c r="AG21" s="4">
        <v>55</v>
      </c>
      <c r="AH21" s="4">
        <v>65</v>
      </c>
      <c r="AI21" s="4">
        <v>55</v>
      </c>
      <c r="AJ21" s="4">
        <v>65</v>
      </c>
      <c r="AK21" s="4">
        <v>65</v>
      </c>
      <c r="AL21" s="4">
        <v>65</v>
      </c>
      <c r="AM21" s="4">
        <v>65</v>
      </c>
      <c r="AN21" s="4">
        <v>50</v>
      </c>
      <c r="AO21" s="4">
        <v>50</v>
      </c>
      <c r="AQ21" s="8" t="s">
        <v>27</v>
      </c>
      <c r="AR21" s="4" t="s">
        <v>129</v>
      </c>
      <c r="AS21" s="4" t="s">
        <v>129</v>
      </c>
      <c r="AT21" s="4" t="s">
        <v>129</v>
      </c>
      <c r="AU21" s="4" t="s">
        <v>129</v>
      </c>
      <c r="AV21" s="4" t="s">
        <v>129</v>
      </c>
      <c r="AW21" s="4" t="s">
        <v>129</v>
      </c>
      <c r="AX21" s="4" t="s">
        <v>129</v>
      </c>
      <c r="AY21" s="4" t="s">
        <v>129</v>
      </c>
      <c r="AZ21" s="4" t="s">
        <v>129</v>
      </c>
      <c r="BA21" s="4" t="s">
        <v>129</v>
      </c>
      <c r="BB21" s="4" t="s">
        <v>129</v>
      </c>
      <c r="BC21" s="4" t="s">
        <v>129</v>
      </c>
      <c r="BE21" s="8" t="s">
        <v>27</v>
      </c>
      <c r="BF21" s="4" t="s">
        <v>130</v>
      </c>
      <c r="BG21" s="4" t="s">
        <v>130</v>
      </c>
      <c r="BH21" s="4" t="s">
        <v>130</v>
      </c>
      <c r="BI21" s="4" t="s">
        <v>130</v>
      </c>
      <c r="BJ21" s="4" t="s">
        <v>130</v>
      </c>
      <c r="BK21" s="4" t="s">
        <v>130</v>
      </c>
      <c r="BL21" s="4" t="s">
        <v>130</v>
      </c>
      <c r="BM21" s="4" t="s">
        <v>130</v>
      </c>
      <c r="BN21" s="4" t="s">
        <v>130</v>
      </c>
      <c r="BO21" s="4" t="s">
        <v>130</v>
      </c>
      <c r="BP21" s="4" t="s">
        <v>130</v>
      </c>
      <c r="BQ21" s="4" t="s">
        <v>130</v>
      </c>
    </row>
    <row r="22" spans="1:69" x14ac:dyDescent="0.3">
      <c r="A22" s="8" t="s">
        <v>28</v>
      </c>
      <c r="B22" s="4" t="s">
        <v>38</v>
      </c>
      <c r="C22" s="4">
        <v>160</v>
      </c>
      <c r="D22" s="4">
        <v>65</v>
      </c>
      <c r="E22" s="4">
        <v>55</v>
      </c>
      <c r="F22" s="4">
        <v>65</v>
      </c>
      <c r="G22" s="4">
        <v>55</v>
      </c>
      <c r="H22" s="4">
        <v>65</v>
      </c>
      <c r="I22" s="4">
        <v>65</v>
      </c>
      <c r="J22" s="4">
        <v>65</v>
      </c>
      <c r="K22" s="4">
        <v>65</v>
      </c>
      <c r="L22" s="4">
        <v>50</v>
      </c>
      <c r="M22" s="4">
        <v>40</v>
      </c>
      <c r="O22" s="8" t="s">
        <v>28</v>
      </c>
      <c r="P22" s="4" t="s">
        <v>38</v>
      </c>
      <c r="Q22" s="4">
        <v>160</v>
      </c>
      <c r="R22" s="4">
        <v>65</v>
      </c>
      <c r="S22" s="4">
        <v>55</v>
      </c>
      <c r="T22" s="4">
        <v>65</v>
      </c>
      <c r="U22" s="4">
        <v>55</v>
      </c>
      <c r="V22" s="4">
        <v>65</v>
      </c>
      <c r="W22" s="4">
        <v>65</v>
      </c>
      <c r="X22" s="4">
        <v>65</v>
      </c>
      <c r="Y22" s="4">
        <v>65</v>
      </c>
      <c r="Z22" s="4">
        <v>50</v>
      </c>
      <c r="AA22" s="4">
        <v>40</v>
      </c>
      <c r="AC22" s="8" t="s">
        <v>28</v>
      </c>
      <c r="AD22" s="4" t="s">
        <v>38</v>
      </c>
      <c r="AE22" s="4">
        <v>160</v>
      </c>
      <c r="AF22" s="4">
        <v>65</v>
      </c>
      <c r="AG22" s="4">
        <v>55</v>
      </c>
      <c r="AH22" s="4">
        <v>65</v>
      </c>
      <c r="AI22" s="4">
        <v>55</v>
      </c>
      <c r="AJ22" s="4">
        <v>65</v>
      </c>
      <c r="AK22" s="4">
        <v>65</v>
      </c>
      <c r="AL22" s="4">
        <v>65</v>
      </c>
      <c r="AM22" s="4">
        <v>65</v>
      </c>
      <c r="AN22" s="4">
        <v>50</v>
      </c>
      <c r="AO22" s="4">
        <v>40</v>
      </c>
      <c r="AQ22" s="8" t="s">
        <v>28</v>
      </c>
      <c r="AR22" s="4" t="s">
        <v>129</v>
      </c>
      <c r="AS22" s="4" t="s">
        <v>129</v>
      </c>
      <c r="AT22" s="4" t="s">
        <v>129</v>
      </c>
      <c r="AU22" s="4" t="s">
        <v>129</v>
      </c>
      <c r="AV22" s="4" t="s">
        <v>129</v>
      </c>
      <c r="AW22" s="4" t="s">
        <v>129</v>
      </c>
      <c r="AX22" s="4" t="s">
        <v>129</v>
      </c>
      <c r="AY22" s="4" t="s">
        <v>129</v>
      </c>
      <c r="AZ22" s="4" t="s">
        <v>129</v>
      </c>
      <c r="BA22" s="4" t="s">
        <v>129</v>
      </c>
      <c r="BB22" s="4" t="s">
        <v>129</v>
      </c>
      <c r="BC22" s="4" t="s">
        <v>129</v>
      </c>
      <c r="BE22" s="8" t="s">
        <v>28</v>
      </c>
      <c r="BF22" s="4" t="s">
        <v>130</v>
      </c>
      <c r="BG22" s="4" t="s">
        <v>130</v>
      </c>
      <c r="BH22" s="4" t="s">
        <v>130</v>
      </c>
      <c r="BI22" s="4" t="s">
        <v>130</v>
      </c>
      <c r="BJ22" s="4" t="s">
        <v>130</v>
      </c>
      <c r="BK22" s="4" t="s">
        <v>130</v>
      </c>
      <c r="BL22" s="4" t="s">
        <v>130</v>
      </c>
      <c r="BM22" s="4" t="s">
        <v>130</v>
      </c>
      <c r="BN22" s="4" t="s">
        <v>130</v>
      </c>
      <c r="BO22" s="4" t="s">
        <v>130</v>
      </c>
      <c r="BP22" s="4" t="s">
        <v>130</v>
      </c>
      <c r="BQ22" s="4" t="s">
        <v>130</v>
      </c>
    </row>
    <row r="23" spans="1:69" x14ac:dyDescent="0.3">
      <c r="A23" s="8" t="s">
        <v>30</v>
      </c>
      <c r="B23" s="4" t="s">
        <v>38</v>
      </c>
      <c r="C23" s="4">
        <v>160</v>
      </c>
      <c r="D23" s="4">
        <v>65</v>
      </c>
      <c r="E23" s="4">
        <v>55</v>
      </c>
      <c r="F23" s="4">
        <v>65</v>
      </c>
      <c r="G23" s="4">
        <v>55</v>
      </c>
      <c r="H23" s="4">
        <v>65</v>
      </c>
      <c r="I23" s="4">
        <v>65</v>
      </c>
      <c r="J23" s="4">
        <v>65</v>
      </c>
      <c r="K23" s="4">
        <v>65</v>
      </c>
      <c r="L23" s="4">
        <v>50</v>
      </c>
      <c r="M23" s="4">
        <v>40</v>
      </c>
      <c r="O23" s="8" t="s">
        <v>30</v>
      </c>
      <c r="P23" s="4" t="s">
        <v>38</v>
      </c>
      <c r="Q23" s="4">
        <v>180</v>
      </c>
      <c r="R23" s="4">
        <v>85</v>
      </c>
      <c r="S23" s="4">
        <v>75</v>
      </c>
      <c r="T23" s="4">
        <v>85</v>
      </c>
      <c r="U23" s="4">
        <v>75</v>
      </c>
      <c r="V23" s="4">
        <v>270</v>
      </c>
      <c r="W23" s="4">
        <v>180</v>
      </c>
      <c r="X23" s="4">
        <v>85</v>
      </c>
      <c r="Y23" s="4">
        <v>85</v>
      </c>
      <c r="Z23" s="4">
        <v>70</v>
      </c>
      <c r="AA23" s="4">
        <v>60</v>
      </c>
      <c r="AC23" s="8" t="s">
        <v>30</v>
      </c>
      <c r="AD23" s="9" t="s">
        <v>90</v>
      </c>
      <c r="AE23" s="9" t="s">
        <v>90</v>
      </c>
      <c r="AF23" s="9" t="s">
        <v>90</v>
      </c>
      <c r="AG23" s="9" t="s">
        <v>90</v>
      </c>
      <c r="AH23" s="9" t="s">
        <v>90</v>
      </c>
      <c r="AI23" s="9" t="s">
        <v>90</v>
      </c>
      <c r="AJ23" s="9" t="s">
        <v>90</v>
      </c>
      <c r="AK23" s="9" t="s">
        <v>90</v>
      </c>
      <c r="AL23" s="9" t="s">
        <v>90</v>
      </c>
      <c r="AM23" s="9" t="s">
        <v>90</v>
      </c>
      <c r="AN23" s="9" t="s">
        <v>90</v>
      </c>
      <c r="AO23" s="9" t="s">
        <v>90</v>
      </c>
      <c r="AQ23" s="8" t="s">
        <v>30</v>
      </c>
      <c r="AR23" s="4" t="s">
        <v>129</v>
      </c>
      <c r="AS23" s="4" t="s">
        <v>129</v>
      </c>
      <c r="AT23" s="4" t="s">
        <v>129</v>
      </c>
      <c r="AU23" s="4" t="s">
        <v>129</v>
      </c>
      <c r="AV23" s="4" t="s">
        <v>129</v>
      </c>
      <c r="AW23" s="4" t="s">
        <v>129</v>
      </c>
      <c r="AX23" s="4" t="s">
        <v>129</v>
      </c>
      <c r="AY23" s="4" t="s">
        <v>129</v>
      </c>
      <c r="AZ23" s="4" t="s">
        <v>129</v>
      </c>
      <c r="BA23" s="4" t="s">
        <v>129</v>
      </c>
      <c r="BB23" s="4" t="s">
        <v>129</v>
      </c>
      <c r="BC23" s="4" t="s">
        <v>129</v>
      </c>
      <c r="BE23" s="8" t="s">
        <v>30</v>
      </c>
      <c r="BF23" s="4" t="s">
        <v>130</v>
      </c>
      <c r="BG23" s="4" t="s">
        <v>130</v>
      </c>
      <c r="BH23" s="4" t="s">
        <v>130</v>
      </c>
      <c r="BI23" s="4" t="s">
        <v>130</v>
      </c>
      <c r="BJ23" s="4" t="s">
        <v>130</v>
      </c>
      <c r="BK23" s="4" t="s">
        <v>130</v>
      </c>
      <c r="BL23" s="4" t="s">
        <v>130</v>
      </c>
      <c r="BM23" s="4" t="s">
        <v>130</v>
      </c>
      <c r="BN23" s="4" t="s">
        <v>130</v>
      </c>
      <c r="BO23" s="4" t="s">
        <v>130</v>
      </c>
      <c r="BP23" s="4" t="s">
        <v>130</v>
      </c>
      <c r="BQ23" s="4" t="s">
        <v>130</v>
      </c>
    </row>
    <row r="24" spans="1:69" x14ac:dyDescent="0.3">
      <c r="A24" s="8" t="s">
        <v>50</v>
      </c>
      <c r="B24" s="4" t="s">
        <v>38</v>
      </c>
      <c r="C24" s="4">
        <v>160</v>
      </c>
      <c r="D24" s="4">
        <v>65</v>
      </c>
      <c r="E24" s="4">
        <v>55</v>
      </c>
      <c r="F24" s="4">
        <v>65</v>
      </c>
      <c r="G24" s="4">
        <v>55</v>
      </c>
      <c r="H24" s="4">
        <v>65</v>
      </c>
      <c r="I24" s="4">
        <v>65</v>
      </c>
      <c r="J24" s="4">
        <v>65</v>
      </c>
      <c r="K24" s="4">
        <v>65</v>
      </c>
      <c r="L24" s="4">
        <v>50</v>
      </c>
      <c r="M24" s="4">
        <v>40</v>
      </c>
      <c r="O24" s="8" t="s">
        <v>50</v>
      </c>
      <c r="P24" s="4" t="s">
        <v>38</v>
      </c>
      <c r="Q24" s="4">
        <v>180</v>
      </c>
      <c r="R24" s="4">
        <v>85</v>
      </c>
      <c r="S24" s="4">
        <v>75</v>
      </c>
      <c r="T24" s="4">
        <v>85</v>
      </c>
      <c r="U24" s="4">
        <v>75</v>
      </c>
      <c r="V24" s="4">
        <v>270</v>
      </c>
      <c r="W24" s="4">
        <v>180</v>
      </c>
      <c r="X24" s="4">
        <v>85</v>
      </c>
      <c r="Y24" s="4">
        <v>85</v>
      </c>
      <c r="Z24" s="4">
        <v>70</v>
      </c>
      <c r="AA24" s="4">
        <v>60</v>
      </c>
      <c r="AC24" s="8" t="s">
        <v>50</v>
      </c>
      <c r="AD24" s="4" t="s">
        <v>38</v>
      </c>
      <c r="AE24" s="4">
        <v>160</v>
      </c>
      <c r="AF24" s="4">
        <v>65</v>
      </c>
      <c r="AG24" s="4">
        <v>55</v>
      </c>
      <c r="AH24" s="4">
        <v>65</v>
      </c>
      <c r="AI24" s="4">
        <v>55</v>
      </c>
      <c r="AJ24" s="4">
        <v>65</v>
      </c>
      <c r="AK24" s="4">
        <v>65</v>
      </c>
      <c r="AL24" s="4">
        <v>65</v>
      </c>
      <c r="AM24" s="4">
        <v>65</v>
      </c>
      <c r="AN24" s="4">
        <v>50</v>
      </c>
      <c r="AO24" s="4">
        <v>40</v>
      </c>
      <c r="AQ24" s="8" t="s">
        <v>50</v>
      </c>
      <c r="AR24" s="4" t="s">
        <v>129</v>
      </c>
      <c r="AS24" s="4" t="s">
        <v>129</v>
      </c>
      <c r="AT24" s="4" t="s">
        <v>129</v>
      </c>
      <c r="AU24" s="4" t="s">
        <v>129</v>
      </c>
      <c r="AV24" s="4" t="s">
        <v>129</v>
      </c>
      <c r="AW24" s="4" t="s">
        <v>129</v>
      </c>
      <c r="AX24" s="4" t="s">
        <v>129</v>
      </c>
      <c r="AY24" s="4" t="s">
        <v>129</v>
      </c>
      <c r="AZ24" s="4" t="s">
        <v>129</v>
      </c>
      <c r="BA24" s="4" t="s">
        <v>129</v>
      </c>
      <c r="BB24" s="4" t="s">
        <v>129</v>
      </c>
      <c r="BC24" s="4" t="s">
        <v>129</v>
      </c>
      <c r="BE24" s="8" t="s">
        <v>50</v>
      </c>
      <c r="BF24" s="4">
        <v>60</v>
      </c>
      <c r="BG24" s="4">
        <v>60</v>
      </c>
      <c r="BH24" s="4">
        <v>60</v>
      </c>
      <c r="BI24" s="4">
        <v>55</v>
      </c>
      <c r="BJ24" s="4">
        <v>60</v>
      </c>
      <c r="BK24" s="4">
        <v>55</v>
      </c>
      <c r="BL24" s="4">
        <v>60</v>
      </c>
      <c r="BM24" s="4">
        <v>60</v>
      </c>
      <c r="BN24" s="4">
        <v>60</v>
      </c>
      <c r="BO24" s="4">
        <v>60</v>
      </c>
      <c r="BP24" s="4">
        <v>50</v>
      </c>
      <c r="BQ24" s="4">
        <v>40</v>
      </c>
    </row>
    <row r="25" spans="1:69" x14ac:dyDescent="0.3">
      <c r="A25" s="8" t="s">
        <v>54</v>
      </c>
      <c r="B25" s="4" t="s">
        <v>38</v>
      </c>
      <c r="C25" s="4">
        <v>160</v>
      </c>
      <c r="D25" s="4">
        <v>65</v>
      </c>
      <c r="E25" s="4">
        <v>55</v>
      </c>
      <c r="F25" s="4">
        <v>65</v>
      </c>
      <c r="G25" s="4">
        <v>55</v>
      </c>
      <c r="H25" s="4">
        <v>65</v>
      </c>
      <c r="I25" s="4">
        <v>65</v>
      </c>
      <c r="J25" s="4">
        <v>65</v>
      </c>
      <c r="K25" s="4">
        <v>65</v>
      </c>
      <c r="L25" s="4">
        <v>50</v>
      </c>
      <c r="M25" s="4">
        <v>40</v>
      </c>
      <c r="O25" s="8" t="s">
        <v>54</v>
      </c>
      <c r="P25" s="4" t="s">
        <v>38</v>
      </c>
      <c r="Q25" s="4">
        <v>180</v>
      </c>
      <c r="R25" s="4">
        <v>85</v>
      </c>
      <c r="S25" s="4">
        <v>75</v>
      </c>
      <c r="T25" s="4">
        <v>85</v>
      </c>
      <c r="U25" s="4">
        <v>75</v>
      </c>
      <c r="V25" s="4">
        <v>270</v>
      </c>
      <c r="W25" s="4">
        <v>180</v>
      </c>
      <c r="X25" s="4">
        <v>85</v>
      </c>
      <c r="Y25" s="4">
        <v>85</v>
      </c>
      <c r="Z25" s="4">
        <v>70</v>
      </c>
      <c r="AA25" s="4">
        <v>60</v>
      </c>
      <c r="AC25" s="8" t="s">
        <v>54</v>
      </c>
      <c r="AD25" s="4" t="s">
        <v>38</v>
      </c>
      <c r="AE25" s="4">
        <v>160</v>
      </c>
      <c r="AF25" s="4">
        <v>65</v>
      </c>
      <c r="AG25" s="4">
        <v>55</v>
      </c>
      <c r="AH25" s="4">
        <v>65</v>
      </c>
      <c r="AI25" s="4">
        <v>55</v>
      </c>
      <c r="AJ25" s="4">
        <v>65</v>
      </c>
      <c r="AK25" s="4">
        <v>65</v>
      </c>
      <c r="AL25" s="4">
        <v>65</v>
      </c>
      <c r="AM25" s="4">
        <v>65</v>
      </c>
      <c r="AN25" s="4">
        <v>60</v>
      </c>
      <c r="AO25" s="4">
        <v>40</v>
      </c>
      <c r="AQ25" s="8" t="s">
        <v>54</v>
      </c>
      <c r="AR25" s="4" t="s">
        <v>129</v>
      </c>
      <c r="AS25" s="4" t="s">
        <v>129</v>
      </c>
      <c r="AT25" s="4" t="s">
        <v>129</v>
      </c>
      <c r="AU25" s="4" t="s">
        <v>129</v>
      </c>
      <c r="AV25" s="4" t="s">
        <v>129</v>
      </c>
      <c r="AW25" s="4" t="s">
        <v>129</v>
      </c>
      <c r="AX25" s="4" t="s">
        <v>129</v>
      </c>
      <c r="AY25" s="4" t="s">
        <v>129</v>
      </c>
      <c r="AZ25" s="4" t="s">
        <v>129</v>
      </c>
      <c r="BA25" s="4" t="s">
        <v>129</v>
      </c>
      <c r="BB25" s="4" t="s">
        <v>129</v>
      </c>
      <c r="BC25" s="4" t="s">
        <v>129</v>
      </c>
      <c r="BE25" s="8" t="s">
        <v>54</v>
      </c>
      <c r="BF25" s="4">
        <v>60</v>
      </c>
      <c r="BG25" s="4">
        <v>60</v>
      </c>
      <c r="BH25" s="4">
        <v>60</v>
      </c>
      <c r="BI25" s="4">
        <v>55</v>
      </c>
      <c r="BJ25" s="4">
        <v>60</v>
      </c>
      <c r="BK25" s="4">
        <v>55</v>
      </c>
      <c r="BL25" s="4">
        <v>60</v>
      </c>
      <c r="BM25" s="4">
        <v>60</v>
      </c>
      <c r="BN25" s="4">
        <v>60</v>
      </c>
      <c r="BO25" s="4">
        <v>60</v>
      </c>
      <c r="BP25" s="4">
        <v>50</v>
      </c>
      <c r="BQ25" s="4">
        <v>40</v>
      </c>
    </row>
    <row r="26" spans="1:69" x14ac:dyDescent="0.3">
      <c r="A26" s="8" t="s">
        <v>55</v>
      </c>
      <c r="B26" s="4" t="s">
        <v>38</v>
      </c>
      <c r="C26" s="4">
        <v>160</v>
      </c>
      <c r="D26" s="4">
        <v>65</v>
      </c>
      <c r="E26" s="4">
        <v>55</v>
      </c>
      <c r="F26" s="4">
        <v>65</v>
      </c>
      <c r="G26" s="4">
        <v>55</v>
      </c>
      <c r="H26" s="4">
        <v>65</v>
      </c>
      <c r="I26" s="4">
        <v>65</v>
      </c>
      <c r="J26" s="4">
        <v>65</v>
      </c>
      <c r="K26" s="4">
        <v>65</v>
      </c>
      <c r="L26" s="4">
        <v>50</v>
      </c>
      <c r="M26" s="4">
        <v>40</v>
      </c>
      <c r="O26" s="8" t="s">
        <v>55</v>
      </c>
      <c r="P26" s="4" t="s">
        <v>38</v>
      </c>
      <c r="Q26" s="4">
        <v>180</v>
      </c>
      <c r="R26" s="4">
        <v>85</v>
      </c>
      <c r="S26" s="4">
        <v>75</v>
      </c>
      <c r="T26" s="4">
        <v>85</v>
      </c>
      <c r="U26" s="4">
        <v>75</v>
      </c>
      <c r="V26" s="4">
        <v>270</v>
      </c>
      <c r="W26" s="4">
        <v>180</v>
      </c>
      <c r="X26" s="4">
        <v>85</v>
      </c>
      <c r="Y26" s="4">
        <v>85</v>
      </c>
      <c r="Z26" s="4">
        <v>70</v>
      </c>
      <c r="AA26" s="4">
        <v>60</v>
      </c>
      <c r="AC26" s="8" t="s">
        <v>55</v>
      </c>
      <c r="AD26" s="9" t="s">
        <v>90</v>
      </c>
      <c r="AE26" s="9" t="s">
        <v>90</v>
      </c>
      <c r="AF26" s="9" t="s">
        <v>90</v>
      </c>
      <c r="AG26" s="9" t="s">
        <v>90</v>
      </c>
      <c r="AH26" s="9" t="s">
        <v>90</v>
      </c>
      <c r="AI26" s="9" t="s">
        <v>90</v>
      </c>
      <c r="AJ26" s="9" t="s">
        <v>90</v>
      </c>
      <c r="AK26" s="9" t="s">
        <v>90</v>
      </c>
      <c r="AL26" s="9" t="s">
        <v>90</v>
      </c>
      <c r="AM26" s="9" t="s">
        <v>90</v>
      </c>
      <c r="AN26" s="9" t="s">
        <v>90</v>
      </c>
      <c r="AO26" s="9" t="s">
        <v>90</v>
      </c>
      <c r="AQ26" s="8" t="s">
        <v>55</v>
      </c>
      <c r="AR26" s="4">
        <v>60</v>
      </c>
      <c r="AS26" s="4">
        <v>60</v>
      </c>
      <c r="AT26" s="4">
        <v>60</v>
      </c>
      <c r="AU26" s="4">
        <v>60</v>
      </c>
      <c r="AV26" s="4">
        <v>60</v>
      </c>
      <c r="AW26" s="4">
        <v>60</v>
      </c>
      <c r="AX26" s="4">
        <v>60</v>
      </c>
      <c r="AY26" s="4">
        <v>60</v>
      </c>
      <c r="AZ26" s="4">
        <v>60</v>
      </c>
      <c r="BA26" s="4">
        <v>60</v>
      </c>
      <c r="BB26" s="4">
        <v>50</v>
      </c>
      <c r="BC26" s="4">
        <v>40</v>
      </c>
      <c r="BE26" s="8" t="s">
        <v>55</v>
      </c>
      <c r="BF26" s="4">
        <v>60</v>
      </c>
      <c r="BG26" s="4">
        <v>60</v>
      </c>
      <c r="BH26" s="4">
        <v>60</v>
      </c>
      <c r="BI26" s="4">
        <v>60</v>
      </c>
      <c r="BJ26" s="4">
        <v>60</v>
      </c>
      <c r="BK26" s="4">
        <v>60</v>
      </c>
      <c r="BL26" s="4">
        <v>60</v>
      </c>
      <c r="BM26" s="4">
        <v>60</v>
      </c>
      <c r="BN26" s="4">
        <v>60</v>
      </c>
      <c r="BO26" s="4">
        <v>60</v>
      </c>
      <c r="BP26" s="4">
        <v>60</v>
      </c>
      <c r="BQ26" s="4">
        <v>60</v>
      </c>
    </row>
    <row r="27" spans="1:69" x14ac:dyDescent="0.3">
      <c r="A27" s="8" t="s">
        <v>137</v>
      </c>
      <c r="B27" s="4" t="s">
        <v>167</v>
      </c>
      <c r="C27" s="4" t="s">
        <v>167</v>
      </c>
      <c r="D27" s="4" t="s">
        <v>167</v>
      </c>
      <c r="E27" s="4" t="s">
        <v>167</v>
      </c>
      <c r="F27" s="4" t="s">
        <v>167</v>
      </c>
      <c r="G27" s="4" t="s">
        <v>167</v>
      </c>
      <c r="H27" s="4" t="s">
        <v>167</v>
      </c>
      <c r="I27" s="4" t="s">
        <v>167</v>
      </c>
      <c r="J27" s="4" t="s">
        <v>167</v>
      </c>
      <c r="K27" s="4" t="s">
        <v>167</v>
      </c>
      <c r="L27" s="4" t="s">
        <v>167</v>
      </c>
      <c r="M27" s="4" t="s">
        <v>167</v>
      </c>
      <c r="O27" s="8" t="s">
        <v>137</v>
      </c>
      <c r="P27" s="4" t="s">
        <v>38</v>
      </c>
      <c r="Q27" s="4">
        <v>180</v>
      </c>
      <c r="R27" s="4">
        <v>85</v>
      </c>
      <c r="S27" s="4">
        <v>75</v>
      </c>
      <c r="T27" s="4">
        <v>85</v>
      </c>
      <c r="U27" s="4">
        <v>75</v>
      </c>
      <c r="V27" s="4">
        <v>270</v>
      </c>
      <c r="W27" s="4">
        <v>180</v>
      </c>
      <c r="X27" s="4">
        <v>85</v>
      </c>
      <c r="Y27" s="4">
        <v>85</v>
      </c>
      <c r="Z27" s="4">
        <v>70</v>
      </c>
      <c r="AA27" s="4">
        <v>60</v>
      </c>
      <c r="AC27" s="8" t="s">
        <v>137</v>
      </c>
      <c r="AD27" s="4" t="s">
        <v>38</v>
      </c>
      <c r="AE27" s="4">
        <v>160</v>
      </c>
      <c r="AF27" s="4">
        <v>65</v>
      </c>
      <c r="AG27" s="4">
        <v>55</v>
      </c>
      <c r="AH27" s="4">
        <v>65</v>
      </c>
      <c r="AI27" s="4">
        <v>55</v>
      </c>
      <c r="AJ27" s="4">
        <v>65</v>
      </c>
      <c r="AK27" s="4">
        <v>65</v>
      </c>
      <c r="AL27" s="4">
        <v>65</v>
      </c>
      <c r="AM27" s="4">
        <v>65</v>
      </c>
      <c r="AN27" s="4">
        <v>60</v>
      </c>
      <c r="AO27" s="4">
        <v>40</v>
      </c>
      <c r="AQ27" s="8" t="s">
        <v>137</v>
      </c>
      <c r="AR27" s="4" t="s">
        <v>129</v>
      </c>
      <c r="AS27" s="4" t="s">
        <v>129</v>
      </c>
      <c r="AT27" s="4" t="s">
        <v>129</v>
      </c>
      <c r="AU27" s="4" t="s">
        <v>129</v>
      </c>
      <c r="AV27" s="4" t="s">
        <v>129</v>
      </c>
      <c r="AW27" s="4" t="s">
        <v>129</v>
      </c>
      <c r="AX27" s="4" t="s">
        <v>129</v>
      </c>
      <c r="AY27" s="4" t="s">
        <v>129</v>
      </c>
      <c r="AZ27" s="4" t="s">
        <v>129</v>
      </c>
      <c r="BA27" s="4" t="s">
        <v>129</v>
      </c>
      <c r="BB27" s="4" t="s">
        <v>129</v>
      </c>
      <c r="BC27" s="4" t="s">
        <v>129</v>
      </c>
      <c r="BE27" s="8" t="s">
        <v>137</v>
      </c>
      <c r="BF27" s="4" t="s">
        <v>130</v>
      </c>
      <c r="BG27" s="4" t="s">
        <v>130</v>
      </c>
      <c r="BH27" s="4" t="s">
        <v>130</v>
      </c>
      <c r="BI27" s="4" t="s">
        <v>130</v>
      </c>
      <c r="BJ27" s="4" t="s">
        <v>130</v>
      </c>
      <c r="BK27" s="4" t="s">
        <v>130</v>
      </c>
      <c r="BL27" s="4" t="s">
        <v>130</v>
      </c>
      <c r="BM27" s="4" t="s">
        <v>130</v>
      </c>
      <c r="BN27" s="4" t="s">
        <v>130</v>
      </c>
      <c r="BO27" s="4" t="s">
        <v>130</v>
      </c>
      <c r="BP27" s="4" t="s">
        <v>130</v>
      </c>
      <c r="BQ27" s="4" t="s">
        <v>130</v>
      </c>
    </row>
    <row r="28" spans="1:69" x14ac:dyDescent="0.3">
      <c r="A28" s="10" t="s">
        <v>56</v>
      </c>
      <c r="B28" s="4" t="s">
        <v>38</v>
      </c>
      <c r="C28" s="4">
        <v>160</v>
      </c>
      <c r="D28" s="4">
        <v>65</v>
      </c>
      <c r="E28" s="4">
        <v>55</v>
      </c>
      <c r="F28" s="4">
        <v>65</v>
      </c>
      <c r="G28" s="4">
        <v>55</v>
      </c>
      <c r="H28" s="4">
        <v>65</v>
      </c>
      <c r="I28" s="4">
        <v>65</v>
      </c>
      <c r="J28" s="4">
        <v>65</v>
      </c>
      <c r="K28" s="4">
        <v>65</v>
      </c>
      <c r="L28" s="4">
        <v>50</v>
      </c>
      <c r="M28" s="4">
        <v>40</v>
      </c>
      <c r="O28" s="10" t="s">
        <v>56</v>
      </c>
      <c r="P28" s="4" t="s">
        <v>38</v>
      </c>
      <c r="Q28" s="4">
        <v>160</v>
      </c>
      <c r="R28" s="4">
        <v>65</v>
      </c>
      <c r="S28" s="4">
        <v>55</v>
      </c>
      <c r="T28" s="4">
        <v>65</v>
      </c>
      <c r="U28" s="4">
        <v>55</v>
      </c>
      <c r="V28" s="4">
        <v>270</v>
      </c>
      <c r="W28" s="4">
        <v>180</v>
      </c>
      <c r="X28" s="4">
        <v>85</v>
      </c>
      <c r="Y28" s="4">
        <v>85</v>
      </c>
      <c r="Z28" s="4">
        <v>50</v>
      </c>
      <c r="AA28" s="4">
        <v>40</v>
      </c>
      <c r="AC28" s="10" t="s">
        <v>56</v>
      </c>
      <c r="AD28" s="9" t="s">
        <v>90</v>
      </c>
      <c r="AE28" s="9" t="s">
        <v>90</v>
      </c>
      <c r="AF28" s="9" t="s">
        <v>90</v>
      </c>
      <c r="AG28" s="9" t="s">
        <v>90</v>
      </c>
      <c r="AH28" s="9" t="s">
        <v>90</v>
      </c>
      <c r="AI28" s="9" t="s">
        <v>90</v>
      </c>
      <c r="AJ28" s="9" t="s">
        <v>90</v>
      </c>
      <c r="AK28" s="9" t="s">
        <v>90</v>
      </c>
      <c r="AL28" s="9" t="s">
        <v>90</v>
      </c>
      <c r="AM28" s="9" t="s">
        <v>90</v>
      </c>
      <c r="AN28" s="9" t="s">
        <v>90</v>
      </c>
      <c r="AO28" s="9" t="s">
        <v>90</v>
      </c>
      <c r="AQ28" s="10" t="s">
        <v>56</v>
      </c>
      <c r="AR28" s="4">
        <v>60</v>
      </c>
      <c r="AS28" s="4">
        <v>60</v>
      </c>
      <c r="AT28" s="4">
        <v>60</v>
      </c>
      <c r="AU28" s="4">
        <v>55</v>
      </c>
      <c r="AV28" s="4">
        <v>60</v>
      </c>
      <c r="AW28" s="4">
        <v>55</v>
      </c>
      <c r="AX28" s="4">
        <v>60</v>
      </c>
      <c r="AY28" s="4">
        <v>60</v>
      </c>
      <c r="AZ28" s="4">
        <v>60</v>
      </c>
      <c r="BA28" s="4">
        <v>60</v>
      </c>
      <c r="BB28" s="4">
        <v>50</v>
      </c>
      <c r="BC28" s="4">
        <v>40</v>
      </c>
      <c r="BE28" s="10" t="s">
        <v>56</v>
      </c>
      <c r="BF28" s="4">
        <v>60</v>
      </c>
      <c r="BG28" s="4">
        <v>60</v>
      </c>
      <c r="BH28" s="4">
        <v>60</v>
      </c>
      <c r="BI28" s="4">
        <v>55</v>
      </c>
      <c r="BJ28" s="4">
        <v>60</v>
      </c>
      <c r="BK28" s="4">
        <v>55</v>
      </c>
      <c r="BL28" s="4">
        <v>60</v>
      </c>
      <c r="BM28" s="4">
        <v>60</v>
      </c>
      <c r="BN28" s="4">
        <v>60</v>
      </c>
      <c r="BO28" s="4">
        <v>60</v>
      </c>
      <c r="BP28" s="4">
        <v>50</v>
      </c>
      <c r="BQ28" s="4">
        <v>40</v>
      </c>
    </row>
    <row r="29" spans="1:69" x14ac:dyDescent="0.3">
      <c r="A29" s="8" t="s">
        <v>57</v>
      </c>
      <c r="B29" s="4" t="s">
        <v>38</v>
      </c>
      <c r="C29" s="4">
        <v>160</v>
      </c>
      <c r="D29" s="4">
        <v>65</v>
      </c>
      <c r="E29" s="4">
        <v>55</v>
      </c>
      <c r="F29" s="4">
        <v>65</v>
      </c>
      <c r="G29" s="4">
        <v>55</v>
      </c>
      <c r="H29" s="4">
        <v>65</v>
      </c>
      <c r="I29" s="4">
        <v>65</v>
      </c>
      <c r="J29" s="4">
        <v>65</v>
      </c>
      <c r="K29" s="4">
        <v>65</v>
      </c>
      <c r="L29" s="4">
        <v>50</v>
      </c>
      <c r="M29" s="4">
        <v>40</v>
      </c>
      <c r="O29" s="8" t="s">
        <v>57</v>
      </c>
      <c r="P29" s="4" t="s">
        <v>38</v>
      </c>
      <c r="Q29" s="4">
        <v>180</v>
      </c>
      <c r="R29" s="4">
        <v>85</v>
      </c>
      <c r="S29" s="4">
        <v>75</v>
      </c>
      <c r="T29" s="4">
        <v>85</v>
      </c>
      <c r="U29" s="4">
        <v>75</v>
      </c>
      <c r="V29" s="4">
        <v>270</v>
      </c>
      <c r="W29" s="4">
        <v>180</v>
      </c>
      <c r="X29" s="4">
        <v>85</v>
      </c>
      <c r="Y29" s="4">
        <v>85</v>
      </c>
      <c r="Z29" s="4">
        <v>70</v>
      </c>
      <c r="AA29" s="4">
        <v>60</v>
      </c>
      <c r="AC29" s="8" t="s">
        <v>57</v>
      </c>
      <c r="AD29" s="9" t="s">
        <v>90</v>
      </c>
      <c r="AE29" s="9" t="s">
        <v>90</v>
      </c>
      <c r="AF29" s="9" t="s">
        <v>90</v>
      </c>
      <c r="AG29" s="9" t="s">
        <v>90</v>
      </c>
      <c r="AH29" s="9" t="s">
        <v>90</v>
      </c>
      <c r="AI29" s="9" t="s">
        <v>90</v>
      </c>
      <c r="AJ29" s="9" t="s">
        <v>90</v>
      </c>
      <c r="AK29" s="9" t="s">
        <v>90</v>
      </c>
      <c r="AL29" s="9" t="s">
        <v>90</v>
      </c>
      <c r="AM29" s="9" t="s">
        <v>90</v>
      </c>
      <c r="AN29" s="9" t="s">
        <v>90</v>
      </c>
      <c r="AO29" s="9" t="s">
        <v>90</v>
      </c>
      <c r="AQ29" s="8" t="s">
        <v>57</v>
      </c>
      <c r="AR29" s="4">
        <v>60</v>
      </c>
      <c r="AS29" s="4">
        <v>60</v>
      </c>
      <c r="AT29" s="4">
        <v>60</v>
      </c>
      <c r="AU29" s="4">
        <v>60</v>
      </c>
      <c r="AV29" s="4">
        <v>60</v>
      </c>
      <c r="AW29" s="4">
        <v>60</v>
      </c>
      <c r="AX29" s="4">
        <v>60</v>
      </c>
      <c r="AY29" s="4">
        <v>60</v>
      </c>
      <c r="AZ29" s="4">
        <v>60</v>
      </c>
      <c r="BA29" s="4">
        <v>60</v>
      </c>
      <c r="BB29" s="4">
        <v>50</v>
      </c>
      <c r="BC29" s="4">
        <v>40</v>
      </c>
      <c r="BE29" s="8" t="s">
        <v>57</v>
      </c>
      <c r="BF29" s="4">
        <v>60</v>
      </c>
      <c r="BG29" s="4">
        <v>60</v>
      </c>
      <c r="BH29" s="4">
        <v>60</v>
      </c>
      <c r="BI29" s="4">
        <v>60</v>
      </c>
      <c r="BJ29" s="4">
        <v>60</v>
      </c>
      <c r="BK29" s="4">
        <v>60</v>
      </c>
      <c r="BL29" s="4">
        <v>60</v>
      </c>
      <c r="BM29" s="4">
        <v>60</v>
      </c>
      <c r="BN29" s="4">
        <v>60</v>
      </c>
      <c r="BO29" s="4">
        <v>60</v>
      </c>
      <c r="BP29" s="4">
        <v>60</v>
      </c>
      <c r="BQ29" s="4">
        <v>60</v>
      </c>
    </row>
    <row r="30" spans="1:69" x14ac:dyDescent="0.3">
      <c r="A30" s="8" t="s">
        <v>29</v>
      </c>
      <c r="B30" s="4" t="s">
        <v>38</v>
      </c>
      <c r="C30" s="4">
        <v>160</v>
      </c>
      <c r="D30" s="4">
        <v>65</v>
      </c>
      <c r="E30" s="4">
        <v>55</v>
      </c>
      <c r="F30" s="4">
        <v>65</v>
      </c>
      <c r="G30" s="4">
        <v>55</v>
      </c>
      <c r="H30" s="4">
        <v>65</v>
      </c>
      <c r="I30" s="4">
        <v>65</v>
      </c>
      <c r="J30" s="4">
        <v>65</v>
      </c>
      <c r="K30" s="4">
        <v>65</v>
      </c>
      <c r="L30" s="4">
        <v>50</v>
      </c>
      <c r="M30" s="4">
        <v>40</v>
      </c>
      <c r="O30" s="8" t="s">
        <v>29</v>
      </c>
      <c r="P30" s="4" t="s">
        <v>38</v>
      </c>
      <c r="Q30" s="4">
        <v>180</v>
      </c>
      <c r="R30" s="4">
        <v>85</v>
      </c>
      <c r="S30" s="4">
        <v>75</v>
      </c>
      <c r="T30" s="4">
        <v>85</v>
      </c>
      <c r="U30" s="4">
        <v>75</v>
      </c>
      <c r="V30" s="4">
        <v>270</v>
      </c>
      <c r="W30" s="4">
        <v>180</v>
      </c>
      <c r="X30" s="4">
        <v>85</v>
      </c>
      <c r="Y30" s="4">
        <v>85</v>
      </c>
      <c r="Z30" s="4">
        <v>70</v>
      </c>
      <c r="AA30" s="4">
        <v>60</v>
      </c>
      <c r="AC30" s="8" t="s">
        <v>29</v>
      </c>
      <c r="AD30" s="9" t="s">
        <v>90</v>
      </c>
      <c r="AE30" s="9" t="s">
        <v>90</v>
      </c>
      <c r="AF30" s="9" t="s">
        <v>90</v>
      </c>
      <c r="AG30" s="9" t="s">
        <v>90</v>
      </c>
      <c r="AH30" s="9" t="s">
        <v>90</v>
      </c>
      <c r="AI30" s="9" t="s">
        <v>90</v>
      </c>
      <c r="AJ30" s="9" t="s">
        <v>90</v>
      </c>
      <c r="AK30" s="9" t="s">
        <v>90</v>
      </c>
      <c r="AL30" s="9" t="s">
        <v>90</v>
      </c>
      <c r="AM30" s="9" t="s">
        <v>90</v>
      </c>
      <c r="AN30" s="9" t="s">
        <v>90</v>
      </c>
      <c r="AO30" s="9" t="s">
        <v>90</v>
      </c>
      <c r="AQ30" s="8" t="s">
        <v>29</v>
      </c>
      <c r="AR30" s="4" t="s">
        <v>129</v>
      </c>
      <c r="AS30" s="4" t="s">
        <v>129</v>
      </c>
      <c r="AT30" s="4" t="s">
        <v>129</v>
      </c>
      <c r="AU30" s="4" t="s">
        <v>129</v>
      </c>
      <c r="AV30" s="4" t="s">
        <v>129</v>
      </c>
      <c r="AW30" s="4" t="s">
        <v>129</v>
      </c>
      <c r="AX30" s="4" t="s">
        <v>129</v>
      </c>
      <c r="AY30" s="4" t="s">
        <v>129</v>
      </c>
      <c r="AZ30" s="4" t="s">
        <v>129</v>
      </c>
      <c r="BA30" s="4" t="s">
        <v>129</v>
      </c>
      <c r="BB30" s="4" t="s">
        <v>129</v>
      </c>
      <c r="BC30" s="4" t="s">
        <v>129</v>
      </c>
      <c r="BE30" s="8" t="s">
        <v>29</v>
      </c>
      <c r="BF30" s="4" t="s">
        <v>130</v>
      </c>
      <c r="BG30" s="4" t="s">
        <v>130</v>
      </c>
      <c r="BH30" s="4" t="s">
        <v>130</v>
      </c>
      <c r="BI30" s="4" t="s">
        <v>130</v>
      </c>
      <c r="BJ30" s="4" t="s">
        <v>130</v>
      </c>
      <c r="BK30" s="4" t="s">
        <v>130</v>
      </c>
      <c r="BL30" s="4" t="s">
        <v>130</v>
      </c>
      <c r="BM30" s="4" t="s">
        <v>130</v>
      </c>
      <c r="BN30" s="4" t="s">
        <v>130</v>
      </c>
      <c r="BO30" s="4" t="s">
        <v>130</v>
      </c>
      <c r="BP30" s="4" t="s">
        <v>130</v>
      </c>
      <c r="BQ30" s="4" t="s">
        <v>130</v>
      </c>
    </row>
    <row r="31" spans="1:69" x14ac:dyDescent="0.3">
      <c r="A31" s="8" t="s">
        <v>36</v>
      </c>
      <c r="B31" s="4" t="s">
        <v>38</v>
      </c>
      <c r="C31" s="4">
        <v>160</v>
      </c>
      <c r="D31" s="4">
        <v>65</v>
      </c>
      <c r="E31" s="4">
        <v>55</v>
      </c>
      <c r="F31" s="4">
        <v>65</v>
      </c>
      <c r="G31" s="4">
        <v>55</v>
      </c>
      <c r="H31" s="4">
        <v>65</v>
      </c>
      <c r="I31" s="4">
        <v>65</v>
      </c>
      <c r="J31" s="4">
        <v>65</v>
      </c>
      <c r="K31" s="4">
        <v>65</v>
      </c>
      <c r="L31" s="4">
        <v>50</v>
      </c>
      <c r="M31" s="4">
        <v>40</v>
      </c>
      <c r="O31" s="8" t="s">
        <v>36</v>
      </c>
      <c r="P31" s="4" t="s">
        <v>38</v>
      </c>
      <c r="Q31" s="4">
        <v>180</v>
      </c>
      <c r="R31" s="4">
        <v>85</v>
      </c>
      <c r="S31" s="4">
        <v>75</v>
      </c>
      <c r="T31" s="4">
        <v>85</v>
      </c>
      <c r="U31" s="4">
        <v>75</v>
      </c>
      <c r="V31" s="4">
        <v>270</v>
      </c>
      <c r="W31" s="4">
        <v>180</v>
      </c>
      <c r="X31" s="4">
        <v>85</v>
      </c>
      <c r="Y31" s="4">
        <v>85</v>
      </c>
      <c r="Z31" s="4">
        <v>70</v>
      </c>
      <c r="AA31" s="4">
        <v>60</v>
      </c>
      <c r="AC31" s="8" t="s">
        <v>36</v>
      </c>
      <c r="AD31" s="9" t="s">
        <v>90</v>
      </c>
      <c r="AE31" s="9" t="s">
        <v>90</v>
      </c>
      <c r="AF31" s="9" t="s">
        <v>90</v>
      </c>
      <c r="AG31" s="9" t="s">
        <v>90</v>
      </c>
      <c r="AH31" s="9" t="s">
        <v>90</v>
      </c>
      <c r="AI31" s="9" t="s">
        <v>90</v>
      </c>
      <c r="AJ31" s="9" t="s">
        <v>90</v>
      </c>
      <c r="AK31" s="9" t="s">
        <v>90</v>
      </c>
      <c r="AL31" s="9" t="s">
        <v>90</v>
      </c>
      <c r="AM31" s="9" t="s">
        <v>90</v>
      </c>
      <c r="AN31" s="9" t="s">
        <v>90</v>
      </c>
      <c r="AO31" s="9" t="s">
        <v>90</v>
      </c>
      <c r="AQ31" s="8" t="s">
        <v>36</v>
      </c>
      <c r="AR31" s="4" t="s">
        <v>129</v>
      </c>
      <c r="AS31" s="4" t="s">
        <v>129</v>
      </c>
      <c r="AT31" s="4" t="s">
        <v>129</v>
      </c>
      <c r="AU31" s="4" t="s">
        <v>129</v>
      </c>
      <c r="AV31" s="4" t="s">
        <v>129</v>
      </c>
      <c r="AW31" s="4" t="s">
        <v>129</v>
      </c>
      <c r="AX31" s="4" t="s">
        <v>129</v>
      </c>
      <c r="AY31" s="4" t="s">
        <v>129</v>
      </c>
      <c r="AZ31" s="4" t="s">
        <v>129</v>
      </c>
      <c r="BA31" s="4" t="s">
        <v>129</v>
      </c>
      <c r="BB31" s="4" t="s">
        <v>129</v>
      </c>
      <c r="BC31" s="4" t="s">
        <v>129</v>
      </c>
      <c r="BE31" s="8" t="s">
        <v>36</v>
      </c>
      <c r="BF31" s="4" t="s">
        <v>130</v>
      </c>
      <c r="BG31" s="4" t="s">
        <v>130</v>
      </c>
      <c r="BH31" s="4" t="s">
        <v>130</v>
      </c>
      <c r="BI31" s="4" t="s">
        <v>130</v>
      </c>
      <c r="BJ31" s="4" t="s">
        <v>130</v>
      </c>
      <c r="BK31" s="4" t="s">
        <v>130</v>
      </c>
      <c r="BL31" s="4" t="s">
        <v>130</v>
      </c>
      <c r="BM31" s="4" t="s">
        <v>130</v>
      </c>
      <c r="BN31" s="4" t="s">
        <v>130</v>
      </c>
      <c r="BO31" s="4" t="s">
        <v>130</v>
      </c>
      <c r="BP31" s="4" t="s">
        <v>130</v>
      </c>
      <c r="BQ31" s="4" t="s">
        <v>130</v>
      </c>
    </row>
    <row r="32" spans="1:69" x14ac:dyDescent="0.3">
      <c r="A32" s="8" t="s">
        <v>37</v>
      </c>
      <c r="B32" s="4" t="s">
        <v>38</v>
      </c>
      <c r="C32" s="4">
        <v>160</v>
      </c>
      <c r="D32" s="4">
        <v>65</v>
      </c>
      <c r="E32" s="4">
        <v>55</v>
      </c>
      <c r="F32" s="4">
        <v>65</v>
      </c>
      <c r="G32" s="4">
        <v>55</v>
      </c>
      <c r="H32" s="4">
        <v>65</v>
      </c>
      <c r="I32" s="4">
        <v>65</v>
      </c>
      <c r="J32" s="4">
        <v>65</v>
      </c>
      <c r="K32" s="4">
        <v>65</v>
      </c>
      <c r="L32" s="4">
        <v>50</v>
      </c>
      <c r="M32" s="4">
        <v>40</v>
      </c>
      <c r="O32" s="8" t="s">
        <v>37</v>
      </c>
      <c r="P32" s="4" t="s">
        <v>38</v>
      </c>
      <c r="Q32" s="4">
        <v>180</v>
      </c>
      <c r="R32" s="4">
        <v>85</v>
      </c>
      <c r="S32" s="4">
        <v>75</v>
      </c>
      <c r="T32" s="4">
        <v>85</v>
      </c>
      <c r="U32" s="4">
        <v>75</v>
      </c>
      <c r="V32" s="4">
        <v>270</v>
      </c>
      <c r="W32" s="4">
        <v>180</v>
      </c>
      <c r="X32" s="4">
        <v>85</v>
      </c>
      <c r="Y32" s="4">
        <v>85</v>
      </c>
      <c r="Z32" s="4">
        <v>70</v>
      </c>
      <c r="AA32" s="4">
        <v>60</v>
      </c>
      <c r="AC32" s="8" t="s">
        <v>37</v>
      </c>
      <c r="AD32" s="9" t="s">
        <v>90</v>
      </c>
      <c r="AE32" s="9" t="s">
        <v>90</v>
      </c>
      <c r="AF32" s="9" t="s">
        <v>90</v>
      </c>
      <c r="AG32" s="9" t="s">
        <v>90</v>
      </c>
      <c r="AH32" s="9" t="s">
        <v>90</v>
      </c>
      <c r="AI32" s="9" t="s">
        <v>90</v>
      </c>
      <c r="AJ32" s="9" t="s">
        <v>90</v>
      </c>
      <c r="AK32" s="9" t="s">
        <v>90</v>
      </c>
      <c r="AL32" s="9" t="s">
        <v>90</v>
      </c>
      <c r="AM32" s="9" t="s">
        <v>90</v>
      </c>
      <c r="AN32" s="9" t="s">
        <v>90</v>
      </c>
      <c r="AO32" s="9" t="s">
        <v>90</v>
      </c>
      <c r="AQ32" s="8" t="s">
        <v>37</v>
      </c>
      <c r="AR32" s="4" t="s">
        <v>129</v>
      </c>
      <c r="AS32" s="4" t="s">
        <v>129</v>
      </c>
      <c r="AT32" s="4" t="s">
        <v>129</v>
      </c>
      <c r="AU32" s="4" t="s">
        <v>129</v>
      </c>
      <c r="AV32" s="4" t="s">
        <v>129</v>
      </c>
      <c r="AW32" s="4" t="s">
        <v>129</v>
      </c>
      <c r="AX32" s="4" t="s">
        <v>129</v>
      </c>
      <c r="AY32" s="4" t="s">
        <v>129</v>
      </c>
      <c r="AZ32" s="4" t="s">
        <v>129</v>
      </c>
      <c r="BA32" s="4" t="s">
        <v>129</v>
      </c>
      <c r="BB32" s="4" t="s">
        <v>129</v>
      </c>
      <c r="BC32" s="4" t="s">
        <v>129</v>
      </c>
      <c r="BE32" s="8" t="s">
        <v>37</v>
      </c>
      <c r="BF32" s="4" t="s">
        <v>130</v>
      </c>
      <c r="BG32" s="4" t="s">
        <v>130</v>
      </c>
      <c r="BH32" s="4" t="s">
        <v>130</v>
      </c>
      <c r="BI32" s="4" t="s">
        <v>130</v>
      </c>
      <c r="BJ32" s="4" t="s">
        <v>130</v>
      </c>
      <c r="BK32" s="4" t="s">
        <v>130</v>
      </c>
      <c r="BL32" s="4" t="s">
        <v>130</v>
      </c>
      <c r="BM32" s="4" t="s">
        <v>130</v>
      </c>
      <c r="BN32" s="4" t="s">
        <v>130</v>
      </c>
      <c r="BO32" s="4" t="s">
        <v>130</v>
      </c>
      <c r="BP32" s="4" t="s">
        <v>130</v>
      </c>
      <c r="BQ32" s="4" t="s">
        <v>130</v>
      </c>
    </row>
    <row r="33" spans="1:57" x14ac:dyDescent="0.3">
      <c r="A33">
        <f>INDEX(TableHtNS,MATCH(A37,OccHtNS,0),MATCH(B37,ConstructionHtNS,0))</f>
        <v>40</v>
      </c>
      <c r="O33">
        <f>INDEX(TableHtSS,MATCH(A37,OccHtSS,0),MATCH(B37,ConstructionHtSS,0))</f>
        <v>60</v>
      </c>
      <c r="AC33" t="str">
        <f>INDEX(TableHtAIL,MATCH(A37,OccHtAIL,0),MATCH(B37,ConstructionHtAIL,0))</f>
        <v>No Limitations</v>
      </c>
      <c r="AQ33" t="str">
        <f>INDEX(TableHt13D,MATCH(A37,OccHt13D,0),MATCH(B37,ConstructionHt13D,0))</f>
        <v>NP W/13D</v>
      </c>
      <c r="BE33" t="str">
        <f>INDEX(TableHt13R,MATCH(A37,OccHt13R,0),MATCH(B37,ConstructionHt13R,0))</f>
        <v>NP W/ 13R</v>
      </c>
    </row>
    <row r="35" spans="1:57" x14ac:dyDescent="0.3">
      <c r="T35" s="2"/>
    </row>
    <row r="36" spans="1:57" x14ac:dyDescent="0.3">
      <c r="A36" s="17" t="s">
        <v>97</v>
      </c>
      <c r="B36" s="17"/>
    </row>
    <row r="37" spans="1:57" x14ac:dyDescent="0.3">
      <c r="A37" s="17" t="str">
        <f>'2021-2024 Frontage Increase'!B5</f>
        <v>B</v>
      </c>
      <c r="B37" s="17" t="str">
        <f>'2021-2024 Frontage Increase'!B6</f>
        <v>V-B</v>
      </c>
    </row>
    <row r="39" spans="1:57" x14ac:dyDescent="0.3">
      <c r="A39" t="s">
        <v>42</v>
      </c>
    </row>
    <row r="41" spans="1:57" x14ac:dyDescent="0.3">
      <c r="A41" t="s">
        <v>51</v>
      </c>
    </row>
    <row r="43" spans="1:57" x14ac:dyDescent="0.3">
      <c r="A43" t="s">
        <v>44</v>
      </c>
    </row>
    <row r="44" spans="1:57" ht="15" customHeight="1" x14ac:dyDescent="0.3">
      <c r="A44" t="s">
        <v>52</v>
      </c>
    </row>
    <row r="45" spans="1:57" x14ac:dyDescent="0.3">
      <c r="A45" t="s">
        <v>46</v>
      </c>
      <c r="B45" s="2"/>
      <c r="C45" s="2"/>
      <c r="D45" s="2"/>
      <c r="E45" s="2"/>
      <c r="F45" s="2"/>
      <c r="G45" s="2"/>
      <c r="H45" s="2"/>
      <c r="I45" s="2"/>
      <c r="J45" s="2"/>
    </row>
    <row r="46" spans="1:57" x14ac:dyDescent="0.3">
      <c r="A46" t="s">
        <v>45</v>
      </c>
    </row>
    <row r="142" spans="1:10" x14ac:dyDescent="0.3">
      <c r="A142" s="1"/>
      <c r="B142" s="13"/>
      <c r="C142" s="13"/>
      <c r="D142" s="13"/>
      <c r="E142" s="13"/>
      <c r="F142" s="13"/>
      <c r="G142" s="13"/>
      <c r="H142" s="13"/>
      <c r="I142" s="13"/>
      <c r="J142" s="13"/>
    </row>
  </sheetData>
  <dataValidations disablePrompts="1" count="3">
    <dataValidation type="list" allowBlank="1" showInputMessage="1" showErrorMessage="1" sqref="C47" xr:uid="{00000000-0002-0000-0400-000000000000}">
      <formula1>"I-A,I-B,II-A,II-B,III-A,III-B,IV-HT,V-A,V-B"</formula1>
    </dataValidation>
    <dataValidation type="list" allowBlank="1" showInputMessage="1" showErrorMessage="1" sqref="B47" xr:uid="{00000000-0002-0000-0400-000001000000}">
      <formula1>"A1,A2,A3,A4,A5,B,E,F-1,F-2,H-1,H-2,H-3,H-4,H-5,I2/I-2.1,I-3,I-4,L,M,R-1,R-2,R-2.1,R-3/R3.1,R-4,S-1,S-2,U"</formula1>
    </dataValidation>
    <dataValidation type="list" allowBlank="1" showInputMessage="1" showErrorMessage="1" sqref="D47" xr:uid="{00000000-0002-0000-0400-000002000000}">
      <formula1>"NS, S1, SM, S13D, S13R"</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144"/>
  <sheetViews>
    <sheetView zoomScale="75" zoomScaleNormal="75" workbookViewId="0">
      <selection activeCell="B20" sqref="B20"/>
    </sheetView>
  </sheetViews>
  <sheetFormatPr defaultRowHeight="14.4" x14ac:dyDescent="0.3"/>
  <cols>
    <col min="1" max="1" width="15.44140625" customWidth="1"/>
    <col min="12" max="12" width="10.5546875" customWidth="1"/>
    <col min="13" max="13" width="11.44140625" customWidth="1"/>
    <col min="14" max="14" width="13.6640625" customWidth="1"/>
    <col min="15" max="15" width="13.44140625" customWidth="1"/>
    <col min="16" max="16" width="15.5546875" customWidth="1"/>
  </cols>
  <sheetData>
    <row r="1" spans="1:74" ht="16.2" customHeight="1" x14ac:dyDescent="0.3">
      <c r="A1" s="1" t="s">
        <v>83</v>
      </c>
      <c r="B1" s="2"/>
      <c r="C1" s="2"/>
      <c r="D1" s="2"/>
      <c r="E1" s="2"/>
      <c r="F1" s="2"/>
      <c r="G1" s="2"/>
      <c r="K1" s="2"/>
      <c r="L1" s="2"/>
      <c r="M1" s="2"/>
      <c r="N1" s="1"/>
      <c r="P1" t="s">
        <v>135</v>
      </c>
      <c r="AE1" s="14" t="s">
        <v>88</v>
      </c>
      <c r="AT1" s="14" t="s">
        <v>86</v>
      </c>
      <c r="BI1" s="14" t="s">
        <v>87</v>
      </c>
    </row>
    <row r="2" spans="1:74" ht="16.2" customHeight="1" x14ac:dyDescent="0.3">
      <c r="A2" s="10"/>
      <c r="B2" s="3" t="s">
        <v>63</v>
      </c>
      <c r="C2" s="3" t="s">
        <v>64</v>
      </c>
      <c r="D2" s="3" t="s">
        <v>65</v>
      </c>
      <c r="E2" s="3" t="s">
        <v>66</v>
      </c>
      <c r="F2" s="3" t="s">
        <v>67</v>
      </c>
      <c r="G2" s="3" t="s">
        <v>68</v>
      </c>
      <c r="H2" s="3" t="s">
        <v>175</v>
      </c>
      <c r="I2" s="3" t="s">
        <v>176</v>
      </c>
      <c r="J2" s="3" t="s">
        <v>177</v>
      </c>
      <c r="K2" s="3" t="s">
        <v>71</v>
      </c>
      <c r="L2" s="3" t="s">
        <v>69</v>
      </c>
      <c r="M2" s="3" t="s">
        <v>70</v>
      </c>
      <c r="N2" s="10"/>
      <c r="P2" s="10"/>
      <c r="Q2" s="3" t="s">
        <v>63</v>
      </c>
      <c r="R2" s="3" t="s">
        <v>64</v>
      </c>
      <c r="S2" s="3" t="s">
        <v>65</v>
      </c>
      <c r="T2" s="3" t="s">
        <v>66</v>
      </c>
      <c r="U2" s="3" t="s">
        <v>67</v>
      </c>
      <c r="V2" s="3" t="s">
        <v>68</v>
      </c>
      <c r="W2" s="3" t="s">
        <v>175</v>
      </c>
      <c r="X2" s="3" t="s">
        <v>176</v>
      </c>
      <c r="Y2" s="3" t="s">
        <v>177</v>
      </c>
      <c r="Z2" s="3" t="s">
        <v>71</v>
      </c>
      <c r="AA2" s="3" t="s">
        <v>69</v>
      </c>
      <c r="AB2" s="3" t="s">
        <v>70</v>
      </c>
      <c r="AC2" s="10"/>
      <c r="AE2" s="10"/>
      <c r="AF2" s="3" t="s">
        <v>63</v>
      </c>
      <c r="AG2" s="3" t="s">
        <v>64</v>
      </c>
      <c r="AH2" s="3" t="s">
        <v>65</v>
      </c>
      <c r="AI2" s="3" t="s">
        <v>66</v>
      </c>
      <c r="AJ2" s="3" t="s">
        <v>67</v>
      </c>
      <c r="AK2" s="3" t="s">
        <v>68</v>
      </c>
      <c r="AL2" s="3" t="s">
        <v>175</v>
      </c>
      <c r="AM2" s="3" t="s">
        <v>176</v>
      </c>
      <c r="AN2" s="3" t="s">
        <v>177</v>
      </c>
      <c r="AO2" s="3" t="s">
        <v>71</v>
      </c>
      <c r="AP2" s="3" t="s">
        <v>69</v>
      </c>
      <c r="AQ2" s="3" t="s">
        <v>70</v>
      </c>
      <c r="AR2" s="10"/>
      <c r="AT2" s="10"/>
      <c r="AU2" s="3" t="s">
        <v>63</v>
      </c>
      <c r="AV2" s="3" t="s">
        <v>64</v>
      </c>
      <c r="AW2" s="3" t="s">
        <v>65</v>
      </c>
      <c r="AX2" s="3" t="s">
        <v>66</v>
      </c>
      <c r="AY2" s="3" t="s">
        <v>67</v>
      </c>
      <c r="AZ2" s="3" t="s">
        <v>68</v>
      </c>
      <c r="BA2" s="3" t="s">
        <v>175</v>
      </c>
      <c r="BB2" s="3" t="s">
        <v>176</v>
      </c>
      <c r="BC2" s="3" t="s">
        <v>177</v>
      </c>
      <c r="BD2" s="3" t="s">
        <v>71</v>
      </c>
      <c r="BE2" s="3" t="s">
        <v>69</v>
      </c>
      <c r="BF2" s="3" t="s">
        <v>70</v>
      </c>
      <c r="BG2" s="10"/>
      <c r="BI2" s="10">
        <v>0</v>
      </c>
      <c r="BJ2" s="3" t="s">
        <v>63</v>
      </c>
      <c r="BK2" s="3" t="s">
        <v>64</v>
      </c>
      <c r="BL2" s="3" t="s">
        <v>65</v>
      </c>
      <c r="BM2" s="3" t="s">
        <v>66</v>
      </c>
      <c r="BN2" s="3" t="s">
        <v>67</v>
      </c>
      <c r="BO2" s="3" t="s">
        <v>68</v>
      </c>
      <c r="BP2" s="3" t="s">
        <v>175</v>
      </c>
      <c r="BQ2" s="3" t="s">
        <v>176</v>
      </c>
      <c r="BR2" s="3" t="s">
        <v>177</v>
      </c>
      <c r="BS2" s="3" t="s">
        <v>71</v>
      </c>
      <c r="BT2" s="3" t="s">
        <v>69</v>
      </c>
      <c r="BU2" s="3" t="s">
        <v>70</v>
      </c>
      <c r="BV2" s="10"/>
    </row>
    <row r="3" spans="1:74" ht="16.2" customHeight="1" x14ac:dyDescent="0.3">
      <c r="A3" s="8" t="s">
        <v>11</v>
      </c>
      <c r="B3" s="4" t="s">
        <v>38</v>
      </c>
      <c r="C3" s="4">
        <v>5</v>
      </c>
      <c r="D3" s="4">
        <v>3</v>
      </c>
      <c r="E3" s="4">
        <v>2</v>
      </c>
      <c r="F3" s="4">
        <v>3</v>
      </c>
      <c r="G3" s="4">
        <v>2</v>
      </c>
      <c r="H3" s="4">
        <v>3</v>
      </c>
      <c r="I3" s="4">
        <v>3</v>
      </c>
      <c r="J3" s="4">
        <v>3</v>
      </c>
      <c r="K3" s="4">
        <v>3</v>
      </c>
      <c r="L3" s="4">
        <v>2</v>
      </c>
      <c r="M3" s="4">
        <v>1</v>
      </c>
      <c r="N3" s="3" t="s">
        <v>12</v>
      </c>
      <c r="P3" s="8" t="s">
        <v>11</v>
      </c>
      <c r="Q3" s="4" t="s">
        <v>38</v>
      </c>
      <c r="R3" s="4">
        <v>6</v>
      </c>
      <c r="S3" s="4">
        <v>4</v>
      </c>
      <c r="T3" s="4">
        <v>3</v>
      </c>
      <c r="U3" s="4">
        <v>4</v>
      </c>
      <c r="V3" s="4">
        <v>3</v>
      </c>
      <c r="W3" s="4">
        <v>9</v>
      </c>
      <c r="X3" s="4">
        <v>6</v>
      </c>
      <c r="Y3" s="4">
        <v>4</v>
      </c>
      <c r="Z3" s="4">
        <v>4</v>
      </c>
      <c r="AA3" s="4">
        <v>3</v>
      </c>
      <c r="AB3" s="4">
        <v>2</v>
      </c>
      <c r="AC3" s="5" t="s">
        <v>47</v>
      </c>
      <c r="AE3" s="8" t="s">
        <v>11</v>
      </c>
      <c r="AF3" s="4" t="s">
        <v>38</v>
      </c>
      <c r="AG3" s="4">
        <v>5</v>
      </c>
      <c r="AH3" s="4">
        <v>3</v>
      </c>
      <c r="AI3" s="4">
        <v>2</v>
      </c>
      <c r="AJ3" s="4">
        <v>3</v>
      </c>
      <c r="AK3" s="4">
        <v>2</v>
      </c>
      <c r="AL3" s="4">
        <v>3</v>
      </c>
      <c r="AM3" s="4">
        <v>3</v>
      </c>
      <c r="AN3" s="4">
        <v>3</v>
      </c>
      <c r="AO3" s="4">
        <v>3</v>
      </c>
      <c r="AP3" s="4">
        <v>2</v>
      </c>
      <c r="AQ3" s="4">
        <v>1</v>
      </c>
      <c r="AR3" s="5" t="s">
        <v>48</v>
      </c>
      <c r="AT3" s="8" t="s">
        <v>11</v>
      </c>
      <c r="AU3" s="3" t="s">
        <v>127</v>
      </c>
      <c r="AV3" s="3" t="s">
        <v>127</v>
      </c>
      <c r="AW3" s="3" t="s">
        <v>127</v>
      </c>
      <c r="AX3" s="3" t="s">
        <v>127</v>
      </c>
      <c r="AY3" s="3" t="s">
        <v>127</v>
      </c>
      <c r="AZ3" s="3" t="s">
        <v>127</v>
      </c>
      <c r="BA3" s="3" t="s">
        <v>127</v>
      </c>
      <c r="BB3" s="3" t="s">
        <v>127</v>
      </c>
      <c r="BC3" s="3" t="s">
        <v>127</v>
      </c>
      <c r="BD3" s="3" t="s">
        <v>127</v>
      </c>
      <c r="BE3" s="3" t="s">
        <v>127</v>
      </c>
      <c r="BF3" s="3" t="s">
        <v>127</v>
      </c>
      <c r="BG3" s="9"/>
      <c r="BI3" s="8" t="s">
        <v>11</v>
      </c>
      <c r="BJ3" s="3" t="s">
        <v>128</v>
      </c>
      <c r="BK3" s="3" t="s">
        <v>128</v>
      </c>
      <c r="BL3" s="3" t="s">
        <v>128</v>
      </c>
      <c r="BM3" s="3" t="s">
        <v>128</v>
      </c>
      <c r="BN3" s="3" t="s">
        <v>128</v>
      </c>
      <c r="BO3" s="3" t="s">
        <v>128</v>
      </c>
      <c r="BP3" s="3" t="s">
        <v>128</v>
      </c>
      <c r="BQ3" s="3" t="s">
        <v>128</v>
      </c>
      <c r="BR3" s="3" t="s">
        <v>128</v>
      </c>
      <c r="BS3" s="3" t="s">
        <v>128</v>
      </c>
      <c r="BT3" s="3" t="s">
        <v>128</v>
      </c>
      <c r="BU3" s="3" t="s">
        <v>128</v>
      </c>
      <c r="BV3" s="9"/>
    </row>
    <row r="4" spans="1:74" ht="16.2" customHeight="1" x14ac:dyDescent="0.3">
      <c r="A4" s="8" t="s">
        <v>15</v>
      </c>
      <c r="B4" s="4" t="s">
        <v>38</v>
      </c>
      <c r="C4" s="4">
        <v>11</v>
      </c>
      <c r="D4" s="4">
        <v>3</v>
      </c>
      <c r="E4" s="4">
        <v>2</v>
      </c>
      <c r="F4" s="4">
        <v>3</v>
      </c>
      <c r="G4" s="4">
        <v>2</v>
      </c>
      <c r="H4" s="4">
        <v>3</v>
      </c>
      <c r="I4" s="4">
        <v>3</v>
      </c>
      <c r="J4" s="4">
        <v>3</v>
      </c>
      <c r="K4" s="4">
        <v>3</v>
      </c>
      <c r="L4" s="4">
        <v>2</v>
      </c>
      <c r="M4" s="4">
        <v>1</v>
      </c>
      <c r="N4" s="3" t="s">
        <v>12</v>
      </c>
      <c r="P4" s="8" t="s">
        <v>15</v>
      </c>
      <c r="Q4" s="4" t="s">
        <v>38</v>
      </c>
      <c r="R4" s="4">
        <v>12</v>
      </c>
      <c r="S4" s="4">
        <v>4</v>
      </c>
      <c r="T4" s="4">
        <v>3</v>
      </c>
      <c r="U4" s="4">
        <v>4</v>
      </c>
      <c r="V4" s="4">
        <v>3</v>
      </c>
      <c r="W4" s="4">
        <v>18</v>
      </c>
      <c r="X4" s="4">
        <v>12</v>
      </c>
      <c r="Y4" s="4">
        <v>6</v>
      </c>
      <c r="Z4" s="4">
        <v>4</v>
      </c>
      <c r="AA4" s="4">
        <v>3</v>
      </c>
      <c r="AB4" s="4">
        <v>2</v>
      </c>
      <c r="AC4" s="5" t="s">
        <v>47</v>
      </c>
      <c r="AE4" s="8" t="s">
        <v>15</v>
      </c>
      <c r="AF4" s="4" t="s">
        <v>38</v>
      </c>
      <c r="AG4" s="4">
        <v>11</v>
      </c>
      <c r="AH4" s="4">
        <v>3</v>
      </c>
      <c r="AI4" s="4">
        <v>2</v>
      </c>
      <c r="AJ4" s="4">
        <v>3</v>
      </c>
      <c r="AK4" s="4">
        <v>2</v>
      </c>
      <c r="AL4" s="4">
        <v>3</v>
      </c>
      <c r="AM4" s="4">
        <v>3</v>
      </c>
      <c r="AN4" s="4">
        <v>3</v>
      </c>
      <c r="AO4" s="4">
        <v>3</v>
      </c>
      <c r="AP4" s="4">
        <v>2</v>
      </c>
      <c r="AQ4" s="4">
        <v>1</v>
      </c>
      <c r="AR4" s="5" t="s">
        <v>48</v>
      </c>
      <c r="AT4" s="8" t="s">
        <v>15</v>
      </c>
      <c r="AU4" s="3" t="s">
        <v>127</v>
      </c>
      <c r="AV4" s="3" t="s">
        <v>127</v>
      </c>
      <c r="AW4" s="3" t="s">
        <v>127</v>
      </c>
      <c r="AX4" s="3" t="s">
        <v>127</v>
      </c>
      <c r="AY4" s="3" t="s">
        <v>127</v>
      </c>
      <c r="AZ4" s="3" t="s">
        <v>127</v>
      </c>
      <c r="BA4" s="3" t="s">
        <v>127</v>
      </c>
      <c r="BB4" s="3" t="s">
        <v>127</v>
      </c>
      <c r="BC4" s="3" t="s">
        <v>127</v>
      </c>
      <c r="BD4" s="3" t="s">
        <v>127</v>
      </c>
      <c r="BE4" s="3" t="s">
        <v>127</v>
      </c>
      <c r="BF4" s="3" t="s">
        <v>127</v>
      </c>
      <c r="BG4" s="9"/>
      <c r="BI4" s="8" t="s">
        <v>15</v>
      </c>
      <c r="BJ4" s="3" t="s">
        <v>128</v>
      </c>
      <c r="BK4" s="3" t="s">
        <v>128</v>
      </c>
      <c r="BL4" s="3" t="s">
        <v>128</v>
      </c>
      <c r="BM4" s="3" t="s">
        <v>128</v>
      </c>
      <c r="BN4" s="3" t="s">
        <v>128</v>
      </c>
      <c r="BO4" s="3" t="s">
        <v>128</v>
      </c>
      <c r="BP4" s="3" t="s">
        <v>128</v>
      </c>
      <c r="BQ4" s="3" t="s">
        <v>128</v>
      </c>
      <c r="BR4" s="3" t="s">
        <v>128</v>
      </c>
      <c r="BS4" s="3" t="s">
        <v>128</v>
      </c>
      <c r="BT4" s="3" t="s">
        <v>128</v>
      </c>
      <c r="BU4" s="3" t="s">
        <v>128</v>
      </c>
      <c r="BV4" s="9"/>
    </row>
    <row r="5" spans="1:74" ht="16.2" customHeight="1" x14ac:dyDescent="0.3">
      <c r="A5" s="8" t="s">
        <v>16</v>
      </c>
      <c r="B5" s="4" t="s">
        <v>38</v>
      </c>
      <c r="C5" s="4">
        <v>11</v>
      </c>
      <c r="D5" s="4">
        <v>3</v>
      </c>
      <c r="E5" s="4">
        <v>2</v>
      </c>
      <c r="F5" s="4">
        <v>3</v>
      </c>
      <c r="G5" s="4">
        <v>2</v>
      </c>
      <c r="H5" s="4">
        <v>3</v>
      </c>
      <c r="I5" s="4">
        <v>3</v>
      </c>
      <c r="J5" s="4">
        <v>3</v>
      </c>
      <c r="K5" s="4">
        <v>3</v>
      </c>
      <c r="L5" s="4">
        <v>2</v>
      </c>
      <c r="M5" s="4">
        <v>1</v>
      </c>
      <c r="N5" s="3" t="s">
        <v>12</v>
      </c>
      <c r="P5" s="8" t="s">
        <v>16</v>
      </c>
      <c r="Q5" s="4" t="s">
        <v>38</v>
      </c>
      <c r="R5" s="4">
        <v>12</v>
      </c>
      <c r="S5" s="4">
        <v>4</v>
      </c>
      <c r="T5" s="4">
        <v>3</v>
      </c>
      <c r="U5" s="4">
        <v>4</v>
      </c>
      <c r="V5" s="4">
        <v>3</v>
      </c>
      <c r="W5" s="4">
        <v>18</v>
      </c>
      <c r="X5" s="4">
        <v>12</v>
      </c>
      <c r="Y5" s="4">
        <v>6</v>
      </c>
      <c r="Z5" s="4">
        <v>4</v>
      </c>
      <c r="AA5" s="4">
        <v>3</v>
      </c>
      <c r="AB5" s="4">
        <v>2</v>
      </c>
      <c r="AC5" s="5" t="s">
        <v>47</v>
      </c>
      <c r="AE5" s="8" t="s">
        <v>16</v>
      </c>
      <c r="AF5" s="4" t="s">
        <v>38</v>
      </c>
      <c r="AG5" s="4">
        <v>11</v>
      </c>
      <c r="AH5" s="4">
        <v>3</v>
      </c>
      <c r="AI5" s="4">
        <v>2</v>
      </c>
      <c r="AJ5" s="4">
        <v>3</v>
      </c>
      <c r="AK5" s="4">
        <v>2</v>
      </c>
      <c r="AL5" s="4">
        <v>3</v>
      </c>
      <c r="AM5" s="4">
        <v>3</v>
      </c>
      <c r="AN5" s="4">
        <v>3</v>
      </c>
      <c r="AO5" s="4">
        <v>3</v>
      </c>
      <c r="AP5" s="4">
        <v>2</v>
      </c>
      <c r="AQ5" s="4">
        <v>1</v>
      </c>
      <c r="AR5" s="5" t="s">
        <v>48</v>
      </c>
      <c r="AT5" s="8" t="s">
        <v>16</v>
      </c>
      <c r="AU5" s="3" t="s">
        <v>127</v>
      </c>
      <c r="AV5" s="3" t="s">
        <v>127</v>
      </c>
      <c r="AW5" s="3" t="s">
        <v>127</v>
      </c>
      <c r="AX5" s="3" t="s">
        <v>127</v>
      </c>
      <c r="AY5" s="3" t="s">
        <v>127</v>
      </c>
      <c r="AZ5" s="3" t="s">
        <v>127</v>
      </c>
      <c r="BA5" s="3" t="s">
        <v>127</v>
      </c>
      <c r="BB5" s="3" t="s">
        <v>127</v>
      </c>
      <c r="BC5" s="3" t="s">
        <v>127</v>
      </c>
      <c r="BD5" s="3" t="s">
        <v>127</v>
      </c>
      <c r="BE5" s="3" t="s">
        <v>127</v>
      </c>
      <c r="BF5" s="3" t="s">
        <v>127</v>
      </c>
      <c r="BG5" s="9"/>
      <c r="BI5" s="8" t="s">
        <v>16</v>
      </c>
      <c r="BJ5" s="3" t="s">
        <v>128</v>
      </c>
      <c r="BK5" s="3" t="s">
        <v>128</v>
      </c>
      <c r="BL5" s="3" t="s">
        <v>128</v>
      </c>
      <c r="BM5" s="3" t="s">
        <v>128</v>
      </c>
      <c r="BN5" s="3" t="s">
        <v>128</v>
      </c>
      <c r="BO5" s="3" t="s">
        <v>128</v>
      </c>
      <c r="BP5" s="3" t="s">
        <v>128</v>
      </c>
      <c r="BQ5" s="3" t="s">
        <v>128</v>
      </c>
      <c r="BR5" s="3" t="s">
        <v>128</v>
      </c>
      <c r="BS5" s="3" t="s">
        <v>128</v>
      </c>
      <c r="BT5" s="3" t="s">
        <v>128</v>
      </c>
      <c r="BU5" s="3" t="s">
        <v>128</v>
      </c>
      <c r="BV5" s="9"/>
    </row>
    <row r="6" spans="1:74" ht="16.2" customHeight="1" x14ac:dyDescent="0.3">
      <c r="A6" s="8" t="s">
        <v>17</v>
      </c>
      <c r="B6" s="4" t="s">
        <v>38</v>
      </c>
      <c r="C6" s="4">
        <v>11</v>
      </c>
      <c r="D6" s="4">
        <v>3</v>
      </c>
      <c r="E6" s="4">
        <v>2</v>
      </c>
      <c r="F6" s="4">
        <v>3</v>
      </c>
      <c r="G6" s="4">
        <v>2</v>
      </c>
      <c r="H6" s="4">
        <v>3</v>
      </c>
      <c r="I6" s="4">
        <v>3</v>
      </c>
      <c r="J6" s="4">
        <v>3</v>
      </c>
      <c r="K6" s="4">
        <v>3</v>
      </c>
      <c r="L6" s="4">
        <v>2</v>
      </c>
      <c r="M6" s="4">
        <v>1</v>
      </c>
      <c r="N6" s="3" t="s">
        <v>12</v>
      </c>
      <c r="P6" s="8" t="s">
        <v>17</v>
      </c>
      <c r="Q6" s="4" t="s">
        <v>38</v>
      </c>
      <c r="R6" s="4">
        <v>12</v>
      </c>
      <c r="S6" s="4">
        <v>4</v>
      </c>
      <c r="T6" s="4">
        <v>3</v>
      </c>
      <c r="U6" s="4">
        <v>4</v>
      </c>
      <c r="V6" s="4">
        <v>3</v>
      </c>
      <c r="W6" s="4">
        <v>18</v>
      </c>
      <c r="X6" s="4">
        <v>12</v>
      </c>
      <c r="Y6" s="4">
        <v>6</v>
      </c>
      <c r="Z6" s="4">
        <v>4</v>
      </c>
      <c r="AA6" s="4">
        <v>3</v>
      </c>
      <c r="AB6" s="4">
        <v>2</v>
      </c>
      <c r="AC6" s="5" t="s">
        <v>47</v>
      </c>
      <c r="AE6" s="8" t="s">
        <v>17</v>
      </c>
      <c r="AF6" s="4" t="s">
        <v>38</v>
      </c>
      <c r="AG6" s="4">
        <v>11</v>
      </c>
      <c r="AH6" s="4">
        <v>3</v>
      </c>
      <c r="AI6" s="4">
        <v>2</v>
      </c>
      <c r="AJ6" s="4">
        <v>3</v>
      </c>
      <c r="AK6" s="4">
        <v>2</v>
      </c>
      <c r="AL6" s="4">
        <v>3</v>
      </c>
      <c r="AM6" s="4">
        <v>3</v>
      </c>
      <c r="AN6" s="4">
        <v>3</v>
      </c>
      <c r="AO6" s="4">
        <v>3</v>
      </c>
      <c r="AP6" s="4">
        <v>2</v>
      </c>
      <c r="AQ6" s="4">
        <v>1</v>
      </c>
      <c r="AR6" s="5" t="s">
        <v>48</v>
      </c>
      <c r="AT6" s="8" t="s">
        <v>17</v>
      </c>
      <c r="AU6" s="3" t="s">
        <v>127</v>
      </c>
      <c r="AV6" s="3" t="s">
        <v>127</v>
      </c>
      <c r="AW6" s="3" t="s">
        <v>127</v>
      </c>
      <c r="AX6" s="3" t="s">
        <v>127</v>
      </c>
      <c r="AY6" s="3" t="s">
        <v>127</v>
      </c>
      <c r="AZ6" s="3" t="s">
        <v>127</v>
      </c>
      <c r="BA6" s="3" t="s">
        <v>127</v>
      </c>
      <c r="BB6" s="3" t="s">
        <v>127</v>
      </c>
      <c r="BC6" s="3" t="s">
        <v>127</v>
      </c>
      <c r="BD6" s="3" t="s">
        <v>127</v>
      </c>
      <c r="BE6" s="3" t="s">
        <v>127</v>
      </c>
      <c r="BF6" s="3" t="s">
        <v>127</v>
      </c>
      <c r="BG6" s="9"/>
      <c r="BI6" s="8" t="s">
        <v>17</v>
      </c>
      <c r="BJ6" s="3" t="s">
        <v>128</v>
      </c>
      <c r="BK6" s="3" t="s">
        <v>128</v>
      </c>
      <c r="BL6" s="3" t="s">
        <v>128</v>
      </c>
      <c r="BM6" s="3" t="s">
        <v>128</v>
      </c>
      <c r="BN6" s="3" t="s">
        <v>128</v>
      </c>
      <c r="BO6" s="3" t="s">
        <v>128</v>
      </c>
      <c r="BP6" s="3" t="s">
        <v>128</v>
      </c>
      <c r="BQ6" s="3" t="s">
        <v>128</v>
      </c>
      <c r="BR6" s="3" t="s">
        <v>128</v>
      </c>
      <c r="BS6" s="3" t="s">
        <v>128</v>
      </c>
      <c r="BT6" s="3" t="s">
        <v>128</v>
      </c>
      <c r="BU6" s="3" t="s">
        <v>128</v>
      </c>
      <c r="BV6" s="9"/>
    </row>
    <row r="7" spans="1:74" ht="16.2" customHeight="1" x14ac:dyDescent="0.3">
      <c r="A7" s="8" t="s">
        <v>18</v>
      </c>
      <c r="B7" s="4" t="s">
        <v>38</v>
      </c>
      <c r="C7" s="4" t="s">
        <v>38</v>
      </c>
      <c r="D7" s="4" t="s">
        <v>38</v>
      </c>
      <c r="E7" s="4" t="s">
        <v>38</v>
      </c>
      <c r="F7" s="4" t="s">
        <v>38</v>
      </c>
      <c r="G7" s="4" t="s">
        <v>38</v>
      </c>
      <c r="H7" s="4">
        <v>1</v>
      </c>
      <c r="I7" s="4">
        <v>1</v>
      </c>
      <c r="J7" s="4">
        <v>1</v>
      </c>
      <c r="K7" s="4" t="s">
        <v>38</v>
      </c>
      <c r="L7" s="4" t="s">
        <v>38</v>
      </c>
      <c r="M7" s="4" t="s">
        <v>38</v>
      </c>
      <c r="N7" s="3" t="s">
        <v>12</v>
      </c>
      <c r="P7" s="8" t="s">
        <v>18</v>
      </c>
      <c r="Q7" s="4" t="s">
        <v>38</v>
      </c>
      <c r="R7" s="4" t="s">
        <v>38</v>
      </c>
      <c r="S7" s="4" t="s">
        <v>38</v>
      </c>
      <c r="T7" s="4" t="s">
        <v>38</v>
      </c>
      <c r="U7" s="4" t="s">
        <v>38</v>
      </c>
      <c r="V7" s="4" t="s">
        <v>38</v>
      </c>
      <c r="W7" s="4" t="s">
        <v>38</v>
      </c>
      <c r="X7" s="4" t="s">
        <v>38</v>
      </c>
      <c r="Y7" s="4" t="s">
        <v>38</v>
      </c>
      <c r="Z7" s="4" t="s">
        <v>38</v>
      </c>
      <c r="AA7" s="4" t="s">
        <v>38</v>
      </c>
      <c r="AB7" s="4" t="s">
        <v>38</v>
      </c>
      <c r="AC7" s="5" t="s">
        <v>49</v>
      </c>
      <c r="AE7" s="8" t="s">
        <v>18</v>
      </c>
      <c r="AF7" s="9" t="s">
        <v>90</v>
      </c>
      <c r="AG7" s="9" t="s">
        <v>90</v>
      </c>
      <c r="AH7" s="9" t="s">
        <v>90</v>
      </c>
      <c r="AI7" s="9" t="s">
        <v>90</v>
      </c>
      <c r="AJ7" s="9" t="s">
        <v>90</v>
      </c>
      <c r="AK7" s="9" t="s">
        <v>90</v>
      </c>
      <c r="AL7" s="9" t="s">
        <v>90</v>
      </c>
      <c r="AM7" s="9" t="s">
        <v>90</v>
      </c>
      <c r="AN7" s="9" t="s">
        <v>90</v>
      </c>
      <c r="AO7" s="9" t="s">
        <v>90</v>
      </c>
      <c r="AP7" s="9" t="s">
        <v>90</v>
      </c>
      <c r="AQ7" s="9" t="s">
        <v>90</v>
      </c>
      <c r="AR7" s="9"/>
      <c r="AT7" s="8" t="s">
        <v>18</v>
      </c>
      <c r="AU7" s="3" t="s">
        <v>127</v>
      </c>
      <c r="AV7" s="3" t="s">
        <v>127</v>
      </c>
      <c r="AW7" s="3" t="s">
        <v>127</v>
      </c>
      <c r="AX7" s="3" t="s">
        <v>127</v>
      </c>
      <c r="AY7" s="3" t="s">
        <v>127</v>
      </c>
      <c r="AZ7" s="3" t="s">
        <v>127</v>
      </c>
      <c r="BA7" s="3" t="s">
        <v>127</v>
      </c>
      <c r="BB7" s="3" t="s">
        <v>127</v>
      </c>
      <c r="BC7" s="3" t="s">
        <v>127</v>
      </c>
      <c r="BD7" s="3" t="s">
        <v>127</v>
      </c>
      <c r="BE7" s="3" t="s">
        <v>127</v>
      </c>
      <c r="BF7" s="3" t="s">
        <v>127</v>
      </c>
      <c r="BG7" s="9"/>
      <c r="BI7" s="8" t="s">
        <v>18</v>
      </c>
      <c r="BJ7" s="3" t="s">
        <v>128</v>
      </c>
      <c r="BK7" s="3" t="s">
        <v>128</v>
      </c>
      <c r="BL7" s="3" t="s">
        <v>128</v>
      </c>
      <c r="BM7" s="3" t="s">
        <v>128</v>
      </c>
      <c r="BN7" s="3" t="s">
        <v>128</v>
      </c>
      <c r="BO7" s="3" t="s">
        <v>128</v>
      </c>
      <c r="BP7" s="3" t="s">
        <v>128</v>
      </c>
      <c r="BQ7" s="3" t="s">
        <v>128</v>
      </c>
      <c r="BR7" s="3" t="s">
        <v>128</v>
      </c>
      <c r="BS7" s="3" t="s">
        <v>128</v>
      </c>
      <c r="BT7" s="3" t="s">
        <v>128</v>
      </c>
      <c r="BU7" s="3" t="s">
        <v>128</v>
      </c>
      <c r="BV7" s="9"/>
    </row>
    <row r="8" spans="1:74" ht="16.2" customHeight="1" x14ac:dyDescent="0.3">
      <c r="A8" s="8" t="s">
        <v>10</v>
      </c>
      <c r="B8" s="4" t="s">
        <v>38</v>
      </c>
      <c r="C8" s="4">
        <v>11</v>
      </c>
      <c r="D8" s="4">
        <v>5</v>
      </c>
      <c r="E8" s="4">
        <v>3</v>
      </c>
      <c r="F8" s="4">
        <v>5</v>
      </c>
      <c r="G8" s="4">
        <v>3</v>
      </c>
      <c r="H8" s="4">
        <v>5</v>
      </c>
      <c r="I8" s="4">
        <v>5</v>
      </c>
      <c r="J8" s="4">
        <v>5</v>
      </c>
      <c r="K8" s="4">
        <v>5</v>
      </c>
      <c r="L8" s="4">
        <v>3</v>
      </c>
      <c r="M8" s="4">
        <v>2</v>
      </c>
      <c r="N8" s="3" t="s">
        <v>12</v>
      </c>
      <c r="P8" s="8" t="s">
        <v>10</v>
      </c>
      <c r="Q8" s="4" t="s">
        <v>38</v>
      </c>
      <c r="R8" s="4">
        <v>12</v>
      </c>
      <c r="S8" s="4">
        <v>6</v>
      </c>
      <c r="T8" s="4">
        <v>4</v>
      </c>
      <c r="U8" s="4">
        <v>6</v>
      </c>
      <c r="V8" s="4">
        <v>4</v>
      </c>
      <c r="W8" s="4">
        <v>18</v>
      </c>
      <c r="X8" s="4">
        <v>12</v>
      </c>
      <c r="Y8" s="4">
        <v>9</v>
      </c>
      <c r="Z8" s="4">
        <v>6</v>
      </c>
      <c r="AA8" s="4">
        <v>4</v>
      </c>
      <c r="AB8" s="4">
        <v>3</v>
      </c>
      <c r="AC8" s="3" t="s">
        <v>49</v>
      </c>
      <c r="AE8" s="8" t="s">
        <v>10</v>
      </c>
      <c r="AF8" s="9" t="s">
        <v>90</v>
      </c>
      <c r="AG8" s="9" t="s">
        <v>90</v>
      </c>
      <c r="AH8" s="9" t="s">
        <v>90</v>
      </c>
      <c r="AI8" s="9" t="s">
        <v>90</v>
      </c>
      <c r="AJ8" s="9" t="s">
        <v>90</v>
      </c>
      <c r="AK8" s="9" t="s">
        <v>90</v>
      </c>
      <c r="AL8" s="9" t="s">
        <v>90</v>
      </c>
      <c r="AM8" s="9" t="s">
        <v>90</v>
      </c>
      <c r="AN8" s="9" t="s">
        <v>90</v>
      </c>
      <c r="AO8" s="9" t="s">
        <v>90</v>
      </c>
      <c r="AP8" s="9" t="s">
        <v>90</v>
      </c>
      <c r="AQ8" s="9" t="s">
        <v>90</v>
      </c>
      <c r="AR8" s="9"/>
      <c r="AT8" s="8" t="s">
        <v>10</v>
      </c>
      <c r="AU8" s="3" t="s">
        <v>127</v>
      </c>
      <c r="AV8" s="3" t="s">
        <v>127</v>
      </c>
      <c r="AW8" s="3" t="s">
        <v>127</v>
      </c>
      <c r="AX8" s="3" t="s">
        <v>127</v>
      </c>
      <c r="AY8" s="3" t="s">
        <v>127</v>
      </c>
      <c r="AZ8" s="3" t="s">
        <v>127</v>
      </c>
      <c r="BA8" s="3" t="s">
        <v>127</v>
      </c>
      <c r="BB8" s="3" t="s">
        <v>127</v>
      </c>
      <c r="BC8" s="3" t="s">
        <v>127</v>
      </c>
      <c r="BD8" s="3" t="s">
        <v>127</v>
      </c>
      <c r="BE8" s="3" t="s">
        <v>127</v>
      </c>
      <c r="BF8" s="3" t="s">
        <v>127</v>
      </c>
      <c r="BG8" s="9"/>
      <c r="BI8" s="8" t="s">
        <v>10</v>
      </c>
      <c r="BJ8" s="3" t="s">
        <v>128</v>
      </c>
      <c r="BK8" s="3" t="s">
        <v>128</v>
      </c>
      <c r="BL8" s="3" t="s">
        <v>128</v>
      </c>
      <c r="BM8" s="3" t="s">
        <v>128</v>
      </c>
      <c r="BN8" s="3" t="s">
        <v>128</v>
      </c>
      <c r="BO8" s="3" t="s">
        <v>128</v>
      </c>
      <c r="BP8" s="3" t="s">
        <v>128</v>
      </c>
      <c r="BQ8" s="3" t="s">
        <v>128</v>
      </c>
      <c r="BR8" s="3" t="s">
        <v>128</v>
      </c>
      <c r="BS8" s="3" t="s">
        <v>128</v>
      </c>
      <c r="BT8" s="3" t="s">
        <v>128</v>
      </c>
      <c r="BU8" s="3" t="s">
        <v>128</v>
      </c>
      <c r="BV8" s="9"/>
    </row>
    <row r="9" spans="1:74" ht="16.2" customHeight="1" x14ac:dyDescent="0.3">
      <c r="A9" s="8" t="s">
        <v>19</v>
      </c>
      <c r="B9" s="4" t="s">
        <v>38</v>
      </c>
      <c r="C9" s="4">
        <v>5</v>
      </c>
      <c r="D9" s="4">
        <v>3</v>
      </c>
      <c r="E9" s="4">
        <v>2</v>
      </c>
      <c r="F9" s="4">
        <v>3</v>
      </c>
      <c r="G9" s="4">
        <v>2</v>
      </c>
      <c r="H9" s="4">
        <v>3</v>
      </c>
      <c r="I9" s="4">
        <v>3</v>
      </c>
      <c r="J9" s="4">
        <v>3</v>
      </c>
      <c r="K9" s="4">
        <v>3</v>
      </c>
      <c r="L9" s="4">
        <v>1</v>
      </c>
      <c r="M9" s="4">
        <v>1</v>
      </c>
      <c r="N9" s="3" t="s">
        <v>12</v>
      </c>
      <c r="P9" s="8" t="s">
        <v>19</v>
      </c>
      <c r="Q9" s="4" t="s">
        <v>38</v>
      </c>
      <c r="R9" s="4">
        <v>6</v>
      </c>
      <c r="S9" s="4">
        <v>4</v>
      </c>
      <c r="T9" s="4">
        <v>3</v>
      </c>
      <c r="U9" s="4">
        <v>4</v>
      </c>
      <c r="V9" s="4">
        <v>3</v>
      </c>
      <c r="W9" s="4">
        <v>9</v>
      </c>
      <c r="X9" s="4">
        <v>6</v>
      </c>
      <c r="Y9" s="4">
        <v>4</v>
      </c>
      <c r="Z9" s="4">
        <v>4</v>
      </c>
      <c r="AA9" s="4">
        <v>2</v>
      </c>
      <c r="AB9" s="4">
        <v>2</v>
      </c>
      <c r="AC9" s="5" t="s">
        <v>47</v>
      </c>
      <c r="AE9" s="8" t="s">
        <v>19</v>
      </c>
      <c r="AF9" s="4" t="s">
        <v>38</v>
      </c>
      <c r="AG9" s="4">
        <v>5</v>
      </c>
      <c r="AH9" s="4">
        <v>3</v>
      </c>
      <c r="AI9" s="4">
        <v>2</v>
      </c>
      <c r="AJ9" s="4">
        <v>3</v>
      </c>
      <c r="AK9" s="4">
        <v>2</v>
      </c>
      <c r="AL9" s="4">
        <v>3</v>
      </c>
      <c r="AM9" s="4">
        <v>3</v>
      </c>
      <c r="AN9" s="4">
        <v>3</v>
      </c>
      <c r="AO9" s="4">
        <v>3</v>
      </c>
      <c r="AP9" s="4">
        <v>1</v>
      </c>
      <c r="AQ9" s="4">
        <v>1</v>
      </c>
      <c r="AR9" s="5" t="s">
        <v>48</v>
      </c>
      <c r="AT9" s="8" t="s">
        <v>19</v>
      </c>
      <c r="AU9" s="3" t="s">
        <v>127</v>
      </c>
      <c r="AV9" s="3" t="s">
        <v>127</v>
      </c>
      <c r="AW9" s="3" t="s">
        <v>127</v>
      </c>
      <c r="AX9" s="3" t="s">
        <v>127</v>
      </c>
      <c r="AY9" s="3" t="s">
        <v>127</v>
      </c>
      <c r="AZ9" s="3" t="s">
        <v>127</v>
      </c>
      <c r="BA9" s="3" t="s">
        <v>127</v>
      </c>
      <c r="BB9" s="3" t="s">
        <v>127</v>
      </c>
      <c r="BC9" s="3" t="s">
        <v>127</v>
      </c>
      <c r="BD9" s="3" t="s">
        <v>127</v>
      </c>
      <c r="BE9" s="3" t="s">
        <v>127</v>
      </c>
      <c r="BF9" s="3" t="s">
        <v>127</v>
      </c>
      <c r="BG9" s="9"/>
      <c r="BI9" s="8" t="s">
        <v>19</v>
      </c>
      <c r="BJ9" s="3" t="s">
        <v>128</v>
      </c>
      <c r="BK9" s="3" t="s">
        <v>128</v>
      </c>
      <c r="BL9" s="3" t="s">
        <v>128</v>
      </c>
      <c r="BM9" s="3" t="s">
        <v>128</v>
      </c>
      <c r="BN9" s="3" t="s">
        <v>128</v>
      </c>
      <c r="BO9" s="3" t="s">
        <v>128</v>
      </c>
      <c r="BP9" s="3" t="s">
        <v>128</v>
      </c>
      <c r="BQ9" s="3" t="s">
        <v>128</v>
      </c>
      <c r="BR9" s="3" t="s">
        <v>128</v>
      </c>
      <c r="BS9" s="3" t="s">
        <v>128</v>
      </c>
      <c r="BT9" s="3" t="s">
        <v>128</v>
      </c>
      <c r="BU9" s="3" t="s">
        <v>128</v>
      </c>
      <c r="BV9" s="9"/>
    </row>
    <row r="10" spans="1:74" ht="16.2" customHeight="1" x14ac:dyDescent="0.3">
      <c r="A10" s="8" t="s">
        <v>20</v>
      </c>
      <c r="B10" s="4" t="s">
        <v>38</v>
      </c>
      <c r="C10" s="4">
        <v>11</v>
      </c>
      <c r="D10" s="4">
        <v>4</v>
      </c>
      <c r="E10" s="4">
        <v>2</v>
      </c>
      <c r="F10" s="4">
        <v>3</v>
      </c>
      <c r="G10" s="4">
        <v>2</v>
      </c>
      <c r="H10" s="4">
        <v>3</v>
      </c>
      <c r="I10" s="4">
        <v>3</v>
      </c>
      <c r="J10" s="4">
        <v>3</v>
      </c>
      <c r="K10" s="4">
        <v>4</v>
      </c>
      <c r="L10" s="4">
        <v>2</v>
      </c>
      <c r="M10" s="4">
        <v>1</v>
      </c>
      <c r="N10" s="3" t="s">
        <v>12</v>
      </c>
      <c r="P10" s="8" t="s">
        <v>20</v>
      </c>
      <c r="Q10" s="4" t="s">
        <v>38</v>
      </c>
      <c r="R10" s="4">
        <v>12</v>
      </c>
      <c r="S10" s="4">
        <v>5</v>
      </c>
      <c r="T10" s="4">
        <v>3</v>
      </c>
      <c r="U10" s="4">
        <v>4</v>
      </c>
      <c r="V10" s="4">
        <v>3</v>
      </c>
      <c r="W10" s="4">
        <v>10</v>
      </c>
      <c r="X10" s="4">
        <v>7</v>
      </c>
      <c r="Y10" s="4">
        <v>5</v>
      </c>
      <c r="Z10" s="4">
        <v>5</v>
      </c>
      <c r="AA10" s="4">
        <v>3</v>
      </c>
      <c r="AB10" s="4">
        <v>2</v>
      </c>
      <c r="AC10" s="3" t="s">
        <v>49</v>
      </c>
      <c r="AE10" s="8" t="s">
        <v>20</v>
      </c>
      <c r="AF10" s="9" t="s">
        <v>90</v>
      </c>
      <c r="AG10" s="9" t="s">
        <v>90</v>
      </c>
      <c r="AH10" s="9" t="s">
        <v>90</v>
      </c>
      <c r="AI10" s="9" t="s">
        <v>90</v>
      </c>
      <c r="AJ10" s="9" t="s">
        <v>90</v>
      </c>
      <c r="AK10" s="9" t="s">
        <v>90</v>
      </c>
      <c r="AL10" s="9" t="s">
        <v>90</v>
      </c>
      <c r="AM10" s="9" t="s">
        <v>90</v>
      </c>
      <c r="AN10" s="9" t="s">
        <v>90</v>
      </c>
      <c r="AO10" s="9" t="s">
        <v>90</v>
      </c>
      <c r="AP10" s="9" t="s">
        <v>90</v>
      </c>
      <c r="AQ10" s="9" t="s">
        <v>90</v>
      </c>
      <c r="AR10" s="9"/>
      <c r="AT10" s="8" t="s">
        <v>20</v>
      </c>
      <c r="AU10" s="3" t="s">
        <v>127</v>
      </c>
      <c r="AV10" s="3" t="s">
        <v>127</v>
      </c>
      <c r="AW10" s="3" t="s">
        <v>127</v>
      </c>
      <c r="AX10" s="3" t="s">
        <v>127</v>
      </c>
      <c r="AY10" s="3" t="s">
        <v>127</v>
      </c>
      <c r="AZ10" s="3" t="s">
        <v>127</v>
      </c>
      <c r="BA10" s="3" t="s">
        <v>127</v>
      </c>
      <c r="BB10" s="3" t="s">
        <v>127</v>
      </c>
      <c r="BC10" s="3" t="s">
        <v>127</v>
      </c>
      <c r="BD10" s="3" t="s">
        <v>127</v>
      </c>
      <c r="BE10" s="3" t="s">
        <v>127</v>
      </c>
      <c r="BF10" s="3" t="s">
        <v>127</v>
      </c>
      <c r="BG10" s="9"/>
      <c r="BI10" s="8" t="s">
        <v>20</v>
      </c>
      <c r="BJ10" s="3" t="s">
        <v>128</v>
      </c>
      <c r="BK10" s="3" t="s">
        <v>128</v>
      </c>
      <c r="BL10" s="3" t="s">
        <v>128</v>
      </c>
      <c r="BM10" s="3" t="s">
        <v>128</v>
      </c>
      <c r="BN10" s="3" t="s">
        <v>128</v>
      </c>
      <c r="BO10" s="3" t="s">
        <v>128</v>
      </c>
      <c r="BP10" s="3" t="s">
        <v>128</v>
      </c>
      <c r="BQ10" s="3" t="s">
        <v>128</v>
      </c>
      <c r="BR10" s="3" t="s">
        <v>128</v>
      </c>
      <c r="BS10" s="3" t="s">
        <v>128</v>
      </c>
      <c r="BT10" s="3" t="s">
        <v>128</v>
      </c>
      <c r="BU10" s="3" t="s">
        <v>128</v>
      </c>
      <c r="BV10" s="9"/>
    </row>
    <row r="11" spans="1:74" ht="16.2" customHeight="1" x14ac:dyDescent="0.3">
      <c r="A11" s="8" t="s">
        <v>41</v>
      </c>
      <c r="B11" s="4" t="s">
        <v>38</v>
      </c>
      <c r="C11" s="4">
        <v>11</v>
      </c>
      <c r="D11" s="4">
        <v>5</v>
      </c>
      <c r="E11" s="4">
        <v>3</v>
      </c>
      <c r="F11" s="4">
        <v>4</v>
      </c>
      <c r="G11" s="4">
        <v>3</v>
      </c>
      <c r="H11" s="4">
        <v>5</v>
      </c>
      <c r="I11" s="4">
        <v>5</v>
      </c>
      <c r="J11" s="4">
        <v>5</v>
      </c>
      <c r="K11" s="4">
        <v>5</v>
      </c>
      <c r="L11" s="4">
        <v>3</v>
      </c>
      <c r="M11" s="4">
        <v>2</v>
      </c>
      <c r="N11" s="3" t="s">
        <v>12</v>
      </c>
      <c r="P11" s="8" t="s">
        <v>41</v>
      </c>
      <c r="Q11" s="4" t="s">
        <v>38</v>
      </c>
      <c r="R11" s="4">
        <v>12</v>
      </c>
      <c r="S11" s="4">
        <v>6</v>
      </c>
      <c r="T11" s="4">
        <v>4</v>
      </c>
      <c r="U11" s="4">
        <v>5</v>
      </c>
      <c r="V11" s="4">
        <v>4</v>
      </c>
      <c r="W11" s="4">
        <v>12</v>
      </c>
      <c r="X11" s="4">
        <v>8</v>
      </c>
      <c r="Y11" s="4">
        <v>6</v>
      </c>
      <c r="Z11" s="4">
        <v>6</v>
      </c>
      <c r="AA11" s="4">
        <v>4</v>
      </c>
      <c r="AB11" s="4">
        <v>3</v>
      </c>
      <c r="AC11" s="3" t="s">
        <v>49</v>
      </c>
      <c r="AE11" s="8" t="s">
        <v>41</v>
      </c>
      <c r="AF11" s="9" t="s">
        <v>90</v>
      </c>
      <c r="AG11" s="9" t="s">
        <v>90</v>
      </c>
      <c r="AH11" s="9" t="s">
        <v>90</v>
      </c>
      <c r="AI11" s="9" t="s">
        <v>90</v>
      </c>
      <c r="AJ11" s="9" t="s">
        <v>90</v>
      </c>
      <c r="AK11" s="9" t="s">
        <v>90</v>
      </c>
      <c r="AL11" s="9" t="s">
        <v>90</v>
      </c>
      <c r="AM11" s="9" t="s">
        <v>90</v>
      </c>
      <c r="AN11" s="9" t="s">
        <v>90</v>
      </c>
      <c r="AO11" s="9" t="s">
        <v>90</v>
      </c>
      <c r="AP11" s="9" t="s">
        <v>90</v>
      </c>
      <c r="AQ11" s="9" t="s">
        <v>90</v>
      </c>
      <c r="AR11" s="9"/>
      <c r="AT11" s="8" t="s">
        <v>41</v>
      </c>
      <c r="AU11" s="3" t="s">
        <v>127</v>
      </c>
      <c r="AV11" s="3" t="s">
        <v>127</v>
      </c>
      <c r="AW11" s="3" t="s">
        <v>127</v>
      </c>
      <c r="AX11" s="3" t="s">
        <v>127</v>
      </c>
      <c r="AY11" s="3" t="s">
        <v>127</v>
      </c>
      <c r="AZ11" s="3" t="s">
        <v>127</v>
      </c>
      <c r="BA11" s="3" t="s">
        <v>127</v>
      </c>
      <c r="BB11" s="3" t="s">
        <v>127</v>
      </c>
      <c r="BC11" s="3" t="s">
        <v>127</v>
      </c>
      <c r="BD11" s="3" t="s">
        <v>127</v>
      </c>
      <c r="BE11" s="3" t="s">
        <v>127</v>
      </c>
      <c r="BF11" s="3" t="s">
        <v>127</v>
      </c>
      <c r="BG11" s="9"/>
      <c r="BI11" s="8" t="s">
        <v>41</v>
      </c>
      <c r="BJ11" s="3" t="s">
        <v>128</v>
      </c>
      <c r="BK11" s="3" t="s">
        <v>128</v>
      </c>
      <c r="BL11" s="3" t="s">
        <v>128</v>
      </c>
      <c r="BM11" s="3" t="s">
        <v>128</v>
      </c>
      <c r="BN11" s="3" t="s">
        <v>128</v>
      </c>
      <c r="BO11" s="3" t="s">
        <v>128</v>
      </c>
      <c r="BP11" s="3" t="s">
        <v>128</v>
      </c>
      <c r="BQ11" s="3" t="s">
        <v>128</v>
      </c>
      <c r="BR11" s="3" t="s">
        <v>128</v>
      </c>
      <c r="BS11" s="3" t="s">
        <v>128</v>
      </c>
      <c r="BT11" s="3" t="s">
        <v>128</v>
      </c>
      <c r="BU11" s="3" t="s">
        <v>128</v>
      </c>
      <c r="BV11" s="9"/>
    </row>
    <row r="12" spans="1:74" ht="16.2" customHeight="1" x14ac:dyDescent="0.3">
      <c r="A12" s="8" t="s">
        <v>21</v>
      </c>
      <c r="B12" s="4">
        <v>1</v>
      </c>
      <c r="C12" s="4">
        <v>1</v>
      </c>
      <c r="D12" s="4">
        <v>1</v>
      </c>
      <c r="E12" s="4">
        <v>1</v>
      </c>
      <c r="F12" s="4">
        <v>1</v>
      </c>
      <c r="G12" s="4">
        <v>1</v>
      </c>
      <c r="H12" s="4" t="s">
        <v>40</v>
      </c>
      <c r="I12" s="4" t="s">
        <v>40</v>
      </c>
      <c r="J12" s="4" t="s">
        <v>40</v>
      </c>
      <c r="K12" s="4">
        <v>1</v>
      </c>
      <c r="L12" s="4">
        <v>1</v>
      </c>
      <c r="M12" s="4" t="s">
        <v>162</v>
      </c>
      <c r="N12" s="3" t="s">
        <v>12</v>
      </c>
      <c r="P12" s="8" t="s">
        <v>21</v>
      </c>
      <c r="Q12" s="4">
        <v>1</v>
      </c>
      <c r="R12" s="4">
        <v>1</v>
      </c>
      <c r="S12" s="4">
        <v>1</v>
      </c>
      <c r="T12" s="4">
        <v>1</v>
      </c>
      <c r="U12" s="4">
        <v>1</v>
      </c>
      <c r="V12" s="4">
        <v>1</v>
      </c>
      <c r="W12" s="4">
        <v>1</v>
      </c>
      <c r="X12" s="4">
        <v>1</v>
      </c>
      <c r="Y12" s="4">
        <v>1</v>
      </c>
      <c r="Z12" s="4">
        <v>1</v>
      </c>
      <c r="AA12" s="4">
        <v>1</v>
      </c>
      <c r="AB12" s="4" t="s">
        <v>162</v>
      </c>
      <c r="AC12" s="3" t="s">
        <v>49</v>
      </c>
      <c r="AE12" s="8" t="s">
        <v>21</v>
      </c>
      <c r="AF12" s="4">
        <v>1</v>
      </c>
      <c r="AG12" s="4">
        <v>1</v>
      </c>
      <c r="AH12" s="4">
        <v>1</v>
      </c>
      <c r="AI12" s="4">
        <v>1</v>
      </c>
      <c r="AJ12" s="4">
        <v>1</v>
      </c>
      <c r="AK12" s="4">
        <v>1</v>
      </c>
      <c r="AL12" s="4" t="s">
        <v>40</v>
      </c>
      <c r="AM12" s="4" t="s">
        <v>40</v>
      </c>
      <c r="AN12" s="4" t="s">
        <v>40</v>
      </c>
      <c r="AO12" s="4">
        <v>1</v>
      </c>
      <c r="AP12" s="4">
        <v>1</v>
      </c>
      <c r="AQ12" s="4" t="s">
        <v>162</v>
      </c>
      <c r="AR12" s="9"/>
      <c r="AT12" s="8" t="s">
        <v>21</v>
      </c>
      <c r="AU12" s="3" t="s">
        <v>127</v>
      </c>
      <c r="AV12" s="3" t="s">
        <v>127</v>
      </c>
      <c r="AW12" s="3" t="s">
        <v>127</v>
      </c>
      <c r="AX12" s="3" t="s">
        <v>127</v>
      </c>
      <c r="AY12" s="3" t="s">
        <v>127</v>
      </c>
      <c r="AZ12" s="3" t="s">
        <v>127</v>
      </c>
      <c r="BA12" s="3" t="s">
        <v>127</v>
      </c>
      <c r="BB12" s="3" t="s">
        <v>127</v>
      </c>
      <c r="BC12" s="3" t="s">
        <v>127</v>
      </c>
      <c r="BD12" s="3" t="s">
        <v>127</v>
      </c>
      <c r="BE12" s="3" t="s">
        <v>127</v>
      </c>
      <c r="BF12" s="4" t="s">
        <v>162</v>
      </c>
      <c r="BG12" s="9"/>
      <c r="BI12" s="8" t="s">
        <v>21</v>
      </c>
      <c r="BJ12" s="3" t="s">
        <v>128</v>
      </c>
      <c r="BK12" s="3" t="s">
        <v>128</v>
      </c>
      <c r="BL12" s="3" t="s">
        <v>128</v>
      </c>
      <c r="BM12" s="3" t="s">
        <v>128</v>
      </c>
      <c r="BN12" s="3" t="s">
        <v>128</v>
      </c>
      <c r="BO12" s="3" t="s">
        <v>128</v>
      </c>
      <c r="BP12" s="3" t="s">
        <v>128</v>
      </c>
      <c r="BQ12" s="3" t="s">
        <v>128</v>
      </c>
      <c r="BR12" s="3" t="s">
        <v>128</v>
      </c>
      <c r="BS12" s="3" t="s">
        <v>128</v>
      </c>
      <c r="BT12" s="3" t="s">
        <v>128</v>
      </c>
      <c r="BU12" s="4" t="s">
        <v>162</v>
      </c>
      <c r="BV12" s="9"/>
    </row>
    <row r="13" spans="1:74" ht="16.2" customHeight="1" x14ac:dyDescent="0.3">
      <c r="A13" s="8" t="s">
        <v>22</v>
      </c>
      <c r="B13" s="4">
        <v>20</v>
      </c>
      <c r="C13" s="4">
        <v>3</v>
      </c>
      <c r="D13" s="4">
        <v>2</v>
      </c>
      <c r="E13" s="4">
        <v>1</v>
      </c>
      <c r="F13" s="4">
        <v>2</v>
      </c>
      <c r="G13" s="4">
        <v>1</v>
      </c>
      <c r="H13" s="4">
        <v>1</v>
      </c>
      <c r="I13" s="4">
        <v>1</v>
      </c>
      <c r="J13" s="4">
        <v>1</v>
      </c>
      <c r="K13" s="4">
        <v>2</v>
      </c>
      <c r="L13" s="4">
        <v>1</v>
      </c>
      <c r="M13" s="4" t="s">
        <v>162</v>
      </c>
      <c r="N13" s="3" t="s">
        <v>12</v>
      </c>
      <c r="P13" s="8" t="s">
        <v>22</v>
      </c>
      <c r="Q13" s="4">
        <v>20</v>
      </c>
      <c r="R13" s="4">
        <v>3</v>
      </c>
      <c r="S13" s="4">
        <v>2</v>
      </c>
      <c r="T13" s="4">
        <v>1</v>
      </c>
      <c r="U13" s="4">
        <v>2</v>
      </c>
      <c r="V13" s="4">
        <v>1</v>
      </c>
      <c r="W13" s="4">
        <v>2</v>
      </c>
      <c r="X13" s="4">
        <v>2</v>
      </c>
      <c r="Y13" s="4">
        <v>2</v>
      </c>
      <c r="Z13" s="4">
        <v>2</v>
      </c>
      <c r="AA13" s="4">
        <v>1</v>
      </c>
      <c r="AB13" s="4">
        <v>1</v>
      </c>
      <c r="AC13" s="3" t="s">
        <v>49</v>
      </c>
      <c r="AE13" s="8" t="s">
        <v>22</v>
      </c>
      <c r="AF13" s="9" t="s">
        <v>90</v>
      </c>
      <c r="AG13" s="9" t="s">
        <v>90</v>
      </c>
      <c r="AH13" s="9" t="s">
        <v>90</v>
      </c>
      <c r="AI13" s="9" t="s">
        <v>90</v>
      </c>
      <c r="AJ13" s="9" t="s">
        <v>90</v>
      </c>
      <c r="AK13" s="9" t="s">
        <v>90</v>
      </c>
      <c r="AL13" s="9" t="s">
        <v>90</v>
      </c>
      <c r="AM13" s="9" t="s">
        <v>90</v>
      </c>
      <c r="AN13" s="9" t="s">
        <v>90</v>
      </c>
      <c r="AO13" s="9" t="s">
        <v>90</v>
      </c>
      <c r="AP13" s="9" t="s">
        <v>90</v>
      </c>
      <c r="AQ13" s="9" t="s">
        <v>90</v>
      </c>
      <c r="AR13" s="9"/>
      <c r="AT13" s="8" t="s">
        <v>22</v>
      </c>
      <c r="AU13" s="3" t="s">
        <v>127</v>
      </c>
      <c r="AV13" s="3" t="s">
        <v>127</v>
      </c>
      <c r="AW13" s="3" t="s">
        <v>127</v>
      </c>
      <c r="AX13" s="3" t="s">
        <v>127</v>
      </c>
      <c r="AY13" s="3" t="s">
        <v>127</v>
      </c>
      <c r="AZ13" s="3" t="s">
        <v>127</v>
      </c>
      <c r="BA13" s="3" t="s">
        <v>127</v>
      </c>
      <c r="BB13" s="3" t="s">
        <v>127</v>
      </c>
      <c r="BC13" s="3" t="s">
        <v>127</v>
      </c>
      <c r="BD13" s="3" t="s">
        <v>127</v>
      </c>
      <c r="BE13" s="3" t="s">
        <v>127</v>
      </c>
      <c r="BF13" s="3" t="s">
        <v>127</v>
      </c>
      <c r="BG13" s="9"/>
      <c r="BI13" s="8" t="s">
        <v>22</v>
      </c>
      <c r="BJ13" s="3" t="s">
        <v>128</v>
      </c>
      <c r="BK13" s="3" t="s">
        <v>128</v>
      </c>
      <c r="BL13" s="3" t="s">
        <v>128</v>
      </c>
      <c r="BM13" s="3" t="s">
        <v>128</v>
      </c>
      <c r="BN13" s="3" t="s">
        <v>128</v>
      </c>
      <c r="BO13" s="3" t="s">
        <v>128</v>
      </c>
      <c r="BP13" s="3" t="s">
        <v>128</v>
      </c>
      <c r="BQ13" s="3" t="s">
        <v>128</v>
      </c>
      <c r="BR13" s="3" t="s">
        <v>128</v>
      </c>
      <c r="BS13" s="3" t="s">
        <v>128</v>
      </c>
      <c r="BT13" s="3" t="s">
        <v>128</v>
      </c>
      <c r="BU13" s="3" t="s">
        <v>128</v>
      </c>
      <c r="BV13" s="9"/>
    </row>
    <row r="14" spans="1:74" ht="16.2" customHeight="1" x14ac:dyDescent="0.3">
      <c r="A14" s="8" t="s">
        <v>23</v>
      </c>
      <c r="B14" s="4">
        <v>20</v>
      </c>
      <c r="C14" s="4">
        <v>6</v>
      </c>
      <c r="D14" s="4">
        <v>4</v>
      </c>
      <c r="E14" s="4">
        <v>2</v>
      </c>
      <c r="F14" s="4">
        <v>4</v>
      </c>
      <c r="G14" s="4">
        <v>2</v>
      </c>
      <c r="H14" s="4">
        <v>3</v>
      </c>
      <c r="I14" s="4">
        <v>3</v>
      </c>
      <c r="J14" s="4">
        <v>3</v>
      </c>
      <c r="K14" s="4">
        <v>4</v>
      </c>
      <c r="L14" s="4">
        <v>2</v>
      </c>
      <c r="M14" s="4">
        <v>1</v>
      </c>
      <c r="N14" s="3" t="s">
        <v>12</v>
      </c>
      <c r="P14" s="8" t="s">
        <v>23</v>
      </c>
      <c r="Q14" s="4">
        <v>20</v>
      </c>
      <c r="R14" s="4">
        <v>6</v>
      </c>
      <c r="S14" s="4">
        <v>4</v>
      </c>
      <c r="T14" s="4">
        <v>2</v>
      </c>
      <c r="U14" s="4">
        <v>4</v>
      </c>
      <c r="V14" s="4">
        <v>2</v>
      </c>
      <c r="W14" s="4">
        <v>4</v>
      </c>
      <c r="X14" s="4">
        <v>4</v>
      </c>
      <c r="Y14" s="4">
        <v>4</v>
      </c>
      <c r="Z14" s="4">
        <v>4</v>
      </c>
      <c r="AA14" s="4">
        <v>2</v>
      </c>
      <c r="AB14" s="4">
        <v>1</v>
      </c>
      <c r="AC14" s="3" t="s">
        <v>49</v>
      </c>
      <c r="AE14" s="8" t="s">
        <v>23</v>
      </c>
      <c r="AF14" s="9" t="s">
        <v>90</v>
      </c>
      <c r="AG14" s="9" t="s">
        <v>90</v>
      </c>
      <c r="AH14" s="9" t="s">
        <v>90</v>
      </c>
      <c r="AI14" s="9" t="s">
        <v>90</v>
      </c>
      <c r="AJ14" s="9" t="s">
        <v>90</v>
      </c>
      <c r="AK14" s="9" t="s">
        <v>90</v>
      </c>
      <c r="AL14" s="9" t="s">
        <v>90</v>
      </c>
      <c r="AM14" s="9" t="s">
        <v>90</v>
      </c>
      <c r="AN14" s="9" t="s">
        <v>90</v>
      </c>
      <c r="AO14" s="9" t="s">
        <v>90</v>
      </c>
      <c r="AP14" s="9" t="s">
        <v>90</v>
      </c>
      <c r="AQ14" s="9" t="s">
        <v>90</v>
      </c>
      <c r="AR14" s="9"/>
      <c r="AT14" s="8" t="s">
        <v>23</v>
      </c>
      <c r="AU14" s="3" t="s">
        <v>127</v>
      </c>
      <c r="AV14" s="3" t="s">
        <v>127</v>
      </c>
      <c r="AW14" s="3" t="s">
        <v>127</v>
      </c>
      <c r="AX14" s="3" t="s">
        <v>127</v>
      </c>
      <c r="AY14" s="3" t="s">
        <v>127</v>
      </c>
      <c r="AZ14" s="3" t="s">
        <v>127</v>
      </c>
      <c r="BA14" s="3" t="s">
        <v>127</v>
      </c>
      <c r="BB14" s="3" t="s">
        <v>127</v>
      </c>
      <c r="BC14" s="3" t="s">
        <v>127</v>
      </c>
      <c r="BD14" s="3" t="s">
        <v>127</v>
      </c>
      <c r="BE14" s="3" t="s">
        <v>127</v>
      </c>
      <c r="BF14" s="3" t="s">
        <v>127</v>
      </c>
      <c r="BG14" s="9"/>
      <c r="BI14" s="8" t="s">
        <v>23</v>
      </c>
      <c r="BJ14" s="3" t="s">
        <v>128</v>
      </c>
      <c r="BK14" s="3" t="s">
        <v>128</v>
      </c>
      <c r="BL14" s="3" t="s">
        <v>128</v>
      </c>
      <c r="BM14" s="3" t="s">
        <v>128</v>
      </c>
      <c r="BN14" s="3" t="s">
        <v>128</v>
      </c>
      <c r="BO14" s="3" t="s">
        <v>128</v>
      </c>
      <c r="BP14" s="3" t="s">
        <v>128</v>
      </c>
      <c r="BQ14" s="3" t="s">
        <v>128</v>
      </c>
      <c r="BR14" s="3" t="s">
        <v>128</v>
      </c>
      <c r="BS14" s="3" t="s">
        <v>128</v>
      </c>
      <c r="BT14" s="3" t="s">
        <v>128</v>
      </c>
      <c r="BU14" s="3" t="s">
        <v>128</v>
      </c>
      <c r="BV14" s="9"/>
    </row>
    <row r="15" spans="1:74" ht="16.2" customHeight="1" x14ac:dyDescent="0.3">
      <c r="A15" s="8" t="s">
        <v>24</v>
      </c>
      <c r="B15" s="4">
        <v>20</v>
      </c>
      <c r="C15" s="4">
        <v>7</v>
      </c>
      <c r="D15" s="4">
        <v>5</v>
      </c>
      <c r="E15" s="4">
        <v>3</v>
      </c>
      <c r="F15" s="4">
        <v>5</v>
      </c>
      <c r="G15" s="4">
        <v>3</v>
      </c>
      <c r="H15" s="4">
        <v>5</v>
      </c>
      <c r="I15" s="4">
        <v>5</v>
      </c>
      <c r="J15" s="4">
        <v>5</v>
      </c>
      <c r="K15" s="4">
        <v>5</v>
      </c>
      <c r="L15" s="4">
        <v>3</v>
      </c>
      <c r="M15" s="4">
        <v>2</v>
      </c>
      <c r="N15" s="3" t="s">
        <v>12</v>
      </c>
      <c r="P15" s="8" t="s">
        <v>24</v>
      </c>
      <c r="Q15" s="4">
        <v>20</v>
      </c>
      <c r="R15" s="4">
        <v>8</v>
      </c>
      <c r="S15" s="4">
        <v>6</v>
      </c>
      <c r="T15" s="4">
        <v>4</v>
      </c>
      <c r="U15" s="4">
        <v>6</v>
      </c>
      <c r="V15" s="4">
        <v>4</v>
      </c>
      <c r="W15" s="4">
        <v>8</v>
      </c>
      <c r="X15" s="4">
        <v>7</v>
      </c>
      <c r="Y15" s="4">
        <v>6</v>
      </c>
      <c r="Z15" s="4">
        <v>6</v>
      </c>
      <c r="AA15" s="4">
        <v>4</v>
      </c>
      <c r="AB15" s="4">
        <v>3</v>
      </c>
      <c r="AC15" s="5" t="s">
        <v>47</v>
      </c>
      <c r="AE15" s="8" t="s">
        <v>24</v>
      </c>
      <c r="AF15" s="4">
        <v>20</v>
      </c>
      <c r="AG15" s="4">
        <v>7</v>
      </c>
      <c r="AH15" s="4">
        <v>5</v>
      </c>
      <c r="AI15" s="4">
        <v>3</v>
      </c>
      <c r="AJ15" s="4">
        <v>5</v>
      </c>
      <c r="AK15" s="4">
        <v>3</v>
      </c>
      <c r="AL15" s="4">
        <v>5</v>
      </c>
      <c r="AM15" s="4">
        <v>5</v>
      </c>
      <c r="AN15" s="4">
        <v>5</v>
      </c>
      <c r="AO15" s="4">
        <v>5</v>
      </c>
      <c r="AP15" s="4">
        <v>3</v>
      </c>
      <c r="AQ15" s="4">
        <v>2</v>
      </c>
      <c r="AR15" s="5" t="s">
        <v>48</v>
      </c>
      <c r="AT15" s="8" t="s">
        <v>24</v>
      </c>
      <c r="AU15" s="3" t="s">
        <v>127</v>
      </c>
      <c r="AV15" s="3" t="s">
        <v>127</v>
      </c>
      <c r="AW15" s="3" t="s">
        <v>127</v>
      </c>
      <c r="AX15" s="3" t="s">
        <v>127</v>
      </c>
      <c r="AY15" s="3" t="s">
        <v>127</v>
      </c>
      <c r="AZ15" s="3" t="s">
        <v>127</v>
      </c>
      <c r="BA15" s="3" t="s">
        <v>127</v>
      </c>
      <c r="BB15" s="3" t="s">
        <v>127</v>
      </c>
      <c r="BC15" s="3" t="s">
        <v>127</v>
      </c>
      <c r="BD15" s="3" t="s">
        <v>127</v>
      </c>
      <c r="BE15" s="3" t="s">
        <v>127</v>
      </c>
      <c r="BF15" s="3" t="s">
        <v>127</v>
      </c>
      <c r="BG15" s="9"/>
      <c r="BI15" s="8" t="s">
        <v>24</v>
      </c>
      <c r="BJ15" s="3" t="s">
        <v>128</v>
      </c>
      <c r="BK15" s="3" t="s">
        <v>128</v>
      </c>
      <c r="BL15" s="3" t="s">
        <v>128</v>
      </c>
      <c r="BM15" s="3" t="s">
        <v>128</v>
      </c>
      <c r="BN15" s="3" t="s">
        <v>128</v>
      </c>
      <c r="BO15" s="3" t="s">
        <v>128</v>
      </c>
      <c r="BP15" s="3" t="s">
        <v>128</v>
      </c>
      <c r="BQ15" s="3" t="s">
        <v>128</v>
      </c>
      <c r="BR15" s="3" t="s">
        <v>128</v>
      </c>
      <c r="BS15" s="3" t="s">
        <v>128</v>
      </c>
      <c r="BT15" s="3" t="s">
        <v>128</v>
      </c>
      <c r="BU15" s="3" t="s">
        <v>128</v>
      </c>
      <c r="BV15" s="9"/>
    </row>
    <row r="16" spans="1:74" ht="16.2" customHeight="1" x14ac:dyDescent="0.3">
      <c r="A16" s="8" t="s">
        <v>25</v>
      </c>
      <c r="B16" s="4">
        <v>4</v>
      </c>
      <c r="C16" s="4">
        <v>4</v>
      </c>
      <c r="D16" s="4">
        <v>3</v>
      </c>
      <c r="E16" s="4">
        <v>3</v>
      </c>
      <c r="F16" s="4">
        <v>3</v>
      </c>
      <c r="G16" s="4">
        <v>3</v>
      </c>
      <c r="H16" s="4">
        <v>2</v>
      </c>
      <c r="I16" s="4">
        <v>2</v>
      </c>
      <c r="J16" s="4">
        <v>2</v>
      </c>
      <c r="K16" s="4">
        <v>3</v>
      </c>
      <c r="L16" s="4">
        <v>3</v>
      </c>
      <c r="M16" s="4">
        <v>2</v>
      </c>
      <c r="N16" s="3" t="s">
        <v>12</v>
      </c>
      <c r="P16" s="8" t="s">
        <v>25</v>
      </c>
      <c r="Q16" s="4">
        <v>4</v>
      </c>
      <c r="R16" s="4">
        <v>4</v>
      </c>
      <c r="S16" s="4">
        <v>3</v>
      </c>
      <c r="T16" s="4">
        <v>3</v>
      </c>
      <c r="U16" s="4">
        <v>3</v>
      </c>
      <c r="V16" s="4">
        <v>3</v>
      </c>
      <c r="W16" s="4">
        <v>3</v>
      </c>
      <c r="X16" s="4">
        <v>3</v>
      </c>
      <c r="Y16" s="4">
        <v>3</v>
      </c>
      <c r="Z16" s="4">
        <v>3</v>
      </c>
      <c r="AA16" s="4">
        <v>3</v>
      </c>
      <c r="AB16" s="4">
        <v>2</v>
      </c>
      <c r="AC16" s="5" t="s">
        <v>49</v>
      </c>
      <c r="AE16" s="8" t="s">
        <v>25</v>
      </c>
      <c r="AF16" s="9" t="s">
        <v>90</v>
      </c>
      <c r="AG16" s="9" t="s">
        <v>90</v>
      </c>
      <c r="AH16" s="9" t="s">
        <v>90</v>
      </c>
      <c r="AI16" s="9" t="s">
        <v>90</v>
      </c>
      <c r="AJ16" s="9" t="s">
        <v>90</v>
      </c>
      <c r="AK16" s="9" t="s">
        <v>90</v>
      </c>
      <c r="AL16" s="9" t="s">
        <v>90</v>
      </c>
      <c r="AM16" s="9" t="s">
        <v>90</v>
      </c>
      <c r="AN16" s="9" t="s">
        <v>90</v>
      </c>
      <c r="AO16" s="9" t="s">
        <v>90</v>
      </c>
      <c r="AP16" s="9" t="s">
        <v>90</v>
      </c>
      <c r="AQ16" s="9" t="s">
        <v>90</v>
      </c>
      <c r="AR16" s="9"/>
      <c r="AT16" s="8" t="s">
        <v>25</v>
      </c>
      <c r="AU16" s="3" t="s">
        <v>127</v>
      </c>
      <c r="AV16" s="3" t="s">
        <v>127</v>
      </c>
      <c r="AW16" s="3" t="s">
        <v>127</v>
      </c>
      <c r="AX16" s="3" t="s">
        <v>127</v>
      </c>
      <c r="AY16" s="3" t="s">
        <v>127</v>
      </c>
      <c r="AZ16" s="3" t="s">
        <v>127</v>
      </c>
      <c r="BA16" s="3" t="s">
        <v>127</v>
      </c>
      <c r="BB16" s="3" t="s">
        <v>127</v>
      </c>
      <c r="BC16" s="3" t="s">
        <v>127</v>
      </c>
      <c r="BD16" s="3" t="s">
        <v>127</v>
      </c>
      <c r="BE16" s="3" t="s">
        <v>127</v>
      </c>
      <c r="BF16" s="3" t="s">
        <v>127</v>
      </c>
      <c r="BG16" s="9"/>
      <c r="BI16" s="8" t="s">
        <v>25</v>
      </c>
      <c r="BJ16" s="3" t="s">
        <v>128</v>
      </c>
      <c r="BK16" s="3" t="s">
        <v>128</v>
      </c>
      <c r="BL16" s="3" t="s">
        <v>128</v>
      </c>
      <c r="BM16" s="3" t="s">
        <v>128</v>
      </c>
      <c r="BN16" s="3" t="s">
        <v>128</v>
      </c>
      <c r="BO16" s="3" t="s">
        <v>128</v>
      </c>
      <c r="BP16" s="3" t="s">
        <v>128</v>
      </c>
      <c r="BQ16" s="3" t="s">
        <v>128</v>
      </c>
      <c r="BR16" s="3" t="s">
        <v>128</v>
      </c>
      <c r="BS16" s="3" t="s">
        <v>128</v>
      </c>
      <c r="BT16" s="3" t="s">
        <v>128</v>
      </c>
      <c r="BU16" s="3" t="s">
        <v>128</v>
      </c>
      <c r="BV16" s="9"/>
    </row>
    <row r="17" spans="1:74" ht="16.2" customHeight="1" x14ac:dyDescent="0.3">
      <c r="A17" s="8" t="s">
        <v>151</v>
      </c>
      <c r="B17" s="4" t="s">
        <v>38</v>
      </c>
      <c r="C17" s="4">
        <v>9</v>
      </c>
      <c r="D17" s="4">
        <v>4</v>
      </c>
      <c r="E17" s="4">
        <v>3</v>
      </c>
      <c r="F17" s="4">
        <v>4</v>
      </c>
      <c r="G17" s="4">
        <v>3</v>
      </c>
      <c r="H17" s="4">
        <v>4</v>
      </c>
      <c r="I17" s="4">
        <v>4</v>
      </c>
      <c r="J17" s="4">
        <v>4</v>
      </c>
      <c r="K17" s="4">
        <v>4</v>
      </c>
      <c r="L17" s="4">
        <v>3</v>
      </c>
      <c r="M17" s="4">
        <v>2</v>
      </c>
      <c r="N17" s="3" t="s">
        <v>12</v>
      </c>
      <c r="P17" s="8" t="s">
        <v>151</v>
      </c>
      <c r="Q17" s="4" t="s">
        <v>38</v>
      </c>
      <c r="R17" s="4">
        <v>10</v>
      </c>
      <c r="S17" s="4">
        <v>5</v>
      </c>
      <c r="T17" s="4">
        <v>4</v>
      </c>
      <c r="U17" s="4">
        <v>5</v>
      </c>
      <c r="V17" s="4">
        <v>4</v>
      </c>
      <c r="W17" s="4">
        <v>10</v>
      </c>
      <c r="X17" s="4">
        <v>7</v>
      </c>
      <c r="Y17" s="4">
        <v>5</v>
      </c>
      <c r="Z17" s="4">
        <v>5</v>
      </c>
      <c r="AA17" s="4">
        <v>4</v>
      </c>
      <c r="AB17" s="4">
        <v>3</v>
      </c>
      <c r="AC17" s="5" t="s">
        <v>49</v>
      </c>
      <c r="AE17" s="8" t="s">
        <v>151</v>
      </c>
      <c r="AF17" s="4" t="s">
        <v>40</v>
      </c>
      <c r="AG17" s="4" t="s">
        <v>40</v>
      </c>
      <c r="AH17" s="4" t="s">
        <v>40</v>
      </c>
      <c r="AI17" s="4" t="s">
        <v>40</v>
      </c>
      <c r="AJ17" s="4" t="s">
        <v>40</v>
      </c>
      <c r="AK17" s="4" t="s">
        <v>40</v>
      </c>
      <c r="AL17" s="4" t="s">
        <v>40</v>
      </c>
      <c r="AM17" s="4" t="s">
        <v>40</v>
      </c>
      <c r="AN17" s="4" t="s">
        <v>40</v>
      </c>
      <c r="AO17" s="4" t="s">
        <v>40</v>
      </c>
      <c r="AP17" s="4" t="s">
        <v>40</v>
      </c>
      <c r="AQ17" s="4" t="s">
        <v>40</v>
      </c>
      <c r="AR17" s="3" t="s">
        <v>12</v>
      </c>
      <c r="AT17" s="8" t="s">
        <v>151</v>
      </c>
      <c r="AU17" s="3" t="s">
        <v>127</v>
      </c>
      <c r="AV17" s="3" t="s">
        <v>127</v>
      </c>
      <c r="AW17" s="3" t="s">
        <v>127</v>
      </c>
      <c r="AX17" s="3" t="s">
        <v>127</v>
      </c>
      <c r="AY17" s="3" t="s">
        <v>127</v>
      </c>
      <c r="AZ17" s="3" t="s">
        <v>127</v>
      </c>
      <c r="BA17" s="3" t="s">
        <v>127</v>
      </c>
      <c r="BB17" s="3" t="s">
        <v>127</v>
      </c>
      <c r="BC17" s="3" t="s">
        <v>127</v>
      </c>
      <c r="BD17" s="3" t="s">
        <v>127</v>
      </c>
      <c r="BE17" s="3" t="s">
        <v>127</v>
      </c>
      <c r="BF17" s="3" t="s">
        <v>127</v>
      </c>
      <c r="BG17" s="9"/>
      <c r="BI17" s="8" t="s">
        <v>151</v>
      </c>
      <c r="BJ17" s="4" t="s">
        <v>38</v>
      </c>
      <c r="BK17" s="4">
        <v>9</v>
      </c>
      <c r="BL17" s="4">
        <v>4</v>
      </c>
      <c r="BM17" s="4">
        <v>3</v>
      </c>
      <c r="BN17" s="4">
        <v>4</v>
      </c>
      <c r="BO17" s="4">
        <v>3</v>
      </c>
      <c r="BP17" s="4">
        <v>4</v>
      </c>
      <c r="BQ17" s="4">
        <v>4</v>
      </c>
      <c r="BR17" s="4">
        <v>4</v>
      </c>
      <c r="BS17" s="4">
        <v>4</v>
      </c>
      <c r="BT17" s="4">
        <v>3</v>
      </c>
      <c r="BU17" s="4">
        <v>2</v>
      </c>
      <c r="BV17" s="3" t="s">
        <v>31</v>
      </c>
    </row>
    <row r="18" spans="1:74" ht="16.2" customHeight="1" x14ac:dyDescent="0.3">
      <c r="A18" s="8" t="s">
        <v>152</v>
      </c>
      <c r="B18" s="4" t="s">
        <v>38</v>
      </c>
      <c r="C18" s="4">
        <v>9</v>
      </c>
      <c r="D18" s="4">
        <v>4</v>
      </c>
      <c r="E18" s="4">
        <v>3</v>
      </c>
      <c r="F18" s="4">
        <v>4</v>
      </c>
      <c r="G18" s="4">
        <v>3</v>
      </c>
      <c r="H18" s="4">
        <v>3</v>
      </c>
      <c r="I18" s="4">
        <v>3</v>
      </c>
      <c r="J18" s="4">
        <v>3</v>
      </c>
      <c r="K18" s="4">
        <v>4</v>
      </c>
      <c r="L18" s="4">
        <v>3</v>
      </c>
      <c r="M18" s="4">
        <v>2</v>
      </c>
      <c r="N18" s="3" t="s">
        <v>12</v>
      </c>
      <c r="P18" s="8" t="s">
        <v>152</v>
      </c>
      <c r="Q18" s="4" t="s">
        <v>38</v>
      </c>
      <c r="R18" s="4">
        <v>10</v>
      </c>
      <c r="S18" s="4">
        <v>5</v>
      </c>
      <c r="T18" s="4">
        <v>3</v>
      </c>
      <c r="U18" s="4">
        <v>4</v>
      </c>
      <c r="V18" s="4">
        <v>3</v>
      </c>
      <c r="W18" s="4">
        <v>10</v>
      </c>
      <c r="X18" s="4">
        <v>6</v>
      </c>
      <c r="Y18" s="4">
        <v>4</v>
      </c>
      <c r="Z18" s="4">
        <v>4</v>
      </c>
      <c r="AA18" s="4">
        <v>3</v>
      </c>
      <c r="AB18" s="4">
        <v>2</v>
      </c>
      <c r="AC18" s="5" t="s">
        <v>49</v>
      </c>
      <c r="AE18" s="8" t="s">
        <v>152</v>
      </c>
      <c r="AF18" s="4" t="s">
        <v>40</v>
      </c>
      <c r="AG18" s="4" t="s">
        <v>40</v>
      </c>
      <c r="AH18" s="4" t="s">
        <v>40</v>
      </c>
      <c r="AI18" s="4" t="s">
        <v>40</v>
      </c>
      <c r="AJ18" s="4" t="s">
        <v>40</v>
      </c>
      <c r="AK18" s="4" t="s">
        <v>40</v>
      </c>
      <c r="AL18" s="4" t="s">
        <v>40</v>
      </c>
      <c r="AM18" s="4" t="s">
        <v>40</v>
      </c>
      <c r="AN18" s="4" t="s">
        <v>40</v>
      </c>
      <c r="AO18" s="4" t="s">
        <v>40</v>
      </c>
      <c r="AP18" s="4" t="s">
        <v>40</v>
      </c>
      <c r="AQ18" s="4" t="s">
        <v>40</v>
      </c>
      <c r="AR18" s="3" t="s">
        <v>12</v>
      </c>
      <c r="AT18" s="8" t="s">
        <v>152</v>
      </c>
      <c r="AU18" s="3" t="s">
        <v>127</v>
      </c>
      <c r="AV18" s="3" t="s">
        <v>127</v>
      </c>
      <c r="AW18" s="3" t="s">
        <v>127</v>
      </c>
      <c r="AX18" s="3" t="s">
        <v>127</v>
      </c>
      <c r="AY18" s="3" t="s">
        <v>127</v>
      </c>
      <c r="AZ18" s="3" t="s">
        <v>127</v>
      </c>
      <c r="BA18" s="3" t="s">
        <v>127</v>
      </c>
      <c r="BB18" s="3" t="s">
        <v>127</v>
      </c>
      <c r="BC18" s="3" t="s">
        <v>127</v>
      </c>
      <c r="BD18" s="3" t="s">
        <v>127</v>
      </c>
      <c r="BE18" s="3" t="s">
        <v>127</v>
      </c>
      <c r="BF18" s="3" t="s">
        <v>127</v>
      </c>
      <c r="BG18" s="9"/>
      <c r="BI18" s="8" t="s">
        <v>152</v>
      </c>
      <c r="BJ18" s="3" t="s">
        <v>128</v>
      </c>
      <c r="BK18" s="3" t="s">
        <v>128</v>
      </c>
      <c r="BL18" s="3" t="s">
        <v>128</v>
      </c>
      <c r="BM18" s="3" t="s">
        <v>128</v>
      </c>
      <c r="BN18" s="3" t="s">
        <v>128</v>
      </c>
      <c r="BO18" s="3" t="s">
        <v>128</v>
      </c>
      <c r="BP18" s="3" t="s">
        <v>128</v>
      </c>
      <c r="BQ18" s="3" t="s">
        <v>128</v>
      </c>
      <c r="BR18" s="3" t="s">
        <v>128</v>
      </c>
      <c r="BS18" s="3" t="s">
        <v>128</v>
      </c>
      <c r="BT18" s="3" t="s">
        <v>128</v>
      </c>
      <c r="BU18" s="3" t="s">
        <v>128</v>
      </c>
      <c r="BV18" s="9"/>
    </row>
    <row r="19" spans="1:74" ht="16.2" customHeight="1" x14ac:dyDescent="0.3">
      <c r="A19" s="8" t="s">
        <v>39</v>
      </c>
      <c r="B19" s="4" t="s">
        <v>38</v>
      </c>
      <c r="C19" s="4">
        <v>4</v>
      </c>
      <c r="D19" s="4">
        <v>2</v>
      </c>
      <c r="E19" s="4">
        <v>1</v>
      </c>
      <c r="F19" s="4">
        <v>1</v>
      </c>
      <c r="G19" s="4" t="s">
        <v>170</v>
      </c>
      <c r="H19" s="4" t="s">
        <v>40</v>
      </c>
      <c r="I19" s="4" t="s">
        <v>40</v>
      </c>
      <c r="J19" s="4" t="s">
        <v>40</v>
      </c>
      <c r="K19" s="4">
        <v>1</v>
      </c>
      <c r="L19" s="4">
        <v>1</v>
      </c>
      <c r="M19" s="4" t="s">
        <v>170</v>
      </c>
      <c r="N19" s="3" t="s">
        <v>12</v>
      </c>
      <c r="P19" s="8" t="s">
        <v>39</v>
      </c>
      <c r="Q19" s="4" t="s">
        <v>38</v>
      </c>
      <c r="R19" s="4">
        <v>5</v>
      </c>
      <c r="S19" s="4">
        <v>3</v>
      </c>
      <c r="T19" s="4">
        <v>1</v>
      </c>
      <c r="U19" s="4">
        <v>1</v>
      </c>
      <c r="V19" s="4" t="s">
        <v>170</v>
      </c>
      <c r="W19" s="4">
        <v>7</v>
      </c>
      <c r="X19" s="4">
        <v>5</v>
      </c>
      <c r="Y19" s="4">
        <v>1</v>
      </c>
      <c r="Z19" s="4">
        <v>1</v>
      </c>
      <c r="AA19" s="4">
        <v>1</v>
      </c>
      <c r="AB19" s="4" t="s">
        <v>170</v>
      </c>
      <c r="AC19" s="5" t="s">
        <v>47</v>
      </c>
      <c r="AE19" s="8" t="s">
        <v>39</v>
      </c>
      <c r="AF19" s="4" t="s">
        <v>38</v>
      </c>
      <c r="AG19" s="4">
        <v>4</v>
      </c>
      <c r="AH19" s="4">
        <v>2</v>
      </c>
      <c r="AI19" s="4">
        <v>1</v>
      </c>
      <c r="AJ19" s="4">
        <v>1</v>
      </c>
      <c r="AK19" s="4" t="s">
        <v>170</v>
      </c>
      <c r="AL19" s="4" t="s">
        <v>40</v>
      </c>
      <c r="AM19" s="4" t="s">
        <v>40</v>
      </c>
      <c r="AN19" s="4" t="s">
        <v>40</v>
      </c>
      <c r="AO19" s="4">
        <v>1</v>
      </c>
      <c r="AP19" s="4">
        <v>1</v>
      </c>
      <c r="AQ19" s="4" t="s">
        <v>170</v>
      </c>
      <c r="AR19" s="5" t="s">
        <v>48</v>
      </c>
      <c r="AT19" s="8" t="s">
        <v>39</v>
      </c>
      <c r="AU19" s="3" t="s">
        <v>127</v>
      </c>
      <c r="AV19" s="3" t="s">
        <v>127</v>
      </c>
      <c r="AW19" s="3" t="s">
        <v>127</v>
      </c>
      <c r="AX19" s="3" t="s">
        <v>127</v>
      </c>
      <c r="AY19" s="3" t="s">
        <v>127</v>
      </c>
      <c r="AZ19" s="4" t="s">
        <v>161</v>
      </c>
      <c r="BA19" s="4" t="s">
        <v>161</v>
      </c>
      <c r="BB19" s="4" t="s">
        <v>161</v>
      </c>
      <c r="BC19" s="3" t="s">
        <v>127</v>
      </c>
      <c r="BD19" s="3" t="s">
        <v>127</v>
      </c>
      <c r="BE19" s="3" t="s">
        <v>127</v>
      </c>
      <c r="BF19" s="3" t="s">
        <v>127</v>
      </c>
      <c r="BG19" s="9"/>
      <c r="BI19" s="8" t="s">
        <v>39</v>
      </c>
      <c r="BJ19" s="3" t="s">
        <v>128</v>
      </c>
      <c r="BK19" s="3" t="s">
        <v>128</v>
      </c>
      <c r="BL19" s="3" t="s">
        <v>128</v>
      </c>
      <c r="BM19" s="3" t="s">
        <v>128</v>
      </c>
      <c r="BN19" s="3" t="s">
        <v>128</v>
      </c>
      <c r="BO19" s="4" t="s">
        <v>161</v>
      </c>
      <c r="BP19" s="3" t="s">
        <v>128</v>
      </c>
      <c r="BQ19" s="3" t="s">
        <v>128</v>
      </c>
      <c r="BR19" s="3" t="s">
        <v>128</v>
      </c>
      <c r="BS19" s="3" t="s">
        <v>128</v>
      </c>
      <c r="BT19" s="3" t="s">
        <v>128</v>
      </c>
      <c r="BU19" s="3" t="s">
        <v>128</v>
      </c>
      <c r="BV19" s="9"/>
    </row>
    <row r="20" spans="1:74" ht="16.2" customHeight="1" x14ac:dyDescent="0.3">
      <c r="A20" s="8" t="s">
        <v>26</v>
      </c>
      <c r="B20" s="4" t="s">
        <v>167</v>
      </c>
      <c r="C20" s="4" t="s">
        <v>167</v>
      </c>
      <c r="D20" s="4" t="s">
        <v>167</v>
      </c>
      <c r="E20" s="4" t="s">
        <v>167</v>
      </c>
      <c r="F20" s="4" t="s">
        <v>167</v>
      </c>
      <c r="G20" s="4" t="s">
        <v>169</v>
      </c>
      <c r="H20" s="4" t="s">
        <v>167</v>
      </c>
      <c r="I20" s="4" t="s">
        <v>167</v>
      </c>
      <c r="J20" s="4" t="s">
        <v>167</v>
      </c>
      <c r="K20" s="4" t="s">
        <v>167</v>
      </c>
      <c r="L20" s="4" t="s">
        <v>167</v>
      </c>
      <c r="M20" s="4" t="s">
        <v>167</v>
      </c>
      <c r="N20" s="3" t="s">
        <v>12</v>
      </c>
      <c r="P20" s="8" t="s">
        <v>26</v>
      </c>
      <c r="Q20" s="4" t="s">
        <v>38</v>
      </c>
      <c r="R20" s="4">
        <v>5</v>
      </c>
      <c r="S20" s="4">
        <v>3</v>
      </c>
      <c r="T20" s="4">
        <v>2</v>
      </c>
      <c r="U20" s="4">
        <v>3</v>
      </c>
      <c r="V20" s="4">
        <v>2</v>
      </c>
      <c r="W20" s="4">
        <v>7</v>
      </c>
      <c r="X20" s="4">
        <v>5</v>
      </c>
      <c r="Y20" s="4">
        <v>3</v>
      </c>
      <c r="Z20" s="4">
        <v>3</v>
      </c>
      <c r="AA20" s="4">
        <v>3</v>
      </c>
      <c r="AB20" s="4">
        <v>2</v>
      </c>
      <c r="AC20" s="5" t="s">
        <v>47</v>
      </c>
      <c r="AE20" s="8" t="s">
        <v>26</v>
      </c>
      <c r="AF20" s="4" t="s">
        <v>38</v>
      </c>
      <c r="AG20" s="4">
        <v>2</v>
      </c>
      <c r="AH20" s="4" t="s">
        <v>169</v>
      </c>
      <c r="AI20" s="4" t="s">
        <v>169</v>
      </c>
      <c r="AJ20" s="4" t="s">
        <v>169</v>
      </c>
      <c r="AK20" s="4" t="s">
        <v>169</v>
      </c>
      <c r="AL20" s="4" t="s">
        <v>169</v>
      </c>
      <c r="AM20" s="4" t="s">
        <v>169</v>
      </c>
      <c r="AN20" s="4" t="s">
        <v>169</v>
      </c>
      <c r="AO20" s="4" t="s">
        <v>169</v>
      </c>
      <c r="AP20" s="4" t="s">
        <v>169</v>
      </c>
      <c r="AQ20" s="4" t="s">
        <v>169</v>
      </c>
      <c r="AR20" s="5" t="s">
        <v>48</v>
      </c>
      <c r="AT20" s="8" t="s">
        <v>26</v>
      </c>
      <c r="AU20" s="3" t="s">
        <v>127</v>
      </c>
      <c r="AV20" s="3" t="s">
        <v>127</v>
      </c>
      <c r="AW20" s="3" t="s">
        <v>127</v>
      </c>
      <c r="AX20" s="3" t="s">
        <v>127</v>
      </c>
      <c r="AY20" s="3" t="s">
        <v>127</v>
      </c>
      <c r="AZ20" s="3" t="s">
        <v>127</v>
      </c>
      <c r="BA20" s="3" t="s">
        <v>127</v>
      </c>
      <c r="BB20" s="3" t="s">
        <v>127</v>
      </c>
      <c r="BC20" s="3" t="s">
        <v>127</v>
      </c>
      <c r="BD20" s="3" t="s">
        <v>127</v>
      </c>
      <c r="BE20" s="3" t="s">
        <v>127</v>
      </c>
      <c r="BF20" s="3" t="s">
        <v>127</v>
      </c>
      <c r="BG20" s="9"/>
      <c r="BI20" s="8" t="s">
        <v>26</v>
      </c>
      <c r="BJ20" s="3" t="s">
        <v>128</v>
      </c>
      <c r="BK20" s="3" t="s">
        <v>128</v>
      </c>
      <c r="BL20" s="3" t="s">
        <v>128</v>
      </c>
      <c r="BM20" s="3" t="s">
        <v>128</v>
      </c>
      <c r="BN20" s="3" t="s">
        <v>128</v>
      </c>
      <c r="BO20" s="3" t="s">
        <v>128</v>
      </c>
      <c r="BP20" s="3" t="s">
        <v>128</v>
      </c>
      <c r="BQ20" s="3" t="s">
        <v>128</v>
      </c>
      <c r="BR20" s="3" t="s">
        <v>128</v>
      </c>
      <c r="BS20" s="3" t="s">
        <v>128</v>
      </c>
      <c r="BT20" s="3" t="s">
        <v>128</v>
      </c>
      <c r="BU20" s="3" t="s">
        <v>128</v>
      </c>
      <c r="BV20" s="9"/>
    </row>
    <row r="21" spans="1:74" ht="16.2" customHeight="1" x14ac:dyDescent="0.3">
      <c r="A21" s="8" t="s">
        <v>27</v>
      </c>
      <c r="B21" s="4" t="s">
        <v>38</v>
      </c>
      <c r="C21" s="4">
        <v>5</v>
      </c>
      <c r="D21" s="4">
        <v>3</v>
      </c>
      <c r="E21" s="4">
        <v>2</v>
      </c>
      <c r="F21" s="4">
        <v>3</v>
      </c>
      <c r="G21" s="4">
        <v>2</v>
      </c>
      <c r="H21" s="4">
        <v>3</v>
      </c>
      <c r="I21" s="4">
        <v>3</v>
      </c>
      <c r="J21" s="4">
        <v>3</v>
      </c>
      <c r="K21" s="4">
        <v>3</v>
      </c>
      <c r="L21" s="4">
        <v>1</v>
      </c>
      <c r="M21" s="4">
        <v>1</v>
      </c>
      <c r="N21" s="3" t="s">
        <v>12</v>
      </c>
      <c r="P21" s="8" t="s">
        <v>27</v>
      </c>
      <c r="Q21" s="4" t="s">
        <v>38</v>
      </c>
      <c r="R21" s="4">
        <v>6</v>
      </c>
      <c r="S21" s="4">
        <v>4</v>
      </c>
      <c r="T21" s="4">
        <v>3</v>
      </c>
      <c r="U21" s="4">
        <v>4</v>
      </c>
      <c r="V21" s="4">
        <v>3</v>
      </c>
      <c r="W21" s="4">
        <v>9</v>
      </c>
      <c r="X21" s="4">
        <v>6</v>
      </c>
      <c r="Y21" s="4">
        <v>4</v>
      </c>
      <c r="Z21" s="4">
        <v>4</v>
      </c>
      <c r="AA21" s="4">
        <v>2</v>
      </c>
      <c r="AB21" s="4">
        <v>2</v>
      </c>
      <c r="AC21" s="5" t="s">
        <v>47</v>
      </c>
      <c r="AE21" s="8" t="s">
        <v>27</v>
      </c>
      <c r="AF21" s="4" t="s">
        <v>38</v>
      </c>
      <c r="AG21" s="4">
        <v>5</v>
      </c>
      <c r="AH21" s="4">
        <v>3</v>
      </c>
      <c r="AI21" s="4">
        <v>2</v>
      </c>
      <c r="AJ21" s="4">
        <v>3</v>
      </c>
      <c r="AK21" s="4">
        <v>2</v>
      </c>
      <c r="AL21" s="4">
        <v>3</v>
      </c>
      <c r="AM21" s="4">
        <v>3</v>
      </c>
      <c r="AN21" s="4">
        <v>3</v>
      </c>
      <c r="AO21" s="4">
        <v>3</v>
      </c>
      <c r="AP21" s="4">
        <v>1</v>
      </c>
      <c r="AQ21" s="4">
        <v>1</v>
      </c>
      <c r="AR21" s="5" t="s">
        <v>48</v>
      </c>
      <c r="AT21" s="8" t="s">
        <v>27</v>
      </c>
      <c r="AU21" s="3" t="s">
        <v>127</v>
      </c>
      <c r="AV21" s="3" t="s">
        <v>127</v>
      </c>
      <c r="AW21" s="3" t="s">
        <v>127</v>
      </c>
      <c r="AX21" s="3" t="s">
        <v>127</v>
      </c>
      <c r="AY21" s="3" t="s">
        <v>127</v>
      </c>
      <c r="AZ21" s="3" t="s">
        <v>127</v>
      </c>
      <c r="BA21" s="3" t="s">
        <v>127</v>
      </c>
      <c r="BB21" s="3" t="s">
        <v>127</v>
      </c>
      <c r="BC21" s="3" t="s">
        <v>127</v>
      </c>
      <c r="BD21" s="3" t="s">
        <v>127</v>
      </c>
      <c r="BE21" s="3" t="s">
        <v>127</v>
      </c>
      <c r="BF21" s="3" t="s">
        <v>127</v>
      </c>
      <c r="BG21" s="9"/>
      <c r="BI21" s="8" t="s">
        <v>27</v>
      </c>
      <c r="BJ21" s="3" t="s">
        <v>128</v>
      </c>
      <c r="BK21" s="3" t="s">
        <v>128</v>
      </c>
      <c r="BL21" s="3" t="s">
        <v>128</v>
      </c>
      <c r="BM21" s="3" t="s">
        <v>128</v>
      </c>
      <c r="BN21" s="3" t="s">
        <v>128</v>
      </c>
      <c r="BO21" s="3" t="s">
        <v>128</v>
      </c>
      <c r="BP21" s="3" t="s">
        <v>128</v>
      </c>
      <c r="BQ21" s="3" t="s">
        <v>128</v>
      </c>
      <c r="BR21" s="3" t="s">
        <v>128</v>
      </c>
      <c r="BS21" s="3" t="s">
        <v>128</v>
      </c>
      <c r="BT21" s="3" t="s">
        <v>128</v>
      </c>
      <c r="BU21" s="3" t="s">
        <v>128</v>
      </c>
      <c r="BV21" s="9"/>
    </row>
    <row r="22" spans="1:74" ht="16.2" customHeight="1" x14ac:dyDescent="0.3">
      <c r="A22" s="8" t="s">
        <v>28</v>
      </c>
      <c r="B22" s="4" t="s">
        <v>167</v>
      </c>
      <c r="C22" s="4" t="s">
        <v>167</v>
      </c>
      <c r="D22" s="4" t="s">
        <v>167</v>
      </c>
      <c r="E22" s="4" t="s">
        <v>167</v>
      </c>
      <c r="F22" s="4" t="s">
        <v>167</v>
      </c>
      <c r="G22" s="4" t="s">
        <v>167</v>
      </c>
      <c r="H22" s="4" t="s">
        <v>167</v>
      </c>
      <c r="I22" s="4" t="s">
        <v>167</v>
      </c>
      <c r="J22" s="4" t="s">
        <v>167</v>
      </c>
      <c r="K22" s="4" t="s">
        <v>167</v>
      </c>
      <c r="L22" s="4" t="s">
        <v>167</v>
      </c>
      <c r="M22" s="4" t="s">
        <v>167</v>
      </c>
      <c r="N22" s="3" t="s">
        <v>12</v>
      </c>
      <c r="P22" s="8" t="s">
        <v>28</v>
      </c>
      <c r="Q22" s="4">
        <v>20</v>
      </c>
      <c r="R22" s="4">
        <v>6</v>
      </c>
      <c r="S22" s="4">
        <v>5</v>
      </c>
      <c r="T22" s="4">
        <v>3</v>
      </c>
      <c r="U22" s="4">
        <v>5</v>
      </c>
      <c r="V22" s="4">
        <v>3</v>
      </c>
      <c r="W22" s="4">
        <v>5</v>
      </c>
      <c r="X22" s="4">
        <v>5</v>
      </c>
      <c r="Y22" s="4">
        <v>5</v>
      </c>
      <c r="Z22" s="4">
        <v>5</v>
      </c>
      <c r="AA22" s="4">
        <v>3</v>
      </c>
      <c r="AB22" s="4">
        <v>2</v>
      </c>
      <c r="AC22" s="3" t="s">
        <v>49</v>
      </c>
      <c r="AE22" s="8" t="s">
        <v>28</v>
      </c>
      <c r="AF22" s="9" t="s">
        <v>90</v>
      </c>
      <c r="AG22" s="9" t="s">
        <v>90</v>
      </c>
      <c r="AH22" s="9" t="s">
        <v>90</v>
      </c>
      <c r="AI22" s="9" t="s">
        <v>90</v>
      </c>
      <c r="AJ22" s="9" t="s">
        <v>90</v>
      </c>
      <c r="AK22" s="9" t="s">
        <v>90</v>
      </c>
      <c r="AL22" s="9" t="s">
        <v>90</v>
      </c>
      <c r="AM22" s="9" t="s">
        <v>90</v>
      </c>
      <c r="AN22" s="9" t="s">
        <v>90</v>
      </c>
      <c r="AO22" s="9" t="s">
        <v>90</v>
      </c>
      <c r="AP22" s="9" t="s">
        <v>90</v>
      </c>
      <c r="AQ22" s="9" t="s">
        <v>90</v>
      </c>
      <c r="AR22" s="9"/>
      <c r="AT22" s="8" t="s">
        <v>28</v>
      </c>
      <c r="AU22" s="3" t="s">
        <v>127</v>
      </c>
      <c r="AV22" s="3" t="s">
        <v>127</v>
      </c>
      <c r="AW22" s="3" t="s">
        <v>127</v>
      </c>
      <c r="AX22" s="3" t="s">
        <v>127</v>
      </c>
      <c r="AY22" s="3" t="s">
        <v>127</v>
      </c>
      <c r="AZ22" s="3" t="s">
        <v>127</v>
      </c>
      <c r="BA22" s="3" t="s">
        <v>127</v>
      </c>
      <c r="BB22" s="3" t="s">
        <v>127</v>
      </c>
      <c r="BC22" s="3" t="s">
        <v>127</v>
      </c>
      <c r="BD22" s="3" t="s">
        <v>127</v>
      </c>
      <c r="BE22" s="3" t="s">
        <v>127</v>
      </c>
      <c r="BF22" s="3" t="s">
        <v>127</v>
      </c>
      <c r="BG22" s="9"/>
      <c r="BI22" s="8" t="s">
        <v>28</v>
      </c>
      <c r="BJ22" s="3" t="s">
        <v>128</v>
      </c>
      <c r="BK22" s="3" t="s">
        <v>128</v>
      </c>
      <c r="BL22" s="3" t="s">
        <v>128</v>
      </c>
      <c r="BM22" s="3" t="s">
        <v>128</v>
      </c>
      <c r="BN22" s="3" t="s">
        <v>128</v>
      </c>
      <c r="BO22" s="3" t="s">
        <v>128</v>
      </c>
      <c r="BP22" s="3" t="s">
        <v>128</v>
      </c>
      <c r="BQ22" s="3" t="s">
        <v>128</v>
      </c>
      <c r="BR22" s="3" t="s">
        <v>128</v>
      </c>
      <c r="BS22" s="3" t="s">
        <v>128</v>
      </c>
      <c r="BT22" s="3" t="s">
        <v>128</v>
      </c>
      <c r="BU22" s="3" t="s">
        <v>128</v>
      </c>
      <c r="BV22" s="9"/>
    </row>
    <row r="23" spans="1:74" ht="16.2" customHeight="1" x14ac:dyDescent="0.3">
      <c r="A23" s="8" t="s">
        <v>30</v>
      </c>
      <c r="B23" s="4" t="s">
        <v>38</v>
      </c>
      <c r="C23" s="4">
        <v>11</v>
      </c>
      <c r="D23" s="4">
        <v>4</v>
      </c>
      <c r="E23" s="4">
        <v>2</v>
      </c>
      <c r="F23" s="4">
        <v>4</v>
      </c>
      <c r="G23" s="4">
        <v>2</v>
      </c>
      <c r="H23" s="4">
        <v>4</v>
      </c>
      <c r="I23" s="4">
        <v>4</v>
      </c>
      <c r="J23" s="4">
        <v>4</v>
      </c>
      <c r="K23" s="4">
        <v>4</v>
      </c>
      <c r="L23" s="4">
        <v>3</v>
      </c>
      <c r="M23" s="4">
        <v>1</v>
      </c>
      <c r="N23" s="3" t="s">
        <v>12</v>
      </c>
      <c r="P23" s="8" t="s">
        <v>30</v>
      </c>
      <c r="Q23" s="4" t="s">
        <v>38</v>
      </c>
      <c r="R23" s="4">
        <v>12</v>
      </c>
      <c r="S23" s="4">
        <v>5</v>
      </c>
      <c r="T23" s="4">
        <v>3</v>
      </c>
      <c r="U23" s="4">
        <v>5</v>
      </c>
      <c r="V23" s="4">
        <v>3</v>
      </c>
      <c r="W23" s="4">
        <v>12</v>
      </c>
      <c r="X23" s="4">
        <v>8</v>
      </c>
      <c r="Y23" s="4">
        <v>6</v>
      </c>
      <c r="Z23" s="4">
        <v>5</v>
      </c>
      <c r="AA23" s="4">
        <v>4</v>
      </c>
      <c r="AB23" s="4">
        <v>2</v>
      </c>
      <c r="AC23" s="3" t="s">
        <v>49</v>
      </c>
      <c r="AE23" s="8" t="s">
        <v>30</v>
      </c>
      <c r="AF23" s="9" t="s">
        <v>90</v>
      </c>
      <c r="AG23" s="9" t="s">
        <v>90</v>
      </c>
      <c r="AH23" s="9" t="s">
        <v>90</v>
      </c>
      <c r="AI23" s="9" t="s">
        <v>90</v>
      </c>
      <c r="AJ23" s="9" t="s">
        <v>90</v>
      </c>
      <c r="AK23" s="9" t="s">
        <v>90</v>
      </c>
      <c r="AL23" s="9" t="s">
        <v>90</v>
      </c>
      <c r="AM23" s="9" t="s">
        <v>90</v>
      </c>
      <c r="AN23" s="9" t="s">
        <v>90</v>
      </c>
      <c r="AO23" s="9" t="s">
        <v>90</v>
      </c>
      <c r="AP23" s="9" t="s">
        <v>90</v>
      </c>
      <c r="AQ23" s="9" t="s">
        <v>90</v>
      </c>
      <c r="AR23" s="9"/>
      <c r="AT23" s="8" t="s">
        <v>30</v>
      </c>
      <c r="AU23" s="3" t="s">
        <v>127</v>
      </c>
      <c r="AV23" s="3" t="s">
        <v>127</v>
      </c>
      <c r="AW23" s="3" t="s">
        <v>127</v>
      </c>
      <c r="AX23" s="3" t="s">
        <v>127</v>
      </c>
      <c r="AY23" s="3" t="s">
        <v>127</v>
      </c>
      <c r="AZ23" s="3" t="s">
        <v>127</v>
      </c>
      <c r="BA23" s="3" t="s">
        <v>127</v>
      </c>
      <c r="BB23" s="3" t="s">
        <v>127</v>
      </c>
      <c r="BC23" s="3" t="s">
        <v>127</v>
      </c>
      <c r="BD23" s="3" t="s">
        <v>127</v>
      </c>
      <c r="BE23" s="3" t="s">
        <v>127</v>
      </c>
      <c r="BF23" s="3" t="s">
        <v>127</v>
      </c>
      <c r="BG23" s="9"/>
      <c r="BI23" s="8" t="s">
        <v>30</v>
      </c>
      <c r="BJ23" s="3" t="s">
        <v>128</v>
      </c>
      <c r="BK23" s="3" t="s">
        <v>128</v>
      </c>
      <c r="BL23" s="3" t="s">
        <v>128</v>
      </c>
      <c r="BM23" s="3" t="s">
        <v>128</v>
      </c>
      <c r="BN23" s="3" t="s">
        <v>128</v>
      </c>
      <c r="BO23" s="3" t="s">
        <v>128</v>
      </c>
      <c r="BP23" s="3" t="s">
        <v>128</v>
      </c>
      <c r="BQ23" s="3" t="s">
        <v>128</v>
      </c>
      <c r="BR23" s="3" t="s">
        <v>128</v>
      </c>
      <c r="BS23" s="3" t="s">
        <v>128</v>
      </c>
      <c r="BT23" s="3" t="s">
        <v>128</v>
      </c>
      <c r="BU23" s="3" t="s">
        <v>128</v>
      </c>
      <c r="BV23" s="9"/>
    </row>
    <row r="24" spans="1:74" ht="16.2" customHeight="1" x14ac:dyDescent="0.3">
      <c r="A24" s="8" t="s">
        <v>50</v>
      </c>
      <c r="B24" s="4" t="s">
        <v>38</v>
      </c>
      <c r="C24" s="4">
        <v>11</v>
      </c>
      <c r="D24" s="4">
        <v>4</v>
      </c>
      <c r="E24" s="4">
        <v>4</v>
      </c>
      <c r="F24" s="4">
        <v>4</v>
      </c>
      <c r="G24" s="4">
        <v>4</v>
      </c>
      <c r="H24" s="4">
        <v>4</v>
      </c>
      <c r="I24" s="4">
        <v>4</v>
      </c>
      <c r="J24" s="4">
        <v>4</v>
      </c>
      <c r="K24" s="4">
        <v>4</v>
      </c>
      <c r="L24" s="4">
        <v>3</v>
      </c>
      <c r="M24" s="4">
        <v>2</v>
      </c>
      <c r="N24" s="3" t="s">
        <v>12</v>
      </c>
      <c r="P24" s="8" t="s">
        <v>50</v>
      </c>
      <c r="Q24" s="4" t="s">
        <v>38</v>
      </c>
      <c r="R24" s="4">
        <v>12</v>
      </c>
      <c r="S24" s="4">
        <v>5</v>
      </c>
      <c r="T24" s="4">
        <v>5</v>
      </c>
      <c r="U24" s="4">
        <v>5</v>
      </c>
      <c r="V24" s="4">
        <v>5</v>
      </c>
      <c r="W24" s="4">
        <v>18</v>
      </c>
      <c r="X24" s="4">
        <v>12</v>
      </c>
      <c r="Y24" s="4">
        <v>8</v>
      </c>
      <c r="Z24" s="4">
        <v>5</v>
      </c>
      <c r="AA24" s="4">
        <v>4</v>
      </c>
      <c r="AB24" s="4">
        <v>3</v>
      </c>
      <c r="AC24" s="5" t="s">
        <v>47</v>
      </c>
      <c r="AE24" s="8" t="s">
        <v>50</v>
      </c>
      <c r="AF24" s="4" t="s">
        <v>38</v>
      </c>
      <c r="AG24" s="4">
        <v>11</v>
      </c>
      <c r="AH24" s="4">
        <v>4</v>
      </c>
      <c r="AI24" s="4">
        <v>4</v>
      </c>
      <c r="AJ24" s="4">
        <v>4</v>
      </c>
      <c r="AK24" s="4">
        <v>4</v>
      </c>
      <c r="AL24" s="4">
        <v>4</v>
      </c>
      <c r="AM24" s="4">
        <v>4</v>
      </c>
      <c r="AN24" s="4">
        <v>4</v>
      </c>
      <c r="AO24" s="4">
        <v>4</v>
      </c>
      <c r="AP24" s="4">
        <v>3</v>
      </c>
      <c r="AQ24" s="4">
        <v>2</v>
      </c>
      <c r="AR24" s="5" t="s">
        <v>48</v>
      </c>
      <c r="AT24" s="8" t="s">
        <v>50</v>
      </c>
      <c r="AU24" s="3" t="s">
        <v>127</v>
      </c>
      <c r="AV24" s="3" t="s">
        <v>127</v>
      </c>
      <c r="AW24" s="3" t="s">
        <v>127</v>
      </c>
      <c r="AX24" s="3" t="s">
        <v>127</v>
      </c>
      <c r="AY24" s="3" t="s">
        <v>127</v>
      </c>
      <c r="AZ24" s="3" t="s">
        <v>127</v>
      </c>
      <c r="BA24" s="3" t="s">
        <v>127</v>
      </c>
      <c r="BB24" s="3" t="s">
        <v>127</v>
      </c>
      <c r="BC24" s="3" t="s">
        <v>127</v>
      </c>
      <c r="BD24" s="3" t="s">
        <v>127</v>
      </c>
      <c r="BE24" s="3" t="s">
        <v>127</v>
      </c>
      <c r="BF24" s="3" t="s">
        <v>127</v>
      </c>
      <c r="BG24" s="3"/>
      <c r="BI24" s="8" t="s">
        <v>50</v>
      </c>
      <c r="BJ24" s="4">
        <v>4</v>
      </c>
      <c r="BK24" s="4">
        <v>4</v>
      </c>
      <c r="BL24" s="4">
        <v>4</v>
      </c>
      <c r="BM24" s="4">
        <v>4</v>
      </c>
      <c r="BN24" s="4">
        <v>4</v>
      </c>
      <c r="BO24" s="4">
        <v>4</v>
      </c>
      <c r="BP24" s="4">
        <v>4</v>
      </c>
      <c r="BQ24" s="4">
        <v>4</v>
      </c>
      <c r="BR24" s="4">
        <v>4</v>
      </c>
      <c r="BS24" s="4">
        <v>4</v>
      </c>
      <c r="BT24" s="4">
        <v>3</v>
      </c>
      <c r="BU24" s="4">
        <v>2</v>
      </c>
      <c r="BV24" s="3" t="s">
        <v>31</v>
      </c>
    </row>
    <row r="25" spans="1:74" ht="16.2" customHeight="1" x14ac:dyDescent="0.3">
      <c r="A25" s="8" t="s">
        <v>54</v>
      </c>
      <c r="B25" s="4" t="s">
        <v>38</v>
      </c>
      <c r="C25" s="4">
        <v>11</v>
      </c>
      <c r="D25" s="4">
        <v>4</v>
      </c>
      <c r="E25" s="4">
        <v>4</v>
      </c>
      <c r="F25" s="4">
        <v>4</v>
      </c>
      <c r="G25" s="4">
        <v>4</v>
      </c>
      <c r="H25" s="4">
        <v>4</v>
      </c>
      <c r="I25" s="4">
        <v>4</v>
      </c>
      <c r="J25" s="4">
        <v>4</v>
      </c>
      <c r="K25" s="4">
        <v>4</v>
      </c>
      <c r="L25" s="4">
        <v>3</v>
      </c>
      <c r="M25" s="4">
        <v>2</v>
      </c>
      <c r="N25" s="3" t="s">
        <v>12</v>
      </c>
      <c r="P25" s="8" t="s">
        <v>54</v>
      </c>
      <c r="Q25" s="4" t="s">
        <v>38</v>
      </c>
      <c r="R25" s="4">
        <v>12</v>
      </c>
      <c r="S25" s="4">
        <v>5</v>
      </c>
      <c r="T25" s="4">
        <v>5</v>
      </c>
      <c r="U25" s="4">
        <v>5</v>
      </c>
      <c r="V25" s="4">
        <v>5</v>
      </c>
      <c r="W25" s="4">
        <v>18</v>
      </c>
      <c r="X25" s="4">
        <v>12</v>
      </c>
      <c r="Y25" s="4">
        <v>8</v>
      </c>
      <c r="Z25" s="4">
        <v>5</v>
      </c>
      <c r="AA25" s="4">
        <v>4</v>
      </c>
      <c r="AB25" s="4">
        <v>3</v>
      </c>
      <c r="AC25" s="5" t="s">
        <v>47</v>
      </c>
      <c r="AE25" s="8" t="s">
        <v>54</v>
      </c>
      <c r="AF25" s="4" t="s">
        <v>38</v>
      </c>
      <c r="AG25" s="4">
        <v>11</v>
      </c>
      <c r="AH25" s="4">
        <v>4</v>
      </c>
      <c r="AI25" s="4">
        <v>4</v>
      </c>
      <c r="AJ25" s="4">
        <v>4</v>
      </c>
      <c r="AK25" s="4">
        <v>4</v>
      </c>
      <c r="AL25" s="4">
        <v>4</v>
      </c>
      <c r="AM25" s="4">
        <v>4</v>
      </c>
      <c r="AN25" s="4">
        <v>4</v>
      </c>
      <c r="AO25" s="4">
        <v>4</v>
      </c>
      <c r="AP25" s="4">
        <v>4</v>
      </c>
      <c r="AQ25" s="4">
        <v>2</v>
      </c>
      <c r="AR25" s="5" t="s">
        <v>48</v>
      </c>
      <c r="AT25" s="8" t="s">
        <v>54</v>
      </c>
      <c r="AU25" s="3" t="s">
        <v>127</v>
      </c>
      <c r="AV25" s="3" t="s">
        <v>127</v>
      </c>
      <c r="AW25" s="3" t="s">
        <v>127</v>
      </c>
      <c r="AX25" s="3" t="s">
        <v>127</v>
      </c>
      <c r="AY25" s="3" t="s">
        <v>127</v>
      </c>
      <c r="AZ25" s="3" t="s">
        <v>127</v>
      </c>
      <c r="BA25" s="3" t="s">
        <v>127</v>
      </c>
      <c r="BB25" s="3" t="s">
        <v>127</v>
      </c>
      <c r="BC25" s="3" t="s">
        <v>127</v>
      </c>
      <c r="BD25" s="3" t="s">
        <v>127</v>
      </c>
      <c r="BE25" s="3" t="s">
        <v>127</v>
      </c>
      <c r="BF25" s="3" t="s">
        <v>127</v>
      </c>
      <c r="BG25" s="3"/>
      <c r="BI25" s="8" t="s">
        <v>54</v>
      </c>
      <c r="BJ25" s="4">
        <v>4</v>
      </c>
      <c r="BK25" s="4">
        <v>4</v>
      </c>
      <c r="BL25" s="4">
        <v>4</v>
      </c>
      <c r="BM25" s="4">
        <v>4</v>
      </c>
      <c r="BN25" s="4">
        <v>4</v>
      </c>
      <c r="BO25" s="4">
        <v>4</v>
      </c>
      <c r="BP25" s="4">
        <v>4</v>
      </c>
      <c r="BQ25" s="4">
        <v>4</v>
      </c>
      <c r="BR25" s="4">
        <v>4</v>
      </c>
      <c r="BS25" s="4">
        <v>4</v>
      </c>
      <c r="BT25" s="4">
        <v>4</v>
      </c>
      <c r="BU25" s="4">
        <v>3</v>
      </c>
      <c r="BV25" s="3" t="s">
        <v>31</v>
      </c>
    </row>
    <row r="26" spans="1:74" ht="16.2" customHeight="1" x14ac:dyDescent="0.3">
      <c r="A26" s="8" t="s">
        <v>137</v>
      </c>
      <c r="B26" s="4" t="s">
        <v>167</v>
      </c>
      <c r="C26" s="4" t="s">
        <v>167</v>
      </c>
      <c r="D26" s="4" t="s">
        <v>167</v>
      </c>
      <c r="E26" s="4" t="s">
        <v>167</v>
      </c>
      <c r="F26" s="4" t="s">
        <v>167</v>
      </c>
      <c r="G26" s="4" t="s">
        <v>167</v>
      </c>
      <c r="H26" s="4" t="s">
        <v>167</v>
      </c>
      <c r="I26" s="4" t="s">
        <v>167</v>
      </c>
      <c r="J26" s="4" t="s">
        <v>167</v>
      </c>
      <c r="K26" s="4" t="s">
        <v>167</v>
      </c>
      <c r="L26" s="4" t="s">
        <v>167</v>
      </c>
      <c r="M26" s="4" t="s">
        <v>167</v>
      </c>
      <c r="N26" s="3" t="s">
        <v>12</v>
      </c>
      <c r="P26" s="11" t="s">
        <v>137</v>
      </c>
      <c r="Q26" s="4" t="s">
        <v>38</v>
      </c>
      <c r="R26" s="4">
        <v>12</v>
      </c>
      <c r="S26" s="4">
        <v>5</v>
      </c>
      <c r="T26" s="4">
        <v>5</v>
      </c>
      <c r="U26" s="4">
        <v>5</v>
      </c>
      <c r="V26" s="4">
        <v>5</v>
      </c>
      <c r="W26" s="4">
        <v>5</v>
      </c>
      <c r="X26" s="4">
        <v>12</v>
      </c>
      <c r="Y26" s="4">
        <v>5</v>
      </c>
      <c r="Z26" s="4">
        <v>5</v>
      </c>
      <c r="AA26" s="4">
        <v>4</v>
      </c>
      <c r="AB26" s="4">
        <v>3</v>
      </c>
      <c r="AC26" s="5" t="s">
        <v>47</v>
      </c>
      <c r="AE26" s="8" t="s">
        <v>137</v>
      </c>
      <c r="AF26" s="4" t="s">
        <v>38</v>
      </c>
      <c r="AG26" s="4">
        <v>11</v>
      </c>
      <c r="AH26" s="4">
        <v>4</v>
      </c>
      <c r="AI26" s="4">
        <v>4</v>
      </c>
      <c r="AJ26" s="4">
        <v>4</v>
      </c>
      <c r="AK26" s="4">
        <v>4</v>
      </c>
      <c r="AL26" s="4">
        <v>4</v>
      </c>
      <c r="AM26" s="4">
        <v>4</v>
      </c>
      <c r="AN26" s="4">
        <v>4</v>
      </c>
      <c r="AO26" s="4">
        <v>4</v>
      </c>
      <c r="AP26" s="4">
        <v>4</v>
      </c>
      <c r="AQ26" s="4">
        <v>2</v>
      </c>
      <c r="AR26" s="5" t="s">
        <v>48</v>
      </c>
      <c r="AT26" s="8" t="s">
        <v>137</v>
      </c>
      <c r="AU26" s="3" t="s">
        <v>127</v>
      </c>
      <c r="AV26" s="3" t="s">
        <v>127</v>
      </c>
      <c r="AW26" s="3" t="s">
        <v>127</v>
      </c>
      <c r="AX26" s="3" t="s">
        <v>127</v>
      </c>
      <c r="AY26" s="3" t="s">
        <v>127</v>
      </c>
      <c r="AZ26" s="3" t="s">
        <v>127</v>
      </c>
      <c r="BA26" s="3" t="s">
        <v>127</v>
      </c>
      <c r="BB26" s="3" t="s">
        <v>127</v>
      </c>
      <c r="BC26" s="3" t="s">
        <v>127</v>
      </c>
      <c r="BD26" s="3" t="s">
        <v>127</v>
      </c>
      <c r="BE26" s="3" t="s">
        <v>127</v>
      </c>
      <c r="BF26" s="3" t="s">
        <v>127</v>
      </c>
      <c r="BG26" s="9"/>
      <c r="BI26" s="8" t="s">
        <v>137</v>
      </c>
      <c r="BJ26" s="3" t="s">
        <v>128</v>
      </c>
      <c r="BK26" s="3" t="s">
        <v>128</v>
      </c>
      <c r="BL26" s="3" t="s">
        <v>128</v>
      </c>
      <c r="BM26" s="3" t="s">
        <v>128</v>
      </c>
      <c r="BN26" s="3" t="s">
        <v>128</v>
      </c>
      <c r="BO26" s="3" t="s">
        <v>128</v>
      </c>
      <c r="BP26" s="3" t="s">
        <v>128</v>
      </c>
      <c r="BQ26" s="3" t="s">
        <v>128</v>
      </c>
      <c r="BR26" s="3" t="s">
        <v>128</v>
      </c>
      <c r="BS26" s="3" t="s">
        <v>128</v>
      </c>
      <c r="BT26" s="3" t="s">
        <v>128</v>
      </c>
      <c r="BU26" s="3" t="s">
        <v>128</v>
      </c>
      <c r="BV26" s="9"/>
    </row>
    <row r="27" spans="1:74" ht="16.2" customHeight="1" x14ac:dyDescent="0.3">
      <c r="A27" s="8" t="s">
        <v>55</v>
      </c>
      <c r="B27" s="4" t="s">
        <v>38</v>
      </c>
      <c r="C27" s="4">
        <v>6</v>
      </c>
      <c r="D27" s="4">
        <v>3</v>
      </c>
      <c r="E27" s="4" t="s">
        <v>178</v>
      </c>
      <c r="F27" s="4">
        <v>3</v>
      </c>
      <c r="G27" s="4" t="s">
        <v>178</v>
      </c>
      <c r="H27" s="4" t="s">
        <v>178</v>
      </c>
      <c r="I27" s="4" t="s">
        <v>178</v>
      </c>
      <c r="J27" s="4" t="s">
        <v>178</v>
      </c>
      <c r="K27" s="4" t="s">
        <v>178</v>
      </c>
      <c r="L27" s="4">
        <v>3</v>
      </c>
      <c r="M27" s="4" t="s">
        <v>178</v>
      </c>
      <c r="N27" s="3" t="s">
        <v>12</v>
      </c>
      <c r="P27" s="8" t="s">
        <v>55</v>
      </c>
      <c r="Q27" s="4" t="s">
        <v>38</v>
      </c>
      <c r="R27" s="4">
        <v>6</v>
      </c>
      <c r="S27" s="4">
        <v>3</v>
      </c>
      <c r="T27" s="4" t="s">
        <v>178</v>
      </c>
      <c r="U27" s="4">
        <v>3</v>
      </c>
      <c r="V27" s="4" t="s">
        <v>178</v>
      </c>
      <c r="W27" s="4" t="s">
        <v>178</v>
      </c>
      <c r="X27" s="4" t="s">
        <v>178</v>
      </c>
      <c r="Y27" s="4" t="s">
        <v>178</v>
      </c>
      <c r="Z27" s="4" t="s">
        <v>178</v>
      </c>
      <c r="AA27" s="4">
        <v>3</v>
      </c>
      <c r="AB27" s="4" t="s">
        <v>178</v>
      </c>
      <c r="AC27" s="5" t="s">
        <v>49</v>
      </c>
      <c r="AE27" s="8" t="s">
        <v>55</v>
      </c>
      <c r="AF27" s="9" t="s">
        <v>90</v>
      </c>
      <c r="AG27" s="9" t="s">
        <v>90</v>
      </c>
      <c r="AH27" s="9" t="s">
        <v>90</v>
      </c>
      <c r="AI27" s="9" t="s">
        <v>90</v>
      </c>
      <c r="AJ27" s="9" t="s">
        <v>90</v>
      </c>
      <c r="AK27" s="9" t="s">
        <v>90</v>
      </c>
      <c r="AL27" s="9" t="s">
        <v>90</v>
      </c>
      <c r="AM27" s="9" t="s">
        <v>90</v>
      </c>
      <c r="AN27" s="9" t="s">
        <v>90</v>
      </c>
      <c r="AO27" s="9" t="s">
        <v>90</v>
      </c>
      <c r="AP27" s="9" t="s">
        <v>90</v>
      </c>
      <c r="AQ27" s="9" t="s">
        <v>90</v>
      </c>
      <c r="AR27" s="9"/>
      <c r="AT27" s="8" t="s">
        <v>55</v>
      </c>
      <c r="AU27" s="3" t="s">
        <v>127</v>
      </c>
      <c r="AV27" s="3" t="s">
        <v>127</v>
      </c>
      <c r="AW27" s="3" t="s">
        <v>127</v>
      </c>
      <c r="AX27" s="4" t="s">
        <v>164</v>
      </c>
      <c r="AY27" s="3" t="s">
        <v>127</v>
      </c>
      <c r="AZ27" s="4" t="s">
        <v>178</v>
      </c>
      <c r="BA27" s="4" t="s">
        <v>178</v>
      </c>
      <c r="BB27" s="4" t="s">
        <v>178</v>
      </c>
      <c r="BC27" s="4" t="s">
        <v>178</v>
      </c>
      <c r="BD27" s="4" t="s">
        <v>178</v>
      </c>
      <c r="BE27" s="3" t="s">
        <v>127</v>
      </c>
      <c r="BF27" s="4" t="s">
        <v>178</v>
      </c>
      <c r="BG27" s="3"/>
      <c r="BI27" s="8" t="s">
        <v>55</v>
      </c>
      <c r="BJ27" s="4" t="s">
        <v>38</v>
      </c>
      <c r="BK27" s="4">
        <v>4</v>
      </c>
      <c r="BL27" s="4">
        <v>3</v>
      </c>
      <c r="BM27" s="4" t="s">
        <v>164</v>
      </c>
      <c r="BN27" s="4">
        <v>3</v>
      </c>
      <c r="BO27" s="4" t="s">
        <v>178</v>
      </c>
      <c r="BP27" s="4" t="s">
        <v>178</v>
      </c>
      <c r="BQ27" s="4" t="s">
        <v>178</v>
      </c>
      <c r="BR27" s="4" t="s">
        <v>178</v>
      </c>
      <c r="BS27" s="4" t="s">
        <v>178</v>
      </c>
      <c r="BT27" s="4">
        <v>3</v>
      </c>
      <c r="BU27" s="4" t="s">
        <v>178</v>
      </c>
      <c r="BV27" s="3" t="s">
        <v>31</v>
      </c>
    </row>
    <row r="28" spans="1:74" ht="16.2" customHeight="1" x14ac:dyDescent="0.3">
      <c r="A28" s="10" t="s">
        <v>56</v>
      </c>
      <c r="B28" s="4" t="s">
        <v>38</v>
      </c>
      <c r="C28" s="4">
        <v>11</v>
      </c>
      <c r="D28" s="4">
        <v>4</v>
      </c>
      <c r="E28" s="4">
        <v>4</v>
      </c>
      <c r="F28" s="4">
        <v>4</v>
      </c>
      <c r="G28" s="4">
        <v>4</v>
      </c>
      <c r="H28" s="4">
        <v>4</v>
      </c>
      <c r="I28" s="4">
        <v>4</v>
      </c>
      <c r="J28" s="4">
        <v>4</v>
      </c>
      <c r="K28" s="4">
        <v>4</v>
      </c>
      <c r="L28" s="4">
        <v>3</v>
      </c>
      <c r="M28" s="4">
        <v>3</v>
      </c>
      <c r="N28" s="3" t="s">
        <v>12</v>
      </c>
      <c r="P28" s="10" t="s">
        <v>56</v>
      </c>
      <c r="Q28" s="4" t="s">
        <v>38</v>
      </c>
      <c r="R28" s="4">
        <v>12</v>
      </c>
      <c r="S28" s="4">
        <v>5</v>
      </c>
      <c r="T28" s="4">
        <v>5</v>
      </c>
      <c r="U28" s="4">
        <v>5</v>
      </c>
      <c r="V28" s="4">
        <v>5</v>
      </c>
      <c r="W28" s="4">
        <v>4</v>
      </c>
      <c r="X28" s="4">
        <v>12</v>
      </c>
      <c r="Y28" s="4">
        <v>5</v>
      </c>
      <c r="Z28" s="4">
        <v>5</v>
      </c>
      <c r="AA28" s="4">
        <v>4</v>
      </c>
      <c r="AB28" s="4">
        <v>4</v>
      </c>
      <c r="AC28" s="3" t="s">
        <v>49</v>
      </c>
      <c r="AE28" s="10" t="s">
        <v>56</v>
      </c>
      <c r="AF28" s="9" t="s">
        <v>90</v>
      </c>
      <c r="AG28" s="9" t="s">
        <v>90</v>
      </c>
      <c r="AH28" s="9" t="s">
        <v>90</v>
      </c>
      <c r="AI28" s="9" t="s">
        <v>90</v>
      </c>
      <c r="AJ28" s="9" t="s">
        <v>90</v>
      </c>
      <c r="AK28" s="9" t="s">
        <v>90</v>
      </c>
      <c r="AL28" s="9" t="s">
        <v>90</v>
      </c>
      <c r="AM28" s="9" t="s">
        <v>90</v>
      </c>
      <c r="AN28" s="9" t="s">
        <v>90</v>
      </c>
      <c r="AO28" s="9" t="s">
        <v>90</v>
      </c>
      <c r="AP28" s="9" t="s">
        <v>90</v>
      </c>
      <c r="AQ28" s="9" t="s">
        <v>90</v>
      </c>
      <c r="AR28" s="9"/>
      <c r="AT28" s="10" t="s">
        <v>56</v>
      </c>
      <c r="AU28" s="4">
        <v>4</v>
      </c>
      <c r="AV28" s="4">
        <v>4</v>
      </c>
      <c r="AW28" s="4">
        <v>4</v>
      </c>
      <c r="AX28" s="4">
        <v>4</v>
      </c>
      <c r="AY28" s="4">
        <v>4</v>
      </c>
      <c r="AZ28" s="4">
        <v>4</v>
      </c>
      <c r="BA28" s="4">
        <v>4</v>
      </c>
      <c r="BB28" s="4">
        <v>4</v>
      </c>
      <c r="BC28" s="4">
        <v>4</v>
      </c>
      <c r="BD28" s="4">
        <v>4</v>
      </c>
      <c r="BE28" s="4">
        <v>3</v>
      </c>
      <c r="BF28" s="4">
        <v>3</v>
      </c>
      <c r="BG28" s="3" t="s">
        <v>35</v>
      </c>
      <c r="BI28" s="10" t="s">
        <v>56</v>
      </c>
      <c r="BJ28" s="4">
        <v>4</v>
      </c>
      <c r="BK28" s="4">
        <v>4</v>
      </c>
      <c r="BL28" s="4">
        <v>4</v>
      </c>
      <c r="BM28" s="4">
        <v>4</v>
      </c>
      <c r="BN28" s="4">
        <v>4</v>
      </c>
      <c r="BO28" s="4">
        <v>4</v>
      </c>
      <c r="BP28" s="4">
        <v>4</v>
      </c>
      <c r="BQ28" s="4">
        <v>4</v>
      </c>
      <c r="BR28" s="4">
        <v>4</v>
      </c>
      <c r="BS28" s="4">
        <v>4</v>
      </c>
      <c r="BT28" s="4">
        <v>4</v>
      </c>
      <c r="BU28" s="4">
        <v>4</v>
      </c>
      <c r="BV28" s="3" t="s">
        <v>31</v>
      </c>
    </row>
    <row r="29" spans="1:74" ht="16.2" customHeight="1" x14ac:dyDescent="0.3">
      <c r="A29" s="8" t="s">
        <v>57</v>
      </c>
      <c r="B29" s="4" t="s">
        <v>38</v>
      </c>
      <c r="C29" s="4">
        <v>11</v>
      </c>
      <c r="D29" s="4">
        <v>4</v>
      </c>
      <c r="E29" s="4">
        <v>4</v>
      </c>
      <c r="F29" s="4">
        <v>4</v>
      </c>
      <c r="G29" s="4">
        <v>4</v>
      </c>
      <c r="H29" s="4">
        <v>4</v>
      </c>
      <c r="I29" s="4">
        <v>4</v>
      </c>
      <c r="J29" s="4">
        <v>4</v>
      </c>
      <c r="K29" s="4">
        <v>4</v>
      </c>
      <c r="L29" s="4">
        <v>3</v>
      </c>
      <c r="M29" s="4">
        <v>2</v>
      </c>
      <c r="N29" s="3" t="s">
        <v>12</v>
      </c>
      <c r="P29" s="8" t="s">
        <v>57</v>
      </c>
      <c r="Q29" s="4" t="s">
        <v>38</v>
      </c>
      <c r="R29" s="4">
        <v>11</v>
      </c>
      <c r="S29" s="4">
        <v>5</v>
      </c>
      <c r="T29" s="4">
        <v>5</v>
      </c>
      <c r="U29" s="4">
        <v>5</v>
      </c>
      <c r="V29" s="4">
        <v>5</v>
      </c>
      <c r="W29" s="4">
        <v>4</v>
      </c>
      <c r="X29" s="4">
        <v>12</v>
      </c>
      <c r="Y29" s="4">
        <v>5</v>
      </c>
      <c r="Z29" s="4">
        <v>5</v>
      </c>
      <c r="AA29" s="4">
        <v>4</v>
      </c>
      <c r="AB29" s="4">
        <v>3</v>
      </c>
      <c r="AC29" s="5" t="s">
        <v>49</v>
      </c>
      <c r="AE29" s="8" t="s">
        <v>57</v>
      </c>
      <c r="AF29" s="9" t="s">
        <v>90</v>
      </c>
      <c r="AG29" s="9" t="s">
        <v>90</v>
      </c>
      <c r="AH29" s="9" t="s">
        <v>90</v>
      </c>
      <c r="AI29" s="9" t="s">
        <v>90</v>
      </c>
      <c r="AJ29" s="9" t="s">
        <v>90</v>
      </c>
      <c r="AK29" s="9" t="s">
        <v>90</v>
      </c>
      <c r="AL29" s="9" t="s">
        <v>90</v>
      </c>
      <c r="AM29" s="9" t="s">
        <v>90</v>
      </c>
      <c r="AN29" s="9" t="s">
        <v>90</v>
      </c>
      <c r="AO29" s="9" t="s">
        <v>90</v>
      </c>
      <c r="AP29" s="9" t="s">
        <v>90</v>
      </c>
      <c r="AQ29" s="9" t="s">
        <v>90</v>
      </c>
      <c r="AR29" s="9"/>
      <c r="AT29" s="8" t="s">
        <v>57</v>
      </c>
      <c r="AU29" s="4">
        <v>4</v>
      </c>
      <c r="AV29" s="4">
        <v>4</v>
      </c>
      <c r="AW29" s="4">
        <v>4</v>
      </c>
      <c r="AX29" s="4">
        <v>4</v>
      </c>
      <c r="AY29" s="4">
        <v>4</v>
      </c>
      <c r="AZ29" s="4">
        <v>4</v>
      </c>
      <c r="BA29" s="4">
        <v>4</v>
      </c>
      <c r="BB29" s="4">
        <v>4</v>
      </c>
      <c r="BC29" s="4">
        <v>4</v>
      </c>
      <c r="BD29" s="4">
        <v>4</v>
      </c>
      <c r="BE29" s="4">
        <v>3</v>
      </c>
      <c r="BF29" s="4">
        <v>2</v>
      </c>
      <c r="BG29" s="3" t="s">
        <v>35</v>
      </c>
      <c r="BI29" s="8" t="s">
        <v>57</v>
      </c>
      <c r="BJ29" s="4">
        <v>4</v>
      </c>
      <c r="BK29" s="4">
        <v>4</v>
      </c>
      <c r="BL29" s="4">
        <v>4</v>
      </c>
      <c r="BM29" s="4">
        <v>4</v>
      </c>
      <c r="BN29" s="4">
        <v>4</v>
      </c>
      <c r="BO29" s="4">
        <v>4</v>
      </c>
      <c r="BP29" s="4">
        <v>4</v>
      </c>
      <c r="BQ29" s="4">
        <v>4</v>
      </c>
      <c r="BR29" s="4">
        <v>4</v>
      </c>
      <c r="BS29" s="4">
        <v>4</v>
      </c>
      <c r="BT29" s="4">
        <v>4</v>
      </c>
      <c r="BU29" s="4">
        <v>3</v>
      </c>
      <c r="BV29" s="3" t="s">
        <v>31</v>
      </c>
    </row>
    <row r="30" spans="1:74" ht="16.2" customHeight="1" x14ac:dyDescent="0.3">
      <c r="A30" s="8" t="s">
        <v>29</v>
      </c>
      <c r="B30" s="4" t="s">
        <v>38</v>
      </c>
      <c r="C30" s="4">
        <v>11</v>
      </c>
      <c r="D30" s="4">
        <v>4</v>
      </c>
      <c r="E30" s="4">
        <v>2</v>
      </c>
      <c r="F30" s="4">
        <v>3</v>
      </c>
      <c r="G30" s="4">
        <v>2</v>
      </c>
      <c r="H30" s="4">
        <v>4</v>
      </c>
      <c r="I30" s="4">
        <v>4</v>
      </c>
      <c r="J30" s="4">
        <v>4</v>
      </c>
      <c r="K30" s="4">
        <v>4</v>
      </c>
      <c r="L30" s="4">
        <v>3</v>
      </c>
      <c r="M30" s="4">
        <v>1</v>
      </c>
      <c r="N30" s="3" t="s">
        <v>12</v>
      </c>
      <c r="P30" s="8" t="s">
        <v>29</v>
      </c>
      <c r="Q30" s="4" t="s">
        <v>38</v>
      </c>
      <c r="R30" s="4">
        <v>12</v>
      </c>
      <c r="S30" s="4">
        <v>5</v>
      </c>
      <c r="T30" s="4">
        <v>3</v>
      </c>
      <c r="U30" s="4">
        <v>4</v>
      </c>
      <c r="V30" s="4">
        <v>3</v>
      </c>
      <c r="W30" s="4">
        <v>10</v>
      </c>
      <c r="X30" s="4">
        <v>7</v>
      </c>
      <c r="Y30" s="4">
        <v>5</v>
      </c>
      <c r="Z30" s="4">
        <v>5</v>
      </c>
      <c r="AA30" s="4">
        <v>4</v>
      </c>
      <c r="AB30" s="4">
        <v>2</v>
      </c>
      <c r="AC30" s="3" t="s">
        <v>49</v>
      </c>
      <c r="AE30" s="8" t="s">
        <v>29</v>
      </c>
      <c r="AF30" s="9" t="s">
        <v>90</v>
      </c>
      <c r="AG30" s="9" t="s">
        <v>90</v>
      </c>
      <c r="AH30" s="9" t="s">
        <v>90</v>
      </c>
      <c r="AI30" s="9" t="s">
        <v>90</v>
      </c>
      <c r="AJ30" s="9" t="s">
        <v>90</v>
      </c>
      <c r="AK30" s="9" t="s">
        <v>90</v>
      </c>
      <c r="AL30" s="9" t="s">
        <v>90</v>
      </c>
      <c r="AM30" s="9" t="s">
        <v>90</v>
      </c>
      <c r="AN30" s="9" t="s">
        <v>90</v>
      </c>
      <c r="AO30" s="9" t="s">
        <v>90</v>
      </c>
      <c r="AP30" s="9" t="s">
        <v>90</v>
      </c>
      <c r="AQ30" s="9" t="s">
        <v>90</v>
      </c>
      <c r="AR30" s="9"/>
      <c r="AT30" s="8" t="s">
        <v>29</v>
      </c>
      <c r="AU30" s="3" t="s">
        <v>127</v>
      </c>
      <c r="AV30" s="3" t="s">
        <v>127</v>
      </c>
      <c r="AW30" s="3" t="s">
        <v>127</v>
      </c>
      <c r="AX30" s="3" t="s">
        <v>127</v>
      </c>
      <c r="AY30" s="3" t="s">
        <v>127</v>
      </c>
      <c r="AZ30" s="3" t="s">
        <v>127</v>
      </c>
      <c r="BA30" s="3" t="s">
        <v>127</v>
      </c>
      <c r="BB30" s="3" t="s">
        <v>127</v>
      </c>
      <c r="BC30" s="3" t="s">
        <v>127</v>
      </c>
      <c r="BD30" s="3" t="s">
        <v>127</v>
      </c>
      <c r="BE30" s="3" t="s">
        <v>127</v>
      </c>
      <c r="BF30" s="3" t="s">
        <v>127</v>
      </c>
      <c r="BG30" s="9"/>
      <c r="BI30" s="8" t="s">
        <v>29</v>
      </c>
      <c r="BJ30" s="3" t="s">
        <v>128</v>
      </c>
      <c r="BK30" s="3" t="s">
        <v>128</v>
      </c>
      <c r="BL30" s="3" t="s">
        <v>128</v>
      </c>
      <c r="BM30" s="3" t="s">
        <v>128</v>
      </c>
      <c r="BN30" s="3" t="s">
        <v>128</v>
      </c>
      <c r="BO30" s="3" t="s">
        <v>128</v>
      </c>
      <c r="BP30" s="3" t="s">
        <v>128</v>
      </c>
      <c r="BQ30" s="3" t="s">
        <v>128</v>
      </c>
      <c r="BR30" s="3" t="s">
        <v>128</v>
      </c>
      <c r="BS30" s="3" t="s">
        <v>128</v>
      </c>
      <c r="BT30" s="3" t="s">
        <v>128</v>
      </c>
      <c r="BU30" s="3" t="s">
        <v>128</v>
      </c>
      <c r="BV30" s="9"/>
    </row>
    <row r="31" spans="1:74" ht="16.2" customHeight="1" x14ac:dyDescent="0.3">
      <c r="A31" s="8" t="s">
        <v>36</v>
      </c>
      <c r="B31" s="4" t="s">
        <v>38</v>
      </c>
      <c r="C31" s="4">
        <v>11</v>
      </c>
      <c r="D31" s="4">
        <v>5</v>
      </c>
      <c r="E31" s="4">
        <v>3</v>
      </c>
      <c r="F31" s="4">
        <v>4</v>
      </c>
      <c r="G31" s="4">
        <v>3</v>
      </c>
      <c r="H31" s="4">
        <v>4</v>
      </c>
      <c r="I31" s="4">
        <v>4</v>
      </c>
      <c r="J31" s="4">
        <v>4</v>
      </c>
      <c r="K31" s="4">
        <v>5</v>
      </c>
      <c r="L31" s="4">
        <v>4</v>
      </c>
      <c r="M31" s="4">
        <v>2</v>
      </c>
      <c r="N31" s="3" t="s">
        <v>12</v>
      </c>
      <c r="P31" s="8" t="s">
        <v>36</v>
      </c>
      <c r="Q31" s="4" t="s">
        <v>38</v>
      </c>
      <c r="R31" s="4">
        <v>12</v>
      </c>
      <c r="S31" s="4">
        <v>6</v>
      </c>
      <c r="T31" s="4">
        <v>4</v>
      </c>
      <c r="U31" s="4">
        <v>5</v>
      </c>
      <c r="V31" s="4">
        <v>4</v>
      </c>
      <c r="W31" s="4">
        <v>12</v>
      </c>
      <c r="X31" s="4">
        <v>8</v>
      </c>
      <c r="Y31" s="4">
        <v>5</v>
      </c>
      <c r="Z31" s="4">
        <v>6</v>
      </c>
      <c r="AA31" s="4">
        <v>5</v>
      </c>
      <c r="AB31" s="4">
        <v>3</v>
      </c>
      <c r="AC31" s="3" t="s">
        <v>49</v>
      </c>
      <c r="AE31" s="8" t="s">
        <v>36</v>
      </c>
      <c r="AF31" s="9" t="s">
        <v>90</v>
      </c>
      <c r="AG31" s="9" t="s">
        <v>90</v>
      </c>
      <c r="AH31" s="9" t="s">
        <v>90</v>
      </c>
      <c r="AI31" s="9" t="s">
        <v>90</v>
      </c>
      <c r="AJ31" s="9" t="s">
        <v>90</v>
      </c>
      <c r="AK31" s="9" t="s">
        <v>90</v>
      </c>
      <c r="AL31" s="9" t="s">
        <v>90</v>
      </c>
      <c r="AM31" s="9" t="s">
        <v>90</v>
      </c>
      <c r="AN31" s="9" t="s">
        <v>90</v>
      </c>
      <c r="AO31" s="9" t="s">
        <v>90</v>
      </c>
      <c r="AP31" s="9" t="s">
        <v>90</v>
      </c>
      <c r="AQ31" s="9" t="s">
        <v>90</v>
      </c>
      <c r="AR31" s="9"/>
      <c r="AT31" s="8" t="s">
        <v>36</v>
      </c>
      <c r="AU31" s="3" t="s">
        <v>127</v>
      </c>
      <c r="AV31" s="3" t="s">
        <v>127</v>
      </c>
      <c r="AW31" s="3" t="s">
        <v>127</v>
      </c>
      <c r="AX31" s="3" t="s">
        <v>127</v>
      </c>
      <c r="AY31" s="3" t="s">
        <v>127</v>
      </c>
      <c r="AZ31" s="3" t="s">
        <v>127</v>
      </c>
      <c r="BA31" s="3" t="s">
        <v>127</v>
      </c>
      <c r="BB31" s="3" t="s">
        <v>127</v>
      </c>
      <c r="BC31" s="3" t="s">
        <v>127</v>
      </c>
      <c r="BD31" s="3" t="s">
        <v>127</v>
      </c>
      <c r="BE31" s="3" t="s">
        <v>127</v>
      </c>
      <c r="BF31" s="3" t="s">
        <v>127</v>
      </c>
      <c r="BG31" s="9"/>
      <c r="BI31" s="8" t="s">
        <v>36</v>
      </c>
      <c r="BJ31" s="3" t="s">
        <v>128</v>
      </c>
      <c r="BK31" s="3" t="s">
        <v>128</v>
      </c>
      <c r="BL31" s="3" t="s">
        <v>128</v>
      </c>
      <c r="BM31" s="3" t="s">
        <v>128</v>
      </c>
      <c r="BN31" s="3" t="s">
        <v>128</v>
      </c>
      <c r="BO31" s="3" t="s">
        <v>128</v>
      </c>
      <c r="BP31" s="3" t="s">
        <v>128</v>
      </c>
      <c r="BQ31" s="3" t="s">
        <v>128</v>
      </c>
      <c r="BR31" s="3" t="s">
        <v>128</v>
      </c>
      <c r="BS31" s="3" t="s">
        <v>128</v>
      </c>
      <c r="BT31" s="3" t="s">
        <v>128</v>
      </c>
      <c r="BU31" s="3" t="s">
        <v>128</v>
      </c>
      <c r="BV31" s="9"/>
    </row>
    <row r="32" spans="1:74" ht="16.2" customHeight="1" x14ac:dyDescent="0.3">
      <c r="A32" s="8" t="s">
        <v>37</v>
      </c>
      <c r="B32" s="4" t="s">
        <v>38</v>
      </c>
      <c r="C32" s="4">
        <v>5</v>
      </c>
      <c r="D32" s="4">
        <v>4</v>
      </c>
      <c r="E32" s="4">
        <v>2</v>
      </c>
      <c r="F32" s="4">
        <v>3</v>
      </c>
      <c r="G32" s="4">
        <v>2</v>
      </c>
      <c r="H32" s="4">
        <v>4</v>
      </c>
      <c r="I32" s="4">
        <v>4</v>
      </c>
      <c r="J32" s="4">
        <v>4</v>
      </c>
      <c r="K32" s="4">
        <v>4</v>
      </c>
      <c r="L32" s="4">
        <v>2</v>
      </c>
      <c r="M32" s="4">
        <v>1</v>
      </c>
      <c r="N32" s="3" t="s">
        <v>12</v>
      </c>
      <c r="P32" s="8" t="s">
        <v>37</v>
      </c>
      <c r="Q32" s="4" t="s">
        <v>38</v>
      </c>
      <c r="R32" s="4">
        <v>6</v>
      </c>
      <c r="S32" s="4">
        <v>5</v>
      </c>
      <c r="T32" s="4">
        <v>3</v>
      </c>
      <c r="U32" s="4">
        <v>4</v>
      </c>
      <c r="V32" s="4">
        <v>3</v>
      </c>
      <c r="W32" s="4">
        <v>9</v>
      </c>
      <c r="X32" s="4">
        <v>6</v>
      </c>
      <c r="Y32" s="4">
        <v>5</v>
      </c>
      <c r="Z32" s="4">
        <v>5</v>
      </c>
      <c r="AA32" s="4">
        <v>3</v>
      </c>
      <c r="AB32" s="4">
        <v>2</v>
      </c>
      <c r="AC32" s="3" t="s">
        <v>49</v>
      </c>
      <c r="AE32" s="8" t="s">
        <v>37</v>
      </c>
      <c r="AF32" s="9" t="s">
        <v>90</v>
      </c>
      <c r="AG32" s="9" t="s">
        <v>90</v>
      </c>
      <c r="AH32" s="9" t="s">
        <v>90</v>
      </c>
      <c r="AI32" s="9" t="s">
        <v>90</v>
      </c>
      <c r="AJ32" s="9" t="s">
        <v>90</v>
      </c>
      <c r="AK32" s="9" t="s">
        <v>90</v>
      </c>
      <c r="AL32" s="9" t="s">
        <v>90</v>
      </c>
      <c r="AM32" s="9" t="s">
        <v>90</v>
      </c>
      <c r="AN32" s="9" t="s">
        <v>90</v>
      </c>
      <c r="AO32" s="9" t="s">
        <v>90</v>
      </c>
      <c r="AP32" s="9" t="s">
        <v>90</v>
      </c>
      <c r="AQ32" s="9" t="s">
        <v>90</v>
      </c>
      <c r="AR32" s="9"/>
      <c r="AT32" s="8" t="s">
        <v>37</v>
      </c>
      <c r="AU32" s="3" t="s">
        <v>127</v>
      </c>
      <c r="AV32" s="3" t="s">
        <v>127</v>
      </c>
      <c r="AW32" s="3" t="s">
        <v>127</v>
      </c>
      <c r="AX32" s="3" t="s">
        <v>127</v>
      </c>
      <c r="AY32" s="3" t="s">
        <v>127</v>
      </c>
      <c r="AZ32" s="3" t="s">
        <v>127</v>
      </c>
      <c r="BA32" s="3" t="s">
        <v>127</v>
      </c>
      <c r="BB32" s="3" t="s">
        <v>127</v>
      </c>
      <c r="BC32" s="3" t="s">
        <v>127</v>
      </c>
      <c r="BD32" s="3" t="s">
        <v>127</v>
      </c>
      <c r="BE32" s="3" t="s">
        <v>127</v>
      </c>
      <c r="BF32" s="3" t="s">
        <v>127</v>
      </c>
      <c r="BG32" s="9"/>
      <c r="BI32" s="8" t="s">
        <v>37</v>
      </c>
      <c r="BJ32" s="3" t="s">
        <v>128</v>
      </c>
      <c r="BK32" s="3" t="s">
        <v>128</v>
      </c>
      <c r="BL32" s="3" t="s">
        <v>128</v>
      </c>
      <c r="BM32" s="3" t="s">
        <v>128</v>
      </c>
      <c r="BN32" s="3" t="s">
        <v>128</v>
      </c>
      <c r="BO32" s="3" t="s">
        <v>128</v>
      </c>
      <c r="BP32" s="3" t="s">
        <v>128</v>
      </c>
      <c r="BQ32" s="3" t="s">
        <v>128</v>
      </c>
      <c r="BR32" s="3" t="s">
        <v>128</v>
      </c>
      <c r="BS32" s="3" t="s">
        <v>128</v>
      </c>
      <c r="BT32" s="3" t="s">
        <v>128</v>
      </c>
      <c r="BU32" s="3" t="s">
        <v>128</v>
      </c>
      <c r="BV32" s="9"/>
    </row>
    <row r="33" spans="1:61" x14ac:dyDescent="0.3">
      <c r="A33">
        <f>INDEX(TableStoriesNS,MATCH(A36,OccStoriesNS,0),MATCH(B36,ConstructionStoriesNS,0))</f>
        <v>2</v>
      </c>
      <c r="P33">
        <f>INDEX(TableStoriesSS,MATCH(A36,OccStoriesSS,0),MATCH(B36,ConstructionStoriesSS,0))</f>
        <v>3</v>
      </c>
      <c r="AE33" t="str">
        <f>INDEX(TableStoriesAIL,MATCH(A36,OccStoriesAIL,0),MATCH(B36,ConstructionStoriesAIL,0))</f>
        <v>No Limitations</v>
      </c>
      <c r="AT33" t="str">
        <f>INDEX(TableStories13D,MATCH(A36,OccStories13D,0),MATCH(B36,ConstructionStories13D,0))</f>
        <v>NP W/ 13D</v>
      </c>
      <c r="BI33" t="str">
        <f>INDEX(TableStories13R,MATCH(A36,OccStories13R,0),MATCH(B36,ConstructionStories13R,0))</f>
        <v>NP W/13R</v>
      </c>
    </row>
    <row r="35" spans="1:61" x14ac:dyDescent="0.3">
      <c r="A35" s="17" t="s">
        <v>97</v>
      </c>
      <c r="B35" s="17"/>
      <c r="M35" s="17"/>
      <c r="N35" s="17"/>
    </row>
    <row r="36" spans="1:61" x14ac:dyDescent="0.3">
      <c r="A36" s="17" t="str">
        <f>'2021-2024 Frontage Increase'!B5</f>
        <v>B</v>
      </c>
      <c r="B36" s="17" t="str">
        <f>'2021-2024 Frontage Increase'!B6</f>
        <v>V-B</v>
      </c>
      <c r="M36" s="17"/>
      <c r="N36" s="17"/>
    </row>
    <row r="38" spans="1:61" x14ac:dyDescent="0.3">
      <c r="A38" t="s">
        <v>42</v>
      </c>
    </row>
    <row r="40" spans="1:61" x14ac:dyDescent="0.3">
      <c r="A40" t="s">
        <v>44</v>
      </c>
    </row>
    <row r="41" spans="1:61" x14ac:dyDescent="0.3">
      <c r="A41" t="s">
        <v>52</v>
      </c>
    </row>
    <row r="42" spans="1:61" x14ac:dyDescent="0.3">
      <c r="A42" t="s">
        <v>46</v>
      </c>
    </row>
    <row r="43" spans="1:61" x14ac:dyDescent="0.3">
      <c r="A43" t="s">
        <v>45</v>
      </c>
    </row>
    <row r="143" spans="1:11" x14ac:dyDescent="0.3">
      <c r="A143" s="1"/>
      <c r="B143" s="16"/>
      <c r="C143" s="16"/>
      <c r="D143" s="16"/>
      <c r="E143" s="16"/>
      <c r="F143" s="16"/>
      <c r="G143" s="16"/>
      <c r="H143" s="16"/>
      <c r="I143" s="16"/>
      <c r="J143" s="16"/>
      <c r="K143" s="13"/>
    </row>
    <row r="144" spans="1:11" x14ac:dyDescent="0.3">
      <c r="A144" s="2"/>
      <c r="B144" s="16"/>
      <c r="C144" s="16"/>
      <c r="D144" s="16"/>
      <c r="E144" s="16"/>
      <c r="F144" s="16"/>
      <c r="G144" s="16"/>
      <c r="H144" s="16"/>
      <c r="I144" s="16"/>
      <c r="J144" s="16"/>
      <c r="K144" s="13"/>
    </row>
  </sheetData>
  <dataValidations disablePrompts="1" count="3">
    <dataValidation type="list" allowBlank="1" showInputMessage="1" showErrorMessage="1" sqref="C43" xr:uid="{00000000-0002-0000-0500-000000000000}">
      <formula1>"I-A,I-B,II-A,II-B,III-A,III-B,IV-HT,V-A,V-B"</formula1>
    </dataValidation>
    <dataValidation type="list" allowBlank="1" showInputMessage="1" showErrorMessage="1" sqref="B43" xr:uid="{00000000-0002-0000-0500-000001000000}">
      <formula1>"A1,A2,A3,A4,A5,B,E,F-1,F-2,H-1,H-2,H-3,H-4,H-5,I2/I-2.1,I-3,I-4,L,M,R-1,R-2,R-2.1,R-3/R3.1,R-4,S-1,S-2,U"</formula1>
    </dataValidation>
    <dataValidation type="list" allowBlank="1" showInputMessage="1" showErrorMessage="1" sqref="D43" xr:uid="{00000000-0002-0000-0500-000002000000}">
      <formula1>"NS,S1,SM,S13D,S13R"</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K233"/>
  <sheetViews>
    <sheetView topLeftCell="P1" zoomScale="75" zoomScaleNormal="75" workbookViewId="0">
      <selection activeCell="B20" sqref="B20"/>
    </sheetView>
  </sheetViews>
  <sheetFormatPr defaultRowHeight="14.4" x14ac:dyDescent="0.3"/>
  <cols>
    <col min="1" max="1" width="14.88671875" customWidth="1"/>
    <col min="11" max="11" width="12.109375" customWidth="1"/>
    <col min="13" max="13" width="11.5546875" customWidth="1"/>
    <col min="14" max="14" width="12.5546875" customWidth="1"/>
    <col min="15" max="15" width="14.109375" customWidth="1"/>
    <col min="16" max="16" width="16.109375" customWidth="1"/>
  </cols>
  <sheetData>
    <row r="1" spans="1:89" ht="16.2" customHeight="1" x14ac:dyDescent="0.3">
      <c r="A1" t="s">
        <v>83</v>
      </c>
      <c r="P1" s="15" t="s">
        <v>134</v>
      </c>
      <c r="AE1" s="14" t="s">
        <v>136</v>
      </c>
      <c r="AT1" s="14" t="s">
        <v>88</v>
      </c>
      <c r="BI1" s="13" t="s">
        <v>86</v>
      </c>
      <c r="BX1" t="s">
        <v>87</v>
      </c>
    </row>
    <row r="2" spans="1:89" ht="16.2" customHeight="1" x14ac:dyDescent="0.3">
      <c r="A2" s="10"/>
      <c r="B2" s="3" t="s">
        <v>63</v>
      </c>
      <c r="C2" s="3" t="s">
        <v>64</v>
      </c>
      <c r="D2" s="3" t="s">
        <v>65</v>
      </c>
      <c r="E2" s="3" t="s">
        <v>66</v>
      </c>
      <c r="F2" s="3" t="s">
        <v>67</v>
      </c>
      <c r="G2" s="3" t="s">
        <v>68</v>
      </c>
      <c r="H2" s="3" t="s">
        <v>175</v>
      </c>
      <c r="I2" s="3" t="s">
        <v>176</v>
      </c>
      <c r="J2" s="3" t="s">
        <v>177</v>
      </c>
      <c r="K2" s="3" t="s">
        <v>71</v>
      </c>
      <c r="L2" s="3" t="s">
        <v>69</v>
      </c>
      <c r="M2" s="3" t="s">
        <v>70</v>
      </c>
      <c r="N2" s="9"/>
      <c r="P2" s="10"/>
      <c r="Q2" s="3" t="s">
        <v>63</v>
      </c>
      <c r="R2" s="3" t="s">
        <v>64</v>
      </c>
      <c r="S2" s="3" t="s">
        <v>65</v>
      </c>
      <c r="T2" s="3" t="s">
        <v>66</v>
      </c>
      <c r="U2" s="3" t="s">
        <v>67</v>
      </c>
      <c r="V2" s="3" t="s">
        <v>68</v>
      </c>
      <c r="W2" s="3" t="s">
        <v>175</v>
      </c>
      <c r="X2" s="3" t="s">
        <v>176</v>
      </c>
      <c r="Y2" s="3" t="s">
        <v>177</v>
      </c>
      <c r="Z2" s="3" t="s">
        <v>71</v>
      </c>
      <c r="AA2" s="3" t="s">
        <v>69</v>
      </c>
      <c r="AB2" s="3" t="s">
        <v>70</v>
      </c>
      <c r="AC2" s="9"/>
      <c r="AE2" s="10">
        <v>0</v>
      </c>
      <c r="AF2" s="3" t="s">
        <v>63</v>
      </c>
      <c r="AG2" s="3" t="s">
        <v>64</v>
      </c>
      <c r="AH2" s="3" t="s">
        <v>65</v>
      </c>
      <c r="AI2" s="3" t="s">
        <v>66</v>
      </c>
      <c r="AJ2" s="3" t="s">
        <v>67</v>
      </c>
      <c r="AK2" s="3" t="s">
        <v>68</v>
      </c>
      <c r="AL2" s="3" t="s">
        <v>175</v>
      </c>
      <c r="AM2" s="3" t="s">
        <v>176</v>
      </c>
      <c r="AN2" s="3" t="s">
        <v>177</v>
      </c>
      <c r="AO2" s="3" t="s">
        <v>71</v>
      </c>
      <c r="AP2" s="3" t="s">
        <v>69</v>
      </c>
      <c r="AQ2" s="3" t="s">
        <v>70</v>
      </c>
      <c r="AR2" s="9"/>
      <c r="AT2" s="10">
        <v>0</v>
      </c>
      <c r="AU2" s="3" t="s">
        <v>63</v>
      </c>
      <c r="AV2" s="3" t="s">
        <v>64</v>
      </c>
      <c r="AW2" s="3" t="s">
        <v>65</v>
      </c>
      <c r="AX2" s="3" t="s">
        <v>66</v>
      </c>
      <c r="AY2" s="3" t="s">
        <v>67</v>
      </c>
      <c r="AZ2" s="3" t="s">
        <v>68</v>
      </c>
      <c r="BA2" s="3" t="s">
        <v>175</v>
      </c>
      <c r="BB2" s="3" t="s">
        <v>176</v>
      </c>
      <c r="BC2" s="3" t="s">
        <v>177</v>
      </c>
      <c r="BD2" s="3" t="s">
        <v>71</v>
      </c>
      <c r="BE2" s="3" t="s">
        <v>69</v>
      </c>
      <c r="BF2" s="3" t="s">
        <v>70</v>
      </c>
      <c r="BG2" s="9"/>
      <c r="BI2" s="10">
        <v>0</v>
      </c>
      <c r="BJ2" s="3" t="s">
        <v>63</v>
      </c>
      <c r="BK2" s="3" t="s">
        <v>64</v>
      </c>
      <c r="BL2" s="3" t="s">
        <v>65</v>
      </c>
      <c r="BM2" s="3" t="s">
        <v>66</v>
      </c>
      <c r="BN2" s="3" t="s">
        <v>67</v>
      </c>
      <c r="BO2" s="3" t="s">
        <v>68</v>
      </c>
      <c r="BP2" s="3" t="s">
        <v>175</v>
      </c>
      <c r="BQ2" s="3" t="s">
        <v>176</v>
      </c>
      <c r="BR2" s="3" t="s">
        <v>177</v>
      </c>
      <c r="BS2" s="3" t="s">
        <v>71</v>
      </c>
      <c r="BT2" s="3" t="s">
        <v>69</v>
      </c>
      <c r="BU2" s="3" t="s">
        <v>70</v>
      </c>
      <c r="BV2" s="9"/>
      <c r="BX2" s="10">
        <v>0</v>
      </c>
      <c r="BY2" s="3" t="s">
        <v>63</v>
      </c>
      <c r="BZ2" s="3" t="s">
        <v>64</v>
      </c>
      <c r="CA2" s="3" t="s">
        <v>65</v>
      </c>
      <c r="CB2" s="3" t="s">
        <v>66</v>
      </c>
      <c r="CC2" s="3" t="s">
        <v>67</v>
      </c>
      <c r="CD2" s="3" t="s">
        <v>68</v>
      </c>
      <c r="CE2" s="3" t="s">
        <v>175</v>
      </c>
      <c r="CF2" s="3" t="s">
        <v>176</v>
      </c>
      <c r="CG2" s="3" t="s">
        <v>177</v>
      </c>
      <c r="CH2" s="3" t="s">
        <v>71</v>
      </c>
      <c r="CI2" s="3" t="s">
        <v>69</v>
      </c>
      <c r="CJ2" s="3" t="s">
        <v>70</v>
      </c>
      <c r="CK2" s="9"/>
    </row>
    <row r="3" spans="1:89" ht="16.2" customHeight="1" x14ac:dyDescent="0.3">
      <c r="A3" s="3" t="s">
        <v>11</v>
      </c>
      <c r="B3" s="4" t="s">
        <v>38</v>
      </c>
      <c r="C3" s="4" t="s">
        <v>38</v>
      </c>
      <c r="D3" s="4">
        <v>15500</v>
      </c>
      <c r="E3" s="4">
        <v>8500</v>
      </c>
      <c r="F3" s="4">
        <v>14000</v>
      </c>
      <c r="G3" s="4">
        <v>8500</v>
      </c>
      <c r="H3" s="4">
        <v>45000</v>
      </c>
      <c r="I3" s="4">
        <v>30000</v>
      </c>
      <c r="J3" s="4">
        <v>18750</v>
      </c>
      <c r="K3" s="4">
        <v>15000</v>
      </c>
      <c r="L3" s="4">
        <v>11500</v>
      </c>
      <c r="M3" s="4">
        <v>5500</v>
      </c>
      <c r="N3" s="3" t="s">
        <v>12</v>
      </c>
      <c r="P3" s="3" t="s">
        <v>11</v>
      </c>
      <c r="Q3" s="4" t="s">
        <v>38</v>
      </c>
      <c r="R3" s="4" t="s">
        <v>38</v>
      </c>
      <c r="S3" s="4">
        <v>62000</v>
      </c>
      <c r="T3" s="4">
        <v>34000</v>
      </c>
      <c r="U3" s="4">
        <v>56000</v>
      </c>
      <c r="V3" s="4">
        <v>34000</v>
      </c>
      <c r="W3" s="4">
        <v>180000</v>
      </c>
      <c r="X3" s="4">
        <v>120000</v>
      </c>
      <c r="Y3" s="4">
        <v>75000</v>
      </c>
      <c r="Z3" s="4">
        <v>60000</v>
      </c>
      <c r="AA3" s="4">
        <v>46000</v>
      </c>
      <c r="AB3" s="4">
        <v>22000</v>
      </c>
      <c r="AC3" s="3" t="s">
        <v>13</v>
      </c>
      <c r="AE3" s="3" t="s">
        <v>11</v>
      </c>
      <c r="AF3" s="4" t="s">
        <v>38</v>
      </c>
      <c r="AG3" s="4" t="s">
        <v>38</v>
      </c>
      <c r="AH3" s="4">
        <v>46500</v>
      </c>
      <c r="AI3" s="4">
        <v>25500</v>
      </c>
      <c r="AJ3" s="4">
        <v>42000</v>
      </c>
      <c r="AK3" s="4">
        <v>25500</v>
      </c>
      <c r="AL3" s="4">
        <v>135000</v>
      </c>
      <c r="AM3" s="4">
        <v>90000</v>
      </c>
      <c r="AN3" s="4">
        <v>56250</v>
      </c>
      <c r="AO3" s="4">
        <v>45000</v>
      </c>
      <c r="AP3" s="4">
        <v>34500</v>
      </c>
      <c r="AQ3" s="4">
        <v>16500</v>
      </c>
      <c r="AR3" s="3" t="s">
        <v>14</v>
      </c>
      <c r="AT3" s="3" t="s">
        <v>11</v>
      </c>
      <c r="AU3" s="9" t="s">
        <v>90</v>
      </c>
      <c r="AV3" s="9" t="s">
        <v>90</v>
      </c>
      <c r="AW3" s="9" t="s">
        <v>90</v>
      </c>
      <c r="AX3" s="9" t="s">
        <v>90</v>
      </c>
      <c r="AY3" s="9" t="s">
        <v>90</v>
      </c>
      <c r="AZ3" s="9" t="s">
        <v>90</v>
      </c>
      <c r="BA3" s="9" t="s">
        <v>90</v>
      </c>
      <c r="BB3" s="9" t="s">
        <v>90</v>
      </c>
      <c r="BC3" s="9" t="s">
        <v>90</v>
      </c>
      <c r="BD3" s="9" t="s">
        <v>90</v>
      </c>
      <c r="BE3" s="9" t="s">
        <v>90</v>
      </c>
      <c r="BF3" s="9" t="s">
        <v>90</v>
      </c>
      <c r="BG3" s="9"/>
      <c r="BI3" s="3" t="s">
        <v>11</v>
      </c>
      <c r="BJ3" s="4" t="s">
        <v>127</v>
      </c>
      <c r="BK3" s="4" t="s">
        <v>127</v>
      </c>
      <c r="BL3" s="4" t="s">
        <v>127</v>
      </c>
      <c r="BM3" s="4" t="s">
        <v>127</v>
      </c>
      <c r="BN3" s="4" t="s">
        <v>127</v>
      </c>
      <c r="BO3" s="4" t="s">
        <v>127</v>
      </c>
      <c r="BP3" s="4" t="s">
        <v>127</v>
      </c>
      <c r="BQ3" s="4" t="s">
        <v>127</v>
      </c>
      <c r="BR3" s="4" t="s">
        <v>127</v>
      </c>
      <c r="BS3" s="4" t="s">
        <v>127</v>
      </c>
      <c r="BT3" s="4" t="s">
        <v>127</v>
      </c>
      <c r="BU3" s="4" t="s">
        <v>127</v>
      </c>
      <c r="BV3" s="3"/>
      <c r="BW3" s="23"/>
      <c r="BX3" s="3" t="s">
        <v>11</v>
      </c>
      <c r="BY3" s="4" t="s">
        <v>128</v>
      </c>
      <c r="BZ3" s="4" t="s">
        <v>128</v>
      </c>
      <c r="CA3" s="4" t="s">
        <v>128</v>
      </c>
      <c r="CB3" s="4" t="s">
        <v>128</v>
      </c>
      <c r="CC3" s="4" t="s">
        <v>128</v>
      </c>
      <c r="CD3" s="4" t="s">
        <v>128</v>
      </c>
      <c r="CE3" s="4" t="s">
        <v>128</v>
      </c>
      <c r="CF3" s="4" t="s">
        <v>128</v>
      </c>
      <c r="CG3" s="4" t="s">
        <v>128</v>
      </c>
      <c r="CH3" s="4" t="s">
        <v>128</v>
      </c>
      <c r="CI3" s="4" t="s">
        <v>128</v>
      </c>
      <c r="CJ3" s="4" t="s">
        <v>128</v>
      </c>
      <c r="CK3" s="3"/>
    </row>
    <row r="4" spans="1:89" ht="16.2" customHeight="1" x14ac:dyDescent="0.3">
      <c r="A4" s="3" t="s">
        <v>15</v>
      </c>
      <c r="B4" s="4" t="s">
        <v>38</v>
      </c>
      <c r="C4" s="4" t="s">
        <v>38</v>
      </c>
      <c r="D4" s="4">
        <v>15500</v>
      </c>
      <c r="E4" s="4">
        <v>9500</v>
      </c>
      <c r="F4" s="4">
        <v>14000</v>
      </c>
      <c r="G4" s="4">
        <v>9500</v>
      </c>
      <c r="H4" s="4">
        <v>45000</v>
      </c>
      <c r="I4" s="4">
        <v>30000</v>
      </c>
      <c r="J4" s="4">
        <v>18750</v>
      </c>
      <c r="K4" s="4">
        <v>15000</v>
      </c>
      <c r="L4" s="4">
        <v>11500</v>
      </c>
      <c r="M4" s="4">
        <v>6000</v>
      </c>
      <c r="N4" s="3" t="s">
        <v>12</v>
      </c>
      <c r="P4" s="3" t="s">
        <v>15</v>
      </c>
      <c r="Q4" s="4" t="s">
        <v>38</v>
      </c>
      <c r="R4" s="4" t="s">
        <v>38</v>
      </c>
      <c r="S4" s="4">
        <v>62000</v>
      </c>
      <c r="T4" s="4">
        <v>38000</v>
      </c>
      <c r="U4" s="4">
        <v>56000</v>
      </c>
      <c r="V4" s="4">
        <v>38000</v>
      </c>
      <c r="W4" s="4">
        <v>180000</v>
      </c>
      <c r="X4" s="4">
        <v>120000</v>
      </c>
      <c r="Y4" s="4">
        <v>75000</v>
      </c>
      <c r="Z4" s="4">
        <v>60000</v>
      </c>
      <c r="AA4" s="4">
        <v>46000</v>
      </c>
      <c r="AB4" s="4">
        <v>24000</v>
      </c>
      <c r="AC4" s="3" t="s">
        <v>13</v>
      </c>
      <c r="AE4" s="3" t="s">
        <v>15</v>
      </c>
      <c r="AF4" s="4" t="s">
        <v>38</v>
      </c>
      <c r="AG4" s="4" t="s">
        <v>38</v>
      </c>
      <c r="AH4" s="4">
        <v>46500</v>
      </c>
      <c r="AI4" s="4">
        <v>28500</v>
      </c>
      <c r="AJ4" s="4">
        <v>42000</v>
      </c>
      <c r="AK4" s="4">
        <v>28500</v>
      </c>
      <c r="AL4" s="4">
        <v>135000</v>
      </c>
      <c r="AM4" s="4">
        <v>90000</v>
      </c>
      <c r="AN4" s="4">
        <v>56250</v>
      </c>
      <c r="AO4" s="4">
        <v>45000</v>
      </c>
      <c r="AP4" s="4">
        <v>34500</v>
      </c>
      <c r="AQ4" s="4">
        <v>18000</v>
      </c>
      <c r="AR4" s="5" t="s">
        <v>33</v>
      </c>
      <c r="AT4" s="3" t="s">
        <v>15</v>
      </c>
      <c r="AU4" s="4" t="s">
        <v>38</v>
      </c>
      <c r="AV4" s="4" t="s">
        <v>38</v>
      </c>
      <c r="AW4" s="4">
        <v>15500</v>
      </c>
      <c r="AX4" s="4">
        <v>9500</v>
      </c>
      <c r="AY4" s="4">
        <v>14000</v>
      </c>
      <c r="AZ4" s="4">
        <v>95000</v>
      </c>
      <c r="BA4" s="4">
        <v>45000</v>
      </c>
      <c r="BB4" s="4">
        <v>30000</v>
      </c>
      <c r="BC4" s="4">
        <v>18750</v>
      </c>
      <c r="BD4" s="4">
        <v>15000</v>
      </c>
      <c r="BE4" s="4">
        <v>11500</v>
      </c>
      <c r="BF4" s="4">
        <v>6000</v>
      </c>
      <c r="BG4" s="5" t="s">
        <v>32</v>
      </c>
      <c r="BI4" s="3" t="s">
        <v>15</v>
      </c>
      <c r="BJ4" s="4" t="s">
        <v>127</v>
      </c>
      <c r="BK4" s="4" t="s">
        <v>127</v>
      </c>
      <c r="BL4" s="4" t="s">
        <v>127</v>
      </c>
      <c r="BM4" s="4" t="s">
        <v>127</v>
      </c>
      <c r="BN4" s="4" t="s">
        <v>127</v>
      </c>
      <c r="BO4" s="4" t="s">
        <v>127</v>
      </c>
      <c r="BP4" s="4" t="s">
        <v>127</v>
      </c>
      <c r="BQ4" s="4" t="s">
        <v>127</v>
      </c>
      <c r="BR4" s="4" t="s">
        <v>127</v>
      </c>
      <c r="BS4" s="4" t="s">
        <v>127</v>
      </c>
      <c r="BT4" s="4" t="s">
        <v>127</v>
      </c>
      <c r="BU4" s="4" t="s">
        <v>127</v>
      </c>
      <c r="BV4" s="3"/>
      <c r="BW4" s="23"/>
      <c r="BX4" s="3" t="s">
        <v>15</v>
      </c>
      <c r="BY4" s="4" t="s">
        <v>128</v>
      </c>
      <c r="BZ4" s="4" t="s">
        <v>128</v>
      </c>
      <c r="CA4" s="4" t="s">
        <v>128</v>
      </c>
      <c r="CB4" s="4" t="s">
        <v>128</v>
      </c>
      <c r="CC4" s="4" t="s">
        <v>128</v>
      </c>
      <c r="CD4" s="4" t="s">
        <v>128</v>
      </c>
      <c r="CE4" s="4" t="s">
        <v>128</v>
      </c>
      <c r="CF4" s="4" t="s">
        <v>128</v>
      </c>
      <c r="CG4" s="4" t="s">
        <v>128</v>
      </c>
      <c r="CH4" s="4" t="s">
        <v>128</v>
      </c>
      <c r="CI4" s="4" t="s">
        <v>128</v>
      </c>
      <c r="CJ4" s="4" t="s">
        <v>128</v>
      </c>
      <c r="CK4" s="3"/>
    </row>
    <row r="5" spans="1:89" ht="16.2" customHeight="1" x14ac:dyDescent="0.3">
      <c r="A5" s="3" t="s">
        <v>16</v>
      </c>
      <c r="B5" s="4" t="s">
        <v>38</v>
      </c>
      <c r="C5" s="4" t="s">
        <v>38</v>
      </c>
      <c r="D5" s="4">
        <v>15500</v>
      </c>
      <c r="E5" s="4">
        <v>9500</v>
      </c>
      <c r="F5" s="4">
        <v>14000</v>
      </c>
      <c r="G5" s="4">
        <v>9500</v>
      </c>
      <c r="H5" s="4">
        <v>45000</v>
      </c>
      <c r="I5" s="4">
        <v>30000</v>
      </c>
      <c r="J5" s="4">
        <v>18750</v>
      </c>
      <c r="K5" s="4">
        <v>15000</v>
      </c>
      <c r="L5" s="4">
        <v>11500</v>
      </c>
      <c r="M5" s="4">
        <v>6000</v>
      </c>
      <c r="N5" s="3" t="s">
        <v>12</v>
      </c>
      <c r="O5">
        <f>IF(B7="NS",'2021 area Table 506.2'!A34,IF(B7="S1",'2021 area Table 506.2'!P34,IF('2009-2018 Frontage Increase'!B7="SM",'2021 area Table 506.2'!AE34,IF('2009-2018 Frontage Increase'!B7="S13D,'Allowable area Table 506.2'!AW31,IF('Area Increase Calculator'!B7=""S13R",'2021 area Table 506.2'!BX34,0))))</f>
        <v>0</v>
      </c>
      <c r="P5" s="3" t="s">
        <v>16</v>
      </c>
      <c r="Q5" s="4" t="s">
        <v>38</v>
      </c>
      <c r="R5" s="4" t="s">
        <v>38</v>
      </c>
      <c r="S5" s="4">
        <v>62000</v>
      </c>
      <c r="T5" s="4">
        <v>38000</v>
      </c>
      <c r="U5" s="4">
        <v>56000</v>
      </c>
      <c r="V5" s="4">
        <v>38000</v>
      </c>
      <c r="W5" s="4">
        <v>180000</v>
      </c>
      <c r="X5" s="4">
        <v>120000</v>
      </c>
      <c r="Y5" s="4">
        <v>75000</v>
      </c>
      <c r="Z5" s="4">
        <v>60000</v>
      </c>
      <c r="AA5" s="4">
        <v>46000</v>
      </c>
      <c r="AB5" s="4">
        <v>24000</v>
      </c>
      <c r="AC5" s="3" t="s">
        <v>13</v>
      </c>
      <c r="AE5" s="3" t="s">
        <v>16</v>
      </c>
      <c r="AF5" s="4" t="s">
        <v>38</v>
      </c>
      <c r="AG5" s="4" t="s">
        <v>38</v>
      </c>
      <c r="AH5" s="4">
        <v>46500</v>
      </c>
      <c r="AI5" s="4">
        <v>28500</v>
      </c>
      <c r="AJ5" s="4">
        <v>42000</v>
      </c>
      <c r="AK5" s="4">
        <v>28500</v>
      </c>
      <c r="AL5" s="4">
        <v>135000</v>
      </c>
      <c r="AM5" s="4">
        <v>90000</v>
      </c>
      <c r="AN5" s="4">
        <v>56250</v>
      </c>
      <c r="AO5" s="4">
        <v>45000</v>
      </c>
      <c r="AP5" s="4">
        <v>34500</v>
      </c>
      <c r="AQ5" s="4">
        <v>18000</v>
      </c>
      <c r="AR5" s="3" t="s">
        <v>14</v>
      </c>
      <c r="AT5" s="3" t="s">
        <v>16</v>
      </c>
      <c r="AU5" s="9" t="s">
        <v>90</v>
      </c>
      <c r="AV5" s="9" t="s">
        <v>90</v>
      </c>
      <c r="AW5" s="9" t="s">
        <v>90</v>
      </c>
      <c r="AX5" s="9" t="s">
        <v>90</v>
      </c>
      <c r="AY5" s="9" t="s">
        <v>90</v>
      </c>
      <c r="AZ5" s="9" t="s">
        <v>90</v>
      </c>
      <c r="BA5" s="9" t="s">
        <v>90</v>
      </c>
      <c r="BB5" s="9" t="s">
        <v>90</v>
      </c>
      <c r="BC5" s="9" t="s">
        <v>90</v>
      </c>
      <c r="BD5" s="9" t="s">
        <v>90</v>
      </c>
      <c r="BE5" s="9" t="s">
        <v>90</v>
      </c>
      <c r="BF5" s="9" t="s">
        <v>90</v>
      </c>
      <c r="BG5" s="9"/>
      <c r="BI5" s="3" t="s">
        <v>16</v>
      </c>
      <c r="BJ5" s="4" t="s">
        <v>127</v>
      </c>
      <c r="BK5" s="4" t="s">
        <v>127</v>
      </c>
      <c r="BL5" s="4" t="s">
        <v>127</v>
      </c>
      <c r="BM5" s="4" t="s">
        <v>127</v>
      </c>
      <c r="BN5" s="4" t="s">
        <v>127</v>
      </c>
      <c r="BO5" s="4" t="s">
        <v>127</v>
      </c>
      <c r="BP5" s="4" t="s">
        <v>127</v>
      </c>
      <c r="BQ5" s="4" t="s">
        <v>127</v>
      </c>
      <c r="BR5" s="4" t="s">
        <v>127</v>
      </c>
      <c r="BS5" s="4" t="s">
        <v>127</v>
      </c>
      <c r="BT5" s="4" t="s">
        <v>127</v>
      </c>
      <c r="BU5" s="4" t="s">
        <v>127</v>
      </c>
      <c r="BV5" s="3"/>
      <c r="BW5" s="23"/>
      <c r="BX5" s="3" t="s">
        <v>16</v>
      </c>
      <c r="BY5" s="4" t="s">
        <v>128</v>
      </c>
      <c r="BZ5" s="4" t="s">
        <v>128</v>
      </c>
      <c r="CA5" s="4" t="s">
        <v>128</v>
      </c>
      <c r="CB5" s="4" t="s">
        <v>128</v>
      </c>
      <c r="CC5" s="4" t="s">
        <v>128</v>
      </c>
      <c r="CD5" s="4" t="s">
        <v>128</v>
      </c>
      <c r="CE5" s="4" t="s">
        <v>128</v>
      </c>
      <c r="CF5" s="4" t="s">
        <v>128</v>
      </c>
      <c r="CG5" s="4" t="s">
        <v>128</v>
      </c>
      <c r="CH5" s="4" t="s">
        <v>128</v>
      </c>
      <c r="CI5" s="4" t="s">
        <v>128</v>
      </c>
      <c r="CJ5" s="4" t="s">
        <v>128</v>
      </c>
      <c r="CK5" s="3"/>
    </row>
    <row r="6" spans="1:89" ht="16.2" customHeight="1" x14ac:dyDescent="0.3">
      <c r="A6" s="3" t="s">
        <v>17</v>
      </c>
      <c r="B6" s="4" t="s">
        <v>38</v>
      </c>
      <c r="C6" s="4" t="s">
        <v>38</v>
      </c>
      <c r="D6" s="4">
        <v>15500</v>
      </c>
      <c r="E6" s="4">
        <v>9500</v>
      </c>
      <c r="F6" s="4">
        <v>14000</v>
      </c>
      <c r="G6" s="4">
        <v>9500</v>
      </c>
      <c r="H6" s="4">
        <v>45000</v>
      </c>
      <c r="I6" s="4">
        <v>30000</v>
      </c>
      <c r="J6" s="4">
        <v>18750</v>
      </c>
      <c r="K6" s="4">
        <v>15000</v>
      </c>
      <c r="L6" s="4">
        <v>11500</v>
      </c>
      <c r="M6" s="4">
        <v>6000</v>
      </c>
      <c r="N6" s="3" t="s">
        <v>12</v>
      </c>
      <c r="P6" s="3" t="s">
        <v>17</v>
      </c>
      <c r="Q6" s="4" t="s">
        <v>38</v>
      </c>
      <c r="R6" s="4" t="s">
        <v>38</v>
      </c>
      <c r="S6" s="4">
        <v>62000</v>
      </c>
      <c r="T6" s="4">
        <v>38000</v>
      </c>
      <c r="U6" s="4">
        <v>56000</v>
      </c>
      <c r="V6" s="4">
        <v>38000</v>
      </c>
      <c r="W6" s="4">
        <v>180000</v>
      </c>
      <c r="X6" s="4">
        <v>120000</v>
      </c>
      <c r="Y6" s="4">
        <v>75000</v>
      </c>
      <c r="Z6" s="4">
        <v>60000</v>
      </c>
      <c r="AA6" s="4">
        <v>46000</v>
      </c>
      <c r="AB6" s="4">
        <v>24000</v>
      </c>
      <c r="AC6" s="3" t="s">
        <v>13</v>
      </c>
      <c r="AE6" s="3" t="s">
        <v>17</v>
      </c>
      <c r="AF6" s="4" t="s">
        <v>38</v>
      </c>
      <c r="AG6" s="4" t="s">
        <v>38</v>
      </c>
      <c r="AH6" s="4">
        <v>46500</v>
      </c>
      <c r="AI6" s="4">
        <v>28500</v>
      </c>
      <c r="AJ6" s="4">
        <v>42000</v>
      </c>
      <c r="AK6" s="4">
        <v>28500</v>
      </c>
      <c r="AL6" s="4">
        <v>135000</v>
      </c>
      <c r="AM6" s="4">
        <v>90000</v>
      </c>
      <c r="AN6" s="4">
        <v>56250</v>
      </c>
      <c r="AO6" s="4">
        <v>45000</v>
      </c>
      <c r="AP6" s="4">
        <v>34500</v>
      </c>
      <c r="AQ6" s="4">
        <v>18000</v>
      </c>
      <c r="AR6" s="5" t="s">
        <v>33</v>
      </c>
      <c r="AT6" s="3" t="s">
        <v>17</v>
      </c>
      <c r="AU6" s="4" t="s">
        <v>38</v>
      </c>
      <c r="AV6" s="4" t="s">
        <v>38</v>
      </c>
      <c r="AW6" s="4">
        <v>15500</v>
      </c>
      <c r="AX6" s="4">
        <v>9500</v>
      </c>
      <c r="AY6" s="4">
        <v>14000</v>
      </c>
      <c r="AZ6" s="4">
        <v>9500</v>
      </c>
      <c r="BA6" s="4">
        <v>45000</v>
      </c>
      <c r="BB6" s="4">
        <v>30000</v>
      </c>
      <c r="BC6" s="4">
        <v>18750</v>
      </c>
      <c r="BD6" s="4">
        <v>15000</v>
      </c>
      <c r="BE6" s="4">
        <v>11500</v>
      </c>
      <c r="BF6" s="4">
        <v>6000</v>
      </c>
      <c r="BG6" s="5" t="s">
        <v>32</v>
      </c>
      <c r="BI6" s="3" t="s">
        <v>17</v>
      </c>
      <c r="BJ6" s="4" t="s">
        <v>127</v>
      </c>
      <c r="BK6" s="4" t="s">
        <v>127</v>
      </c>
      <c r="BL6" s="4" t="s">
        <v>127</v>
      </c>
      <c r="BM6" s="4" t="s">
        <v>127</v>
      </c>
      <c r="BN6" s="4" t="s">
        <v>127</v>
      </c>
      <c r="BO6" s="4" t="s">
        <v>127</v>
      </c>
      <c r="BP6" s="4" t="s">
        <v>127</v>
      </c>
      <c r="BQ6" s="4" t="s">
        <v>127</v>
      </c>
      <c r="BR6" s="4" t="s">
        <v>127</v>
      </c>
      <c r="BS6" s="4" t="s">
        <v>127</v>
      </c>
      <c r="BT6" s="4" t="s">
        <v>127</v>
      </c>
      <c r="BU6" s="4" t="s">
        <v>127</v>
      </c>
      <c r="BV6" s="3"/>
      <c r="BW6" s="23"/>
      <c r="BX6" s="3" t="s">
        <v>17</v>
      </c>
      <c r="BY6" s="4" t="s">
        <v>128</v>
      </c>
      <c r="BZ6" s="4" t="s">
        <v>128</v>
      </c>
      <c r="CA6" s="4" t="s">
        <v>128</v>
      </c>
      <c r="CB6" s="4" t="s">
        <v>128</v>
      </c>
      <c r="CC6" s="4" t="s">
        <v>128</v>
      </c>
      <c r="CD6" s="4" t="s">
        <v>128</v>
      </c>
      <c r="CE6" s="4" t="s">
        <v>128</v>
      </c>
      <c r="CF6" s="4" t="s">
        <v>128</v>
      </c>
      <c r="CG6" s="4" t="s">
        <v>128</v>
      </c>
      <c r="CH6" s="4" t="s">
        <v>128</v>
      </c>
      <c r="CI6" s="4" t="s">
        <v>128</v>
      </c>
      <c r="CJ6" s="4" t="s">
        <v>128</v>
      </c>
      <c r="CK6" s="3"/>
    </row>
    <row r="7" spans="1:89" ht="16.2" customHeight="1" x14ac:dyDescent="0.3">
      <c r="A7" s="3" t="s">
        <v>18</v>
      </c>
      <c r="B7" s="4" t="s">
        <v>38</v>
      </c>
      <c r="C7" s="4" t="s">
        <v>38</v>
      </c>
      <c r="D7" s="4" t="s">
        <v>38</v>
      </c>
      <c r="E7" s="4" t="s">
        <v>38</v>
      </c>
      <c r="F7" s="4" t="s">
        <v>38</v>
      </c>
      <c r="G7" s="4" t="s">
        <v>38</v>
      </c>
      <c r="H7" s="4" t="s">
        <v>38</v>
      </c>
      <c r="I7" s="4" t="s">
        <v>38</v>
      </c>
      <c r="J7" s="4" t="s">
        <v>38</v>
      </c>
      <c r="K7" s="4" t="s">
        <v>38</v>
      </c>
      <c r="L7" s="4" t="s">
        <v>38</v>
      </c>
      <c r="M7" s="4" t="s">
        <v>38</v>
      </c>
      <c r="N7" s="3" t="s">
        <v>12</v>
      </c>
      <c r="P7" s="3" t="s">
        <v>18</v>
      </c>
      <c r="Q7" s="4" t="s">
        <v>38</v>
      </c>
      <c r="R7" s="4" t="s">
        <v>38</v>
      </c>
      <c r="S7" s="4" t="s">
        <v>38</v>
      </c>
      <c r="T7" s="4" t="s">
        <v>38</v>
      </c>
      <c r="U7" s="4" t="s">
        <v>38</v>
      </c>
      <c r="V7" s="4" t="s">
        <v>38</v>
      </c>
      <c r="W7" s="4" t="s">
        <v>38</v>
      </c>
      <c r="X7" s="4" t="s">
        <v>38</v>
      </c>
      <c r="Y7" s="4" t="s">
        <v>38</v>
      </c>
      <c r="Z7" s="4" t="s">
        <v>38</v>
      </c>
      <c r="AA7" s="4" t="s">
        <v>38</v>
      </c>
      <c r="AB7" s="4" t="s">
        <v>38</v>
      </c>
      <c r="AC7" s="3" t="s">
        <v>13</v>
      </c>
      <c r="AE7" s="3" t="s">
        <v>18</v>
      </c>
      <c r="AF7" s="4" t="s">
        <v>38</v>
      </c>
      <c r="AG7" s="4" t="s">
        <v>38</v>
      </c>
      <c r="AH7" s="4" t="s">
        <v>38</v>
      </c>
      <c r="AI7" s="4" t="s">
        <v>38</v>
      </c>
      <c r="AJ7" s="4" t="s">
        <v>38</v>
      </c>
      <c r="AK7" s="4" t="s">
        <v>38</v>
      </c>
      <c r="AL7" s="4" t="s">
        <v>38</v>
      </c>
      <c r="AM7" s="4" t="s">
        <v>38</v>
      </c>
      <c r="AN7" s="4" t="s">
        <v>38</v>
      </c>
      <c r="AO7" s="4" t="s">
        <v>38</v>
      </c>
      <c r="AP7" s="4" t="s">
        <v>38</v>
      </c>
      <c r="AQ7" s="4" t="s">
        <v>38</v>
      </c>
      <c r="AR7" s="3" t="s">
        <v>14</v>
      </c>
      <c r="AT7" s="3" t="s">
        <v>18</v>
      </c>
      <c r="AU7" s="9" t="s">
        <v>90</v>
      </c>
      <c r="AV7" s="9" t="s">
        <v>90</v>
      </c>
      <c r="AW7" s="9" t="s">
        <v>90</v>
      </c>
      <c r="AX7" s="9" t="s">
        <v>90</v>
      </c>
      <c r="AY7" s="9" t="s">
        <v>90</v>
      </c>
      <c r="AZ7" s="9" t="s">
        <v>90</v>
      </c>
      <c r="BA7" s="9" t="s">
        <v>90</v>
      </c>
      <c r="BB7" s="9" t="s">
        <v>90</v>
      </c>
      <c r="BC7" s="9" t="s">
        <v>90</v>
      </c>
      <c r="BD7" s="9" t="s">
        <v>90</v>
      </c>
      <c r="BE7" s="9" t="s">
        <v>90</v>
      </c>
      <c r="BF7" s="9" t="s">
        <v>90</v>
      </c>
      <c r="BG7" s="9"/>
      <c r="BI7" s="3" t="s">
        <v>18</v>
      </c>
      <c r="BJ7" s="4" t="s">
        <v>127</v>
      </c>
      <c r="BK7" s="4" t="s">
        <v>127</v>
      </c>
      <c r="BL7" s="4" t="s">
        <v>127</v>
      </c>
      <c r="BM7" s="4" t="s">
        <v>127</v>
      </c>
      <c r="BN7" s="4" t="s">
        <v>127</v>
      </c>
      <c r="BO7" s="4" t="s">
        <v>127</v>
      </c>
      <c r="BP7" s="4" t="s">
        <v>127</v>
      </c>
      <c r="BQ7" s="4" t="s">
        <v>127</v>
      </c>
      <c r="BR7" s="4" t="s">
        <v>127</v>
      </c>
      <c r="BS7" s="4" t="s">
        <v>127</v>
      </c>
      <c r="BT7" s="4" t="s">
        <v>127</v>
      </c>
      <c r="BU7" s="4" t="s">
        <v>127</v>
      </c>
      <c r="BV7" s="3"/>
      <c r="BW7" s="23"/>
      <c r="BX7" s="3" t="s">
        <v>18</v>
      </c>
      <c r="BY7" s="4" t="s">
        <v>128</v>
      </c>
      <c r="BZ7" s="4" t="s">
        <v>128</v>
      </c>
      <c r="CA7" s="4" t="s">
        <v>128</v>
      </c>
      <c r="CB7" s="4" t="s">
        <v>128</v>
      </c>
      <c r="CC7" s="4" t="s">
        <v>128</v>
      </c>
      <c r="CD7" s="4" t="s">
        <v>128</v>
      </c>
      <c r="CE7" s="4" t="s">
        <v>128</v>
      </c>
      <c r="CF7" s="4" t="s">
        <v>128</v>
      </c>
      <c r="CG7" s="4" t="s">
        <v>128</v>
      </c>
      <c r="CH7" s="4" t="s">
        <v>128</v>
      </c>
      <c r="CI7" s="4" t="s">
        <v>128</v>
      </c>
      <c r="CJ7" s="4" t="s">
        <v>128</v>
      </c>
      <c r="CK7" s="3"/>
    </row>
    <row r="8" spans="1:89" ht="16.2" customHeight="1" x14ac:dyDescent="0.3">
      <c r="A8" s="3" t="s">
        <v>10</v>
      </c>
      <c r="B8" s="4" t="s">
        <v>38</v>
      </c>
      <c r="C8" s="4" t="s">
        <v>38</v>
      </c>
      <c r="D8" s="4">
        <v>37500</v>
      </c>
      <c r="E8" s="4">
        <v>23000</v>
      </c>
      <c r="F8" s="4">
        <v>28500</v>
      </c>
      <c r="G8" s="4">
        <v>19000</v>
      </c>
      <c r="H8" s="4">
        <v>108000</v>
      </c>
      <c r="I8" s="4">
        <v>72000</v>
      </c>
      <c r="J8" s="4">
        <v>45000</v>
      </c>
      <c r="K8" s="4">
        <v>36000</v>
      </c>
      <c r="L8" s="4">
        <v>18000</v>
      </c>
      <c r="M8" s="4">
        <v>9000</v>
      </c>
      <c r="N8" s="3" t="s">
        <v>12</v>
      </c>
      <c r="P8" s="3" t="s">
        <v>10</v>
      </c>
      <c r="Q8" s="4" t="s">
        <v>38</v>
      </c>
      <c r="R8" s="4" t="s">
        <v>38</v>
      </c>
      <c r="S8" s="4">
        <v>150000</v>
      </c>
      <c r="T8" s="4">
        <v>92000</v>
      </c>
      <c r="U8" s="4">
        <v>114000</v>
      </c>
      <c r="V8" s="4">
        <v>76000</v>
      </c>
      <c r="W8" s="4">
        <v>432000</v>
      </c>
      <c r="X8" s="4">
        <v>288000</v>
      </c>
      <c r="Y8" s="4">
        <v>180000</v>
      </c>
      <c r="Z8" s="4">
        <v>144000</v>
      </c>
      <c r="AA8" s="4">
        <v>72000</v>
      </c>
      <c r="AB8" s="4">
        <v>36000</v>
      </c>
      <c r="AC8" s="3" t="s">
        <v>13</v>
      </c>
      <c r="AE8" s="3" t="s">
        <v>10</v>
      </c>
      <c r="AF8" s="4" t="s">
        <v>38</v>
      </c>
      <c r="AG8" s="4" t="s">
        <v>38</v>
      </c>
      <c r="AH8" s="4">
        <v>112500</v>
      </c>
      <c r="AI8" s="4">
        <v>69000</v>
      </c>
      <c r="AJ8" s="4">
        <v>85500</v>
      </c>
      <c r="AK8" s="4">
        <v>57000</v>
      </c>
      <c r="AL8" s="4">
        <v>324000</v>
      </c>
      <c r="AM8" s="4">
        <v>216000</v>
      </c>
      <c r="AN8" s="4">
        <v>135000</v>
      </c>
      <c r="AO8" s="4">
        <v>108000</v>
      </c>
      <c r="AP8" s="4">
        <v>54000</v>
      </c>
      <c r="AQ8" s="4">
        <v>27000</v>
      </c>
      <c r="AR8" s="3" t="s">
        <v>14</v>
      </c>
      <c r="AT8" s="3" t="s">
        <v>10</v>
      </c>
      <c r="AU8" s="9" t="s">
        <v>90</v>
      </c>
      <c r="AV8" s="9" t="s">
        <v>90</v>
      </c>
      <c r="AW8" s="9" t="s">
        <v>90</v>
      </c>
      <c r="AX8" s="9" t="s">
        <v>90</v>
      </c>
      <c r="AY8" s="9" t="s">
        <v>90</v>
      </c>
      <c r="AZ8" s="9" t="s">
        <v>90</v>
      </c>
      <c r="BA8" s="9" t="s">
        <v>90</v>
      </c>
      <c r="BB8" s="9" t="s">
        <v>90</v>
      </c>
      <c r="BC8" s="9" t="s">
        <v>90</v>
      </c>
      <c r="BD8" s="9" t="s">
        <v>90</v>
      </c>
      <c r="BE8" s="9" t="s">
        <v>90</v>
      </c>
      <c r="BF8" s="9" t="s">
        <v>90</v>
      </c>
      <c r="BG8" s="9"/>
      <c r="BI8" s="3" t="s">
        <v>10</v>
      </c>
      <c r="BJ8" s="4" t="s">
        <v>127</v>
      </c>
      <c r="BK8" s="4" t="s">
        <v>127</v>
      </c>
      <c r="BL8" s="4" t="s">
        <v>127</v>
      </c>
      <c r="BM8" s="4" t="s">
        <v>127</v>
      </c>
      <c r="BN8" s="4" t="s">
        <v>127</v>
      </c>
      <c r="BO8" s="4" t="s">
        <v>127</v>
      </c>
      <c r="BP8" s="4" t="s">
        <v>127</v>
      </c>
      <c r="BQ8" s="4" t="s">
        <v>127</v>
      </c>
      <c r="BR8" s="4" t="s">
        <v>127</v>
      </c>
      <c r="BS8" s="4" t="s">
        <v>127</v>
      </c>
      <c r="BT8" s="4" t="s">
        <v>127</v>
      </c>
      <c r="BU8" s="4" t="s">
        <v>127</v>
      </c>
      <c r="BV8" s="3"/>
      <c r="BW8" s="23"/>
      <c r="BX8" s="3" t="s">
        <v>10</v>
      </c>
      <c r="BY8" s="4" t="s">
        <v>128</v>
      </c>
      <c r="BZ8" s="4" t="s">
        <v>128</v>
      </c>
      <c r="CA8" s="4" t="s">
        <v>128</v>
      </c>
      <c r="CB8" s="4" t="s">
        <v>128</v>
      </c>
      <c r="CC8" s="4" t="s">
        <v>128</v>
      </c>
      <c r="CD8" s="4" t="s">
        <v>128</v>
      </c>
      <c r="CE8" s="4" t="s">
        <v>128</v>
      </c>
      <c r="CF8" s="4" t="s">
        <v>128</v>
      </c>
      <c r="CG8" s="4" t="s">
        <v>128</v>
      </c>
      <c r="CH8" s="4" t="s">
        <v>128</v>
      </c>
      <c r="CI8" s="4" t="s">
        <v>128</v>
      </c>
      <c r="CJ8" s="4" t="s">
        <v>128</v>
      </c>
      <c r="CK8" s="3"/>
    </row>
    <row r="9" spans="1:89" ht="16.2" customHeight="1" x14ac:dyDescent="0.3">
      <c r="A9" s="3" t="s">
        <v>19</v>
      </c>
      <c r="B9" s="4" t="s">
        <v>38</v>
      </c>
      <c r="C9" s="4" t="s">
        <v>38</v>
      </c>
      <c r="D9" s="4">
        <v>26500</v>
      </c>
      <c r="E9" s="4">
        <v>14500</v>
      </c>
      <c r="F9" s="4">
        <v>23500</v>
      </c>
      <c r="G9" s="4">
        <v>14500</v>
      </c>
      <c r="H9" s="4">
        <v>76500</v>
      </c>
      <c r="I9" s="4">
        <v>51000</v>
      </c>
      <c r="J9" s="4">
        <v>31875</v>
      </c>
      <c r="K9" s="4">
        <v>25500</v>
      </c>
      <c r="L9" s="4">
        <v>18500</v>
      </c>
      <c r="M9" s="4">
        <v>9500</v>
      </c>
      <c r="N9" s="3" t="s">
        <v>12</v>
      </c>
      <c r="P9" s="3" t="s">
        <v>19</v>
      </c>
      <c r="Q9" s="4" t="s">
        <v>38</v>
      </c>
      <c r="R9" s="4" t="s">
        <v>38</v>
      </c>
      <c r="S9" s="4">
        <v>106000</v>
      </c>
      <c r="T9" s="4">
        <v>58000</v>
      </c>
      <c r="U9" s="4">
        <v>94000</v>
      </c>
      <c r="V9" s="4">
        <v>58000</v>
      </c>
      <c r="W9" s="4">
        <v>306000</v>
      </c>
      <c r="X9" s="4">
        <v>204000</v>
      </c>
      <c r="Y9" s="4">
        <v>127500</v>
      </c>
      <c r="Z9" s="4">
        <v>102000</v>
      </c>
      <c r="AA9" s="4">
        <v>74000</v>
      </c>
      <c r="AB9" s="4">
        <v>38000</v>
      </c>
      <c r="AC9" s="3" t="s">
        <v>13</v>
      </c>
      <c r="AE9" s="3" t="s">
        <v>19</v>
      </c>
      <c r="AF9" s="4" t="s">
        <v>38</v>
      </c>
      <c r="AG9" s="4" t="s">
        <v>38</v>
      </c>
      <c r="AH9" s="4">
        <v>79500</v>
      </c>
      <c r="AI9" s="4">
        <v>43500</v>
      </c>
      <c r="AJ9" s="4">
        <v>70500</v>
      </c>
      <c r="AK9" s="4">
        <v>43500</v>
      </c>
      <c r="AL9" s="4">
        <v>229500</v>
      </c>
      <c r="AM9" s="4">
        <v>153000</v>
      </c>
      <c r="AN9" s="4">
        <v>95625</v>
      </c>
      <c r="AO9" s="4">
        <v>76500</v>
      </c>
      <c r="AP9" s="4">
        <v>55500</v>
      </c>
      <c r="AQ9" s="4">
        <v>28500</v>
      </c>
      <c r="AR9" s="5" t="s">
        <v>33</v>
      </c>
      <c r="AT9" s="3" t="s">
        <v>19</v>
      </c>
      <c r="AU9" s="4" t="s">
        <v>38</v>
      </c>
      <c r="AV9" s="4" t="s">
        <v>38</v>
      </c>
      <c r="AW9" s="4">
        <v>26500</v>
      </c>
      <c r="AX9" s="4">
        <v>14500</v>
      </c>
      <c r="AY9" s="4">
        <v>23500</v>
      </c>
      <c r="AZ9" s="4">
        <v>14500</v>
      </c>
      <c r="BA9" s="4">
        <v>76500</v>
      </c>
      <c r="BB9" s="4">
        <v>51000</v>
      </c>
      <c r="BC9" s="4">
        <v>37875</v>
      </c>
      <c r="BD9" s="4">
        <v>25500</v>
      </c>
      <c r="BE9" s="4">
        <v>18500</v>
      </c>
      <c r="BF9" s="4">
        <v>9500</v>
      </c>
      <c r="BG9" s="5" t="s">
        <v>32</v>
      </c>
      <c r="BI9" s="3" t="s">
        <v>19</v>
      </c>
      <c r="BJ9" s="4" t="s">
        <v>127</v>
      </c>
      <c r="BK9" s="4" t="s">
        <v>127</v>
      </c>
      <c r="BL9" s="4" t="s">
        <v>127</v>
      </c>
      <c r="BM9" s="4" t="s">
        <v>127</v>
      </c>
      <c r="BN9" s="4" t="s">
        <v>127</v>
      </c>
      <c r="BO9" s="4" t="s">
        <v>127</v>
      </c>
      <c r="BP9" s="4" t="s">
        <v>127</v>
      </c>
      <c r="BQ9" s="4" t="s">
        <v>127</v>
      </c>
      <c r="BR9" s="4" t="s">
        <v>127</v>
      </c>
      <c r="BS9" s="4" t="s">
        <v>127</v>
      </c>
      <c r="BT9" s="4" t="s">
        <v>127</v>
      </c>
      <c r="BU9" s="4" t="s">
        <v>127</v>
      </c>
      <c r="BV9" s="3"/>
      <c r="BW9" s="23"/>
      <c r="BX9" s="3" t="s">
        <v>19</v>
      </c>
      <c r="BY9" s="4" t="s">
        <v>128</v>
      </c>
      <c r="BZ9" s="4" t="s">
        <v>128</v>
      </c>
      <c r="CA9" s="4" t="s">
        <v>128</v>
      </c>
      <c r="CB9" s="4" t="s">
        <v>128</v>
      </c>
      <c r="CC9" s="4" t="s">
        <v>128</v>
      </c>
      <c r="CD9" s="4" t="s">
        <v>128</v>
      </c>
      <c r="CE9" s="4" t="s">
        <v>128</v>
      </c>
      <c r="CF9" s="4" t="s">
        <v>128</v>
      </c>
      <c r="CG9" s="4" t="s">
        <v>128</v>
      </c>
      <c r="CH9" s="4" t="s">
        <v>128</v>
      </c>
      <c r="CI9" s="4" t="s">
        <v>128</v>
      </c>
      <c r="CJ9" s="4" t="s">
        <v>128</v>
      </c>
      <c r="CK9" s="3"/>
    </row>
    <row r="10" spans="1:89" ht="16.2" customHeight="1" x14ac:dyDescent="0.3">
      <c r="A10" s="3" t="s">
        <v>20</v>
      </c>
      <c r="B10" s="4" t="s">
        <v>38</v>
      </c>
      <c r="C10" s="4" t="s">
        <v>38</v>
      </c>
      <c r="D10" s="4">
        <v>25000</v>
      </c>
      <c r="E10" s="4">
        <v>15500</v>
      </c>
      <c r="F10" s="4">
        <v>19000</v>
      </c>
      <c r="G10" s="4">
        <v>12000</v>
      </c>
      <c r="H10" s="4">
        <v>100500</v>
      </c>
      <c r="I10" s="4">
        <v>67000</v>
      </c>
      <c r="J10" s="4">
        <v>41875</v>
      </c>
      <c r="K10" s="4">
        <v>33500</v>
      </c>
      <c r="L10" s="4">
        <v>1400</v>
      </c>
      <c r="M10" s="4">
        <v>8500</v>
      </c>
      <c r="N10" s="3" t="s">
        <v>12</v>
      </c>
      <c r="P10" s="3" t="s">
        <v>20</v>
      </c>
      <c r="Q10" s="4" t="s">
        <v>38</v>
      </c>
      <c r="R10" s="4" t="s">
        <v>38</v>
      </c>
      <c r="S10" s="4">
        <v>100000</v>
      </c>
      <c r="T10" s="4">
        <v>62000</v>
      </c>
      <c r="U10" s="4">
        <v>76000</v>
      </c>
      <c r="V10" s="4">
        <v>48000</v>
      </c>
      <c r="W10" s="4">
        <v>402000</v>
      </c>
      <c r="X10" s="4">
        <v>268000</v>
      </c>
      <c r="Y10" s="4">
        <v>167500</v>
      </c>
      <c r="Z10" s="4">
        <v>134000</v>
      </c>
      <c r="AA10" s="4">
        <v>56000</v>
      </c>
      <c r="AB10" s="4">
        <v>34000</v>
      </c>
      <c r="AC10" s="3" t="s">
        <v>13</v>
      </c>
      <c r="AE10" s="3" t="s">
        <v>20</v>
      </c>
      <c r="AF10" s="4" t="s">
        <v>38</v>
      </c>
      <c r="AG10" s="4" t="s">
        <v>38</v>
      </c>
      <c r="AH10" s="4">
        <v>75000</v>
      </c>
      <c r="AI10" s="4">
        <v>46500</v>
      </c>
      <c r="AJ10" s="4">
        <v>57000</v>
      </c>
      <c r="AK10" s="4">
        <v>36000</v>
      </c>
      <c r="AL10" s="4">
        <v>301500</v>
      </c>
      <c r="AM10" s="4">
        <v>201000</v>
      </c>
      <c r="AN10" s="4">
        <v>125625</v>
      </c>
      <c r="AO10" s="4">
        <v>100500</v>
      </c>
      <c r="AP10" s="4">
        <v>42000</v>
      </c>
      <c r="AQ10" s="4">
        <v>25500</v>
      </c>
      <c r="AR10" s="3" t="s">
        <v>14</v>
      </c>
      <c r="AT10" s="3" t="s">
        <v>20</v>
      </c>
      <c r="AU10" s="9" t="s">
        <v>90</v>
      </c>
      <c r="AV10" s="9" t="s">
        <v>90</v>
      </c>
      <c r="AW10" s="9" t="s">
        <v>90</v>
      </c>
      <c r="AX10" s="9" t="s">
        <v>90</v>
      </c>
      <c r="AY10" s="9" t="s">
        <v>90</v>
      </c>
      <c r="AZ10" s="9" t="s">
        <v>90</v>
      </c>
      <c r="BA10" s="9" t="s">
        <v>90</v>
      </c>
      <c r="BB10" s="9" t="s">
        <v>90</v>
      </c>
      <c r="BC10" s="9" t="s">
        <v>90</v>
      </c>
      <c r="BD10" s="9" t="s">
        <v>90</v>
      </c>
      <c r="BE10" s="9" t="s">
        <v>90</v>
      </c>
      <c r="BF10" s="9" t="s">
        <v>90</v>
      </c>
      <c r="BG10" s="9"/>
      <c r="BI10" s="3" t="s">
        <v>20</v>
      </c>
      <c r="BJ10" s="4" t="s">
        <v>127</v>
      </c>
      <c r="BK10" s="4" t="s">
        <v>127</v>
      </c>
      <c r="BL10" s="4" t="s">
        <v>127</v>
      </c>
      <c r="BM10" s="4" t="s">
        <v>127</v>
      </c>
      <c r="BN10" s="4" t="s">
        <v>127</v>
      </c>
      <c r="BO10" s="4" t="s">
        <v>127</v>
      </c>
      <c r="BP10" s="4" t="s">
        <v>127</v>
      </c>
      <c r="BQ10" s="4" t="s">
        <v>127</v>
      </c>
      <c r="BR10" s="4" t="s">
        <v>127</v>
      </c>
      <c r="BS10" s="4" t="s">
        <v>127</v>
      </c>
      <c r="BT10" s="4" t="s">
        <v>127</v>
      </c>
      <c r="BU10" s="4" t="s">
        <v>127</v>
      </c>
      <c r="BV10" s="3"/>
      <c r="BW10" s="23"/>
      <c r="BX10" s="3" t="s">
        <v>20</v>
      </c>
      <c r="BY10" s="4" t="s">
        <v>128</v>
      </c>
      <c r="BZ10" s="4" t="s">
        <v>128</v>
      </c>
      <c r="CA10" s="4" t="s">
        <v>128</v>
      </c>
      <c r="CB10" s="4" t="s">
        <v>128</v>
      </c>
      <c r="CC10" s="4" t="s">
        <v>128</v>
      </c>
      <c r="CD10" s="4" t="s">
        <v>128</v>
      </c>
      <c r="CE10" s="4" t="s">
        <v>128</v>
      </c>
      <c r="CF10" s="4" t="s">
        <v>128</v>
      </c>
      <c r="CG10" s="4" t="s">
        <v>128</v>
      </c>
      <c r="CH10" s="4" t="s">
        <v>128</v>
      </c>
      <c r="CI10" s="4" t="s">
        <v>128</v>
      </c>
      <c r="CJ10" s="4" t="s">
        <v>128</v>
      </c>
      <c r="CK10" s="3"/>
    </row>
    <row r="11" spans="1:89" ht="16.2" customHeight="1" x14ac:dyDescent="0.3">
      <c r="A11" s="3" t="s">
        <v>41</v>
      </c>
      <c r="B11" s="4" t="s">
        <v>38</v>
      </c>
      <c r="C11" s="4" t="s">
        <v>38</v>
      </c>
      <c r="D11" s="4">
        <v>37500</v>
      </c>
      <c r="E11" s="4">
        <v>23000</v>
      </c>
      <c r="F11" s="4">
        <v>28500</v>
      </c>
      <c r="G11" s="4">
        <v>18000</v>
      </c>
      <c r="H11" s="4">
        <v>151500</v>
      </c>
      <c r="I11" s="4">
        <v>101000</v>
      </c>
      <c r="J11" s="4">
        <v>63125</v>
      </c>
      <c r="K11" s="4">
        <v>50500</v>
      </c>
      <c r="L11" s="4">
        <v>21000</v>
      </c>
      <c r="M11" s="4">
        <v>13000</v>
      </c>
      <c r="N11" s="3" t="s">
        <v>12</v>
      </c>
      <c r="P11" s="3" t="s">
        <v>41</v>
      </c>
      <c r="Q11" s="4" t="s">
        <v>38</v>
      </c>
      <c r="R11" s="4" t="s">
        <v>38</v>
      </c>
      <c r="S11" s="4">
        <v>150000</v>
      </c>
      <c r="T11" s="4">
        <v>92000</v>
      </c>
      <c r="U11" s="4">
        <v>114000</v>
      </c>
      <c r="V11" s="4">
        <v>72000</v>
      </c>
      <c r="W11" s="4">
        <v>606000</v>
      </c>
      <c r="X11" s="4">
        <v>404000</v>
      </c>
      <c r="Y11" s="4">
        <v>252500</v>
      </c>
      <c r="Z11" s="4">
        <v>202000</v>
      </c>
      <c r="AA11" s="4">
        <v>84000</v>
      </c>
      <c r="AB11" s="4">
        <v>52000</v>
      </c>
      <c r="AC11" s="3" t="s">
        <v>13</v>
      </c>
      <c r="AE11" s="3" t="s">
        <v>41</v>
      </c>
      <c r="AF11" s="4" t="s">
        <v>38</v>
      </c>
      <c r="AG11" s="4" t="s">
        <v>38</v>
      </c>
      <c r="AH11" s="4">
        <v>112500</v>
      </c>
      <c r="AI11" s="4">
        <v>69000</v>
      </c>
      <c r="AJ11" s="4">
        <v>85500</v>
      </c>
      <c r="AK11" s="4">
        <v>54000</v>
      </c>
      <c r="AL11" s="4">
        <v>454500</v>
      </c>
      <c r="AM11" s="4">
        <v>303000</v>
      </c>
      <c r="AN11" s="4">
        <v>189375</v>
      </c>
      <c r="AO11" s="4">
        <v>151500</v>
      </c>
      <c r="AP11" s="4">
        <v>63000</v>
      </c>
      <c r="AQ11" s="4">
        <v>39000</v>
      </c>
      <c r="AR11" s="3" t="s">
        <v>14</v>
      </c>
      <c r="AT11" s="3" t="s">
        <v>41</v>
      </c>
      <c r="AU11" s="9" t="s">
        <v>90</v>
      </c>
      <c r="AV11" s="9" t="s">
        <v>90</v>
      </c>
      <c r="AW11" s="9" t="s">
        <v>90</v>
      </c>
      <c r="AX11" s="9" t="s">
        <v>90</v>
      </c>
      <c r="AY11" s="9" t="s">
        <v>90</v>
      </c>
      <c r="AZ11" s="9" t="s">
        <v>90</v>
      </c>
      <c r="BA11" s="9" t="s">
        <v>90</v>
      </c>
      <c r="BB11" s="9" t="s">
        <v>90</v>
      </c>
      <c r="BC11" s="9" t="s">
        <v>90</v>
      </c>
      <c r="BD11" s="9" t="s">
        <v>90</v>
      </c>
      <c r="BE11" s="9" t="s">
        <v>90</v>
      </c>
      <c r="BF11" s="9" t="s">
        <v>90</v>
      </c>
      <c r="BG11" s="9"/>
      <c r="BI11" s="3" t="s">
        <v>41</v>
      </c>
      <c r="BJ11" s="4" t="s">
        <v>127</v>
      </c>
      <c r="BK11" s="4" t="s">
        <v>127</v>
      </c>
      <c r="BL11" s="4" t="s">
        <v>127</v>
      </c>
      <c r="BM11" s="4" t="s">
        <v>127</v>
      </c>
      <c r="BN11" s="4" t="s">
        <v>127</v>
      </c>
      <c r="BO11" s="4" t="s">
        <v>127</v>
      </c>
      <c r="BP11" s="4" t="s">
        <v>127</v>
      </c>
      <c r="BQ11" s="4" t="s">
        <v>127</v>
      </c>
      <c r="BR11" s="4" t="s">
        <v>127</v>
      </c>
      <c r="BS11" s="4" t="s">
        <v>127</v>
      </c>
      <c r="BT11" s="4" t="s">
        <v>127</v>
      </c>
      <c r="BU11" s="4" t="s">
        <v>127</v>
      </c>
      <c r="BV11" s="3"/>
      <c r="BW11" s="23"/>
      <c r="BX11" s="3" t="s">
        <v>41</v>
      </c>
      <c r="BY11" s="4" t="s">
        <v>128</v>
      </c>
      <c r="BZ11" s="4" t="s">
        <v>128</v>
      </c>
      <c r="CA11" s="4" t="s">
        <v>128</v>
      </c>
      <c r="CB11" s="4" t="s">
        <v>128</v>
      </c>
      <c r="CC11" s="4" t="s">
        <v>128</v>
      </c>
      <c r="CD11" s="4" t="s">
        <v>128</v>
      </c>
      <c r="CE11" s="4" t="s">
        <v>128</v>
      </c>
      <c r="CF11" s="4" t="s">
        <v>128</v>
      </c>
      <c r="CG11" s="4" t="s">
        <v>128</v>
      </c>
      <c r="CH11" s="4" t="s">
        <v>128</v>
      </c>
      <c r="CI11" s="4" t="s">
        <v>128</v>
      </c>
      <c r="CJ11" s="4" t="s">
        <v>128</v>
      </c>
      <c r="CK11" s="3"/>
    </row>
    <row r="12" spans="1:89" ht="16.2" customHeight="1" x14ac:dyDescent="0.3">
      <c r="A12" s="3" t="s">
        <v>21</v>
      </c>
      <c r="B12" s="4">
        <v>21000</v>
      </c>
      <c r="C12" s="4">
        <v>16500</v>
      </c>
      <c r="D12" s="4">
        <v>11000</v>
      </c>
      <c r="E12" s="4">
        <v>70000</v>
      </c>
      <c r="F12" s="4">
        <v>9500</v>
      </c>
      <c r="G12" s="4">
        <v>7000</v>
      </c>
      <c r="H12" s="4">
        <v>10500</v>
      </c>
      <c r="I12" s="4">
        <v>10500</v>
      </c>
      <c r="J12" s="4">
        <v>10500</v>
      </c>
      <c r="K12" s="4">
        <v>10500</v>
      </c>
      <c r="L12" s="4">
        <v>7500</v>
      </c>
      <c r="M12" s="4" t="s">
        <v>162</v>
      </c>
      <c r="N12" s="3" t="s">
        <v>12</v>
      </c>
      <c r="P12" s="3" t="s">
        <v>21</v>
      </c>
      <c r="Q12" s="4">
        <v>21000</v>
      </c>
      <c r="R12" s="4">
        <v>16500</v>
      </c>
      <c r="S12" s="4">
        <v>11000</v>
      </c>
      <c r="T12" s="4">
        <v>70000</v>
      </c>
      <c r="U12" s="4">
        <v>9500</v>
      </c>
      <c r="V12" s="4">
        <v>7000</v>
      </c>
      <c r="W12" s="4">
        <v>10500</v>
      </c>
      <c r="X12" s="4">
        <v>10500</v>
      </c>
      <c r="Y12" s="4">
        <v>10500</v>
      </c>
      <c r="Z12" s="4">
        <v>10500</v>
      </c>
      <c r="AA12" s="4">
        <v>7500</v>
      </c>
      <c r="AB12" s="4" t="s">
        <v>162</v>
      </c>
      <c r="AC12" s="3" t="s">
        <v>13</v>
      </c>
      <c r="AE12" s="3" t="s">
        <v>21</v>
      </c>
      <c r="AF12" s="4" t="s">
        <v>163</v>
      </c>
      <c r="AG12" s="4" t="s">
        <v>163</v>
      </c>
      <c r="AH12" s="4" t="s">
        <v>163</v>
      </c>
      <c r="AI12" s="4" t="s">
        <v>163</v>
      </c>
      <c r="AJ12" s="4" t="s">
        <v>163</v>
      </c>
      <c r="AK12" s="4" t="s">
        <v>163</v>
      </c>
      <c r="AL12" s="4" t="s">
        <v>163</v>
      </c>
      <c r="AM12" s="4" t="s">
        <v>163</v>
      </c>
      <c r="AN12" s="4" t="s">
        <v>163</v>
      </c>
      <c r="AO12" s="4" t="s">
        <v>163</v>
      </c>
      <c r="AP12" s="4" t="s">
        <v>163</v>
      </c>
      <c r="AQ12" s="4" t="s">
        <v>163</v>
      </c>
      <c r="AR12" s="4" t="s">
        <v>40</v>
      </c>
      <c r="AT12" s="3" t="s">
        <v>21</v>
      </c>
      <c r="AU12" s="9" t="s">
        <v>90</v>
      </c>
      <c r="AV12" s="9" t="s">
        <v>90</v>
      </c>
      <c r="AW12" s="9" t="s">
        <v>90</v>
      </c>
      <c r="AX12" s="9" t="s">
        <v>90</v>
      </c>
      <c r="AY12" s="9" t="s">
        <v>90</v>
      </c>
      <c r="AZ12" s="9" t="s">
        <v>90</v>
      </c>
      <c r="BA12" s="9" t="s">
        <v>90</v>
      </c>
      <c r="BB12" s="9" t="s">
        <v>90</v>
      </c>
      <c r="BC12" s="9" t="s">
        <v>90</v>
      </c>
      <c r="BD12" s="9" t="s">
        <v>90</v>
      </c>
      <c r="BE12" s="9" t="s">
        <v>90</v>
      </c>
      <c r="BF12" s="9" t="s">
        <v>90</v>
      </c>
      <c r="BG12" s="9"/>
      <c r="BI12" s="3" t="s">
        <v>21</v>
      </c>
      <c r="BJ12" s="4" t="s">
        <v>127</v>
      </c>
      <c r="BK12" s="4" t="s">
        <v>127</v>
      </c>
      <c r="BL12" s="4" t="s">
        <v>127</v>
      </c>
      <c r="BM12" s="4" t="s">
        <v>127</v>
      </c>
      <c r="BN12" s="4" t="s">
        <v>127</v>
      </c>
      <c r="BO12" s="4" t="s">
        <v>127</v>
      </c>
      <c r="BP12" s="4" t="s">
        <v>127</v>
      </c>
      <c r="BQ12" s="4" t="s">
        <v>127</v>
      </c>
      <c r="BR12" s="4" t="s">
        <v>127</v>
      </c>
      <c r="BS12" s="4" t="s">
        <v>127</v>
      </c>
      <c r="BT12" s="4" t="s">
        <v>127</v>
      </c>
      <c r="BU12" s="4" t="s">
        <v>162</v>
      </c>
      <c r="BV12" s="3"/>
      <c r="BW12" s="23"/>
      <c r="BX12" s="3" t="s">
        <v>21</v>
      </c>
      <c r="BY12" s="4" t="s">
        <v>128</v>
      </c>
      <c r="BZ12" s="4" t="s">
        <v>128</v>
      </c>
      <c r="CA12" s="4" t="s">
        <v>128</v>
      </c>
      <c r="CB12" s="4" t="s">
        <v>128</v>
      </c>
      <c r="CC12" s="4" t="s">
        <v>128</v>
      </c>
      <c r="CD12" s="4" t="s">
        <v>128</v>
      </c>
      <c r="CE12" s="4" t="s">
        <v>128</v>
      </c>
      <c r="CF12" s="4" t="s">
        <v>128</v>
      </c>
      <c r="CG12" s="4" t="s">
        <v>128</v>
      </c>
      <c r="CH12" s="4" t="s">
        <v>128</v>
      </c>
      <c r="CI12" s="4" t="s">
        <v>128</v>
      </c>
      <c r="CJ12" s="4" t="s">
        <v>162</v>
      </c>
      <c r="CK12" s="3"/>
    </row>
    <row r="13" spans="1:89" ht="16.2" customHeight="1" x14ac:dyDescent="0.3">
      <c r="A13" s="3" t="s">
        <v>22</v>
      </c>
      <c r="B13" s="4">
        <v>21000</v>
      </c>
      <c r="C13" s="4">
        <v>16500</v>
      </c>
      <c r="D13" s="4">
        <v>11000</v>
      </c>
      <c r="E13" s="4">
        <v>70000</v>
      </c>
      <c r="F13" s="4">
        <v>9500</v>
      </c>
      <c r="G13" s="4">
        <v>7000</v>
      </c>
      <c r="H13" s="4">
        <v>10500</v>
      </c>
      <c r="I13" s="4">
        <v>10500</v>
      </c>
      <c r="J13" s="4">
        <v>10500</v>
      </c>
      <c r="K13" s="4">
        <v>10500</v>
      </c>
      <c r="L13" s="4">
        <v>7500</v>
      </c>
      <c r="M13" s="4">
        <v>3000</v>
      </c>
      <c r="N13" s="3" t="s">
        <v>12</v>
      </c>
      <c r="P13" s="3" t="s">
        <v>22</v>
      </c>
      <c r="Q13" s="4">
        <v>21000</v>
      </c>
      <c r="R13" s="4">
        <v>16500</v>
      </c>
      <c r="S13" s="4">
        <v>11000</v>
      </c>
      <c r="T13" s="4">
        <v>70000</v>
      </c>
      <c r="U13" s="4">
        <v>9500</v>
      </c>
      <c r="V13" s="4">
        <v>7000</v>
      </c>
      <c r="W13" s="4">
        <v>10500</v>
      </c>
      <c r="X13" s="4">
        <v>10500</v>
      </c>
      <c r="Y13" s="4">
        <v>10500</v>
      </c>
      <c r="Z13" s="4">
        <v>10500</v>
      </c>
      <c r="AA13" s="4">
        <v>7500</v>
      </c>
      <c r="AB13" s="4">
        <v>3000</v>
      </c>
      <c r="AC13" s="3" t="s">
        <v>13</v>
      </c>
      <c r="AE13" s="3" t="s">
        <v>22</v>
      </c>
      <c r="AF13" s="4">
        <v>21000</v>
      </c>
      <c r="AG13" s="4">
        <v>16500</v>
      </c>
      <c r="AH13" s="4">
        <v>11000</v>
      </c>
      <c r="AI13" s="4">
        <v>70000</v>
      </c>
      <c r="AJ13" s="4">
        <v>9500</v>
      </c>
      <c r="AK13" s="4">
        <v>7000</v>
      </c>
      <c r="AL13" s="4">
        <v>10500</v>
      </c>
      <c r="AM13" s="4">
        <v>10500</v>
      </c>
      <c r="AN13" s="4">
        <v>10500</v>
      </c>
      <c r="AO13" s="4">
        <v>10500</v>
      </c>
      <c r="AP13" s="4">
        <v>7500</v>
      </c>
      <c r="AQ13" s="4">
        <v>3000</v>
      </c>
      <c r="AR13" s="3" t="s">
        <v>14</v>
      </c>
      <c r="AT13" s="3" t="s">
        <v>22</v>
      </c>
      <c r="AU13" s="9" t="s">
        <v>90</v>
      </c>
      <c r="AV13" s="9" t="s">
        <v>90</v>
      </c>
      <c r="AW13" s="9" t="s">
        <v>90</v>
      </c>
      <c r="AX13" s="9" t="s">
        <v>90</v>
      </c>
      <c r="AY13" s="9" t="s">
        <v>90</v>
      </c>
      <c r="AZ13" s="9" t="s">
        <v>90</v>
      </c>
      <c r="BA13" s="9" t="s">
        <v>90</v>
      </c>
      <c r="BB13" s="9" t="s">
        <v>90</v>
      </c>
      <c r="BC13" s="9" t="s">
        <v>90</v>
      </c>
      <c r="BD13" s="9" t="s">
        <v>90</v>
      </c>
      <c r="BE13" s="9" t="s">
        <v>90</v>
      </c>
      <c r="BF13" s="9" t="s">
        <v>90</v>
      </c>
      <c r="BG13" s="9"/>
      <c r="BI13" s="3" t="s">
        <v>22</v>
      </c>
      <c r="BJ13" s="4" t="s">
        <v>127</v>
      </c>
      <c r="BK13" s="4" t="s">
        <v>127</v>
      </c>
      <c r="BL13" s="4" t="s">
        <v>127</v>
      </c>
      <c r="BM13" s="4" t="s">
        <v>127</v>
      </c>
      <c r="BN13" s="4" t="s">
        <v>127</v>
      </c>
      <c r="BO13" s="4" t="s">
        <v>127</v>
      </c>
      <c r="BP13" s="4" t="s">
        <v>127</v>
      </c>
      <c r="BQ13" s="4" t="s">
        <v>127</v>
      </c>
      <c r="BR13" s="4" t="s">
        <v>127</v>
      </c>
      <c r="BS13" s="4" t="s">
        <v>127</v>
      </c>
      <c r="BT13" s="4" t="s">
        <v>127</v>
      </c>
      <c r="BU13" s="4" t="s">
        <v>127</v>
      </c>
      <c r="BV13" s="3"/>
      <c r="BW13" s="23"/>
      <c r="BX13" s="3" t="s">
        <v>22</v>
      </c>
      <c r="BY13" s="4" t="s">
        <v>128</v>
      </c>
      <c r="BZ13" s="4" t="s">
        <v>128</v>
      </c>
      <c r="CA13" s="4" t="s">
        <v>128</v>
      </c>
      <c r="CB13" s="4" t="s">
        <v>128</v>
      </c>
      <c r="CC13" s="4" t="s">
        <v>128</v>
      </c>
      <c r="CD13" s="4" t="s">
        <v>128</v>
      </c>
      <c r="CE13" s="4" t="s">
        <v>128</v>
      </c>
      <c r="CF13" s="4" t="s">
        <v>128</v>
      </c>
      <c r="CG13" s="4" t="s">
        <v>128</v>
      </c>
      <c r="CH13" s="4" t="s">
        <v>128</v>
      </c>
      <c r="CI13" s="4" t="s">
        <v>128</v>
      </c>
      <c r="CJ13" s="4" t="s">
        <v>128</v>
      </c>
      <c r="CK13" s="3"/>
    </row>
    <row r="14" spans="1:89" ht="16.2" customHeight="1" x14ac:dyDescent="0.3">
      <c r="A14" s="3" t="s">
        <v>23</v>
      </c>
      <c r="B14" s="4" t="s">
        <v>38</v>
      </c>
      <c r="C14" s="4">
        <v>60000</v>
      </c>
      <c r="D14" s="4">
        <v>26500</v>
      </c>
      <c r="E14" s="4">
        <v>14000</v>
      </c>
      <c r="F14" s="4">
        <v>17500</v>
      </c>
      <c r="G14" s="4">
        <v>13000</v>
      </c>
      <c r="H14" s="4">
        <v>25500</v>
      </c>
      <c r="I14" s="4">
        <v>25500</v>
      </c>
      <c r="J14" s="4">
        <v>25500</v>
      </c>
      <c r="K14" s="4">
        <v>25500</v>
      </c>
      <c r="L14" s="4">
        <v>10000</v>
      </c>
      <c r="M14" s="4">
        <v>5000</v>
      </c>
      <c r="N14" s="3" t="s">
        <v>12</v>
      </c>
      <c r="P14" s="3" t="s">
        <v>23</v>
      </c>
      <c r="Q14" s="4" t="s">
        <v>38</v>
      </c>
      <c r="R14" s="4">
        <v>60000</v>
      </c>
      <c r="S14" s="4">
        <v>26500</v>
      </c>
      <c r="T14" s="4">
        <v>14000</v>
      </c>
      <c r="U14" s="4">
        <v>17500</v>
      </c>
      <c r="V14" s="4">
        <v>13000</v>
      </c>
      <c r="W14" s="4">
        <v>25500</v>
      </c>
      <c r="X14" s="4">
        <v>25500</v>
      </c>
      <c r="Y14" s="4">
        <v>25500</v>
      </c>
      <c r="Z14" s="4">
        <v>25500</v>
      </c>
      <c r="AA14" s="4">
        <v>10000</v>
      </c>
      <c r="AB14" s="4">
        <v>5000</v>
      </c>
      <c r="AC14" s="3" t="s">
        <v>13</v>
      </c>
      <c r="AE14" s="3" t="s">
        <v>23</v>
      </c>
      <c r="AF14" s="4" t="s">
        <v>38</v>
      </c>
      <c r="AG14" s="4">
        <v>60000</v>
      </c>
      <c r="AH14" s="4">
        <v>26500</v>
      </c>
      <c r="AI14" s="4">
        <v>14000</v>
      </c>
      <c r="AJ14" s="4">
        <v>17500</v>
      </c>
      <c r="AK14" s="4">
        <v>13000</v>
      </c>
      <c r="AL14" s="4">
        <v>25500</v>
      </c>
      <c r="AM14" s="4">
        <v>25500</v>
      </c>
      <c r="AN14" s="4">
        <v>25500</v>
      </c>
      <c r="AO14" s="4">
        <v>25500</v>
      </c>
      <c r="AP14" s="4">
        <v>10000</v>
      </c>
      <c r="AQ14" s="4">
        <v>5000</v>
      </c>
      <c r="AR14" s="3" t="s">
        <v>14</v>
      </c>
      <c r="AT14" s="3" t="s">
        <v>23</v>
      </c>
      <c r="AU14" s="9" t="s">
        <v>90</v>
      </c>
      <c r="AV14" s="9" t="s">
        <v>90</v>
      </c>
      <c r="AW14" s="9" t="s">
        <v>90</v>
      </c>
      <c r="AX14" s="9" t="s">
        <v>90</v>
      </c>
      <c r="AY14" s="9" t="s">
        <v>90</v>
      </c>
      <c r="AZ14" s="9" t="s">
        <v>90</v>
      </c>
      <c r="BA14" s="9" t="s">
        <v>90</v>
      </c>
      <c r="BB14" s="9" t="s">
        <v>90</v>
      </c>
      <c r="BC14" s="9" t="s">
        <v>90</v>
      </c>
      <c r="BD14" s="9" t="s">
        <v>90</v>
      </c>
      <c r="BE14" s="9" t="s">
        <v>90</v>
      </c>
      <c r="BF14" s="9" t="s">
        <v>90</v>
      </c>
      <c r="BG14" s="9"/>
      <c r="BI14" s="3" t="s">
        <v>23</v>
      </c>
      <c r="BJ14" s="4" t="s">
        <v>127</v>
      </c>
      <c r="BK14" s="4" t="s">
        <v>127</v>
      </c>
      <c r="BL14" s="4" t="s">
        <v>127</v>
      </c>
      <c r="BM14" s="4" t="s">
        <v>127</v>
      </c>
      <c r="BN14" s="4" t="s">
        <v>127</v>
      </c>
      <c r="BO14" s="4" t="s">
        <v>127</v>
      </c>
      <c r="BP14" s="4" t="s">
        <v>127</v>
      </c>
      <c r="BQ14" s="4" t="s">
        <v>127</v>
      </c>
      <c r="BR14" s="4" t="s">
        <v>127</v>
      </c>
      <c r="BS14" s="4" t="s">
        <v>127</v>
      </c>
      <c r="BT14" s="4" t="s">
        <v>127</v>
      </c>
      <c r="BU14" s="4" t="s">
        <v>127</v>
      </c>
      <c r="BV14" s="3"/>
      <c r="BW14" s="23"/>
      <c r="BX14" s="3" t="s">
        <v>23</v>
      </c>
      <c r="BY14" s="4" t="s">
        <v>128</v>
      </c>
      <c r="BZ14" s="4" t="s">
        <v>128</v>
      </c>
      <c r="CA14" s="4" t="s">
        <v>128</v>
      </c>
      <c r="CB14" s="4" t="s">
        <v>128</v>
      </c>
      <c r="CC14" s="4" t="s">
        <v>128</v>
      </c>
      <c r="CD14" s="4" t="s">
        <v>128</v>
      </c>
      <c r="CE14" s="4" t="s">
        <v>128</v>
      </c>
      <c r="CF14" s="4" t="s">
        <v>128</v>
      </c>
      <c r="CG14" s="4" t="s">
        <v>128</v>
      </c>
      <c r="CH14" s="4" t="s">
        <v>128</v>
      </c>
      <c r="CI14" s="4" t="s">
        <v>128</v>
      </c>
      <c r="CJ14" s="4" t="s">
        <v>128</v>
      </c>
      <c r="CK14" s="3"/>
    </row>
    <row r="15" spans="1:89" ht="16.2" customHeight="1" x14ac:dyDescent="0.3">
      <c r="A15" s="3" t="s">
        <v>24</v>
      </c>
      <c r="B15" s="4" t="s">
        <v>38</v>
      </c>
      <c r="C15" s="4" t="s">
        <v>38</v>
      </c>
      <c r="D15" s="4">
        <v>37500</v>
      </c>
      <c r="E15" s="4">
        <v>17500</v>
      </c>
      <c r="F15" s="4">
        <v>28500</v>
      </c>
      <c r="G15" s="4">
        <v>17500</v>
      </c>
      <c r="H15" s="4">
        <v>72000</v>
      </c>
      <c r="I15" s="4">
        <v>54000</v>
      </c>
      <c r="J15" s="4">
        <v>40500</v>
      </c>
      <c r="K15" s="4">
        <v>36000</v>
      </c>
      <c r="L15" s="4">
        <v>18000</v>
      </c>
      <c r="M15" s="4">
        <v>6500</v>
      </c>
      <c r="N15" s="3" t="s">
        <v>12</v>
      </c>
      <c r="P15" s="3" t="s">
        <v>24</v>
      </c>
      <c r="Q15" s="4" t="s">
        <v>38</v>
      </c>
      <c r="R15" s="4" t="s">
        <v>38</v>
      </c>
      <c r="S15" s="4">
        <v>150000</v>
      </c>
      <c r="T15" s="4">
        <v>70000</v>
      </c>
      <c r="U15" s="4">
        <v>114000</v>
      </c>
      <c r="V15" s="4">
        <v>70000</v>
      </c>
      <c r="W15" s="4">
        <v>288000</v>
      </c>
      <c r="X15" s="4">
        <v>216000</v>
      </c>
      <c r="Y15" s="4">
        <v>162000</v>
      </c>
      <c r="Z15" s="4">
        <v>144000</v>
      </c>
      <c r="AA15" s="4">
        <v>72000</v>
      </c>
      <c r="AB15" s="4">
        <v>26000</v>
      </c>
      <c r="AC15" s="3" t="s">
        <v>13</v>
      </c>
      <c r="AE15" s="3" t="s">
        <v>24</v>
      </c>
      <c r="AF15" s="4" t="s">
        <v>38</v>
      </c>
      <c r="AG15" s="4" t="s">
        <v>38</v>
      </c>
      <c r="AH15" s="4">
        <v>112500</v>
      </c>
      <c r="AI15" s="4">
        <v>52500</v>
      </c>
      <c r="AJ15" s="4">
        <v>85500</v>
      </c>
      <c r="AK15" s="4">
        <v>52500</v>
      </c>
      <c r="AL15" s="4">
        <v>216000</v>
      </c>
      <c r="AM15" s="4">
        <v>162000</v>
      </c>
      <c r="AN15" s="4">
        <v>121500</v>
      </c>
      <c r="AO15" s="4">
        <v>108000</v>
      </c>
      <c r="AP15" s="4">
        <v>54000</v>
      </c>
      <c r="AQ15" s="4">
        <v>19500</v>
      </c>
      <c r="AR15" s="5" t="s">
        <v>33</v>
      </c>
      <c r="AT15" s="3" t="s">
        <v>24</v>
      </c>
      <c r="AU15" s="4" t="s">
        <v>38</v>
      </c>
      <c r="AV15" s="4" t="s">
        <v>38</v>
      </c>
      <c r="AW15" s="4">
        <v>37500</v>
      </c>
      <c r="AX15" s="4">
        <v>17500</v>
      </c>
      <c r="AY15" s="4">
        <v>28500</v>
      </c>
      <c r="AZ15" s="4">
        <v>17500</v>
      </c>
      <c r="BA15" s="4">
        <v>72000</v>
      </c>
      <c r="BB15" s="4">
        <v>54000</v>
      </c>
      <c r="BC15" s="4">
        <v>40500</v>
      </c>
      <c r="BD15" s="4">
        <v>36000</v>
      </c>
      <c r="BE15" s="4">
        <v>18000</v>
      </c>
      <c r="BF15" s="4">
        <v>6500</v>
      </c>
      <c r="BG15" s="5" t="s">
        <v>32</v>
      </c>
      <c r="BI15" s="3" t="s">
        <v>24</v>
      </c>
      <c r="BJ15" s="4" t="s">
        <v>127</v>
      </c>
      <c r="BK15" s="4" t="s">
        <v>127</v>
      </c>
      <c r="BL15" s="4" t="s">
        <v>127</v>
      </c>
      <c r="BM15" s="4" t="s">
        <v>127</v>
      </c>
      <c r="BN15" s="4" t="s">
        <v>127</v>
      </c>
      <c r="BO15" s="4" t="s">
        <v>127</v>
      </c>
      <c r="BP15" s="4" t="s">
        <v>127</v>
      </c>
      <c r="BQ15" s="4" t="s">
        <v>127</v>
      </c>
      <c r="BR15" s="4" t="s">
        <v>127</v>
      </c>
      <c r="BS15" s="4" t="s">
        <v>127</v>
      </c>
      <c r="BT15" s="4" t="s">
        <v>127</v>
      </c>
      <c r="BU15" s="4" t="s">
        <v>127</v>
      </c>
      <c r="BV15" s="3"/>
      <c r="BW15" s="23"/>
      <c r="BX15" s="3" t="s">
        <v>24</v>
      </c>
      <c r="BY15" s="4" t="s">
        <v>128</v>
      </c>
      <c r="BZ15" s="4" t="s">
        <v>128</v>
      </c>
      <c r="CA15" s="4" t="s">
        <v>128</v>
      </c>
      <c r="CB15" s="4" t="s">
        <v>128</v>
      </c>
      <c r="CC15" s="4" t="s">
        <v>128</v>
      </c>
      <c r="CD15" s="4" t="s">
        <v>128</v>
      </c>
      <c r="CE15" s="4" t="s">
        <v>128</v>
      </c>
      <c r="CF15" s="4" t="s">
        <v>128</v>
      </c>
      <c r="CG15" s="4" t="s">
        <v>128</v>
      </c>
      <c r="CH15" s="4" t="s">
        <v>128</v>
      </c>
      <c r="CI15" s="4" t="s">
        <v>128</v>
      </c>
      <c r="CJ15" s="4" t="s">
        <v>128</v>
      </c>
      <c r="CK15" s="3"/>
    </row>
    <row r="16" spans="1:89" ht="16.2" customHeight="1" x14ac:dyDescent="0.3">
      <c r="A16" s="3" t="s">
        <v>25</v>
      </c>
      <c r="B16" s="4" t="s">
        <v>38</v>
      </c>
      <c r="C16" s="4" t="s">
        <v>38</v>
      </c>
      <c r="D16" s="4">
        <v>37500</v>
      </c>
      <c r="E16" s="4">
        <v>23000</v>
      </c>
      <c r="F16" s="4">
        <v>28500</v>
      </c>
      <c r="G16" s="4">
        <v>19000</v>
      </c>
      <c r="H16" s="4">
        <v>72000</v>
      </c>
      <c r="I16" s="4">
        <v>54000</v>
      </c>
      <c r="J16" s="4">
        <v>40500</v>
      </c>
      <c r="K16" s="4">
        <v>36000</v>
      </c>
      <c r="L16" s="4">
        <v>18000</v>
      </c>
      <c r="M16" s="4">
        <v>9000</v>
      </c>
      <c r="N16" s="3" t="s">
        <v>12</v>
      </c>
      <c r="P16" s="3" t="s">
        <v>25</v>
      </c>
      <c r="Q16" s="4" t="s">
        <v>38</v>
      </c>
      <c r="R16" s="4" t="s">
        <v>38</v>
      </c>
      <c r="S16" s="4">
        <v>150000</v>
      </c>
      <c r="T16" s="4">
        <v>92000</v>
      </c>
      <c r="U16" s="4">
        <v>114000</v>
      </c>
      <c r="V16" s="4">
        <v>76000</v>
      </c>
      <c r="W16" s="4">
        <v>288000</v>
      </c>
      <c r="X16" s="4">
        <v>216000</v>
      </c>
      <c r="Y16" s="4">
        <v>162000</v>
      </c>
      <c r="Z16" s="4">
        <v>144000</v>
      </c>
      <c r="AA16" s="4">
        <v>72000</v>
      </c>
      <c r="AB16" s="4">
        <v>36000</v>
      </c>
      <c r="AC16" s="3" t="s">
        <v>13</v>
      </c>
      <c r="AE16" s="3" t="s">
        <v>25</v>
      </c>
      <c r="AF16" s="4" t="s">
        <v>38</v>
      </c>
      <c r="AG16" s="4" t="s">
        <v>38</v>
      </c>
      <c r="AH16" s="4">
        <v>112500</v>
      </c>
      <c r="AI16" s="4">
        <v>69000</v>
      </c>
      <c r="AJ16" s="4">
        <v>85500</v>
      </c>
      <c r="AK16" s="4">
        <v>57000</v>
      </c>
      <c r="AL16" s="4">
        <v>216000</v>
      </c>
      <c r="AM16" s="4">
        <v>162000</v>
      </c>
      <c r="AN16" s="4">
        <v>121500</v>
      </c>
      <c r="AO16" s="4">
        <v>10800</v>
      </c>
      <c r="AP16" s="4">
        <v>54000</v>
      </c>
      <c r="AQ16" s="4">
        <v>27000</v>
      </c>
      <c r="AR16" s="5" t="s">
        <v>33</v>
      </c>
      <c r="AT16" s="3" t="s">
        <v>25</v>
      </c>
      <c r="AU16" s="4" t="s">
        <v>38</v>
      </c>
      <c r="AV16" s="4" t="s">
        <v>38</v>
      </c>
      <c r="AW16" s="4">
        <v>37500</v>
      </c>
      <c r="AX16" s="4">
        <v>23000</v>
      </c>
      <c r="AY16" s="4">
        <v>28500</v>
      </c>
      <c r="AZ16" s="4">
        <v>19000</v>
      </c>
      <c r="BA16" s="4">
        <v>72000</v>
      </c>
      <c r="BB16" s="4">
        <v>54000</v>
      </c>
      <c r="BC16" s="4">
        <v>40500</v>
      </c>
      <c r="BD16" s="4">
        <v>36000</v>
      </c>
      <c r="BE16" s="4">
        <v>18000</v>
      </c>
      <c r="BF16" s="4">
        <v>9000</v>
      </c>
      <c r="BG16" s="5" t="s">
        <v>32</v>
      </c>
      <c r="BI16" s="3" t="s">
        <v>25</v>
      </c>
      <c r="BJ16" s="4" t="s">
        <v>127</v>
      </c>
      <c r="BK16" s="4" t="s">
        <v>127</v>
      </c>
      <c r="BL16" s="4" t="s">
        <v>127</v>
      </c>
      <c r="BM16" s="4" t="s">
        <v>127</v>
      </c>
      <c r="BN16" s="4" t="s">
        <v>127</v>
      </c>
      <c r="BO16" s="4" t="s">
        <v>127</v>
      </c>
      <c r="BP16" s="4" t="s">
        <v>127</v>
      </c>
      <c r="BQ16" s="4" t="s">
        <v>127</v>
      </c>
      <c r="BR16" s="4" t="s">
        <v>127</v>
      </c>
      <c r="BS16" s="4" t="s">
        <v>127</v>
      </c>
      <c r="BT16" s="4" t="s">
        <v>127</v>
      </c>
      <c r="BU16" s="4" t="s">
        <v>127</v>
      </c>
      <c r="BV16" s="3"/>
      <c r="BW16" s="23"/>
      <c r="BX16" s="3" t="s">
        <v>25</v>
      </c>
      <c r="BY16" s="4" t="s">
        <v>128</v>
      </c>
      <c r="BZ16" s="4" t="s">
        <v>128</v>
      </c>
      <c r="CA16" s="4" t="s">
        <v>128</v>
      </c>
      <c r="CB16" s="4" t="s">
        <v>128</v>
      </c>
      <c r="CC16" s="4" t="s">
        <v>128</v>
      </c>
      <c r="CD16" s="4" t="s">
        <v>128</v>
      </c>
      <c r="CE16" s="4" t="s">
        <v>128</v>
      </c>
      <c r="CF16" s="4" t="s">
        <v>128</v>
      </c>
      <c r="CG16" s="4" t="s">
        <v>128</v>
      </c>
      <c r="CH16" s="4" t="s">
        <v>128</v>
      </c>
      <c r="CI16" s="4" t="s">
        <v>128</v>
      </c>
      <c r="CJ16" s="4" t="s">
        <v>128</v>
      </c>
      <c r="CK16" s="3"/>
    </row>
    <row r="17" spans="1:89" ht="16.2" customHeight="1" x14ac:dyDescent="0.3">
      <c r="A17" s="8" t="s">
        <v>151</v>
      </c>
      <c r="B17" s="4" t="s">
        <v>38</v>
      </c>
      <c r="C17" s="4">
        <v>55000</v>
      </c>
      <c r="D17" s="4">
        <v>19000</v>
      </c>
      <c r="E17" s="4">
        <v>10000</v>
      </c>
      <c r="F17" s="4">
        <v>16500</v>
      </c>
      <c r="G17" s="4">
        <v>10000</v>
      </c>
      <c r="H17" s="4">
        <v>54000</v>
      </c>
      <c r="I17" s="4">
        <v>36000</v>
      </c>
      <c r="J17" s="4">
        <v>18000</v>
      </c>
      <c r="K17" s="4">
        <v>18000</v>
      </c>
      <c r="L17" s="4">
        <v>10500</v>
      </c>
      <c r="M17" s="4">
        <v>4500</v>
      </c>
      <c r="N17" s="3" t="s">
        <v>12</v>
      </c>
      <c r="P17" s="8" t="s">
        <v>151</v>
      </c>
      <c r="Q17" s="37" t="s">
        <v>38</v>
      </c>
      <c r="R17" s="4">
        <v>220000</v>
      </c>
      <c r="S17" s="4">
        <v>76000</v>
      </c>
      <c r="T17" s="4">
        <v>40000</v>
      </c>
      <c r="U17" s="4">
        <v>66000</v>
      </c>
      <c r="V17" s="4">
        <v>40000</v>
      </c>
      <c r="W17" s="4">
        <v>216000</v>
      </c>
      <c r="X17" s="4">
        <v>144000</v>
      </c>
      <c r="Y17" s="4">
        <v>72000</v>
      </c>
      <c r="Z17" s="4">
        <v>72000</v>
      </c>
      <c r="AA17" s="4">
        <v>42000</v>
      </c>
      <c r="AB17" s="4">
        <v>18000</v>
      </c>
      <c r="AC17" s="3" t="s">
        <v>13</v>
      </c>
      <c r="AE17" s="8" t="s">
        <v>151</v>
      </c>
      <c r="AF17" s="4" t="s">
        <v>38</v>
      </c>
      <c r="AG17" s="4">
        <v>165000</v>
      </c>
      <c r="AH17" s="4">
        <v>57000</v>
      </c>
      <c r="AI17" s="4">
        <v>30000</v>
      </c>
      <c r="AJ17" s="4">
        <v>49500</v>
      </c>
      <c r="AK17" s="4">
        <v>30000</v>
      </c>
      <c r="AL17" s="4">
        <v>162000</v>
      </c>
      <c r="AM17" s="4">
        <v>108000</v>
      </c>
      <c r="AN17" s="4">
        <v>54000</v>
      </c>
      <c r="AO17" s="4">
        <v>54000</v>
      </c>
      <c r="AP17" s="4">
        <v>31500</v>
      </c>
      <c r="AQ17" s="4">
        <v>13500</v>
      </c>
      <c r="AR17" s="5" t="s">
        <v>14</v>
      </c>
      <c r="AT17" s="8" t="s">
        <v>151</v>
      </c>
      <c r="AU17" s="4" t="s">
        <v>38</v>
      </c>
      <c r="AV17" s="4">
        <v>55000</v>
      </c>
      <c r="AW17" s="4">
        <v>19000</v>
      </c>
      <c r="AX17" s="4">
        <v>10000</v>
      </c>
      <c r="AY17" s="4">
        <v>16500</v>
      </c>
      <c r="AZ17" s="4">
        <v>10000</v>
      </c>
      <c r="BA17" s="4">
        <v>54000</v>
      </c>
      <c r="BB17" s="4">
        <v>36000</v>
      </c>
      <c r="BC17" s="4">
        <v>18000</v>
      </c>
      <c r="BD17" s="4">
        <v>18000</v>
      </c>
      <c r="BE17" s="4">
        <v>10500</v>
      </c>
      <c r="BF17" s="4">
        <v>4500</v>
      </c>
      <c r="BG17" s="5"/>
      <c r="BI17" s="8" t="s">
        <v>151</v>
      </c>
      <c r="BJ17" s="4" t="s">
        <v>127</v>
      </c>
      <c r="BK17" s="4" t="s">
        <v>127</v>
      </c>
      <c r="BL17" s="4" t="s">
        <v>127</v>
      </c>
      <c r="BM17" s="4" t="s">
        <v>127</v>
      </c>
      <c r="BN17" s="4" t="s">
        <v>127</v>
      </c>
      <c r="BO17" s="4" t="s">
        <v>127</v>
      </c>
      <c r="BP17" s="4" t="s">
        <v>127</v>
      </c>
      <c r="BQ17" s="4" t="s">
        <v>127</v>
      </c>
      <c r="BR17" s="4" t="s">
        <v>127</v>
      </c>
      <c r="BS17" s="4" t="s">
        <v>127</v>
      </c>
      <c r="BT17" s="4" t="s">
        <v>127</v>
      </c>
      <c r="BU17" s="4" t="s">
        <v>127</v>
      </c>
      <c r="BV17" s="3"/>
      <c r="BW17" s="23"/>
      <c r="BX17" s="8" t="s">
        <v>151</v>
      </c>
      <c r="BY17" s="4" t="s">
        <v>38</v>
      </c>
      <c r="BZ17" s="4">
        <v>55000</v>
      </c>
      <c r="CA17" s="4">
        <v>19000</v>
      </c>
      <c r="CB17" s="4">
        <v>10000</v>
      </c>
      <c r="CC17" s="4">
        <v>16500</v>
      </c>
      <c r="CD17" s="4">
        <v>10000</v>
      </c>
      <c r="CE17" s="4">
        <v>54000</v>
      </c>
      <c r="CF17" s="4">
        <v>36000</v>
      </c>
      <c r="CG17" s="4">
        <v>18000</v>
      </c>
      <c r="CH17" s="4">
        <v>18000</v>
      </c>
      <c r="CI17" s="4">
        <v>10500</v>
      </c>
      <c r="CJ17" s="4">
        <v>4500</v>
      </c>
      <c r="CK17" s="3" t="s">
        <v>31</v>
      </c>
    </row>
    <row r="18" spans="1:89" ht="16.2" customHeight="1" x14ac:dyDescent="0.3">
      <c r="A18" s="8" t="s">
        <v>152</v>
      </c>
      <c r="B18" s="4" t="s">
        <v>38</v>
      </c>
      <c r="C18" s="4">
        <v>55000</v>
      </c>
      <c r="D18" s="4">
        <v>19000</v>
      </c>
      <c r="E18" s="4">
        <v>10000</v>
      </c>
      <c r="F18" s="4">
        <v>16500</v>
      </c>
      <c r="G18" s="4">
        <v>10000</v>
      </c>
      <c r="H18" s="4">
        <v>54000</v>
      </c>
      <c r="I18" s="4">
        <v>36000</v>
      </c>
      <c r="J18" s="4">
        <v>18000</v>
      </c>
      <c r="K18" s="4">
        <v>18000</v>
      </c>
      <c r="L18" s="4">
        <v>10500</v>
      </c>
      <c r="M18" s="4">
        <v>4500</v>
      </c>
      <c r="N18" s="3" t="s">
        <v>12</v>
      </c>
      <c r="P18" s="8" t="s">
        <v>152</v>
      </c>
      <c r="Q18" s="37" t="s">
        <v>38</v>
      </c>
      <c r="R18" s="4">
        <v>220000</v>
      </c>
      <c r="S18" s="4">
        <v>76000</v>
      </c>
      <c r="T18" s="4">
        <v>40000</v>
      </c>
      <c r="U18" s="4">
        <v>66000</v>
      </c>
      <c r="V18" s="4">
        <v>40000</v>
      </c>
      <c r="W18" s="4">
        <v>216000</v>
      </c>
      <c r="X18" s="4">
        <v>144000</v>
      </c>
      <c r="Y18" s="4">
        <v>72000</v>
      </c>
      <c r="Z18" s="4">
        <v>72000</v>
      </c>
      <c r="AA18" s="4">
        <v>42000</v>
      </c>
      <c r="AB18" s="4">
        <v>18000</v>
      </c>
      <c r="AC18" s="3" t="s">
        <v>13</v>
      </c>
      <c r="AE18" s="8" t="s">
        <v>152</v>
      </c>
      <c r="AF18" s="4" t="s">
        <v>38</v>
      </c>
      <c r="AG18" s="4">
        <v>165000</v>
      </c>
      <c r="AH18" s="4">
        <v>57000</v>
      </c>
      <c r="AI18" s="4">
        <v>30000</v>
      </c>
      <c r="AJ18" s="4">
        <v>49500</v>
      </c>
      <c r="AK18" s="4">
        <v>30000</v>
      </c>
      <c r="AL18" s="4">
        <v>162000</v>
      </c>
      <c r="AM18" s="4">
        <v>108000</v>
      </c>
      <c r="AN18" s="4">
        <v>54000</v>
      </c>
      <c r="AO18" s="4">
        <v>54000</v>
      </c>
      <c r="AP18" s="4">
        <v>31500</v>
      </c>
      <c r="AQ18" s="4">
        <v>13500</v>
      </c>
      <c r="AR18" s="5" t="s">
        <v>14</v>
      </c>
      <c r="AT18" s="8" t="s">
        <v>152</v>
      </c>
      <c r="AU18" s="4" t="s">
        <v>38</v>
      </c>
      <c r="AV18" s="4">
        <v>55000</v>
      </c>
      <c r="AW18" s="4">
        <v>19000</v>
      </c>
      <c r="AX18" s="4">
        <v>10000</v>
      </c>
      <c r="AY18" s="4">
        <v>16500</v>
      </c>
      <c r="AZ18" s="4">
        <v>10000</v>
      </c>
      <c r="BA18" s="4">
        <v>54000</v>
      </c>
      <c r="BB18" s="4">
        <v>36000</v>
      </c>
      <c r="BC18" s="4">
        <v>18000</v>
      </c>
      <c r="BD18" s="4">
        <v>18000</v>
      </c>
      <c r="BE18" s="4">
        <v>10500</v>
      </c>
      <c r="BF18" s="4">
        <v>4500</v>
      </c>
      <c r="BG18" s="5"/>
      <c r="BI18" s="8" t="s">
        <v>152</v>
      </c>
      <c r="BJ18" s="4" t="s">
        <v>127</v>
      </c>
      <c r="BK18" s="4" t="s">
        <v>127</v>
      </c>
      <c r="BL18" s="4" t="s">
        <v>127</v>
      </c>
      <c r="BM18" s="4" t="s">
        <v>127</v>
      </c>
      <c r="BN18" s="4" t="s">
        <v>127</v>
      </c>
      <c r="BO18" s="4" t="s">
        <v>127</v>
      </c>
      <c r="BP18" s="4" t="s">
        <v>127</v>
      </c>
      <c r="BQ18" s="4" t="s">
        <v>127</v>
      </c>
      <c r="BR18" s="4" t="s">
        <v>127</v>
      </c>
      <c r="BS18" s="4" t="s">
        <v>127</v>
      </c>
      <c r="BT18" s="4" t="s">
        <v>127</v>
      </c>
      <c r="BU18" s="4" t="s">
        <v>127</v>
      </c>
      <c r="BV18" s="3"/>
      <c r="BW18" s="23"/>
      <c r="BX18" s="8" t="s">
        <v>152</v>
      </c>
      <c r="BY18" s="4" t="s">
        <v>128</v>
      </c>
      <c r="BZ18" s="4" t="s">
        <v>128</v>
      </c>
      <c r="CA18" s="4" t="s">
        <v>128</v>
      </c>
      <c r="CB18" s="4" t="s">
        <v>128</v>
      </c>
      <c r="CC18" s="4" t="s">
        <v>128</v>
      </c>
      <c r="CD18" s="4" t="s">
        <v>128</v>
      </c>
      <c r="CE18" s="4" t="s">
        <v>128</v>
      </c>
      <c r="CF18" s="4" t="s">
        <v>128</v>
      </c>
      <c r="CG18" s="4" t="s">
        <v>128</v>
      </c>
      <c r="CH18" s="4" t="s">
        <v>128</v>
      </c>
      <c r="CI18" s="4" t="s">
        <v>128</v>
      </c>
      <c r="CJ18" s="4" t="s">
        <v>128</v>
      </c>
      <c r="CK18" s="3"/>
    </row>
    <row r="19" spans="1:89" ht="16.2" customHeight="1" x14ac:dyDescent="0.3">
      <c r="A19" s="3" t="s">
        <v>39</v>
      </c>
      <c r="B19" s="4" t="s">
        <v>38</v>
      </c>
      <c r="C19" s="4" t="s">
        <v>38</v>
      </c>
      <c r="D19" s="4">
        <v>15000</v>
      </c>
      <c r="E19" s="4">
        <v>11000</v>
      </c>
      <c r="F19" s="4">
        <v>12000</v>
      </c>
      <c r="G19" s="4" t="s">
        <v>170</v>
      </c>
      <c r="H19" s="4">
        <v>36000</v>
      </c>
      <c r="I19" s="4">
        <v>24000</v>
      </c>
      <c r="J19" s="4">
        <v>12000</v>
      </c>
      <c r="K19" s="4">
        <v>12000</v>
      </c>
      <c r="L19" s="4">
        <v>9500</v>
      </c>
      <c r="M19" s="4" t="s">
        <v>170</v>
      </c>
      <c r="N19" s="3" t="s">
        <v>12</v>
      </c>
      <c r="P19" s="3" t="s">
        <v>39</v>
      </c>
      <c r="Q19" s="4" t="s">
        <v>38</v>
      </c>
      <c r="R19" s="4" t="s">
        <v>38</v>
      </c>
      <c r="S19" s="4">
        <v>60000</v>
      </c>
      <c r="T19" s="4">
        <v>44000</v>
      </c>
      <c r="U19" s="4">
        <v>48000</v>
      </c>
      <c r="V19" s="4" t="s">
        <v>170</v>
      </c>
      <c r="W19" s="4">
        <v>144000</v>
      </c>
      <c r="X19" s="4">
        <v>96000</v>
      </c>
      <c r="Y19" s="4">
        <v>48000</v>
      </c>
      <c r="Z19" s="4">
        <v>48000</v>
      </c>
      <c r="AA19" s="4">
        <v>38000</v>
      </c>
      <c r="AB19" s="4" t="s">
        <v>170</v>
      </c>
      <c r="AC19" s="3" t="s">
        <v>13</v>
      </c>
      <c r="AE19" s="3" t="s">
        <v>39</v>
      </c>
      <c r="AF19" s="4" t="s">
        <v>38</v>
      </c>
      <c r="AG19" s="4" t="s">
        <v>38</v>
      </c>
      <c r="AH19" s="4">
        <v>45000</v>
      </c>
      <c r="AI19" s="4">
        <v>33000</v>
      </c>
      <c r="AJ19" s="4">
        <v>36000</v>
      </c>
      <c r="AK19" s="4" t="s">
        <v>170</v>
      </c>
      <c r="AL19" s="4">
        <v>108000</v>
      </c>
      <c r="AM19" s="4">
        <v>72000</v>
      </c>
      <c r="AN19" s="4">
        <v>36000</v>
      </c>
      <c r="AO19" s="4">
        <v>36000</v>
      </c>
      <c r="AP19" s="4">
        <v>28500</v>
      </c>
      <c r="AQ19" s="4" t="s">
        <v>170</v>
      </c>
      <c r="AR19" s="5" t="s">
        <v>33</v>
      </c>
      <c r="AT19" s="3" t="s">
        <v>39</v>
      </c>
      <c r="AU19" s="4" t="s">
        <v>38</v>
      </c>
      <c r="AV19" s="4" t="s">
        <v>38</v>
      </c>
      <c r="AW19" s="4">
        <v>15000</v>
      </c>
      <c r="AX19" s="4">
        <v>11000</v>
      </c>
      <c r="AY19" s="4">
        <v>12000</v>
      </c>
      <c r="AZ19" s="4" t="s">
        <v>170</v>
      </c>
      <c r="BA19" s="4" t="s">
        <v>198</v>
      </c>
      <c r="BB19" s="4" t="s">
        <v>198</v>
      </c>
      <c r="BC19" s="4" t="s">
        <v>198</v>
      </c>
      <c r="BD19" s="4">
        <v>12000</v>
      </c>
      <c r="BE19" s="4">
        <v>9500</v>
      </c>
      <c r="BF19" s="4" t="s">
        <v>170</v>
      </c>
      <c r="BG19" s="5" t="s">
        <v>32</v>
      </c>
      <c r="BI19" s="3" t="s">
        <v>39</v>
      </c>
      <c r="BJ19" s="4" t="s">
        <v>127</v>
      </c>
      <c r="BK19" s="4" t="s">
        <v>127</v>
      </c>
      <c r="BL19" s="4" t="s">
        <v>127</v>
      </c>
      <c r="BM19" s="4" t="s">
        <v>127</v>
      </c>
      <c r="BN19" s="4" t="s">
        <v>127</v>
      </c>
      <c r="BO19" s="4" t="s">
        <v>161</v>
      </c>
      <c r="BP19" s="4" t="s">
        <v>127</v>
      </c>
      <c r="BQ19" s="4" t="s">
        <v>127</v>
      </c>
      <c r="BR19" s="4" t="s">
        <v>127</v>
      </c>
      <c r="BS19" s="4" t="s">
        <v>127</v>
      </c>
      <c r="BT19" s="4" t="s">
        <v>127</v>
      </c>
      <c r="BU19" s="4" t="s">
        <v>127</v>
      </c>
      <c r="BV19" s="3"/>
      <c r="BW19" s="23"/>
      <c r="BX19" s="3" t="s">
        <v>39</v>
      </c>
      <c r="BY19" s="4" t="s">
        <v>128</v>
      </c>
      <c r="BZ19" s="4" t="s">
        <v>128</v>
      </c>
      <c r="CA19" s="4" t="s">
        <v>128</v>
      </c>
      <c r="CB19" s="4" t="s">
        <v>128</v>
      </c>
      <c r="CC19" s="4" t="s">
        <v>128</v>
      </c>
      <c r="CD19" s="4" t="s">
        <v>161</v>
      </c>
      <c r="CE19" s="4" t="s">
        <v>128</v>
      </c>
      <c r="CF19" s="4" t="s">
        <v>128</v>
      </c>
      <c r="CG19" s="4" t="s">
        <v>128</v>
      </c>
      <c r="CH19" s="4" t="s">
        <v>128</v>
      </c>
      <c r="CI19" s="4" t="s">
        <v>128</v>
      </c>
      <c r="CJ19" s="4" t="s">
        <v>128</v>
      </c>
      <c r="CK19" s="3"/>
    </row>
    <row r="20" spans="1:89" ht="16.2" customHeight="1" x14ac:dyDescent="0.3">
      <c r="A20" s="3" t="s">
        <v>26</v>
      </c>
      <c r="B20" s="4" t="s">
        <v>38</v>
      </c>
      <c r="C20" s="4" t="s">
        <v>38</v>
      </c>
      <c r="D20" s="4">
        <v>15000</v>
      </c>
      <c r="E20" s="4">
        <v>10000</v>
      </c>
      <c r="F20" s="4">
        <v>10500</v>
      </c>
      <c r="G20" s="4">
        <v>7500</v>
      </c>
      <c r="H20" s="4">
        <v>36000</v>
      </c>
      <c r="I20" s="4">
        <v>24000</v>
      </c>
      <c r="J20" s="4">
        <v>12000</v>
      </c>
      <c r="K20" s="4">
        <v>12000</v>
      </c>
      <c r="L20" s="4">
        <v>7500</v>
      </c>
      <c r="M20" s="4">
        <v>5000</v>
      </c>
      <c r="N20" s="3" t="s">
        <v>12</v>
      </c>
      <c r="P20" s="3" t="s">
        <v>26</v>
      </c>
      <c r="Q20" s="4" t="s">
        <v>38</v>
      </c>
      <c r="R20" s="4" t="s">
        <v>38</v>
      </c>
      <c r="S20" s="4">
        <v>60000</v>
      </c>
      <c r="T20" s="4">
        <v>40000</v>
      </c>
      <c r="U20" s="4">
        <v>42000</v>
      </c>
      <c r="V20" s="4">
        <v>30000</v>
      </c>
      <c r="W20" s="4">
        <v>144000</v>
      </c>
      <c r="X20" s="4">
        <v>96000</v>
      </c>
      <c r="Y20" s="4">
        <v>48000</v>
      </c>
      <c r="Z20" s="4">
        <v>48000</v>
      </c>
      <c r="AA20" s="4">
        <v>30000</v>
      </c>
      <c r="AB20" s="4">
        <v>20000</v>
      </c>
      <c r="AC20" s="3" t="s">
        <v>13</v>
      </c>
      <c r="AE20" s="3" t="s">
        <v>26</v>
      </c>
      <c r="AF20" s="4" t="s">
        <v>38</v>
      </c>
      <c r="AG20" s="4" t="s">
        <v>38</v>
      </c>
      <c r="AH20" s="4">
        <v>45000</v>
      </c>
      <c r="AI20" s="4">
        <v>30000</v>
      </c>
      <c r="AJ20" s="4">
        <v>31500</v>
      </c>
      <c r="AK20" s="4">
        <v>22500</v>
      </c>
      <c r="AL20" s="4">
        <v>108000</v>
      </c>
      <c r="AM20" s="4">
        <v>72000</v>
      </c>
      <c r="AN20" s="4">
        <v>36000</v>
      </c>
      <c r="AO20" s="4">
        <v>36000</v>
      </c>
      <c r="AP20" s="4">
        <v>22500</v>
      </c>
      <c r="AQ20" s="4">
        <v>15000</v>
      </c>
      <c r="AR20" s="5" t="s">
        <v>33</v>
      </c>
      <c r="AT20" s="3" t="s">
        <v>26</v>
      </c>
      <c r="AU20" s="4" t="s">
        <v>38</v>
      </c>
      <c r="AV20" s="4">
        <v>30200</v>
      </c>
      <c r="AW20" s="4" t="s">
        <v>169</v>
      </c>
      <c r="AX20" s="4" t="s">
        <v>169</v>
      </c>
      <c r="AY20" s="4" t="s">
        <v>169</v>
      </c>
      <c r="AZ20" s="4" t="s">
        <v>169</v>
      </c>
      <c r="BA20" s="4" t="s">
        <v>198</v>
      </c>
      <c r="BB20" s="4" t="s">
        <v>198</v>
      </c>
      <c r="BC20" s="4" t="s">
        <v>198</v>
      </c>
      <c r="BD20" s="4" t="s">
        <v>169</v>
      </c>
      <c r="BE20" s="4" t="s">
        <v>169</v>
      </c>
      <c r="BF20" s="4" t="s">
        <v>169</v>
      </c>
      <c r="BG20" s="5" t="s">
        <v>32</v>
      </c>
      <c r="BI20" s="3" t="s">
        <v>26</v>
      </c>
      <c r="BJ20" s="4" t="s">
        <v>127</v>
      </c>
      <c r="BK20" s="4" t="s">
        <v>127</v>
      </c>
      <c r="BL20" s="4" t="s">
        <v>127</v>
      </c>
      <c r="BM20" s="4" t="s">
        <v>127</v>
      </c>
      <c r="BN20" s="4" t="s">
        <v>127</v>
      </c>
      <c r="BO20" s="4" t="s">
        <v>127</v>
      </c>
      <c r="BP20" s="4" t="s">
        <v>127</v>
      </c>
      <c r="BQ20" s="4" t="s">
        <v>127</v>
      </c>
      <c r="BR20" s="4" t="s">
        <v>127</v>
      </c>
      <c r="BS20" s="4" t="s">
        <v>127</v>
      </c>
      <c r="BT20" s="4" t="s">
        <v>127</v>
      </c>
      <c r="BU20" s="4" t="s">
        <v>127</v>
      </c>
      <c r="BV20" s="3"/>
      <c r="BW20" s="23"/>
      <c r="BX20" s="3" t="s">
        <v>26</v>
      </c>
      <c r="BY20" s="4" t="s">
        <v>128</v>
      </c>
      <c r="BZ20" s="4" t="s">
        <v>128</v>
      </c>
      <c r="CA20" s="4" t="s">
        <v>128</v>
      </c>
      <c r="CB20" s="4" t="s">
        <v>128</v>
      </c>
      <c r="CC20" s="4" t="s">
        <v>128</v>
      </c>
      <c r="CD20" s="4" t="s">
        <v>128</v>
      </c>
      <c r="CE20" s="4" t="s">
        <v>128</v>
      </c>
      <c r="CF20" s="4" t="s">
        <v>128</v>
      </c>
      <c r="CG20" s="4" t="s">
        <v>128</v>
      </c>
      <c r="CH20" s="4" t="s">
        <v>128</v>
      </c>
      <c r="CI20" s="4" t="s">
        <v>128</v>
      </c>
      <c r="CJ20" s="4" t="s">
        <v>128</v>
      </c>
      <c r="CK20" s="3"/>
    </row>
    <row r="21" spans="1:89" ht="16.2" customHeight="1" x14ac:dyDescent="0.3">
      <c r="A21" s="3" t="s">
        <v>27</v>
      </c>
      <c r="B21" s="4" t="s">
        <v>38</v>
      </c>
      <c r="C21" s="4">
        <v>60500</v>
      </c>
      <c r="D21" s="4">
        <v>26500</v>
      </c>
      <c r="E21" s="4">
        <v>13000</v>
      </c>
      <c r="F21" s="4">
        <v>23500</v>
      </c>
      <c r="G21" s="4">
        <v>13000</v>
      </c>
      <c r="H21" s="4">
        <v>76500</v>
      </c>
      <c r="I21" s="4">
        <v>51000</v>
      </c>
      <c r="J21" s="4">
        <v>25500</v>
      </c>
      <c r="K21" s="4">
        <v>25500</v>
      </c>
      <c r="L21" s="4">
        <v>18500</v>
      </c>
      <c r="M21" s="4">
        <v>9000</v>
      </c>
      <c r="N21" s="3" t="s">
        <v>12</v>
      </c>
      <c r="P21" s="3" t="s">
        <v>27</v>
      </c>
      <c r="Q21" s="4" t="s">
        <v>38</v>
      </c>
      <c r="R21" s="4">
        <v>121000</v>
      </c>
      <c r="S21" s="4">
        <v>106000</v>
      </c>
      <c r="T21" s="4">
        <v>52000</v>
      </c>
      <c r="U21" s="4">
        <v>94000</v>
      </c>
      <c r="V21" s="4">
        <v>52000</v>
      </c>
      <c r="W21" s="4">
        <v>306000</v>
      </c>
      <c r="X21" s="4">
        <v>204000</v>
      </c>
      <c r="Y21" s="4">
        <v>102000</v>
      </c>
      <c r="Z21" s="4">
        <v>102000</v>
      </c>
      <c r="AA21" s="4">
        <v>74000</v>
      </c>
      <c r="AB21" s="4">
        <v>36000</v>
      </c>
      <c r="AC21" s="3" t="s">
        <v>13</v>
      </c>
      <c r="AE21" s="3" t="s">
        <v>27</v>
      </c>
      <c r="AF21" s="4" t="s">
        <v>38</v>
      </c>
      <c r="AG21" s="4">
        <v>181500</v>
      </c>
      <c r="AH21" s="4">
        <v>79500</v>
      </c>
      <c r="AI21" s="4">
        <v>39000</v>
      </c>
      <c r="AJ21" s="4">
        <v>70500</v>
      </c>
      <c r="AK21" s="4">
        <v>39000</v>
      </c>
      <c r="AL21" s="4">
        <v>229500</v>
      </c>
      <c r="AM21" s="4">
        <v>153000</v>
      </c>
      <c r="AN21" s="4">
        <v>76500</v>
      </c>
      <c r="AO21" s="4">
        <v>76500</v>
      </c>
      <c r="AP21" s="4">
        <v>55500</v>
      </c>
      <c r="AQ21" s="4">
        <v>27000</v>
      </c>
      <c r="AR21" s="5" t="s">
        <v>33</v>
      </c>
      <c r="AT21" s="3" t="s">
        <v>27</v>
      </c>
      <c r="AU21" s="4" t="s">
        <v>38</v>
      </c>
      <c r="AV21" s="4">
        <v>60500</v>
      </c>
      <c r="AW21" s="4">
        <v>26500</v>
      </c>
      <c r="AX21" s="4">
        <v>13000</v>
      </c>
      <c r="AY21" s="4">
        <v>23500</v>
      </c>
      <c r="AZ21" s="4">
        <v>13000</v>
      </c>
      <c r="BA21" s="4">
        <v>76500</v>
      </c>
      <c r="BB21" s="4">
        <v>51000</v>
      </c>
      <c r="BC21" s="4">
        <v>25500</v>
      </c>
      <c r="BD21" s="4">
        <v>25500</v>
      </c>
      <c r="BE21" s="4">
        <v>18500</v>
      </c>
      <c r="BF21" s="4">
        <v>9000</v>
      </c>
      <c r="BG21" s="5" t="s">
        <v>32</v>
      </c>
      <c r="BI21" s="3" t="s">
        <v>27</v>
      </c>
      <c r="BJ21" s="4" t="s">
        <v>127</v>
      </c>
      <c r="BK21" s="4" t="s">
        <v>127</v>
      </c>
      <c r="BL21" s="4" t="s">
        <v>127</v>
      </c>
      <c r="BM21" s="4" t="s">
        <v>127</v>
      </c>
      <c r="BN21" s="4" t="s">
        <v>127</v>
      </c>
      <c r="BO21" s="4" t="s">
        <v>127</v>
      </c>
      <c r="BP21" s="4" t="s">
        <v>127</v>
      </c>
      <c r="BQ21" s="4" t="s">
        <v>127</v>
      </c>
      <c r="BR21" s="4" t="s">
        <v>127</v>
      </c>
      <c r="BS21" s="4" t="s">
        <v>127</v>
      </c>
      <c r="BT21" s="4" t="s">
        <v>127</v>
      </c>
      <c r="BU21" s="4" t="s">
        <v>127</v>
      </c>
      <c r="BV21" s="3"/>
      <c r="BW21" s="23"/>
      <c r="BX21" s="3" t="s">
        <v>27</v>
      </c>
      <c r="BY21" s="4" t="s">
        <v>128</v>
      </c>
      <c r="BZ21" s="4" t="s">
        <v>128</v>
      </c>
      <c r="CA21" s="4" t="s">
        <v>128</v>
      </c>
      <c r="CB21" s="4" t="s">
        <v>128</v>
      </c>
      <c r="CC21" s="4" t="s">
        <v>128</v>
      </c>
      <c r="CD21" s="4" t="s">
        <v>128</v>
      </c>
      <c r="CE21" s="4" t="s">
        <v>128</v>
      </c>
      <c r="CF21" s="4" t="s">
        <v>128</v>
      </c>
      <c r="CG21" s="4" t="s">
        <v>128</v>
      </c>
      <c r="CH21" s="4" t="s">
        <v>128</v>
      </c>
      <c r="CI21" s="4" t="s">
        <v>128</v>
      </c>
      <c r="CJ21" s="4" t="s">
        <v>128</v>
      </c>
      <c r="CK21" s="3"/>
    </row>
    <row r="22" spans="1:89" ht="16.2" customHeight="1" x14ac:dyDescent="0.3">
      <c r="A22" s="3" t="s">
        <v>28</v>
      </c>
      <c r="B22" s="4" t="s">
        <v>38</v>
      </c>
      <c r="C22" s="4">
        <v>60000</v>
      </c>
      <c r="D22" s="4">
        <v>37500</v>
      </c>
      <c r="E22" s="4">
        <v>17500</v>
      </c>
      <c r="F22" s="4">
        <v>28500</v>
      </c>
      <c r="G22" s="4">
        <v>17500</v>
      </c>
      <c r="H22" s="4">
        <v>6000</v>
      </c>
      <c r="I22" s="4">
        <v>37500</v>
      </c>
      <c r="J22" s="4">
        <v>36000</v>
      </c>
      <c r="K22" s="4">
        <v>36000</v>
      </c>
      <c r="L22" s="4">
        <v>18000</v>
      </c>
      <c r="M22" s="4">
        <v>6500</v>
      </c>
      <c r="N22" s="3" t="s">
        <v>12</v>
      </c>
      <c r="P22" s="3" t="s">
        <v>28</v>
      </c>
      <c r="Q22" s="4" t="s">
        <v>38</v>
      </c>
      <c r="R22" s="4">
        <v>60000</v>
      </c>
      <c r="S22" s="4">
        <v>37500</v>
      </c>
      <c r="T22" s="4">
        <v>17500</v>
      </c>
      <c r="U22" s="4">
        <v>28500</v>
      </c>
      <c r="V22" s="4">
        <v>17500</v>
      </c>
      <c r="W22" s="4">
        <v>60000</v>
      </c>
      <c r="X22" s="4">
        <v>37500</v>
      </c>
      <c r="Y22" s="4">
        <v>36000</v>
      </c>
      <c r="Z22" s="4">
        <v>36000</v>
      </c>
      <c r="AA22" s="4">
        <v>18000</v>
      </c>
      <c r="AB22" s="4">
        <v>6500</v>
      </c>
      <c r="AC22" s="3" t="s">
        <v>29</v>
      </c>
      <c r="AE22" s="3" t="s">
        <v>28</v>
      </c>
      <c r="AF22" s="4" t="s">
        <v>38</v>
      </c>
      <c r="AG22" s="4">
        <v>60000</v>
      </c>
      <c r="AH22" s="4">
        <v>37500</v>
      </c>
      <c r="AI22" s="4">
        <v>17500</v>
      </c>
      <c r="AJ22" s="4">
        <v>28500</v>
      </c>
      <c r="AK22" s="4">
        <v>17500</v>
      </c>
      <c r="AL22" s="4">
        <v>60000</v>
      </c>
      <c r="AM22" s="4">
        <v>37500</v>
      </c>
      <c r="AN22" s="4">
        <v>36000</v>
      </c>
      <c r="AO22" s="4">
        <v>36000</v>
      </c>
      <c r="AP22" s="4">
        <v>18000</v>
      </c>
      <c r="AQ22" s="4">
        <v>6500</v>
      </c>
      <c r="AR22" s="3" t="s">
        <v>14</v>
      </c>
      <c r="AT22" s="3" t="s">
        <v>28</v>
      </c>
      <c r="AU22" s="9" t="s">
        <v>90</v>
      </c>
      <c r="AV22" s="9" t="s">
        <v>90</v>
      </c>
      <c r="AW22" s="9" t="s">
        <v>90</v>
      </c>
      <c r="AX22" s="9" t="s">
        <v>90</v>
      </c>
      <c r="AY22" s="9" t="s">
        <v>90</v>
      </c>
      <c r="AZ22" s="9" t="s">
        <v>90</v>
      </c>
      <c r="BA22" s="9" t="s">
        <v>90</v>
      </c>
      <c r="BB22" s="9" t="s">
        <v>90</v>
      </c>
      <c r="BC22" s="9" t="s">
        <v>90</v>
      </c>
      <c r="BD22" s="9" t="s">
        <v>90</v>
      </c>
      <c r="BE22" s="9" t="s">
        <v>90</v>
      </c>
      <c r="BF22" s="9" t="s">
        <v>90</v>
      </c>
      <c r="BG22" s="9"/>
      <c r="BI22" s="3" t="s">
        <v>28</v>
      </c>
      <c r="BJ22" s="4" t="s">
        <v>127</v>
      </c>
      <c r="BK22" s="4" t="s">
        <v>127</v>
      </c>
      <c r="BL22" s="4" t="s">
        <v>127</v>
      </c>
      <c r="BM22" s="4" t="s">
        <v>127</v>
      </c>
      <c r="BN22" s="4" t="s">
        <v>127</v>
      </c>
      <c r="BO22" s="4" t="s">
        <v>127</v>
      </c>
      <c r="BP22" s="4" t="s">
        <v>127</v>
      </c>
      <c r="BQ22" s="4" t="s">
        <v>127</v>
      </c>
      <c r="BR22" s="4" t="s">
        <v>127</v>
      </c>
      <c r="BS22" s="4" t="s">
        <v>127</v>
      </c>
      <c r="BT22" s="4" t="s">
        <v>127</v>
      </c>
      <c r="BU22" s="4" t="s">
        <v>127</v>
      </c>
      <c r="BV22" s="3"/>
      <c r="BW22" s="23"/>
      <c r="BX22" s="3" t="s">
        <v>28</v>
      </c>
      <c r="BY22" s="4" t="s">
        <v>128</v>
      </c>
      <c r="BZ22" s="4" t="s">
        <v>128</v>
      </c>
      <c r="CA22" s="4" t="s">
        <v>128</v>
      </c>
      <c r="CB22" s="4" t="s">
        <v>128</v>
      </c>
      <c r="CC22" s="4" t="s">
        <v>128</v>
      </c>
      <c r="CD22" s="4" t="s">
        <v>128</v>
      </c>
      <c r="CE22" s="4" t="s">
        <v>128</v>
      </c>
      <c r="CF22" s="4" t="s">
        <v>128</v>
      </c>
      <c r="CG22" s="4" t="s">
        <v>128</v>
      </c>
      <c r="CH22" s="4" t="s">
        <v>128</v>
      </c>
      <c r="CI22" s="4" t="s">
        <v>128</v>
      </c>
      <c r="CJ22" s="4" t="s">
        <v>128</v>
      </c>
      <c r="CK22" s="3"/>
    </row>
    <row r="23" spans="1:89" ht="16.2" customHeight="1" x14ac:dyDescent="0.3">
      <c r="A23" s="3" t="s">
        <v>30</v>
      </c>
      <c r="B23" s="4" t="s">
        <v>38</v>
      </c>
      <c r="C23" s="4" t="s">
        <v>38</v>
      </c>
      <c r="D23" s="4">
        <v>21500</v>
      </c>
      <c r="E23" s="4">
        <v>12500</v>
      </c>
      <c r="F23" s="4">
        <v>18500</v>
      </c>
      <c r="G23" s="4">
        <v>12500</v>
      </c>
      <c r="H23" s="4">
        <v>61500</v>
      </c>
      <c r="I23" s="4">
        <v>41000</v>
      </c>
      <c r="J23" s="4">
        <v>26625</v>
      </c>
      <c r="K23" s="4">
        <v>20500</v>
      </c>
      <c r="L23" s="4">
        <v>14000</v>
      </c>
      <c r="M23" s="4">
        <v>9000</v>
      </c>
      <c r="N23" s="3" t="s">
        <v>12</v>
      </c>
      <c r="P23" s="3" t="s">
        <v>30</v>
      </c>
      <c r="Q23" s="4" t="s">
        <v>38</v>
      </c>
      <c r="R23" s="4" t="s">
        <v>38</v>
      </c>
      <c r="S23" s="4">
        <v>86000</v>
      </c>
      <c r="T23" s="4">
        <v>50000</v>
      </c>
      <c r="U23" s="4">
        <v>74000</v>
      </c>
      <c r="V23" s="4">
        <v>50000</v>
      </c>
      <c r="W23" s="4">
        <v>246000</v>
      </c>
      <c r="X23" s="4">
        <v>164000</v>
      </c>
      <c r="Y23" s="4">
        <v>102500</v>
      </c>
      <c r="Z23" s="4">
        <v>82000</v>
      </c>
      <c r="AA23" s="4">
        <v>56000</v>
      </c>
      <c r="AB23" s="4">
        <v>36000</v>
      </c>
      <c r="AC23" s="3" t="s">
        <v>29</v>
      </c>
      <c r="AE23" s="3" t="s">
        <v>30</v>
      </c>
      <c r="AF23" s="4" t="s">
        <v>38</v>
      </c>
      <c r="AG23" s="4" t="s">
        <v>38</v>
      </c>
      <c r="AH23" s="4">
        <v>64500</v>
      </c>
      <c r="AI23" s="4">
        <v>37500</v>
      </c>
      <c r="AJ23" s="4">
        <v>55500</v>
      </c>
      <c r="AK23" s="4">
        <v>37500</v>
      </c>
      <c r="AL23" s="4">
        <v>184500</v>
      </c>
      <c r="AM23" s="4">
        <v>123000</v>
      </c>
      <c r="AN23" s="4">
        <v>76875</v>
      </c>
      <c r="AO23" s="4">
        <v>61500</v>
      </c>
      <c r="AP23" s="4">
        <v>42000</v>
      </c>
      <c r="AQ23" s="4">
        <v>27000</v>
      </c>
      <c r="AR23" s="3" t="s">
        <v>14</v>
      </c>
      <c r="AT23" s="3" t="s">
        <v>30</v>
      </c>
      <c r="AU23" s="9" t="s">
        <v>90</v>
      </c>
      <c r="AV23" s="9" t="s">
        <v>90</v>
      </c>
      <c r="AW23" s="9" t="s">
        <v>90</v>
      </c>
      <c r="AX23" s="9" t="s">
        <v>90</v>
      </c>
      <c r="AY23" s="9" t="s">
        <v>90</v>
      </c>
      <c r="AZ23" s="9" t="s">
        <v>90</v>
      </c>
      <c r="BA23" s="9" t="s">
        <v>90</v>
      </c>
      <c r="BB23" s="9" t="s">
        <v>90</v>
      </c>
      <c r="BC23" s="9" t="s">
        <v>90</v>
      </c>
      <c r="BD23" s="9" t="s">
        <v>90</v>
      </c>
      <c r="BE23" s="9" t="s">
        <v>90</v>
      </c>
      <c r="BF23" s="9" t="s">
        <v>90</v>
      </c>
      <c r="BG23" s="9"/>
      <c r="BI23" s="3" t="s">
        <v>30</v>
      </c>
      <c r="BJ23" s="4" t="s">
        <v>127</v>
      </c>
      <c r="BK23" s="4" t="s">
        <v>127</v>
      </c>
      <c r="BL23" s="4" t="s">
        <v>127</v>
      </c>
      <c r="BM23" s="4" t="s">
        <v>127</v>
      </c>
      <c r="BN23" s="4" t="s">
        <v>127</v>
      </c>
      <c r="BO23" s="4" t="s">
        <v>127</v>
      </c>
      <c r="BP23" s="4" t="s">
        <v>127</v>
      </c>
      <c r="BQ23" s="4" t="s">
        <v>127</v>
      </c>
      <c r="BR23" s="4" t="s">
        <v>127</v>
      </c>
      <c r="BS23" s="4" t="s">
        <v>127</v>
      </c>
      <c r="BT23" s="4" t="s">
        <v>127</v>
      </c>
      <c r="BU23" s="4" t="s">
        <v>127</v>
      </c>
      <c r="BV23" s="3"/>
      <c r="BW23" s="23"/>
      <c r="BX23" s="3" t="s">
        <v>30</v>
      </c>
      <c r="BY23" s="4" t="s">
        <v>128</v>
      </c>
      <c r="BZ23" s="4" t="s">
        <v>128</v>
      </c>
      <c r="CA23" s="4" t="s">
        <v>128</v>
      </c>
      <c r="CB23" s="4" t="s">
        <v>128</v>
      </c>
      <c r="CC23" s="4" t="s">
        <v>128</v>
      </c>
      <c r="CD23" s="4" t="s">
        <v>128</v>
      </c>
      <c r="CE23" s="4" t="s">
        <v>128</v>
      </c>
      <c r="CF23" s="4" t="s">
        <v>128</v>
      </c>
      <c r="CG23" s="4" t="s">
        <v>128</v>
      </c>
      <c r="CH23" s="4" t="s">
        <v>128</v>
      </c>
      <c r="CI23" s="4" t="s">
        <v>128</v>
      </c>
      <c r="CJ23" s="4" t="s">
        <v>128</v>
      </c>
      <c r="CK23" s="3"/>
    </row>
    <row r="24" spans="1:89" ht="16.2" customHeight="1" x14ac:dyDescent="0.3">
      <c r="A24" s="3" t="s">
        <v>50</v>
      </c>
      <c r="B24" s="4" t="s">
        <v>38</v>
      </c>
      <c r="C24" s="4" t="s">
        <v>38</v>
      </c>
      <c r="D24" s="4">
        <v>24000</v>
      </c>
      <c r="E24" s="4">
        <v>16000</v>
      </c>
      <c r="F24" s="4">
        <v>24000</v>
      </c>
      <c r="G24" s="4">
        <v>16000</v>
      </c>
      <c r="H24" s="4">
        <v>61500</v>
      </c>
      <c r="I24" s="4">
        <v>41000</v>
      </c>
      <c r="J24" s="4">
        <v>26625</v>
      </c>
      <c r="K24" s="4">
        <v>20500</v>
      </c>
      <c r="L24" s="4">
        <v>12000</v>
      </c>
      <c r="M24" s="4">
        <v>7000</v>
      </c>
      <c r="N24" s="3" t="s">
        <v>12</v>
      </c>
      <c r="P24" s="3" t="s">
        <v>50</v>
      </c>
      <c r="Q24" s="4" t="s">
        <v>38</v>
      </c>
      <c r="R24" s="4" t="s">
        <v>38</v>
      </c>
      <c r="S24" s="4">
        <v>96000</v>
      </c>
      <c r="T24" s="4">
        <v>64000</v>
      </c>
      <c r="U24" s="4">
        <v>96000</v>
      </c>
      <c r="V24" s="4">
        <v>64000</v>
      </c>
      <c r="W24" s="4">
        <v>246000</v>
      </c>
      <c r="X24" s="4">
        <v>164000</v>
      </c>
      <c r="Y24" s="4">
        <v>102500</v>
      </c>
      <c r="Z24" s="4">
        <v>82000</v>
      </c>
      <c r="AA24" s="4">
        <v>48000</v>
      </c>
      <c r="AB24" s="4">
        <v>28000</v>
      </c>
      <c r="AC24" s="3" t="s">
        <v>13</v>
      </c>
      <c r="AE24" s="3" t="s">
        <v>50</v>
      </c>
      <c r="AF24" s="4" t="s">
        <v>38</v>
      </c>
      <c r="AG24" s="4" t="s">
        <v>38</v>
      </c>
      <c r="AH24" s="4">
        <v>72000</v>
      </c>
      <c r="AI24" s="4">
        <v>48000</v>
      </c>
      <c r="AJ24" s="4">
        <v>72000</v>
      </c>
      <c r="AK24" s="4">
        <v>48000</v>
      </c>
      <c r="AL24" s="4">
        <v>184500</v>
      </c>
      <c r="AM24" s="4">
        <v>123000</v>
      </c>
      <c r="AN24" s="4">
        <v>76875</v>
      </c>
      <c r="AO24" s="4">
        <v>61500</v>
      </c>
      <c r="AP24" s="4">
        <v>36000</v>
      </c>
      <c r="AQ24" s="4">
        <v>21000</v>
      </c>
      <c r="AR24" s="5" t="s">
        <v>33</v>
      </c>
      <c r="AT24" s="3" t="s">
        <v>50</v>
      </c>
      <c r="AU24" s="4" t="s">
        <v>38</v>
      </c>
      <c r="AV24" s="4" t="s">
        <v>38</v>
      </c>
      <c r="AW24" s="4">
        <v>24000</v>
      </c>
      <c r="AX24" s="4">
        <v>16000</v>
      </c>
      <c r="AY24" s="4">
        <v>24000</v>
      </c>
      <c r="AZ24" s="4">
        <v>16000</v>
      </c>
      <c r="BA24" s="4">
        <v>61500</v>
      </c>
      <c r="BB24" s="4">
        <v>41000</v>
      </c>
      <c r="BC24" s="4">
        <v>25625</v>
      </c>
      <c r="BD24" s="4">
        <v>20500</v>
      </c>
      <c r="BE24" s="4">
        <v>12000</v>
      </c>
      <c r="BF24" s="4">
        <v>7000</v>
      </c>
      <c r="BG24" s="5" t="s">
        <v>32</v>
      </c>
      <c r="BI24" s="3" t="s">
        <v>50</v>
      </c>
      <c r="BJ24" s="4" t="s">
        <v>127</v>
      </c>
      <c r="BK24" s="4" t="s">
        <v>127</v>
      </c>
      <c r="BL24" s="4" t="s">
        <v>127</v>
      </c>
      <c r="BM24" s="4" t="s">
        <v>127</v>
      </c>
      <c r="BN24" s="4" t="s">
        <v>127</v>
      </c>
      <c r="BO24" s="4" t="s">
        <v>127</v>
      </c>
      <c r="BP24" s="4" t="s">
        <v>127</v>
      </c>
      <c r="BQ24" s="4" t="s">
        <v>127</v>
      </c>
      <c r="BR24" s="4" t="s">
        <v>127</v>
      </c>
      <c r="BS24" s="4" t="s">
        <v>127</v>
      </c>
      <c r="BT24" s="4" t="s">
        <v>127</v>
      </c>
      <c r="BU24" s="4" t="s">
        <v>127</v>
      </c>
      <c r="BV24" s="3"/>
      <c r="BW24" s="23"/>
      <c r="BX24" s="3" t="s">
        <v>50</v>
      </c>
      <c r="BY24" s="4" t="s">
        <v>38</v>
      </c>
      <c r="BZ24" s="4" t="s">
        <v>38</v>
      </c>
      <c r="CA24" s="4">
        <v>24000</v>
      </c>
      <c r="CB24" s="4">
        <v>16000</v>
      </c>
      <c r="CC24" s="4">
        <v>24000</v>
      </c>
      <c r="CD24" s="4">
        <v>16000</v>
      </c>
      <c r="CE24" s="4">
        <v>61500</v>
      </c>
      <c r="CF24" s="4">
        <v>41000</v>
      </c>
      <c r="CG24" s="4">
        <v>25625</v>
      </c>
      <c r="CH24" s="4">
        <v>20500</v>
      </c>
      <c r="CI24" s="4">
        <v>12000</v>
      </c>
      <c r="CJ24" s="4">
        <v>7000</v>
      </c>
      <c r="CK24" s="3" t="s">
        <v>31</v>
      </c>
    </row>
    <row r="25" spans="1:89" ht="16.2" customHeight="1" x14ac:dyDescent="0.3">
      <c r="A25" s="3" t="s">
        <v>54</v>
      </c>
      <c r="B25" s="4" t="s">
        <v>38</v>
      </c>
      <c r="C25" s="4" t="s">
        <v>38</v>
      </c>
      <c r="D25" s="4">
        <v>24000</v>
      </c>
      <c r="E25" s="4">
        <v>16000</v>
      </c>
      <c r="F25" s="4">
        <v>24000</v>
      </c>
      <c r="G25" s="4">
        <v>16000</v>
      </c>
      <c r="H25" s="4">
        <v>61500</v>
      </c>
      <c r="I25" s="4">
        <v>41000</v>
      </c>
      <c r="J25" s="4">
        <v>26625</v>
      </c>
      <c r="K25" s="4">
        <v>20500</v>
      </c>
      <c r="L25" s="4">
        <v>12000</v>
      </c>
      <c r="M25" s="4">
        <v>7000</v>
      </c>
      <c r="N25" s="3" t="s">
        <v>12</v>
      </c>
      <c r="P25" s="3" t="s">
        <v>54</v>
      </c>
      <c r="Q25" s="4" t="s">
        <v>38</v>
      </c>
      <c r="R25" s="4" t="s">
        <v>38</v>
      </c>
      <c r="S25" s="4">
        <v>96000</v>
      </c>
      <c r="T25" s="4">
        <v>64000</v>
      </c>
      <c r="U25" s="4">
        <v>96000</v>
      </c>
      <c r="V25" s="4">
        <v>64000</v>
      </c>
      <c r="W25" s="4">
        <v>246000</v>
      </c>
      <c r="X25" s="4">
        <v>164000</v>
      </c>
      <c r="Y25" s="4">
        <v>102500</v>
      </c>
      <c r="Z25" s="4">
        <v>82000</v>
      </c>
      <c r="AA25" s="4">
        <v>48000</v>
      </c>
      <c r="AB25" s="4">
        <v>28000</v>
      </c>
      <c r="AC25" s="3" t="s">
        <v>13</v>
      </c>
      <c r="AE25" s="3" t="s">
        <v>54</v>
      </c>
      <c r="AF25" s="4" t="s">
        <v>38</v>
      </c>
      <c r="AG25" s="4" t="s">
        <v>38</v>
      </c>
      <c r="AH25" s="4">
        <v>72000</v>
      </c>
      <c r="AI25" s="4">
        <v>48000</v>
      </c>
      <c r="AJ25" s="4">
        <v>72000</v>
      </c>
      <c r="AK25" s="4">
        <v>48000</v>
      </c>
      <c r="AL25" s="4">
        <v>184500</v>
      </c>
      <c r="AM25" s="4">
        <v>123000</v>
      </c>
      <c r="AN25" s="4">
        <v>76875</v>
      </c>
      <c r="AO25" s="4">
        <v>61500</v>
      </c>
      <c r="AP25" s="4">
        <v>36000</v>
      </c>
      <c r="AQ25" s="4">
        <v>21000</v>
      </c>
      <c r="AR25" s="5" t="s">
        <v>33</v>
      </c>
      <c r="AT25" s="3" t="s">
        <v>54</v>
      </c>
      <c r="AU25" s="4" t="s">
        <v>38</v>
      </c>
      <c r="AV25" s="4" t="s">
        <v>38</v>
      </c>
      <c r="AW25" s="4">
        <v>24000</v>
      </c>
      <c r="AX25" s="4">
        <v>16000</v>
      </c>
      <c r="AY25" s="4">
        <v>24000</v>
      </c>
      <c r="AZ25" s="4">
        <v>16000</v>
      </c>
      <c r="BA25" s="4">
        <v>61500</v>
      </c>
      <c r="BB25" s="4">
        <v>41000</v>
      </c>
      <c r="BC25" s="4">
        <v>25625</v>
      </c>
      <c r="BD25" s="4">
        <v>20500</v>
      </c>
      <c r="BE25" s="4">
        <v>12000</v>
      </c>
      <c r="BF25" s="4">
        <v>7000</v>
      </c>
      <c r="BG25" s="5" t="s">
        <v>32</v>
      </c>
      <c r="BI25" s="3" t="s">
        <v>54</v>
      </c>
      <c r="BJ25" s="4" t="s">
        <v>127</v>
      </c>
      <c r="BK25" s="4" t="s">
        <v>127</v>
      </c>
      <c r="BL25" s="4" t="s">
        <v>127</v>
      </c>
      <c r="BM25" s="4" t="s">
        <v>127</v>
      </c>
      <c r="BN25" s="4" t="s">
        <v>127</v>
      </c>
      <c r="BO25" s="4" t="s">
        <v>127</v>
      </c>
      <c r="BP25" s="4" t="s">
        <v>127</v>
      </c>
      <c r="BQ25" s="4" t="s">
        <v>127</v>
      </c>
      <c r="BR25" s="4" t="s">
        <v>127</v>
      </c>
      <c r="BS25" s="4" t="s">
        <v>127</v>
      </c>
      <c r="BT25" s="4" t="s">
        <v>127</v>
      </c>
      <c r="BU25" s="4" t="s">
        <v>127</v>
      </c>
      <c r="BV25" s="3"/>
      <c r="BW25" s="23"/>
      <c r="BX25" s="3" t="s">
        <v>54</v>
      </c>
      <c r="BY25" s="4" t="s">
        <v>38</v>
      </c>
      <c r="BZ25" s="4" t="s">
        <v>38</v>
      </c>
      <c r="CA25" s="4">
        <v>24000</v>
      </c>
      <c r="CB25" s="4">
        <v>16000</v>
      </c>
      <c r="CC25" s="4">
        <v>24000</v>
      </c>
      <c r="CD25" s="4">
        <v>16000</v>
      </c>
      <c r="CE25" s="4">
        <v>61500</v>
      </c>
      <c r="CF25" s="4">
        <v>41000</v>
      </c>
      <c r="CG25" s="4">
        <v>25625</v>
      </c>
      <c r="CH25" s="4">
        <v>20500</v>
      </c>
      <c r="CI25" s="4">
        <v>12000</v>
      </c>
      <c r="CJ25" s="4">
        <v>7000</v>
      </c>
      <c r="CK25" s="3" t="s">
        <v>31</v>
      </c>
    </row>
    <row r="26" spans="1:89" ht="31.95" customHeight="1" x14ac:dyDescent="0.3">
      <c r="A26" s="5" t="s">
        <v>34</v>
      </c>
      <c r="B26" s="4" t="s">
        <v>166</v>
      </c>
      <c r="C26" s="4" t="s">
        <v>166</v>
      </c>
      <c r="D26" s="4" t="s">
        <v>166</v>
      </c>
      <c r="E26" s="4" t="s">
        <v>166</v>
      </c>
      <c r="F26" s="4" t="s">
        <v>166</v>
      </c>
      <c r="G26" s="4" t="s">
        <v>166</v>
      </c>
      <c r="H26" s="4" t="s">
        <v>166</v>
      </c>
      <c r="I26" s="4" t="s">
        <v>166</v>
      </c>
      <c r="J26" s="4" t="s">
        <v>166</v>
      </c>
      <c r="K26" s="4" t="s">
        <v>166</v>
      </c>
      <c r="L26" s="4">
        <v>12000</v>
      </c>
      <c r="M26" s="4" t="s">
        <v>166</v>
      </c>
      <c r="N26" s="3" t="s">
        <v>12</v>
      </c>
      <c r="P26" s="5" t="s">
        <v>34</v>
      </c>
      <c r="Q26" s="4" t="s">
        <v>166</v>
      </c>
      <c r="R26" s="4" t="s">
        <v>166</v>
      </c>
      <c r="S26" s="4" t="s">
        <v>166</v>
      </c>
      <c r="T26" s="4" t="s">
        <v>166</v>
      </c>
      <c r="U26" s="4" t="s">
        <v>166</v>
      </c>
      <c r="V26" s="4" t="s">
        <v>166</v>
      </c>
      <c r="W26" s="4" t="s">
        <v>166</v>
      </c>
      <c r="X26" s="4" t="s">
        <v>166</v>
      </c>
      <c r="Y26" s="4" t="s">
        <v>166</v>
      </c>
      <c r="Z26" s="4" t="s">
        <v>166</v>
      </c>
      <c r="AA26" s="4">
        <v>48000</v>
      </c>
      <c r="AB26" s="4" t="s">
        <v>166</v>
      </c>
      <c r="AC26" s="3" t="s">
        <v>13</v>
      </c>
      <c r="AE26" s="5" t="s">
        <v>34</v>
      </c>
      <c r="AF26" s="4" t="s">
        <v>166</v>
      </c>
      <c r="AG26" s="4" t="s">
        <v>166</v>
      </c>
      <c r="AH26" s="4" t="s">
        <v>166</v>
      </c>
      <c r="AI26" s="4" t="s">
        <v>166</v>
      </c>
      <c r="AJ26" s="4" t="s">
        <v>166</v>
      </c>
      <c r="AK26" s="4" t="s">
        <v>166</v>
      </c>
      <c r="AL26" s="4" t="s">
        <v>166</v>
      </c>
      <c r="AM26" s="4" t="s">
        <v>166</v>
      </c>
      <c r="AN26" s="4" t="s">
        <v>166</v>
      </c>
      <c r="AO26" s="4" t="s">
        <v>166</v>
      </c>
      <c r="AP26" s="4">
        <v>36000</v>
      </c>
      <c r="AQ26" s="4" t="s">
        <v>166</v>
      </c>
      <c r="AR26" s="5" t="s">
        <v>33</v>
      </c>
      <c r="AT26" s="5" t="s">
        <v>34</v>
      </c>
      <c r="AU26" s="4" t="s">
        <v>166</v>
      </c>
      <c r="AV26" s="4" t="s">
        <v>166</v>
      </c>
      <c r="AW26" s="4" t="s">
        <v>166</v>
      </c>
      <c r="AX26" s="4" t="s">
        <v>166</v>
      </c>
      <c r="AY26" s="4" t="s">
        <v>166</v>
      </c>
      <c r="AZ26" s="4" t="s">
        <v>166</v>
      </c>
      <c r="BA26" s="4" t="s">
        <v>166</v>
      </c>
      <c r="BB26" s="4" t="s">
        <v>166</v>
      </c>
      <c r="BC26" s="4" t="s">
        <v>166</v>
      </c>
      <c r="BD26" s="4" t="s">
        <v>166</v>
      </c>
      <c r="BE26" s="4" t="s">
        <v>140</v>
      </c>
      <c r="BF26" s="4" t="s">
        <v>166</v>
      </c>
      <c r="BG26" s="5" t="s">
        <v>32</v>
      </c>
      <c r="BI26" s="5" t="s">
        <v>34</v>
      </c>
      <c r="BJ26" s="4" t="s">
        <v>127</v>
      </c>
      <c r="BK26" s="4" t="s">
        <v>127</v>
      </c>
      <c r="BL26" s="4" t="s">
        <v>127</v>
      </c>
      <c r="BM26" s="4" t="s">
        <v>127</v>
      </c>
      <c r="BN26" s="4" t="s">
        <v>127</v>
      </c>
      <c r="BO26" s="4" t="s">
        <v>127</v>
      </c>
      <c r="BP26" s="4" t="s">
        <v>127</v>
      </c>
      <c r="BQ26" s="4" t="s">
        <v>127</v>
      </c>
      <c r="BR26" s="4" t="s">
        <v>127</v>
      </c>
      <c r="BS26" s="4" t="s">
        <v>127</v>
      </c>
      <c r="BT26" s="4" t="s">
        <v>127</v>
      </c>
      <c r="BU26" s="4" t="s">
        <v>127</v>
      </c>
      <c r="BV26" s="3"/>
      <c r="BW26" s="23"/>
      <c r="BX26" s="5" t="s">
        <v>34</v>
      </c>
      <c r="BY26" s="4" t="s">
        <v>128</v>
      </c>
      <c r="BZ26" s="4" t="s">
        <v>128</v>
      </c>
      <c r="CA26" s="4" t="s">
        <v>128</v>
      </c>
      <c r="CB26" s="4" t="s">
        <v>128</v>
      </c>
      <c r="CC26" s="4" t="s">
        <v>128</v>
      </c>
      <c r="CD26" s="4" t="s">
        <v>128</v>
      </c>
      <c r="CE26" s="4" t="s">
        <v>128</v>
      </c>
      <c r="CF26" s="4" t="s">
        <v>128</v>
      </c>
      <c r="CG26" s="4" t="s">
        <v>128</v>
      </c>
      <c r="CH26" s="4" t="s">
        <v>128</v>
      </c>
      <c r="CI26" s="4" t="s">
        <v>128</v>
      </c>
      <c r="CJ26" s="4" t="s">
        <v>128</v>
      </c>
      <c r="CK26" s="3" t="s">
        <v>31</v>
      </c>
    </row>
    <row r="27" spans="1:89" ht="16.2" customHeight="1" x14ac:dyDescent="0.3">
      <c r="A27" s="3" t="s">
        <v>55</v>
      </c>
      <c r="B27" s="4" t="s">
        <v>38</v>
      </c>
      <c r="C27" s="4">
        <v>55000</v>
      </c>
      <c r="D27" s="4">
        <v>19000</v>
      </c>
      <c r="E27" s="4" t="s">
        <v>195</v>
      </c>
      <c r="F27" s="4">
        <v>16500</v>
      </c>
      <c r="G27" s="4" t="s">
        <v>195</v>
      </c>
      <c r="H27" s="4">
        <v>216000</v>
      </c>
      <c r="I27" s="4" t="s">
        <v>195</v>
      </c>
      <c r="J27" s="4" t="s">
        <v>195</v>
      </c>
      <c r="K27" s="4" t="s">
        <v>195</v>
      </c>
      <c r="L27" s="4">
        <v>10500</v>
      </c>
      <c r="M27" s="4" t="s">
        <v>195</v>
      </c>
      <c r="N27" s="3" t="s">
        <v>12</v>
      </c>
      <c r="P27" s="3" t="s">
        <v>55</v>
      </c>
      <c r="Q27" s="4" t="s">
        <v>38</v>
      </c>
      <c r="R27" s="4">
        <v>220000</v>
      </c>
      <c r="S27" s="4">
        <v>76000</v>
      </c>
      <c r="T27" s="4" t="s">
        <v>195</v>
      </c>
      <c r="U27" s="4">
        <v>66000</v>
      </c>
      <c r="V27" s="4" t="s">
        <v>195</v>
      </c>
      <c r="W27" s="4">
        <v>216000</v>
      </c>
      <c r="X27" s="4" t="s">
        <v>195</v>
      </c>
      <c r="Y27" s="4" t="s">
        <v>195</v>
      </c>
      <c r="Z27" s="4" t="s">
        <v>195</v>
      </c>
      <c r="AA27" s="4">
        <v>42000</v>
      </c>
      <c r="AB27" s="4" t="s">
        <v>195</v>
      </c>
      <c r="AC27" s="3" t="s">
        <v>13</v>
      </c>
      <c r="AE27" s="3" t="s">
        <v>55</v>
      </c>
      <c r="AF27" s="4" t="s">
        <v>38</v>
      </c>
      <c r="AG27" s="4">
        <v>165000</v>
      </c>
      <c r="AH27" s="4">
        <v>57000</v>
      </c>
      <c r="AI27" s="4" t="s">
        <v>195</v>
      </c>
      <c r="AJ27" s="4">
        <v>49500</v>
      </c>
      <c r="AK27" s="4" t="s">
        <v>195</v>
      </c>
      <c r="AL27" s="4">
        <v>162000</v>
      </c>
      <c r="AM27" s="4" t="s">
        <v>195</v>
      </c>
      <c r="AN27" s="4" t="s">
        <v>195</v>
      </c>
      <c r="AO27" s="4" t="s">
        <v>195</v>
      </c>
      <c r="AP27" s="4">
        <v>31500</v>
      </c>
      <c r="AQ27" s="4" t="s">
        <v>195</v>
      </c>
      <c r="AR27" s="5" t="s">
        <v>33</v>
      </c>
      <c r="AT27" s="3" t="s">
        <v>55</v>
      </c>
      <c r="AU27" s="4" t="s">
        <v>38</v>
      </c>
      <c r="AV27" s="4">
        <v>55000</v>
      </c>
      <c r="AW27" s="4">
        <v>19000</v>
      </c>
      <c r="AX27" s="4" t="s">
        <v>196</v>
      </c>
      <c r="AY27" s="4">
        <v>16500</v>
      </c>
      <c r="AZ27" s="4" t="s">
        <v>196</v>
      </c>
      <c r="BA27" s="4">
        <v>54000</v>
      </c>
      <c r="BB27" s="4" t="s">
        <v>196</v>
      </c>
      <c r="BC27" s="4" t="s">
        <v>196</v>
      </c>
      <c r="BD27" s="4" t="s">
        <v>196</v>
      </c>
      <c r="BE27" s="4">
        <v>10500</v>
      </c>
      <c r="BF27" s="4" t="s">
        <v>196</v>
      </c>
      <c r="BG27" s="5" t="s">
        <v>32</v>
      </c>
      <c r="BI27" s="3" t="s">
        <v>55</v>
      </c>
      <c r="BJ27" s="4" t="s">
        <v>127</v>
      </c>
      <c r="BK27" s="4" t="s">
        <v>127</v>
      </c>
      <c r="BL27" s="4" t="s">
        <v>127</v>
      </c>
      <c r="BM27" s="4" t="s">
        <v>127</v>
      </c>
      <c r="BN27" s="4" t="s">
        <v>127</v>
      </c>
      <c r="BO27" s="4" t="s">
        <v>127</v>
      </c>
      <c r="BP27" s="4" t="s">
        <v>127</v>
      </c>
      <c r="BQ27" s="4" t="s">
        <v>127</v>
      </c>
      <c r="BR27" s="4" t="s">
        <v>127</v>
      </c>
      <c r="BS27" s="4" t="s">
        <v>127</v>
      </c>
      <c r="BT27" s="4" t="s">
        <v>127</v>
      </c>
      <c r="BU27" s="4" t="s">
        <v>127</v>
      </c>
      <c r="BV27" s="3"/>
      <c r="BW27" s="23"/>
      <c r="BX27" s="3" t="s">
        <v>55</v>
      </c>
      <c r="BY27" s="4" t="s">
        <v>38</v>
      </c>
      <c r="BZ27" s="4">
        <v>55000</v>
      </c>
      <c r="CA27" s="4">
        <v>19000</v>
      </c>
      <c r="CB27" s="4" t="s">
        <v>40</v>
      </c>
      <c r="CC27" s="4">
        <v>16500</v>
      </c>
      <c r="CD27" s="4" t="s">
        <v>40</v>
      </c>
      <c r="CE27" s="4" t="s">
        <v>40</v>
      </c>
      <c r="CF27" s="4" t="s">
        <v>40</v>
      </c>
      <c r="CG27" s="4" t="s">
        <v>40</v>
      </c>
      <c r="CH27" s="4" t="s">
        <v>40</v>
      </c>
      <c r="CI27" s="4">
        <v>16500</v>
      </c>
      <c r="CJ27" s="4" t="s">
        <v>40</v>
      </c>
      <c r="CK27" s="3" t="s">
        <v>31</v>
      </c>
    </row>
    <row r="28" spans="1:89" ht="16.2" customHeight="1" x14ac:dyDescent="0.3">
      <c r="A28" s="8" t="s">
        <v>137</v>
      </c>
      <c r="B28" s="4" t="s">
        <v>165</v>
      </c>
      <c r="C28" s="4" t="s">
        <v>165</v>
      </c>
      <c r="D28" s="4" t="s">
        <v>165</v>
      </c>
      <c r="E28" s="4" t="s">
        <v>165</v>
      </c>
      <c r="F28" s="4" t="s">
        <v>165</v>
      </c>
      <c r="G28" s="4" t="s">
        <v>165</v>
      </c>
      <c r="H28" s="4" t="s">
        <v>165</v>
      </c>
      <c r="I28" s="4" t="s">
        <v>165</v>
      </c>
      <c r="J28" s="4" t="s">
        <v>165</v>
      </c>
      <c r="K28" s="4" t="s">
        <v>165</v>
      </c>
      <c r="L28" s="4" t="s">
        <v>165</v>
      </c>
      <c r="M28" s="4" t="s">
        <v>165</v>
      </c>
      <c r="N28" s="3" t="s">
        <v>12</v>
      </c>
      <c r="P28" s="8" t="s">
        <v>137</v>
      </c>
      <c r="Q28" s="4" t="s">
        <v>38</v>
      </c>
      <c r="R28" s="4" t="s">
        <v>38</v>
      </c>
      <c r="S28" s="4">
        <v>96000</v>
      </c>
      <c r="T28" s="4" t="s">
        <v>197</v>
      </c>
      <c r="U28" s="4">
        <v>9600</v>
      </c>
      <c r="V28" s="4" t="s">
        <v>197</v>
      </c>
      <c r="W28" s="4">
        <v>246000</v>
      </c>
      <c r="X28" s="4">
        <v>164000</v>
      </c>
      <c r="Y28" s="4">
        <v>102500</v>
      </c>
      <c r="Z28" s="4">
        <v>82000</v>
      </c>
      <c r="AA28" s="4">
        <v>48000</v>
      </c>
      <c r="AB28" s="4">
        <v>28000</v>
      </c>
      <c r="AC28" s="3" t="s">
        <v>13</v>
      </c>
      <c r="AE28" s="8" t="s">
        <v>137</v>
      </c>
      <c r="AF28" s="4" t="s">
        <v>38</v>
      </c>
      <c r="AG28" s="4" t="s">
        <v>38</v>
      </c>
      <c r="AH28" s="4">
        <v>72000</v>
      </c>
      <c r="AI28" s="4">
        <v>48000</v>
      </c>
      <c r="AJ28" s="4">
        <v>72000</v>
      </c>
      <c r="AK28" s="4">
        <v>48000</v>
      </c>
      <c r="AL28" s="4">
        <v>184500</v>
      </c>
      <c r="AM28" s="4">
        <v>123000</v>
      </c>
      <c r="AN28" s="4">
        <v>76875</v>
      </c>
      <c r="AO28" s="4">
        <v>61500</v>
      </c>
      <c r="AP28" s="4">
        <v>36000</v>
      </c>
      <c r="AQ28" s="4">
        <v>21000</v>
      </c>
      <c r="AR28" s="5" t="s">
        <v>33</v>
      </c>
      <c r="AT28" s="8" t="s">
        <v>137</v>
      </c>
      <c r="AU28" s="4" t="s">
        <v>38</v>
      </c>
      <c r="AV28" s="4" t="s">
        <v>38</v>
      </c>
      <c r="AW28" s="4">
        <v>24000</v>
      </c>
      <c r="AX28" s="4">
        <v>16000</v>
      </c>
      <c r="AY28" s="4">
        <v>24000</v>
      </c>
      <c r="AZ28" s="4">
        <v>16000</v>
      </c>
      <c r="BA28" s="4">
        <v>61500</v>
      </c>
      <c r="BB28" s="4">
        <v>41000</v>
      </c>
      <c r="BC28" s="4">
        <v>25625</v>
      </c>
      <c r="BD28" s="4">
        <v>20500</v>
      </c>
      <c r="BE28" s="4">
        <v>12000</v>
      </c>
      <c r="BF28" s="4">
        <v>7000</v>
      </c>
      <c r="BG28" s="5" t="s">
        <v>32</v>
      </c>
      <c r="BI28" s="8" t="s">
        <v>137</v>
      </c>
      <c r="BJ28" s="4" t="s">
        <v>127</v>
      </c>
      <c r="BK28" s="4" t="s">
        <v>127</v>
      </c>
      <c r="BL28" s="4" t="s">
        <v>127</v>
      </c>
      <c r="BM28" s="4" t="s">
        <v>127</v>
      </c>
      <c r="BN28" s="4" t="s">
        <v>127</v>
      </c>
      <c r="BO28" s="4" t="s">
        <v>127</v>
      </c>
      <c r="BP28" s="4" t="s">
        <v>127</v>
      </c>
      <c r="BQ28" s="4" t="s">
        <v>127</v>
      </c>
      <c r="BR28" s="4" t="s">
        <v>127</v>
      </c>
      <c r="BS28" s="4" t="s">
        <v>127</v>
      </c>
      <c r="BT28" s="4" t="s">
        <v>127</v>
      </c>
      <c r="BU28" s="4" t="s">
        <v>127</v>
      </c>
      <c r="BV28" s="3"/>
      <c r="BW28" s="23"/>
      <c r="BX28" s="8" t="s">
        <v>137</v>
      </c>
      <c r="BY28" s="4" t="s">
        <v>128</v>
      </c>
      <c r="BZ28" s="4" t="s">
        <v>128</v>
      </c>
      <c r="CA28" s="4" t="s">
        <v>128</v>
      </c>
      <c r="CB28" s="4" t="s">
        <v>128</v>
      </c>
      <c r="CC28" s="4" t="s">
        <v>128</v>
      </c>
      <c r="CD28" s="4" t="s">
        <v>128</v>
      </c>
      <c r="CE28" s="4" t="s">
        <v>128</v>
      </c>
      <c r="CF28" s="4" t="s">
        <v>128</v>
      </c>
      <c r="CG28" s="4" t="s">
        <v>128</v>
      </c>
      <c r="CH28" s="4" t="s">
        <v>128</v>
      </c>
      <c r="CI28" s="4" t="s">
        <v>128</v>
      </c>
      <c r="CJ28" s="4" t="s">
        <v>128</v>
      </c>
      <c r="CK28" s="3"/>
    </row>
    <row r="29" spans="1:89" ht="16.2" customHeight="1" x14ac:dyDescent="0.3">
      <c r="A29" s="3" t="s">
        <v>56</v>
      </c>
      <c r="B29" s="4" t="s">
        <v>38</v>
      </c>
      <c r="C29" s="4" t="s">
        <v>38</v>
      </c>
      <c r="D29" s="4" t="s">
        <v>38</v>
      </c>
      <c r="E29" s="4" t="s">
        <v>38</v>
      </c>
      <c r="F29" s="4" t="s">
        <v>38</v>
      </c>
      <c r="G29" s="4" t="s">
        <v>38</v>
      </c>
      <c r="H29" s="4" t="s">
        <v>38</v>
      </c>
      <c r="I29" s="4" t="s">
        <v>38</v>
      </c>
      <c r="J29" s="4" t="s">
        <v>38</v>
      </c>
      <c r="K29" s="4" t="s">
        <v>38</v>
      </c>
      <c r="L29" s="4" t="s">
        <v>38</v>
      </c>
      <c r="M29" s="4" t="s">
        <v>38</v>
      </c>
      <c r="N29" s="3" t="s">
        <v>12</v>
      </c>
      <c r="P29" s="3" t="s">
        <v>56</v>
      </c>
      <c r="Q29" s="4" t="s">
        <v>38</v>
      </c>
      <c r="R29" s="4" t="s">
        <v>38</v>
      </c>
      <c r="S29" s="4" t="s">
        <v>38</v>
      </c>
      <c r="T29" s="4" t="s">
        <v>38</v>
      </c>
      <c r="U29" s="4" t="s">
        <v>38</v>
      </c>
      <c r="V29" s="4" t="s">
        <v>38</v>
      </c>
      <c r="W29" s="4" t="s">
        <v>38</v>
      </c>
      <c r="X29" s="4" t="s">
        <v>38</v>
      </c>
      <c r="Y29" s="4" t="s">
        <v>38</v>
      </c>
      <c r="Z29" s="4" t="s">
        <v>38</v>
      </c>
      <c r="AA29" s="4" t="s">
        <v>38</v>
      </c>
      <c r="AB29" s="4" t="s">
        <v>38</v>
      </c>
      <c r="AC29" s="3" t="s">
        <v>13</v>
      </c>
      <c r="AE29" s="3" t="s">
        <v>56</v>
      </c>
      <c r="AF29" s="4" t="s">
        <v>38</v>
      </c>
      <c r="AG29" s="4" t="s">
        <v>38</v>
      </c>
      <c r="AH29" s="4" t="s">
        <v>38</v>
      </c>
      <c r="AI29" s="4" t="s">
        <v>38</v>
      </c>
      <c r="AJ29" s="4" t="s">
        <v>38</v>
      </c>
      <c r="AK29" s="4" t="s">
        <v>38</v>
      </c>
      <c r="AL29" s="4" t="s">
        <v>38</v>
      </c>
      <c r="AM29" s="4" t="s">
        <v>38</v>
      </c>
      <c r="AN29" s="4" t="s">
        <v>38</v>
      </c>
      <c r="AO29" s="4" t="s">
        <v>38</v>
      </c>
      <c r="AP29" s="4" t="s">
        <v>38</v>
      </c>
      <c r="AQ29" s="4" t="s">
        <v>38</v>
      </c>
      <c r="AR29" s="3" t="s">
        <v>14</v>
      </c>
      <c r="AT29" s="3" t="s">
        <v>56</v>
      </c>
      <c r="AU29" s="9" t="s">
        <v>90</v>
      </c>
      <c r="AV29" s="9" t="s">
        <v>90</v>
      </c>
      <c r="AW29" s="9" t="s">
        <v>90</v>
      </c>
      <c r="AX29" s="9" t="s">
        <v>90</v>
      </c>
      <c r="AY29" s="9" t="s">
        <v>90</v>
      </c>
      <c r="AZ29" s="9" t="s">
        <v>90</v>
      </c>
      <c r="BA29" s="9" t="s">
        <v>90</v>
      </c>
      <c r="BB29" s="9" t="s">
        <v>90</v>
      </c>
      <c r="BC29" s="9" t="s">
        <v>90</v>
      </c>
      <c r="BD29" s="9" t="s">
        <v>90</v>
      </c>
      <c r="BE29" s="9" t="s">
        <v>90</v>
      </c>
      <c r="BF29" s="9" t="s">
        <v>90</v>
      </c>
      <c r="BG29" s="5" t="s">
        <v>32</v>
      </c>
      <c r="BI29" s="3" t="s">
        <v>56</v>
      </c>
      <c r="BJ29" s="4" t="s">
        <v>38</v>
      </c>
      <c r="BK29" s="4" t="s">
        <v>38</v>
      </c>
      <c r="BL29" s="4" t="s">
        <v>38</v>
      </c>
      <c r="BM29" s="4" t="s">
        <v>38</v>
      </c>
      <c r="BN29" s="4" t="s">
        <v>38</v>
      </c>
      <c r="BO29" s="4" t="s">
        <v>38</v>
      </c>
      <c r="BP29" s="4" t="s">
        <v>38</v>
      </c>
      <c r="BQ29" s="4" t="s">
        <v>38</v>
      </c>
      <c r="BR29" s="4" t="s">
        <v>38</v>
      </c>
      <c r="BS29" s="4" t="s">
        <v>38</v>
      </c>
      <c r="BT29" s="4" t="s">
        <v>38</v>
      </c>
      <c r="BU29" s="4" t="s">
        <v>38</v>
      </c>
      <c r="BV29" s="3" t="s">
        <v>35</v>
      </c>
      <c r="BW29" s="23"/>
      <c r="BX29" s="3" t="s">
        <v>56</v>
      </c>
      <c r="BY29" s="4" t="s">
        <v>38</v>
      </c>
      <c r="BZ29" s="4" t="s">
        <v>38</v>
      </c>
      <c r="CA29" s="4" t="s">
        <v>38</v>
      </c>
      <c r="CB29" s="4" t="s">
        <v>38</v>
      </c>
      <c r="CC29" s="4" t="s">
        <v>38</v>
      </c>
      <c r="CD29" s="4" t="s">
        <v>38</v>
      </c>
      <c r="CE29" s="4" t="s">
        <v>38</v>
      </c>
      <c r="CF29" s="4" t="s">
        <v>38</v>
      </c>
      <c r="CG29" s="4" t="s">
        <v>38</v>
      </c>
      <c r="CH29" s="4" t="s">
        <v>38</v>
      </c>
      <c r="CI29" s="4" t="s">
        <v>38</v>
      </c>
      <c r="CJ29" s="4" t="s">
        <v>38</v>
      </c>
      <c r="CK29" s="3" t="s">
        <v>31</v>
      </c>
    </row>
    <row r="30" spans="1:89" ht="16.2" customHeight="1" x14ac:dyDescent="0.3">
      <c r="A30" s="3" t="s">
        <v>57</v>
      </c>
      <c r="B30" s="4" t="s">
        <v>38</v>
      </c>
      <c r="C30" s="4" t="s">
        <v>38</v>
      </c>
      <c r="D30" s="4">
        <v>24000</v>
      </c>
      <c r="E30" s="4">
        <v>16000</v>
      </c>
      <c r="F30" s="4">
        <v>24000</v>
      </c>
      <c r="G30" s="4">
        <v>16000</v>
      </c>
      <c r="H30" s="4">
        <v>61500</v>
      </c>
      <c r="I30" s="4">
        <v>41000</v>
      </c>
      <c r="J30" s="4">
        <v>25625</v>
      </c>
      <c r="K30" s="4">
        <v>20500</v>
      </c>
      <c r="L30" s="4">
        <v>12000</v>
      </c>
      <c r="M30" s="4">
        <v>7000</v>
      </c>
      <c r="N30" s="3" t="s">
        <v>12</v>
      </c>
      <c r="P30" s="3" t="s">
        <v>57</v>
      </c>
      <c r="Q30" s="4" t="s">
        <v>38</v>
      </c>
      <c r="R30" s="4" t="s">
        <v>38</v>
      </c>
      <c r="S30" s="4">
        <v>96000</v>
      </c>
      <c r="T30" s="4">
        <v>64000</v>
      </c>
      <c r="U30" s="4">
        <v>96000</v>
      </c>
      <c r="V30" s="4">
        <v>64000</v>
      </c>
      <c r="W30" s="4">
        <v>246000</v>
      </c>
      <c r="X30" s="4">
        <v>164000</v>
      </c>
      <c r="Y30" s="4">
        <v>102500</v>
      </c>
      <c r="Z30" s="4">
        <v>82000</v>
      </c>
      <c r="AA30" s="4">
        <v>48000</v>
      </c>
      <c r="AB30" s="4">
        <v>28000</v>
      </c>
      <c r="AC30" s="3" t="s">
        <v>13</v>
      </c>
      <c r="AE30" s="3" t="s">
        <v>57</v>
      </c>
      <c r="AF30" s="4" t="s">
        <v>38</v>
      </c>
      <c r="AG30" s="4" t="s">
        <v>38</v>
      </c>
      <c r="AH30" s="4">
        <v>72000</v>
      </c>
      <c r="AI30" s="4">
        <v>48000</v>
      </c>
      <c r="AJ30" s="4">
        <v>7222</v>
      </c>
      <c r="AK30" s="4">
        <v>48000</v>
      </c>
      <c r="AL30" s="4">
        <v>184500</v>
      </c>
      <c r="AM30" s="4">
        <v>123000</v>
      </c>
      <c r="AN30" s="4">
        <v>76875</v>
      </c>
      <c r="AO30" s="4">
        <v>61500</v>
      </c>
      <c r="AP30" s="4">
        <v>36000</v>
      </c>
      <c r="AQ30" s="4">
        <v>21000</v>
      </c>
      <c r="AR30" s="5" t="s">
        <v>33</v>
      </c>
      <c r="AT30" s="3" t="s">
        <v>57</v>
      </c>
      <c r="AU30" s="4" t="s">
        <v>38</v>
      </c>
      <c r="AV30" s="4" t="s">
        <v>38</v>
      </c>
      <c r="AW30" s="4">
        <v>24000</v>
      </c>
      <c r="AX30" s="4">
        <v>16000</v>
      </c>
      <c r="AY30" s="4">
        <v>24000</v>
      </c>
      <c r="AZ30" s="4">
        <v>16000</v>
      </c>
      <c r="BA30" s="37">
        <v>61500</v>
      </c>
      <c r="BB30" s="37">
        <v>41000</v>
      </c>
      <c r="BC30" s="37">
        <v>25625</v>
      </c>
      <c r="BD30" s="4">
        <v>20500</v>
      </c>
      <c r="BE30" s="4">
        <v>12000</v>
      </c>
      <c r="BF30" s="4">
        <v>7000</v>
      </c>
      <c r="BG30" s="5" t="s">
        <v>32</v>
      </c>
      <c r="BI30" s="3" t="s">
        <v>57</v>
      </c>
      <c r="BJ30" s="4" t="s">
        <v>38</v>
      </c>
      <c r="BK30" s="4" t="s">
        <v>38</v>
      </c>
      <c r="BL30" s="4">
        <v>24000</v>
      </c>
      <c r="BM30" s="4">
        <v>16000</v>
      </c>
      <c r="BN30" s="4">
        <v>24000</v>
      </c>
      <c r="BO30" s="4">
        <v>16000</v>
      </c>
      <c r="BP30" s="4">
        <v>61500</v>
      </c>
      <c r="BQ30" s="4">
        <v>41000</v>
      </c>
      <c r="BR30" s="4">
        <v>25625</v>
      </c>
      <c r="BS30" s="4">
        <v>20500</v>
      </c>
      <c r="BT30" s="4">
        <v>12000</v>
      </c>
      <c r="BU30" s="4">
        <v>7000</v>
      </c>
      <c r="BV30" s="3"/>
      <c r="BW30" s="23"/>
      <c r="BX30" s="3" t="s">
        <v>57</v>
      </c>
      <c r="BY30" s="4" t="s">
        <v>38</v>
      </c>
      <c r="BZ30" s="4" t="s">
        <v>38</v>
      </c>
      <c r="CA30" s="4">
        <v>24000</v>
      </c>
      <c r="CB30" s="4">
        <v>16000</v>
      </c>
      <c r="CC30" s="4">
        <v>24000</v>
      </c>
      <c r="CD30" s="4">
        <v>16000</v>
      </c>
      <c r="CE30" s="4">
        <v>61500</v>
      </c>
      <c r="CF30" s="4">
        <v>41000</v>
      </c>
      <c r="CG30" s="4">
        <v>25625</v>
      </c>
      <c r="CH30" s="4">
        <v>20500</v>
      </c>
      <c r="CI30" s="4">
        <v>12000</v>
      </c>
      <c r="CJ30" s="4">
        <v>7000</v>
      </c>
      <c r="CK30" s="3" t="s">
        <v>31</v>
      </c>
    </row>
    <row r="31" spans="1:89" ht="16.2" customHeight="1" x14ac:dyDescent="0.3">
      <c r="A31" s="3" t="s">
        <v>29</v>
      </c>
      <c r="B31" s="4" t="s">
        <v>38</v>
      </c>
      <c r="C31" s="4">
        <v>48000</v>
      </c>
      <c r="D31" s="4">
        <v>26000</v>
      </c>
      <c r="E31" s="4">
        <v>17500</v>
      </c>
      <c r="F31" s="4">
        <v>26000</v>
      </c>
      <c r="G31" s="4">
        <v>17500</v>
      </c>
      <c r="H31" s="4">
        <v>76500</v>
      </c>
      <c r="I31" s="4">
        <v>51000</v>
      </c>
      <c r="J31" s="4">
        <v>31875</v>
      </c>
      <c r="K31" s="4">
        <v>25500</v>
      </c>
      <c r="L31" s="4">
        <v>14000</v>
      </c>
      <c r="M31" s="4">
        <v>9000</v>
      </c>
      <c r="N31" s="3" t="s">
        <v>12</v>
      </c>
      <c r="P31" s="3" t="s">
        <v>29</v>
      </c>
      <c r="Q31" s="4" t="s">
        <v>38</v>
      </c>
      <c r="R31" s="4">
        <v>192000</v>
      </c>
      <c r="S31" s="4">
        <v>104000</v>
      </c>
      <c r="T31" s="4">
        <v>70000</v>
      </c>
      <c r="U31" s="4">
        <v>104000</v>
      </c>
      <c r="V31" s="4">
        <v>70000</v>
      </c>
      <c r="W31" s="4">
        <v>306000</v>
      </c>
      <c r="X31" s="4">
        <v>204000</v>
      </c>
      <c r="Y31" s="4">
        <v>127500</v>
      </c>
      <c r="Z31" s="4">
        <v>102000</v>
      </c>
      <c r="AA31" s="4">
        <v>56000</v>
      </c>
      <c r="AB31" s="4">
        <v>36000</v>
      </c>
      <c r="AC31" s="3" t="s">
        <v>13</v>
      </c>
      <c r="AE31" s="3" t="s">
        <v>29</v>
      </c>
      <c r="AF31" s="4" t="s">
        <v>38</v>
      </c>
      <c r="AG31" s="4">
        <v>144000</v>
      </c>
      <c r="AH31" s="4">
        <v>48000</v>
      </c>
      <c r="AI31" s="4">
        <v>52500</v>
      </c>
      <c r="AJ31" s="4">
        <v>78000</v>
      </c>
      <c r="AK31" s="4">
        <v>52500</v>
      </c>
      <c r="AL31" s="4">
        <v>229500</v>
      </c>
      <c r="AM31" s="4">
        <v>153000</v>
      </c>
      <c r="AN31" s="4">
        <v>95625</v>
      </c>
      <c r="AO31" s="4">
        <v>76500</v>
      </c>
      <c r="AP31" s="4">
        <v>42000</v>
      </c>
      <c r="AQ31" s="4">
        <v>27000</v>
      </c>
      <c r="AR31" s="3" t="s">
        <v>14</v>
      </c>
      <c r="AT31" s="3" t="s">
        <v>29</v>
      </c>
      <c r="AU31" s="9" t="s">
        <v>90</v>
      </c>
      <c r="AV31" s="9" t="s">
        <v>90</v>
      </c>
      <c r="AW31" s="9" t="s">
        <v>90</v>
      </c>
      <c r="AX31" s="9" t="s">
        <v>90</v>
      </c>
      <c r="AY31" s="9" t="s">
        <v>90</v>
      </c>
      <c r="AZ31" s="9" t="s">
        <v>90</v>
      </c>
      <c r="BA31" s="9" t="s">
        <v>90</v>
      </c>
      <c r="BB31" s="9" t="s">
        <v>90</v>
      </c>
      <c r="BC31" s="9" t="s">
        <v>90</v>
      </c>
      <c r="BD31" s="9" t="s">
        <v>90</v>
      </c>
      <c r="BE31" s="9" t="s">
        <v>90</v>
      </c>
      <c r="BF31" s="9" t="s">
        <v>90</v>
      </c>
      <c r="BG31" s="9"/>
      <c r="BI31" s="3" t="s">
        <v>29</v>
      </c>
      <c r="BJ31" s="4" t="s">
        <v>127</v>
      </c>
      <c r="BK31" s="4" t="s">
        <v>127</v>
      </c>
      <c r="BL31" s="4" t="s">
        <v>127</v>
      </c>
      <c r="BM31" s="4" t="s">
        <v>127</v>
      </c>
      <c r="BN31" s="4" t="s">
        <v>127</v>
      </c>
      <c r="BO31" s="4" t="s">
        <v>127</v>
      </c>
      <c r="BP31" s="4" t="s">
        <v>127</v>
      </c>
      <c r="BQ31" s="4" t="s">
        <v>127</v>
      </c>
      <c r="BR31" s="4" t="s">
        <v>127</v>
      </c>
      <c r="BS31" s="4" t="s">
        <v>127</v>
      </c>
      <c r="BT31" s="4" t="s">
        <v>127</v>
      </c>
      <c r="BU31" s="4" t="s">
        <v>127</v>
      </c>
      <c r="BV31" s="3"/>
      <c r="BW31" s="23"/>
      <c r="BX31" s="3" t="s">
        <v>29</v>
      </c>
      <c r="BY31" s="4" t="s">
        <v>128</v>
      </c>
      <c r="BZ31" s="4" t="s">
        <v>128</v>
      </c>
      <c r="CA31" s="4" t="s">
        <v>128</v>
      </c>
      <c r="CB31" s="4" t="s">
        <v>128</v>
      </c>
      <c r="CC31" s="4" t="s">
        <v>128</v>
      </c>
      <c r="CD31" s="4" t="s">
        <v>128</v>
      </c>
      <c r="CE31" s="4" t="s">
        <v>128</v>
      </c>
      <c r="CF31" s="4" t="s">
        <v>128</v>
      </c>
      <c r="CG31" s="4" t="s">
        <v>128</v>
      </c>
      <c r="CH31" s="4" t="s">
        <v>128</v>
      </c>
      <c r="CI31" s="4" t="s">
        <v>128</v>
      </c>
      <c r="CJ31" s="4" t="s">
        <v>128</v>
      </c>
      <c r="CK31" s="3"/>
    </row>
    <row r="32" spans="1:89" ht="16.2" customHeight="1" x14ac:dyDescent="0.3">
      <c r="A32" s="3" t="s">
        <v>36</v>
      </c>
      <c r="B32" s="4" t="s">
        <v>38</v>
      </c>
      <c r="C32" s="4">
        <v>79000</v>
      </c>
      <c r="D32" s="4">
        <v>39000</v>
      </c>
      <c r="E32" s="4">
        <v>26000</v>
      </c>
      <c r="F32" s="4">
        <v>39000</v>
      </c>
      <c r="G32" s="4">
        <v>26000</v>
      </c>
      <c r="H32" s="4">
        <v>115500</v>
      </c>
      <c r="I32" s="4">
        <v>77000</v>
      </c>
      <c r="J32" s="4">
        <v>48125</v>
      </c>
      <c r="K32" s="4">
        <v>38500</v>
      </c>
      <c r="L32" s="4">
        <v>21000</v>
      </c>
      <c r="M32" s="4">
        <v>13500</v>
      </c>
      <c r="N32" s="3" t="s">
        <v>12</v>
      </c>
      <c r="P32" s="3" t="s">
        <v>36</v>
      </c>
      <c r="Q32" s="4" t="s">
        <v>38</v>
      </c>
      <c r="R32" s="4">
        <v>316000</v>
      </c>
      <c r="S32" s="4">
        <v>156000</v>
      </c>
      <c r="T32" s="4">
        <v>104000</v>
      </c>
      <c r="U32" s="4">
        <v>156000</v>
      </c>
      <c r="V32" s="4">
        <v>104000</v>
      </c>
      <c r="W32" s="4">
        <v>462000</v>
      </c>
      <c r="X32" s="4">
        <v>308000</v>
      </c>
      <c r="Y32" s="4">
        <v>192500</v>
      </c>
      <c r="Z32" s="4">
        <v>154000</v>
      </c>
      <c r="AA32" s="4">
        <v>84000</v>
      </c>
      <c r="AB32" s="4">
        <v>54000</v>
      </c>
      <c r="AC32" s="3" t="s">
        <v>13</v>
      </c>
      <c r="AE32" s="3" t="s">
        <v>36</v>
      </c>
      <c r="AF32" s="4" t="s">
        <v>38</v>
      </c>
      <c r="AG32" s="4">
        <v>237000</v>
      </c>
      <c r="AH32" s="4">
        <v>117000</v>
      </c>
      <c r="AI32" s="4">
        <v>78000</v>
      </c>
      <c r="AJ32" s="4">
        <v>117000</v>
      </c>
      <c r="AK32" s="4">
        <v>78000</v>
      </c>
      <c r="AL32" s="4">
        <v>346500</v>
      </c>
      <c r="AM32" s="4">
        <v>231000</v>
      </c>
      <c r="AN32" s="4">
        <v>144375</v>
      </c>
      <c r="AO32" s="4">
        <v>115500</v>
      </c>
      <c r="AP32" s="4">
        <v>63000</v>
      </c>
      <c r="AQ32" s="4">
        <v>40500</v>
      </c>
      <c r="AR32" s="3" t="s">
        <v>14</v>
      </c>
      <c r="AT32" s="3" t="s">
        <v>36</v>
      </c>
      <c r="AU32" s="9" t="s">
        <v>90</v>
      </c>
      <c r="AV32" s="9" t="s">
        <v>90</v>
      </c>
      <c r="AW32" s="9" t="s">
        <v>90</v>
      </c>
      <c r="AX32" s="9" t="s">
        <v>90</v>
      </c>
      <c r="AY32" s="9" t="s">
        <v>90</v>
      </c>
      <c r="AZ32" s="9" t="s">
        <v>90</v>
      </c>
      <c r="BA32" s="9" t="s">
        <v>90</v>
      </c>
      <c r="BB32" s="9" t="s">
        <v>90</v>
      </c>
      <c r="BC32" s="9" t="s">
        <v>90</v>
      </c>
      <c r="BD32" s="9" t="s">
        <v>90</v>
      </c>
      <c r="BE32" s="9" t="s">
        <v>90</v>
      </c>
      <c r="BF32" s="9" t="s">
        <v>90</v>
      </c>
      <c r="BG32" s="9"/>
      <c r="BI32" s="3" t="s">
        <v>36</v>
      </c>
      <c r="BJ32" s="4" t="s">
        <v>127</v>
      </c>
      <c r="BK32" s="4" t="s">
        <v>127</v>
      </c>
      <c r="BL32" s="4" t="s">
        <v>127</v>
      </c>
      <c r="BM32" s="4" t="s">
        <v>127</v>
      </c>
      <c r="BN32" s="4" t="s">
        <v>127</v>
      </c>
      <c r="BO32" s="4" t="s">
        <v>127</v>
      </c>
      <c r="BP32" s="4" t="s">
        <v>127</v>
      </c>
      <c r="BQ32" s="4" t="s">
        <v>127</v>
      </c>
      <c r="BR32" s="4" t="s">
        <v>127</v>
      </c>
      <c r="BS32" s="4" t="s">
        <v>127</v>
      </c>
      <c r="BT32" s="4" t="s">
        <v>127</v>
      </c>
      <c r="BU32" s="4" t="s">
        <v>127</v>
      </c>
      <c r="BV32" s="3"/>
      <c r="BW32" s="23"/>
      <c r="BX32" s="3" t="s">
        <v>36</v>
      </c>
      <c r="BY32" s="4" t="s">
        <v>128</v>
      </c>
      <c r="BZ32" s="4" t="s">
        <v>128</v>
      </c>
      <c r="CA32" s="4" t="s">
        <v>128</v>
      </c>
      <c r="CB32" s="4" t="s">
        <v>128</v>
      </c>
      <c r="CC32" s="4" t="s">
        <v>128</v>
      </c>
      <c r="CD32" s="4" t="s">
        <v>128</v>
      </c>
      <c r="CE32" s="4" t="s">
        <v>128</v>
      </c>
      <c r="CF32" s="4" t="s">
        <v>128</v>
      </c>
      <c r="CG32" s="4" t="s">
        <v>128</v>
      </c>
      <c r="CH32" s="4" t="s">
        <v>128</v>
      </c>
      <c r="CI32" s="4" t="s">
        <v>128</v>
      </c>
      <c r="CJ32" s="4" t="s">
        <v>128</v>
      </c>
      <c r="CK32" s="3"/>
    </row>
    <row r="33" spans="1:89" ht="16.2" customHeight="1" x14ac:dyDescent="0.3">
      <c r="A33" s="3" t="s">
        <v>37</v>
      </c>
      <c r="B33" s="4" t="s">
        <v>38</v>
      </c>
      <c r="C33" s="4">
        <v>35500</v>
      </c>
      <c r="D33" s="4">
        <v>19000</v>
      </c>
      <c r="E33" s="4">
        <v>8500</v>
      </c>
      <c r="F33" s="4">
        <v>14000</v>
      </c>
      <c r="G33" s="4">
        <v>8500</v>
      </c>
      <c r="H33" s="4">
        <v>54000</v>
      </c>
      <c r="I33" s="4">
        <v>36000</v>
      </c>
      <c r="J33" s="4">
        <v>22500</v>
      </c>
      <c r="K33" s="4">
        <v>18000</v>
      </c>
      <c r="L33" s="4">
        <v>9000</v>
      </c>
      <c r="M33" s="4">
        <v>5500</v>
      </c>
      <c r="N33" s="3" t="s">
        <v>12</v>
      </c>
      <c r="P33" s="3" t="s">
        <v>37</v>
      </c>
      <c r="Q33" s="4" t="s">
        <v>38</v>
      </c>
      <c r="R33" s="4">
        <v>142000</v>
      </c>
      <c r="S33" s="4">
        <v>76000</v>
      </c>
      <c r="T33" s="4">
        <v>34000</v>
      </c>
      <c r="U33" s="4">
        <v>56000</v>
      </c>
      <c r="V33" s="4">
        <v>34000</v>
      </c>
      <c r="W33" s="4">
        <v>216000</v>
      </c>
      <c r="X33" s="4">
        <v>144000</v>
      </c>
      <c r="Y33" s="4">
        <v>90000</v>
      </c>
      <c r="Z33" s="4">
        <v>72000</v>
      </c>
      <c r="AA33" s="4">
        <v>36000</v>
      </c>
      <c r="AB33" s="4">
        <v>22000</v>
      </c>
      <c r="AC33" s="3" t="s">
        <v>13</v>
      </c>
      <c r="AE33" s="3" t="s">
        <v>37</v>
      </c>
      <c r="AF33" s="4" t="s">
        <v>38</v>
      </c>
      <c r="AG33" s="4">
        <v>106500</v>
      </c>
      <c r="AH33" s="4">
        <v>57000</v>
      </c>
      <c r="AI33" s="4">
        <v>25500</v>
      </c>
      <c r="AJ33" s="4">
        <v>42000</v>
      </c>
      <c r="AK33" s="4">
        <v>25500</v>
      </c>
      <c r="AL33" s="4">
        <v>162000</v>
      </c>
      <c r="AM33" s="4">
        <v>108000</v>
      </c>
      <c r="AN33" s="4">
        <v>67500</v>
      </c>
      <c r="AO33" s="4">
        <v>54000</v>
      </c>
      <c r="AP33" s="4">
        <v>27000</v>
      </c>
      <c r="AQ33" s="4">
        <v>16500</v>
      </c>
      <c r="AR33" s="3" t="s">
        <v>14</v>
      </c>
      <c r="AT33" s="3" t="s">
        <v>37</v>
      </c>
      <c r="AU33" s="9" t="s">
        <v>90</v>
      </c>
      <c r="AV33" s="9" t="s">
        <v>90</v>
      </c>
      <c r="AW33" s="9" t="s">
        <v>90</v>
      </c>
      <c r="AX33" s="9" t="s">
        <v>90</v>
      </c>
      <c r="AY33" s="9" t="s">
        <v>90</v>
      </c>
      <c r="AZ33" s="9" t="s">
        <v>90</v>
      </c>
      <c r="BA33" s="9" t="s">
        <v>90</v>
      </c>
      <c r="BB33" s="9" t="s">
        <v>90</v>
      </c>
      <c r="BC33" s="9" t="s">
        <v>90</v>
      </c>
      <c r="BD33" s="9" t="s">
        <v>90</v>
      </c>
      <c r="BE33" s="9" t="s">
        <v>90</v>
      </c>
      <c r="BF33" s="9" t="s">
        <v>90</v>
      </c>
      <c r="BG33" s="9"/>
      <c r="BI33" s="3" t="s">
        <v>37</v>
      </c>
      <c r="BJ33" s="4" t="s">
        <v>127</v>
      </c>
      <c r="BK33" s="4" t="s">
        <v>127</v>
      </c>
      <c r="BL33" s="4" t="s">
        <v>127</v>
      </c>
      <c r="BM33" s="4" t="s">
        <v>127</v>
      </c>
      <c r="BN33" s="4" t="s">
        <v>127</v>
      </c>
      <c r="BO33" s="4" t="s">
        <v>127</v>
      </c>
      <c r="BP33" s="4" t="s">
        <v>127</v>
      </c>
      <c r="BQ33" s="4" t="s">
        <v>127</v>
      </c>
      <c r="BR33" s="4" t="s">
        <v>127</v>
      </c>
      <c r="BS33" s="4" t="s">
        <v>127</v>
      </c>
      <c r="BT33" s="4" t="s">
        <v>127</v>
      </c>
      <c r="BU33" s="4" t="s">
        <v>127</v>
      </c>
      <c r="BV33" s="3"/>
      <c r="BW33" s="23"/>
      <c r="BX33" s="3" t="s">
        <v>37</v>
      </c>
      <c r="BY33" s="4" t="s">
        <v>128</v>
      </c>
      <c r="BZ33" s="4" t="s">
        <v>128</v>
      </c>
      <c r="CA33" s="4" t="s">
        <v>128</v>
      </c>
      <c r="CB33" s="4" t="s">
        <v>128</v>
      </c>
      <c r="CC33" s="4" t="s">
        <v>128</v>
      </c>
      <c r="CD33" s="4" t="s">
        <v>128</v>
      </c>
      <c r="CE33" s="4" t="s">
        <v>128</v>
      </c>
      <c r="CF33" s="4" t="s">
        <v>128</v>
      </c>
      <c r="CG33" s="4" t="s">
        <v>128</v>
      </c>
      <c r="CH33" s="4" t="s">
        <v>128</v>
      </c>
      <c r="CI33" s="4" t="s">
        <v>128</v>
      </c>
      <c r="CJ33" s="4" t="s">
        <v>128</v>
      </c>
      <c r="CK33" s="3"/>
    </row>
    <row r="34" spans="1:89" ht="16.2" customHeight="1" x14ac:dyDescent="0.3">
      <c r="A34">
        <f>INDEX(TableNS,MATCH(A37,OccNS,0),MATCH(B37,ConstructionNS,0))</f>
        <v>9000</v>
      </c>
      <c r="M34">
        <f>INDEX(TableNS,MATCH(E38,OccNS,0),MATCH(F38,ConstructionNS,0))</f>
        <v>9000</v>
      </c>
      <c r="N34">
        <f>INDEX(TableNS,MATCH(H38,OccNS,0),MATCH(F38,ConstructionNS,0))</f>
        <v>9500</v>
      </c>
      <c r="P34">
        <f>INDEX(TableSS,MATCH(A37,OccSS,0),MATCH(B37,ConstrucS,0))</f>
        <v>36000</v>
      </c>
      <c r="AB34">
        <f>INDEX(TableSS,MATCH(E38,OccSS,0),MATCH(F38,ConstrucS,0))</f>
        <v>36000</v>
      </c>
      <c r="AC34">
        <f>INDEX(TableSS,MATCH(H38,OccSS,0),MATCH(F38,ConstrucS,0))</f>
        <v>38000</v>
      </c>
      <c r="AE34">
        <f>INDEX(TableSM,MATCH(A37,OccSM,0),MATCH(B37,ConstructionSM,0))</f>
        <v>27000</v>
      </c>
      <c r="AQ34">
        <f>INDEX(TableSM,MATCH(E38,OccSM,0),MATCH(F38,ConstructionSM,0))</f>
        <v>27000</v>
      </c>
      <c r="AR34">
        <f>INDEX(TableSM,MATCH(H38,OccSM,0),MATCH(F38,ConstructionSM,0))</f>
        <v>28500</v>
      </c>
      <c r="AT34" t="str">
        <f>INDEX(TableAIL,MATCH(A37,OccAIL,0),MATCH(B37,ConstructionAIL,0))</f>
        <v>No Limitations</v>
      </c>
      <c r="BI34" s="24" t="str">
        <f>INDEX(Table13D,MATCH(A37,Occ13D,0),MATCH(B37,Construction13D,0))</f>
        <v>NP W/ 13D</v>
      </c>
      <c r="BU34" t="str">
        <f>INDEX(Table13D,MATCH(E38,Occ13D,0),MATCH(F38,Construction13D,0))</f>
        <v>NP W/ 13D</v>
      </c>
      <c r="BV34" t="str">
        <f>INDEX(Table13D,MATCH(H38,Occ13D,0),MATCH(F38,Construction13D,0))</f>
        <v>NP W/ 13D</v>
      </c>
      <c r="BX34" t="str">
        <f>INDEX(Table13R,MATCH(A37,Occ13R,0),MATCH(B37,Construction13R,0))</f>
        <v>NP W/13R</v>
      </c>
      <c r="CJ34" t="str">
        <f>INDEX(Table13R,MATCH(E38,Occ13R,0),MATCH(F38,Construction13R,0))</f>
        <v>NP W/13R</v>
      </c>
      <c r="CK34" t="str">
        <f>INDEX(Table13R,MATCH(H38,Occ13R,0),MATCH(F38,Construction13R,0))</f>
        <v>NP W/13R</v>
      </c>
    </row>
    <row r="35" spans="1:89" x14ac:dyDescent="0.3">
      <c r="A35" s="13" t="s">
        <v>115</v>
      </c>
      <c r="M35" t="s">
        <v>117</v>
      </c>
      <c r="N35" s="13" t="s">
        <v>114</v>
      </c>
      <c r="P35" s="13" t="s">
        <v>115</v>
      </c>
      <c r="AB35" t="s">
        <v>117</v>
      </c>
      <c r="AC35" s="13" t="s">
        <v>114</v>
      </c>
      <c r="AE35" s="13" t="s">
        <v>115</v>
      </c>
      <c r="AQ35" t="s">
        <v>117</v>
      </c>
      <c r="AR35" s="13" t="s">
        <v>114</v>
      </c>
      <c r="AT35" s="13" t="s">
        <v>115</v>
      </c>
      <c r="BI35" s="13" t="s">
        <v>115</v>
      </c>
      <c r="BU35" t="s">
        <v>117</v>
      </c>
      <c r="BV35" s="13" t="s">
        <v>114</v>
      </c>
      <c r="BX35" s="13" t="s">
        <v>115</v>
      </c>
      <c r="CJ35" t="s">
        <v>117</v>
      </c>
      <c r="CK35" s="13" t="s">
        <v>114</v>
      </c>
    </row>
    <row r="36" spans="1:89" x14ac:dyDescent="0.3">
      <c r="A36" s="17" t="s">
        <v>97</v>
      </c>
      <c r="B36" s="17"/>
      <c r="E36" s="17" t="s">
        <v>116</v>
      </c>
      <c r="H36" s="17" t="s">
        <v>106</v>
      </c>
    </row>
    <row r="37" spans="1:89" x14ac:dyDescent="0.3">
      <c r="A37" s="17" t="str">
        <f>'2021-2024 Frontage Increase'!B5</f>
        <v>B</v>
      </c>
      <c r="B37" s="17" t="str">
        <f>'2021-2024 Frontage Increase'!B6</f>
        <v>V-B</v>
      </c>
      <c r="E37" s="17" t="s">
        <v>97</v>
      </c>
      <c r="H37" s="17" t="s">
        <v>97</v>
      </c>
      <c r="I37" s="17"/>
    </row>
    <row r="38" spans="1:89" x14ac:dyDescent="0.3">
      <c r="E38" s="45" t="str">
        <f>'2021-2024 Mixed Occupancy'!B5</f>
        <v>B</v>
      </c>
      <c r="F38" s="45" t="str">
        <f>'2021-2024 Mixed Occupancy'!B6</f>
        <v>V-B</v>
      </c>
      <c r="G38" s="46"/>
      <c r="H38" s="45" t="str">
        <f>'2021-2024 Mixed Occupancy'!D5</f>
        <v>E</v>
      </c>
      <c r="I38" s="46"/>
    </row>
    <row r="39" spans="1:89" x14ac:dyDescent="0.3">
      <c r="A39" t="s">
        <v>42</v>
      </c>
      <c r="AW39" s="1"/>
      <c r="AX39" s="13"/>
      <c r="AY39" s="13"/>
      <c r="AZ39" s="13"/>
      <c r="BA39" s="13"/>
      <c r="BB39" s="13"/>
      <c r="BC39" s="13"/>
      <c r="BD39" s="13"/>
      <c r="BE39" s="13"/>
      <c r="BF39" s="13"/>
    </row>
    <row r="40" spans="1:89" x14ac:dyDescent="0.3">
      <c r="AW40" s="7"/>
      <c r="AX40" s="16"/>
      <c r="AY40" s="16"/>
      <c r="AZ40" s="16"/>
      <c r="BA40" s="16"/>
      <c r="BB40" s="16"/>
      <c r="BC40" s="16"/>
      <c r="BD40" s="16"/>
      <c r="BE40" s="16"/>
      <c r="BF40" s="16"/>
      <c r="BG40" s="13"/>
    </row>
    <row r="41" spans="1:89" ht="16.2" x14ac:dyDescent="0.3">
      <c r="A41" t="s">
        <v>43</v>
      </c>
      <c r="AW41" s="13"/>
      <c r="AX41" s="16"/>
      <c r="AY41" s="16"/>
      <c r="AZ41" s="16"/>
      <c r="BA41" s="16"/>
      <c r="BB41" s="16"/>
      <c r="BC41" s="16"/>
      <c r="BD41" s="16"/>
      <c r="BE41" s="16"/>
      <c r="BF41" s="16"/>
      <c r="BG41" s="13"/>
    </row>
    <row r="42" spans="1:89" x14ac:dyDescent="0.3">
      <c r="AW42" s="13"/>
      <c r="AX42" s="16"/>
      <c r="AY42" s="16"/>
      <c r="AZ42" s="16"/>
      <c r="BA42" s="16"/>
      <c r="BB42" s="16"/>
      <c r="BC42" s="16"/>
      <c r="BD42" s="16"/>
      <c r="BE42" s="16"/>
      <c r="BF42" s="16"/>
      <c r="BG42" s="13"/>
    </row>
    <row r="43" spans="1:89" x14ac:dyDescent="0.3">
      <c r="A43" t="s">
        <v>84</v>
      </c>
      <c r="B43" s="12" t="s">
        <v>74</v>
      </c>
      <c r="AW43" s="13"/>
      <c r="AX43" s="16"/>
      <c r="AY43" s="16"/>
      <c r="AZ43" s="16"/>
      <c r="BA43" s="16"/>
      <c r="BB43" s="16"/>
      <c r="BC43" s="16"/>
      <c r="BD43" s="16"/>
      <c r="BE43" s="16"/>
      <c r="BF43" s="16"/>
      <c r="BG43" s="13"/>
    </row>
    <row r="44" spans="1:89" x14ac:dyDescent="0.3">
      <c r="A44" t="s">
        <v>75</v>
      </c>
      <c r="B44" s="12" t="s">
        <v>76</v>
      </c>
      <c r="AW44" s="13"/>
      <c r="AX44" s="16"/>
      <c r="AY44" s="16"/>
      <c r="AZ44" s="16"/>
      <c r="BA44" s="16"/>
      <c r="BB44" s="16"/>
      <c r="BC44" s="16"/>
      <c r="BD44" s="16"/>
      <c r="BE44" s="16"/>
      <c r="BF44" s="16"/>
      <c r="BG44" s="13"/>
    </row>
    <row r="45" spans="1:89" x14ac:dyDescent="0.3">
      <c r="A45" t="s">
        <v>77</v>
      </c>
      <c r="B45" s="12" t="s">
        <v>78</v>
      </c>
      <c r="AW45" s="13"/>
      <c r="AX45" s="16"/>
      <c r="AY45" s="16"/>
      <c r="AZ45" s="16"/>
      <c r="BA45" s="16"/>
      <c r="BB45" s="16"/>
      <c r="BC45" s="16"/>
      <c r="BD45" s="16"/>
      <c r="BE45" s="16"/>
      <c r="BF45" s="16"/>
      <c r="BG45" s="13"/>
    </row>
    <row r="46" spans="1:89" x14ac:dyDescent="0.3">
      <c r="A46" t="s">
        <v>79</v>
      </c>
      <c r="B46" s="12" t="s">
        <v>85</v>
      </c>
    </row>
    <row r="47" spans="1:89" x14ac:dyDescent="0.3">
      <c r="A47" t="s">
        <v>80</v>
      </c>
      <c r="B47" s="12" t="s">
        <v>81</v>
      </c>
    </row>
    <row r="90" ht="14.4" customHeight="1" x14ac:dyDescent="0.3"/>
    <row r="123" ht="28.95" customHeight="1" x14ac:dyDescent="0.3"/>
    <row r="137" ht="15" customHeight="1" x14ac:dyDescent="0.3"/>
    <row r="233" ht="14.4" customHeight="1" x14ac:dyDescent="0.3"/>
  </sheetData>
  <dataValidations disablePrompts="1" count="1">
    <dataValidation type="list" allowBlank="1" showInputMessage="1" showErrorMessage="1" sqref="C37" xr:uid="{00000000-0002-0000-0600-000000000000}">
      <formula1>"I-A,I-B,II-A,II-B,III-A,III-B,IV-HT,V-A,V-B"</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B142"/>
  <sheetViews>
    <sheetView zoomScale="75" zoomScaleNormal="75" workbookViewId="0">
      <selection activeCell="B20" sqref="B20"/>
    </sheetView>
  </sheetViews>
  <sheetFormatPr defaultRowHeight="14.4" x14ac:dyDescent="0.3"/>
  <cols>
    <col min="1" max="1" width="14.88671875" customWidth="1"/>
    <col min="2" max="2" width="10.6640625" customWidth="1"/>
    <col min="13" max="13" width="11.44140625" customWidth="1"/>
    <col min="14" max="14" width="13.44140625" customWidth="1"/>
    <col min="15" max="15" width="14.109375" customWidth="1"/>
    <col min="16" max="16" width="15" customWidth="1"/>
  </cols>
  <sheetData>
    <row r="1" spans="1:54" ht="15" customHeight="1" x14ac:dyDescent="0.3">
      <c r="A1" s="15" t="s">
        <v>83</v>
      </c>
      <c r="L1" s="14" t="s">
        <v>133</v>
      </c>
      <c r="M1" s="2"/>
      <c r="N1" s="2"/>
      <c r="O1" s="2"/>
      <c r="P1" s="2"/>
      <c r="Q1" s="2"/>
      <c r="R1" s="2"/>
      <c r="S1" s="2"/>
      <c r="T1" s="2"/>
      <c r="U1" s="2"/>
      <c r="W1" s="14" t="s">
        <v>88</v>
      </c>
      <c r="AH1" t="s">
        <v>72</v>
      </c>
      <c r="AS1" t="s">
        <v>73</v>
      </c>
    </row>
    <row r="2" spans="1:54" x14ac:dyDescent="0.3">
      <c r="A2" s="9"/>
      <c r="B2" s="3" t="s">
        <v>63</v>
      </c>
      <c r="C2" s="3" t="s">
        <v>64</v>
      </c>
      <c r="D2" s="3" t="s">
        <v>65</v>
      </c>
      <c r="E2" s="3" t="s">
        <v>66</v>
      </c>
      <c r="F2" s="3" t="s">
        <v>67</v>
      </c>
      <c r="G2" s="3" t="s">
        <v>68</v>
      </c>
      <c r="H2" s="3" t="s">
        <v>71</v>
      </c>
      <c r="I2" s="3" t="s">
        <v>69</v>
      </c>
      <c r="J2" s="3" t="s">
        <v>70</v>
      </c>
      <c r="L2" s="10"/>
      <c r="M2" s="3" t="s">
        <v>63</v>
      </c>
      <c r="N2" s="3" t="s">
        <v>64</v>
      </c>
      <c r="O2" s="3" t="s">
        <v>65</v>
      </c>
      <c r="P2" s="3" t="s">
        <v>66</v>
      </c>
      <c r="Q2" s="3" t="s">
        <v>67</v>
      </c>
      <c r="R2" s="3" t="s">
        <v>68</v>
      </c>
      <c r="S2" s="3" t="s">
        <v>71</v>
      </c>
      <c r="T2" s="3" t="s">
        <v>69</v>
      </c>
      <c r="U2" s="3" t="s">
        <v>70</v>
      </c>
      <c r="W2" s="10"/>
      <c r="X2" s="3" t="s">
        <v>63</v>
      </c>
      <c r="Y2" s="3" t="s">
        <v>64</v>
      </c>
      <c r="Z2" s="3" t="s">
        <v>65</v>
      </c>
      <c r="AA2" s="3" t="s">
        <v>66</v>
      </c>
      <c r="AB2" s="3" t="s">
        <v>67</v>
      </c>
      <c r="AC2" s="3" t="s">
        <v>68</v>
      </c>
      <c r="AD2" s="3" t="s">
        <v>71</v>
      </c>
      <c r="AE2" s="3" t="s">
        <v>69</v>
      </c>
      <c r="AF2" s="3" t="s">
        <v>70</v>
      </c>
      <c r="AH2" s="10"/>
      <c r="AI2" s="3" t="s">
        <v>63</v>
      </c>
      <c r="AJ2" s="3" t="s">
        <v>64</v>
      </c>
      <c r="AK2" s="3" t="s">
        <v>65</v>
      </c>
      <c r="AL2" s="3" t="s">
        <v>66</v>
      </c>
      <c r="AM2" s="3" t="s">
        <v>67</v>
      </c>
      <c r="AN2" s="3" t="s">
        <v>68</v>
      </c>
      <c r="AO2" s="3" t="s">
        <v>71</v>
      </c>
      <c r="AP2" s="3" t="s">
        <v>69</v>
      </c>
      <c r="AQ2" s="3" t="s">
        <v>70</v>
      </c>
      <c r="AS2" s="10"/>
      <c r="AT2" s="3" t="s">
        <v>63</v>
      </c>
      <c r="AU2" s="3" t="s">
        <v>64</v>
      </c>
      <c r="AV2" s="3" t="s">
        <v>65</v>
      </c>
      <c r="AW2" s="3" t="s">
        <v>66</v>
      </c>
      <c r="AX2" s="3" t="s">
        <v>67</v>
      </c>
      <c r="AY2" s="3" t="s">
        <v>68</v>
      </c>
      <c r="AZ2" s="3" t="s">
        <v>71</v>
      </c>
      <c r="BA2" s="3" t="s">
        <v>69</v>
      </c>
      <c r="BB2" s="3" t="s">
        <v>70</v>
      </c>
    </row>
    <row r="3" spans="1:54" x14ac:dyDescent="0.3">
      <c r="A3" s="8" t="s">
        <v>11</v>
      </c>
      <c r="B3" s="4" t="s">
        <v>38</v>
      </c>
      <c r="C3" s="4">
        <v>160</v>
      </c>
      <c r="D3" s="4">
        <v>65</v>
      </c>
      <c r="E3" s="4">
        <v>55</v>
      </c>
      <c r="F3" s="4">
        <v>65</v>
      </c>
      <c r="G3" s="4">
        <v>55</v>
      </c>
      <c r="H3" s="4">
        <v>65</v>
      </c>
      <c r="I3" s="4">
        <v>50</v>
      </c>
      <c r="J3" s="4">
        <v>40</v>
      </c>
      <c r="L3" s="8" t="s">
        <v>11</v>
      </c>
      <c r="M3" s="4" t="s">
        <v>38</v>
      </c>
      <c r="N3" s="4">
        <v>180</v>
      </c>
      <c r="O3" s="4">
        <v>85</v>
      </c>
      <c r="P3" s="4">
        <v>75</v>
      </c>
      <c r="Q3" s="4">
        <v>85</v>
      </c>
      <c r="R3" s="4">
        <v>75</v>
      </c>
      <c r="S3" s="4">
        <v>85</v>
      </c>
      <c r="T3" s="4">
        <v>70</v>
      </c>
      <c r="U3" s="4">
        <v>60</v>
      </c>
      <c r="W3" s="8" t="s">
        <v>11</v>
      </c>
      <c r="X3" s="4" t="s">
        <v>38</v>
      </c>
      <c r="Y3" s="4">
        <v>160</v>
      </c>
      <c r="Z3" s="4">
        <v>65</v>
      </c>
      <c r="AA3" s="4">
        <v>55</v>
      </c>
      <c r="AB3" s="4">
        <v>65</v>
      </c>
      <c r="AC3" s="4">
        <v>55</v>
      </c>
      <c r="AD3" s="4">
        <v>65</v>
      </c>
      <c r="AE3" s="4">
        <v>50</v>
      </c>
      <c r="AF3" s="4">
        <v>40</v>
      </c>
      <c r="AH3" s="8" t="s">
        <v>11</v>
      </c>
      <c r="AI3" s="4" t="s">
        <v>129</v>
      </c>
      <c r="AJ3" s="4" t="s">
        <v>129</v>
      </c>
      <c r="AK3" s="4" t="s">
        <v>129</v>
      </c>
      <c r="AL3" s="4" t="s">
        <v>129</v>
      </c>
      <c r="AM3" s="4" t="s">
        <v>129</v>
      </c>
      <c r="AN3" s="4" t="s">
        <v>129</v>
      </c>
      <c r="AO3" s="4" t="s">
        <v>129</v>
      </c>
      <c r="AP3" s="4" t="s">
        <v>129</v>
      </c>
      <c r="AQ3" s="4" t="s">
        <v>129</v>
      </c>
      <c r="AS3" s="8" t="s">
        <v>11</v>
      </c>
      <c r="AT3" s="4" t="s">
        <v>130</v>
      </c>
      <c r="AU3" s="4" t="s">
        <v>130</v>
      </c>
      <c r="AV3" s="4" t="s">
        <v>130</v>
      </c>
      <c r="AW3" s="4" t="s">
        <v>130</v>
      </c>
      <c r="AX3" s="4" t="s">
        <v>130</v>
      </c>
      <c r="AY3" s="4" t="s">
        <v>130</v>
      </c>
      <c r="AZ3" s="4" t="s">
        <v>130</v>
      </c>
      <c r="BA3" s="4" t="s">
        <v>130</v>
      </c>
      <c r="BB3" s="4" t="s">
        <v>130</v>
      </c>
    </row>
    <row r="4" spans="1:54" x14ac:dyDescent="0.3">
      <c r="A4" s="8" t="s">
        <v>15</v>
      </c>
      <c r="B4" s="4" t="s">
        <v>38</v>
      </c>
      <c r="C4" s="4">
        <v>160</v>
      </c>
      <c r="D4" s="4">
        <v>65</v>
      </c>
      <c r="E4" s="4">
        <v>55</v>
      </c>
      <c r="F4" s="4">
        <v>65</v>
      </c>
      <c r="G4" s="4">
        <v>55</v>
      </c>
      <c r="H4" s="4">
        <v>65</v>
      </c>
      <c r="I4" s="4">
        <v>50</v>
      </c>
      <c r="J4" s="4">
        <v>40</v>
      </c>
      <c r="L4" s="8" t="s">
        <v>15</v>
      </c>
      <c r="M4" s="4" t="s">
        <v>38</v>
      </c>
      <c r="N4" s="4">
        <v>180</v>
      </c>
      <c r="O4" s="4">
        <v>85</v>
      </c>
      <c r="P4" s="4">
        <v>75</v>
      </c>
      <c r="Q4" s="4">
        <v>85</v>
      </c>
      <c r="R4" s="4">
        <v>75</v>
      </c>
      <c r="S4" s="4">
        <v>85</v>
      </c>
      <c r="T4" s="4">
        <v>70</v>
      </c>
      <c r="U4" s="4">
        <v>60</v>
      </c>
      <c r="W4" s="8" t="s">
        <v>15</v>
      </c>
      <c r="X4" s="4" t="s">
        <v>38</v>
      </c>
      <c r="Y4" s="4">
        <v>160</v>
      </c>
      <c r="Z4" s="4">
        <v>65</v>
      </c>
      <c r="AA4" s="4">
        <v>55</v>
      </c>
      <c r="AB4" s="4">
        <v>65</v>
      </c>
      <c r="AC4" s="4">
        <v>55</v>
      </c>
      <c r="AD4" s="4">
        <v>65</v>
      </c>
      <c r="AE4" s="4">
        <v>50</v>
      </c>
      <c r="AF4" s="4">
        <v>40</v>
      </c>
      <c r="AH4" s="8" t="s">
        <v>15</v>
      </c>
      <c r="AI4" s="4" t="s">
        <v>129</v>
      </c>
      <c r="AJ4" s="4" t="s">
        <v>129</v>
      </c>
      <c r="AK4" s="4" t="s">
        <v>129</v>
      </c>
      <c r="AL4" s="4" t="s">
        <v>129</v>
      </c>
      <c r="AM4" s="4" t="s">
        <v>129</v>
      </c>
      <c r="AN4" s="4" t="s">
        <v>129</v>
      </c>
      <c r="AO4" s="4" t="s">
        <v>129</v>
      </c>
      <c r="AP4" s="4" t="s">
        <v>129</v>
      </c>
      <c r="AQ4" s="4" t="s">
        <v>129</v>
      </c>
      <c r="AS4" s="8" t="s">
        <v>15</v>
      </c>
      <c r="AT4" s="4" t="s">
        <v>130</v>
      </c>
      <c r="AU4" s="4" t="s">
        <v>130</v>
      </c>
      <c r="AV4" s="4" t="s">
        <v>130</v>
      </c>
      <c r="AW4" s="4" t="s">
        <v>130</v>
      </c>
      <c r="AX4" s="4" t="s">
        <v>130</v>
      </c>
      <c r="AY4" s="4" t="s">
        <v>130</v>
      </c>
      <c r="AZ4" s="4" t="s">
        <v>130</v>
      </c>
      <c r="BA4" s="4" t="s">
        <v>130</v>
      </c>
      <c r="BB4" s="4" t="s">
        <v>130</v>
      </c>
    </row>
    <row r="5" spans="1:54" x14ac:dyDescent="0.3">
      <c r="A5" s="8" t="s">
        <v>16</v>
      </c>
      <c r="B5" s="4" t="s">
        <v>38</v>
      </c>
      <c r="C5" s="4">
        <v>160</v>
      </c>
      <c r="D5" s="4">
        <v>65</v>
      </c>
      <c r="E5" s="4">
        <v>55</v>
      </c>
      <c r="F5" s="4">
        <v>65</v>
      </c>
      <c r="G5" s="4">
        <v>55</v>
      </c>
      <c r="H5" s="4">
        <v>65</v>
      </c>
      <c r="I5" s="4">
        <v>50</v>
      </c>
      <c r="J5" s="4">
        <v>40</v>
      </c>
      <c r="L5" s="8" t="s">
        <v>16</v>
      </c>
      <c r="M5" s="4" t="s">
        <v>38</v>
      </c>
      <c r="N5" s="4">
        <v>160</v>
      </c>
      <c r="O5" s="4">
        <v>65</v>
      </c>
      <c r="P5" s="4">
        <v>55</v>
      </c>
      <c r="Q5" s="4">
        <v>65</v>
      </c>
      <c r="R5" s="4">
        <v>55</v>
      </c>
      <c r="S5" s="4">
        <v>65</v>
      </c>
      <c r="T5" s="4">
        <v>50</v>
      </c>
      <c r="U5" s="4">
        <v>40</v>
      </c>
      <c r="W5" s="8" t="s">
        <v>16</v>
      </c>
      <c r="X5" s="4" t="s">
        <v>38</v>
      </c>
      <c r="Y5" s="4">
        <v>160</v>
      </c>
      <c r="Z5" s="4">
        <v>65</v>
      </c>
      <c r="AA5" s="4">
        <v>55</v>
      </c>
      <c r="AB5" s="4">
        <v>65</v>
      </c>
      <c r="AC5" s="4">
        <v>55</v>
      </c>
      <c r="AD5" s="4">
        <v>65</v>
      </c>
      <c r="AE5" s="4">
        <v>50</v>
      </c>
      <c r="AF5" s="4">
        <v>40</v>
      </c>
      <c r="AH5" s="8" t="s">
        <v>16</v>
      </c>
      <c r="AI5" s="4" t="s">
        <v>129</v>
      </c>
      <c r="AJ5" s="4" t="s">
        <v>129</v>
      </c>
      <c r="AK5" s="4" t="s">
        <v>129</v>
      </c>
      <c r="AL5" s="4" t="s">
        <v>129</v>
      </c>
      <c r="AM5" s="4" t="s">
        <v>129</v>
      </c>
      <c r="AN5" s="4" t="s">
        <v>129</v>
      </c>
      <c r="AO5" s="4" t="s">
        <v>129</v>
      </c>
      <c r="AP5" s="4" t="s">
        <v>129</v>
      </c>
      <c r="AQ5" s="4" t="s">
        <v>129</v>
      </c>
      <c r="AS5" s="8" t="s">
        <v>16</v>
      </c>
      <c r="AT5" s="4" t="s">
        <v>130</v>
      </c>
      <c r="AU5" s="4" t="s">
        <v>130</v>
      </c>
      <c r="AV5" s="4" t="s">
        <v>130</v>
      </c>
      <c r="AW5" s="4" t="s">
        <v>130</v>
      </c>
      <c r="AX5" s="4" t="s">
        <v>130</v>
      </c>
      <c r="AY5" s="4" t="s">
        <v>130</v>
      </c>
      <c r="AZ5" s="4" t="s">
        <v>130</v>
      </c>
      <c r="BA5" s="4" t="s">
        <v>130</v>
      </c>
      <c r="BB5" s="4" t="s">
        <v>130</v>
      </c>
    </row>
    <row r="6" spans="1:54" x14ac:dyDescent="0.3">
      <c r="A6" s="8" t="s">
        <v>17</v>
      </c>
      <c r="B6" s="4" t="s">
        <v>38</v>
      </c>
      <c r="C6" s="4">
        <v>160</v>
      </c>
      <c r="D6" s="4">
        <v>65</v>
      </c>
      <c r="E6" s="4">
        <v>55</v>
      </c>
      <c r="F6" s="4">
        <v>65</v>
      </c>
      <c r="G6" s="4">
        <v>55</v>
      </c>
      <c r="H6" s="4">
        <v>65</v>
      </c>
      <c r="I6" s="4">
        <v>50</v>
      </c>
      <c r="J6" s="4">
        <v>40</v>
      </c>
      <c r="L6" s="8" t="s">
        <v>17</v>
      </c>
      <c r="M6" s="4" t="s">
        <v>38</v>
      </c>
      <c r="N6" s="4">
        <v>180</v>
      </c>
      <c r="O6" s="4">
        <v>85</v>
      </c>
      <c r="P6" s="4">
        <v>75</v>
      </c>
      <c r="Q6" s="4">
        <v>85</v>
      </c>
      <c r="R6" s="4">
        <v>75</v>
      </c>
      <c r="S6" s="4">
        <v>85</v>
      </c>
      <c r="T6" s="4">
        <v>70</v>
      </c>
      <c r="U6" s="4">
        <v>60</v>
      </c>
      <c r="W6" s="8" t="s">
        <v>17</v>
      </c>
      <c r="X6" s="4" t="s">
        <v>38</v>
      </c>
      <c r="Y6" s="4">
        <v>160</v>
      </c>
      <c r="Z6" s="4">
        <v>65</v>
      </c>
      <c r="AA6" s="4">
        <v>55</v>
      </c>
      <c r="AB6" s="4">
        <v>65</v>
      </c>
      <c r="AC6" s="4">
        <v>55</v>
      </c>
      <c r="AD6" s="4">
        <v>65</v>
      </c>
      <c r="AE6" s="4">
        <v>50</v>
      </c>
      <c r="AF6" s="4">
        <v>40</v>
      </c>
      <c r="AH6" s="8" t="s">
        <v>17</v>
      </c>
      <c r="AI6" s="4" t="s">
        <v>129</v>
      </c>
      <c r="AJ6" s="4" t="s">
        <v>129</v>
      </c>
      <c r="AK6" s="4" t="s">
        <v>129</v>
      </c>
      <c r="AL6" s="4" t="s">
        <v>129</v>
      </c>
      <c r="AM6" s="4" t="s">
        <v>129</v>
      </c>
      <c r="AN6" s="4" t="s">
        <v>129</v>
      </c>
      <c r="AO6" s="4" t="s">
        <v>129</v>
      </c>
      <c r="AP6" s="4" t="s">
        <v>129</v>
      </c>
      <c r="AQ6" s="4" t="s">
        <v>129</v>
      </c>
      <c r="AS6" s="8" t="s">
        <v>17</v>
      </c>
      <c r="AT6" s="4" t="s">
        <v>130</v>
      </c>
      <c r="AU6" s="4" t="s">
        <v>130</v>
      </c>
      <c r="AV6" s="4" t="s">
        <v>130</v>
      </c>
      <c r="AW6" s="4" t="s">
        <v>130</v>
      </c>
      <c r="AX6" s="4" t="s">
        <v>130</v>
      </c>
      <c r="AY6" s="4" t="s">
        <v>130</v>
      </c>
      <c r="AZ6" s="4" t="s">
        <v>130</v>
      </c>
      <c r="BA6" s="4" t="s">
        <v>130</v>
      </c>
      <c r="BB6" s="4" t="s">
        <v>130</v>
      </c>
    </row>
    <row r="7" spans="1:54" x14ac:dyDescent="0.3">
      <c r="A7" s="8" t="s">
        <v>18</v>
      </c>
      <c r="B7" s="4" t="s">
        <v>38</v>
      </c>
      <c r="C7" s="4">
        <v>160</v>
      </c>
      <c r="D7" s="4">
        <v>65</v>
      </c>
      <c r="E7" s="4">
        <v>55</v>
      </c>
      <c r="F7" s="4">
        <v>65</v>
      </c>
      <c r="G7" s="4">
        <v>55</v>
      </c>
      <c r="H7" s="4">
        <v>65</v>
      </c>
      <c r="I7" s="4">
        <v>50</v>
      </c>
      <c r="J7" s="4">
        <v>40</v>
      </c>
      <c r="L7" s="8" t="s">
        <v>18</v>
      </c>
      <c r="M7" s="4" t="s">
        <v>38</v>
      </c>
      <c r="N7" s="4">
        <v>180</v>
      </c>
      <c r="O7" s="4">
        <v>85</v>
      </c>
      <c r="P7" s="4">
        <v>75</v>
      </c>
      <c r="Q7" s="4">
        <v>85</v>
      </c>
      <c r="R7" s="4">
        <v>75</v>
      </c>
      <c r="S7" s="4">
        <v>85</v>
      </c>
      <c r="T7" s="4">
        <v>70</v>
      </c>
      <c r="U7" s="4">
        <v>60</v>
      </c>
      <c r="W7" s="8" t="s">
        <v>18</v>
      </c>
      <c r="X7" s="4" t="s">
        <v>38</v>
      </c>
      <c r="Y7" s="4">
        <v>160</v>
      </c>
      <c r="Z7" s="4">
        <v>65</v>
      </c>
      <c r="AA7" s="4">
        <v>55</v>
      </c>
      <c r="AB7" s="4">
        <v>65</v>
      </c>
      <c r="AC7" s="4">
        <v>55</v>
      </c>
      <c r="AD7" s="4">
        <v>65</v>
      </c>
      <c r="AE7" s="4">
        <v>50</v>
      </c>
      <c r="AF7" s="4">
        <v>40</v>
      </c>
      <c r="AH7" s="8" t="s">
        <v>18</v>
      </c>
      <c r="AI7" s="4" t="s">
        <v>129</v>
      </c>
      <c r="AJ7" s="4" t="s">
        <v>129</v>
      </c>
      <c r="AK7" s="4" t="s">
        <v>129</v>
      </c>
      <c r="AL7" s="4" t="s">
        <v>129</v>
      </c>
      <c r="AM7" s="4" t="s">
        <v>129</v>
      </c>
      <c r="AN7" s="4" t="s">
        <v>129</v>
      </c>
      <c r="AO7" s="4" t="s">
        <v>129</v>
      </c>
      <c r="AP7" s="4" t="s">
        <v>129</v>
      </c>
      <c r="AQ7" s="4" t="s">
        <v>129</v>
      </c>
      <c r="AS7" s="8" t="s">
        <v>18</v>
      </c>
      <c r="AT7" s="4" t="s">
        <v>130</v>
      </c>
      <c r="AU7" s="4" t="s">
        <v>130</v>
      </c>
      <c r="AV7" s="4" t="s">
        <v>130</v>
      </c>
      <c r="AW7" s="4" t="s">
        <v>130</v>
      </c>
      <c r="AX7" s="4" t="s">
        <v>130</v>
      </c>
      <c r="AY7" s="4" t="s">
        <v>130</v>
      </c>
      <c r="AZ7" s="4" t="s">
        <v>130</v>
      </c>
      <c r="BA7" s="4" t="s">
        <v>130</v>
      </c>
      <c r="BB7" s="4" t="s">
        <v>130</v>
      </c>
    </row>
    <row r="8" spans="1:54" x14ac:dyDescent="0.3">
      <c r="A8" s="8" t="s">
        <v>10</v>
      </c>
      <c r="B8" s="4" t="s">
        <v>38</v>
      </c>
      <c r="C8" s="4">
        <v>160</v>
      </c>
      <c r="D8" s="4">
        <v>65</v>
      </c>
      <c r="E8" s="4">
        <v>55</v>
      </c>
      <c r="F8" s="4">
        <v>65</v>
      </c>
      <c r="G8" s="4">
        <v>55</v>
      </c>
      <c r="H8" s="4">
        <v>65</v>
      </c>
      <c r="I8" s="4">
        <v>50</v>
      </c>
      <c r="J8" s="4">
        <v>40</v>
      </c>
      <c r="L8" s="8" t="s">
        <v>10</v>
      </c>
      <c r="M8" s="4" t="s">
        <v>38</v>
      </c>
      <c r="N8" s="4">
        <v>180</v>
      </c>
      <c r="O8" s="4">
        <v>85</v>
      </c>
      <c r="P8" s="4">
        <v>75</v>
      </c>
      <c r="Q8" s="4">
        <v>85</v>
      </c>
      <c r="R8" s="4">
        <v>75</v>
      </c>
      <c r="S8" s="4">
        <v>85</v>
      </c>
      <c r="T8" s="4">
        <v>70</v>
      </c>
      <c r="U8" s="4">
        <v>60</v>
      </c>
      <c r="W8" s="8" t="s">
        <v>10</v>
      </c>
      <c r="X8" s="9" t="s">
        <v>90</v>
      </c>
      <c r="Y8" s="9" t="s">
        <v>90</v>
      </c>
      <c r="Z8" s="9" t="s">
        <v>90</v>
      </c>
      <c r="AA8" s="9" t="s">
        <v>90</v>
      </c>
      <c r="AB8" s="9" t="s">
        <v>90</v>
      </c>
      <c r="AC8" s="9" t="s">
        <v>90</v>
      </c>
      <c r="AD8" s="9" t="s">
        <v>90</v>
      </c>
      <c r="AE8" s="9" t="s">
        <v>90</v>
      </c>
      <c r="AF8" s="9" t="s">
        <v>90</v>
      </c>
      <c r="AH8" s="8" t="s">
        <v>10</v>
      </c>
      <c r="AI8" s="4" t="s">
        <v>129</v>
      </c>
      <c r="AJ8" s="4" t="s">
        <v>129</v>
      </c>
      <c r="AK8" s="4" t="s">
        <v>129</v>
      </c>
      <c r="AL8" s="4" t="s">
        <v>129</v>
      </c>
      <c r="AM8" s="4" t="s">
        <v>129</v>
      </c>
      <c r="AN8" s="4" t="s">
        <v>129</v>
      </c>
      <c r="AO8" s="4" t="s">
        <v>129</v>
      </c>
      <c r="AP8" s="4" t="s">
        <v>129</v>
      </c>
      <c r="AQ8" s="4" t="s">
        <v>129</v>
      </c>
      <c r="AS8" s="8" t="s">
        <v>10</v>
      </c>
      <c r="AT8" s="4" t="s">
        <v>130</v>
      </c>
      <c r="AU8" s="4" t="s">
        <v>130</v>
      </c>
      <c r="AV8" s="4" t="s">
        <v>130</v>
      </c>
      <c r="AW8" s="4" t="s">
        <v>130</v>
      </c>
      <c r="AX8" s="4" t="s">
        <v>130</v>
      </c>
      <c r="AY8" s="4" t="s">
        <v>130</v>
      </c>
      <c r="AZ8" s="4" t="s">
        <v>130</v>
      </c>
      <c r="BA8" s="4" t="s">
        <v>130</v>
      </c>
      <c r="BB8" s="4" t="s">
        <v>130</v>
      </c>
    </row>
    <row r="9" spans="1:54" x14ac:dyDescent="0.3">
      <c r="A9" s="8" t="s">
        <v>19</v>
      </c>
      <c r="B9" s="4" t="s">
        <v>38</v>
      </c>
      <c r="C9" s="4">
        <v>160</v>
      </c>
      <c r="D9" s="4">
        <v>65</v>
      </c>
      <c r="E9" s="4">
        <v>55</v>
      </c>
      <c r="F9" s="4">
        <v>65</v>
      </c>
      <c r="G9" s="4">
        <v>55</v>
      </c>
      <c r="H9" s="4">
        <v>65</v>
      </c>
      <c r="I9" s="4">
        <v>50</v>
      </c>
      <c r="J9" s="4">
        <v>40</v>
      </c>
      <c r="L9" s="8" t="s">
        <v>19</v>
      </c>
      <c r="M9" s="4" t="s">
        <v>38</v>
      </c>
      <c r="N9" s="4">
        <v>160</v>
      </c>
      <c r="O9" s="4">
        <v>85</v>
      </c>
      <c r="P9" s="4">
        <v>75</v>
      </c>
      <c r="Q9" s="4">
        <v>85</v>
      </c>
      <c r="R9" s="4">
        <v>75</v>
      </c>
      <c r="S9" s="4">
        <v>85</v>
      </c>
      <c r="T9" s="4">
        <v>70</v>
      </c>
      <c r="U9" s="4">
        <v>60</v>
      </c>
      <c r="W9" s="8" t="s">
        <v>19</v>
      </c>
      <c r="X9" s="4" t="s">
        <v>38</v>
      </c>
      <c r="Y9" s="4">
        <v>160</v>
      </c>
      <c r="Z9" s="4">
        <v>65</v>
      </c>
      <c r="AA9" s="4">
        <v>55</v>
      </c>
      <c r="AB9" s="4">
        <v>65</v>
      </c>
      <c r="AC9" s="4">
        <v>55</v>
      </c>
      <c r="AD9" s="4">
        <v>65</v>
      </c>
      <c r="AE9" s="4">
        <v>50</v>
      </c>
      <c r="AF9" s="4">
        <v>40</v>
      </c>
      <c r="AH9" s="8" t="s">
        <v>19</v>
      </c>
      <c r="AI9" s="4" t="s">
        <v>129</v>
      </c>
      <c r="AJ9" s="4" t="s">
        <v>129</v>
      </c>
      <c r="AK9" s="4" t="s">
        <v>129</v>
      </c>
      <c r="AL9" s="4" t="s">
        <v>129</v>
      </c>
      <c r="AM9" s="4" t="s">
        <v>129</v>
      </c>
      <c r="AN9" s="4" t="s">
        <v>129</v>
      </c>
      <c r="AO9" s="4" t="s">
        <v>129</v>
      </c>
      <c r="AP9" s="4" t="s">
        <v>129</v>
      </c>
      <c r="AQ9" s="4" t="s">
        <v>129</v>
      </c>
      <c r="AS9" s="8" t="s">
        <v>19</v>
      </c>
      <c r="AT9" s="4" t="s">
        <v>130</v>
      </c>
      <c r="AU9" s="4" t="s">
        <v>130</v>
      </c>
      <c r="AV9" s="4" t="s">
        <v>130</v>
      </c>
      <c r="AW9" s="4" t="s">
        <v>130</v>
      </c>
      <c r="AX9" s="4" t="s">
        <v>130</v>
      </c>
      <c r="AY9" s="4" t="s">
        <v>130</v>
      </c>
      <c r="AZ9" s="4" t="s">
        <v>130</v>
      </c>
      <c r="BA9" s="4" t="s">
        <v>130</v>
      </c>
      <c r="BB9" s="4" t="s">
        <v>130</v>
      </c>
    </row>
    <row r="10" spans="1:54" x14ac:dyDescent="0.3">
      <c r="A10" s="8" t="s">
        <v>20</v>
      </c>
      <c r="B10" s="4" t="s">
        <v>38</v>
      </c>
      <c r="C10" s="4">
        <v>160</v>
      </c>
      <c r="D10" s="4">
        <v>65</v>
      </c>
      <c r="E10" s="4">
        <v>55</v>
      </c>
      <c r="F10" s="4">
        <v>65</v>
      </c>
      <c r="G10" s="4">
        <v>55</v>
      </c>
      <c r="H10" s="4">
        <v>65</v>
      </c>
      <c r="I10" s="4">
        <v>50</v>
      </c>
      <c r="J10" s="4">
        <v>40</v>
      </c>
      <c r="L10" s="8" t="s">
        <v>20</v>
      </c>
      <c r="M10" s="4" t="s">
        <v>38</v>
      </c>
      <c r="N10" s="4">
        <v>180</v>
      </c>
      <c r="O10" s="4">
        <v>85</v>
      </c>
      <c r="P10" s="4">
        <v>75</v>
      </c>
      <c r="Q10" s="4">
        <v>85</v>
      </c>
      <c r="R10" s="4">
        <v>75</v>
      </c>
      <c r="S10" s="4">
        <v>85</v>
      </c>
      <c r="T10" s="4">
        <v>70</v>
      </c>
      <c r="U10" s="4">
        <v>60</v>
      </c>
      <c r="W10" s="8" t="s">
        <v>20</v>
      </c>
      <c r="X10" s="9" t="s">
        <v>90</v>
      </c>
      <c r="Y10" s="9" t="s">
        <v>90</v>
      </c>
      <c r="Z10" s="9" t="s">
        <v>90</v>
      </c>
      <c r="AA10" s="9" t="s">
        <v>90</v>
      </c>
      <c r="AB10" s="9" t="s">
        <v>90</v>
      </c>
      <c r="AC10" s="9" t="s">
        <v>90</v>
      </c>
      <c r="AD10" s="9" t="s">
        <v>90</v>
      </c>
      <c r="AE10" s="9" t="s">
        <v>90</v>
      </c>
      <c r="AF10" s="9" t="s">
        <v>90</v>
      </c>
      <c r="AH10" s="8" t="s">
        <v>20</v>
      </c>
      <c r="AI10" s="4" t="s">
        <v>129</v>
      </c>
      <c r="AJ10" s="4" t="s">
        <v>129</v>
      </c>
      <c r="AK10" s="4" t="s">
        <v>129</v>
      </c>
      <c r="AL10" s="4" t="s">
        <v>129</v>
      </c>
      <c r="AM10" s="4" t="s">
        <v>129</v>
      </c>
      <c r="AN10" s="4" t="s">
        <v>129</v>
      </c>
      <c r="AO10" s="4" t="s">
        <v>129</v>
      </c>
      <c r="AP10" s="4" t="s">
        <v>129</v>
      </c>
      <c r="AQ10" s="4" t="s">
        <v>129</v>
      </c>
      <c r="AS10" s="8" t="s">
        <v>20</v>
      </c>
      <c r="AT10" s="4" t="s">
        <v>130</v>
      </c>
      <c r="AU10" s="4" t="s">
        <v>130</v>
      </c>
      <c r="AV10" s="4" t="s">
        <v>130</v>
      </c>
      <c r="AW10" s="4" t="s">
        <v>130</v>
      </c>
      <c r="AX10" s="4" t="s">
        <v>130</v>
      </c>
      <c r="AY10" s="4" t="s">
        <v>130</v>
      </c>
      <c r="AZ10" s="4" t="s">
        <v>130</v>
      </c>
      <c r="BA10" s="4" t="s">
        <v>130</v>
      </c>
      <c r="BB10" s="4" t="s">
        <v>130</v>
      </c>
    </row>
    <row r="11" spans="1:54" x14ac:dyDescent="0.3">
      <c r="A11" s="8" t="s">
        <v>41</v>
      </c>
      <c r="B11" s="4" t="s">
        <v>38</v>
      </c>
      <c r="C11" s="4">
        <v>160</v>
      </c>
      <c r="D11" s="4">
        <v>65</v>
      </c>
      <c r="E11" s="4">
        <v>55</v>
      </c>
      <c r="F11" s="4">
        <v>65</v>
      </c>
      <c r="G11" s="4">
        <v>55</v>
      </c>
      <c r="H11" s="4">
        <v>65</v>
      </c>
      <c r="I11" s="4">
        <v>50</v>
      </c>
      <c r="J11" s="4">
        <v>40</v>
      </c>
      <c r="L11" s="8" t="s">
        <v>41</v>
      </c>
      <c r="M11" s="4" t="s">
        <v>38</v>
      </c>
      <c r="N11" s="4">
        <v>180</v>
      </c>
      <c r="O11" s="4">
        <v>85</v>
      </c>
      <c r="P11" s="4">
        <v>75</v>
      </c>
      <c r="Q11" s="4">
        <v>85</v>
      </c>
      <c r="R11" s="4">
        <v>75</v>
      </c>
      <c r="S11" s="4">
        <v>85</v>
      </c>
      <c r="T11" s="4">
        <v>70</v>
      </c>
      <c r="U11" s="4">
        <v>60</v>
      </c>
      <c r="W11" s="8" t="s">
        <v>41</v>
      </c>
      <c r="X11" s="9" t="s">
        <v>90</v>
      </c>
      <c r="Y11" s="9" t="s">
        <v>90</v>
      </c>
      <c r="Z11" s="9" t="s">
        <v>90</v>
      </c>
      <c r="AA11" s="9" t="s">
        <v>90</v>
      </c>
      <c r="AB11" s="9" t="s">
        <v>90</v>
      </c>
      <c r="AC11" s="9" t="s">
        <v>90</v>
      </c>
      <c r="AD11" s="9" t="s">
        <v>90</v>
      </c>
      <c r="AE11" s="9" t="s">
        <v>90</v>
      </c>
      <c r="AF11" s="9" t="s">
        <v>90</v>
      </c>
      <c r="AH11" s="8" t="s">
        <v>41</v>
      </c>
      <c r="AI11" s="4" t="s">
        <v>129</v>
      </c>
      <c r="AJ11" s="4" t="s">
        <v>129</v>
      </c>
      <c r="AK11" s="4" t="s">
        <v>129</v>
      </c>
      <c r="AL11" s="4" t="s">
        <v>129</v>
      </c>
      <c r="AM11" s="4" t="s">
        <v>129</v>
      </c>
      <c r="AN11" s="4" t="s">
        <v>129</v>
      </c>
      <c r="AO11" s="4" t="s">
        <v>129</v>
      </c>
      <c r="AP11" s="4" t="s">
        <v>129</v>
      </c>
      <c r="AQ11" s="4" t="s">
        <v>129</v>
      </c>
      <c r="AS11" s="8" t="s">
        <v>41</v>
      </c>
      <c r="AT11" s="4" t="s">
        <v>130</v>
      </c>
      <c r="AU11" s="4" t="s">
        <v>130</v>
      </c>
      <c r="AV11" s="4" t="s">
        <v>130</v>
      </c>
      <c r="AW11" s="4" t="s">
        <v>130</v>
      </c>
      <c r="AX11" s="4" t="s">
        <v>130</v>
      </c>
      <c r="AY11" s="4" t="s">
        <v>130</v>
      </c>
      <c r="AZ11" s="4" t="s">
        <v>130</v>
      </c>
      <c r="BA11" s="4" t="s">
        <v>130</v>
      </c>
      <c r="BB11" s="4" t="s">
        <v>130</v>
      </c>
    </row>
    <row r="12" spans="1:54" x14ac:dyDescent="0.3">
      <c r="A12" s="8" t="s">
        <v>21</v>
      </c>
      <c r="B12" s="4" t="s">
        <v>38</v>
      </c>
      <c r="C12" s="4">
        <v>160</v>
      </c>
      <c r="D12" s="4">
        <v>65</v>
      </c>
      <c r="E12" s="4">
        <v>55</v>
      </c>
      <c r="F12" s="4">
        <v>65</v>
      </c>
      <c r="G12" s="4">
        <v>55</v>
      </c>
      <c r="H12" s="4">
        <v>65</v>
      </c>
      <c r="I12" s="4">
        <v>50</v>
      </c>
      <c r="J12" s="4">
        <v>40</v>
      </c>
      <c r="L12" s="8" t="s">
        <v>21</v>
      </c>
      <c r="M12" s="4" t="s">
        <v>38</v>
      </c>
      <c r="N12" s="4">
        <v>160</v>
      </c>
      <c r="O12" s="4">
        <v>65</v>
      </c>
      <c r="P12" s="4">
        <v>55</v>
      </c>
      <c r="Q12" s="4">
        <v>65</v>
      </c>
      <c r="R12" s="4">
        <v>55</v>
      </c>
      <c r="S12" s="4">
        <v>65</v>
      </c>
      <c r="T12" s="4">
        <v>50</v>
      </c>
      <c r="U12" s="4">
        <v>40</v>
      </c>
      <c r="W12" s="8" t="s">
        <v>21</v>
      </c>
      <c r="X12" s="4" t="s">
        <v>38</v>
      </c>
      <c r="Y12" s="4">
        <v>160</v>
      </c>
      <c r="Z12" s="4">
        <v>65</v>
      </c>
      <c r="AA12" s="4">
        <v>55</v>
      </c>
      <c r="AB12" s="4">
        <v>65</v>
      </c>
      <c r="AC12" s="4">
        <v>55</v>
      </c>
      <c r="AD12" s="4">
        <v>65</v>
      </c>
      <c r="AE12" s="4">
        <v>50</v>
      </c>
      <c r="AF12" s="4">
        <v>40</v>
      </c>
      <c r="AH12" s="8" t="s">
        <v>21</v>
      </c>
      <c r="AI12" s="4" t="s">
        <v>129</v>
      </c>
      <c r="AJ12" s="4" t="s">
        <v>129</v>
      </c>
      <c r="AK12" s="4" t="s">
        <v>129</v>
      </c>
      <c r="AL12" s="4" t="s">
        <v>129</v>
      </c>
      <c r="AM12" s="4" t="s">
        <v>129</v>
      </c>
      <c r="AN12" s="4" t="s">
        <v>129</v>
      </c>
      <c r="AO12" s="4" t="s">
        <v>129</v>
      </c>
      <c r="AP12" s="4" t="s">
        <v>129</v>
      </c>
      <c r="AQ12" s="4" t="s">
        <v>129</v>
      </c>
      <c r="AS12" s="8" t="s">
        <v>21</v>
      </c>
      <c r="AT12" s="4" t="s">
        <v>130</v>
      </c>
      <c r="AU12" s="4" t="s">
        <v>130</v>
      </c>
      <c r="AV12" s="4" t="s">
        <v>130</v>
      </c>
      <c r="AW12" s="4" t="s">
        <v>130</v>
      </c>
      <c r="AX12" s="4" t="s">
        <v>130</v>
      </c>
      <c r="AY12" s="4" t="s">
        <v>130</v>
      </c>
      <c r="AZ12" s="4" t="s">
        <v>130</v>
      </c>
      <c r="BA12" s="4" t="s">
        <v>130</v>
      </c>
      <c r="BB12" s="4" t="s">
        <v>130</v>
      </c>
    </row>
    <row r="13" spans="1:54" x14ac:dyDescent="0.3">
      <c r="A13" s="8" t="s">
        <v>22</v>
      </c>
      <c r="B13" s="4" t="s">
        <v>38</v>
      </c>
      <c r="C13" s="4">
        <v>160</v>
      </c>
      <c r="D13" s="4">
        <v>65</v>
      </c>
      <c r="E13" s="4">
        <v>55</v>
      </c>
      <c r="F13" s="4">
        <v>65</v>
      </c>
      <c r="G13" s="4">
        <v>55</v>
      </c>
      <c r="H13" s="4">
        <v>65</v>
      </c>
      <c r="I13" s="4">
        <v>50</v>
      </c>
      <c r="J13" s="4">
        <v>40</v>
      </c>
      <c r="L13" s="8" t="s">
        <v>22</v>
      </c>
      <c r="M13" s="4" t="s">
        <v>38</v>
      </c>
      <c r="N13" s="4">
        <v>160</v>
      </c>
      <c r="O13" s="4">
        <v>65</v>
      </c>
      <c r="P13" s="4">
        <v>55</v>
      </c>
      <c r="Q13" s="4">
        <v>65</v>
      </c>
      <c r="R13" s="4">
        <v>55</v>
      </c>
      <c r="S13" s="4">
        <v>65</v>
      </c>
      <c r="T13" s="4">
        <v>50</v>
      </c>
      <c r="U13" s="4">
        <v>40</v>
      </c>
      <c r="W13" s="8" t="s">
        <v>22</v>
      </c>
      <c r="X13" s="4" t="s">
        <v>38</v>
      </c>
      <c r="Y13" s="4">
        <v>160</v>
      </c>
      <c r="Z13" s="4">
        <v>65</v>
      </c>
      <c r="AA13" s="4">
        <v>55</v>
      </c>
      <c r="AB13" s="4">
        <v>65</v>
      </c>
      <c r="AC13" s="4">
        <v>55</v>
      </c>
      <c r="AD13" s="4">
        <v>65</v>
      </c>
      <c r="AE13" s="4">
        <v>50</v>
      </c>
      <c r="AF13" s="4">
        <v>40</v>
      </c>
      <c r="AH13" s="8" t="s">
        <v>22</v>
      </c>
      <c r="AI13" s="4" t="s">
        <v>129</v>
      </c>
      <c r="AJ13" s="4" t="s">
        <v>129</v>
      </c>
      <c r="AK13" s="4" t="s">
        <v>129</v>
      </c>
      <c r="AL13" s="4" t="s">
        <v>129</v>
      </c>
      <c r="AM13" s="4" t="s">
        <v>129</v>
      </c>
      <c r="AN13" s="4" t="s">
        <v>129</v>
      </c>
      <c r="AO13" s="4" t="s">
        <v>129</v>
      </c>
      <c r="AP13" s="4" t="s">
        <v>129</v>
      </c>
      <c r="AQ13" s="4" t="s">
        <v>129</v>
      </c>
      <c r="AS13" s="8" t="s">
        <v>22</v>
      </c>
      <c r="AT13" s="4" t="s">
        <v>130</v>
      </c>
      <c r="AU13" s="4" t="s">
        <v>130</v>
      </c>
      <c r="AV13" s="4" t="s">
        <v>130</v>
      </c>
      <c r="AW13" s="4" t="s">
        <v>130</v>
      </c>
      <c r="AX13" s="4" t="s">
        <v>130</v>
      </c>
      <c r="AY13" s="4" t="s">
        <v>130</v>
      </c>
      <c r="AZ13" s="4" t="s">
        <v>130</v>
      </c>
      <c r="BA13" s="4" t="s">
        <v>130</v>
      </c>
      <c r="BB13" s="4" t="s">
        <v>130</v>
      </c>
    </row>
    <row r="14" spans="1:54" x14ac:dyDescent="0.3">
      <c r="A14" s="8" t="s">
        <v>23</v>
      </c>
      <c r="B14" s="4" t="s">
        <v>38</v>
      </c>
      <c r="C14" s="4">
        <v>160</v>
      </c>
      <c r="D14" s="4">
        <v>65</v>
      </c>
      <c r="E14" s="4">
        <v>55</v>
      </c>
      <c r="F14" s="4">
        <v>65</v>
      </c>
      <c r="G14" s="4">
        <v>55</v>
      </c>
      <c r="H14" s="4">
        <v>65</v>
      </c>
      <c r="I14" s="4">
        <v>50</v>
      </c>
      <c r="J14" s="4">
        <v>40</v>
      </c>
      <c r="L14" s="8" t="s">
        <v>23</v>
      </c>
      <c r="M14" s="4" t="s">
        <v>38</v>
      </c>
      <c r="N14" s="4">
        <v>160</v>
      </c>
      <c r="O14" s="4">
        <v>65</v>
      </c>
      <c r="P14" s="4">
        <v>55</v>
      </c>
      <c r="Q14" s="4">
        <v>65</v>
      </c>
      <c r="R14" s="4">
        <v>55</v>
      </c>
      <c r="S14" s="4">
        <v>65</v>
      </c>
      <c r="T14" s="4">
        <v>50</v>
      </c>
      <c r="U14" s="4">
        <v>40</v>
      </c>
      <c r="W14" s="8" t="s">
        <v>23</v>
      </c>
      <c r="X14" s="4" t="s">
        <v>38</v>
      </c>
      <c r="Y14" s="4">
        <v>160</v>
      </c>
      <c r="Z14" s="4">
        <v>65</v>
      </c>
      <c r="AA14" s="4">
        <v>55</v>
      </c>
      <c r="AB14" s="4">
        <v>65</v>
      </c>
      <c r="AC14" s="4">
        <v>55</v>
      </c>
      <c r="AD14" s="4">
        <v>65</v>
      </c>
      <c r="AE14" s="4">
        <v>50</v>
      </c>
      <c r="AF14" s="4">
        <v>40</v>
      </c>
      <c r="AH14" s="8" t="s">
        <v>23</v>
      </c>
      <c r="AI14" s="4" t="s">
        <v>129</v>
      </c>
      <c r="AJ14" s="4" t="s">
        <v>129</v>
      </c>
      <c r="AK14" s="4" t="s">
        <v>129</v>
      </c>
      <c r="AL14" s="4" t="s">
        <v>129</v>
      </c>
      <c r="AM14" s="4" t="s">
        <v>129</v>
      </c>
      <c r="AN14" s="4" t="s">
        <v>129</v>
      </c>
      <c r="AO14" s="4" t="s">
        <v>129</v>
      </c>
      <c r="AP14" s="4" t="s">
        <v>129</v>
      </c>
      <c r="AQ14" s="4" t="s">
        <v>129</v>
      </c>
      <c r="AS14" s="8" t="s">
        <v>23</v>
      </c>
      <c r="AT14" s="4" t="s">
        <v>130</v>
      </c>
      <c r="AU14" s="4" t="s">
        <v>130</v>
      </c>
      <c r="AV14" s="4" t="s">
        <v>130</v>
      </c>
      <c r="AW14" s="4" t="s">
        <v>130</v>
      </c>
      <c r="AX14" s="4" t="s">
        <v>130</v>
      </c>
      <c r="AY14" s="4" t="s">
        <v>130</v>
      </c>
      <c r="AZ14" s="4" t="s">
        <v>130</v>
      </c>
      <c r="BA14" s="4" t="s">
        <v>130</v>
      </c>
      <c r="BB14" s="4" t="s">
        <v>130</v>
      </c>
    </row>
    <row r="15" spans="1:54" x14ac:dyDescent="0.3">
      <c r="A15" s="8" t="s">
        <v>24</v>
      </c>
      <c r="B15" s="4" t="s">
        <v>38</v>
      </c>
      <c r="C15" s="4">
        <v>160</v>
      </c>
      <c r="D15" s="4">
        <v>65</v>
      </c>
      <c r="E15" s="4">
        <v>55</v>
      </c>
      <c r="F15" s="4">
        <v>65</v>
      </c>
      <c r="G15" s="4">
        <v>55</v>
      </c>
      <c r="H15" s="4">
        <v>65</v>
      </c>
      <c r="I15" s="4">
        <v>50</v>
      </c>
      <c r="J15" s="4">
        <v>40</v>
      </c>
      <c r="L15" s="8" t="s">
        <v>24</v>
      </c>
      <c r="M15" s="4" t="s">
        <v>38</v>
      </c>
      <c r="N15" s="4">
        <v>180</v>
      </c>
      <c r="O15" s="4">
        <v>85</v>
      </c>
      <c r="P15" s="4">
        <v>75</v>
      </c>
      <c r="Q15" s="4">
        <v>85</v>
      </c>
      <c r="R15" s="4">
        <v>75</v>
      </c>
      <c r="S15" s="4">
        <v>85</v>
      </c>
      <c r="T15" s="4">
        <v>70</v>
      </c>
      <c r="U15" s="4">
        <v>60</v>
      </c>
      <c r="W15" s="8" t="s">
        <v>24</v>
      </c>
      <c r="X15" s="4" t="s">
        <v>38</v>
      </c>
      <c r="Y15" s="4">
        <v>160</v>
      </c>
      <c r="Z15" s="4">
        <v>65</v>
      </c>
      <c r="AA15" s="4">
        <v>55</v>
      </c>
      <c r="AB15" s="4">
        <v>65</v>
      </c>
      <c r="AC15" s="4">
        <v>55</v>
      </c>
      <c r="AD15" s="4">
        <v>65</v>
      </c>
      <c r="AE15" s="4">
        <v>50</v>
      </c>
      <c r="AF15" s="4">
        <v>40</v>
      </c>
      <c r="AH15" s="8" t="s">
        <v>24</v>
      </c>
      <c r="AI15" s="4" t="s">
        <v>129</v>
      </c>
      <c r="AJ15" s="4" t="s">
        <v>129</v>
      </c>
      <c r="AK15" s="4" t="s">
        <v>129</v>
      </c>
      <c r="AL15" s="4" t="s">
        <v>129</v>
      </c>
      <c r="AM15" s="4" t="s">
        <v>129</v>
      </c>
      <c r="AN15" s="4" t="s">
        <v>129</v>
      </c>
      <c r="AO15" s="4" t="s">
        <v>129</v>
      </c>
      <c r="AP15" s="4" t="s">
        <v>129</v>
      </c>
      <c r="AQ15" s="4" t="s">
        <v>129</v>
      </c>
      <c r="AS15" s="8" t="s">
        <v>24</v>
      </c>
      <c r="AT15" s="4" t="s">
        <v>130</v>
      </c>
      <c r="AU15" s="4" t="s">
        <v>130</v>
      </c>
      <c r="AV15" s="4" t="s">
        <v>130</v>
      </c>
      <c r="AW15" s="4" t="s">
        <v>130</v>
      </c>
      <c r="AX15" s="4" t="s">
        <v>130</v>
      </c>
      <c r="AY15" s="4" t="s">
        <v>130</v>
      </c>
      <c r="AZ15" s="4" t="s">
        <v>130</v>
      </c>
      <c r="BA15" s="4" t="s">
        <v>130</v>
      </c>
      <c r="BB15" s="4" t="s">
        <v>130</v>
      </c>
    </row>
    <row r="16" spans="1:54" x14ac:dyDescent="0.3">
      <c r="A16" s="8" t="s">
        <v>25</v>
      </c>
      <c r="B16" s="4" t="s">
        <v>38</v>
      </c>
      <c r="C16" s="4">
        <v>160</v>
      </c>
      <c r="D16" s="4">
        <v>65</v>
      </c>
      <c r="E16" s="4">
        <v>55</v>
      </c>
      <c r="F16" s="4">
        <v>65</v>
      </c>
      <c r="G16" s="4">
        <v>55</v>
      </c>
      <c r="H16" s="4">
        <v>65</v>
      </c>
      <c r="I16" s="4">
        <v>50</v>
      </c>
      <c r="J16" s="4">
        <v>40</v>
      </c>
      <c r="L16" s="8" t="s">
        <v>25</v>
      </c>
      <c r="M16" s="4" t="s">
        <v>38</v>
      </c>
      <c r="N16" s="4">
        <v>160</v>
      </c>
      <c r="O16" s="4">
        <v>65</v>
      </c>
      <c r="P16" s="4">
        <v>55</v>
      </c>
      <c r="Q16" s="4">
        <v>65</v>
      </c>
      <c r="R16" s="4">
        <v>55</v>
      </c>
      <c r="S16" s="4">
        <v>65</v>
      </c>
      <c r="T16" s="4">
        <v>50</v>
      </c>
      <c r="U16" s="4">
        <v>40</v>
      </c>
      <c r="W16" s="8" t="s">
        <v>25</v>
      </c>
      <c r="X16" s="4" t="s">
        <v>38</v>
      </c>
      <c r="Y16" s="4">
        <v>160</v>
      </c>
      <c r="Z16" s="4">
        <v>65</v>
      </c>
      <c r="AA16" s="4">
        <v>55</v>
      </c>
      <c r="AB16" s="4">
        <v>65</v>
      </c>
      <c r="AC16" s="4">
        <v>55</v>
      </c>
      <c r="AD16" s="4">
        <v>65</v>
      </c>
      <c r="AE16" s="4">
        <v>50</v>
      </c>
      <c r="AF16" s="4">
        <v>40</v>
      </c>
      <c r="AH16" s="8" t="s">
        <v>25</v>
      </c>
      <c r="AI16" s="4" t="s">
        <v>129</v>
      </c>
      <c r="AJ16" s="4" t="s">
        <v>129</v>
      </c>
      <c r="AK16" s="4" t="s">
        <v>129</v>
      </c>
      <c r="AL16" s="4" t="s">
        <v>129</v>
      </c>
      <c r="AM16" s="4" t="s">
        <v>129</v>
      </c>
      <c r="AN16" s="4" t="s">
        <v>129</v>
      </c>
      <c r="AO16" s="4" t="s">
        <v>129</v>
      </c>
      <c r="AP16" s="4" t="s">
        <v>129</v>
      </c>
      <c r="AQ16" s="4" t="s">
        <v>129</v>
      </c>
      <c r="AS16" s="8" t="s">
        <v>25</v>
      </c>
      <c r="AT16" s="4" t="s">
        <v>130</v>
      </c>
      <c r="AU16" s="4" t="s">
        <v>130</v>
      </c>
      <c r="AV16" s="4" t="s">
        <v>130</v>
      </c>
      <c r="AW16" s="4" t="s">
        <v>130</v>
      </c>
      <c r="AX16" s="4" t="s">
        <v>130</v>
      </c>
      <c r="AY16" s="4" t="s">
        <v>130</v>
      </c>
      <c r="AZ16" s="4" t="s">
        <v>130</v>
      </c>
      <c r="BA16" s="4" t="s">
        <v>130</v>
      </c>
      <c r="BB16" s="4" t="s">
        <v>130</v>
      </c>
    </row>
    <row r="17" spans="1:54" x14ac:dyDescent="0.3">
      <c r="A17" s="8" t="s">
        <v>151</v>
      </c>
      <c r="B17" s="4" t="s">
        <v>38</v>
      </c>
      <c r="C17" s="4">
        <v>160</v>
      </c>
      <c r="D17" s="4">
        <v>65</v>
      </c>
      <c r="E17" s="4">
        <v>55</v>
      </c>
      <c r="F17" s="4">
        <v>65</v>
      </c>
      <c r="G17" s="4">
        <v>55</v>
      </c>
      <c r="H17" s="4">
        <v>65</v>
      </c>
      <c r="I17" s="4">
        <v>50</v>
      </c>
      <c r="J17" s="4">
        <v>40</v>
      </c>
      <c r="L17" s="8" t="s">
        <v>151</v>
      </c>
      <c r="M17" s="4" t="s">
        <v>38</v>
      </c>
      <c r="N17" s="4">
        <v>180</v>
      </c>
      <c r="O17" s="4">
        <v>85</v>
      </c>
      <c r="P17" s="4">
        <v>75</v>
      </c>
      <c r="Q17" s="4">
        <v>85</v>
      </c>
      <c r="R17" s="4">
        <v>75</v>
      </c>
      <c r="S17" s="4">
        <v>85</v>
      </c>
      <c r="T17" s="4">
        <v>70</v>
      </c>
      <c r="U17" s="4">
        <v>60</v>
      </c>
      <c r="W17" s="8" t="s">
        <v>151</v>
      </c>
      <c r="X17" s="4" t="s">
        <v>38</v>
      </c>
      <c r="Y17" s="4">
        <v>160</v>
      </c>
      <c r="Z17" s="4">
        <v>65</v>
      </c>
      <c r="AA17" s="4">
        <v>55</v>
      </c>
      <c r="AB17" s="4">
        <v>65</v>
      </c>
      <c r="AC17" s="4">
        <v>55</v>
      </c>
      <c r="AD17" s="4">
        <v>65</v>
      </c>
      <c r="AE17" s="4">
        <v>50</v>
      </c>
      <c r="AF17" s="4">
        <v>40</v>
      </c>
      <c r="AH17" s="8" t="s">
        <v>151</v>
      </c>
      <c r="AI17" s="4" t="s">
        <v>129</v>
      </c>
      <c r="AJ17" s="4" t="s">
        <v>129</v>
      </c>
      <c r="AK17" s="4" t="s">
        <v>129</v>
      </c>
      <c r="AL17" s="4" t="s">
        <v>129</v>
      </c>
      <c r="AM17" s="4" t="s">
        <v>129</v>
      </c>
      <c r="AN17" s="4" t="s">
        <v>129</v>
      </c>
      <c r="AO17" s="4" t="s">
        <v>129</v>
      </c>
      <c r="AP17" s="4" t="s">
        <v>129</v>
      </c>
      <c r="AQ17" s="4" t="s">
        <v>129</v>
      </c>
      <c r="AS17" s="8" t="s">
        <v>151</v>
      </c>
      <c r="AT17" s="4">
        <v>60</v>
      </c>
      <c r="AU17" s="4">
        <v>60</v>
      </c>
      <c r="AV17" s="4">
        <v>60</v>
      </c>
      <c r="AW17" s="4">
        <v>60</v>
      </c>
      <c r="AX17" s="4">
        <v>60</v>
      </c>
      <c r="AY17" s="4">
        <v>60</v>
      </c>
      <c r="AZ17" s="4">
        <v>60</v>
      </c>
      <c r="BA17" s="4">
        <v>60</v>
      </c>
      <c r="BB17" s="4">
        <v>60</v>
      </c>
    </row>
    <row r="18" spans="1:54" x14ac:dyDescent="0.3">
      <c r="A18" s="8" t="s">
        <v>152</v>
      </c>
      <c r="B18" s="4" t="s">
        <v>38</v>
      </c>
      <c r="C18" s="4">
        <v>160</v>
      </c>
      <c r="D18" s="4">
        <v>65</v>
      </c>
      <c r="E18" s="4">
        <v>55</v>
      </c>
      <c r="F18" s="4">
        <v>65</v>
      </c>
      <c r="G18" s="4">
        <v>55</v>
      </c>
      <c r="H18" s="4">
        <v>65</v>
      </c>
      <c r="I18" s="4">
        <v>50</v>
      </c>
      <c r="J18" s="4">
        <v>40</v>
      </c>
      <c r="L18" s="8" t="s">
        <v>152</v>
      </c>
      <c r="M18" s="4" t="s">
        <v>38</v>
      </c>
      <c r="N18" s="4">
        <v>180</v>
      </c>
      <c r="O18" s="4">
        <v>85</v>
      </c>
      <c r="P18" s="4">
        <v>55</v>
      </c>
      <c r="Q18" s="4">
        <v>65</v>
      </c>
      <c r="R18" s="4">
        <v>55</v>
      </c>
      <c r="S18" s="4">
        <v>65</v>
      </c>
      <c r="T18" s="4">
        <v>50</v>
      </c>
      <c r="U18" s="4">
        <v>40</v>
      </c>
      <c r="W18" s="8" t="s">
        <v>152</v>
      </c>
      <c r="X18" s="4" t="s">
        <v>38</v>
      </c>
      <c r="Y18" s="4">
        <v>160</v>
      </c>
      <c r="Z18" s="4">
        <v>65</v>
      </c>
      <c r="AA18" s="4">
        <v>55</v>
      </c>
      <c r="AB18" s="4">
        <v>65</v>
      </c>
      <c r="AC18" s="4">
        <v>55</v>
      </c>
      <c r="AD18" s="4">
        <v>65</v>
      </c>
      <c r="AE18" s="4">
        <v>50</v>
      </c>
      <c r="AF18" s="4">
        <v>40</v>
      </c>
      <c r="AH18" s="8" t="s">
        <v>152</v>
      </c>
      <c r="AI18" s="4" t="s">
        <v>129</v>
      </c>
      <c r="AJ18" s="4" t="s">
        <v>129</v>
      </c>
      <c r="AK18" s="4" t="s">
        <v>129</v>
      </c>
      <c r="AL18" s="4" t="s">
        <v>129</v>
      </c>
      <c r="AM18" s="4" t="s">
        <v>129</v>
      </c>
      <c r="AN18" s="4" t="s">
        <v>129</v>
      </c>
      <c r="AO18" s="4" t="s">
        <v>129</v>
      </c>
      <c r="AP18" s="4" t="s">
        <v>129</v>
      </c>
      <c r="AQ18" s="4" t="s">
        <v>129</v>
      </c>
      <c r="AS18" s="8" t="s">
        <v>152</v>
      </c>
      <c r="AT18" s="4" t="s">
        <v>130</v>
      </c>
      <c r="AU18" s="4" t="s">
        <v>130</v>
      </c>
      <c r="AV18" s="4" t="s">
        <v>130</v>
      </c>
      <c r="AW18" s="4" t="s">
        <v>130</v>
      </c>
      <c r="AX18" s="4" t="s">
        <v>130</v>
      </c>
      <c r="AY18" s="4" t="s">
        <v>130</v>
      </c>
      <c r="AZ18" s="4" t="s">
        <v>130</v>
      </c>
      <c r="BA18" s="4" t="s">
        <v>130</v>
      </c>
      <c r="BB18" s="4" t="s">
        <v>130</v>
      </c>
    </row>
    <row r="19" spans="1:54" x14ac:dyDescent="0.3">
      <c r="A19" s="8" t="s">
        <v>39</v>
      </c>
      <c r="B19" s="4" t="s">
        <v>38</v>
      </c>
      <c r="C19" s="4">
        <v>160</v>
      </c>
      <c r="D19" s="4">
        <v>65</v>
      </c>
      <c r="E19" s="4">
        <v>55</v>
      </c>
      <c r="F19" s="4">
        <v>65</v>
      </c>
      <c r="G19" s="4">
        <v>55</v>
      </c>
      <c r="H19" s="4">
        <v>65</v>
      </c>
      <c r="I19" s="4">
        <v>50</v>
      </c>
      <c r="J19" s="4">
        <v>40</v>
      </c>
      <c r="L19" s="8" t="s">
        <v>39</v>
      </c>
      <c r="M19" s="4" t="s">
        <v>38</v>
      </c>
      <c r="N19" s="4">
        <v>180</v>
      </c>
      <c r="O19" s="4">
        <v>85</v>
      </c>
      <c r="P19" s="4">
        <v>55</v>
      </c>
      <c r="Q19" s="4">
        <v>65</v>
      </c>
      <c r="R19" s="4">
        <v>55</v>
      </c>
      <c r="S19" s="4">
        <v>65</v>
      </c>
      <c r="T19" s="4">
        <v>50</v>
      </c>
      <c r="U19" s="4">
        <v>40</v>
      </c>
      <c r="W19" s="8" t="s">
        <v>39</v>
      </c>
      <c r="X19" s="4" t="s">
        <v>38</v>
      </c>
      <c r="Y19" s="4">
        <v>160</v>
      </c>
      <c r="Z19" s="4">
        <v>65</v>
      </c>
      <c r="AA19" s="4">
        <v>55</v>
      </c>
      <c r="AB19" s="4">
        <v>65</v>
      </c>
      <c r="AC19" s="4">
        <v>55</v>
      </c>
      <c r="AD19" s="4">
        <v>65</v>
      </c>
      <c r="AE19" s="4">
        <v>50</v>
      </c>
      <c r="AF19" s="4">
        <v>40</v>
      </c>
      <c r="AH19" s="8" t="s">
        <v>39</v>
      </c>
      <c r="AI19" s="4" t="s">
        <v>129</v>
      </c>
      <c r="AJ19" s="4" t="s">
        <v>129</v>
      </c>
      <c r="AK19" s="4" t="s">
        <v>129</v>
      </c>
      <c r="AL19" s="4" t="s">
        <v>129</v>
      </c>
      <c r="AM19" s="4" t="s">
        <v>129</v>
      </c>
      <c r="AN19" s="4" t="s">
        <v>129</v>
      </c>
      <c r="AO19" s="4" t="s">
        <v>129</v>
      </c>
      <c r="AP19" s="4" t="s">
        <v>129</v>
      </c>
      <c r="AQ19" s="4" t="s">
        <v>129</v>
      </c>
      <c r="AS19" s="8" t="s">
        <v>39</v>
      </c>
      <c r="AT19" s="4" t="s">
        <v>130</v>
      </c>
      <c r="AU19" s="4" t="s">
        <v>130</v>
      </c>
      <c r="AV19" s="4" t="s">
        <v>130</v>
      </c>
      <c r="AW19" s="4" t="s">
        <v>130</v>
      </c>
      <c r="AX19" s="4" t="s">
        <v>130</v>
      </c>
      <c r="AY19" s="4" t="s">
        <v>130</v>
      </c>
      <c r="AZ19" s="4" t="s">
        <v>130</v>
      </c>
      <c r="BA19" s="4" t="s">
        <v>130</v>
      </c>
      <c r="BB19" s="4" t="s">
        <v>130</v>
      </c>
    </row>
    <row r="20" spans="1:54" x14ac:dyDescent="0.3">
      <c r="A20" s="8" t="s">
        <v>26</v>
      </c>
      <c r="B20" s="4" t="s">
        <v>38</v>
      </c>
      <c r="C20" s="4">
        <v>160</v>
      </c>
      <c r="D20" s="4">
        <v>65</v>
      </c>
      <c r="E20" s="4">
        <v>55</v>
      </c>
      <c r="F20" s="4">
        <v>65</v>
      </c>
      <c r="G20" s="4">
        <v>55</v>
      </c>
      <c r="H20" s="4">
        <v>65</v>
      </c>
      <c r="I20" s="4">
        <v>50</v>
      </c>
      <c r="J20" s="4">
        <v>40</v>
      </c>
      <c r="L20" s="8" t="s">
        <v>26</v>
      </c>
      <c r="M20" s="4" t="s">
        <v>38</v>
      </c>
      <c r="N20" s="4">
        <v>180</v>
      </c>
      <c r="O20" s="4">
        <v>85</v>
      </c>
      <c r="P20" s="4">
        <v>75</v>
      </c>
      <c r="Q20" s="4">
        <v>85</v>
      </c>
      <c r="R20" s="4">
        <v>75</v>
      </c>
      <c r="S20" s="4">
        <v>85</v>
      </c>
      <c r="T20" s="4">
        <v>70</v>
      </c>
      <c r="U20" s="4">
        <v>60</v>
      </c>
      <c r="W20" s="8" t="s">
        <v>26</v>
      </c>
      <c r="X20" s="4" t="s">
        <v>38</v>
      </c>
      <c r="Y20" s="4">
        <v>160</v>
      </c>
      <c r="Z20" s="4">
        <v>65</v>
      </c>
      <c r="AA20" s="4">
        <v>55</v>
      </c>
      <c r="AB20" s="4">
        <v>65</v>
      </c>
      <c r="AC20" s="4">
        <v>55</v>
      </c>
      <c r="AD20" s="4">
        <v>65</v>
      </c>
      <c r="AE20" s="4">
        <v>50</v>
      </c>
      <c r="AF20" s="4">
        <v>40</v>
      </c>
      <c r="AH20" s="8" t="s">
        <v>26</v>
      </c>
      <c r="AI20" s="4" t="s">
        <v>129</v>
      </c>
      <c r="AJ20" s="4" t="s">
        <v>129</v>
      </c>
      <c r="AK20" s="4" t="s">
        <v>129</v>
      </c>
      <c r="AL20" s="4" t="s">
        <v>129</v>
      </c>
      <c r="AM20" s="4" t="s">
        <v>129</v>
      </c>
      <c r="AN20" s="4" t="s">
        <v>129</v>
      </c>
      <c r="AO20" s="4" t="s">
        <v>129</v>
      </c>
      <c r="AP20" s="4" t="s">
        <v>129</v>
      </c>
      <c r="AQ20" s="4" t="s">
        <v>129</v>
      </c>
      <c r="AS20" s="8" t="s">
        <v>26</v>
      </c>
      <c r="AT20" s="4" t="s">
        <v>130</v>
      </c>
      <c r="AU20" s="4" t="s">
        <v>130</v>
      </c>
      <c r="AV20" s="4" t="s">
        <v>130</v>
      </c>
      <c r="AW20" s="4" t="s">
        <v>130</v>
      </c>
      <c r="AX20" s="4" t="s">
        <v>130</v>
      </c>
      <c r="AY20" s="4" t="s">
        <v>130</v>
      </c>
      <c r="AZ20" s="4" t="s">
        <v>130</v>
      </c>
      <c r="BA20" s="4" t="s">
        <v>130</v>
      </c>
      <c r="BB20" s="4" t="s">
        <v>130</v>
      </c>
    </row>
    <row r="21" spans="1:54" x14ac:dyDescent="0.3">
      <c r="A21" s="8" t="s">
        <v>27</v>
      </c>
      <c r="B21" s="4" t="s">
        <v>38</v>
      </c>
      <c r="C21" s="4">
        <v>160</v>
      </c>
      <c r="D21" s="4">
        <v>65</v>
      </c>
      <c r="E21" s="4">
        <v>55</v>
      </c>
      <c r="F21" s="4">
        <v>65</v>
      </c>
      <c r="G21" s="4">
        <v>55</v>
      </c>
      <c r="H21" s="4">
        <v>65</v>
      </c>
      <c r="I21" s="4">
        <v>50</v>
      </c>
      <c r="J21" s="4">
        <v>40</v>
      </c>
      <c r="L21" s="8" t="s">
        <v>27</v>
      </c>
      <c r="M21" s="4" t="s">
        <v>38</v>
      </c>
      <c r="N21" s="4">
        <v>180</v>
      </c>
      <c r="O21" s="4">
        <v>85</v>
      </c>
      <c r="P21" s="4">
        <v>75</v>
      </c>
      <c r="Q21" s="4">
        <v>85</v>
      </c>
      <c r="R21" s="4">
        <v>75</v>
      </c>
      <c r="S21" s="4">
        <v>85</v>
      </c>
      <c r="T21" s="4">
        <v>70</v>
      </c>
      <c r="U21" s="4">
        <v>60</v>
      </c>
      <c r="W21" s="8" t="s">
        <v>27</v>
      </c>
      <c r="X21" s="4" t="s">
        <v>38</v>
      </c>
      <c r="Y21" s="4">
        <v>160</v>
      </c>
      <c r="Z21" s="4">
        <v>65</v>
      </c>
      <c r="AA21" s="4">
        <v>55</v>
      </c>
      <c r="AB21" s="4">
        <v>65</v>
      </c>
      <c r="AC21" s="4">
        <v>55</v>
      </c>
      <c r="AD21" s="4">
        <v>65</v>
      </c>
      <c r="AE21" s="4">
        <v>50</v>
      </c>
      <c r="AF21" s="4">
        <v>50</v>
      </c>
      <c r="AH21" s="8" t="s">
        <v>27</v>
      </c>
      <c r="AI21" s="4" t="s">
        <v>129</v>
      </c>
      <c r="AJ21" s="4" t="s">
        <v>129</v>
      </c>
      <c r="AK21" s="4" t="s">
        <v>129</v>
      </c>
      <c r="AL21" s="4" t="s">
        <v>129</v>
      </c>
      <c r="AM21" s="4" t="s">
        <v>129</v>
      </c>
      <c r="AN21" s="4" t="s">
        <v>129</v>
      </c>
      <c r="AO21" s="4" t="s">
        <v>129</v>
      </c>
      <c r="AP21" s="4" t="s">
        <v>129</v>
      </c>
      <c r="AQ21" s="4" t="s">
        <v>129</v>
      </c>
      <c r="AS21" s="8" t="s">
        <v>27</v>
      </c>
      <c r="AT21" s="4" t="s">
        <v>130</v>
      </c>
      <c r="AU21" s="4" t="s">
        <v>130</v>
      </c>
      <c r="AV21" s="4" t="s">
        <v>130</v>
      </c>
      <c r="AW21" s="4" t="s">
        <v>130</v>
      </c>
      <c r="AX21" s="4" t="s">
        <v>130</v>
      </c>
      <c r="AY21" s="4" t="s">
        <v>130</v>
      </c>
      <c r="AZ21" s="4" t="s">
        <v>130</v>
      </c>
      <c r="BA21" s="4" t="s">
        <v>130</v>
      </c>
      <c r="BB21" s="4" t="s">
        <v>130</v>
      </c>
    </row>
    <row r="22" spans="1:54" x14ac:dyDescent="0.3">
      <c r="A22" s="8" t="s">
        <v>28</v>
      </c>
      <c r="B22" s="4" t="s">
        <v>38</v>
      </c>
      <c r="C22" s="4">
        <v>160</v>
      </c>
      <c r="D22" s="4">
        <v>65</v>
      </c>
      <c r="E22" s="4">
        <v>55</v>
      </c>
      <c r="F22" s="4">
        <v>65</v>
      </c>
      <c r="G22" s="4">
        <v>55</v>
      </c>
      <c r="H22" s="4">
        <v>65</v>
      </c>
      <c r="I22" s="4">
        <v>50</v>
      </c>
      <c r="J22" s="4">
        <v>40</v>
      </c>
      <c r="L22" s="8" t="s">
        <v>28</v>
      </c>
      <c r="M22" s="4" t="s">
        <v>38</v>
      </c>
      <c r="N22" s="4">
        <v>160</v>
      </c>
      <c r="O22" s="4">
        <v>65</v>
      </c>
      <c r="P22" s="4">
        <v>55</v>
      </c>
      <c r="Q22" s="4">
        <v>65</v>
      </c>
      <c r="R22" s="4">
        <v>55</v>
      </c>
      <c r="S22" s="4">
        <v>65</v>
      </c>
      <c r="T22" s="4">
        <v>50</v>
      </c>
      <c r="U22" s="4">
        <v>40</v>
      </c>
      <c r="W22" s="8" t="s">
        <v>28</v>
      </c>
      <c r="X22" s="4" t="s">
        <v>38</v>
      </c>
      <c r="Y22" s="4">
        <v>160</v>
      </c>
      <c r="Z22" s="4">
        <v>65</v>
      </c>
      <c r="AA22" s="4">
        <v>55</v>
      </c>
      <c r="AB22" s="4">
        <v>65</v>
      </c>
      <c r="AC22" s="4">
        <v>55</v>
      </c>
      <c r="AD22" s="4">
        <v>65</v>
      </c>
      <c r="AE22" s="4">
        <v>50</v>
      </c>
      <c r="AF22" s="4">
        <v>40</v>
      </c>
      <c r="AH22" s="8" t="s">
        <v>28</v>
      </c>
      <c r="AI22" s="4" t="s">
        <v>129</v>
      </c>
      <c r="AJ22" s="4" t="s">
        <v>129</v>
      </c>
      <c r="AK22" s="4" t="s">
        <v>129</v>
      </c>
      <c r="AL22" s="4" t="s">
        <v>129</v>
      </c>
      <c r="AM22" s="4" t="s">
        <v>129</v>
      </c>
      <c r="AN22" s="4" t="s">
        <v>129</v>
      </c>
      <c r="AO22" s="4" t="s">
        <v>129</v>
      </c>
      <c r="AP22" s="4" t="s">
        <v>129</v>
      </c>
      <c r="AQ22" s="4" t="s">
        <v>129</v>
      </c>
      <c r="AS22" s="8" t="s">
        <v>28</v>
      </c>
      <c r="AT22" s="4" t="s">
        <v>130</v>
      </c>
      <c r="AU22" s="4" t="s">
        <v>130</v>
      </c>
      <c r="AV22" s="4" t="s">
        <v>130</v>
      </c>
      <c r="AW22" s="4" t="s">
        <v>130</v>
      </c>
      <c r="AX22" s="4" t="s">
        <v>130</v>
      </c>
      <c r="AY22" s="4" t="s">
        <v>130</v>
      </c>
      <c r="AZ22" s="4" t="s">
        <v>130</v>
      </c>
      <c r="BA22" s="4" t="s">
        <v>130</v>
      </c>
      <c r="BB22" s="4" t="s">
        <v>130</v>
      </c>
    </row>
    <row r="23" spans="1:54" x14ac:dyDescent="0.3">
      <c r="A23" s="8" t="s">
        <v>30</v>
      </c>
      <c r="B23" s="4" t="s">
        <v>38</v>
      </c>
      <c r="C23" s="4">
        <v>160</v>
      </c>
      <c r="D23" s="4">
        <v>65</v>
      </c>
      <c r="E23" s="4">
        <v>55</v>
      </c>
      <c r="F23" s="4">
        <v>65</v>
      </c>
      <c r="G23" s="4">
        <v>55</v>
      </c>
      <c r="H23" s="4">
        <v>65</v>
      </c>
      <c r="I23" s="4">
        <v>50</v>
      </c>
      <c r="J23" s="4">
        <v>40</v>
      </c>
      <c r="L23" s="8" t="s">
        <v>30</v>
      </c>
      <c r="M23" s="4" t="s">
        <v>38</v>
      </c>
      <c r="N23" s="4">
        <v>180</v>
      </c>
      <c r="O23" s="4">
        <v>85</v>
      </c>
      <c r="P23" s="4">
        <v>75</v>
      </c>
      <c r="Q23" s="4">
        <v>85</v>
      </c>
      <c r="R23" s="4">
        <v>75</v>
      </c>
      <c r="S23" s="4">
        <v>85</v>
      </c>
      <c r="T23" s="4">
        <v>70</v>
      </c>
      <c r="U23" s="4">
        <v>60</v>
      </c>
      <c r="W23" s="8" t="s">
        <v>30</v>
      </c>
      <c r="X23" s="9" t="s">
        <v>90</v>
      </c>
      <c r="Y23" s="9" t="s">
        <v>90</v>
      </c>
      <c r="Z23" s="9" t="s">
        <v>90</v>
      </c>
      <c r="AA23" s="9" t="s">
        <v>90</v>
      </c>
      <c r="AB23" s="9" t="s">
        <v>90</v>
      </c>
      <c r="AC23" s="9" t="s">
        <v>90</v>
      </c>
      <c r="AD23" s="9" t="s">
        <v>90</v>
      </c>
      <c r="AE23" s="9" t="s">
        <v>90</v>
      </c>
      <c r="AF23" s="9" t="s">
        <v>90</v>
      </c>
      <c r="AH23" s="8" t="s">
        <v>30</v>
      </c>
      <c r="AI23" s="4" t="s">
        <v>129</v>
      </c>
      <c r="AJ23" s="4" t="s">
        <v>129</v>
      </c>
      <c r="AK23" s="4" t="s">
        <v>129</v>
      </c>
      <c r="AL23" s="4" t="s">
        <v>129</v>
      </c>
      <c r="AM23" s="4" t="s">
        <v>129</v>
      </c>
      <c r="AN23" s="4" t="s">
        <v>129</v>
      </c>
      <c r="AO23" s="4" t="s">
        <v>129</v>
      </c>
      <c r="AP23" s="4" t="s">
        <v>129</v>
      </c>
      <c r="AQ23" s="4" t="s">
        <v>129</v>
      </c>
      <c r="AS23" s="8" t="s">
        <v>30</v>
      </c>
      <c r="AT23" s="4" t="s">
        <v>130</v>
      </c>
      <c r="AU23" s="4" t="s">
        <v>130</v>
      </c>
      <c r="AV23" s="4" t="s">
        <v>130</v>
      </c>
      <c r="AW23" s="4" t="s">
        <v>130</v>
      </c>
      <c r="AX23" s="4" t="s">
        <v>130</v>
      </c>
      <c r="AY23" s="4" t="s">
        <v>130</v>
      </c>
      <c r="AZ23" s="4" t="s">
        <v>130</v>
      </c>
      <c r="BA23" s="4" t="s">
        <v>130</v>
      </c>
      <c r="BB23" s="4" t="s">
        <v>130</v>
      </c>
    </row>
    <row r="24" spans="1:54" x14ac:dyDescent="0.3">
      <c r="A24" s="8" t="s">
        <v>50</v>
      </c>
      <c r="B24" s="4" t="s">
        <v>38</v>
      </c>
      <c r="C24" s="4">
        <v>160</v>
      </c>
      <c r="D24" s="4">
        <v>65</v>
      </c>
      <c r="E24" s="4">
        <v>55</v>
      </c>
      <c r="F24" s="4">
        <v>65</v>
      </c>
      <c r="G24" s="4">
        <v>55</v>
      </c>
      <c r="H24" s="4">
        <v>65</v>
      </c>
      <c r="I24" s="4">
        <v>50</v>
      </c>
      <c r="J24" s="4">
        <v>40</v>
      </c>
      <c r="L24" s="8" t="s">
        <v>50</v>
      </c>
      <c r="M24" s="4" t="s">
        <v>38</v>
      </c>
      <c r="N24" s="4">
        <v>180</v>
      </c>
      <c r="O24" s="4">
        <v>85</v>
      </c>
      <c r="P24" s="4">
        <v>75</v>
      </c>
      <c r="Q24" s="4">
        <v>85</v>
      </c>
      <c r="R24" s="4">
        <v>75</v>
      </c>
      <c r="S24" s="4">
        <v>85</v>
      </c>
      <c r="T24" s="4">
        <v>70</v>
      </c>
      <c r="U24" s="4">
        <v>60</v>
      </c>
      <c r="W24" s="8" t="s">
        <v>50</v>
      </c>
      <c r="X24" s="4" t="s">
        <v>38</v>
      </c>
      <c r="Y24" s="4">
        <v>160</v>
      </c>
      <c r="Z24" s="4">
        <v>65</v>
      </c>
      <c r="AA24" s="4">
        <v>55</v>
      </c>
      <c r="AB24" s="4">
        <v>65</v>
      </c>
      <c r="AC24" s="4">
        <v>55</v>
      </c>
      <c r="AD24" s="4">
        <v>65</v>
      </c>
      <c r="AE24" s="4">
        <v>50</v>
      </c>
      <c r="AF24" s="4">
        <v>40</v>
      </c>
      <c r="AH24" s="8" t="s">
        <v>50</v>
      </c>
      <c r="AI24" s="4" t="s">
        <v>129</v>
      </c>
      <c r="AJ24" s="4" t="s">
        <v>129</v>
      </c>
      <c r="AK24" s="4" t="s">
        <v>129</v>
      </c>
      <c r="AL24" s="4" t="s">
        <v>129</v>
      </c>
      <c r="AM24" s="4" t="s">
        <v>129</v>
      </c>
      <c r="AN24" s="4" t="s">
        <v>129</v>
      </c>
      <c r="AO24" s="4" t="s">
        <v>129</v>
      </c>
      <c r="AP24" s="4" t="s">
        <v>129</v>
      </c>
      <c r="AQ24" s="4" t="s">
        <v>129</v>
      </c>
      <c r="AS24" s="8" t="s">
        <v>50</v>
      </c>
      <c r="AT24" s="4">
        <v>60</v>
      </c>
      <c r="AU24" s="4">
        <v>60</v>
      </c>
      <c r="AV24" s="4">
        <v>60</v>
      </c>
      <c r="AW24" s="4">
        <v>55</v>
      </c>
      <c r="AX24" s="4">
        <v>60</v>
      </c>
      <c r="AY24" s="4">
        <v>55</v>
      </c>
      <c r="AZ24" s="4">
        <v>60</v>
      </c>
      <c r="BA24" s="4">
        <v>50</v>
      </c>
      <c r="BB24" s="4">
        <v>40</v>
      </c>
    </row>
    <row r="25" spans="1:54" x14ac:dyDescent="0.3">
      <c r="A25" s="8" t="s">
        <v>54</v>
      </c>
      <c r="B25" s="4" t="s">
        <v>38</v>
      </c>
      <c r="C25" s="4">
        <v>160</v>
      </c>
      <c r="D25" s="4">
        <v>65</v>
      </c>
      <c r="E25" s="4">
        <v>55</v>
      </c>
      <c r="F25" s="4">
        <v>65</v>
      </c>
      <c r="G25" s="4">
        <v>55</v>
      </c>
      <c r="H25" s="4">
        <v>65</v>
      </c>
      <c r="I25" s="4">
        <v>50</v>
      </c>
      <c r="J25" s="4">
        <v>40</v>
      </c>
      <c r="L25" s="8" t="s">
        <v>54</v>
      </c>
      <c r="M25" s="4" t="s">
        <v>38</v>
      </c>
      <c r="N25" s="4">
        <v>180</v>
      </c>
      <c r="O25" s="4">
        <v>85</v>
      </c>
      <c r="P25" s="4">
        <v>75</v>
      </c>
      <c r="Q25" s="4">
        <v>85</v>
      </c>
      <c r="R25" s="4">
        <v>75</v>
      </c>
      <c r="S25" s="4">
        <v>85</v>
      </c>
      <c r="T25" s="4">
        <v>70</v>
      </c>
      <c r="U25" s="4">
        <v>60</v>
      </c>
      <c r="W25" s="8" t="s">
        <v>54</v>
      </c>
      <c r="X25" s="4" t="s">
        <v>38</v>
      </c>
      <c r="Y25" s="4">
        <v>160</v>
      </c>
      <c r="Z25" s="4">
        <v>65</v>
      </c>
      <c r="AA25" s="4">
        <v>55</v>
      </c>
      <c r="AB25" s="4">
        <v>65</v>
      </c>
      <c r="AC25" s="4">
        <v>55</v>
      </c>
      <c r="AD25" s="4">
        <v>65</v>
      </c>
      <c r="AE25" s="4">
        <v>60</v>
      </c>
      <c r="AF25" s="4">
        <v>40</v>
      </c>
      <c r="AH25" s="8" t="s">
        <v>54</v>
      </c>
      <c r="AI25" s="4" t="s">
        <v>129</v>
      </c>
      <c r="AJ25" s="4" t="s">
        <v>129</v>
      </c>
      <c r="AK25" s="4" t="s">
        <v>129</v>
      </c>
      <c r="AL25" s="4" t="s">
        <v>129</v>
      </c>
      <c r="AM25" s="4" t="s">
        <v>129</v>
      </c>
      <c r="AN25" s="4" t="s">
        <v>129</v>
      </c>
      <c r="AO25" s="4" t="s">
        <v>129</v>
      </c>
      <c r="AP25" s="4" t="s">
        <v>129</v>
      </c>
      <c r="AQ25" s="4" t="s">
        <v>129</v>
      </c>
      <c r="AS25" s="8" t="s">
        <v>54</v>
      </c>
      <c r="AT25" s="4">
        <v>60</v>
      </c>
      <c r="AU25" s="4">
        <v>60</v>
      </c>
      <c r="AV25" s="4">
        <v>60</v>
      </c>
      <c r="AW25" s="4">
        <v>55</v>
      </c>
      <c r="AX25" s="4">
        <v>60</v>
      </c>
      <c r="AY25" s="4">
        <v>55</v>
      </c>
      <c r="AZ25" s="4">
        <v>60</v>
      </c>
      <c r="BA25" s="4">
        <v>50</v>
      </c>
      <c r="BB25" s="4">
        <v>40</v>
      </c>
    </row>
    <row r="26" spans="1:54" x14ac:dyDescent="0.3">
      <c r="A26" s="8" t="s">
        <v>55</v>
      </c>
      <c r="B26" s="4" t="s">
        <v>38</v>
      </c>
      <c r="C26" s="4">
        <v>160</v>
      </c>
      <c r="D26" s="4">
        <v>65</v>
      </c>
      <c r="E26" s="4">
        <v>55</v>
      </c>
      <c r="F26" s="4">
        <v>65</v>
      </c>
      <c r="G26" s="4">
        <v>55</v>
      </c>
      <c r="H26" s="4">
        <v>65</v>
      </c>
      <c r="I26" s="4">
        <v>50</v>
      </c>
      <c r="J26" s="4">
        <v>40</v>
      </c>
      <c r="L26" s="8" t="s">
        <v>55</v>
      </c>
      <c r="M26" s="4" t="s">
        <v>38</v>
      </c>
      <c r="N26" s="4">
        <v>180</v>
      </c>
      <c r="O26" s="4">
        <v>85</v>
      </c>
      <c r="P26" s="4">
        <v>75</v>
      </c>
      <c r="Q26" s="4">
        <v>85</v>
      </c>
      <c r="R26" s="4">
        <v>75</v>
      </c>
      <c r="S26" s="4">
        <v>85</v>
      </c>
      <c r="T26" s="4">
        <v>70</v>
      </c>
      <c r="U26" s="4">
        <v>60</v>
      </c>
      <c r="W26" s="8" t="s">
        <v>55</v>
      </c>
      <c r="X26" s="9" t="s">
        <v>90</v>
      </c>
      <c r="Y26" s="9" t="s">
        <v>90</v>
      </c>
      <c r="Z26" s="9" t="s">
        <v>90</v>
      </c>
      <c r="AA26" s="9" t="s">
        <v>90</v>
      </c>
      <c r="AB26" s="9" t="s">
        <v>90</v>
      </c>
      <c r="AC26" s="9" t="s">
        <v>90</v>
      </c>
      <c r="AD26" s="9" t="s">
        <v>90</v>
      </c>
      <c r="AE26" s="9" t="s">
        <v>90</v>
      </c>
      <c r="AF26" s="9" t="s">
        <v>90</v>
      </c>
      <c r="AH26" s="8" t="s">
        <v>55</v>
      </c>
      <c r="AI26" s="4">
        <v>60</v>
      </c>
      <c r="AJ26" s="4">
        <v>60</v>
      </c>
      <c r="AK26" s="4">
        <v>60</v>
      </c>
      <c r="AL26" s="4">
        <v>60</v>
      </c>
      <c r="AM26" s="4">
        <v>60</v>
      </c>
      <c r="AN26" s="4">
        <v>60</v>
      </c>
      <c r="AO26" s="4">
        <v>60</v>
      </c>
      <c r="AP26" s="4">
        <v>50</v>
      </c>
      <c r="AQ26" s="4">
        <v>40</v>
      </c>
      <c r="AS26" s="8" t="s">
        <v>55</v>
      </c>
      <c r="AT26" s="4">
        <v>60</v>
      </c>
      <c r="AU26" s="4">
        <v>60</v>
      </c>
      <c r="AV26" s="4">
        <v>60</v>
      </c>
      <c r="AW26" s="4">
        <v>60</v>
      </c>
      <c r="AX26" s="4">
        <v>60</v>
      </c>
      <c r="AY26" s="4">
        <v>60</v>
      </c>
      <c r="AZ26" s="4">
        <v>60</v>
      </c>
      <c r="BA26" s="4">
        <v>60</v>
      </c>
      <c r="BB26" s="4">
        <v>60</v>
      </c>
    </row>
    <row r="27" spans="1:54" x14ac:dyDescent="0.3">
      <c r="A27" s="8" t="s">
        <v>137</v>
      </c>
      <c r="B27" s="4" t="s">
        <v>167</v>
      </c>
      <c r="C27" s="4" t="s">
        <v>167</v>
      </c>
      <c r="D27" s="4" t="s">
        <v>167</v>
      </c>
      <c r="E27" s="4" t="s">
        <v>167</v>
      </c>
      <c r="F27" s="4" t="s">
        <v>167</v>
      </c>
      <c r="G27" s="4" t="s">
        <v>167</v>
      </c>
      <c r="H27" s="4" t="s">
        <v>167</v>
      </c>
      <c r="I27" s="4" t="s">
        <v>167</v>
      </c>
      <c r="J27" s="4" t="s">
        <v>167</v>
      </c>
      <c r="L27" s="8" t="s">
        <v>137</v>
      </c>
      <c r="M27" s="4" t="s">
        <v>38</v>
      </c>
      <c r="N27" s="4">
        <v>180</v>
      </c>
      <c r="O27" s="4">
        <v>85</v>
      </c>
      <c r="P27" s="4">
        <v>75</v>
      </c>
      <c r="Q27" s="4">
        <v>85</v>
      </c>
      <c r="R27" s="4">
        <v>75</v>
      </c>
      <c r="S27" s="4">
        <v>85</v>
      </c>
      <c r="T27" s="4">
        <v>70</v>
      </c>
      <c r="U27" s="4">
        <v>60</v>
      </c>
      <c r="W27" s="8" t="s">
        <v>137</v>
      </c>
      <c r="X27" s="4" t="s">
        <v>38</v>
      </c>
      <c r="Y27" s="4">
        <v>160</v>
      </c>
      <c r="Z27" s="4">
        <v>65</v>
      </c>
      <c r="AA27" s="4">
        <v>55</v>
      </c>
      <c r="AB27" s="4">
        <v>65</v>
      </c>
      <c r="AC27" s="4">
        <v>55</v>
      </c>
      <c r="AD27" s="4">
        <v>65</v>
      </c>
      <c r="AE27" s="4">
        <v>60</v>
      </c>
      <c r="AF27" s="4">
        <v>40</v>
      </c>
      <c r="AH27" s="8" t="s">
        <v>137</v>
      </c>
      <c r="AI27" s="4" t="s">
        <v>129</v>
      </c>
      <c r="AJ27" s="4" t="s">
        <v>129</v>
      </c>
      <c r="AK27" s="4" t="s">
        <v>129</v>
      </c>
      <c r="AL27" s="4" t="s">
        <v>129</v>
      </c>
      <c r="AM27" s="4" t="s">
        <v>129</v>
      </c>
      <c r="AN27" s="4" t="s">
        <v>129</v>
      </c>
      <c r="AO27" s="4" t="s">
        <v>129</v>
      </c>
      <c r="AP27" s="4" t="s">
        <v>129</v>
      </c>
      <c r="AQ27" s="4" t="s">
        <v>129</v>
      </c>
      <c r="AS27" s="8" t="s">
        <v>137</v>
      </c>
      <c r="AT27" s="4" t="s">
        <v>130</v>
      </c>
      <c r="AU27" s="4" t="s">
        <v>130</v>
      </c>
      <c r="AV27" s="4" t="s">
        <v>130</v>
      </c>
      <c r="AW27" s="4" t="s">
        <v>130</v>
      </c>
      <c r="AX27" s="4" t="s">
        <v>130</v>
      </c>
      <c r="AY27" s="4" t="s">
        <v>130</v>
      </c>
      <c r="AZ27" s="4" t="s">
        <v>130</v>
      </c>
      <c r="BA27" s="4" t="s">
        <v>130</v>
      </c>
      <c r="BB27" s="4" t="s">
        <v>130</v>
      </c>
    </row>
    <row r="28" spans="1:54" x14ac:dyDescent="0.3">
      <c r="A28" s="10" t="s">
        <v>56</v>
      </c>
      <c r="B28" s="4" t="s">
        <v>38</v>
      </c>
      <c r="C28" s="4">
        <v>160</v>
      </c>
      <c r="D28" s="4">
        <v>65</v>
      </c>
      <c r="E28" s="4">
        <v>55</v>
      </c>
      <c r="F28" s="4">
        <v>65</v>
      </c>
      <c r="G28" s="4">
        <v>55</v>
      </c>
      <c r="H28" s="4">
        <v>65</v>
      </c>
      <c r="I28" s="4">
        <v>50</v>
      </c>
      <c r="J28" s="4">
        <v>40</v>
      </c>
      <c r="L28" s="10" t="s">
        <v>56</v>
      </c>
      <c r="M28" s="4" t="s">
        <v>38</v>
      </c>
      <c r="N28" s="4">
        <v>160</v>
      </c>
      <c r="O28" s="4">
        <v>65</v>
      </c>
      <c r="P28" s="4">
        <v>55</v>
      </c>
      <c r="Q28" s="4">
        <v>65</v>
      </c>
      <c r="R28" s="4">
        <v>55</v>
      </c>
      <c r="S28" s="4">
        <v>65</v>
      </c>
      <c r="T28" s="4">
        <v>50</v>
      </c>
      <c r="U28" s="4">
        <v>40</v>
      </c>
      <c r="W28" s="10" t="s">
        <v>56</v>
      </c>
      <c r="X28" s="9" t="s">
        <v>90</v>
      </c>
      <c r="Y28" s="9" t="s">
        <v>90</v>
      </c>
      <c r="Z28" s="9" t="s">
        <v>90</v>
      </c>
      <c r="AA28" s="9" t="s">
        <v>90</v>
      </c>
      <c r="AB28" s="9" t="s">
        <v>90</v>
      </c>
      <c r="AC28" s="9" t="s">
        <v>90</v>
      </c>
      <c r="AD28" s="9" t="s">
        <v>90</v>
      </c>
      <c r="AE28" s="9" t="s">
        <v>90</v>
      </c>
      <c r="AF28" s="9" t="s">
        <v>90</v>
      </c>
      <c r="AH28" s="10" t="s">
        <v>56</v>
      </c>
      <c r="AI28" s="4">
        <v>60</v>
      </c>
      <c r="AJ28" s="4">
        <v>60</v>
      </c>
      <c r="AK28" s="4">
        <v>60</v>
      </c>
      <c r="AL28" s="4">
        <v>55</v>
      </c>
      <c r="AM28" s="4">
        <v>60</v>
      </c>
      <c r="AN28" s="4">
        <v>55</v>
      </c>
      <c r="AO28" s="4">
        <v>60</v>
      </c>
      <c r="AP28" s="4">
        <v>50</v>
      </c>
      <c r="AQ28" s="4">
        <v>40</v>
      </c>
      <c r="AS28" s="10" t="s">
        <v>56</v>
      </c>
      <c r="AT28" s="4">
        <v>60</v>
      </c>
      <c r="AU28" s="4">
        <v>60</v>
      </c>
      <c r="AV28" s="4">
        <v>60</v>
      </c>
      <c r="AW28" s="4">
        <v>55</v>
      </c>
      <c r="AX28" s="4">
        <v>60</v>
      </c>
      <c r="AY28" s="4">
        <v>55</v>
      </c>
      <c r="AZ28" s="4">
        <v>60</v>
      </c>
      <c r="BA28" s="4">
        <v>50</v>
      </c>
      <c r="BB28" s="4">
        <v>40</v>
      </c>
    </row>
    <row r="29" spans="1:54" x14ac:dyDescent="0.3">
      <c r="A29" s="8" t="s">
        <v>57</v>
      </c>
      <c r="B29" s="4" t="s">
        <v>38</v>
      </c>
      <c r="C29" s="4">
        <v>160</v>
      </c>
      <c r="D29" s="4">
        <v>65</v>
      </c>
      <c r="E29" s="4">
        <v>55</v>
      </c>
      <c r="F29" s="4">
        <v>65</v>
      </c>
      <c r="G29" s="4">
        <v>55</v>
      </c>
      <c r="H29" s="4">
        <v>65</v>
      </c>
      <c r="I29" s="4">
        <v>50</v>
      </c>
      <c r="J29" s="4">
        <v>40</v>
      </c>
      <c r="L29" s="8" t="s">
        <v>57</v>
      </c>
      <c r="M29" s="4" t="s">
        <v>38</v>
      </c>
      <c r="N29" s="4">
        <v>180</v>
      </c>
      <c r="O29" s="4">
        <v>85</v>
      </c>
      <c r="P29" s="4">
        <v>75</v>
      </c>
      <c r="Q29" s="4">
        <v>85</v>
      </c>
      <c r="R29" s="4">
        <v>75</v>
      </c>
      <c r="S29" s="4">
        <v>85</v>
      </c>
      <c r="T29" s="4">
        <v>70</v>
      </c>
      <c r="U29" s="4">
        <v>60</v>
      </c>
      <c r="W29" s="8" t="s">
        <v>57</v>
      </c>
      <c r="X29" s="9" t="s">
        <v>90</v>
      </c>
      <c r="Y29" s="9" t="s">
        <v>90</v>
      </c>
      <c r="Z29" s="9" t="s">
        <v>90</v>
      </c>
      <c r="AA29" s="9" t="s">
        <v>90</v>
      </c>
      <c r="AB29" s="9" t="s">
        <v>90</v>
      </c>
      <c r="AC29" s="9" t="s">
        <v>90</v>
      </c>
      <c r="AD29" s="9" t="s">
        <v>90</v>
      </c>
      <c r="AE29" s="9" t="s">
        <v>90</v>
      </c>
      <c r="AF29" s="9" t="s">
        <v>90</v>
      </c>
      <c r="AH29" s="8" t="s">
        <v>57</v>
      </c>
      <c r="AI29" s="4">
        <v>60</v>
      </c>
      <c r="AJ29" s="4">
        <v>60</v>
      </c>
      <c r="AK29" s="4">
        <v>60</v>
      </c>
      <c r="AL29" s="4">
        <v>60</v>
      </c>
      <c r="AM29" s="4">
        <v>60</v>
      </c>
      <c r="AN29" s="4">
        <v>60</v>
      </c>
      <c r="AO29" s="4">
        <v>60</v>
      </c>
      <c r="AP29" s="4">
        <v>50</v>
      </c>
      <c r="AQ29" s="4">
        <v>40</v>
      </c>
      <c r="AS29" s="8" t="s">
        <v>57</v>
      </c>
      <c r="AT29" s="4">
        <v>60</v>
      </c>
      <c r="AU29" s="4">
        <v>60</v>
      </c>
      <c r="AV29" s="4">
        <v>60</v>
      </c>
      <c r="AW29" s="4">
        <v>60</v>
      </c>
      <c r="AX29" s="4">
        <v>60</v>
      </c>
      <c r="AY29" s="4">
        <v>60</v>
      </c>
      <c r="AZ29" s="4">
        <v>60</v>
      </c>
      <c r="BA29" s="4">
        <v>60</v>
      </c>
      <c r="BB29" s="4">
        <v>60</v>
      </c>
    </row>
    <row r="30" spans="1:54" x14ac:dyDescent="0.3">
      <c r="A30" s="8" t="s">
        <v>29</v>
      </c>
      <c r="B30" s="4" t="s">
        <v>38</v>
      </c>
      <c r="C30" s="4">
        <v>160</v>
      </c>
      <c r="D30" s="4">
        <v>65</v>
      </c>
      <c r="E30" s="4">
        <v>55</v>
      </c>
      <c r="F30" s="4">
        <v>65</v>
      </c>
      <c r="G30" s="4">
        <v>55</v>
      </c>
      <c r="H30" s="4">
        <v>65</v>
      </c>
      <c r="I30" s="4">
        <v>50</v>
      </c>
      <c r="J30" s="4">
        <v>40</v>
      </c>
      <c r="L30" s="8" t="s">
        <v>29</v>
      </c>
      <c r="M30" s="4" t="s">
        <v>38</v>
      </c>
      <c r="N30" s="4">
        <v>180</v>
      </c>
      <c r="O30" s="4">
        <v>85</v>
      </c>
      <c r="P30" s="4">
        <v>75</v>
      </c>
      <c r="Q30" s="4">
        <v>85</v>
      </c>
      <c r="R30" s="4">
        <v>75</v>
      </c>
      <c r="S30" s="4">
        <v>85</v>
      </c>
      <c r="T30" s="4">
        <v>70</v>
      </c>
      <c r="U30" s="4">
        <v>60</v>
      </c>
      <c r="W30" s="8" t="s">
        <v>29</v>
      </c>
      <c r="X30" s="9" t="s">
        <v>90</v>
      </c>
      <c r="Y30" s="9" t="s">
        <v>90</v>
      </c>
      <c r="Z30" s="9" t="s">
        <v>90</v>
      </c>
      <c r="AA30" s="9" t="s">
        <v>90</v>
      </c>
      <c r="AB30" s="9" t="s">
        <v>90</v>
      </c>
      <c r="AC30" s="9" t="s">
        <v>90</v>
      </c>
      <c r="AD30" s="9" t="s">
        <v>90</v>
      </c>
      <c r="AE30" s="9" t="s">
        <v>90</v>
      </c>
      <c r="AF30" s="9" t="s">
        <v>90</v>
      </c>
      <c r="AH30" s="8" t="s">
        <v>29</v>
      </c>
      <c r="AI30" s="4" t="s">
        <v>129</v>
      </c>
      <c r="AJ30" s="4" t="s">
        <v>129</v>
      </c>
      <c r="AK30" s="4" t="s">
        <v>129</v>
      </c>
      <c r="AL30" s="4" t="s">
        <v>129</v>
      </c>
      <c r="AM30" s="4" t="s">
        <v>129</v>
      </c>
      <c r="AN30" s="4" t="s">
        <v>129</v>
      </c>
      <c r="AO30" s="4" t="s">
        <v>129</v>
      </c>
      <c r="AP30" s="4" t="s">
        <v>129</v>
      </c>
      <c r="AQ30" s="4" t="s">
        <v>129</v>
      </c>
      <c r="AS30" s="8" t="s">
        <v>29</v>
      </c>
      <c r="AT30" s="4" t="s">
        <v>130</v>
      </c>
      <c r="AU30" s="4" t="s">
        <v>130</v>
      </c>
      <c r="AV30" s="4" t="s">
        <v>130</v>
      </c>
      <c r="AW30" s="4" t="s">
        <v>130</v>
      </c>
      <c r="AX30" s="4" t="s">
        <v>130</v>
      </c>
      <c r="AY30" s="4" t="s">
        <v>130</v>
      </c>
      <c r="AZ30" s="4" t="s">
        <v>130</v>
      </c>
      <c r="BA30" s="4" t="s">
        <v>130</v>
      </c>
      <c r="BB30" s="4" t="s">
        <v>130</v>
      </c>
    </row>
    <row r="31" spans="1:54" x14ac:dyDescent="0.3">
      <c r="A31" s="8" t="s">
        <v>36</v>
      </c>
      <c r="B31" s="4" t="s">
        <v>38</v>
      </c>
      <c r="C31" s="4">
        <v>160</v>
      </c>
      <c r="D31" s="4">
        <v>65</v>
      </c>
      <c r="E31" s="4">
        <v>55</v>
      </c>
      <c r="F31" s="4">
        <v>65</v>
      </c>
      <c r="G31" s="4">
        <v>55</v>
      </c>
      <c r="H31" s="4">
        <v>65</v>
      </c>
      <c r="I31" s="4">
        <v>50</v>
      </c>
      <c r="J31" s="4">
        <v>40</v>
      </c>
      <c r="L31" s="8" t="s">
        <v>36</v>
      </c>
      <c r="M31" s="4" t="s">
        <v>38</v>
      </c>
      <c r="N31" s="4">
        <v>180</v>
      </c>
      <c r="O31" s="4">
        <v>85</v>
      </c>
      <c r="P31" s="4">
        <v>75</v>
      </c>
      <c r="Q31" s="4">
        <v>85</v>
      </c>
      <c r="R31" s="4">
        <v>75</v>
      </c>
      <c r="S31" s="4">
        <v>85</v>
      </c>
      <c r="T31" s="4">
        <v>70</v>
      </c>
      <c r="U31" s="4">
        <v>60</v>
      </c>
      <c r="W31" s="8" t="s">
        <v>36</v>
      </c>
      <c r="X31" s="9" t="s">
        <v>90</v>
      </c>
      <c r="Y31" s="9" t="s">
        <v>90</v>
      </c>
      <c r="Z31" s="9" t="s">
        <v>90</v>
      </c>
      <c r="AA31" s="9" t="s">
        <v>90</v>
      </c>
      <c r="AB31" s="9" t="s">
        <v>90</v>
      </c>
      <c r="AC31" s="9" t="s">
        <v>90</v>
      </c>
      <c r="AD31" s="9" t="s">
        <v>90</v>
      </c>
      <c r="AE31" s="9" t="s">
        <v>90</v>
      </c>
      <c r="AF31" s="9" t="s">
        <v>90</v>
      </c>
      <c r="AH31" s="8" t="s">
        <v>36</v>
      </c>
      <c r="AI31" s="4" t="s">
        <v>129</v>
      </c>
      <c r="AJ31" s="4" t="s">
        <v>129</v>
      </c>
      <c r="AK31" s="4" t="s">
        <v>129</v>
      </c>
      <c r="AL31" s="4" t="s">
        <v>129</v>
      </c>
      <c r="AM31" s="4" t="s">
        <v>129</v>
      </c>
      <c r="AN31" s="4" t="s">
        <v>129</v>
      </c>
      <c r="AO31" s="4" t="s">
        <v>129</v>
      </c>
      <c r="AP31" s="4" t="s">
        <v>129</v>
      </c>
      <c r="AQ31" s="4" t="s">
        <v>129</v>
      </c>
      <c r="AS31" s="8" t="s">
        <v>36</v>
      </c>
      <c r="AT31" s="4" t="s">
        <v>130</v>
      </c>
      <c r="AU31" s="4" t="s">
        <v>130</v>
      </c>
      <c r="AV31" s="4" t="s">
        <v>130</v>
      </c>
      <c r="AW31" s="4" t="s">
        <v>130</v>
      </c>
      <c r="AX31" s="4" t="s">
        <v>130</v>
      </c>
      <c r="AY31" s="4" t="s">
        <v>130</v>
      </c>
      <c r="AZ31" s="4" t="s">
        <v>130</v>
      </c>
      <c r="BA31" s="4" t="s">
        <v>130</v>
      </c>
      <c r="BB31" s="4" t="s">
        <v>130</v>
      </c>
    </row>
    <row r="32" spans="1:54" x14ac:dyDescent="0.3">
      <c r="A32" s="8" t="s">
        <v>37</v>
      </c>
      <c r="B32" s="4" t="s">
        <v>38</v>
      </c>
      <c r="C32" s="4">
        <v>160</v>
      </c>
      <c r="D32" s="4">
        <v>65</v>
      </c>
      <c r="E32" s="4">
        <v>55</v>
      </c>
      <c r="F32" s="4">
        <v>65</v>
      </c>
      <c r="G32" s="4">
        <v>55</v>
      </c>
      <c r="H32" s="4">
        <v>65</v>
      </c>
      <c r="I32" s="4">
        <v>50</v>
      </c>
      <c r="J32" s="4">
        <v>40</v>
      </c>
      <c r="L32" s="8" t="s">
        <v>37</v>
      </c>
      <c r="M32" s="4" t="s">
        <v>38</v>
      </c>
      <c r="N32" s="4">
        <v>180</v>
      </c>
      <c r="O32" s="4">
        <v>85</v>
      </c>
      <c r="P32" s="4">
        <v>75</v>
      </c>
      <c r="Q32" s="4">
        <v>85</v>
      </c>
      <c r="R32" s="4">
        <v>75</v>
      </c>
      <c r="S32" s="4">
        <v>85</v>
      </c>
      <c r="T32" s="4">
        <v>70</v>
      </c>
      <c r="U32" s="4">
        <v>60</v>
      </c>
      <c r="W32" s="8" t="s">
        <v>37</v>
      </c>
      <c r="X32" s="9" t="s">
        <v>90</v>
      </c>
      <c r="Y32" s="9" t="s">
        <v>90</v>
      </c>
      <c r="Z32" s="9" t="s">
        <v>90</v>
      </c>
      <c r="AA32" s="9" t="s">
        <v>90</v>
      </c>
      <c r="AB32" s="9" t="s">
        <v>90</v>
      </c>
      <c r="AC32" s="9" t="s">
        <v>90</v>
      </c>
      <c r="AD32" s="9" t="s">
        <v>90</v>
      </c>
      <c r="AE32" s="9" t="s">
        <v>90</v>
      </c>
      <c r="AF32" s="9" t="s">
        <v>90</v>
      </c>
      <c r="AH32" s="8" t="s">
        <v>37</v>
      </c>
      <c r="AI32" s="4" t="s">
        <v>129</v>
      </c>
      <c r="AJ32" s="4" t="s">
        <v>129</v>
      </c>
      <c r="AK32" s="4" t="s">
        <v>129</v>
      </c>
      <c r="AL32" s="4" t="s">
        <v>129</v>
      </c>
      <c r="AM32" s="4" t="s">
        <v>129</v>
      </c>
      <c r="AN32" s="4" t="s">
        <v>129</v>
      </c>
      <c r="AO32" s="4" t="s">
        <v>129</v>
      </c>
      <c r="AP32" s="4" t="s">
        <v>129</v>
      </c>
      <c r="AQ32" s="4" t="s">
        <v>129</v>
      </c>
      <c r="AS32" s="8" t="s">
        <v>37</v>
      </c>
      <c r="AT32" s="4" t="s">
        <v>130</v>
      </c>
      <c r="AU32" s="4" t="s">
        <v>130</v>
      </c>
      <c r="AV32" s="4" t="s">
        <v>130</v>
      </c>
      <c r="AW32" s="4" t="s">
        <v>130</v>
      </c>
      <c r="AX32" s="4" t="s">
        <v>130</v>
      </c>
      <c r="AY32" s="4" t="s">
        <v>130</v>
      </c>
      <c r="AZ32" s="4" t="s">
        <v>130</v>
      </c>
      <c r="BA32" s="4" t="s">
        <v>130</v>
      </c>
      <c r="BB32" s="4" t="s">
        <v>130</v>
      </c>
    </row>
    <row r="33" spans="1:45" x14ac:dyDescent="0.3">
      <c r="A33">
        <f>INDEX(TableHtNS,MATCH(A37,OccHtNS,0),MATCH(B37,ConstructionHtNS,0))</f>
        <v>40</v>
      </c>
      <c r="L33">
        <f>INDEX(TableHtSS,MATCH(A37,OccHtSS,0),MATCH(B37,ConstructionHtSS,0))</f>
        <v>60</v>
      </c>
      <c r="W33" t="str">
        <f>INDEX(TableHtAIL,MATCH(A37,OccHtAIL,0),MATCH(B37,ConstructionHtAIL,0))</f>
        <v>No Limitations</v>
      </c>
      <c r="AH33" t="str">
        <f>INDEX(TableHt13D,MATCH(A37,OccHt13D,0),MATCH(B37,ConstructionHt13D,0))</f>
        <v>NP W/13D</v>
      </c>
      <c r="AS33" t="str">
        <f>INDEX(TableHt13R,MATCH(A37,OccHt13R,0),MATCH(B37,ConstructionHt13R,0))</f>
        <v>NP W/ 13R</v>
      </c>
    </row>
    <row r="35" spans="1:45" x14ac:dyDescent="0.3">
      <c r="T35" s="2"/>
    </row>
    <row r="36" spans="1:45" x14ac:dyDescent="0.3">
      <c r="A36" s="17" t="s">
        <v>97</v>
      </c>
      <c r="B36" s="17"/>
    </row>
    <row r="37" spans="1:45" x14ac:dyDescent="0.3">
      <c r="A37" s="17" t="str">
        <f>'2009-2018 Frontage Increase'!B$5</f>
        <v>B</v>
      </c>
      <c r="B37" s="17" t="str">
        <f>'2009-2018 Frontage Increase'!B$6</f>
        <v>V-B</v>
      </c>
    </row>
    <row r="39" spans="1:45" x14ac:dyDescent="0.3">
      <c r="A39" t="s">
        <v>42</v>
      </c>
    </row>
    <row r="41" spans="1:45" x14ac:dyDescent="0.3">
      <c r="A41" t="s">
        <v>51</v>
      </c>
    </row>
    <row r="43" spans="1:45" x14ac:dyDescent="0.3">
      <c r="A43" t="s">
        <v>44</v>
      </c>
    </row>
    <row r="44" spans="1:45" ht="15" customHeight="1" x14ac:dyDescent="0.3">
      <c r="A44" t="s">
        <v>52</v>
      </c>
    </row>
    <row r="45" spans="1:45" x14ac:dyDescent="0.3">
      <c r="A45" t="s">
        <v>46</v>
      </c>
      <c r="B45" s="2"/>
      <c r="C45" s="2"/>
      <c r="D45" s="2"/>
      <c r="E45" s="2"/>
      <c r="F45" s="2"/>
      <c r="G45" s="2"/>
      <c r="H45" s="2"/>
      <c r="I45" s="2"/>
      <c r="J45" s="2"/>
    </row>
    <row r="46" spans="1:45" x14ac:dyDescent="0.3">
      <c r="A46" t="s">
        <v>45</v>
      </c>
    </row>
    <row r="142" spans="1:10" x14ac:dyDescent="0.3">
      <c r="A142" s="1"/>
      <c r="B142" s="13"/>
      <c r="C142" s="13"/>
      <c r="D142" s="13"/>
      <c r="E142" s="13"/>
      <c r="F142" s="13"/>
      <c r="G142" s="13"/>
      <c r="H142" s="13"/>
      <c r="I142" s="13"/>
      <c r="J142" s="13"/>
    </row>
  </sheetData>
  <dataValidations disablePrompts="1" count="3">
    <dataValidation type="list" allowBlank="1" showInputMessage="1" showErrorMessage="1" sqref="D47" xr:uid="{00000000-0002-0000-0700-000000000000}">
      <formula1>"NS, S1, SM, S13D, S13R"</formula1>
    </dataValidation>
    <dataValidation type="list" allowBlank="1" showInputMessage="1" showErrorMessage="1" sqref="B47" xr:uid="{00000000-0002-0000-0700-000001000000}">
      <formula1>"A1,A2,A3,A4,A5,B,E,F-1,F-2,H-1,H-2,H-3,H-4,H-5,I2/I-2.1,I-3,I-4,L,M,R-1,R-2,R-2.1,R-3/R3.1,R-4,S-1,S-2,U"</formula1>
    </dataValidation>
    <dataValidation type="list" allowBlank="1" showInputMessage="1" showErrorMessage="1" sqref="C47" xr:uid="{00000000-0002-0000-0700-000002000000}">
      <formula1>"I-A,I-B,II-A,II-B,III-A,III-B,IV-HT,V-A,V-B"</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G144"/>
  <sheetViews>
    <sheetView zoomScale="75" zoomScaleNormal="75" workbookViewId="0">
      <selection activeCell="B20" sqref="B20"/>
    </sheetView>
  </sheetViews>
  <sheetFormatPr defaultRowHeight="14.4" x14ac:dyDescent="0.3"/>
  <cols>
    <col min="1" max="1" width="15.44140625" customWidth="1"/>
    <col min="12" max="12" width="10.5546875" customWidth="1"/>
    <col min="13" max="13" width="11.44140625" customWidth="1"/>
    <col min="14" max="14" width="13.6640625" customWidth="1"/>
    <col min="15" max="15" width="13.44140625" customWidth="1"/>
    <col min="16" max="16" width="15.5546875" customWidth="1"/>
  </cols>
  <sheetData>
    <row r="1" spans="1:59" ht="16.2" customHeight="1" x14ac:dyDescent="0.3">
      <c r="A1" s="1" t="s">
        <v>83</v>
      </c>
      <c r="B1" s="2"/>
      <c r="C1" s="2"/>
      <c r="D1" s="2"/>
      <c r="E1" s="2"/>
      <c r="F1" s="2"/>
      <c r="G1" s="2"/>
      <c r="H1" s="2"/>
      <c r="I1" s="2"/>
      <c r="J1" s="2"/>
      <c r="K1" s="1"/>
      <c r="M1" t="s">
        <v>135</v>
      </c>
      <c r="Y1" s="14" t="s">
        <v>88</v>
      </c>
      <c r="AK1" s="14" t="s">
        <v>86</v>
      </c>
      <c r="AW1" s="14" t="s">
        <v>87</v>
      </c>
    </row>
    <row r="2" spans="1:59" ht="16.2" customHeight="1" x14ac:dyDescent="0.3">
      <c r="A2" s="10"/>
      <c r="B2" s="3" t="s">
        <v>63</v>
      </c>
      <c r="C2" s="3" t="s">
        <v>64</v>
      </c>
      <c r="D2" s="3" t="s">
        <v>65</v>
      </c>
      <c r="E2" s="3" t="s">
        <v>66</v>
      </c>
      <c r="F2" s="3" t="s">
        <v>67</v>
      </c>
      <c r="G2" s="3" t="s">
        <v>68</v>
      </c>
      <c r="H2" s="3" t="s">
        <v>71</v>
      </c>
      <c r="I2" s="3" t="s">
        <v>69</v>
      </c>
      <c r="J2" s="3" t="s">
        <v>70</v>
      </c>
      <c r="K2" s="10"/>
      <c r="M2" s="10"/>
      <c r="N2" s="3" t="s">
        <v>63</v>
      </c>
      <c r="O2" s="3" t="s">
        <v>64</v>
      </c>
      <c r="P2" s="3" t="s">
        <v>65</v>
      </c>
      <c r="Q2" s="3" t="s">
        <v>66</v>
      </c>
      <c r="R2" s="3" t="s">
        <v>67</v>
      </c>
      <c r="S2" s="3" t="s">
        <v>68</v>
      </c>
      <c r="T2" s="3" t="s">
        <v>71</v>
      </c>
      <c r="U2" s="3" t="s">
        <v>69</v>
      </c>
      <c r="V2" s="3" t="s">
        <v>70</v>
      </c>
      <c r="W2" s="10"/>
      <c r="Y2" s="10"/>
      <c r="Z2" s="3" t="s">
        <v>63</v>
      </c>
      <c r="AA2" s="3" t="s">
        <v>64</v>
      </c>
      <c r="AB2" s="3" t="s">
        <v>65</v>
      </c>
      <c r="AC2" s="3" t="s">
        <v>66</v>
      </c>
      <c r="AD2" s="3" t="s">
        <v>67</v>
      </c>
      <c r="AE2" s="3" t="s">
        <v>68</v>
      </c>
      <c r="AF2" s="3" t="s">
        <v>71</v>
      </c>
      <c r="AG2" s="3" t="s">
        <v>69</v>
      </c>
      <c r="AH2" s="3" t="s">
        <v>70</v>
      </c>
      <c r="AI2" s="10"/>
      <c r="AK2" s="10"/>
      <c r="AL2" s="3" t="s">
        <v>63</v>
      </c>
      <c r="AM2" s="3" t="s">
        <v>64</v>
      </c>
      <c r="AN2" s="3" t="s">
        <v>65</v>
      </c>
      <c r="AO2" s="3" t="s">
        <v>66</v>
      </c>
      <c r="AP2" s="3" t="s">
        <v>67</v>
      </c>
      <c r="AQ2" s="3" t="s">
        <v>68</v>
      </c>
      <c r="AR2" s="3" t="s">
        <v>71</v>
      </c>
      <c r="AS2" s="3" t="s">
        <v>69</v>
      </c>
      <c r="AT2" s="3" t="s">
        <v>70</v>
      </c>
      <c r="AU2" s="10"/>
      <c r="AW2" s="10">
        <v>0</v>
      </c>
      <c r="AX2" s="3" t="s">
        <v>63</v>
      </c>
      <c r="AY2" s="3" t="s">
        <v>64</v>
      </c>
      <c r="AZ2" s="3" t="s">
        <v>65</v>
      </c>
      <c r="BA2" s="3" t="s">
        <v>66</v>
      </c>
      <c r="BB2" s="3" t="s">
        <v>67</v>
      </c>
      <c r="BC2" s="3" t="s">
        <v>68</v>
      </c>
      <c r="BD2" s="3" t="s">
        <v>71</v>
      </c>
      <c r="BE2" s="3" t="s">
        <v>69</v>
      </c>
      <c r="BF2" s="3" t="s">
        <v>70</v>
      </c>
      <c r="BG2" s="10"/>
    </row>
    <row r="3" spans="1:59" ht="16.2" customHeight="1" x14ac:dyDescent="0.3">
      <c r="A3" s="8" t="s">
        <v>11</v>
      </c>
      <c r="B3" s="4" t="s">
        <v>38</v>
      </c>
      <c r="C3" s="4">
        <v>5</v>
      </c>
      <c r="D3" s="4">
        <v>3</v>
      </c>
      <c r="E3" s="4">
        <v>2</v>
      </c>
      <c r="F3" s="4">
        <v>3</v>
      </c>
      <c r="G3" s="4">
        <v>2</v>
      </c>
      <c r="H3" s="4">
        <v>3</v>
      </c>
      <c r="I3" s="4">
        <v>2</v>
      </c>
      <c r="J3" s="4">
        <v>1</v>
      </c>
      <c r="K3" s="3" t="s">
        <v>12</v>
      </c>
      <c r="M3" s="8" t="s">
        <v>11</v>
      </c>
      <c r="N3" s="4" t="s">
        <v>38</v>
      </c>
      <c r="O3" s="4">
        <v>6</v>
      </c>
      <c r="P3" s="4">
        <v>4</v>
      </c>
      <c r="Q3" s="4">
        <v>3</v>
      </c>
      <c r="R3" s="4">
        <v>4</v>
      </c>
      <c r="S3" s="4">
        <v>3</v>
      </c>
      <c r="T3" s="4">
        <v>4</v>
      </c>
      <c r="U3" s="4">
        <v>3</v>
      </c>
      <c r="V3" s="4">
        <v>2</v>
      </c>
      <c r="W3" s="5" t="s">
        <v>47</v>
      </c>
      <c r="Y3" s="8" t="s">
        <v>11</v>
      </c>
      <c r="Z3" s="4" t="s">
        <v>38</v>
      </c>
      <c r="AA3" s="4">
        <v>5</v>
      </c>
      <c r="AB3" s="4">
        <v>3</v>
      </c>
      <c r="AC3" s="4">
        <v>2</v>
      </c>
      <c r="AD3" s="4">
        <v>3</v>
      </c>
      <c r="AE3" s="4">
        <v>2</v>
      </c>
      <c r="AF3" s="4">
        <v>3</v>
      </c>
      <c r="AG3" s="4">
        <v>2</v>
      </c>
      <c r="AH3" s="4">
        <v>1</v>
      </c>
      <c r="AI3" s="5" t="s">
        <v>48</v>
      </c>
      <c r="AK3" s="8" t="s">
        <v>11</v>
      </c>
      <c r="AL3" s="3" t="s">
        <v>127</v>
      </c>
      <c r="AM3" s="3" t="s">
        <v>127</v>
      </c>
      <c r="AN3" s="3" t="s">
        <v>127</v>
      </c>
      <c r="AO3" s="3" t="s">
        <v>127</v>
      </c>
      <c r="AP3" s="3" t="s">
        <v>127</v>
      </c>
      <c r="AQ3" s="3" t="s">
        <v>127</v>
      </c>
      <c r="AR3" s="3" t="s">
        <v>127</v>
      </c>
      <c r="AS3" s="3" t="s">
        <v>127</v>
      </c>
      <c r="AT3" s="3" t="s">
        <v>127</v>
      </c>
      <c r="AU3" s="9"/>
      <c r="AW3" s="8" t="s">
        <v>11</v>
      </c>
      <c r="AX3" s="3" t="s">
        <v>128</v>
      </c>
      <c r="AY3" s="3" t="s">
        <v>128</v>
      </c>
      <c r="AZ3" s="3" t="s">
        <v>128</v>
      </c>
      <c r="BA3" s="3" t="s">
        <v>128</v>
      </c>
      <c r="BB3" s="3" t="s">
        <v>128</v>
      </c>
      <c r="BC3" s="3" t="s">
        <v>128</v>
      </c>
      <c r="BD3" s="3" t="s">
        <v>128</v>
      </c>
      <c r="BE3" s="3" t="s">
        <v>128</v>
      </c>
      <c r="BF3" s="3" t="s">
        <v>128</v>
      </c>
      <c r="BG3" s="9"/>
    </row>
    <row r="4" spans="1:59" ht="16.2" customHeight="1" x14ac:dyDescent="0.3">
      <c r="A4" s="8" t="s">
        <v>15</v>
      </c>
      <c r="B4" s="4" t="s">
        <v>38</v>
      </c>
      <c r="C4" s="4">
        <v>11</v>
      </c>
      <c r="D4" s="4">
        <v>3</v>
      </c>
      <c r="E4" s="4">
        <v>2</v>
      </c>
      <c r="F4" s="4">
        <v>3</v>
      </c>
      <c r="G4" s="4">
        <v>2</v>
      </c>
      <c r="H4" s="4">
        <v>3</v>
      </c>
      <c r="I4" s="4">
        <v>2</v>
      </c>
      <c r="J4" s="4">
        <v>1</v>
      </c>
      <c r="K4" s="3" t="s">
        <v>12</v>
      </c>
      <c r="M4" s="8" t="s">
        <v>15</v>
      </c>
      <c r="N4" s="4" t="s">
        <v>38</v>
      </c>
      <c r="O4" s="4">
        <v>12</v>
      </c>
      <c r="P4" s="4">
        <v>4</v>
      </c>
      <c r="Q4" s="4">
        <v>3</v>
      </c>
      <c r="R4" s="4">
        <v>4</v>
      </c>
      <c r="S4" s="4">
        <v>3</v>
      </c>
      <c r="T4" s="4">
        <v>4</v>
      </c>
      <c r="U4" s="4">
        <v>3</v>
      </c>
      <c r="V4" s="4">
        <v>2</v>
      </c>
      <c r="W4" s="5" t="s">
        <v>47</v>
      </c>
      <c r="Y4" s="8" t="s">
        <v>15</v>
      </c>
      <c r="Z4" s="4" t="s">
        <v>38</v>
      </c>
      <c r="AA4" s="4">
        <v>11</v>
      </c>
      <c r="AB4" s="4">
        <v>3</v>
      </c>
      <c r="AC4" s="4">
        <v>2</v>
      </c>
      <c r="AD4" s="4">
        <v>3</v>
      </c>
      <c r="AE4" s="4">
        <v>2</v>
      </c>
      <c r="AF4" s="4">
        <v>3</v>
      </c>
      <c r="AG4" s="4">
        <v>2</v>
      </c>
      <c r="AH4" s="4">
        <v>1</v>
      </c>
      <c r="AI4" s="5" t="s">
        <v>48</v>
      </c>
      <c r="AK4" s="8" t="s">
        <v>15</v>
      </c>
      <c r="AL4" s="3" t="s">
        <v>127</v>
      </c>
      <c r="AM4" s="3" t="s">
        <v>127</v>
      </c>
      <c r="AN4" s="3" t="s">
        <v>127</v>
      </c>
      <c r="AO4" s="3" t="s">
        <v>127</v>
      </c>
      <c r="AP4" s="3" t="s">
        <v>127</v>
      </c>
      <c r="AQ4" s="3" t="s">
        <v>127</v>
      </c>
      <c r="AR4" s="3" t="s">
        <v>127</v>
      </c>
      <c r="AS4" s="3" t="s">
        <v>127</v>
      </c>
      <c r="AT4" s="3" t="s">
        <v>127</v>
      </c>
      <c r="AU4" s="9"/>
      <c r="AW4" s="8" t="s">
        <v>15</v>
      </c>
      <c r="AX4" s="3" t="s">
        <v>128</v>
      </c>
      <c r="AY4" s="3" t="s">
        <v>128</v>
      </c>
      <c r="AZ4" s="3" t="s">
        <v>128</v>
      </c>
      <c r="BA4" s="3" t="s">
        <v>128</v>
      </c>
      <c r="BB4" s="3" t="s">
        <v>128</v>
      </c>
      <c r="BC4" s="3" t="s">
        <v>128</v>
      </c>
      <c r="BD4" s="3" t="s">
        <v>128</v>
      </c>
      <c r="BE4" s="3" t="s">
        <v>128</v>
      </c>
      <c r="BF4" s="3" t="s">
        <v>128</v>
      </c>
      <c r="BG4" s="9"/>
    </row>
    <row r="5" spans="1:59" ht="16.2" customHeight="1" x14ac:dyDescent="0.3">
      <c r="A5" s="8" t="s">
        <v>16</v>
      </c>
      <c r="B5" s="4" t="s">
        <v>38</v>
      </c>
      <c r="C5" s="4">
        <v>11</v>
      </c>
      <c r="D5" s="4">
        <v>3</v>
      </c>
      <c r="E5" s="4">
        <v>2</v>
      </c>
      <c r="F5" s="4">
        <v>3</v>
      </c>
      <c r="G5" s="4">
        <v>2</v>
      </c>
      <c r="H5" s="4">
        <v>3</v>
      </c>
      <c r="I5" s="4">
        <v>2</v>
      </c>
      <c r="J5" s="4">
        <v>1</v>
      </c>
      <c r="K5" s="3" t="s">
        <v>12</v>
      </c>
      <c r="M5" s="8" t="s">
        <v>16</v>
      </c>
      <c r="N5" s="4" t="s">
        <v>38</v>
      </c>
      <c r="O5" s="4">
        <v>12</v>
      </c>
      <c r="P5" s="4">
        <v>4</v>
      </c>
      <c r="Q5" s="4">
        <v>3</v>
      </c>
      <c r="R5" s="4">
        <v>4</v>
      </c>
      <c r="S5" s="4">
        <v>3</v>
      </c>
      <c r="T5" s="4">
        <v>4</v>
      </c>
      <c r="U5" s="4">
        <v>3</v>
      </c>
      <c r="V5" s="4">
        <v>2</v>
      </c>
      <c r="W5" s="5" t="s">
        <v>47</v>
      </c>
      <c r="Y5" s="8" t="s">
        <v>16</v>
      </c>
      <c r="Z5" s="4" t="s">
        <v>38</v>
      </c>
      <c r="AA5" s="4">
        <v>11</v>
      </c>
      <c r="AB5" s="4">
        <v>3</v>
      </c>
      <c r="AC5" s="4">
        <v>2</v>
      </c>
      <c r="AD5" s="4">
        <v>3</v>
      </c>
      <c r="AE5" s="4">
        <v>2</v>
      </c>
      <c r="AF5" s="4">
        <v>3</v>
      </c>
      <c r="AG5" s="4">
        <v>2</v>
      </c>
      <c r="AH5" s="4">
        <v>1</v>
      </c>
      <c r="AI5" s="5" t="s">
        <v>48</v>
      </c>
      <c r="AK5" s="8" t="s">
        <v>16</v>
      </c>
      <c r="AL5" s="3" t="s">
        <v>127</v>
      </c>
      <c r="AM5" s="3" t="s">
        <v>127</v>
      </c>
      <c r="AN5" s="3" t="s">
        <v>127</v>
      </c>
      <c r="AO5" s="3" t="s">
        <v>127</v>
      </c>
      <c r="AP5" s="3" t="s">
        <v>127</v>
      </c>
      <c r="AQ5" s="3" t="s">
        <v>127</v>
      </c>
      <c r="AR5" s="3" t="s">
        <v>127</v>
      </c>
      <c r="AS5" s="3" t="s">
        <v>127</v>
      </c>
      <c r="AT5" s="3" t="s">
        <v>127</v>
      </c>
      <c r="AU5" s="9"/>
      <c r="AW5" s="8" t="s">
        <v>16</v>
      </c>
      <c r="AX5" s="3" t="s">
        <v>128</v>
      </c>
      <c r="AY5" s="3" t="s">
        <v>128</v>
      </c>
      <c r="AZ5" s="3" t="s">
        <v>128</v>
      </c>
      <c r="BA5" s="3" t="s">
        <v>128</v>
      </c>
      <c r="BB5" s="3" t="s">
        <v>128</v>
      </c>
      <c r="BC5" s="3" t="s">
        <v>128</v>
      </c>
      <c r="BD5" s="3" t="s">
        <v>128</v>
      </c>
      <c r="BE5" s="3" t="s">
        <v>128</v>
      </c>
      <c r="BF5" s="3" t="s">
        <v>128</v>
      </c>
      <c r="BG5" s="9"/>
    </row>
    <row r="6" spans="1:59" ht="16.2" customHeight="1" x14ac:dyDescent="0.3">
      <c r="A6" s="8" t="s">
        <v>17</v>
      </c>
      <c r="B6" s="4" t="s">
        <v>38</v>
      </c>
      <c r="C6" s="4">
        <v>11</v>
      </c>
      <c r="D6" s="4">
        <v>3</v>
      </c>
      <c r="E6" s="4">
        <v>2</v>
      </c>
      <c r="F6" s="4">
        <v>3</v>
      </c>
      <c r="G6" s="4">
        <v>2</v>
      </c>
      <c r="H6" s="4">
        <v>3</v>
      </c>
      <c r="I6" s="4">
        <v>2</v>
      </c>
      <c r="J6" s="4">
        <v>1</v>
      </c>
      <c r="K6" s="3" t="s">
        <v>12</v>
      </c>
      <c r="M6" s="8" t="s">
        <v>17</v>
      </c>
      <c r="N6" s="4" t="s">
        <v>38</v>
      </c>
      <c r="O6" s="4">
        <v>12</v>
      </c>
      <c r="P6" s="4">
        <v>4</v>
      </c>
      <c r="Q6" s="4">
        <v>3</v>
      </c>
      <c r="R6" s="4">
        <v>4</v>
      </c>
      <c r="S6" s="4">
        <v>3</v>
      </c>
      <c r="T6" s="4">
        <v>4</v>
      </c>
      <c r="U6" s="4">
        <v>3</v>
      </c>
      <c r="V6" s="4">
        <v>2</v>
      </c>
      <c r="W6" s="5" t="s">
        <v>47</v>
      </c>
      <c r="Y6" s="8" t="s">
        <v>17</v>
      </c>
      <c r="Z6" s="4" t="s">
        <v>38</v>
      </c>
      <c r="AA6" s="4">
        <v>11</v>
      </c>
      <c r="AB6" s="4">
        <v>3</v>
      </c>
      <c r="AC6" s="4">
        <v>2</v>
      </c>
      <c r="AD6" s="4">
        <v>3</v>
      </c>
      <c r="AE6" s="4">
        <v>2</v>
      </c>
      <c r="AF6" s="4">
        <v>3</v>
      </c>
      <c r="AG6" s="4">
        <v>2</v>
      </c>
      <c r="AH6" s="4">
        <v>1</v>
      </c>
      <c r="AI6" s="5" t="s">
        <v>48</v>
      </c>
      <c r="AK6" s="8" t="s">
        <v>17</v>
      </c>
      <c r="AL6" s="3" t="s">
        <v>127</v>
      </c>
      <c r="AM6" s="3" t="s">
        <v>127</v>
      </c>
      <c r="AN6" s="3" t="s">
        <v>127</v>
      </c>
      <c r="AO6" s="3" t="s">
        <v>127</v>
      </c>
      <c r="AP6" s="3" t="s">
        <v>127</v>
      </c>
      <c r="AQ6" s="3" t="s">
        <v>127</v>
      </c>
      <c r="AR6" s="3" t="s">
        <v>127</v>
      </c>
      <c r="AS6" s="3" t="s">
        <v>127</v>
      </c>
      <c r="AT6" s="3" t="s">
        <v>127</v>
      </c>
      <c r="AU6" s="9"/>
      <c r="AW6" s="8" t="s">
        <v>17</v>
      </c>
      <c r="AX6" s="3" t="s">
        <v>128</v>
      </c>
      <c r="AY6" s="3" t="s">
        <v>128</v>
      </c>
      <c r="AZ6" s="3" t="s">
        <v>128</v>
      </c>
      <c r="BA6" s="3" t="s">
        <v>128</v>
      </c>
      <c r="BB6" s="3" t="s">
        <v>128</v>
      </c>
      <c r="BC6" s="3" t="s">
        <v>128</v>
      </c>
      <c r="BD6" s="3" t="s">
        <v>128</v>
      </c>
      <c r="BE6" s="3" t="s">
        <v>128</v>
      </c>
      <c r="BF6" s="3" t="s">
        <v>128</v>
      </c>
      <c r="BG6" s="9"/>
    </row>
    <row r="7" spans="1:59" ht="16.2" customHeight="1" x14ac:dyDescent="0.3">
      <c r="A7" s="8" t="s">
        <v>18</v>
      </c>
      <c r="B7" s="4" t="s">
        <v>38</v>
      </c>
      <c r="C7" s="4" t="s">
        <v>38</v>
      </c>
      <c r="D7" s="4" t="s">
        <v>38</v>
      </c>
      <c r="E7" s="4" t="s">
        <v>38</v>
      </c>
      <c r="F7" s="4" t="s">
        <v>38</v>
      </c>
      <c r="G7" s="4" t="s">
        <v>38</v>
      </c>
      <c r="H7" s="4" t="s">
        <v>38</v>
      </c>
      <c r="I7" s="4" t="s">
        <v>38</v>
      </c>
      <c r="J7" s="4" t="s">
        <v>38</v>
      </c>
      <c r="K7" s="3" t="s">
        <v>12</v>
      </c>
      <c r="M7" s="8" t="s">
        <v>18</v>
      </c>
      <c r="N7" s="4" t="s">
        <v>38</v>
      </c>
      <c r="O7" s="4" t="s">
        <v>38</v>
      </c>
      <c r="P7" s="4" t="s">
        <v>38</v>
      </c>
      <c r="Q7" s="4" t="s">
        <v>38</v>
      </c>
      <c r="R7" s="4" t="s">
        <v>38</v>
      </c>
      <c r="S7" s="4" t="s">
        <v>38</v>
      </c>
      <c r="T7" s="4" t="s">
        <v>38</v>
      </c>
      <c r="U7" s="4" t="s">
        <v>38</v>
      </c>
      <c r="V7" s="4" t="s">
        <v>38</v>
      </c>
      <c r="W7" s="5" t="s">
        <v>49</v>
      </c>
      <c r="Y7" s="8" t="s">
        <v>18</v>
      </c>
      <c r="Z7" s="9" t="s">
        <v>90</v>
      </c>
      <c r="AA7" s="9" t="s">
        <v>90</v>
      </c>
      <c r="AB7" s="9" t="s">
        <v>90</v>
      </c>
      <c r="AC7" s="9" t="s">
        <v>90</v>
      </c>
      <c r="AD7" s="9" t="s">
        <v>90</v>
      </c>
      <c r="AE7" s="9" t="s">
        <v>90</v>
      </c>
      <c r="AF7" s="9" t="s">
        <v>90</v>
      </c>
      <c r="AG7" s="9" t="s">
        <v>90</v>
      </c>
      <c r="AH7" s="9" t="s">
        <v>90</v>
      </c>
      <c r="AI7" s="9"/>
      <c r="AK7" s="8" t="s">
        <v>18</v>
      </c>
      <c r="AL7" s="3" t="s">
        <v>127</v>
      </c>
      <c r="AM7" s="3" t="s">
        <v>127</v>
      </c>
      <c r="AN7" s="3" t="s">
        <v>127</v>
      </c>
      <c r="AO7" s="3" t="s">
        <v>127</v>
      </c>
      <c r="AP7" s="3" t="s">
        <v>127</v>
      </c>
      <c r="AQ7" s="3" t="s">
        <v>127</v>
      </c>
      <c r="AR7" s="3" t="s">
        <v>127</v>
      </c>
      <c r="AS7" s="3" t="s">
        <v>127</v>
      </c>
      <c r="AT7" s="3" t="s">
        <v>127</v>
      </c>
      <c r="AU7" s="9"/>
      <c r="AW7" s="8" t="s">
        <v>18</v>
      </c>
      <c r="AX7" s="3" t="s">
        <v>128</v>
      </c>
      <c r="AY7" s="3" t="s">
        <v>128</v>
      </c>
      <c r="AZ7" s="3" t="s">
        <v>128</v>
      </c>
      <c r="BA7" s="3" t="s">
        <v>128</v>
      </c>
      <c r="BB7" s="3" t="s">
        <v>128</v>
      </c>
      <c r="BC7" s="3" t="s">
        <v>128</v>
      </c>
      <c r="BD7" s="3" t="s">
        <v>128</v>
      </c>
      <c r="BE7" s="3" t="s">
        <v>128</v>
      </c>
      <c r="BF7" s="3" t="s">
        <v>128</v>
      </c>
      <c r="BG7" s="9"/>
    </row>
    <row r="8" spans="1:59" ht="16.2" customHeight="1" x14ac:dyDescent="0.3">
      <c r="A8" s="8" t="s">
        <v>10</v>
      </c>
      <c r="B8" s="4" t="s">
        <v>38</v>
      </c>
      <c r="C8" s="4">
        <v>11</v>
      </c>
      <c r="D8" s="4">
        <v>5</v>
      </c>
      <c r="E8" s="4">
        <v>3</v>
      </c>
      <c r="F8" s="4">
        <v>5</v>
      </c>
      <c r="G8" s="4">
        <v>3</v>
      </c>
      <c r="H8" s="4">
        <v>5</v>
      </c>
      <c r="I8" s="4">
        <v>3</v>
      </c>
      <c r="J8" s="4">
        <v>2</v>
      </c>
      <c r="K8" s="3" t="s">
        <v>12</v>
      </c>
      <c r="M8" s="8" t="s">
        <v>10</v>
      </c>
      <c r="N8" s="4" t="s">
        <v>38</v>
      </c>
      <c r="O8" s="4">
        <v>12</v>
      </c>
      <c r="P8" s="4">
        <v>6</v>
      </c>
      <c r="Q8" s="4">
        <v>4</v>
      </c>
      <c r="R8" s="4">
        <v>6</v>
      </c>
      <c r="S8" s="4">
        <v>4</v>
      </c>
      <c r="T8" s="4">
        <v>6</v>
      </c>
      <c r="U8" s="4">
        <v>4</v>
      </c>
      <c r="V8" s="4">
        <v>3</v>
      </c>
      <c r="W8" s="3" t="s">
        <v>49</v>
      </c>
      <c r="Y8" s="8" t="s">
        <v>10</v>
      </c>
      <c r="Z8" s="9" t="s">
        <v>90</v>
      </c>
      <c r="AA8" s="9" t="s">
        <v>90</v>
      </c>
      <c r="AB8" s="9" t="s">
        <v>90</v>
      </c>
      <c r="AC8" s="9" t="s">
        <v>90</v>
      </c>
      <c r="AD8" s="9" t="s">
        <v>90</v>
      </c>
      <c r="AE8" s="9" t="s">
        <v>90</v>
      </c>
      <c r="AF8" s="9" t="s">
        <v>90</v>
      </c>
      <c r="AG8" s="9" t="s">
        <v>90</v>
      </c>
      <c r="AH8" s="9" t="s">
        <v>90</v>
      </c>
      <c r="AI8" s="9"/>
      <c r="AK8" s="8" t="s">
        <v>10</v>
      </c>
      <c r="AL8" s="3" t="s">
        <v>127</v>
      </c>
      <c r="AM8" s="3" t="s">
        <v>127</v>
      </c>
      <c r="AN8" s="3" t="s">
        <v>127</v>
      </c>
      <c r="AO8" s="3" t="s">
        <v>127</v>
      </c>
      <c r="AP8" s="3" t="s">
        <v>127</v>
      </c>
      <c r="AQ8" s="3" t="s">
        <v>127</v>
      </c>
      <c r="AR8" s="3" t="s">
        <v>127</v>
      </c>
      <c r="AS8" s="3" t="s">
        <v>127</v>
      </c>
      <c r="AT8" s="3" t="s">
        <v>127</v>
      </c>
      <c r="AU8" s="9"/>
      <c r="AW8" s="8" t="s">
        <v>10</v>
      </c>
      <c r="AX8" s="3" t="s">
        <v>128</v>
      </c>
      <c r="AY8" s="3" t="s">
        <v>128</v>
      </c>
      <c r="AZ8" s="3" t="s">
        <v>128</v>
      </c>
      <c r="BA8" s="3" t="s">
        <v>128</v>
      </c>
      <c r="BB8" s="3" t="s">
        <v>128</v>
      </c>
      <c r="BC8" s="3" t="s">
        <v>128</v>
      </c>
      <c r="BD8" s="3" t="s">
        <v>128</v>
      </c>
      <c r="BE8" s="3" t="s">
        <v>128</v>
      </c>
      <c r="BF8" s="3" t="s">
        <v>128</v>
      </c>
      <c r="BG8" s="9"/>
    </row>
    <row r="9" spans="1:59" ht="16.2" customHeight="1" x14ac:dyDescent="0.3">
      <c r="A9" s="8" t="s">
        <v>19</v>
      </c>
      <c r="B9" s="4" t="s">
        <v>38</v>
      </c>
      <c r="C9" s="4">
        <v>5</v>
      </c>
      <c r="D9" s="4">
        <v>3</v>
      </c>
      <c r="E9" s="4">
        <v>2</v>
      </c>
      <c r="F9" s="4">
        <v>3</v>
      </c>
      <c r="G9" s="4">
        <v>2</v>
      </c>
      <c r="H9" s="4">
        <v>3</v>
      </c>
      <c r="I9" s="4">
        <v>1</v>
      </c>
      <c r="J9" s="4">
        <v>1</v>
      </c>
      <c r="K9" s="3" t="s">
        <v>12</v>
      </c>
      <c r="M9" s="8" t="s">
        <v>19</v>
      </c>
      <c r="N9" s="4" t="s">
        <v>38</v>
      </c>
      <c r="O9" s="4">
        <v>6</v>
      </c>
      <c r="P9" s="4">
        <v>4</v>
      </c>
      <c r="Q9" s="4">
        <v>3</v>
      </c>
      <c r="R9" s="4">
        <v>4</v>
      </c>
      <c r="S9" s="4">
        <v>3</v>
      </c>
      <c r="T9" s="4">
        <v>4</v>
      </c>
      <c r="U9" s="4">
        <v>2</v>
      </c>
      <c r="V9" s="4">
        <v>2</v>
      </c>
      <c r="W9" s="5" t="s">
        <v>47</v>
      </c>
      <c r="Y9" s="8" t="s">
        <v>19</v>
      </c>
      <c r="Z9" s="4" t="s">
        <v>38</v>
      </c>
      <c r="AA9" s="4">
        <v>5</v>
      </c>
      <c r="AB9" s="4">
        <v>3</v>
      </c>
      <c r="AC9" s="4">
        <v>2</v>
      </c>
      <c r="AD9" s="4">
        <v>3</v>
      </c>
      <c r="AE9" s="4">
        <v>2</v>
      </c>
      <c r="AF9" s="4">
        <v>3</v>
      </c>
      <c r="AG9" s="4">
        <v>1</v>
      </c>
      <c r="AH9" s="4">
        <v>1</v>
      </c>
      <c r="AI9" s="5" t="s">
        <v>48</v>
      </c>
      <c r="AK9" s="8" t="s">
        <v>19</v>
      </c>
      <c r="AL9" s="3" t="s">
        <v>127</v>
      </c>
      <c r="AM9" s="3" t="s">
        <v>127</v>
      </c>
      <c r="AN9" s="3" t="s">
        <v>127</v>
      </c>
      <c r="AO9" s="3" t="s">
        <v>127</v>
      </c>
      <c r="AP9" s="3" t="s">
        <v>127</v>
      </c>
      <c r="AQ9" s="3" t="s">
        <v>127</v>
      </c>
      <c r="AR9" s="3" t="s">
        <v>127</v>
      </c>
      <c r="AS9" s="3" t="s">
        <v>127</v>
      </c>
      <c r="AT9" s="3" t="s">
        <v>127</v>
      </c>
      <c r="AU9" s="9"/>
      <c r="AW9" s="8" t="s">
        <v>19</v>
      </c>
      <c r="AX9" s="3" t="s">
        <v>128</v>
      </c>
      <c r="AY9" s="3" t="s">
        <v>128</v>
      </c>
      <c r="AZ9" s="3" t="s">
        <v>128</v>
      </c>
      <c r="BA9" s="3" t="s">
        <v>128</v>
      </c>
      <c r="BB9" s="3" t="s">
        <v>128</v>
      </c>
      <c r="BC9" s="3" t="s">
        <v>128</v>
      </c>
      <c r="BD9" s="3" t="s">
        <v>128</v>
      </c>
      <c r="BE9" s="3" t="s">
        <v>128</v>
      </c>
      <c r="BF9" s="3" t="s">
        <v>128</v>
      </c>
      <c r="BG9" s="9"/>
    </row>
    <row r="10" spans="1:59" ht="16.2" customHeight="1" x14ac:dyDescent="0.3">
      <c r="A10" s="8" t="s">
        <v>20</v>
      </c>
      <c r="B10" s="4" t="s">
        <v>38</v>
      </c>
      <c r="C10" s="4">
        <v>11</v>
      </c>
      <c r="D10" s="4">
        <v>4</v>
      </c>
      <c r="E10" s="4">
        <v>2</v>
      </c>
      <c r="F10" s="4">
        <v>3</v>
      </c>
      <c r="G10" s="4">
        <v>2</v>
      </c>
      <c r="H10" s="4">
        <v>4</v>
      </c>
      <c r="I10" s="4">
        <v>2</v>
      </c>
      <c r="J10" s="4">
        <v>1</v>
      </c>
      <c r="K10" s="3" t="s">
        <v>12</v>
      </c>
      <c r="M10" s="8" t="s">
        <v>20</v>
      </c>
      <c r="N10" s="4" t="s">
        <v>38</v>
      </c>
      <c r="O10" s="4">
        <v>12</v>
      </c>
      <c r="P10" s="4">
        <v>5</v>
      </c>
      <c r="Q10" s="4">
        <v>3</v>
      </c>
      <c r="R10" s="4">
        <v>4</v>
      </c>
      <c r="S10" s="4">
        <v>3</v>
      </c>
      <c r="T10" s="4">
        <v>5</v>
      </c>
      <c r="U10" s="4">
        <v>3</v>
      </c>
      <c r="V10" s="4">
        <v>2</v>
      </c>
      <c r="W10" s="3" t="s">
        <v>49</v>
      </c>
      <c r="Y10" s="8" t="s">
        <v>20</v>
      </c>
      <c r="Z10" s="9" t="s">
        <v>90</v>
      </c>
      <c r="AA10" s="9" t="s">
        <v>90</v>
      </c>
      <c r="AB10" s="9" t="s">
        <v>90</v>
      </c>
      <c r="AC10" s="9" t="s">
        <v>90</v>
      </c>
      <c r="AD10" s="9" t="s">
        <v>90</v>
      </c>
      <c r="AE10" s="9" t="s">
        <v>90</v>
      </c>
      <c r="AF10" s="9" t="s">
        <v>90</v>
      </c>
      <c r="AG10" s="9" t="s">
        <v>90</v>
      </c>
      <c r="AH10" s="9" t="s">
        <v>90</v>
      </c>
      <c r="AI10" s="9"/>
      <c r="AK10" s="8" t="s">
        <v>20</v>
      </c>
      <c r="AL10" s="3" t="s">
        <v>127</v>
      </c>
      <c r="AM10" s="3" t="s">
        <v>127</v>
      </c>
      <c r="AN10" s="3" t="s">
        <v>127</v>
      </c>
      <c r="AO10" s="3" t="s">
        <v>127</v>
      </c>
      <c r="AP10" s="3" t="s">
        <v>127</v>
      </c>
      <c r="AQ10" s="3" t="s">
        <v>127</v>
      </c>
      <c r="AR10" s="3" t="s">
        <v>127</v>
      </c>
      <c r="AS10" s="3" t="s">
        <v>127</v>
      </c>
      <c r="AT10" s="3" t="s">
        <v>127</v>
      </c>
      <c r="AU10" s="9"/>
      <c r="AW10" s="8" t="s">
        <v>20</v>
      </c>
      <c r="AX10" s="3" t="s">
        <v>128</v>
      </c>
      <c r="AY10" s="3" t="s">
        <v>128</v>
      </c>
      <c r="AZ10" s="3" t="s">
        <v>128</v>
      </c>
      <c r="BA10" s="3" t="s">
        <v>128</v>
      </c>
      <c r="BB10" s="3" t="s">
        <v>128</v>
      </c>
      <c r="BC10" s="3" t="s">
        <v>128</v>
      </c>
      <c r="BD10" s="3" t="s">
        <v>128</v>
      </c>
      <c r="BE10" s="3" t="s">
        <v>128</v>
      </c>
      <c r="BF10" s="3" t="s">
        <v>128</v>
      </c>
      <c r="BG10" s="9"/>
    </row>
    <row r="11" spans="1:59" ht="16.2" customHeight="1" x14ac:dyDescent="0.3">
      <c r="A11" s="8" t="s">
        <v>41</v>
      </c>
      <c r="B11" s="4" t="s">
        <v>38</v>
      </c>
      <c r="C11" s="4">
        <v>11</v>
      </c>
      <c r="D11" s="4">
        <v>5</v>
      </c>
      <c r="E11" s="4">
        <v>3</v>
      </c>
      <c r="F11" s="4">
        <v>4</v>
      </c>
      <c r="G11" s="4">
        <v>3</v>
      </c>
      <c r="H11" s="4">
        <v>5</v>
      </c>
      <c r="I11" s="4">
        <v>3</v>
      </c>
      <c r="J11" s="4">
        <v>2</v>
      </c>
      <c r="K11" s="3" t="s">
        <v>12</v>
      </c>
      <c r="M11" s="8" t="s">
        <v>41</v>
      </c>
      <c r="N11" s="4" t="s">
        <v>38</v>
      </c>
      <c r="O11" s="4">
        <v>12</v>
      </c>
      <c r="P11" s="4">
        <v>6</v>
      </c>
      <c r="Q11" s="4">
        <v>4</v>
      </c>
      <c r="R11" s="4">
        <v>5</v>
      </c>
      <c r="S11" s="4">
        <v>4</v>
      </c>
      <c r="T11" s="4">
        <v>6</v>
      </c>
      <c r="U11" s="4">
        <v>4</v>
      </c>
      <c r="V11" s="4">
        <v>3</v>
      </c>
      <c r="W11" s="3" t="s">
        <v>49</v>
      </c>
      <c r="Y11" s="8" t="s">
        <v>41</v>
      </c>
      <c r="Z11" s="9" t="s">
        <v>90</v>
      </c>
      <c r="AA11" s="9" t="s">
        <v>90</v>
      </c>
      <c r="AB11" s="9" t="s">
        <v>90</v>
      </c>
      <c r="AC11" s="9" t="s">
        <v>90</v>
      </c>
      <c r="AD11" s="9" t="s">
        <v>90</v>
      </c>
      <c r="AE11" s="9" t="s">
        <v>90</v>
      </c>
      <c r="AF11" s="9" t="s">
        <v>90</v>
      </c>
      <c r="AG11" s="9" t="s">
        <v>90</v>
      </c>
      <c r="AH11" s="9" t="s">
        <v>90</v>
      </c>
      <c r="AI11" s="9"/>
      <c r="AK11" s="8" t="s">
        <v>41</v>
      </c>
      <c r="AL11" s="3" t="s">
        <v>127</v>
      </c>
      <c r="AM11" s="3" t="s">
        <v>127</v>
      </c>
      <c r="AN11" s="3" t="s">
        <v>127</v>
      </c>
      <c r="AO11" s="3" t="s">
        <v>127</v>
      </c>
      <c r="AP11" s="3" t="s">
        <v>127</v>
      </c>
      <c r="AQ11" s="3" t="s">
        <v>127</v>
      </c>
      <c r="AR11" s="3" t="s">
        <v>127</v>
      </c>
      <c r="AS11" s="3" t="s">
        <v>127</v>
      </c>
      <c r="AT11" s="3" t="s">
        <v>127</v>
      </c>
      <c r="AU11" s="9"/>
      <c r="AW11" s="8" t="s">
        <v>41</v>
      </c>
      <c r="AX11" s="3" t="s">
        <v>128</v>
      </c>
      <c r="AY11" s="3" t="s">
        <v>128</v>
      </c>
      <c r="AZ11" s="3" t="s">
        <v>128</v>
      </c>
      <c r="BA11" s="3" t="s">
        <v>128</v>
      </c>
      <c r="BB11" s="3" t="s">
        <v>128</v>
      </c>
      <c r="BC11" s="3" t="s">
        <v>128</v>
      </c>
      <c r="BD11" s="3" t="s">
        <v>128</v>
      </c>
      <c r="BE11" s="3" t="s">
        <v>128</v>
      </c>
      <c r="BF11" s="3" t="s">
        <v>128</v>
      </c>
      <c r="BG11" s="9"/>
    </row>
    <row r="12" spans="1:59" ht="16.2" customHeight="1" x14ac:dyDescent="0.3">
      <c r="A12" s="8" t="s">
        <v>21</v>
      </c>
      <c r="B12" s="4">
        <v>1</v>
      </c>
      <c r="C12" s="4">
        <v>1</v>
      </c>
      <c r="D12" s="4">
        <v>1</v>
      </c>
      <c r="E12" s="4">
        <v>1</v>
      </c>
      <c r="F12" s="4">
        <v>1</v>
      </c>
      <c r="G12" s="4">
        <v>1</v>
      </c>
      <c r="H12" s="4">
        <v>1</v>
      </c>
      <c r="I12" s="4">
        <v>1</v>
      </c>
      <c r="J12" s="4" t="s">
        <v>162</v>
      </c>
      <c r="K12" s="3" t="s">
        <v>12</v>
      </c>
      <c r="M12" s="8" t="s">
        <v>21</v>
      </c>
      <c r="N12" s="4">
        <v>1</v>
      </c>
      <c r="O12" s="4">
        <v>1</v>
      </c>
      <c r="P12" s="4">
        <v>1</v>
      </c>
      <c r="Q12" s="4">
        <v>1</v>
      </c>
      <c r="R12" s="4">
        <v>1</v>
      </c>
      <c r="S12" s="4">
        <v>1</v>
      </c>
      <c r="T12" s="4">
        <v>1</v>
      </c>
      <c r="U12" s="4">
        <v>1</v>
      </c>
      <c r="V12" s="4" t="s">
        <v>162</v>
      </c>
      <c r="W12" s="3" t="s">
        <v>49</v>
      </c>
      <c r="Y12" s="8" t="s">
        <v>21</v>
      </c>
      <c r="Z12" s="4">
        <v>1</v>
      </c>
      <c r="AA12" s="4">
        <v>1</v>
      </c>
      <c r="AB12" s="4">
        <v>1</v>
      </c>
      <c r="AC12" s="4">
        <v>1</v>
      </c>
      <c r="AD12" s="4">
        <v>1</v>
      </c>
      <c r="AE12" s="4">
        <v>1</v>
      </c>
      <c r="AF12" s="4">
        <v>1</v>
      </c>
      <c r="AG12" s="4">
        <v>1</v>
      </c>
      <c r="AH12" s="4" t="s">
        <v>162</v>
      </c>
      <c r="AI12" s="9"/>
      <c r="AK12" s="8" t="s">
        <v>21</v>
      </c>
      <c r="AL12" s="3" t="s">
        <v>127</v>
      </c>
      <c r="AM12" s="3" t="s">
        <v>127</v>
      </c>
      <c r="AN12" s="3" t="s">
        <v>127</v>
      </c>
      <c r="AO12" s="3" t="s">
        <v>127</v>
      </c>
      <c r="AP12" s="3" t="s">
        <v>127</v>
      </c>
      <c r="AQ12" s="3" t="s">
        <v>127</v>
      </c>
      <c r="AR12" s="3" t="s">
        <v>127</v>
      </c>
      <c r="AS12" s="3" t="s">
        <v>127</v>
      </c>
      <c r="AT12" s="4" t="s">
        <v>162</v>
      </c>
      <c r="AU12" s="9"/>
      <c r="AW12" s="8" t="s">
        <v>21</v>
      </c>
      <c r="AX12" s="3" t="s">
        <v>128</v>
      </c>
      <c r="AY12" s="3" t="s">
        <v>128</v>
      </c>
      <c r="AZ12" s="3" t="s">
        <v>128</v>
      </c>
      <c r="BA12" s="3" t="s">
        <v>128</v>
      </c>
      <c r="BB12" s="3" t="s">
        <v>128</v>
      </c>
      <c r="BC12" s="3" t="s">
        <v>128</v>
      </c>
      <c r="BD12" s="3" t="s">
        <v>128</v>
      </c>
      <c r="BE12" s="3" t="s">
        <v>128</v>
      </c>
      <c r="BF12" s="4" t="s">
        <v>162</v>
      </c>
      <c r="BG12" s="9"/>
    </row>
    <row r="13" spans="1:59" ht="16.2" customHeight="1" x14ac:dyDescent="0.3">
      <c r="A13" s="8" t="s">
        <v>22</v>
      </c>
      <c r="B13" s="4">
        <v>20</v>
      </c>
      <c r="C13" s="4">
        <v>3</v>
      </c>
      <c r="D13" s="4">
        <v>2</v>
      </c>
      <c r="E13" s="4">
        <v>1</v>
      </c>
      <c r="F13" s="4">
        <v>2</v>
      </c>
      <c r="G13" s="4">
        <v>1</v>
      </c>
      <c r="H13" s="4">
        <v>2</v>
      </c>
      <c r="I13" s="4">
        <v>1</v>
      </c>
      <c r="J13" s="4" t="s">
        <v>162</v>
      </c>
      <c r="K13" s="3" t="s">
        <v>12</v>
      </c>
      <c r="M13" s="8" t="s">
        <v>22</v>
      </c>
      <c r="N13" s="4">
        <v>20</v>
      </c>
      <c r="O13" s="4">
        <v>3</v>
      </c>
      <c r="P13" s="4">
        <v>2</v>
      </c>
      <c r="Q13" s="4">
        <v>1</v>
      </c>
      <c r="R13" s="4">
        <v>2</v>
      </c>
      <c r="S13" s="4">
        <v>1</v>
      </c>
      <c r="T13" s="4">
        <v>2</v>
      </c>
      <c r="U13" s="4">
        <v>1</v>
      </c>
      <c r="V13" s="4">
        <v>1</v>
      </c>
      <c r="W13" s="3" t="s">
        <v>49</v>
      </c>
      <c r="Y13" s="8" t="s">
        <v>22</v>
      </c>
      <c r="Z13" s="9" t="s">
        <v>90</v>
      </c>
      <c r="AA13" s="9" t="s">
        <v>90</v>
      </c>
      <c r="AB13" s="9" t="s">
        <v>90</v>
      </c>
      <c r="AC13" s="9" t="s">
        <v>90</v>
      </c>
      <c r="AD13" s="9" t="s">
        <v>90</v>
      </c>
      <c r="AE13" s="9" t="s">
        <v>90</v>
      </c>
      <c r="AF13" s="9" t="s">
        <v>90</v>
      </c>
      <c r="AG13" s="9" t="s">
        <v>90</v>
      </c>
      <c r="AH13" s="9" t="s">
        <v>90</v>
      </c>
      <c r="AI13" s="9"/>
      <c r="AK13" s="8" t="s">
        <v>22</v>
      </c>
      <c r="AL13" s="3" t="s">
        <v>127</v>
      </c>
      <c r="AM13" s="3" t="s">
        <v>127</v>
      </c>
      <c r="AN13" s="3" t="s">
        <v>127</v>
      </c>
      <c r="AO13" s="3" t="s">
        <v>127</v>
      </c>
      <c r="AP13" s="3" t="s">
        <v>127</v>
      </c>
      <c r="AQ13" s="3" t="s">
        <v>127</v>
      </c>
      <c r="AR13" s="3" t="s">
        <v>127</v>
      </c>
      <c r="AS13" s="3" t="s">
        <v>127</v>
      </c>
      <c r="AT13" s="3" t="s">
        <v>127</v>
      </c>
      <c r="AU13" s="9"/>
      <c r="AW13" s="8" t="s">
        <v>22</v>
      </c>
      <c r="AX13" s="3" t="s">
        <v>128</v>
      </c>
      <c r="AY13" s="3" t="s">
        <v>128</v>
      </c>
      <c r="AZ13" s="3" t="s">
        <v>128</v>
      </c>
      <c r="BA13" s="3" t="s">
        <v>128</v>
      </c>
      <c r="BB13" s="3" t="s">
        <v>128</v>
      </c>
      <c r="BC13" s="3" t="s">
        <v>128</v>
      </c>
      <c r="BD13" s="3" t="s">
        <v>128</v>
      </c>
      <c r="BE13" s="3" t="s">
        <v>128</v>
      </c>
      <c r="BF13" s="3" t="s">
        <v>128</v>
      </c>
      <c r="BG13" s="9"/>
    </row>
    <row r="14" spans="1:59" ht="16.2" customHeight="1" x14ac:dyDescent="0.3">
      <c r="A14" s="8" t="s">
        <v>23</v>
      </c>
      <c r="B14" s="4">
        <v>20</v>
      </c>
      <c r="C14" s="4">
        <v>6</v>
      </c>
      <c r="D14" s="4">
        <v>4</v>
      </c>
      <c r="E14" s="4">
        <v>2</v>
      </c>
      <c r="F14" s="4">
        <v>4</v>
      </c>
      <c r="G14" s="4">
        <v>2</v>
      </c>
      <c r="H14" s="4">
        <v>4</v>
      </c>
      <c r="I14" s="4">
        <v>2</v>
      </c>
      <c r="J14" s="4">
        <v>1</v>
      </c>
      <c r="K14" s="3" t="s">
        <v>12</v>
      </c>
      <c r="M14" s="8" t="s">
        <v>23</v>
      </c>
      <c r="N14" s="4">
        <v>20</v>
      </c>
      <c r="O14" s="4">
        <v>6</v>
      </c>
      <c r="P14" s="4">
        <v>4</v>
      </c>
      <c r="Q14" s="4">
        <v>2</v>
      </c>
      <c r="R14" s="4">
        <v>4</v>
      </c>
      <c r="S14" s="4">
        <v>2</v>
      </c>
      <c r="T14" s="4">
        <v>4</v>
      </c>
      <c r="U14" s="4">
        <v>2</v>
      </c>
      <c r="V14" s="4">
        <v>1</v>
      </c>
      <c r="W14" s="3" t="s">
        <v>49</v>
      </c>
      <c r="Y14" s="8" t="s">
        <v>23</v>
      </c>
      <c r="Z14" s="9" t="s">
        <v>90</v>
      </c>
      <c r="AA14" s="9" t="s">
        <v>90</v>
      </c>
      <c r="AB14" s="9" t="s">
        <v>90</v>
      </c>
      <c r="AC14" s="9" t="s">
        <v>90</v>
      </c>
      <c r="AD14" s="9" t="s">
        <v>90</v>
      </c>
      <c r="AE14" s="9" t="s">
        <v>90</v>
      </c>
      <c r="AF14" s="9" t="s">
        <v>90</v>
      </c>
      <c r="AG14" s="9" t="s">
        <v>90</v>
      </c>
      <c r="AH14" s="9" t="s">
        <v>90</v>
      </c>
      <c r="AI14" s="9"/>
      <c r="AK14" s="8" t="s">
        <v>23</v>
      </c>
      <c r="AL14" s="3" t="s">
        <v>127</v>
      </c>
      <c r="AM14" s="3" t="s">
        <v>127</v>
      </c>
      <c r="AN14" s="3" t="s">
        <v>127</v>
      </c>
      <c r="AO14" s="3" t="s">
        <v>127</v>
      </c>
      <c r="AP14" s="3" t="s">
        <v>127</v>
      </c>
      <c r="AQ14" s="3" t="s">
        <v>127</v>
      </c>
      <c r="AR14" s="3" t="s">
        <v>127</v>
      </c>
      <c r="AS14" s="3" t="s">
        <v>127</v>
      </c>
      <c r="AT14" s="3" t="s">
        <v>127</v>
      </c>
      <c r="AU14" s="9"/>
      <c r="AW14" s="8" t="s">
        <v>23</v>
      </c>
      <c r="AX14" s="3" t="s">
        <v>128</v>
      </c>
      <c r="AY14" s="3" t="s">
        <v>128</v>
      </c>
      <c r="AZ14" s="3" t="s">
        <v>128</v>
      </c>
      <c r="BA14" s="3" t="s">
        <v>128</v>
      </c>
      <c r="BB14" s="3" t="s">
        <v>128</v>
      </c>
      <c r="BC14" s="3" t="s">
        <v>128</v>
      </c>
      <c r="BD14" s="3" t="s">
        <v>128</v>
      </c>
      <c r="BE14" s="3" t="s">
        <v>128</v>
      </c>
      <c r="BF14" s="3" t="s">
        <v>128</v>
      </c>
      <c r="BG14" s="9"/>
    </row>
    <row r="15" spans="1:59" ht="16.2" customHeight="1" x14ac:dyDescent="0.3">
      <c r="A15" s="8" t="s">
        <v>24</v>
      </c>
      <c r="B15" s="4">
        <v>20</v>
      </c>
      <c r="C15" s="4">
        <v>7</v>
      </c>
      <c r="D15" s="4">
        <v>5</v>
      </c>
      <c r="E15" s="4">
        <v>3</v>
      </c>
      <c r="F15" s="4">
        <v>5</v>
      </c>
      <c r="G15" s="4">
        <v>3</v>
      </c>
      <c r="H15" s="4">
        <v>5</v>
      </c>
      <c r="I15" s="4">
        <v>3</v>
      </c>
      <c r="J15" s="4">
        <v>2</v>
      </c>
      <c r="K15" s="3" t="s">
        <v>12</v>
      </c>
      <c r="M15" s="8" t="s">
        <v>24</v>
      </c>
      <c r="N15" s="4">
        <v>20</v>
      </c>
      <c r="O15" s="4">
        <v>8</v>
      </c>
      <c r="P15" s="4">
        <v>6</v>
      </c>
      <c r="Q15" s="4">
        <v>4</v>
      </c>
      <c r="R15" s="4">
        <v>6</v>
      </c>
      <c r="S15" s="4">
        <v>4</v>
      </c>
      <c r="T15" s="4">
        <v>6</v>
      </c>
      <c r="U15" s="4">
        <v>4</v>
      </c>
      <c r="V15" s="4">
        <v>3</v>
      </c>
      <c r="W15" s="5" t="s">
        <v>47</v>
      </c>
      <c r="Y15" s="8" t="s">
        <v>24</v>
      </c>
      <c r="Z15" s="4">
        <v>20</v>
      </c>
      <c r="AA15" s="4">
        <v>7</v>
      </c>
      <c r="AB15" s="4">
        <v>5</v>
      </c>
      <c r="AC15" s="4">
        <v>3</v>
      </c>
      <c r="AD15" s="4">
        <v>5</v>
      </c>
      <c r="AE15" s="4">
        <v>3</v>
      </c>
      <c r="AF15" s="4">
        <v>5</v>
      </c>
      <c r="AG15" s="4">
        <v>3</v>
      </c>
      <c r="AH15" s="4">
        <v>2</v>
      </c>
      <c r="AI15" s="5" t="s">
        <v>48</v>
      </c>
      <c r="AK15" s="8" t="s">
        <v>24</v>
      </c>
      <c r="AL15" s="3" t="s">
        <v>127</v>
      </c>
      <c r="AM15" s="3" t="s">
        <v>127</v>
      </c>
      <c r="AN15" s="3" t="s">
        <v>127</v>
      </c>
      <c r="AO15" s="3" t="s">
        <v>127</v>
      </c>
      <c r="AP15" s="3" t="s">
        <v>127</v>
      </c>
      <c r="AQ15" s="3" t="s">
        <v>127</v>
      </c>
      <c r="AR15" s="3" t="s">
        <v>127</v>
      </c>
      <c r="AS15" s="3" t="s">
        <v>127</v>
      </c>
      <c r="AT15" s="3" t="s">
        <v>127</v>
      </c>
      <c r="AU15" s="9"/>
      <c r="AW15" s="8" t="s">
        <v>24</v>
      </c>
      <c r="AX15" s="3" t="s">
        <v>128</v>
      </c>
      <c r="AY15" s="3" t="s">
        <v>128</v>
      </c>
      <c r="AZ15" s="3" t="s">
        <v>128</v>
      </c>
      <c r="BA15" s="3" t="s">
        <v>128</v>
      </c>
      <c r="BB15" s="3" t="s">
        <v>128</v>
      </c>
      <c r="BC15" s="3" t="s">
        <v>128</v>
      </c>
      <c r="BD15" s="3" t="s">
        <v>128</v>
      </c>
      <c r="BE15" s="3" t="s">
        <v>128</v>
      </c>
      <c r="BF15" s="3" t="s">
        <v>128</v>
      </c>
      <c r="BG15" s="9"/>
    </row>
    <row r="16" spans="1:59" ht="16.2" customHeight="1" x14ac:dyDescent="0.3">
      <c r="A16" s="8" t="s">
        <v>25</v>
      </c>
      <c r="B16" s="4">
        <v>4</v>
      </c>
      <c r="C16" s="4">
        <v>4</v>
      </c>
      <c r="D16" s="4">
        <v>3</v>
      </c>
      <c r="E16" s="4">
        <v>3</v>
      </c>
      <c r="F16" s="4">
        <v>3</v>
      </c>
      <c r="G16" s="4">
        <v>3</v>
      </c>
      <c r="H16" s="4">
        <v>3</v>
      </c>
      <c r="I16" s="4">
        <v>3</v>
      </c>
      <c r="J16" s="4">
        <v>2</v>
      </c>
      <c r="K16" s="3" t="s">
        <v>12</v>
      </c>
      <c r="M16" s="8" t="s">
        <v>25</v>
      </c>
      <c r="N16" s="4">
        <v>4</v>
      </c>
      <c r="O16" s="4">
        <v>4</v>
      </c>
      <c r="P16" s="4">
        <v>3</v>
      </c>
      <c r="Q16" s="4">
        <v>3</v>
      </c>
      <c r="R16" s="4">
        <v>3</v>
      </c>
      <c r="S16" s="4">
        <v>3</v>
      </c>
      <c r="T16" s="4">
        <v>3</v>
      </c>
      <c r="U16" s="4">
        <v>3</v>
      </c>
      <c r="V16" s="4">
        <v>2</v>
      </c>
      <c r="W16" s="5" t="s">
        <v>49</v>
      </c>
      <c r="Y16" s="8" t="s">
        <v>25</v>
      </c>
      <c r="Z16" s="9" t="s">
        <v>90</v>
      </c>
      <c r="AA16" s="9" t="s">
        <v>90</v>
      </c>
      <c r="AB16" s="9" t="s">
        <v>90</v>
      </c>
      <c r="AC16" s="9" t="s">
        <v>90</v>
      </c>
      <c r="AD16" s="9" t="s">
        <v>90</v>
      </c>
      <c r="AE16" s="9" t="s">
        <v>90</v>
      </c>
      <c r="AF16" s="9" t="s">
        <v>90</v>
      </c>
      <c r="AG16" s="9" t="s">
        <v>90</v>
      </c>
      <c r="AH16" s="9" t="s">
        <v>90</v>
      </c>
      <c r="AI16" s="9"/>
      <c r="AK16" s="8" t="s">
        <v>25</v>
      </c>
      <c r="AL16" s="3" t="s">
        <v>127</v>
      </c>
      <c r="AM16" s="3" t="s">
        <v>127</v>
      </c>
      <c r="AN16" s="3" t="s">
        <v>127</v>
      </c>
      <c r="AO16" s="3" t="s">
        <v>127</v>
      </c>
      <c r="AP16" s="3" t="s">
        <v>127</v>
      </c>
      <c r="AQ16" s="3" t="s">
        <v>127</v>
      </c>
      <c r="AR16" s="3" t="s">
        <v>127</v>
      </c>
      <c r="AS16" s="3" t="s">
        <v>127</v>
      </c>
      <c r="AT16" s="3" t="s">
        <v>127</v>
      </c>
      <c r="AU16" s="9"/>
      <c r="AW16" s="8" t="s">
        <v>25</v>
      </c>
      <c r="AX16" s="3" t="s">
        <v>128</v>
      </c>
      <c r="AY16" s="3" t="s">
        <v>128</v>
      </c>
      <c r="AZ16" s="3" t="s">
        <v>128</v>
      </c>
      <c r="BA16" s="3" t="s">
        <v>128</v>
      </c>
      <c r="BB16" s="3" t="s">
        <v>128</v>
      </c>
      <c r="BC16" s="3" t="s">
        <v>128</v>
      </c>
      <c r="BD16" s="3" t="s">
        <v>128</v>
      </c>
      <c r="BE16" s="3" t="s">
        <v>128</v>
      </c>
      <c r="BF16" s="3" t="s">
        <v>128</v>
      </c>
      <c r="BG16" s="9"/>
    </row>
    <row r="17" spans="1:59" ht="16.2" customHeight="1" x14ac:dyDescent="0.3">
      <c r="A17" s="8" t="s">
        <v>151</v>
      </c>
      <c r="B17" s="4" t="s">
        <v>38</v>
      </c>
      <c r="C17" s="4">
        <v>9</v>
      </c>
      <c r="D17" s="4">
        <v>4</v>
      </c>
      <c r="E17" s="4">
        <v>3</v>
      </c>
      <c r="F17" s="4">
        <v>4</v>
      </c>
      <c r="G17" s="4">
        <v>3</v>
      </c>
      <c r="H17" s="4">
        <v>4</v>
      </c>
      <c r="I17" s="4">
        <v>3</v>
      </c>
      <c r="J17" s="4">
        <v>2</v>
      </c>
      <c r="K17" s="3" t="s">
        <v>12</v>
      </c>
      <c r="M17" s="8" t="s">
        <v>151</v>
      </c>
      <c r="N17" s="4" t="s">
        <v>38</v>
      </c>
      <c r="O17" s="4">
        <v>10</v>
      </c>
      <c r="P17" s="4">
        <v>5</v>
      </c>
      <c r="Q17" s="4">
        <v>4</v>
      </c>
      <c r="R17" s="4">
        <v>5</v>
      </c>
      <c r="S17" s="4">
        <v>4</v>
      </c>
      <c r="T17" s="4">
        <v>5</v>
      </c>
      <c r="U17" s="4">
        <v>4</v>
      </c>
      <c r="V17" s="4">
        <v>3</v>
      </c>
      <c r="W17" s="5" t="s">
        <v>49</v>
      </c>
      <c r="Y17" s="8" t="s">
        <v>151</v>
      </c>
      <c r="Z17" s="4" t="s">
        <v>40</v>
      </c>
      <c r="AA17" s="4" t="s">
        <v>40</v>
      </c>
      <c r="AB17" s="4" t="s">
        <v>40</v>
      </c>
      <c r="AC17" s="4" t="s">
        <v>40</v>
      </c>
      <c r="AD17" s="4" t="s">
        <v>40</v>
      </c>
      <c r="AE17" s="4" t="s">
        <v>40</v>
      </c>
      <c r="AF17" s="4" t="s">
        <v>40</v>
      </c>
      <c r="AG17" s="4" t="s">
        <v>40</v>
      </c>
      <c r="AH17" s="4" t="s">
        <v>40</v>
      </c>
      <c r="AI17" s="3" t="s">
        <v>12</v>
      </c>
      <c r="AK17" s="8" t="s">
        <v>151</v>
      </c>
      <c r="AL17" s="3" t="s">
        <v>127</v>
      </c>
      <c r="AM17" s="3" t="s">
        <v>127</v>
      </c>
      <c r="AN17" s="3" t="s">
        <v>127</v>
      </c>
      <c r="AO17" s="3" t="s">
        <v>127</v>
      </c>
      <c r="AP17" s="3" t="s">
        <v>127</v>
      </c>
      <c r="AQ17" s="3" t="s">
        <v>127</v>
      </c>
      <c r="AR17" s="3" t="s">
        <v>127</v>
      </c>
      <c r="AS17" s="3" t="s">
        <v>127</v>
      </c>
      <c r="AT17" s="3" t="s">
        <v>127</v>
      </c>
      <c r="AU17" s="9"/>
      <c r="AW17" s="8" t="s">
        <v>151</v>
      </c>
      <c r="AX17" s="4" t="s">
        <v>38</v>
      </c>
      <c r="AY17" s="4">
        <v>9</v>
      </c>
      <c r="AZ17" s="4">
        <v>4</v>
      </c>
      <c r="BA17" s="4">
        <v>3</v>
      </c>
      <c r="BB17" s="4">
        <v>4</v>
      </c>
      <c r="BC17" s="4">
        <v>3</v>
      </c>
      <c r="BD17" s="4">
        <v>4</v>
      </c>
      <c r="BE17" s="4">
        <v>3</v>
      </c>
      <c r="BF17" s="4">
        <v>2</v>
      </c>
      <c r="BG17" s="3" t="s">
        <v>31</v>
      </c>
    </row>
    <row r="18" spans="1:59" ht="16.2" customHeight="1" x14ac:dyDescent="0.3">
      <c r="A18" s="8" t="s">
        <v>152</v>
      </c>
      <c r="B18" s="4" t="s">
        <v>38</v>
      </c>
      <c r="C18" s="4">
        <v>9</v>
      </c>
      <c r="D18" s="4">
        <v>4</v>
      </c>
      <c r="E18" s="4">
        <v>3</v>
      </c>
      <c r="F18" s="4">
        <v>4</v>
      </c>
      <c r="G18" s="4">
        <v>3</v>
      </c>
      <c r="H18" s="4">
        <v>4</v>
      </c>
      <c r="I18" s="4">
        <v>3</v>
      </c>
      <c r="J18" s="4">
        <v>2</v>
      </c>
      <c r="K18" s="3" t="s">
        <v>12</v>
      </c>
      <c r="M18" s="8" t="s">
        <v>152</v>
      </c>
      <c r="N18" s="4" t="s">
        <v>38</v>
      </c>
      <c r="O18" s="4">
        <v>10</v>
      </c>
      <c r="P18" s="4">
        <v>5</v>
      </c>
      <c r="Q18" s="4">
        <v>3</v>
      </c>
      <c r="R18" s="4">
        <v>4</v>
      </c>
      <c r="S18" s="4">
        <v>3</v>
      </c>
      <c r="T18" s="4">
        <v>4</v>
      </c>
      <c r="U18" s="4">
        <v>3</v>
      </c>
      <c r="V18" s="4">
        <v>2</v>
      </c>
      <c r="W18" s="5" t="s">
        <v>49</v>
      </c>
      <c r="Y18" s="8" t="s">
        <v>152</v>
      </c>
      <c r="Z18" s="4" t="s">
        <v>40</v>
      </c>
      <c r="AA18" s="4" t="s">
        <v>40</v>
      </c>
      <c r="AB18" s="4" t="s">
        <v>40</v>
      </c>
      <c r="AC18" s="4" t="s">
        <v>40</v>
      </c>
      <c r="AD18" s="4" t="s">
        <v>40</v>
      </c>
      <c r="AE18" s="4" t="s">
        <v>40</v>
      </c>
      <c r="AF18" s="4" t="s">
        <v>40</v>
      </c>
      <c r="AG18" s="4" t="s">
        <v>40</v>
      </c>
      <c r="AH18" s="4" t="s">
        <v>40</v>
      </c>
      <c r="AI18" s="3" t="s">
        <v>12</v>
      </c>
      <c r="AK18" s="8" t="s">
        <v>152</v>
      </c>
      <c r="AL18" s="3" t="s">
        <v>127</v>
      </c>
      <c r="AM18" s="3" t="s">
        <v>127</v>
      </c>
      <c r="AN18" s="3" t="s">
        <v>127</v>
      </c>
      <c r="AO18" s="3" t="s">
        <v>127</v>
      </c>
      <c r="AP18" s="3" t="s">
        <v>127</v>
      </c>
      <c r="AQ18" s="3" t="s">
        <v>127</v>
      </c>
      <c r="AR18" s="3" t="s">
        <v>127</v>
      </c>
      <c r="AS18" s="3" t="s">
        <v>127</v>
      </c>
      <c r="AT18" s="3" t="s">
        <v>127</v>
      </c>
      <c r="AU18" s="9"/>
      <c r="AW18" s="8" t="s">
        <v>152</v>
      </c>
      <c r="AX18" s="3" t="s">
        <v>128</v>
      </c>
      <c r="AY18" s="3" t="s">
        <v>128</v>
      </c>
      <c r="AZ18" s="3" t="s">
        <v>128</v>
      </c>
      <c r="BA18" s="3" t="s">
        <v>128</v>
      </c>
      <c r="BB18" s="3" t="s">
        <v>128</v>
      </c>
      <c r="BC18" s="3" t="s">
        <v>128</v>
      </c>
      <c r="BD18" s="3" t="s">
        <v>128</v>
      </c>
      <c r="BE18" s="3" t="s">
        <v>128</v>
      </c>
      <c r="BF18" s="3" t="s">
        <v>128</v>
      </c>
      <c r="BG18" s="9"/>
    </row>
    <row r="19" spans="1:59" ht="16.2" customHeight="1" x14ac:dyDescent="0.3">
      <c r="A19" s="8" t="s">
        <v>39</v>
      </c>
      <c r="B19" s="4" t="s">
        <v>38</v>
      </c>
      <c r="C19" s="4">
        <v>4</v>
      </c>
      <c r="D19" s="4">
        <v>2</v>
      </c>
      <c r="E19" s="4">
        <v>1</v>
      </c>
      <c r="F19" s="4">
        <v>1</v>
      </c>
      <c r="G19" s="4" t="s">
        <v>170</v>
      </c>
      <c r="H19" s="4">
        <v>1</v>
      </c>
      <c r="I19" s="4">
        <v>1</v>
      </c>
      <c r="J19" s="4" t="s">
        <v>170</v>
      </c>
      <c r="K19" s="3" t="s">
        <v>12</v>
      </c>
      <c r="M19" s="8" t="s">
        <v>39</v>
      </c>
      <c r="N19" s="4" t="s">
        <v>38</v>
      </c>
      <c r="O19" s="4">
        <v>5</v>
      </c>
      <c r="P19" s="4">
        <v>3</v>
      </c>
      <c r="Q19" s="4">
        <v>1</v>
      </c>
      <c r="R19" s="4">
        <v>1</v>
      </c>
      <c r="S19" s="4" t="s">
        <v>170</v>
      </c>
      <c r="T19" s="4">
        <v>1</v>
      </c>
      <c r="U19" s="4">
        <v>1</v>
      </c>
      <c r="V19" s="4" t="s">
        <v>170</v>
      </c>
      <c r="W19" s="5" t="s">
        <v>47</v>
      </c>
      <c r="Y19" s="8" t="s">
        <v>39</v>
      </c>
      <c r="Z19" s="4" t="s">
        <v>38</v>
      </c>
      <c r="AA19" s="4">
        <v>4</v>
      </c>
      <c r="AB19" s="4">
        <v>2</v>
      </c>
      <c r="AC19" s="4">
        <v>1</v>
      </c>
      <c r="AD19" s="4">
        <v>1</v>
      </c>
      <c r="AE19" s="4" t="s">
        <v>170</v>
      </c>
      <c r="AF19" s="4">
        <v>1</v>
      </c>
      <c r="AG19" s="4">
        <v>1</v>
      </c>
      <c r="AH19" s="4" t="s">
        <v>170</v>
      </c>
      <c r="AI19" s="5" t="s">
        <v>48</v>
      </c>
      <c r="AK19" s="8" t="s">
        <v>39</v>
      </c>
      <c r="AL19" s="3" t="s">
        <v>127</v>
      </c>
      <c r="AM19" s="3" t="s">
        <v>127</v>
      </c>
      <c r="AN19" s="3" t="s">
        <v>127</v>
      </c>
      <c r="AO19" s="3" t="s">
        <v>127</v>
      </c>
      <c r="AP19" s="3" t="s">
        <v>127</v>
      </c>
      <c r="AQ19" s="4" t="s">
        <v>161</v>
      </c>
      <c r="AR19" s="3" t="s">
        <v>127</v>
      </c>
      <c r="AS19" s="3" t="s">
        <v>127</v>
      </c>
      <c r="AT19" s="3" t="s">
        <v>127</v>
      </c>
      <c r="AU19" s="9"/>
      <c r="AW19" s="8" t="s">
        <v>39</v>
      </c>
      <c r="AX19" s="3" t="s">
        <v>128</v>
      </c>
      <c r="AY19" s="3" t="s">
        <v>128</v>
      </c>
      <c r="AZ19" s="3" t="s">
        <v>128</v>
      </c>
      <c r="BA19" s="3" t="s">
        <v>128</v>
      </c>
      <c r="BB19" s="3" t="s">
        <v>128</v>
      </c>
      <c r="BC19" s="4" t="s">
        <v>161</v>
      </c>
      <c r="BD19" s="3" t="s">
        <v>128</v>
      </c>
      <c r="BE19" s="3" t="s">
        <v>128</v>
      </c>
      <c r="BF19" s="3" t="s">
        <v>128</v>
      </c>
      <c r="BG19" s="9"/>
    </row>
    <row r="20" spans="1:59" ht="16.2" customHeight="1" x14ac:dyDescent="0.3">
      <c r="A20" s="8" t="s">
        <v>26</v>
      </c>
      <c r="B20" s="4" t="s">
        <v>167</v>
      </c>
      <c r="C20" s="4" t="s">
        <v>167</v>
      </c>
      <c r="D20" s="4" t="s">
        <v>167</v>
      </c>
      <c r="E20" s="4" t="s">
        <v>167</v>
      </c>
      <c r="F20" s="4" t="s">
        <v>167</v>
      </c>
      <c r="G20" s="4" t="s">
        <v>167</v>
      </c>
      <c r="H20" s="4" t="s">
        <v>167</v>
      </c>
      <c r="I20" s="4" t="s">
        <v>167</v>
      </c>
      <c r="J20" s="4" t="s">
        <v>167</v>
      </c>
      <c r="K20" s="3" t="s">
        <v>12</v>
      </c>
      <c r="M20" s="8" t="s">
        <v>26</v>
      </c>
      <c r="N20" s="4" t="s">
        <v>38</v>
      </c>
      <c r="O20" s="4">
        <v>5</v>
      </c>
      <c r="P20" s="4">
        <v>3</v>
      </c>
      <c r="Q20" s="4">
        <v>2</v>
      </c>
      <c r="R20" s="4">
        <v>3</v>
      </c>
      <c r="S20" s="4">
        <v>2</v>
      </c>
      <c r="T20" s="4">
        <v>3</v>
      </c>
      <c r="U20" s="4">
        <v>3</v>
      </c>
      <c r="V20" s="4">
        <v>2</v>
      </c>
      <c r="W20" s="5" t="s">
        <v>47</v>
      </c>
      <c r="Y20" s="8" t="s">
        <v>26</v>
      </c>
      <c r="Z20" s="4" t="s">
        <v>38</v>
      </c>
      <c r="AA20" s="4">
        <v>2</v>
      </c>
      <c r="AB20" s="4" t="s">
        <v>169</v>
      </c>
      <c r="AC20" s="4" t="s">
        <v>169</v>
      </c>
      <c r="AD20" s="4" t="s">
        <v>169</v>
      </c>
      <c r="AE20" s="4" t="s">
        <v>169</v>
      </c>
      <c r="AF20" s="4" t="s">
        <v>169</v>
      </c>
      <c r="AG20" s="4" t="s">
        <v>169</v>
      </c>
      <c r="AH20" s="4" t="s">
        <v>169</v>
      </c>
      <c r="AI20" s="5" t="s">
        <v>48</v>
      </c>
      <c r="AK20" s="8" t="s">
        <v>26</v>
      </c>
      <c r="AL20" s="3" t="s">
        <v>127</v>
      </c>
      <c r="AM20" s="3" t="s">
        <v>127</v>
      </c>
      <c r="AN20" s="3" t="s">
        <v>127</v>
      </c>
      <c r="AO20" s="3" t="s">
        <v>127</v>
      </c>
      <c r="AP20" s="3" t="s">
        <v>127</v>
      </c>
      <c r="AQ20" s="3" t="s">
        <v>127</v>
      </c>
      <c r="AR20" s="3" t="s">
        <v>127</v>
      </c>
      <c r="AS20" s="3" t="s">
        <v>127</v>
      </c>
      <c r="AT20" s="3" t="s">
        <v>127</v>
      </c>
      <c r="AU20" s="9"/>
      <c r="AW20" s="8" t="s">
        <v>26</v>
      </c>
      <c r="AX20" s="3" t="s">
        <v>128</v>
      </c>
      <c r="AY20" s="3" t="s">
        <v>128</v>
      </c>
      <c r="AZ20" s="3" t="s">
        <v>128</v>
      </c>
      <c r="BA20" s="3" t="s">
        <v>128</v>
      </c>
      <c r="BB20" s="3" t="s">
        <v>128</v>
      </c>
      <c r="BC20" s="3" t="s">
        <v>128</v>
      </c>
      <c r="BD20" s="3" t="s">
        <v>128</v>
      </c>
      <c r="BE20" s="3" t="s">
        <v>128</v>
      </c>
      <c r="BF20" s="3" t="s">
        <v>128</v>
      </c>
      <c r="BG20" s="9"/>
    </row>
    <row r="21" spans="1:59" ht="16.2" customHeight="1" x14ac:dyDescent="0.3">
      <c r="A21" s="8" t="s">
        <v>27</v>
      </c>
      <c r="B21" s="4" t="s">
        <v>38</v>
      </c>
      <c r="C21" s="4">
        <v>5</v>
      </c>
      <c r="D21" s="4">
        <v>3</v>
      </c>
      <c r="E21" s="4">
        <v>2</v>
      </c>
      <c r="F21" s="4">
        <v>3</v>
      </c>
      <c r="G21" s="4">
        <v>2</v>
      </c>
      <c r="H21" s="4">
        <v>3</v>
      </c>
      <c r="I21" s="4">
        <v>1</v>
      </c>
      <c r="J21" s="4">
        <v>1</v>
      </c>
      <c r="K21" s="3" t="s">
        <v>12</v>
      </c>
      <c r="M21" s="8" t="s">
        <v>27</v>
      </c>
      <c r="N21" s="4" t="s">
        <v>38</v>
      </c>
      <c r="O21" s="4">
        <v>6</v>
      </c>
      <c r="P21" s="4">
        <v>4</v>
      </c>
      <c r="Q21" s="4">
        <v>3</v>
      </c>
      <c r="R21" s="4">
        <v>4</v>
      </c>
      <c r="S21" s="4">
        <v>3</v>
      </c>
      <c r="T21" s="4">
        <v>4</v>
      </c>
      <c r="U21" s="4">
        <v>2</v>
      </c>
      <c r="V21" s="4">
        <v>2</v>
      </c>
      <c r="W21" s="5" t="s">
        <v>47</v>
      </c>
      <c r="Y21" s="8" t="s">
        <v>27</v>
      </c>
      <c r="Z21" s="4" t="s">
        <v>38</v>
      </c>
      <c r="AA21" s="4">
        <v>5</v>
      </c>
      <c r="AB21" s="4">
        <v>3</v>
      </c>
      <c r="AC21" s="4">
        <v>2</v>
      </c>
      <c r="AD21" s="4">
        <v>3</v>
      </c>
      <c r="AE21" s="4">
        <v>2</v>
      </c>
      <c r="AF21" s="4">
        <v>3</v>
      </c>
      <c r="AG21" s="4">
        <v>1</v>
      </c>
      <c r="AH21" s="4">
        <v>1</v>
      </c>
      <c r="AI21" s="5" t="s">
        <v>48</v>
      </c>
      <c r="AK21" s="8" t="s">
        <v>27</v>
      </c>
      <c r="AL21" s="3" t="s">
        <v>127</v>
      </c>
      <c r="AM21" s="3" t="s">
        <v>127</v>
      </c>
      <c r="AN21" s="3" t="s">
        <v>127</v>
      </c>
      <c r="AO21" s="3" t="s">
        <v>127</v>
      </c>
      <c r="AP21" s="3" t="s">
        <v>127</v>
      </c>
      <c r="AQ21" s="3" t="s">
        <v>127</v>
      </c>
      <c r="AR21" s="3" t="s">
        <v>127</v>
      </c>
      <c r="AS21" s="3" t="s">
        <v>127</v>
      </c>
      <c r="AT21" s="3" t="s">
        <v>127</v>
      </c>
      <c r="AU21" s="9"/>
      <c r="AW21" s="8" t="s">
        <v>27</v>
      </c>
      <c r="AX21" s="3" t="s">
        <v>128</v>
      </c>
      <c r="AY21" s="3" t="s">
        <v>128</v>
      </c>
      <c r="AZ21" s="3" t="s">
        <v>128</v>
      </c>
      <c r="BA21" s="3" t="s">
        <v>128</v>
      </c>
      <c r="BB21" s="3" t="s">
        <v>128</v>
      </c>
      <c r="BC21" s="3" t="s">
        <v>128</v>
      </c>
      <c r="BD21" s="3" t="s">
        <v>128</v>
      </c>
      <c r="BE21" s="3" t="s">
        <v>128</v>
      </c>
      <c r="BF21" s="3" t="s">
        <v>128</v>
      </c>
      <c r="BG21" s="9"/>
    </row>
    <row r="22" spans="1:59" ht="16.2" customHeight="1" x14ac:dyDescent="0.3">
      <c r="A22" s="8" t="s">
        <v>28</v>
      </c>
      <c r="B22" s="4" t="s">
        <v>167</v>
      </c>
      <c r="C22" s="4" t="s">
        <v>167</v>
      </c>
      <c r="D22" s="4" t="s">
        <v>167</v>
      </c>
      <c r="E22" s="4" t="s">
        <v>167</v>
      </c>
      <c r="F22" s="4" t="s">
        <v>167</v>
      </c>
      <c r="G22" s="4" t="s">
        <v>167</v>
      </c>
      <c r="H22" s="4" t="s">
        <v>167</v>
      </c>
      <c r="I22" s="4" t="s">
        <v>167</v>
      </c>
      <c r="J22" s="4" t="s">
        <v>167</v>
      </c>
      <c r="K22" s="3" t="s">
        <v>12</v>
      </c>
      <c r="M22" s="8" t="s">
        <v>28</v>
      </c>
      <c r="N22" s="4">
        <v>20</v>
      </c>
      <c r="O22" s="4">
        <v>6</v>
      </c>
      <c r="P22" s="4">
        <v>5</v>
      </c>
      <c r="Q22" s="4">
        <v>3</v>
      </c>
      <c r="R22" s="4">
        <v>5</v>
      </c>
      <c r="S22" s="4">
        <v>3</v>
      </c>
      <c r="T22" s="4">
        <v>5</v>
      </c>
      <c r="U22" s="4">
        <v>3</v>
      </c>
      <c r="V22" s="4">
        <v>2</v>
      </c>
      <c r="W22" s="3" t="s">
        <v>49</v>
      </c>
      <c r="Y22" s="8" t="s">
        <v>28</v>
      </c>
      <c r="Z22" s="9" t="s">
        <v>90</v>
      </c>
      <c r="AA22" s="9" t="s">
        <v>90</v>
      </c>
      <c r="AB22" s="9" t="s">
        <v>90</v>
      </c>
      <c r="AC22" s="9" t="s">
        <v>90</v>
      </c>
      <c r="AD22" s="9" t="s">
        <v>90</v>
      </c>
      <c r="AE22" s="9" t="s">
        <v>90</v>
      </c>
      <c r="AF22" s="9" t="s">
        <v>90</v>
      </c>
      <c r="AG22" s="9" t="s">
        <v>90</v>
      </c>
      <c r="AH22" s="9" t="s">
        <v>90</v>
      </c>
      <c r="AI22" s="9"/>
      <c r="AK22" s="8" t="s">
        <v>28</v>
      </c>
      <c r="AL22" s="3" t="s">
        <v>127</v>
      </c>
      <c r="AM22" s="3" t="s">
        <v>127</v>
      </c>
      <c r="AN22" s="3" t="s">
        <v>127</v>
      </c>
      <c r="AO22" s="3" t="s">
        <v>127</v>
      </c>
      <c r="AP22" s="3" t="s">
        <v>127</v>
      </c>
      <c r="AQ22" s="3" t="s">
        <v>127</v>
      </c>
      <c r="AR22" s="3" t="s">
        <v>127</v>
      </c>
      <c r="AS22" s="3" t="s">
        <v>127</v>
      </c>
      <c r="AT22" s="3" t="s">
        <v>127</v>
      </c>
      <c r="AU22" s="9"/>
      <c r="AW22" s="8" t="s">
        <v>28</v>
      </c>
      <c r="AX22" s="3" t="s">
        <v>128</v>
      </c>
      <c r="AY22" s="3" t="s">
        <v>128</v>
      </c>
      <c r="AZ22" s="3" t="s">
        <v>128</v>
      </c>
      <c r="BA22" s="3" t="s">
        <v>128</v>
      </c>
      <c r="BB22" s="3" t="s">
        <v>128</v>
      </c>
      <c r="BC22" s="3" t="s">
        <v>128</v>
      </c>
      <c r="BD22" s="3" t="s">
        <v>128</v>
      </c>
      <c r="BE22" s="3" t="s">
        <v>128</v>
      </c>
      <c r="BF22" s="3" t="s">
        <v>128</v>
      </c>
      <c r="BG22" s="9"/>
    </row>
    <row r="23" spans="1:59" ht="16.2" customHeight="1" x14ac:dyDescent="0.3">
      <c r="A23" s="8" t="s">
        <v>30</v>
      </c>
      <c r="B23" s="4" t="s">
        <v>38</v>
      </c>
      <c r="C23" s="4">
        <v>11</v>
      </c>
      <c r="D23" s="4">
        <v>4</v>
      </c>
      <c r="E23" s="4">
        <v>2</v>
      </c>
      <c r="F23" s="4">
        <v>4</v>
      </c>
      <c r="G23" s="4">
        <v>2</v>
      </c>
      <c r="H23" s="4">
        <v>4</v>
      </c>
      <c r="I23" s="4">
        <v>3</v>
      </c>
      <c r="J23" s="4">
        <v>1</v>
      </c>
      <c r="K23" s="3" t="s">
        <v>12</v>
      </c>
      <c r="M23" s="8" t="s">
        <v>30</v>
      </c>
      <c r="N23" s="4" t="s">
        <v>38</v>
      </c>
      <c r="O23" s="4">
        <v>12</v>
      </c>
      <c r="P23" s="4">
        <v>5</v>
      </c>
      <c r="Q23" s="4">
        <v>3</v>
      </c>
      <c r="R23" s="4">
        <v>5</v>
      </c>
      <c r="S23" s="4">
        <v>3</v>
      </c>
      <c r="T23" s="4">
        <v>5</v>
      </c>
      <c r="U23" s="4">
        <v>4</v>
      </c>
      <c r="V23" s="4">
        <v>2</v>
      </c>
      <c r="W23" s="3" t="s">
        <v>49</v>
      </c>
      <c r="Y23" s="8" t="s">
        <v>30</v>
      </c>
      <c r="Z23" s="9" t="s">
        <v>90</v>
      </c>
      <c r="AA23" s="9" t="s">
        <v>90</v>
      </c>
      <c r="AB23" s="9" t="s">
        <v>90</v>
      </c>
      <c r="AC23" s="9" t="s">
        <v>90</v>
      </c>
      <c r="AD23" s="9" t="s">
        <v>90</v>
      </c>
      <c r="AE23" s="9" t="s">
        <v>90</v>
      </c>
      <c r="AF23" s="9" t="s">
        <v>90</v>
      </c>
      <c r="AG23" s="9" t="s">
        <v>90</v>
      </c>
      <c r="AH23" s="9" t="s">
        <v>90</v>
      </c>
      <c r="AI23" s="9"/>
      <c r="AK23" s="8" t="s">
        <v>30</v>
      </c>
      <c r="AL23" s="3" t="s">
        <v>127</v>
      </c>
      <c r="AM23" s="3" t="s">
        <v>127</v>
      </c>
      <c r="AN23" s="3" t="s">
        <v>127</v>
      </c>
      <c r="AO23" s="3" t="s">
        <v>127</v>
      </c>
      <c r="AP23" s="3" t="s">
        <v>127</v>
      </c>
      <c r="AQ23" s="3" t="s">
        <v>127</v>
      </c>
      <c r="AR23" s="3" t="s">
        <v>127</v>
      </c>
      <c r="AS23" s="3" t="s">
        <v>127</v>
      </c>
      <c r="AT23" s="3" t="s">
        <v>127</v>
      </c>
      <c r="AU23" s="9"/>
      <c r="AW23" s="8" t="s">
        <v>30</v>
      </c>
      <c r="AX23" s="3" t="s">
        <v>128</v>
      </c>
      <c r="AY23" s="3" t="s">
        <v>128</v>
      </c>
      <c r="AZ23" s="3" t="s">
        <v>128</v>
      </c>
      <c r="BA23" s="3" t="s">
        <v>128</v>
      </c>
      <c r="BB23" s="3" t="s">
        <v>128</v>
      </c>
      <c r="BC23" s="3" t="s">
        <v>128</v>
      </c>
      <c r="BD23" s="3" t="s">
        <v>128</v>
      </c>
      <c r="BE23" s="3" t="s">
        <v>128</v>
      </c>
      <c r="BF23" s="3" t="s">
        <v>128</v>
      </c>
      <c r="BG23" s="9"/>
    </row>
    <row r="24" spans="1:59" ht="16.2" customHeight="1" x14ac:dyDescent="0.3">
      <c r="A24" s="8" t="s">
        <v>50</v>
      </c>
      <c r="B24" s="4" t="s">
        <v>38</v>
      </c>
      <c r="C24" s="4">
        <v>11</v>
      </c>
      <c r="D24" s="4">
        <v>4</v>
      </c>
      <c r="E24" s="4">
        <v>4</v>
      </c>
      <c r="F24" s="4">
        <v>4</v>
      </c>
      <c r="G24" s="4">
        <v>4</v>
      </c>
      <c r="H24" s="4">
        <v>4</v>
      </c>
      <c r="I24" s="4">
        <v>3</v>
      </c>
      <c r="J24" s="4">
        <v>2</v>
      </c>
      <c r="K24" s="3" t="s">
        <v>12</v>
      </c>
      <c r="M24" s="8" t="s">
        <v>50</v>
      </c>
      <c r="N24" s="4" t="s">
        <v>38</v>
      </c>
      <c r="O24" s="4">
        <v>12</v>
      </c>
      <c r="P24" s="4">
        <v>5</v>
      </c>
      <c r="Q24" s="4">
        <v>5</v>
      </c>
      <c r="R24" s="4">
        <v>5</v>
      </c>
      <c r="S24" s="4">
        <v>5</v>
      </c>
      <c r="T24" s="4">
        <v>5</v>
      </c>
      <c r="U24" s="4">
        <v>4</v>
      </c>
      <c r="V24" s="4">
        <v>3</v>
      </c>
      <c r="W24" s="5" t="s">
        <v>47</v>
      </c>
      <c r="Y24" s="8" t="s">
        <v>50</v>
      </c>
      <c r="Z24" s="4" t="s">
        <v>38</v>
      </c>
      <c r="AA24" s="4">
        <v>11</v>
      </c>
      <c r="AB24" s="4">
        <v>4</v>
      </c>
      <c r="AC24" s="4">
        <v>4</v>
      </c>
      <c r="AD24" s="4">
        <v>4</v>
      </c>
      <c r="AE24" s="4">
        <v>4</v>
      </c>
      <c r="AF24" s="4">
        <v>4</v>
      </c>
      <c r="AG24" s="4">
        <v>3</v>
      </c>
      <c r="AH24" s="4">
        <v>2</v>
      </c>
      <c r="AI24" s="5" t="s">
        <v>48</v>
      </c>
      <c r="AK24" s="8" t="s">
        <v>50</v>
      </c>
      <c r="AL24" s="3" t="s">
        <v>127</v>
      </c>
      <c r="AM24" s="3" t="s">
        <v>127</v>
      </c>
      <c r="AN24" s="3" t="s">
        <v>127</v>
      </c>
      <c r="AO24" s="3" t="s">
        <v>127</v>
      </c>
      <c r="AP24" s="3" t="s">
        <v>127</v>
      </c>
      <c r="AQ24" s="3" t="s">
        <v>127</v>
      </c>
      <c r="AR24" s="3" t="s">
        <v>127</v>
      </c>
      <c r="AS24" s="3" t="s">
        <v>127</v>
      </c>
      <c r="AT24" s="3" t="s">
        <v>127</v>
      </c>
      <c r="AU24" s="3"/>
      <c r="AW24" s="8" t="s">
        <v>50</v>
      </c>
      <c r="AX24" s="4">
        <v>4</v>
      </c>
      <c r="AY24" s="4">
        <v>4</v>
      </c>
      <c r="AZ24" s="4">
        <v>4</v>
      </c>
      <c r="BA24" s="4">
        <v>4</v>
      </c>
      <c r="BB24" s="4">
        <v>4</v>
      </c>
      <c r="BC24" s="4">
        <v>4</v>
      </c>
      <c r="BD24" s="4">
        <v>4</v>
      </c>
      <c r="BE24" s="4">
        <v>3</v>
      </c>
      <c r="BF24" s="4">
        <v>2</v>
      </c>
      <c r="BG24" s="3" t="s">
        <v>31</v>
      </c>
    </row>
    <row r="25" spans="1:59" ht="16.2" customHeight="1" x14ac:dyDescent="0.3">
      <c r="A25" s="8" t="s">
        <v>54</v>
      </c>
      <c r="B25" s="4" t="s">
        <v>38</v>
      </c>
      <c r="C25" s="4">
        <v>11</v>
      </c>
      <c r="D25" s="4">
        <v>4</v>
      </c>
      <c r="E25" s="4">
        <v>4</v>
      </c>
      <c r="F25" s="4">
        <v>4</v>
      </c>
      <c r="G25" s="4">
        <v>4</v>
      </c>
      <c r="H25" s="4">
        <v>4</v>
      </c>
      <c r="I25" s="4">
        <v>3</v>
      </c>
      <c r="J25" s="4">
        <v>2</v>
      </c>
      <c r="K25" s="3" t="s">
        <v>12</v>
      </c>
      <c r="M25" s="8" t="s">
        <v>54</v>
      </c>
      <c r="N25" s="4" t="s">
        <v>38</v>
      </c>
      <c r="O25" s="4">
        <v>12</v>
      </c>
      <c r="P25" s="4">
        <v>5</v>
      </c>
      <c r="Q25" s="4">
        <v>5</v>
      </c>
      <c r="R25" s="4">
        <v>5</v>
      </c>
      <c r="S25" s="4">
        <v>5</v>
      </c>
      <c r="T25" s="4">
        <v>5</v>
      </c>
      <c r="U25" s="4">
        <v>4</v>
      </c>
      <c r="V25" s="4">
        <v>3</v>
      </c>
      <c r="W25" s="5" t="s">
        <v>47</v>
      </c>
      <c r="Y25" s="8" t="s">
        <v>54</v>
      </c>
      <c r="Z25" s="4" t="s">
        <v>38</v>
      </c>
      <c r="AA25" s="4">
        <v>11</v>
      </c>
      <c r="AB25" s="4">
        <v>4</v>
      </c>
      <c r="AC25" s="4">
        <v>4</v>
      </c>
      <c r="AD25" s="4">
        <v>4</v>
      </c>
      <c r="AE25" s="4">
        <v>4</v>
      </c>
      <c r="AF25" s="4">
        <v>4</v>
      </c>
      <c r="AG25" s="4">
        <v>4</v>
      </c>
      <c r="AH25" s="4">
        <v>2</v>
      </c>
      <c r="AI25" s="5" t="s">
        <v>48</v>
      </c>
      <c r="AK25" s="8" t="s">
        <v>54</v>
      </c>
      <c r="AL25" s="3" t="s">
        <v>127</v>
      </c>
      <c r="AM25" s="3" t="s">
        <v>127</v>
      </c>
      <c r="AN25" s="3" t="s">
        <v>127</v>
      </c>
      <c r="AO25" s="3" t="s">
        <v>127</v>
      </c>
      <c r="AP25" s="3" t="s">
        <v>127</v>
      </c>
      <c r="AQ25" s="3" t="s">
        <v>127</v>
      </c>
      <c r="AR25" s="3" t="s">
        <v>127</v>
      </c>
      <c r="AS25" s="3" t="s">
        <v>127</v>
      </c>
      <c r="AT25" s="3" t="s">
        <v>127</v>
      </c>
      <c r="AU25" s="3"/>
      <c r="AW25" s="8" t="s">
        <v>54</v>
      </c>
      <c r="AX25" s="4">
        <v>4</v>
      </c>
      <c r="AY25" s="4">
        <v>4</v>
      </c>
      <c r="AZ25" s="4">
        <v>4</v>
      </c>
      <c r="BA25" s="4">
        <v>4</v>
      </c>
      <c r="BB25" s="4">
        <v>4</v>
      </c>
      <c r="BC25" s="4">
        <v>4</v>
      </c>
      <c r="BD25" s="4">
        <v>4</v>
      </c>
      <c r="BE25" s="4">
        <v>4</v>
      </c>
      <c r="BF25" s="4">
        <v>3</v>
      </c>
      <c r="BG25" s="3" t="s">
        <v>31</v>
      </c>
    </row>
    <row r="26" spans="1:59" ht="16.2" customHeight="1" x14ac:dyDescent="0.3">
      <c r="A26" s="8" t="s">
        <v>137</v>
      </c>
      <c r="B26" s="4" t="s">
        <v>167</v>
      </c>
      <c r="C26" s="4" t="s">
        <v>167</v>
      </c>
      <c r="D26" s="4" t="s">
        <v>167</v>
      </c>
      <c r="E26" s="4" t="s">
        <v>167</v>
      </c>
      <c r="F26" s="4" t="s">
        <v>167</v>
      </c>
      <c r="G26" s="4" t="s">
        <v>167</v>
      </c>
      <c r="H26" s="4" t="s">
        <v>167</v>
      </c>
      <c r="I26" s="4" t="s">
        <v>167</v>
      </c>
      <c r="J26" s="4" t="s">
        <v>167</v>
      </c>
      <c r="K26" s="3" t="s">
        <v>12</v>
      </c>
      <c r="M26" s="11" t="s">
        <v>137</v>
      </c>
      <c r="N26" s="4" t="s">
        <v>38</v>
      </c>
      <c r="O26" s="4">
        <v>12</v>
      </c>
      <c r="P26" s="4">
        <v>5</v>
      </c>
      <c r="Q26" s="4">
        <v>5</v>
      </c>
      <c r="R26" s="4">
        <v>5</v>
      </c>
      <c r="S26" s="4">
        <v>5</v>
      </c>
      <c r="T26" s="4">
        <v>5</v>
      </c>
      <c r="U26" s="4">
        <v>4</v>
      </c>
      <c r="V26" s="4">
        <v>3</v>
      </c>
      <c r="W26" s="5" t="s">
        <v>47</v>
      </c>
      <c r="Y26" s="8" t="s">
        <v>137</v>
      </c>
      <c r="Z26" s="4" t="s">
        <v>38</v>
      </c>
      <c r="AA26" s="4">
        <v>11</v>
      </c>
      <c r="AB26" s="4">
        <v>4</v>
      </c>
      <c r="AC26" s="4">
        <v>4</v>
      </c>
      <c r="AD26" s="4">
        <v>4</v>
      </c>
      <c r="AE26" s="4">
        <v>4</v>
      </c>
      <c r="AF26" s="4">
        <v>4</v>
      </c>
      <c r="AG26" s="4">
        <v>4</v>
      </c>
      <c r="AH26" s="4">
        <v>2</v>
      </c>
      <c r="AI26" s="5" t="s">
        <v>48</v>
      </c>
      <c r="AK26" s="8" t="s">
        <v>137</v>
      </c>
      <c r="AL26" s="3" t="s">
        <v>127</v>
      </c>
      <c r="AM26" s="3" t="s">
        <v>127</v>
      </c>
      <c r="AN26" s="3" t="s">
        <v>127</v>
      </c>
      <c r="AO26" s="3" t="s">
        <v>127</v>
      </c>
      <c r="AP26" s="3" t="s">
        <v>127</v>
      </c>
      <c r="AQ26" s="3" t="s">
        <v>127</v>
      </c>
      <c r="AR26" s="3" t="s">
        <v>127</v>
      </c>
      <c r="AS26" s="3" t="s">
        <v>127</v>
      </c>
      <c r="AT26" s="3" t="s">
        <v>127</v>
      </c>
      <c r="AU26" s="9"/>
      <c r="AW26" s="8" t="s">
        <v>137</v>
      </c>
      <c r="AX26" s="3" t="s">
        <v>128</v>
      </c>
      <c r="AY26" s="3" t="s">
        <v>128</v>
      </c>
      <c r="AZ26" s="3" t="s">
        <v>128</v>
      </c>
      <c r="BA26" s="3" t="s">
        <v>128</v>
      </c>
      <c r="BB26" s="3" t="s">
        <v>128</v>
      </c>
      <c r="BC26" s="3" t="s">
        <v>128</v>
      </c>
      <c r="BD26" s="3" t="s">
        <v>128</v>
      </c>
      <c r="BE26" s="3" t="s">
        <v>128</v>
      </c>
      <c r="BF26" s="3" t="s">
        <v>128</v>
      </c>
      <c r="BG26" s="9"/>
    </row>
    <row r="27" spans="1:59" ht="16.2" customHeight="1" x14ac:dyDescent="0.3">
      <c r="A27" s="8" t="s">
        <v>55</v>
      </c>
      <c r="B27" s="4" t="s">
        <v>38</v>
      </c>
      <c r="C27" s="4">
        <v>6</v>
      </c>
      <c r="D27" s="4">
        <v>3</v>
      </c>
      <c r="E27" s="4" t="s">
        <v>164</v>
      </c>
      <c r="F27" s="4">
        <v>3</v>
      </c>
      <c r="G27" s="4" t="s">
        <v>164</v>
      </c>
      <c r="H27" s="4" t="s">
        <v>164</v>
      </c>
      <c r="I27" s="4">
        <v>3</v>
      </c>
      <c r="J27" s="4" t="s">
        <v>164</v>
      </c>
      <c r="K27" s="3" t="s">
        <v>12</v>
      </c>
      <c r="M27" s="8" t="s">
        <v>55</v>
      </c>
      <c r="N27" s="4" t="s">
        <v>38</v>
      </c>
      <c r="O27" s="4">
        <v>6</v>
      </c>
      <c r="P27" s="4">
        <v>3</v>
      </c>
      <c r="Q27" s="4" t="s">
        <v>164</v>
      </c>
      <c r="R27" s="4">
        <v>3</v>
      </c>
      <c r="S27" s="4" t="s">
        <v>164</v>
      </c>
      <c r="T27" s="4" t="s">
        <v>164</v>
      </c>
      <c r="U27" s="4">
        <v>3</v>
      </c>
      <c r="V27" s="4" t="s">
        <v>164</v>
      </c>
      <c r="W27" s="5" t="s">
        <v>49</v>
      </c>
      <c r="Y27" s="8" t="s">
        <v>55</v>
      </c>
      <c r="Z27" s="9" t="s">
        <v>90</v>
      </c>
      <c r="AA27" s="9" t="s">
        <v>90</v>
      </c>
      <c r="AB27" s="9" t="s">
        <v>90</v>
      </c>
      <c r="AC27" s="9" t="s">
        <v>90</v>
      </c>
      <c r="AD27" s="9" t="s">
        <v>90</v>
      </c>
      <c r="AE27" s="9" t="s">
        <v>90</v>
      </c>
      <c r="AF27" s="9" t="s">
        <v>90</v>
      </c>
      <c r="AG27" s="9" t="s">
        <v>90</v>
      </c>
      <c r="AH27" s="9" t="s">
        <v>90</v>
      </c>
      <c r="AI27" s="9"/>
      <c r="AK27" s="8" t="s">
        <v>55</v>
      </c>
      <c r="AL27" s="3" t="s">
        <v>127</v>
      </c>
      <c r="AM27" s="3" t="s">
        <v>127</v>
      </c>
      <c r="AN27" s="3" t="s">
        <v>127</v>
      </c>
      <c r="AO27" s="4" t="s">
        <v>164</v>
      </c>
      <c r="AP27" s="3" t="s">
        <v>127</v>
      </c>
      <c r="AQ27" s="4" t="s">
        <v>164</v>
      </c>
      <c r="AR27" s="4" t="s">
        <v>164</v>
      </c>
      <c r="AS27" s="3" t="s">
        <v>127</v>
      </c>
      <c r="AT27" s="4" t="s">
        <v>164</v>
      </c>
      <c r="AU27" s="3"/>
      <c r="AW27" s="8" t="s">
        <v>55</v>
      </c>
      <c r="AX27" s="4" t="s">
        <v>38</v>
      </c>
      <c r="AY27" s="4">
        <v>4</v>
      </c>
      <c r="AZ27" s="4">
        <v>3</v>
      </c>
      <c r="BA27" s="4" t="s">
        <v>164</v>
      </c>
      <c r="BB27" s="4">
        <v>3</v>
      </c>
      <c r="BC27" s="4" t="s">
        <v>164</v>
      </c>
      <c r="BD27" s="4" t="s">
        <v>164</v>
      </c>
      <c r="BE27" s="4">
        <v>3</v>
      </c>
      <c r="BF27" s="4" t="s">
        <v>164</v>
      </c>
      <c r="BG27" s="3" t="s">
        <v>31</v>
      </c>
    </row>
    <row r="28" spans="1:59" ht="16.2" customHeight="1" x14ac:dyDescent="0.3">
      <c r="A28" s="10" t="s">
        <v>56</v>
      </c>
      <c r="B28" s="4" t="s">
        <v>38</v>
      </c>
      <c r="C28" s="4">
        <v>11</v>
      </c>
      <c r="D28" s="4">
        <v>4</v>
      </c>
      <c r="E28" s="4">
        <v>4</v>
      </c>
      <c r="F28" s="4">
        <v>4</v>
      </c>
      <c r="G28" s="4">
        <v>4</v>
      </c>
      <c r="H28" s="4">
        <v>4</v>
      </c>
      <c r="I28" s="4">
        <v>3</v>
      </c>
      <c r="J28" s="4">
        <v>3</v>
      </c>
      <c r="K28" s="3" t="s">
        <v>12</v>
      </c>
      <c r="M28" s="10" t="s">
        <v>56</v>
      </c>
      <c r="N28" s="4" t="s">
        <v>38</v>
      </c>
      <c r="O28" s="4">
        <v>12</v>
      </c>
      <c r="P28" s="4">
        <v>5</v>
      </c>
      <c r="Q28" s="4">
        <v>5</v>
      </c>
      <c r="R28" s="4">
        <v>5</v>
      </c>
      <c r="S28" s="4">
        <v>5</v>
      </c>
      <c r="T28" s="4">
        <v>5</v>
      </c>
      <c r="U28" s="4">
        <v>4</v>
      </c>
      <c r="V28" s="4">
        <v>4</v>
      </c>
      <c r="W28" s="3" t="s">
        <v>49</v>
      </c>
      <c r="Y28" s="10" t="s">
        <v>56</v>
      </c>
      <c r="Z28" s="9" t="s">
        <v>90</v>
      </c>
      <c r="AA28" s="9" t="s">
        <v>90</v>
      </c>
      <c r="AB28" s="9" t="s">
        <v>90</v>
      </c>
      <c r="AC28" s="9" t="s">
        <v>90</v>
      </c>
      <c r="AD28" s="9" t="s">
        <v>90</v>
      </c>
      <c r="AE28" s="9" t="s">
        <v>90</v>
      </c>
      <c r="AF28" s="9" t="s">
        <v>90</v>
      </c>
      <c r="AG28" s="9" t="s">
        <v>90</v>
      </c>
      <c r="AH28" s="9" t="s">
        <v>90</v>
      </c>
      <c r="AI28" s="9"/>
      <c r="AK28" s="10" t="s">
        <v>56</v>
      </c>
      <c r="AL28" s="4">
        <v>4</v>
      </c>
      <c r="AM28" s="4">
        <v>4</v>
      </c>
      <c r="AN28" s="4">
        <v>4</v>
      </c>
      <c r="AO28" s="4">
        <v>4</v>
      </c>
      <c r="AP28" s="4">
        <v>4</v>
      </c>
      <c r="AQ28" s="4">
        <v>4</v>
      </c>
      <c r="AR28" s="4">
        <v>4</v>
      </c>
      <c r="AS28" s="4">
        <v>3</v>
      </c>
      <c r="AT28" s="4">
        <v>3</v>
      </c>
      <c r="AU28" s="3" t="s">
        <v>35</v>
      </c>
      <c r="AW28" s="10" t="s">
        <v>56</v>
      </c>
      <c r="AX28" s="4">
        <v>4</v>
      </c>
      <c r="AY28" s="4">
        <v>4</v>
      </c>
      <c r="AZ28" s="4">
        <v>4</v>
      </c>
      <c r="BA28" s="4">
        <v>4</v>
      </c>
      <c r="BB28" s="4">
        <v>4</v>
      </c>
      <c r="BC28" s="4">
        <v>4</v>
      </c>
      <c r="BD28" s="4">
        <v>4</v>
      </c>
      <c r="BE28" s="4">
        <v>4</v>
      </c>
      <c r="BF28" s="4">
        <v>4</v>
      </c>
      <c r="BG28" s="3" t="s">
        <v>31</v>
      </c>
    </row>
    <row r="29" spans="1:59" ht="16.2" customHeight="1" x14ac:dyDescent="0.3">
      <c r="A29" s="8" t="s">
        <v>57</v>
      </c>
      <c r="B29" s="4" t="s">
        <v>38</v>
      </c>
      <c r="C29" s="4">
        <v>11</v>
      </c>
      <c r="D29" s="4">
        <v>4</v>
      </c>
      <c r="E29" s="4">
        <v>4</v>
      </c>
      <c r="F29" s="4">
        <v>4</v>
      </c>
      <c r="G29" s="4">
        <v>4</v>
      </c>
      <c r="H29" s="4">
        <v>4</v>
      </c>
      <c r="I29" s="4">
        <v>3</v>
      </c>
      <c r="J29" s="4">
        <v>2</v>
      </c>
      <c r="K29" s="3" t="s">
        <v>12</v>
      </c>
      <c r="M29" s="8" t="s">
        <v>57</v>
      </c>
      <c r="N29" s="4" t="s">
        <v>38</v>
      </c>
      <c r="O29" s="4">
        <v>11</v>
      </c>
      <c r="P29" s="4">
        <v>5</v>
      </c>
      <c r="Q29" s="4">
        <v>5</v>
      </c>
      <c r="R29" s="4">
        <v>5</v>
      </c>
      <c r="S29" s="4">
        <v>5</v>
      </c>
      <c r="T29" s="4">
        <v>5</v>
      </c>
      <c r="U29" s="4">
        <v>4</v>
      </c>
      <c r="V29" s="4">
        <v>3</v>
      </c>
      <c r="W29" s="5" t="s">
        <v>49</v>
      </c>
      <c r="Y29" s="8" t="s">
        <v>57</v>
      </c>
      <c r="Z29" s="9" t="s">
        <v>90</v>
      </c>
      <c r="AA29" s="9" t="s">
        <v>90</v>
      </c>
      <c r="AB29" s="9" t="s">
        <v>90</v>
      </c>
      <c r="AC29" s="9" t="s">
        <v>90</v>
      </c>
      <c r="AD29" s="9" t="s">
        <v>90</v>
      </c>
      <c r="AE29" s="9" t="s">
        <v>90</v>
      </c>
      <c r="AF29" s="9" t="s">
        <v>90</v>
      </c>
      <c r="AG29" s="9" t="s">
        <v>90</v>
      </c>
      <c r="AH29" s="9" t="s">
        <v>90</v>
      </c>
      <c r="AI29" s="9"/>
      <c r="AK29" s="8" t="s">
        <v>57</v>
      </c>
      <c r="AL29" s="4">
        <v>4</v>
      </c>
      <c r="AM29" s="4">
        <v>4</v>
      </c>
      <c r="AN29" s="4">
        <v>4</v>
      </c>
      <c r="AO29" s="4">
        <v>4</v>
      </c>
      <c r="AP29" s="4">
        <v>4</v>
      </c>
      <c r="AQ29" s="4">
        <v>4</v>
      </c>
      <c r="AR29" s="4">
        <v>4</v>
      </c>
      <c r="AS29" s="4">
        <v>3</v>
      </c>
      <c r="AT29" s="4">
        <v>2</v>
      </c>
      <c r="AU29" s="3" t="s">
        <v>35</v>
      </c>
      <c r="AW29" s="8" t="s">
        <v>57</v>
      </c>
      <c r="AX29" s="4">
        <v>4</v>
      </c>
      <c r="AY29" s="4">
        <v>4</v>
      </c>
      <c r="AZ29" s="4">
        <v>4</v>
      </c>
      <c r="BA29" s="4">
        <v>4</v>
      </c>
      <c r="BB29" s="4">
        <v>4</v>
      </c>
      <c r="BC29" s="4">
        <v>4</v>
      </c>
      <c r="BD29" s="4">
        <v>4</v>
      </c>
      <c r="BE29" s="4">
        <v>4</v>
      </c>
      <c r="BF29" s="4">
        <v>3</v>
      </c>
      <c r="BG29" s="3" t="s">
        <v>31</v>
      </c>
    </row>
    <row r="30" spans="1:59" ht="16.2" customHeight="1" x14ac:dyDescent="0.3">
      <c r="A30" s="8" t="s">
        <v>29</v>
      </c>
      <c r="B30" s="4" t="s">
        <v>38</v>
      </c>
      <c r="C30" s="4">
        <v>11</v>
      </c>
      <c r="D30" s="4">
        <v>4</v>
      </c>
      <c r="E30" s="4">
        <v>2</v>
      </c>
      <c r="F30" s="4">
        <v>3</v>
      </c>
      <c r="G30" s="4">
        <v>2</v>
      </c>
      <c r="H30" s="4">
        <v>4</v>
      </c>
      <c r="I30" s="4">
        <v>3</v>
      </c>
      <c r="J30" s="4">
        <v>1</v>
      </c>
      <c r="K30" s="3" t="s">
        <v>12</v>
      </c>
      <c r="M30" s="8" t="s">
        <v>29</v>
      </c>
      <c r="N30" s="4" t="s">
        <v>38</v>
      </c>
      <c r="O30" s="4">
        <v>12</v>
      </c>
      <c r="P30" s="4">
        <v>5</v>
      </c>
      <c r="Q30" s="4">
        <v>3</v>
      </c>
      <c r="R30" s="4">
        <v>4</v>
      </c>
      <c r="S30" s="4">
        <v>3</v>
      </c>
      <c r="T30" s="4">
        <v>5</v>
      </c>
      <c r="U30" s="4">
        <v>4</v>
      </c>
      <c r="V30" s="4">
        <v>2</v>
      </c>
      <c r="W30" s="3" t="s">
        <v>49</v>
      </c>
      <c r="Y30" s="8" t="s">
        <v>29</v>
      </c>
      <c r="Z30" s="9" t="s">
        <v>90</v>
      </c>
      <c r="AA30" s="9" t="s">
        <v>90</v>
      </c>
      <c r="AB30" s="9" t="s">
        <v>90</v>
      </c>
      <c r="AC30" s="9" t="s">
        <v>90</v>
      </c>
      <c r="AD30" s="9" t="s">
        <v>90</v>
      </c>
      <c r="AE30" s="9" t="s">
        <v>90</v>
      </c>
      <c r="AF30" s="9" t="s">
        <v>90</v>
      </c>
      <c r="AG30" s="9" t="s">
        <v>90</v>
      </c>
      <c r="AH30" s="9" t="s">
        <v>90</v>
      </c>
      <c r="AI30" s="9"/>
      <c r="AK30" s="8" t="s">
        <v>29</v>
      </c>
      <c r="AL30" s="3" t="s">
        <v>127</v>
      </c>
      <c r="AM30" s="3" t="s">
        <v>127</v>
      </c>
      <c r="AN30" s="3" t="s">
        <v>127</v>
      </c>
      <c r="AO30" s="3" t="s">
        <v>127</v>
      </c>
      <c r="AP30" s="3" t="s">
        <v>127</v>
      </c>
      <c r="AQ30" s="3" t="s">
        <v>127</v>
      </c>
      <c r="AR30" s="3" t="s">
        <v>127</v>
      </c>
      <c r="AS30" s="3" t="s">
        <v>127</v>
      </c>
      <c r="AT30" s="3" t="s">
        <v>127</v>
      </c>
      <c r="AU30" s="9"/>
      <c r="AW30" s="8" t="s">
        <v>29</v>
      </c>
      <c r="AX30" s="3" t="s">
        <v>128</v>
      </c>
      <c r="AY30" s="3" t="s">
        <v>128</v>
      </c>
      <c r="AZ30" s="3" t="s">
        <v>128</v>
      </c>
      <c r="BA30" s="3" t="s">
        <v>128</v>
      </c>
      <c r="BB30" s="3" t="s">
        <v>128</v>
      </c>
      <c r="BC30" s="3" t="s">
        <v>128</v>
      </c>
      <c r="BD30" s="3" t="s">
        <v>128</v>
      </c>
      <c r="BE30" s="3" t="s">
        <v>128</v>
      </c>
      <c r="BF30" s="3" t="s">
        <v>128</v>
      </c>
      <c r="BG30" s="9"/>
    </row>
    <row r="31" spans="1:59" ht="16.2" customHeight="1" x14ac:dyDescent="0.3">
      <c r="A31" s="8" t="s">
        <v>36</v>
      </c>
      <c r="B31" s="4" t="s">
        <v>38</v>
      </c>
      <c r="C31" s="4">
        <v>11</v>
      </c>
      <c r="D31" s="4">
        <v>5</v>
      </c>
      <c r="E31" s="4">
        <v>3</v>
      </c>
      <c r="F31" s="4">
        <v>4</v>
      </c>
      <c r="G31" s="4">
        <v>3</v>
      </c>
      <c r="H31" s="4">
        <v>4</v>
      </c>
      <c r="I31" s="4">
        <v>4</v>
      </c>
      <c r="J31" s="4">
        <v>2</v>
      </c>
      <c r="K31" s="3" t="s">
        <v>12</v>
      </c>
      <c r="M31" s="8" t="s">
        <v>36</v>
      </c>
      <c r="N31" s="4" t="s">
        <v>38</v>
      </c>
      <c r="O31" s="4">
        <v>12</v>
      </c>
      <c r="P31" s="4">
        <v>6</v>
      </c>
      <c r="Q31" s="4">
        <v>4</v>
      </c>
      <c r="R31" s="4">
        <v>5</v>
      </c>
      <c r="S31" s="4">
        <v>4</v>
      </c>
      <c r="T31" s="4">
        <v>5</v>
      </c>
      <c r="U31" s="4">
        <v>5</v>
      </c>
      <c r="V31" s="4">
        <v>3</v>
      </c>
      <c r="W31" s="3" t="s">
        <v>49</v>
      </c>
      <c r="Y31" s="8" t="s">
        <v>36</v>
      </c>
      <c r="Z31" s="9" t="s">
        <v>90</v>
      </c>
      <c r="AA31" s="9" t="s">
        <v>90</v>
      </c>
      <c r="AB31" s="9" t="s">
        <v>90</v>
      </c>
      <c r="AC31" s="9" t="s">
        <v>90</v>
      </c>
      <c r="AD31" s="9" t="s">
        <v>90</v>
      </c>
      <c r="AE31" s="9" t="s">
        <v>90</v>
      </c>
      <c r="AF31" s="9" t="s">
        <v>90</v>
      </c>
      <c r="AG31" s="9" t="s">
        <v>90</v>
      </c>
      <c r="AH31" s="9" t="s">
        <v>90</v>
      </c>
      <c r="AI31" s="9"/>
      <c r="AK31" s="8" t="s">
        <v>36</v>
      </c>
      <c r="AL31" s="3" t="s">
        <v>127</v>
      </c>
      <c r="AM31" s="3" t="s">
        <v>127</v>
      </c>
      <c r="AN31" s="3" t="s">
        <v>127</v>
      </c>
      <c r="AO31" s="3" t="s">
        <v>127</v>
      </c>
      <c r="AP31" s="3" t="s">
        <v>127</v>
      </c>
      <c r="AQ31" s="3" t="s">
        <v>127</v>
      </c>
      <c r="AR31" s="3" t="s">
        <v>127</v>
      </c>
      <c r="AS31" s="3" t="s">
        <v>127</v>
      </c>
      <c r="AT31" s="3" t="s">
        <v>127</v>
      </c>
      <c r="AU31" s="9"/>
      <c r="AW31" s="8" t="s">
        <v>36</v>
      </c>
      <c r="AX31" s="3" t="s">
        <v>128</v>
      </c>
      <c r="AY31" s="3" t="s">
        <v>128</v>
      </c>
      <c r="AZ31" s="3" t="s">
        <v>128</v>
      </c>
      <c r="BA31" s="3" t="s">
        <v>128</v>
      </c>
      <c r="BB31" s="3" t="s">
        <v>128</v>
      </c>
      <c r="BC31" s="3" t="s">
        <v>128</v>
      </c>
      <c r="BD31" s="3" t="s">
        <v>128</v>
      </c>
      <c r="BE31" s="3" t="s">
        <v>128</v>
      </c>
      <c r="BF31" s="3" t="s">
        <v>128</v>
      </c>
      <c r="BG31" s="9"/>
    </row>
    <row r="32" spans="1:59" ht="16.2" customHeight="1" x14ac:dyDescent="0.3">
      <c r="A32" s="8" t="s">
        <v>37</v>
      </c>
      <c r="B32" s="4" t="s">
        <v>38</v>
      </c>
      <c r="C32" s="4">
        <v>5</v>
      </c>
      <c r="D32" s="4">
        <v>4</v>
      </c>
      <c r="E32" s="4">
        <v>2</v>
      </c>
      <c r="F32" s="4">
        <v>3</v>
      </c>
      <c r="G32" s="4">
        <v>2</v>
      </c>
      <c r="H32" s="4">
        <v>4</v>
      </c>
      <c r="I32" s="4">
        <v>2</v>
      </c>
      <c r="J32" s="4">
        <v>1</v>
      </c>
      <c r="K32" s="3" t="s">
        <v>12</v>
      </c>
      <c r="M32" s="8" t="s">
        <v>37</v>
      </c>
      <c r="N32" s="4" t="s">
        <v>38</v>
      </c>
      <c r="O32" s="4">
        <v>6</v>
      </c>
      <c r="P32" s="4">
        <v>5</v>
      </c>
      <c r="Q32" s="4">
        <v>3</v>
      </c>
      <c r="R32" s="4">
        <v>4</v>
      </c>
      <c r="S32" s="4">
        <v>3</v>
      </c>
      <c r="T32" s="4">
        <v>5</v>
      </c>
      <c r="U32" s="4">
        <v>3</v>
      </c>
      <c r="V32" s="4">
        <v>2</v>
      </c>
      <c r="W32" s="3" t="s">
        <v>49</v>
      </c>
      <c r="Y32" s="8" t="s">
        <v>37</v>
      </c>
      <c r="Z32" s="9" t="s">
        <v>90</v>
      </c>
      <c r="AA32" s="9" t="s">
        <v>90</v>
      </c>
      <c r="AB32" s="9" t="s">
        <v>90</v>
      </c>
      <c r="AC32" s="9" t="s">
        <v>90</v>
      </c>
      <c r="AD32" s="9" t="s">
        <v>90</v>
      </c>
      <c r="AE32" s="9" t="s">
        <v>90</v>
      </c>
      <c r="AF32" s="9" t="s">
        <v>90</v>
      </c>
      <c r="AG32" s="9" t="s">
        <v>90</v>
      </c>
      <c r="AH32" s="9" t="s">
        <v>90</v>
      </c>
      <c r="AI32" s="9"/>
      <c r="AK32" s="8" t="s">
        <v>37</v>
      </c>
      <c r="AL32" s="3" t="s">
        <v>127</v>
      </c>
      <c r="AM32" s="3" t="s">
        <v>127</v>
      </c>
      <c r="AN32" s="3" t="s">
        <v>127</v>
      </c>
      <c r="AO32" s="3" t="s">
        <v>127</v>
      </c>
      <c r="AP32" s="3" t="s">
        <v>127</v>
      </c>
      <c r="AQ32" s="3" t="s">
        <v>127</v>
      </c>
      <c r="AR32" s="3" t="s">
        <v>127</v>
      </c>
      <c r="AS32" s="3" t="s">
        <v>127</v>
      </c>
      <c r="AT32" s="3" t="s">
        <v>127</v>
      </c>
      <c r="AU32" s="9"/>
      <c r="AW32" s="8" t="s">
        <v>37</v>
      </c>
      <c r="AX32" s="3" t="s">
        <v>128</v>
      </c>
      <c r="AY32" s="3" t="s">
        <v>128</v>
      </c>
      <c r="AZ32" s="3" t="s">
        <v>128</v>
      </c>
      <c r="BA32" s="3" t="s">
        <v>128</v>
      </c>
      <c r="BB32" s="3" t="s">
        <v>128</v>
      </c>
      <c r="BC32" s="3" t="s">
        <v>128</v>
      </c>
      <c r="BD32" s="3" t="s">
        <v>128</v>
      </c>
      <c r="BE32" s="3" t="s">
        <v>128</v>
      </c>
      <c r="BF32" s="3" t="s">
        <v>128</v>
      </c>
      <c r="BG32" s="9"/>
    </row>
    <row r="33" spans="1:49" x14ac:dyDescent="0.3">
      <c r="A33">
        <f>INDEX(TableStoriesNS,MATCH(A36,OccStoriesNS,0),MATCH(B36,ConstructionStoriesNS,0))</f>
        <v>2</v>
      </c>
      <c r="M33">
        <f>INDEX(TableStoriesSS,MATCH(A36,OccStoriesSS,0),MATCH(B36,ConstructionStoriesSS,0))</f>
        <v>3</v>
      </c>
      <c r="Y33" t="str">
        <f>INDEX(TableStoriesAIL,MATCH(A36,OccStoriesAIL,0),MATCH(B36,ConstructionStoriesAIL,0))</f>
        <v>No Limitations</v>
      </c>
      <c r="AK33" t="str">
        <f>INDEX(TableStories13D,MATCH(A36,OccStories13D,0),MATCH(B36,ConstructionStories13D,0))</f>
        <v>NP W/ 13D</v>
      </c>
      <c r="AW33" t="str">
        <f>INDEX(TableStories13R,MATCH(A36,OccStories13R,0),MATCH(B36,ConstructionStories13R,0))</f>
        <v>NP W/13R</v>
      </c>
    </row>
    <row r="35" spans="1:49" x14ac:dyDescent="0.3">
      <c r="A35" s="17" t="s">
        <v>97</v>
      </c>
      <c r="B35" s="17"/>
      <c r="M35" s="17"/>
      <c r="N35" s="17"/>
    </row>
    <row r="36" spans="1:49" x14ac:dyDescent="0.3">
      <c r="A36" s="17" t="str">
        <f>'2009-2018 Frontage Increase'!B$5</f>
        <v>B</v>
      </c>
      <c r="B36" s="17" t="str">
        <f>'2009-2018 Frontage Increase'!B$6</f>
        <v>V-B</v>
      </c>
      <c r="M36" s="17"/>
      <c r="N36" s="17"/>
    </row>
    <row r="38" spans="1:49" x14ac:dyDescent="0.3">
      <c r="A38" t="s">
        <v>42</v>
      </c>
    </row>
    <row r="40" spans="1:49" x14ac:dyDescent="0.3">
      <c r="A40" t="s">
        <v>44</v>
      </c>
    </row>
    <row r="41" spans="1:49" x14ac:dyDescent="0.3">
      <c r="A41" t="s">
        <v>52</v>
      </c>
    </row>
    <row r="42" spans="1:49" x14ac:dyDescent="0.3">
      <c r="A42" t="s">
        <v>46</v>
      </c>
    </row>
    <row r="43" spans="1:49" x14ac:dyDescent="0.3">
      <c r="A43" t="s">
        <v>45</v>
      </c>
    </row>
    <row r="143" spans="1:11" x14ac:dyDescent="0.3">
      <c r="A143" s="1"/>
      <c r="B143" s="16"/>
      <c r="C143" s="16"/>
      <c r="D143" s="16"/>
      <c r="E143" s="16"/>
      <c r="F143" s="16"/>
      <c r="G143" s="16"/>
      <c r="H143" s="16"/>
      <c r="I143" s="16"/>
      <c r="J143" s="16"/>
      <c r="K143" s="13"/>
    </row>
    <row r="144" spans="1:11" x14ac:dyDescent="0.3">
      <c r="A144" s="2"/>
      <c r="B144" s="16"/>
      <c r="C144" s="16"/>
      <c r="D144" s="16"/>
      <c r="E144" s="16"/>
      <c r="F144" s="16"/>
      <c r="G144" s="16"/>
      <c r="H144" s="16"/>
      <c r="I144" s="16"/>
      <c r="J144" s="16"/>
      <c r="K144" s="13"/>
    </row>
  </sheetData>
  <dataValidations disablePrompts="1" count="3">
    <dataValidation type="list" allowBlank="1" showInputMessage="1" showErrorMessage="1" sqref="D43" xr:uid="{00000000-0002-0000-0800-000000000000}">
      <formula1>"NS,S1,SM,S13D,S13R"</formula1>
    </dataValidation>
    <dataValidation type="list" allowBlank="1" showInputMessage="1" showErrorMessage="1" sqref="B43" xr:uid="{00000000-0002-0000-0800-000001000000}">
      <formula1>"A1,A2,A3,A4,A5,B,E,F-1,F-2,H-1,H-2,H-3,H-4,H-5,I2/I-2.1,I-3,I-4,L,M,R-1,R-2,R-2.1,R-3/R3.1,R-4,S-1,S-2,U"</formula1>
    </dataValidation>
    <dataValidation type="list" allowBlank="1" showInputMessage="1" showErrorMessage="1" sqref="C43" xr:uid="{00000000-0002-0000-0800-000002000000}">
      <formula1>"I-A,I-B,II-A,II-B,III-A,III-B,IV-HT,V-A,V-B"</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S233"/>
  <sheetViews>
    <sheetView zoomScale="75" zoomScaleNormal="75" workbookViewId="0">
      <selection activeCell="B20" sqref="B20"/>
    </sheetView>
  </sheetViews>
  <sheetFormatPr defaultRowHeight="14.4" x14ac:dyDescent="0.3"/>
  <cols>
    <col min="1" max="1" width="14.88671875" customWidth="1"/>
    <col min="11" max="11" width="12.109375" customWidth="1"/>
    <col min="13" max="13" width="11.5546875" customWidth="1"/>
    <col min="14" max="14" width="12.5546875" customWidth="1"/>
    <col min="15" max="15" width="14.109375" customWidth="1"/>
    <col min="16" max="16" width="16.109375" customWidth="1"/>
  </cols>
  <sheetData>
    <row r="1" spans="1:71" ht="16.2" customHeight="1" x14ac:dyDescent="0.3">
      <c r="A1" t="s">
        <v>83</v>
      </c>
      <c r="M1" s="15" t="s">
        <v>134</v>
      </c>
      <c r="Y1" s="14" t="s">
        <v>136</v>
      </c>
      <c r="AK1" s="14" t="s">
        <v>88</v>
      </c>
      <c r="AW1" s="13" t="s">
        <v>86</v>
      </c>
      <c r="BI1" t="s">
        <v>87</v>
      </c>
    </row>
    <row r="2" spans="1:71" ht="16.2" customHeight="1" x14ac:dyDescent="0.3">
      <c r="A2" s="10"/>
      <c r="B2" s="3" t="s">
        <v>63</v>
      </c>
      <c r="C2" s="3" t="s">
        <v>64</v>
      </c>
      <c r="D2" s="3" t="s">
        <v>65</v>
      </c>
      <c r="E2" s="3" t="s">
        <v>66</v>
      </c>
      <c r="F2" s="3" t="s">
        <v>67</v>
      </c>
      <c r="G2" s="3" t="s">
        <v>68</v>
      </c>
      <c r="H2" s="3" t="s">
        <v>71</v>
      </c>
      <c r="I2" s="3" t="s">
        <v>69</v>
      </c>
      <c r="J2" s="3" t="s">
        <v>70</v>
      </c>
      <c r="K2" s="9"/>
      <c r="M2" s="10"/>
      <c r="N2" s="3" t="s">
        <v>63</v>
      </c>
      <c r="O2" s="3" t="s">
        <v>64</v>
      </c>
      <c r="P2" s="3" t="s">
        <v>65</v>
      </c>
      <c r="Q2" s="3" t="s">
        <v>66</v>
      </c>
      <c r="R2" s="3" t="s">
        <v>67</v>
      </c>
      <c r="S2" s="3" t="s">
        <v>68</v>
      </c>
      <c r="T2" s="3" t="s">
        <v>71</v>
      </c>
      <c r="U2" s="3" t="s">
        <v>69</v>
      </c>
      <c r="V2" s="3" t="s">
        <v>70</v>
      </c>
      <c r="W2" s="9"/>
      <c r="Y2" s="10">
        <v>0</v>
      </c>
      <c r="Z2" s="3" t="s">
        <v>63</v>
      </c>
      <c r="AA2" s="3" t="s">
        <v>64</v>
      </c>
      <c r="AB2" s="3" t="s">
        <v>65</v>
      </c>
      <c r="AC2" s="3" t="s">
        <v>66</v>
      </c>
      <c r="AD2" s="3" t="s">
        <v>67</v>
      </c>
      <c r="AE2" s="3" t="s">
        <v>68</v>
      </c>
      <c r="AF2" s="3" t="s">
        <v>71</v>
      </c>
      <c r="AG2" s="3" t="s">
        <v>69</v>
      </c>
      <c r="AH2" s="3" t="s">
        <v>70</v>
      </c>
      <c r="AI2" s="9"/>
      <c r="AK2" s="10">
        <v>0</v>
      </c>
      <c r="AL2" s="3" t="s">
        <v>63</v>
      </c>
      <c r="AM2" s="3" t="s">
        <v>64</v>
      </c>
      <c r="AN2" s="3" t="s">
        <v>65</v>
      </c>
      <c r="AO2" s="3" t="s">
        <v>66</v>
      </c>
      <c r="AP2" s="3" t="s">
        <v>67</v>
      </c>
      <c r="AQ2" s="3" t="s">
        <v>68</v>
      </c>
      <c r="AR2" s="3" t="s">
        <v>71</v>
      </c>
      <c r="AS2" s="3" t="s">
        <v>69</v>
      </c>
      <c r="AT2" s="3" t="s">
        <v>70</v>
      </c>
      <c r="AU2" s="9"/>
      <c r="AW2" s="10">
        <v>0</v>
      </c>
      <c r="AX2" s="3" t="s">
        <v>63</v>
      </c>
      <c r="AY2" s="3" t="s">
        <v>64</v>
      </c>
      <c r="AZ2" s="3" t="s">
        <v>65</v>
      </c>
      <c r="BA2" s="3" t="s">
        <v>66</v>
      </c>
      <c r="BB2" s="3" t="s">
        <v>67</v>
      </c>
      <c r="BC2" s="3" t="s">
        <v>68</v>
      </c>
      <c r="BD2" s="3" t="s">
        <v>71</v>
      </c>
      <c r="BE2" s="3" t="s">
        <v>69</v>
      </c>
      <c r="BF2" s="3" t="s">
        <v>70</v>
      </c>
      <c r="BG2" s="9"/>
      <c r="BI2" s="10">
        <v>0</v>
      </c>
      <c r="BJ2" s="3" t="s">
        <v>63</v>
      </c>
      <c r="BK2" s="3" t="s">
        <v>64</v>
      </c>
      <c r="BL2" s="3" t="s">
        <v>65</v>
      </c>
      <c r="BM2" s="3" t="s">
        <v>66</v>
      </c>
      <c r="BN2" s="3" t="s">
        <v>67</v>
      </c>
      <c r="BO2" s="3" t="s">
        <v>68</v>
      </c>
      <c r="BP2" s="3" t="s">
        <v>71</v>
      </c>
      <c r="BQ2" s="3" t="s">
        <v>69</v>
      </c>
      <c r="BR2" s="3" t="s">
        <v>70</v>
      </c>
      <c r="BS2" s="9"/>
    </row>
    <row r="3" spans="1:71" ht="16.2" customHeight="1" x14ac:dyDescent="0.3">
      <c r="A3" s="3" t="s">
        <v>11</v>
      </c>
      <c r="B3" s="4" t="s">
        <v>38</v>
      </c>
      <c r="C3" s="4" t="s">
        <v>38</v>
      </c>
      <c r="D3" s="4">
        <v>15500</v>
      </c>
      <c r="E3" s="4">
        <v>8500</v>
      </c>
      <c r="F3" s="4">
        <v>14000</v>
      </c>
      <c r="G3" s="4">
        <v>8500</v>
      </c>
      <c r="H3" s="4">
        <v>15000</v>
      </c>
      <c r="I3" s="4">
        <v>11500</v>
      </c>
      <c r="J3" s="4">
        <v>5500</v>
      </c>
      <c r="K3" s="3" t="s">
        <v>12</v>
      </c>
      <c r="M3" s="3" t="s">
        <v>11</v>
      </c>
      <c r="N3" s="4" t="s">
        <v>38</v>
      </c>
      <c r="O3" s="4" t="s">
        <v>38</v>
      </c>
      <c r="P3" s="4">
        <v>62000</v>
      </c>
      <c r="Q3" s="4">
        <v>34000</v>
      </c>
      <c r="R3" s="4">
        <v>56000</v>
      </c>
      <c r="S3" s="4">
        <v>34000</v>
      </c>
      <c r="T3" s="4">
        <v>60000</v>
      </c>
      <c r="U3" s="4">
        <v>46000</v>
      </c>
      <c r="V3" s="4">
        <v>22000</v>
      </c>
      <c r="W3" s="3" t="s">
        <v>13</v>
      </c>
      <c r="Y3" s="3" t="s">
        <v>11</v>
      </c>
      <c r="Z3" s="4" t="s">
        <v>38</v>
      </c>
      <c r="AA3" s="4" t="s">
        <v>38</v>
      </c>
      <c r="AB3" s="4">
        <v>46500</v>
      </c>
      <c r="AC3" s="4">
        <v>25500</v>
      </c>
      <c r="AD3" s="4">
        <v>42000</v>
      </c>
      <c r="AE3" s="4">
        <v>25500</v>
      </c>
      <c r="AF3" s="4">
        <v>45000</v>
      </c>
      <c r="AG3" s="4">
        <v>34500</v>
      </c>
      <c r="AH3" s="4">
        <v>16500</v>
      </c>
      <c r="AI3" s="3" t="s">
        <v>14</v>
      </c>
      <c r="AK3" s="3" t="s">
        <v>11</v>
      </c>
      <c r="AL3" s="9" t="s">
        <v>90</v>
      </c>
      <c r="AM3" s="9" t="s">
        <v>90</v>
      </c>
      <c r="AN3" s="9" t="s">
        <v>90</v>
      </c>
      <c r="AO3" s="9" t="s">
        <v>90</v>
      </c>
      <c r="AP3" s="9" t="s">
        <v>90</v>
      </c>
      <c r="AQ3" s="9" t="s">
        <v>90</v>
      </c>
      <c r="AR3" s="9" t="s">
        <v>90</v>
      </c>
      <c r="AS3" s="9" t="s">
        <v>90</v>
      </c>
      <c r="AT3" s="9" t="s">
        <v>90</v>
      </c>
      <c r="AU3" s="9"/>
      <c r="AW3" s="3" t="s">
        <v>11</v>
      </c>
      <c r="AX3" s="4" t="s">
        <v>127</v>
      </c>
      <c r="AY3" s="4" t="s">
        <v>127</v>
      </c>
      <c r="AZ3" s="4" t="s">
        <v>127</v>
      </c>
      <c r="BA3" s="4" t="s">
        <v>127</v>
      </c>
      <c r="BB3" s="4" t="s">
        <v>127</v>
      </c>
      <c r="BC3" s="4" t="s">
        <v>127</v>
      </c>
      <c r="BD3" s="4" t="s">
        <v>127</v>
      </c>
      <c r="BE3" s="4" t="s">
        <v>127</v>
      </c>
      <c r="BF3" s="4" t="s">
        <v>127</v>
      </c>
      <c r="BG3" s="3"/>
      <c r="BH3" s="23"/>
      <c r="BI3" s="3" t="s">
        <v>11</v>
      </c>
      <c r="BJ3" s="4" t="s">
        <v>128</v>
      </c>
      <c r="BK3" s="4" t="s">
        <v>128</v>
      </c>
      <c r="BL3" s="4" t="s">
        <v>128</v>
      </c>
      <c r="BM3" s="4" t="s">
        <v>128</v>
      </c>
      <c r="BN3" s="4" t="s">
        <v>128</v>
      </c>
      <c r="BO3" s="4" t="s">
        <v>128</v>
      </c>
      <c r="BP3" s="4" t="s">
        <v>128</v>
      </c>
      <c r="BQ3" s="4" t="s">
        <v>128</v>
      </c>
      <c r="BR3" s="4" t="s">
        <v>128</v>
      </c>
      <c r="BS3" s="3"/>
    </row>
    <row r="4" spans="1:71" ht="16.2" customHeight="1" x14ac:dyDescent="0.3">
      <c r="A4" s="3" t="s">
        <v>15</v>
      </c>
      <c r="B4" s="4" t="s">
        <v>38</v>
      </c>
      <c r="C4" s="4" t="s">
        <v>38</v>
      </c>
      <c r="D4" s="4">
        <v>15500</v>
      </c>
      <c r="E4" s="4">
        <v>9500</v>
      </c>
      <c r="F4" s="4">
        <v>14000</v>
      </c>
      <c r="G4" s="4">
        <v>9500</v>
      </c>
      <c r="H4" s="4">
        <v>15000</v>
      </c>
      <c r="I4" s="4">
        <v>11500</v>
      </c>
      <c r="J4" s="4">
        <v>6000</v>
      </c>
      <c r="K4" s="3" t="s">
        <v>12</v>
      </c>
      <c r="M4" s="3" t="s">
        <v>15</v>
      </c>
      <c r="N4" s="4" t="s">
        <v>38</v>
      </c>
      <c r="O4" s="4" t="s">
        <v>38</v>
      </c>
      <c r="P4" s="4">
        <v>62000</v>
      </c>
      <c r="Q4" s="4">
        <v>38000</v>
      </c>
      <c r="R4" s="4">
        <v>56000</v>
      </c>
      <c r="S4" s="4">
        <v>38000</v>
      </c>
      <c r="T4" s="4">
        <v>60000</v>
      </c>
      <c r="U4" s="4">
        <v>46000</v>
      </c>
      <c r="V4" s="4">
        <v>24000</v>
      </c>
      <c r="W4" s="3" t="s">
        <v>13</v>
      </c>
      <c r="Y4" s="3" t="s">
        <v>15</v>
      </c>
      <c r="Z4" s="4" t="s">
        <v>38</v>
      </c>
      <c r="AA4" s="4" t="s">
        <v>38</v>
      </c>
      <c r="AB4" s="4">
        <v>46500</v>
      </c>
      <c r="AC4" s="4">
        <v>28500</v>
      </c>
      <c r="AD4" s="4">
        <v>42000</v>
      </c>
      <c r="AE4" s="4">
        <v>28500</v>
      </c>
      <c r="AF4" s="4">
        <v>45000</v>
      </c>
      <c r="AG4" s="4">
        <v>34500</v>
      </c>
      <c r="AH4" s="4">
        <v>18000</v>
      </c>
      <c r="AI4" s="5" t="s">
        <v>33</v>
      </c>
      <c r="AK4" s="3" t="s">
        <v>15</v>
      </c>
      <c r="AL4" s="4" t="s">
        <v>38</v>
      </c>
      <c r="AM4" s="4" t="s">
        <v>38</v>
      </c>
      <c r="AN4" s="4">
        <v>15500</v>
      </c>
      <c r="AO4" s="4">
        <v>9500</v>
      </c>
      <c r="AP4" s="4">
        <v>14000</v>
      </c>
      <c r="AQ4" s="4">
        <v>95000</v>
      </c>
      <c r="AR4" s="4">
        <v>15000</v>
      </c>
      <c r="AS4" s="4">
        <v>11500</v>
      </c>
      <c r="AT4" s="4">
        <v>6000</v>
      </c>
      <c r="AU4" s="5" t="s">
        <v>32</v>
      </c>
      <c r="AW4" s="3" t="s">
        <v>15</v>
      </c>
      <c r="AX4" s="4" t="s">
        <v>127</v>
      </c>
      <c r="AY4" s="4" t="s">
        <v>127</v>
      </c>
      <c r="AZ4" s="4" t="s">
        <v>127</v>
      </c>
      <c r="BA4" s="4" t="s">
        <v>127</v>
      </c>
      <c r="BB4" s="4" t="s">
        <v>127</v>
      </c>
      <c r="BC4" s="4" t="s">
        <v>127</v>
      </c>
      <c r="BD4" s="4" t="s">
        <v>127</v>
      </c>
      <c r="BE4" s="4" t="s">
        <v>127</v>
      </c>
      <c r="BF4" s="4" t="s">
        <v>127</v>
      </c>
      <c r="BG4" s="3"/>
      <c r="BH4" s="23"/>
      <c r="BI4" s="3" t="s">
        <v>15</v>
      </c>
      <c r="BJ4" s="4" t="s">
        <v>128</v>
      </c>
      <c r="BK4" s="4" t="s">
        <v>128</v>
      </c>
      <c r="BL4" s="4" t="s">
        <v>128</v>
      </c>
      <c r="BM4" s="4" t="s">
        <v>128</v>
      </c>
      <c r="BN4" s="4" t="s">
        <v>128</v>
      </c>
      <c r="BO4" s="4" t="s">
        <v>128</v>
      </c>
      <c r="BP4" s="4" t="s">
        <v>128</v>
      </c>
      <c r="BQ4" s="4" t="s">
        <v>128</v>
      </c>
      <c r="BR4" s="4" t="s">
        <v>128</v>
      </c>
      <c r="BS4" s="3"/>
    </row>
    <row r="5" spans="1:71" ht="16.2" customHeight="1" x14ac:dyDescent="0.3">
      <c r="A5" s="3" t="s">
        <v>16</v>
      </c>
      <c r="B5" s="4" t="s">
        <v>38</v>
      </c>
      <c r="C5" s="4" t="s">
        <v>38</v>
      </c>
      <c r="D5" s="4">
        <v>15500</v>
      </c>
      <c r="E5" s="4">
        <v>9500</v>
      </c>
      <c r="F5" s="4">
        <v>14000</v>
      </c>
      <c r="G5" s="4">
        <v>9500</v>
      </c>
      <c r="H5" s="4">
        <v>15000</v>
      </c>
      <c r="I5" s="4">
        <v>11500</v>
      </c>
      <c r="J5" s="4">
        <v>6000</v>
      </c>
      <c r="K5" s="3" t="s">
        <v>12</v>
      </c>
      <c r="L5">
        <f>IF(B7="NS",'Allowable area Table 506.2'!A34,IF(B7="S1",'Allowable area Table 506.2'!M34,IF('2009-2018 Frontage Increase'!B7="SM",'Allowable area Table 506.2'!Y34,IF('2009-2018 Frontage Increase'!B7="S13D,'Allowable area Table 506.2'!AW31,IF('Area Increase Calculator'!B7=""S13R",'Allowable area Table 506.2'!BI34,0))))</f>
        <v>0</v>
      </c>
      <c r="M5" s="3" t="s">
        <v>16</v>
      </c>
      <c r="N5" s="4" t="s">
        <v>38</v>
      </c>
      <c r="O5" s="4" t="s">
        <v>38</v>
      </c>
      <c r="P5" s="4">
        <v>62000</v>
      </c>
      <c r="Q5" s="4">
        <v>38000</v>
      </c>
      <c r="R5" s="4">
        <v>56000</v>
      </c>
      <c r="S5" s="4">
        <v>38000</v>
      </c>
      <c r="T5" s="4">
        <v>60000</v>
      </c>
      <c r="U5" s="4">
        <v>46000</v>
      </c>
      <c r="V5" s="4">
        <v>24000</v>
      </c>
      <c r="W5" s="3" t="s">
        <v>13</v>
      </c>
      <c r="Y5" s="3" t="s">
        <v>16</v>
      </c>
      <c r="Z5" s="4" t="s">
        <v>38</v>
      </c>
      <c r="AA5" s="4" t="s">
        <v>38</v>
      </c>
      <c r="AB5" s="4">
        <v>46500</v>
      </c>
      <c r="AC5" s="4">
        <v>28500</v>
      </c>
      <c r="AD5" s="4">
        <v>42000</v>
      </c>
      <c r="AE5" s="4">
        <v>28500</v>
      </c>
      <c r="AF5" s="4">
        <v>45000</v>
      </c>
      <c r="AG5" s="4">
        <v>34500</v>
      </c>
      <c r="AH5" s="4">
        <v>18000</v>
      </c>
      <c r="AI5" s="3" t="s">
        <v>14</v>
      </c>
      <c r="AK5" s="3" t="s">
        <v>16</v>
      </c>
      <c r="AL5" s="9" t="s">
        <v>90</v>
      </c>
      <c r="AM5" s="9" t="s">
        <v>90</v>
      </c>
      <c r="AN5" s="9" t="s">
        <v>90</v>
      </c>
      <c r="AO5" s="9" t="s">
        <v>90</v>
      </c>
      <c r="AP5" s="9" t="s">
        <v>90</v>
      </c>
      <c r="AQ5" s="9" t="s">
        <v>90</v>
      </c>
      <c r="AR5" s="9" t="s">
        <v>90</v>
      </c>
      <c r="AS5" s="9" t="s">
        <v>90</v>
      </c>
      <c r="AT5" s="9" t="s">
        <v>90</v>
      </c>
      <c r="AU5" s="9"/>
      <c r="AW5" s="3" t="s">
        <v>16</v>
      </c>
      <c r="AX5" s="4" t="s">
        <v>127</v>
      </c>
      <c r="AY5" s="4" t="s">
        <v>127</v>
      </c>
      <c r="AZ5" s="4" t="s">
        <v>127</v>
      </c>
      <c r="BA5" s="4" t="s">
        <v>127</v>
      </c>
      <c r="BB5" s="4" t="s">
        <v>127</v>
      </c>
      <c r="BC5" s="4" t="s">
        <v>127</v>
      </c>
      <c r="BD5" s="4" t="s">
        <v>127</v>
      </c>
      <c r="BE5" s="4" t="s">
        <v>127</v>
      </c>
      <c r="BF5" s="4" t="s">
        <v>127</v>
      </c>
      <c r="BG5" s="3"/>
      <c r="BH5" s="23"/>
      <c r="BI5" s="3" t="s">
        <v>16</v>
      </c>
      <c r="BJ5" s="4" t="s">
        <v>128</v>
      </c>
      <c r="BK5" s="4" t="s">
        <v>128</v>
      </c>
      <c r="BL5" s="4" t="s">
        <v>128</v>
      </c>
      <c r="BM5" s="4" t="s">
        <v>128</v>
      </c>
      <c r="BN5" s="4" t="s">
        <v>128</v>
      </c>
      <c r="BO5" s="4" t="s">
        <v>128</v>
      </c>
      <c r="BP5" s="4" t="s">
        <v>128</v>
      </c>
      <c r="BQ5" s="4" t="s">
        <v>128</v>
      </c>
      <c r="BR5" s="4" t="s">
        <v>128</v>
      </c>
      <c r="BS5" s="3"/>
    </row>
    <row r="6" spans="1:71" ht="16.2" customHeight="1" x14ac:dyDescent="0.3">
      <c r="A6" s="3" t="s">
        <v>17</v>
      </c>
      <c r="B6" s="4" t="s">
        <v>38</v>
      </c>
      <c r="C6" s="4" t="s">
        <v>38</v>
      </c>
      <c r="D6" s="4">
        <v>15500</v>
      </c>
      <c r="E6" s="4">
        <v>9500</v>
      </c>
      <c r="F6" s="4">
        <v>14000</v>
      </c>
      <c r="G6" s="4">
        <v>9500</v>
      </c>
      <c r="H6" s="4">
        <v>15000</v>
      </c>
      <c r="I6" s="4">
        <v>11500</v>
      </c>
      <c r="J6" s="4">
        <v>6000</v>
      </c>
      <c r="K6" s="3" t="s">
        <v>12</v>
      </c>
      <c r="M6" s="3" t="s">
        <v>17</v>
      </c>
      <c r="N6" s="4" t="s">
        <v>38</v>
      </c>
      <c r="O6" s="4" t="s">
        <v>38</v>
      </c>
      <c r="P6" s="4">
        <v>62000</v>
      </c>
      <c r="Q6" s="4">
        <v>38000</v>
      </c>
      <c r="R6" s="4">
        <v>56000</v>
      </c>
      <c r="S6" s="4">
        <v>38000</v>
      </c>
      <c r="T6" s="4">
        <v>60000</v>
      </c>
      <c r="U6" s="4">
        <v>46000</v>
      </c>
      <c r="V6" s="4">
        <v>24000</v>
      </c>
      <c r="W6" s="3" t="s">
        <v>13</v>
      </c>
      <c r="Y6" s="3" t="s">
        <v>17</v>
      </c>
      <c r="Z6" s="4" t="s">
        <v>38</v>
      </c>
      <c r="AA6" s="4" t="s">
        <v>38</v>
      </c>
      <c r="AB6" s="4">
        <v>46500</v>
      </c>
      <c r="AC6" s="4">
        <v>28500</v>
      </c>
      <c r="AD6" s="4">
        <v>42000</v>
      </c>
      <c r="AE6" s="4">
        <v>28500</v>
      </c>
      <c r="AF6" s="4">
        <v>45000</v>
      </c>
      <c r="AG6" s="4">
        <v>34500</v>
      </c>
      <c r="AH6" s="4">
        <v>18000</v>
      </c>
      <c r="AI6" s="5" t="s">
        <v>33</v>
      </c>
      <c r="AK6" s="3" t="s">
        <v>17</v>
      </c>
      <c r="AL6" s="4" t="s">
        <v>38</v>
      </c>
      <c r="AM6" s="4" t="s">
        <v>38</v>
      </c>
      <c r="AN6" s="4">
        <v>15500</v>
      </c>
      <c r="AO6" s="4">
        <v>9500</v>
      </c>
      <c r="AP6" s="4">
        <v>14000</v>
      </c>
      <c r="AQ6" s="4">
        <v>9500</v>
      </c>
      <c r="AR6" s="4">
        <v>15000</v>
      </c>
      <c r="AS6" s="4">
        <v>11500</v>
      </c>
      <c r="AT6" s="4">
        <v>6000</v>
      </c>
      <c r="AU6" s="5" t="s">
        <v>32</v>
      </c>
      <c r="AW6" s="3" t="s">
        <v>17</v>
      </c>
      <c r="AX6" s="4" t="s">
        <v>127</v>
      </c>
      <c r="AY6" s="4" t="s">
        <v>127</v>
      </c>
      <c r="AZ6" s="4" t="s">
        <v>127</v>
      </c>
      <c r="BA6" s="4" t="s">
        <v>127</v>
      </c>
      <c r="BB6" s="4" t="s">
        <v>127</v>
      </c>
      <c r="BC6" s="4" t="s">
        <v>127</v>
      </c>
      <c r="BD6" s="4" t="s">
        <v>127</v>
      </c>
      <c r="BE6" s="4" t="s">
        <v>127</v>
      </c>
      <c r="BF6" s="4" t="s">
        <v>127</v>
      </c>
      <c r="BG6" s="3"/>
      <c r="BH6" s="23"/>
      <c r="BI6" s="3" t="s">
        <v>17</v>
      </c>
      <c r="BJ6" s="4" t="s">
        <v>128</v>
      </c>
      <c r="BK6" s="4" t="s">
        <v>128</v>
      </c>
      <c r="BL6" s="4" t="s">
        <v>128</v>
      </c>
      <c r="BM6" s="4" t="s">
        <v>128</v>
      </c>
      <c r="BN6" s="4" t="s">
        <v>128</v>
      </c>
      <c r="BO6" s="4" t="s">
        <v>128</v>
      </c>
      <c r="BP6" s="4" t="s">
        <v>128</v>
      </c>
      <c r="BQ6" s="4" t="s">
        <v>128</v>
      </c>
      <c r="BR6" s="4" t="s">
        <v>128</v>
      </c>
      <c r="BS6" s="3"/>
    </row>
    <row r="7" spans="1:71" ht="16.2" customHeight="1" x14ac:dyDescent="0.3">
      <c r="A7" s="3" t="s">
        <v>18</v>
      </c>
      <c r="B7" s="4" t="s">
        <v>38</v>
      </c>
      <c r="C7" s="4" t="s">
        <v>38</v>
      </c>
      <c r="D7" s="4" t="s">
        <v>38</v>
      </c>
      <c r="E7" s="4" t="s">
        <v>38</v>
      </c>
      <c r="F7" s="4" t="s">
        <v>38</v>
      </c>
      <c r="G7" s="4" t="s">
        <v>38</v>
      </c>
      <c r="H7" s="4" t="s">
        <v>38</v>
      </c>
      <c r="I7" s="4" t="s">
        <v>38</v>
      </c>
      <c r="J7" s="4" t="s">
        <v>38</v>
      </c>
      <c r="K7" s="3" t="s">
        <v>12</v>
      </c>
      <c r="M7" s="3" t="s">
        <v>18</v>
      </c>
      <c r="N7" s="4" t="s">
        <v>38</v>
      </c>
      <c r="O7" s="4" t="s">
        <v>38</v>
      </c>
      <c r="P7" s="4" t="s">
        <v>38</v>
      </c>
      <c r="Q7" s="4" t="s">
        <v>38</v>
      </c>
      <c r="R7" s="4" t="s">
        <v>38</v>
      </c>
      <c r="S7" s="4" t="s">
        <v>38</v>
      </c>
      <c r="T7" s="4" t="s">
        <v>38</v>
      </c>
      <c r="U7" s="4" t="s">
        <v>38</v>
      </c>
      <c r="V7" s="4" t="s">
        <v>38</v>
      </c>
      <c r="W7" s="3" t="s">
        <v>13</v>
      </c>
      <c r="Y7" s="3" t="s">
        <v>18</v>
      </c>
      <c r="Z7" s="4" t="s">
        <v>38</v>
      </c>
      <c r="AA7" s="4" t="s">
        <v>38</v>
      </c>
      <c r="AB7" s="4" t="s">
        <v>38</v>
      </c>
      <c r="AC7" s="4" t="s">
        <v>38</v>
      </c>
      <c r="AD7" s="4" t="s">
        <v>38</v>
      </c>
      <c r="AE7" s="4" t="s">
        <v>38</v>
      </c>
      <c r="AF7" s="4" t="s">
        <v>38</v>
      </c>
      <c r="AG7" s="4" t="s">
        <v>38</v>
      </c>
      <c r="AH7" s="4" t="s">
        <v>38</v>
      </c>
      <c r="AI7" s="3" t="s">
        <v>14</v>
      </c>
      <c r="AK7" s="3" t="s">
        <v>18</v>
      </c>
      <c r="AL7" s="9" t="s">
        <v>90</v>
      </c>
      <c r="AM7" s="9" t="s">
        <v>90</v>
      </c>
      <c r="AN7" s="9" t="s">
        <v>90</v>
      </c>
      <c r="AO7" s="9" t="s">
        <v>90</v>
      </c>
      <c r="AP7" s="9" t="s">
        <v>90</v>
      </c>
      <c r="AQ7" s="9" t="s">
        <v>90</v>
      </c>
      <c r="AR7" s="9" t="s">
        <v>90</v>
      </c>
      <c r="AS7" s="9" t="s">
        <v>90</v>
      </c>
      <c r="AT7" s="9" t="s">
        <v>90</v>
      </c>
      <c r="AU7" s="9"/>
      <c r="AW7" s="3" t="s">
        <v>18</v>
      </c>
      <c r="AX7" s="4" t="s">
        <v>127</v>
      </c>
      <c r="AY7" s="4" t="s">
        <v>127</v>
      </c>
      <c r="AZ7" s="4" t="s">
        <v>127</v>
      </c>
      <c r="BA7" s="4" t="s">
        <v>127</v>
      </c>
      <c r="BB7" s="4" t="s">
        <v>127</v>
      </c>
      <c r="BC7" s="4" t="s">
        <v>127</v>
      </c>
      <c r="BD7" s="4" t="s">
        <v>127</v>
      </c>
      <c r="BE7" s="4" t="s">
        <v>127</v>
      </c>
      <c r="BF7" s="4" t="s">
        <v>127</v>
      </c>
      <c r="BG7" s="3"/>
      <c r="BH7" s="23"/>
      <c r="BI7" s="3" t="s">
        <v>18</v>
      </c>
      <c r="BJ7" s="4" t="s">
        <v>128</v>
      </c>
      <c r="BK7" s="4" t="s">
        <v>128</v>
      </c>
      <c r="BL7" s="4" t="s">
        <v>128</v>
      </c>
      <c r="BM7" s="4" t="s">
        <v>128</v>
      </c>
      <c r="BN7" s="4" t="s">
        <v>128</v>
      </c>
      <c r="BO7" s="4" t="s">
        <v>128</v>
      </c>
      <c r="BP7" s="4" t="s">
        <v>128</v>
      </c>
      <c r="BQ7" s="4" t="s">
        <v>128</v>
      </c>
      <c r="BR7" s="4" t="s">
        <v>128</v>
      </c>
      <c r="BS7" s="3"/>
    </row>
    <row r="8" spans="1:71" ht="16.2" customHeight="1" x14ac:dyDescent="0.3">
      <c r="A8" s="3" t="s">
        <v>10</v>
      </c>
      <c r="B8" s="4" t="s">
        <v>38</v>
      </c>
      <c r="C8" s="4" t="s">
        <v>38</v>
      </c>
      <c r="D8" s="4">
        <v>37500</v>
      </c>
      <c r="E8" s="4">
        <v>23000</v>
      </c>
      <c r="F8" s="4">
        <v>28500</v>
      </c>
      <c r="G8" s="4">
        <v>19000</v>
      </c>
      <c r="H8" s="4">
        <v>36000</v>
      </c>
      <c r="I8" s="4">
        <v>18000</v>
      </c>
      <c r="J8" s="4">
        <v>9000</v>
      </c>
      <c r="K8" s="3" t="s">
        <v>12</v>
      </c>
      <c r="M8" s="3" t="s">
        <v>10</v>
      </c>
      <c r="N8" s="4" t="s">
        <v>38</v>
      </c>
      <c r="O8" s="4" t="s">
        <v>38</v>
      </c>
      <c r="P8" s="4">
        <v>150000</v>
      </c>
      <c r="Q8" s="4">
        <v>92000</v>
      </c>
      <c r="R8" s="4">
        <v>114000</v>
      </c>
      <c r="S8" s="4">
        <v>76000</v>
      </c>
      <c r="T8" s="4">
        <v>144000</v>
      </c>
      <c r="U8" s="4">
        <v>72000</v>
      </c>
      <c r="V8" s="4">
        <v>36000</v>
      </c>
      <c r="W8" s="3" t="s">
        <v>13</v>
      </c>
      <c r="Y8" s="3" t="s">
        <v>10</v>
      </c>
      <c r="Z8" s="4" t="s">
        <v>38</v>
      </c>
      <c r="AA8" s="4" t="s">
        <v>38</v>
      </c>
      <c r="AB8" s="4">
        <v>112500</v>
      </c>
      <c r="AC8" s="4">
        <v>69000</v>
      </c>
      <c r="AD8" s="4">
        <v>85500</v>
      </c>
      <c r="AE8" s="4">
        <v>57000</v>
      </c>
      <c r="AF8" s="4">
        <v>108000</v>
      </c>
      <c r="AG8" s="4">
        <v>54000</v>
      </c>
      <c r="AH8" s="4">
        <v>27000</v>
      </c>
      <c r="AI8" s="3" t="s">
        <v>14</v>
      </c>
      <c r="AK8" s="3" t="s">
        <v>10</v>
      </c>
      <c r="AL8" s="9" t="s">
        <v>90</v>
      </c>
      <c r="AM8" s="9" t="s">
        <v>90</v>
      </c>
      <c r="AN8" s="9" t="s">
        <v>90</v>
      </c>
      <c r="AO8" s="9" t="s">
        <v>90</v>
      </c>
      <c r="AP8" s="9" t="s">
        <v>90</v>
      </c>
      <c r="AQ8" s="9" t="s">
        <v>90</v>
      </c>
      <c r="AR8" s="9" t="s">
        <v>90</v>
      </c>
      <c r="AS8" s="9" t="s">
        <v>90</v>
      </c>
      <c r="AT8" s="9" t="s">
        <v>90</v>
      </c>
      <c r="AU8" s="9"/>
      <c r="AW8" s="3" t="s">
        <v>10</v>
      </c>
      <c r="AX8" s="4" t="s">
        <v>127</v>
      </c>
      <c r="AY8" s="4" t="s">
        <v>127</v>
      </c>
      <c r="AZ8" s="4" t="s">
        <v>127</v>
      </c>
      <c r="BA8" s="4" t="s">
        <v>127</v>
      </c>
      <c r="BB8" s="4" t="s">
        <v>127</v>
      </c>
      <c r="BC8" s="4" t="s">
        <v>127</v>
      </c>
      <c r="BD8" s="4" t="s">
        <v>127</v>
      </c>
      <c r="BE8" s="4" t="s">
        <v>127</v>
      </c>
      <c r="BF8" s="4" t="s">
        <v>127</v>
      </c>
      <c r="BG8" s="3"/>
      <c r="BH8" s="23"/>
      <c r="BI8" s="3" t="s">
        <v>10</v>
      </c>
      <c r="BJ8" s="4" t="s">
        <v>128</v>
      </c>
      <c r="BK8" s="4" t="s">
        <v>128</v>
      </c>
      <c r="BL8" s="4" t="s">
        <v>128</v>
      </c>
      <c r="BM8" s="4" t="s">
        <v>128</v>
      </c>
      <c r="BN8" s="4" t="s">
        <v>128</v>
      </c>
      <c r="BO8" s="4" t="s">
        <v>128</v>
      </c>
      <c r="BP8" s="4" t="s">
        <v>128</v>
      </c>
      <c r="BQ8" s="4" t="s">
        <v>128</v>
      </c>
      <c r="BR8" s="4" t="s">
        <v>128</v>
      </c>
      <c r="BS8" s="3"/>
    </row>
    <row r="9" spans="1:71" ht="16.2" customHeight="1" x14ac:dyDescent="0.3">
      <c r="A9" s="3" t="s">
        <v>19</v>
      </c>
      <c r="B9" s="4" t="s">
        <v>38</v>
      </c>
      <c r="C9" s="4" t="s">
        <v>38</v>
      </c>
      <c r="D9" s="4">
        <v>26500</v>
      </c>
      <c r="E9" s="4">
        <v>14500</v>
      </c>
      <c r="F9" s="4">
        <v>23500</v>
      </c>
      <c r="G9" s="4">
        <v>14500</v>
      </c>
      <c r="H9" s="4">
        <v>25500</v>
      </c>
      <c r="I9" s="4">
        <v>18500</v>
      </c>
      <c r="J9" s="4">
        <v>9500</v>
      </c>
      <c r="K9" s="3" t="s">
        <v>12</v>
      </c>
      <c r="M9" s="3" t="s">
        <v>19</v>
      </c>
      <c r="N9" s="4" t="s">
        <v>38</v>
      </c>
      <c r="O9" s="4" t="s">
        <v>38</v>
      </c>
      <c r="P9" s="4">
        <v>106000</v>
      </c>
      <c r="Q9" s="4">
        <v>58000</v>
      </c>
      <c r="R9" s="4">
        <v>94000</v>
      </c>
      <c r="S9" s="4">
        <v>58000</v>
      </c>
      <c r="T9" s="4">
        <v>102000</v>
      </c>
      <c r="U9" s="4">
        <v>74000</v>
      </c>
      <c r="V9" s="4">
        <v>38000</v>
      </c>
      <c r="W9" s="3" t="s">
        <v>13</v>
      </c>
      <c r="Y9" s="3" t="s">
        <v>19</v>
      </c>
      <c r="Z9" s="4" t="s">
        <v>38</v>
      </c>
      <c r="AA9" s="4" t="s">
        <v>38</v>
      </c>
      <c r="AB9" s="4">
        <v>79500</v>
      </c>
      <c r="AC9" s="4">
        <v>43500</v>
      </c>
      <c r="AD9" s="4">
        <v>70500</v>
      </c>
      <c r="AE9" s="4">
        <v>43500</v>
      </c>
      <c r="AF9" s="4">
        <v>76500</v>
      </c>
      <c r="AG9" s="4">
        <v>55500</v>
      </c>
      <c r="AH9" s="4">
        <v>28500</v>
      </c>
      <c r="AI9" s="5" t="s">
        <v>33</v>
      </c>
      <c r="AK9" s="3" t="s">
        <v>19</v>
      </c>
      <c r="AL9" s="4" t="s">
        <v>38</v>
      </c>
      <c r="AM9" s="4" t="s">
        <v>38</v>
      </c>
      <c r="AN9" s="4">
        <v>26500</v>
      </c>
      <c r="AO9" s="4">
        <v>14500</v>
      </c>
      <c r="AP9" s="4">
        <v>23500</v>
      </c>
      <c r="AQ9" s="4">
        <v>14500</v>
      </c>
      <c r="AR9" s="4">
        <v>25500</v>
      </c>
      <c r="AS9" s="4">
        <v>18500</v>
      </c>
      <c r="AT9" s="4">
        <v>9500</v>
      </c>
      <c r="AU9" s="5" t="s">
        <v>32</v>
      </c>
      <c r="AW9" s="3" t="s">
        <v>19</v>
      </c>
      <c r="AX9" s="4" t="s">
        <v>127</v>
      </c>
      <c r="AY9" s="4" t="s">
        <v>127</v>
      </c>
      <c r="AZ9" s="4" t="s">
        <v>127</v>
      </c>
      <c r="BA9" s="4" t="s">
        <v>127</v>
      </c>
      <c r="BB9" s="4" t="s">
        <v>127</v>
      </c>
      <c r="BC9" s="4" t="s">
        <v>127</v>
      </c>
      <c r="BD9" s="4" t="s">
        <v>127</v>
      </c>
      <c r="BE9" s="4" t="s">
        <v>127</v>
      </c>
      <c r="BF9" s="4" t="s">
        <v>127</v>
      </c>
      <c r="BG9" s="3"/>
      <c r="BH9" s="23"/>
      <c r="BI9" s="3" t="s">
        <v>19</v>
      </c>
      <c r="BJ9" s="4" t="s">
        <v>128</v>
      </c>
      <c r="BK9" s="4" t="s">
        <v>128</v>
      </c>
      <c r="BL9" s="4" t="s">
        <v>128</v>
      </c>
      <c r="BM9" s="4" t="s">
        <v>128</v>
      </c>
      <c r="BN9" s="4" t="s">
        <v>128</v>
      </c>
      <c r="BO9" s="4" t="s">
        <v>128</v>
      </c>
      <c r="BP9" s="4" t="s">
        <v>128</v>
      </c>
      <c r="BQ9" s="4" t="s">
        <v>128</v>
      </c>
      <c r="BR9" s="4" t="s">
        <v>128</v>
      </c>
      <c r="BS9" s="3"/>
    </row>
    <row r="10" spans="1:71" ht="16.2" customHeight="1" x14ac:dyDescent="0.3">
      <c r="A10" s="3" t="s">
        <v>20</v>
      </c>
      <c r="B10" s="4" t="s">
        <v>38</v>
      </c>
      <c r="C10" s="4" t="s">
        <v>38</v>
      </c>
      <c r="D10" s="4">
        <v>25000</v>
      </c>
      <c r="E10" s="4">
        <v>15500</v>
      </c>
      <c r="F10" s="4">
        <v>19000</v>
      </c>
      <c r="G10" s="4">
        <v>12000</v>
      </c>
      <c r="H10" s="4">
        <v>33500</v>
      </c>
      <c r="I10" s="4">
        <v>1400</v>
      </c>
      <c r="J10" s="4">
        <v>8500</v>
      </c>
      <c r="K10" s="3" t="s">
        <v>12</v>
      </c>
      <c r="M10" s="3" t="s">
        <v>20</v>
      </c>
      <c r="N10" s="4" t="s">
        <v>38</v>
      </c>
      <c r="O10" s="4" t="s">
        <v>38</v>
      </c>
      <c r="P10" s="4">
        <v>100000</v>
      </c>
      <c r="Q10" s="4">
        <v>62000</v>
      </c>
      <c r="R10" s="4">
        <v>76000</v>
      </c>
      <c r="S10" s="4">
        <v>48000</v>
      </c>
      <c r="T10" s="4">
        <v>134000</v>
      </c>
      <c r="U10" s="4">
        <v>56000</v>
      </c>
      <c r="V10" s="4">
        <v>34000</v>
      </c>
      <c r="W10" s="3" t="s">
        <v>13</v>
      </c>
      <c r="Y10" s="3" t="s">
        <v>20</v>
      </c>
      <c r="Z10" s="4" t="s">
        <v>38</v>
      </c>
      <c r="AA10" s="4" t="s">
        <v>38</v>
      </c>
      <c r="AB10" s="4">
        <v>75000</v>
      </c>
      <c r="AC10" s="4">
        <v>46500</v>
      </c>
      <c r="AD10" s="4">
        <v>57000</v>
      </c>
      <c r="AE10" s="4">
        <v>36000</v>
      </c>
      <c r="AF10" s="4">
        <v>100500</v>
      </c>
      <c r="AG10" s="4">
        <v>42000</v>
      </c>
      <c r="AH10" s="4">
        <v>25500</v>
      </c>
      <c r="AI10" s="3" t="s">
        <v>14</v>
      </c>
      <c r="AK10" s="3" t="s">
        <v>20</v>
      </c>
      <c r="AL10" s="9" t="s">
        <v>90</v>
      </c>
      <c r="AM10" s="9" t="s">
        <v>90</v>
      </c>
      <c r="AN10" s="9" t="s">
        <v>90</v>
      </c>
      <c r="AO10" s="9" t="s">
        <v>90</v>
      </c>
      <c r="AP10" s="9" t="s">
        <v>90</v>
      </c>
      <c r="AQ10" s="9" t="s">
        <v>90</v>
      </c>
      <c r="AR10" s="9" t="s">
        <v>90</v>
      </c>
      <c r="AS10" s="9" t="s">
        <v>90</v>
      </c>
      <c r="AT10" s="9" t="s">
        <v>90</v>
      </c>
      <c r="AU10" s="9"/>
      <c r="AW10" s="3" t="s">
        <v>20</v>
      </c>
      <c r="AX10" s="4" t="s">
        <v>127</v>
      </c>
      <c r="AY10" s="4" t="s">
        <v>127</v>
      </c>
      <c r="AZ10" s="4" t="s">
        <v>127</v>
      </c>
      <c r="BA10" s="4" t="s">
        <v>127</v>
      </c>
      <c r="BB10" s="4" t="s">
        <v>127</v>
      </c>
      <c r="BC10" s="4" t="s">
        <v>127</v>
      </c>
      <c r="BD10" s="4" t="s">
        <v>127</v>
      </c>
      <c r="BE10" s="4" t="s">
        <v>127</v>
      </c>
      <c r="BF10" s="4" t="s">
        <v>127</v>
      </c>
      <c r="BG10" s="3"/>
      <c r="BH10" s="23"/>
      <c r="BI10" s="3" t="s">
        <v>20</v>
      </c>
      <c r="BJ10" s="4" t="s">
        <v>128</v>
      </c>
      <c r="BK10" s="4" t="s">
        <v>128</v>
      </c>
      <c r="BL10" s="4" t="s">
        <v>128</v>
      </c>
      <c r="BM10" s="4" t="s">
        <v>128</v>
      </c>
      <c r="BN10" s="4" t="s">
        <v>128</v>
      </c>
      <c r="BO10" s="4" t="s">
        <v>128</v>
      </c>
      <c r="BP10" s="4" t="s">
        <v>128</v>
      </c>
      <c r="BQ10" s="4" t="s">
        <v>128</v>
      </c>
      <c r="BR10" s="4" t="s">
        <v>128</v>
      </c>
      <c r="BS10" s="3"/>
    </row>
    <row r="11" spans="1:71" ht="16.2" customHeight="1" x14ac:dyDescent="0.3">
      <c r="A11" s="3" t="s">
        <v>41</v>
      </c>
      <c r="B11" s="4" t="s">
        <v>38</v>
      </c>
      <c r="C11" s="4" t="s">
        <v>38</v>
      </c>
      <c r="D11" s="4">
        <v>37500</v>
      </c>
      <c r="E11" s="4">
        <v>23000</v>
      </c>
      <c r="F11" s="4">
        <v>28500</v>
      </c>
      <c r="G11" s="4">
        <v>18000</v>
      </c>
      <c r="H11" s="4">
        <v>50500</v>
      </c>
      <c r="I11" s="4">
        <v>21000</v>
      </c>
      <c r="J11" s="4">
        <v>13000</v>
      </c>
      <c r="K11" s="3" t="s">
        <v>12</v>
      </c>
      <c r="M11" s="3" t="s">
        <v>41</v>
      </c>
      <c r="N11" s="4" t="s">
        <v>38</v>
      </c>
      <c r="O11" s="4" t="s">
        <v>38</v>
      </c>
      <c r="P11" s="4">
        <v>150000</v>
      </c>
      <c r="Q11" s="4">
        <v>92000</v>
      </c>
      <c r="R11" s="4">
        <v>114000</v>
      </c>
      <c r="S11" s="4">
        <v>72000</v>
      </c>
      <c r="T11" s="4">
        <v>202000</v>
      </c>
      <c r="U11" s="4">
        <v>84000</v>
      </c>
      <c r="V11" s="4">
        <v>52000</v>
      </c>
      <c r="W11" s="3" t="s">
        <v>13</v>
      </c>
      <c r="Y11" s="3" t="s">
        <v>41</v>
      </c>
      <c r="Z11" s="4" t="s">
        <v>38</v>
      </c>
      <c r="AA11" s="4" t="s">
        <v>38</v>
      </c>
      <c r="AB11" s="4">
        <v>112500</v>
      </c>
      <c r="AC11" s="4">
        <v>69000</v>
      </c>
      <c r="AD11" s="4">
        <v>85500</v>
      </c>
      <c r="AE11" s="4">
        <v>54000</v>
      </c>
      <c r="AF11" s="4">
        <v>151500</v>
      </c>
      <c r="AG11" s="4">
        <v>63000</v>
      </c>
      <c r="AH11" s="4">
        <v>39000</v>
      </c>
      <c r="AI11" s="3" t="s">
        <v>14</v>
      </c>
      <c r="AK11" s="3" t="s">
        <v>41</v>
      </c>
      <c r="AL11" s="9" t="s">
        <v>90</v>
      </c>
      <c r="AM11" s="9" t="s">
        <v>90</v>
      </c>
      <c r="AN11" s="9" t="s">
        <v>90</v>
      </c>
      <c r="AO11" s="9" t="s">
        <v>90</v>
      </c>
      <c r="AP11" s="9" t="s">
        <v>90</v>
      </c>
      <c r="AQ11" s="9" t="s">
        <v>90</v>
      </c>
      <c r="AR11" s="9" t="s">
        <v>90</v>
      </c>
      <c r="AS11" s="9" t="s">
        <v>90</v>
      </c>
      <c r="AT11" s="9" t="s">
        <v>90</v>
      </c>
      <c r="AU11" s="9"/>
      <c r="AW11" s="3" t="s">
        <v>41</v>
      </c>
      <c r="AX11" s="4" t="s">
        <v>127</v>
      </c>
      <c r="AY11" s="4" t="s">
        <v>127</v>
      </c>
      <c r="AZ11" s="4" t="s">
        <v>127</v>
      </c>
      <c r="BA11" s="4" t="s">
        <v>127</v>
      </c>
      <c r="BB11" s="4" t="s">
        <v>127</v>
      </c>
      <c r="BC11" s="4" t="s">
        <v>127</v>
      </c>
      <c r="BD11" s="4" t="s">
        <v>127</v>
      </c>
      <c r="BE11" s="4" t="s">
        <v>127</v>
      </c>
      <c r="BF11" s="4" t="s">
        <v>127</v>
      </c>
      <c r="BG11" s="3"/>
      <c r="BH11" s="23"/>
      <c r="BI11" s="3" t="s">
        <v>41</v>
      </c>
      <c r="BJ11" s="4" t="s">
        <v>128</v>
      </c>
      <c r="BK11" s="4" t="s">
        <v>128</v>
      </c>
      <c r="BL11" s="4" t="s">
        <v>128</v>
      </c>
      <c r="BM11" s="4" t="s">
        <v>128</v>
      </c>
      <c r="BN11" s="4" t="s">
        <v>128</v>
      </c>
      <c r="BO11" s="4" t="s">
        <v>128</v>
      </c>
      <c r="BP11" s="4" t="s">
        <v>128</v>
      </c>
      <c r="BQ11" s="4" t="s">
        <v>128</v>
      </c>
      <c r="BR11" s="4" t="s">
        <v>128</v>
      </c>
      <c r="BS11" s="3"/>
    </row>
    <row r="12" spans="1:71" ht="16.2" customHeight="1" x14ac:dyDescent="0.3">
      <c r="A12" s="3" t="s">
        <v>21</v>
      </c>
      <c r="B12" s="4">
        <v>21000</v>
      </c>
      <c r="C12" s="4">
        <v>16500</v>
      </c>
      <c r="D12" s="4">
        <v>11000</v>
      </c>
      <c r="E12" s="4">
        <v>70000</v>
      </c>
      <c r="F12" s="4">
        <v>9500</v>
      </c>
      <c r="G12" s="4">
        <v>7000</v>
      </c>
      <c r="H12" s="4">
        <v>10500</v>
      </c>
      <c r="I12" s="4">
        <v>7500</v>
      </c>
      <c r="J12" s="4" t="s">
        <v>162</v>
      </c>
      <c r="K12" s="3" t="s">
        <v>12</v>
      </c>
      <c r="M12" s="3" t="s">
        <v>21</v>
      </c>
      <c r="N12" s="4">
        <v>21000</v>
      </c>
      <c r="O12" s="4">
        <v>16500</v>
      </c>
      <c r="P12" s="4">
        <v>11000</v>
      </c>
      <c r="Q12" s="4">
        <v>70000</v>
      </c>
      <c r="R12" s="4">
        <v>9500</v>
      </c>
      <c r="S12" s="4">
        <v>7000</v>
      </c>
      <c r="T12" s="4">
        <v>10500</v>
      </c>
      <c r="U12" s="4">
        <v>7500</v>
      </c>
      <c r="V12" s="4" t="s">
        <v>162</v>
      </c>
      <c r="W12" s="3" t="s">
        <v>13</v>
      </c>
      <c r="Y12" s="3" t="s">
        <v>21</v>
      </c>
      <c r="Z12" s="4" t="s">
        <v>163</v>
      </c>
      <c r="AA12" s="4" t="s">
        <v>163</v>
      </c>
      <c r="AB12" s="4" t="s">
        <v>163</v>
      </c>
      <c r="AC12" s="4" t="s">
        <v>163</v>
      </c>
      <c r="AD12" s="4" t="s">
        <v>163</v>
      </c>
      <c r="AE12" s="4" t="s">
        <v>163</v>
      </c>
      <c r="AF12" s="4" t="s">
        <v>163</v>
      </c>
      <c r="AG12" s="4" t="s">
        <v>163</v>
      </c>
      <c r="AH12" s="4" t="s">
        <v>163</v>
      </c>
      <c r="AI12" s="4" t="s">
        <v>40</v>
      </c>
      <c r="AK12" s="3" t="s">
        <v>21</v>
      </c>
      <c r="AL12" s="9" t="s">
        <v>90</v>
      </c>
      <c r="AM12" s="9" t="s">
        <v>90</v>
      </c>
      <c r="AN12" s="9" t="s">
        <v>90</v>
      </c>
      <c r="AO12" s="9" t="s">
        <v>90</v>
      </c>
      <c r="AP12" s="9" t="s">
        <v>90</v>
      </c>
      <c r="AQ12" s="9" t="s">
        <v>90</v>
      </c>
      <c r="AR12" s="9" t="s">
        <v>90</v>
      </c>
      <c r="AS12" s="9" t="s">
        <v>90</v>
      </c>
      <c r="AT12" s="9" t="s">
        <v>90</v>
      </c>
      <c r="AU12" s="9"/>
      <c r="AW12" s="3" t="s">
        <v>21</v>
      </c>
      <c r="AX12" s="4" t="s">
        <v>127</v>
      </c>
      <c r="AY12" s="4" t="s">
        <v>127</v>
      </c>
      <c r="AZ12" s="4" t="s">
        <v>127</v>
      </c>
      <c r="BA12" s="4" t="s">
        <v>127</v>
      </c>
      <c r="BB12" s="4" t="s">
        <v>127</v>
      </c>
      <c r="BC12" s="4" t="s">
        <v>127</v>
      </c>
      <c r="BD12" s="4" t="s">
        <v>127</v>
      </c>
      <c r="BE12" s="4" t="s">
        <v>127</v>
      </c>
      <c r="BF12" s="4" t="s">
        <v>162</v>
      </c>
      <c r="BG12" s="3"/>
      <c r="BH12" s="23"/>
      <c r="BI12" s="3" t="s">
        <v>21</v>
      </c>
      <c r="BJ12" s="4" t="s">
        <v>128</v>
      </c>
      <c r="BK12" s="4" t="s">
        <v>128</v>
      </c>
      <c r="BL12" s="4" t="s">
        <v>128</v>
      </c>
      <c r="BM12" s="4" t="s">
        <v>128</v>
      </c>
      <c r="BN12" s="4" t="s">
        <v>128</v>
      </c>
      <c r="BO12" s="4" t="s">
        <v>128</v>
      </c>
      <c r="BP12" s="4" t="s">
        <v>128</v>
      </c>
      <c r="BQ12" s="4" t="s">
        <v>128</v>
      </c>
      <c r="BR12" s="4" t="s">
        <v>162</v>
      </c>
      <c r="BS12" s="3"/>
    </row>
    <row r="13" spans="1:71" ht="16.2" customHeight="1" x14ac:dyDescent="0.3">
      <c r="A13" s="3" t="s">
        <v>22</v>
      </c>
      <c r="B13" s="4">
        <v>21000</v>
      </c>
      <c r="C13" s="4">
        <v>16500</v>
      </c>
      <c r="D13" s="4">
        <v>11000</v>
      </c>
      <c r="E13" s="4">
        <v>70000</v>
      </c>
      <c r="F13" s="4">
        <v>9500</v>
      </c>
      <c r="G13" s="4">
        <v>7000</v>
      </c>
      <c r="H13" s="4">
        <v>10500</v>
      </c>
      <c r="I13" s="4">
        <v>7500</v>
      </c>
      <c r="J13" s="4">
        <v>3000</v>
      </c>
      <c r="K13" s="3" t="s">
        <v>12</v>
      </c>
      <c r="M13" s="3" t="s">
        <v>22</v>
      </c>
      <c r="N13" s="4">
        <v>21000</v>
      </c>
      <c r="O13" s="4">
        <v>16500</v>
      </c>
      <c r="P13" s="4">
        <v>11000</v>
      </c>
      <c r="Q13" s="4">
        <v>70000</v>
      </c>
      <c r="R13" s="4">
        <v>9500</v>
      </c>
      <c r="S13" s="4">
        <v>7000</v>
      </c>
      <c r="T13" s="4">
        <v>10500</v>
      </c>
      <c r="U13" s="4">
        <v>7500</v>
      </c>
      <c r="V13" s="4">
        <v>3000</v>
      </c>
      <c r="W13" s="3" t="s">
        <v>13</v>
      </c>
      <c r="Y13" s="3" t="s">
        <v>22</v>
      </c>
      <c r="Z13" s="4">
        <v>21000</v>
      </c>
      <c r="AA13" s="4">
        <v>16500</v>
      </c>
      <c r="AB13" s="4">
        <v>11000</v>
      </c>
      <c r="AC13" s="4">
        <v>70000</v>
      </c>
      <c r="AD13" s="4">
        <v>9500</v>
      </c>
      <c r="AE13" s="4">
        <v>7000</v>
      </c>
      <c r="AF13" s="4">
        <v>10500</v>
      </c>
      <c r="AG13" s="4">
        <v>7500</v>
      </c>
      <c r="AH13" s="4">
        <v>3000</v>
      </c>
      <c r="AI13" s="3" t="s">
        <v>14</v>
      </c>
      <c r="AK13" s="3" t="s">
        <v>22</v>
      </c>
      <c r="AL13" s="9" t="s">
        <v>90</v>
      </c>
      <c r="AM13" s="9" t="s">
        <v>90</v>
      </c>
      <c r="AN13" s="9" t="s">
        <v>90</v>
      </c>
      <c r="AO13" s="9" t="s">
        <v>90</v>
      </c>
      <c r="AP13" s="9" t="s">
        <v>90</v>
      </c>
      <c r="AQ13" s="9" t="s">
        <v>90</v>
      </c>
      <c r="AR13" s="9" t="s">
        <v>90</v>
      </c>
      <c r="AS13" s="9" t="s">
        <v>90</v>
      </c>
      <c r="AT13" s="9" t="s">
        <v>90</v>
      </c>
      <c r="AU13" s="9"/>
      <c r="AW13" s="3" t="s">
        <v>22</v>
      </c>
      <c r="AX13" s="4" t="s">
        <v>127</v>
      </c>
      <c r="AY13" s="4" t="s">
        <v>127</v>
      </c>
      <c r="AZ13" s="4" t="s">
        <v>127</v>
      </c>
      <c r="BA13" s="4" t="s">
        <v>127</v>
      </c>
      <c r="BB13" s="4" t="s">
        <v>127</v>
      </c>
      <c r="BC13" s="4" t="s">
        <v>127</v>
      </c>
      <c r="BD13" s="4" t="s">
        <v>127</v>
      </c>
      <c r="BE13" s="4" t="s">
        <v>127</v>
      </c>
      <c r="BF13" s="4" t="s">
        <v>127</v>
      </c>
      <c r="BG13" s="3"/>
      <c r="BH13" s="23"/>
      <c r="BI13" s="3" t="s">
        <v>22</v>
      </c>
      <c r="BJ13" s="4" t="s">
        <v>128</v>
      </c>
      <c r="BK13" s="4" t="s">
        <v>128</v>
      </c>
      <c r="BL13" s="4" t="s">
        <v>128</v>
      </c>
      <c r="BM13" s="4" t="s">
        <v>128</v>
      </c>
      <c r="BN13" s="4" t="s">
        <v>128</v>
      </c>
      <c r="BO13" s="4" t="s">
        <v>128</v>
      </c>
      <c r="BP13" s="4" t="s">
        <v>128</v>
      </c>
      <c r="BQ13" s="4" t="s">
        <v>128</v>
      </c>
      <c r="BR13" s="4" t="s">
        <v>128</v>
      </c>
      <c r="BS13" s="3"/>
    </row>
    <row r="14" spans="1:71" ht="16.2" customHeight="1" x14ac:dyDescent="0.3">
      <c r="A14" s="3" t="s">
        <v>23</v>
      </c>
      <c r="B14" s="4" t="s">
        <v>38</v>
      </c>
      <c r="C14" s="4">
        <v>60000</v>
      </c>
      <c r="D14" s="4">
        <v>26500</v>
      </c>
      <c r="E14" s="4">
        <v>14000</v>
      </c>
      <c r="F14" s="4">
        <v>17500</v>
      </c>
      <c r="G14" s="4">
        <v>13000</v>
      </c>
      <c r="H14" s="4">
        <v>25500</v>
      </c>
      <c r="I14" s="4">
        <v>10000</v>
      </c>
      <c r="J14" s="4">
        <v>5000</v>
      </c>
      <c r="K14" s="3" t="s">
        <v>12</v>
      </c>
      <c r="M14" s="3" t="s">
        <v>23</v>
      </c>
      <c r="N14" s="4" t="s">
        <v>38</v>
      </c>
      <c r="O14" s="4">
        <v>60000</v>
      </c>
      <c r="P14" s="4">
        <v>26500</v>
      </c>
      <c r="Q14" s="4">
        <v>14000</v>
      </c>
      <c r="R14" s="4">
        <v>17500</v>
      </c>
      <c r="S14" s="4">
        <v>13000</v>
      </c>
      <c r="T14" s="4">
        <v>25500</v>
      </c>
      <c r="U14" s="4">
        <v>10000</v>
      </c>
      <c r="V14" s="4">
        <v>5000</v>
      </c>
      <c r="W14" s="3" t="s">
        <v>13</v>
      </c>
      <c r="Y14" s="3" t="s">
        <v>23</v>
      </c>
      <c r="Z14" s="4" t="s">
        <v>38</v>
      </c>
      <c r="AA14" s="4">
        <v>60000</v>
      </c>
      <c r="AB14" s="4">
        <v>26500</v>
      </c>
      <c r="AC14" s="4">
        <v>14000</v>
      </c>
      <c r="AD14" s="4">
        <v>17500</v>
      </c>
      <c r="AE14" s="4">
        <v>13000</v>
      </c>
      <c r="AF14" s="4">
        <v>25500</v>
      </c>
      <c r="AG14" s="4">
        <v>10000</v>
      </c>
      <c r="AH14" s="4">
        <v>5000</v>
      </c>
      <c r="AI14" s="3" t="s">
        <v>14</v>
      </c>
      <c r="AK14" s="3" t="s">
        <v>23</v>
      </c>
      <c r="AL14" s="9" t="s">
        <v>90</v>
      </c>
      <c r="AM14" s="9" t="s">
        <v>90</v>
      </c>
      <c r="AN14" s="9" t="s">
        <v>90</v>
      </c>
      <c r="AO14" s="9" t="s">
        <v>90</v>
      </c>
      <c r="AP14" s="9" t="s">
        <v>90</v>
      </c>
      <c r="AQ14" s="9" t="s">
        <v>90</v>
      </c>
      <c r="AR14" s="9" t="s">
        <v>90</v>
      </c>
      <c r="AS14" s="9" t="s">
        <v>90</v>
      </c>
      <c r="AT14" s="9" t="s">
        <v>90</v>
      </c>
      <c r="AU14" s="9"/>
      <c r="AW14" s="3" t="s">
        <v>23</v>
      </c>
      <c r="AX14" s="4" t="s">
        <v>127</v>
      </c>
      <c r="AY14" s="4" t="s">
        <v>127</v>
      </c>
      <c r="AZ14" s="4" t="s">
        <v>127</v>
      </c>
      <c r="BA14" s="4" t="s">
        <v>127</v>
      </c>
      <c r="BB14" s="4" t="s">
        <v>127</v>
      </c>
      <c r="BC14" s="4" t="s">
        <v>127</v>
      </c>
      <c r="BD14" s="4" t="s">
        <v>127</v>
      </c>
      <c r="BE14" s="4" t="s">
        <v>127</v>
      </c>
      <c r="BF14" s="4" t="s">
        <v>127</v>
      </c>
      <c r="BG14" s="3"/>
      <c r="BH14" s="23"/>
      <c r="BI14" s="3" t="s">
        <v>23</v>
      </c>
      <c r="BJ14" s="4" t="s">
        <v>128</v>
      </c>
      <c r="BK14" s="4" t="s">
        <v>128</v>
      </c>
      <c r="BL14" s="4" t="s">
        <v>128</v>
      </c>
      <c r="BM14" s="4" t="s">
        <v>128</v>
      </c>
      <c r="BN14" s="4" t="s">
        <v>128</v>
      </c>
      <c r="BO14" s="4" t="s">
        <v>128</v>
      </c>
      <c r="BP14" s="4" t="s">
        <v>128</v>
      </c>
      <c r="BQ14" s="4" t="s">
        <v>128</v>
      </c>
      <c r="BR14" s="4" t="s">
        <v>128</v>
      </c>
      <c r="BS14" s="3"/>
    </row>
    <row r="15" spans="1:71" ht="16.2" customHeight="1" x14ac:dyDescent="0.3">
      <c r="A15" s="3" t="s">
        <v>24</v>
      </c>
      <c r="B15" s="4" t="s">
        <v>38</v>
      </c>
      <c r="C15" s="4" t="s">
        <v>38</v>
      </c>
      <c r="D15" s="4">
        <v>37500</v>
      </c>
      <c r="E15" s="4">
        <v>17500</v>
      </c>
      <c r="F15" s="4">
        <v>28500</v>
      </c>
      <c r="G15" s="4">
        <v>17500</v>
      </c>
      <c r="H15" s="4">
        <v>36000</v>
      </c>
      <c r="I15" s="4">
        <v>18000</v>
      </c>
      <c r="J15" s="4">
        <v>6500</v>
      </c>
      <c r="K15" s="3" t="s">
        <v>12</v>
      </c>
      <c r="M15" s="3" t="s">
        <v>24</v>
      </c>
      <c r="N15" s="4" t="s">
        <v>38</v>
      </c>
      <c r="O15" s="4" t="s">
        <v>38</v>
      </c>
      <c r="P15" s="4">
        <v>150000</v>
      </c>
      <c r="Q15" s="4">
        <v>70000</v>
      </c>
      <c r="R15" s="4">
        <v>114000</v>
      </c>
      <c r="S15" s="4">
        <v>70000</v>
      </c>
      <c r="T15" s="4">
        <v>144000</v>
      </c>
      <c r="U15" s="4">
        <v>72000</v>
      </c>
      <c r="V15" s="4">
        <v>26000</v>
      </c>
      <c r="W15" s="3" t="s">
        <v>13</v>
      </c>
      <c r="Y15" s="3" t="s">
        <v>24</v>
      </c>
      <c r="Z15" s="4" t="s">
        <v>38</v>
      </c>
      <c r="AA15" s="4" t="s">
        <v>38</v>
      </c>
      <c r="AB15" s="4">
        <v>112500</v>
      </c>
      <c r="AC15" s="4">
        <v>52500</v>
      </c>
      <c r="AD15" s="4">
        <v>85500</v>
      </c>
      <c r="AE15" s="4">
        <v>52500</v>
      </c>
      <c r="AF15" s="4">
        <v>108000</v>
      </c>
      <c r="AG15" s="4">
        <v>54000</v>
      </c>
      <c r="AH15" s="4">
        <v>19500</v>
      </c>
      <c r="AI15" s="5" t="s">
        <v>33</v>
      </c>
      <c r="AK15" s="3" t="s">
        <v>24</v>
      </c>
      <c r="AL15" s="4" t="s">
        <v>38</v>
      </c>
      <c r="AM15" s="4" t="s">
        <v>38</v>
      </c>
      <c r="AN15" s="4">
        <v>37500</v>
      </c>
      <c r="AO15" s="4">
        <v>17500</v>
      </c>
      <c r="AP15" s="4">
        <v>28500</v>
      </c>
      <c r="AQ15" s="4">
        <v>17500</v>
      </c>
      <c r="AR15" s="4">
        <v>36000</v>
      </c>
      <c r="AS15" s="4">
        <v>18000</v>
      </c>
      <c r="AT15" s="4">
        <v>6500</v>
      </c>
      <c r="AU15" s="5" t="s">
        <v>32</v>
      </c>
      <c r="AW15" s="3" t="s">
        <v>24</v>
      </c>
      <c r="AX15" s="4" t="s">
        <v>127</v>
      </c>
      <c r="AY15" s="4" t="s">
        <v>127</v>
      </c>
      <c r="AZ15" s="4" t="s">
        <v>127</v>
      </c>
      <c r="BA15" s="4" t="s">
        <v>127</v>
      </c>
      <c r="BB15" s="4" t="s">
        <v>127</v>
      </c>
      <c r="BC15" s="4" t="s">
        <v>127</v>
      </c>
      <c r="BD15" s="4" t="s">
        <v>127</v>
      </c>
      <c r="BE15" s="4" t="s">
        <v>127</v>
      </c>
      <c r="BF15" s="4" t="s">
        <v>127</v>
      </c>
      <c r="BG15" s="3"/>
      <c r="BH15" s="23"/>
      <c r="BI15" s="3" t="s">
        <v>24</v>
      </c>
      <c r="BJ15" s="4" t="s">
        <v>128</v>
      </c>
      <c r="BK15" s="4" t="s">
        <v>128</v>
      </c>
      <c r="BL15" s="4" t="s">
        <v>128</v>
      </c>
      <c r="BM15" s="4" t="s">
        <v>128</v>
      </c>
      <c r="BN15" s="4" t="s">
        <v>128</v>
      </c>
      <c r="BO15" s="4" t="s">
        <v>128</v>
      </c>
      <c r="BP15" s="4" t="s">
        <v>128</v>
      </c>
      <c r="BQ15" s="4" t="s">
        <v>128</v>
      </c>
      <c r="BR15" s="4" t="s">
        <v>128</v>
      </c>
      <c r="BS15" s="3"/>
    </row>
    <row r="16" spans="1:71" ht="16.2" customHeight="1" x14ac:dyDescent="0.3">
      <c r="A16" s="3" t="s">
        <v>25</v>
      </c>
      <c r="B16" s="4" t="s">
        <v>38</v>
      </c>
      <c r="C16" s="4" t="s">
        <v>38</v>
      </c>
      <c r="D16" s="4">
        <v>37500</v>
      </c>
      <c r="E16" s="4">
        <v>23000</v>
      </c>
      <c r="F16" s="4">
        <v>28500</v>
      </c>
      <c r="G16" s="4">
        <v>19000</v>
      </c>
      <c r="H16" s="4">
        <v>36000</v>
      </c>
      <c r="I16" s="4">
        <v>18000</v>
      </c>
      <c r="J16" s="4">
        <v>9000</v>
      </c>
      <c r="K16" s="3" t="s">
        <v>12</v>
      </c>
      <c r="M16" s="3" t="s">
        <v>25</v>
      </c>
      <c r="N16" s="4" t="s">
        <v>38</v>
      </c>
      <c r="O16" s="4" t="s">
        <v>38</v>
      </c>
      <c r="P16" s="4">
        <v>150000</v>
      </c>
      <c r="Q16" s="4">
        <v>92000</v>
      </c>
      <c r="R16" s="4">
        <v>114000</v>
      </c>
      <c r="S16" s="4">
        <v>76000</v>
      </c>
      <c r="T16" s="4">
        <v>144000</v>
      </c>
      <c r="U16" s="4">
        <v>72000</v>
      </c>
      <c r="V16" s="4">
        <v>36000</v>
      </c>
      <c r="W16" s="3" t="s">
        <v>13</v>
      </c>
      <c r="Y16" s="3" t="s">
        <v>25</v>
      </c>
      <c r="Z16" s="4" t="s">
        <v>38</v>
      </c>
      <c r="AA16" s="4" t="s">
        <v>38</v>
      </c>
      <c r="AB16" s="4">
        <v>112500</v>
      </c>
      <c r="AC16" s="4">
        <v>69000</v>
      </c>
      <c r="AD16" s="4">
        <v>85500</v>
      </c>
      <c r="AE16" s="4">
        <v>57000</v>
      </c>
      <c r="AF16" s="4">
        <v>10800</v>
      </c>
      <c r="AG16" s="4">
        <v>54000</v>
      </c>
      <c r="AH16" s="4">
        <v>27000</v>
      </c>
      <c r="AI16" s="5" t="s">
        <v>33</v>
      </c>
      <c r="AK16" s="3" t="s">
        <v>25</v>
      </c>
      <c r="AL16" s="4" t="s">
        <v>38</v>
      </c>
      <c r="AM16" s="4" t="s">
        <v>38</v>
      </c>
      <c r="AN16" s="4">
        <v>37500</v>
      </c>
      <c r="AO16" s="4">
        <v>23000</v>
      </c>
      <c r="AP16" s="4">
        <v>28500</v>
      </c>
      <c r="AQ16" s="4">
        <v>19000</v>
      </c>
      <c r="AR16" s="4">
        <v>36000</v>
      </c>
      <c r="AS16" s="4">
        <v>18000</v>
      </c>
      <c r="AT16" s="4">
        <v>9000</v>
      </c>
      <c r="AU16" s="5" t="s">
        <v>32</v>
      </c>
      <c r="AW16" s="3" t="s">
        <v>25</v>
      </c>
      <c r="AX16" s="4" t="s">
        <v>127</v>
      </c>
      <c r="AY16" s="4" t="s">
        <v>127</v>
      </c>
      <c r="AZ16" s="4" t="s">
        <v>127</v>
      </c>
      <c r="BA16" s="4" t="s">
        <v>127</v>
      </c>
      <c r="BB16" s="4" t="s">
        <v>127</v>
      </c>
      <c r="BC16" s="4" t="s">
        <v>127</v>
      </c>
      <c r="BD16" s="4" t="s">
        <v>127</v>
      </c>
      <c r="BE16" s="4" t="s">
        <v>127</v>
      </c>
      <c r="BF16" s="4" t="s">
        <v>127</v>
      </c>
      <c r="BG16" s="3"/>
      <c r="BH16" s="23"/>
      <c r="BI16" s="3" t="s">
        <v>25</v>
      </c>
      <c r="BJ16" s="4" t="s">
        <v>128</v>
      </c>
      <c r="BK16" s="4" t="s">
        <v>128</v>
      </c>
      <c r="BL16" s="4" t="s">
        <v>128</v>
      </c>
      <c r="BM16" s="4" t="s">
        <v>128</v>
      </c>
      <c r="BN16" s="4" t="s">
        <v>128</v>
      </c>
      <c r="BO16" s="4" t="s">
        <v>128</v>
      </c>
      <c r="BP16" s="4" t="s">
        <v>128</v>
      </c>
      <c r="BQ16" s="4" t="s">
        <v>128</v>
      </c>
      <c r="BR16" s="4" t="s">
        <v>128</v>
      </c>
      <c r="BS16" s="3"/>
    </row>
    <row r="17" spans="1:71" ht="16.2" customHeight="1" x14ac:dyDescent="0.3">
      <c r="A17" s="8" t="s">
        <v>151</v>
      </c>
      <c r="B17" s="4" t="s">
        <v>38</v>
      </c>
      <c r="C17" s="4">
        <v>55000</v>
      </c>
      <c r="D17" s="4">
        <v>19000</v>
      </c>
      <c r="E17" s="4">
        <v>10000</v>
      </c>
      <c r="F17" s="4">
        <v>16500</v>
      </c>
      <c r="G17" s="4">
        <v>10000</v>
      </c>
      <c r="H17" s="4">
        <v>18000</v>
      </c>
      <c r="I17" s="4">
        <v>10500</v>
      </c>
      <c r="J17" s="4">
        <v>4500</v>
      </c>
      <c r="K17" s="3" t="s">
        <v>12</v>
      </c>
      <c r="M17" s="8" t="s">
        <v>151</v>
      </c>
      <c r="N17" s="37" t="s">
        <v>38</v>
      </c>
      <c r="O17" s="4">
        <v>220000</v>
      </c>
      <c r="P17" s="4">
        <v>76000</v>
      </c>
      <c r="Q17" s="4">
        <v>40000</v>
      </c>
      <c r="R17" s="4">
        <v>66000</v>
      </c>
      <c r="S17" s="4">
        <v>40000</v>
      </c>
      <c r="T17" s="4">
        <v>72000</v>
      </c>
      <c r="U17" s="4">
        <v>42000</v>
      </c>
      <c r="V17" s="4">
        <v>18000</v>
      </c>
      <c r="W17" s="3" t="s">
        <v>13</v>
      </c>
      <c r="Y17" s="8" t="s">
        <v>151</v>
      </c>
      <c r="Z17" s="4" t="s">
        <v>38</v>
      </c>
      <c r="AA17" s="4">
        <v>165000</v>
      </c>
      <c r="AB17" s="4">
        <v>57000</v>
      </c>
      <c r="AC17" s="4">
        <v>30000</v>
      </c>
      <c r="AD17" s="4">
        <v>49500</v>
      </c>
      <c r="AE17" s="4">
        <v>30000</v>
      </c>
      <c r="AF17" s="4">
        <v>54000</v>
      </c>
      <c r="AG17" s="4">
        <v>31500</v>
      </c>
      <c r="AH17" s="4">
        <v>13500</v>
      </c>
      <c r="AI17" s="5" t="s">
        <v>14</v>
      </c>
      <c r="AK17" s="8" t="s">
        <v>151</v>
      </c>
      <c r="AL17" s="4" t="s">
        <v>38</v>
      </c>
      <c r="AM17" s="4">
        <v>55000</v>
      </c>
      <c r="AN17" s="4">
        <v>19000</v>
      </c>
      <c r="AO17" s="4">
        <v>10000</v>
      </c>
      <c r="AP17" s="4">
        <v>16500</v>
      </c>
      <c r="AQ17" s="4">
        <v>10000</v>
      </c>
      <c r="AR17" s="4">
        <v>18000</v>
      </c>
      <c r="AS17" s="4">
        <v>10500</v>
      </c>
      <c r="AT17" s="4">
        <v>4500</v>
      </c>
      <c r="AU17" s="5"/>
      <c r="AW17" s="8" t="s">
        <v>151</v>
      </c>
      <c r="AX17" s="4" t="s">
        <v>127</v>
      </c>
      <c r="AY17" s="4" t="s">
        <v>127</v>
      </c>
      <c r="AZ17" s="4" t="s">
        <v>127</v>
      </c>
      <c r="BA17" s="4" t="s">
        <v>127</v>
      </c>
      <c r="BB17" s="4" t="s">
        <v>127</v>
      </c>
      <c r="BC17" s="4" t="s">
        <v>127</v>
      </c>
      <c r="BD17" s="4" t="s">
        <v>127</v>
      </c>
      <c r="BE17" s="4" t="s">
        <v>127</v>
      </c>
      <c r="BF17" s="4" t="s">
        <v>127</v>
      </c>
      <c r="BG17" s="3"/>
      <c r="BH17" s="23"/>
      <c r="BI17" s="8" t="s">
        <v>151</v>
      </c>
      <c r="BJ17" s="4" t="s">
        <v>38</v>
      </c>
      <c r="BK17" s="4">
        <v>55000</v>
      </c>
      <c r="BL17" s="4">
        <v>19000</v>
      </c>
      <c r="BM17" s="4">
        <v>10000</v>
      </c>
      <c r="BN17" s="4">
        <v>16500</v>
      </c>
      <c r="BO17" s="4">
        <v>10000</v>
      </c>
      <c r="BP17" s="4">
        <v>18000</v>
      </c>
      <c r="BQ17" s="4">
        <v>10500</v>
      </c>
      <c r="BR17" s="4">
        <v>4500</v>
      </c>
      <c r="BS17" s="3" t="s">
        <v>31</v>
      </c>
    </row>
    <row r="18" spans="1:71" ht="16.2" customHeight="1" x14ac:dyDescent="0.3">
      <c r="A18" s="8" t="s">
        <v>152</v>
      </c>
      <c r="B18" s="4" t="s">
        <v>38</v>
      </c>
      <c r="C18" s="4">
        <v>55000</v>
      </c>
      <c r="D18" s="4">
        <v>19000</v>
      </c>
      <c r="E18" s="4">
        <v>10000</v>
      </c>
      <c r="F18" s="4">
        <v>16500</v>
      </c>
      <c r="G18" s="4">
        <v>10000</v>
      </c>
      <c r="H18" s="4">
        <v>18000</v>
      </c>
      <c r="I18" s="4">
        <v>10500</v>
      </c>
      <c r="J18" s="4">
        <v>4500</v>
      </c>
      <c r="K18" s="3" t="s">
        <v>12</v>
      </c>
      <c r="M18" s="8" t="s">
        <v>152</v>
      </c>
      <c r="N18" s="37" t="s">
        <v>38</v>
      </c>
      <c r="O18" s="4">
        <v>220000</v>
      </c>
      <c r="P18" s="4">
        <v>76000</v>
      </c>
      <c r="Q18" s="4">
        <v>40000</v>
      </c>
      <c r="R18" s="4">
        <v>66000</v>
      </c>
      <c r="S18" s="4">
        <v>40000</v>
      </c>
      <c r="T18" s="4">
        <v>72000</v>
      </c>
      <c r="U18" s="4">
        <v>42000</v>
      </c>
      <c r="V18" s="4">
        <v>18000</v>
      </c>
      <c r="W18" s="3" t="s">
        <v>13</v>
      </c>
      <c r="Y18" s="8" t="s">
        <v>152</v>
      </c>
      <c r="Z18" s="4" t="s">
        <v>38</v>
      </c>
      <c r="AA18" s="4">
        <v>165000</v>
      </c>
      <c r="AB18" s="4">
        <v>57000</v>
      </c>
      <c r="AC18" s="4">
        <v>30000</v>
      </c>
      <c r="AD18" s="4">
        <v>49500</v>
      </c>
      <c r="AE18" s="4">
        <v>30000</v>
      </c>
      <c r="AF18" s="4">
        <v>54000</v>
      </c>
      <c r="AG18" s="4">
        <v>31500</v>
      </c>
      <c r="AH18" s="4">
        <v>13500</v>
      </c>
      <c r="AI18" s="5" t="s">
        <v>14</v>
      </c>
      <c r="AK18" s="8" t="s">
        <v>152</v>
      </c>
      <c r="AL18" s="4" t="s">
        <v>38</v>
      </c>
      <c r="AM18" s="4">
        <v>55000</v>
      </c>
      <c r="AN18" s="4">
        <v>19000</v>
      </c>
      <c r="AO18" s="4">
        <v>10000</v>
      </c>
      <c r="AP18" s="4">
        <v>16500</v>
      </c>
      <c r="AQ18" s="4">
        <v>10000</v>
      </c>
      <c r="AR18" s="4">
        <v>18000</v>
      </c>
      <c r="AS18" s="4">
        <v>10500</v>
      </c>
      <c r="AT18" s="4">
        <v>4500</v>
      </c>
      <c r="AU18" s="5"/>
      <c r="AW18" s="8" t="s">
        <v>152</v>
      </c>
      <c r="AX18" s="4" t="s">
        <v>127</v>
      </c>
      <c r="AY18" s="4" t="s">
        <v>127</v>
      </c>
      <c r="AZ18" s="4" t="s">
        <v>127</v>
      </c>
      <c r="BA18" s="4" t="s">
        <v>127</v>
      </c>
      <c r="BB18" s="4" t="s">
        <v>127</v>
      </c>
      <c r="BC18" s="4" t="s">
        <v>127</v>
      </c>
      <c r="BD18" s="4" t="s">
        <v>127</v>
      </c>
      <c r="BE18" s="4" t="s">
        <v>127</v>
      </c>
      <c r="BF18" s="4" t="s">
        <v>127</v>
      </c>
      <c r="BG18" s="3"/>
      <c r="BH18" s="23"/>
      <c r="BI18" s="8" t="s">
        <v>152</v>
      </c>
      <c r="BJ18" s="4" t="s">
        <v>128</v>
      </c>
      <c r="BK18" s="4" t="s">
        <v>128</v>
      </c>
      <c r="BL18" s="4" t="s">
        <v>128</v>
      </c>
      <c r="BM18" s="4" t="s">
        <v>128</v>
      </c>
      <c r="BN18" s="4" t="s">
        <v>128</v>
      </c>
      <c r="BO18" s="4" t="s">
        <v>128</v>
      </c>
      <c r="BP18" s="4" t="s">
        <v>128</v>
      </c>
      <c r="BQ18" s="4" t="s">
        <v>128</v>
      </c>
      <c r="BR18" s="4" t="s">
        <v>128</v>
      </c>
      <c r="BS18" s="3"/>
    </row>
    <row r="19" spans="1:71" ht="16.2" customHeight="1" x14ac:dyDescent="0.3">
      <c r="A19" s="3" t="s">
        <v>39</v>
      </c>
      <c r="B19" s="4" t="s">
        <v>38</v>
      </c>
      <c r="C19" s="4" t="s">
        <v>38</v>
      </c>
      <c r="D19" s="4">
        <v>15000</v>
      </c>
      <c r="E19" s="4">
        <v>11000</v>
      </c>
      <c r="F19" s="4">
        <v>12000</v>
      </c>
      <c r="G19" s="4" t="s">
        <v>170</v>
      </c>
      <c r="H19" s="4">
        <v>12000</v>
      </c>
      <c r="I19" s="4">
        <v>9500</v>
      </c>
      <c r="J19" s="4" t="s">
        <v>170</v>
      </c>
      <c r="K19" s="3" t="s">
        <v>12</v>
      </c>
      <c r="M19" s="3" t="s">
        <v>39</v>
      </c>
      <c r="N19" s="4" t="s">
        <v>38</v>
      </c>
      <c r="O19" s="4" t="s">
        <v>38</v>
      </c>
      <c r="P19" s="4">
        <v>60000</v>
      </c>
      <c r="Q19" s="4">
        <v>44000</v>
      </c>
      <c r="R19" s="4">
        <v>48000</v>
      </c>
      <c r="S19" s="4" t="s">
        <v>170</v>
      </c>
      <c r="T19" s="4">
        <v>48000</v>
      </c>
      <c r="U19" s="4">
        <v>38000</v>
      </c>
      <c r="V19" s="4" t="s">
        <v>170</v>
      </c>
      <c r="W19" s="3" t="s">
        <v>13</v>
      </c>
      <c r="Y19" s="3" t="s">
        <v>39</v>
      </c>
      <c r="Z19" s="4" t="s">
        <v>38</v>
      </c>
      <c r="AA19" s="4" t="s">
        <v>38</v>
      </c>
      <c r="AB19" s="4">
        <v>45000</v>
      </c>
      <c r="AC19" s="4">
        <v>33000</v>
      </c>
      <c r="AD19" s="4">
        <v>36000</v>
      </c>
      <c r="AE19" s="4" t="s">
        <v>170</v>
      </c>
      <c r="AF19" s="4">
        <v>36000</v>
      </c>
      <c r="AG19" s="4">
        <v>28500</v>
      </c>
      <c r="AH19" s="4" t="s">
        <v>170</v>
      </c>
      <c r="AI19" s="5" t="s">
        <v>33</v>
      </c>
      <c r="AK19" s="3" t="s">
        <v>39</v>
      </c>
      <c r="AL19" s="4" t="s">
        <v>38</v>
      </c>
      <c r="AM19" s="4" t="s">
        <v>38</v>
      </c>
      <c r="AN19" s="4">
        <v>15000</v>
      </c>
      <c r="AO19" s="4">
        <v>11000</v>
      </c>
      <c r="AP19" s="4">
        <v>12000</v>
      </c>
      <c r="AQ19" s="4" t="s">
        <v>170</v>
      </c>
      <c r="AR19" s="4">
        <v>12000</v>
      </c>
      <c r="AS19" s="4">
        <v>9500</v>
      </c>
      <c r="AT19" s="4" t="s">
        <v>170</v>
      </c>
      <c r="AU19" s="5" t="s">
        <v>32</v>
      </c>
      <c r="AW19" s="3" t="s">
        <v>39</v>
      </c>
      <c r="AX19" s="4" t="s">
        <v>127</v>
      </c>
      <c r="AY19" s="4" t="s">
        <v>127</v>
      </c>
      <c r="AZ19" s="4" t="s">
        <v>127</v>
      </c>
      <c r="BA19" s="4" t="s">
        <v>127</v>
      </c>
      <c r="BB19" s="4" t="s">
        <v>127</v>
      </c>
      <c r="BC19" s="4" t="s">
        <v>161</v>
      </c>
      <c r="BD19" s="4" t="s">
        <v>127</v>
      </c>
      <c r="BE19" s="4" t="s">
        <v>127</v>
      </c>
      <c r="BF19" s="4" t="s">
        <v>127</v>
      </c>
      <c r="BG19" s="3"/>
      <c r="BH19" s="23"/>
      <c r="BI19" s="3" t="s">
        <v>39</v>
      </c>
      <c r="BJ19" s="4" t="s">
        <v>128</v>
      </c>
      <c r="BK19" s="4" t="s">
        <v>128</v>
      </c>
      <c r="BL19" s="4" t="s">
        <v>128</v>
      </c>
      <c r="BM19" s="4" t="s">
        <v>128</v>
      </c>
      <c r="BN19" s="4" t="s">
        <v>128</v>
      </c>
      <c r="BO19" s="4" t="s">
        <v>161</v>
      </c>
      <c r="BP19" s="4" t="s">
        <v>128</v>
      </c>
      <c r="BQ19" s="4" t="s">
        <v>128</v>
      </c>
      <c r="BR19" s="4" t="s">
        <v>128</v>
      </c>
      <c r="BS19" s="3"/>
    </row>
    <row r="20" spans="1:71" ht="16.2" customHeight="1" x14ac:dyDescent="0.3">
      <c r="A20" s="3" t="s">
        <v>26</v>
      </c>
      <c r="B20" s="4" t="s">
        <v>38</v>
      </c>
      <c r="C20" s="4" t="s">
        <v>38</v>
      </c>
      <c r="D20" s="4">
        <v>15000</v>
      </c>
      <c r="E20" s="4">
        <v>10000</v>
      </c>
      <c r="F20" s="4">
        <v>10500</v>
      </c>
      <c r="G20" s="4">
        <v>7500</v>
      </c>
      <c r="H20" s="4">
        <v>12000</v>
      </c>
      <c r="I20" s="4">
        <v>7500</v>
      </c>
      <c r="J20" s="4">
        <v>5000</v>
      </c>
      <c r="K20" s="3" t="s">
        <v>12</v>
      </c>
      <c r="M20" s="3" t="s">
        <v>26</v>
      </c>
      <c r="N20" s="4" t="s">
        <v>38</v>
      </c>
      <c r="O20" s="4" t="s">
        <v>38</v>
      </c>
      <c r="P20" s="4">
        <v>45000</v>
      </c>
      <c r="Q20" s="4">
        <v>40000</v>
      </c>
      <c r="R20" s="4">
        <v>42000</v>
      </c>
      <c r="S20" s="4">
        <v>30000</v>
      </c>
      <c r="T20" s="4">
        <v>48000</v>
      </c>
      <c r="U20" s="4">
        <v>30000</v>
      </c>
      <c r="V20" s="4">
        <v>20000</v>
      </c>
      <c r="W20" s="3" t="s">
        <v>13</v>
      </c>
      <c r="Y20" s="3" t="s">
        <v>26</v>
      </c>
      <c r="Z20" s="4" t="s">
        <v>38</v>
      </c>
      <c r="AA20" s="4" t="s">
        <v>38</v>
      </c>
      <c r="AB20" s="4">
        <v>45000</v>
      </c>
      <c r="AC20" s="4">
        <v>30000</v>
      </c>
      <c r="AD20" s="4">
        <v>31500</v>
      </c>
      <c r="AE20" s="4">
        <v>22500</v>
      </c>
      <c r="AF20" s="4">
        <v>36000</v>
      </c>
      <c r="AG20" s="4">
        <v>22500</v>
      </c>
      <c r="AH20" s="4">
        <v>15000</v>
      </c>
      <c r="AI20" s="5" t="s">
        <v>33</v>
      </c>
      <c r="AK20" s="3" t="s">
        <v>26</v>
      </c>
      <c r="AL20" s="4" t="s">
        <v>38</v>
      </c>
      <c r="AM20" s="4">
        <v>15100</v>
      </c>
      <c r="AN20" s="4" t="s">
        <v>169</v>
      </c>
      <c r="AO20" s="4" t="s">
        <v>169</v>
      </c>
      <c r="AP20" s="4" t="s">
        <v>169</v>
      </c>
      <c r="AQ20" s="4" t="s">
        <v>169</v>
      </c>
      <c r="AR20" s="4" t="s">
        <v>169</v>
      </c>
      <c r="AS20" s="4" t="s">
        <v>169</v>
      </c>
      <c r="AT20" s="4" t="s">
        <v>169</v>
      </c>
      <c r="AU20" s="5" t="s">
        <v>32</v>
      </c>
      <c r="AW20" s="3" t="s">
        <v>26</v>
      </c>
      <c r="AX20" s="4" t="s">
        <v>127</v>
      </c>
      <c r="AY20" s="4" t="s">
        <v>127</v>
      </c>
      <c r="AZ20" s="4" t="s">
        <v>127</v>
      </c>
      <c r="BA20" s="4" t="s">
        <v>127</v>
      </c>
      <c r="BB20" s="4" t="s">
        <v>127</v>
      </c>
      <c r="BC20" s="4" t="s">
        <v>127</v>
      </c>
      <c r="BD20" s="4" t="s">
        <v>127</v>
      </c>
      <c r="BE20" s="4" t="s">
        <v>127</v>
      </c>
      <c r="BF20" s="4" t="s">
        <v>127</v>
      </c>
      <c r="BG20" s="3"/>
      <c r="BH20" s="23"/>
      <c r="BI20" s="3" t="s">
        <v>26</v>
      </c>
      <c r="BJ20" s="4" t="s">
        <v>128</v>
      </c>
      <c r="BK20" s="4" t="s">
        <v>128</v>
      </c>
      <c r="BL20" s="4" t="s">
        <v>128</v>
      </c>
      <c r="BM20" s="4" t="s">
        <v>128</v>
      </c>
      <c r="BN20" s="4" t="s">
        <v>128</v>
      </c>
      <c r="BO20" s="4" t="s">
        <v>128</v>
      </c>
      <c r="BP20" s="4" t="s">
        <v>128</v>
      </c>
      <c r="BQ20" s="4" t="s">
        <v>128</v>
      </c>
      <c r="BR20" s="4" t="s">
        <v>128</v>
      </c>
      <c r="BS20" s="3"/>
    </row>
    <row r="21" spans="1:71" ht="16.2" customHeight="1" x14ac:dyDescent="0.3">
      <c r="A21" s="3" t="s">
        <v>27</v>
      </c>
      <c r="B21" s="4" t="s">
        <v>38</v>
      </c>
      <c r="C21" s="4">
        <v>60500</v>
      </c>
      <c r="D21" s="4">
        <v>26500</v>
      </c>
      <c r="E21" s="4">
        <v>13000</v>
      </c>
      <c r="F21" s="4">
        <v>23500</v>
      </c>
      <c r="G21" s="4">
        <v>13000</v>
      </c>
      <c r="H21" s="4">
        <v>25500</v>
      </c>
      <c r="I21" s="4">
        <v>18500</v>
      </c>
      <c r="J21" s="4">
        <v>9000</v>
      </c>
      <c r="K21" s="3" t="s">
        <v>12</v>
      </c>
      <c r="M21" s="3" t="s">
        <v>27</v>
      </c>
      <c r="N21" s="4" t="s">
        <v>38</v>
      </c>
      <c r="O21" s="4">
        <v>121000</v>
      </c>
      <c r="P21" s="4">
        <v>106000</v>
      </c>
      <c r="Q21" s="4">
        <v>52000</v>
      </c>
      <c r="R21" s="4">
        <v>94000</v>
      </c>
      <c r="S21" s="4">
        <v>52000</v>
      </c>
      <c r="T21" s="4">
        <v>102000</v>
      </c>
      <c r="U21" s="4">
        <v>74000</v>
      </c>
      <c r="V21" s="4">
        <v>36000</v>
      </c>
      <c r="W21" s="3" t="s">
        <v>13</v>
      </c>
      <c r="Y21" s="3" t="s">
        <v>27</v>
      </c>
      <c r="Z21" s="4" t="s">
        <v>38</v>
      </c>
      <c r="AA21" s="4">
        <v>181500</v>
      </c>
      <c r="AB21" s="4">
        <v>79500</v>
      </c>
      <c r="AC21" s="4">
        <v>39000</v>
      </c>
      <c r="AD21" s="4">
        <v>70500</v>
      </c>
      <c r="AE21" s="4">
        <v>39000</v>
      </c>
      <c r="AF21" s="4">
        <v>76500</v>
      </c>
      <c r="AG21" s="4">
        <v>55500</v>
      </c>
      <c r="AH21" s="4">
        <v>27000</v>
      </c>
      <c r="AI21" s="5" t="s">
        <v>33</v>
      </c>
      <c r="AK21" s="3" t="s">
        <v>27</v>
      </c>
      <c r="AL21" s="4" t="s">
        <v>38</v>
      </c>
      <c r="AM21" s="4">
        <v>60500</v>
      </c>
      <c r="AN21" s="4">
        <v>26500</v>
      </c>
      <c r="AO21" s="4">
        <v>13000</v>
      </c>
      <c r="AP21" s="4">
        <v>23500</v>
      </c>
      <c r="AQ21" s="4">
        <v>13000</v>
      </c>
      <c r="AR21" s="4">
        <v>25500</v>
      </c>
      <c r="AS21" s="4">
        <v>18500</v>
      </c>
      <c r="AT21" s="4">
        <v>9000</v>
      </c>
      <c r="AU21" s="5" t="s">
        <v>32</v>
      </c>
      <c r="AW21" s="3" t="s">
        <v>27</v>
      </c>
      <c r="AX21" s="4" t="s">
        <v>127</v>
      </c>
      <c r="AY21" s="4" t="s">
        <v>127</v>
      </c>
      <c r="AZ21" s="4" t="s">
        <v>127</v>
      </c>
      <c r="BA21" s="4" t="s">
        <v>127</v>
      </c>
      <c r="BB21" s="4" t="s">
        <v>127</v>
      </c>
      <c r="BC21" s="4" t="s">
        <v>127</v>
      </c>
      <c r="BD21" s="4" t="s">
        <v>127</v>
      </c>
      <c r="BE21" s="4" t="s">
        <v>127</v>
      </c>
      <c r="BF21" s="4" t="s">
        <v>127</v>
      </c>
      <c r="BG21" s="3"/>
      <c r="BH21" s="23"/>
      <c r="BI21" s="3" t="s">
        <v>27</v>
      </c>
      <c r="BJ21" s="4" t="s">
        <v>128</v>
      </c>
      <c r="BK21" s="4" t="s">
        <v>128</v>
      </c>
      <c r="BL21" s="4" t="s">
        <v>128</v>
      </c>
      <c r="BM21" s="4" t="s">
        <v>128</v>
      </c>
      <c r="BN21" s="4" t="s">
        <v>128</v>
      </c>
      <c r="BO21" s="4" t="s">
        <v>128</v>
      </c>
      <c r="BP21" s="4" t="s">
        <v>128</v>
      </c>
      <c r="BQ21" s="4" t="s">
        <v>128</v>
      </c>
      <c r="BR21" s="4" t="s">
        <v>128</v>
      </c>
      <c r="BS21" s="3"/>
    </row>
    <row r="22" spans="1:71" ht="16.2" customHeight="1" x14ac:dyDescent="0.3">
      <c r="A22" s="3" t="s">
        <v>28</v>
      </c>
      <c r="B22" s="4" t="s">
        <v>38</v>
      </c>
      <c r="C22" s="4">
        <v>60000</v>
      </c>
      <c r="D22" s="4">
        <v>37500</v>
      </c>
      <c r="E22" s="4">
        <v>17500</v>
      </c>
      <c r="F22" s="4">
        <v>28500</v>
      </c>
      <c r="G22" s="4">
        <v>17500</v>
      </c>
      <c r="H22" s="4">
        <v>36000</v>
      </c>
      <c r="I22" s="4">
        <v>18000</v>
      </c>
      <c r="J22" s="4">
        <v>6500</v>
      </c>
      <c r="K22" s="3" t="s">
        <v>12</v>
      </c>
      <c r="M22" s="3" t="s">
        <v>28</v>
      </c>
      <c r="N22" s="4" t="s">
        <v>38</v>
      </c>
      <c r="O22" s="4">
        <v>60000</v>
      </c>
      <c r="P22" s="4">
        <v>37500</v>
      </c>
      <c r="Q22" s="4">
        <v>17500</v>
      </c>
      <c r="R22" s="4">
        <v>28500</v>
      </c>
      <c r="S22" s="4">
        <v>17500</v>
      </c>
      <c r="T22" s="4">
        <v>36000</v>
      </c>
      <c r="U22" s="4">
        <v>18000</v>
      </c>
      <c r="V22" s="4">
        <v>6500</v>
      </c>
      <c r="W22" s="3" t="s">
        <v>29</v>
      </c>
      <c r="Y22" s="3" t="s">
        <v>28</v>
      </c>
      <c r="Z22" s="4" t="s">
        <v>38</v>
      </c>
      <c r="AA22" s="4">
        <v>60000</v>
      </c>
      <c r="AB22" s="4">
        <v>37500</v>
      </c>
      <c r="AC22" s="4">
        <v>17500</v>
      </c>
      <c r="AD22" s="4">
        <v>28500</v>
      </c>
      <c r="AE22" s="4">
        <v>17500</v>
      </c>
      <c r="AF22" s="4">
        <v>36000</v>
      </c>
      <c r="AG22" s="4">
        <v>18000</v>
      </c>
      <c r="AH22" s="4">
        <v>6500</v>
      </c>
      <c r="AI22" s="3" t="s">
        <v>14</v>
      </c>
      <c r="AK22" s="3" t="s">
        <v>28</v>
      </c>
      <c r="AL22" s="9" t="s">
        <v>90</v>
      </c>
      <c r="AM22" s="9" t="s">
        <v>90</v>
      </c>
      <c r="AN22" s="9" t="s">
        <v>90</v>
      </c>
      <c r="AO22" s="9" t="s">
        <v>90</v>
      </c>
      <c r="AP22" s="9" t="s">
        <v>90</v>
      </c>
      <c r="AQ22" s="9" t="s">
        <v>90</v>
      </c>
      <c r="AR22" s="9" t="s">
        <v>90</v>
      </c>
      <c r="AS22" s="9" t="s">
        <v>90</v>
      </c>
      <c r="AT22" s="9" t="s">
        <v>90</v>
      </c>
      <c r="AU22" s="9"/>
      <c r="AW22" s="3" t="s">
        <v>28</v>
      </c>
      <c r="AX22" s="4" t="s">
        <v>127</v>
      </c>
      <c r="AY22" s="4" t="s">
        <v>127</v>
      </c>
      <c r="AZ22" s="4" t="s">
        <v>127</v>
      </c>
      <c r="BA22" s="4" t="s">
        <v>127</v>
      </c>
      <c r="BB22" s="4" t="s">
        <v>127</v>
      </c>
      <c r="BC22" s="4" t="s">
        <v>127</v>
      </c>
      <c r="BD22" s="4" t="s">
        <v>127</v>
      </c>
      <c r="BE22" s="4" t="s">
        <v>127</v>
      </c>
      <c r="BF22" s="4" t="s">
        <v>127</v>
      </c>
      <c r="BG22" s="3"/>
      <c r="BH22" s="23"/>
      <c r="BI22" s="3" t="s">
        <v>28</v>
      </c>
      <c r="BJ22" s="4" t="s">
        <v>128</v>
      </c>
      <c r="BK22" s="4" t="s">
        <v>128</v>
      </c>
      <c r="BL22" s="4" t="s">
        <v>128</v>
      </c>
      <c r="BM22" s="4" t="s">
        <v>128</v>
      </c>
      <c r="BN22" s="4" t="s">
        <v>128</v>
      </c>
      <c r="BO22" s="4" t="s">
        <v>128</v>
      </c>
      <c r="BP22" s="4" t="s">
        <v>128</v>
      </c>
      <c r="BQ22" s="4" t="s">
        <v>128</v>
      </c>
      <c r="BR22" s="4" t="s">
        <v>128</v>
      </c>
      <c r="BS22" s="3"/>
    </row>
    <row r="23" spans="1:71" ht="16.2" customHeight="1" x14ac:dyDescent="0.3">
      <c r="A23" s="3" t="s">
        <v>30</v>
      </c>
      <c r="B23" s="4" t="s">
        <v>38</v>
      </c>
      <c r="C23" s="4" t="s">
        <v>38</v>
      </c>
      <c r="D23" s="4">
        <v>21500</v>
      </c>
      <c r="E23" s="4">
        <v>12500</v>
      </c>
      <c r="F23" s="4">
        <v>18500</v>
      </c>
      <c r="G23" s="4">
        <v>12500</v>
      </c>
      <c r="H23" s="4">
        <v>20500</v>
      </c>
      <c r="I23" s="4">
        <v>14000</v>
      </c>
      <c r="J23" s="4">
        <v>9000</v>
      </c>
      <c r="K23" s="3" t="s">
        <v>12</v>
      </c>
      <c r="M23" s="3" t="s">
        <v>30</v>
      </c>
      <c r="N23" s="4" t="s">
        <v>38</v>
      </c>
      <c r="O23" s="4" t="s">
        <v>38</v>
      </c>
      <c r="P23" s="4">
        <v>86000</v>
      </c>
      <c r="Q23" s="4">
        <v>50000</v>
      </c>
      <c r="R23" s="4">
        <v>74000</v>
      </c>
      <c r="S23" s="4">
        <v>50000</v>
      </c>
      <c r="T23" s="4">
        <v>82000</v>
      </c>
      <c r="U23" s="4">
        <v>56000</v>
      </c>
      <c r="V23" s="4">
        <v>36000</v>
      </c>
      <c r="W23" s="3" t="s">
        <v>29</v>
      </c>
      <c r="Y23" s="3" t="s">
        <v>30</v>
      </c>
      <c r="Z23" s="4" t="s">
        <v>38</v>
      </c>
      <c r="AA23" s="4" t="s">
        <v>38</v>
      </c>
      <c r="AB23" s="4">
        <v>64500</v>
      </c>
      <c r="AC23" s="4">
        <v>37500</v>
      </c>
      <c r="AD23" s="4">
        <v>55500</v>
      </c>
      <c r="AE23" s="4">
        <v>37500</v>
      </c>
      <c r="AF23" s="4">
        <v>61500</v>
      </c>
      <c r="AG23" s="4">
        <v>42000</v>
      </c>
      <c r="AH23" s="4">
        <v>27000</v>
      </c>
      <c r="AI23" s="3" t="s">
        <v>14</v>
      </c>
      <c r="AK23" s="3" t="s">
        <v>30</v>
      </c>
      <c r="AL23" s="9" t="s">
        <v>90</v>
      </c>
      <c r="AM23" s="9" t="s">
        <v>90</v>
      </c>
      <c r="AN23" s="9" t="s">
        <v>90</v>
      </c>
      <c r="AO23" s="9" t="s">
        <v>90</v>
      </c>
      <c r="AP23" s="9" t="s">
        <v>90</v>
      </c>
      <c r="AQ23" s="9" t="s">
        <v>90</v>
      </c>
      <c r="AR23" s="9" t="s">
        <v>90</v>
      </c>
      <c r="AS23" s="9" t="s">
        <v>90</v>
      </c>
      <c r="AT23" s="9" t="s">
        <v>90</v>
      </c>
      <c r="AU23" s="9"/>
      <c r="AW23" s="3" t="s">
        <v>30</v>
      </c>
      <c r="AX23" s="4" t="s">
        <v>127</v>
      </c>
      <c r="AY23" s="4" t="s">
        <v>127</v>
      </c>
      <c r="AZ23" s="4" t="s">
        <v>127</v>
      </c>
      <c r="BA23" s="4" t="s">
        <v>127</v>
      </c>
      <c r="BB23" s="4" t="s">
        <v>127</v>
      </c>
      <c r="BC23" s="4" t="s">
        <v>127</v>
      </c>
      <c r="BD23" s="4" t="s">
        <v>127</v>
      </c>
      <c r="BE23" s="4" t="s">
        <v>127</v>
      </c>
      <c r="BF23" s="4" t="s">
        <v>127</v>
      </c>
      <c r="BG23" s="3"/>
      <c r="BH23" s="23"/>
      <c r="BI23" s="3" t="s">
        <v>30</v>
      </c>
      <c r="BJ23" s="4" t="s">
        <v>128</v>
      </c>
      <c r="BK23" s="4" t="s">
        <v>128</v>
      </c>
      <c r="BL23" s="4" t="s">
        <v>128</v>
      </c>
      <c r="BM23" s="4" t="s">
        <v>128</v>
      </c>
      <c r="BN23" s="4" t="s">
        <v>128</v>
      </c>
      <c r="BO23" s="4" t="s">
        <v>128</v>
      </c>
      <c r="BP23" s="4" t="s">
        <v>128</v>
      </c>
      <c r="BQ23" s="4" t="s">
        <v>128</v>
      </c>
      <c r="BR23" s="4" t="s">
        <v>128</v>
      </c>
      <c r="BS23" s="3"/>
    </row>
    <row r="24" spans="1:71" ht="16.2" customHeight="1" x14ac:dyDescent="0.3">
      <c r="A24" s="3" t="s">
        <v>50</v>
      </c>
      <c r="B24" s="4" t="s">
        <v>38</v>
      </c>
      <c r="C24" s="4" t="s">
        <v>38</v>
      </c>
      <c r="D24" s="4">
        <v>24000</v>
      </c>
      <c r="E24" s="4">
        <v>16000</v>
      </c>
      <c r="F24" s="4">
        <v>24000</v>
      </c>
      <c r="G24" s="4">
        <v>16000</v>
      </c>
      <c r="H24" s="4">
        <v>20500</v>
      </c>
      <c r="I24" s="4">
        <v>12000</v>
      </c>
      <c r="J24" s="4">
        <v>7000</v>
      </c>
      <c r="K24" s="3" t="s">
        <v>12</v>
      </c>
      <c r="M24" s="3" t="s">
        <v>50</v>
      </c>
      <c r="N24" s="4" t="s">
        <v>38</v>
      </c>
      <c r="O24" s="4" t="s">
        <v>38</v>
      </c>
      <c r="P24" s="4">
        <v>96000</v>
      </c>
      <c r="Q24" s="4">
        <v>64000</v>
      </c>
      <c r="R24" s="4">
        <v>96000</v>
      </c>
      <c r="S24" s="4">
        <v>64000</v>
      </c>
      <c r="T24" s="4">
        <v>82000</v>
      </c>
      <c r="U24" s="4">
        <v>48000</v>
      </c>
      <c r="V24" s="4">
        <v>28000</v>
      </c>
      <c r="W24" s="3" t="s">
        <v>13</v>
      </c>
      <c r="Y24" s="3" t="s">
        <v>50</v>
      </c>
      <c r="Z24" s="4" t="s">
        <v>38</v>
      </c>
      <c r="AA24" s="4" t="s">
        <v>38</v>
      </c>
      <c r="AB24" s="4">
        <v>72000</v>
      </c>
      <c r="AC24" s="4">
        <v>48000</v>
      </c>
      <c r="AD24" s="4">
        <v>72000</v>
      </c>
      <c r="AE24" s="4">
        <v>48000</v>
      </c>
      <c r="AF24" s="4">
        <v>61500</v>
      </c>
      <c r="AG24" s="4">
        <v>36000</v>
      </c>
      <c r="AH24" s="4">
        <v>21000</v>
      </c>
      <c r="AI24" s="5" t="s">
        <v>33</v>
      </c>
      <c r="AK24" s="3" t="s">
        <v>50</v>
      </c>
      <c r="AL24" s="4" t="s">
        <v>38</v>
      </c>
      <c r="AM24" s="4" t="s">
        <v>38</v>
      </c>
      <c r="AN24" s="4">
        <v>24000</v>
      </c>
      <c r="AO24" s="4">
        <v>16000</v>
      </c>
      <c r="AP24" s="4">
        <v>24000</v>
      </c>
      <c r="AQ24" s="4">
        <v>16000</v>
      </c>
      <c r="AR24" s="4">
        <v>20500</v>
      </c>
      <c r="AS24" s="4">
        <v>12000</v>
      </c>
      <c r="AT24" s="4">
        <v>7000</v>
      </c>
      <c r="AU24" s="5" t="s">
        <v>32</v>
      </c>
      <c r="AW24" s="3" t="s">
        <v>50</v>
      </c>
      <c r="AX24" s="4" t="s">
        <v>127</v>
      </c>
      <c r="AY24" s="4" t="s">
        <v>127</v>
      </c>
      <c r="AZ24" s="4" t="s">
        <v>127</v>
      </c>
      <c r="BA24" s="4" t="s">
        <v>127</v>
      </c>
      <c r="BB24" s="4" t="s">
        <v>127</v>
      </c>
      <c r="BC24" s="4" t="s">
        <v>127</v>
      </c>
      <c r="BD24" s="4" t="s">
        <v>127</v>
      </c>
      <c r="BE24" s="4" t="s">
        <v>127</v>
      </c>
      <c r="BF24" s="4" t="s">
        <v>127</v>
      </c>
      <c r="BG24" s="3"/>
      <c r="BH24" s="23"/>
      <c r="BI24" s="3" t="s">
        <v>50</v>
      </c>
      <c r="BJ24" s="4" t="s">
        <v>38</v>
      </c>
      <c r="BK24" s="4" t="s">
        <v>38</v>
      </c>
      <c r="BL24" s="4">
        <v>24000</v>
      </c>
      <c r="BM24" s="4">
        <v>16000</v>
      </c>
      <c r="BN24" s="4">
        <v>24000</v>
      </c>
      <c r="BO24" s="4">
        <v>16000</v>
      </c>
      <c r="BP24" s="4">
        <v>20500</v>
      </c>
      <c r="BQ24" s="4">
        <v>12000</v>
      </c>
      <c r="BR24" s="4">
        <v>7000</v>
      </c>
      <c r="BS24" s="3" t="s">
        <v>31</v>
      </c>
    </row>
    <row r="25" spans="1:71" ht="16.2" customHeight="1" x14ac:dyDescent="0.3">
      <c r="A25" s="3" t="s">
        <v>54</v>
      </c>
      <c r="B25" s="4" t="s">
        <v>38</v>
      </c>
      <c r="C25" s="4" t="s">
        <v>38</v>
      </c>
      <c r="D25" s="4">
        <v>24000</v>
      </c>
      <c r="E25" s="4">
        <v>16000</v>
      </c>
      <c r="F25" s="4">
        <v>24000</v>
      </c>
      <c r="G25" s="4">
        <v>16000</v>
      </c>
      <c r="H25" s="4">
        <v>20500</v>
      </c>
      <c r="I25" s="4">
        <v>12000</v>
      </c>
      <c r="J25" s="4">
        <v>7000</v>
      </c>
      <c r="K25" s="3" t="s">
        <v>12</v>
      </c>
      <c r="M25" s="3" t="s">
        <v>54</v>
      </c>
      <c r="N25" s="4" t="s">
        <v>38</v>
      </c>
      <c r="O25" s="4" t="s">
        <v>38</v>
      </c>
      <c r="P25" s="4">
        <v>96000</v>
      </c>
      <c r="Q25" s="4">
        <v>64000</v>
      </c>
      <c r="R25" s="4">
        <v>96000</v>
      </c>
      <c r="S25" s="4">
        <v>64000</v>
      </c>
      <c r="T25" s="4">
        <v>82000</v>
      </c>
      <c r="U25" s="4">
        <v>48000</v>
      </c>
      <c r="V25" s="4">
        <v>28000</v>
      </c>
      <c r="W25" s="3" t="s">
        <v>13</v>
      </c>
      <c r="Y25" s="3" t="s">
        <v>54</v>
      </c>
      <c r="Z25" s="4" t="s">
        <v>38</v>
      </c>
      <c r="AA25" s="4" t="s">
        <v>38</v>
      </c>
      <c r="AB25" s="4">
        <v>72000</v>
      </c>
      <c r="AC25" s="4">
        <v>48000</v>
      </c>
      <c r="AD25" s="4">
        <v>72000</v>
      </c>
      <c r="AE25" s="4">
        <v>48000</v>
      </c>
      <c r="AF25" s="4">
        <v>61500</v>
      </c>
      <c r="AG25" s="4">
        <v>36000</v>
      </c>
      <c r="AH25" s="4">
        <v>21000</v>
      </c>
      <c r="AI25" s="5" t="s">
        <v>33</v>
      </c>
      <c r="AK25" s="3" t="s">
        <v>54</v>
      </c>
      <c r="AL25" s="4" t="s">
        <v>38</v>
      </c>
      <c r="AM25" s="4" t="s">
        <v>38</v>
      </c>
      <c r="AN25" s="4">
        <v>24000</v>
      </c>
      <c r="AO25" s="4">
        <v>16000</v>
      </c>
      <c r="AP25" s="4">
        <v>24000</v>
      </c>
      <c r="AQ25" s="4">
        <v>16000</v>
      </c>
      <c r="AR25" s="4">
        <v>20500</v>
      </c>
      <c r="AS25" s="4">
        <v>12000</v>
      </c>
      <c r="AT25" s="4">
        <v>7000</v>
      </c>
      <c r="AU25" s="5" t="s">
        <v>32</v>
      </c>
      <c r="AW25" s="3" t="s">
        <v>54</v>
      </c>
      <c r="AX25" s="4" t="s">
        <v>127</v>
      </c>
      <c r="AY25" s="4" t="s">
        <v>127</v>
      </c>
      <c r="AZ25" s="4" t="s">
        <v>127</v>
      </c>
      <c r="BA25" s="4" t="s">
        <v>127</v>
      </c>
      <c r="BB25" s="4" t="s">
        <v>127</v>
      </c>
      <c r="BC25" s="4" t="s">
        <v>127</v>
      </c>
      <c r="BD25" s="4" t="s">
        <v>127</v>
      </c>
      <c r="BE25" s="4" t="s">
        <v>127</v>
      </c>
      <c r="BF25" s="4" t="s">
        <v>127</v>
      </c>
      <c r="BG25" s="3"/>
      <c r="BH25" s="23"/>
      <c r="BI25" s="3" t="s">
        <v>54</v>
      </c>
      <c r="BJ25" s="4" t="s">
        <v>38</v>
      </c>
      <c r="BK25" s="4" t="s">
        <v>38</v>
      </c>
      <c r="BL25" s="4">
        <v>24000</v>
      </c>
      <c r="BM25" s="4">
        <v>16000</v>
      </c>
      <c r="BN25" s="4">
        <v>24000</v>
      </c>
      <c r="BO25" s="4">
        <v>16000</v>
      </c>
      <c r="BP25" s="4">
        <v>20500</v>
      </c>
      <c r="BQ25" s="4">
        <v>12000</v>
      </c>
      <c r="BR25" s="4">
        <v>7000</v>
      </c>
      <c r="BS25" s="3" t="s">
        <v>31</v>
      </c>
    </row>
    <row r="26" spans="1:71" ht="31.95" customHeight="1" x14ac:dyDescent="0.3">
      <c r="A26" s="5" t="s">
        <v>34</v>
      </c>
      <c r="B26" s="4" t="s">
        <v>166</v>
      </c>
      <c r="C26" s="4" t="s">
        <v>166</v>
      </c>
      <c r="D26" s="4" t="s">
        <v>166</v>
      </c>
      <c r="E26" s="4" t="s">
        <v>166</v>
      </c>
      <c r="F26" s="4" t="s">
        <v>166</v>
      </c>
      <c r="G26" s="4" t="s">
        <v>166</v>
      </c>
      <c r="H26" s="4" t="s">
        <v>166</v>
      </c>
      <c r="I26" s="4">
        <v>12000</v>
      </c>
      <c r="J26" s="4" t="s">
        <v>166</v>
      </c>
      <c r="K26" s="3" t="s">
        <v>12</v>
      </c>
      <c r="M26" s="5" t="s">
        <v>34</v>
      </c>
      <c r="N26" s="4" t="s">
        <v>166</v>
      </c>
      <c r="O26" s="4" t="s">
        <v>166</v>
      </c>
      <c r="P26" s="4" t="s">
        <v>166</v>
      </c>
      <c r="Q26" s="4" t="s">
        <v>166</v>
      </c>
      <c r="R26" s="4" t="s">
        <v>166</v>
      </c>
      <c r="S26" s="4" t="s">
        <v>166</v>
      </c>
      <c r="T26" s="4" t="s">
        <v>166</v>
      </c>
      <c r="U26" s="4">
        <v>48000</v>
      </c>
      <c r="V26" s="4" t="s">
        <v>166</v>
      </c>
      <c r="W26" s="3" t="s">
        <v>13</v>
      </c>
      <c r="Y26" s="5" t="s">
        <v>34</v>
      </c>
      <c r="Z26" s="4" t="s">
        <v>166</v>
      </c>
      <c r="AA26" s="4" t="s">
        <v>166</v>
      </c>
      <c r="AB26" s="4" t="s">
        <v>166</v>
      </c>
      <c r="AC26" s="4" t="s">
        <v>166</v>
      </c>
      <c r="AD26" s="4" t="s">
        <v>166</v>
      </c>
      <c r="AE26" s="4" t="s">
        <v>166</v>
      </c>
      <c r="AF26" s="4" t="s">
        <v>166</v>
      </c>
      <c r="AG26" s="4">
        <v>36000</v>
      </c>
      <c r="AH26" s="4" t="s">
        <v>166</v>
      </c>
      <c r="AI26" s="5" t="s">
        <v>33</v>
      </c>
      <c r="AK26" s="5" t="s">
        <v>34</v>
      </c>
      <c r="AL26" s="4" t="s">
        <v>166</v>
      </c>
      <c r="AM26" s="4" t="s">
        <v>166</v>
      </c>
      <c r="AN26" s="4" t="s">
        <v>166</v>
      </c>
      <c r="AO26" s="4" t="s">
        <v>166</v>
      </c>
      <c r="AP26" s="4" t="s">
        <v>166</v>
      </c>
      <c r="AQ26" s="4" t="s">
        <v>166</v>
      </c>
      <c r="AR26" s="4" t="s">
        <v>166</v>
      </c>
      <c r="AS26" s="4" t="s">
        <v>140</v>
      </c>
      <c r="AT26" s="4" t="s">
        <v>166</v>
      </c>
      <c r="AU26" s="5" t="s">
        <v>32</v>
      </c>
      <c r="AW26" s="5" t="s">
        <v>34</v>
      </c>
      <c r="AX26" s="4" t="s">
        <v>127</v>
      </c>
      <c r="AY26" s="4" t="s">
        <v>127</v>
      </c>
      <c r="AZ26" s="4" t="s">
        <v>127</v>
      </c>
      <c r="BA26" s="4" t="s">
        <v>127</v>
      </c>
      <c r="BB26" s="4" t="s">
        <v>127</v>
      </c>
      <c r="BC26" s="4" t="s">
        <v>127</v>
      </c>
      <c r="BD26" s="4" t="s">
        <v>127</v>
      </c>
      <c r="BE26" s="4" t="s">
        <v>127</v>
      </c>
      <c r="BF26" s="4" t="s">
        <v>127</v>
      </c>
      <c r="BG26" s="3"/>
      <c r="BH26" s="23"/>
      <c r="BI26" s="5" t="s">
        <v>34</v>
      </c>
      <c r="BJ26" s="4" t="s">
        <v>128</v>
      </c>
      <c r="BK26" s="4" t="s">
        <v>128</v>
      </c>
      <c r="BL26" s="4" t="s">
        <v>128</v>
      </c>
      <c r="BM26" s="4" t="s">
        <v>128</v>
      </c>
      <c r="BN26" s="4" t="s">
        <v>128</v>
      </c>
      <c r="BO26" s="4" t="s">
        <v>128</v>
      </c>
      <c r="BP26" s="4" t="s">
        <v>128</v>
      </c>
      <c r="BQ26" s="4" t="s">
        <v>128</v>
      </c>
      <c r="BR26" s="4" t="s">
        <v>128</v>
      </c>
      <c r="BS26" s="3" t="s">
        <v>31</v>
      </c>
    </row>
    <row r="27" spans="1:71" ht="16.2" customHeight="1" x14ac:dyDescent="0.3">
      <c r="A27" s="3" t="s">
        <v>55</v>
      </c>
      <c r="B27" s="4" t="s">
        <v>38</v>
      </c>
      <c r="C27" s="4">
        <v>55000</v>
      </c>
      <c r="D27" s="4">
        <v>19000</v>
      </c>
      <c r="E27" s="4" t="s">
        <v>168</v>
      </c>
      <c r="F27" s="4">
        <v>16500</v>
      </c>
      <c r="G27" s="4" t="s">
        <v>168</v>
      </c>
      <c r="H27" s="4" t="s">
        <v>168</v>
      </c>
      <c r="I27" s="4">
        <v>16500</v>
      </c>
      <c r="J27" s="4" t="s">
        <v>168</v>
      </c>
      <c r="K27" s="3" t="s">
        <v>12</v>
      </c>
      <c r="M27" s="3" t="s">
        <v>55</v>
      </c>
      <c r="N27" s="4" t="s">
        <v>38</v>
      </c>
      <c r="O27" s="4">
        <v>220000</v>
      </c>
      <c r="P27" s="4">
        <v>76000</v>
      </c>
      <c r="Q27" s="4">
        <v>40000</v>
      </c>
      <c r="R27" s="4">
        <v>66000</v>
      </c>
      <c r="S27" s="4">
        <v>40000</v>
      </c>
      <c r="T27" s="4">
        <v>72000</v>
      </c>
      <c r="U27" s="4">
        <v>42000</v>
      </c>
      <c r="V27" s="4" t="s">
        <v>162</v>
      </c>
      <c r="W27" s="3" t="s">
        <v>13</v>
      </c>
      <c r="Y27" s="3" t="s">
        <v>55</v>
      </c>
      <c r="Z27" s="4" t="s">
        <v>38</v>
      </c>
      <c r="AA27" s="4">
        <v>165000</v>
      </c>
      <c r="AB27" s="4">
        <v>57000</v>
      </c>
      <c r="AC27" s="4">
        <v>30000</v>
      </c>
      <c r="AD27" s="4">
        <v>49500</v>
      </c>
      <c r="AE27" s="4">
        <v>30000</v>
      </c>
      <c r="AF27" s="4">
        <v>54000</v>
      </c>
      <c r="AG27" s="4">
        <v>31500</v>
      </c>
      <c r="AH27" s="4" t="s">
        <v>162</v>
      </c>
      <c r="AI27" s="5" t="s">
        <v>33</v>
      </c>
      <c r="AK27" s="3" t="s">
        <v>55</v>
      </c>
      <c r="AL27" s="4" t="s">
        <v>38</v>
      </c>
      <c r="AM27" s="4">
        <v>55000</v>
      </c>
      <c r="AN27" s="4">
        <v>19000</v>
      </c>
      <c r="AO27" s="4" t="s">
        <v>173</v>
      </c>
      <c r="AP27" s="4">
        <v>16500</v>
      </c>
      <c r="AQ27" s="4" t="s">
        <v>172</v>
      </c>
      <c r="AR27" s="4" t="s">
        <v>171</v>
      </c>
      <c r="AS27" s="4">
        <v>16500</v>
      </c>
      <c r="AT27" s="4" t="s">
        <v>162</v>
      </c>
      <c r="AU27" s="5" t="s">
        <v>32</v>
      </c>
      <c r="AW27" s="3" t="s">
        <v>55</v>
      </c>
      <c r="AX27" s="4" t="s">
        <v>127</v>
      </c>
      <c r="AY27" s="4" t="s">
        <v>127</v>
      </c>
      <c r="AZ27" s="4" t="s">
        <v>127</v>
      </c>
      <c r="BA27" s="4" t="s">
        <v>127</v>
      </c>
      <c r="BB27" s="4" t="s">
        <v>127</v>
      </c>
      <c r="BC27" s="4" t="s">
        <v>127</v>
      </c>
      <c r="BD27" s="4" t="s">
        <v>127</v>
      </c>
      <c r="BE27" s="4" t="s">
        <v>127</v>
      </c>
      <c r="BF27" s="4" t="s">
        <v>127</v>
      </c>
      <c r="BG27" s="3"/>
      <c r="BH27" s="23"/>
      <c r="BI27" s="3" t="s">
        <v>55</v>
      </c>
      <c r="BJ27" s="4" t="s">
        <v>38</v>
      </c>
      <c r="BK27" s="4">
        <v>55000</v>
      </c>
      <c r="BL27" s="4">
        <v>19000</v>
      </c>
      <c r="BM27" s="4" t="s">
        <v>40</v>
      </c>
      <c r="BN27" s="4">
        <v>16500</v>
      </c>
      <c r="BO27" s="4" t="s">
        <v>40</v>
      </c>
      <c r="BP27" s="4" t="s">
        <v>40</v>
      </c>
      <c r="BQ27" s="4">
        <v>16500</v>
      </c>
      <c r="BR27" s="4" t="s">
        <v>40</v>
      </c>
      <c r="BS27" s="3" t="s">
        <v>31</v>
      </c>
    </row>
    <row r="28" spans="1:71" ht="16.2" customHeight="1" x14ac:dyDescent="0.3">
      <c r="A28" s="8" t="s">
        <v>137</v>
      </c>
      <c r="B28" s="4" t="s">
        <v>165</v>
      </c>
      <c r="C28" s="4" t="s">
        <v>165</v>
      </c>
      <c r="D28" s="4" t="s">
        <v>165</v>
      </c>
      <c r="E28" s="4" t="s">
        <v>165</v>
      </c>
      <c r="F28" s="4" t="s">
        <v>165</v>
      </c>
      <c r="G28" s="4" t="s">
        <v>165</v>
      </c>
      <c r="H28" s="4" t="s">
        <v>165</v>
      </c>
      <c r="I28" s="4" t="s">
        <v>165</v>
      </c>
      <c r="J28" s="4" t="s">
        <v>165</v>
      </c>
      <c r="K28" s="3" t="s">
        <v>12</v>
      </c>
      <c r="M28" s="8" t="s">
        <v>137</v>
      </c>
      <c r="N28" s="4" t="s">
        <v>38</v>
      </c>
      <c r="O28" s="4" t="s">
        <v>38</v>
      </c>
      <c r="P28" s="4">
        <v>96000</v>
      </c>
      <c r="Q28" s="4">
        <v>64000</v>
      </c>
      <c r="R28" s="4">
        <v>9600</v>
      </c>
      <c r="S28" s="4">
        <v>64000</v>
      </c>
      <c r="T28" s="4">
        <v>82000</v>
      </c>
      <c r="U28" s="4">
        <v>48000</v>
      </c>
      <c r="V28" s="4">
        <v>28000</v>
      </c>
      <c r="W28" s="3" t="s">
        <v>13</v>
      </c>
      <c r="Y28" s="8" t="s">
        <v>137</v>
      </c>
      <c r="Z28" s="4" t="s">
        <v>38</v>
      </c>
      <c r="AA28" s="4" t="s">
        <v>38</v>
      </c>
      <c r="AB28" s="4">
        <v>72000</v>
      </c>
      <c r="AC28" s="4">
        <v>48000</v>
      </c>
      <c r="AD28" s="4">
        <v>72000</v>
      </c>
      <c r="AE28" s="4">
        <v>48000</v>
      </c>
      <c r="AF28" s="4">
        <v>61500</v>
      </c>
      <c r="AG28" s="4">
        <v>36000</v>
      </c>
      <c r="AH28" s="4">
        <v>21000</v>
      </c>
      <c r="AI28" s="5" t="s">
        <v>33</v>
      </c>
      <c r="AK28" s="8" t="s">
        <v>137</v>
      </c>
      <c r="AL28" s="4" t="s">
        <v>38</v>
      </c>
      <c r="AM28" s="4" t="s">
        <v>38</v>
      </c>
      <c r="AN28" s="4">
        <v>24000</v>
      </c>
      <c r="AO28" s="4">
        <v>16000</v>
      </c>
      <c r="AP28" s="4">
        <v>24000</v>
      </c>
      <c r="AQ28" s="4">
        <v>16000</v>
      </c>
      <c r="AR28" s="4">
        <v>20500</v>
      </c>
      <c r="AS28" s="4">
        <v>12000</v>
      </c>
      <c r="AT28" s="4">
        <v>7000</v>
      </c>
      <c r="AU28" s="5" t="s">
        <v>32</v>
      </c>
      <c r="AW28" s="8" t="s">
        <v>137</v>
      </c>
      <c r="AX28" s="4" t="s">
        <v>127</v>
      </c>
      <c r="AY28" s="4" t="s">
        <v>127</v>
      </c>
      <c r="AZ28" s="4" t="s">
        <v>127</v>
      </c>
      <c r="BA28" s="4" t="s">
        <v>127</v>
      </c>
      <c r="BB28" s="4" t="s">
        <v>127</v>
      </c>
      <c r="BC28" s="4" t="s">
        <v>127</v>
      </c>
      <c r="BD28" s="4" t="s">
        <v>127</v>
      </c>
      <c r="BE28" s="4" t="s">
        <v>127</v>
      </c>
      <c r="BF28" s="4" t="s">
        <v>127</v>
      </c>
      <c r="BG28" s="3"/>
      <c r="BH28" s="23"/>
      <c r="BI28" s="8" t="s">
        <v>137</v>
      </c>
      <c r="BJ28" s="4" t="s">
        <v>128</v>
      </c>
      <c r="BK28" s="4" t="s">
        <v>128</v>
      </c>
      <c r="BL28" s="4" t="s">
        <v>128</v>
      </c>
      <c r="BM28" s="4" t="s">
        <v>128</v>
      </c>
      <c r="BN28" s="4" t="s">
        <v>128</v>
      </c>
      <c r="BO28" s="4" t="s">
        <v>128</v>
      </c>
      <c r="BP28" s="4" t="s">
        <v>128</v>
      </c>
      <c r="BQ28" s="4" t="s">
        <v>128</v>
      </c>
      <c r="BR28" s="4" t="s">
        <v>128</v>
      </c>
      <c r="BS28" s="3"/>
    </row>
    <row r="29" spans="1:71" ht="16.2" customHeight="1" x14ac:dyDescent="0.3">
      <c r="A29" s="3" t="s">
        <v>56</v>
      </c>
      <c r="B29" s="4" t="s">
        <v>38</v>
      </c>
      <c r="C29" s="4" t="s">
        <v>38</v>
      </c>
      <c r="D29" s="4" t="s">
        <v>38</v>
      </c>
      <c r="E29" s="4" t="s">
        <v>38</v>
      </c>
      <c r="F29" s="4" t="s">
        <v>38</v>
      </c>
      <c r="G29" s="4" t="s">
        <v>38</v>
      </c>
      <c r="H29" s="4" t="s">
        <v>38</v>
      </c>
      <c r="I29" s="4" t="s">
        <v>38</v>
      </c>
      <c r="J29" s="4" t="s">
        <v>38</v>
      </c>
      <c r="K29" s="3" t="s">
        <v>12</v>
      </c>
      <c r="M29" s="3" t="s">
        <v>56</v>
      </c>
      <c r="N29" s="4" t="s">
        <v>38</v>
      </c>
      <c r="O29" s="4" t="s">
        <v>38</v>
      </c>
      <c r="P29" s="4" t="s">
        <v>38</v>
      </c>
      <c r="Q29" s="4" t="s">
        <v>38</v>
      </c>
      <c r="R29" s="4" t="s">
        <v>38</v>
      </c>
      <c r="S29" s="4" t="s">
        <v>38</v>
      </c>
      <c r="T29" s="4" t="s">
        <v>38</v>
      </c>
      <c r="U29" s="4" t="s">
        <v>38</v>
      </c>
      <c r="V29" s="4" t="s">
        <v>38</v>
      </c>
      <c r="W29" s="3" t="s">
        <v>13</v>
      </c>
      <c r="Y29" s="3" t="s">
        <v>56</v>
      </c>
      <c r="Z29" s="4" t="s">
        <v>38</v>
      </c>
      <c r="AA29" s="4" t="s">
        <v>38</v>
      </c>
      <c r="AB29" s="4" t="s">
        <v>38</v>
      </c>
      <c r="AC29" s="4" t="s">
        <v>38</v>
      </c>
      <c r="AD29" s="4" t="s">
        <v>38</v>
      </c>
      <c r="AE29" s="4" t="s">
        <v>38</v>
      </c>
      <c r="AF29" s="4" t="s">
        <v>38</v>
      </c>
      <c r="AG29" s="4" t="s">
        <v>38</v>
      </c>
      <c r="AH29" s="4" t="s">
        <v>38</v>
      </c>
      <c r="AI29" s="3" t="s">
        <v>14</v>
      </c>
      <c r="AK29" s="3" t="s">
        <v>56</v>
      </c>
      <c r="AL29" s="9" t="s">
        <v>90</v>
      </c>
      <c r="AM29" s="9" t="s">
        <v>90</v>
      </c>
      <c r="AN29" s="9" t="s">
        <v>90</v>
      </c>
      <c r="AO29" s="9" t="s">
        <v>90</v>
      </c>
      <c r="AP29" s="9" t="s">
        <v>90</v>
      </c>
      <c r="AQ29" s="9" t="s">
        <v>90</v>
      </c>
      <c r="AR29" s="9" t="s">
        <v>90</v>
      </c>
      <c r="AS29" s="9" t="s">
        <v>90</v>
      </c>
      <c r="AT29" s="9" t="s">
        <v>90</v>
      </c>
      <c r="AU29" s="5" t="s">
        <v>32</v>
      </c>
      <c r="AW29" s="3" t="s">
        <v>56</v>
      </c>
      <c r="AX29" s="4" t="s">
        <v>38</v>
      </c>
      <c r="AY29" s="4" t="s">
        <v>38</v>
      </c>
      <c r="AZ29" s="4" t="s">
        <v>38</v>
      </c>
      <c r="BA29" s="4" t="s">
        <v>38</v>
      </c>
      <c r="BB29" s="4" t="s">
        <v>38</v>
      </c>
      <c r="BC29" s="4" t="s">
        <v>38</v>
      </c>
      <c r="BD29" s="4" t="s">
        <v>38</v>
      </c>
      <c r="BE29" s="4" t="s">
        <v>38</v>
      </c>
      <c r="BF29" s="4" t="s">
        <v>38</v>
      </c>
      <c r="BG29" s="3" t="s">
        <v>35</v>
      </c>
      <c r="BH29" s="23"/>
      <c r="BI29" s="3" t="s">
        <v>56</v>
      </c>
      <c r="BJ29" s="4" t="s">
        <v>38</v>
      </c>
      <c r="BK29" s="4" t="s">
        <v>38</v>
      </c>
      <c r="BL29" s="4" t="s">
        <v>38</v>
      </c>
      <c r="BM29" s="4" t="s">
        <v>38</v>
      </c>
      <c r="BN29" s="4" t="s">
        <v>38</v>
      </c>
      <c r="BO29" s="4" t="s">
        <v>38</v>
      </c>
      <c r="BP29" s="4" t="s">
        <v>38</v>
      </c>
      <c r="BQ29" s="4" t="s">
        <v>38</v>
      </c>
      <c r="BR29" s="4" t="s">
        <v>38</v>
      </c>
      <c r="BS29" s="3" t="s">
        <v>31</v>
      </c>
    </row>
    <row r="30" spans="1:71" ht="16.2" customHeight="1" x14ac:dyDescent="0.3">
      <c r="A30" s="3" t="s">
        <v>57</v>
      </c>
      <c r="B30" s="4" t="s">
        <v>38</v>
      </c>
      <c r="C30" s="4" t="s">
        <v>38</v>
      </c>
      <c r="D30" s="4">
        <v>24000</v>
      </c>
      <c r="E30" s="4">
        <v>16000</v>
      </c>
      <c r="F30" s="4">
        <v>24000</v>
      </c>
      <c r="G30" s="4">
        <v>16000</v>
      </c>
      <c r="H30" s="4">
        <v>20500</v>
      </c>
      <c r="I30" s="4">
        <v>12000</v>
      </c>
      <c r="J30" s="4">
        <v>7000</v>
      </c>
      <c r="K30" s="3" t="s">
        <v>12</v>
      </c>
      <c r="M30" s="3" t="s">
        <v>57</v>
      </c>
      <c r="N30" s="4" t="s">
        <v>38</v>
      </c>
      <c r="O30" s="4" t="s">
        <v>38</v>
      </c>
      <c r="P30" s="4">
        <v>96000</v>
      </c>
      <c r="Q30" s="4">
        <v>64000</v>
      </c>
      <c r="R30" s="4">
        <v>96000</v>
      </c>
      <c r="S30" s="4">
        <v>64000</v>
      </c>
      <c r="T30" s="4">
        <v>82000</v>
      </c>
      <c r="U30" s="4">
        <v>48000</v>
      </c>
      <c r="V30" s="4">
        <v>28000</v>
      </c>
      <c r="W30" s="3" t="s">
        <v>13</v>
      </c>
      <c r="Y30" s="3" t="s">
        <v>57</v>
      </c>
      <c r="Z30" s="4" t="s">
        <v>38</v>
      </c>
      <c r="AA30" s="4" t="s">
        <v>38</v>
      </c>
      <c r="AB30" s="4">
        <v>72000</v>
      </c>
      <c r="AC30" s="4">
        <v>48000</v>
      </c>
      <c r="AD30" s="4">
        <v>7222</v>
      </c>
      <c r="AE30" s="4">
        <v>48000</v>
      </c>
      <c r="AF30" s="4">
        <v>61500</v>
      </c>
      <c r="AG30" s="4">
        <v>36000</v>
      </c>
      <c r="AH30" s="4">
        <v>21000</v>
      </c>
      <c r="AI30" s="5" t="s">
        <v>33</v>
      </c>
      <c r="AK30" s="3" t="s">
        <v>57</v>
      </c>
      <c r="AL30" s="4" t="s">
        <v>38</v>
      </c>
      <c r="AM30" s="4" t="s">
        <v>38</v>
      </c>
      <c r="AN30" s="4">
        <v>24000</v>
      </c>
      <c r="AO30" s="4">
        <v>16000</v>
      </c>
      <c r="AP30" s="4">
        <v>24000</v>
      </c>
      <c r="AQ30" s="4">
        <v>16000</v>
      </c>
      <c r="AR30" s="4">
        <v>20500</v>
      </c>
      <c r="AS30" s="4">
        <v>12000</v>
      </c>
      <c r="AT30" s="4">
        <v>7000</v>
      </c>
      <c r="AU30" s="5" t="s">
        <v>32</v>
      </c>
      <c r="AW30" s="3" t="s">
        <v>57</v>
      </c>
      <c r="AX30" s="4" t="s">
        <v>38</v>
      </c>
      <c r="AY30" s="4" t="s">
        <v>38</v>
      </c>
      <c r="AZ30" s="4">
        <v>24000</v>
      </c>
      <c r="BA30" s="4">
        <v>16000</v>
      </c>
      <c r="BB30" s="4">
        <v>24000</v>
      </c>
      <c r="BC30" s="4">
        <v>16000</v>
      </c>
      <c r="BD30" s="4">
        <v>20500</v>
      </c>
      <c r="BE30" s="4">
        <v>12000</v>
      </c>
      <c r="BF30" s="4">
        <v>7000</v>
      </c>
      <c r="BG30" s="3"/>
      <c r="BH30" s="23"/>
      <c r="BI30" s="3" t="s">
        <v>57</v>
      </c>
      <c r="BJ30" s="4" t="s">
        <v>38</v>
      </c>
      <c r="BK30" s="4" t="s">
        <v>38</v>
      </c>
      <c r="BL30" s="4">
        <v>24000</v>
      </c>
      <c r="BM30" s="4">
        <v>16000</v>
      </c>
      <c r="BN30" s="4">
        <v>24000</v>
      </c>
      <c r="BO30" s="4">
        <v>16000</v>
      </c>
      <c r="BP30" s="4">
        <v>20500</v>
      </c>
      <c r="BQ30" s="4">
        <v>12000</v>
      </c>
      <c r="BR30" s="4">
        <v>7000</v>
      </c>
      <c r="BS30" s="3" t="s">
        <v>31</v>
      </c>
    </row>
    <row r="31" spans="1:71" ht="16.2" customHeight="1" x14ac:dyDescent="0.3">
      <c r="A31" s="3" t="s">
        <v>29</v>
      </c>
      <c r="B31" s="4" t="s">
        <v>38</v>
      </c>
      <c r="C31" s="4">
        <v>48000</v>
      </c>
      <c r="D31" s="4">
        <v>26000</v>
      </c>
      <c r="E31" s="4">
        <v>17500</v>
      </c>
      <c r="F31" s="4">
        <v>26000</v>
      </c>
      <c r="G31" s="4">
        <v>17500</v>
      </c>
      <c r="H31" s="4">
        <v>25500</v>
      </c>
      <c r="I31" s="4">
        <v>14000</v>
      </c>
      <c r="J31" s="4">
        <v>9000</v>
      </c>
      <c r="K31" s="3" t="s">
        <v>12</v>
      </c>
      <c r="M31" s="3" t="s">
        <v>29</v>
      </c>
      <c r="N31" s="4" t="s">
        <v>38</v>
      </c>
      <c r="O31" s="4">
        <v>192000</v>
      </c>
      <c r="P31" s="4">
        <v>104000</v>
      </c>
      <c r="Q31" s="4">
        <v>70000</v>
      </c>
      <c r="R31" s="4">
        <v>104000</v>
      </c>
      <c r="S31" s="4">
        <v>70000</v>
      </c>
      <c r="T31" s="4">
        <v>102000</v>
      </c>
      <c r="U31" s="4">
        <v>56000</v>
      </c>
      <c r="V31" s="4">
        <v>36000</v>
      </c>
      <c r="W31" s="3" t="s">
        <v>13</v>
      </c>
      <c r="Y31" s="3" t="s">
        <v>29</v>
      </c>
      <c r="Z31" s="4" t="s">
        <v>38</v>
      </c>
      <c r="AA31" s="4">
        <v>144000</v>
      </c>
      <c r="AB31" s="4">
        <v>48000</v>
      </c>
      <c r="AC31" s="4">
        <v>52500</v>
      </c>
      <c r="AD31" s="4">
        <v>78000</v>
      </c>
      <c r="AE31" s="4">
        <v>52500</v>
      </c>
      <c r="AF31" s="4">
        <v>76500</v>
      </c>
      <c r="AG31" s="4">
        <v>42000</v>
      </c>
      <c r="AH31" s="4">
        <v>27000</v>
      </c>
      <c r="AI31" s="3" t="s">
        <v>14</v>
      </c>
      <c r="AK31" s="3" t="s">
        <v>29</v>
      </c>
      <c r="AL31" s="9" t="s">
        <v>90</v>
      </c>
      <c r="AM31" s="9" t="s">
        <v>90</v>
      </c>
      <c r="AN31" s="9" t="s">
        <v>90</v>
      </c>
      <c r="AO31" s="9" t="s">
        <v>90</v>
      </c>
      <c r="AP31" s="9" t="s">
        <v>90</v>
      </c>
      <c r="AQ31" s="9" t="s">
        <v>90</v>
      </c>
      <c r="AR31" s="9" t="s">
        <v>90</v>
      </c>
      <c r="AS31" s="9" t="s">
        <v>90</v>
      </c>
      <c r="AT31" s="9" t="s">
        <v>90</v>
      </c>
      <c r="AU31" s="9"/>
      <c r="AW31" s="3" t="s">
        <v>29</v>
      </c>
      <c r="AX31" s="4" t="s">
        <v>127</v>
      </c>
      <c r="AY31" s="4" t="s">
        <v>127</v>
      </c>
      <c r="AZ31" s="4" t="s">
        <v>127</v>
      </c>
      <c r="BA31" s="4" t="s">
        <v>127</v>
      </c>
      <c r="BB31" s="4" t="s">
        <v>127</v>
      </c>
      <c r="BC31" s="4" t="s">
        <v>127</v>
      </c>
      <c r="BD31" s="4" t="s">
        <v>127</v>
      </c>
      <c r="BE31" s="4" t="s">
        <v>127</v>
      </c>
      <c r="BF31" s="4" t="s">
        <v>127</v>
      </c>
      <c r="BG31" s="3"/>
      <c r="BH31" s="23"/>
      <c r="BI31" s="3" t="s">
        <v>29</v>
      </c>
      <c r="BJ31" s="4" t="s">
        <v>128</v>
      </c>
      <c r="BK31" s="4" t="s">
        <v>128</v>
      </c>
      <c r="BL31" s="4" t="s">
        <v>128</v>
      </c>
      <c r="BM31" s="4" t="s">
        <v>128</v>
      </c>
      <c r="BN31" s="4" t="s">
        <v>128</v>
      </c>
      <c r="BO31" s="4" t="s">
        <v>128</v>
      </c>
      <c r="BP31" s="4" t="s">
        <v>128</v>
      </c>
      <c r="BQ31" s="4" t="s">
        <v>128</v>
      </c>
      <c r="BR31" s="4" t="s">
        <v>128</v>
      </c>
      <c r="BS31" s="3"/>
    </row>
    <row r="32" spans="1:71" ht="16.2" customHeight="1" x14ac:dyDescent="0.3">
      <c r="A32" s="3" t="s">
        <v>36</v>
      </c>
      <c r="B32" s="4" t="s">
        <v>38</v>
      </c>
      <c r="C32" s="4">
        <v>79000</v>
      </c>
      <c r="D32" s="4">
        <v>39000</v>
      </c>
      <c r="E32" s="4">
        <v>26000</v>
      </c>
      <c r="F32" s="4">
        <v>39000</v>
      </c>
      <c r="G32" s="4">
        <v>26000</v>
      </c>
      <c r="H32" s="4">
        <v>38500</v>
      </c>
      <c r="I32" s="4">
        <v>21000</v>
      </c>
      <c r="J32" s="4">
        <v>13500</v>
      </c>
      <c r="K32" s="3" t="s">
        <v>12</v>
      </c>
      <c r="M32" s="3" t="s">
        <v>36</v>
      </c>
      <c r="N32" s="4" t="s">
        <v>38</v>
      </c>
      <c r="O32" s="4">
        <v>316000</v>
      </c>
      <c r="P32" s="4">
        <v>156000</v>
      </c>
      <c r="Q32" s="4">
        <v>104000</v>
      </c>
      <c r="R32" s="4">
        <v>156000</v>
      </c>
      <c r="S32" s="4">
        <v>104000</v>
      </c>
      <c r="T32" s="4">
        <v>154000</v>
      </c>
      <c r="U32" s="4">
        <v>84000</v>
      </c>
      <c r="V32" s="4">
        <v>54000</v>
      </c>
      <c r="W32" s="3" t="s">
        <v>13</v>
      </c>
      <c r="Y32" s="3" t="s">
        <v>36</v>
      </c>
      <c r="Z32" s="4" t="s">
        <v>38</v>
      </c>
      <c r="AA32" s="4">
        <v>237000</v>
      </c>
      <c r="AB32" s="4">
        <v>117000</v>
      </c>
      <c r="AC32" s="4">
        <v>78000</v>
      </c>
      <c r="AD32" s="4">
        <v>117000</v>
      </c>
      <c r="AE32" s="4">
        <v>78000</v>
      </c>
      <c r="AF32" s="4">
        <v>115500</v>
      </c>
      <c r="AG32" s="4">
        <v>63000</v>
      </c>
      <c r="AH32" s="4">
        <v>40500</v>
      </c>
      <c r="AI32" s="3" t="s">
        <v>14</v>
      </c>
      <c r="AK32" s="3" t="s">
        <v>36</v>
      </c>
      <c r="AL32" s="9" t="s">
        <v>90</v>
      </c>
      <c r="AM32" s="9" t="s">
        <v>90</v>
      </c>
      <c r="AN32" s="9" t="s">
        <v>90</v>
      </c>
      <c r="AO32" s="9" t="s">
        <v>90</v>
      </c>
      <c r="AP32" s="9" t="s">
        <v>90</v>
      </c>
      <c r="AQ32" s="9" t="s">
        <v>90</v>
      </c>
      <c r="AR32" s="9" t="s">
        <v>90</v>
      </c>
      <c r="AS32" s="9" t="s">
        <v>90</v>
      </c>
      <c r="AT32" s="9" t="s">
        <v>90</v>
      </c>
      <c r="AU32" s="9"/>
      <c r="AW32" s="3" t="s">
        <v>36</v>
      </c>
      <c r="AX32" s="4" t="s">
        <v>127</v>
      </c>
      <c r="AY32" s="4" t="s">
        <v>127</v>
      </c>
      <c r="AZ32" s="4" t="s">
        <v>127</v>
      </c>
      <c r="BA32" s="4" t="s">
        <v>127</v>
      </c>
      <c r="BB32" s="4" t="s">
        <v>127</v>
      </c>
      <c r="BC32" s="4" t="s">
        <v>127</v>
      </c>
      <c r="BD32" s="4" t="s">
        <v>127</v>
      </c>
      <c r="BE32" s="4" t="s">
        <v>127</v>
      </c>
      <c r="BF32" s="4" t="s">
        <v>127</v>
      </c>
      <c r="BG32" s="3"/>
      <c r="BH32" s="23"/>
      <c r="BI32" s="3" t="s">
        <v>36</v>
      </c>
      <c r="BJ32" s="4" t="s">
        <v>128</v>
      </c>
      <c r="BK32" s="4" t="s">
        <v>128</v>
      </c>
      <c r="BL32" s="4" t="s">
        <v>128</v>
      </c>
      <c r="BM32" s="4" t="s">
        <v>128</v>
      </c>
      <c r="BN32" s="4" t="s">
        <v>128</v>
      </c>
      <c r="BO32" s="4" t="s">
        <v>128</v>
      </c>
      <c r="BP32" s="4" t="s">
        <v>128</v>
      </c>
      <c r="BQ32" s="4" t="s">
        <v>128</v>
      </c>
      <c r="BR32" s="4" t="s">
        <v>128</v>
      </c>
      <c r="BS32" s="3"/>
    </row>
    <row r="33" spans="1:71" ht="16.2" customHeight="1" x14ac:dyDescent="0.3">
      <c r="A33" s="3" t="s">
        <v>37</v>
      </c>
      <c r="B33" s="4" t="s">
        <v>38</v>
      </c>
      <c r="C33" s="4">
        <v>35500</v>
      </c>
      <c r="D33" s="4">
        <v>19000</v>
      </c>
      <c r="E33" s="4">
        <v>8500</v>
      </c>
      <c r="F33" s="4">
        <v>14000</v>
      </c>
      <c r="G33" s="4">
        <v>8500</v>
      </c>
      <c r="H33" s="4">
        <v>18000</v>
      </c>
      <c r="I33" s="4">
        <v>9000</v>
      </c>
      <c r="J33" s="4">
        <v>5500</v>
      </c>
      <c r="K33" s="3" t="s">
        <v>12</v>
      </c>
      <c r="M33" s="3" t="s">
        <v>37</v>
      </c>
      <c r="N33" s="4" t="s">
        <v>38</v>
      </c>
      <c r="O33" s="4">
        <v>142000</v>
      </c>
      <c r="P33" s="4">
        <v>76000</v>
      </c>
      <c r="Q33" s="4">
        <v>34000</v>
      </c>
      <c r="R33" s="4">
        <v>56000</v>
      </c>
      <c r="S33" s="4">
        <v>34000</v>
      </c>
      <c r="T33" s="4">
        <v>72000</v>
      </c>
      <c r="U33" s="4">
        <v>36000</v>
      </c>
      <c r="V33" s="4">
        <v>22000</v>
      </c>
      <c r="W33" s="3" t="s">
        <v>13</v>
      </c>
      <c r="Y33" s="3" t="s">
        <v>37</v>
      </c>
      <c r="Z33" s="4" t="s">
        <v>38</v>
      </c>
      <c r="AA33" s="4">
        <v>106500</v>
      </c>
      <c r="AB33" s="4">
        <v>57000</v>
      </c>
      <c r="AC33" s="4">
        <v>25500</v>
      </c>
      <c r="AD33" s="4">
        <v>42000</v>
      </c>
      <c r="AE33" s="4">
        <v>25500</v>
      </c>
      <c r="AF33" s="4">
        <v>54000</v>
      </c>
      <c r="AG33" s="4">
        <v>27000</v>
      </c>
      <c r="AH33" s="4">
        <v>16500</v>
      </c>
      <c r="AI33" s="3" t="s">
        <v>14</v>
      </c>
      <c r="AK33" s="3" t="s">
        <v>37</v>
      </c>
      <c r="AL33" s="9" t="s">
        <v>90</v>
      </c>
      <c r="AM33" s="9" t="s">
        <v>90</v>
      </c>
      <c r="AN33" s="9" t="s">
        <v>90</v>
      </c>
      <c r="AO33" s="9" t="s">
        <v>90</v>
      </c>
      <c r="AP33" s="9" t="s">
        <v>90</v>
      </c>
      <c r="AQ33" s="9" t="s">
        <v>90</v>
      </c>
      <c r="AR33" s="9" t="s">
        <v>90</v>
      </c>
      <c r="AS33" s="9" t="s">
        <v>90</v>
      </c>
      <c r="AT33" s="9" t="s">
        <v>90</v>
      </c>
      <c r="AU33" s="9"/>
      <c r="AW33" s="3" t="s">
        <v>37</v>
      </c>
      <c r="AX33" s="4" t="s">
        <v>127</v>
      </c>
      <c r="AY33" s="4" t="s">
        <v>127</v>
      </c>
      <c r="AZ33" s="4" t="s">
        <v>127</v>
      </c>
      <c r="BA33" s="4" t="s">
        <v>127</v>
      </c>
      <c r="BB33" s="4" t="s">
        <v>127</v>
      </c>
      <c r="BC33" s="4" t="s">
        <v>127</v>
      </c>
      <c r="BD33" s="4" t="s">
        <v>127</v>
      </c>
      <c r="BE33" s="4" t="s">
        <v>127</v>
      </c>
      <c r="BF33" s="4" t="s">
        <v>127</v>
      </c>
      <c r="BG33" s="3"/>
      <c r="BH33" s="23"/>
      <c r="BI33" s="3" t="s">
        <v>37</v>
      </c>
      <c r="BJ33" s="4" t="s">
        <v>128</v>
      </c>
      <c r="BK33" s="4" t="s">
        <v>128</v>
      </c>
      <c r="BL33" s="4" t="s">
        <v>128</v>
      </c>
      <c r="BM33" s="4" t="s">
        <v>128</v>
      </c>
      <c r="BN33" s="4" t="s">
        <v>128</v>
      </c>
      <c r="BO33" s="4" t="s">
        <v>128</v>
      </c>
      <c r="BP33" s="4" t="s">
        <v>128</v>
      </c>
      <c r="BQ33" s="4" t="s">
        <v>128</v>
      </c>
      <c r="BR33" s="4" t="s">
        <v>128</v>
      </c>
      <c r="BS33" s="3"/>
    </row>
    <row r="34" spans="1:71" ht="16.2" customHeight="1" x14ac:dyDescent="0.3">
      <c r="A34">
        <f>INDEX(TableNS,MATCH(A37,OccNS,0),MATCH(B37,ConstructionNS,0))</f>
        <v>9000</v>
      </c>
      <c r="J34">
        <f>INDEX(TableNS,MATCH(E38,OccNS,0),MATCH(F38,ConstructionNS,0))</f>
        <v>9000</v>
      </c>
      <c r="K34">
        <f>INDEX(TableNS,MATCH(H38,OccNS,0),MATCH(F38,ConstructionNS,0))</f>
        <v>9500</v>
      </c>
      <c r="M34">
        <f>INDEX(TableSS,MATCH(A37,OccSS,0),MATCH(B37,ConstrucS,0))</f>
        <v>36000</v>
      </c>
      <c r="V34">
        <f>INDEX(TableSS,MATCH(E38,OccSS,0),MATCH(F38,ConstrucS,0))</f>
        <v>36000</v>
      </c>
      <c r="W34">
        <f>INDEX(TableSS,MATCH(H38,OccSS,0),MATCH(F38,ConstrucS,0))</f>
        <v>38000</v>
      </c>
      <c r="Y34">
        <f>INDEX(TableSM,MATCH(A37,OccSM,0),MATCH(B37,ConstructionSM,0))</f>
        <v>27000</v>
      </c>
      <c r="AH34">
        <f>INDEX(TableSM,MATCH(E38,OccSM,0),MATCH(F38,ConstructionSM,0))</f>
        <v>27000</v>
      </c>
      <c r="AI34">
        <f>INDEX(TableSM,MATCH(H38,OccSM,0),MATCH(F38,ConstructionSM,0))</f>
        <v>28500</v>
      </c>
      <c r="AK34" t="str">
        <f>INDEX(TableAIL,MATCH(A37,OccAIL,0),MATCH(B37,ConstructionAIL,0))</f>
        <v>No Limitations</v>
      </c>
      <c r="AW34" s="24" t="str">
        <f>INDEX(Table13D,MATCH(A37,Occ13D,0),MATCH(B37,Construction13D,0))</f>
        <v>NP W/ 13D</v>
      </c>
      <c r="BF34" t="str">
        <f>INDEX(Table13D,MATCH(E38,Occ13D,0),MATCH(F38,Construction13D,0))</f>
        <v>NP W/ 13D</v>
      </c>
      <c r="BG34" t="str">
        <f>INDEX(Table13D,MATCH(H38,Occ13D,0),MATCH(F38,Construction13D,0))</f>
        <v>NP W/ 13D</v>
      </c>
      <c r="BI34" t="str">
        <f>INDEX(Table13R,MATCH(A37,Occ13R,0),MATCH(B37,Construction13R,0))</f>
        <v>NP W/13R</v>
      </c>
      <c r="BR34" t="str">
        <f>INDEX(Table13R,MATCH(E38,Occ13R,0),MATCH(F38,Construction13R,0))</f>
        <v>NP W/13R</v>
      </c>
      <c r="BS34" t="str">
        <f>INDEX(Table13R,MATCH(H38,Occ13R,0),MATCH(F38,Construction13R,0))</f>
        <v>NP W/13R</v>
      </c>
    </row>
    <row r="35" spans="1:71" x14ac:dyDescent="0.3">
      <c r="A35" s="13" t="s">
        <v>115</v>
      </c>
      <c r="J35" t="s">
        <v>117</v>
      </c>
      <c r="K35" s="13" t="s">
        <v>114</v>
      </c>
      <c r="M35" s="13" t="s">
        <v>115</v>
      </c>
      <c r="V35" t="s">
        <v>117</v>
      </c>
      <c r="W35" s="13" t="s">
        <v>114</v>
      </c>
      <c r="Y35" s="13" t="s">
        <v>115</v>
      </c>
      <c r="AH35" t="s">
        <v>117</v>
      </c>
      <c r="AI35" s="13" t="s">
        <v>114</v>
      </c>
      <c r="AK35" s="13" t="s">
        <v>115</v>
      </c>
      <c r="AW35" s="13" t="s">
        <v>115</v>
      </c>
      <c r="BF35" t="s">
        <v>117</v>
      </c>
      <c r="BG35" s="13" t="s">
        <v>114</v>
      </c>
      <c r="BI35" s="13" t="s">
        <v>115</v>
      </c>
      <c r="BR35" t="s">
        <v>117</v>
      </c>
      <c r="BS35" s="13" t="s">
        <v>114</v>
      </c>
    </row>
    <row r="36" spans="1:71" x14ac:dyDescent="0.3">
      <c r="A36" s="17" t="s">
        <v>97</v>
      </c>
      <c r="B36" s="17"/>
      <c r="E36" s="17" t="s">
        <v>116</v>
      </c>
      <c r="H36" s="17" t="s">
        <v>106</v>
      </c>
    </row>
    <row r="37" spans="1:71" x14ac:dyDescent="0.3">
      <c r="A37" s="17" t="str">
        <f>'2009-2018 Frontage Increase'!B$5</f>
        <v>B</v>
      </c>
      <c r="B37" s="17" t="str">
        <f>'2009-2018 Frontage Increase'!B$6</f>
        <v>V-B</v>
      </c>
      <c r="E37" s="17" t="s">
        <v>97</v>
      </c>
      <c r="H37" s="17" t="s">
        <v>97</v>
      </c>
      <c r="I37" s="17"/>
    </row>
    <row r="38" spans="1:71" x14ac:dyDescent="0.3">
      <c r="E38" s="17" t="str">
        <f>'2009-2018 Mixed Occupancy'!B$5</f>
        <v>B</v>
      </c>
      <c r="F38" s="17" t="str">
        <f>'2009-2018 Mixed Occupancy'!B6</f>
        <v>V-B</v>
      </c>
      <c r="H38" s="17" t="str">
        <f>'2009-2018 Mixed Occupancy'!D$5</f>
        <v>E</v>
      </c>
    </row>
    <row r="39" spans="1:71" x14ac:dyDescent="0.3">
      <c r="A39" t="s">
        <v>42</v>
      </c>
      <c r="AW39" s="1"/>
      <c r="AX39" s="13"/>
      <c r="AY39" s="13"/>
      <c r="AZ39" s="13"/>
      <c r="BA39" s="13"/>
      <c r="BB39" s="13"/>
      <c r="BC39" s="13"/>
      <c r="BD39" s="13"/>
      <c r="BE39" s="13"/>
      <c r="BF39" s="13"/>
    </row>
    <row r="40" spans="1:71" x14ac:dyDescent="0.3">
      <c r="AW40" s="7"/>
      <c r="AX40" s="16"/>
      <c r="AY40" s="16"/>
      <c r="AZ40" s="16"/>
      <c r="BA40" s="16"/>
      <c r="BB40" s="16"/>
      <c r="BC40" s="16"/>
      <c r="BD40" s="16"/>
      <c r="BE40" s="16"/>
      <c r="BF40" s="16"/>
      <c r="BG40" s="13"/>
    </row>
    <row r="41" spans="1:71" ht="16.2" x14ac:dyDescent="0.3">
      <c r="A41" t="s">
        <v>43</v>
      </c>
      <c r="AW41" s="13"/>
      <c r="AX41" s="16"/>
      <c r="AY41" s="16"/>
      <c r="AZ41" s="16"/>
      <c r="BA41" s="16"/>
      <c r="BB41" s="16"/>
      <c r="BC41" s="16"/>
      <c r="BD41" s="16"/>
      <c r="BE41" s="16"/>
      <c r="BF41" s="16"/>
      <c r="BG41" s="13"/>
    </row>
    <row r="42" spans="1:71" x14ac:dyDescent="0.3">
      <c r="AW42" s="13"/>
      <c r="AX42" s="16"/>
      <c r="AY42" s="16"/>
      <c r="AZ42" s="16"/>
      <c r="BA42" s="16"/>
      <c r="BB42" s="16"/>
      <c r="BC42" s="16"/>
      <c r="BD42" s="16"/>
      <c r="BE42" s="16"/>
      <c r="BF42" s="16"/>
      <c r="BG42" s="13"/>
    </row>
    <row r="43" spans="1:71" x14ac:dyDescent="0.3">
      <c r="A43" t="s">
        <v>84</v>
      </c>
      <c r="B43" s="12" t="s">
        <v>74</v>
      </c>
      <c r="AW43" s="13"/>
      <c r="AX43" s="16"/>
      <c r="AY43" s="16"/>
      <c r="AZ43" s="16"/>
      <c r="BA43" s="16"/>
      <c r="BB43" s="16"/>
      <c r="BC43" s="16"/>
      <c r="BD43" s="16"/>
      <c r="BE43" s="16"/>
      <c r="BF43" s="16"/>
      <c r="BG43" s="13"/>
    </row>
    <row r="44" spans="1:71" x14ac:dyDescent="0.3">
      <c r="A44" t="s">
        <v>75</v>
      </c>
      <c r="B44" s="12" t="s">
        <v>76</v>
      </c>
      <c r="AW44" s="13"/>
      <c r="AX44" s="16"/>
      <c r="AY44" s="16"/>
      <c r="AZ44" s="16"/>
      <c r="BA44" s="16"/>
      <c r="BB44" s="16"/>
      <c r="BC44" s="16"/>
      <c r="BD44" s="16"/>
      <c r="BE44" s="16"/>
      <c r="BF44" s="16"/>
      <c r="BG44" s="13"/>
    </row>
    <row r="45" spans="1:71" x14ac:dyDescent="0.3">
      <c r="A45" t="s">
        <v>77</v>
      </c>
      <c r="B45" s="12" t="s">
        <v>78</v>
      </c>
      <c r="AW45" s="13"/>
      <c r="AX45" s="16"/>
      <c r="AY45" s="16"/>
      <c r="AZ45" s="16"/>
      <c r="BA45" s="16"/>
      <c r="BB45" s="16"/>
      <c r="BC45" s="16"/>
      <c r="BD45" s="16"/>
      <c r="BE45" s="16"/>
      <c r="BF45" s="16"/>
      <c r="BG45" s="13"/>
    </row>
    <row r="46" spans="1:71" x14ac:dyDescent="0.3">
      <c r="A46" t="s">
        <v>79</v>
      </c>
      <c r="B46" s="12" t="s">
        <v>85</v>
      </c>
    </row>
    <row r="47" spans="1:71" x14ac:dyDescent="0.3">
      <c r="A47" t="s">
        <v>80</v>
      </c>
      <c r="B47" s="12" t="s">
        <v>81</v>
      </c>
    </row>
    <row r="90" ht="14.4" customHeight="1" x14ac:dyDescent="0.3"/>
    <row r="123" ht="28.95" customHeight="1" x14ac:dyDescent="0.3"/>
    <row r="137" ht="15" customHeight="1" x14ac:dyDescent="0.3"/>
    <row r="233" ht="14.4" customHeight="1" x14ac:dyDescent="0.3"/>
  </sheetData>
  <dataValidations disablePrompts="1" count="1">
    <dataValidation type="list" allowBlank="1" showInputMessage="1" showErrorMessage="1" sqref="C37" xr:uid="{00000000-0002-0000-0900-000000000000}">
      <formula1>"I-A,I-B,II-A,II-B,III-A,III-B,IV-HT,V-A,V-B"</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106</vt:i4>
      </vt:variant>
    </vt:vector>
  </HeadingPairs>
  <TitlesOfParts>
    <vt:vector size="116" baseType="lpstr">
      <vt:lpstr>2021-2024 Frontage Increase</vt:lpstr>
      <vt:lpstr>2009-2018 Frontage Increase</vt:lpstr>
      <vt:lpstr>2021-2024 Mixed Occupancy</vt:lpstr>
      <vt:lpstr>2009-2018 Mixed Occupancy</vt:lpstr>
      <vt:lpstr>2021 Bldg Ht Table 504.3</vt:lpstr>
      <vt:lpstr>2021 Stories Table 504.4</vt:lpstr>
      <vt:lpstr>2021 area Table 506.2</vt:lpstr>
      <vt:lpstr>Allowable Bldg Ht Table 504.3</vt:lpstr>
      <vt:lpstr>Allowable Stories Table 504.4</vt:lpstr>
      <vt:lpstr>Allowable area Table 506.2</vt:lpstr>
      <vt:lpstr>'2021 area Table 506.2'!ConstrucS</vt:lpstr>
      <vt:lpstr>ConstrucS</vt:lpstr>
      <vt:lpstr>'2021 area Table 506.2'!Construction13D</vt:lpstr>
      <vt:lpstr>Construction13D</vt:lpstr>
      <vt:lpstr>'2021 area Table 506.2'!Construction13R</vt:lpstr>
      <vt:lpstr>Construction13R</vt:lpstr>
      <vt:lpstr>'2021 area Table 506.2'!ConstructionAIL</vt:lpstr>
      <vt:lpstr>ConstructionAIL</vt:lpstr>
      <vt:lpstr>'2021 Bldg Ht Table 504.3'!ConstructionHt13D</vt:lpstr>
      <vt:lpstr>ConstructionHt13D</vt:lpstr>
      <vt:lpstr>'2021 Bldg Ht Table 504.3'!ConstructionHt13R</vt:lpstr>
      <vt:lpstr>ConstructionHt13R</vt:lpstr>
      <vt:lpstr>'2021 Bldg Ht Table 504.3'!ConstructionHtAIL</vt:lpstr>
      <vt:lpstr>ConstructionHtAIL</vt:lpstr>
      <vt:lpstr>'2021 Bldg Ht Table 504.3'!ConstructionHtNS</vt:lpstr>
      <vt:lpstr>ConstructionHtNS</vt:lpstr>
      <vt:lpstr>'2021 Bldg Ht Table 504.3'!ConstructionHtSS</vt:lpstr>
      <vt:lpstr>ConstructionHtSS</vt:lpstr>
      <vt:lpstr>'2021 area Table 506.2'!ConstructionNS</vt:lpstr>
      <vt:lpstr>ConstructionNS</vt:lpstr>
      <vt:lpstr>'2021 area Table 506.2'!ConstructionSM</vt:lpstr>
      <vt:lpstr>ConstructionSM</vt:lpstr>
      <vt:lpstr>'2021 Stories Table 504.4'!ConstructionStories13D</vt:lpstr>
      <vt:lpstr>ConstructionStories13D</vt:lpstr>
      <vt:lpstr>'2021 Stories Table 504.4'!ConstructionStories13R</vt:lpstr>
      <vt:lpstr>ConstructionStories13R</vt:lpstr>
      <vt:lpstr>'2021 Stories Table 504.4'!ConstructionStoriesAIL</vt:lpstr>
      <vt:lpstr>ConstructionStoriesAIL</vt:lpstr>
      <vt:lpstr>'2021 Stories Table 504.4'!ConstructionStoriesNS</vt:lpstr>
      <vt:lpstr>ConstructionStoriesNS</vt:lpstr>
      <vt:lpstr>'2021 Stories Table 504.4'!ConstructionStoriesSS</vt:lpstr>
      <vt:lpstr>ConstructionStoriesSS</vt:lpstr>
      <vt:lpstr>'2021 area Table 506.2'!Occ13D</vt:lpstr>
      <vt:lpstr>Occ13D</vt:lpstr>
      <vt:lpstr>'2021 area Table 506.2'!Occ13R</vt:lpstr>
      <vt:lpstr>Occ13R</vt:lpstr>
      <vt:lpstr>'2021 area Table 506.2'!OccAIL</vt:lpstr>
      <vt:lpstr>OccAIL</vt:lpstr>
      <vt:lpstr>'2021 Bldg Ht Table 504.3'!OccHt13D</vt:lpstr>
      <vt:lpstr>OccHt13D</vt:lpstr>
      <vt:lpstr>'2021 Bldg Ht Table 504.3'!OccHt13R</vt:lpstr>
      <vt:lpstr>OccHt13R</vt:lpstr>
      <vt:lpstr>'2021 Bldg Ht Table 504.3'!OccHtAIL</vt:lpstr>
      <vt:lpstr>OccHtAIL</vt:lpstr>
      <vt:lpstr>'2021 Bldg Ht Table 504.3'!OccHtNS</vt:lpstr>
      <vt:lpstr>OccHtNS</vt:lpstr>
      <vt:lpstr>'2021 Bldg Ht Table 504.3'!OccHtSS</vt:lpstr>
      <vt:lpstr>OccHtSS</vt:lpstr>
      <vt:lpstr>'2021 area Table 506.2'!OccNS</vt:lpstr>
      <vt:lpstr>OccNS</vt:lpstr>
      <vt:lpstr>'2021 area Table 506.2'!OccS</vt:lpstr>
      <vt:lpstr>OccS</vt:lpstr>
      <vt:lpstr>'2021 area Table 506.2'!OccSM</vt:lpstr>
      <vt:lpstr>OccSM</vt:lpstr>
      <vt:lpstr>'2021 area Table 506.2'!OccSS</vt:lpstr>
      <vt:lpstr>OccSS</vt:lpstr>
      <vt:lpstr>'2021 Stories Table 504.4'!OccStories13D</vt:lpstr>
      <vt:lpstr>OccStories13D</vt:lpstr>
      <vt:lpstr>'2021 Stories Table 504.4'!OccStories13R</vt:lpstr>
      <vt:lpstr>OccStories13R</vt:lpstr>
      <vt:lpstr>'2021 Stories Table 504.4'!OccStoriesAIL</vt:lpstr>
      <vt:lpstr>OccStoriesAIL</vt:lpstr>
      <vt:lpstr>'2021 Stories Table 504.4'!OccStoriesNS</vt:lpstr>
      <vt:lpstr>OccStoriesNS</vt:lpstr>
      <vt:lpstr>'2021 Stories Table 504.4'!OccStoriesSS</vt:lpstr>
      <vt:lpstr>OccStoriesSS</vt:lpstr>
      <vt:lpstr>'2009-2018 Frontage Increase'!Print_Area</vt:lpstr>
      <vt:lpstr>'2009-2018 Mixed Occupancy'!Print_Area</vt:lpstr>
      <vt:lpstr>'2021-2024 Frontage Increase'!Print_Area</vt:lpstr>
      <vt:lpstr>'2021-2024 Mixed Occupancy'!Print_Area</vt:lpstr>
      <vt:lpstr>'2021 area Table 506.2'!SqFt1</vt:lpstr>
      <vt:lpstr>SqFt1</vt:lpstr>
      <vt:lpstr>'2021 area Table 506.2'!Table1</vt:lpstr>
      <vt:lpstr>Table1</vt:lpstr>
      <vt:lpstr>'2021 area Table 506.2'!Table13D</vt:lpstr>
      <vt:lpstr>Table13D</vt:lpstr>
      <vt:lpstr>'2021 area Table 506.2'!Table13R</vt:lpstr>
      <vt:lpstr>Table13R</vt:lpstr>
      <vt:lpstr>'2021 area Table 506.2'!TableAIL</vt:lpstr>
      <vt:lpstr>TableAIL</vt:lpstr>
      <vt:lpstr>'2021 Bldg Ht Table 504.3'!TableHt13D</vt:lpstr>
      <vt:lpstr>TableHt13D</vt:lpstr>
      <vt:lpstr>'2021 Bldg Ht Table 504.3'!TableHt13R</vt:lpstr>
      <vt:lpstr>TableHt13R</vt:lpstr>
      <vt:lpstr>'2021 Bldg Ht Table 504.3'!TableHtAIL</vt:lpstr>
      <vt:lpstr>TableHtAIL</vt:lpstr>
      <vt:lpstr>'2021 Bldg Ht Table 504.3'!TableHtNS</vt:lpstr>
      <vt:lpstr>TableHtNS</vt:lpstr>
      <vt:lpstr>'2021 Bldg Ht Table 504.3'!TableHtSS</vt:lpstr>
      <vt:lpstr>TableHtSS</vt:lpstr>
      <vt:lpstr>'2021 area Table 506.2'!TableNS</vt:lpstr>
      <vt:lpstr>TableNS</vt:lpstr>
      <vt:lpstr>'2021 area Table 506.2'!TableSM</vt:lpstr>
      <vt:lpstr>TableSM</vt:lpstr>
      <vt:lpstr>'2021 area Table 506.2'!TableSS</vt:lpstr>
      <vt:lpstr>TableSS</vt:lpstr>
      <vt:lpstr>'2021 Stories Table 504.4'!TableStories13D</vt:lpstr>
      <vt:lpstr>TableStories13D</vt:lpstr>
      <vt:lpstr>'2021 Stories Table 504.4'!TableStories13R</vt:lpstr>
      <vt:lpstr>TableStories13R</vt:lpstr>
      <vt:lpstr>'2021 Stories Table 504.4'!TableStoriesAIL</vt:lpstr>
      <vt:lpstr>TableStoriesAIL</vt:lpstr>
      <vt:lpstr>'2021 Stories Table 504.4'!TableStoriesNS</vt:lpstr>
      <vt:lpstr>TableStoriesNS</vt:lpstr>
      <vt:lpstr>'2021 Stories Table 504.4'!TableStoriesSS</vt:lpstr>
      <vt:lpstr>TableStoriesSS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Schneider</dc:creator>
  <cp:lastModifiedBy>Michael Schneider</cp:lastModifiedBy>
  <cp:lastPrinted>2020-10-02T19:14:54Z</cp:lastPrinted>
  <dcterms:created xsi:type="dcterms:W3CDTF">2020-01-25T05:42:35Z</dcterms:created>
  <dcterms:modified xsi:type="dcterms:W3CDTF">2024-09-02T19:23:12Z</dcterms:modified>
</cp:coreProperties>
</file>
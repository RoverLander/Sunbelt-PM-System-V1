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ales Resources\Calculators &amp; Forms\"/>
    </mc:Choice>
  </mc:AlternateContent>
  <xr:revisionPtr revIDLastSave="0" documentId="13_ncr:1_{9C8DD1D8-6B54-4329-AA9A-A88CC652F710}" xr6:coauthVersionLast="47" xr6:coauthVersionMax="47" xr10:uidLastSave="{00000000-0000-0000-0000-000000000000}"/>
  <bookViews>
    <workbookView xWindow="-110" yWindow="-110" windowWidth="38620" windowHeight="21100" xr2:uid="{C6B93379-49C3-400D-99C6-2A7F7DF56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I10" i="1"/>
  <c r="I17" i="1" l="1"/>
  <c r="L17" i="1" s="1"/>
  <c r="I16" i="1"/>
  <c r="L16" i="1" s="1"/>
  <c r="I15" i="1"/>
  <c r="L15" i="1" s="1"/>
  <c r="L14" i="1"/>
  <c r="L13" i="1"/>
  <c r="L12" i="1"/>
  <c r="L11" i="1"/>
  <c r="L10" i="1"/>
  <c r="I8" i="1"/>
  <c r="I9" i="1" s="1"/>
  <c r="L9" i="1" s="1"/>
  <c r="L8" i="1" l="1"/>
  <c r="L20" i="1" s="1"/>
  <c r="L22" i="1" s="1"/>
</calcChain>
</file>

<file path=xl/sharedStrings.xml><?xml version="1.0" encoding="utf-8"?>
<sst xmlns="http://schemas.openxmlformats.org/spreadsheetml/2006/main" count="31" uniqueCount="23">
  <si>
    <t>Gutter 10' Piece</t>
  </si>
  <si>
    <t>item</t>
  </si>
  <si>
    <t>qty</t>
  </si>
  <si>
    <t>Height</t>
  </si>
  <si>
    <t>Length</t>
  </si>
  <si>
    <t>Gutter Seam Sleeves</t>
  </si>
  <si>
    <t>unit cost</t>
  </si>
  <si>
    <t>ext cost</t>
  </si>
  <si>
    <t>Caulk for Seams</t>
  </si>
  <si>
    <t>Gutter Drop End Piece</t>
  </si>
  <si>
    <t>Gutter End Caps</t>
  </si>
  <si>
    <t xml:space="preserve">Downspout </t>
  </si>
  <si>
    <t>Angle spout end</t>
  </si>
  <si>
    <t>Gutter hanger w/ screw</t>
  </si>
  <si>
    <t>Downspout straps</t>
  </si>
  <si>
    <t>gutter screws</t>
  </si>
  <si>
    <t>UOM</t>
  </si>
  <si>
    <t>ea</t>
  </si>
  <si>
    <t>lf</t>
  </si>
  <si>
    <t>Labor LF</t>
  </si>
  <si>
    <t>Material Cost</t>
  </si>
  <si>
    <t>Material LF Cost</t>
  </si>
  <si>
    <t>Option LF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</si>
</sst>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1" applyNumberFormat="1" applyFont="1"/>
    <xf numFmtId="44" fontId="0" fillId="0" borderId="0" xfId="0" applyNumberFormat="1"/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8368-0768-4F39-BC86-360B2D2A2DA4}">
  <dimension ref="H2:L43"/>
  <sheetViews>
    <sheetView tabSelected="1" workbookViewId="0">
      <selection activeCell="O20" sqref="O20"/>
    </sheetView>
  </sheetViews>
  <sheetFormatPr defaultRowHeight="14.5" x14ac:dyDescent="0.35"/>
  <cols>
    <col min="8" max="8" width="19.54296875" bestFit="1" customWidth="1"/>
    <col min="11" max="11" width="14.36328125" bestFit="1" customWidth="1"/>
    <col min="12" max="12" width="10.1796875" bestFit="1" customWidth="1"/>
  </cols>
  <sheetData>
    <row r="2" spans="8:12" ht="15" thickBot="1" x14ac:dyDescent="0.4"/>
    <row r="3" spans="8:12" ht="15" thickBot="1" x14ac:dyDescent="0.4">
      <c r="H3" s="5" t="s">
        <v>4</v>
      </c>
      <c r="I3" s="6" t="s">
        <v>3</v>
      </c>
    </row>
    <row r="4" spans="8:12" ht="15" thickBot="1" x14ac:dyDescent="0.4">
      <c r="H4" s="7">
        <v>30</v>
      </c>
      <c r="I4" s="9">
        <v>10</v>
      </c>
    </row>
    <row r="6" spans="8:12" ht="15" thickBot="1" x14ac:dyDescent="0.4"/>
    <row r="7" spans="8:12" ht="15" thickBot="1" x14ac:dyDescent="0.4">
      <c r="H7" s="5" t="s">
        <v>1</v>
      </c>
      <c r="I7" s="5" t="s">
        <v>2</v>
      </c>
      <c r="J7" s="5" t="s">
        <v>16</v>
      </c>
      <c r="K7" s="5" t="s">
        <v>6</v>
      </c>
      <c r="L7" s="6" t="s">
        <v>7</v>
      </c>
    </row>
    <row r="8" spans="8:12" ht="15" thickBot="1" x14ac:dyDescent="0.4">
      <c r="H8" s="8" t="s">
        <v>0</v>
      </c>
      <c r="I8" s="7">
        <f>+H4/10</f>
        <v>3</v>
      </c>
      <c r="J8" s="7" t="s">
        <v>17</v>
      </c>
      <c r="K8" s="4">
        <v>19.73</v>
      </c>
      <c r="L8" s="4">
        <f t="shared" ref="L8:L17" si="0">+I8*K8</f>
        <v>59.19</v>
      </c>
    </row>
    <row r="9" spans="8:12" ht="15" thickBot="1" x14ac:dyDescent="0.4">
      <c r="H9" s="8" t="s">
        <v>5</v>
      </c>
      <c r="I9" s="7">
        <f>+I8-1</f>
        <v>2</v>
      </c>
      <c r="J9" s="7" t="s">
        <v>17</v>
      </c>
      <c r="K9" s="4">
        <v>5</v>
      </c>
      <c r="L9" s="4">
        <f t="shared" si="0"/>
        <v>10</v>
      </c>
    </row>
    <row r="10" spans="8:12" ht="15" thickBot="1" x14ac:dyDescent="0.4">
      <c r="H10" s="8" t="s">
        <v>8</v>
      </c>
      <c r="I10" s="7">
        <f>+ROUNDUP(SUM(H4,I4)/60,0)</f>
        <v>1</v>
      </c>
      <c r="J10" s="7" t="s">
        <v>17</v>
      </c>
      <c r="K10" s="4">
        <v>10</v>
      </c>
      <c r="L10" s="4">
        <f t="shared" si="0"/>
        <v>10</v>
      </c>
    </row>
    <row r="11" spans="8:12" ht="15" thickBot="1" x14ac:dyDescent="0.4">
      <c r="H11" s="8" t="s">
        <v>9</v>
      </c>
      <c r="I11" s="7">
        <v>1</v>
      </c>
      <c r="J11" s="7" t="s">
        <v>17</v>
      </c>
      <c r="K11" s="4">
        <v>12</v>
      </c>
      <c r="L11" s="4">
        <f t="shared" si="0"/>
        <v>12</v>
      </c>
    </row>
    <row r="12" spans="8:12" ht="15" thickBot="1" x14ac:dyDescent="0.4">
      <c r="H12" s="8" t="s">
        <v>10</v>
      </c>
      <c r="I12" s="7">
        <v>2</v>
      </c>
      <c r="J12" s="7" t="s">
        <v>17</v>
      </c>
      <c r="K12" s="4">
        <v>3</v>
      </c>
      <c r="L12" s="4">
        <f t="shared" si="0"/>
        <v>6</v>
      </c>
    </row>
    <row r="13" spans="8:12" ht="15" thickBot="1" x14ac:dyDescent="0.4">
      <c r="H13" s="8" t="s">
        <v>11</v>
      </c>
      <c r="I13" s="7">
        <v>1</v>
      </c>
      <c r="J13" s="7" t="s">
        <v>17</v>
      </c>
      <c r="K13" s="4">
        <v>30</v>
      </c>
      <c r="L13" s="4">
        <f t="shared" si="0"/>
        <v>30</v>
      </c>
    </row>
    <row r="14" spans="8:12" ht="15" thickBot="1" x14ac:dyDescent="0.4">
      <c r="H14" s="8" t="s">
        <v>12</v>
      </c>
      <c r="I14" s="7">
        <v>1</v>
      </c>
      <c r="J14" s="7" t="s">
        <v>17</v>
      </c>
      <c r="K14" s="4">
        <v>10</v>
      </c>
      <c r="L14" s="4">
        <f t="shared" si="0"/>
        <v>10</v>
      </c>
    </row>
    <row r="15" spans="8:12" ht="15" thickBot="1" x14ac:dyDescent="0.4">
      <c r="H15" s="8" t="s">
        <v>13</v>
      </c>
      <c r="I15" s="7">
        <f>+H4/2</f>
        <v>15</v>
      </c>
      <c r="J15" s="7" t="s">
        <v>17</v>
      </c>
      <c r="K15" s="4">
        <v>3</v>
      </c>
      <c r="L15" s="4">
        <f t="shared" si="0"/>
        <v>45</v>
      </c>
    </row>
    <row r="16" spans="8:12" ht="15" thickBot="1" x14ac:dyDescent="0.4">
      <c r="H16" s="8" t="s">
        <v>14</v>
      </c>
      <c r="I16" s="7">
        <f>+ROUNDUP(I4/3,0)</f>
        <v>4</v>
      </c>
      <c r="J16" s="7" t="s">
        <v>17</v>
      </c>
      <c r="K16" s="4">
        <v>2</v>
      </c>
      <c r="L16" s="4">
        <f t="shared" si="0"/>
        <v>8</v>
      </c>
    </row>
    <row r="17" spans="8:12" ht="15" thickBot="1" x14ac:dyDescent="0.4">
      <c r="H17" s="8" t="s">
        <v>15</v>
      </c>
      <c r="I17" s="7">
        <f>+H4+I4</f>
        <v>40</v>
      </c>
      <c r="J17" s="7" t="s">
        <v>18</v>
      </c>
      <c r="K17" s="4">
        <v>0.25</v>
      </c>
      <c r="L17" s="4">
        <f t="shared" si="0"/>
        <v>10</v>
      </c>
    </row>
    <row r="19" spans="8:12" x14ac:dyDescent="0.35">
      <c r="K19" t="s">
        <v>20</v>
      </c>
      <c r="L19" s="3">
        <f>+ROUND(SUM(L8:L17),0)</f>
        <v>200</v>
      </c>
    </row>
    <row r="20" spans="8:12" x14ac:dyDescent="0.35">
      <c r="K20" t="s">
        <v>21</v>
      </c>
      <c r="L20" s="1">
        <f>+L19/SUM(H4:I4)</f>
        <v>5</v>
      </c>
    </row>
    <row r="21" spans="8:12" x14ac:dyDescent="0.35">
      <c r="K21" t="s">
        <v>19</v>
      </c>
      <c r="L21" s="1">
        <v>10</v>
      </c>
    </row>
    <row r="22" spans="8:12" x14ac:dyDescent="0.35">
      <c r="K22" t="s">
        <v>22</v>
      </c>
      <c r="L22" s="3">
        <f>+SUM(L20:L21)</f>
        <v>15</v>
      </c>
    </row>
    <row r="31" spans="8:12" x14ac:dyDescent="0.35">
      <c r="K31" s="1"/>
      <c r="L31" s="1"/>
    </row>
    <row r="32" spans="8:12" x14ac:dyDescent="0.35">
      <c r="K32" s="1"/>
      <c r="L32" s="1"/>
    </row>
    <row r="33" spans="11:12" x14ac:dyDescent="0.35">
      <c r="K33" s="1"/>
      <c r="L33" s="1"/>
    </row>
    <row r="34" spans="11:12" x14ac:dyDescent="0.35">
      <c r="K34" s="1"/>
      <c r="L34" s="1"/>
    </row>
    <row r="35" spans="11:12" x14ac:dyDescent="0.35">
      <c r="K35" s="1"/>
      <c r="L35" s="1"/>
    </row>
    <row r="36" spans="11:12" x14ac:dyDescent="0.35">
      <c r="K36" s="1"/>
      <c r="L36" s="1"/>
    </row>
    <row r="37" spans="11:12" x14ac:dyDescent="0.35">
      <c r="K37" s="1"/>
      <c r="L37" s="1"/>
    </row>
    <row r="38" spans="11:12" x14ac:dyDescent="0.35">
      <c r="K38" s="1"/>
      <c r="L38" s="1"/>
    </row>
    <row r="39" spans="11:12" x14ac:dyDescent="0.35">
      <c r="K39" s="1"/>
      <c r="L39" s="1"/>
    </row>
    <row r="40" spans="11:12" x14ac:dyDescent="0.35">
      <c r="K40" s="1"/>
      <c r="L40" s="2"/>
    </row>
    <row r="42" spans="11:12" x14ac:dyDescent="0.35">
      <c r="L42" s="3"/>
    </row>
    <row r="43" spans="11:12" x14ac:dyDescent="0.35">
      <c r="L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Thaler</dc:creator>
  <cp:lastModifiedBy>Robert Thaler</cp:lastModifiedBy>
  <dcterms:created xsi:type="dcterms:W3CDTF">2025-10-16T14:49:04Z</dcterms:created>
  <dcterms:modified xsi:type="dcterms:W3CDTF">2025-10-16T16:05:27Z</dcterms:modified>
</cp:coreProperties>
</file>
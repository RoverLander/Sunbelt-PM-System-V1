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unbeltmod-my.sharepoint.com/personal/mitch_quintana_nwbsinc_com/Documents/Sunbelt Sales &amp; Praxis Training Materials/Calculators/When Needed/"/>
    </mc:Choice>
  </mc:AlternateContent>
  <xr:revisionPtr revIDLastSave="2" documentId="13_ncr:1_{30C4B2E4-69F4-41F8-8B8D-8755644A0C31}" xr6:coauthVersionLast="47" xr6:coauthVersionMax="47" xr10:uidLastSave="{3D8C9DBC-4509-4BC9-8ECD-71DAEE0F08C8}"/>
  <bookViews>
    <workbookView xWindow="-108" yWindow="-108" windowWidth="23256" windowHeight="12576" activeTab="2" xr2:uid="{00000000-000D-0000-FFFF-FFFF00000000}"/>
  </bookViews>
  <sheets>
    <sheet name="Axles (Hitch on Left)" sheetId="20" r:id="rId1"/>
    <sheet name="Axles (Hitch on Right)" sheetId="17" r:id="rId2"/>
    <sheet name="Weight" sheetId="16" r:id="rId3"/>
    <sheet name="Materials" sheetId="19" r:id="rId4"/>
    <sheet name="Assemblies" sheetId="1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9" i="16" l="1"/>
  <c r="B104" i="20" l="1"/>
  <c r="B104" i="17"/>
  <c r="F79" i="16"/>
  <c r="B64" i="19"/>
  <c r="B63" i="19"/>
  <c r="B121" i="19"/>
  <c r="B130" i="19" s="1"/>
  <c r="B94" i="19"/>
  <c r="B93" i="19"/>
  <c r="H52" i="16"/>
  <c r="P182" i="19"/>
  <c r="P181" i="19"/>
  <c r="F18" i="16"/>
  <c r="B132" i="19"/>
  <c r="B126" i="19" l="1"/>
  <c r="B123" i="19"/>
  <c r="F78" i="16" s="1"/>
  <c r="B122" i="19"/>
  <c r="B125" i="19"/>
  <c r="B124" i="19"/>
  <c r="B127" i="19"/>
  <c r="B128" i="19"/>
  <c r="B129" i="19"/>
  <c r="F34" i="18"/>
  <c r="F67" i="16"/>
  <c r="F66" i="16"/>
  <c r="L42" i="19" l="1"/>
  <c r="N42" i="19" s="1"/>
  <c r="L41" i="19"/>
  <c r="N41" i="19" s="1"/>
  <c r="L40" i="19"/>
  <c r="N40" i="19" s="1"/>
  <c r="L39" i="19"/>
  <c r="N39" i="19" s="1"/>
  <c r="L38" i="19"/>
  <c r="N38" i="19" s="1"/>
  <c r="F24" i="18"/>
  <c r="F81" i="16"/>
  <c r="F80" i="16"/>
  <c r="B141" i="19"/>
  <c r="B140" i="19"/>
  <c r="B139" i="19"/>
  <c r="B138" i="19"/>
  <c r="F82" i="16" s="1"/>
  <c r="E13" i="16"/>
  <c r="J211" i="19"/>
  <c r="J210" i="19"/>
  <c r="J224" i="19"/>
  <c r="J223" i="19"/>
  <c r="J222" i="19"/>
  <c r="J221" i="19"/>
  <c r="J220" i="19"/>
  <c r="J212" i="19"/>
  <c r="J202" i="19"/>
  <c r="J201" i="19"/>
  <c r="J200" i="19"/>
  <c r="J192" i="19"/>
  <c r="J191" i="19"/>
  <c r="J190" i="19"/>
  <c r="J182" i="19"/>
  <c r="J181" i="19"/>
  <c r="J180" i="19"/>
  <c r="J183" i="19"/>
  <c r="U180" i="19"/>
  <c r="U179" i="19"/>
  <c r="Z224" i="19"/>
  <c r="Z213" i="19"/>
  <c r="Z203" i="19"/>
  <c r="Z193" i="19"/>
  <c r="Z183" i="19"/>
  <c r="B100" i="19"/>
  <c r="B96" i="19"/>
  <c r="B97" i="19"/>
  <c r="B95" i="19"/>
  <c r="Z212" i="19" l="1"/>
  <c r="Q182" i="19"/>
  <c r="R183" i="19"/>
  <c r="M40" i="19"/>
  <c r="M39" i="19"/>
  <c r="M38" i="19"/>
  <c r="M41" i="19"/>
  <c r="M42" i="19"/>
  <c r="Z202" i="19"/>
  <c r="Z182" i="19"/>
  <c r="Z181" i="19"/>
  <c r="Z220" i="19"/>
  <c r="Z180" i="19"/>
  <c r="Z201" i="19"/>
  <c r="Z210" i="19"/>
  <c r="Z211" i="19"/>
  <c r="Z192" i="19"/>
  <c r="Z221" i="19"/>
  <c r="Z222" i="19"/>
  <c r="Z223" i="19"/>
  <c r="Z200" i="19"/>
  <c r="Z190" i="19"/>
  <c r="Z191" i="19"/>
  <c r="B109" i="19"/>
  <c r="Q181" i="19" l="1"/>
  <c r="R181" i="19" s="1"/>
  <c r="R182" i="19"/>
  <c r="Z226" i="19"/>
  <c r="Z227" i="19" s="1"/>
  <c r="A33" i="16"/>
  <c r="H55" i="16"/>
  <c r="J213" i="19"/>
  <c r="J203" i="19"/>
  <c r="J193" i="19"/>
  <c r="E79" i="18"/>
  <c r="G86" i="18" s="1"/>
  <c r="E60" i="18"/>
  <c r="E58" i="18" s="1"/>
  <c r="E41" i="18"/>
  <c r="R184" i="19" l="1"/>
  <c r="B198" i="19" s="1"/>
  <c r="E77" i="18"/>
  <c r="J226" i="19"/>
  <c r="J227" i="19" s="1"/>
  <c r="B195" i="19" s="1"/>
  <c r="L78" i="18"/>
  <c r="L77" i="18"/>
  <c r="F85" i="18"/>
  <c r="K79" i="19"/>
  <c r="G70" i="18"/>
  <c r="Q42" i="18"/>
  <c r="Q43" i="18"/>
  <c r="G51" i="18"/>
  <c r="Q41" i="18"/>
  <c r="Q40" i="18"/>
  <c r="K75" i="19"/>
  <c r="K78" i="19" s="1"/>
  <c r="H41" i="16"/>
  <c r="J185" i="19" l="1"/>
  <c r="J186" i="19" s="1"/>
  <c r="Z185" i="19"/>
  <c r="Z186" i="19" s="1"/>
  <c r="Z195" i="19"/>
  <c r="Z196" i="19" s="1"/>
  <c r="Z215" i="19"/>
  <c r="Z216" i="19" s="1"/>
  <c r="Z205" i="19"/>
  <c r="Z206" i="19" s="1"/>
  <c r="J205" i="19"/>
  <c r="J215" i="19"/>
  <c r="J216" i="19" s="1"/>
  <c r="J195" i="19"/>
  <c r="E84" i="18"/>
  <c r="E85" i="18"/>
  <c r="G85" i="18" s="1"/>
  <c r="E78" i="18"/>
  <c r="E82" i="18"/>
  <c r="F84" i="18"/>
  <c r="K77" i="19"/>
  <c r="K76" i="19"/>
  <c r="J196" i="19" l="1"/>
  <c r="B194" i="19" s="1"/>
  <c r="J206" i="19"/>
  <c r="B196" i="19" s="1"/>
  <c r="B193" i="19"/>
  <c r="F55" i="16" s="1"/>
  <c r="B197" i="19"/>
  <c r="G84" i="18"/>
  <c r="G87" i="18" s="1"/>
  <c r="G88" i="18" s="1"/>
  <c r="B68" i="19" s="1"/>
  <c r="B72" i="19" l="1"/>
  <c r="B75" i="19"/>
  <c r="B73" i="19"/>
  <c r="B74" i="19"/>
  <c r="B76" i="19"/>
  <c r="E34" i="16" l="1"/>
  <c r="E43" i="18" l="1"/>
  <c r="E62" i="18"/>
  <c r="E66" i="18"/>
  <c r="E69" i="18"/>
  <c r="E68" i="18"/>
  <c r="E67" i="18"/>
  <c r="E64" i="18"/>
  <c r="E65" i="18"/>
  <c r="E50" i="18"/>
  <c r="E49" i="18"/>
  <c r="E48" i="18"/>
  <c r="E47" i="18"/>
  <c r="E52" i="18"/>
  <c r="F65" i="18" l="1"/>
  <c r="E59" i="18" s="1"/>
  <c r="F68" i="18" s="1"/>
  <c r="G68" i="18" s="1"/>
  <c r="F52" i="18"/>
  <c r="G52" i="18" s="1"/>
  <c r="F64" i="18"/>
  <c r="G64" i="18" s="1"/>
  <c r="F67" i="18" l="1"/>
  <c r="G67" i="18" s="1"/>
  <c r="F69" i="18"/>
  <c r="G69" i="18" s="1"/>
  <c r="F66" i="18"/>
  <c r="G66" i="18" s="1"/>
  <c r="G65" i="18"/>
  <c r="G72" i="18" l="1"/>
  <c r="F46" i="18"/>
  <c r="E40" i="18" s="1"/>
  <c r="F45" i="18"/>
  <c r="E46" i="18"/>
  <c r="E45" i="18"/>
  <c r="J11" i="19"/>
  <c r="J8" i="19"/>
  <c r="J9" i="19"/>
  <c r="J10" i="19"/>
  <c r="K11" i="19"/>
  <c r="K10" i="19"/>
  <c r="K9" i="19"/>
  <c r="K8" i="19"/>
  <c r="J37" i="19"/>
  <c r="J7" i="19"/>
  <c r="J36" i="19"/>
  <c r="J6" i="19"/>
  <c r="J86" i="19"/>
  <c r="L86" i="19" s="1"/>
  <c r="J35" i="19"/>
  <c r="J5" i="19"/>
  <c r="J85" i="19"/>
  <c r="L85" i="19" s="1"/>
  <c r="B83" i="19" s="1"/>
  <c r="J34" i="19"/>
  <c r="J4" i="19"/>
  <c r="J84" i="19"/>
  <c r="L84" i="19" s="1"/>
  <c r="B117" i="19" s="1"/>
  <c r="L91" i="19"/>
  <c r="L90" i="19"/>
  <c r="L89" i="19"/>
  <c r="L88" i="19"/>
  <c r="L87" i="19"/>
  <c r="K37" i="19"/>
  <c r="K36" i="19"/>
  <c r="K35" i="19"/>
  <c r="K34" i="19"/>
  <c r="K7" i="19"/>
  <c r="K6" i="19"/>
  <c r="K5" i="19"/>
  <c r="K4" i="19"/>
  <c r="K86" i="19"/>
  <c r="K84" i="19"/>
  <c r="K85" i="19"/>
  <c r="B106" i="20"/>
  <c r="I99" i="20"/>
  <c r="G99" i="20"/>
  <c r="D93" i="20"/>
  <c r="D92" i="20"/>
  <c r="E91" i="20"/>
  <c r="I90" i="20"/>
  <c r="E90" i="20"/>
  <c r="G90" i="20" s="1"/>
  <c r="G89" i="20"/>
  <c r="E89" i="20"/>
  <c r="I89" i="20" s="1"/>
  <c r="E88" i="20"/>
  <c r="I88" i="20" s="1"/>
  <c r="I87" i="20"/>
  <c r="E87" i="20"/>
  <c r="G87" i="20" s="1"/>
  <c r="I86" i="20"/>
  <c r="G86" i="20"/>
  <c r="E86" i="20"/>
  <c r="I85" i="20"/>
  <c r="G85" i="20"/>
  <c r="E85" i="20"/>
  <c r="E81" i="20"/>
  <c r="I80" i="20"/>
  <c r="G80" i="20"/>
  <c r="I79" i="20"/>
  <c r="G79" i="20"/>
  <c r="I78" i="20"/>
  <c r="G78" i="20"/>
  <c r="I77" i="20"/>
  <c r="G77" i="20"/>
  <c r="I76" i="20"/>
  <c r="G76" i="20"/>
  <c r="I75" i="20"/>
  <c r="G75" i="20"/>
  <c r="I74" i="20"/>
  <c r="G74" i="20"/>
  <c r="I73" i="20"/>
  <c r="G73" i="20"/>
  <c r="I72" i="20"/>
  <c r="G72" i="20"/>
  <c r="I71" i="20"/>
  <c r="G71" i="20"/>
  <c r="I70" i="20"/>
  <c r="G70" i="20"/>
  <c r="I69" i="20"/>
  <c r="G69" i="20"/>
  <c r="I68" i="20"/>
  <c r="G68" i="20"/>
  <c r="I67" i="20"/>
  <c r="G67" i="20"/>
  <c r="I66" i="20"/>
  <c r="G66" i="20"/>
  <c r="I65" i="20"/>
  <c r="G65" i="20"/>
  <c r="I64" i="20"/>
  <c r="G64" i="20"/>
  <c r="I63" i="20"/>
  <c r="G63" i="20"/>
  <c r="I62" i="20"/>
  <c r="G62" i="20"/>
  <c r="I61" i="20"/>
  <c r="I81" i="20" s="1"/>
  <c r="G61" i="20"/>
  <c r="G81" i="20" s="1"/>
  <c r="C56" i="20"/>
  <c r="C55" i="20"/>
  <c r="C54" i="20"/>
  <c r="C53" i="20"/>
  <c r="C52" i="20"/>
  <c r="C51" i="20"/>
  <c r="C50" i="20"/>
  <c r="C49" i="20"/>
  <c r="C48" i="20"/>
  <c r="C47" i="20"/>
  <c r="C46" i="20"/>
  <c r="C45" i="20"/>
  <c r="C44" i="20"/>
  <c r="C43" i="20"/>
  <c r="C42" i="20"/>
  <c r="C41" i="20"/>
  <c r="C40" i="20"/>
  <c r="C39" i="20"/>
  <c r="C38" i="20"/>
  <c r="C37" i="20"/>
  <c r="C36" i="20"/>
  <c r="C35" i="20"/>
  <c r="C34" i="20"/>
  <c r="C33" i="20"/>
  <c r="C32" i="20"/>
  <c r="B27" i="20"/>
  <c r="E27" i="20" s="1"/>
  <c r="I27" i="20" s="1"/>
  <c r="B26" i="20"/>
  <c r="E26" i="20" s="1"/>
  <c r="I26" i="20" s="1"/>
  <c r="A25" i="20"/>
  <c r="A24" i="20"/>
  <c r="B2" i="20"/>
  <c r="F27" i="20" s="1"/>
  <c r="B1" i="20"/>
  <c r="D106" i="16"/>
  <c r="F96" i="16"/>
  <c r="F95" i="16"/>
  <c r="D93" i="17"/>
  <c r="B110" i="19"/>
  <c r="A4" i="18"/>
  <c r="F4" i="18" s="1"/>
  <c r="A17" i="18"/>
  <c r="F17" i="18" s="1"/>
  <c r="A21" i="16"/>
  <c r="H54" i="16"/>
  <c r="B30" i="19"/>
  <c r="B29" i="19"/>
  <c r="F29" i="16"/>
  <c r="C55" i="17"/>
  <c r="C54" i="17"/>
  <c r="C53" i="17"/>
  <c r="C52" i="17"/>
  <c r="C51" i="17"/>
  <c r="D92" i="17"/>
  <c r="B106" i="17"/>
  <c r="I99" i="17"/>
  <c r="G99" i="17"/>
  <c r="E87" i="17"/>
  <c r="I87" i="17" s="1"/>
  <c r="A25" i="17"/>
  <c r="A24" i="17"/>
  <c r="H10" i="20" l="1"/>
  <c r="C23" i="20"/>
  <c r="C22" i="20"/>
  <c r="C20" i="20"/>
  <c r="C21" i="20"/>
  <c r="C19" i="20"/>
  <c r="C18" i="20"/>
  <c r="C17" i="20"/>
  <c r="C16" i="20"/>
  <c r="C15" i="20"/>
  <c r="C14" i="20"/>
  <c r="L37" i="19"/>
  <c r="N37" i="19" s="1"/>
  <c r="L34" i="19"/>
  <c r="M34" i="19" s="1"/>
  <c r="L35" i="19"/>
  <c r="L36" i="19"/>
  <c r="N36" i="19" s="1"/>
  <c r="M4" i="19"/>
  <c r="L4" i="19"/>
  <c r="C25" i="17"/>
  <c r="C24" i="20"/>
  <c r="H24" i="20" s="1"/>
  <c r="C25" i="20"/>
  <c r="H25" i="20" s="1"/>
  <c r="C24" i="17"/>
  <c r="H24" i="17" s="1"/>
  <c r="M10" i="19"/>
  <c r="L10" i="19"/>
  <c r="L9" i="19"/>
  <c r="M9" i="19"/>
  <c r="M8" i="19"/>
  <c r="L8" i="19"/>
  <c r="L11" i="19"/>
  <c r="M11" i="19"/>
  <c r="M5" i="19"/>
  <c r="L5" i="19"/>
  <c r="B3" i="19" s="1"/>
  <c r="F2" i="18" s="1"/>
  <c r="L7" i="19"/>
  <c r="M7" i="19"/>
  <c r="M6" i="19"/>
  <c r="L6" i="19"/>
  <c r="G73" i="18"/>
  <c r="K74" i="19" s="1"/>
  <c r="B71" i="19" s="1"/>
  <c r="F26" i="20"/>
  <c r="G26" i="20" s="1"/>
  <c r="F25" i="20"/>
  <c r="F32" i="20"/>
  <c r="D6" i="20"/>
  <c r="F6" i="20"/>
  <c r="D10" i="20"/>
  <c r="F10" i="20"/>
  <c r="F14" i="20"/>
  <c r="C6" i="20"/>
  <c r="H6" i="20"/>
  <c r="G45" i="18"/>
  <c r="F50" i="18"/>
  <c r="G50" i="18" s="1"/>
  <c r="F47" i="18"/>
  <c r="G47" i="18" s="1"/>
  <c r="F48" i="18"/>
  <c r="G48" i="18" s="1"/>
  <c r="F49" i="18"/>
  <c r="G49" i="18" s="1"/>
  <c r="G46" i="18"/>
  <c r="B119" i="19"/>
  <c r="B89" i="19"/>
  <c r="B88" i="19"/>
  <c r="B87" i="19"/>
  <c r="B86" i="19"/>
  <c r="B85" i="19"/>
  <c r="B118" i="19"/>
  <c r="B120" i="19"/>
  <c r="B84" i="19"/>
  <c r="G27" i="20"/>
  <c r="I91" i="20"/>
  <c r="G98" i="20"/>
  <c r="B105" i="20"/>
  <c r="H113" i="20" s="1"/>
  <c r="H98" i="20"/>
  <c r="I98" i="20" s="1"/>
  <c r="F24" i="20"/>
  <c r="G88" i="20"/>
  <c r="G91" i="20" s="1"/>
  <c r="B109" i="20"/>
  <c r="C10" i="20"/>
  <c r="F15" i="20"/>
  <c r="F109" i="20"/>
  <c r="F33" i="20"/>
  <c r="G87" i="17"/>
  <c r="M35" i="19" l="1"/>
  <c r="N35" i="19"/>
  <c r="F43" i="16" s="1"/>
  <c r="M36" i="19"/>
  <c r="N34" i="19"/>
  <c r="M37" i="19"/>
  <c r="B33" i="19"/>
  <c r="B41" i="19" s="1"/>
  <c r="F42" i="16"/>
  <c r="N4" i="19"/>
  <c r="B34" i="19"/>
  <c r="B35" i="19"/>
  <c r="B37" i="19"/>
  <c r="B36" i="19"/>
  <c r="B38" i="19"/>
  <c r="N7" i="19"/>
  <c r="N11" i="19"/>
  <c r="N9" i="19"/>
  <c r="N6" i="19"/>
  <c r="N5" i="19"/>
  <c r="F30" i="16" s="1"/>
  <c r="N8" i="19"/>
  <c r="N10" i="19"/>
  <c r="B5" i="19"/>
  <c r="F24" i="16" s="1"/>
  <c r="B9" i="19"/>
  <c r="B10" i="19"/>
  <c r="B4" i="19"/>
  <c r="B8" i="19"/>
  <c r="B7" i="19"/>
  <c r="B6" i="19"/>
  <c r="G54" i="18"/>
  <c r="H114" i="20"/>
  <c r="B40" i="19" l="1"/>
  <c r="B39" i="19"/>
  <c r="G55" i="18"/>
  <c r="K73" i="19" s="1"/>
  <c r="B27" i="19"/>
  <c r="B108" i="19"/>
  <c r="B98" i="19"/>
  <c r="B92" i="19"/>
  <c r="B52" i="19"/>
  <c r="B51" i="19"/>
  <c r="B55" i="19"/>
  <c r="B54" i="19"/>
  <c r="B53" i="19"/>
  <c r="B69" i="19" l="1"/>
  <c r="B24" i="20" s="1"/>
  <c r="F54" i="16"/>
  <c r="F53" i="16"/>
  <c r="B25" i="20" l="1"/>
  <c r="B25" i="17"/>
  <c r="B70" i="19"/>
  <c r="B24" i="17"/>
  <c r="F11" i="18"/>
  <c r="F39" i="16" l="1"/>
  <c r="F26" i="16"/>
  <c r="F44" i="16"/>
  <c r="F83" i="16"/>
  <c r="F64" i="16"/>
  <c r="B1" i="17"/>
  <c r="C17" i="17" l="1"/>
  <c r="C16" i="17"/>
  <c r="C14" i="17"/>
  <c r="C21" i="17"/>
  <c r="C15" i="17"/>
  <c r="C19" i="17"/>
  <c r="C23" i="17"/>
  <c r="C18" i="17"/>
  <c r="C22" i="17"/>
  <c r="C20" i="17"/>
  <c r="B105" i="17"/>
  <c r="H25" i="17"/>
  <c r="B2" i="17"/>
  <c r="F14" i="17" l="1"/>
  <c r="B109" i="17"/>
  <c r="C56" i="17" l="1"/>
  <c r="C50" i="17"/>
  <c r="C49" i="17"/>
  <c r="C48" i="17"/>
  <c r="C47" i="17"/>
  <c r="C46" i="17"/>
  <c r="C45" i="17"/>
  <c r="C44" i="17"/>
  <c r="C43" i="17"/>
  <c r="C42" i="17"/>
  <c r="C41" i="17"/>
  <c r="C40" i="17"/>
  <c r="C39" i="17"/>
  <c r="C38" i="17"/>
  <c r="C37" i="17"/>
  <c r="B22" i="19" l="1"/>
  <c r="B27" i="17" l="1"/>
  <c r="E27" i="17" s="1"/>
  <c r="B26" i="17"/>
  <c r="E26" i="17" s="1"/>
  <c r="I26" i="17" l="1"/>
  <c r="I27" i="17"/>
  <c r="B23" i="19"/>
  <c r="B13" i="19"/>
  <c r="B16" i="19"/>
  <c r="B111" i="19"/>
  <c r="F69" i="16" s="1"/>
  <c r="F68" i="16"/>
  <c r="F97" i="16"/>
  <c r="J97" i="16" s="1"/>
  <c r="F52" i="16"/>
  <c r="J56" i="16" s="1"/>
  <c r="F45" i="16"/>
  <c r="F35" i="18"/>
  <c r="F33" i="18"/>
  <c r="F29" i="18"/>
  <c r="F28" i="18"/>
  <c r="F27" i="18"/>
  <c r="F26" i="18"/>
  <c r="F25" i="18"/>
  <c r="F23" i="18"/>
  <c r="F19" i="18"/>
  <c r="F18" i="18"/>
  <c r="F16" i="18"/>
  <c r="F15" i="18"/>
  <c r="F14" i="18"/>
  <c r="F13" i="18"/>
  <c r="F12" i="18"/>
  <c r="F7" i="18"/>
  <c r="F6" i="18"/>
  <c r="F5" i="18"/>
  <c r="F3" i="18"/>
  <c r="F77" i="16"/>
  <c r="B99" i="19"/>
  <c r="B91" i="19"/>
  <c r="B142" i="19"/>
  <c r="B48" i="19"/>
  <c r="B47" i="19"/>
  <c r="F40" i="16" s="1"/>
  <c r="B46" i="19"/>
  <c r="B45" i="19"/>
  <c r="B44" i="19"/>
  <c r="B43" i="19"/>
  <c r="F36" i="16"/>
  <c r="B25" i="19"/>
  <c r="F28" i="16" s="1"/>
  <c r="B26" i="19"/>
  <c r="B24" i="19"/>
  <c r="F27" i="16"/>
  <c r="B12" i="19"/>
  <c r="F25" i="16" s="1"/>
  <c r="B177" i="19"/>
  <c r="B176" i="19"/>
  <c r="B175" i="19"/>
  <c r="B174" i="19"/>
  <c r="F20" i="18" l="1"/>
  <c r="F38" i="16"/>
  <c r="F37" i="16"/>
  <c r="F65" i="16"/>
  <c r="B6" i="20"/>
  <c r="E6" i="20" s="1"/>
  <c r="I6" i="20" l="1"/>
  <c r="G6" i="20"/>
  <c r="F41" i="16" l="1"/>
  <c r="F36" i="18"/>
  <c r="C75" i="16" s="1"/>
  <c r="J84" i="16" s="1"/>
  <c r="F8" i="18"/>
  <c r="C22" i="16" s="1"/>
  <c r="J31" i="16" s="1"/>
  <c r="B10" i="20" l="1"/>
  <c r="E10" i="20" s="1"/>
  <c r="E25" i="20"/>
  <c r="E24" i="20"/>
  <c r="B41" i="20"/>
  <c r="E41" i="20" s="1"/>
  <c r="B54" i="20"/>
  <c r="E54" i="20" s="1"/>
  <c r="B47" i="20"/>
  <c r="E47" i="20" s="1"/>
  <c r="B40" i="20"/>
  <c r="E40" i="20" s="1"/>
  <c r="B53" i="20"/>
  <c r="E53" i="20" s="1"/>
  <c r="B39" i="20"/>
  <c r="E39" i="20" s="1"/>
  <c r="B52" i="20"/>
  <c r="E52" i="20" s="1"/>
  <c r="B46" i="20"/>
  <c r="E46" i="20" s="1"/>
  <c r="B38" i="20"/>
  <c r="E38" i="20" s="1"/>
  <c r="B49" i="20"/>
  <c r="E49" i="20" s="1"/>
  <c r="B42" i="20"/>
  <c r="E42" i="20" s="1"/>
  <c r="B51" i="20"/>
  <c r="E51" i="20" s="1"/>
  <c r="B50" i="20"/>
  <c r="E50" i="20" s="1"/>
  <c r="B43" i="20"/>
  <c r="E43" i="20" s="1"/>
  <c r="B45" i="20"/>
  <c r="E45" i="20" s="1"/>
  <c r="B37" i="20"/>
  <c r="E37" i="20" s="1"/>
  <c r="B36" i="20"/>
  <c r="E36" i="20" s="1"/>
  <c r="B56" i="20"/>
  <c r="E56" i="20" s="1"/>
  <c r="B44" i="20"/>
  <c r="E44" i="20" s="1"/>
  <c r="B55" i="20"/>
  <c r="E55" i="20" s="1"/>
  <c r="B48" i="20"/>
  <c r="E48" i="20" s="1"/>
  <c r="B53" i="17"/>
  <c r="E53" i="17" s="1"/>
  <c r="B54" i="17"/>
  <c r="E54" i="17" s="1"/>
  <c r="B55" i="17"/>
  <c r="E55" i="17" s="1"/>
  <c r="B52" i="17"/>
  <c r="E52" i="17" s="1"/>
  <c r="B51" i="17"/>
  <c r="E51" i="17" s="1"/>
  <c r="E25" i="17"/>
  <c r="I25" i="17" s="1"/>
  <c r="F30" i="18"/>
  <c r="C62" i="16" s="1"/>
  <c r="J71" i="16" s="1"/>
  <c r="C34" i="16"/>
  <c r="J47" i="16" s="1"/>
  <c r="J58" i="16" s="1"/>
  <c r="B14" i="17" l="1"/>
  <c r="I10" i="20"/>
  <c r="G10" i="20"/>
  <c r="I24" i="20"/>
  <c r="G24" i="20"/>
  <c r="I25" i="20"/>
  <c r="G25" i="20"/>
  <c r="I52" i="20"/>
  <c r="G52" i="20"/>
  <c r="I48" i="20"/>
  <c r="G48" i="20"/>
  <c r="G41" i="20"/>
  <c r="I41" i="20"/>
  <c r="I51" i="20"/>
  <c r="G51" i="20"/>
  <c r="G49" i="20"/>
  <c r="I49" i="20"/>
  <c r="I38" i="20"/>
  <c r="G38" i="20"/>
  <c r="I39" i="20"/>
  <c r="G39" i="20"/>
  <c r="I56" i="20"/>
  <c r="G56" i="20"/>
  <c r="I46" i="20"/>
  <c r="G46" i="20"/>
  <c r="G53" i="20"/>
  <c r="I53" i="20"/>
  <c r="I47" i="20"/>
  <c r="G47" i="20"/>
  <c r="I45" i="20"/>
  <c r="G45" i="20"/>
  <c r="I42" i="20"/>
  <c r="G42" i="20"/>
  <c r="G40" i="20"/>
  <c r="I40" i="20"/>
  <c r="I44" i="20"/>
  <c r="G44" i="20"/>
  <c r="I36" i="20"/>
  <c r="G36" i="20"/>
  <c r="G43" i="20"/>
  <c r="I43" i="20"/>
  <c r="G55" i="20"/>
  <c r="I55" i="20"/>
  <c r="G54" i="20"/>
  <c r="I54" i="20"/>
  <c r="I37" i="20"/>
  <c r="G37" i="20"/>
  <c r="I50" i="20"/>
  <c r="G50" i="20"/>
  <c r="I52" i="17"/>
  <c r="G52" i="17"/>
  <c r="I54" i="17"/>
  <c r="G54" i="17"/>
  <c r="G51" i="17"/>
  <c r="I51" i="17"/>
  <c r="I55" i="17"/>
  <c r="G55" i="17"/>
  <c r="I53" i="17"/>
  <c r="G53" i="17"/>
  <c r="E24" i="17"/>
  <c r="B16" i="20" l="1"/>
  <c r="E16" i="20" s="1"/>
  <c r="I16" i="20" s="1"/>
  <c r="B19" i="17"/>
  <c r="B18" i="17"/>
  <c r="B20" i="17"/>
  <c r="B15" i="20"/>
  <c r="E15" i="20" s="1"/>
  <c r="G15" i="20" s="1"/>
  <c r="B17" i="20"/>
  <c r="E17" i="20" s="1"/>
  <c r="G17" i="20" s="1"/>
  <c r="B21" i="17"/>
  <c r="B19" i="20"/>
  <c r="E19" i="20" s="1"/>
  <c r="I19" i="20" s="1"/>
  <c r="B22" i="17"/>
  <c r="B15" i="17"/>
  <c r="B18" i="20"/>
  <c r="E18" i="20" s="1"/>
  <c r="G18" i="20" s="1"/>
  <c r="B23" i="17"/>
  <c r="B20" i="20"/>
  <c r="E20" i="20" s="1"/>
  <c r="G20" i="20" s="1"/>
  <c r="B22" i="20"/>
  <c r="E22" i="20" s="1"/>
  <c r="G22" i="20" s="1"/>
  <c r="B21" i="20"/>
  <c r="E21" i="20" s="1"/>
  <c r="G21" i="20" s="1"/>
  <c r="B23" i="20"/>
  <c r="E23" i="20" s="1"/>
  <c r="G23" i="20" s="1"/>
  <c r="B14" i="20"/>
  <c r="E14" i="20" s="1"/>
  <c r="G14" i="20" s="1"/>
  <c r="B16" i="17"/>
  <c r="B17" i="17"/>
  <c r="I24" i="17"/>
  <c r="C36" i="17"/>
  <c r="C32" i="17"/>
  <c r="C35" i="17"/>
  <c r="C34" i="17"/>
  <c r="C33" i="17"/>
  <c r="G16" i="20" l="1"/>
  <c r="I17" i="20"/>
  <c r="I15" i="20"/>
  <c r="I18" i="20"/>
  <c r="G19" i="20"/>
  <c r="I20" i="20"/>
  <c r="E28" i="20"/>
  <c r="I14" i="20"/>
  <c r="I21" i="20"/>
  <c r="I23" i="20"/>
  <c r="I22" i="20"/>
  <c r="H114" i="17"/>
  <c r="H6" i="17"/>
  <c r="H113" i="17"/>
  <c r="F27" i="17"/>
  <c r="G27" i="17" s="1"/>
  <c r="F26" i="17"/>
  <c r="G26" i="17" s="1"/>
  <c r="F24" i="17"/>
  <c r="G24" i="17" s="1"/>
  <c r="F25" i="17"/>
  <c r="G25" i="17" s="1"/>
  <c r="E23" i="17"/>
  <c r="E22" i="17"/>
  <c r="F33" i="17"/>
  <c r="F15" i="17"/>
  <c r="F32" i="17"/>
  <c r="F109" i="17"/>
  <c r="F98" i="17"/>
  <c r="G98" i="17" s="1"/>
  <c r="H98" i="17"/>
  <c r="I98" i="17" s="1"/>
  <c r="E90" i="17"/>
  <c r="I90" i="17" s="1"/>
  <c r="E89" i="17"/>
  <c r="I89" i="17" s="1"/>
  <c r="E88" i="17"/>
  <c r="I88" i="17" s="1"/>
  <c r="E86" i="17"/>
  <c r="I86" i="17" s="1"/>
  <c r="E85" i="17"/>
  <c r="G85" i="17" s="1"/>
  <c r="E81" i="17"/>
  <c r="I80" i="17"/>
  <c r="G80" i="17"/>
  <c r="I79" i="17"/>
  <c r="G79" i="17"/>
  <c r="I78" i="17"/>
  <c r="G78" i="17"/>
  <c r="I77" i="17"/>
  <c r="G77" i="17"/>
  <c r="I76" i="17"/>
  <c r="G76" i="17"/>
  <c r="I75" i="17"/>
  <c r="G75" i="17"/>
  <c r="I74" i="17"/>
  <c r="G74" i="17"/>
  <c r="I73" i="17"/>
  <c r="G73" i="17"/>
  <c r="I72" i="17"/>
  <c r="G72" i="17"/>
  <c r="I71" i="17"/>
  <c r="G71" i="17"/>
  <c r="I70" i="17"/>
  <c r="G70" i="17"/>
  <c r="I69" i="17"/>
  <c r="G69" i="17"/>
  <c r="I68" i="17"/>
  <c r="G68" i="17"/>
  <c r="I67" i="17"/>
  <c r="G67" i="17"/>
  <c r="I66" i="17"/>
  <c r="G66" i="17"/>
  <c r="I65" i="17"/>
  <c r="G65" i="17"/>
  <c r="I64" i="17"/>
  <c r="G64" i="17"/>
  <c r="I63" i="17"/>
  <c r="G63" i="17"/>
  <c r="I62" i="17"/>
  <c r="G62" i="17"/>
  <c r="I61" i="17"/>
  <c r="G61" i="17"/>
  <c r="H10" i="17"/>
  <c r="F10" i="17"/>
  <c r="D10" i="17"/>
  <c r="C10" i="17"/>
  <c r="F6" i="17"/>
  <c r="D6" i="17"/>
  <c r="C6" i="17"/>
  <c r="G28" i="20" l="1"/>
  <c r="I28" i="20"/>
  <c r="G22" i="17"/>
  <c r="I22" i="17"/>
  <c r="G23" i="17"/>
  <c r="I23" i="17"/>
  <c r="G89" i="17"/>
  <c r="G81" i="17"/>
  <c r="G86" i="17"/>
  <c r="I81" i="17"/>
  <c r="E91" i="17"/>
  <c r="G88" i="17"/>
  <c r="G90" i="17"/>
  <c r="I85" i="17"/>
  <c r="I91" i="17" s="1"/>
  <c r="G91" i="17" l="1"/>
  <c r="E101" i="16"/>
  <c r="E103" i="16" s="1"/>
  <c r="B34" i="20" l="1"/>
  <c r="E34" i="20" s="1"/>
  <c r="B33" i="20"/>
  <c r="E33" i="20" s="1"/>
  <c r="B32" i="20"/>
  <c r="E32" i="20" s="1"/>
  <c r="B35" i="20"/>
  <c r="E35" i="20" s="1"/>
  <c r="B48" i="17"/>
  <c r="E48" i="17" s="1"/>
  <c r="B36" i="17"/>
  <c r="E36" i="17" s="1"/>
  <c r="B47" i="17"/>
  <c r="E47" i="17" s="1"/>
  <c r="B42" i="17"/>
  <c r="E42" i="17" s="1"/>
  <c r="B45" i="17"/>
  <c r="E45" i="17" s="1"/>
  <c r="B44" i="17"/>
  <c r="E44" i="17" s="1"/>
  <c r="B43" i="17"/>
  <c r="E43" i="17" s="1"/>
  <c r="B56" i="17"/>
  <c r="E56" i="17" s="1"/>
  <c r="B49" i="17"/>
  <c r="E49" i="17" s="1"/>
  <c r="B46" i="17"/>
  <c r="E46" i="17" s="1"/>
  <c r="B40" i="17"/>
  <c r="E40" i="17" s="1"/>
  <c r="B50" i="17"/>
  <c r="E50" i="17" s="1"/>
  <c r="B37" i="17"/>
  <c r="E37" i="17" s="1"/>
  <c r="B38" i="17"/>
  <c r="E38" i="17" s="1"/>
  <c r="B41" i="17"/>
  <c r="E41" i="17" s="1"/>
  <c r="B39" i="17"/>
  <c r="E39" i="17" s="1"/>
  <c r="B35" i="17"/>
  <c r="E35" i="17" s="1"/>
  <c r="B32" i="17"/>
  <c r="E32" i="17" s="1"/>
  <c r="B33" i="17"/>
  <c r="E33" i="17" s="1"/>
  <c r="B34" i="17"/>
  <c r="E34" i="17" s="1"/>
  <c r="B10" i="17"/>
  <c r="E10" i="17" s="1"/>
  <c r="B6" i="17"/>
  <c r="E6" i="17" s="1"/>
  <c r="E19" i="17"/>
  <c r="E18" i="17"/>
  <c r="E17" i="17"/>
  <c r="E21" i="17"/>
  <c r="E16" i="17"/>
  <c r="E15" i="17"/>
  <c r="E14" i="17"/>
  <c r="E20" i="17"/>
  <c r="E104" i="16"/>
  <c r="I35" i="20" l="1"/>
  <c r="G35" i="20"/>
  <c r="I32" i="20"/>
  <c r="G32" i="20"/>
  <c r="E57" i="20"/>
  <c r="I33" i="20"/>
  <c r="G33" i="20"/>
  <c r="I34" i="20"/>
  <c r="G34" i="20"/>
  <c r="I37" i="17"/>
  <c r="G37" i="17"/>
  <c r="I45" i="17"/>
  <c r="G45" i="17"/>
  <c r="I50" i="17"/>
  <c r="G50" i="17"/>
  <c r="I40" i="17"/>
  <c r="G40" i="17"/>
  <c r="I41" i="17"/>
  <c r="G41" i="17"/>
  <c r="I46" i="17"/>
  <c r="G46" i="17"/>
  <c r="I42" i="17"/>
  <c r="G42" i="17"/>
  <c r="I49" i="17"/>
  <c r="G49" i="17"/>
  <c r="I39" i="17"/>
  <c r="G39" i="17"/>
  <c r="G56" i="17"/>
  <c r="I56" i="17"/>
  <c r="I38" i="17"/>
  <c r="G38" i="17"/>
  <c r="I47" i="17"/>
  <c r="G47" i="17"/>
  <c r="I43" i="17"/>
  <c r="G43" i="17"/>
  <c r="I44" i="17"/>
  <c r="G44" i="17"/>
  <c r="I48" i="17"/>
  <c r="G48" i="17"/>
  <c r="E28" i="17"/>
  <c r="E101" i="17" s="1"/>
  <c r="I36" i="17"/>
  <c r="G36" i="17"/>
  <c r="I34" i="17"/>
  <c r="G34" i="17"/>
  <c r="G33" i="17"/>
  <c r="I33" i="17"/>
  <c r="I35" i="17"/>
  <c r="G35" i="17"/>
  <c r="I32" i="17"/>
  <c r="G32" i="17"/>
  <c r="E57" i="17"/>
  <c r="G10" i="17"/>
  <c r="I10" i="17"/>
  <c r="G6" i="17"/>
  <c r="I6" i="17"/>
  <c r="G19" i="17"/>
  <c r="I19" i="17"/>
  <c r="G16" i="17"/>
  <c r="I16" i="17"/>
  <c r="I18" i="17"/>
  <c r="G18" i="17"/>
  <c r="I15" i="17"/>
  <c r="G15" i="17"/>
  <c r="I21" i="17"/>
  <c r="G21" i="17"/>
  <c r="I14" i="17"/>
  <c r="G14" i="17"/>
  <c r="G20" i="17"/>
  <c r="I20" i="17"/>
  <c r="I17" i="17"/>
  <c r="G17" i="17"/>
  <c r="E101" i="20" l="1"/>
  <c r="E102" i="20"/>
  <c r="G57" i="20"/>
  <c r="I57" i="20"/>
  <c r="I101" i="20" s="1"/>
  <c r="E102" i="17"/>
  <c r="G28" i="17"/>
  <c r="I28" i="17"/>
  <c r="I57" i="17"/>
  <c r="G57" i="17"/>
  <c r="H101" i="20" l="1"/>
  <c r="G101" i="20"/>
  <c r="F101" i="20" s="1"/>
  <c r="G102" i="20"/>
  <c r="F102" i="20" s="1"/>
  <c r="B111" i="20"/>
  <c r="G101" i="17"/>
  <c r="F101" i="17" s="1"/>
  <c r="B111" i="17" s="1"/>
  <c r="B110" i="17" s="1"/>
  <c r="G102" i="17"/>
  <c r="F102" i="17" s="1"/>
  <c r="I101" i="17"/>
  <c r="H101" i="17" s="1"/>
  <c r="E113" i="20" l="1"/>
  <c r="I113" i="20" s="1"/>
  <c r="B110" i="20"/>
  <c r="B112" i="20" s="1"/>
  <c r="C112" i="20" s="1"/>
  <c r="B112" i="17"/>
  <c r="C112" i="17" s="1"/>
  <c r="E113" i="17"/>
  <c r="I113" i="17" s="1"/>
  <c r="E114" i="20" l="1"/>
  <c r="I114" i="20" s="1"/>
  <c r="J114" i="20" s="1"/>
  <c r="J113" i="20"/>
  <c r="E114" i="17"/>
  <c r="J113" i="17"/>
  <c r="I114" i="17" l="1"/>
  <c r="J114" i="17" s="1"/>
  <c r="B108" i="20"/>
  <c r="H7" i="20" s="1"/>
  <c r="I7" i="20" s="1"/>
  <c r="I102" i="20" s="1"/>
  <c r="H102" i="20" s="1"/>
  <c r="B108" i="17" l="1"/>
  <c r="H109" i="17" s="1"/>
  <c r="H116" i="20"/>
  <c r="H109" i="20"/>
  <c r="H117" i="20"/>
  <c r="H116" i="17" l="1"/>
  <c r="H117" i="17"/>
  <c r="H7" i="17"/>
  <c r="I7" i="17" s="1"/>
  <c r="I102" i="17" s="1"/>
  <c r="H102" i="17" s="1"/>
  <c r="E116" i="20"/>
  <c r="I116" i="20" s="1"/>
  <c r="J116" i="20" s="1"/>
  <c r="E116" i="17" l="1"/>
  <c r="E117" i="17" s="1"/>
  <c r="I117" i="17" s="1"/>
  <c r="J117" i="17" s="1"/>
  <c r="E117" i="20"/>
  <c r="I117" i="20" s="1"/>
  <c r="J117" i="20" s="1"/>
  <c r="I116" i="17" l="1"/>
  <c r="J116" i="17" s="1"/>
  <c r="E106" i="16"/>
  <c r="E107" i="16" s="1"/>
  <c r="E108" i="16" s="1"/>
</calcChain>
</file>

<file path=xl/sharedStrings.xml><?xml version="1.0" encoding="utf-8"?>
<sst xmlns="http://schemas.openxmlformats.org/spreadsheetml/2006/main" count="1123" uniqueCount="492">
  <si>
    <t>Floor</t>
  </si>
  <si>
    <t>Roof</t>
  </si>
  <si>
    <t>Cabinets</t>
  </si>
  <si>
    <t>HVAC</t>
  </si>
  <si>
    <t>Chassis</t>
  </si>
  <si>
    <t>Length</t>
  </si>
  <si>
    <t>Hitch Length</t>
  </si>
  <si>
    <t>ft</t>
  </si>
  <si>
    <t>lbs</t>
  </si>
  <si>
    <t>Width</t>
  </si>
  <si>
    <t>Post 1</t>
  </si>
  <si>
    <t>Post 2</t>
  </si>
  <si>
    <t>Post 3</t>
  </si>
  <si>
    <t>Post 4</t>
  </si>
  <si>
    <t>in</t>
  </si>
  <si>
    <t>Walls</t>
  </si>
  <si>
    <t>PSF</t>
  </si>
  <si>
    <t>Hieght</t>
  </si>
  <si>
    <t>X</t>
  </si>
  <si>
    <t>Y</t>
  </si>
  <si>
    <t>Load (P)</t>
  </si>
  <si>
    <t>X*P</t>
  </si>
  <si>
    <t>Y*P</t>
  </si>
  <si>
    <t>Bearing Wall</t>
  </si>
  <si>
    <t>Post 5</t>
  </si>
  <si>
    <t>Post 6</t>
  </si>
  <si>
    <t>Module Width</t>
  </si>
  <si>
    <t>Module Length</t>
  </si>
  <si>
    <t>Totals</t>
  </si>
  <si>
    <t>Plumbing Fixtures</t>
  </si>
  <si>
    <t>PLF</t>
  </si>
  <si>
    <t>Main Rail Spacing</t>
  </si>
  <si>
    <t>Length/Axle Factor</t>
  </si>
  <si>
    <t>Hitch Weight</t>
  </si>
  <si>
    <t>Axle Weight</t>
  </si>
  <si>
    <t>Axle Offset</t>
  </si>
  <si>
    <t>inches</t>
  </si>
  <si>
    <t>Tire (Y1)</t>
  </si>
  <si>
    <t>Tire (Y2)</t>
  </si>
  <si>
    <t>Number of Axles</t>
  </si>
  <si>
    <t>Capacity of tires</t>
  </si>
  <si>
    <t>Upper 1</t>
  </si>
  <si>
    <t>Upper 2</t>
  </si>
  <si>
    <t>Base 1</t>
  </si>
  <si>
    <t>Base 2</t>
  </si>
  <si>
    <t>Base 3</t>
  </si>
  <si>
    <t>MODULE WEIGHT WORKSHEET</t>
  </si>
  <si>
    <t xml:space="preserve">THE INTENT OF THIS WORKSHEET IS TO GIVE THE USER AN APPROXIMATION OF THE </t>
  </si>
  <si>
    <t xml:space="preserve">OVERALL MODULE WEIGHT AND AN APPROXIMATION OF THE NUMBER OF AXLES AND </t>
  </si>
  <si>
    <t>TIRES REQUIRED. THIS IS ONLY A ROUGH ESTIMATE.</t>
  </si>
  <si>
    <t>BASIC INFO:</t>
  </si>
  <si>
    <t>Module Width:</t>
  </si>
  <si>
    <t>ft.</t>
  </si>
  <si>
    <t>Module Length:</t>
  </si>
  <si>
    <t>Sidewall Height:</t>
  </si>
  <si>
    <t>ft. (Use 8' for mono pitched roofs and 12' for complex, 10' single wides)</t>
  </si>
  <si>
    <t>Endwall Height:</t>
  </si>
  <si>
    <t>ft. (Use 10.5' for mono pitched roofs and 12' for complex, 10' single wides)</t>
  </si>
  <si>
    <t>Interior Partition Length:</t>
  </si>
  <si>
    <t>Interior Partition Height:</t>
  </si>
  <si>
    <t>Base Cabinet Length:</t>
  </si>
  <si>
    <t>Overhead Cabinet Length:</t>
  </si>
  <si>
    <t>Single Wide?</t>
  </si>
  <si>
    <t>(Y = Single Wide or N = Multi-wide)</t>
  </si>
  <si>
    <t>Sidewall Module?</t>
  </si>
  <si>
    <t>(Y = Sidewall Module, N = Interior Module)(Must be "Y" if Single Wide.)</t>
  </si>
  <si>
    <t xml:space="preserve">FLOOR: </t>
  </si>
  <si>
    <t>Base Weight =</t>
  </si>
  <si>
    <t>psf</t>
  </si>
  <si>
    <t>psf (1.33 for 12" o.c., 0.67 for 24" o.c.)</t>
  </si>
  <si>
    <t>1-1/8" Floor Decking:</t>
  </si>
  <si>
    <t>Revised Weight:</t>
  </si>
  <si>
    <t>ROOF:</t>
  </si>
  <si>
    <t>Standing Seam Roofing:</t>
  </si>
  <si>
    <t>Ashpalt Shingles:</t>
  </si>
  <si>
    <t>CHASSIS:</t>
  </si>
  <si>
    <t>(Base Chassis includes 12" I-beams with 8' o.c. outriggers and crossmembers)</t>
  </si>
  <si>
    <t>4' o.c. Outriggers and Crossmembers:</t>
  </si>
  <si>
    <t>(For concrete floor all other chassis values should be 0)</t>
  </si>
  <si>
    <t>Intermediate Value:</t>
  </si>
  <si>
    <t>EXTERIOR WALLS:</t>
  </si>
  <si>
    <t>1/4" Paneling:</t>
  </si>
  <si>
    <t>INTERIOR WALLS:</t>
  </si>
  <si>
    <t>PLUMBING FIXTURES:</t>
  </si>
  <si>
    <t>Number of Water Closets:</t>
  </si>
  <si>
    <t>Number of Lavatories:</t>
  </si>
  <si>
    <t>Number of Urinals:</t>
  </si>
  <si>
    <t>Total Fixture Weight:</t>
  </si>
  <si>
    <t>Results:</t>
  </si>
  <si>
    <t>Total Building Weight:</t>
  </si>
  <si>
    <t>lbs.</t>
  </si>
  <si>
    <t>Length/Axle Factor =</t>
  </si>
  <si>
    <t>(See below)</t>
  </si>
  <si>
    <t>Hitch Weight:</t>
  </si>
  <si>
    <t>Hitch Type:</t>
  </si>
  <si>
    <t>Axle Weight:</t>
  </si>
  <si>
    <t>Number of Axles (MIN.)</t>
  </si>
  <si>
    <t>Number of Axles (Given Tire Capacity):</t>
  </si>
  <si>
    <t>Tires:</t>
  </si>
  <si>
    <t>Length/Axle Factor:</t>
  </si>
  <si>
    <t># of Axles</t>
  </si>
  <si>
    <t>40'</t>
  </si>
  <si>
    <t>50'</t>
  </si>
  <si>
    <t>60'</t>
  </si>
  <si>
    <t>70'</t>
  </si>
  <si>
    <t xml:space="preserve">Note: Use of "Length/Axle Factor" is an art form. Above tabled numbers are only a start. </t>
  </si>
  <si>
    <t>Number needs to be increase if most of building weight is near the back and decreased</t>
  </si>
  <si>
    <t>if most of the weight is near the hitch. A conservative value would be 0.80.</t>
  </si>
  <si>
    <t>Axle Location (0,0)</t>
  </si>
  <si>
    <t>SIDEWALL</t>
  </si>
  <si>
    <t>ENDWALL</t>
  </si>
  <si>
    <t>INTERIOR WALL</t>
  </si>
  <si>
    <t>Roofing:</t>
  </si>
  <si>
    <t>60 Mil TPO:</t>
  </si>
  <si>
    <t>45 Mil TPO:</t>
  </si>
  <si>
    <t>60 Mil EPDM:</t>
  </si>
  <si>
    <t>2x12 Rafters @ 16" o.c.:</t>
  </si>
  <si>
    <t>2x10 Rafters @ 16" o.c.:</t>
  </si>
  <si>
    <t>1/2" Hard Gyp. Ceiling:</t>
  </si>
  <si>
    <t>Floor:</t>
  </si>
  <si>
    <t>2x12 Joists @ 16" o.c.:</t>
  </si>
  <si>
    <t>2x10 Joists @ 16" o.c.:</t>
  </si>
  <si>
    <t>(2) Layers 3/4" Floor Decking:</t>
  </si>
  <si>
    <t>1/8" VCT:</t>
  </si>
  <si>
    <t>Rolled Carpet:</t>
  </si>
  <si>
    <t>Carpet Squares:</t>
  </si>
  <si>
    <t>.080 Sheet Vinyl:</t>
  </si>
  <si>
    <t>Sprinkler (Dry) 1-1/2" Pipe:</t>
  </si>
  <si>
    <t>3/4" Concrete Sub-Floor:</t>
  </si>
  <si>
    <t>Vinyl Plank Flooring:</t>
  </si>
  <si>
    <t>Exterior Walls:</t>
  </si>
  <si>
    <t>2x8 Studs @ 16" o.c.:</t>
  </si>
  <si>
    <t>5/8" Exterior Gyp Sheathing:</t>
  </si>
  <si>
    <t>5/8" VCG over 7/16" OSB:</t>
  </si>
  <si>
    <t>1/2" VCG over 7/16" OSB:</t>
  </si>
  <si>
    <t>Interior Walls:</t>
  </si>
  <si>
    <t>1/4" Hardibacker:</t>
  </si>
  <si>
    <t>Floor Joists:</t>
  </si>
  <si>
    <t>Deck / Underlayment:</t>
  </si>
  <si>
    <t>Flooring:</t>
  </si>
  <si>
    <t>Rafters:</t>
  </si>
  <si>
    <t>Roofing Material:</t>
  </si>
  <si>
    <t>Roof Sheathing:</t>
  </si>
  <si>
    <t>5/8" CDX Sheathing:</t>
  </si>
  <si>
    <t>Misc:</t>
  </si>
  <si>
    <t>Wall Studs:</t>
  </si>
  <si>
    <t>Wall Finish 1:</t>
  </si>
  <si>
    <t>Siding:</t>
  </si>
  <si>
    <t>Insulation:</t>
  </si>
  <si>
    <t>Number of W.H.:</t>
  </si>
  <si>
    <t>Water Heaters:</t>
  </si>
  <si>
    <t>R-15 Fiberglass:</t>
  </si>
  <si>
    <t>R-30 Fiberglass:</t>
  </si>
  <si>
    <t>(2) Layers R-15 Fiberglass:</t>
  </si>
  <si>
    <t>R-38 Fiberglass:</t>
  </si>
  <si>
    <t>FRP over 1/2" MR Gyp:</t>
  </si>
  <si>
    <t>FRP over 5/8" MR Gyp:</t>
  </si>
  <si>
    <t>Frame:</t>
  </si>
  <si>
    <t>Post 7</t>
  </si>
  <si>
    <t>Post 8</t>
  </si>
  <si>
    <t>I-Beam:</t>
  </si>
  <si>
    <t>2x6 Joists @ 16" o.c.:</t>
  </si>
  <si>
    <t>2x8 #2 HF Rafters @ 16" o.c.</t>
  </si>
  <si>
    <t>1/2" CDX Plywood Sheathing:</t>
  </si>
  <si>
    <t>1/2" Gypsum Roof Deck:</t>
  </si>
  <si>
    <t>45 Mil EPDM:</t>
  </si>
  <si>
    <t>Netting:</t>
  </si>
  <si>
    <t>2x8 #2 HF Floor Joists:</t>
  </si>
  <si>
    <t>3/4" T&amp;G Decking:</t>
  </si>
  <si>
    <t>R-19 Insulation:</t>
  </si>
  <si>
    <t>Unit</t>
  </si>
  <si>
    <t>sq. ft.</t>
  </si>
  <si>
    <t xml:space="preserve">sq. ft. </t>
  </si>
  <si>
    <t>Shepweave II Bottom Board:</t>
  </si>
  <si>
    <t>Total per Sq. Ft.</t>
  </si>
  <si>
    <t>30", 4-Layer Plywood matebeam (2-Sides):</t>
  </si>
  <si>
    <t>1/2" Gypsum:</t>
  </si>
  <si>
    <t>2x6 #2 HF Studs (Top &amp; Bottom Plates Included):</t>
  </si>
  <si>
    <t>Fasteners / Nails / Glue</t>
  </si>
  <si>
    <t>Interior Wall Assembly: (Assumed 12' long, 10' tall)</t>
  </si>
  <si>
    <t>2x4 #2 HF Studs (Top &amp; Bottom Plates Included):</t>
  </si>
  <si>
    <t>Fasteners / Nails / Glue:</t>
  </si>
  <si>
    <t>Suspended Ceiling / Lights :</t>
  </si>
  <si>
    <t>7/16" LP Smart Panel:</t>
  </si>
  <si>
    <t>2x4 Studs @ 16" o.c.:</t>
  </si>
  <si>
    <t>1/4" Dens Deck Under EPDM:</t>
  </si>
  <si>
    <t>(1) Beam Wrapped w/ 5/8" Gyp:</t>
  </si>
  <si>
    <t>2x6 Studs @ 16" o.c.:</t>
  </si>
  <si>
    <t>10" I-Beam:</t>
  </si>
  <si>
    <t>12-1/2" I-Beam:</t>
  </si>
  <si>
    <t>6-Gallon:</t>
  </si>
  <si>
    <t>20-Gallon:</t>
  </si>
  <si>
    <t>30-Gallon:</t>
  </si>
  <si>
    <t>50-Gallon:</t>
  </si>
  <si>
    <t>80-Gallon:</t>
  </si>
  <si>
    <t>120-Gallon:</t>
  </si>
  <si>
    <t>2x4 Runner along Along top chord:</t>
  </si>
  <si>
    <t>Welds / Mate Clips / Splice Plates:</t>
  </si>
  <si>
    <t>Windows / Doors:</t>
  </si>
  <si>
    <t>(3) 2x4:</t>
  </si>
  <si>
    <t>(3) 2x6:</t>
  </si>
  <si>
    <t>3.5x5.25 Versa-Lam LVL:</t>
  </si>
  <si>
    <t>HSS 3x3x3/16:</t>
  </si>
  <si>
    <t>Columns: (Assumed 9'-6" long) - Not Currently Used</t>
  </si>
  <si>
    <t>1/2" Gypsum (Both sides):</t>
  </si>
  <si>
    <t>House Wrap / PlyDry</t>
  </si>
  <si>
    <t>No Flooring:</t>
  </si>
  <si>
    <t>2x8 Joists @ 16" o.c.:</t>
  </si>
  <si>
    <t>3/4" Floor Decking:</t>
  </si>
  <si>
    <t>1/8" VCT</t>
  </si>
  <si>
    <t>base component</t>
  </si>
  <si>
    <t>(See Steel Girder in "Assemblies")</t>
  </si>
  <si>
    <t>R-11 or 13 Fiberglass:</t>
  </si>
  <si>
    <t>R-19 or 21 Fiberglass:</t>
  </si>
  <si>
    <t>base component (Est.)</t>
  </si>
  <si>
    <t xml:space="preserve">base component </t>
  </si>
  <si>
    <t>7/16" LP Lap Side:</t>
  </si>
  <si>
    <t>7/16" LP Smart Panel or OSB:</t>
  </si>
  <si>
    <t>base component (assumed)</t>
  </si>
  <si>
    <t xml:space="preserve">Floor Assembly: </t>
  </si>
  <si>
    <t xml:space="preserve">Exterior Wall Assembly: </t>
  </si>
  <si>
    <t xml:space="preserve">Roof Assembly: </t>
  </si>
  <si>
    <t>Beam Wrapped w/ 5/8" Gyp</t>
  </si>
  <si>
    <t>Combined Weight:</t>
  </si>
  <si>
    <t>MOD:</t>
  </si>
  <si>
    <t>w/ offset</t>
  </si>
  <si>
    <t>W/O OFFSET</t>
  </si>
  <si>
    <t>WITH OFFSET</t>
  </si>
  <si>
    <t>w/o offset</t>
  </si>
  <si>
    <t>1/2" Fiberock</t>
  </si>
  <si>
    <t>1/4" Fiberock</t>
  </si>
  <si>
    <t>1/2" Sound Board:</t>
  </si>
  <si>
    <t>20GA B-Deck:</t>
  </si>
  <si>
    <t>2" Polyiso Board:</t>
  </si>
  <si>
    <t>1/2" Insulation Board:</t>
  </si>
  <si>
    <t>Number of 36" Showers:</t>
  </si>
  <si>
    <t>NOTE: ONLY THE BASE COMPONENTS SHOULD BE EDITED.  ALL OTHER CELLS WILL AUTOMATICALLY ADJUST</t>
  </si>
  <si>
    <t>Wood Truss @ 16" o.c.</t>
  </si>
  <si>
    <t>2x8 Rafters @ 16" o.c.:</t>
  </si>
  <si>
    <t>2x6 Rafters @ 16" o.c.:</t>
  </si>
  <si>
    <t>8" Steel Rafter (16ga) @ 16" o.c.:</t>
  </si>
  <si>
    <t>8" Steel Rafter (14ga) @ 16" o.c.:</t>
  </si>
  <si>
    <t>10" Steel Rafter (16ga) @ 16" o.c.:</t>
  </si>
  <si>
    <t>10" Steel Rafter (14ga) @ 16" o.c.:</t>
  </si>
  <si>
    <t>20ga B-Deck:</t>
  </si>
  <si>
    <t>3/4" MegaBoard:</t>
  </si>
  <si>
    <t>22ga B-Deck:</t>
  </si>
  <si>
    <t>Ceramic with Grout (Include Backer Bd):</t>
  </si>
  <si>
    <t>5/8" Fireguard Denglass:</t>
  </si>
  <si>
    <t>1/2" Fire Treated Plywood:</t>
  </si>
  <si>
    <t>(Asumed 2" Flange)</t>
  </si>
  <si>
    <t>3-5/8" Steel Stud (16ga) @ 16" o.c.:</t>
  </si>
  <si>
    <t>3-5/8" Steel Stud (14ga) @ 16" o.c.:</t>
  </si>
  <si>
    <t>6" Steel Stud (16ga) @ 16" o.c.:</t>
  </si>
  <si>
    <t>6" Steel Stud (14ga) @ 16" o.c.:</t>
  </si>
  <si>
    <t>(Asumed 1-5/8" Flange)</t>
  </si>
  <si>
    <t>1/2" Securock:</t>
  </si>
  <si>
    <t>1/4" Securock:</t>
  </si>
  <si>
    <t>3-5/8" Steel Stud (18ga) @ 16" o.c.:</t>
  </si>
  <si>
    <t>Additional Decking:</t>
  </si>
  <si>
    <t>CH5 Reinforcement:</t>
  </si>
  <si>
    <t>Number of Mop Sinks:</t>
  </si>
  <si>
    <t>weight</t>
  </si>
  <si>
    <t>1-Ply Wood Girder:</t>
  </si>
  <si>
    <t>2-Ply Wood Girder:</t>
  </si>
  <si>
    <t>3-Ply Wood Girder:</t>
  </si>
  <si>
    <t>4-Ply Wood Girder:</t>
  </si>
  <si>
    <t>Girder Value is substracted from Plywood Beam</t>
  </si>
  <si>
    <t>1/2" VCG over 5/8" Type X Gypsum:</t>
  </si>
  <si>
    <t>Mateline Beam:</t>
  </si>
  <si>
    <t>Lifting Eyes (4-Corners):</t>
  </si>
  <si>
    <t>12" o.c. Perimeter Floor Joists:</t>
  </si>
  <si>
    <t>1-Ply 3.5x5.25 Versa-Lam LVL:</t>
  </si>
  <si>
    <t>H-Sheild HD (Polyiso):</t>
  </si>
  <si>
    <t>5/8" Raw Gypsum Ceiling:</t>
  </si>
  <si>
    <t>Factory:</t>
  </si>
  <si>
    <t>PSF:</t>
  </si>
  <si>
    <t>Steel Girder:</t>
  </si>
  <si>
    <t>1/2" Dens Deck Under EPDM:</t>
  </si>
  <si>
    <t>R-49 Fiberglass:</t>
  </si>
  <si>
    <t>(Lap side is 1.5 psf.  0.5 psf added for 4/4 Trim &amp; 1.5 psf for 7/16" OSB)</t>
  </si>
  <si>
    <t>(26GA PBR panel is 0.80 psf + 1.5 psf for 7/16" OSB)</t>
  </si>
  <si>
    <t>(3/8" ceramic with 1/8" grout spacers and grout is included / need to add min. 1/4" underlayment if chosen)</t>
  </si>
  <si>
    <t>Upper 3</t>
  </si>
  <si>
    <t>Number of Toilet Partitions:</t>
  </si>
  <si>
    <t>Number of Urinal Partitions:</t>
  </si>
  <si>
    <t>Extended Hitch:</t>
  </si>
  <si>
    <t>Bottom Board:</t>
  </si>
  <si>
    <t>29GA PBU Panel:</t>
  </si>
  <si>
    <t>26Ga PBR / R-Panel Over Felt:</t>
  </si>
  <si>
    <t>(Added weight for felt paper is included)</t>
  </si>
  <si>
    <t>`</t>
  </si>
  <si>
    <t>(Cement Board is 2.5 psf &amp; OSB is 1.5 psf)</t>
  </si>
  <si>
    <t>(Lap side is 2.5 psf., 0.5 psf added for 4/4 Trim, &amp; 1.5 psf for OSB)</t>
  </si>
  <si>
    <t>Cement Board Siding over OSB:</t>
  </si>
  <si>
    <t>Cement Board Lap Siding over OSB</t>
  </si>
  <si>
    <t>26GA PBR / R-Panel Over OSB:</t>
  </si>
  <si>
    <t>(Note: Both partition weights have been added to "Axle Weight")</t>
  </si>
  <si>
    <t>Number of Bar / Dbl. Bowl Sinks:</t>
  </si>
  <si>
    <t>Studs</t>
  </si>
  <si>
    <t>2x4</t>
  </si>
  <si>
    <t>2x6</t>
  </si>
  <si>
    <t>2x8</t>
  </si>
  <si>
    <t>Assumed 12' long wall with 12' tall studs = 148.5 sq. ft. / (13) Studs total</t>
  </si>
  <si>
    <t>Grade</t>
  </si>
  <si>
    <t>Assumed 12'x60' Mod w/ dbl. Rim on Each Side / 16" o.c. (45 joists) + (20) total for Rims</t>
  </si>
  <si>
    <t>8" (16ga)</t>
  </si>
  <si>
    <t>8" (14ga)</t>
  </si>
  <si>
    <t>10" (16ga)</t>
  </si>
  <si>
    <t>10" (14ga)</t>
  </si>
  <si>
    <t>Steel</t>
  </si>
  <si>
    <t>3-5/8" (18ga)</t>
  </si>
  <si>
    <t>(Sng. Top Track)</t>
  </si>
  <si>
    <t>(Truss is assumed to be 62lbs @ 12' long)</t>
  </si>
  <si>
    <t>3-5/8" (16ga)</t>
  </si>
  <si>
    <t>3-5/8" (14ga)</t>
  </si>
  <si>
    <t>6" (16ga)</t>
  </si>
  <si>
    <t>6" (14ga)</t>
  </si>
  <si>
    <t>Wood</t>
  </si>
  <si>
    <t>https://www.builderscalculator.com/lumber-weight-calculator/</t>
  </si>
  <si>
    <t>&lt;-Value based on SMM girder # 20831 B2 (76' long / 554lbs / 182.0833 sq. ft.)</t>
  </si>
  <si>
    <t>-</t>
  </si>
  <si>
    <t>Used this webiste for Lumber Weights based on Grade (8% moisture content assumed untreated / 35% moisture content for treated):</t>
  </si>
  <si>
    <t>2x6 Treated Joists @ 16" o.c.:</t>
  </si>
  <si>
    <t>2x8 Treated Joists @ 16" o.c.:</t>
  </si>
  <si>
    <t>2x10 Treated Joists @ 16" o.c.:</t>
  </si>
  <si>
    <t>2x12 Treated Joists @ 16" o.c.:</t>
  </si>
  <si>
    <t>https://www.constructionknowledge.net/metal/images_metal/l%20Steel%20section%20tables%20080307.pdf</t>
  </si>
  <si>
    <t>Other Diagonals:</t>
  </si>
  <si>
    <t>Top Chord:</t>
  </si>
  <si>
    <t>Bottom Chord:</t>
  </si>
  <si>
    <t>End Vertical:</t>
  </si>
  <si>
    <t>Other Verticals:</t>
  </si>
  <si>
    <t>End Diagonal:</t>
  </si>
  <si>
    <t>Angle Type:</t>
  </si>
  <si>
    <t>L5x3x5/16"</t>
  </si>
  <si>
    <t>L5x3x3/8"</t>
  </si>
  <si>
    <t>L5x3x7/16"</t>
  </si>
  <si>
    <t>L5x3x1/2"</t>
  </si>
  <si>
    <t>L3x3x3/16"</t>
  </si>
  <si>
    <t>L3x3x1/4"</t>
  </si>
  <si>
    <t>L3x3x5/16"</t>
  </si>
  <si>
    <t>L3x3x3/8"</t>
  </si>
  <si>
    <t>L3x3x7/16"</t>
  </si>
  <si>
    <t>L3x3x1/2"</t>
  </si>
  <si>
    <t>L2x2x3/16"</t>
  </si>
  <si>
    <t>L2x2x1/4"</t>
  </si>
  <si>
    <t>L2x2x5/16"</t>
  </si>
  <si>
    <t>L2x2x3/8"</t>
  </si>
  <si>
    <t>PLF:</t>
  </si>
  <si>
    <t>Pitch:</t>
  </si>
  <si>
    <t>Length (ft)</t>
  </si>
  <si>
    <t>Weight:</t>
  </si>
  <si>
    <t>:Total weight</t>
  </si>
  <si>
    <t>Truss Length (ft):</t>
  </si>
  <si>
    <t>Truss Peak Ht (in):</t>
  </si>
  <si>
    <t>Truss Heel Ht (in):</t>
  </si>
  <si>
    <t>Truss Sq. Ft.:</t>
  </si>
  <si>
    <t>Steel Girder Assembly (Assumed to be tapered)</t>
  </si>
  <si>
    <t>L3.5x3.5x1/4"</t>
  </si>
  <si>
    <t>L3.5x3.5x5/16"</t>
  </si>
  <si>
    <t>L3.5x3.5x3/8"</t>
  </si>
  <si>
    <t>L3.5x3.5x7/16"</t>
  </si>
  <si>
    <t>L3.5x3.5x1/2"</t>
  </si>
  <si>
    <t>L1x1x3/16"</t>
  </si>
  <si>
    <t>L1x1x1/8"</t>
  </si>
  <si>
    <t>Steel Bar Joist Assembly (Assumed to be tapered)</t>
  </si>
  <si>
    <t>Steel Angle:</t>
  </si>
  <si>
    <t>Steel Angle Weight:</t>
  </si>
  <si>
    <t>Bar Joist:</t>
  </si>
  <si>
    <t>(See Bar Joist in "Assemblies")</t>
  </si>
  <si>
    <t>30ga Galv. Bottom Board:</t>
  </si>
  <si>
    <t>Single Rim Joists:</t>
  </si>
  <si>
    <t>30", 4-Layer Plywood matebeam:</t>
  </si>
  <si>
    <t>:Weight Per Sq. Ft. (weight divided by 700 sq. ft. (12'x60' Mod)</t>
  </si>
  <si>
    <t>:Weight Per Sq. Ft. (weight divided by 700)</t>
  </si>
  <si>
    <t>HSS3x3x3/16 Steel Post:</t>
  </si>
  <si>
    <t>3.5x5.25 LVL Post:</t>
  </si>
  <si>
    <t>Total (12' tall)</t>
  </si>
  <si>
    <t>HSS3.5x3.5x1/4 Steel Post:</t>
  </si>
  <si>
    <t>&lt;--100 lbs added for (4) Posts Caps / Assumed (2) Posts total</t>
  </si>
  <si>
    <t>5.25x5.25 LVL Post:</t>
  </si>
  <si>
    <t>PLF Values can be found on website link below:</t>
  </si>
  <si>
    <t>Girder Type:</t>
  </si>
  <si>
    <t>Engineered</t>
  </si>
  <si>
    <t>1-Ply 1-3/4"x16" Microlam:</t>
  </si>
  <si>
    <t>&lt;-PLF = 8.1667</t>
  </si>
  <si>
    <t>Plywood Beam Assembly (Assumed to be tapered)</t>
  </si>
  <si>
    <t>Beam Peak Ht (in):</t>
  </si>
  <si>
    <t>Beam Length (ft):</t>
  </si>
  <si>
    <t>Beam Heel Ht (in):</t>
  </si>
  <si>
    <t>3/4" 5-Ply / 5-Layer Plywood:</t>
  </si>
  <si>
    <t>1/2" 5-Ply / 5-Layer Plywood:</t>
  </si>
  <si>
    <t>Weight Per Sheet:</t>
  </si>
  <si>
    <t>Glue / Fasteners:</t>
  </si>
  <si>
    <t>Number of Layers:</t>
  </si>
  <si>
    <t>base component (See Plywood Beam in "Assemblies") Beam is assumed not tapered - NOTE: PMI weight is lower because they use 1/2" Plywood, other factories use 3/4" plywood)</t>
  </si>
  <si>
    <t>Plywood Type:</t>
  </si>
  <si>
    <t>Beam Sq. Ft.:</t>
  </si>
  <si>
    <t>Plywod Type:</t>
  </si>
  <si>
    <t>Safety Factor:</t>
  </si>
  <si>
    <r>
      <rPr>
        <b/>
        <u/>
        <sz val="11"/>
        <color rgb="FFFF0000"/>
        <rFont val="Calibri"/>
        <family val="2"/>
        <scheme val="minor"/>
      </rPr>
      <t>NOTE:</t>
    </r>
    <r>
      <rPr>
        <b/>
        <sz val="11"/>
        <color rgb="FFFF0000"/>
        <rFont val="Calibri"/>
        <family val="2"/>
        <scheme val="minor"/>
      </rPr>
      <t xml:space="preserve"> If module is being craned into place, add 10% safety factor to overall weight before giving the dealer the weight of the module.</t>
    </r>
  </si>
  <si>
    <t>PSF (Sng. Rim)</t>
  </si>
  <si>
    <t>Difference</t>
  </si>
  <si>
    <t>Frames:</t>
  </si>
  <si>
    <t>14ga, 8"x2" C:</t>
  </si>
  <si>
    <t>12"x11.8#:</t>
  </si>
  <si>
    <t>Material:</t>
  </si>
  <si>
    <t>Assumed 12'x60 Mod w/ 4-Axles w/ prep for 5th</t>
  </si>
  <si>
    <t>&lt;-H-Section I-Beam</t>
  </si>
  <si>
    <t>Joists / Angle in H-Section:</t>
  </si>
  <si>
    <t>Total Weight</t>
  </si>
  <si>
    <t>12" Jr. I-Beam Perimeter</t>
  </si>
  <si>
    <t>12-1/2" Jr. I-Beam Perimeter</t>
  </si>
  <si>
    <t>12" C-Channel Perimeter</t>
  </si>
  <si>
    <t>12-1/2"x12.4#:</t>
  </si>
  <si>
    <t>10"x15.3#:</t>
  </si>
  <si>
    <t>10" C-Channel Perimeter</t>
  </si>
  <si>
    <t>12"x20.7#:</t>
  </si>
  <si>
    <t>12" TX Perimeter</t>
  </si>
  <si>
    <t>Sister Beam:</t>
  </si>
  <si>
    <t>&lt;-Used value of 45' (Removed 15' for H-Section)</t>
  </si>
  <si>
    <t>12" I-Beam Perimeter w/ 14ga C Joists:</t>
  </si>
  <si>
    <t>12-1/2" I-Beam Perimeter w/ 14ga C Joists:</t>
  </si>
  <si>
    <t>10" C-Channel Frame w/ 14ga C Joists:</t>
  </si>
  <si>
    <t>12" C-Channel Frame w/ 14ga C Joists:</t>
  </si>
  <si>
    <t>12" I-Beam TX Perimeter w/ Sister Beam:</t>
  </si>
  <si>
    <t>Width:</t>
  </si>
  <si>
    <t>Length:</t>
  </si>
  <si>
    <t>Assumed 4-Axles w/ prep for 5th</t>
  </si>
  <si>
    <t>Steel Girder (1-Side) &amp; Plywood (1-Side):</t>
  </si>
  <si>
    <t>Marriage Clips, Hangers, &amp; Misc Material:</t>
  </si>
  <si>
    <t>1/2" Polyiso Board:</t>
  </si>
  <si>
    <t>1" Polyiso Board:</t>
  </si>
  <si>
    <t>12"x11.8# Cross Members @ 6' o.c.:</t>
  </si>
  <si>
    <t>Most modules will weigh less that what is shown above unless materials are in the building that have not been accounted for in the above spreadsheet (I.E. Shiploose material, shiploose RTU's, Int. Steel doors, STC Doors, Etc.).</t>
  </si>
  <si>
    <t>Note: All frames PSF are based on a 11'-8"x60" Module</t>
  </si>
  <si>
    <t>Note: All frames PSF are based on actual mod on Weight Sheet</t>
  </si>
  <si>
    <t>Minisplit Weights</t>
  </si>
  <si>
    <t>Condenser:</t>
  </si>
  <si>
    <t>1-Ton</t>
  </si>
  <si>
    <t>1.5-Ton</t>
  </si>
  <si>
    <t>2-Ton</t>
  </si>
  <si>
    <t>3-Ton</t>
  </si>
  <si>
    <t>Air Handler:</t>
  </si>
  <si>
    <t>1/2" Lead Lined Gyp (1/16")</t>
  </si>
  <si>
    <t>1/2" Lead Lined Gyp (1/8")</t>
  </si>
  <si>
    <t>5/8" Lead Lined Gyp (1/16")</t>
  </si>
  <si>
    <t>5/8" Lead Lined Gyp (1/8")</t>
  </si>
  <si>
    <r>
      <t>Wall Finish 2 (</t>
    </r>
    <r>
      <rPr>
        <b/>
        <sz val="11"/>
        <color theme="1"/>
        <rFont val="Calibri"/>
        <family val="2"/>
        <scheme val="minor"/>
      </rPr>
      <t>Both Sides</t>
    </r>
    <r>
      <rPr>
        <sz val="11"/>
        <color theme="1"/>
        <rFont val="Calibri"/>
        <family val="2"/>
        <scheme val="minor"/>
      </rPr>
      <t>):</t>
    </r>
  </si>
  <si>
    <r>
      <t>Wall Finish 1 (</t>
    </r>
    <r>
      <rPr>
        <b/>
        <sz val="11"/>
        <color theme="1"/>
        <rFont val="Calibri"/>
        <family val="2"/>
        <scheme val="minor"/>
      </rPr>
      <t>Both Sides</t>
    </r>
    <r>
      <rPr>
        <sz val="11"/>
        <color theme="1"/>
        <rFont val="Calibri"/>
        <family val="2"/>
        <scheme val="minor"/>
      </rPr>
      <t>):</t>
    </r>
  </si>
  <si>
    <r>
      <t>Add'l Wall Finish (</t>
    </r>
    <r>
      <rPr>
        <b/>
        <sz val="11"/>
        <color theme="1"/>
        <rFont val="Calibri"/>
        <family val="2"/>
        <scheme val="minor"/>
      </rPr>
      <t>1-Side</t>
    </r>
    <r>
      <rPr>
        <sz val="11"/>
        <color theme="1"/>
        <rFont val="Calibri"/>
        <family val="2"/>
        <scheme val="minor"/>
      </rPr>
      <t>):</t>
    </r>
  </si>
  <si>
    <t>Overhang:</t>
  </si>
  <si>
    <t>#9 x 1/8" Expanded Metal:</t>
  </si>
  <si>
    <t>Rafters</t>
  </si>
  <si>
    <t>Truss**</t>
  </si>
  <si>
    <t>2x12++</t>
  </si>
  <si>
    <t>2x10++</t>
  </si>
  <si>
    <t>++Note: Blocking has been added (See formula in Cells L36 &amp; L37 - Multiplyer of 3)</t>
  </si>
  <si>
    <t>Overhang along sides ##</t>
  </si>
  <si>
    <t>**Although not used, rims are included to account for 2x rims (Truss weight: 62lbs / 12 = 5.166 plf) - Lumber has been added blocking</t>
  </si>
  <si>
    <r>
      <t xml:space="preserve">Along Side </t>
    </r>
    <r>
      <rPr>
        <sz val="11"/>
        <color rgb="FFFF0000"/>
        <rFont val="Calibri"/>
        <family val="2"/>
        <scheme val="minor"/>
      </rPr>
      <t>(Enter Length in inches)</t>
    </r>
    <r>
      <rPr>
        <sz val="11"/>
        <color theme="1"/>
        <rFont val="Calibri"/>
        <family val="2"/>
        <scheme val="minor"/>
      </rPr>
      <t>:</t>
    </r>
  </si>
  <si>
    <r>
      <t xml:space="preserve">At Ends </t>
    </r>
    <r>
      <rPr>
        <sz val="11"/>
        <color rgb="FFFF0000"/>
        <rFont val="Calibri"/>
        <family val="2"/>
        <scheme val="minor"/>
      </rPr>
      <t>(Enter length in inches)</t>
    </r>
    <r>
      <rPr>
        <sz val="11"/>
        <color theme="1"/>
        <rFont val="Calibri"/>
        <family val="2"/>
        <scheme val="minor"/>
      </rPr>
      <t>:</t>
    </r>
  </si>
  <si>
    <t>##Blocking has been added along top plate(s) for overhang - Assumed EPDM over 7/16" OSB &amp; Cement Bd Soffit</t>
  </si>
  <si>
    <t>Overhang @ Ends</t>
  </si>
  <si>
    <t>Number of ADA Transfer Showers:</t>
  </si>
  <si>
    <t>Number of ADA 60" Showers:</t>
  </si>
  <si>
    <t>5/8" Type X Gypsum:</t>
  </si>
  <si>
    <t>(2) Layers of 5/8" Type X Gypsum:</t>
  </si>
  <si>
    <t>40-Gallon:</t>
  </si>
  <si>
    <t>(2) Layers of 5/8" Raw Gypsum:</t>
  </si>
  <si>
    <t>(3) Layers of 5/8" Raw Gypsum:</t>
  </si>
  <si>
    <t>Axle Capcity:</t>
  </si>
  <si>
    <t>Added weight for sleepers under decking:</t>
  </si>
  <si>
    <t>Outer Perimeter:</t>
  </si>
  <si>
    <t>Over Joists:</t>
  </si>
  <si>
    <t>Total:</t>
  </si>
  <si>
    <t>Lumber Size:</t>
  </si>
  <si>
    <t>2x3</t>
  </si>
  <si>
    <t>Fasteners:</t>
  </si>
  <si>
    <t>Sleeper Weight:</t>
  </si>
  <si>
    <t>1/2" VCG:</t>
  </si>
  <si>
    <t>5/8" VCG ilo 1/2" VCG:</t>
  </si>
  <si>
    <t>(3) Layers 5/8" Type X ilo 1/2" VCG:</t>
  </si>
  <si>
    <t>(2) Layers 5/8" Type X ilo 1/2" VCG:</t>
  </si>
  <si>
    <r>
      <t xml:space="preserve">(Base Ext. Walls includes: 2x6 studs @ 16" o.c., ½" VCG or Gypsum </t>
    </r>
    <r>
      <rPr>
        <i/>
        <u/>
        <sz val="11"/>
        <color theme="1"/>
        <rFont val="Calibri"/>
        <family val="2"/>
        <scheme val="minor"/>
      </rPr>
      <t>one side</t>
    </r>
    <r>
      <rPr>
        <sz val="11"/>
        <color theme="1"/>
        <rFont val="Calibri"/>
        <family val="2"/>
        <scheme val="minor"/>
      </rPr>
      <t>, 7/16" Smart Panel, and R-19 Insul.)</t>
    </r>
  </si>
  <si>
    <r>
      <t xml:space="preserve">(Base Int. Walls includes: 2"x4" studs at 16" o.c., ½" VCG or Gypsum </t>
    </r>
    <r>
      <rPr>
        <i/>
        <u/>
        <sz val="11"/>
        <color theme="1"/>
        <rFont val="Calibri"/>
        <family val="2"/>
        <scheme val="minor"/>
      </rPr>
      <t>both sides</t>
    </r>
    <r>
      <rPr>
        <sz val="11"/>
        <color theme="1"/>
        <rFont val="Calibri"/>
        <family val="2"/>
        <scheme val="minor"/>
      </rPr>
      <t>)</t>
    </r>
  </si>
  <si>
    <t>5/8" Type X Gypsum underside of raters:</t>
  </si>
  <si>
    <t>1/2" Type X Gypsum underside of raters:</t>
  </si>
  <si>
    <t>Light Weight Concrete Floor (2" thick):</t>
  </si>
  <si>
    <t>**Updated version 5.3**</t>
  </si>
  <si>
    <t>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</si>
</sst>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_);[Red]\(0.00\)"/>
    <numFmt numFmtId="166" formatCode="0;\-0;;@\ "/>
    <numFmt numFmtId="167" formatCode="0;\-0;;@"/>
    <numFmt numFmtId="168" formatCode="0.000"/>
  </numFmts>
  <fonts count="25"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sz val="11"/>
      <color theme="1"/>
      <name val="Calibri"/>
      <family val="2"/>
      <scheme val="minor"/>
    </font>
    <font>
      <b/>
      <u/>
      <sz val="16"/>
      <color indexed="0"/>
      <name val="Arial"/>
      <family val="2"/>
    </font>
    <font>
      <b/>
      <u/>
      <sz val="12"/>
      <color indexed="0"/>
      <name val="Arial"/>
      <family val="2"/>
    </font>
    <font>
      <sz val="10"/>
      <color indexed="0"/>
      <name val="Arial"/>
      <family val="2"/>
    </font>
    <font>
      <b/>
      <sz val="10"/>
      <name val="Arial"/>
      <family val="2"/>
    </font>
    <font>
      <b/>
      <u/>
      <sz val="12"/>
      <name val="Arial"/>
      <family val="2"/>
    </font>
    <font>
      <b/>
      <sz val="10"/>
      <color indexed="0"/>
      <name val="Arial"/>
      <family val="2"/>
    </font>
    <font>
      <sz val="11"/>
      <color rgb="FFFF0000"/>
      <name val="Calibri"/>
      <family val="2"/>
      <scheme val="minor"/>
    </font>
    <font>
      <sz val="11"/>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
      <b/>
      <sz val="12"/>
      <name val="Arial"/>
      <family val="2"/>
    </font>
    <font>
      <b/>
      <sz val="12"/>
      <color rgb="FFFF0000"/>
      <name val="Calibri"/>
      <family val="2"/>
      <scheme val="minor"/>
    </font>
    <font>
      <u/>
      <sz val="11"/>
      <color theme="10"/>
      <name val="Calibri"/>
      <family val="2"/>
      <scheme val="minor"/>
    </font>
    <font>
      <b/>
      <sz val="10"/>
      <color rgb="FFFF0000"/>
      <name val="Arial"/>
      <family val="2"/>
    </font>
    <font>
      <b/>
      <sz val="11"/>
      <color rgb="FFFF0000"/>
      <name val="Calibri"/>
      <family val="2"/>
      <scheme val="minor"/>
    </font>
    <font>
      <b/>
      <u/>
      <sz val="11"/>
      <color rgb="FFFF0000"/>
      <name val="Calibri"/>
      <family val="2"/>
      <scheme val="minor"/>
    </font>
    <font>
      <sz val="10"/>
      <color rgb="FFFF0000"/>
      <name val="Arial"/>
      <family val="2"/>
    </font>
    <font>
      <sz val="10"/>
      <color theme="1"/>
      <name val="Calibri"/>
      <family val="2"/>
      <scheme val="minor"/>
    </font>
    <font>
      <i/>
      <u/>
      <sz val="11"/>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indexed="42"/>
        <bgColor indexed="64"/>
      </patternFill>
    </fill>
    <fill>
      <patternFill patternType="solid">
        <fgColor indexed="41"/>
        <bgColor indexed="64"/>
      </patternFill>
    </fill>
    <fill>
      <patternFill patternType="solid">
        <fgColor rgb="FFFFFF00"/>
        <bgColor indexed="64"/>
      </patternFill>
    </fill>
    <fill>
      <patternFill patternType="solid">
        <fgColor theme="9" tint="0.79998168889431442"/>
        <bgColor indexed="64"/>
      </patternFill>
    </fill>
  </fills>
  <borders count="4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0"/>
      </left>
      <right/>
      <top style="thick">
        <color indexed="0"/>
      </top>
      <bottom/>
      <diagonal/>
    </border>
    <border>
      <left/>
      <right/>
      <top style="thick">
        <color indexed="0"/>
      </top>
      <bottom/>
      <diagonal/>
    </border>
    <border>
      <left/>
      <right style="thick">
        <color indexed="0"/>
      </right>
      <top style="thick">
        <color indexed="0"/>
      </top>
      <bottom/>
      <diagonal/>
    </border>
    <border>
      <left style="thick">
        <color indexed="0"/>
      </left>
      <right/>
      <top/>
      <bottom/>
      <diagonal/>
    </border>
    <border>
      <left/>
      <right style="thick">
        <color indexed="0"/>
      </right>
      <top/>
      <bottom/>
      <diagonal/>
    </border>
    <border>
      <left style="thick">
        <color indexed="0"/>
      </left>
      <right/>
      <top/>
      <bottom style="thick">
        <color indexed="0"/>
      </bottom>
      <diagonal/>
    </border>
    <border>
      <left/>
      <right/>
      <top/>
      <bottom style="thick">
        <color indexed="0"/>
      </bottom>
      <diagonal/>
    </border>
    <border>
      <left/>
      <right style="thick">
        <color indexed="0"/>
      </right>
      <top/>
      <bottom style="thick">
        <color indexed="0"/>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medium">
        <color indexed="64"/>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ck">
        <color indexed="0"/>
      </left>
      <right/>
      <top style="thick">
        <color indexed="8"/>
      </top>
      <bottom/>
      <diagonal/>
    </border>
    <border>
      <left/>
      <right/>
      <top style="thick">
        <color indexed="8"/>
      </top>
      <bottom/>
      <diagonal/>
    </border>
    <border>
      <left/>
      <right style="thick">
        <color indexed="8"/>
      </right>
      <top style="thick">
        <color indexed="8"/>
      </top>
      <bottom/>
      <diagonal/>
    </border>
    <border>
      <left/>
      <right style="thick">
        <color indexed="8"/>
      </right>
      <top/>
      <bottom/>
      <diagonal/>
    </border>
    <border>
      <left style="thick">
        <color indexed="0"/>
      </left>
      <right/>
      <top/>
      <bottom style="thick">
        <color indexed="8"/>
      </bottom>
      <diagonal/>
    </border>
    <border>
      <left/>
      <right/>
      <top/>
      <bottom style="thick">
        <color indexed="8"/>
      </bottom>
      <diagonal/>
    </border>
    <border>
      <left/>
      <right style="thick">
        <color indexed="8"/>
      </right>
      <top/>
      <bottom style="thick">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0" fontId="18" fillId="0" borderId="0" applyNumberFormat="0" applyFill="0" applyBorder="0" applyAlignment="0" applyProtection="0"/>
  </cellStyleXfs>
  <cellXfs count="154">
    <xf numFmtId="0" fontId="0" fillId="0" borderId="0" xfId="0"/>
    <xf numFmtId="0" fontId="0" fillId="2" borderId="0" xfId="0" applyFill="1"/>
    <xf numFmtId="0" fontId="1" fillId="0" borderId="0" xfId="0" applyFont="1"/>
    <xf numFmtId="0" fontId="2" fillId="0" borderId="0" xfId="0" applyFont="1"/>
    <xf numFmtId="0" fontId="3" fillId="0" borderId="0" xfId="0" applyFont="1"/>
    <xf numFmtId="0" fontId="6" fillId="0" borderId="0" xfId="0" applyFont="1"/>
    <xf numFmtId="0" fontId="0" fillId="0" borderId="0" xfId="0" applyAlignment="1">
      <alignment horizontal="right"/>
    </xf>
    <xf numFmtId="0" fontId="7" fillId="3" borderId="1" xfId="0" applyFont="1" applyFill="1" applyBorder="1" applyAlignment="1" applyProtection="1">
      <alignment horizontal="center"/>
      <protection locked="0"/>
    </xf>
    <xf numFmtId="0" fontId="7" fillId="3" borderId="2" xfId="0" applyFont="1" applyFill="1" applyBorder="1" applyAlignment="1" applyProtection="1">
      <alignment horizontal="center"/>
      <protection locked="0"/>
    </xf>
    <xf numFmtId="0" fontId="7" fillId="3" borderId="3" xfId="0" applyFont="1" applyFill="1" applyBorder="1" applyAlignment="1" applyProtection="1">
      <alignment horizontal="center"/>
      <protection locked="0"/>
    </xf>
    <xf numFmtId="0" fontId="8" fillId="0" borderId="0" xfId="0" applyFont="1" applyAlignment="1">
      <alignment horizontal="right"/>
    </xf>
    <xf numFmtId="0" fontId="8" fillId="0" borderId="0" xfId="0" applyFont="1" applyAlignment="1">
      <alignment horizontal="center"/>
    </xf>
    <xf numFmtId="0" fontId="8" fillId="0" borderId="0" xfId="0" applyFont="1"/>
    <xf numFmtId="0" fontId="0" fillId="0" borderId="0" xfId="0" applyAlignment="1">
      <alignment horizontal="center"/>
    </xf>
    <xf numFmtId="164" fontId="0" fillId="0" borderId="0" xfId="0" applyNumberFormat="1" applyAlignment="1">
      <alignment horizontal="center"/>
    </xf>
    <xf numFmtId="0" fontId="0" fillId="3" borderId="2" xfId="0" applyFill="1" applyBorder="1" applyAlignment="1" applyProtection="1">
      <alignment horizontal="center"/>
      <protection locked="0"/>
    </xf>
    <xf numFmtId="0" fontId="0" fillId="3" borderId="3" xfId="0" applyFill="1" applyBorder="1" applyAlignment="1" applyProtection="1">
      <alignment horizontal="center"/>
      <protection locked="0"/>
    </xf>
    <xf numFmtId="0" fontId="0" fillId="0" borderId="0" xfId="0" applyProtection="1">
      <protection locked="0"/>
    </xf>
    <xf numFmtId="0" fontId="9" fillId="0" borderId="0" xfId="0" applyFont="1"/>
    <xf numFmtId="0" fontId="0" fillId="3" borderId="1" xfId="0" applyFill="1" applyBorder="1" applyAlignment="1" applyProtection="1">
      <alignment horizontal="center"/>
      <protection locked="0"/>
    </xf>
    <xf numFmtId="0" fontId="6" fillId="0" borderId="4" xfId="0" applyFont="1" applyBorder="1" applyProtection="1">
      <protection locked="0"/>
    </xf>
    <xf numFmtId="0" fontId="10" fillId="0" borderId="5" xfId="0" applyFont="1" applyBorder="1" applyProtection="1">
      <protection locked="0"/>
    </xf>
    <xf numFmtId="0" fontId="10" fillId="0" borderId="6" xfId="0" applyFont="1" applyBorder="1" applyProtection="1">
      <protection locked="0"/>
    </xf>
    <xf numFmtId="0" fontId="10" fillId="0" borderId="7" xfId="0" applyFont="1" applyBorder="1" applyProtection="1">
      <protection locked="0"/>
    </xf>
    <xf numFmtId="0" fontId="10" fillId="0" borderId="0" xfId="0" applyFont="1" applyProtection="1">
      <protection locked="0"/>
    </xf>
    <xf numFmtId="38" fontId="10" fillId="0" borderId="0" xfId="0" applyNumberFormat="1" applyFont="1" applyAlignment="1">
      <alignment horizontal="center"/>
    </xf>
    <xf numFmtId="0" fontId="10" fillId="0" borderId="8" xfId="0" applyFont="1" applyBorder="1" applyProtection="1">
      <protection locked="0"/>
    </xf>
    <xf numFmtId="0" fontId="10" fillId="0" borderId="0" xfId="0" applyFont="1" applyAlignment="1" applyProtection="1">
      <alignment horizontal="right"/>
      <protection locked="0"/>
    </xf>
    <xf numFmtId="0" fontId="10" fillId="3" borderId="0" xfId="0" applyFont="1" applyFill="1" applyAlignment="1">
      <alignment horizontal="center"/>
    </xf>
    <xf numFmtId="9" fontId="10" fillId="0" borderId="0" xfId="1" applyFont="1" applyFill="1" applyBorder="1" applyAlignment="1" applyProtection="1">
      <alignment horizontal="center"/>
      <protection locked="0"/>
    </xf>
    <xf numFmtId="0" fontId="10" fillId="0" borderId="0" xfId="0" applyFont="1" applyAlignment="1" applyProtection="1">
      <alignment horizontal="center"/>
      <protection locked="0"/>
    </xf>
    <xf numFmtId="0" fontId="10" fillId="4" borderId="0" xfId="0" applyFont="1" applyFill="1" applyAlignment="1">
      <alignment horizontal="left"/>
    </xf>
    <xf numFmtId="0" fontId="10" fillId="4" borderId="0" xfId="0" applyFont="1" applyFill="1" applyProtection="1">
      <protection locked="0"/>
    </xf>
    <xf numFmtId="165" fontId="10" fillId="0" borderId="0" xfId="0" applyNumberFormat="1" applyFont="1" applyAlignment="1">
      <alignment horizontal="center"/>
    </xf>
    <xf numFmtId="165" fontId="10" fillId="4" borderId="0" xfId="0" applyNumberFormat="1" applyFont="1" applyFill="1" applyAlignment="1">
      <alignment horizontal="center"/>
    </xf>
    <xf numFmtId="0" fontId="10" fillId="0" borderId="9" xfId="0" applyFont="1" applyBorder="1" applyProtection="1">
      <protection locked="0"/>
    </xf>
    <xf numFmtId="0" fontId="10" fillId="0" borderId="10" xfId="0" applyFont="1" applyBorder="1" applyProtection="1">
      <protection locked="0"/>
    </xf>
    <xf numFmtId="0" fontId="10" fillId="0" borderId="10" xfId="0" applyFont="1" applyBorder="1" applyAlignment="1" applyProtection="1">
      <alignment horizontal="right"/>
      <protection locked="0"/>
    </xf>
    <xf numFmtId="0" fontId="10" fillId="0" borderId="10" xfId="0" applyFont="1" applyBorder="1" applyAlignment="1" applyProtection="1">
      <alignment horizontal="center"/>
      <protection locked="0"/>
    </xf>
    <xf numFmtId="0" fontId="10" fillId="0" borderId="11" xfId="0" applyFont="1" applyBorder="1" applyProtection="1">
      <protection locked="0"/>
    </xf>
    <xf numFmtId="0" fontId="0" fillId="0" borderId="12" xfId="0" applyBorder="1"/>
    <xf numFmtId="0" fontId="0" fillId="0" borderId="13" xfId="0" applyBorder="1"/>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0" xfId="0" applyAlignment="1">
      <alignment horizontal="left"/>
    </xf>
    <xf numFmtId="164" fontId="0" fillId="0" borderId="0" xfId="0" applyNumberFormat="1"/>
    <xf numFmtId="2" fontId="0" fillId="5" borderId="0" xfId="0" applyNumberFormat="1" applyFill="1"/>
    <xf numFmtId="0" fontId="1" fillId="5" borderId="0" xfId="0" applyFont="1" applyFill="1"/>
    <xf numFmtId="0" fontId="11" fillId="0" borderId="0" xfId="0" applyFont="1"/>
    <xf numFmtId="2" fontId="0" fillId="0" borderId="0" xfId="0" applyNumberFormat="1"/>
    <xf numFmtId="2" fontId="8" fillId="0" borderId="0" xfId="0" applyNumberFormat="1" applyFont="1" applyAlignment="1">
      <alignment horizontal="center"/>
    </xf>
    <xf numFmtId="0" fontId="12" fillId="0" borderId="0" xfId="0" applyFont="1"/>
    <xf numFmtId="0" fontId="12" fillId="0" borderId="0" xfId="0" applyFont="1" applyAlignment="1">
      <alignment horizontal="right"/>
    </xf>
    <xf numFmtId="2" fontId="12" fillId="0" borderId="0" xfId="0" applyNumberFormat="1" applyFont="1"/>
    <xf numFmtId="2" fontId="0" fillId="0" borderId="0" xfId="0" applyNumberFormat="1" applyAlignment="1">
      <alignment horizontal="center"/>
    </xf>
    <xf numFmtId="164" fontId="0" fillId="0" borderId="0" xfId="0" applyNumberFormat="1" applyAlignment="1" applyProtection="1">
      <alignment horizontal="center"/>
      <protection locked="0"/>
    </xf>
    <xf numFmtId="2" fontId="0" fillId="2" borderId="0" xfId="0" applyNumberFormat="1" applyFill="1"/>
    <xf numFmtId="0" fontId="1" fillId="0" borderId="0" xfId="0" applyFont="1" applyAlignment="1">
      <alignment horizontal="center" vertical="center"/>
    </xf>
    <xf numFmtId="1" fontId="0" fillId="0" borderId="0" xfId="0" applyNumberFormat="1" applyAlignment="1">
      <alignment horizontal="center"/>
    </xf>
    <xf numFmtId="1" fontId="0" fillId="0" borderId="0" xfId="0" applyNumberFormat="1"/>
    <xf numFmtId="0" fontId="1" fillId="0" borderId="0" xfId="0" applyFont="1" applyAlignment="1">
      <alignment vertical="center"/>
    </xf>
    <xf numFmtId="2" fontId="2" fillId="5" borderId="0" xfId="0" applyNumberFormat="1" applyFont="1" applyFill="1"/>
    <xf numFmtId="0" fontId="0" fillId="5" borderId="0" xfId="0" applyFill="1"/>
    <xf numFmtId="0" fontId="0" fillId="0" borderId="0" xfId="0" applyAlignment="1">
      <alignment horizontal="right" vertical="center"/>
    </xf>
    <xf numFmtId="0" fontId="1" fillId="0" borderId="0" xfId="0" applyFont="1" applyAlignment="1">
      <alignment horizontal="left" vertical="center"/>
    </xf>
    <xf numFmtId="0" fontId="17" fillId="0" borderId="0" xfId="0" applyFont="1" applyAlignment="1">
      <alignment horizontal="right"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0" fillId="0" borderId="19" xfId="0" applyBorder="1" applyAlignment="1">
      <alignment horizontal="center" vertical="center"/>
    </xf>
    <xf numFmtId="2" fontId="0" fillId="0" borderId="19" xfId="0" applyNumberFormat="1" applyBorder="1" applyAlignment="1">
      <alignment horizontal="center" vertical="center"/>
    </xf>
    <xf numFmtId="0" fontId="0" fillId="0" borderId="20" xfId="0" applyBorder="1" applyAlignment="1">
      <alignment horizontal="left"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left" vertical="center"/>
    </xf>
    <xf numFmtId="2" fontId="0" fillId="0" borderId="24" xfId="0" applyNumberFormat="1" applyBorder="1" applyAlignment="1">
      <alignment horizontal="center" vertical="center"/>
    </xf>
    <xf numFmtId="0" fontId="0" fillId="0" borderId="25" xfId="0" applyBorder="1" applyAlignment="1">
      <alignment horizontal="left" vertical="center"/>
    </xf>
    <xf numFmtId="0" fontId="0" fillId="0" borderId="26" xfId="0" applyBorder="1" applyAlignment="1">
      <alignment horizontal="center" vertical="center"/>
    </xf>
    <xf numFmtId="2" fontId="0" fillId="0" borderId="27" xfId="0" applyNumberFormat="1" applyBorder="1" applyAlignment="1">
      <alignment horizontal="center" vertical="center"/>
    </xf>
    <xf numFmtId="0" fontId="0" fillId="0" borderId="19" xfId="0" applyBorder="1" applyAlignment="1">
      <alignment horizontal="center"/>
    </xf>
    <xf numFmtId="0" fontId="0" fillId="0" borderId="26" xfId="0" applyBorder="1" applyAlignment="1">
      <alignment horizontal="center"/>
    </xf>
    <xf numFmtId="0" fontId="18" fillId="0" borderId="0" xfId="2" applyFill="1" applyBorder="1" applyAlignment="1">
      <alignment horizontal="left" vertical="center"/>
    </xf>
    <xf numFmtId="0" fontId="18" fillId="0" borderId="0" xfId="2"/>
    <xf numFmtId="0" fontId="0" fillId="6" borderId="0" xfId="0" applyFill="1"/>
    <xf numFmtId="0" fontId="16" fillId="3" borderId="18" xfId="0" applyFont="1" applyFill="1" applyBorder="1" applyAlignment="1" applyProtection="1">
      <alignment horizontal="center"/>
      <protection locked="0"/>
    </xf>
    <xf numFmtId="0" fontId="0" fillId="6" borderId="0" xfId="0" applyFill="1" applyAlignment="1">
      <alignment horizontal="center" vertical="center"/>
    </xf>
    <xf numFmtId="0" fontId="0" fillId="0" borderId="19" xfId="0" applyBorder="1"/>
    <xf numFmtId="0" fontId="0" fillId="0" borderId="19" xfId="0" applyBorder="1" applyAlignment="1">
      <alignment horizontal="left" vertical="center"/>
    </xf>
    <xf numFmtId="0" fontId="0" fillId="0" borderId="28" xfId="0" applyBorder="1" applyAlignment="1">
      <alignment horizontal="left" vertical="center"/>
    </xf>
    <xf numFmtId="168" fontId="0" fillId="0" borderId="19" xfId="0" applyNumberFormat="1" applyBorder="1" applyAlignment="1">
      <alignment horizontal="center" vertical="center"/>
    </xf>
    <xf numFmtId="4" fontId="0" fillId="0" borderId="0" xfId="0" applyNumberFormat="1" applyAlignment="1">
      <alignment horizontal="center" vertical="center"/>
    </xf>
    <xf numFmtId="4" fontId="0" fillId="0" borderId="0" xfId="0" applyNumberFormat="1"/>
    <xf numFmtId="0" fontId="8" fillId="0" borderId="0" xfId="0" applyFont="1" applyAlignment="1">
      <alignment horizontal="right" vertical="center"/>
    </xf>
    <xf numFmtId="167" fontId="10" fillId="0" borderId="0" xfId="0" applyNumberFormat="1" applyFont="1" applyProtection="1">
      <protection locked="0"/>
    </xf>
    <xf numFmtId="0" fontId="19" fillId="0" borderId="0" xfId="0" applyFont="1" applyProtection="1">
      <protection locked="0"/>
    </xf>
    <xf numFmtId="166" fontId="0" fillId="0" borderId="0" xfId="0" applyNumberFormat="1" applyAlignment="1">
      <alignment vertical="center"/>
    </xf>
    <xf numFmtId="0" fontId="0" fillId="0" borderId="22" xfId="0" applyBorder="1"/>
    <xf numFmtId="2" fontId="0" fillId="0" borderId="24" xfId="0" applyNumberFormat="1" applyBorder="1"/>
    <xf numFmtId="2" fontId="0" fillId="0" borderId="26" xfId="0" applyNumberFormat="1" applyBorder="1" applyAlignment="1">
      <alignment horizontal="center" vertical="center"/>
    </xf>
    <xf numFmtId="2" fontId="0" fillId="0" borderId="27" xfId="0" applyNumberFormat="1" applyBorder="1"/>
    <xf numFmtId="9" fontId="8" fillId="0" borderId="0" xfId="1" applyFont="1" applyFill="1" applyBorder="1" applyAlignment="1" applyProtection="1">
      <alignment horizontal="center"/>
      <protection locked="0"/>
    </xf>
    <xf numFmtId="0" fontId="0" fillId="0" borderId="27" xfId="0" applyBorder="1" applyAlignment="1">
      <alignment horizontal="center" vertical="center"/>
    </xf>
    <xf numFmtId="0" fontId="23" fillId="0" borderId="0" xfId="0" applyFont="1"/>
    <xf numFmtId="0" fontId="0" fillId="0" borderId="23"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right" vertical="center"/>
    </xf>
    <xf numFmtId="0" fontId="0" fillId="0" borderId="25" xfId="0" applyBorder="1" applyAlignment="1">
      <alignment horizontal="right" vertical="center"/>
    </xf>
    <xf numFmtId="0" fontId="0" fillId="0" borderId="0" xfId="0" quotePrefix="1" applyAlignment="1">
      <alignment horizontal="left" vertical="center"/>
    </xf>
    <xf numFmtId="0" fontId="0" fillId="0" borderId="36" xfId="0" applyBorder="1" applyAlignment="1">
      <alignment horizontal="center" vertical="center"/>
    </xf>
    <xf numFmtId="2" fontId="0" fillId="0" borderId="37" xfId="0" applyNumberFormat="1" applyBorder="1" applyAlignment="1">
      <alignment horizontal="center" vertical="center"/>
    </xf>
    <xf numFmtId="2" fontId="0" fillId="0" borderId="38" xfId="0" applyNumberFormat="1" applyBorder="1" applyAlignment="1">
      <alignment horizontal="center" vertical="center"/>
    </xf>
    <xf numFmtId="0" fontId="0" fillId="0" borderId="39" xfId="0" applyBorder="1" applyAlignment="1">
      <alignment horizontal="center" vertical="center"/>
    </xf>
    <xf numFmtId="2" fontId="0" fillId="0" borderId="40" xfId="0" applyNumberFormat="1" applyBorder="1" applyAlignment="1">
      <alignment horizontal="center" vertical="center"/>
    </xf>
    <xf numFmtId="2" fontId="0" fillId="0" borderId="41" xfId="0" applyNumberFormat="1" applyBorder="1" applyAlignment="1">
      <alignment horizontal="center" vertical="center"/>
    </xf>
    <xf numFmtId="0" fontId="0" fillId="6" borderId="19" xfId="0" applyFill="1" applyBorder="1" applyAlignment="1">
      <alignment horizontal="center" vertical="center"/>
    </xf>
    <xf numFmtId="0" fontId="7" fillId="0" borderId="0" xfId="0" applyFont="1" applyAlignment="1" applyProtection="1">
      <alignment horizontal="center"/>
      <protection locked="0"/>
    </xf>
    <xf numFmtId="0" fontId="10" fillId="0" borderId="10" xfId="0" applyFont="1" applyBorder="1" applyAlignment="1">
      <alignment horizontal="center"/>
    </xf>
    <xf numFmtId="0" fontId="14" fillId="0" borderId="17" xfId="0" applyFont="1" applyBorder="1" applyAlignment="1">
      <alignment horizontal="center" vertical="center"/>
    </xf>
    <xf numFmtId="0" fontId="14" fillId="0" borderId="0" xfId="0" applyFont="1" applyAlignment="1">
      <alignment horizontal="center" vertical="center"/>
    </xf>
    <xf numFmtId="0" fontId="15" fillId="0" borderId="17" xfId="0" quotePrefix="1" applyFont="1" applyBorder="1" applyAlignment="1">
      <alignment horizontal="center" vertical="center"/>
    </xf>
    <xf numFmtId="0" fontId="15" fillId="0" borderId="0" xfId="0" applyFont="1" applyAlignment="1">
      <alignment horizontal="center" vertical="center"/>
    </xf>
    <xf numFmtId="166" fontId="0" fillId="0" borderId="0" xfId="0" applyNumberFormat="1" applyAlignment="1">
      <alignment horizontal="left" vertical="center"/>
    </xf>
    <xf numFmtId="0" fontId="13" fillId="2" borderId="0" xfId="0" applyFont="1" applyFill="1" applyAlignment="1">
      <alignment horizontal="left"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5" fillId="0" borderId="0" xfId="0" applyFont="1" applyAlignment="1">
      <alignment horizontal="center" vertical="center"/>
    </xf>
    <xf numFmtId="0" fontId="22" fillId="0" borderId="0" xfId="0" applyFont="1" applyAlignment="1" applyProtection="1">
      <alignment horizontal="left" vertical="center" wrapText="1"/>
      <protection locked="0"/>
    </xf>
    <xf numFmtId="0" fontId="0" fillId="0" borderId="0" xfId="0" applyAlignment="1">
      <alignment horizontal="right"/>
    </xf>
    <xf numFmtId="0" fontId="0" fillId="0" borderId="16" xfId="0" applyBorder="1" applyAlignment="1">
      <alignment horizontal="right"/>
    </xf>
    <xf numFmtId="0" fontId="20" fillId="0" borderId="29" xfId="0" applyFont="1" applyBorder="1" applyAlignment="1" applyProtection="1">
      <alignment horizontal="center" vertical="center" wrapText="1"/>
      <protection locked="0"/>
    </xf>
    <xf numFmtId="0" fontId="20" fillId="0" borderId="30" xfId="0" applyFont="1" applyBorder="1" applyAlignment="1" applyProtection="1">
      <alignment horizontal="center" vertical="center" wrapText="1"/>
      <protection locked="0"/>
    </xf>
    <xf numFmtId="0" fontId="20" fillId="0" borderId="31" xfId="0" applyFont="1" applyBorder="1" applyAlignment="1" applyProtection="1">
      <alignment horizontal="center" vertical="center" wrapText="1"/>
      <protection locked="0"/>
    </xf>
    <xf numFmtId="0" fontId="20" fillId="0" borderId="7"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32" xfId="0" applyFont="1" applyBorder="1" applyAlignment="1" applyProtection="1">
      <alignment horizontal="center" vertical="center" wrapText="1"/>
      <protection locked="0"/>
    </xf>
    <xf numFmtId="0" fontId="20" fillId="0" borderId="33" xfId="0" applyFont="1" applyBorder="1" applyAlignment="1" applyProtection="1">
      <alignment horizontal="center" vertical="center" wrapText="1"/>
      <protection locked="0"/>
    </xf>
    <xf numFmtId="0" fontId="20" fillId="0" borderId="34" xfId="0" applyFont="1" applyBorder="1" applyAlignment="1" applyProtection="1">
      <alignment horizontal="center" vertical="center" wrapText="1"/>
      <protection locked="0"/>
    </xf>
    <xf numFmtId="0" fontId="20" fillId="0" borderId="35" xfId="0" applyFont="1" applyBorder="1" applyAlignment="1" applyProtection="1">
      <alignment horizontal="center" vertical="center" wrapText="1"/>
      <protection locked="0"/>
    </xf>
    <xf numFmtId="0" fontId="0" fillId="0" borderId="0" xfId="0" applyAlignment="1">
      <alignment horizontal="right" vertical="center"/>
    </xf>
    <xf numFmtId="0" fontId="0" fillId="0" borderId="16" xfId="0" applyBorder="1" applyAlignment="1">
      <alignment horizontal="right" vertical="center"/>
    </xf>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right" vertical="center"/>
    </xf>
    <xf numFmtId="0" fontId="0" fillId="0" borderId="44" xfId="0" applyBorder="1" applyAlignment="1">
      <alignment horizontal="right" vertical="center"/>
    </xf>
    <xf numFmtId="0" fontId="0" fillId="0" borderId="43" xfId="0" applyBorder="1" applyAlignment="1">
      <alignment horizontal="right" vertical="center"/>
    </xf>
    <xf numFmtId="0" fontId="0" fillId="0" borderId="19" xfId="0" applyBorder="1" applyAlignment="1">
      <alignment horizontal="right" vertical="center"/>
    </xf>
    <xf numFmtId="0" fontId="0" fillId="0" borderId="19" xfId="0" applyBorder="1" applyAlignment="1">
      <alignment horizontal="center"/>
    </xf>
    <xf numFmtId="0" fontId="0" fillId="6" borderId="0" xfId="0" applyFill="1" applyAlignment="1">
      <alignment horizontal="right" vertical="center"/>
    </xf>
  </cellXfs>
  <cellStyles count="3">
    <cellStyle name="Hyperlink" xfId="2" builtinId="8"/>
    <cellStyle name="Normal" xfId="0" builtinId="0"/>
    <cellStyle name="Percent" xfId="1" builtinId="5"/>
  </cellStyles>
  <dxfs count="15">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lor rgb="FFFF0000"/>
      </font>
    </dxf>
    <dxf>
      <font>
        <b/>
        <i val="0"/>
        <color rgb="FFFF0000"/>
      </font>
    </dxf>
    <dxf>
      <font>
        <b/>
        <i val="0"/>
        <color rgb="FFFF0000"/>
      </font>
    </dxf>
    <dxf>
      <font>
        <color rgb="FF9C0006"/>
      </font>
      <fill>
        <patternFill>
          <bgColor rgb="FFFFC7CE"/>
        </patternFill>
      </fill>
    </dxf>
    <dxf>
      <font>
        <color rgb="FFFF0000"/>
      </font>
    </dxf>
    <dxf>
      <font>
        <b/>
        <i val="0"/>
        <color rgb="FFFF0000"/>
      </font>
    </dxf>
    <dxf>
      <font>
        <color rgb="FF9C0006"/>
      </font>
      <fill>
        <patternFill>
          <bgColor rgb="FFFFC7CE"/>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builderscalculator.com/lumber-weight-calculato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onstructionknowledge.net/metal/images_metal/l%20Steel%20section%20tables%2008030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D1A2-2656-4CE7-83DE-3EFE121DB2B2}">
  <sheetPr>
    <pageSetUpPr fitToPage="1"/>
  </sheetPr>
  <dimension ref="A1:N117"/>
  <sheetViews>
    <sheetView zoomScaleNormal="100" workbookViewId="0">
      <selection activeCell="F1" sqref="F1:F3"/>
    </sheetView>
  </sheetViews>
  <sheetFormatPr defaultRowHeight="14.4" x14ac:dyDescent="0.3"/>
  <cols>
    <col min="1" max="1" width="24.5546875" customWidth="1"/>
    <col min="7" max="7" width="12" customWidth="1"/>
    <col min="9" max="9" width="10.88671875" customWidth="1"/>
  </cols>
  <sheetData>
    <row r="1" spans="1:10" x14ac:dyDescent="0.3">
      <c r="A1" s="2" t="s">
        <v>26</v>
      </c>
      <c r="B1" s="1">
        <f>(Weight!D8)</f>
        <v>12</v>
      </c>
      <c r="C1" t="s">
        <v>7</v>
      </c>
      <c r="E1" s="118" t="s">
        <v>224</v>
      </c>
      <c r="F1" s="120">
        <v>0</v>
      </c>
      <c r="G1" s="61"/>
    </row>
    <row r="2" spans="1:10" x14ac:dyDescent="0.3">
      <c r="A2" s="2" t="s">
        <v>27</v>
      </c>
      <c r="B2" s="1">
        <f>(Weight!D9)</f>
        <v>56</v>
      </c>
      <c r="C2" t="s">
        <v>7</v>
      </c>
      <c r="E2" s="119"/>
      <c r="F2" s="121"/>
    </row>
    <row r="3" spans="1:10" x14ac:dyDescent="0.3">
      <c r="E3" s="119"/>
      <c r="F3" s="121"/>
    </row>
    <row r="4" spans="1:10" s="4" customFormat="1" ht="21" x14ac:dyDescent="0.4">
      <c r="A4" s="3" t="s">
        <v>4</v>
      </c>
    </row>
    <row r="5" spans="1:10" x14ac:dyDescent="0.3">
      <c r="B5" t="s">
        <v>16</v>
      </c>
      <c r="C5" t="s">
        <v>9</v>
      </c>
      <c r="D5" t="s">
        <v>5</v>
      </c>
      <c r="E5" t="s">
        <v>20</v>
      </c>
      <c r="F5" t="s">
        <v>18</v>
      </c>
      <c r="G5" t="s">
        <v>21</v>
      </c>
      <c r="H5" t="s">
        <v>19</v>
      </c>
      <c r="I5" t="s">
        <v>22</v>
      </c>
    </row>
    <row r="6" spans="1:10" x14ac:dyDescent="0.3">
      <c r="B6" s="1">
        <f>(Weight!J56)</f>
        <v>3.25</v>
      </c>
      <c r="C6" s="50">
        <f>B1</f>
        <v>12</v>
      </c>
      <c r="D6" s="50">
        <f>B2</f>
        <v>56</v>
      </c>
      <c r="E6" s="50">
        <f>B6*C6*D6</f>
        <v>2184</v>
      </c>
      <c r="F6" s="50">
        <f>B2/2</f>
        <v>28</v>
      </c>
      <c r="G6" s="50">
        <f>F6*E6</f>
        <v>61152</v>
      </c>
      <c r="H6" s="50">
        <f>(B1/2)</f>
        <v>6</v>
      </c>
      <c r="I6" s="50">
        <f>H6*E6</f>
        <v>13104</v>
      </c>
      <c r="J6" t="s">
        <v>228</v>
      </c>
    </row>
    <row r="7" spans="1:10" x14ac:dyDescent="0.3">
      <c r="H7" s="50">
        <f>(B1/2)+(B108/12)</f>
        <v>6</v>
      </c>
      <c r="I7" s="50">
        <f>H7*E6</f>
        <v>13104</v>
      </c>
      <c r="J7" t="s">
        <v>225</v>
      </c>
    </row>
    <row r="8" spans="1:10" s="4" customFormat="1" ht="21" x14ac:dyDescent="0.4">
      <c r="A8" s="3" t="s">
        <v>0</v>
      </c>
    </row>
    <row r="9" spans="1:10" x14ac:dyDescent="0.3">
      <c r="B9" t="s">
        <v>16</v>
      </c>
      <c r="C9" t="s">
        <v>9</v>
      </c>
      <c r="D9" t="s">
        <v>5</v>
      </c>
      <c r="E9" t="s">
        <v>20</v>
      </c>
      <c r="F9" t="s">
        <v>18</v>
      </c>
      <c r="G9" t="s">
        <v>21</v>
      </c>
      <c r="H9" t="s">
        <v>19</v>
      </c>
      <c r="I9" t="s">
        <v>22</v>
      </c>
    </row>
    <row r="10" spans="1:10" x14ac:dyDescent="0.3">
      <c r="B10" s="1">
        <f>(Weight!J31)</f>
        <v>7.6999999999999993</v>
      </c>
      <c r="C10" s="50">
        <f>B1</f>
        <v>12</v>
      </c>
      <c r="D10">
        <f>B2</f>
        <v>56</v>
      </c>
      <c r="E10" s="50">
        <f>B10*C10*D10</f>
        <v>5174.3999999999996</v>
      </c>
      <c r="F10">
        <f>B2/2</f>
        <v>28</v>
      </c>
      <c r="G10" s="50">
        <f>F10*E10</f>
        <v>144883.19999999998</v>
      </c>
      <c r="H10" s="50">
        <f>B1/2</f>
        <v>6</v>
      </c>
      <c r="I10" s="50">
        <f>H10*E10</f>
        <v>31046.399999999998</v>
      </c>
    </row>
    <row r="12" spans="1:10" s="4" customFormat="1" ht="21" x14ac:dyDescent="0.4">
      <c r="A12" s="3" t="s">
        <v>1</v>
      </c>
    </row>
    <row r="13" spans="1:10" x14ac:dyDescent="0.3">
      <c r="B13" t="s">
        <v>16</v>
      </c>
      <c r="C13" t="s">
        <v>9</v>
      </c>
      <c r="D13" t="s">
        <v>5</v>
      </c>
      <c r="E13" t="s">
        <v>20</v>
      </c>
      <c r="F13" t="s">
        <v>18</v>
      </c>
      <c r="G13" t="s">
        <v>21</v>
      </c>
      <c r="H13" t="s">
        <v>19</v>
      </c>
      <c r="I13" t="s">
        <v>22</v>
      </c>
    </row>
    <row r="14" spans="1:10" x14ac:dyDescent="0.3">
      <c r="A14" t="s">
        <v>23</v>
      </c>
      <c r="B14" s="1">
        <f>IF(Weight!E41&gt;0,Weight!J47-Weight!F41,Weight!J47)</f>
        <v>9.3510682213149376</v>
      </c>
      <c r="C14" s="57">
        <f>($B$1+(Weight!E42/12))/2</f>
        <v>6.083333333333333</v>
      </c>
      <c r="D14" s="1"/>
      <c r="E14" s="50">
        <f>B14*C14*D14</f>
        <v>0</v>
      </c>
      <c r="F14" s="1">
        <f>B2/2</f>
        <v>28</v>
      </c>
      <c r="G14" s="50">
        <f>F14*E14</f>
        <v>0</v>
      </c>
      <c r="H14" s="1"/>
      <c r="I14" s="50">
        <f>H14*E14</f>
        <v>0</v>
      </c>
    </row>
    <row r="15" spans="1:10" x14ac:dyDescent="0.3">
      <c r="A15" t="s">
        <v>23</v>
      </c>
      <c r="B15" s="1">
        <f>IF(Weight!E41&gt;0,Weight!J47-Weight!F41,Weight!J47)</f>
        <v>9.3510682213149376</v>
      </c>
      <c r="C15" s="57">
        <f>($B$1+(Weight!E42/12))/2</f>
        <v>6.083333333333333</v>
      </c>
      <c r="D15" s="1"/>
      <c r="E15" s="50">
        <f>B15*C15*D15</f>
        <v>0</v>
      </c>
      <c r="F15" s="1">
        <f>B2/2</f>
        <v>28</v>
      </c>
      <c r="G15" s="50">
        <f>F15*E15</f>
        <v>0</v>
      </c>
      <c r="H15" s="1"/>
      <c r="I15" s="50">
        <f>H15*E15</f>
        <v>0</v>
      </c>
    </row>
    <row r="16" spans="1:10" x14ac:dyDescent="0.3">
      <c r="A16" t="s">
        <v>10</v>
      </c>
      <c r="B16" s="1">
        <f>IF(Weight!E41&gt;0,Weight!J47-Weight!F41,Weight!J47)</f>
        <v>9.3510682213149376</v>
      </c>
      <c r="C16" s="57">
        <f>($B$1+(Weight!E42/12))/2</f>
        <v>6.083333333333333</v>
      </c>
      <c r="D16" s="1"/>
      <c r="E16" s="50">
        <f>B16*C16*D16</f>
        <v>0</v>
      </c>
      <c r="F16" s="1"/>
      <c r="G16" s="50">
        <f>F16*E16</f>
        <v>0</v>
      </c>
      <c r="H16" s="1"/>
      <c r="I16" s="50">
        <f>H16*E16</f>
        <v>0</v>
      </c>
    </row>
    <row r="17" spans="1:13" x14ac:dyDescent="0.3">
      <c r="A17" t="s">
        <v>11</v>
      </c>
      <c r="B17" s="1">
        <f>IF(Weight!E41&gt;0,Weight!J47-Weight!F41,Weight!J47)</f>
        <v>9.3510682213149376</v>
      </c>
      <c r="C17" s="57">
        <f>($B$1+(Weight!E42/12))/2</f>
        <v>6.083333333333333</v>
      </c>
      <c r="D17" s="1"/>
      <c r="E17" s="50">
        <f t="shared" ref="E17:E27" si="0">B17*C17*D17</f>
        <v>0</v>
      </c>
      <c r="F17" s="1"/>
      <c r="G17" s="50">
        <f t="shared" ref="G17:G27" si="1">F17*E17</f>
        <v>0</v>
      </c>
      <c r="H17" s="1"/>
      <c r="I17" s="50">
        <f t="shared" ref="I17:I27" si="2">H17*E17</f>
        <v>0</v>
      </c>
    </row>
    <row r="18" spans="1:13" x14ac:dyDescent="0.3">
      <c r="A18" t="s">
        <v>12</v>
      </c>
      <c r="B18" s="1">
        <f>IF(Weight!E41&gt;0,Weight!J47-Weight!F41,Weight!J47)</f>
        <v>9.3510682213149376</v>
      </c>
      <c r="C18" s="57">
        <f>($B$1+(Weight!E42/12))/2</f>
        <v>6.083333333333333</v>
      </c>
      <c r="D18" s="1"/>
      <c r="E18" s="50">
        <f t="shared" si="0"/>
        <v>0</v>
      </c>
      <c r="F18" s="1"/>
      <c r="G18" s="50">
        <f t="shared" si="1"/>
        <v>0</v>
      </c>
      <c r="H18" s="1"/>
      <c r="I18" s="50">
        <f t="shared" si="2"/>
        <v>0</v>
      </c>
      <c r="M18" s="50"/>
    </row>
    <row r="19" spans="1:13" x14ac:dyDescent="0.3">
      <c r="A19" t="s">
        <v>13</v>
      </c>
      <c r="B19" s="1">
        <f>IF(Weight!E41&gt;0,Weight!J47-Weight!F41,Weight!J47)</f>
        <v>9.3510682213149376</v>
      </c>
      <c r="C19" s="57">
        <f>($B$1+(Weight!E42/12))/2</f>
        <v>6.083333333333333</v>
      </c>
      <c r="D19" s="1"/>
      <c r="E19" s="50">
        <f t="shared" si="0"/>
        <v>0</v>
      </c>
      <c r="F19" s="1"/>
      <c r="G19" s="50">
        <f t="shared" si="1"/>
        <v>0</v>
      </c>
      <c r="H19" s="1"/>
      <c r="I19" s="50">
        <f t="shared" si="2"/>
        <v>0</v>
      </c>
    </row>
    <row r="20" spans="1:13" x14ac:dyDescent="0.3">
      <c r="A20" t="s">
        <v>24</v>
      </c>
      <c r="B20" s="1">
        <f>IF(Weight!E41&gt;0,Weight!J47-Weight!F41,Weight!J47)</f>
        <v>9.3510682213149376</v>
      </c>
      <c r="C20" s="57">
        <f>($B$1+(Weight!E42/12))/2</f>
        <v>6.083333333333333</v>
      </c>
      <c r="D20" s="1"/>
      <c r="E20" s="50">
        <f t="shared" si="0"/>
        <v>0</v>
      </c>
      <c r="F20" s="1"/>
      <c r="G20" s="50">
        <f t="shared" si="1"/>
        <v>0</v>
      </c>
      <c r="H20" s="1"/>
      <c r="I20" s="50">
        <f t="shared" si="2"/>
        <v>0</v>
      </c>
    </row>
    <row r="21" spans="1:13" x14ac:dyDescent="0.3">
      <c r="A21" t="s">
        <v>25</v>
      </c>
      <c r="B21" s="1">
        <f>IF(Weight!E41&gt;0,Weight!J47-Weight!F41,Weight!J47)</f>
        <v>9.3510682213149376</v>
      </c>
      <c r="C21" s="57">
        <f>($B$1+(Weight!E42/12))/2</f>
        <v>6.083333333333333</v>
      </c>
      <c r="D21" s="1"/>
      <c r="E21" s="50">
        <f t="shared" si="0"/>
        <v>0</v>
      </c>
      <c r="F21" s="1"/>
      <c r="G21" s="50">
        <f t="shared" si="1"/>
        <v>0</v>
      </c>
      <c r="H21" s="1"/>
      <c r="I21" s="50">
        <f t="shared" si="2"/>
        <v>0</v>
      </c>
      <c r="K21" s="50"/>
    </row>
    <row r="22" spans="1:13" x14ac:dyDescent="0.3">
      <c r="A22" t="s">
        <v>158</v>
      </c>
      <c r="B22" s="1">
        <f>IF(Weight!E41&gt;0,Weight!J47-Weight!F41,Weight!J47)</f>
        <v>9.3510682213149376</v>
      </c>
      <c r="C22" s="57">
        <f>($B$1+(Weight!E42/12))/2</f>
        <v>6.083333333333333</v>
      </c>
      <c r="D22" s="1"/>
      <c r="E22" s="50">
        <f t="shared" si="0"/>
        <v>0</v>
      </c>
      <c r="F22" s="1"/>
      <c r="G22" s="50">
        <f t="shared" si="1"/>
        <v>0</v>
      </c>
      <c r="H22" s="1"/>
      <c r="I22" s="50">
        <f t="shared" si="2"/>
        <v>0</v>
      </c>
    </row>
    <row r="23" spans="1:13" x14ac:dyDescent="0.3">
      <c r="A23" t="s">
        <v>159</v>
      </c>
      <c r="B23" s="1">
        <f>IF(Weight!E41&gt;0,Weight!J47-Weight!F41,Weight!J47)</f>
        <v>9.3510682213149376</v>
      </c>
      <c r="C23" s="57">
        <f>($B$1+(Weight!E42/12))/2</f>
        <v>6.083333333333333</v>
      </c>
      <c r="D23" s="1"/>
      <c r="E23" s="50">
        <f t="shared" si="0"/>
        <v>0</v>
      </c>
      <c r="F23" s="1"/>
      <c r="G23" s="50">
        <f t="shared" si="1"/>
        <v>0</v>
      </c>
      <c r="H23" s="1"/>
      <c r="I23" s="50">
        <f t="shared" si="2"/>
        <v>0</v>
      </c>
    </row>
    <row r="24" spans="1:13" x14ac:dyDescent="0.3">
      <c r="A24" t="str">
        <f>IF(Weight!E41=1,Weight!C41,"-")</f>
        <v>-</v>
      </c>
      <c r="B24" s="57">
        <f>IF(Weight!E41=1,INDEX(Materials!K73:K79,MATCH(A24,Materials!I73:I79,0)),Materials!B69)</f>
        <v>0</v>
      </c>
      <c r="C24" s="57">
        <f>IF(A24="1-ply wood girder:",0.13,IF(A24="2-ply wood girder:",0.25,IF(A24="3-ply wood girder:",0.35,IF(A24="4-ply wood girder:",0.5,IF(A24="bar joist:",0.54,IF(A24="4-ply wood girder:",0.5,IF(A24="1-Ply 1-3/4""x16"" Microlam:",0.15,0.29)))))))</f>
        <v>0.28999999999999998</v>
      </c>
      <c r="D24" s="1"/>
      <c r="E24" s="50">
        <f t="shared" si="0"/>
        <v>0</v>
      </c>
      <c r="F24" s="1">
        <f>B2/2</f>
        <v>28</v>
      </c>
      <c r="G24" s="50">
        <f t="shared" si="1"/>
        <v>0</v>
      </c>
      <c r="H24" s="57">
        <f>IF(AND(Weight!E41=0,OR(H14="",H14=0)),0,IF(AND(AND(AND(AND(AND(Weight!E41&gt;0),Weight!D16="n",Weight!D17="y",H14&gt;0,H14&lt;6)))),B1-(C24/2),IF(AND(AND(AND(AND(Weight!E41&gt;0),Weight!D16="n",Weight!D17="y",H14&gt;6))),(C24/2),IF(AND(AND(AND(AND(Weight!E41&gt;0),Weight!D16="n"),Weight!D17="n",H14&gt;6)),(C24/2),IF(AND(AND(AND(Weight!E41&gt;0),Weight!D16="n",Weight!D17="n")),(C24/2),0)))))</f>
        <v>0</v>
      </c>
      <c r="I24" s="50">
        <f t="shared" si="2"/>
        <v>0</v>
      </c>
    </row>
    <row r="25" spans="1:13" x14ac:dyDescent="0.3">
      <c r="A25" t="str">
        <f>IF(Weight!E41=1,Weight!C41,"-")</f>
        <v>-</v>
      </c>
      <c r="B25" s="57">
        <f>IF(Weight!E41=1,INDEX(Materials!K73:K79,MATCH(A25,Materials!I73:I79,0)),Materials!B69)</f>
        <v>0</v>
      </c>
      <c r="C25" s="57">
        <f>IF(A25="1-ply wood girder:",0.13,IF(A25="2-ply wood girder:",0.25,IF(A25="3-ply wood girder:",0.35,IF(A25="4-ply wood girder:",0.5,IF(A25="bar joist:",0.54,IF(A25="4-ply wood girder:",0.5,IF(A25="1-Ply 1-3/4""x16"" Microlam:",0.15,0.29)))))))</f>
        <v>0.28999999999999998</v>
      </c>
      <c r="D25" s="1"/>
      <c r="E25" s="50">
        <f t="shared" si="0"/>
        <v>0</v>
      </c>
      <c r="F25" s="1">
        <f>B2/2</f>
        <v>28</v>
      </c>
      <c r="G25" s="50">
        <f t="shared" si="1"/>
        <v>0</v>
      </c>
      <c r="H25" s="57">
        <f>IF(AND(Weight!E41=0,OR(H15="",H15=0)),0,IF(AND(AND(AND(AND(AND(Weight!E41&gt;0),Weight!D16="n",Weight!D17="y",H15&gt;0,H15&lt;6)))),B1-(C25/2),IF(AND(AND(AND(AND(Weight!E41&gt;0),Weight!D16="n",Weight!D17="y",H15&gt;6))),(C25/2),IF(AND(AND(AND(AND(Weight!E41&gt;0),Weight!D16="n"),Weight!D17="n",H15&gt;6)),(C25/2),IF(AND(AND(AND(Weight!E41&gt;0),Weight!D16="n",Weight!D17="n")),B1-(C25/2),0)))))</f>
        <v>0</v>
      </c>
      <c r="I25" s="50">
        <f t="shared" si="2"/>
        <v>0</v>
      </c>
    </row>
    <row r="26" spans="1:13" x14ac:dyDescent="0.3">
      <c r="A26" t="s">
        <v>222</v>
      </c>
      <c r="B26" s="57">
        <f>Materials!B67</f>
        <v>0.57499999999999996</v>
      </c>
      <c r="C26" s="57"/>
      <c r="D26" s="1"/>
      <c r="E26" s="50">
        <f t="shared" si="0"/>
        <v>0</v>
      </c>
      <c r="F26" s="1">
        <f>B2/2</f>
        <v>28</v>
      </c>
      <c r="G26" s="50">
        <f t="shared" si="1"/>
        <v>0</v>
      </c>
      <c r="H26" s="1"/>
      <c r="I26" s="50">
        <f t="shared" si="2"/>
        <v>0</v>
      </c>
    </row>
    <row r="27" spans="1:13" x14ac:dyDescent="0.3">
      <c r="A27" t="s">
        <v>222</v>
      </c>
      <c r="B27" s="57">
        <f>Materials!B67</f>
        <v>0.57499999999999996</v>
      </c>
      <c r="C27" s="57"/>
      <c r="D27" s="1"/>
      <c r="E27" s="50">
        <f t="shared" si="0"/>
        <v>0</v>
      </c>
      <c r="F27" s="1">
        <f>B2/2</f>
        <v>28</v>
      </c>
      <c r="G27" s="50">
        <f t="shared" si="1"/>
        <v>0</v>
      </c>
      <c r="H27" s="1"/>
      <c r="I27" s="50">
        <f t="shared" si="2"/>
        <v>0</v>
      </c>
    </row>
    <row r="28" spans="1:13" x14ac:dyDescent="0.3">
      <c r="A28" t="s">
        <v>28</v>
      </c>
      <c r="E28" s="50">
        <f>SUM(E14:E27)</f>
        <v>0</v>
      </c>
      <c r="G28" s="50">
        <f>SUM(G14:G27)</f>
        <v>0</v>
      </c>
      <c r="I28" s="50">
        <f>SUM(I14:I27)</f>
        <v>0</v>
      </c>
    </row>
    <row r="30" spans="1:13" ht="21" x14ac:dyDescent="0.4">
      <c r="A30" s="3" t="s">
        <v>15</v>
      </c>
    </row>
    <row r="31" spans="1:13" x14ac:dyDescent="0.3">
      <c r="B31" t="s">
        <v>16</v>
      </c>
      <c r="C31" t="s">
        <v>17</v>
      </c>
      <c r="D31" t="s">
        <v>5</v>
      </c>
      <c r="E31" t="s">
        <v>20</v>
      </c>
      <c r="F31" t="s">
        <v>18</v>
      </c>
      <c r="G31" t="s">
        <v>21</v>
      </c>
      <c r="H31" t="s">
        <v>19</v>
      </c>
      <c r="I31" t="s">
        <v>22</v>
      </c>
    </row>
    <row r="32" spans="1:13" x14ac:dyDescent="0.3">
      <c r="A32" t="s">
        <v>109</v>
      </c>
      <c r="B32" s="1">
        <f>SUM(Weight!J71)</f>
        <v>6.9</v>
      </c>
      <c r="C32" s="1">
        <f>SUM(Weight!D10)</f>
        <v>10</v>
      </c>
      <c r="D32" s="1"/>
      <c r="E32" s="50">
        <f>B32*C32*D32</f>
        <v>0</v>
      </c>
      <c r="F32" s="1">
        <f>B2/2</f>
        <v>28</v>
      </c>
      <c r="G32" s="50">
        <f>F32*E32</f>
        <v>0</v>
      </c>
      <c r="H32" s="1"/>
      <c r="I32" s="50">
        <f>H32*E32</f>
        <v>0</v>
      </c>
    </row>
    <row r="33" spans="1:9" x14ac:dyDescent="0.3">
      <c r="A33" t="s">
        <v>109</v>
      </c>
      <c r="B33" s="1">
        <f>SUM(Weight!J71)</f>
        <v>6.9</v>
      </c>
      <c r="C33" s="1">
        <f>SUM(Weight!D10)</f>
        <v>10</v>
      </c>
      <c r="D33" s="1"/>
      <c r="E33" s="50">
        <f>B33*C33*D33</f>
        <v>0</v>
      </c>
      <c r="F33" s="1">
        <f>B2/2</f>
        <v>28</v>
      </c>
      <c r="G33" s="50">
        <f>F33*E33</f>
        <v>0</v>
      </c>
      <c r="H33" s="1"/>
      <c r="I33" s="50">
        <f>H33*E33</f>
        <v>0</v>
      </c>
    </row>
    <row r="34" spans="1:9" x14ac:dyDescent="0.3">
      <c r="A34" t="s">
        <v>110</v>
      </c>
      <c r="B34" s="1">
        <f>SUM(Weight!J71)</f>
        <v>6.9</v>
      </c>
      <c r="C34" s="1">
        <f>SUM(Weight!D11)</f>
        <v>10</v>
      </c>
      <c r="D34" s="1"/>
      <c r="E34" s="50">
        <f t="shared" ref="E34:E56" si="3">B34*C34*D34</f>
        <v>0</v>
      </c>
      <c r="F34" s="1"/>
      <c r="G34" s="50">
        <f>F34*E34</f>
        <v>0</v>
      </c>
      <c r="H34" s="1"/>
      <c r="I34" s="50">
        <f>H34*E34</f>
        <v>0</v>
      </c>
    </row>
    <row r="35" spans="1:9" x14ac:dyDescent="0.3">
      <c r="A35" t="s">
        <v>110</v>
      </c>
      <c r="B35" s="1">
        <f>SUM(Weight!J71)</f>
        <v>6.9</v>
      </c>
      <c r="C35" s="1">
        <f>SUM(Weight!D11)</f>
        <v>10</v>
      </c>
      <c r="D35" s="1"/>
      <c r="E35" s="50">
        <f t="shared" si="3"/>
        <v>0</v>
      </c>
      <c r="F35" s="1"/>
      <c r="G35" s="50">
        <f t="shared" ref="G35:G56" si="4">F35*E35</f>
        <v>0</v>
      </c>
      <c r="H35" s="1"/>
      <c r="I35" s="50">
        <f t="shared" ref="I35:I56" si="5">H35*E35</f>
        <v>0</v>
      </c>
    </row>
    <row r="36" spans="1:9" x14ac:dyDescent="0.3">
      <c r="A36" t="s">
        <v>111</v>
      </c>
      <c r="B36" s="1">
        <f>SUM(Weight!J84)</f>
        <v>6.5399999999999991</v>
      </c>
      <c r="C36" s="1">
        <f>SUM(Weight!D13)</f>
        <v>8.1</v>
      </c>
      <c r="D36" s="1"/>
      <c r="E36" s="50">
        <f t="shared" si="3"/>
        <v>0</v>
      </c>
      <c r="F36" s="1"/>
      <c r="G36" s="50">
        <f t="shared" si="4"/>
        <v>0</v>
      </c>
      <c r="H36" s="1"/>
      <c r="I36" s="50">
        <f t="shared" si="5"/>
        <v>0</v>
      </c>
    </row>
    <row r="37" spans="1:9" x14ac:dyDescent="0.3">
      <c r="A37">
        <v>6</v>
      </c>
      <c r="B37" s="1">
        <f>SUM(Weight!J84)</f>
        <v>6.5399999999999991</v>
      </c>
      <c r="C37" s="1">
        <f>SUM(Weight!D13)</f>
        <v>8.1</v>
      </c>
      <c r="D37" s="1"/>
      <c r="E37" s="50">
        <f t="shared" si="3"/>
        <v>0</v>
      </c>
      <c r="F37" s="1"/>
      <c r="G37" s="50">
        <f t="shared" si="4"/>
        <v>0</v>
      </c>
      <c r="H37" s="1"/>
      <c r="I37" s="50">
        <f t="shared" si="5"/>
        <v>0</v>
      </c>
    </row>
    <row r="38" spans="1:9" x14ac:dyDescent="0.3">
      <c r="A38">
        <v>7</v>
      </c>
      <c r="B38" s="1">
        <f>SUM(Weight!J84)</f>
        <v>6.5399999999999991</v>
      </c>
      <c r="C38" s="1">
        <f>SUM(Weight!D13)</f>
        <v>8.1</v>
      </c>
      <c r="D38" s="1"/>
      <c r="E38" s="50">
        <f t="shared" si="3"/>
        <v>0</v>
      </c>
      <c r="F38" s="1"/>
      <c r="G38" s="50">
        <f t="shared" si="4"/>
        <v>0</v>
      </c>
      <c r="H38" s="1"/>
      <c r="I38" s="50">
        <f t="shared" si="5"/>
        <v>0</v>
      </c>
    </row>
    <row r="39" spans="1:9" x14ac:dyDescent="0.3">
      <c r="A39">
        <v>8</v>
      </c>
      <c r="B39" s="1">
        <f>SUM(Weight!J84)</f>
        <v>6.5399999999999991</v>
      </c>
      <c r="C39" s="1">
        <f>SUM(Weight!D13)</f>
        <v>8.1</v>
      </c>
      <c r="D39" s="1"/>
      <c r="E39" s="50">
        <f t="shared" si="3"/>
        <v>0</v>
      </c>
      <c r="F39" s="1"/>
      <c r="G39" s="50">
        <f t="shared" si="4"/>
        <v>0</v>
      </c>
      <c r="H39" s="1"/>
      <c r="I39" s="50">
        <f t="shared" si="5"/>
        <v>0</v>
      </c>
    </row>
    <row r="40" spans="1:9" x14ac:dyDescent="0.3">
      <c r="A40">
        <v>9</v>
      </c>
      <c r="B40" s="1">
        <f>SUM(Weight!J84)</f>
        <v>6.5399999999999991</v>
      </c>
      <c r="C40" s="1">
        <f>SUM(Weight!D13)</f>
        <v>8.1</v>
      </c>
      <c r="D40" s="1"/>
      <c r="E40" s="50">
        <f t="shared" si="3"/>
        <v>0</v>
      </c>
      <c r="F40" s="1"/>
      <c r="G40" s="50">
        <f t="shared" si="4"/>
        <v>0</v>
      </c>
      <c r="H40" s="1"/>
      <c r="I40" s="50">
        <f t="shared" si="5"/>
        <v>0</v>
      </c>
    </row>
    <row r="41" spans="1:9" x14ac:dyDescent="0.3">
      <c r="A41">
        <v>10</v>
      </c>
      <c r="B41" s="1">
        <f>SUM(Weight!J84)</f>
        <v>6.5399999999999991</v>
      </c>
      <c r="C41" s="1">
        <f>SUM(Weight!D13)</f>
        <v>8.1</v>
      </c>
      <c r="D41" s="1"/>
      <c r="E41" s="50">
        <f t="shared" si="3"/>
        <v>0</v>
      </c>
      <c r="F41" s="1"/>
      <c r="G41" s="50">
        <f t="shared" si="4"/>
        <v>0</v>
      </c>
      <c r="H41" s="1"/>
      <c r="I41" s="50">
        <f t="shared" si="5"/>
        <v>0</v>
      </c>
    </row>
    <row r="42" spans="1:9" x14ac:dyDescent="0.3">
      <c r="A42">
        <v>11</v>
      </c>
      <c r="B42" s="1">
        <f>SUM(Weight!J84)</f>
        <v>6.5399999999999991</v>
      </c>
      <c r="C42" s="1">
        <f>SUM(Weight!D13)</f>
        <v>8.1</v>
      </c>
      <c r="D42" s="1"/>
      <c r="E42" s="50">
        <f t="shared" si="3"/>
        <v>0</v>
      </c>
      <c r="F42" s="1"/>
      <c r="G42" s="50">
        <f t="shared" si="4"/>
        <v>0</v>
      </c>
      <c r="H42" s="1"/>
      <c r="I42" s="50">
        <f t="shared" si="5"/>
        <v>0</v>
      </c>
    </row>
    <row r="43" spans="1:9" x14ac:dyDescent="0.3">
      <c r="A43">
        <v>12</v>
      </c>
      <c r="B43" s="1">
        <f>SUM(Weight!J84)</f>
        <v>6.5399999999999991</v>
      </c>
      <c r="C43" s="1">
        <f>SUM(Weight!D13)</f>
        <v>8.1</v>
      </c>
      <c r="D43" s="1"/>
      <c r="E43" s="50">
        <f t="shared" si="3"/>
        <v>0</v>
      </c>
      <c r="F43" s="1"/>
      <c r="G43" s="50">
        <f t="shared" si="4"/>
        <v>0</v>
      </c>
      <c r="H43" s="1"/>
      <c r="I43" s="50">
        <f t="shared" si="5"/>
        <v>0</v>
      </c>
    </row>
    <row r="44" spans="1:9" x14ac:dyDescent="0.3">
      <c r="A44">
        <v>13</v>
      </c>
      <c r="B44" s="1">
        <f>SUM(Weight!J84)</f>
        <v>6.5399999999999991</v>
      </c>
      <c r="C44" s="1">
        <f>SUM(Weight!D13)</f>
        <v>8.1</v>
      </c>
      <c r="D44" s="1"/>
      <c r="E44" s="50">
        <f t="shared" si="3"/>
        <v>0</v>
      </c>
      <c r="F44" s="1"/>
      <c r="G44" s="50">
        <f t="shared" si="4"/>
        <v>0</v>
      </c>
      <c r="H44" s="1"/>
      <c r="I44" s="50">
        <f t="shared" si="5"/>
        <v>0</v>
      </c>
    </row>
    <row r="45" spans="1:9" x14ac:dyDescent="0.3">
      <c r="A45">
        <v>14</v>
      </c>
      <c r="B45" s="1">
        <f>SUM(Weight!J84)</f>
        <v>6.5399999999999991</v>
      </c>
      <c r="C45" s="1">
        <f>SUM(Weight!D13)</f>
        <v>8.1</v>
      </c>
      <c r="D45" s="1"/>
      <c r="E45" s="50">
        <f t="shared" si="3"/>
        <v>0</v>
      </c>
      <c r="F45" s="1"/>
      <c r="G45" s="50">
        <f t="shared" si="4"/>
        <v>0</v>
      </c>
      <c r="H45" s="1"/>
      <c r="I45" s="50">
        <f t="shared" si="5"/>
        <v>0</v>
      </c>
    </row>
    <row r="46" spans="1:9" x14ac:dyDescent="0.3">
      <c r="A46">
        <v>15</v>
      </c>
      <c r="B46" s="1">
        <f>SUM(Weight!J84)</f>
        <v>6.5399999999999991</v>
      </c>
      <c r="C46" s="1">
        <f>SUM(Weight!D13)</f>
        <v>8.1</v>
      </c>
      <c r="D46" s="1"/>
      <c r="E46" s="50">
        <f t="shared" si="3"/>
        <v>0</v>
      </c>
      <c r="F46" s="1"/>
      <c r="G46" s="50">
        <f t="shared" si="4"/>
        <v>0</v>
      </c>
      <c r="H46" s="1"/>
      <c r="I46" s="50">
        <f t="shared" si="5"/>
        <v>0</v>
      </c>
    </row>
    <row r="47" spans="1:9" x14ac:dyDescent="0.3">
      <c r="A47">
        <v>16</v>
      </c>
      <c r="B47" s="1">
        <f>SUM(Weight!J84)</f>
        <v>6.5399999999999991</v>
      </c>
      <c r="C47" s="1">
        <f>SUM(Weight!D13)</f>
        <v>8.1</v>
      </c>
      <c r="D47" s="1"/>
      <c r="E47" s="50">
        <f t="shared" si="3"/>
        <v>0</v>
      </c>
      <c r="F47" s="1"/>
      <c r="G47" s="50">
        <f t="shared" si="4"/>
        <v>0</v>
      </c>
      <c r="H47" s="1"/>
      <c r="I47" s="50">
        <f t="shared" si="5"/>
        <v>0</v>
      </c>
    </row>
    <row r="48" spans="1:9" x14ac:dyDescent="0.3">
      <c r="A48">
        <v>17</v>
      </c>
      <c r="B48" s="1">
        <f>SUM(Weight!J84)</f>
        <v>6.5399999999999991</v>
      </c>
      <c r="C48" s="1">
        <f>SUM(Weight!D13)</f>
        <v>8.1</v>
      </c>
      <c r="D48" s="1"/>
      <c r="E48" s="50">
        <f t="shared" si="3"/>
        <v>0</v>
      </c>
      <c r="F48" s="1"/>
      <c r="G48" s="50">
        <f t="shared" si="4"/>
        <v>0</v>
      </c>
      <c r="H48" s="1"/>
      <c r="I48" s="50">
        <f t="shared" si="5"/>
        <v>0</v>
      </c>
    </row>
    <row r="49" spans="1:9" x14ac:dyDescent="0.3">
      <c r="A49">
        <v>18</v>
      </c>
      <c r="B49" s="1">
        <f>SUM(Weight!J84)</f>
        <v>6.5399999999999991</v>
      </c>
      <c r="C49" s="1">
        <f>SUM(Weight!D13)</f>
        <v>8.1</v>
      </c>
      <c r="D49" s="1"/>
      <c r="E49" s="50">
        <f t="shared" si="3"/>
        <v>0</v>
      </c>
      <c r="F49" s="1"/>
      <c r="G49" s="50">
        <f t="shared" si="4"/>
        <v>0</v>
      </c>
      <c r="H49" s="1"/>
      <c r="I49" s="50">
        <f t="shared" si="5"/>
        <v>0</v>
      </c>
    </row>
    <row r="50" spans="1:9" x14ac:dyDescent="0.3">
      <c r="A50">
        <v>19</v>
      </c>
      <c r="B50" s="1">
        <f>SUM(Weight!J84)</f>
        <v>6.5399999999999991</v>
      </c>
      <c r="C50" s="1">
        <f>SUM(Weight!D13)</f>
        <v>8.1</v>
      </c>
      <c r="D50" s="1"/>
      <c r="E50" s="50">
        <f t="shared" si="3"/>
        <v>0</v>
      </c>
      <c r="F50" s="1"/>
      <c r="G50" s="50">
        <f t="shared" si="4"/>
        <v>0</v>
      </c>
      <c r="H50" s="1"/>
      <c r="I50" s="50">
        <f t="shared" si="5"/>
        <v>0</v>
      </c>
    </row>
    <row r="51" spans="1:9" x14ac:dyDescent="0.3">
      <c r="A51">
        <v>20</v>
      </c>
      <c r="B51" s="1">
        <f>SUM(Weight!J84)</f>
        <v>6.5399999999999991</v>
      </c>
      <c r="C51" s="1">
        <f>SUM(Weight!D13)</f>
        <v>8.1</v>
      </c>
      <c r="D51" s="1"/>
      <c r="E51" s="50">
        <f t="shared" si="3"/>
        <v>0</v>
      </c>
      <c r="F51" s="1"/>
      <c r="G51" s="50">
        <f t="shared" si="4"/>
        <v>0</v>
      </c>
      <c r="H51" s="1"/>
      <c r="I51" s="50">
        <f t="shared" si="5"/>
        <v>0</v>
      </c>
    </row>
    <row r="52" spans="1:9" x14ac:dyDescent="0.3">
      <c r="A52">
        <v>21</v>
      </c>
      <c r="B52" s="1">
        <f>SUM(Weight!J84)</f>
        <v>6.5399999999999991</v>
      </c>
      <c r="C52" s="1">
        <f>SUM(Weight!D13)</f>
        <v>8.1</v>
      </c>
      <c r="D52" s="1"/>
      <c r="E52" s="50">
        <f t="shared" si="3"/>
        <v>0</v>
      </c>
      <c r="F52" s="1"/>
      <c r="G52" s="50">
        <f t="shared" si="4"/>
        <v>0</v>
      </c>
      <c r="H52" s="1"/>
      <c r="I52" s="50">
        <f t="shared" si="5"/>
        <v>0</v>
      </c>
    </row>
    <row r="53" spans="1:9" x14ac:dyDescent="0.3">
      <c r="A53">
        <v>22</v>
      </c>
      <c r="B53" s="1">
        <f>SUM(Weight!J84)</f>
        <v>6.5399999999999991</v>
      </c>
      <c r="C53" s="1">
        <f>SUM(Weight!D13)</f>
        <v>8.1</v>
      </c>
      <c r="D53" s="1"/>
      <c r="E53" s="50">
        <f t="shared" si="3"/>
        <v>0</v>
      </c>
      <c r="F53" s="1"/>
      <c r="G53" s="50">
        <f t="shared" si="4"/>
        <v>0</v>
      </c>
      <c r="H53" s="1"/>
      <c r="I53" s="50">
        <f t="shared" si="5"/>
        <v>0</v>
      </c>
    </row>
    <row r="54" spans="1:9" x14ac:dyDescent="0.3">
      <c r="A54">
        <v>23</v>
      </c>
      <c r="B54" s="1">
        <f>SUM(Weight!J84)</f>
        <v>6.5399999999999991</v>
      </c>
      <c r="C54" s="1">
        <f>SUM(Weight!D13)</f>
        <v>8.1</v>
      </c>
      <c r="D54" s="1"/>
      <c r="E54" s="50">
        <f t="shared" si="3"/>
        <v>0</v>
      </c>
      <c r="F54" s="1"/>
      <c r="G54" s="50">
        <f t="shared" si="4"/>
        <v>0</v>
      </c>
      <c r="H54" s="1"/>
      <c r="I54" s="50">
        <f t="shared" si="5"/>
        <v>0</v>
      </c>
    </row>
    <row r="55" spans="1:9" x14ac:dyDescent="0.3">
      <c r="A55">
        <v>24</v>
      </c>
      <c r="B55" s="1">
        <f>SUM(Weight!J84)</f>
        <v>6.5399999999999991</v>
      </c>
      <c r="C55" s="1">
        <f>SUM(Weight!D13)</f>
        <v>8.1</v>
      </c>
      <c r="D55" s="1"/>
      <c r="E55" s="50">
        <f t="shared" si="3"/>
        <v>0</v>
      </c>
      <c r="F55" s="1"/>
      <c r="G55" s="50">
        <f t="shared" si="4"/>
        <v>0</v>
      </c>
      <c r="H55" s="1"/>
      <c r="I55" s="50">
        <f t="shared" si="5"/>
        <v>0</v>
      </c>
    </row>
    <row r="56" spans="1:9" x14ac:dyDescent="0.3">
      <c r="A56">
        <v>25</v>
      </c>
      <c r="B56" s="1">
        <f>SUM(Weight!J84)</f>
        <v>6.5399999999999991</v>
      </c>
      <c r="C56" s="1">
        <f>SUM(Weight!D13)</f>
        <v>8.1</v>
      </c>
      <c r="D56" s="1"/>
      <c r="E56" s="50">
        <f t="shared" si="3"/>
        <v>0</v>
      </c>
      <c r="F56" s="1"/>
      <c r="G56" s="50">
        <f t="shared" si="4"/>
        <v>0</v>
      </c>
      <c r="H56" s="1"/>
      <c r="I56" s="50">
        <f t="shared" si="5"/>
        <v>0</v>
      </c>
    </row>
    <row r="57" spans="1:9" x14ac:dyDescent="0.3">
      <c r="A57" t="s">
        <v>28</v>
      </c>
      <c r="E57" s="50">
        <f>SUM(E32:E56)</f>
        <v>0</v>
      </c>
      <c r="G57" s="50">
        <f>SUM(G32:G56)</f>
        <v>0</v>
      </c>
      <c r="I57" s="50">
        <f>SUM(I32:I56)</f>
        <v>0</v>
      </c>
    </row>
    <row r="59" spans="1:9" ht="21" x14ac:dyDescent="0.4">
      <c r="A59" s="3" t="s">
        <v>29</v>
      </c>
    </row>
    <row r="60" spans="1:9" x14ac:dyDescent="0.3">
      <c r="E60" t="s">
        <v>20</v>
      </c>
      <c r="F60" t="s">
        <v>18</v>
      </c>
      <c r="G60" t="s">
        <v>21</v>
      </c>
      <c r="H60" t="s">
        <v>19</v>
      </c>
      <c r="I60" t="s">
        <v>22</v>
      </c>
    </row>
    <row r="61" spans="1:9" x14ac:dyDescent="0.3">
      <c r="A61">
        <v>1</v>
      </c>
      <c r="D61" s="6"/>
      <c r="E61" s="1"/>
      <c r="F61" s="1"/>
      <c r="G61" s="50">
        <f>F61*E61</f>
        <v>0</v>
      </c>
      <c r="H61" s="1"/>
      <c r="I61" s="50">
        <f>H61*E61</f>
        <v>0</v>
      </c>
    </row>
    <row r="62" spans="1:9" x14ac:dyDescent="0.3">
      <c r="A62">
        <v>2</v>
      </c>
      <c r="D62" s="6"/>
      <c r="E62" s="1"/>
      <c r="F62" s="1"/>
      <c r="G62" s="50">
        <f>F62*E62</f>
        <v>0</v>
      </c>
      <c r="H62" s="1"/>
      <c r="I62" s="50">
        <f>H62*E62</f>
        <v>0</v>
      </c>
    </row>
    <row r="63" spans="1:9" x14ac:dyDescent="0.3">
      <c r="A63">
        <v>3</v>
      </c>
      <c r="D63" s="6"/>
      <c r="E63" s="1"/>
      <c r="F63" s="1"/>
      <c r="G63" s="50">
        <f t="shared" ref="G63:G80" si="6">F63*E63</f>
        <v>0</v>
      </c>
      <c r="H63" s="1"/>
      <c r="I63" s="50">
        <f t="shared" ref="I63:I80" si="7">H63*E63</f>
        <v>0</v>
      </c>
    </row>
    <row r="64" spans="1:9" x14ac:dyDescent="0.3">
      <c r="A64">
        <v>4</v>
      </c>
      <c r="D64" s="6"/>
      <c r="E64" s="1"/>
      <c r="F64" s="1"/>
      <c r="G64" s="50">
        <f t="shared" si="6"/>
        <v>0</v>
      </c>
      <c r="H64" s="1"/>
      <c r="I64" s="50">
        <f t="shared" si="7"/>
        <v>0</v>
      </c>
    </row>
    <row r="65" spans="1:9" x14ac:dyDescent="0.3">
      <c r="A65">
        <v>5</v>
      </c>
      <c r="D65" s="6"/>
      <c r="E65" s="1"/>
      <c r="F65" s="1"/>
      <c r="G65" s="50">
        <f t="shared" si="6"/>
        <v>0</v>
      </c>
      <c r="H65" s="1"/>
      <c r="I65" s="50">
        <f t="shared" si="7"/>
        <v>0</v>
      </c>
    </row>
    <row r="66" spans="1:9" x14ac:dyDescent="0.3">
      <c r="A66">
        <v>6</v>
      </c>
      <c r="D66" s="6"/>
      <c r="E66" s="1"/>
      <c r="F66" s="1"/>
      <c r="G66" s="50">
        <f t="shared" si="6"/>
        <v>0</v>
      </c>
      <c r="H66" s="1"/>
      <c r="I66" s="50">
        <f t="shared" si="7"/>
        <v>0</v>
      </c>
    </row>
    <row r="67" spans="1:9" x14ac:dyDescent="0.3">
      <c r="A67">
        <v>7</v>
      </c>
      <c r="D67" s="6"/>
      <c r="E67" s="1"/>
      <c r="F67" s="1"/>
      <c r="G67" s="50">
        <f t="shared" si="6"/>
        <v>0</v>
      </c>
      <c r="H67" s="1"/>
      <c r="I67" s="50">
        <f t="shared" si="7"/>
        <v>0</v>
      </c>
    </row>
    <row r="68" spans="1:9" x14ac:dyDescent="0.3">
      <c r="A68">
        <v>8</v>
      </c>
      <c r="D68" s="6"/>
      <c r="E68" s="1"/>
      <c r="F68" s="1"/>
      <c r="G68" s="50">
        <f t="shared" si="6"/>
        <v>0</v>
      </c>
      <c r="H68" s="1"/>
      <c r="I68" s="50">
        <f t="shared" si="7"/>
        <v>0</v>
      </c>
    </row>
    <row r="69" spans="1:9" x14ac:dyDescent="0.3">
      <c r="A69">
        <v>9</v>
      </c>
      <c r="D69" s="6"/>
      <c r="E69" s="1"/>
      <c r="F69" s="1"/>
      <c r="G69" s="50">
        <f t="shared" si="6"/>
        <v>0</v>
      </c>
      <c r="H69" s="1"/>
      <c r="I69" s="50">
        <f t="shared" si="7"/>
        <v>0</v>
      </c>
    </row>
    <row r="70" spans="1:9" x14ac:dyDescent="0.3">
      <c r="A70">
        <v>10</v>
      </c>
      <c r="D70" s="6"/>
      <c r="E70" s="1"/>
      <c r="F70" s="1"/>
      <c r="G70" s="50">
        <f t="shared" si="6"/>
        <v>0</v>
      </c>
      <c r="H70" s="1"/>
      <c r="I70" s="50">
        <f t="shared" si="7"/>
        <v>0</v>
      </c>
    </row>
    <row r="71" spans="1:9" x14ac:dyDescent="0.3">
      <c r="A71">
        <v>11</v>
      </c>
      <c r="D71" s="6"/>
      <c r="E71" s="1"/>
      <c r="F71" s="1"/>
      <c r="G71" s="50">
        <f t="shared" si="6"/>
        <v>0</v>
      </c>
      <c r="H71" s="1"/>
      <c r="I71" s="50">
        <f t="shared" si="7"/>
        <v>0</v>
      </c>
    </row>
    <row r="72" spans="1:9" x14ac:dyDescent="0.3">
      <c r="A72">
        <v>12</v>
      </c>
      <c r="D72" s="6"/>
      <c r="E72" s="1"/>
      <c r="F72" s="1"/>
      <c r="G72" s="50">
        <f t="shared" si="6"/>
        <v>0</v>
      </c>
      <c r="H72" s="1"/>
      <c r="I72" s="50">
        <f t="shared" si="7"/>
        <v>0</v>
      </c>
    </row>
    <row r="73" spans="1:9" x14ac:dyDescent="0.3">
      <c r="A73">
        <v>13</v>
      </c>
      <c r="D73" s="6"/>
      <c r="E73" s="1"/>
      <c r="F73" s="1"/>
      <c r="G73" s="50">
        <f t="shared" si="6"/>
        <v>0</v>
      </c>
      <c r="H73" s="1"/>
      <c r="I73" s="50">
        <f t="shared" si="7"/>
        <v>0</v>
      </c>
    </row>
    <row r="74" spans="1:9" x14ac:dyDescent="0.3">
      <c r="A74">
        <v>14</v>
      </c>
      <c r="D74" s="6"/>
      <c r="E74" s="1"/>
      <c r="F74" s="1"/>
      <c r="G74" s="50">
        <f t="shared" si="6"/>
        <v>0</v>
      </c>
      <c r="H74" s="1"/>
      <c r="I74" s="50">
        <f t="shared" si="7"/>
        <v>0</v>
      </c>
    </row>
    <row r="75" spans="1:9" x14ac:dyDescent="0.3">
      <c r="A75">
        <v>15</v>
      </c>
      <c r="D75" s="6"/>
      <c r="E75" s="1"/>
      <c r="F75" s="1"/>
      <c r="G75" s="50">
        <f t="shared" si="6"/>
        <v>0</v>
      </c>
      <c r="H75" s="1"/>
      <c r="I75" s="50">
        <f t="shared" si="7"/>
        <v>0</v>
      </c>
    </row>
    <row r="76" spans="1:9" x14ac:dyDescent="0.3">
      <c r="A76">
        <v>16</v>
      </c>
      <c r="D76" s="6"/>
      <c r="E76" s="1"/>
      <c r="F76" s="1"/>
      <c r="G76" s="50">
        <f t="shared" si="6"/>
        <v>0</v>
      </c>
      <c r="H76" s="1"/>
      <c r="I76" s="50">
        <f t="shared" si="7"/>
        <v>0</v>
      </c>
    </row>
    <row r="77" spans="1:9" x14ac:dyDescent="0.3">
      <c r="A77">
        <v>17</v>
      </c>
      <c r="D77" s="6"/>
      <c r="E77" s="1"/>
      <c r="F77" s="1"/>
      <c r="G77" s="50">
        <f t="shared" si="6"/>
        <v>0</v>
      </c>
      <c r="H77" s="1"/>
      <c r="I77" s="50">
        <f t="shared" si="7"/>
        <v>0</v>
      </c>
    </row>
    <row r="78" spans="1:9" x14ac:dyDescent="0.3">
      <c r="A78">
        <v>18</v>
      </c>
      <c r="D78" s="6"/>
      <c r="E78" s="1"/>
      <c r="F78" s="1"/>
      <c r="G78" s="50">
        <f t="shared" si="6"/>
        <v>0</v>
      </c>
      <c r="H78" s="1"/>
      <c r="I78" s="50">
        <f t="shared" si="7"/>
        <v>0</v>
      </c>
    </row>
    <row r="79" spans="1:9" x14ac:dyDescent="0.3">
      <c r="A79">
        <v>19</v>
      </c>
      <c r="D79" s="6"/>
      <c r="E79" s="1"/>
      <c r="F79" s="1"/>
      <c r="G79" s="50">
        <f t="shared" si="6"/>
        <v>0</v>
      </c>
      <c r="H79" s="1"/>
      <c r="I79" s="50">
        <f t="shared" si="7"/>
        <v>0</v>
      </c>
    </row>
    <row r="80" spans="1:9" x14ac:dyDescent="0.3">
      <c r="A80">
        <v>20</v>
      </c>
      <c r="D80" s="6"/>
      <c r="E80" s="1"/>
      <c r="F80" s="1"/>
      <c r="G80" s="50">
        <f t="shared" si="6"/>
        <v>0</v>
      </c>
      <c r="H80" s="1"/>
      <c r="I80" s="50">
        <f t="shared" si="7"/>
        <v>0</v>
      </c>
    </row>
    <row r="81" spans="1:9" x14ac:dyDescent="0.3">
      <c r="A81" t="s">
        <v>28</v>
      </c>
      <c r="E81" s="50">
        <f>SUM(E61:E80)</f>
        <v>0</v>
      </c>
      <c r="G81" s="50">
        <f>SUM(G61:G80)</f>
        <v>0</v>
      </c>
      <c r="I81" s="50">
        <f>SUM(I61:I80)</f>
        <v>0</v>
      </c>
    </row>
    <row r="83" spans="1:9" ht="21" x14ac:dyDescent="0.4">
      <c r="A83" s="3" t="s">
        <v>2</v>
      </c>
    </row>
    <row r="84" spans="1:9" x14ac:dyDescent="0.3">
      <c r="B84" t="s">
        <v>30</v>
      </c>
      <c r="D84" t="s">
        <v>5</v>
      </c>
      <c r="E84" t="s">
        <v>20</v>
      </c>
      <c r="F84" t="s">
        <v>18</v>
      </c>
      <c r="G84" t="s">
        <v>21</v>
      </c>
      <c r="H84" t="s">
        <v>19</v>
      </c>
      <c r="I84" t="s">
        <v>22</v>
      </c>
    </row>
    <row r="85" spans="1:9" x14ac:dyDescent="0.3">
      <c r="A85" t="s">
        <v>41</v>
      </c>
      <c r="B85" s="1">
        <v>18</v>
      </c>
      <c r="D85" s="1"/>
      <c r="E85" s="50">
        <f>B85*D85</f>
        <v>0</v>
      </c>
      <c r="F85" s="1"/>
      <c r="G85" s="50">
        <f>F85*E85</f>
        <v>0</v>
      </c>
      <c r="H85" s="1"/>
      <c r="I85" s="50">
        <f>H85*E85</f>
        <v>0</v>
      </c>
    </row>
    <row r="86" spans="1:9" x14ac:dyDescent="0.3">
      <c r="A86" t="s">
        <v>42</v>
      </c>
      <c r="B86" s="1">
        <v>18</v>
      </c>
      <c r="D86" s="1"/>
      <c r="E86" s="50">
        <f t="shared" ref="E86:E90" si="8">B86*D86</f>
        <v>0</v>
      </c>
      <c r="F86" s="1"/>
      <c r="G86" s="50">
        <f>F86*E86</f>
        <v>0</v>
      </c>
      <c r="H86" s="1"/>
      <c r="I86" s="50">
        <f>H86*E86</f>
        <v>0</v>
      </c>
    </row>
    <row r="87" spans="1:9" x14ac:dyDescent="0.3">
      <c r="A87" t="s">
        <v>283</v>
      </c>
      <c r="B87" s="1">
        <v>18</v>
      </c>
      <c r="D87" s="1"/>
      <c r="E87" s="50">
        <f t="shared" si="8"/>
        <v>0</v>
      </c>
      <c r="F87" s="1"/>
      <c r="G87" s="50">
        <f>F87*E87</f>
        <v>0</v>
      </c>
      <c r="H87" s="1"/>
      <c r="I87" s="50">
        <f>H87*E87</f>
        <v>0</v>
      </c>
    </row>
    <row r="88" spans="1:9" x14ac:dyDescent="0.3">
      <c r="A88" t="s">
        <v>43</v>
      </c>
      <c r="B88" s="1">
        <v>10</v>
      </c>
      <c r="D88" s="1"/>
      <c r="E88" s="50">
        <f t="shared" si="8"/>
        <v>0</v>
      </c>
      <c r="F88" s="1"/>
      <c r="G88" s="50">
        <f t="shared" ref="G88:G90" si="9">F88*E88</f>
        <v>0</v>
      </c>
      <c r="H88" s="1"/>
      <c r="I88" s="50">
        <f t="shared" ref="I88:I90" si="10">H88*E88</f>
        <v>0</v>
      </c>
    </row>
    <row r="89" spans="1:9" x14ac:dyDescent="0.3">
      <c r="A89" t="s">
        <v>44</v>
      </c>
      <c r="B89" s="1">
        <v>10</v>
      </c>
      <c r="D89" s="1"/>
      <c r="E89" s="50">
        <f t="shared" si="8"/>
        <v>0</v>
      </c>
      <c r="F89" s="1"/>
      <c r="G89" s="50">
        <f t="shared" si="9"/>
        <v>0</v>
      </c>
      <c r="H89" s="1"/>
      <c r="I89" s="50">
        <f t="shared" si="10"/>
        <v>0</v>
      </c>
    </row>
    <row r="90" spans="1:9" x14ac:dyDescent="0.3">
      <c r="A90" t="s">
        <v>45</v>
      </c>
      <c r="B90" s="1">
        <v>10</v>
      </c>
      <c r="D90" s="1"/>
      <c r="E90" s="50">
        <f t="shared" si="8"/>
        <v>0</v>
      </c>
      <c r="F90" s="1"/>
      <c r="G90" s="50">
        <f t="shared" si="9"/>
        <v>0</v>
      </c>
      <c r="H90" s="1"/>
      <c r="I90" s="50">
        <f t="shared" si="10"/>
        <v>0</v>
      </c>
    </row>
    <row r="91" spans="1:9" x14ac:dyDescent="0.3">
      <c r="A91" t="s">
        <v>28</v>
      </c>
      <c r="E91" s="50">
        <f>SUM(E85:E90)</f>
        <v>0</v>
      </c>
      <c r="G91" s="50">
        <f>SUM(G85:G90)</f>
        <v>0</v>
      </c>
      <c r="I91" s="50">
        <f>SUM(I85:I90)</f>
        <v>0</v>
      </c>
    </row>
    <row r="92" spans="1:9" x14ac:dyDescent="0.3">
      <c r="B92" s="64" t="s">
        <v>284</v>
      </c>
      <c r="C92" s="1">
        <v>0</v>
      </c>
      <c r="D92">
        <f>IF(C92=1,200,IF(C92&gt;1,200+((C92-1)*125),0))</f>
        <v>0</v>
      </c>
      <c r="E92" t="s">
        <v>297</v>
      </c>
    </row>
    <row r="93" spans="1:9" x14ac:dyDescent="0.3">
      <c r="B93" s="64" t="s">
        <v>285</v>
      </c>
      <c r="C93" s="1">
        <v>0</v>
      </c>
      <c r="D93">
        <f>SUM(C93*50)</f>
        <v>0</v>
      </c>
    </row>
    <row r="96" spans="1:9" ht="21" x14ac:dyDescent="0.4">
      <c r="A96" s="3" t="s">
        <v>3</v>
      </c>
    </row>
    <row r="97" spans="1:10" x14ac:dyDescent="0.3">
      <c r="E97" t="s">
        <v>20</v>
      </c>
      <c r="F97" t="s">
        <v>18</v>
      </c>
      <c r="G97" t="s">
        <v>21</v>
      </c>
      <c r="H97" t="s">
        <v>19</v>
      </c>
      <c r="I97" t="s">
        <v>22</v>
      </c>
    </row>
    <row r="98" spans="1:10" x14ac:dyDescent="0.3">
      <c r="A98">
        <v>1</v>
      </c>
      <c r="E98" s="1">
        <v>500</v>
      </c>
      <c r="F98" s="1">
        <v>-1</v>
      </c>
      <c r="G98" s="50">
        <f>F98*E98</f>
        <v>-500</v>
      </c>
      <c r="H98" s="57">
        <f>B1/2</f>
        <v>6</v>
      </c>
      <c r="I98" s="50">
        <f>H98*E98</f>
        <v>3000</v>
      </c>
    </row>
    <row r="99" spans="1:10" x14ac:dyDescent="0.3">
      <c r="A99">
        <v>2</v>
      </c>
      <c r="E99" s="1"/>
      <c r="F99" s="1"/>
      <c r="G99" s="50">
        <f>F99*E99</f>
        <v>0</v>
      </c>
      <c r="H99" s="57"/>
      <c r="I99" s="50">
        <f>H99*E99</f>
        <v>0</v>
      </c>
    </row>
    <row r="100" spans="1:10" ht="21" x14ac:dyDescent="0.4">
      <c r="A100" s="3" t="s">
        <v>28</v>
      </c>
      <c r="H100" s="50"/>
    </row>
    <row r="101" spans="1:10" x14ac:dyDescent="0.3">
      <c r="E101" s="50">
        <f>SUM(E6,E10,E28,E57,E81,E91,E98,E99)</f>
        <v>7858.4</v>
      </c>
      <c r="F101" s="47">
        <f>G101/E101</f>
        <v>26.154840680036649</v>
      </c>
      <c r="G101" s="50">
        <f>SUM(G6,G10,G28,G57,G81,G91,G98,G99)</f>
        <v>205535.19999999998</v>
      </c>
      <c r="H101" s="47">
        <f>I101/E101</f>
        <v>5.9999999999999991</v>
      </c>
      <c r="I101" s="50">
        <f>SUM(I6,I10,I28,I57,I81,I91,I98,I99)</f>
        <v>47150.399999999994</v>
      </c>
      <c r="J101" t="s">
        <v>228</v>
      </c>
    </row>
    <row r="102" spans="1:10" x14ac:dyDescent="0.3">
      <c r="E102" s="50">
        <f>SUM(E6,E10,E28,E57,E81,E91,E98,E99)</f>
        <v>7858.4</v>
      </c>
      <c r="F102" s="47">
        <f>G102/E102</f>
        <v>26.154840680036649</v>
      </c>
      <c r="G102" s="50">
        <f>SUM(G6,G10,G28,G57,G81,G91,G98,G99)</f>
        <v>205535.19999999998</v>
      </c>
      <c r="H102" s="47">
        <f>I102/E102</f>
        <v>5.9999999999999991</v>
      </c>
      <c r="I102" s="50">
        <f>SUM(I7,I10,I28,I57,I81,I91,I98,I99)</f>
        <v>47150.399999999994</v>
      </c>
      <c r="J102" t="s">
        <v>225</v>
      </c>
    </row>
    <row r="103" spans="1:10" x14ac:dyDescent="0.3">
      <c r="A103" t="s">
        <v>39</v>
      </c>
      <c r="B103" s="1">
        <v>4</v>
      </c>
    </row>
    <row r="104" spans="1:10" x14ac:dyDescent="0.3">
      <c r="A104" t="s">
        <v>40</v>
      </c>
      <c r="B104">
        <f>IF(Weight!D18=7000,3500,3000)</f>
        <v>3000</v>
      </c>
      <c r="C104" t="s">
        <v>8</v>
      </c>
    </row>
    <row r="105" spans="1:10" x14ac:dyDescent="0.3">
      <c r="A105" t="s">
        <v>31</v>
      </c>
      <c r="B105">
        <f>IF(B1&lt;=8,65.5,IF(AND(B1&gt;8,B1&lt;=10),75.5,IF(AND(B1&gt;10,OR(Weight!H6="promod",Weight!H6="southeast",Weight!H6="SSI")),95.5,99.5)))</f>
        <v>95.5</v>
      </c>
      <c r="C105" t="s">
        <v>14</v>
      </c>
    </row>
    <row r="106" spans="1:10" x14ac:dyDescent="0.3">
      <c r="A106" t="s">
        <v>6</v>
      </c>
      <c r="B106">
        <f>IF(OR(Weight!D53="extended hitch:",Weight!D54="extended hitch:"),5,4)</f>
        <v>4</v>
      </c>
      <c r="C106" t="s">
        <v>7</v>
      </c>
    </row>
    <row r="107" spans="1:10" x14ac:dyDescent="0.3">
      <c r="A107" t="s">
        <v>32</v>
      </c>
      <c r="B107" s="1">
        <v>0.67</v>
      </c>
    </row>
    <row r="108" spans="1:10" x14ac:dyDescent="0.3">
      <c r="A108" t="s">
        <v>35</v>
      </c>
      <c r="B108" s="63">
        <f>IF(AND(AND(B1&lt;13),I113&lt;I114,Weight!E55=1),-3,IF(AND(AND(B1&gt;=13),I113&lt;I114,Weight!E55=1),-4,IF(AND(AND(B1&lt;13),I113&gt;I114,Weight!E55=1),4,IF(AND(AND(B1&gt;=13),I113&gt;I114,Weight!E55=1),4,IF(AND(I113&lt;I114,Weight!E55=0),-4,IF(AND(I113&gt;I114,Weight!E55=0),4,0))))))</f>
        <v>0</v>
      </c>
      <c r="C108" t="s">
        <v>36</v>
      </c>
    </row>
    <row r="109" spans="1:10" x14ac:dyDescent="0.3">
      <c r="A109" t="s">
        <v>108</v>
      </c>
      <c r="B109" s="60">
        <f>(B2/3*2)</f>
        <v>37.333333333333336</v>
      </c>
      <c r="F109">
        <f>B2-(B2*B107)</f>
        <v>18.479999999999997</v>
      </c>
      <c r="H109" s="50">
        <f>(B1/2)+(B108/12)</f>
        <v>6</v>
      </c>
    </row>
    <row r="110" spans="1:10" x14ac:dyDescent="0.3">
      <c r="A110" t="s">
        <v>33</v>
      </c>
      <c r="B110" s="50">
        <f>E101-B111</f>
        <v>1452.6003853564553</v>
      </c>
    </row>
    <row r="111" spans="1:10" x14ac:dyDescent="0.3">
      <c r="A111" t="s">
        <v>34</v>
      </c>
      <c r="B111" s="50">
        <f>IF(OR(Weight!D53="extended hitch:",Weight!D54="extended hitch:"),(E101*((B2+B106)-F101))/((B2+B106)-F109),(E101*((B2+B106)-F101))/((B2+B106)-F109))+D92+D93</f>
        <v>6405.7996146435444</v>
      </c>
    </row>
    <row r="112" spans="1:10" x14ac:dyDescent="0.3">
      <c r="A112" t="s">
        <v>223</v>
      </c>
      <c r="B112" s="50">
        <f>SUM(B110+B111)</f>
        <v>7858.4</v>
      </c>
      <c r="C112" s="122">
        <f>IF(B112&gt;40000,"Pintle Eye Hitch Required",0)</f>
        <v>0</v>
      </c>
      <c r="D112" s="122"/>
      <c r="E112" s="122"/>
    </row>
    <row r="113" spans="1:14" ht="21" x14ac:dyDescent="0.4">
      <c r="A113" t="s">
        <v>38</v>
      </c>
      <c r="E113" s="50">
        <f>(B111*(H101-H114))/(H113-H114)</f>
        <v>3202.8998073217717</v>
      </c>
      <c r="H113" s="50">
        <f>((B1/2)+(B105/24))</f>
        <v>9.9791666666666661</v>
      </c>
      <c r="I113" s="62">
        <f>E113/B104</f>
        <v>1.0676332691072572</v>
      </c>
      <c r="J113" s="48" t="str">
        <f>IF(I113&lt;B103,"OK","FAIL")</f>
        <v>OK</v>
      </c>
      <c r="K113" s="123" t="s">
        <v>226</v>
      </c>
      <c r="L113" s="123"/>
      <c r="M113" s="123"/>
      <c r="N113" s="123"/>
    </row>
    <row r="114" spans="1:14" ht="21" x14ac:dyDescent="0.4">
      <c r="A114" t="s">
        <v>37</v>
      </c>
      <c r="E114" s="50">
        <f>B111-E113</f>
        <v>3202.8998073217726</v>
      </c>
      <c r="H114" s="50">
        <f>((B1/2)-(B105/24))</f>
        <v>2.0208333333333335</v>
      </c>
      <c r="I114" s="62">
        <f>E114/B104</f>
        <v>1.0676332691072576</v>
      </c>
      <c r="J114" s="48" t="str">
        <f>IF(I114&lt;B103,"OK","FAIL")</f>
        <v>OK</v>
      </c>
      <c r="K114" s="123"/>
      <c r="L114" s="123"/>
      <c r="M114" s="123"/>
      <c r="N114" s="123"/>
    </row>
    <row r="116" spans="1:14" ht="21" x14ac:dyDescent="0.4">
      <c r="E116" s="50">
        <f>(B111*(H102-H117))/(H116-H117)</f>
        <v>3202.8998073217717</v>
      </c>
      <c r="H116" s="50">
        <f>((B1/2)+(B105/24))+(B108/12)</f>
        <v>9.9791666666666661</v>
      </c>
      <c r="I116" s="62">
        <f>E116/B104</f>
        <v>1.0676332691072572</v>
      </c>
      <c r="J116" s="48" t="str">
        <f>IF(I116&lt;B103,"OK","FAIL")</f>
        <v>OK</v>
      </c>
      <c r="K116" s="123" t="s">
        <v>227</v>
      </c>
      <c r="L116" s="123"/>
      <c r="M116" s="123"/>
      <c r="N116" s="123"/>
    </row>
    <row r="117" spans="1:14" ht="21" x14ac:dyDescent="0.4">
      <c r="A117" s="103" t="s">
        <v>490</v>
      </c>
      <c r="E117" s="50">
        <f>B111-E116</f>
        <v>3202.8998073217726</v>
      </c>
      <c r="H117" s="50">
        <f>((B1/2)-(B105/24))+(B108/12)</f>
        <v>2.0208333333333335</v>
      </c>
      <c r="I117" s="62">
        <f>E117/B104</f>
        <v>1.0676332691072576</v>
      </c>
      <c r="J117" s="48" t="str">
        <f>IF(I117&lt;B103,"OK","FAIL")</f>
        <v>OK</v>
      </c>
      <c r="K117" s="123"/>
      <c r="L117" s="123"/>
      <c r="M117" s="123"/>
      <c r="N117" s="123"/>
    </row>
  </sheetData>
  <mergeCells count="5">
    <mergeCell ref="E1:E3"/>
    <mergeCell ref="F1:F3"/>
    <mergeCell ref="C112:E112"/>
    <mergeCell ref="K113:N114"/>
    <mergeCell ref="K116:N117"/>
  </mergeCells>
  <conditionalFormatting sqref="C112:E112">
    <cfRule type="containsText" dxfId="14" priority="2" operator="containsText" text="Pintle">
      <formula>NOT(ISERROR(SEARCH("Pintle",C112)))</formula>
    </cfRule>
    <cfRule type="cellIs" dxfId="13" priority="3" operator="greaterThan">
      <formula>$B$112&gt;40000</formula>
    </cfRule>
  </conditionalFormatting>
  <conditionalFormatting sqref="J113:J114 J116:J117">
    <cfRule type="containsText" dxfId="12" priority="1" operator="containsText" text="fail">
      <formula>NOT(ISERROR(SEARCH("fail",J113)))</formula>
    </cfRule>
  </conditionalFormatting>
  <pageMargins left="0.7" right="0.7" top="0.75" bottom="0.75" header="0.3" footer="0.3"/>
  <pageSetup scale="3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17"/>
  <sheetViews>
    <sheetView zoomScaleNormal="100" workbookViewId="0">
      <selection activeCell="F1" sqref="F1:F3"/>
    </sheetView>
  </sheetViews>
  <sheetFormatPr defaultRowHeight="14.4" x14ac:dyDescent="0.3"/>
  <cols>
    <col min="1" max="1" width="24.5546875" customWidth="1"/>
    <col min="7" max="7" width="12" customWidth="1"/>
    <col min="9" max="9" width="10.88671875" customWidth="1"/>
    <col min="14" max="14" width="12.109375" customWidth="1"/>
    <col min="15" max="15" width="11.33203125" customWidth="1"/>
  </cols>
  <sheetData>
    <row r="1" spans="1:10" x14ac:dyDescent="0.3">
      <c r="A1" s="2" t="s">
        <v>26</v>
      </c>
      <c r="B1" s="1">
        <f>(Weight!D8)</f>
        <v>12</v>
      </c>
      <c r="C1" t="s">
        <v>7</v>
      </c>
      <c r="E1" s="118" t="s">
        <v>224</v>
      </c>
      <c r="F1" s="120">
        <v>0</v>
      </c>
      <c r="G1" s="61"/>
    </row>
    <row r="2" spans="1:10" x14ac:dyDescent="0.3">
      <c r="A2" s="2" t="s">
        <v>27</v>
      </c>
      <c r="B2" s="1">
        <f>(Weight!D9)</f>
        <v>56</v>
      </c>
      <c r="C2" t="s">
        <v>7</v>
      </c>
      <c r="E2" s="119"/>
      <c r="F2" s="121"/>
    </row>
    <row r="3" spans="1:10" x14ac:dyDescent="0.3">
      <c r="E3" s="119"/>
      <c r="F3" s="121"/>
    </row>
    <row r="4" spans="1:10" s="4" customFormat="1" ht="21" x14ac:dyDescent="0.4">
      <c r="A4" s="3" t="s">
        <v>4</v>
      </c>
    </row>
    <row r="5" spans="1:10" x14ac:dyDescent="0.3">
      <c r="B5" t="s">
        <v>16</v>
      </c>
      <c r="C5" t="s">
        <v>9</v>
      </c>
      <c r="D5" t="s">
        <v>5</v>
      </c>
      <c r="E5" t="s">
        <v>20</v>
      </c>
      <c r="F5" t="s">
        <v>18</v>
      </c>
      <c r="G5" t="s">
        <v>21</v>
      </c>
      <c r="H5" t="s">
        <v>19</v>
      </c>
      <c r="I5" t="s">
        <v>22</v>
      </c>
    </row>
    <row r="6" spans="1:10" x14ac:dyDescent="0.3">
      <c r="B6" s="1">
        <f>(Weight!J56)</f>
        <v>3.25</v>
      </c>
      <c r="C6" s="50">
        <f>B1</f>
        <v>12</v>
      </c>
      <c r="D6" s="50">
        <f>B2</f>
        <v>56</v>
      </c>
      <c r="E6" s="50">
        <f>B6*C6*D6</f>
        <v>2184</v>
      </c>
      <c r="F6" s="50">
        <f>B2/2</f>
        <v>28</v>
      </c>
      <c r="G6" s="50">
        <f>F6*E6</f>
        <v>61152</v>
      </c>
      <c r="H6" s="50">
        <f>(B1/2)</f>
        <v>6</v>
      </c>
      <c r="I6" s="50">
        <f>H6*E6</f>
        <v>13104</v>
      </c>
      <c r="J6" t="s">
        <v>228</v>
      </c>
    </row>
    <row r="7" spans="1:10" x14ac:dyDescent="0.3">
      <c r="H7" s="50">
        <f>(B1/2)+(B108/12)</f>
        <v>6</v>
      </c>
      <c r="I7" s="50">
        <f>H7*E6</f>
        <v>13104</v>
      </c>
      <c r="J7" t="s">
        <v>225</v>
      </c>
    </row>
    <row r="8" spans="1:10" s="4" customFormat="1" ht="21" x14ac:dyDescent="0.4">
      <c r="A8" s="3" t="s">
        <v>0</v>
      </c>
    </row>
    <row r="9" spans="1:10" x14ac:dyDescent="0.3">
      <c r="B9" t="s">
        <v>16</v>
      </c>
      <c r="C9" t="s">
        <v>9</v>
      </c>
      <c r="D9" t="s">
        <v>5</v>
      </c>
      <c r="E9" t="s">
        <v>20</v>
      </c>
      <c r="F9" t="s">
        <v>18</v>
      </c>
      <c r="G9" t="s">
        <v>21</v>
      </c>
      <c r="H9" t="s">
        <v>19</v>
      </c>
      <c r="I9" t="s">
        <v>22</v>
      </c>
    </row>
    <row r="10" spans="1:10" x14ac:dyDescent="0.3">
      <c r="B10" s="1">
        <f>(Weight!J31)</f>
        <v>7.6999999999999993</v>
      </c>
      <c r="C10" s="50">
        <f>B1</f>
        <v>12</v>
      </c>
      <c r="D10">
        <f>B2</f>
        <v>56</v>
      </c>
      <c r="E10" s="50">
        <f>B10*C10*D10</f>
        <v>5174.3999999999996</v>
      </c>
      <c r="F10">
        <f>B2/2</f>
        <v>28</v>
      </c>
      <c r="G10" s="50">
        <f>F10*E10</f>
        <v>144883.19999999998</v>
      </c>
      <c r="H10" s="50">
        <f>B1/2</f>
        <v>6</v>
      </c>
      <c r="I10" s="50">
        <f>H10*E10</f>
        <v>31046.399999999998</v>
      </c>
    </row>
    <row r="12" spans="1:10" s="4" customFormat="1" ht="21" x14ac:dyDescent="0.4">
      <c r="A12" s="3" t="s">
        <v>1</v>
      </c>
    </row>
    <row r="13" spans="1:10" x14ac:dyDescent="0.3">
      <c r="B13" t="s">
        <v>16</v>
      </c>
      <c r="C13" t="s">
        <v>9</v>
      </c>
      <c r="D13" t="s">
        <v>5</v>
      </c>
      <c r="E13" t="s">
        <v>20</v>
      </c>
      <c r="F13" t="s">
        <v>18</v>
      </c>
      <c r="G13" t="s">
        <v>21</v>
      </c>
      <c r="H13" t="s">
        <v>19</v>
      </c>
      <c r="I13" t="s">
        <v>22</v>
      </c>
    </row>
    <row r="14" spans="1:10" x14ac:dyDescent="0.3">
      <c r="A14" t="s">
        <v>23</v>
      </c>
      <c r="B14" s="1">
        <f>IF(Weight!E41&gt;0,Weight!J47-Weight!F41,Weight!J47)</f>
        <v>9.3510682213149376</v>
      </c>
      <c r="C14" s="57">
        <f>($B$1+(Weight!E42/12))/2</f>
        <v>6.083333333333333</v>
      </c>
      <c r="D14" s="1"/>
      <c r="E14" s="50">
        <f>B14*C14*D14</f>
        <v>0</v>
      </c>
      <c r="F14" s="1">
        <f>B2/2</f>
        <v>28</v>
      </c>
      <c r="G14" s="50">
        <f>F14*E14</f>
        <v>0</v>
      </c>
      <c r="H14" s="1"/>
      <c r="I14" s="50">
        <f>H14*E14</f>
        <v>0</v>
      </c>
    </row>
    <row r="15" spans="1:10" x14ac:dyDescent="0.3">
      <c r="A15" t="s">
        <v>23</v>
      </c>
      <c r="B15" s="1">
        <f>IF(Weight!E41&gt;0,Weight!J47-Weight!F41,Weight!J47)</f>
        <v>9.3510682213149376</v>
      </c>
      <c r="C15" s="57">
        <f>($B$1+(Weight!E42/12))/2</f>
        <v>6.083333333333333</v>
      </c>
      <c r="D15" s="1"/>
      <c r="E15" s="50">
        <f>B15*C15*D15</f>
        <v>0</v>
      </c>
      <c r="F15" s="1">
        <f>B2/2</f>
        <v>28</v>
      </c>
      <c r="G15" s="50">
        <f>F15*E15</f>
        <v>0</v>
      </c>
      <c r="H15" s="1"/>
      <c r="I15" s="50">
        <f>H15*E15</f>
        <v>0</v>
      </c>
    </row>
    <row r="16" spans="1:10" x14ac:dyDescent="0.3">
      <c r="A16" t="s">
        <v>10</v>
      </c>
      <c r="B16" s="1">
        <f>IF(Weight!E41&gt;0,Weight!J47-Weight!F41,Weight!J47)</f>
        <v>9.3510682213149376</v>
      </c>
      <c r="C16" s="57">
        <f>($B$1+(Weight!E42/12))/2</f>
        <v>6.083333333333333</v>
      </c>
      <c r="D16" s="1"/>
      <c r="E16" s="50">
        <f>B16*C16*D16</f>
        <v>0</v>
      </c>
      <c r="F16" s="1"/>
      <c r="G16" s="50">
        <f>F16*E16</f>
        <v>0</v>
      </c>
      <c r="H16" s="1"/>
      <c r="I16" s="50">
        <f>H16*E16</f>
        <v>0</v>
      </c>
    </row>
    <row r="17" spans="1:13" x14ac:dyDescent="0.3">
      <c r="A17" t="s">
        <v>11</v>
      </c>
      <c r="B17" s="1">
        <f>IF(Weight!E41&gt;0,Weight!J47-Weight!F41,Weight!J47)</f>
        <v>9.3510682213149376</v>
      </c>
      <c r="C17" s="57">
        <f>($B$1+(Weight!E42/12))/2</f>
        <v>6.083333333333333</v>
      </c>
      <c r="D17" s="1"/>
      <c r="E17" s="50">
        <f t="shared" ref="E17:E21" si="0">B17*C17*D17</f>
        <v>0</v>
      </c>
      <c r="F17" s="1"/>
      <c r="G17" s="50">
        <f t="shared" ref="G17:G21" si="1">F17*E17</f>
        <v>0</v>
      </c>
      <c r="H17" s="1"/>
      <c r="I17" s="50">
        <f t="shared" ref="I17:I21" si="2">H17*E17</f>
        <v>0</v>
      </c>
    </row>
    <row r="18" spans="1:13" x14ac:dyDescent="0.3">
      <c r="A18" t="s">
        <v>12</v>
      </c>
      <c r="B18" s="1">
        <f>IF(Weight!E41&gt;0,Weight!J47-Weight!F41,Weight!J47)</f>
        <v>9.3510682213149376</v>
      </c>
      <c r="C18" s="57">
        <f>($B$1+(Weight!E42/12))/2</f>
        <v>6.083333333333333</v>
      </c>
      <c r="D18" s="1"/>
      <c r="E18" s="50">
        <f t="shared" si="0"/>
        <v>0</v>
      </c>
      <c r="F18" s="1"/>
      <c r="G18" s="50">
        <f t="shared" si="1"/>
        <v>0</v>
      </c>
      <c r="H18" s="1"/>
      <c r="I18" s="50">
        <f t="shared" si="2"/>
        <v>0</v>
      </c>
      <c r="M18" s="50"/>
    </row>
    <row r="19" spans="1:13" x14ac:dyDescent="0.3">
      <c r="A19" t="s">
        <v>13</v>
      </c>
      <c r="B19" s="1">
        <f>IF(Weight!E41&gt;0,Weight!J47-Weight!F41,Weight!J47)</f>
        <v>9.3510682213149376</v>
      </c>
      <c r="C19" s="57">
        <f>($B$1+(Weight!E42/12))/2</f>
        <v>6.083333333333333</v>
      </c>
      <c r="D19" s="1"/>
      <c r="E19" s="50">
        <f t="shared" si="0"/>
        <v>0</v>
      </c>
      <c r="F19" s="1"/>
      <c r="G19" s="50">
        <f t="shared" si="1"/>
        <v>0</v>
      </c>
      <c r="H19" s="1"/>
      <c r="I19" s="50">
        <f t="shared" si="2"/>
        <v>0</v>
      </c>
    </row>
    <row r="20" spans="1:13" x14ac:dyDescent="0.3">
      <c r="A20" t="s">
        <v>24</v>
      </c>
      <c r="B20" s="1">
        <f>IF(Weight!E41&gt;0,Weight!J47-Weight!F41,Weight!J47)</f>
        <v>9.3510682213149376</v>
      </c>
      <c r="C20" s="57">
        <f>($B$1+(Weight!E42/12))/2</f>
        <v>6.083333333333333</v>
      </c>
      <c r="D20" s="1"/>
      <c r="E20" s="50">
        <f t="shared" si="0"/>
        <v>0</v>
      </c>
      <c r="F20" s="1"/>
      <c r="G20" s="50">
        <f t="shared" si="1"/>
        <v>0</v>
      </c>
      <c r="H20" s="1"/>
      <c r="I20" s="50">
        <f t="shared" si="2"/>
        <v>0</v>
      </c>
    </row>
    <row r="21" spans="1:13" x14ac:dyDescent="0.3">
      <c r="A21" t="s">
        <v>25</v>
      </c>
      <c r="B21" s="1">
        <f>IF(Weight!E41&gt;0,Weight!J47-Weight!F41,Weight!J47)</f>
        <v>9.3510682213149376</v>
      </c>
      <c r="C21" s="57">
        <f>($B$1+(Weight!E42/12))/2</f>
        <v>6.083333333333333</v>
      </c>
      <c r="D21" s="1"/>
      <c r="E21" s="50">
        <f t="shared" si="0"/>
        <v>0</v>
      </c>
      <c r="F21" s="1"/>
      <c r="G21" s="50">
        <f t="shared" si="1"/>
        <v>0</v>
      </c>
      <c r="H21" s="1"/>
      <c r="I21" s="50">
        <f t="shared" si="2"/>
        <v>0</v>
      </c>
      <c r="K21" s="50"/>
    </row>
    <row r="22" spans="1:13" x14ac:dyDescent="0.3">
      <c r="A22" t="s">
        <v>158</v>
      </c>
      <c r="B22" s="1">
        <f>IF(Weight!E41&gt;0,Weight!J47-Weight!F41,Weight!J47)</f>
        <v>9.3510682213149376</v>
      </c>
      <c r="C22" s="57">
        <f>($B$1+(Weight!E42/12))/2</f>
        <v>6.083333333333333</v>
      </c>
      <c r="D22" s="1"/>
      <c r="E22" s="50">
        <f t="shared" ref="E22:E23" si="3">B22*C22*D22</f>
        <v>0</v>
      </c>
      <c r="F22" s="1"/>
      <c r="G22" s="50">
        <f t="shared" ref="G22:G23" si="4">F22*E22</f>
        <v>0</v>
      </c>
      <c r="H22" s="1"/>
      <c r="I22" s="50">
        <f t="shared" ref="I22:I23" si="5">H22*E22</f>
        <v>0</v>
      </c>
    </row>
    <row r="23" spans="1:13" x14ac:dyDescent="0.3">
      <c r="A23" t="s">
        <v>159</v>
      </c>
      <c r="B23" s="1">
        <f>IF(Weight!E41&gt;0,Weight!J47-Weight!F41,Weight!J47)</f>
        <v>9.3510682213149376</v>
      </c>
      <c r="C23" s="57">
        <f>($B$1+(Weight!E42/12))/2</f>
        <v>6.083333333333333</v>
      </c>
      <c r="D23" s="1"/>
      <c r="E23" s="50">
        <f t="shared" si="3"/>
        <v>0</v>
      </c>
      <c r="F23" s="1"/>
      <c r="G23" s="50">
        <f t="shared" si="4"/>
        <v>0</v>
      </c>
      <c r="H23" s="1"/>
      <c r="I23" s="50">
        <f t="shared" si="5"/>
        <v>0</v>
      </c>
    </row>
    <row r="24" spans="1:13" x14ac:dyDescent="0.3">
      <c r="A24" t="str">
        <f>IF(Weight!E41=1,Weight!C41,"-")</f>
        <v>-</v>
      </c>
      <c r="B24" s="57">
        <f>IF(Weight!E41=1,INDEX(Materials!K73:K79,MATCH(A24,Materials!I73:I79,0)),Materials!B69)</f>
        <v>0</v>
      </c>
      <c r="C24" s="57">
        <f>IF(A24="1-ply wood girder:",0.13,IF(A24="2-ply wood girder:",0.25,IF(A24="3-ply wood girder:",0.35,IF(A24="4-ply wood girder:",0.5,IF(A24="bar joist:",0.54,IF(A24="4-ply wood girder:",0.5,IF(A24="1-Ply 1-3/4""x16"" Microlam:",0.15,0.29)))))))</f>
        <v>0.28999999999999998</v>
      </c>
      <c r="D24" s="1"/>
      <c r="E24" s="50">
        <f t="shared" ref="E24" si="6">B24*C24*D24</f>
        <v>0</v>
      </c>
      <c r="F24" s="1">
        <f>B2/2</f>
        <v>28</v>
      </c>
      <c r="G24" s="50">
        <f t="shared" ref="G24" si="7">F24*E24</f>
        <v>0</v>
      </c>
      <c r="H24" s="57">
        <f>IF(AND(Weight!E41=0,OR(H14="",H14=0)),0,IF(AND(AND(AND(AND(AND(Weight!E41&gt;0),Weight!D16="n",Weight!D17="y",H14&gt;0,H14&lt;6)))),B1-(C24/2),IF(AND(AND(AND(AND(Weight!E41&gt;0),Weight!D16="n",Weight!D17="y",H14&gt;6))),(C24/2),IF(AND(AND(AND(AND(Weight!E41&gt;0),Weight!D16="n"),Weight!D17="n",H14&gt;6)),(C24/2),IF(AND(AND(AND(Weight!E41&gt;0),Weight!D16="n",Weight!D17="n")),(C24/2),0)))))</f>
        <v>0</v>
      </c>
      <c r="I24" s="50">
        <f t="shared" ref="I24" si="8">H24*E24</f>
        <v>0</v>
      </c>
    </row>
    <row r="25" spans="1:13" x14ac:dyDescent="0.3">
      <c r="A25" t="str">
        <f>IF(Weight!E41=1,Weight!C41,"-")</f>
        <v>-</v>
      </c>
      <c r="B25" s="57">
        <f>IF(Weight!E41=1,INDEX(Materials!K73:K79,MATCH(A25,Materials!I73:I79,0)),Materials!B69)</f>
        <v>0</v>
      </c>
      <c r="C25" s="57">
        <f>IF(A25="1-ply wood girder:",0.13,IF(A25="2-ply wood girder:",0.25,IF(A25="3-ply wood girder:",0.35,IF(A25="4-ply wood girder:",0.5,IF(A25="bar joist:",0.54,IF(A25="4-ply wood girder:",0.5,IF(A25="1-Ply 1-3/4""x16"" Microlam:",0.15,0.29)))))))</f>
        <v>0.28999999999999998</v>
      </c>
      <c r="D25" s="1"/>
      <c r="E25" s="50">
        <f t="shared" ref="E25" si="9">B25*C25*D25</f>
        <v>0</v>
      </c>
      <c r="F25" s="1">
        <f>B2/2</f>
        <v>28</v>
      </c>
      <c r="G25" s="50">
        <f t="shared" ref="G25" si="10">F25*E25</f>
        <v>0</v>
      </c>
      <c r="H25" s="57">
        <f>IF(AND(Weight!E41=0,OR(H15="",H15=0)),0,IF(AND(AND(AND(AND(AND(Weight!E41&gt;0),Weight!D16="n",Weight!D17="y",H15&gt;0,H15&lt;6)))),B1-(C25/2),IF(AND(AND(AND(AND(Weight!E41&gt;0),Weight!D16="n",Weight!D17="y",H15&gt;6))),(C25/2),IF(AND(AND(AND(AND(Weight!E41&gt;0),Weight!D16="n"),Weight!D17="n",H15&gt;6)),(C25/2),IF(AND(AND(AND(Weight!E41&gt;0),Weight!D16="n",Weight!D17="n")),B1-(C25/2),0)))))</f>
        <v>0</v>
      </c>
      <c r="I25" s="50">
        <f t="shared" ref="I25" si="11">H25*E25</f>
        <v>0</v>
      </c>
    </row>
    <row r="26" spans="1:13" x14ac:dyDescent="0.3">
      <c r="A26" t="s">
        <v>222</v>
      </c>
      <c r="B26" s="57">
        <f>Materials!B67</f>
        <v>0.57499999999999996</v>
      </c>
      <c r="C26" s="57"/>
      <c r="D26" s="1"/>
      <c r="E26" s="50">
        <f t="shared" ref="E26:E27" si="12">B26*C26*D26</f>
        <v>0</v>
      </c>
      <c r="F26" s="1">
        <f>B2/2</f>
        <v>28</v>
      </c>
      <c r="G26" s="50">
        <f t="shared" ref="G26:G27" si="13">F26*E26</f>
        <v>0</v>
      </c>
      <c r="H26" s="1"/>
      <c r="I26" s="50">
        <f t="shared" ref="I26:I27" si="14">H26*E26</f>
        <v>0</v>
      </c>
    </row>
    <row r="27" spans="1:13" x14ac:dyDescent="0.3">
      <c r="A27" t="s">
        <v>222</v>
      </c>
      <c r="B27" s="57">
        <f>Materials!B67</f>
        <v>0.57499999999999996</v>
      </c>
      <c r="C27" s="57"/>
      <c r="D27" s="1"/>
      <c r="E27" s="50">
        <f t="shared" si="12"/>
        <v>0</v>
      </c>
      <c r="F27" s="1">
        <f>B2/2</f>
        <v>28</v>
      </c>
      <c r="G27" s="50">
        <f t="shared" si="13"/>
        <v>0</v>
      </c>
      <c r="H27" s="1"/>
      <c r="I27" s="50">
        <f t="shared" si="14"/>
        <v>0</v>
      </c>
    </row>
    <row r="28" spans="1:13" x14ac:dyDescent="0.3">
      <c r="A28" t="s">
        <v>28</v>
      </c>
      <c r="E28" s="50">
        <f>SUM(E14:E27)</f>
        <v>0</v>
      </c>
      <c r="G28" s="50">
        <f>SUM(G14:G27)</f>
        <v>0</v>
      </c>
      <c r="I28" s="50">
        <f>SUM(I14:I27)</f>
        <v>0</v>
      </c>
    </row>
    <row r="30" spans="1:13" ht="21" x14ac:dyDescent="0.4">
      <c r="A30" s="3" t="s">
        <v>15</v>
      </c>
    </row>
    <row r="31" spans="1:13" x14ac:dyDescent="0.3">
      <c r="B31" t="s">
        <v>16</v>
      </c>
      <c r="C31" t="s">
        <v>17</v>
      </c>
      <c r="D31" t="s">
        <v>5</v>
      </c>
      <c r="E31" t="s">
        <v>20</v>
      </c>
      <c r="F31" t="s">
        <v>18</v>
      </c>
      <c r="G31" t="s">
        <v>21</v>
      </c>
      <c r="H31" t="s">
        <v>19</v>
      </c>
      <c r="I31" t="s">
        <v>22</v>
      </c>
    </row>
    <row r="32" spans="1:13" x14ac:dyDescent="0.3">
      <c r="A32" t="s">
        <v>109</v>
      </c>
      <c r="B32" s="1">
        <f>SUM(Weight!J71)</f>
        <v>6.9</v>
      </c>
      <c r="C32" s="1">
        <f>SUM(Weight!D10)</f>
        <v>10</v>
      </c>
      <c r="D32" s="1"/>
      <c r="E32" s="50">
        <f>B32*C32*D32</f>
        <v>0</v>
      </c>
      <c r="F32" s="1">
        <f>B2/2</f>
        <v>28</v>
      </c>
      <c r="G32" s="50">
        <f>F32*E32</f>
        <v>0</v>
      </c>
      <c r="H32" s="1"/>
      <c r="I32" s="50">
        <f>H32*E32</f>
        <v>0</v>
      </c>
    </row>
    <row r="33" spans="1:9" x14ac:dyDescent="0.3">
      <c r="A33" t="s">
        <v>109</v>
      </c>
      <c r="B33" s="1">
        <f>SUM(Weight!J71)</f>
        <v>6.9</v>
      </c>
      <c r="C33" s="1">
        <f>SUM(Weight!D10)</f>
        <v>10</v>
      </c>
      <c r="D33" s="1"/>
      <c r="E33" s="50">
        <f>B33*C33*D33</f>
        <v>0</v>
      </c>
      <c r="F33" s="1">
        <f>B2/2</f>
        <v>28</v>
      </c>
      <c r="G33" s="50">
        <f>F33*E33</f>
        <v>0</v>
      </c>
      <c r="H33" s="1"/>
      <c r="I33" s="50">
        <f>H33*E33</f>
        <v>0</v>
      </c>
    </row>
    <row r="34" spans="1:9" x14ac:dyDescent="0.3">
      <c r="A34" t="s">
        <v>110</v>
      </c>
      <c r="B34" s="1">
        <f>SUM(Weight!J71)</f>
        <v>6.9</v>
      </c>
      <c r="C34" s="1">
        <f>SUM(Weight!D11)</f>
        <v>10</v>
      </c>
      <c r="D34" s="1"/>
      <c r="E34" s="50">
        <f t="shared" ref="E34:E56" si="15">B34*C34*D34</f>
        <v>0</v>
      </c>
      <c r="F34" s="1"/>
      <c r="G34" s="50">
        <f>F34*E34</f>
        <v>0</v>
      </c>
      <c r="H34" s="1"/>
      <c r="I34" s="50">
        <f>H34*E34</f>
        <v>0</v>
      </c>
    </row>
    <row r="35" spans="1:9" x14ac:dyDescent="0.3">
      <c r="A35" t="s">
        <v>110</v>
      </c>
      <c r="B35" s="1">
        <f>SUM(Weight!J71)</f>
        <v>6.9</v>
      </c>
      <c r="C35" s="1">
        <f>SUM(Weight!D11)</f>
        <v>10</v>
      </c>
      <c r="D35" s="1"/>
      <c r="E35" s="50">
        <f t="shared" si="15"/>
        <v>0</v>
      </c>
      <c r="F35" s="1"/>
      <c r="G35" s="50">
        <f t="shared" ref="G35:G56" si="16">F35*E35</f>
        <v>0</v>
      </c>
      <c r="H35" s="1"/>
      <c r="I35" s="50">
        <f t="shared" ref="I35:I56" si="17">H35*E35</f>
        <v>0</v>
      </c>
    </row>
    <row r="36" spans="1:9" x14ac:dyDescent="0.3">
      <c r="A36" t="s">
        <v>111</v>
      </c>
      <c r="B36" s="1">
        <f>SUM(Weight!J84)</f>
        <v>6.5399999999999991</v>
      </c>
      <c r="C36" s="1">
        <f>SUM(Weight!D13)</f>
        <v>8.1</v>
      </c>
      <c r="D36" s="1"/>
      <c r="E36" s="50">
        <f t="shared" si="15"/>
        <v>0</v>
      </c>
      <c r="F36" s="1"/>
      <c r="G36" s="50">
        <f t="shared" si="16"/>
        <v>0</v>
      </c>
      <c r="H36" s="1"/>
      <c r="I36" s="50">
        <f t="shared" si="17"/>
        <v>0</v>
      </c>
    </row>
    <row r="37" spans="1:9" x14ac:dyDescent="0.3">
      <c r="A37">
        <v>6</v>
      </c>
      <c r="B37" s="1">
        <f>SUM(Weight!J84)</f>
        <v>6.5399999999999991</v>
      </c>
      <c r="C37" s="1">
        <f>SUM(Weight!D13)</f>
        <v>8.1</v>
      </c>
      <c r="D37" s="1"/>
      <c r="E37" s="50">
        <f t="shared" si="15"/>
        <v>0</v>
      </c>
      <c r="F37" s="1"/>
      <c r="G37" s="50">
        <f t="shared" si="16"/>
        <v>0</v>
      </c>
      <c r="H37" s="1"/>
      <c r="I37" s="50">
        <f t="shared" si="17"/>
        <v>0</v>
      </c>
    </row>
    <row r="38" spans="1:9" x14ac:dyDescent="0.3">
      <c r="A38">
        <v>7</v>
      </c>
      <c r="B38" s="1">
        <f>SUM(Weight!J84)</f>
        <v>6.5399999999999991</v>
      </c>
      <c r="C38" s="1">
        <f>SUM(Weight!D13)</f>
        <v>8.1</v>
      </c>
      <c r="D38" s="1"/>
      <c r="E38" s="50">
        <f t="shared" si="15"/>
        <v>0</v>
      </c>
      <c r="F38" s="1"/>
      <c r="G38" s="50">
        <f t="shared" si="16"/>
        <v>0</v>
      </c>
      <c r="H38" s="1"/>
      <c r="I38" s="50">
        <f t="shared" si="17"/>
        <v>0</v>
      </c>
    </row>
    <row r="39" spans="1:9" x14ac:dyDescent="0.3">
      <c r="A39">
        <v>8</v>
      </c>
      <c r="B39" s="1">
        <f>SUM(Weight!J84)</f>
        <v>6.5399999999999991</v>
      </c>
      <c r="C39" s="1">
        <f>SUM(Weight!D13)</f>
        <v>8.1</v>
      </c>
      <c r="D39" s="1"/>
      <c r="E39" s="50">
        <f t="shared" si="15"/>
        <v>0</v>
      </c>
      <c r="F39" s="1"/>
      <c r="G39" s="50">
        <f t="shared" si="16"/>
        <v>0</v>
      </c>
      <c r="H39" s="1"/>
      <c r="I39" s="50">
        <f t="shared" si="17"/>
        <v>0</v>
      </c>
    </row>
    <row r="40" spans="1:9" x14ac:dyDescent="0.3">
      <c r="A40">
        <v>9</v>
      </c>
      <c r="B40" s="1">
        <f>SUM(Weight!J84)</f>
        <v>6.5399999999999991</v>
      </c>
      <c r="C40" s="1">
        <f>SUM(Weight!D13)</f>
        <v>8.1</v>
      </c>
      <c r="D40" s="1"/>
      <c r="E40" s="50">
        <f t="shared" si="15"/>
        <v>0</v>
      </c>
      <c r="F40" s="1"/>
      <c r="G40" s="50">
        <f t="shared" si="16"/>
        <v>0</v>
      </c>
      <c r="H40" s="1"/>
      <c r="I40" s="50">
        <f t="shared" si="17"/>
        <v>0</v>
      </c>
    </row>
    <row r="41" spans="1:9" x14ac:dyDescent="0.3">
      <c r="A41">
        <v>10</v>
      </c>
      <c r="B41" s="1">
        <f>SUM(Weight!J84)</f>
        <v>6.5399999999999991</v>
      </c>
      <c r="C41" s="1">
        <f>SUM(Weight!D13)</f>
        <v>8.1</v>
      </c>
      <c r="D41" s="1"/>
      <c r="E41" s="50">
        <f t="shared" si="15"/>
        <v>0</v>
      </c>
      <c r="F41" s="1"/>
      <c r="G41" s="50">
        <f t="shared" si="16"/>
        <v>0</v>
      </c>
      <c r="H41" s="1"/>
      <c r="I41" s="50">
        <f t="shared" si="17"/>
        <v>0</v>
      </c>
    </row>
    <row r="42" spans="1:9" x14ac:dyDescent="0.3">
      <c r="A42">
        <v>11</v>
      </c>
      <c r="B42" s="1">
        <f>SUM(Weight!J84)</f>
        <v>6.5399999999999991</v>
      </c>
      <c r="C42" s="1">
        <f>SUM(Weight!D13)</f>
        <v>8.1</v>
      </c>
      <c r="D42" s="1"/>
      <c r="E42" s="50">
        <f t="shared" si="15"/>
        <v>0</v>
      </c>
      <c r="F42" s="1"/>
      <c r="G42" s="50">
        <f t="shared" si="16"/>
        <v>0</v>
      </c>
      <c r="H42" s="1"/>
      <c r="I42" s="50">
        <f t="shared" si="17"/>
        <v>0</v>
      </c>
    </row>
    <row r="43" spans="1:9" x14ac:dyDescent="0.3">
      <c r="A43">
        <v>12</v>
      </c>
      <c r="B43" s="1">
        <f>SUM(Weight!J84)</f>
        <v>6.5399999999999991</v>
      </c>
      <c r="C43" s="1">
        <f>SUM(Weight!D13)</f>
        <v>8.1</v>
      </c>
      <c r="D43" s="1"/>
      <c r="E43" s="50">
        <f t="shared" si="15"/>
        <v>0</v>
      </c>
      <c r="F43" s="1"/>
      <c r="G43" s="50">
        <f t="shared" si="16"/>
        <v>0</v>
      </c>
      <c r="H43" s="1"/>
      <c r="I43" s="50">
        <f t="shared" si="17"/>
        <v>0</v>
      </c>
    </row>
    <row r="44" spans="1:9" x14ac:dyDescent="0.3">
      <c r="A44">
        <v>13</v>
      </c>
      <c r="B44" s="1">
        <f>SUM(Weight!J84)</f>
        <v>6.5399999999999991</v>
      </c>
      <c r="C44" s="1">
        <f>SUM(Weight!D13)</f>
        <v>8.1</v>
      </c>
      <c r="D44" s="1"/>
      <c r="E44" s="50">
        <f t="shared" si="15"/>
        <v>0</v>
      </c>
      <c r="F44" s="1"/>
      <c r="G44" s="50">
        <f t="shared" si="16"/>
        <v>0</v>
      </c>
      <c r="H44" s="1"/>
      <c r="I44" s="50">
        <f t="shared" si="17"/>
        <v>0</v>
      </c>
    </row>
    <row r="45" spans="1:9" x14ac:dyDescent="0.3">
      <c r="A45">
        <v>14</v>
      </c>
      <c r="B45" s="1">
        <f>SUM(Weight!J84)</f>
        <v>6.5399999999999991</v>
      </c>
      <c r="C45" s="1">
        <f>SUM(Weight!D13)</f>
        <v>8.1</v>
      </c>
      <c r="D45" s="1"/>
      <c r="E45" s="50">
        <f t="shared" si="15"/>
        <v>0</v>
      </c>
      <c r="F45" s="1"/>
      <c r="G45" s="50">
        <f t="shared" si="16"/>
        <v>0</v>
      </c>
      <c r="H45" s="1"/>
      <c r="I45" s="50">
        <f t="shared" si="17"/>
        <v>0</v>
      </c>
    </row>
    <row r="46" spans="1:9" x14ac:dyDescent="0.3">
      <c r="A46">
        <v>15</v>
      </c>
      <c r="B46" s="1">
        <f>SUM(Weight!J84)</f>
        <v>6.5399999999999991</v>
      </c>
      <c r="C46" s="1">
        <f>SUM(Weight!D13)</f>
        <v>8.1</v>
      </c>
      <c r="D46" s="1"/>
      <c r="E46" s="50">
        <f t="shared" si="15"/>
        <v>0</v>
      </c>
      <c r="F46" s="1"/>
      <c r="G46" s="50">
        <f t="shared" si="16"/>
        <v>0</v>
      </c>
      <c r="H46" s="1"/>
      <c r="I46" s="50">
        <f t="shared" si="17"/>
        <v>0</v>
      </c>
    </row>
    <row r="47" spans="1:9" x14ac:dyDescent="0.3">
      <c r="A47">
        <v>16</v>
      </c>
      <c r="B47" s="1">
        <f>SUM(Weight!J84)</f>
        <v>6.5399999999999991</v>
      </c>
      <c r="C47" s="1">
        <f>SUM(Weight!D13)</f>
        <v>8.1</v>
      </c>
      <c r="D47" s="1"/>
      <c r="E47" s="50">
        <f t="shared" si="15"/>
        <v>0</v>
      </c>
      <c r="F47" s="1"/>
      <c r="G47" s="50">
        <f t="shared" si="16"/>
        <v>0</v>
      </c>
      <c r="H47" s="1"/>
      <c r="I47" s="50">
        <f t="shared" si="17"/>
        <v>0</v>
      </c>
    </row>
    <row r="48" spans="1:9" x14ac:dyDescent="0.3">
      <c r="A48">
        <v>17</v>
      </c>
      <c r="B48" s="1">
        <f>SUM(Weight!J84)</f>
        <v>6.5399999999999991</v>
      </c>
      <c r="C48" s="1">
        <f>SUM(Weight!D13)</f>
        <v>8.1</v>
      </c>
      <c r="D48" s="1"/>
      <c r="E48" s="50">
        <f t="shared" si="15"/>
        <v>0</v>
      </c>
      <c r="F48" s="1"/>
      <c r="G48" s="50">
        <f t="shared" si="16"/>
        <v>0</v>
      </c>
      <c r="H48" s="1"/>
      <c r="I48" s="50">
        <f t="shared" si="17"/>
        <v>0</v>
      </c>
    </row>
    <row r="49" spans="1:9" x14ac:dyDescent="0.3">
      <c r="A49">
        <v>18</v>
      </c>
      <c r="B49" s="1">
        <f>SUM(Weight!J84)</f>
        <v>6.5399999999999991</v>
      </c>
      <c r="C49" s="1">
        <f>SUM(Weight!D13)</f>
        <v>8.1</v>
      </c>
      <c r="D49" s="1"/>
      <c r="E49" s="50">
        <f t="shared" si="15"/>
        <v>0</v>
      </c>
      <c r="F49" s="1"/>
      <c r="G49" s="50">
        <f t="shared" si="16"/>
        <v>0</v>
      </c>
      <c r="H49" s="1"/>
      <c r="I49" s="50">
        <f t="shared" si="17"/>
        <v>0</v>
      </c>
    </row>
    <row r="50" spans="1:9" x14ac:dyDescent="0.3">
      <c r="A50">
        <v>19</v>
      </c>
      <c r="B50" s="1">
        <f>SUM(Weight!J84)</f>
        <v>6.5399999999999991</v>
      </c>
      <c r="C50" s="1">
        <f>SUM(Weight!D13)</f>
        <v>8.1</v>
      </c>
      <c r="D50" s="1"/>
      <c r="E50" s="50">
        <f t="shared" si="15"/>
        <v>0</v>
      </c>
      <c r="F50" s="1"/>
      <c r="G50" s="50">
        <f t="shared" si="16"/>
        <v>0</v>
      </c>
      <c r="H50" s="1"/>
      <c r="I50" s="50">
        <f t="shared" si="17"/>
        <v>0</v>
      </c>
    </row>
    <row r="51" spans="1:9" x14ac:dyDescent="0.3">
      <c r="A51">
        <v>20</v>
      </c>
      <c r="B51" s="1">
        <f>SUM(Weight!J84)</f>
        <v>6.5399999999999991</v>
      </c>
      <c r="C51" s="1">
        <f>SUM(Weight!D13)</f>
        <v>8.1</v>
      </c>
      <c r="D51" s="1"/>
      <c r="E51" s="50">
        <f t="shared" si="15"/>
        <v>0</v>
      </c>
      <c r="F51" s="1"/>
      <c r="G51" s="50">
        <f t="shared" si="16"/>
        <v>0</v>
      </c>
      <c r="H51" s="1"/>
      <c r="I51" s="50">
        <f t="shared" si="17"/>
        <v>0</v>
      </c>
    </row>
    <row r="52" spans="1:9" x14ac:dyDescent="0.3">
      <c r="A52">
        <v>21</v>
      </c>
      <c r="B52" s="1">
        <f>SUM(Weight!J84)</f>
        <v>6.5399999999999991</v>
      </c>
      <c r="C52" s="1">
        <f>SUM(Weight!D13)</f>
        <v>8.1</v>
      </c>
      <c r="D52" s="1"/>
      <c r="E52" s="50">
        <f t="shared" si="15"/>
        <v>0</v>
      </c>
      <c r="F52" s="1"/>
      <c r="G52" s="50">
        <f t="shared" si="16"/>
        <v>0</v>
      </c>
      <c r="H52" s="1"/>
      <c r="I52" s="50">
        <f t="shared" si="17"/>
        <v>0</v>
      </c>
    </row>
    <row r="53" spans="1:9" x14ac:dyDescent="0.3">
      <c r="A53">
        <v>22</v>
      </c>
      <c r="B53" s="1">
        <f>SUM(Weight!J84)</f>
        <v>6.5399999999999991</v>
      </c>
      <c r="C53" s="1">
        <f>SUM(Weight!D13)</f>
        <v>8.1</v>
      </c>
      <c r="D53" s="1"/>
      <c r="E53" s="50">
        <f t="shared" si="15"/>
        <v>0</v>
      </c>
      <c r="F53" s="1"/>
      <c r="G53" s="50">
        <f t="shared" si="16"/>
        <v>0</v>
      </c>
      <c r="H53" s="1"/>
      <c r="I53" s="50">
        <f t="shared" si="17"/>
        <v>0</v>
      </c>
    </row>
    <row r="54" spans="1:9" x14ac:dyDescent="0.3">
      <c r="A54">
        <v>23</v>
      </c>
      <c r="B54" s="1">
        <f>SUM(Weight!J84)</f>
        <v>6.5399999999999991</v>
      </c>
      <c r="C54" s="1">
        <f>SUM(Weight!D13)</f>
        <v>8.1</v>
      </c>
      <c r="D54" s="1"/>
      <c r="E54" s="50">
        <f t="shared" si="15"/>
        <v>0</v>
      </c>
      <c r="F54" s="1"/>
      <c r="G54" s="50">
        <f t="shared" si="16"/>
        <v>0</v>
      </c>
      <c r="H54" s="1"/>
      <c r="I54" s="50">
        <f t="shared" si="17"/>
        <v>0</v>
      </c>
    </row>
    <row r="55" spans="1:9" x14ac:dyDescent="0.3">
      <c r="A55">
        <v>24</v>
      </c>
      <c r="B55" s="1">
        <f>SUM(Weight!J84)</f>
        <v>6.5399999999999991</v>
      </c>
      <c r="C55" s="1">
        <f>SUM(Weight!D13)</f>
        <v>8.1</v>
      </c>
      <c r="D55" s="1"/>
      <c r="E55" s="50">
        <f t="shared" si="15"/>
        <v>0</v>
      </c>
      <c r="F55" s="1"/>
      <c r="G55" s="50">
        <f t="shared" si="16"/>
        <v>0</v>
      </c>
      <c r="H55" s="1"/>
      <c r="I55" s="50">
        <f t="shared" si="17"/>
        <v>0</v>
      </c>
    </row>
    <row r="56" spans="1:9" x14ac:dyDescent="0.3">
      <c r="A56">
        <v>25</v>
      </c>
      <c r="B56" s="1">
        <f>SUM(Weight!J84)</f>
        <v>6.5399999999999991</v>
      </c>
      <c r="C56" s="1">
        <f>SUM(Weight!D13)</f>
        <v>8.1</v>
      </c>
      <c r="D56" s="1"/>
      <c r="E56" s="50">
        <f t="shared" si="15"/>
        <v>0</v>
      </c>
      <c r="F56" s="1"/>
      <c r="G56" s="50">
        <f t="shared" si="16"/>
        <v>0</v>
      </c>
      <c r="H56" s="1"/>
      <c r="I56" s="50">
        <f t="shared" si="17"/>
        <v>0</v>
      </c>
    </row>
    <row r="57" spans="1:9" x14ac:dyDescent="0.3">
      <c r="A57" t="s">
        <v>28</v>
      </c>
      <c r="E57" s="50">
        <f>SUM(E32:E56)</f>
        <v>0</v>
      </c>
      <c r="G57" s="50">
        <f>SUM(G32:G56)</f>
        <v>0</v>
      </c>
      <c r="I57" s="50">
        <f>SUM(I32:I56)</f>
        <v>0</v>
      </c>
    </row>
    <row r="59" spans="1:9" ht="21" x14ac:dyDescent="0.4">
      <c r="A59" s="3" t="s">
        <v>29</v>
      </c>
    </row>
    <row r="60" spans="1:9" x14ac:dyDescent="0.3">
      <c r="E60" t="s">
        <v>20</v>
      </c>
      <c r="F60" t="s">
        <v>18</v>
      </c>
      <c r="G60" t="s">
        <v>21</v>
      </c>
      <c r="H60" t="s">
        <v>19</v>
      </c>
      <c r="I60" t="s">
        <v>22</v>
      </c>
    </row>
    <row r="61" spans="1:9" x14ac:dyDescent="0.3">
      <c r="A61">
        <v>1</v>
      </c>
      <c r="D61" s="6"/>
      <c r="E61" s="1"/>
      <c r="F61" s="1"/>
      <c r="G61" s="50">
        <f>F61*E61</f>
        <v>0</v>
      </c>
      <c r="H61" s="1"/>
      <c r="I61" s="50">
        <f>H61*E61</f>
        <v>0</v>
      </c>
    </row>
    <row r="62" spans="1:9" x14ac:dyDescent="0.3">
      <c r="A62">
        <v>2</v>
      </c>
      <c r="D62" s="6"/>
      <c r="E62" s="1"/>
      <c r="F62" s="1"/>
      <c r="G62" s="50">
        <f>F62*E62</f>
        <v>0</v>
      </c>
      <c r="H62" s="1"/>
      <c r="I62" s="50">
        <f>H62*E62</f>
        <v>0</v>
      </c>
    </row>
    <row r="63" spans="1:9" x14ac:dyDescent="0.3">
      <c r="A63">
        <v>3</v>
      </c>
      <c r="D63" s="6"/>
      <c r="E63" s="1"/>
      <c r="F63" s="1"/>
      <c r="G63" s="50">
        <f t="shared" ref="G63:G80" si="18">F63*E63</f>
        <v>0</v>
      </c>
      <c r="H63" s="1"/>
      <c r="I63" s="50">
        <f t="shared" ref="I63:I80" si="19">H63*E63</f>
        <v>0</v>
      </c>
    </row>
    <row r="64" spans="1:9" x14ac:dyDescent="0.3">
      <c r="A64">
        <v>4</v>
      </c>
      <c r="D64" s="6"/>
      <c r="E64" s="1"/>
      <c r="F64" s="1"/>
      <c r="G64" s="50">
        <f t="shared" si="18"/>
        <v>0</v>
      </c>
      <c r="H64" s="1"/>
      <c r="I64" s="50">
        <f t="shared" si="19"/>
        <v>0</v>
      </c>
    </row>
    <row r="65" spans="1:9" x14ac:dyDescent="0.3">
      <c r="A65">
        <v>5</v>
      </c>
      <c r="D65" s="6"/>
      <c r="E65" s="1"/>
      <c r="F65" s="1"/>
      <c r="G65" s="50">
        <f t="shared" si="18"/>
        <v>0</v>
      </c>
      <c r="H65" s="1"/>
      <c r="I65" s="50">
        <f t="shared" si="19"/>
        <v>0</v>
      </c>
    </row>
    <row r="66" spans="1:9" x14ac:dyDescent="0.3">
      <c r="A66">
        <v>6</v>
      </c>
      <c r="D66" s="6"/>
      <c r="E66" s="1"/>
      <c r="F66" s="1"/>
      <c r="G66" s="50">
        <f t="shared" si="18"/>
        <v>0</v>
      </c>
      <c r="H66" s="1"/>
      <c r="I66" s="50">
        <f t="shared" si="19"/>
        <v>0</v>
      </c>
    </row>
    <row r="67" spans="1:9" x14ac:dyDescent="0.3">
      <c r="A67">
        <v>7</v>
      </c>
      <c r="D67" s="6"/>
      <c r="E67" s="1"/>
      <c r="F67" s="1"/>
      <c r="G67" s="50">
        <f t="shared" si="18"/>
        <v>0</v>
      </c>
      <c r="H67" s="1"/>
      <c r="I67" s="50">
        <f t="shared" si="19"/>
        <v>0</v>
      </c>
    </row>
    <row r="68" spans="1:9" x14ac:dyDescent="0.3">
      <c r="A68">
        <v>8</v>
      </c>
      <c r="D68" s="6"/>
      <c r="E68" s="1"/>
      <c r="F68" s="1"/>
      <c r="G68" s="50">
        <f t="shared" si="18"/>
        <v>0</v>
      </c>
      <c r="H68" s="1"/>
      <c r="I68" s="50">
        <f t="shared" si="19"/>
        <v>0</v>
      </c>
    </row>
    <row r="69" spans="1:9" x14ac:dyDescent="0.3">
      <c r="A69">
        <v>9</v>
      </c>
      <c r="D69" s="6"/>
      <c r="E69" s="1"/>
      <c r="F69" s="1"/>
      <c r="G69" s="50">
        <f t="shared" si="18"/>
        <v>0</v>
      </c>
      <c r="H69" s="1"/>
      <c r="I69" s="50">
        <f t="shared" si="19"/>
        <v>0</v>
      </c>
    </row>
    <row r="70" spans="1:9" x14ac:dyDescent="0.3">
      <c r="A70">
        <v>10</v>
      </c>
      <c r="D70" s="6"/>
      <c r="E70" s="1"/>
      <c r="F70" s="1"/>
      <c r="G70" s="50">
        <f t="shared" si="18"/>
        <v>0</v>
      </c>
      <c r="H70" s="1"/>
      <c r="I70" s="50">
        <f t="shared" si="19"/>
        <v>0</v>
      </c>
    </row>
    <row r="71" spans="1:9" x14ac:dyDescent="0.3">
      <c r="A71">
        <v>11</v>
      </c>
      <c r="D71" s="6"/>
      <c r="E71" s="1"/>
      <c r="F71" s="1"/>
      <c r="G71" s="50">
        <f t="shared" si="18"/>
        <v>0</v>
      </c>
      <c r="H71" s="1"/>
      <c r="I71" s="50">
        <f t="shared" si="19"/>
        <v>0</v>
      </c>
    </row>
    <row r="72" spans="1:9" x14ac:dyDescent="0.3">
      <c r="A72">
        <v>12</v>
      </c>
      <c r="D72" s="6"/>
      <c r="E72" s="1"/>
      <c r="F72" s="1"/>
      <c r="G72" s="50">
        <f t="shared" si="18"/>
        <v>0</v>
      </c>
      <c r="H72" s="1"/>
      <c r="I72" s="50">
        <f t="shared" si="19"/>
        <v>0</v>
      </c>
    </row>
    <row r="73" spans="1:9" x14ac:dyDescent="0.3">
      <c r="A73">
        <v>13</v>
      </c>
      <c r="D73" s="6"/>
      <c r="E73" s="1"/>
      <c r="F73" s="1"/>
      <c r="G73" s="50">
        <f t="shared" si="18"/>
        <v>0</v>
      </c>
      <c r="H73" s="1"/>
      <c r="I73" s="50">
        <f t="shared" si="19"/>
        <v>0</v>
      </c>
    </row>
    <row r="74" spans="1:9" x14ac:dyDescent="0.3">
      <c r="A74">
        <v>14</v>
      </c>
      <c r="D74" s="6"/>
      <c r="E74" s="1"/>
      <c r="F74" s="1"/>
      <c r="G74" s="50">
        <f t="shared" si="18"/>
        <v>0</v>
      </c>
      <c r="H74" s="1"/>
      <c r="I74" s="50">
        <f t="shared" si="19"/>
        <v>0</v>
      </c>
    </row>
    <row r="75" spans="1:9" x14ac:dyDescent="0.3">
      <c r="A75">
        <v>15</v>
      </c>
      <c r="D75" s="6"/>
      <c r="E75" s="1"/>
      <c r="F75" s="1"/>
      <c r="G75" s="50">
        <f t="shared" si="18"/>
        <v>0</v>
      </c>
      <c r="H75" s="1"/>
      <c r="I75" s="50">
        <f t="shared" si="19"/>
        <v>0</v>
      </c>
    </row>
    <row r="76" spans="1:9" x14ac:dyDescent="0.3">
      <c r="A76">
        <v>16</v>
      </c>
      <c r="D76" s="6"/>
      <c r="E76" s="1"/>
      <c r="F76" s="1"/>
      <c r="G76" s="50">
        <f t="shared" si="18"/>
        <v>0</v>
      </c>
      <c r="H76" s="1"/>
      <c r="I76" s="50">
        <f t="shared" si="19"/>
        <v>0</v>
      </c>
    </row>
    <row r="77" spans="1:9" x14ac:dyDescent="0.3">
      <c r="A77">
        <v>17</v>
      </c>
      <c r="D77" s="6"/>
      <c r="E77" s="1"/>
      <c r="F77" s="1"/>
      <c r="G77" s="50">
        <f t="shared" si="18"/>
        <v>0</v>
      </c>
      <c r="H77" s="1"/>
      <c r="I77" s="50">
        <f t="shared" si="19"/>
        <v>0</v>
      </c>
    </row>
    <row r="78" spans="1:9" x14ac:dyDescent="0.3">
      <c r="A78">
        <v>18</v>
      </c>
      <c r="D78" s="6"/>
      <c r="E78" s="1"/>
      <c r="F78" s="1"/>
      <c r="G78" s="50">
        <f t="shared" si="18"/>
        <v>0</v>
      </c>
      <c r="H78" s="1"/>
      <c r="I78" s="50">
        <f t="shared" si="19"/>
        <v>0</v>
      </c>
    </row>
    <row r="79" spans="1:9" x14ac:dyDescent="0.3">
      <c r="A79">
        <v>19</v>
      </c>
      <c r="D79" s="6"/>
      <c r="E79" s="1"/>
      <c r="F79" s="1"/>
      <c r="G79" s="50">
        <f t="shared" si="18"/>
        <v>0</v>
      </c>
      <c r="H79" s="1"/>
      <c r="I79" s="50">
        <f t="shared" si="19"/>
        <v>0</v>
      </c>
    </row>
    <row r="80" spans="1:9" x14ac:dyDescent="0.3">
      <c r="A80">
        <v>20</v>
      </c>
      <c r="D80" s="6"/>
      <c r="E80" s="1"/>
      <c r="F80" s="1"/>
      <c r="G80" s="50">
        <f t="shared" si="18"/>
        <v>0</v>
      </c>
      <c r="H80" s="1"/>
      <c r="I80" s="50">
        <f t="shared" si="19"/>
        <v>0</v>
      </c>
    </row>
    <row r="81" spans="1:9" x14ac:dyDescent="0.3">
      <c r="A81" t="s">
        <v>28</v>
      </c>
      <c r="E81" s="50">
        <f>SUM(E61:E80)</f>
        <v>0</v>
      </c>
      <c r="G81" s="50">
        <f>SUM(G61:G80)</f>
        <v>0</v>
      </c>
      <c r="I81" s="50">
        <f>SUM(I61:I80)</f>
        <v>0</v>
      </c>
    </row>
    <row r="83" spans="1:9" ht="21" x14ac:dyDescent="0.4">
      <c r="A83" s="3" t="s">
        <v>2</v>
      </c>
    </row>
    <row r="84" spans="1:9" x14ac:dyDescent="0.3">
      <c r="B84" t="s">
        <v>30</v>
      </c>
      <c r="D84" t="s">
        <v>5</v>
      </c>
      <c r="E84" t="s">
        <v>20</v>
      </c>
      <c r="F84" t="s">
        <v>18</v>
      </c>
      <c r="G84" t="s">
        <v>21</v>
      </c>
      <c r="H84" t="s">
        <v>19</v>
      </c>
      <c r="I84" t="s">
        <v>22</v>
      </c>
    </row>
    <row r="85" spans="1:9" x14ac:dyDescent="0.3">
      <c r="A85" t="s">
        <v>41</v>
      </c>
      <c r="B85" s="1">
        <v>18</v>
      </c>
      <c r="D85" s="1"/>
      <c r="E85" s="50">
        <f>B85*D85</f>
        <v>0</v>
      </c>
      <c r="F85" s="1"/>
      <c r="G85" s="50">
        <f>F85*E85</f>
        <v>0</v>
      </c>
      <c r="H85" s="1"/>
      <c r="I85" s="50">
        <f>H85*E85</f>
        <v>0</v>
      </c>
    </row>
    <row r="86" spans="1:9" x14ac:dyDescent="0.3">
      <c r="A86" t="s">
        <v>42</v>
      </c>
      <c r="B86" s="1">
        <v>18</v>
      </c>
      <c r="D86" s="1"/>
      <c r="E86" s="50">
        <f t="shared" ref="E86:E90" si="20">B86*D86</f>
        <v>0</v>
      </c>
      <c r="F86" s="1"/>
      <c r="G86" s="50">
        <f>F86*E86</f>
        <v>0</v>
      </c>
      <c r="H86" s="1"/>
      <c r="I86" s="50">
        <f>H86*E86</f>
        <v>0</v>
      </c>
    </row>
    <row r="87" spans="1:9" x14ac:dyDescent="0.3">
      <c r="A87" t="s">
        <v>283</v>
      </c>
      <c r="B87" s="1">
        <v>18</v>
      </c>
      <c r="D87" s="1"/>
      <c r="E87" s="50">
        <f t="shared" si="20"/>
        <v>0</v>
      </c>
      <c r="F87" s="1"/>
      <c r="G87" s="50">
        <f>F87*E87</f>
        <v>0</v>
      </c>
      <c r="H87" s="1"/>
      <c r="I87" s="50">
        <f>H87*E87</f>
        <v>0</v>
      </c>
    </row>
    <row r="88" spans="1:9" x14ac:dyDescent="0.3">
      <c r="A88" t="s">
        <v>43</v>
      </c>
      <c r="B88" s="1">
        <v>10</v>
      </c>
      <c r="D88" s="1"/>
      <c r="E88" s="50">
        <f t="shared" si="20"/>
        <v>0</v>
      </c>
      <c r="F88" s="1"/>
      <c r="G88" s="50">
        <f t="shared" ref="G88:G90" si="21">F88*E88</f>
        <v>0</v>
      </c>
      <c r="H88" s="1"/>
      <c r="I88" s="50">
        <f t="shared" ref="I88:I90" si="22">H88*E88</f>
        <v>0</v>
      </c>
    </row>
    <row r="89" spans="1:9" x14ac:dyDescent="0.3">
      <c r="A89" t="s">
        <v>44</v>
      </c>
      <c r="B89" s="1">
        <v>10</v>
      </c>
      <c r="D89" s="1"/>
      <c r="E89" s="50">
        <f t="shared" si="20"/>
        <v>0</v>
      </c>
      <c r="F89" s="1"/>
      <c r="G89" s="50">
        <f t="shared" si="21"/>
        <v>0</v>
      </c>
      <c r="H89" s="1"/>
      <c r="I89" s="50">
        <f t="shared" si="22"/>
        <v>0</v>
      </c>
    </row>
    <row r="90" spans="1:9" x14ac:dyDescent="0.3">
      <c r="A90" t="s">
        <v>45</v>
      </c>
      <c r="B90" s="1">
        <v>10</v>
      </c>
      <c r="D90" s="1"/>
      <c r="E90" s="50">
        <f t="shared" si="20"/>
        <v>0</v>
      </c>
      <c r="F90" s="1"/>
      <c r="G90" s="50">
        <f t="shared" si="21"/>
        <v>0</v>
      </c>
      <c r="H90" s="1"/>
      <c r="I90" s="50">
        <f t="shared" si="22"/>
        <v>0</v>
      </c>
    </row>
    <row r="91" spans="1:9" x14ac:dyDescent="0.3">
      <c r="A91" t="s">
        <v>28</v>
      </c>
      <c r="E91" s="50">
        <f>SUM(E85:E90)</f>
        <v>0</v>
      </c>
      <c r="G91" s="50">
        <f>SUM(G85:G90)</f>
        <v>0</v>
      </c>
      <c r="I91" s="50">
        <f>SUM(I85:I90)</f>
        <v>0</v>
      </c>
    </row>
    <row r="92" spans="1:9" x14ac:dyDescent="0.3">
      <c r="B92" s="64" t="s">
        <v>284</v>
      </c>
      <c r="C92" s="1">
        <v>0</v>
      </c>
      <c r="D92">
        <f>IF(C92=1,200,IF(C92&gt;1,200+((C92-1)*125),0))</f>
        <v>0</v>
      </c>
      <c r="E92" t="s">
        <v>297</v>
      </c>
    </row>
    <row r="93" spans="1:9" x14ac:dyDescent="0.3">
      <c r="B93" s="64" t="s">
        <v>285</v>
      </c>
      <c r="C93" s="1">
        <v>0</v>
      </c>
      <c r="D93">
        <f>SUM(C93*50)</f>
        <v>0</v>
      </c>
    </row>
    <row r="96" spans="1:9" ht="21.6" thickBot="1" x14ac:dyDescent="0.45">
      <c r="A96" s="3" t="s">
        <v>3</v>
      </c>
    </row>
    <row r="97" spans="1:15" x14ac:dyDescent="0.3">
      <c r="E97" t="s">
        <v>20</v>
      </c>
      <c r="F97" t="s">
        <v>18</v>
      </c>
      <c r="G97" t="s">
        <v>21</v>
      </c>
      <c r="H97" t="s">
        <v>19</v>
      </c>
      <c r="I97" t="s">
        <v>22</v>
      </c>
      <c r="M97" s="124" t="s">
        <v>438</v>
      </c>
      <c r="N97" s="125"/>
      <c r="O97" s="126"/>
    </row>
    <row r="98" spans="1:15" x14ac:dyDescent="0.3">
      <c r="A98">
        <v>1</v>
      </c>
      <c r="E98" s="1">
        <v>500</v>
      </c>
      <c r="F98" s="1">
        <f>B2+1</f>
        <v>57</v>
      </c>
      <c r="G98" s="50">
        <f>F98*E98</f>
        <v>28500</v>
      </c>
      <c r="H98" s="57">
        <f>B1/2</f>
        <v>6</v>
      </c>
      <c r="I98" s="50">
        <f>H98*E98</f>
        <v>3000</v>
      </c>
      <c r="M98" s="104"/>
      <c r="N98" s="70" t="s">
        <v>444</v>
      </c>
      <c r="O98" s="105" t="s">
        <v>439</v>
      </c>
    </row>
    <row r="99" spans="1:15" x14ac:dyDescent="0.3">
      <c r="A99">
        <v>2</v>
      </c>
      <c r="E99" s="1"/>
      <c r="F99" s="1"/>
      <c r="G99" s="50">
        <f>F99*E99</f>
        <v>0</v>
      </c>
      <c r="H99" s="57"/>
      <c r="I99" s="50">
        <f>H99*E99</f>
        <v>0</v>
      </c>
      <c r="M99" s="106" t="s">
        <v>440</v>
      </c>
      <c r="N99" s="70">
        <v>22</v>
      </c>
      <c r="O99" s="105">
        <v>62</v>
      </c>
    </row>
    <row r="100" spans="1:15" ht="21" x14ac:dyDescent="0.4">
      <c r="A100" s="3" t="s">
        <v>28</v>
      </c>
      <c r="H100" s="50"/>
      <c r="M100" s="106" t="s">
        <v>441</v>
      </c>
      <c r="N100" s="70">
        <v>31</v>
      </c>
      <c r="O100" s="105">
        <v>99</v>
      </c>
    </row>
    <row r="101" spans="1:15" x14ac:dyDescent="0.3">
      <c r="E101" s="50">
        <f>SUM(E6,E10,E28,E57,E81,E91,E98,E99)</f>
        <v>7858.4</v>
      </c>
      <c r="F101" s="47">
        <f>G101/E101</f>
        <v>29.845159319963351</v>
      </c>
      <c r="G101" s="50">
        <f>SUM(G6,G10,G28,G57,G81,G91,G98,G99)</f>
        <v>234535.19999999998</v>
      </c>
      <c r="H101" s="47">
        <f>I101/E101</f>
        <v>5.9999999999999991</v>
      </c>
      <c r="I101" s="50">
        <f>SUM(I6,I10,I28,I57,I81,I91,I98,I99)</f>
        <v>47150.399999999994</v>
      </c>
      <c r="J101" t="s">
        <v>228</v>
      </c>
      <c r="M101" s="106" t="s">
        <v>442</v>
      </c>
      <c r="N101" s="70">
        <v>31</v>
      </c>
      <c r="O101" s="105">
        <v>106</v>
      </c>
    </row>
    <row r="102" spans="1:15" ht="15" thickBot="1" x14ac:dyDescent="0.35">
      <c r="E102" s="50">
        <f>SUM(E6,E10,E28,E57,E81,E91,E98,E99)</f>
        <v>7858.4</v>
      </c>
      <c r="F102" s="47">
        <f>G102/E102</f>
        <v>29.845159319963351</v>
      </c>
      <c r="G102" s="50">
        <f>SUM(G6,G10,G28,G57,G81,G91,G98,G99)</f>
        <v>234535.19999999998</v>
      </c>
      <c r="H102" s="47">
        <f>I102/E102</f>
        <v>5.9999999999999991</v>
      </c>
      <c r="I102" s="50">
        <f>SUM(I7,I10,I28,I57,I81,I91,I98,I99)</f>
        <v>47150.399999999994</v>
      </c>
      <c r="J102" t="s">
        <v>225</v>
      </c>
      <c r="M102" s="107" t="s">
        <v>443</v>
      </c>
      <c r="N102" s="78">
        <v>38</v>
      </c>
      <c r="O102" s="102">
        <v>133</v>
      </c>
    </row>
    <row r="103" spans="1:15" x14ac:dyDescent="0.3">
      <c r="A103" t="s">
        <v>39</v>
      </c>
      <c r="B103" s="1">
        <v>4</v>
      </c>
    </row>
    <row r="104" spans="1:15" x14ac:dyDescent="0.3">
      <c r="A104" t="s">
        <v>40</v>
      </c>
      <c r="B104">
        <f>IF(Weight!D18=7000,3500,3000)</f>
        <v>3000</v>
      </c>
      <c r="C104" t="s">
        <v>8</v>
      </c>
    </row>
    <row r="105" spans="1:15" x14ac:dyDescent="0.3">
      <c r="A105" t="s">
        <v>31</v>
      </c>
      <c r="B105">
        <f>IF(B1&lt;=8,65.5,IF(AND(B1&gt;8,B1&lt;=10),75.5,IF(AND(B1&gt;10,OR(Weight!H6="promod",Weight!H6="southeast",Weight!H6="SSI")),95.5,99.5)))</f>
        <v>95.5</v>
      </c>
      <c r="C105" t="s">
        <v>14</v>
      </c>
    </row>
    <row r="106" spans="1:15" x14ac:dyDescent="0.3">
      <c r="A106" t="s">
        <v>6</v>
      </c>
      <c r="B106">
        <f>IF(OR(Weight!D53="extended hitch:",Weight!D54="extended hitch:"),5,4)</f>
        <v>4</v>
      </c>
      <c r="C106" t="s">
        <v>7</v>
      </c>
    </row>
    <row r="107" spans="1:15" x14ac:dyDescent="0.3">
      <c r="A107" t="s">
        <v>32</v>
      </c>
      <c r="B107" s="1">
        <v>0.67</v>
      </c>
    </row>
    <row r="108" spans="1:15" x14ac:dyDescent="0.3">
      <c r="A108" t="s">
        <v>35</v>
      </c>
      <c r="B108" s="63">
        <f>IF(AND(AND(B1&lt;13),I113&lt;I114,Weight!E55=1),-3,IF(AND(AND(B1&gt;=13),I113&lt;I114,Weight!E55=1),-4,IF(AND(AND(B1&lt;13),I113&gt;I114,Weight!E55=1),4,IF(AND(AND(B1&gt;=13),I113&gt;I114,Weight!E55=1),4,IF(AND(I113&lt;I114,Weight!E55=0),-4,IF(AND(I113&gt;I114,Weight!E55=0),4,0))))))</f>
        <v>0</v>
      </c>
      <c r="C108" t="s">
        <v>36</v>
      </c>
    </row>
    <row r="109" spans="1:15" x14ac:dyDescent="0.3">
      <c r="A109" t="s">
        <v>108</v>
      </c>
      <c r="B109" s="60">
        <f>(B2/3*2)</f>
        <v>37.333333333333336</v>
      </c>
      <c r="F109">
        <f>B2-(B2*B107)</f>
        <v>18.479999999999997</v>
      </c>
      <c r="H109" s="50">
        <f>(B1/2)+(B108/12)</f>
        <v>6</v>
      </c>
    </row>
    <row r="110" spans="1:15" x14ac:dyDescent="0.3">
      <c r="A110" t="s">
        <v>33</v>
      </c>
      <c r="B110" s="50">
        <f>E101-B111</f>
        <v>2151.0589595375723</v>
      </c>
    </row>
    <row r="111" spans="1:15" x14ac:dyDescent="0.3">
      <c r="A111" t="s">
        <v>34</v>
      </c>
      <c r="B111" s="50">
        <f>IF(OR(Weight!D53="extended hitch:",Weight!D54="extended hitch:"),(E101*((B2+B106)-F101))/((B2+B106)-F109),(E101*((B2+B106)-F101))/((B2+B106)-F109))+D92+D93</f>
        <v>5707.3410404624274</v>
      </c>
    </row>
    <row r="112" spans="1:15" x14ac:dyDescent="0.3">
      <c r="A112" t="s">
        <v>223</v>
      </c>
      <c r="B112" s="50">
        <f>SUM(B110+B111)</f>
        <v>7858.4</v>
      </c>
      <c r="C112" s="96">
        <f>IF(B112&gt;40000,"Overall weight greater than 40,000 lbs, Pintle Eye Hitch Required",IF(B110&gt;11000,"Hitch weight greater than 11,000 lbs, Pintle Eye Hitch Required",0))</f>
        <v>0</v>
      </c>
      <c r="D112" s="96"/>
      <c r="E112" s="96"/>
    </row>
    <row r="113" spans="1:14" ht="21" x14ac:dyDescent="0.4">
      <c r="A113" t="s">
        <v>38</v>
      </c>
      <c r="E113" s="50">
        <f>(B111*(H101-H114))/(H113-H114)</f>
        <v>2853.6705202312132</v>
      </c>
      <c r="H113" s="50">
        <f>((B1/2)+(B105/24))</f>
        <v>9.9791666666666661</v>
      </c>
      <c r="I113" s="62">
        <f>E113/B104</f>
        <v>0.95122350674373779</v>
      </c>
      <c r="J113" s="48" t="str">
        <f>IF(I113&lt;B103,"OK","FAIL")</f>
        <v>OK</v>
      </c>
      <c r="K113" s="123" t="s">
        <v>226</v>
      </c>
      <c r="L113" s="123"/>
      <c r="M113" s="123"/>
      <c r="N113" s="123"/>
    </row>
    <row r="114" spans="1:14" ht="21" x14ac:dyDescent="0.4">
      <c r="A114" t="s">
        <v>37</v>
      </c>
      <c r="E114" s="50">
        <f>B111-E113</f>
        <v>2853.6705202312141</v>
      </c>
      <c r="H114" s="50">
        <f>((B1/2)-(B105/24))</f>
        <v>2.0208333333333335</v>
      </c>
      <c r="I114" s="62">
        <f>E114/B104</f>
        <v>0.95122350674373801</v>
      </c>
      <c r="J114" s="48" t="str">
        <f>IF(I114&lt;B103,"OK","FAIL")</f>
        <v>OK</v>
      </c>
      <c r="K114" s="123"/>
      <c r="L114" s="123"/>
      <c r="M114" s="123"/>
      <c r="N114" s="123"/>
    </row>
    <row r="116" spans="1:14" ht="21" x14ac:dyDescent="0.4">
      <c r="E116" s="50">
        <f>(B111*(H102-H117))/(H116-H117)</f>
        <v>2853.6705202312132</v>
      </c>
      <c r="H116" s="50">
        <f>((B1/2)+(B105/24))+(B108/12)</f>
        <v>9.9791666666666661</v>
      </c>
      <c r="I116" s="62">
        <f>E116/B104</f>
        <v>0.95122350674373779</v>
      </c>
      <c r="J116" s="48" t="str">
        <f>IF(I116&lt;B103,"OK","FAIL")</f>
        <v>OK</v>
      </c>
      <c r="K116" s="123" t="s">
        <v>227</v>
      </c>
      <c r="L116" s="123"/>
      <c r="M116" s="123"/>
      <c r="N116" s="123"/>
    </row>
    <row r="117" spans="1:14" ht="21" x14ac:dyDescent="0.4">
      <c r="A117" s="103" t="s">
        <v>490</v>
      </c>
      <c r="E117" s="50">
        <f>B111-E116</f>
        <v>2853.6705202312141</v>
      </c>
      <c r="H117" s="50">
        <f>((B1/2)-(B105/24))+(B108/12)</f>
        <v>2.0208333333333335</v>
      </c>
      <c r="I117" s="62">
        <f>E117/B104</f>
        <v>0.95122350674373801</v>
      </c>
      <c r="J117" s="48" t="str">
        <f>IF(I117&lt;B103,"OK","FAIL")</f>
        <v>OK</v>
      </c>
      <c r="K117" s="123"/>
      <c r="L117" s="123"/>
      <c r="M117" s="123"/>
      <c r="N117" s="123"/>
    </row>
  </sheetData>
  <mergeCells count="5">
    <mergeCell ref="K113:N114"/>
    <mergeCell ref="K116:N117"/>
    <mergeCell ref="E1:E3"/>
    <mergeCell ref="F1:F3"/>
    <mergeCell ref="M97:O97"/>
  </mergeCells>
  <conditionalFormatting sqref="C112:E112">
    <cfRule type="containsText" dxfId="11" priority="2" operator="containsText" text="Pintle">
      <formula>NOT(ISERROR(SEARCH("Pintle",C112)))</formula>
    </cfRule>
    <cfRule type="cellIs" dxfId="10" priority="3" operator="greaterThan">
      <formula>$B$112&gt;40000</formula>
    </cfRule>
  </conditionalFormatting>
  <conditionalFormatting sqref="J113:J114 J116:J117">
    <cfRule type="containsText" dxfId="9" priority="1" operator="containsText" text="fail">
      <formula>NOT(ISERROR(SEARCH("fail",J113)))</formula>
    </cfRule>
  </conditionalFormatting>
  <pageMargins left="0.7" right="0.7" top="0.75" bottom="0.75" header="0.3" footer="0.3"/>
  <pageSetup scale="3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24"/>
  <sheetViews>
    <sheetView tabSelected="1" topLeftCell="A99" workbookViewId="0">
      <selection activeCell="N115" sqref="N115"/>
    </sheetView>
  </sheetViews>
  <sheetFormatPr defaultRowHeight="14.4" x14ac:dyDescent="0.3"/>
  <cols>
    <col min="1" max="1" width="13.5546875" customWidth="1"/>
    <col min="2" max="2" width="12.6640625" customWidth="1"/>
    <col min="3" max="3" width="16.5546875" customWidth="1"/>
    <col min="4" max="4" width="15.109375" customWidth="1"/>
    <col min="8" max="8" width="15.44140625" customWidth="1"/>
    <col min="10" max="10" width="11" bestFit="1" customWidth="1"/>
    <col min="11" max="11" width="12" bestFit="1" customWidth="1"/>
    <col min="14" max="45" width="9.109375" customWidth="1"/>
    <col min="257" max="257" width="13.5546875" customWidth="1"/>
    <col min="258" max="258" width="12.6640625" customWidth="1"/>
    <col min="259" max="259" width="13.44140625" customWidth="1"/>
    <col min="260" max="260" width="12.44140625" customWidth="1"/>
    <col min="264" max="264" width="15.44140625" customWidth="1"/>
    <col min="513" max="513" width="13.5546875" customWidth="1"/>
    <col min="514" max="514" width="12.6640625" customWidth="1"/>
    <col min="515" max="515" width="13.44140625" customWidth="1"/>
    <col min="516" max="516" width="12.44140625" customWidth="1"/>
    <col min="520" max="520" width="15.44140625" customWidth="1"/>
    <col min="769" max="769" width="13.5546875" customWidth="1"/>
    <col min="770" max="770" width="12.6640625" customWidth="1"/>
    <col min="771" max="771" width="13.44140625" customWidth="1"/>
    <col min="772" max="772" width="12.44140625" customWidth="1"/>
    <col min="776" max="776" width="15.44140625" customWidth="1"/>
    <col min="1025" max="1025" width="13.5546875" customWidth="1"/>
    <col min="1026" max="1026" width="12.6640625" customWidth="1"/>
    <col min="1027" max="1027" width="13.44140625" customWidth="1"/>
    <col min="1028" max="1028" width="12.44140625" customWidth="1"/>
    <col min="1032" max="1032" width="15.44140625" customWidth="1"/>
    <col min="1281" max="1281" width="13.5546875" customWidth="1"/>
    <col min="1282" max="1282" width="12.6640625" customWidth="1"/>
    <col min="1283" max="1283" width="13.44140625" customWidth="1"/>
    <col min="1284" max="1284" width="12.44140625" customWidth="1"/>
    <col min="1288" max="1288" width="15.44140625" customWidth="1"/>
    <col min="1537" max="1537" width="13.5546875" customWidth="1"/>
    <col min="1538" max="1538" width="12.6640625" customWidth="1"/>
    <col min="1539" max="1539" width="13.44140625" customWidth="1"/>
    <col min="1540" max="1540" width="12.44140625" customWidth="1"/>
    <col min="1544" max="1544" width="15.44140625" customWidth="1"/>
    <col min="1793" max="1793" width="13.5546875" customWidth="1"/>
    <col min="1794" max="1794" width="12.6640625" customWidth="1"/>
    <col min="1795" max="1795" width="13.44140625" customWidth="1"/>
    <col min="1796" max="1796" width="12.44140625" customWidth="1"/>
    <col min="1800" max="1800" width="15.44140625" customWidth="1"/>
    <col min="2049" max="2049" width="13.5546875" customWidth="1"/>
    <col min="2050" max="2050" width="12.6640625" customWidth="1"/>
    <col min="2051" max="2051" width="13.44140625" customWidth="1"/>
    <col min="2052" max="2052" width="12.44140625" customWidth="1"/>
    <col min="2056" max="2056" width="15.44140625" customWidth="1"/>
    <col min="2305" max="2305" width="13.5546875" customWidth="1"/>
    <col min="2306" max="2306" width="12.6640625" customWidth="1"/>
    <col min="2307" max="2307" width="13.44140625" customWidth="1"/>
    <col min="2308" max="2308" width="12.44140625" customWidth="1"/>
    <col min="2312" max="2312" width="15.44140625" customWidth="1"/>
    <col min="2561" max="2561" width="13.5546875" customWidth="1"/>
    <col min="2562" max="2562" width="12.6640625" customWidth="1"/>
    <col min="2563" max="2563" width="13.44140625" customWidth="1"/>
    <col min="2564" max="2564" width="12.44140625" customWidth="1"/>
    <col min="2568" max="2568" width="15.44140625" customWidth="1"/>
    <col min="2817" max="2817" width="13.5546875" customWidth="1"/>
    <col min="2818" max="2818" width="12.6640625" customWidth="1"/>
    <col min="2819" max="2819" width="13.44140625" customWidth="1"/>
    <col min="2820" max="2820" width="12.44140625" customWidth="1"/>
    <col min="2824" max="2824" width="15.44140625" customWidth="1"/>
    <col min="3073" max="3073" width="13.5546875" customWidth="1"/>
    <col min="3074" max="3074" width="12.6640625" customWidth="1"/>
    <col min="3075" max="3075" width="13.44140625" customWidth="1"/>
    <col min="3076" max="3076" width="12.44140625" customWidth="1"/>
    <col min="3080" max="3080" width="15.44140625" customWidth="1"/>
    <col min="3329" max="3329" width="13.5546875" customWidth="1"/>
    <col min="3330" max="3330" width="12.6640625" customWidth="1"/>
    <col min="3331" max="3331" width="13.44140625" customWidth="1"/>
    <col min="3332" max="3332" width="12.44140625" customWidth="1"/>
    <col min="3336" max="3336" width="15.44140625" customWidth="1"/>
    <col min="3585" max="3585" width="13.5546875" customWidth="1"/>
    <col min="3586" max="3586" width="12.6640625" customWidth="1"/>
    <col min="3587" max="3587" width="13.44140625" customWidth="1"/>
    <col min="3588" max="3588" width="12.44140625" customWidth="1"/>
    <col min="3592" max="3592" width="15.44140625" customWidth="1"/>
    <col min="3841" max="3841" width="13.5546875" customWidth="1"/>
    <col min="3842" max="3842" width="12.6640625" customWidth="1"/>
    <col min="3843" max="3843" width="13.44140625" customWidth="1"/>
    <col min="3844" max="3844" width="12.44140625" customWidth="1"/>
    <col min="3848" max="3848" width="15.44140625" customWidth="1"/>
    <col min="4097" max="4097" width="13.5546875" customWidth="1"/>
    <col min="4098" max="4098" width="12.6640625" customWidth="1"/>
    <col min="4099" max="4099" width="13.44140625" customWidth="1"/>
    <col min="4100" max="4100" width="12.44140625" customWidth="1"/>
    <col min="4104" max="4104" width="15.44140625" customWidth="1"/>
    <col min="4353" max="4353" width="13.5546875" customWidth="1"/>
    <col min="4354" max="4354" width="12.6640625" customWidth="1"/>
    <col min="4355" max="4355" width="13.44140625" customWidth="1"/>
    <col min="4356" max="4356" width="12.44140625" customWidth="1"/>
    <col min="4360" max="4360" width="15.44140625" customWidth="1"/>
    <col min="4609" max="4609" width="13.5546875" customWidth="1"/>
    <col min="4610" max="4610" width="12.6640625" customWidth="1"/>
    <col min="4611" max="4611" width="13.44140625" customWidth="1"/>
    <col min="4612" max="4612" width="12.44140625" customWidth="1"/>
    <col min="4616" max="4616" width="15.44140625" customWidth="1"/>
    <col min="4865" max="4865" width="13.5546875" customWidth="1"/>
    <col min="4866" max="4866" width="12.6640625" customWidth="1"/>
    <col min="4867" max="4867" width="13.44140625" customWidth="1"/>
    <col min="4868" max="4868" width="12.44140625" customWidth="1"/>
    <col min="4872" max="4872" width="15.44140625" customWidth="1"/>
    <col min="5121" max="5121" width="13.5546875" customWidth="1"/>
    <col min="5122" max="5122" width="12.6640625" customWidth="1"/>
    <col min="5123" max="5123" width="13.44140625" customWidth="1"/>
    <col min="5124" max="5124" width="12.44140625" customWidth="1"/>
    <col min="5128" max="5128" width="15.44140625" customWidth="1"/>
    <col min="5377" max="5377" width="13.5546875" customWidth="1"/>
    <col min="5378" max="5378" width="12.6640625" customWidth="1"/>
    <col min="5379" max="5379" width="13.44140625" customWidth="1"/>
    <col min="5380" max="5380" width="12.44140625" customWidth="1"/>
    <col min="5384" max="5384" width="15.44140625" customWidth="1"/>
    <col min="5633" max="5633" width="13.5546875" customWidth="1"/>
    <col min="5634" max="5634" width="12.6640625" customWidth="1"/>
    <col min="5635" max="5635" width="13.44140625" customWidth="1"/>
    <col min="5636" max="5636" width="12.44140625" customWidth="1"/>
    <col min="5640" max="5640" width="15.44140625" customWidth="1"/>
    <col min="5889" max="5889" width="13.5546875" customWidth="1"/>
    <col min="5890" max="5890" width="12.6640625" customWidth="1"/>
    <col min="5891" max="5891" width="13.44140625" customWidth="1"/>
    <col min="5892" max="5892" width="12.44140625" customWidth="1"/>
    <col min="5896" max="5896" width="15.44140625" customWidth="1"/>
    <col min="6145" max="6145" width="13.5546875" customWidth="1"/>
    <col min="6146" max="6146" width="12.6640625" customWidth="1"/>
    <col min="6147" max="6147" width="13.44140625" customWidth="1"/>
    <col min="6148" max="6148" width="12.44140625" customWidth="1"/>
    <col min="6152" max="6152" width="15.44140625" customWidth="1"/>
    <col min="6401" max="6401" width="13.5546875" customWidth="1"/>
    <col min="6402" max="6402" width="12.6640625" customWidth="1"/>
    <col min="6403" max="6403" width="13.44140625" customWidth="1"/>
    <col min="6404" max="6404" width="12.44140625" customWidth="1"/>
    <col min="6408" max="6408" width="15.44140625" customWidth="1"/>
    <col min="6657" max="6657" width="13.5546875" customWidth="1"/>
    <col min="6658" max="6658" width="12.6640625" customWidth="1"/>
    <col min="6659" max="6659" width="13.44140625" customWidth="1"/>
    <col min="6660" max="6660" width="12.44140625" customWidth="1"/>
    <col min="6664" max="6664" width="15.44140625" customWidth="1"/>
    <col min="6913" max="6913" width="13.5546875" customWidth="1"/>
    <col min="6914" max="6914" width="12.6640625" customWidth="1"/>
    <col min="6915" max="6915" width="13.44140625" customWidth="1"/>
    <col min="6916" max="6916" width="12.44140625" customWidth="1"/>
    <col min="6920" max="6920" width="15.44140625" customWidth="1"/>
    <col min="7169" max="7169" width="13.5546875" customWidth="1"/>
    <col min="7170" max="7170" width="12.6640625" customWidth="1"/>
    <col min="7171" max="7171" width="13.44140625" customWidth="1"/>
    <col min="7172" max="7172" width="12.44140625" customWidth="1"/>
    <col min="7176" max="7176" width="15.44140625" customWidth="1"/>
    <col min="7425" max="7425" width="13.5546875" customWidth="1"/>
    <col min="7426" max="7426" width="12.6640625" customWidth="1"/>
    <col min="7427" max="7427" width="13.44140625" customWidth="1"/>
    <col min="7428" max="7428" width="12.44140625" customWidth="1"/>
    <col min="7432" max="7432" width="15.44140625" customWidth="1"/>
    <col min="7681" max="7681" width="13.5546875" customWidth="1"/>
    <col min="7682" max="7682" width="12.6640625" customWidth="1"/>
    <col min="7683" max="7683" width="13.44140625" customWidth="1"/>
    <col min="7684" max="7684" width="12.44140625" customWidth="1"/>
    <col min="7688" max="7688" width="15.44140625" customWidth="1"/>
    <col min="7937" max="7937" width="13.5546875" customWidth="1"/>
    <col min="7938" max="7938" width="12.6640625" customWidth="1"/>
    <col min="7939" max="7939" width="13.44140625" customWidth="1"/>
    <col min="7940" max="7940" width="12.44140625" customWidth="1"/>
    <col min="7944" max="7944" width="15.44140625" customWidth="1"/>
    <col min="8193" max="8193" width="13.5546875" customWidth="1"/>
    <col min="8194" max="8194" width="12.6640625" customWidth="1"/>
    <col min="8195" max="8195" width="13.44140625" customWidth="1"/>
    <col min="8196" max="8196" width="12.44140625" customWidth="1"/>
    <col min="8200" max="8200" width="15.44140625" customWidth="1"/>
    <col min="8449" max="8449" width="13.5546875" customWidth="1"/>
    <col min="8450" max="8450" width="12.6640625" customWidth="1"/>
    <col min="8451" max="8451" width="13.44140625" customWidth="1"/>
    <col min="8452" max="8452" width="12.44140625" customWidth="1"/>
    <col min="8456" max="8456" width="15.44140625" customWidth="1"/>
    <col min="8705" max="8705" width="13.5546875" customWidth="1"/>
    <col min="8706" max="8706" width="12.6640625" customWidth="1"/>
    <col min="8707" max="8707" width="13.44140625" customWidth="1"/>
    <col min="8708" max="8708" width="12.44140625" customWidth="1"/>
    <col min="8712" max="8712" width="15.44140625" customWidth="1"/>
    <col min="8961" max="8961" width="13.5546875" customWidth="1"/>
    <col min="8962" max="8962" width="12.6640625" customWidth="1"/>
    <col min="8963" max="8963" width="13.44140625" customWidth="1"/>
    <col min="8964" max="8964" width="12.44140625" customWidth="1"/>
    <col min="8968" max="8968" width="15.44140625" customWidth="1"/>
    <col min="9217" max="9217" width="13.5546875" customWidth="1"/>
    <col min="9218" max="9218" width="12.6640625" customWidth="1"/>
    <col min="9219" max="9219" width="13.44140625" customWidth="1"/>
    <col min="9220" max="9220" width="12.44140625" customWidth="1"/>
    <col min="9224" max="9224" width="15.44140625" customWidth="1"/>
    <col min="9473" max="9473" width="13.5546875" customWidth="1"/>
    <col min="9474" max="9474" width="12.6640625" customWidth="1"/>
    <col min="9475" max="9475" width="13.44140625" customWidth="1"/>
    <col min="9476" max="9476" width="12.44140625" customWidth="1"/>
    <col min="9480" max="9480" width="15.44140625" customWidth="1"/>
    <col min="9729" max="9729" width="13.5546875" customWidth="1"/>
    <col min="9730" max="9730" width="12.6640625" customWidth="1"/>
    <col min="9731" max="9731" width="13.44140625" customWidth="1"/>
    <col min="9732" max="9732" width="12.44140625" customWidth="1"/>
    <col min="9736" max="9736" width="15.44140625" customWidth="1"/>
    <col min="9985" max="9985" width="13.5546875" customWidth="1"/>
    <col min="9986" max="9986" width="12.6640625" customWidth="1"/>
    <col min="9987" max="9987" width="13.44140625" customWidth="1"/>
    <col min="9988" max="9988" width="12.44140625" customWidth="1"/>
    <col min="9992" max="9992" width="15.44140625" customWidth="1"/>
    <col min="10241" max="10241" width="13.5546875" customWidth="1"/>
    <col min="10242" max="10242" width="12.6640625" customWidth="1"/>
    <col min="10243" max="10243" width="13.44140625" customWidth="1"/>
    <col min="10244" max="10244" width="12.44140625" customWidth="1"/>
    <col min="10248" max="10248" width="15.44140625" customWidth="1"/>
    <col min="10497" max="10497" width="13.5546875" customWidth="1"/>
    <col min="10498" max="10498" width="12.6640625" customWidth="1"/>
    <col min="10499" max="10499" width="13.44140625" customWidth="1"/>
    <col min="10500" max="10500" width="12.44140625" customWidth="1"/>
    <col min="10504" max="10504" width="15.44140625" customWidth="1"/>
    <col min="10753" max="10753" width="13.5546875" customWidth="1"/>
    <col min="10754" max="10754" width="12.6640625" customWidth="1"/>
    <col min="10755" max="10755" width="13.44140625" customWidth="1"/>
    <col min="10756" max="10756" width="12.44140625" customWidth="1"/>
    <col min="10760" max="10760" width="15.44140625" customWidth="1"/>
    <col min="11009" max="11009" width="13.5546875" customWidth="1"/>
    <col min="11010" max="11010" width="12.6640625" customWidth="1"/>
    <col min="11011" max="11011" width="13.44140625" customWidth="1"/>
    <col min="11012" max="11012" width="12.44140625" customWidth="1"/>
    <col min="11016" max="11016" width="15.44140625" customWidth="1"/>
    <col min="11265" max="11265" width="13.5546875" customWidth="1"/>
    <col min="11266" max="11266" width="12.6640625" customWidth="1"/>
    <col min="11267" max="11267" width="13.44140625" customWidth="1"/>
    <col min="11268" max="11268" width="12.44140625" customWidth="1"/>
    <col min="11272" max="11272" width="15.44140625" customWidth="1"/>
    <col min="11521" max="11521" width="13.5546875" customWidth="1"/>
    <col min="11522" max="11522" width="12.6640625" customWidth="1"/>
    <col min="11523" max="11523" width="13.44140625" customWidth="1"/>
    <col min="11524" max="11524" width="12.44140625" customWidth="1"/>
    <col min="11528" max="11528" width="15.44140625" customWidth="1"/>
    <col min="11777" max="11777" width="13.5546875" customWidth="1"/>
    <col min="11778" max="11778" width="12.6640625" customWidth="1"/>
    <col min="11779" max="11779" width="13.44140625" customWidth="1"/>
    <col min="11780" max="11780" width="12.44140625" customWidth="1"/>
    <col min="11784" max="11784" width="15.44140625" customWidth="1"/>
    <col min="12033" max="12033" width="13.5546875" customWidth="1"/>
    <col min="12034" max="12034" width="12.6640625" customWidth="1"/>
    <col min="12035" max="12035" width="13.44140625" customWidth="1"/>
    <col min="12036" max="12036" width="12.44140625" customWidth="1"/>
    <col min="12040" max="12040" width="15.44140625" customWidth="1"/>
    <col min="12289" max="12289" width="13.5546875" customWidth="1"/>
    <col min="12290" max="12290" width="12.6640625" customWidth="1"/>
    <col min="12291" max="12291" width="13.44140625" customWidth="1"/>
    <col min="12292" max="12292" width="12.44140625" customWidth="1"/>
    <col min="12296" max="12296" width="15.44140625" customWidth="1"/>
    <col min="12545" max="12545" width="13.5546875" customWidth="1"/>
    <col min="12546" max="12546" width="12.6640625" customWidth="1"/>
    <col min="12547" max="12547" width="13.44140625" customWidth="1"/>
    <col min="12548" max="12548" width="12.44140625" customWidth="1"/>
    <col min="12552" max="12552" width="15.44140625" customWidth="1"/>
    <col min="12801" max="12801" width="13.5546875" customWidth="1"/>
    <col min="12802" max="12802" width="12.6640625" customWidth="1"/>
    <col min="12803" max="12803" width="13.44140625" customWidth="1"/>
    <col min="12804" max="12804" width="12.44140625" customWidth="1"/>
    <col min="12808" max="12808" width="15.44140625" customWidth="1"/>
    <col min="13057" max="13057" width="13.5546875" customWidth="1"/>
    <col min="13058" max="13058" width="12.6640625" customWidth="1"/>
    <col min="13059" max="13059" width="13.44140625" customWidth="1"/>
    <col min="13060" max="13060" width="12.44140625" customWidth="1"/>
    <col min="13064" max="13064" width="15.44140625" customWidth="1"/>
    <col min="13313" max="13313" width="13.5546875" customWidth="1"/>
    <col min="13314" max="13314" width="12.6640625" customWidth="1"/>
    <col min="13315" max="13315" width="13.44140625" customWidth="1"/>
    <col min="13316" max="13316" width="12.44140625" customWidth="1"/>
    <col min="13320" max="13320" width="15.44140625" customWidth="1"/>
    <col min="13569" max="13569" width="13.5546875" customWidth="1"/>
    <col min="13570" max="13570" width="12.6640625" customWidth="1"/>
    <col min="13571" max="13571" width="13.44140625" customWidth="1"/>
    <col min="13572" max="13572" width="12.44140625" customWidth="1"/>
    <col min="13576" max="13576" width="15.44140625" customWidth="1"/>
    <col min="13825" max="13825" width="13.5546875" customWidth="1"/>
    <col min="13826" max="13826" width="12.6640625" customWidth="1"/>
    <col min="13827" max="13827" width="13.44140625" customWidth="1"/>
    <col min="13828" max="13828" width="12.44140625" customWidth="1"/>
    <col min="13832" max="13832" width="15.44140625" customWidth="1"/>
    <col min="14081" max="14081" width="13.5546875" customWidth="1"/>
    <col min="14082" max="14082" width="12.6640625" customWidth="1"/>
    <col min="14083" max="14083" width="13.44140625" customWidth="1"/>
    <col min="14084" max="14084" width="12.44140625" customWidth="1"/>
    <col min="14088" max="14088" width="15.44140625" customWidth="1"/>
    <col min="14337" max="14337" width="13.5546875" customWidth="1"/>
    <col min="14338" max="14338" width="12.6640625" customWidth="1"/>
    <col min="14339" max="14339" width="13.44140625" customWidth="1"/>
    <col min="14340" max="14340" width="12.44140625" customWidth="1"/>
    <col min="14344" max="14344" width="15.44140625" customWidth="1"/>
    <col min="14593" max="14593" width="13.5546875" customWidth="1"/>
    <col min="14594" max="14594" width="12.6640625" customWidth="1"/>
    <col min="14595" max="14595" width="13.44140625" customWidth="1"/>
    <col min="14596" max="14596" width="12.44140625" customWidth="1"/>
    <col min="14600" max="14600" width="15.44140625" customWidth="1"/>
    <col min="14849" max="14849" width="13.5546875" customWidth="1"/>
    <col min="14850" max="14850" width="12.6640625" customWidth="1"/>
    <col min="14851" max="14851" width="13.44140625" customWidth="1"/>
    <col min="14852" max="14852" width="12.44140625" customWidth="1"/>
    <col min="14856" max="14856" width="15.44140625" customWidth="1"/>
    <col min="15105" max="15105" width="13.5546875" customWidth="1"/>
    <col min="15106" max="15106" width="12.6640625" customWidth="1"/>
    <col min="15107" max="15107" width="13.44140625" customWidth="1"/>
    <col min="15108" max="15108" width="12.44140625" customWidth="1"/>
    <col min="15112" max="15112" width="15.44140625" customWidth="1"/>
    <col min="15361" max="15361" width="13.5546875" customWidth="1"/>
    <col min="15362" max="15362" width="12.6640625" customWidth="1"/>
    <col min="15363" max="15363" width="13.44140625" customWidth="1"/>
    <col min="15364" max="15364" width="12.44140625" customWidth="1"/>
    <col min="15368" max="15368" width="15.44140625" customWidth="1"/>
    <col min="15617" max="15617" width="13.5546875" customWidth="1"/>
    <col min="15618" max="15618" width="12.6640625" customWidth="1"/>
    <col min="15619" max="15619" width="13.44140625" customWidth="1"/>
    <col min="15620" max="15620" width="12.44140625" customWidth="1"/>
    <col min="15624" max="15624" width="15.44140625" customWidth="1"/>
    <col min="15873" max="15873" width="13.5546875" customWidth="1"/>
    <col min="15874" max="15874" width="12.6640625" customWidth="1"/>
    <col min="15875" max="15875" width="13.44140625" customWidth="1"/>
    <col min="15876" max="15876" width="12.44140625" customWidth="1"/>
    <col min="15880" max="15880" width="15.44140625" customWidth="1"/>
    <col min="16129" max="16129" width="13.5546875" customWidth="1"/>
    <col min="16130" max="16130" width="12.6640625" customWidth="1"/>
    <col min="16131" max="16131" width="13.44140625" customWidth="1"/>
    <col min="16132" max="16132" width="12.44140625" customWidth="1"/>
    <col min="16136" max="16136" width="15.44140625" customWidth="1"/>
  </cols>
  <sheetData>
    <row r="1" spans="1:43" ht="18.75" customHeight="1" x14ac:dyDescent="0.3">
      <c r="A1" s="127" t="s">
        <v>46</v>
      </c>
      <c r="B1" s="127"/>
      <c r="C1" s="127"/>
      <c r="D1" s="127"/>
      <c r="E1" s="127"/>
      <c r="F1" s="127"/>
      <c r="G1" s="127"/>
      <c r="H1" s="127"/>
      <c r="S1" s="49"/>
    </row>
    <row r="2" spans="1:43" x14ac:dyDescent="0.3">
      <c r="N2" s="2"/>
      <c r="S2" s="2"/>
      <c r="X2" s="2"/>
      <c r="AC2" s="2"/>
      <c r="AH2" s="2"/>
      <c r="AM2" s="2"/>
      <c r="AQ2" s="2"/>
    </row>
    <row r="3" spans="1:43" x14ac:dyDescent="0.3">
      <c r="A3" t="s">
        <v>47</v>
      </c>
      <c r="N3" s="52"/>
      <c r="O3" s="52"/>
      <c r="P3" s="52"/>
      <c r="Q3" s="52"/>
      <c r="S3" s="52"/>
    </row>
    <row r="4" spans="1:43" x14ac:dyDescent="0.3">
      <c r="A4" t="s">
        <v>48</v>
      </c>
    </row>
    <row r="5" spans="1:43" ht="15" thickBot="1" x14ac:dyDescent="0.35">
      <c r="A5" t="s">
        <v>49</v>
      </c>
    </row>
    <row r="6" spans="1:43" ht="16.2" thickBot="1" x14ac:dyDescent="0.35">
      <c r="G6" s="66" t="s">
        <v>275</v>
      </c>
      <c r="H6" s="85" t="s">
        <v>491</v>
      </c>
      <c r="S6" s="49"/>
      <c r="T6" s="49"/>
      <c r="U6" s="49"/>
      <c r="V6" s="49"/>
    </row>
    <row r="7" spans="1:43" ht="15" customHeight="1" thickBot="1" x14ac:dyDescent="0.35">
      <c r="A7" s="5" t="s">
        <v>50</v>
      </c>
      <c r="S7" s="49"/>
      <c r="T7" s="49"/>
      <c r="U7" s="49"/>
      <c r="V7" s="49"/>
    </row>
    <row r="8" spans="1:43" x14ac:dyDescent="0.3">
      <c r="C8" s="6" t="s">
        <v>51</v>
      </c>
      <c r="D8" s="7">
        <v>12</v>
      </c>
      <c r="E8" t="s">
        <v>52</v>
      </c>
      <c r="S8" s="49"/>
      <c r="T8" s="49"/>
      <c r="U8" s="49"/>
      <c r="V8" s="49"/>
    </row>
    <row r="9" spans="1:43" x14ac:dyDescent="0.3">
      <c r="C9" s="6" t="s">
        <v>53</v>
      </c>
      <c r="D9" s="8">
        <v>56</v>
      </c>
      <c r="E9" t="s">
        <v>52</v>
      </c>
    </row>
    <row r="10" spans="1:43" x14ac:dyDescent="0.3">
      <c r="C10" s="6" t="s">
        <v>54</v>
      </c>
      <c r="D10" s="8">
        <v>10</v>
      </c>
      <c r="E10" t="s">
        <v>55</v>
      </c>
    </row>
    <row r="11" spans="1:43" x14ac:dyDescent="0.3">
      <c r="C11" s="6" t="s">
        <v>56</v>
      </c>
      <c r="D11" s="8">
        <v>10</v>
      </c>
      <c r="E11" t="s">
        <v>57</v>
      </c>
    </row>
    <row r="12" spans="1:43" x14ac:dyDescent="0.3">
      <c r="C12" s="6" t="s">
        <v>58</v>
      </c>
      <c r="D12" s="8">
        <v>16</v>
      </c>
      <c r="E12" t="s">
        <v>52</v>
      </c>
    </row>
    <row r="13" spans="1:43" x14ac:dyDescent="0.3">
      <c r="C13" s="6" t="s">
        <v>59</v>
      </c>
      <c r="D13" s="8">
        <v>8.1</v>
      </c>
      <c r="E13" t="str">
        <f>IF(H6="pmi","ft. (8'-0"" standard)",IF(OR(H6="amtex",H6="indicom"),"ft. (8'-3"" standard)","ft. (8'-6"" standard)"))</f>
        <v>ft. (8'-6" standard)</v>
      </c>
    </row>
    <row r="14" spans="1:43" x14ac:dyDescent="0.3">
      <c r="C14" s="6" t="s">
        <v>60</v>
      </c>
      <c r="D14" s="8">
        <v>0</v>
      </c>
      <c r="E14" t="s">
        <v>52</v>
      </c>
    </row>
    <row r="15" spans="1:43" x14ac:dyDescent="0.3">
      <c r="C15" s="6" t="s">
        <v>61</v>
      </c>
      <c r="D15" s="8">
        <v>0</v>
      </c>
      <c r="E15" t="s">
        <v>52</v>
      </c>
    </row>
    <row r="16" spans="1:43" x14ac:dyDescent="0.3">
      <c r="C16" s="6" t="s">
        <v>62</v>
      </c>
      <c r="D16" s="8" t="s">
        <v>19</v>
      </c>
      <c r="E16" t="s">
        <v>63</v>
      </c>
    </row>
    <row r="17" spans="1:11" ht="15" customHeight="1" x14ac:dyDescent="0.3">
      <c r="C17" s="6" t="s">
        <v>64</v>
      </c>
      <c r="D17" s="8" t="s">
        <v>19</v>
      </c>
      <c r="E17" t="s">
        <v>65</v>
      </c>
    </row>
    <row r="18" spans="1:11" ht="15" thickBot="1" x14ac:dyDescent="0.35">
      <c r="B18" s="6"/>
      <c r="C18" s="6" t="s">
        <v>472</v>
      </c>
      <c r="D18" s="9">
        <v>6000</v>
      </c>
      <c r="E18" t="s">
        <v>8</v>
      </c>
      <c r="F18" t="str">
        <f>IF(D18=7000,"HD Tires Required","")</f>
        <v/>
      </c>
    </row>
    <row r="19" spans="1:11" x14ac:dyDescent="0.3">
      <c r="C19" s="6"/>
      <c r="D19" s="116"/>
      <c r="I19" s="49"/>
    </row>
    <row r="20" spans="1:11" ht="15.6" x14ac:dyDescent="0.3">
      <c r="A20" s="5" t="s">
        <v>66</v>
      </c>
      <c r="I20" s="49"/>
    </row>
    <row r="21" spans="1:11" x14ac:dyDescent="0.3">
      <c r="A21" t="str">
        <f>IF(H6="PMI","(Base floor includes 2x8 Joists @ 16"" o.c., 3/4"" floor decking, R-19 insulation, Mobi-Flex Bottom Board, &amp; VCT)","(Base floor includes 2x8 Joists @ 16"" o.c., 3/4"" floor decking, R-30 insulation, Mobi-Flex Bottom Board, &amp; VCT)")</f>
        <v>(Base floor includes 2x8 Joists @ 16" o.c., 3/4" floor decking, R-30 insulation, Mobi-Flex Bottom Board, &amp; VCT)</v>
      </c>
    </row>
    <row r="22" spans="1:11" x14ac:dyDescent="0.3">
      <c r="B22" s="10" t="s">
        <v>67</v>
      </c>
      <c r="C22" s="51">
        <f>ROUNDUP(Assemblies!F8,1)</f>
        <v>7.6999999999999993</v>
      </c>
      <c r="D22" s="12" t="s">
        <v>68</v>
      </c>
    </row>
    <row r="23" spans="1:11" ht="15" thickBot="1" x14ac:dyDescent="0.35"/>
    <row r="24" spans="1:11" x14ac:dyDescent="0.3">
      <c r="B24" s="6" t="s">
        <v>137</v>
      </c>
      <c r="C24" s="129" t="s">
        <v>121</v>
      </c>
      <c r="D24" s="130"/>
      <c r="E24" s="7">
        <v>0</v>
      </c>
      <c r="F24" s="55">
        <f>INDEX(Materials!B4:B6,MATCH(C24,Materials!A4:A6,0))</f>
        <v>0.87649714285714309</v>
      </c>
      <c r="G24" t="s">
        <v>69</v>
      </c>
    </row>
    <row r="25" spans="1:11" ht="15" customHeight="1" x14ac:dyDescent="0.3">
      <c r="B25" s="6" t="s">
        <v>138</v>
      </c>
      <c r="C25" s="129" t="s">
        <v>230</v>
      </c>
      <c r="D25" s="130"/>
      <c r="E25" s="8">
        <v>0</v>
      </c>
      <c r="F25" s="55">
        <f>INDEX(Materials!B12:B20,MATCH(C25,Materials!A12:A20,0))</f>
        <v>1.4</v>
      </c>
      <c r="G25" t="s">
        <v>68</v>
      </c>
      <c r="J25" s="46"/>
    </row>
    <row r="26" spans="1:11" ht="15" customHeight="1" x14ac:dyDescent="0.3">
      <c r="B26" s="6" t="s">
        <v>259</v>
      </c>
      <c r="C26" s="140" t="s">
        <v>245</v>
      </c>
      <c r="D26" s="141"/>
      <c r="E26" s="8">
        <v>0</v>
      </c>
      <c r="F26" s="55">
        <f>INDEX(Materials!B17:B20,MATCH(C26,Materials!A17:A20,0))</f>
        <v>3.9</v>
      </c>
      <c r="G26" t="s">
        <v>68</v>
      </c>
      <c r="J26" s="46"/>
    </row>
    <row r="27" spans="1:11" x14ac:dyDescent="0.3">
      <c r="B27" s="6" t="s">
        <v>139</v>
      </c>
      <c r="C27" s="129" t="s">
        <v>206</v>
      </c>
      <c r="D27" s="130"/>
      <c r="E27" s="8">
        <v>0</v>
      </c>
      <c r="F27" s="55">
        <f>INDEX(Materials!B22:B26,MATCH(C27,Materials!A22:A26,0))</f>
        <v>-1.4</v>
      </c>
      <c r="G27" t="s">
        <v>68</v>
      </c>
      <c r="J27" s="46"/>
    </row>
    <row r="28" spans="1:11" x14ac:dyDescent="0.3">
      <c r="B28" s="6" t="s">
        <v>139</v>
      </c>
      <c r="C28" s="129" t="s">
        <v>126</v>
      </c>
      <c r="D28" s="129"/>
      <c r="E28" s="8">
        <v>0</v>
      </c>
      <c r="F28" s="55">
        <f>INDEX(Materials!B22:B26,MATCH(C28,Materials!A22:A26,0))</f>
        <v>-0.59999999999999987</v>
      </c>
      <c r="G28" t="s">
        <v>68</v>
      </c>
      <c r="J28" s="46"/>
    </row>
    <row r="29" spans="1:11" x14ac:dyDescent="0.3">
      <c r="B29" s="6" t="s">
        <v>287</v>
      </c>
      <c r="C29" s="129" t="s">
        <v>371</v>
      </c>
      <c r="D29" s="129"/>
      <c r="E29" s="8">
        <v>0</v>
      </c>
      <c r="F29" s="55">
        <f>INDEX(Materials!B29:B30,MATCH(C29,Materials!A29:A30,0))</f>
        <v>0.41600000000000004</v>
      </c>
      <c r="G29" t="s">
        <v>68</v>
      </c>
      <c r="J29" s="46"/>
    </row>
    <row r="30" spans="1:11" ht="15" thickBot="1" x14ac:dyDescent="0.35">
      <c r="B30" s="6" t="s">
        <v>144</v>
      </c>
      <c r="C30" s="129" t="s">
        <v>372</v>
      </c>
      <c r="D30" s="129"/>
      <c r="E30" s="9">
        <v>0</v>
      </c>
      <c r="F30" s="68">
        <f>IF(AND(E30&gt;0,E24=0),Materials!N5,IF(AND(Weight!E30&gt;0,Weight!E24&gt;0),INDEX(Materials!N4:N11,MATCH(C24,Materials!I4:I11,0)),Materials!N5))</f>
        <v>-0.48857142857142843</v>
      </c>
      <c r="G30" t="s">
        <v>68</v>
      </c>
      <c r="J30" s="46"/>
    </row>
    <row r="31" spans="1:11" x14ac:dyDescent="0.3">
      <c r="F31" s="50"/>
      <c r="H31" t="s">
        <v>71</v>
      </c>
      <c r="J31" s="55">
        <f>C22+(E24*F24)+(E25*F25)+(E26*F26)+(E27*F27)+(E28*F28)+(E29*F29)+(E30*F30)</f>
        <v>7.6999999999999993</v>
      </c>
      <c r="K31" t="s">
        <v>68</v>
      </c>
    </row>
    <row r="32" spans="1:11" ht="15.6" x14ac:dyDescent="0.3">
      <c r="A32" s="5" t="s">
        <v>72</v>
      </c>
      <c r="F32" s="55"/>
      <c r="J32" s="46"/>
    </row>
    <row r="33" spans="1:11" x14ac:dyDescent="0.3">
      <c r="A33" t="str">
        <f>IF(H6="PMI","(Base roof includes: 2x8 rafters @ 16"" o.c., 1/2 plywood over 1/2"" gyp, suspended ceiling, R-30 Insul., 4-layer plywood beam, and 45 Mil EPDM roofing)","(Base roof includes: 2x8 rafters @ 16"" o.c., 1/2"" plywood, suspended ceiling, R-38 Insul., 4-layer plywood beam and 45 Mil EPDM roofing)")</f>
        <v>(Base roof includes: 2x8 rafters @ 16" o.c., 1/2" plywood, suspended ceiling, R-38 Insul., 4-layer plywood beam and 45 Mil EPDM roofing)</v>
      </c>
      <c r="F33" s="55"/>
      <c r="J33" s="46"/>
    </row>
    <row r="34" spans="1:11" x14ac:dyDescent="0.3">
      <c r="B34" s="10" t="s">
        <v>67</v>
      </c>
      <c r="C34" s="51">
        <f>ROUNDUP(Assemblies!F20,1)</f>
        <v>6.8</v>
      </c>
      <c r="D34" s="12" t="s">
        <v>68</v>
      </c>
      <c r="E34" t="str">
        <f>IF(AND(D16="n",D17="y"),"(Mate Beam figured on one side only)",IF(D16="y","(Mate Beam has been removed from base weight)",""))</f>
        <v>(Mate Beam has been removed from base weight)</v>
      </c>
      <c r="F34" s="55"/>
      <c r="J34" s="46"/>
    </row>
    <row r="35" spans="1:11" ht="15" thickBot="1" x14ac:dyDescent="0.35">
      <c r="F35" s="55"/>
      <c r="J35" s="46"/>
    </row>
    <row r="36" spans="1:11" x14ac:dyDescent="0.3">
      <c r="B36" s="6" t="s">
        <v>140</v>
      </c>
      <c r="C36" s="129" t="s">
        <v>117</v>
      </c>
      <c r="D36" s="130"/>
      <c r="E36" s="7">
        <v>1</v>
      </c>
      <c r="F36" s="55">
        <f>INDEX(Materials!B34:B41,MATCH(C36,Materials!A34:A41,0))</f>
        <v>1.0519598146551719</v>
      </c>
      <c r="G36" t="s">
        <v>69</v>
      </c>
      <c r="J36" s="46"/>
    </row>
    <row r="37" spans="1:11" x14ac:dyDescent="0.3">
      <c r="B37" s="6" t="s">
        <v>142</v>
      </c>
      <c r="C37" s="129" t="s">
        <v>185</v>
      </c>
      <c r="D37" s="130"/>
      <c r="E37" s="8">
        <v>0</v>
      </c>
      <c r="F37" s="55">
        <f>INDEX(Materials!B51:B59,MATCH(C37,Materials!A51:A59,0))</f>
        <v>-0.30000000000000004</v>
      </c>
      <c r="G37" t="s">
        <v>68</v>
      </c>
      <c r="J37" s="46"/>
    </row>
    <row r="38" spans="1:11" x14ac:dyDescent="0.3">
      <c r="B38" s="6" t="s">
        <v>142</v>
      </c>
      <c r="C38" s="129" t="s">
        <v>273</v>
      </c>
      <c r="D38" s="130"/>
      <c r="E38" s="8">
        <v>0</v>
      </c>
      <c r="F38" s="55">
        <f>INDEX(Materials!B51:B59,MATCH(C38,Materials!A51:A59,0))</f>
        <v>0.61</v>
      </c>
      <c r="G38" t="s">
        <v>68</v>
      </c>
      <c r="J38" s="46"/>
    </row>
    <row r="39" spans="1:11" x14ac:dyDescent="0.3">
      <c r="B39" s="6" t="s">
        <v>142</v>
      </c>
      <c r="C39" s="129" t="s">
        <v>233</v>
      </c>
      <c r="D39" s="130"/>
      <c r="E39" s="8">
        <v>1</v>
      </c>
      <c r="F39" s="55">
        <f>INDEX(Materials!B51:B59,MATCH(C39,Materials!A51:A59,0))</f>
        <v>0.5</v>
      </c>
      <c r="G39" t="s">
        <v>68</v>
      </c>
      <c r="J39" s="46"/>
    </row>
    <row r="40" spans="1:11" x14ac:dyDescent="0.3">
      <c r="B40" s="6" t="s">
        <v>141</v>
      </c>
      <c r="C40" s="129" t="s">
        <v>289</v>
      </c>
      <c r="D40" s="130"/>
      <c r="E40" s="8">
        <v>0</v>
      </c>
      <c r="F40" s="55">
        <f>INDEX(Materials!B42:B48,MATCH(C40,Materials!A42:A48,0))</f>
        <v>0.8</v>
      </c>
      <c r="G40" t="s">
        <v>68</v>
      </c>
      <c r="J40" s="46"/>
    </row>
    <row r="41" spans="1:11" x14ac:dyDescent="0.3">
      <c r="B41" s="6" t="s">
        <v>269</v>
      </c>
      <c r="C41" s="129" t="s">
        <v>277</v>
      </c>
      <c r="D41" s="130"/>
      <c r="E41" s="8">
        <v>0</v>
      </c>
      <c r="F41" s="55">
        <f>INDEX(Materials!B69:B142,MATCH(C41,Materials!A69:A142,0))</f>
        <v>0</v>
      </c>
      <c r="G41" t="s">
        <v>68</v>
      </c>
      <c r="H41" t="str">
        <f>IF(AND(OR(C41="steel girder:",C41="bar joist"),E41&gt;0),"(See Assemblies tab - Size and type of material can be adjusted for Girder and Bar Joists)","")</f>
        <v/>
      </c>
      <c r="J41" s="46"/>
    </row>
    <row r="42" spans="1:11" x14ac:dyDescent="0.3">
      <c r="B42" s="6" t="s">
        <v>452</v>
      </c>
      <c r="C42" s="129" t="s">
        <v>461</v>
      </c>
      <c r="D42" s="130"/>
      <c r="E42" s="8">
        <v>2</v>
      </c>
      <c r="F42" s="55">
        <f>IF(E42=0,0,IF(AND(D16="y",E36=0),Materials!M35*2,IF(D16="y",INDEX(Materials!M34:M42,MATCH(Weight!C36,Materials!A33:A41,0))*2,IF(E36=0,Materials!M35,INDEX(Materials!M34:M42,MATCH(Weight!C36,Materials!A33:A41,0))))))</f>
        <v>1.0477575126811596</v>
      </c>
      <c r="G42" t="s">
        <v>68</v>
      </c>
      <c r="J42" s="46"/>
    </row>
    <row r="43" spans="1:11" x14ac:dyDescent="0.3">
      <c r="B43" s="6" t="s">
        <v>452</v>
      </c>
      <c r="C43" s="129" t="s">
        <v>462</v>
      </c>
      <c r="D43" s="130"/>
      <c r="E43" s="8">
        <v>2</v>
      </c>
      <c r="F43" s="55">
        <f>IF(E43=0,0,IF(E36=0,Materials!N35,INDEX(Materials!N34:N42,MATCH(Weight!C36,Materials!A33:A41,0))))</f>
        <v>-4.8649106021392274E-2</v>
      </c>
      <c r="G43" t="s">
        <v>68</v>
      </c>
      <c r="J43" s="46"/>
    </row>
    <row r="44" spans="1:11" x14ac:dyDescent="0.3">
      <c r="B44" s="6" t="s">
        <v>144</v>
      </c>
      <c r="C44" s="129" t="s">
        <v>487</v>
      </c>
      <c r="D44" s="130"/>
      <c r="E44" s="8">
        <v>0</v>
      </c>
      <c r="F44" s="55">
        <f>INDEX(Materials!B60:B66,MATCH(C44,Materials!A60:A66,0))</f>
        <v>2.6</v>
      </c>
      <c r="G44" t="s">
        <v>68</v>
      </c>
      <c r="J44" s="46"/>
    </row>
    <row r="45" spans="1:11" x14ac:dyDescent="0.3">
      <c r="B45" s="6" t="s">
        <v>144</v>
      </c>
      <c r="C45" s="129" t="s">
        <v>127</v>
      </c>
      <c r="D45" s="130"/>
      <c r="E45" s="8">
        <v>0</v>
      </c>
      <c r="F45" s="55">
        <f>INDEX(Materials!B60:B66,MATCH(C45,Materials!A60:A66,0))</f>
        <v>0.2</v>
      </c>
      <c r="G45" t="s">
        <v>68</v>
      </c>
      <c r="J45" s="46"/>
    </row>
    <row r="46" spans="1:11" ht="15" customHeight="1" thickBot="1" x14ac:dyDescent="0.35">
      <c r="B46" s="6"/>
      <c r="C46" s="129"/>
      <c r="D46" s="130"/>
      <c r="E46" s="9"/>
      <c r="F46" s="55"/>
      <c r="J46" s="46"/>
    </row>
    <row r="47" spans="1:11" x14ac:dyDescent="0.3">
      <c r="F47" s="55"/>
      <c r="H47" t="s">
        <v>71</v>
      </c>
      <c r="J47" s="55">
        <f>C34+(E36*F36)+(E37*F37)+(E38*F38)+(E39*F39)+(E40*F40)+(E41*F41)+(E44*F44)+(E45*F45)+(E46*F46)+IF(E42&gt;0,F42)+IF(E43&gt;0,F43)</f>
        <v>9.3510682213149376</v>
      </c>
      <c r="K47" t="s">
        <v>68</v>
      </c>
    </row>
    <row r="48" spans="1:11" ht="15.6" x14ac:dyDescent="0.3">
      <c r="A48" s="5" t="s">
        <v>75</v>
      </c>
      <c r="F48" s="55"/>
      <c r="J48" s="14"/>
    </row>
    <row r="49" spans="1:11" x14ac:dyDescent="0.3">
      <c r="A49" t="s">
        <v>76</v>
      </c>
      <c r="F49" s="55"/>
      <c r="J49" s="14"/>
    </row>
    <row r="50" spans="1:11" x14ac:dyDescent="0.3">
      <c r="B50" s="10" t="s">
        <v>67</v>
      </c>
      <c r="C50" s="11">
        <v>3</v>
      </c>
      <c r="D50" s="12" t="s">
        <v>68</v>
      </c>
      <c r="F50" s="55"/>
      <c r="J50" s="14"/>
    </row>
    <row r="51" spans="1:11" ht="15" thickBot="1" x14ac:dyDescent="0.35">
      <c r="F51" s="50"/>
      <c r="J51" s="46"/>
    </row>
    <row r="52" spans="1:11" x14ac:dyDescent="0.3">
      <c r="B52" s="6" t="s">
        <v>160</v>
      </c>
      <c r="D52" s="6" t="s">
        <v>189</v>
      </c>
      <c r="E52" s="7">
        <v>0</v>
      </c>
      <c r="F52" s="55">
        <f>INDEX(Materials!B164:B165,MATCH(D52,Materials!A164:A165,0))</f>
        <v>0.6</v>
      </c>
      <c r="G52" t="s">
        <v>68</v>
      </c>
      <c r="H52" t="str">
        <f>IF(D52="10"" I-Beam:","Do not use underslung axles with 10"" I-Beam","")</f>
        <v/>
      </c>
      <c r="J52" s="14"/>
    </row>
    <row r="53" spans="1:11" x14ac:dyDescent="0.3">
      <c r="D53" s="6" t="s">
        <v>77</v>
      </c>
      <c r="E53" s="8">
        <v>1</v>
      </c>
      <c r="F53" s="55">
        <f>INDEX(Materials!B166:B171,MATCH(D53,Materials!A166:A171,0))</f>
        <v>0.25</v>
      </c>
      <c r="G53" t="s">
        <v>68</v>
      </c>
      <c r="J53" s="14"/>
    </row>
    <row r="54" spans="1:11" x14ac:dyDescent="0.3">
      <c r="D54" s="6" t="s">
        <v>270</v>
      </c>
      <c r="E54" s="8">
        <v>0</v>
      </c>
      <c r="F54" s="55">
        <f>INDEX(Materials!B166:B171,MATCH(D54,Materials!A166:A171,0))</f>
        <v>1.7</v>
      </c>
      <c r="G54" t="s">
        <v>68</v>
      </c>
      <c r="H54" t="str">
        <f>IF(AND(D54="Lifting Eyes (4-Corners):",E54&gt;0),"(Add 0.425 for each additional lifting eye)",IF(AND(D53="Lifting Eyes (4-Corners):",E53&gt;0),"(Add 0.425 for each additional lifting eye)",""))</f>
        <v/>
      </c>
      <c r="J54" s="14"/>
    </row>
    <row r="55" spans="1:11" x14ac:dyDescent="0.3">
      <c r="B55" s="129" t="s">
        <v>422</v>
      </c>
      <c r="C55" s="129"/>
      <c r="D55" s="130"/>
      <c r="E55" s="15">
        <v>0</v>
      </c>
      <c r="F55" s="55">
        <f>INDEX(Materials!B193:B197,MATCH(B55,Materials!A193:A197,0))-C50</f>
        <v>4.1004624161649064</v>
      </c>
      <c r="G55" t="s">
        <v>68</v>
      </c>
      <c r="H55" t="str">
        <f>IF(AND(E55&gt;0,B55="12"" i-beam TX Perimeter:",E55&gt;0),"",IF(E55&gt;0,"Note: Floor joists have been deducted from Floor base weight",""))</f>
        <v/>
      </c>
      <c r="J55" s="46"/>
    </row>
    <row r="56" spans="1:11" ht="15" thickBot="1" x14ac:dyDescent="0.35">
      <c r="D56" s="6" t="s">
        <v>489</v>
      </c>
      <c r="E56" s="16">
        <v>0</v>
      </c>
      <c r="F56" s="55">
        <v>29</v>
      </c>
      <c r="G56" t="s">
        <v>68</v>
      </c>
      <c r="H56" t="s">
        <v>71</v>
      </c>
      <c r="J56" s="55">
        <f>C50+(E52*F52)+(E53*F53)+(E54*F54)+(E55*F55)+(E56*F56)</f>
        <v>3.25</v>
      </c>
      <c r="K56" t="s">
        <v>68</v>
      </c>
    </row>
    <row r="57" spans="1:11" ht="15" customHeight="1" x14ac:dyDescent="0.3">
      <c r="C57" t="s">
        <v>78</v>
      </c>
      <c r="F57" s="50"/>
      <c r="J57" s="14"/>
    </row>
    <row r="58" spans="1:11" x14ac:dyDescent="0.3">
      <c r="F58" s="50"/>
      <c r="H58" t="s">
        <v>79</v>
      </c>
      <c r="J58" s="55">
        <f>J31+J47+J56</f>
        <v>20.301068221314935</v>
      </c>
      <c r="K58" t="s">
        <v>68</v>
      </c>
    </row>
    <row r="59" spans="1:11" x14ac:dyDescent="0.3">
      <c r="F59" s="50"/>
      <c r="J59" s="46"/>
    </row>
    <row r="60" spans="1:11" ht="15.6" x14ac:dyDescent="0.3">
      <c r="A60" s="5" t="s">
        <v>80</v>
      </c>
      <c r="F60" s="50"/>
      <c r="J60" s="46"/>
    </row>
    <row r="61" spans="1:11" x14ac:dyDescent="0.3">
      <c r="A61" t="s">
        <v>485</v>
      </c>
      <c r="F61" s="50"/>
      <c r="J61" s="46"/>
    </row>
    <row r="62" spans="1:11" x14ac:dyDescent="0.3">
      <c r="B62" s="10" t="s">
        <v>67</v>
      </c>
      <c r="C62" s="11">
        <f>ROUNDUP(Assemblies!F30,1)</f>
        <v>6.5</v>
      </c>
      <c r="D62" s="12" t="s">
        <v>68</v>
      </c>
      <c r="F62" s="50"/>
      <c r="J62" s="46"/>
    </row>
    <row r="63" spans="1:11" ht="15" thickBot="1" x14ac:dyDescent="0.35">
      <c r="F63" s="50"/>
      <c r="J63" s="46"/>
    </row>
    <row r="64" spans="1:11" x14ac:dyDescent="0.3">
      <c r="B64" s="6" t="s">
        <v>145</v>
      </c>
      <c r="C64" s="129" t="s">
        <v>184</v>
      </c>
      <c r="D64" s="130"/>
      <c r="E64" s="7">
        <v>0</v>
      </c>
      <c r="F64" s="55">
        <f>INDEX(Materials!B84:B89,MATCH(C64,Materials!A84:A89,0))</f>
        <v>-0.82643232323232341</v>
      </c>
      <c r="G64" t="s">
        <v>68</v>
      </c>
      <c r="J64" s="46"/>
    </row>
    <row r="65" spans="1:11" x14ac:dyDescent="0.3">
      <c r="B65" s="6" t="s">
        <v>146</v>
      </c>
      <c r="C65" s="129" t="s">
        <v>482</v>
      </c>
      <c r="D65" s="130"/>
      <c r="E65" s="8">
        <v>1</v>
      </c>
      <c r="F65" s="55">
        <f>INDEX(Materials!B91:B106,MATCH(C65,Materials!A91:A106,0))</f>
        <v>0.39999999999999991</v>
      </c>
      <c r="G65" t="s">
        <v>68</v>
      </c>
      <c r="J65" s="46"/>
    </row>
    <row r="66" spans="1:11" x14ac:dyDescent="0.3">
      <c r="B66" s="6" t="s">
        <v>451</v>
      </c>
      <c r="C66" s="129" t="s">
        <v>468</v>
      </c>
      <c r="D66" s="130"/>
      <c r="E66" s="8">
        <v>0</v>
      </c>
      <c r="F66" s="55">
        <f>INDEX(Materials!B131:B141,MATCH(C66,Materials!A131:A141,0))</f>
        <v>5.2</v>
      </c>
      <c r="G66" t="s">
        <v>68</v>
      </c>
      <c r="J66" s="46"/>
    </row>
    <row r="67" spans="1:11" x14ac:dyDescent="0.3">
      <c r="B67" s="6" t="s">
        <v>451</v>
      </c>
      <c r="C67" s="129" t="s">
        <v>231</v>
      </c>
      <c r="D67" s="130"/>
      <c r="E67" s="8">
        <v>0</v>
      </c>
      <c r="F67" s="55">
        <f>INDEX(Materials!B131:B141,MATCH(C67,Materials!A131:A141,0))</f>
        <v>1.2</v>
      </c>
      <c r="G67" t="s">
        <v>68</v>
      </c>
      <c r="J67" s="46"/>
    </row>
    <row r="68" spans="1:11" x14ac:dyDescent="0.3">
      <c r="B68" s="6" t="s">
        <v>147</v>
      </c>
      <c r="C68" s="129" t="s">
        <v>295</v>
      </c>
      <c r="D68" s="130"/>
      <c r="E68" s="8">
        <v>0</v>
      </c>
      <c r="F68" s="55">
        <f>INDEX(Materials!B108:B114,MATCH(C68,Materials!A108:A114,0))</f>
        <v>2.2999999999999998</v>
      </c>
      <c r="G68" t="s">
        <v>68</v>
      </c>
      <c r="J68" s="46"/>
    </row>
    <row r="69" spans="1:11" ht="15" thickBot="1" x14ac:dyDescent="0.35">
      <c r="B69" s="53" t="s">
        <v>147</v>
      </c>
      <c r="C69" s="129" t="s">
        <v>296</v>
      </c>
      <c r="D69" s="130"/>
      <c r="E69" s="9">
        <v>0</v>
      </c>
      <c r="F69" s="55">
        <f>INDEX(Materials!B108:B114,MATCH(C69,Materials!A108:A114,0))</f>
        <v>0.59999999999999987</v>
      </c>
      <c r="G69" t="s">
        <v>68</v>
      </c>
      <c r="J69" s="46"/>
    </row>
    <row r="70" spans="1:11" ht="15" customHeight="1" x14ac:dyDescent="0.3">
      <c r="F70" s="55"/>
      <c r="J70" s="46"/>
    </row>
    <row r="71" spans="1:11" x14ac:dyDescent="0.3">
      <c r="F71" s="55"/>
      <c r="H71" t="s">
        <v>71</v>
      </c>
      <c r="J71" s="55">
        <f>C62+(E64*F64)+(E65*F65)+(E66*F66)+(E67*F67)+(E68*F68)+(E69*F69)</f>
        <v>6.9</v>
      </c>
      <c r="K71" t="s">
        <v>68</v>
      </c>
    </row>
    <row r="72" spans="1:11" x14ac:dyDescent="0.3">
      <c r="F72" s="55"/>
      <c r="J72" s="14"/>
    </row>
    <row r="73" spans="1:11" ht="15.6" x14ac:dyDescent="0.3">
      <c r="A73" s="5" t="s">
        <v>82</v>
      </c>
      <c r="F73" s="55"/>
      <c r="J73" s="14"/>
    </row>
    <row r="74" spans="1:11" x14ac:dyDescent="0.3">
      <c r="A74" t="s">
        <v>486</v>
      </c>
      <c r="F74" s="55"/>
      <c r="J74" s="14"/>
    </row>
    <row r="75" spans="1:11" x14ac:dyDescent="0.3">
      <c r="B75" s="12" t="s">
        <v>67</v>
      </c>
      <c r="C75" s="11">
        <f>ROUNDUP(Assemblies!F36,1)</f>
        <v>5.6</v>
      </c>
      <c r="D75" s="12" t="s">
        <v>68</v>
      </c>
      <c r="F75" s="55"/>
      <c r="J75" s="14"/>
    </row>
    <row r="76" spans="1:11" ht="15" thickBot="1" x14ac:dyDescent="0.35">
      <c r="F76" s="55"/>
      <c r="J76" s="14"/>
    </row>
    <row r="77" spans="1:11" x14ac:dyDescent="0.3">
      <c r="B77" s="6" t="s">
        <v>145</v>
      </c>
      <c r="C77" s="129" t="s">
        <v>187</v>
      </c>
      <c r="D77" s="130"/>
      <c r="E77" s="7">
        <v>0</v>
      </c>
      <c r="F77" s="55">
        <f>INDEX(Materials!B118:B119,MATCH(C77,Materials!A118:A119,0))</f>
        <v>0.82643232323232341</v>
      </c>
      <c r="G77" t="s">
        <v>68</v>
      </c>
      <c r="J77" s="14"/>
    </row>
    <row r="78" spans="1:11" x14ac:dyDescent="0.3">
      <c r="B78" s="6" t="s">
        <v>450</v>
      </c>
      <c r="C78" s="129" t="s">
        <v>482</v>
      </c>
      <c r="D78" s="130"/>
      <c r="E78" s="8">
        <v>1</v>
      </c>
      <c r="F78" s="55">
        <f>INDEX(Materials!B122:B130,MATCH(C78,Materials!A122:A130,0))</f>
        <v>0.79999999999999982</v>
      </c>
      <c r="G78" t="s">
        <v>68</v>
      </c>
      <c r="J78" s="14"/>
    </row>
    <row r="79" spans="1:11" x14ac:dyDescent="0.3">
      <c r="B79" s="6" t="s">
        <v>449</v>
      </c>
      <c r="C79" s="129" t="s">
        <v>484</v>
      </c>
      <c r="D79" s="130"/>
      <c r="E79" s="8">
        <v>0</v>
      </c>
      <c r="F79" s="55">
        <f>INDEX(Materials!B122:B130,MATCH(C79,Materials!A122:A130,0))</f>
        <v>6.4</v>
      </c>
      <c r="G79" t="s">
        <v>68</v>
      </c>
      <c r="J79" s="14"/>
    </row>
    <row r="80" spans="1:11" x14ac:dyDescent="0.3">
      <c r="B80" s="6" t="s">
        <v>451</v>
      </c>
      <c r="C80" s="129" t="s">
        <v>467</v>
      </c>
      <c r="D80" s="130"/>
      <c r="E80" s="8">
        <v>0</v>
      </c>
      <c r="F80" s="55">
        <f>INDEX(Materials!B131:B141,MATCH(C80,Materials!A131:A141,0))</f>
        <v>2.6</v>
      </c>
      <c r="G80" t="s">
        <v>68</v>
      </c>
      <c r="J80" s="14"/>
    </row>
    <row r="81" spans="1:11" x14ac:dyDescent="0.3">
      <c r="B81" s="6" t="s">
        <v>451</v>
      </c>
      <c r="C81" s="129" t="s">
        <v>234</v>
      </c>
      <c r="D81" s="130"/>
      <c r="E81" s="8">
        <v>0</v>
      </c>
      <c r="F81" s="55">
        <f>INDEX(Materials!B131:B141,MATCH(C81,Materials!A131:A141,0))</f>
        <v>0.25</v>
      </c>
      <c r="G81" t="s">
        <v>68</v>
      </c>
      <c r="J81" s="14"/>
    </row>
    <row r="82" spans="1:11" x14ac:dyDescent="0.3">
      <c r="B82" s="6" t="s">
        <v>451</v>
      </c>
      <c r="C82" s="129" t="s">
        <v>445</v>
      </c>
      <c r="D82" s="130"/>
      <c r="E82" s="8">
        <v>0</v>
      </c>
      <c r="F82" s="55">
        <f>INDEX(Materials!B131:B141,MATCH(C82,Materials!A131:A141,0))</f>
        <v>6</v>
      </c>
      <c r="G82" t="s">
        <v>68</v>
      </c>
      <c r="J82" s="14"/>
    </row>
    <row r="83" spans="1:11" ht="15" customHeight="1" thickBot="1" x14ac:dyDescent="0.35">
      <c r="B83" s="6" t="s">
        <v>148</v>
      </c>
      <c r="C83" s="129" t="s">
        <v>212</v>
      </c>
      <c r="D83" s="130"/>
      <c r="E83" s="9">
        <v>1</v>
      </c>
      <c r="F83" s="55">
        <f>INDEX(Materials!B145:B150,MATCH(C83,Materials!A145:A147,0))</f>
        <v>0.14000000000000001</v>
      </c>
      <c r="G83" t="s">
        <v>68</v>
      </c>
      <c r="J83" s="14"/>
    </row>
    <row r="84" spans="1:11" x14ac:dyDescent="0.3">
      <c r="F84" s="14"/>
      <c r="H84" t="s">
        <v>71</v>
      </c>
      <c r="J84" s="55">
        <f>C75+(E77*F77)+(E78*F78)+(E79*F79)+(E80*F80)+(E81*F81)+(E82*F82)+(E83*F83)</f>
        <v>6.5399999999999991</v>
      </c>
      <c r="K84" t="s">
        <v>68</v>
      </c>
    </row>
    <row r="85" spans="1:11" x14ac:dyDescent="0.3">
      <c r="A85" s="17"/>
      <c r="B85" s="17"/>
      <c r="C85" s="17"/>
      <c r="D85" s="17"/>
      <c r="E85" s="17"/>
      <c r="F85" s="56"/>
      <c r="G85" s="17"/>
      <c r="H85" s="17"/>
      <c r="I85" s="17"/>
      <c r="J85" s="14"/>
    </row>
    <row r="86" spans="1:11" ht="16.2" thickBot="1" x14ac:dyDescent="0.35">
      <c r="A86" s="18" t="s">
        <v>83</v>
      </c>
      <c r="F86" s="14" t="s">
        <v>262</v>
      </c>
      <c r="J86" s="14"/>
    </row>
    <row r="87" spans="1:11" x14ac:dyDescent="0.3">
      <c r="D87" s="6" t="s">
        <v>84</v>
      </c>
      <c r="E87" s="19">
        <v>1</v>
      </c>
      <c r="F87" s="59">
        <v>75</v>
      </c>
      <c r="J87" s="14"/>
    </row>
    <row r="88" spans="1:11" x14ac:dyDescent="0.3">
      <c r="D88" s="6" t="s">
        <v>85</v>
      </c>
      <c r="E88" s="15">
        <v>1</v>
      </c>
      <c r="F88" s="59">
        <v>50</v>
      </c>
      <c r="J88" s="14"/>
    </row>
    <row r="89" spans="1:11" x14ac:dyDescent="0.3">
      <c r="D89" s="6" t="s">
        <v>86</v>
      </c>
      <c r="E89" s="15">
        <v>0</v>
      </c>
      <c r="F89" s="59">
        <v>50</v>
      </c>
      <c r="J89" s="14"/>
    </row>
    <row r="90" spans="1:11" x14ac:dyDescent="0.3">
      <c r="D90" s="6" t="s">
        <v>261</v>
      </c>
      <c r="E90" s="15">
        <v>0</v>
      </c>
      <c r="F90" s="59">
        <v>50</v>
      </c>
      <c r="J90" s="14"/>
    </row>
    <row r="91" spans="1:11" x14ac:dyDescent="0.3">
      <c r="D91" s="6" t="s">
        <v>298</v>
      </c>
      <c r="E91" s="15">
        <v>1</v>
      </c>
      <c r="F91" s="59">
        <v>20</v>
      </c>
      <c r="J91" s="14"/>
    </row>
    <row r="92" spans="1:11" x14ac:dyDescent="0.3">
      <c r="D92" s="6" t="s">
        <v>466</v>
      </c>
      <c r="E92" s="15">
        <v>0</v>
      </c>
      <c r="F92" s="59">
        <v>280</v>
      </c>
    </row>
    <row r="93" spans="1:11" x14ac:dyDescent="0.3">
      <c r="D93" s="6" t="s">
        <v>465</v>
      </c>
      <c r="E93" s="15">
        <v>0</v>
      </c>
      <c r="F93" s="59">
        <v>205</v>
      </c>
    </row>
    <row r="94" spans="1:11" x14ac:dyDescent="0.3">
      <c r="D94" s="6" t="s">
        <v>235</v>
      </c>
      <c r="E94" s="15">
        <v>0</v>
      </c>
      <c r="F94" s="59">
        <v>95</v>
      </c>
    </row>
    <row r="95" spans="1:11" x14ac:dyDescent="0.3">
      <c r="D95" s="6" t="s">
        <v>284</v>
      </c>
      <c r="E95" s="15">
        <v>0</v>
      </c>
      <c r="F95" s="59">
        <f>IF(E95=1,200,IF(E95&gt;1,200+((E95-1)*125),0))</f>
        <v>0</v>
      </c>
    </row>
    <row r="96" spans="1:11" x14ac:dyDescent="0.3">
      <c r="D96" s="6" t="s">
        <v>285</v>
      </c>
      <c r="E96" s="15">
        <v>0</v>
      </c>
      <c r="F96" s="59">
        <f>SUM(E96*50)</f>
        <v>0</v>
      </c>
    </row>
    <row r="97" spans="1:11" ht="15" thickBot="1" x14ac:dyDescent="0.35">
      <c r="C97" s="6" t="s">
        <v>149</v>
      </c>
      <c r="D97" s="6" t="s">
        <v>192</v>
      </c>
      <c r="E97" s="16">
        <v>1</v>
      </c>
      <c r="F97" s="59">
        <f>INDEX(Materials!B154:B160,MATCH(D97,Materials!A154:A160,0))</f>
        <v>105</v>
      </c>
      <c r="H97" t="s">
        <v>87</v>
      </c>
      <c r="J97" s="14">
        <f>+E87*F87+E88*F88+E89*F89+E90*F90+E91*F91+E92*F92+E93*F93+E94*F94+E97*F97+F95+F96</f>
        <v>250</v>
      </c>
      <c r="K97" t="s">
        <v>8</v>
      </c>
    </row>
    <row r="98" spans="1:11" x14ac:dyDescent="0.3">
      <c r="J98" s="46"/>
    </row>
    <row r="99" spans="1:11" ht="15" thickBot="1" x14ac:dyDescent="0.35">
      <c r="J99" s="46"/>
    </row>
    <row r="100" spans="1:11" ht="16.5" customHeight="1" thickTop="1" x14ac:dyDescent="0.3">
      <c r="A100" s="17"/>
      <c r="B100" s="20" t="s">
        <v>88</v>
      </c>
      <c r="C100" s="21"/>
      <c r="D100" s="21"/>
      <c r="E100" s="21"/>
      <c r="F100" s="21"/>
      <c r="G100" s="21"/>
      <c r="H100" s="22"/>
      <c r="I100" s="131" t="s">
        <v>401</v>
      </c>
      <c r="J100" s="132"/>
      <c r="K100" s="133"/>
    </row>
    <row r="101" spans="1:11" x14ac:dyDescent="0.3">
      <c r="A101" s="17"/>
      <c r="B101" s="23" t="s">
        <v>89</v>
      </c>
      <c r="C101" s="24"/>
      <c r="D101" s="24"/>
      <c r="E101" s="25">
        <f>+D8*D9*J58+(D9*D10*J71*IF(D17="Y",IF(D16="Y",2,1),0))+(2*D8*D11*J71)+(D12*D13*J84)+(D14*10)+(D15*18)+550+J97</f>
        <v>24673.901844723634</v>
      </c>
      <c r="F101" s="24" t="s">
        <v>90</v>
      </c>
      <c r="G101" s="24"/>
      <c r="H101" s="26"/>
      <c r="I101" s="134"/>
      <c r="J101" s="135"/>
      <c r="K101" s="136"/>
    </row>
    <row r="102" spans="1:11" x14ac:dyDescent="0.3">
      <c r="A102" s="17"/>
      <c r="B102" s="23"/>
      <c r="C102" s="24"/>
      <c r="D102" s="27" t="s">
        <v>91</v>
      </c>
      <c r="E102" s="28">
        <v>0.71</v>
      </c>
      <c r="F102" s="24" t="s">
        <v>92</v>
      </c>
      <c r="G102" s="24"/>
      <c r="H102" s="26"/>
      <c r="I102" s="134"/>
      <c r="J102" s="135"/>
      <c r="K102" s="136"/>
    </row>
    <row r="103" spans="1:11" x14ac:dyDescent="0.3">
      <c r="A103" s="17"/>
      <c r="B103" s="23" t="s">
        <v>93</v>
      </c>
      <c r="C103" s="24"/>
      <c r="D103" s="29"/>
      <c r="E103" s="25">
        <f>E101*0.3</f>
        <v>7402.1705534170896</v>
      </c>
      <c r="F103" s="24" t="s">
        <v>90</v>
      </c>
      <c r="G103" s="30"/>
      <c r="H103" s="26"/>
      <c r="I103" s="134"/>
      <c r="J103" s="135"/>
      <c r="K103" s="136"/>
    </row>
    <row r="104" spans="1:11" ht="15" thickBot="1" x14ac:dyDescent="0.35">
      <c r="A104" s="17"/>
      <c r="B104" s="23" t="s">
        <v>94</v>
      </c>
      <c r="C104" s="24"/>
      <c r="D104" s="24"/>
      <c r="E104" s="31" t="str">
        <f>IF(E103&gt;11000,"Pintle Eye",IF(E101&lt;=40000,"Standard Heavy Duty","Pintle Eye"))</f>
        <v>Standard Heavy Duty</v>
      </c>
      <c r="F104" s="32"/>
      <c r="G104" s="12"/>
      <c r="H104" s="26"/>
      <c r="I104" s="137"/>
      <c r="J104" s="138"/>
      <c r="K104" s="139"/>
    </row>
    <row r="105" spans="1:11" ht="15" thickTop="1" x14ac:dyDescent="0.3">
      <c r="A105" s="17"/>
      <c r="B105" s="23"/>
      <c r="C105" s="24"/>
      <c r="D105" s="93" t="s">
        <v>400</v>
      </c>
      <c r="E105" s="101">
        <v>0.12</v>
      </c>
      <c r="F105" s="95"/>
      <c r="G105" s="12"/>
      <c r="H105" s="26"/>
    </row>
    <row r="106" spans="1:11" x14ac:dyDescent="0.3">
      <c r="A106" s="17"/>
      <c r="B106" s="23" t="s">
        <v>95</v>
      </c>
      <c r="C106" s="24"/>
      <c r="D106" s="29">
        <f>E102</f>
        <v>0.71</v>
      </c>
      <c r="E106" s="25">
        <f>E101*D106+(E101*E105)</f>
        <v>20479.338531120615</v>
      </c>
      <c r="F106" s="24" t="s">
        <v>90</v>
      </c>
      <c r="H106" s="26"/>
    </row>
    <row r="107" spans="1:11" x14ac:dyDescent="0.3">
      <c r="A107" s="17"/>
      <c r="B107" s="23" t="s">
        <v>96</v>
      </c>
      <c r="C107" s="24"/>
      <c r="D107" s="24"/>
      <c r="E107" s="33">
        <f>E106/D18</f>
        <v>3.4132230885201023</v>
      </c>
      <c r="F107" s="24"/>
      <c r="G107" s="12"/>
      <c r="H107" s="26"/>
    </row>
    <row r="108" spans="1:11" x14ac:dyDescent="0.3">
      <c r="A108" s="17"/>
      <c r="B108" s="23" t="s">
        <v>97</v>
      </c>
      <c r="C108" s="24"/>
      <c r="D108" s="24"/>
      <c r="E108" s="34">
        <f>ROUNDUP(E107,0)</f>
        <v>4</v>
      </c>
      <c r="F108" s="94"/>
      <c r="G108" s="24"/>
      <c r="H108" s="26"/>
      <c r="I108" s="17"/>
    </row>
    <row r="109" spans="1:11" ht="15" thickBot="1" x14ac:dyDescent="0.35">
      <c r="A109" s="17"/>
      <c r="B109" s="35"/>
      <c r="C109" s="36"/>
      <c r="D109" s="37" t="s">
        <v>98</v>
      </c>
      <c r="E109" s="117">
        <f>IF(D18=7000,3500,3000)</f>
        <v>3000</v>
      </c>
      <c r="F109" s="38"/>
      <c r="G109" s="36"/>
      <c r="H109" s="39"/>
      <c r="I109" s="17"/>
    </row>
    <row r="110" spans="1:11" ht="15" thickTop="1" x14ac:dyDescent="0.3">
      <c r="A110" s="17"/>
      <c r="B110" s="17"/>
      <c r="C110" s="17"/>
      <c r="D110" s="17"/>
      <c r="E110" s="17"/>
      <c r="F110" s="17"/>
      <c r="G110" s="17"/>
      <c r="H110" s="17"/>
      <c r="I110" s="17"/>
    </row>
    <row r="111" spans="1:11" ht="15" customHeight="1" x14ac:dyDescent="0.3">
      <c r="B111" s="128" t="s">
        <v>435</v>
      </c>
      <c r="C111" s="128"/>
      <c r="D111" s="128"/>
      <c r="E111" s="128"/>
      <c r="F111" s="128"/>
      <c r="G111" s="128"/>
      <c r="H111" s="128"/>
    </row>
    <row r="112" spans="1:11" x14ac:dyDescent="0.3">
      <c r="B112" s="128"/>
      <c r="C112" s="128"/>
      <c r="D112" s="128"/>
      <c r="E112" s="128"/>
      <c r="F112" s="128"/>
      <c r="G112" s="128"/>
      <c r="H112" s="128"/>
    </row>
    <row r="113" spans="2:8" x14ac:dyDescent="0.3">
      <c r="B113" s="128"/>
      <c r="C113" s="128"/>
      <c r="D113" s="128"/>
      <c r="E113" s="128"/>
      <c r="F113" s="128"/>
      <c r="G113" s="128"/>
      <c r="H113" s="128"/>
    </row>
    <row r="114" spans="2:8" x14ac:dyDescent="0.3">
      <c r="B114" t="s">
        <v>99</v>
      </c>
    </row>
    <row r="115" spans="2:8" x14ac:dyDescent="0.3">
      <c r="C115" s="40" t="s">
        <v>100</v>
      </c>
    </row>
    <row r="116" spans="2:8" x14ac:dyDescent="0.3">
      <c r="B116" s="41" t="s">
        <v>27</v>
      </c>
      <c r="C116" s="42">
        <v>1</v>
      </c>
      <c r="D116" s="43">
        <v>2</v>
      </c>
      <c r="E116" s="43">
        <v>3</v>
      </c>
      <c r="F116" s="43">
        <v>4</v>
      </c>
      <c r="G116" s="43">
        <v>5</v>
      </c>
      <c r="H116" s="43">
        <v>6</v>
      </c>
    </row>
    <row r="117" spans="2:8" x14ac:dyDescent="0.3">
      <c r="B117" s="44" t="s">
        <v>101</v>
      </c>
      <c r="C117" s="13">
        <v>0.7</v>
      </c>
      <c r="D117" s="13">
        <v>0.72</v>
      </c>
      <c r="E117" s="13">
        <v>0.73</v>
      </c>
      <c r="F117" s="13">
        <v>0.75</v>
      </c>
      <c r="G117" s="13">
        <v>0.77</v>
      </c>
      <c r="H117" s="13">
        <v>0.79</v>
      </c>
    </row>
    <row r="118" spans="2:8" x14ac:dyDescent="0.3">
      <c r="B118" s="44" t="s">
        <v>102</v>
      </c>
      <c r="C118" s="13">
        <v>0.69</v>
      </c>
      <c r="D118" s="13">
        <v>0.71</v>
      </c>
      <c r="E118" s="13">
        <v>0.72</v>
      </c>
      <c r="F118" s="13">
        <v>0.74</v>
      </c>
      <c r="G118" s="13">
        <v>0.75</v>
      </c>
      <c r="H118" s="13">
        <v>0.76</v>
      </c>
    </row>
    <row r="119" spans="2:8" x14ac:dyDescent="0.3">
      <c r="B119" s="44" t="s">
        <v>103</v>
      </c>
      <c r="C119" s="13">
        <v>0.69</v>
      </c>
      <c r="D119" s="13">
        <v>0.7</v>
      </c>
      <c r="E119" s="13">
        <v>0.71</v>
      </c>
      <c r="F119" s="13">
        <v>0.72</v>
      </c>
      <c r="G119" s="13">
        <v>0.74</v>
      </c>
      <c r="H119" s="13">
        <v>0.75</v>
      </c>
    </row>
    <row r="120" spans="2:8" x14ac:dyDescent="0.3">
      <c r="B120" s="44" t="s">
        <v>104</v>
      </c>
      <c r="C120" s="13">
        <v>0.69</v>
      </c>
      <c r="D120" s="13">
        <v>0.7</v>
      </c>
      <c r="E120" s="13">
        <v>0.71</v>
      </c>
      <c r="F120" s="13">
        <v>0.72</v>
      </c>
      <c r="G120" s="13">
        <v>0.73</v>
      </c>
      <c r="H120" s="13">
        <v>0.74</v>
      </c>
    </row>
    <row r="122" spans="2:8" x14ac:dyDescent="0.3">
      <c r="B122" s="45" t="s">
        <v>105</v>
      </c>
    </row>
    <row r="123" spans="2:8" x14ac:dyDescent="0.3">
      <c r="B123" s="45" t="s">
        <v>106</v>
      </c>
    </row>
    <row r="124" spans="2:8" x14ac:dyDescent="0.3">
      <c r="B124" s="45" t="s">
        <v>107</v>
      </c>
    </row>
  </sheetData>
  <dataConsolidate function="varp"/>
  <mergeCells count="35">
    <mergeCell ref="C37:D37"/>
    <mergeCell ref="C40:D40"/>
    <mergeCell ref="C44:D44"/>
    <mergeCell ref="C26:D26"/>
    <mergeCell ref="C39:D39"/>
    <mergeCell ref="C41:D41"/>
    <mergeCell ref="C27:D27"/>
    <mergeCell ref="C28:D28"/>
    <mergeCell ref="C36:D36"/>
    <mergeCell ref="I100:K104"/>
    <mergeCell ref="C38:D38"/>
    <mergeCell ref="C69:D69"/>
    <mergeCell ref="C83:D83"/>
    <mergeCell ref="C79:D79"/>
    <mergeCell ref="C46:D46"/>
    <mergeCell ref="C80:D80"/>
    <mergeCell ref="C45:D45"/>
    <mergeCell ref="C67:D67"/>
    <mergeCell ref="C68:D68"/>
    <mergeCell ref="A1:H1"/>
    <mergeCell ref="B111:H113"/>
    <mergeCell ref="B55:D55"/>
    <mergeCell ref="C25:D25"/>
    <mergeCell ref="C81:D81"/>
    <mergeCell ref="C82:D82"/>
    <mergeCell ref="C43:D43"/>
    <mergeCell ref="C42:D42"/>
    <mergeCell ref="C24:D24"/>
    <mergeCell ref="C77:D77"/>
    <mergeCell ref="C78:D78"/>
    <mergeCell ref="C30:D30"/>
    <mergeCell ref="C64:D64"/>
    <mergeCell ref="C65:D65"/>
    <mergeCell ref="C66:D66"/>
    <mergeCell ref="C29:D29"/>
  </mergeCells>
  <conditionalFormatting sqref="E34">
    <cfRule type="containsText" dxfId="8" priority="9" operator="containsText" text="mate">
      <formula>NOT(ISERROR(SEARCH("mate",E34)))</formula>
    </cfRule>
  </conditionalFormatting>
  <conditionalFormatting sqref="E104">
    <cfRule type="containsText" dxfId="7" priority="3" operator="containsText" text="Pintle">
      <formula>NOT(ISERROR(SEARCH("Pintle",E104)))</formula>
    </cfRule>
  </conditionalFormatting>
  <conditionalFormatting sqref="F18">
    <cfRule type="containsText" dxfId="6" priority="2" operator="containsText" text="HD">
      <formula>NOT(ISERROR(SEARCH("HD",F18)))</formula>
    </cfRule>
  </conditionalFormatting>
  <conditionalFormatting sqref="F30">
    <cfRule type="containsText" dxfId="5" priority="5" operator="containsText" text="base">
      <formula>NOT(ISERROR(SEARCH("base",F30)))</formula>
    </cfRule>
  </conditionalFormatting>
  <conditionalFormatting sqref="F108">
    <cfRule type="containsText" dxfId="4" priority="4" operator="containsText" text="pintle">
      <formula>NOT(ISERROR(SEARCH("pintle",F108)))</formula>
    </cfRule>
  </conditionalFormatting>
  <conditionalFormatting sqref="H41:H43">
    <cfRule type="containsText" dxfId="3" priority="6" operator="containsText" text="see">
      <formula>NOT(ISERROR(SEARCH("see",H41)))</formula>
    </cfRule>
  </conditionalFormatting>
  <conditionalFormatting sqref="H52">
    <cfRule type="containsText" dxfId="2" priority="1" operator="containsText" text="do not">
      <formula>NOT(ISERROR(SEARCH("do not",H52)))</formula>
    </cfRule>
  </conditionalFormatting>
  <conditionalFormatting sqref="H54">
    <cfRule type="containsText" dxfId="1" priority="7" operator="containsText" text="add">
      <formula>NOT(ISERROR(SEARCH("add",H54)))</formula>
    </cfRule>
  </conditionalFormatting>
  <conditionalFormatting sqref="H55">
    <cfRule type="containsText" dxfId="0" priority="10" operator="containsText" text="note">
      <formula>NOT(ISERROR(SEARCH("note",H55)))</formula>
    </cfRule>
  </conditionalFormatting>
  <dataValidations count="3">
    <dataValidation type="list" allowBlank="1" showInputMessage="1" showErrorMessage="1" sqref="H6" xr:uid="{E40E2780-4A3A-45D1-B118-8E35D227481D}">
      <formula1>"Amtex, Indicom, PMI, ProMod, Southeast, SSI"</formula1>
    </dataValidation>
    <dataValidation type="list" allowBlank="1" showInputMessage="1" showErrorMessage="1" sqref="D16:D17" xr:uid="{F321AC74-6113-4137-887A-1A32B2A03F31}">
      <formula1>"Y,N"</formula1>
    </dataValidation>
    <dataValidation type="list" allowBlank="1" showInputMessage="1" showErrorMessage="1" sqref="D18" xr:uid="{96DDE0DD-21FB-49A1-AE6D-B56C66503BA0}">
      <formula1>"6000,7000"</formula1>
    </dataValidation>
  </dataValidations>
  <pageMargins left="0.7" right="0.7" top="0.75" bottom="0.75" header="0.3" footer="0.3"/>
  <pageSetup orientation="portrait" r:id="rId1"/>
  <ignoredErrors>
    <ignoredError sqref="F26 F44:F45 F52:F54 F83" formulaRange="1"/>
    <ignoredError sqref="D106" unlockedFormula="1"/>
  </ignoredErrors>
  <extLst>
    <ext xmlns:x14="http://schemas.microsoft.com/office/spreadsheetml/2009/9/main" uri="{CCE6A557-97BC-4b89-ADB6-D9C93CAAB3DF}">
      <x14:dataValidations xmlns:xm="http://schemas.microsoft.com/office/excel/2006/main" count="22">
        <x14:dataValidation type="list" allowBlank="1" showInputMessage="1" showErrorMessage="1" xr:uid="{00000000-0002-0000-0200-000001000000}">
          <x14:formula1>
            <xm:f>Materials!$A$4:$A$10</xm:f>
          </x14:formula1>
          <xm:sqref>C24:D24</xm:sqref>
        </x14:dataValidation>
        <x14:dataValidation type="list" allowBlank="1" showInputMessage="1" showErrorMessage="1" xr:uid="{00000000-0002-0000-0200-000005000000}">
          <x14:formula1>
            <xm:f>Materials!$A$22:$A$26</xm:f>
          </x14:formula1>
          <xm:sqref>C27:D28</xm:sqref>
        </x14:dataValidation>
        <x14:dataValidation type="list" allowBlank="1" showInputMessage="1" showErrorMessage="1" xr:uid="{00000000-0002-0000-0200-000006000000}">
          <x14:formula1>
            <xm:f>Materials!$A$12:$A$19</xm:f>
          </x14:formula1>
          <xm:sqref>C25:D25</xm:sqref>
        </x14:dataValidation>
        <x14:dataValidation type="list" allowBlank="1" showInputMessage="1" showErrorMessage="1" xr:uid="{00000000-0002-0000-0200-000002000000}">
          <x14:formula1>
            <xm:f>Materials!$A$34:$A$41</xm:f>
          </x14:formula1>
          <xm:sqref>C36:D36</xm:sqref>
        </x14:dataValidation>
        <x14:dataValidation type="list" allowBlank="1" showInputMessage="1" showErrorMessage="1" xr:uid="{00000000-0002-0000-0200-000003000000}">
          <x14:formula1>
            <xm:f>Materials!$A$51:$A$59</xm:f>
          </x14:formula1>
          <xm:sqref>C37:D39</xm:sqref>
        </x14:dataValidation>
        <x14:dataValidation type="list" allowBlank="1" showInputMessage="1" showErrorMessage="1" xr:uid="{00000000-0002-0000-0200-000004000000}">
          <x14:formula1>
            <xm:f>Materials!$A$43:$A$48</xm:f>
          </x14:formula1>
          <xm:sqref>C40:D40</xm:sqref>
        </x14:dataValidation>
        <x14:dataValidation type="list" allowBlank="1" showInputMessage="1" showErrorMessage="1" xr:uid="{00000000-0002-0000-0200-000007000000}">
          <x14:formula1>
            <xm:f>Materials!$A$84:$A$89</xm:f>
          </x14:formula1>
          <xm:sqref>C64:D64</xm:sqref>
        </x14:dataValidation>
        <x14:dataValidation type="list" allowBlank="1" showInputMessage="1" showErrorMessage="1" xr:uid="{00000000-0002-0000-0200-000009000000}">
          <x14:formula1>
            <xm:f>Materials!$A$60:$A$66</xm:f>
          </x14:formula1>
          <xm:sqref>C44:D45</xm:sqref>
        </x14:dataValidation>
        <x14:dataValidation type="list" allowBlank="1" showInputMessage="1" showErrorMessage="1" xr:uid="{00000000-0002-0000-0200-00000B000000}">
          <x14:formula1>
            <xm:f>Materials!$A$154:$A$160</xm:f>
          </x14:formula1>
          <xm:sqref>D97</xm:sqref>
        </x14:dataValidation>
        <x14:dataValidation type="list" allowBlank="1" showInputMessage="1" showErrorMessage="1" xr:uid="{00000000-0002-0000-0200-00000C000000}">
          <x14:formula1>
            <xm:f>Materials!$A$164:$A$165</xm:f>
          </x14:formula1>
          <xm:sqref>D52</xm:sqref>
        </x14:dataValidation>
        <x14:dataValidation type="list" allowBlank="1" showInputMessage="1" showErrorMessage="1" xr:uid="{00000000-0002-0000-0200-00000D000000}">
          <x14:formula1>
            <xm:f>Materials!$A$118:$A$119</xm:f>
          </x14:formula1>
          <xm:sqref>C77:D77</xm:sqref>
        </x14:dataValidation>
        <x14:dataValidation type="list" allowBlank="1" showInputMessage="1" showErrorMessage="1" xr:uid="{00000000-0002-0000-0200-00000F000000}">
          <x14:formula1>
            <xm:f>Materials!$A$108:$A$114</xm:f>
          </x14:formula1>
          <xm:sqref>C68:D69</xm:sqref>
        </x14:dataValidation>
        <x14:dataValidation type="list" allowBlank="1" showInputMessage="1" showErrorMessage="1" xr:uid="{E2B784F3-CFF4-45F4-82B7-44DCF15F2555}">
          <x14:formula1>
            <xm:f>Materials!$A$17:$A$20</xm:f>
          </x14:formula1>
          <xm:sqref>C26:D26</xm:sqref>
        </x14:dataValidation>
        <x14:dataValidation type="list" allowBlank="1" showInputMessage="1" showErrorMessage="1" xr:uid="{DC7886D4-E0F0-4661-8A52-1BDEF57B4EC0}">
          <x14:formula1>
            <xm:f>Materials!$A$166:$A$171</xm:f>
          </x14:formula1>
          <xm:sqref>D53:D54</xm:sqref>
        </x14:dataValidation>
        <x14:dataValidation type="list" allowBlank="1" showInputMessage="1" showErrorMessage="1" xr:uid="{D6354E23-678E-475E-BFE4-BFF72B9A37CF}">
          <x14:formula1>
            <xm:f>Materials!$A$69:$A$76</xm:f>
          </x14:formula1>
          <xm:sqref>C41:D41</xm:sqref>
        </x14:dataValidation>
        <x14:dataValidation type="list" allowBlank="1" showInputMessage="1" showErrorMessage="1" xr:uid="{F73DA14B-5055-4659-8EBB-2A96D4328890}">
          <x14:formula1>
            <xm:f>Materials!$A$29:$A$30</xm:f>
          </x14:formula1>
          <xm:sqref>C29:D29</xm:sqref>
        </x14:dataValidation>
        <x14:dataValidation type="list" allowBlank="1" showInputMessage="1" showErrorMessage="1" xr:uid="{DC5A319E-7B39-47AB-96EF-B74BD722F933}">
          <x14:formula1>
            <xm:f>Materials!$A$42:$A$48</xm:f>
          </x14:formula1>
          <xm:sqref>C40:D40</xm:sqref>
        </x14:dataValidation>
        <x14:dataValidation type="list" allowBlank="1" showInputMessage="1" showErrorMessage="1" xr:uid="{07F45BAF-71C3-48D4-9A41-A7BB6E932097}">
          <x14:formula1>
            <xm:f>Materials!$A$193:$A$197</xm:f>
          </x14:formula1>
          <xm:sqref>B55</xm:sqref>
        </x14:dataValidation>
        <x14:dataValidation type="list" allowBlank="1" showInputMessage="1" showErrorMessage="1" xr:uid="{00000000-0002-0000-0200-00000E000000}">
          <x14:formula1>
            <xm:f>Materials!$A$145:$A$147</xm:f>
          </x14:formula1>
          <xm:sqref>C83:D83</xm:sqref>
        </x14:dataValidation>
        <x14:dataValidation type="list" allowBlank="1" showInputMessage="1" showErrorMessage="1" xr:uid="{00000000-0002-0000-0200-000008000000}">
          <x14:formula1>
            <xm:f>Materials!$A$91:$A$106</xm:f>
          </x14:formula1>
          <xm:sqref>C79:D79 C67:D67 C65:D65</xm:sqref>
        </x14:dataValidation>
        <x14:dataValidation type="list" allowBlank="1" showInputMessage="1" showErrorMessage="1" xr:uid="{286BB1D1-43B8-4468-BE6B-EB23AF0590DA}">
          <x14:formula1>
            <xm:f>Materials!$A$131:$A$141</xm:f>
          </x14:formula1>
          <xm:sqref>C80:D82 C66:D66</xm:sqref>
        </x14:dataValidation>
        <x14:dataValidation type="list" allowBlank="1" showInputMessage="1" showErrorMessage="1" xr:uid="{5DFBD6E2-6F73-4897-BADF-3CE47D88AC21}">
          <x14:formula1>
            <xm:f>Materials!$A$122:$A$130</xm:f>
          </x14:formula1>
          <xm:sqref>C78:D78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7"/>
  <sheetViews>
    <sheetView workbookViewId="0">
      <selection activeCell="B3" sqref="B3"/>
    </sheetView>
  </sheetViews>
  <sheetFormatPr defaultRowHeight="14.4" x14ac:dyDescent="0.3"/>
  <cols>
    <col min="1" max="1" width="38.109375" customWidth="1"/>
    <col min="6" max="6" width="11" bestFit="1" customWidth="1"/>
    <col min="8" max="8" width="12" bestFit="1" customWidth="1"/>
    <col min="9" max="9" width="23.88671875" customWidth="1"/>
    <col min="10" max="10" width="12.33203125" customWidth="1"/>
    <col min="12" max="12" width="14.109375" customWidth="1"/>
    <col min="13" max="13" width="22.44140625" customWidth="1"/>
    <col min="14" max="14" width="17.33203125" customWidth="1"/>
    <col min="15" max="15" width="12.88671875" customWidth="1"/>
    <col min="16" max="16" width="11.88671875" customWidth="1"/>
    <col min="17" max="17" width="14.33203125" customWidth="1"/>
    <col min="18" max="18" width="13.33203125" customWidth="1"/>
  </cols>
  <sheetData>
    <row r="1" spans="1:15" x14ac:dyDescent="0.3">
      <c r="A1" s="144" t="s">
        <v>236</v>
      </c>
      <c r="B1" s="144"/>
      <c r="C1" s="144"/>
      <c r="D1" s="144"/>
      <c r="E1" s="144"/>
      <c r="F1" s="144"/>
      <c r="G1" s="144"/>
    </row>
    <row r="2" spans="1:15" ht="15" thickBot="1" x14ac:dyDescent="0.35">
      <c r="A2" s="2" t="s">
        <v>119</v>
      </c>
      <c r="B2" s="65" t="s">
        <v>276</v>
      </c>
    </row>
    <row r="3" spans="1:15" x14ac:dyDescent="0.3">
      <c r="A3" t="s">
        <v>207</v>
      </c>
      <c r="B3" s="50">
        <f>L5</f>
        <v>3.1757142857142857</v>
      </c>
      <c r="C3" t="s">
        <v>215</v>
      </c>
      <c r="F3" s="64"/>
      <c r="I3" s="72" t="s">
        <v>137</v>
      </c>
      <c r="J3" s="73" t="s">
        <v>30</v>
      </c>
      <c r="K3" s="73" t="s">
        <v>304</v>
      </c>
      <c r="L3" s="73" t="s">
        <v>16</v>
      </c>
      <c r="M3" s="73" t="s">
        <v>402</v>
      </c>
      <c r="N3" s="97" t="s">
        <v>403</v>
      </c>
      <c r="O3" s="69" t="s">
        <v>305</v>
      </c>
    </row>
    <row r="4" spans="1:15" x14ac:dyDescent="0.3">
      <c r="A4" s="52" t="s">
        <v>161</v>
      </c>
      <c r="B4" s="54">
        <f>SUM(L4-B3)</f>
        <v>-0.83381648461483548</v>
      </c>
      <c r="F4" s="64"/>
      <c r="I4" s="75" t="s">
        <v>161</v>
      </c>
      <c r="J4" s="71">
        <f>IF(Weight!H6="pmi",1.5619,2.1625)</f>
        <v>2.1625000000000001</v>
      </c>
      <c r="K4" s="70" t="str">
        <f>IF(Weight!H6="pmi","#2 HF","#2 SYP")</f>
        <v>#2 SYP</v>
      </c>
      <c r="L4" s="71">
        <f>IF(AND(Weight!D8&gt;10,Weight!D8&lt;=12),SUM(J4*12*((Weight!D9/1.334)+((Weight!D9/12)*4)))/(Weight!D8*Weight!D9),0)</f>
        <v>2.3418978010994502</v>
      </c>
      <c r="M4" s="71">
        <f>IF(AND(Weight!D8&gt;10,Weight!D8&lt;=12),SUM(J4*12*((Weight!D9/1.334)+((Weight!D9/12)*2)))/(Weight!D8*Weight!D9),0)</f>
        <v>1.9814811344327841</v>
      </c>
      <c r="N4" s="98">
        <f t="shared" ref="N4:N11" si="0">SUM(M4-L4)</f>
        <v>-0.36041666666666616</v>
      </c>
      <c r="O4" s="50"/>
    </row>
    <row r="5" spans="1:15" x14ac:dyDescent="0.3">
      <c r="A5" t="s">
        <v>121</v>
      </c>
      <c r="B5" s="50">
        <f>SUM(L6-B3)</f>
        <v>0.87649714285714309</v>
      </c>
      <c r="I5" s="75" t="s">
        <v>207</v>
      </c>
      <c r="J5" s="71">
        <f>IF(Weight!H6="pmi",2.0583,2.85)</f>
        <v>2.85</v>
      </c>
      <c r="K5" s="70" t="str">
        <f>IF(Weight!H6="pmi","#2 HF","#2 SYP")</f>
        <v>#2 SYP</v>
      </c>
      <c r="L5" s="71">
        <f t="shared" ref="L5:L11" si="1">SUM(J5*12*65)/700</f>
        <v>3.1757142857142857</v>
      </c>
      <c r="M5" s="71">
        <f t="shared" ref="M5:M11" si="2">SUM(J5*12*55)/700</f>
        <v>2.6871428571428573</v>
      </c>
      <c r="N5" s="98">
        <f t="shared" si="0"/>
        <v>-0.48857142857142843</v>
      </c>
    </row>
    <row r="6" spans="1:15" x14ac:dyDescent="0.3">
      <c r="A6" t="s">
        <v>120</v>
      </c>
      <c r="B6" s="50">
        <f>SUM(L7-B3)</f>
        <v>1.7522142857142868</v>
      </c>
      <c r="I6" s="75" t="s">
        <v>121</v>
      </c>
      <c r="J6" s="71">
        <f>IF(Weight!H6="pmi",2.6266,3.6366)</f>
        <v>3.6366000000000001</v>
      </c>
      <c r="K6" s="70" t="str">
        <f>IF(Weight!H6="pmi","#2 HF","#2 SYP")</f>
        <v>#2 SYP</v>
      </c>
      <c r="L6" s="71">
        <f t="shared" si="1"/>
        <v>4.0522114285714288</v>
      </c>
      <c r="M6" s="71">
        <f t="shared" si="2"/>
        <v>3.4287942857142855</v>
      </c>
      <c r="N6" s="98">
        <f t="shared" si="0"/>
        <v>-0.62341714285714334</v>
      </c>
    </row>
    <row r="7" spans="1:15" x14ac:dyDescent="0.3">
      <c r="A7" s="52" t="s">
        <v>323</v>
      </c>
      <c r="B7" s="54">
        <f>SUM(L8-B3)</f>
        <v>-0.55992857142857133</v>
      </c>
      <c r="I7" s="75" t="s">
        <v>120</v>
      </c>
      <c r="J7" s="71">
        <f>IF(Weight!H6="pmi",3.1941,4.4225)</f>
        <v>4.4225000000000003</v>
      </c>
      <c r="K7" s="70" t="str">
        <f>IF(Weight!H6="pmi","#2 HF","#2 SYP")</f>
        <v>#2 SYP</v>
      </c>
      <c r="L7" s="71">
        <f t="shared" si="1"/>
        <v>4.9279285714285725</v>
      </c>
      <c r="M7" s="71">
        <f t="shared" si="2"/>
        <v>4.1697857142857151</v>
      </c>
      <c r="N7" s="98">
        <f t="shared" si="0"/>
        <v>-0.75814285714285745</v>
      </c>
    </row>
    <row r="8" spans="1:15" x14ac:dyDescent="0.3">
      <c r="A8" t="s">
        <v>324</v>
      </c>
      <c r="B8" s="54">
        <f>SUM(L9-B3)</f>
        <v>0.27206399999999986</v>
      </c>
      <c r="I8" s="75" t="s">
        <v>323</v>
      </c>
      <c r="J8" s="71">
        <f>IF(Weight!H6="pmi",1.7425,2.3475)</f>
        <v>2.3475000000000001</v>
      </c>
      <c r="K8" s="70" t="str">
        <f>IF(Weight!H6="pmi","#2 HF","#2 SYP")</f>
        <v>#2 SYP</v>
      </c>
      <c r="L8" s="71">
        <f t="shared" si="1"/>
        <v>2.6157857142857144</v>
      </c>
      <c r="M8" s="71">
        <f t="shared" si="2"/>
        <v>2.2133571428571432</v>
      </c>
      <c r="N8" s="98">
        <f t="shared" si="0"/>
        <v>-0.40242857142857114</v>
      </c>
    </row>
    <row r="9" spans="1:15" x14ac:dyDescent="0.3">
      <c r="A9" t="s">
        <v>325</v>
      </c>
      <c r="B9" s="54">
        <f>SUM(L10-B3)</f>
        <v>1.2229285714285711</v>
      </c>
      <c r="I9" s="75" t="s">
        <v>324</v>
      </c>
      <c r="J9" s="71">
        <f>IF(Weight!H6="pmi",2.2975,3.09416)</f>
        <v>3.09416</v>
      </c>
      <c r="K9" s="70" t="str">
        <f>IF(Weight!H6="pmi","#2 HF","#2 SYP")</f>
        <v>#2 SYP</v>
      </c>
      <c r="L9" s="71">
        <f t="shared" si="1"/>
        <v>3.4477782857142856</v>
      </c>
      <c r="M9" s="71">
        <f t="shared" si="2"/>
        <v>2.917350857142857</v>
      </c>
      <c r="N9" s="98">
        <f t="shared" si="0"/>
        <v>-0.53042742857142855</v>
      </c>
    </row>
    <row r="10" spans="1:15" x14ac:dyDescent="0.3">
      <c r="A10" t="s">
        <v>326</v>
      </c>
      <c r="B10" s="54">
        <f>SUM(L11-B3)</f>
        <v>2.1737485714285714</v>
      </c>
      <c r="I10" s="75" t="s">
        <v>325</v>
      </c>
      <c r="J10" s="71">
        <f>IF(Weight!H6="pmi",2.9308,3.9475)</f>
        <v>3.9474999999999998</v>
      </c>
      <c r="K10" s="70" t="str">
        <f>IF(Weight!H6="pmi","#2 HF","#2 SYP")</f>
        <v>#2 SYP</v>
      </c>
      <c r="L10" s="71">
        <f t="shared" si="1"/>
        <v>4.3986428571428569</v>
      </c>
      <c r="M10" s="71">
        <f t="shared" si="2"/>
        <v>3.7219285714285713</v>
      </c>
      <c r="N10" s="98">
        <f t="shared" si="0"/>
        <v>-0.6767142857142856</v>
      </c>
    </row>
    <row r="11" spans="1:15" ht="15" thickBot="1" x14ac:dyDescent="0.35">
      <c r="A11" t="s">
        <v>208</v>
      </c>
      <c r="B11">
        <v>2.2000000000000002</v>
      </c>
      <c r="C11" t="s">
        <v>210</v>
      </c>
      <c r="I11" s="77" t="s">
        <v>326</v>
      </c>
      <c r="J11" s="99">
        <f>IF(Weight!H6="pmi",3.565,4.8008)</f>
        <v>4.8007999999999997</v>
      </c>
      <c r="K11" s="78" t="str">
        <f>IF(Weight!H6="pmi","#2 HF","#2 SYP")</f>
        <v>#2 SYP</v>
      </c>
      <c r="L11" s="99">
        <f t="shared" si="1"/>
        <v>5.3494628571428571</v>
      </c>
      <c r="M11" s="99">
        <f t="shared" si="2"/>
        <v>4.5264685714285715</v>
      </c>
      <c r="N11" s="100">
        <f t="shared" si="0"/>
        <v>-0.82299428571428557</v>
      </c>
    </row>
    <row r="12" spans="1:15" x14ac:dyDescent="0.3">
      <c r="A12" t="s">
        <v>70</v>
      </c>
      <c r="B12" s="50">
        <f>SUM(3.3-B11)</f>
        <v>1.0999999999999996</v>
      </c>
      <c r="I12" s="69" t="s">
        <v>322</v>
      </c>
    </row>
    <row r="13" spans="1:15" x14ac:dyDescent="0.3">
      <c r="A13" t="s">
        <v>122</v>
      </c>
      <c r="B13" s="50">
        <f>SUM(4.4-B11)</f>
        <v>2.2000000000000002</v>
      </c>
      <c r="I13" s="82" t="s">
        <v>319</v>
      </c>
    </row>
    <row r="14" spans="1:15" x14ac:dyDescent="0.3">
      <c r="A14" t="s">
        <v>246</v>
      </c>
      <c r="B14">
        <v>1.6</v>
      </c>
    </row>
    <row r="15" spans="1:15" x14ac:dyDescent="0.3">
      <c r="A15" t="s">
        <v>244</v>
      </c>
      <c r="B15">
        <v>2</v>
      </c>
    </row>
    <row r="16" spans="1:15" x14ac:dyDescent="0.3">
      <c r="A16" t="s">
        <v>128</v>
      </c>
      <c r="B16" s="50">
        <f>SUM(5.32-B11)</f>
        <v>3.12</v>
      </c>
    </row>
    <row r="17" spans="1:12" x14ac:dyDescent="0.3">
      <c r="A17" t="s">
        <v>136</v>
      </c>
      <c r="B17" s="50">
        <v>1.9</v>
      </c>
      <c r="C17" t="s">
        <v>210</v>
      </c>
      <c r="F17" s="52"/>
    </row>
    <row r="18" spans="1:12" x14ac:dyDescent="0.3">
      <c r="A18" t="s">
        <v>230</v>
      </c>
      <c r="B18">
        <v>1.4</v>
      </c>
      <c r="C18" t="s">
        <v>210</v>
      </c>
      <c r="F18" s="52"/>
    </row>
    <row r="19" spans="1:12" x14ac:dyDescent="0.3">
      <c r="A19" t="s">
        <v>229</v>
      </c>
      <c r="B19">
        <v>2.1</v>
      </c>
      <c r="C19" t="s">
        <v>210</v>
      </c>
    </row>
    <row r="20" spans="1:12" x14ac:dyDescent="0.3">
      <c r="A20" t="s">
        <v>245</v>
      </c>
      <c r="B20" s="50">
        <v>3.9</v>
      </c>
      <c r="C20" t="s">
        <v>210</v>
      </c>
    </row>
    <row r="21" spans="1:12" x14ac:dyDescent="0.3">
      <c r="A21" t="s">
        <v>209</v>
      </c>
      <c r="B21" s="50">
        <v>1.4</v>
      </c>
      <c r="C21" t="s">
        <v>210</v>
      </c>
    </row>
    <row r="22" spans="1:12" x14ac:dyDescent="0.3">
      <c r="A22" t="s">
        <v>206</v>
      </c>
      <c r="B22" s="50">
        <f>SUM(-B21)</f>
        <v>-1.4</v>
      </c>
    </row>
    <row r="23" spans="1:12" x14ac:dyDescent="0.3">
      <c r="A23" t="s">
        <v>124</v>
      </c>
      <c r="B23" s="50">
        <f>SUM(0.6-B21)</f>
        <v>-0.79999999999999993</v>
      </c>
      <c r="J23" s="52"/>
    </row>
    <row r="24" spans="1:12" x14ac:dyDescent="0.3">
      <c r="A24" t="s">
        <v>125</v>
      </c>
      <c r="B24" s="50">
        <f>SUM(1.4-B21)</f>
        <v>0</v>
      </c>
      <c r="J24" s="52"/>
    </row>
    <row r="25" spans="1:12" x14ac:dyDescent="0.3">
      <c r="A25" t="s">
        <v>126</v>
      </c>
      <c r="B25" s="50">
        <f>SUM(0.8-B21)</f>
        <v>-0.59999999999999987</v>
      </c>
      <c r="J25" s="52"/>
    </row>
    <row r="26" spans="1:12" x14ac:dyDescent="0.3">
      <c r="A26" t="s">
        <v>129</v>
      </c>
      <c r="B26" s="50">
        <f>SUM(2.3-B21)</f>
        <v>0.89999999999999991</v>
      </c>
    </row>
    <row r="27" spans="1:12" x14ac:dyDescent="0.3">
      <c r="A27" t="s">
        <v>247</v>
      </c>
      <c r="B27" s="50">
        <f>SUM(4.9-B21)</f>
        <v>3.5000000000000004</v>
      </c>
      <c r="C27" t="s">
        <v>282</v>
      </c>
    </row>
    <row r="28" spans="1:12" x14ac:dyDescent="0.3">
      <c r="A28" t="s">
        <v>173</v>
      </c>
      <c r="B28" s="50">
        <v>0.24</v>
      </c>
      <c r="C28" t="s">
        <v>210</v>
      </c>
      <c r="L28" s="50"/>
    </row>
    <row r="29" spans="1:12" ht="15" customHeight="1" x14ac:dyDescent="0.3">
      <c r="A29" t="s">
        <v>371</v>
      </c>
      <c r="B29" s="50">
        <f>SUM(0.656-B28)</f>
        <v>0.41600000000000004</v>
      </c>
    </row>
    <row r="30" spans="1:12" x14ac:dyDescent="0.3">
      <c r="A30" t="s">
        <v>288</v>
      </c>
      <c r="B30" s="50">
        <f>SUM(0.656-B28)</f>
        <v>0.41600000000000004</v>
      </c>
      <c r="I30" s="50"/>
      <c r="L30" s="50"/>
    </row>
    <row r="32" spans="1:12" ht="15" thickBot="1" x14ac:dyDescent="0.35">
      <c r="A32" s="2" t="s">
        <v>112</v>
      </c>
      <c r="B32" s="50"/>
    </row>
    <row r="33" spans="1:18" x14ac:dyDescent="0.3">
      <c r="A33" s="52" t="s">
        <v>238</v>
      </c>
      <c r="B33" s="50">
        <f>L35</f>
        <v>2.6832461581709146</v>
      </c>
      <c r="C33" t="s">
        <v>210</v>
      </c>
      <c r="I33" s="72" t="s">
        <v>454</v>
      </c>
      <c r="J33" s="73" t="s">
        <v>30</v>
      </c>
      <c r="K33" s="73" t="s">
        <v>304</v>
      </c>
      <c r="L33" s="74" t="s">
        <v>16</v>
      </c>
      <c r="M33" s="112" t="s">
        <v>459</v>
      </c>
      <c r="N33" s="109" t="s">
        <v>464</v>
      </c>
      <c r="O33" s="67"/>
      <c r="P33" s="67"/>
      <c r="Q33" s="67"/>
      <c r="R33" s="67"/>
    </row>
    <row r="34" spans="1:18" x14ac:dyDescent="0.3">
      <c r="A34" s="52" t="s">
        <v>239</v>
      </c>
      <c r="B34" s="50">
        <f>SUM(L34-B33)</f>
        <v>-0.64727429254122937</v>
      </c>
      <c r="I34" s="75" t="s">
        <v>301</v>
      </c>
      <c r="J34" s="71">
        <f>IF(Weight!H6="pmi",1.5616,2.1625)</f>
        <v>2.1625000000000001</v>
      </c>
      <c r="K34" s="70" t="str">
        <f>IF(Weight!H6="pmi","#2 HF","#2 SYP")</f>
        <v>#2 SYP</v>
      </c>
      <c r="L34" s="76">
        <f>SUM(J34*(Weight!D8+0.33)*((Weight!D9/1.334)+((Weight!D9/12)*2)))/(Weight!D8*Weight!D9)</f>
        <v>2.0359718656296852</v>
      </c>
      <c r="M34" s="113">
        <f>SUM(J34*(Weight!D8+0.33+Weight!E42/12)*((Weight!D9/1.334)+((Weight!D9/12)*2))+((Weight!E42/12)*Weight!D9*M30))/(Weight!D8*Weight!D9)-L34</f>
        <v>2.7520571311566044E-2</v>
      </c>
      <c r="N34" s="110">
        <f>SUM(J34*(Weight!D8)*(Weight!D9+(Weight!E43/12*2)/1.334)+((Weight!D9/12)*2)+(40*(Weight!E43/12)*2))/(Weight!D8*Weight!D9)-L34</f>
        <v>0.16990748636098596</v>
      </c>
      <c r="O34" s="68"/>
      <c r="P34" s="68"/>
      <c r="Q34" s="68"/>
      <c r="R34" s="68"/>
    </row>
    <row r="35" spans="1:18" x14ac:dyDescent="0.3">
      <c r="A35" t="s">
        <v>117</v>
      </c>
      <c r="B35" s="50">
        <f>SUM(L36-B33)</f>
        <v>1.0519598146551719</v>
      </c>
      <c r="I35" s="75" t="s">
        <v>302</v>
      </c>
      <c r="J35" s="71">
        <f>IF(Weight!H6="pmi",2.0583,2.85)</f>
        <v>2.85</v>
      </c>
      <c r="K35" s="70" t="str">
        <f>IF(Weight!H6="pmi","#2 HF","#2 SYP")</f>
        <v>#2 SYP</v>
      </c>
      <c r="L35" s="76">
        <f>SUM(J35*(Weight!D8+0.33)*((Weight!D9/1.334)+((Weight!D9/12)*2)))/(Weight!D8*Weight!D9)</f>
        <v>2.6832461581709146</v>
      </c>
      <c r="M35" s="113">
        <f>SUM(J35*(Weight!D8+0.33+Weight!E42/12)*((Weight!D9/1.334)+((Weight!D9/12)*2))+((Weight!E42/12)*Weight!D9*M30))/(Weight!D8*Weight!D9)-L35</f>
        <v>3.6269885890388043E-2</v>
      </c>
      <c r="N35" s="110">
        <f>SUM(J35*(Weight!D8)*(Weight!D9+(Weight!E43/12*2)/1.334)+((Weight!D9/12)*2)+(40*(Weight!E43/12)*2))/(Weight!D8*Weight!D9)-L35</f>
        <v>0.21320085641702935</v>
      </c>
      <c r="O35" s="68"/>
      <c r="P35" s="68"/>
      <c r="Q35" s="68"/>
      <c r="R35" s="68"/>
    </row>
    <row r="36" spans="1:18" x14ac:dyDescent="0.3">
      <c r="A36" t="s">
        <v>116</v>
      </c>
      <c r="B36" s="50">
        <f>SUM(L37-B33)</f>
        <v>1.8591693988943025</v>
      </c>
      <c r="I36" s="75" t="s">
        <v>457</v>
      </c>
      <c r="J36" s="71">
        <f>IF(Weight!H6="pmi",2.6266,3.6366)</f>
        <v>3.6366000000000001</v>
      </c>
      <c r="K36" s="70" t="str">
        <f>IF(Weight!H6="pmi","#2 HF","#2 SYP")</f>
        <v>#2 SYP</v>
      </c>
      <c r="L36" s="76">
        <f>SUM(J36*(Weight!D8+0.33)*((Weight!D9/1.334)+((Weight!D9/12)*3)))/(Weight!D8*Weight!D9)</f>
        <v>3.7352059728260865</v>
      </c>
      <c r="M36" s="113">
        <f>SUM(J36*(Weight!D8+0.33+Weight!E42/12)*((Weight!D9/1.334)+((Weight!D9/12)*4.5)))/(Weight!D8*Weight!D9)-L36</f>
        <v>0.52387875634057979</v>
      </c>
      <c r="N36" s="110">
        <f>SUM(J36*(Weight!D8)*(Weight!D9+(Weight!E43/12*2)/1.334)+((Weight!D9/12)*2)+(40*(Weight!E43/12)*2))/(Weight!D8*Weight!D9)-L36</f>
        <v>-4.8649106021392274E-2</v>
      </c>
      <c r="O36" s="68"/>
      <c r="P36" s="68"/>
      <c r="Q36" s="68"/>
      <c r="R36" s="68"/>
    </row>
    <row r="37" spans="1:18" x14ac:dyDescent="0.3">
      <c r="A37" t="s">
        <v>237</v>
      </c>
      <c r="B37" s="50">
        <f>SUM(L38-B33)</f>
        <v>2.2910752497188906</v>
      </c>
      <c r="C37" t="s">
        <v>313</v>
      </c>
      <c r="I37" s="75" t="s">
        <v>456</v>
      </c>
      <c r="J37" s="71">
        <f>IF(Weight!H6="pmi",3.1941,4.4225)</f>
        <v>4.4225000000000003</v>
      </c>
      <c r="K37" s="70" t="str">
        <f>IF(Weight!H6="pmi","#2 HF","#2 SYP")</f>
        <v>#2 SYP</v>
      </c>
      <c r="L37" s="76">
        <f>SUM(J37*(Weight!D8+0.33)*((Weight!D9/1.334)+((Weight!D9/12)*3)))/(Weight!D8*Weight!D9)</f>
        <v>4.5424155570652172</v>
      </c>
      <c r="M37" s="113">
        <f>SUM(J37*(Weight!D8+0.33+Weight!E42/12)*((Weight!D9/1.334)+((Weight!D9/12)*4.5)))/(Weight!D8*Weight!D9)-L37</f>
        <v>0.63709338390700498</v>
      </c>
      <c r="N37" s="110">
        <f>SUM(J37*(Weight!D8)*(Weight!D9+(Weight!E43/12*2)/1.334)+((Weight!D9/12)*2)+(40*(Weight!E43/12)*2))/(Weight!D8*Weight!D9)-L37</f>
        <v>-6.6451961482054678E-2</v>
      </c>
      <c r="O37" s="68"/>
      <c r="P37" s="68"/>
      <c r="Q37" s="68"/>
      <c r="R37" s="68"/>
    </row>
    <row r="38" spans="1:18" x14ac:dyDescent="0.3">
      <c r="A38" t="s">
        <v>240</v>
      </c>
      <c r="B38" s="50">
        <f>SUM(L39-B33)</f>
        <v>-0.35776615442278858</v>
      </c>
      <c r="C38" t="s">
        <v>250</v>
      </c>
      <c r="I38" s="75" t="s">
        <v>455</v>
      </c>
      <c r="J38" s="70">
        <v>5.1660000000000004</v>
      </c>
      <c r="K38" s="70" t="s">
        <v>318</v>
      </c>
      <c r="L38" s="76">
        <f>SUM(J38*(Weight!D8+0.33)*((Weight!D9/1.334)+((Weight!D9/12)*2.25)))/(Weight!D8*Weight!D9)</f>
        <v>4.9743214078898053</v>
      </c>
      <c r="M38" s="113">
        <f>SUM(J38*(Weight!D8+0.33+Weight!E42/12)*((Weight!D9/1.334)+((Weight!D9/12)*2.75)))/(Weight!D8*Weight!D9)-L38</f>
        <v>0.29139769052973552</v>
      </c>
      <c r="N38" s="110">
        <f>SUM(J38*(Weight!D8+0.33)*(Weight!D9+(Weight!E43/12*2)/1.334)+((Weight!D9/12)*2)+(40*(Weight!E43/12)*2))/(Weight!D8*Weight!D9)-L38</f>
        <v>0.39115862715219851</v>
      </c>
      <c r="O38" s="68"/>
      <c r="P38" s="68"/>
      <c r="Q38" s="68"/>
      <c r="R38" s="68"/>
    </row>
    <row r="39" spans="1:18" x14ac:dyDescent="0.3">
      <c r="A39" t="s">
        <v>241</v>
      </c>
      <c r="B39" s="50">
        <f>SUM(L40-B33)</f>
        <v>0.22595757121439286</v>
      </c>
      <c r="C39" t="s">
        <v>250</v>
      </c>
      <c r="I39" s="75" t="s">
        <v>306</v>
      </c>
      <c r="J39" s="70">
        <v>2.4700000000000002</v>
      </c>
      <c r="K39" s="70" t="s">
        <v>310</v>
      </c>
      <c r="L39" s="76">
        <f>SUM(J39*(Weight!D8+0.33)*((Weight!D9/1.334)+((Weight!D9/12)*2)))/(Weight!D8*Weight!D9)</f>
        <v>2.325480003748126</v>
      </c>
      <c r="M39" s="113">
        <f>SUM(J39*(Weight!D8+0.33+Weight!E42/12)*((Weight!D9/1.334)+((Weight!D9/12)*3)))/(Weight!D8*Weight!D9)-L39</f>
        <v>0.24578644740129896</v>
      </c>
      <c r="N39" s="110">
        <f>SUM(J39*(Weight!D8+0.33)*(Weight!D9+(Weight!E43/12*2)/1.334)+((Weight!D9/12)*2)+(40*(Weight!E43/12)*2))/(Weight!D8*Weight!D9)-L39</f>
        <v>0.25749951512339075</v>
      </c>
      <c r="O39" s="68"/>
      <c r="P39" s="68"/>
      <c r="Q39" s="68"/>
      <c r="R39" s="68"/>
    </row>
    <row r="40" spans="1:18" x14ac:dyDescent="0.3">
      <c r="A40" t="s">
        <v>242</v>
      </c>
      <c r="B40" s="50">
        <f>SUM(L41-B33)</f>
        <v>9.4148988005993139E-3</v>
      </c>
      <c r="C40" t="s">
        <v>250</v>
      </c>
      <c r="I40" s="75" t="s">
        <v>307</v>
      </c>
      <c r="J40" s="70">
        <v>3.09</v>
      </c>
      <c r="K40" s="70" t="s">
        <v>310</v>
      </c>
      <c r="L40" s="76">
        <f>SUM(J40*(Weight!D8+0.33)*((Weight!D9/1.334)+((Weight!D9/12)*2)))/(Weight!D8*Weight!D9)</f>
        <v>2.9092037293853075</v>
      </c>
      <c r="M40" s="113">
        <f>SUM(J40*(Weight!D8+0.33+Weight!E42/12)*((Weight!D9/1.334)+((Weight!D9/12)*3)))/(Weight!D8*Weight!D9)-L40</f>
        <v>0.30748183095951998</v>
      </c>
      <c r="N40" s="110">
        <f>SUM(J40*(Weight!D8+0.33)*(Weight!D9+(Weight!E43/12*2)/1.334)+((Weight!D9/12)*2)+(40*(Weight!E43/12)*2))/(Weight!D8*Weight!D9)-L40</f>
        <v>0.31366834142452582</v>
      </c>
      <c r="O40" s="68"/>
      <c r="P40" s="68"/>
      <c r="Q40" s="68"/>
      <c r="R40" s="68"/>
    </row>
    <row r="41" spans="1:18" x14ac:dyDescent="0.3">
      <c r="A41" t="s">
        <v>243</v>
      </c>
      <c r="B41" s="50">
        <f>SUM(L42-B33)</f>
        <v>0.67787271364317814</v>
      </c>
      <c r="C41" t="s">
        <v>250</v>
      </c>
      <c r="I41" s="75" t="s">
        <v>308</v>
      </c>
      <c r="J41" s="70">
        <v>2.86</v>
      </c>
      <c r="K41" s="70" t="s">
        <v>310</v>
      </c>
      <c r="L41" s="76">
        <f>SUM(J41*(Weight!D8+0.33)*((Weight!D9/1.334)+((Weight!D9/12)*2)))/(Weight!D8*Weight!D9)</f>
        <v>2.6926610569715139</v>
      </c>
      <c r="M41" s="113">
        <f>SUM(J41*(Weight!D8+0.33+Weight!E42/12)*((Weight!D9/1.334)+((Weight!D9/12)*3)))/(Weight!D8*Weight!D9)-L41</f>
        <v>0.28459483383308326</v>
      </c>
      <c r="N41" s="110">
        <f>SUM(J41*(Weight!D8+0.33)*(Weight!D9+(Weight!E43/12*2)/1.334)+((Weight!D9/12)*2)+(40*(Weight!E43/12)*2))/(Weight!D8*Weight!D9)-L41</f>
        <v>0.29283151876442703</v>
      </c>
      <c r="O41" s="68"/>
      <c r="P41" s="68"/>
      <c r="Q41" s="68"/>
      <c r="R41" s="68"/>
    </row>
    <row r="42" spans="1:18" ht="15" thickBot="1" x14ac:dyDescent="0.35">
      <c r="A42" t="s">
        <v>165</v>
      </c>
      <c r="B42">
        <v>0.28999999999999998</v>
      </c>
      <c r="C42" t="s">
        <v>210</v>
      </c>
      <c r="I42" s="77" t="s">
        <v>309</v>
      </c>
      <c r="J42" s="78">
        <v>3.57</v>
      </c>
      <c r="K42" s="78" t="s">
        <v>310</v>
      </c>
      <c r="L42" s="79">
        <f>SUM(J42*(Weight!D8+0.33)*((Weight!D9/1.334)+((Weight!D9/12)*2)))/(Weight!D8*Weight!D9)</f>
        <v>3.3611188718140927</v>
      </c>
      <c r="M42" s="114">
        <f>SUM(J42*(Weight!D8+0.33+Weight!E42/12)*((Weight!D9/1.334)+((Weight!D9/12)*3)))/(Weight!D8*Weight!D9)-L42</f>
        <v>0.35524599887556185</v>
      </c>
      <c r="N42" s="111">
        <f>SUM(J42*(Weight!D8+0.33)*(Weight!D9+(Weight!E43/12*2)/1.334)+((Weight!D9/12)*2)+(40*(Weight!E43/12)*2))/(Weight!D8*Weight!D9)-L42</f>
        <v>0.35715388436734052</v>
      </c>
      <c r="O42" s="68"/>
      <c r="P42" s="68"/>
      <c r="Q42" s="68"/>
      <c r="R42" s="68"/>
    </row>
    <row r="43" spans="1:18" x14ac:dyDescent="0.3">
      <c r="A43" s="52" t="s">
        <v>115</v>
      </c>
      <c r="B43" s="54">
        <f>SUM(0.39-B42)</f>
        <v>0.10000000000000003</v>
      </c>
      <c r="I43" s="108" t="s">
        <v>458</v>
      </c>
    </row>
    <row r="44" spans="1:18" x14ac:dyDescent="0.3">
      <c r="A44" s="52" t="s">
        <v>114</v>
      </c>
      <c r="B44" s="54">
        <f>SUM(0.23-B42)</f>
        <v>-5.999999999999997E-2</v>
      </c>
      <c r="I44" t="s">
        <v>460</v>
      </c>
    </row>
    <row r="45" spans="1:18" x14ac:dyDescent="0.3">
      <c r="A45" s="52" t="s">
        <v>113</v>
      </c>
      <c r="B45" s="54">
        <f>SUM(0.29-B42)</f>
        <v>0</v>
      </c>
      <c r="I45" s="69" t="s">
        <v>463</v>
      </c>
    </row>
    <row r="46" spans="1:18" x14ac:dyDescent="0.3">
      <c r="A46" t="s">
        <v>73</v>
      </c>
      <c r="B46" s="50">
        <f>SUM(1.29-B42)</f>
        <v>1</v>
      </c>
    </row>
    <row r="47" spans="1:18" x14ac:dyDescent="0.3">
      <c r="A47" t="s">
        <v>289</v>
      </c>
      <c r="B47" s="50">
        <f>SUM(1.09-B42)</f>
        <v>0.8</v>
      </c>
      <c r="C47" t="s">
        <v>290</v>
      </c>
    </row>
    <row r="48" spans="1:18" x14ac:dyDescent="0.3">
      <c r="A48" t="s">
        <v>74</v>
      </c>
      <c r="B48" s="50">
        <f>SUM(1.79-B42)</f>
        <v>1.5</v>
      </c>
      <c r="F48" s="50"/>
    </row>
    <row r="49" spans="1:3" x14ac:dyDescent="0.3">
      <c r="A49" t="s">
        <v>163</v>
      </c>
      <c r="B49">
        <v>1.5</v>
      </c>
      <c r="C49" t="s">
        <v>210</v>
      </c>
    </row>
    <row r="50" spans="1:3" x14ac:dyDescent="0.3">
      <c r="A50" t="s">
        <v>164</v>
      </c>
      <c r="B50">
        <v>2.2000000000000002</v>
      </c>
    </row>
    <row r="51" spans="1:3" x14ac:dyDescent="0.3">
      <c r="A51" t="s">
        <v>185</v>
      </c>
      <c r="B51" s="50">
        <f>SUM(1.2-B49)</f>
        <v>-0.30000000000000004</v>
      </c>
    </row>
    <row r="52" spans="1:3" x14ac:dyDescent="0.3">
      <c r="A52" t="s">
        <v>278</v>
      </c>
      <c r="B52" s="50">
        <f>SUM(2-B49)</f>
        <v>0.5</v>
      </c>
    </row>
    <row r="53" spans="1:3" x14ac:dyDescent="0.3">
      <c r="A53" t="s">
        <v>143</v>
      </c>
      <c r="B53" s="50">
        <f>SUM(1.8-B49)</f>
        <v>0.30000000000000004</v>
      </c>
    </row>
    <row r="54" spans="1:3" x14ac:dyDescent="0.3">
      <c r="A54" t="s">
        <v>257</v>
      </c>
      <c r="B54" s="50">
        <f>SUM(1.56-B49)</f>
        <v>6.0000000000000053E-2</v>
      </c>
    </row>
    <row r="55" spans="1:3" x14ac:dyDescent="0.3">
      <c r="A55" t="s">
        <v>256</v>
      </c>
      <c r="B55">
        <f>SUM(2.75-B49)</f>
        <v>1.25</v>
      </c>
    </row>
    <row r="56" spans="1:3" x14ac:dyDescent="0.3">
      <c r="A56" t="s">
        <v>273</v>
      </c>
      <c r="B56">
        <v>0.61</v>
      </c>
      <c r="C56" t="s">
        <v>210</v>
      </c>
    </row>
    <row r="57" spans="1:3" x14ac:dyDescent="0.3">
      <c r="A57" t="s">
        <v>233</v>
      </c>
      <c r="B57">
        <v>0.5</v>
      </c>
      <c r="C57" t="s">
        <v>210</v>
      </c>
    </row>
    <row r="58" spans="1:3" x14ac:dyDescent="0.3">
      <c r="A58" t="s">
        <v>246</v>
      </c>
      <c r="B58">
        <v>1.6</v>
      </c>
      <c r="C58" t="s">
        <v>210</v>
      </c>
    </row>
    <row r="59" spans="1:3" x14ac:dyDescent="0.3">
      <c r="A59" t="s">
        <v>232</v>
      </c>
      <c r="B59">
        <v>2</v>
      </c>
      <c r="C59" t="s">
        <v>210</v>
      </c>
    </row>
    <row r="60" spans="1:3" x14ac:dyDescent="0.3">
      <c r="A60" t="s">
        <v>488</v>
      </c>
      <c r="B60" s="50">
        <v>2.2000000000000002</v>
      </c>
      <c r="C60" t="s">
        <v>210</v>
      </c>
    </row>
    <row r="61" spans="1:3" x14ac:dyDescent="0.3">
      <c r="A61" t="s">
        <v>487</v>
      </c>
      <c r="B61" s="50">
        <v>2.6</v>
      </c>
      <c r="C61" t="s">
        <v>210</v>
      </c>
    </row>
    <row r="62" spans="1:3" x14ac:dyDescent="0.3">
      <c r="A62" t="s">
        <v>274</v>
      </c>
      <c r="B62" s="50">
        <v>2.4</v>
      </c>
      <c r="C62" t="s">
        <v>210</v>
      </c>
    </row>
    <row r="63" spans="1:3" x14ac:dyDescent="0.3">
      <c r="A63" t="s">
        <v>470</v>
      </c>
      <c r="B63" s="50">
        <f>SUM(B62*2)</f>
        <v>4.8</v>
      </c>
      <c r="C63" t="s">
        <v>210</v>
      </c>
    </row>
    <row r="64" spans="1:3" x14ac:dyDescent="0.3">
      <c r="A64" t="s">
        <v>471</v>
      </c>
      <c r="B64" s="50">
        <f>SUM(B62*3)</f>
        <v>7.1999999999999993</v>
      </c>
      <c r="C64" t="s">
        <v>210</v>
      </c>
    </row>
    <row r="65" spans="1:12" x14ac:dyDescent="0.3">
      <c r="A65" t="s">
        <v>118</v>
      </c>
      <c r="B65" s="50">
        <v>2.2000000000000002</v>
      </c>
      <c r="C65" t="s">
        <v>210</v>
      </c>
    </row>
    <row r="66" spans="1:12" x14ac:dyDescent="0.3">
      <c r="A66" t="s">
        <v>127</v>
      </c>
      <c r="B66" s="50">
        <v>0.2</v>
      </c>
      <c r="C66" t="s">
        <v>210</v>
      </c>
    </row>
    <row r="67" spans="1:12" x14ac:dyDescent="0.3">
      <c r="A67" s="52" t="s">
        <v>186</v>
      </c>
      <c r="B67" s="54">
        <v>0.57499999999999996</v>
      </c>
      <c r="C67" t="s">
        <v>210</v>
      </c>
    </row>
    <row r="68" spans="1:12" x14ac:dyDescent="0.3">
      <c r="A68" t="s">
        <v>373</v>
      </c>
      <c r="B68" s="50">
        <f>IF(AND(Weight!D16="n",Weight!D17="y"),Assemblies!G88,IF(AND(Weight!D16="n",Weight!D17="n"),Assemblies!G88*2,0))</f>
        <v>0</v>
      </c>
      <c r="C68" t="s">
        <v>396</v>
      </c>
    </row>
    <row r="69" spans="1:12" x14ac:dyDescent="0.3">
      <c r="A69" t="s">
        <v>277</v>
      </c>
      <c r="B69" s="50">
        <f>IF(AND(Weight!D16="n",Weight!D17="y"),SUM(K73-B68),IF(AND(Weight!D16="n",Weight!D17="n"),SUM(K73*2)-B68,0))</f>
        <v>0</v>
      </c>
      <c r="C69" t="s">
        <v>211</v>
      </c>
    </row>
    <row r="70" spans="1:12" x14ac:dyDescent="0.3">
      <c r="A70" t="s">
        <v>430</v>
      </c>
      <c r="B70" s="50">
        <f>IF(AND(Weight!D16="n",Weight!D17="n"),SUM(B68/2)+(B69/2),0)/2</f>
        <v>0</v>
      </c>
    </row>
    <row r="71" spans="1:12" ht="15" thickBot="1" x14ac:dyDescent="0.35">
      <c r="A71" t="s">
        <v>369</v>
      </c>
      <c r="B71" s="50">
        <f>IF(AND(Weight!D16="n",Weight!D17="y"),SUM(K74-B68),IF(AND(Weight!D16="n",Weight!D17="n"),SUM(K74*2)-B68,0))</f>
        <v>0</v>
      </c>
      <c r="C71" t="s">
        <v>370</v>
      </c>
    </row>
    <row r="72" spans="1:12" x14ac:dyDescent="0.3">
      <c r="A72" t="s">
        <v>385</v>
      </c>
      <c r="B72" s="50">
        <f>IF(AND(Weight!D16="n",Weight!D17="y"),SUM(K79-B68),IF(AND(Weight!D16="n",Weight!D17="n"),SUM(K79*2)-B68,0))</f>
        <v>0</v>
      </c>
      <c r="I72" s="72" t="s">
        <v>383</v>
      </c>
      <c r="J72" s="73" t="s">
        <v>304</v>
      </c>
      <c r="K72" s="74" t="s">
        <v>16</v>
      </c>
    </row>
    <row r="73" spans="1:12" x14ac:dyDescent="0.3">
      <c r="A73" t="s">
        <v>263</v>
      </c>
      <c r="B73" s="50">
        <f>IF(AND(Weight!D16="n",Weight!D17="y"),SUM(K75-B68),IF(AND(Weight!D16="n",Weight!D17="n"),SUM(K75*2)-B68,0))</f>
        <v>0</v>
      </c>
      <c r="C73" t="s">
        <v>267</v>
      </c>
      <c r="I73" s="75" t="s">
        <v>277</v>
      </c>
      <c r="J73" s="70" t="s">
        <v>310</v>
      </c>
      <c r="K73" s="76">
        <f>Assemblies!G55</f>
        <v>2.6492662711017809</v>
      </c>
    </row>
    <row r="74" spans="1:12" x14ac:dyDescent="0.3">
      <c r="A74" t="s">
        <v>264</v>
      </c>
      <c r="B74" s="50">
        <f>IF(AND(Weight!D16="n",Weight!D17="y"),SUM(K76-B68),IF(AND(Weight!D16="n",Weight!D17="n"),SUM(K76*2)-B68,0))</f>
        <v>0</v>
      </c>
      <c r="C74" t="s">
        <v>267</v>
      </c>
      <c r="I74" s="75" t="s">
        <v>369</v>
      </c>
      <c r="J74" s="70" t="s">
        <v>310</v>
      </c>
      <c r="K74" s="76">
        <f>Assemblies!G73</f>
        <v>1.6178352055046914</v>
      </c>
    </row>
    <row r="75" spans="1:12" x14ac:dyDescent="0.3">
      <c r="A75" t="s">
        <v>265</v>
      </c>
      <c r="B75" s="50">
        <f>IF(AND(Weight!D16="n",Weight!D17="y"),SUM(K77-B68),IF(AND(Weight!D16="n",Weight!D17="n"),SUM(K77*2)-B68,0))</f>
        <v>0</v>
      </c>
      <c r="C75" t="s">
        <v>267</v>
      </c>
      <c r="I75" s="75" t="s">
        <v>263</v>
      </c>
      <c r="J75" s="70" t="s">
        <v>318</v>
      </c>
      <c r="K75" s="76">
        <f>SUM(437/700)</f>
        <v>0.62428571428571433</v>
      </c>
    </row>
    <row r="76" spans="1:12" x14ac:dyDescent="0.3">
      <c r="A76" t="s">
        <v>266</v>
      </c>
      <c r="B76" s="50">
        <f>IF(AND(Weight!D16="n",Weight!D17="y"),SUM(K78-B68),IF(AND(Weight!D16="n",Weight!D17="n"),SUM(K78*2)-B68,0))</f>
        <v>0</v>
      </c>
      <c r="C76" t="s">
        <v>267</v>
      </c>
      <c r="I76" s="75" t="s">
        <v>264</v>
      </c>
      <c r="J76" s="70" t="s">
        <v>318</v>
      </c>
      <c r="K76" s="76">
        <f>K75*2</f>
        <v>1.2485714285714287</v>
      </c>
      <c r="L76" t="s">
        <v>320</v>
      </c>
    </row>
    <row r="77" spans="1:12" x14ac:dyDescent="0.3">
      <c r="A77" t="s">
        <v>182</v>
      </c>
      <c r="B77" s="50">
        <v>1.7</v>
      </c>
      <c r="C77" t="s">
        <v>218</v>
      </c>
      <c r="I77" s="75" t="s">
        <v>265</v>
      </c>
      <c r="J77" s="70" t="s">
        <v>318</v>
      </c>
      <c r="K77" s="76">
        <f>K75*3</f>
        <v>1.872857142857143</v>
      </c>
    </row>
    <row r="78" spans="1:12" x14ac:dyDescent="0.3">
      <c r="A78" t="s">
        <v>166</v>
      </c>
      <c r="B78" s="50">
        <v>0.05</v>
      </c>
      <c r="C78" t="s">
        <v>218</v>
      </c>
      <c r="I78" s="75" t="s">
        <v>266</v>
      </c>
      <c r="J78" s="70" t="s">
        <v>318</v>
      </c>
      <c r="K78" s="76">
        <f>K75*4</f>
        <v>2.4971428571428573</v>
      </c>
    </row>
    <row r="79" spans="1:12" ht="15" thickBot="1" x14ac:dyDescent="0.35">
      <c r="B79" s="50"/>
      <c r="I79" s="77" t="s">
        <v>385</v>
      </c>
      <c r="J79" s="78" t="s">
        <v>384</v>
      </c>
      <c r="K79" s="102">
        <f>SUM(490/700)</f>
        <v>0.7</v>
      </c>
      <c r="L79" t="s">
        <v>386</v>
      </c>
    </row>
    <row r="82" spans="1:13" ht="15" thickBot="1" x14ac:dyDescent="0.35">
      <c r="A82" s="2" t="s">
        <v>130</v>
      </c>
      <c r="B82" s="50"/>
    </row>
    <row r="83" spans="1:13" x14ac:dyDescent="0.3">
      <c r="A83" t="s">
        <v>187</v>
      </c>
      <c r="B83" s="50">
        <f>L85</f>
        <v>2.2717171717171718</v>
      </c>
      <c r="C83" t="s">
        <v>210</v>
      </c>
      <c r="I83" s="72" t="s">
        <v>299</v>
      </c>
      <c r="J83" s="73" t="s">
        <v>30</v>
      </c>
      <c r="K83" s="73" t="s">
        <v>304</v>
      </c>
      <c r="L83" s="74" t="s">
        <v>16</v>
      </c>
      <c r="M83" s="69" t="s">
        <v>303</v>
      </c>
    </row>
    <row r="84" spans="1:13" x14ac:dyDescent="0.3">
      <c r="A84" t="s">
        <v>184</v>
      </c>
      <c r="B84" s="50">
        <f>SUM(L84-B83)</f>
        <v>-0.82643232323232341</v>
      </c>
      <c r="I84" s="75" t="s">
        <v>300</v>
      </c>
      <c r="J84" s="71">
        <f>IF(Weight!H6="pmi",0.99416,1.3758)</f>
        <v>1.3757999999999999</v>
      </c>
      <c r="K84" s="70" t="str">
        <f>IF(Weight!H6="pmi","#2 HF","#2 SYP")</f>
        <v>#2 SYP</v>
      </c>
      <c r="L84" s="76">
        <f>SUM(J84*12*13)/148.5</f>
        <v>1.4452848484848484</v>
      </c>
    </row>
    <row r="85" spans="1:13" x14ac:dyDescent="0.3">
      <c r="A85" t="s">
        <v>131</v>
      </c>
      <c r="B85" s="50">
        <f>SUM(L86-B83)</f>
        <v>0.72222222222222232</v>
      </c>
      <c r="I85" s="75" t="s">
        <v>301</v>
      </c>
      <c r="J85" s="71">
        <f>IF(Weight!H6="pmi",1.5616,2.1625)</f>
        <v>2.1625000000000001</v>
      </c>
      <c r="K85" s="70" t="str">
        <f>IF(Weight!H6="pmi","#2 HF","#2 SYP")</f>
        <v>#2 SYP</v>
      </c>
      <c r="L85" s="76">
        <f>SUM(J85*12*13)/148.5</f>
        <v>2.2717171717171718</v>
      </c>
    </row>
    <row r="86" spans="1:13" x14ac:dyDescent="0.3">
      <c r="A86" t="s">
        <v>251</v>
      </c>
      <c r="B86" s="50">
        <f>SUM(L87-B83)</f>
        <v>-0.87535353535353533</v>
      </c>
      <c r="C86" t="s">
        <v>255</v>
      </c>
      <c r="I86" s="75" t="s">
        <v>302</v>
      </c>
      <c r="J86" s="71">
        <f>IF(Weight!H6="pmi",2.0583,2.85)</f>
        <v>2.85</v>
      </c>
      <c r="K86" s="70" t="str">
        <f>IF(Weight!H6="pmi","#2 HF","#2 SYP")</f>
        <v>#2 SYP</v>
      </c>
      <c r="L86" s="76">
        <f>SUM(J86*12*13)/148.5</f>
        <v>2.9939393939393941</v>
      </c>
    </row>
    <row r="87" spans="1:13" x14ac:dyDescent="0.3">
      <c r="A87" t="s">
        <v>252</v>
      </c>
      <c r="B87" s="50">
        <f>SUM(L88-B83)</f>
        <v>-0.54565656565656573</v>
      </c>
      <c r="C87" t="s">
        <v>255</v>
      </c>
      <c r="I87" s="75" t="s">
        <v>314</v>
      </c>
      <c r="J87" s="71">
        <v>1.44</v>
      </c>
      <c r="K87" s="70" t="s">
        <v>310</v>
      </c>
      <c r="L87" s="76">
        <f>SUM(J87*12*12)/148.5</f>
        <v>1.3963636363636365</v>
      </c>
      <c r="M87" t="s">
        <v>312</v>
      </c>
    </row>
    <row r="88" spans="1:13" x14ac:dyDescent="0.3">
      <c r="A88" t="s">
        <v>253</v>
      </c>
      <c r="B88" s="50">
        <f>SUM(L90-B83)</f>
        <v>-0.43898989898989926</v>
      </c>
      <c r="C88" t="s">
        <v>255</v>
      </c>
      <c r="I88" s="75" t="s">
        <v>315</v>
      </c>
      <c r="J88" s="71">
        <v>1.78</v>
      </c>
      <c r="K88" s="70" t="s">
        <v>310</v>
      </c>
      <c r="L88" s="76">
        <f>SUM(J88*12*12)/148.5</f>
        <v>1.7260606060606061</v>
      </c>
      <c r="M88" t="s">
        <v>312</v>
      </c>
    </row>
    <row r="89" spans="1:13" x14ac:dyDescent="0.3">
      <c r="A89" t="s">
        <v>254</v>
      </c>
      <c r="B89" s="50">
        <f>SUM(L91-B83)</f>
        <v>1.6767676767676765E-2</v>
      </c>
      <c r="C89" t="s">
        <v>255</v>
      </c>
      <c r="I89" s="75" t="s">
        <v>311</v>
      </c>
      <c r="J89" s="71">
        <v>1.1599999999999999</v>
      </c>
      <c r="K89" s="70" t="s">
        <v>310</v>
      </c>
      <c r="L89" s="76">
        <f>SUM(J89*12*12)/148.5</f>
        <v>1.1248484848484845</v>
      </c>
      <c r="M89" t="s">
        <v>312</v>
      </c>
    </row>
    <row r="90" spans="1:13" x14ac:dyDescent="0.3">
      <c r="A90" t="s">
        <v>481</v>
      </c>
      <c r="B90">
        <v>2</v>
      </c>
      <c r="C90" t="s">
        <v>210</v>
      </c>
      <c r="I90" s="75" t="s">
        <v>316</v>
      </c>
      <c r="J90" s="80">
        <v>1.89</v>
      </c>
      <c r="K90" s="80" t="s">
        <v>310</v>
      </c>
      <c r="L90" s="76">
        <f>SUM(J90*12*12)/148.5</f>
        <v>1.8327272727272725</v>
      </c>
      <c r="M90" t="s">
        <v>312</v>
      </c>
    </row>
    <row r="91" spans="1:13" ht="15" thickBot="1" x14ac:dyDescent="0.35">
      <c r="A91" t="s">
        <v>81</v>
      </c>
      <c r="B91">
        <f>SUM(0.7-B90)</f>
        <v>-1.3</v>
      </c>
      <c r="I91" s="77" t="s">
        <v>317</v>
      </c>
      <c r="J91" s="81">
        <v>2.36</v>
      </c>
      <c r="K91" s="81" t="s">
        <v>310</v>
      </c>
      <c r="L91" s="79">
        <f>SUM(J91*12*12)/148.5</f>
        <v>2.2884848484848486</v>
      </c>
      <c r="M91" t="s">
        <v>312</v>
      </c>
    </row>
    <row r="92" spans="1:13" x14ac:dyDescent="0.3">
      <c r="A92" t="s">
        <v>482</v>
      </c>
      <c r="B92" s="50">
        <f>SUM(2.4-B90)</f>
        <v>0.39999999999999991</v>
      </c>
    </row>
    <row r="93" spans="1:13" x14ac:dyDescent="0.3">
      <c r="A93" t="s">
        <v>484</v>
      </c>
      <c r="B93" s="50">
        <f>SUM((2.6*2)-B90)</f>
        <v>3.2</v>
      </c>
    </row>
    <row r="94" spans="1:13" x14ac:dyDescent="0.3">
      <c r="A94" t="s">
        <v>483</v>
      </c>
      <c r="B94" s="50">
        <f>SUM((2.6*3)-B90)</f>
        <v>5.8000000000000007</v>
      </c>
    </row>
    <row r="95" spans="1:13" x14ac:dyDescent="0.3">
      <c r="A95" t="s">
        <v>467</v>
      </c>
      <c r="B95" s="50">
        <f>SUM(2.6-B90)</f>
        <v>0.60000000000000009</v>
      </c>
    </row>
    <row r="96" spans="1:13" x14ac:dyDescent="0.3">
      <c r="A96" t="s">
        <v>268</v>
      </c>
      <c r="B96" s="50">
        <f>SUM(4.4-B90)</f>
        <v>2.4000000000000004</v>
      </c>
    </row>
    <row r="97" spans="1:3" x14ac:dyDescent="0.3">
      <c r="A97" t="s">
        <v>134</v>
      </c>
      <c r="B97" s="50">
        <f>SUM(3.7-B90)</f>
        <v>1.7000000000000002</v>
      </c>
    </row>
    <row r="98" spans="1:3" x14ac:dyDescent="0.3">
      <c r="A98" t="s">
        <v>133</v>
      </c>
      <c r="B98" s="50">
        <f>SUM(3.9-B90)</f>
        <v>1.9</v>
      </c>
    </row>
    <row r="99" spans="1:3" x14ac:dyDescent="0.3">
      <c r="A99" t="s">
        <v>155</v>
      </c>
      <c r="B99" s="50">
        <f>SUM(2.85-B90)</f>
        <v>0.85000000000000009</v>
      </c>
    </row>
    <row r="100" spans="1:3" x14ac:dyDescent="0.3">
      <c r="A100" t="s">
        <v>156</v>
      </c>
      <c r="B100" s="50">
        <f>SUM(3.45-B90)</f>
        <v>1.4500000000000002</v>
      </c>
    </row>
    <row r="101" spans="1:3" x14ac:dyDescent="0.3">
      <c r="A101" t="s">
        <v>231</v>
      </c>
      <c r="B101">
        <v>1.2</v>
      </c>
      <c r="C101" t="s">
        <v>210</v>
      </c>
    </row>
    <row r="102" spans="1:3" x14ac:dyDescent="0.3">
      <c r="A102" t="s">
        <v>234</v>
      </c>
      <c r="B102">
        <v>0.25</v>
      </c>
      <c r="C102" t="s">
        <v>210</v>
      </c>
    </row>
    <row r="103" spans="1:3" x14ac:dyDescent="0.3">
      <c r="A103" t="s">
        <v>248</v>
      </c>
      <c r="B103">
        <v>2.7</v>
      </c>
      <c r="C103" t="s">
        <v>210</v>
      </c>
    </row>
    <row r="104" spans="1:3" x14ac:dyDescent="0.3">
      <c r="A104" t="s">
        <v>132</v>
      </c>
      <c r="B104" s="50">
        <v>2.5</v>
      </c>
      <c r="C104" t="s">
        <v>210</v>
      </c>
    </row>
    <row r="105" spans="1:3" x14ac:dyDescent="0.3">
      <c r="A105" t="s">
        <v>453</v>
      </c>
      <c r="B105" s="50">
        <v>1.7</v>
      </c>
      <c r="C105" t="s">
        <v>210</v>
      </c>
    </row>
    <row r="106" spans="1:3" x14ac:dyDescent="0.3">
      <c r="A106" t="s">
        <v>249</v>
      </c>
      <c r="B106" s="50">
        <v>1.7</v>
      </c>
      <c r="C106" t="s">
        <v>210</v>
      </c>
    </row>
    <row r="107" spans="1:3" x14ac:dyDescent="0.3">
      <c r="A107" t="s">
        <v>217</v>
      </c>
      <c r="B107">
        <v>1.7</v>
      </c>
      <c r="C107" t="s">
        <v>210</v>
      </c>
    </row>
    <row r="108" spans="1:3" x14ac:dyDescent="0.3">
      <c r="A108" t="s">
        <v>216</v>
      </c>
      <c r="B108">
        <f>SUM(3.5-B107)</f>
        <v>1.8</v>
      </c>
      <c r="C108" t="s">
        <v>280</v>
      </c>
    </row>
    <row r="109" spans="1:3" x14ac:dyDescent="0.3">
      <c r="A109" t="s">
        <v>294</v>
      </c>
      <c r="B109" s="50">
        <f>SUM(4-B107)</f>
        <v>2.2999999999999998</v>
      </c>
      <c r="C109" t="s">
        <v>292</v>
      </c>
    </row>
    <row r="110" spans="1:3" x14ac:dyDescent="0.3">
      <c r="A110" t="s">
        <v>295</v>
      </c>
      <c r="B110" s="50">
        <f>SUM(4-B107)</f>
        <v>2.2999999999999998</v>
      </c>
      <c r="C110" t="s">
        <v>293</v>
      </c>
    </row>
    <row r="111" spans="1:3" x14ac:dyDescent="0.3">
      <c r="A111" t="s">
        <v>296</v>
      </c>
      <c r="B111" s="50">
        <f>SUM(2.3-B107)</f>
        <v>0.59999999999999987</v>
      </c>
      <c r="C111" t="s">
        <v>281</v>
      </c>
    </row>
    <row r="112" spans="1:3" x14ac:dyDescent="0.3">
      <c r="A112" t="s">
        <v>432</v>
      </c>
      <c r="B112" s="50">
        <v>0.8</v>
      </c>
      <c r="C112" t="s">
        <v>210</v>
      </c>
    </row>
    <row r="113" spans="1:3" x14ac:dyDescent="0.3">
      <c r="A113" t="s">
        <v>433</v>
      </c>
      <c r="B113" s="50">
        <v>1.6</v>
      </c>
      <c r="C113" t="s">
        <v>210</v>
      </c>
    </row>
    <row r="114" spans="1:3" x14ac:dyDescent="0.3">
      <c r="A114" t="s">
        <v>205</v>
      </c>
      <c r="B114" s="50">
        <v>0.01</v>
      </c>
      <c r="C114" t="s">
        <v>210</v>
      </c>
    </row>
    <row r="115" spans="1:3" x14ac:dyDescent="0.3">
      <c r="B115" s="50"/>
    </row>
    <row r="116" spans="1:3" x14ac:dyDescent="0.3">
      <c r="A116" s="2" t="s">
        <v>135</v>
      </c>
      <c r="B116" s="50"/>
    </row>
    <row r="117" spans="1:3" x14ac:dyDescent="0.3">
      <c r="A117" t="s">
        <v>184</v>
      </c>
      <c r="B117" s="50">
        <f>L84</f>
        <v>1.4452848484848484</v>
      </c>
      <c r="C117" t="s">
        <v>210</v>
      </c>
    </row>
    <row r="118" spans="1:3" x14ac:dyDescent="0.3">
      <c r="A118" t="s">
        <v>187</v>
      </c>
      <c r="B118" s="50">
        <f>SUM(L85-B117)</f>
        <v>0.82643232323232341</v>
      </c>
    </row>
    <row r="119" spans="1:3" x14ac:dyDescent="0.3">
      <c r="A119" t="s">
        <v>258</v>
      </c>
      <c r="B119" s="50">
        <f>SUM(L89-B117)</f>
        <v>-0.32043636363636385</v>
      </c>
    </row>
    <row r="120" spans="1:3" x14ac:dyDescent="0.3">
      <c r="A120" t="s">
        <v>131</v>
      </c>
      <c r="B120" s="50">
        <f>SUM(L86-B117)</f>
        <v>1.5486545454545457</v>
      </c>
    </row>
    <row r="121" spans="1:3" x14ac:dyDescent="0.3">
      <c r="A121" t="s">
        <v>481</v>
      </c>
      <c r="B121">
        <f>SUM(2*2)</f>
        <v>4</v>
      </c>
      <c r="C121" t="s">
        <v>210</v>
      </c>
    </row>
    <row r="122" spans="1:3" x14ac:dyDescent="0.3">
      <c r="A122" t="s">
        <v>81</v>
      </c>
      <c r="B122">
        <f>SUM((0.7*2)-B121)</f>
        <v>-2.6</v>
      </c>
    </row>
    <row r="123" spans="1:3" x14ac:dyDescent="0.3">
      <c r="A123" t="s">
        <v>482</v>
      </c>
      <c r="B123" s="50">
        <f>SUM((2.4*2)-B121)</f>
        <v>0.79999999999999982</v>
      </c>
    </row>
    <row r="124" spans="1:3" x14ac:dyDescent="0.3">
      <c r="A124" t="s">
        <v>484</v>
      </c>
      <c r="B124" s="50">
        <f>SUM((2.6*2)*2-B121)</f>
        <v>6.4</v>
      </c>
    </row>
    <row r="125" spans="1:3" x14ac:dyDescent="0.3">
      <c r="A125" t="s">
        <v>483</v>
      </c>
      <c r="B125" s="50">
        <f>SUM((2.6*3)*2-B121)</f>
        <v>11.600000000000001</v>
      </c>
    </row>
    <row r="126" spans="1:3" x14ac:dyDescent="0.3">
      <c r="A126" t="s">
        <v>268</v>
      </c>
      <c r="B126" s="50">
        <f>SUM((4.4*2)-B121)</f>
        <v>4.8000000000000007</v>
      </c>
    </row>
    <row r="127" spans="1:3" x14ac:dyDescent="0.3">
      <c r="A127" t="s">
        <v>134</v>
      </c>
      <c r="B127" s="50">
        <f>SUM((3.7*2)-B121)</f>
        <v>3.4000000000000004</v>
      </c>
    </row>
    <row r="128" spans="1:3" x14ac:dyDescent="0.3">
      <c r="A128" t="s">
        <v>133</v>
      </c>
      <c r="B128" s="50">
        <f>SUM((3.9*2)-B121)</f>
        <v>3.8</v>
      </c>
    </row>
    <row r="129" spans="1:3" x14ac:dyDescent="0.3">
      <c r="A129" t="s">
        <v>155</v>
      </c>
      <c r="B129" s="50">
        <f>SUM((2.85*2)-B121)</f>
        <v>1.7000000000000002</v>
      </c>
    </row>
    <row r="130" spans="1:3" x14ac:dyDescent="0.3">
      <c r="A130" t="s">
        <v>156</v>
      </c>
      <c r="B130" s="50">
        <f>SUM((3.45*2)-B121)</f>
        <v>2.9000000000000004</v>
      </c>
    </row>
    <row r="131" spans="1:3" x14ac:dyDescent="0.3">
      <c r="A131" t="s">
        <v>467</v>
      </c>
      <c r="B131" s="50">
        <v>2.6</v>
      </c>
      <c r="C131" t="s">
        <v>210</v>
      </c>
    </row>
    <row r="132" spans="1:3" x14ac:dyDescent="0.3">
      <c r="A132" t="s">
        <v>468</v>
      </c>
      <c r="B132" s="50">
        <f>B131*2</f>
        <v>5.2</v>
      </c>
      <c r="C132" t="s">
        <v>210</v>
      </c>
    </row>
    <row r="133" spans="1:3" x14ac:dyDescent="0.3">
      <c r="A133" t="s">
        <v>231</v>
      </c>
      <c r="B133">
        <v>1.2</v>
      </c>
      <c r="C133" t="s">
        <v>210</v>
      </c>
    </row>
    <row r="134" spans="1:3" x14ac:dyDescent="0.3">
      <c r="A134" t="s">
        <v>234</v>
      </c>
      <c r="B134">
        <v>0.25</v>
      </c>
      <c r="C134" t="s">
        <v>210</v>
      </c>
    </row>
    <row r="135" spans="1:3" x14ac:dyDescent="0.3">
      <c r="A135" t="s">
        <v>248</v>
      </c>
      <c r="B135">
        <v>2.7</v>
      </c>
      <c r="C135" t="s">
        <v>210</v>
      </c>
    </row>
    <row r="136" spans="1:3" x14ac:dyDescent="0.3">
      <c r="A136" t="s">
        <v>249</v>
      </c>
      <c r="B136" s="50">
        <v>1.7</v>
      </c>
      <c r="C136" t="s">
        <v>210</v>
      </c>
    </row>
    <row r="137" spans="1:3" x14ac:dyDescent="0.3">
      <c r="A137" t="s">
        <v>453</v>
      </c>
      <c r="B137" s="50">
        <v>1.7</v>
      </c>
      <c r="C137" t="s">
        <v>210</v>
      </c>
    </row>
    <row r="138" spans="1:3" x14ac:dyDescent="0.3">
      <c r="A138" t="s">
        <v>445</v>
      </c>
      <c r="B138" s="50">
        <f>SUM(6)</f>
        <v>6</v>
      </c>
      <c r="C138" t="s">
        <v>210</v>
      </c>
    </row>
    <row r="139" spans="1:3" x14ac:dyDescent="0.3">
      <c r="A139" t="s">
        <v>446</v>
      </c>
      <c r="B139" s="50">
        <f>SUM(9.7)</f>
        <v>9.6999999999999993</v>
      </c>
      <c r="C139" t="s">
        <v>210</v>
      </c>
    </row>
    <row r="140" spans="1:3" x14ac:dyDescent="0.3">
      <c r="A140" t="s">
        <v>447</v>
      </c>
      <c r="B140" s="50">
        <f>SUM(6.5)</f>
        <v>6.5</v>
      </c>
      <c r="C140" t="s">
        <v>210</v>
      </c>
    </row>
    <row r="141" spans="1:3" x14ac:dyDescent="0.3">
      <c r="A141" t="s">
        <v>448</v>
      </c>
      <c r="B141" s="50">
        <f>SUM(10.2)</f>
        <v>10.199999999999999</v>
      </c>
      <c r="C141" t="s">
        <v>210</v>
      </c>
    </row>
    <row r="142" spans="1:3" x14ac:dyDescent="0.3">
      <c r="A142" t="s">
        <v>272</v>
      </c>
      <c r="B142" s="50">
        <f>SUM(50.60916/18.375)-B68</f>
        <v>2.7542400000000002</v>
      </c>
    </row>
    <row r="144" spans="1:3" x14ac:dyDescent="0.3">
      <c r="A144" s="2" t="s">
        <v>148</v>
      </c>
      <c r="B144" s="50"/>
    </row>
    <row r="145" spans="1:3" x14ac:dyDescent="0.3">
      <c r="A145" t="s">
        <v>212</v>
      </c>
      <c r="B145" s="50">
        <v>0.14000000000000001</v>
      </c>
      <c r="C145" t="s">
        <v>210</v>
      </c>
    </row>
    <row r="146" spans="1:3" x14ac:dyDescent="0.3">
      <c r="A146" t="s">
        <v>151</v>
      </c>
      <c r="B146" s="50">
        <v>0.15</v>
      </c>
      <c r="C146" t="s">
        <v>210</v>
      </c>
    </row>
    <row r="147" spans="1:3" x14ac:dyDescent="0.3">
      <c r="A147" t="s">
        <v>213</v>
      </c>
      <c r="B147" s="50">
        <v>0.22</v>
      </c>
      <c r="C147" t="s">
        <v>210</v>
      </c>
    </row>
    <row r="148" spans="1:3" x14ac:dyDescent="0.3">
      <c r="A148" t="s">
        <v>152</v>
      </c>
      <c r="B148" s="50">
        <v>0.33</v>
      </c>
      <c r="C148" t="s">
        <v>210</v>
      </c>
    </row>
    <row r="149" spans="1:3" x14ac:dyDescent="0.3">
      <c r="A149" t="s">
        <v>153</v>
      </c>
      <c r="B149" s="50">
        <v>0.3</v>
      </c>
      <c r="C149" t="s">
        <v>210</v>
      </c>
    </row>
    <row r="150" spans="1:3" x14ac:dyDescent="0.3">
      <c r="A150" t="s">
        <v>154</v>
      </c>
      <c r="B150" s="50">
        <v>0.44</v>
      </c>
      <c r="C150" t="s">
        <v>210</v>
      </c>
    </row>
    <row r="151" spans="1:3" x14ac:dyDescent="0.3">
      <c r="A151" t="s">
        <v>279</v>
      </c>
      <c r="B151" s="50">
        <v>0.45</v>
      </c>
      <c r="C151" t="s">
        <v>210</v>
      </c>
    </row>
    <row r="153" spans="1:3" x14ac:dyDescent="0.3">
      <c r="A153" s="2" t="s">
        <v>150</v>
      </c>
    </row>
    <row r="154" spans="1:3" x14ac:dyDescent="0.3">
      <c r="A154" t="s">
        <v>190</v>
      </c>
      <c r="B154">
        <v>36</v>
      </c>
      <c r="C154" t="s">
        <v>210</v>
      </c>
    </row>
    <row r="155" spans="1:3" x14ac:dyDescent="0.3">
      <c r="A155" t="s">
        <v>191</v>
      </c>
      <c r="B155">
        <v>69</v>
      </c>
      <c r="C155" t="s">
        <v>210</v>
      </c>
    </row>
    <row r="156" spans="1:3" x14ac:dyDescent="0.3">
      <c r="A156" t="s">
        <v>192</v>
      </c>
      <c r="B156">
        <v>105</v>
      </c>
      <c r="C156" t="s">
        <v>210</v>
      </c>
    </row>
    <row r="157" spans="1:3" x14ac:dyDescent="0.3">
      <c r="A157" t="s">
        <v>469</v>
      </c>
      <c r="B157">
        <v>140</v>
      </c>
      <c r="C157" t="s">
        <v>210</v>
      </c>
    </row>
    <row r="158" spans="1:3" x14ac:dyDescent="0.3">
      <c r="A158" t="s">
        <v>193</v>
      </c>
      <c r="B158">
        <v>155</v>
      </c>
      <c r="C158" t="s">
        <v>210</v>
      </c>
    </row>
    <row r="159" spans="1:3" x14ac:dyDescent="0.3">
      <c r="A159" t="s">
        <v>194</v>
      </c>
      <c r="B159">
        <v>220</v>
      </c>
      <c r="C159" t="s">
        <v>210</v>
      </c>
    </row>
    <row r="160" spans="1:3" x14ac:dyDescent="0.3">
      <c r="A160" t="s">
        <v>195</v>
      </c>
      <c r="B160">
        <v>335</v>
      </c>
      <c r="C160" t="s">
        <v>210</v>
      </c>
    </row>
    <row r="163" spans="1:27" x14ac:dyDescent="0.3">
      <c r="A163" s="2" t="s">
        <v>157</v>
      </c>
    </row>
    <row r="164" spans="1:27" x14ac:dyDescent="0.3">
      <c r="A164" t="s">
        <v>188</v>
      </c>
      <c r="B164" s="50">
        <v>-0.9</v>
      </c>
    </row>
    <row r="165" spans="1:27" x14ac:dyDescent="0.3">
      <c r="A165" t="s">
        <v>189</v>
      </c>
      <c r="B165" s="50">
        <v>0.6</v>
      </c>
    </row>
    <row r="166" spans="1:27" x14ac:dyDescent="0.3">
      <c r="A166" t="s">
        <v>232</v>
      </c>
      <c r="B166">
        <v>1.5</v>
      </c>
      <c r="C166" t="s">
        <v>210</v>
      </c>
    </row>
    <row r="167" spans="1:27" x14ac:dyDescent="0.3">
      <c r="A167" t="s">
        <v>270</v>
      </c>
      <c r="B167">
        <v>1.7</v>
      </c>
      <c r="C167" t="s">
        <v>210</v>
      </c>
    </row>
    <row r="168" spans="1:27" x14ac:dyDescent="0.3">
      <c r="A168" t="s">
        <v>260</v>
      </c>
      <c r="B168">
        <v>1</v>
      </c>
      <c r="C168" t="s">
        <v>210</v>
      </c>
    </row>
    <row r="169" spans="1:27" x14ac:dyDescent="0.3">
      <c r="A169" t="s">
        <v>77</v>
      </c>
      <c r="B169">
        <v>0.25</v>
      </c>
      <c r="C169" t="s">
        <v>210</v>
      </c>
    </row>
    <row r="170" spans="1:27" x14ac:dyDescent="0.3">
      <c r="A170" t="s">
        <v>271</v>
      </c>
      <c r="B170">
        <v>1.35</v>
      </c>
      <c r="C170" t="s">
        <v>210</v>
      </c>
    </row>
    <row r="171" spans="1:27" x14ac:dyDescent="0.3">
      <c r="A171" t="s">
        <v>286</v>
      </c>
    </row>
    <row r="173" spans="1:27" x14ac:dyDescent="0.3">
      <c r="A173" s="2" t="s">
        <v>203</v>
      </c>
    </row>
    <row r="174" spans="1:27" x14ac:dyDescent="0.3">
      <c r="A174" t="s">
        <v>199</v>
      </c>
      <c r="B174" s="50">
        <f>SUM(27.91185/15.75)</f>
        <v>1.7721809523809524</v>
      </c>
      <c r="C174" t="s">
        <v>16</v>
      </c>
      <c r="I174" s="2"/>
    </row>
    <row r="175" spans="1:27" x14ac:dyDescent="0.3">
      <c r="A175" t="s">
        <v>200</v>
      </c>
      <c r="B175" s="50">
        <f>SUM(43.8615/23.625)</f>
        <v>1.8565714285714285</v>
      </c>
      <c r="C175" t="s">
        <v>16</v>
      </c>
    </row>
    <row r="176" spans="1:27" x14ac:dyDescent="0.3">
      <c r="A176" t="s">
        <v>201</v>
      </c>
      <c r="B176" s="50">
        <f>SUM(50.60916/18.375)</f>
        <v>2.7542400000000002</v>
      </c>
      <c r="C176" t="s">
        <v>16</v>
      </c>
      <c r="V176" s="142" t="s">
        <v>437</v>
      </c>
      <c r="W176" s="142"/>
      <c r="X176" s="142"/>
      <c r="Y176" s="142"/>
      <c r="Z176" s="142"/>
      <c r="AA176" s="142"/>
    </row>
    <row r="177" spans="1:27" x14ac:dyDescent="0.3">
      <c r="A177" t="s">
        <v>202</v>
      </c>
      <c r="B177" s="50">
        <f>SUM(65.265/9)</f>
        <v>7.2516666666666669</v>
      </c>
      <c r="C177" t="s">
        <v>16</v>
      </c>
      <c r="H177" s="142" t="s">
        <v>436</v>
      </c>
      <c r="I177" s="142"/>
      <c r="J177" s="142"/>
      <c r="K177" s="142"/>
    </row>
    <row r="178" spans="1:27" x14ac:dyDescent="0.3">
      <c r="H178" s="143" t="s">
        <v>412</v>
      </c>
      <c r="I178" s="143"/>
      <c r="J178" s="143"/>
      <c r="X178" s="143" t="s">
        <v>412</v>
      </c>
      <c r="Y178" s="143"/>
      <c r="Z178" s="143"/>
    </row>
    <row r="179" spans="1:27" x14ac:dyDescent="0.3">
      <c r="D179" s="64"/>
      <c r="H179" s="64" t="s">
        <v>407</v>
      </c>
      <c r="I179" s="67" t="s">
        <v>352</v>
      </c>
      <c r="J179" s="67" t="s">
        <v>352</v>
      </c>
      <c r="K179" t="s">
        <v>429</v>
      </c>
      <c r="N179" s="145" t="s">
        <v>473</v>
      </c>
      <c r="O179" s="146"/>
      <c r="P179" s="146"/>
      <c r="Q179" s="146"/>
      <c r="R179" s="147"/>
      <c r="T179" s="64" t="s">
        <v>427</v>
      </c>
      <c r="U179">
        <f>Weight!D8</f>
        <v>12</v>
      </c>
      <c r="X179" s="64" t="s">
        <v>407</v>
      </c>
      <c r="Y179" s="67" t="s">
        <v>352</v>
      </c>
      <c r="Z179" s="67" t="s">
        <v>352</v>
      </c>
      <c r="AA179" t="s">
        <v>429</v>
      </c>
    </row>
    <row r="180" spans="1:27" x14ac:dyDescent="0.3">
      <c r="D180" s="64"/>
      <c r="H180" s="64" t="s">
        <v>406</v>
      </c>
      <c r="I180" s="115">
        <v>11.8</v>
      </c>
      <c r="J180" s="68">
        <f>SUM(I180*60*2)+(I180*11.67*2)</f>
        <v>1691.412</v>
      </c>
      <c r="N180" s="87"/>
      <c r="O180" s="70" t="s">
        <v>477</v>
      </c>
      <c r="P180" s="70" t="s">
        <v>349</v>
      </c>
      <c r="Q180" s="87" t="s">
        <v>428</v>
      </c>
      <c r="R180" s="70" t="s">
        <v>352</v>
      </c>
      <c r="T180" s="64" t="s">
        <v>428</v>
      </c>
      <c r="U180">
        <f>Weight!D9</f>
        <v>56</v>
      </c>
      <c r="X180" s="64" t="s">
        <v>406</v>
      </c>
      <c r="Y180" s="67">
        <v>11.8</v>
      </c>
      <c r="Z180" s="68">
        <f>SUM(Y180*U180*2)+(Y180*U179*2)</f>
        <v>1604.8000000000002</v>
      </c>
    </row>
    <row r="181" spans="1:27" x14ac:dyDescent="0.3">
      <c r="A181" t="s">
        <v>178</v>
      </c>
      <c r="B181">
        <v>0.1</v>
      </c>
      <c r="C181" t="s">
        <v>214</v>
      </c>
      <c r="H181" s="64" t="s">
        <v>405</v>
      </c>
      <c r="I181" s="115">
        <v>3.8279999999999998</v>
      </c>
      <c r="J181" s="68">
        <f>SUM((60/1.3334)*I181*11.67)</f>
        <v>2010.1736913154343</v>
      </c>
      <c r="N181" s="87" t="s">
        <v>474</v>
      </c>
      <c r="O181" s="115" t="s">
        <v>300</v>
      </c>
      <c r="P181" s="71">
        <f>IF(O181="2x3",0.9825,1.3758)</f>
        <v>1.3757999999999999</v>
      </c>
      <c r="Q181" s="80">
        <f>SUM(U180*2)+(Q182*2)</f>
        <v>134.84</v>
      </c>
      <c r="R181" s="71">
        <f>SUM(P181*Q181)</f>
        <v>185.51287199999999</v>
      </c>
      <c r="X181" s="64" t="s">
        <v>405</v>
      </c>
      <c r="Y181" s="67">
        <v>3.8279999999999998</v>
      </c>
      <c r="Z181" s="68">
        <f>SUM((U180/1.3334)*Y181*U179)</f>
        <v>1929.2155392230391</v>
      </c>
    </row>
    <row r="182" spans="1:27" x14ac:dyDescent="0.3">
      <c r="A182" t="s">
        <v>198</v>
      </c>
      <c r="B182">
        <v>0.1</v>
      </c>
      <c r="C182" t="s">
        <v>214</v>
      </c>
      <c r="H182" s="64" t="s">
        <v>406</v>
      </c>
      <c r="I182" s="115">
        <v>11.8</v>
      </c>
      <c r="J182" s="68">
        <f>SUM(I182*15*2)+(I182*11.67*2)</f>
        <v>629.41200000000003</v>
      </c>
      <c r="K182" t="s">
        <v>409</v>
      </c>
      <c r="N182" s="87" t="s">
        <v>475</v>
      </c>
      <c r="O182" s="115" t="s">
        <v>478</v>
      </c>
      <c r="P182" s="71">
        <f>IF(O182="2x3",0.9825,1.3758)</f>
        <v>0.98250000000000004</v>
      </c>
      <c r="Q182" s="80">
        <f>IF(O181="2x3",U179-(0.21*2),U179-(0.29*2))</f>
        <v>11.42</v>
      </c>
      <c r="R182" s="71">
        <f>SUM(P182*Q182*(U180/1.3334)-2)</f>
        <v>469.22273886305692</v>
      </c>
      <c r="X182" s="64" t="s">
        <v>406</v>
      </c>
      <c r="Y182" s="67">
        <v>11.8</v>
      </c>
      <c r="Z182" s="68">
        <f>SUM(Y182*15*2)+(Y182*U179*2)</f>
        <v>637.20000000000005</v>
      </c>
      <c r="AA182" t="s">
        <v>409</v>
      </c>
    </row>
    <row r="183" spans="1:27" x14ac:dyDescent="0.3">
      <c r="H183" s="64" t="s">
        <v>410</v>
      </c>
      <c r="I183" s="115">
        <v>6.3330000000000002</v>
      </c>
      <c r="J183" s="68">
        <f>SUM(I183*22)</f>
        <v>139.32599999999999</v>
      </c>
      <c r="N183" s="148" t="s">
        <v>479</v>
      </c>
      <c r="O183" s="149"/>
      <c r="P183" s="149"/>
      <c r="Q183" s="150"/>
      <c r="R183" s="71">
        <f>SUM(U179*U180*0.1)</f>
        <v>67.2</v>
      </c>
      <c r="X183" s="64" t="s">
        <v>410</v>
      </c>
      <c r="Y183" s="67">
        <v>6.3330000000000002</v>
      </c>
      <c r="Z183" s="68">
        <f>SUM(Y183*22)</f>
        <v>139.32599999999999</v>
      </c>
    </row>
    <row r="184" spans="1:27" x14ac:dyDescent="0.3">
      <c r="H184" t="s">
        <v>431</v>
      </c>
      <c r="J184" s="50">
        <v>500</v>
      </c>
      <c r="N184" s="148" t="s">
        <v>476</v>
      </c>
      <c r="O184" s="149"/>
      <c r="P184" s="149"/>
      <c r="Q184" s="150"/>
      <c r="R184" s="71">
        <f>(R181+R182+R183)</f>
        <v>721.93561086305692</v>
      </c>
      <c r="X184" t="s">
        <v>431</v>
      </c>
      <c r="Z184" s="50">
        <v>500</v>
      </c>
    </row>
    <row r="185" spans="1:27" x14ac:dyDescent="0.3">
      <c r="J185" s="50">
        <f>IF(Weight!H6="indicom",SUM(J180:J184)+Materials!B198,SUM(J180:J184))</f>
        <v>4970.3236913154342</v>
      </c>
      <c r="K185" t="s">
        <v>411</v>
      </c>
      <c r="Z185" s="50">
        <f>IF(Weight!H6="indicom",SUM(Z180:Z184)+Materials!B198,SUM(Z180:Z184))</f>
        <v>4810.5415392230389</v>
      </c>
      <c r="AA185" t="s">
        <v>411</v>
      </c>
    </row>
    <row r="186" spans="1:27" x14ac:dyDescent="0.3">
      <c r="J186" s="50">
        <f>SUM(J185/700)</f>
        <v>7.1004624161649064</v>
      </c>
      <c r="K186" t="s">
        <v>16</v>
      </c>
      <c r="Z186" s="50">
        <f>SUM(Z185/(U179*U180))</f>
        <v>7.158543957177141</v>
      </c>
      <c r="AA186" t="s">
        <v>16</v>
      </c>
    </row>
    <row r="188" spans="1:27" x14ac:dyDescent="0.3">
      <c r="H188" s="143" t="s">
        <v>413</v>
      </c>
      <c r="I188" s="143"/>
      <c r="J188" s="143"/>
      <c r="X188" s="143" t="s">
        <v>413</v>
      </c>
      <c r="Y188" s="143"/>
      <c r="Z188" s="143"/>
    </row>
    <row r="189" spans="1:27" x14ac:dyDescent="0.3">
      <c r="H189" s="64" t="s">
        <v>407</v>
      </c>
      <c r="I189" s="67" t="s">
        <v>352</v>
      </c>
      <c r="J189" s="67" t="s">
        <v>352</v>
      </c>
      <c r="X189" s="64" t="s">
        <v>407</v>
      </c>
      <c r="Y189" s="67" t="s">
        <v>352</v>
      </c>
      <c r="Z189" s="67" t="s">
        <v>352</v>
      </c>
    </row>
    <row r="190" spans="1:27" x14ac:dyDescent="0.3">
      <c r="H190" s="64" t="s">
        <v>415</v>
      </c>
      <c r="I190" s="115">
        <v>12.4</v>
      </c>
      <c r="J190" s="68">
        <f>SUM(I190*60*2)+(I190*11.67*2)</f>
        <v>1777.4159999999999</v>
      </c>
      <c r="X190" s="64" t="s">
        <v>415</v>
      </c>
      <c r="Y190" s="67">
        <v>12.4</v>
      </c>
      <c r="Z190" s="68">
        <f>SUM(Y190*U180*2)+(Y190*U179*2)</f>
        <v>1686.4</v>
      </c>
    </row>
    <row r="191" spans="1:27" x14ac:dyDescent="0.3">
      <c r="H191" s="64" t="s">
        <v>405</v>
      </c>
      <c r="I191" s="115">
        <v>3.8279999999999998</v>
      </c>
      <c r="J191" s="68">
        <f>SUM((60/1.3334)*I191*11.67)</f>
        <v>2010.1736913154343</v>
      </c>
      <c r="X191" s="64" t="s">
        <v>405</v>
      </c>
      <c r="Y191" s="67">
        <v>3.8279999999999998</v>
      </c>
      <c r="Z191" s="68">
        <f>SUM((U180/1.3334)*Y191*U179)</f>
        <v>1929.2155392230391</v>
      </c>
    </row>
    <row r="192" spans="1:27" x14ac:dyDescent="0.3">
      <c r="A192" s="2" t="s">
        <v>404</v>
      </c>
      <c r="H192" s="64" t="s">
        <v>415</v>
      </c>
      <c r="I192" s="115">
        <v>12.4</v>
      </c>
      <c r="J192" s="68">
        <f>SUM(I192*15*2)+(I192*11.67*2)</f>
        <v>661.41599999999994</v>
      </c>
      <c r="K192" t="s">
        <v>409</v>
      </c>
      <c r="X192" s="64" t="s">
        <v>415</v>
      </c>
      <c r="Y192" s="67">
        <v>12.4</v>
      </c>
      <c r="Z192" s="68">
        <f>SUM(Y192*15*2)+(Y192*U179*2)</f>
        <v>669.6</v>
      </c>
      <c r="AA192" t="s">
        <v>409</v>
      </c>
    </row>
    <row r="193" spans="1:27" x14ac:dyDescent="0.3">
      <c r="A193" t="s">
        <v>422</v>
      </c>
      <c r="B193" s="50">
        <f>J186</f>
        <v>7.1004624161649064</v>
      </c>
      <c r="C193" t="s">
        <v>16</v>
      </c>
      <c r="H193" s="64" t="s">
        <v>410</v>
      </c>
      <c r="I193" s="115">
        <v>6.3330000000000002</v>
      </c>
      <c r="J193" s="68">
        <f>SUM(I193*22)</f>
        <v>139.32599999999999</v>
      </c>
      <c r="X193" s="64" t="s">
        <v>410</v>
      </c>
      <c r="Y193" s="67">
        <v>6.3330000000000002</v>
      </c>
      <c r="Z193" s="68">
        <f>SUM(Y193*22)</f>
        <v>139.32599999999999</v>
      </c>
    </row>
    <row r="194" spans="1:27" x14ac:dyDescent="0.3">
      <c r="A194" t="s">
        <v>423</v>
      </c>
      <c r="B194" s="50">
        <f>J196</f>
        <v>7.2690452733077633</v>
      </c>
      <c r="C194" t="s">
        <v>16</v>
      </c>
      <c r="H194" t="s">
        <v>431</v>
      </c>
      <c r="J194" s="50">
        <v>500</v>
      </c>
      <c r="X194" t="s">
        <v>431</v>
      </c>
      <c r="Z194" s="50">
        <v>500</v>
      </c>
    </row>
    <row r="195" spans="1:27" x14ac:dyDescent="0.3">
      <c r="A195" t="s">
        <v>426</v>
      </c>
      <c r="B195" s="50">
        <f>J227</f>
        <v>5.1137857142857142</v>
      </c>
      <c r="C195" t="s">
        <v>16</v>
      </c>
      <c r="J195" s="50">
        <f>IF(Weight!H6="indicom",SUM(J190:J194)+Materials!B198,SUM(J190:J194))</f>
        <v>5088.331691315434</v>
      </c>
      <c r="K195" t="s">
        <v>411</v>
      </c>
      <c r="Z195" s="50">
        <f>IF(Weight!H6="indicom",SUM(Z190:Z194)+Materials!B198,SUM(Z190:Z194))</f>
        <v>4924.5415392230398</v>
      </c>
      <c r="AA195" t="s">
        <v>411</v>
      </c>
    </row>
    <row r="196" spans="1:27" x14ac:dyDescent="0.3">
      <c r="A196" t="s">
        <v>424</v>
      </c>
      <c r="B196" s="50">
        <f>J206</f>
        <v>8.0838624161649069</v>
      </c>
      <c r="C196" t="s">
        <v>16</v>
      </c>
      <c r="J196" s="50">
        <f>SUM(J195/700)</f>
        <v>7.2690452733077633</v>
      </c>
      <c r="K196" t="s">
        <v>16</v>
      </c>
      <c r="Z196" s="50">
        <f>SUM(Z195/(U179*U180))</f>
        <v>7.3281868143199995</v>
      </c>
      <c r="AA196" t="s">
        <v>16</v>
      </c>
    </row>
    <row r="197" spans="1:27" x14ac:dyDescent="0.3">
      <c r="A197" t="s">
        <v>425</v>
      </c>
      <c r="B197" s="50">
        <f>J216</f>
        <v>9.6011081304506209</v>
      </c>
      <c r="C197" t="s">
        <v>16</v>
      </c>
    </row>
    <row r="198" spans="1:27" x14ac:dyDescent="0.3">
      <c r="A198" s="64" t="s">
        <v>480</v>
      </c>
      <c r="B198" s="50">
        <f>R184</f>
        <v>721.93561086305692</v>
      </c>
      <c r="C198" t="s">
        <v>8</v>
      </c>
      <c r="H198" s="143" t="s">
        <v>417</v>
      </c>
      <c r="I198" s="143"/>
      <c r="J198" s="143"/>
      <c r="X198" s="143" t="s">
        <v>417</v>
      </c>
      <c r="Y198" s="143"/>
      <c r="Z198" s="143"/>
    </row>
    <row r="199" spans="1:27" x14ac:dyDescent="0.3">
      <c r="H199" s="64" t="s">
        <v>407</v>
      </c>
      <c r="I199" s="67" t="s">
        <v>352</v>
      </c>
      <c r="J199" s="67" t="s">
        <v>352</v>
      </c>
      <c r="X199" s="64" t="s">
        <v>407</v>
      </c>
      <c r="Y199" s="67" t="s">
        <v>352</v>
      </c>
      <c r="Z199" s="67" t="s">
        <v>352</v>
      </c>
    </row>
    <row r="200" spans="1:27" x14ac:dyDescent="0.3">
      <c r="H200" s="64" t="s">
        <v>416</v>
      </c>
      <c r="I200" s="115">
        <v>15.3</v>
      </c>
      <c r="J200" s="68">
        <f>SUM(I200*60*2)+(I200*11.67*2)</f>
        <v>2193.1019999999999</v>
      </c>
      <c r="X200" s="64" t="s">
        <v>416</v>
      </c>
      <c r="Y200" s="67">
        <v>15.3</v>
      </c>
      <c r="Z200" s="68">
        <f>SUM(Y200*U180*2)+(Y200*U179*2)</f>
        <v>2080.8000000000002</v>
      </c>
    </row>
    <row r="201" spans="1:27" x14ac:dyDescent="0.3">
      <c r="H201" s="64" t="s">
        <v>405</v>
      </c>
      <c r="I201" s="115">
        <v>3.8279999999999998</v>
      </c>
      <c r="J201" s="68">
        <f>SUM((60/1.3334)*I201*11.67)</f>
        <v>2010.1736913154343</v>
      </c>
      <c r="X201" s="64" t="s">
        <v>405</v>
      </c>
      <c r="Y201" s="67">
        <v>3.8279999999999998</v>
      </c>
      <c r="Z201" s="68">
        <f>SUM((U180/1.3334)*Y201*U179)</f>
        <v>1929.2155392230391</v>
      </c>
    </row>
    <row r="202" spans="1:27" x14ac:dyDescent="0.3">
      <c r="H202" s="64" t="s">
        <v>416</v>
      </c>
      <c r="I202" s="115">
        <v>15.3</v>
      </c>
      <c r="J202" s="68">
        <f>SUM(I202*15*2)+(I202*11.67*2)</f>
        <v>816.10200000000009</v>
      </c>
      <c r="K202" t="s">
        <v>409</v>
      </c>
      <c r="X202" s="64" t="s">
        <v>416</v>
      </c>
      <c r="Y202" s="67">
        <v>15.3</v>
      </c>
      <c r="Z202" s="68">
        <f>SUM(Y202*15*2)+(Y202*U179*2)</f>
        <v>826.2</v>
      </c>
      <c r="AA202" t="s">
        <v>409</v>
      </c>
    </row>
    <row r="203" spans="1:27" x14ac:dyDescent="0.3">
      <c r="H203" s="64" t="s">
        <v>410</v>
      </c>
      <c r="I203" s="115">
        <v>6.3330000000000002</v>
      </c>
      <c r="J203" s="68">
        <f>SUM(I203*22)</f>
        <v>139.32599999999999</v>
      </c>
      <c r="X203" s="64" t="s">
        <v>410</v>
      </c>
      <c r="Y203" s="67">
        <v>6.3330000000000002</v>
      </c>
      <c r="Z203" s="68">
        <f>SUM(Y203*22)</f>
        <v>139.32599999999999</v>
      </c>
    </row>
    <row r="204" spans="1:27" x14ac:dyDescent="0.3">
      <c r="H204" t="s">
        <v>431</v>
      </c>
      <c r="J204" s="50">
        <v>500</v>
      </c>
      <c r="X204" t="s">
        <v>431</v>
      </c>
      <c r="Z204" s="50">
        <v>500</v>
      </c>
    </row>
    <row r="205" spans="1:27" x14ac:dyDescent="0.3">
      <c r="J205" s="50">
        <f>IF(Weight!H6="indicom",SUM(J200:J204)+Materials!B198,SUM(J200:J204))</f>
        <v>5658.7036913154343</v>
      </c>
      <c r="K205" t="s">
        <v>411</v>
      </c>
      <c r="Z205" s="50">
        <f>IF(Weight!H6="indicom",SUM(Z200:Z204)+Materials!B198,SUM(Z200:Z204))</f>
        <v>5475.5415392230389</v>
      </c>
      <c r="AA205" t="s">
        <v>411</v>
      </c>
    </row>
    <row r="206" spans="1:27" x14ac:dyDescent="0.3">
      <c r="J206" s="50">
        <f>SUM(J205/700)</f>
        <v>8.0838624161649069</v>
      </c>
      <c r="K206" t="s">
        <v>16</v>
      </c>
      <c r="Z206" s="50">
        <f>SUM(Z205/(U179*U180))</f>
        <v>8.1481272905104749</v>
      </c>
      <c r="AA206" t="s">
        <v>16</v>
      </c>
    </row>
    <row r="208" spans="1:27" x14ac:dyDescent="0.3">
      <c r="H208" s="143" t="s">
        <v>414</v>
      </c>
      <c r="I208" s="143"/>
      <c r="J208" s="143"/>
      <c r="X208" s="143" t="s">
        <v>414</v>
      </c>
      <c r="Y208" s="143"/>
      <c r="Z208" s="143"/>
    </row>
    <row r="209" spans="8:27" x14ac:dyDescent="0.3">
      <c r="H209" s="64" t="s">
        <v>407</v>
      </c>
      <c r="I209" s="67" t="s">
        <v>352</v>
      </c>
      <c r="J209" s="67" t="s">
        <v>352</v>
      </c>
      <c r="X209" s="64" t="s">
        <v>407</v>
      </c>
      <c r="Y209" s="67" t="s">
        <v>352</v>
      </c>
      <c r="Z209" s="67" t="s">
        <v>352</v>
      </c>
    </row>
    <row r="210" spans="8:27" x14ac:dyDescent="0.3">
      <c r="H210" s="64" t="s">
        <v>418</v>
      </c>
      <c r="I210" s="115">
        <v>20.7</v>
      </c>
      <c r="J210" s="68">
        <f>SUM(I210*60*2)+(I210*11.67*2)</f>
        <v>2967.1379999999999</v>
      </c>
      <c r="X210" s="64" t="s">
        <v>418</v>
      </c>
      <c r="Y210" s="67">
        <v>20.7</v>
      </c>
      <c r="Z210" s="68">
        <f>SUM(Y210*U180*2)+(Y210*U179*2)</f>
        <v>2815.2</v>
      </c>
    </row>
    <row r="211" spans="8:27" x14ac:dyDescent="0.3">
      <c r="H211" s="64" t="s">
        <v>405</v>
      </c>
      <c r="I211" s="115">
        <v>3.8279999999999998</v>
      </c>
      <c r="J211" s="68">
        <f>SUM((60/1.3334)*I211*11.67)</f>
        <v>2010.1736913154343</v>
      </c>
      <c r="X211" s="64" t="s">
        <v>405</v>
      </c>
      <c r="Y211" s="67">
        <v>3.8279999999999998</v>
      </c>
      <c r="Z211" s="68">
        <f>SUM((U180/1.3334)*Y211*U179)</f>
        <v>1929.2155392230391</v>
      </c>
    </row>
    <row r="212" spans="8:27" x14ac:dyDescent="0.3">
      <c r="H212" s="64" t="s">
        <v>418</v>
      </c>
      <c r="I212" s="115">
        <v>20.7</v>
      </c>
      <c r="J212" s="68">
        <f>SUM(I212*15*2)+(I212*11.67*2)</f>
        <v>1104.1379999999999</v>
      </c>
      <c r="K212" t="s">
        <v>409</v>
      </c>
      <c r="X212" s="64" t="s">
        <v>418</v>
      </c>
      <c r="Y212" s="67">
        <v>20.7</v>
      </c>
      <c r="Z212" s="68">
        <f>SUM(Y212*15*2)+(Y212*U179*2)</f>
        <v>1117.8</v>
      </c>
      <c r="AA212" t="s">
        <v>409</v>
      </c>
    </row>
    <row r="213" spans="8:27" x14ac:dyDescent="0.3">
      <c r="H213" s="64" t="s">
        <v>410</v>
      </c>
      <c r="I213" s="115">
        <v>6.3330000000000002</v>
      </c>
      <c r="J213" s="68">
        <f>SUM(I213*22)</f>
        <v>139.32599999999999</v>
      </c>
      <c r="X213" s="64" t="s">
        <v>410</v>
      </c>
      <c r="Y213" s="67">
        <v>6.3330000000000002</v>
      </c>
      <c r="Z213" s="68">
        <f>SUM(Y213*22)</f>
        <v>139.32599999999999</v>
      </c>
    </row>
    <row r="214" spans="8:27" x14ac:dyDescent="0.3">
      <c r="H214" t="s">
        <v>431</v>
      </c>
      <c r="J214" s="50">
        <v>500</v>
      </c>
      <c r="X214" t="s">
        <v>431</v>
      </c>
      <c r="Z214" s="50">
        <v>500</v>
      </c>
    </row>
    <row r="215" spans="8:27" x14ac:dyDescent="0.3">
      <c r="J215" s="50">
        <f>IF(Weight!H6="indicom",SUM(J210:J214)+Materials!B198,SUM(J210:J214))</f>
        <v>6720.7756913154344</v>
      </c>
      <c r="K215" t="s">
        <v>411</v>
      </c>
      <c r="Z215" s="50">
        <f>IF(Weight!H6="indicom",SUM(Z210:Z214)+Materials!B198,SUM(Z210:Z214))</f>
        <v>6501.5415392230389</v>
      </c>
      <c r="AA215" t="s">
        <v>411</v>
      </c>
    </row>
    <row r="216" spans="8:27" x14ac:dyDescent="0.3">
      <c r="J216" s="50">
        <f>SUM(J215/700)</f>
        <v>9.6011081304506209</v>
      </c>
      <c r="K216" t="s">
        <v>16</v>
      </c>
      <c r="Z216" s="50">
        <f>SUM(Z215/(U179*U180))</f>
        <v>9.6749130047961884</v>
      </c>
      <c r="AA216" t="s">
        <v>16</v>
      </c>
    </row>
    <row r="218" spans="8:27" x14ac:dyDescent="0.3">
      <c r="H218" s="143" t="s">
        <v>419</v>
      </c>
      <c r="I218" s="143"/>
      <c r="J218" s="143"/>
      <c r="X218" s="143" t="s">
        <v>419</v>
      </c>
      <c r="Y218" s="143"/>
      <c r="Z218" s="143"/>
    </row>
    <row r="219" spans="8:27" x14ac:dyDescent="0.3">
      <c r="H219" s="64" t="s">
        <v>407</v>
      </c>
      <c r="I219" s="67" t="s">
        <v>352</v>
      </c>
      <c r="J219" s="67" t="s">
        <v>352</v>
      </c>
      <c r="K219" t="s">
        <v>408</v>
      </c>
      <c r="X219" s="64" t="s">
        <v>407</v>
      </c>
      <c r="Y219" s="67" t="s">
        <v>352</v>
      </c>
      <c r="Z219" s="67" t="s">
        <v>352</v>
      </c>
      <c r="AA219" t="s">
        <v>408</v>
      </c>
    </row>
    <row r="220" spans="8:27" x14ac:dyDescent="0.3">
      <c r="H220" s="64" t="s">
        <v>406</v>
      </c>
      <c r="I220" s="115">
        <v>11.8</v>
      </c>
      <c r="J220" s="68">
        <f>SUM(I220*60*2)+(I220*11.67*2)</f>
        <v>1691.412</v>
      </c>
      <c r="X220" s="64" t="s">
        <v>406</v>
      </c>
      <c r="Y220" s="67">
        <v>11.8</v>
      </c>
      <c r="Z220" s="68">
        <f>SUM(Y220*60*2)+(Y220*U179*2)</f>
        <v>1699.2</v>
      </c>
    </row>
    <row r="221" spans="8:27" x14ac:dyDescent="0.3">
      <c r="H221" s="64" t="s">
        <v>406</v>
      </c>
      <c r="I221" s="115">
        <v>11.8</v>
      </c>
      <c r="J221" s="68">
        <f>SUM(I221*15*2)+(I221*11.67*2)</f>
        <v>629.41200000000003</v>
      </c>
      <c r="K221" t="s">
        <v>409</v>
      </c>
      <c r="X221" s="64" t="s">
        <v>406</v>
      </c>
      <c r="Y221" s="67">
        <v>11.8</v>
      </c>
      <c r="Z221" s="68">
        <f>SUM(Y221*15*2)+(Y221*U179*2)</f>
        <v>637.20000000000005</v>
      </c>
      <c r="AA221" t="s">
        <v>409</v>
      </c>
    </row>
    <row r="222" spans="8:27" x14ac:dyDescent="0.3">
      <c r="H222" s="64" t="s">
        <v>420</v>
      </c>
      <c r="I222" s="115">
        <v>11.8</v>
      </c>
      <c r="J222" s="68">
        <f>SUM(I222*(60-15))</f>
        <v>531</v>
      </c>
      <c r="K222" t="s">
        <v>421</v>
      </c>
      <c r="X222" s="64" t="s">
        <v>420</v>
      </c>
      <c r="Y222" s="67">
        <v>11.8</v>
      </c>
      <c r="Z222" s="68">
        <f>SUM(Y222*(U180-15))</f>
        <v>483.8</v>
      </c>
      <c r="AA222" t="s">
        <v>421</v>
      </c>
    </row>
    <row r="223" spans="8:27" x14ac:dyDescent="0.3">
      <c r="H223" s="64" t="s">
        <v>434</v>
      </c>
      <c r="I223" s="115">
        <v>11.8</v>
      </c>
      <c r="J223" s="68">
        <f>SUM((60-15)/6*I223)</f>
        <v>88.5</v>
      </c>
      <c r="X223" s="64" t="s">
        <v>434</v>
      </c>
      <c r="Y223" s="67">
        <v>11.8</v>
      </c>
      <c r="Z223" s="68">
        <f>SUM((U180-15)/6*Y223)</f>
        <v>80.63333333333334</v>
      </c>
    </row>
    <row r="224" spans="8:27" x14ac:dyDescent="0.3">
      <c r="H224" s="64" t="s">
        <v>410</v>
      </c>
      <c r="I224" s="115">
        <v>6.3330000000000002</v>
      </c>
      <c r="J224" s="68">
        <f>SUM(I224*22)</f>
        <v>139.32599999999999</v>
      </c>
      <c r="X224" s="64" t="s">
        <v>410</v>
      </c>
      <c r="Y224" s="67">
        <v>6.3330000000000002</v>
      </c>
      <c r="Z224" s="68">
        <f>SUM(Y224*22)</f>
        <v>139.32599999999999</v>
      </c>
    </row>
    <row r="225" spans="8:27" x14ac:dyDescent="0.3">
      <c r="H225" t="s">
        <v>431</v>
      </c>
      <c r="J225" s="50">
        <v>500</v>
      </c>
      <c r="X225" t="s">
        <v>431</v>
      </c>
      <c r="Z225" s="50">
        <v>500</v>
      </c>
    </row>
    <row r="226" spans="8:27" x14ac:dyDescent="0.3">
      <c r="J226" s="50">
        <f>SUM(J220:J225)</f>
        <v>3579.65</v>
      </c>
      <c r="K226" t="s">
        <v>411</v>
      </c>
      <c r="Z226" s="50">
        <f>SUM(Z220:Z225)</f>
        <v>3540.1593333333335</v>
      </c>
      <c r="AA226" t="s">
        <v>411</v>
      </c>
    </row>
    <row r="227" spans="8:27" x14ac:dyDescent="0.3">
      <c r="J227" s="50">
        <f>SUM(J226/700)</f>
        <v>5.1137857142857142</v>
      </c>
      <c r="K227" t="s">
        <v>16</v>
      </c>
      <c r="Z227" s="50">
        <f>SUM(Z226/(U179*U180))</f>
        <v>5.2680942460317466</v>
      </c>
      <c r="AA227" t="s">
        <v>16</v>
      </c>
    </row>
  </sheetData>
  <mergeCells count="16">
    <mergeCell ref="N179:R179"/>
    <mergeCell ref="N183:Q183"/>
    <mergeCell ref="N184:Q184"/>
    <mergeCell ref="X218:Z218"/>
    <mergeCell ref="H218:J218"/>
    <mergeCell ref="A1:G1"/>
    <mergeCell ref="H178:J178"/>
    <mergeCell ref="H188:J188"/>
    <mergeCell ref="H198:J198"/>
    <mergeCell ref="H208:J208"/>
    <mergeCell ref="H177:K177"/>
    <mergeCell ref="V176:AA176"/>
    <mergeCell ref="X178:Z178"/>
    <mergeCell ref="X188:Z188"/>
    <mergeCell ref="X198:Z198"/>
    <mergeCell ref="X208:Z208"/>
  </mergeCells>
  <dataValidations disablePrompts="1" count="1">
    <dataValidation type="list" allowBlank="1" showInputMessage="1" showErrorMessage="1" sqref="O181:O182" xr:uid="{06C773AF-9E7E-4445-BFBD-9D94EB9A73EB}">
      <formula1>"2x3,2x4"</formula1>
    </dataValidation>
  </dataValidations>
  <hyperlinks>
    <hyperlink ref="I13" r:id="rId1" xr:uid="{C69C8043-B4B3-4215-811F-D35CE408AE5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49"/>
  <sheetViews>
    <sheetView topLeftCell="A31" workbookViewId="0">
      <selection activeCell="G55" sqref="G55"/>
    </sheetView>
  </sheetViews>
  <sheetFormatPr defaultRowHeight="14.4" x14ac:dyDescent="0.3"/>
  <cols>
    <col min="3" max="3" width="11" customWidth="1"/>
    <col min="4" max="4" width="13.109375" customWidth="1"/>
    <col min="7" max="7" width="12" bestFit="1" customWidth="1"/>
    <col min="9" max="9" width="12" bestFit="1" customWidth="1"/>
    <col min="10" max="10" width="11" bestFit="1" customWidth="1"/>
    <col min="11" max="11" width="16.6640625" customWidth="1"/>
    <col min="12" max="12" width="13.33203125" customWidth="1"/>
    <col min="13" max="13" width="9.109375" customWidth="1"/>
    <col min="17" max="17" width="13" customWidth="1"/>
    <col min="20" max="20" width="13.88671875" customWidth="1"/>
  </cols>
  <sheetData>
    <row r="1" spans="1:9" x14ac:dyDescent="0.3">
      <c r="A1" s="2" t="s">
        <v>219</v>
      </c>
      <c r="F1" s="58" t="s">
        <v>16</v>
      </c>
      <c r="G1" s="58" t="s">
        <v>170</v>
      </c>
    </row>
    <row r="2" spans="1:9" x14ac:dyDescent="0.3">
      <c r="A2" t="s">
        <v>167</v>
      </c>
      <c r="F2" s="50">
        <f>IF(AND(Weight!B55="12"" I-Beam TX Perimeter:",Weight!E55=1),Materials!B3,IF(Weight!E55=1,0,Materials!B3))</f>
        <v>3.1757142857142857</v>
      </c>
      <c r="G2" t="s">
        <v>171</v>
      </c>
    </row>
    <row r="3" spans="1:9" x14ac:dyDescent="0.3">
      <c r="A3" t="s">
        <v>168</v>
      </c>
      <c r="F3" s="50">
        <f>Materials!B11</f>
        <v>2.2000000000000002</v>
      </c>
      <c r="G3" t="s">
        <v>171</v>
      </c>
    </row>
    <row r="4" spans="1:9" x14ac:dyDescent="0.3">
      <c r="A4" t="str">
        <f>IF(Weight!H6="PMI",Materials!A147,Materials!A148)</f>
        <v>R-30 Fiberglass:</v>
      </c>
      <c r="F4" s="50">
        <f>INDEX(Materials!B145:B150,MATCH(Assemblies!A4,Materials!A145:A150,0))</f>
        <v>0.33</v>
      </c>
      <c r="G4" t="s">
        <v>171</v>
      </c>
    </row>
    <row r="5" spans="1:9" x14ac:dyDescent="0.3">
      <c r="A5" t="s">
        <v>173</v>
      </c>
      <c r="F5" s="50">
        <f>Materials!B30</f>
        <v>0.41600000000000004</v>
      </c>
      <c r="G5" t="s">
        <v>171</v>
      </c>
    </row>
    <row r="6" spans="1:9" x14ac:dyDescent="0.3">
      <c r="A6" t="s">
        <v>123</v>
      </c>
      <c r="F6" s="50">
        <f>Materials!B21</f>
        <v>1.4</v>
      </c>
      <c r="G6" t="s">
        <v>172</v>
      </c>
    </row>
    <row r="7" spans="1:9" x14ac:dyDescent="0.3">
      <c r="A7" t="s">
        <v>178</v>
      </c>
      <c r="F7" s="50">
        <f>Materials!B181</f>
        <v>0.1</v>
      </c>
      <c r="G7" t="s">
        <v>171</v>
      </c>
    </row>
    <row r="8" spans="1:9" x14ac:dyDescent="0.3">
      <c r="F8" s="50">
        <f>SUM(F2:F7)</f>
        <v>7.6217142857142868</v>
      </c>
      <c r="G8" t="s">
        <v>174</v>
      </c>
    </row>
    <row r="9" spans="1:9" x14ac:dyDescent="0.3">
      <c r="F9" s="50"/>
    </row>
    <row r="10" spans="1:9" x14ac:dyDescent="0.3">
      <c r="A10" s="2" t="s">
        <v>221</v>
      </c>
      <c r="F10" s="50"/>
    </row>
    <row r="11" spans="1:9" x14ac:dyDescent="0.3">
      <c r="A11" t="s">
        <v>175</v>
      </c>
      <c r="F11" s="50">
        <f>IF(Weight!D16="y",0,Materials!B68)</f>
        <v>0</v>
      </c>
      <c r="G11" t="s">
        <v>171</v>
      </c>
    </row>
    <row r="12" spans="1:9" x14ac:dyDescent="0.3">
      <c r="A12" t="s">
        <v>162</v>
      </c>
      <c r="F12" s="50">
        <f>Materials!B33</f>
        <v>2.6832461581709146</v>
      </c>
      <c r="G12" t="s">
        <v>171</v>
      </c>
      <c r="I12" s="50"/>
    </row>
    <row r="13" spans="1:9" x14ac:dyDescent="0.3">
      <c r="A13" t="s">
        <v>163</v>
      </c>
      <c r="F13" s="50">
        <f>Materials!B49</f>
        <v>1.5</v>
      </c>
      <c r="G13" t="s">
        <v>171</v>
      </c>
    </row>
    <row r="14" spans="1:9" x14ac:dyDescent="0.3">
      <c r="A14" t="s">
        <v>164</v>
      </c>
      <c r="F14" s="50">
        <f>Materials!B50</f>
        <v>2.2000000000000002</v>
      </c>
      <c r="G14" t="s">
        <v>171</v>
      </c>
    </row>
    <row r="15" spans="1:9" x14ac:dyDescent="0.3">
      <c r="A15" t="s">
        <v>165</v>
      </c>
      <c r="F15" s="50">
        <f>Materials!B42</f>
        <v>0.28999999999999998</v>
      </c>
      <c r="G15" t="s">
        <v>171</v>
      </c>
    </row>
    <row r="16" spans="1:9" x14ac:dyDescent="0.3">
      <c r="A16" t="s">
        <v>166</v>
      </c>
      <c r="F16" s="50">
        <f>Materials!B78</f>
        <v>0.05</v>
      </c>
      <c r="G16" t="s">
        <v>171</v>
      </c>
    </row>
    <row r="17" spans="1:9" x14ac:dyDescent="0.3">
      <c r="A17" t="str">
        <f>IF(Weight!H6="PMI",Materials!A147,Materials!A150)</f>
        <v>R-38 Fiberglass:</v>
      </c>
      <c r="F17" s="50">
        <f>INDEX(Materials!B145:B150,MATCH(Assemblies!A17,Materials!A145:A150,0))</f>
        <v>0.44</v>
      </c>
      <c r="G17" t="s">
        <v>171</v>
      </c>
    </row>
    <row r="18" spans="1:9" x14ac:dyDescent="0.3">
      <c r="A18" t="s">
        <v>182</v>
      </c>
      <c r="F18" s="50">
        <f>Materials!B77</f>
        <v>1.7</v>
      </c>
      <c r="G18" t="s">
        <v>171</v>
      </c>
    </row>
    <row r="19" spans="1:9" x14ac:dyDescent="0.3">
      <c r="A19" t="s">
        <v>181</v>
      </c>
      <c r="F19" s="50">
        <f>Materials!B181</f>
        <v>0.1</v>
      </c>
      <c r="G19" t="s">
        <v>171</v>
      </c>
    </row>
    <row r="20" spans="1:9" x14ac:dyDescent="0.3">
      <c r="F20" s="50">
        <f>IF(Weight!H6="PMI",SUM(F11:F19),SUM(F11:F13,F15:F19))</f>
        <v>6.7632461581709151</v>
      </c>
      <c r="G20" t="s">
        <v>174</v>
      </c>
      <c r="I20" t="s">
        <v>291</v>
      </c>
    </row>
    <row r="22" spans="1:9" x14ac:dyDescent="0.3">
      <c r="A22" s="2" t="s">
        <v>220</v>
      </c>
      <c r="F22" s="50"/>
    </row>
    <row r="23" spans="1:9" x14ac:dyDescent="0.3">
      <c r="A23" t="s">
        <v>177</v>
      </c>
      <c r="F23" s="50">
        <f>Materials!B83</f>
        <v>2.2717171717171718</v>
      </c>
      <c r="G23" t="s">
        <v>171</v>
      </c>
    </row>
    <row r="24" spans="1:9" x14ac:dyDescent="0.3">
      <c r="A24" t="s">
        <v>176</v>
      </c>
      <c r="F24" s="50">
        <f>Materials!B90</f>
        <v>2</v>
      </c>
      <c r="G24" t="s">
        <v>171</v>
      </c>
    </row>
    <row r="25" spans="1:9" x14ac:dyDescent="0.3">
      <c r="A25" t="s">
        <v>169</v>
      </c>
      <c r="F25" s="50">
        <f>Materials!B147</f>
        <v>0.22</v>
      </c>
      <c r="G25" t="s">
        <v>171</v>
      </c>
    </row>
    <row r="26" spans="1:9" x14ac:dyDescent="0.3">
      <c r="A26" t="s">
        <v>183</v>
      </c>
      <c r="F26" s="50">
        <f>Materials!B107</f>
        <v>1.7</v>
      </c>
      <c r="G26" t="s">
        <v>171</v>
      </c>
    </row>
    <row r="27" spans="1:9" x14ac:dyDescent="0.3">
      <c r="A27" t="s">
        <v>205</v>
      </c>
      <c r="F27" s="50">
        <f>Materials!B114</f>
        <v>0.01</v>
      </c>
      <c r="G27" t="s">
        <v>171</v>
      </c>
    </row>
    <row r="28" spans="1:9" x14ac:dyDescent="0.3">
      <c r="A28" t="s">
        <v>198</v>
      </c>
      <c r="F28" s="50">
        <f>Materials!B182</f>
        <v>0.1</v>
      </c>
      <c r="G28" t="s">
        <v>171</v>
      </c>
    </row>
    <row r="29" spans="1:9" x14ac:dyDescent="0.3">
      <c r="A29" t="s">
        <v>181</v>
      </c>
      <c r="F29" s="50">
        <f>Materials!B181</f>
        <v>0.1</v>
      </c>
      <c r="G29" t="s">
        <v>171</v>
      </c>
    </row>
    <row r="30" spans="1:9" x14ac:dyDescent="0.3">
      <c r="F30" s="50">
        <f>SUM(F23:F29)</f>
        <v>6.4017171717171708</v>
      </c>
      <c r="G30" t="s">
        <v>174</v>
      </c>
    </row>
    <row r="32" spans="1:9" x14ac:dyDescent="0.3">
      <c r="A32" s="2" t="s">
        <v>179</v>
      </c>
      <c r="F32" s="50"/>
    </row>
    <row r="33" spans="1:18" x14ac:dyDescent="0.3">
      <c r="A33" t="s">
        <v>180</v>
      </c>
      <c r="F33" s="50">
        <f>Materials!B117</f>
        <v>1.4452848484848484</v>
      </c>
      <c r="G33" t="s">
        <v>171</v>
      </c>
    </row>
    <row r="34" spans="1:18" x14ac:dyDescent="0.3">
      <c r="A34" t="s">
        <v>204</v>
      </c>
      <c r="F34" s="50">
        <f>Materials!B121</f>
        <v>4</v>
      </c>
      <c r="G34" t="s">
        <v>171</v>
      </c>
    </row>
    <row r="35" spans="1:18" x14ac:dyDescent="0.3">
      <c r="A35" t="s">
        <v>181</v>
      </c>
      <c r="F35" s="50">
        <f>Materials!B181</f>
        <v>0.1</v>
      </c>
      <c r="G35" t="s">
        <v>171</v>
      </c>
    </row>
    <row r="36" spans="1:18" x14ac:dyDescent="0.3">
      <c r="F36" s="50">
        <f>SUM(F33:F35)</f>
        <v>5.5452848484848483</v>
      </c>
      <c r="G36" t="s">
        <v>174</v>
      </c>
    </row>
    <row r="38" spans="1:18" x14ac:dyDescent="0.3">
      <c r="A38" s="2" t="s">
        <v>358</v>
      </c>
    </row>
    <row r="39" spans="1:18" x14ac:dyDescent="0.3">
      <c r="D39" s="6" t="s">
        <v>355</v>
      </c>
      <c r="E39" s="84">
        <v>30</v>
      </c>
      <c r="K39" s="152" t="s">
        <v>368</v>
      </c>
      <c r="L39" s="152"/>
      <c r="P39" s="67" t="s">
        <v>30</v>
      </c>
      <c r="Q39" s="67" t="s">
        <v>378</v>
      </c>
    </row>
    <row r="40" spans="1:18" x14ac:dyDescent="0.3">
      <c r="D40" s="64" t="s">
        <v>356</v>
      </c>
      <c r="E40">
        <f>SUM(E39-(F46/2)*(E42))</f>
        <v>23.115000000000002</v>
      </c>
      <c r="K40" s="87" t="s">
        <v>367</v>
      </c>
      <c r="L40" s="70" t="s">
        <v>30</v>
      </c>
      <c r="O40" s="64" t="s">
        <v>376</v>
      </c>
      <c r="P40" s="68">
        <v>6.87</v>
      </c>
      <c r="Q40" s="68">
        <f>SUM(P40*12)*2+50</f>
        <v>214.88</v>
      </c>
      <c r="R40" t="s">
        <v>380</v>
      </c>
    </row>
    <row r="41" spans="1:18" x14ac:dyDescent="0.3">
      <c r="D41" s="64" t="s">
        <v>354</v>
      </c>
      <c r="E41" s="84">
        <f>Weight!D9</f>
        <v>56</v>
      </c>
      <c r="K41" s="88" t="s">
        <v>335</v>
      </c>
      <c r="L41" s="70">
        <v>8.19</v>
      </c>
      <c r="O41" s="64" t="s">
        <v>379</v>
      </c>
      <c r="P41" s="68">
        <v>10.51</v>
      </c>
      <c r="Q41" s="68">
        <f>SUM(P41*12)*2+50</f>
        <v>302.24</v>
      </c>
      <c r="R41" t="s">
        <v>380</v>
      </c>
    </row>
    <row r="42" spans="1:18" x14ac:dyDescent="0.3">
      <c r="D42" s="64" t="s">
        <v>350</v>
      </c>
      <c r="E42" s="84">
        <v>0.25</v>
      </c>
      <c r="K42" s="88" t="s">
        <v>336</v>
      </c>
      <c r="L42" s="70">
        <v>9.74</v>
      </c>
      <c r="O42" s="64" t="s">
        <v>377</v>
      </c>
      <c r="P42" s="68">
        <v>4.9000000000000004</v>
      </c>
      <c r="Q42" s="68">
        <f>SUM(P42*12)*2</f>
        <v>117.60000000000001</v>
      </c>
    </row>
    <row r="43" spans="1:18" x14ac:dyDescent="0.3">
      <c r="D43" s="64" t="s">
        <v>357</v>
      </c>
      <c r="E43">
        <f>SUM((E39/12)*E41)-(E39*E42)*2</f>
        <v>125</v>
      </c>
      <c r="K43" s="88" t="s">
        <v>337</v>
      </c>
      <c r="L43" s="70">
        <v>11.3</v>
      </c>
      <c r="O43" s="64" t="s">
        <v>381</v>
      </c>
      <c r="P43" s="68">
        <v>7.1</v>
      </c>
      <c r="Q43" s="68">
        <f>SUM(P43*12)*2</f>
        <v>170.39999999999998</v>
      </c>
    </row>
    <row r="44" spans="1:18" x14ac:dyDescent="0.3">
      <c r="D44" s="67" t="s">
        <v>334</v>
      </c>
      <c r="E44" s="67" t="s">
        <v>349</v>
      </c>
      <c r="F44" s="67" t="s">
        <v>351</v>
      </c>
      <c r="G44" s="67" t="s">
        <v>352</v>
      </c>
      <c r="K44" s="88" t="s">
        <v>338</v>
      </c>
      <c r="L44" s="70">
        <v>12.8</v>
      </c>
    </row>
    <row r="45" spans="1:18" x14ac:dyDescent="0.3">
      <c r="C45" s="64" t="s">
        <v>329</v>
      </c>
      <c r="D45" s="86" t="s">
        <v>336</v>
      </c>
      <c r="E45" s="68">
        <f>INDEX(L41:L44,MATCH(D45,K41:K44,0))</f>
        <v>9.74</v>
      </c>
      <c r="F45" s="68">
        <f>E41</f>
        <v>56</v>
      </c>
      <c r="G45" s="91">
        <f>SUM(E45*F45)</f>
        <v>545.44000000000005</v>
      </c>
      <c r="K45" s="88" t="s">
        <v>359</v>
      </c>
      <c r="L45" s="70">
        <v>5.79</v>
      </c>
    </row>
    <row r="46" spans="1:18" x14ac:dyDescent="0.3">
      <c r="C46" s="64" t="s">
        <v>330</v>
      </c>
      <c r="D46" s="86" t="s">
        <v>336</v>
      </c>
      <c r="E46" s="68">
        <f>INDEX(L41:L44,MATCH(D46,K41:K44,0))</f>
        <v>9.74</v>
      </c>
      <c r="F46" s="68">
        <f>E41-(0.46*2)</f>
        <v>55.08</v>
      </c>
      <c r="G46" s="91">
        <f>SUM(E46*F46)</f>
        <v>536.47919999999999</v>
      </c>
      <c r="K46" s="88" t="s">
        <v>360</v>
      </c>
      <c r="L46" s="70">
        <v>7.16</v>
      </c>
    </row>
    <row r="47" spans="1:18" x14ac:dyDescent="0.3">
      <c r="C47" s="64" t="s">
        <v>331</v>
      </c>
      <c r="D47" s="86" t="s">
        <v>340</v>
      </c>
      <c r="E47" s="68">
        <f>INDEX(L45:L61,MATCH(D47,K45:K61,0))</f>
        <v>4.8899999999999997</v>
      </c>
      <c r="F47" s="68">
        <f>SUM(E40-(0.5*2))/12</f>
        <v>1.8429166666666668</v>
      </c>
      <c r="G47" s="91">
        <f>SUM(E47*F47)*2</f>
        <v>18.023724999999999</v>
      </c>
      <c r="K47" s="88" t="s">
        <v>361</v>
      </c>
      <c r="L47" s="70">
        <v>8.51</v>
      </c>
    </row>
    <row r="48" spans="1:18" x14ac:dyDescent="0.3">
      <c r="C48" s="64" t="s">
        <v>332</v>
      </c>
      <c r="D48" s="86" t="s">
        <v>345</v>
      </c>
      <c r="E48" s="68">
        <f>INDEX(L45:L61,MATCH(D48,K45:K61,0))</f>
        <v>2.46</v>
      </c>
      <c r="F48" s="68">
        <f>SUM(E40-(0.04*2))/12</f>
        <v>1.9195833333333336</v>
      </c>
      <c r="G48" s="91">
        <f>SUM(E48*F48*((E41/2)/3))</f>
        <v>44.073633333333348</v>
      </c>
      <c r="K48" s="88" t="s">
        <v>362</v>
      </c>
      <c r="L48" s="70">
        <v>9.82</v>
      </c>
    </row>
    <row r="49" spans="1:12" x14ac:dyDescent="0.3">
      <c r="C49" s="64" t="s">
        <v>333</v>
      </c>
      <c r="D49" s="86" t="s">
        <v>345</v>
      </c>
      <c r="E49" s="68">
        <f>INDEX(L45:L61,MATCH(D49,K45:K61,0))</f>
        <v>2.46</v>
      </c>
      <c r="F49" s="68">
        <f>(E40^2+36^2)^0.455/12</f>
        <v>2.5425338253636549</v>
      </c>
      <c r="G49" s="91">
        <f>SUM(E49*F49)*2</f>
        <v>12.509266420789181</v>
      </c>
      <c r="K49" s="88" t="s">
        <v>363</v>
      </c>
      <c r="L49" s="70">
        <v>11.1</v>
      </c>
    </row>
    <row r="50" spans="1:12" x14ac:dyDescent="0.3">
      <c r="C50" s="64" t="s">
        <v>328</v>
      </c>
      <c r="D50" s="86" t="s">
        <v>345</v>
      </c>
      <c r="E50" s="68">
        <f>INDEX(L45:L61,MATCH(D50,K45:K61,0))</f>
        <v>2.46</v>
      </c>
      <c r="F50" s="68">
        <f>(E40^2+36^2)^0.5/12</f>
        <v>3.5651702711792042</v>
      </c>
      <c r="G50" s="91">
        <f>SUM(E50*F50*((E41/2)/3))</f>
        <v>81.856309426274535</v>
      </c>
      <c r="K50" s="88" t="s">
        <v>339</v>
      </c>
      <c r="L50" s="70">
        <v>3.7</v>
      </c>
    </row>
    <row r="51" spans="1:12" x14ac:dyDescent="0.3">
      <c r="C51" s="153" t="s">
        <v>376</v>
      </c>
      <c r="D51" s="153"/>
      <c r="E51" s="68" t="s">
        <v>321</v>
      </c>
      <c r="F51" s="68" t="s">
        <v>321</v>
      </c>
      <c r="G51" s="91">
        <f>INDEX(Q40:Q43,MATCH(C51,O40:O43,0))</f>
        <v>214.88</v>
      </c>
      <c r="K51" s="88" t="s">
        <v>340</v>
      </c>
      <c r="L51" s="70">
        <v>4.8899999999999997</v>
      </c>
    </row>
    <row r="52" spans="1:12" x14ac:dyDescent="0.3">
      <c r="D52" s="64" t="s">
        <v>196</v>
      </c>
      <c r="E52" s="68">
        <f>IF(Weight!H6="pmi",0.99416,IF(Weight!H6="southeast",0,1.3758))</f>
        <v>1.3757999999999999</v>
      </c>
      <c r="F52" s="68">
        <f>E41</f>
        <v>56</v>
      </c>
      <c r="G52" s="91">
        <f>SUM(E52*F52)</f>
        <v>77.044799999999995</v>
      </c>
      <c r="K52" s="88" t="s">
        <v>341</v>
      </c>
      <c r="L52" s="70">
        <v>6.04</v>
      </c>
    </row>
    <row r="53" spans="1:12" x14ac:dyDescent="0.3">
      <c r="D53" s="64" t="s">
        <v>197</v>
      </c>
      <c r="E53" s="68" t="s">
        <v>321</v>
      </c>
      <c r="F53" s="68" t="s">
        <v>321</v>
      </c>
      <c r="G53" s="91">
        <v>250</v>
      </c>
      <c r="K53" s="88" t="s">
        <v>342</v>
      </c>
      <c r="L53" s="70">
        <v>7.17</v>
      </c>
    </row>
    <row r="54" spans="1:12" x14ac:dyDescent="0.3">
      <c r="E54" s="50"/>
      <c r="F54" s="50"/>
      <c r="G54" s="92">
        <f>SUM(G45:G53)</f>
        <v>1780.3069341803969</v>
      </c>
      <c r="H54" t="s">
        <v>353</v>
      </c>
      <c r="K54" s="88" t="s">
        <v>343</v>
      </c>
      <c r="L54" s="70">
        <v>8.2799999999999994</v>
      </c>
    </row>
    <row r="55" spans="1:12" x14ac:dyDescent="0.3">
      <c r="D55" s="50"/>
      <c r="E55" s="50"/>
      <c r="F55" s="50"/>
      <c r="G55" s="92">
        <f>SUM(G54/(Weight!D8*Weight!D9))</f>
        <v>2.6492662711017809</v>
      </c>
      <c r="H55" t="s">
        <v>375</v>
      </c>
      <c r="K55" s="88" t="s">
        <v>344</v>
      </c>
      <c r="L55" s="70">
        <v>9.35</v>
      </c>
    </row>
    <row r="56" spans="1:12" x14ac:dyDescent="0.3">
      <c r="D56" s="50"/>
      <c r="K56" s="88" t="s">
        <v>345</v>
      </c>
      <c r="L56" s="70">
        <v>2.46</v>
      </c>
    </row>
    <row r="57" spans="1:12" x14ac:dyDescent="0.3">
      <c r="A57" s="2" t="s">
        <v>366</v>
      </c>
      <c r="K57" s="88" t="s">
        <v>346</v>
      </c>
      <c r="L57" s="70">
        <v>3.21</v>
      </c>
    </row>
    <row r="58" spans="1:12" x14ac:dyDescent="0.3">
      <c r="D58" s="6" t="s">
        <v>355</v>
      </c>
      <c r="E58" s="84">
        <f>IF(AND(E60&gt;60,E60&lt;=66),28,IF(E60&gt;66,32,24))</f>
        <v>24</v>
      </c>
      <c r="K58" s="88" t="s">
        <v>347</v>
      </c>
      <c r="L58" s="70">
        <v>3.94</v>
      </c>
    </row>
    <row r="59" spans="1:12" x14ac:dyDescent="0.3">
      <c r="D59" s="64" t="s">
        <v>356</v>
      </c>
      <c r="E59">
        <f>SUM(E58-(F65/2)*(E61))</f>
        <v>17.0625</v>
      </c>
      <c r="K59" s="88" t="s">
        <v>348</v>
      </c>
      <c r="L59" s="70">
        <v>4.6500000000000004</v>
      </c>
    </row>
    <row r="60" spans="1:12" x14ac:dyDescent="0.3">
      <c r="D60" s="64" t="s">
        <v>354</v>
      </c>
      <c r="E60" s="84">
        <f>Weight!D9</f>
        <v>56</v>
      </c>
      <c r="K60" s="88" t="s">
        <v>364</v>
      </c>
      <c r="L60" s="70">
        <v>1.1599999999999999</v>
      </c>
    </row>
    <row r="61" spans="1:12" x14ac:dyDescent="0.3">
      <c r="D61" s="64" t="s">
        <v>350</v>
      </c>
      <c r="E61" s="84">
        <v>0.25</v>
      </c>
      <c r="K61" s="88" t="s">
        <v>365</v>
      </c>
      <c r="L61" s="70">
        <v>0.81</v>
      </c>
    </row>
    <row r="62" spans="1:12" x14ac:dyDescent="0.3">
      <c r="D62" s="64" t="s">
        <v>357</v>
      </c>
      <c r="E62">
        <f>SUM((E58/12)*E60)-(E58*E61)*2</f>
        <v>100</v>
      </c>
      <c r="K62" s="89" t="s">
        <v>382</v>
      </c>
    </row>
    <row r="63" spans="1:12" x14ac:dyDescent="0.3">
      <c r="D63" s="67" t="s">
        <v>334</v>
      </c>
      <c r="E63" s="67" t="s">
        <v>349</v>
      </c>
      <c r="F63" s="67" t="s">
        <v>351</v>
      </c>
      <c r="G63" s="67" t="s">
        <v>352</v>
      </c>
      <c r="K63" s="83" t="s">
        <v>327</v>
      </c>
    </row>
    <row r="64" spans="1:12" x14ac:dyDescent="0.3">
      <c r="C64" s="64" t="s">
        <v>329</v>
      </c>
      <c r="D64" s="86" t="s">
        <v>340</v>
      </c>
      <c r="E64" s="68">
        <f>INDEX(L45:L61,MATCH(D64,K45:K61,0))</f>
        <v>4.8899999999999997</v>
      </c>
      <c r="F64" s="68">
        <f>E60</f>
        <v>56</v>
      </c>
      <c r="G64" s="91">
        <f>SUM(E64*F64)</f>
        <v>273.83999999999997</v>
      </c>
    </row>
    <row r="65" spans="1:12" x14ac:dyDescent="0.3">
      <c r="C65" s="64" t="s">
        <v>330</v>
      </c>
      <c r="D65" s="86" t="s">
        <v>340</v>
      </c>
      <c r="E65" s="68">
        <f>INDEX(L45:L61,MATCH(D65,K45:K61,0))</f>
        <v>4.8899999999999997</v>
      </c>
      <c r="F65" s="68">
        <f>E60-(0.25*2)</f>
        <v>55.5</v>
      </c>
      <c r="G65" s="91">
        <f>SUM(E65*F65)</f>
        <v>271.39499999999998</v>
      </c>
    </row>
    <row r="66" spans="1:12" x14ac:dyDescent="0.3">
      <c r="C66" s="64" t="s">
        <v>331</v>
      </c>
      <c r="D66" s="86" t="s">
        <v>364</v>
      </c>
      <c r="E66" s="68">
        <f>INDEX(L45:L61,MATCH(D66,K45:K61,0))</f>
        <v>1.1599999999999999</v>
      </c>
      <c r="F66" s="68">
        <f>SUM(E59-(0.5*2))/12</f>
        <v>1.3385416666666667</v>
      </c>
      <c r="G66" s="91">
        <f>SUM(E66*F66)*2</f>
        <v>3.1054166666666667</v>
      </c>
    </row>
    <row r="67" spans="1:12" x14ac:dyDescent="0.3">
      <c r="C67" s="64" t="s">
        <v>332</v>
      </c>
      <c r="D67" s="86" t="s">
        <v>345</v>
      </c>
      <c r="E67" s="68">
        <f>INDEX(L45:L61,MATCH(D67,K45:K61,0))</f>
        <v>2.46</v>
      </c>
      <c r="F67" s="68">
        <f>SUM(E59-(0.04*2))/12</f>
        <v>1.4152083333333334</v>
      </c>
      <c r="G67" s="91">
        <f>SUM(E67*F67*((E60/2)/3))</f>
        <v>32.493183333333334</v>
      </c>
    </row>
    <row r="68" spans="1:12" x14ac:dyDescent="0.3">
      <c r="C68" s="64" t="s">
        <v>333</v>
      </c>
      <c r="D68" s="86" t="s">
        <v>364</v>
      </c>
      <c r="E68" s="68">
        <f>INDEX(L45:L61,MATCH(D68,K45:K61,0))</f>
        <v>1.1599999999999999</v>
      </c>
      <c r="F68" s="68">
        <f>(E59^2+36^2)^0.455/12</f>
        <v>2.3828532985346467</v>
      </c>
      <c r="G68" s="91">
        <f>SUM(E68*F68)*2</f>
        <v>5.52821965260038</v>
      </c>
    </row>
    <row r="69" spans="1:12" x14ac:dyDescent="0.3">
      <c r="C69" s="64" t="s">
        <v>328</v>
      </c>
      <c r="D69" s="86" t="s">
        <v>364</v>
      </c>
      <c r="E69" s="68">
        <f>INDEX(L45:L61,MATCH(D69,K45:K61,0))</f>
        <v>1.1599999999999999</v>
      </c>
      <c r="F69" s="68">
        <f>(E59^2+36^2)^0.5/12</f>
        <v>3.3198988712948769</v>
      </c>
      <c r="G69" s="91">
        <f>SUM(E69*F69*((E60/2)/3))</f>
        <v>35.943438446552534</v>
      </c>
    </row>
    <row r="70" spans="1:12" x14ac:dyDescent="0.3">
      <c r="C70" s="153" t="s">
        <v>376</v>
      </c>
      <c r="D70" s="153"/>
      <c r="E70" s="68" t="s">
        <v>321</v>
      </c>
      <c r="F70" s="68" t="s">
        <v>321</v>
      </c>
      <c r="G70" s="91">
        <f>INDEX(Q40:Q43,MATCH(C70,O40:O43,0))</f>
        <v>214.88</v>
      </c>
    </row>
    <row r="71" spans="1:12" x14ac:dyDescent="0.3">
      <c r="D71" s="64" t="s">
        <v>197</v>
      </c>
      <c r="E71" s="68" t="s">
        <v>321</v>
      </c>
      <c r="F71" s="68" t="s">
        <v>321</v>
      </c>
      <c r="G71" s="91">
        <v>250</v>
      </c>
    </row>
    <row r="72" spans="1:12" x14ac:dyDescent="0.3">
      <c r="E72" s="50"/>
      <c r="F72" s="50"/>
      <c r="G72" s="92">
        <f>SUM(G64:G71)</f>
        <v>1087.1852580991526</v>
      </c>
      <c r="H72" t="s">
        <v>353</v>
      </c>
    </row>
    <row r="73" spans="1:12" x14ac:dyDescent="0.3">
      <c r="E73" s="50"/>
      <c r="F73" s="50"/>
      <c r="G73" s="92">
        <f>SUM(G72/(Weight!D8*Weight!D9))</f>
        <v>1.6178352055046914</v>
      </c>
      <c r="H73" t="s">
        <v>374</v>
      </c>
    </row>
    <row r="74" spans="1:12" x14ac:dyDescent="0.3">
      <c r="D74" s="50"/>
    </row>
    <row r="75" spans="1:12" x14ac:dyDescent="0.3">
      <c r="D75" s="50"/>
    </row>
    <row r="76" spans="1:12" x14ac:dyDescent="0.3">
      <c r="A76" s="2" t="s">
        <v>387</v>
      </c>
      <c r="D76" s="50"/>
      <c r="H76" s="151" t="s">
        <v>397</v>
      </c>
      <c r="I76" s="151"/>
      <c r="J76" s="151"/>
      <c r="K76" s="70" t="s">
        <v>393</v>
      </c>
      <c r="L76" s="70" t="s">
        <v>276</v>
      </c>
    </row>
    <row r="77" spans="1:12" x14ac:dyDescent="0.3">
      <c r="D77" s="6" t="s">
        <v>388</v>
      </c>
      <c r="E77" s="84">
        <f>IF(AND(E79&gt;60,E79&lt;=66),36,IF(E79&gt;66,48,30))</f>
        <v>30</v>
      </c>
      <c r="H77" s="151" t="s">
        <v>392</v>
      </c>
      <c r="I77" s="151"/>
      <c r="J77" s="151"/>
      <c r="K77" s="70">
        <v>45</v>
      </c>
      <c r="L77" s="90">
        <f>SUM(K77/32)</f>
        <v>1.40625</v>
      </c>
    </row>
    <row r="78" spans="1:12" x14ac:dyDescent="0.3">
      <c r="A78" s="2"/>
      <c r="D78" s="64" t="s">
        <v>390</v>
      </c>
      <c r="E78">
        <f>SUM(E77-(E79/2)*(E80))</f>
        <v>23</v>
      </c>
      <c r="H78" s="151" t="s">
        <v>391</v>
      </c>
      <c r="I78" s="151"/>
      <c r="J78" s="151"/>
      <c r="K78" s="70">
        <v>60</v>
      </c>
      <c r="L78" s="90">
        <f>SUM(K78/32)</f>
        <v>1.875</v>
      </c>
    </row>
    <row r="79" spans="1:12" x14ac:dyDescent="0.3">
      <c r="D79" s="64" t="s">
        <v>389</v>
      </c>
      <c r="E79" s="84">
        <f>Weight!D9</f>
        <v>56</v>
      </c>
    </row>
    <row r="80" spans="1:12" x14ac:dyDescent="0.3">
      <c r="D80" s="64" t="s">
        <v>350</v>
      </c>
      <c r="E80" s="84">
        <v>0.25</v>
      </c>
    </row>
    <row r="81" spans="1:8" x14ac:dyDescent="0.3">
      <c r="D81" s="64" t="s">
        <v>395</v>
      </c>
      <c r="E81" s="84">
        <v>4</v>
      </c>
    </row>
    <row r="82" spans="1:8" x14ac:dyDescent="0.3">
      <c r="D82" s="64" t="s">
        <v>398</v>
      </c>
      <c r="E82">
        <f>SUM((E77/12)*E79)-(E77*E80)*2</f>
        <v>125</v>
      </c>
    </row>
    <row r="83" spans="1:8" x14ac:dyDescent="0.3">
      <c r="D83" s="67" t="s">
        <v>399</v>
      </c>
      <c r="E83" s="67" t="s">
        <v>349</v>
      </c>
      <c r="F83" s="67" t="s">
        <v>351</v>
      </c>
      <c r="G83" s="67" t="s">
        <v>352</v>
      </c>
    </row>
    <row r="84" spans="1:8" x14ac:dyDescent="0.3">
      <c r="C84" s="64"/>
      <c r="D84" s="64" t="s">
        <v>392</v>
      </c>
      <c r="E84" s="68">
        <f>SUM(L77*E77)/12</f>
        <v>3.515625</v>
      </c>
      <c r="F84" s="68">
        <f>E79</f>
        <v>56</v>
      </c>
      <c r="G84" s="91">
        <f>SUM(E84*F84*E81)</f>
        <v>787.5</v>
      </c>
    </row>
    <row r="85" spans="1:8" x14ac:dyDescent="0.3">
      <c r="C85" s="64"/>
      <c r="D85" s="64" t="s">
        <v>391</v>
      </c>
      <c r="E85" s="68">
        <f>SUM(L78*E77)/12</f>
        <v>4.6875</v>
      </c>
      <c r="F85" s="68">
        <f>E79</f>
        <v>56</v>
      </c>
      <c r="G85" s="91">
        <f>SUM(E85*F85*E81)</f>
        <v>1050</v>
      </c>
    </row>
    <row r="86" spans="1:8" x14ac:dyDescent="0.3">
      <c r="C86" s="64"/>
      <c r="D86" s="64" t="s">
        <v>394</v>
      </c>
      <c r="E86" s="68" t="s">
        <v>321</v>
      </c>
      <c r="F86" s="68" t="s">
        <v>321</v>
      </c>
      <c r="G86" s="91">
        <f>SUM(1.5*E79)</f>
        <v>84</v>
      </c>
    </row>
    <row r="87" spans="1:8" x14ac:dyDescent="0.3">
      <c r="C87" s="64"/>
      <c r="E87" s="50"/>
      <c r="F87" s="50"/>
      <c r="G87" s="92">
        <f>IF(Weight!H6="pmi",SUM(G84+G86),SUM(G85+G86))</f>
        <v>1134</v>
      </c>
      <c r="H87" t="s">
        <v>353</v>
      </c>
    </row>
    <row r="88" spans="1:8" x14ac:dyDescent="0.3">
      <c r="C88" s="64"/>
      <c r="E88" s="50"/>
      <c r="F88" s="50"/>
      <c r="G88" s="92">
        <f>SUM(G87/(Weight!D8*Weight!D9))</f>
        <v>1.6875</v>
      </c>
      <c r="H88" t="s">
        <v>374</v>
      </c>
    </row>
    <row r="89" spans="1:8" x14ac:dyDescent="0.3">
      <c r="C89" s="64"/>
      <c r="D89" s="67"/>
      <c r="E89" s="67"/>
      <c r="F89" s="68"/>
      <c r="G89" s="68"/>
    </row>
    <row r="90" spans="1:8" x14ac:dyDescent="0.3">
      <c r="C90" s="64"/>
      <c r="D90" s="64"/>
      <c r="E90" s="67"/>
      <c r="F90" s="67"/>
      <c r="G90" s="67"/>
    </row>
    <row r="94" spans="1:8" x14ac:dyDescent="0.3">
      <c r="A94" s="2"/>
      <c r="D94" s="50"/>
    </row>
    <row r="95" spans="1:8" x14ac:dyDescent="0.3">
      <c r="D95" s="50"/>
    </row>
    <row r="96" spans="1:8" x14ac:dyDescent="0.3">
      <c r="D96" s="50"/>
    </row>
    <row r="97" spans="1:4" x14ac:dyDescent="0.3">
      <c r="D97" s="50"/>
    </row>
    <row r="98" spans="1:4" x14ac:dyDescent="0.3">
      <c r="D98" s="50"/>
    </row>
    <row r="99" spans="1:4" x14ac:dyDescent="0.3">
      <c r="D99" s="50"/>
    </row>
    <row r="100" spans="1:4" x14ac:dyDescent="0.3">
      <c r="D100" s="50"/>
    </row>
    <row r="101" spans="1:4" x14ac:dyDescent="0.3">
      <c r="D101" s="50"/>
    </row>
    <row r="102" spans="1:4" x14ac:dyDescent="0.3">
      <c r="D102" s="50"/>
    </row>
    <row r="103" spans="1:4" x14ac:dyDescent="0.3">
      <c r="D103" s="50"/>
    </row>
    <row r="104" spans="1:4" x14ac:dyDescent="0.3">
      <c r="D104" s="50"/>
    </row>
    <row r="105" spans="1:4" x14ac:dyDescent="0.3">
      <c r="D105" s="50"/>
    </row>
    <row r="106" spans="1:4" x14ac:dyDescent="0.3">
      <c r="D106" s="50"/>
    </row>
    <row r="107" spans="1:4" x14ac:dyDescent="0.3">
      <c r="A107" s="2"/>
      <c r="D107" s="50"/>
    </row>
    <row r="108" spans="1:4" x14ac:dyDescent="0.3">
      <c r="D108" s="50"/>
    </row>
    <row r="109" spans="1:4" x14ac:dyDescent="0.3">
      <c r="D109" s="50"/>
    </row>
    <row r="110" spans="1:4" x14ac:dyDescent="0.3">
      <c r="D110" s="50"/>
    </row>
    <row r="111" spans="1:4" x14ac:dyDescent="0.3">
      <c r="D111" s="50"/>
    </row>
    <row r="112" spans="1:4" x14ac:dyDescent="0.3">
      <c r="D112" s="50"/>
    </row>
    <row r="113" spans="1:4" x14ac:dyDescent="0.3">
      <c r="D113" s="50"/>
    </row>
    <row r="114" spans="1:4" x14ac:dyDescent="0.3">
      <c r="D114" s="50"/>
    </row>
    <row r="115" spans="1:4" x14ac:dyDescent="0.3">
      <c r="D115" s="50"/>
    </row>
    <row r="119" spans="1:4" x14ac:dyDescent="0.3">
      <c r="A119" s="2"/>
    </row>
    <row r="128" spans="1:4" x14ac:dyDescent="0.3">
      <c r="A128" s="2"/>
    </row>
    <row r="129" spans="3:3" x14ac:dyDescent="0.3">
      <c r="C129" s="50"/>
    </row>
    <row r="130" spans="3:3" x14ac:dyDescent="0.3">
      <c r="C130" s="50"/>
    </row>
    <row r="145" spans="1:4" x14ac:dyDescent="0.3">
      <c r="A145" s="2"/>
    </row>
    <row r="146" spans="1:4" x14ac:dyDescent="0.3">
      <c r="D146" s="50"/>
    </row>
    <row r="147" spans="1:4" x14ac:dyDescent="0.3">
      <c r="D147" s="50"/>
    </row>
    <row r="148" spans="1:4" x14ac:dyDescent="0.3">
      <c r="D148" s="50"/>
    </row>
    <row r="149" spans="1:4" x14ac:dyDescent="0.3">
      <c r="D149" s="50"/>
    </row>
  </sheetData>
  <mergeCells count="6">
    <mergeCell ref="H76:J76"/>
    <mergeCell ref="H77:J77"/>
    <mergeCell ref="H78:J78"/>
    <mergeCell ref="K39:L39"/>
    <mergeCell ref="C51:D51"/>
    <mergeCell ref="C70:D70"/>
  </mergeCells>
  <dataValidations count="3">
    <dataValidation type="list" allowBlank="1" showInputMessage="1" showErrorMessage="1" sqref="D45:D46" xr:uid="{15C5F698-505E-4AE0-88EE-3A0C682D7E4C}">
      <formula1>$K$41:$K$44</formula1>
    </dataValidation>
    <dataValidation type="list" allowBlank="1" showInputMessage="1" showErrorMessage="1" sqref="D47:D50 D64:D69 D87:D89" xr:uid="{600F63ED-7BD2-4BC8-BE28-B75F7679D988}">
      <formula1>$K$45:$K$61</formula1>
    </dataValidation>
    <dataValidation type="list" allowBlank="1" showInputMessage="1" showErrorMessage="1" sqref="C51:D51 C70:D70 C90:D90" xr:uid="{07772A9B-A795-4387-A441-275DCFFCBBFE}">
      <formula1>$O$40:$O$43</formula1>
    </dataValidation>
  </dataValidations>
  <hyperlinks>
    <hyperlink ref="K63" r:id="rId1" xr:uid="{482A4D86-7F13-4A84-B6CD-B9FA17F34AAE}"/>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Axles (Hitch on Left)</vt:lpstr>
      <vt:lpstr>Axles (Hitch on Right)</vt:lpstr>
      <vt:lpstr>Weight</vt:lpstr>
      <vt:lpstr>Materials</vt:lpstr>
      <vt:lpstr>Assemblies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Nieman</dc:creator>
  <cp:lastModifiedBy>Mitch Quintana</cp:lastModifiedBy>
  <cp:lastPrinted>2023-05-29T22:26:05Z</cp:lastPrinted>
  <dcterms:created xsi:type="dcterms:W3CDTF">2017-02-22T16:34:24Z</dcterms:created>
  <dcterms:modified xsi:type="dcterms:W3CDTF">2025-12-09T18:06:29Z</dcterms:modified>
</cp:coreProperties>
</file>
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ke.Schneider_Local\Desktop\Calculations V2.0\"/>
    </mc:Choice>
  </mc:AlternateContent>
  <xr:revisionPtr revIDLastSave="0" documentId="13_ncr:1_{E711BFC4-C231-4C0D-A275-A59EA805D9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&amp;C 7-22" sheetId="21" r:id="rId1"/>
    <sheet name="C&amp;C 7-16 Simplified" sheetId="1" r:id="rId2"/>
    <sheet name="C&amp;C 7-10 Simplified" sheetId="13" r:id="rId3"/>
    <sheet name="C&amp;C 7-05 Simplified" sheetId="9" r:id="rId4"/>
    <sheet name="C&amp;C 7-16 Analytical" sheetId="5" r:id="rId5"/>
    <sheet name="C&amp;C 7-10 Analytical" sheetId="7" r:id="rId6"/>
    <sheet name="C&amp;C 7-05 Analytical" sheetId="8" r:id="rId7"/>
    <sheet name="7-16 Positive" sheetId="2" state="hidden" r:id="rId8"/>
    <sheet name="7-16 Negative" sheetId="3" state="hidden" r:id="rId9"/>
    <sheet name="7-16 Negative Overhang" sheetId="4" state="hidden" r:id="rId10"/>
    <sheet name="7-10 Positive" sheetId="14" state="hidden" r:id="rId11"/>
    <sheet name="7-10 Negative" sheetId="15" state="hidden" r:id="rId12"/>
    <sheet name="7-10 Negative Overhang" sheetId="19" state="hidden" r:id="rId13"/>
    <sheet name="7-05 Positive" sheetId="10" state="hidden" r:id="rId14"/>
    <sheet name="7-05 Negative" sheetId="11" state="hidden" r:id="rId15"/>
    <sheet name="7-05 Negative Overhang" sheetId="12" state="hidden" r:id="rId16"/>
  </sheets>
  <definedNames>
    <definedName name="_xlnm.Print_Area" localSheetId="6">'C&amp;C 7-05 Analytical'!$A$1:$I$37</definedName>
    <definedName name="_xlnm.Print_Area" localSheetId="3">'C&amp;C 7-05 Simplified'!$A$1:$I$34</definedName>
    <definedName name="_xlnm.Print_Area" localSheetId="5">'C&amp;C 7-10 Analytical'!$A$1:$I$45</definedName>
    <definedName name="_xlnm.Print_Area" localSheetId="2">'C&amp;C 7-10 Simplified'!$A$1:$I$42</definedName>
    <definedName name="_xlnm.Print_Area" localSheetId="4">'C&amp;C 7-16 Analytical'!$A$1:$I$46</definedName>
    <definedName name="_xlnm.Print_Area" localSheetId="1">'C&amp;C 7-16 Simplified'!$A$1:$I$42</definedName>
    <definedName name="_xlnm.Print_Area" localSheetId="0">'C&amp;C 7-22'!$A$1:$I$46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13" l="1"/>
  <c r="AD6" i="13"/>
  <c r="AG6" i="1"/>
  <c r="AF6" i="1"/>
  <c r="AG5" i="1"/>
  <c r="AF5" i="1"/>
  <c r="E25" i="21"/>
  <c r="E24" i="21"/>
  <c r="W14" i="21"/>
  <c r="V14" i="21"/>
  <c r="AC10" i="13"/>
  <c r="AA10" i="8"/>
  <c r="AA9" i="8"/>
  <c r="Z10" i="8"/>
  <c r="Z9" i="8"/>
  <c r="Z11" i="7"/>
  <c r="Z10" i="7"/>
  <c r="AJ5" i="5"/>
  <c r="AJ7" i="5"/>
  <c r="AJ6" i="5"/>
  <c r="AK7" i="5"/>
  <c r="AK5" i="5"/>
  <c r="AK6" i="5"/>
  <c r="AL6" i="21"/>
  <c r="AJ13" i="5"/>
  <c r="L3" i="13"/>
  <c r="E19" i="21"/>
  <c r="AK14" i="21"/>
  <c r="A55" i="21"/>
  <c r="A51" i="11"/>
  <c r="A45" i="8" l="1"/>
  <c r="E23" i="21" l="1"/>
  <c r="AS35" i="21"/>
  <c r="E23" i="5"/>
  <c r="AO35" i="5"/>
  <c r="Z15" i="5" l="1"/>
  <c r="Z12" i="8"/>
  <c r="Z13" i="8"/>
  <c r="Z14" i="7"/>
  <c r="Z13" i="7"/>
  <c r="N8" i="7" s="1"/>
  <c r="AJ14" i="5"/>
  <c r="AK13" i="21"/>
  <c r="AC13" i="9"/>
  <c r="AF14" i="1"/>
  <c r="AF13" i="1"/>
  <c r="M11" i="1" s="1"/>
  <c r="AC14" i="13"/>
  <c r="AC13" i="13"/>
  <c r="L11" i="13" s="1"/>
  <c r="AC14" i="9"/>
  <c r="AF7" i="1"/>
  <c r="AC7" i="13"/>
  <c r="AC6" i="13"/>
  <c r="AC5" i="13"/>
  <c r="AC5" i="9"/>
  <c r="AC7" i="9"/>
  <c r="AC6" i="9"/>
  <c r="AO31" i="5"/>
  <c r="AL7" i="21"/>
  <c r="AK7" i="21"/>
  <c r="AK6" i="21"/>
  <c r="Q14" i="21" s="1"/>
  <c r="AL5" i="21"/>
  <c r="AK5" i="21"/>
  <c r="P13" i="21" s="1"/>
  <c r="P14" i="21" l="1"/>
  <c r="N14" i="21" s="1"/>
  <c r="V16" i="13"/>
  <c r="P17" i="13"/>
  <c r="N17" i="13" s="1"/>
  <c r="V17" i="13"/>
  <c r="T16" i="13"/>
  <c r="P16" i="13"/>
  <c r="N8" i="21"/>
  <c r="P17" i="1"/>
  <c r="N17" i="1" s="1"/>
  <c r="N8" i="8"/>
  <c r="P16" i="1"/>
  <c r="N8" i="5"/>
  <c r="N8" i="9"/>
  <c r="P13" i="5"/>
  <c r="Z5" i="7"/>
  <c r="Z6" i="7"/>
  <c r="Z5" i="8"/>
  <c r="Z4" i="8"/>
  <c r="AA7" i="7" l="1"/>
  <c r="Z7" i="7"/>
  <c r="AA5" i="7"/>
  <c r="P14" i="7"/>
  <c r="Z6" i="8"/>
  <c r="T14" i="7" l="1"/>
  <c r="V14" i="7"/>
  <c r="V15" i="7"/>
  <c r="P15" i="7"/>
  <c r="N15" i="7" s="1"/>
  <c r="P14" i="5"/>
  <c r="N14" i="5" s="1"/>
  <c r="C35" i="21" l="1"/>
  <c r="E35" i="21"/>
  <c r="E31" i="21"/>
  <c r="C31" i="21"/>
  <c r="D35" i="21"/>
  <c r="B35" i="21"/>
  <c r="D31" i="21"/>
  <c r="B31" i="21"/>
  <c r="F38" i="21" l="1"/>
  <c r="D38" i="21"/>
  <c r="B38" i="21"/>
  <c r="B42" i="21"/>
  <c r="E14" i="21"/>
  <c r="C53" i="1"/>
  <c r="E17" i="21" l="1"/>
  <c r="D42" i="21"/>
  <c r="Y14" i="21" l="1"/>
  <c r="X14" i="21"/>
  <c r="AK10" i="21" s="1"/>
  <c r="W13" i="21"/>
  <c r="X13" i="21"/>
  <c r="Y13" i="21"/>
  <c r="R13" i="21"/>
  <c r="V13" i="21"/>
  <c r="AK11" i="21" s="1"/>
  <c r="R14" i="21" s="1"/>
  <c r="S13" i="21"/>
  <c r="W12" i="21"/>
  <c r="H30" i="21"/>
  <c r="E26" i="21"/>
  <c r="E27" i="21" s="1"/>
  <c r="AS31" i="21"/>
  <c r="AP5" i="9"/>
  <c r="AP3" i="9"/>
  <c r="AP2" i="9"/>
  <c r="AO7" i="13"/>
  <c r="T14" i="21" l="1"/>
  <c r="T13" i="21"/>
  <c r="U14" i="21"/>
  <c r="U13" i="21"/>
  <c r="I32" i="21"/>
  <c r="I40" i="21" s="1"/>
  <c r="H32" i="21"/>
  <c r="H40" i="21" s="1"/>
  <c r="H31" i="21"/>
  <c r="H38" i="21"/>
  <c r="I31" i="21"/>
  <c r="AL11" i="21"/>
  <c r="S14" i="21" s="1"/>
  <c r="Q13" i="21"/>
  <c r="AL10" i="21"/>
  <c r="O14" i="21"/>
  <c r="A54" i="21"/>
  <c r="C54" i="21"/>
  <c r="B54" i="21"/>
  <c r="D54" i="21"/>
  <c r="F32" i="21"/>
  <c r="F40" i="21" s="1"/>
  <c r="B32" i="21"/>
  <c r="B40" i="21" s="1"/>
  <c r="C36" i="21"/>
  <c r="C44" i="21" s="1"/>
  <c r="D36" i="21"/>
  <c r="D44" i="21" s="1"/>
  <c r="B36" i="21"/>
  <c r="B44" i="21" s="1"/>
  <c r="E36" i="21"/>
  <c r="E44" i="21" s="1"/>
  <c r="C32" i="21"/>
  <c r="C40" i="21" s="1"/>
  <c r="E32" i="21"/>
  <c r="E40" i="21" s="1"/>
  <c r="D32" i="21"/>
  <c r="D40" i="21" s="1"/>
  <c r="G32" i="21"/>
  <c r="G40" i="21" s="1"/>
  <c r="AO2" i="1"/>
  <c r="AO3" i="1" s="1"/>
  <c r="AO4" i="1"/>
  <c r="AO6" i="1"/>
  <c r="AO11" i="1"/>
  <c r="AO12" i="1"/>
  <c r="AO13" i="1"/>
  <c r="I39" i="21" l="1"/>
  <c r="H39" i="21"/>
  <c r="D46" i="21"/>
  <c r="O80" i="21"/>
  <c r="O79" i="21"/>
  <c r="O75" i="21"/>
  <c r="O71" i="21"/>
  <c r="O67" i="21"/>
  <c r="O78" i="21"/>
  <c r="O66" i="21"/>
  <c r="G73" i="21"/>
  <c r="O68" i="21"/>
  <c r="G79" i="21"/>
  <c r="G75" i="21"/>
  <c r="G71" i="21"/>
  <c r="G67" i="21"/>
  <c r="O74" i="21"/>
  <c r="O70" i="21"/>
  <c r="O73" i="21"/>
  <c r="G69" i="21"/>
  <c r="G68" i="21"/>
  <c r="G74" i="21"/>
  <c r="G66" i="21"/>
  <c r="O77" i="21"/>
  <c r="G76" i="21"/>
  <c r="G78" i="21"/>
  <c r="G70" i="21"/>
  <c r="O69" i="21"/>
  <c r="G72" i="21"/>
  <c r="O72" i="21"/>
  <c r="G77" i="21"/>
  <c r="O76" i="21"/>
  <c r="N80" i="21"/>
  <c r="N79" i="21"/>
  <c r="N75" i="21"/>
  <c r="N67" i="21"/>
  <c r="N71" i="21"/>
  <c r="N68" i="21"/>
  <c r="F76" i="21"/>
  <c r="F79" i="21"/>
  <c r="F75" i="21"/>
  <c r="F71" i="21"/>
  <c r="F67" i="21"/>
  <c r="N73" i="21"/>
  <c r="F73" i="21"/>
  <c r="N76" i="21"/>
  <c r="N78" i="21"/>
  <c r="N74" i="21"/>
  <c r="N70" i="21"/>
  <c r="N66" i="21"/>
  <c r="F78" i="21"/>
  <c r="F74" i="21"/>
  <c r="F66" i="21"/>
  <c r="N77" i="21"/>
  <c r="F69" i="21"/>
  <c r="N72" i="21"/>
  <c r="F72" i="21"/>
  <c r="F70" i="21"/>
  <c r="N69" i="21"/>
  <c r="F77" i="21"/>
  <c r="F68" i="21"/>
  <c r="AT26" i="9" l="1"/>
  <c r="AQ27" i="9"/>
  <c r="AN27" i="9"/>
  <c r="AZ21" i="9"/>
  <c r="AW22" i="9"/>
  <c r="AQ22" i="9"/>
  <c r="AN20" i="9"/>
  <c r="AP13" i="9"/>
  <c r="AP12" i="9"/>
  <c r="AP25" i="13"/>
  <c r="AM25" i="13"/>
  <c r="AS21" i="13"/>
  <c r="AP21" i="13"/>
  <c r="AM19" i="13"/>
  <c r="AO4" i="13"/>
  <c r="AO3" i="13"/>
  <c r="AO13" i="13"/>
  <c r="AO12" i="13"/>
  <c r="AQ19" i="9" l="1"/>
  <c r="AQ20" i="9"/>
  <c r="AQ21" i="9"/>
  <c r="AS25" i="13"/>
  <c r="AT24" i="9"/>
  <c r="AN25" i="9"/>
  <c r="AQ25" i="9"/>
  <c r="AT25" i="9"/>
  <c r="AW19" i="9"/>
  <c r="AQ26" i="9"/>
  <c r="AT27" i="9"/>
  <c r="AT20" i="9"/>
  <c r="AZ20" i="9"/>
  <c r="AT19" i="9"/>
  <c r="AN26" i="9"/>
  <c r="AN24" i="9"/>
  <c r="AQ24" i="9"/>
  <c r="AW20" i="9"/>
  <c r="AT21" i="9"/>
  <c r="AW21" i="9"/>
  <c r="AZ22" i="9"/>
  <c r="AN21" i="9"/>
  <c r="AN19" i="9"/>
  <c r="AN22" i="9"/>
  <c r="AZ19" i="9"/>
  <c r="AT22" i="9"/>
  <c r="AY19" i="13"/>
  <c r="AP19" i="13"/>
  <c r="AS19" i="13"/>
  <c r="AV19" i="13"/>
  <c r="AP20" i="13"/>
  <c r="AY20" i="13"/>
  <c r="AM22" i="13"/>
  <c r="AY22" i="13"/>
  <c r="AS26" i="13"/>
  <c r="AM20" i="13"/>
  <c r="AV21" i="13"/>
  <c r="AY21" i="13"/>
  <c r="AP26" i="13"/>
  <c r="AP22" i="13"/>
  <c r="AV22" i="13"/>
  <c r="AM26" i="13"/>
  <c r="AM27" i="13"/>
  <c r="AM24" i="13"/>
  <c r="AS22" i="13"/>
  <c r="AP27" i="13"/>
  <c r="AS20" i="13"/>
  <c r="AS27" i="13"/>
  <c r="AV20" i="13"/>
  <c r="AM21" i="13"/>
  <c r="AS24" i="13"/>
  <c r="AP24" i="13"/>
  <c r="AS25" i="1"/>
  <c r="M3" i="1"/>
  <c r="AY22" i="1"/>
  <c r="AS20" i="1"/>
  <c r="C48" i="9"/>
  <c r="C47" i="9"/>
  <c r="C46" i="9"/>
  <c r="C45" i="9"/>
  <c r="C44" i="9"/>
  <c r="C43" i="9"/>
  <c r="C41" i="9" s="1"/>
  <c r="C42" i="9"/>
  <c r="H41" i="9"/>
  <c r="H40" i="9"/>
  <c r="H39" i="9"/>
  <c r="C59" i="13"/>
  <c r="C58" i="13"/>
  <c r="C57" i="13"/>
  <c r="C56" i="13"/>
  <c r="C55" i="13"/>
  <c r="C54" i="13"/>
  <c r="C52" i="13" s="1"/>
  <c r="H52" i="13"/>
  <c r="C53" i="13"/>
  <c r="H51" i="13"/>
  <c r="H50" i="13"/>
  <c r="H53" i="1"/>
  <c r="H52" i="1"/>
  <c r="H50" i="1"/>
  <c r="C59" i="1"/>
  <c r="C58" i="1"/>
  <c r="C57" i="1"/>
  <c r="C55" i="1"/>
  <c r="C56" i="1"/>
  <c r="C54" i="1"/>
  <c r="C52" i="1" s="1"/>
  <c r="AV20" i="1" l="1"/>
  <c r="AV19" i="1"/>
  <c r="AP19" i="1"/>
  <c r="AP22" i="1"/>
  <c r="AP20" i="1"/>
  <c r="AP21" i="1"/>
  <c r="AP26" i="1"/>
  <c r="AP24" i="1"/>
  <c r="AP25" i="1"/>
  <c r="AP27" i="1"/>
  <c r="AM19" i="1"/>
  <c r="AM22" i="1"/>
  <c r="AM20" i="1"/>
  <c r="AM21" i="1"/>
  <c r="AM24" i="1"/>
  <c r="AM27" i="1"/>
  <c r="AM26" i="1"/>
  <c r="AM25" i="1"/>
  <c r="AV22" i="1"/>
  <c r="AV21" i="1"/>
  <c r="AS24" i="1"/>
  <c r="AS26" i="1"/>
  <c r="AS27" i="1"/>
  <c r="AY19" i="1"/>
  <c r="AY20" i="1"/>
  <c r="AY21" i="1"/>
  <c r="AS21" i="1"/>
  <c r="AS19" i="1"/>
  <c r="AS22" i="1"/>
  <c r="N104" i="3" l="1"/>
  <c r="A115" i="2"/>
  <c r="F38" i="5" l="1"/>
  <c r="D38" i="5"/>
  <c r="B38" i="5"/>
  <c r="D38" i="13" l="1"/>
  <c r="B38" i="13"/>
  <c r="F34" i="13"/>
  <c r="D34" i="13"/>
  <c r="B34" i="13"/>
  <c r="F34" i="1"/>
  <c r="D34" i="1"/>
  <c r="B34" i="1"/>
  <c r="E14" i="7" l="1"/>
  <c r="E14" i="5"/>
  <c r="E19" i="7" l="1"/>
  <c r="A54" i="7" s="1"/>
  <c r="T15" i="7" l="1"/>
  <c r="R15" i="7"/>
  <c r="E18" i="9"/>
  <c r="E16" i="9" s="1"/>
  <c r="C51" i="11" s="1"/>
  <c r="B55" i="11" s="1"/>
  <c r="E18" i="13"/>
  <c r="E16" i="13" s="1"/>
  <c r="E18" i="1"/>
  <c r="Y18" i="1" l="1"/>
  <c r="H26" i="1"/>
  <c r="S14" i="1"/>
  <c r="E16" i="1"/>
  <c r="E23" i="1" s="1"/>
  <c r="Y15" i="1"/>
  <c r="U14" i="1"/>
  <c r="AD10" i="13"/>
  <c r="T17" i="13" s="1"/>
  <c r="AD11" i="13"/>
  <c r="R17" i="13" s="1"/>
  <c r="AA15" i="1"/>
  <c r="Z16" i="1"/>
  <c r="Y14" i="1"/>
  <c r="AA14" i="1"/>
  <c r="AB16" i="1"/>
  <c r="AB17" i="1"/>
  <c r="Z17" i="1"/>
  <c r="W14" i="1"/>
  <c r="W18" i="1" s="1"/>
  <c r="AB15" i="1"/>
  <c r="Z15" i="1"/>
  <c r="AT27" i="13"/>
  <c r="AU27" i="13" s="1"/>
  <c r="AQ22" i="13"/>
  <c r="AR22" i="13" s="1"/>
  <c r="AT22" i="13"/>
  <c r="AU22" i="13" s="1"/>
  <c r="AT26" i="13"/>
  <c r="AU26" i="13" s="1"/>
  <c r="AQ21" i="13"/>
  <c r="AR21" i="13" s="1"/>
  <c r="AT25" i="13"/>
  <c r="AU25" i="13" s="1"/>
  <c r="AQ20" i="13"/>
  <c r="AR20" i="13" s="1"/>
  <c r="AQ19" i="13"/>
  <c r="AR19" i="13" s="1"/>
  <c r="AT21" i="13"/>
  <c r="AU21" i="13" s="1"/>
  <c r="AN24" i="13"/>
  <c r="AO24" i="13" s="1"/>
  <c r="AN22" i="13"/>
  <c r="AO22" i="13" s="1"/>
  <c r="AW22" i="13"/>
  <c r="AX22" i="13" s="1"/>
  <c r="AW20" i="13"/>
  <c r="AX20" i="13" s="1"/>
  <c r="AO8" i="13"/>
  <c r="AN25" i="13"/>
  <c r="AO25" i="13" s="1"/>
  <c r="AQ27" i="13"/>
  <c r="AR27" i="13" s="1"/>
  <c r="AT24" i="13"/>
  <c r="AU24" i="13" s="1"/>
  <c r="AZ22" i="13"/>
  <c r="BA22" i="13" s="1"/>
  <c r="AZ21" i="13"/>
  <c r="BA21" i="13" s="1"/>
  <c r="AN26" i="13"/>
  <c r="AO26" i="13" s="1"/>
  <c r="AT20" i="13"/>
  <c r="AU20" i="13" s="1"/>
  <c r="AZ19" i="13"/>
  <c r="BA19" i="13" s="1"/>
  <c r="AT19" i="13"/>
  <c r="AU19" i="13" s="1"/>
  <c r="AW21" i="13"/>
  <c r="AX21" i="13" s="1"/>
  <c r="AQ25" i="13"/>
  <c r="AR25" i="13" s="1"/>
  <c r="AQ24" i="13"/>
  <c r="AR24" i="13" s="1"/>
  <c r="AN27" i="13"/>
  <c r="AO27" i="13" s="1"/>
  <c r="AQ26" i="13"/>
  <c r="AR26" i="13" s="1"/>
  <c r="AN20" i="13"/>
  <c r="AO20" i="13" s="1"/>
  <c r="AW19" i="13"/>
  <c r="AX19" i="13" s="1"/>
  <c r="AZ20" i="13"/>
  <c r="BA20" i="13" s="1"/>
  <c r="AN21" i="13"/>
  <c r="AO21" i="13" s="1"/>
  <c r="AN19" i="13"/>
  <c r="AO19" i="13" s="1"/>
  <c r="BA22" i="9"/>
  <c r="BB22" i="9" s="1"/>
  <c r="AU24" i="9"/>
  <c r="AV24" i="9" s="1"/>
  <c r="AR19" i="9"/>
  <c r="AS19" i="9" s="1"/>
  <c r="AO22" i="9"/>
  <c r="AP22" i="9" s="1"/>
  <c r="AR27" i="9"/>
  <c r="AS27" i="9" s="1"/>
  <c r="AR25" i="9"/>
  <c r="AS25" i="9" s="1"/>
  <c r="BA21" i="9"/>
  <c r="BB21" i="9" s="1"/>
  <c r="AU22" i="9"/>
  <c r="AV22" i="9" s="1"/>
  <c r="AO27" i="9"/>
  <c r="AP27" i="9" s="1"/>
  <c r="AO26" i="9"/>
  <c r="AP26" i="9" s="1"/>
  <c r="AO21" i="9"/>
  <c r="AP21" i="9" s="1"/>
  <c r="BA20" i="9"/>
  <c r="BB20" i="9" s="1"/>
  <c r="AU21" i="9"/>
  <c r="AV21" i="9" s="1"/>
  <c r="AX22" i="9"/>
  <c r="AY22" i="9" s="1"/>
  <c r="AO19" i="9"/>
  <c r="AP19" i="9" s="1"/>
  <c r="AP6" i="9"/>
  <c r="BA19" i="9"/>
  <c r="BB19" i="9" s="1"/>
  <c r="AU20" i="9"/>
  <c r="AV20" i="9" s="1"/>
  <c r="AO25" i="9"/>
  <c r="AP25" i="9" s="1"/>
  <c r="AU19" i="9"/>
  <c r="AV19" i="9" s="1"/>
  <c r="AO24" i="9"/>
  <c r="AP24" i="9" s="1"/>
  <c r="AR26" i="9"/>
  <c r="AS26" i="9" s="1"/>
  <c r="AX21" i="9"/>
  <c r="AY21" i="9" s="1"/>
  <c r="AR22" i="9"/>
  <c r="AS22" i="9" s="1"/>
  <c r="AR20" i="9"/>
  <c r="AS20" i="9" s="1"/>
  <c r="AX20" i="9"/>
  <c r="AY20" i="9" s="1"/>
  <c r="AU25" i="9"/>
  <c r="AV25" i="9" s="1"/>
  <c r="AR21" i="9"/>
  <c r="AS21" i="9" s="1"/>
  <c r="AX19" i="9"/>
  <c r="AY19" i="9" s="1"/>
  <c r="AR24" i="9"/>
  <c r="AS24" i="9" s="1"/>
  <c r="AU26" i="9"/>
  <c r="AV26" i="9" s="1"/>
  <c r="AU27" i="9"/>
  <c r="AV27" i="9" s="1"/>
  <c r="AT20" i="1"/>
  <c r="AU20" i="1" s="1"/>
  <c r="AN25" i="1"/>
  <c r="AO25" i="1" s="1"/>
  <c r="AZ22" i="1"/>
  <c r="BA22" i="1" s="1"/>
  <c r="AT19" i="1"/>
  <c r="AU19" i="1" s="1"/>
  <c r="AN24" i="1"/>
  <c r="AO24" i="1" s="1"/>
  <c r="AQ22" i="1"/>
  <c r="AR22" i="1" s="1"/>
  <c r="AW21" i="1"/>
  <c r="AX21" i="1" s="1"/>
  <c r="AT24" i="1"/>
  <c r="AU24" i="1" s="1"/>
  <c r="AN27" i="1"/>
  <c r="AO27" i="1" s="1"/>
  <c r="AN26" i="1"/>
  <c r="AO26" i="1" s="1"/>
  <c r="AZ21" i="1"/>
  <c r="BA21" i="1" s="1"/>
  <c r="AQ27" i="1"/>
  <c r="AR27" i="1" s="1"/>
  <c r="AN22" i="1"/>
  <c r="AO22" i="1" s="1"/>
  <c r="AN20" i="1"/>
  <c r="AO20" i="1" s="1"/>
  <c r="AN19" i="1"/>
  <c r="AO19" i="1" s="1"/>
  <c r="AW20" i="1"/>
  <c r="AX20" i="1" s="1"/>
  <c r="AQ21" i="1"/>
  <c r="AR21" i="1" s="1"/>
  <c r="AW22" i="1"/>
  <c r="AX22" i="1" s="1"/>
  <c r="AZ20" i="1"/>
  <c r="BA20" i="1" s="1"/>
  <c r="AQ26" i="1"/>
  <c r="AR26" i="1" s="1"/>
  <c r="AN21" i="1"/>
  <c r="AO21" i="1" s="1"/>
  <c r="AZ19" i="1"/>
  <c r="BA19" i="1" s="1"/>
  <c r="AQ25" i="1"/>
  <c r="AR25" i="1" s="1"/>
  <c r="AQ24" i="1"/>
  <c r="AR24" i="1" s="1"/>
  <c r="AT27" i="1"/>
  <c r="AU27" i="1" s="1"/>
  <c r="AQ20" i="1"/>
  <c r="AR20" i="1" s="1"/>
  <c r="AT22" i="1"/>
  <c r="AU22" i="1" s="1"/>
  <c r="AT21" i="1"/>
  <c r="AU21" i="1" s="1"/>
  <c r="AW19" i="1"/>
  <c r="AX19" i="1" s="1"/>
  <c r="AT26" i="1"/>
  <c r="AU26" i="1" s="1"/>
  <c r="AT25" i="1"/>
  <c r="AU25" i="1" s="1"/>
  <c r="AQ19" i="1"/>
  <c r="AR19" i="1" s="1"/>
  <c r="AO20" i="9"/>
  <c r="AP20" i="9" s="1"/>
  <c r="AO7" i="1"/>
  <c r="B30" i="1"/>
  <c r="B38" i="1" s="1"/>
  <c r="I31" i="1"/>
  <c r="I39" i="1" s="1"/>
  <c r="H31" i="1"/>
  <c r="H39" i="1" s="1"/>
  <c r="F31" i="1"/>
  <c r="F39" i="1" s="1"/>
  <c r="F30" i="1"/>
  <c r="F38" i="1" s="1"/>
  <c r="G31" i="1"/>
  <c r="G39" i="1" s="1"/>
  <c r="H30" i="1"/>
  <c r="D30" i="1"/>
  <c r="D38" i="1" s="1"/>
  <c r="C101" i="2"/>
  <c r="B117" i="2" s="1"/>
  <c r="G51" i="1" l="1"/>
  <c r="S16" i="1"/>
  <c r="H38" i="1"/>
  <c r="V16" i="1"/>
  <c r="T17" i="1" s="1"/>
  <c r="V17" i="1"/>
  <c r="X15" i="1"/>
  <c r="W16" i="1"/>
  <c r="AD7" i="9"/>
  <c r="V14" i="9" s="1"/>
  <c r="AD5" i="9"/>
  <c r="V15" i="9" s="1"/>
  <c r="AD6" i="9"/>
  <c r="W15" i="9" s="1"/>
  <c r="U15" i="9" s="1"/>
  <c r="E23" i="9"/>
  <c r="AP4" i="9"/>
  <c r="AP15" i="9" s="1"/>
  <c r="H51" i="1"/>
  <c r="H34" i="1"/>
  <c r="H27" i="1"/>
  <c r="H35" i="1" s="1"/>
  <c r="I27" i="1"/>
  <c r="I35" i="1" s="1"/>
  <c r="E19" i="5"/>
  <c r="A55" i="5" l="1"/>
  <c r="Z13" i="5"/>
  <c r="E17" i="5"/>
  <c r="E26" i="5" s="1"/>
  <c r="W14" i="9"/>
  <c r="AD10" i="9" s="1"/>
  <c r="Q15" i="9"/>
  <c r="O15" i="9" s="1"/>
  <c r="Q14" i="9"/>
  <c r="P14" i="9"/>
  <c r="AC10" i="9"/>
  <c r="T15" i="9" s="1"/>
  <c r="P15" i="9"/>
  <c r="N15" i="9" s="1"/>
  <c r="AP14" i="9"/>
  <c r="U14" i="9"/>
  <c r="AD11" i="9" s="1"/>
  <c r="S15" i="9" s="1"/>
  <c r="T14" i="9"/>
  <c r="AC11" i="9" s="1"/>
  <c r="R15" i="9" s="1"/>
  <c r="Z14" i="5"/>
  <c r="AB13" i="5"/>
  <c r="AB14" i="5"/>
  <c r="AC12" i="5"/>
  <c r="Z12" i="5"/>
  <c r="AB12" i="5"/>
  <c r="AA12" i="5"/>
  <c r="Z11" i="5"/>
  <c r="AB11" i="5"/>
  <c r="T11" i="5"/>
  <c r="V11" i="5"/>
  <c r="X11" i="5"/>
  <c r="AP16" i="9"/>
  <c r="B34" i="5"/>
  <c r="G35" i="5"/>
  <c r="G43" i="5" s="1"/>
  <c r="F35" i="5"/>
  <c r="F43" i="5" s="1"/>
  <c r="D34" i="5"/>
  <c r="H35" i="5"/>
  <c r="H43" i="5" s="1"/>
  <c r="H34" i="5"/>
  <c r="F34" i="5"/>
  <c r="I35" i="5"/>
  <c r="I43" i="5" s="1"/>
  <c r="Y12" i="5" l="1"/>
  <c r="X15" i="5"/>
  <c r="H30" i="5"/>
  <c r="T13" i="5" s="1"/>
  <c r="W13" i="5"/>
  <c r="Y13" i="5"/>
  <c r="AK10" i="5" s="1"/>
  <c r="V14" i="5"/>
  <c r="X13" i="5"/>
  <c r="X14" i="5"/>
  <c r="W14" i="5"/>
  <c r="R13" i="5"/>
  <c r="S13" i="5"/>
  <c r="U13" i="5" l="1"/>
  <c r="V13" i="5"/>
  <c r="Q13" i="5"/>
  <c r="AA13" i="5"/>
  <c r="U14" i="5" s="1"/>
  <c r="AC14" i="5"/>
  <c r="AA14" i="5"/>
  <c r="AC13" i="5"/>
  <c r="Y14" i="5" s="1"/>
  <c r="AJ10" i="5" s="1"/>
  <c r="Q14" i="5"/>
  <c r="O14" i="5" s="1"/>
  <c r="I31" i="5"/>
  <c r="H38" i="5"/>
  <c r="H31" i="5"/>
  <c r="E18" i="8"/>
  <c r="E16" i="8" s="1"/>
  <c r="T14" i="5" l="1"/>
  <c r="AK11" i="5"/>
  <c r="AJ11" i="5"/>
  <c r="R14" i="5" s="1"/>
  <c r="S14" i="5"/>
  <c r="H39" i="5"/>
  <c r="I39" i="5"/>
  <c r="C28" i="19"/>
  <c r="A28" i="19"/>
  <c r="B32" i="19" s="1"/>
  <c r="E33" i="19" l="1"/>
  <c r="E32" i="19"/>
  <c r="H33" i="19"/>
  <c r="B33" i="19"/>
  <c r="H32" i="19"/>
  <c r="C51" i="15"/>
  <c r="A51" i="15"/>
  <c r="C51" i="14"/>
  <c r="A51" i="14"/>
  <c r="E57" i="14" l="1"/>
  <c r="E55" i="14"/>
  <c r="B56" i="14"/>
  <c r="B55" i="14"/>
  <c r="E58" i="14"/>
  <c r="B59" i="14"/>
  <c r="E56" i="14"/>
  <c r="B58" i="14"/>
  <c r="B57" i="14"/>
  <c r="H56" i="14"/>
  <c r="H55" i="14"/>
  <c r="H58" i="14"/>
  <c r="E59" i="14"/>
  <c r="H59" i="14"/>
  <c r="H57" i="14"/>
  <c r="B57" i="15"/>
  <c r="H57" i="15"/>
  <c r="B59" i="15"/>
  <c r="H56" i="15"/>
  <c r="E55" i="15"/>
  <c r="E59" i="15"/>
  <c r="E58" i="15"/>
  <c r="B58" i="15"/>
  <c r="E56" i="15"/>
  <c r="H59" i="15"/>
  <c r="H58" i="15"/>
  <c r="B55" i="15"/>
  <c r="H55" i="15"/>
  <c r="B56" i="15"/>
  <c r="E57" i="15"/>
  <c r="C51" i="10" l="1"/>
  <c r="A51" i="10"/>
  <c r="C28" i="12"/>
  <c r="A28" i="12"/>
  <c r="Z1" i="8"/>
  <c r="E24" i="8"/>
  <c r="E23" i="8"/>
  <c r="E24" i="7"/>
  <c r="E23" i="7"/>
  <c r="H32" i="12" l="1"/>
  <c r="E32" i="12"/>
  <c r="E33" i="12"/>
  <c r="B33" i="12"/>
  <c r="H33" i="12"/>
  <c r="B32" i="12"/>
  <c r="E58" i="10"/>
  <c r="B55" i="10"/>
  <c r="A60" i="9" s="1"/>
  <c r="E55" i="10"/>
  <c r="H58" i="10"/>
  <c r="B59" i="10"/>
  <c r="B57" i="10"/>
  <c r="H56" i="10"/>
  <c r="H59" i="10"/>
  <c r="E59" i="10"/>
  <c r="E57" i="10"/>
  <c r="B58" i="10"/>
  <c r="B56" i="10"/>
  <c r="C60" i="9" s="1"/>
  <c r="H55" i="10"/>
  <c r="E56" i="10"/>
  <c r="H57" i="10"/>
  <c r="H55" i="11"/>
  <c r="E56" i="11"/>
  <c r="E59" i="11"/>
  <c r="H57" i="11"/>
  <c r="E58" i="11"/>
  <c r="E57" i="11"/>
  <c r="B58" i="11"/>
  <c r="B56" i="11"/>
  <c r="H56" i="11"/>
  <c r="E55" i="11"/>
  <c r="H59" i="11"/>
  <c r="H58" i="11"/>
  <c r="B59" i="11"/>
  <c r="E32" i="9" s="1"/>
  <c r="B57" i="11"/>
  <c r="B60" i="9"/>
  <c r="K24" i="4"/>
  <c r="C101" i="4"/>
  <c r="A101" i="4"/>
  <c r="N75" i="9" l="1"/>
  <c r="N87" i="9"/>
  <c r="N85" i="9"/>
  <c r="N83" i="9"/>
  <c r="N77" i="9"/>
  <c r="N74" i="9"/>
  <c r="N88" i="9"/>
  <c r="N86" i="9"/>
  <c r="N82" i="9"/>
  <c r="N80" i="9"/>
  <c r="N84" i="9"/>
  <c r="N81" i="9"/>
  <c r="N79" i="9"/>
  <c r="N76" i="9"/>
  <c r="N78" i="9"/>
  <c r="D60" i="9"/>
  <c r="G83" i="9" s="1"/>
  <c r="E28" i="9"/>
  <c r="F83" i="9"/>
  <c r="F87" i="9"/>
  <c r="F76" i="9"/>
  <c r="F86" i="9"/>
  <c r="F81" i="9"/>
  <c r="F78" i="9"/>
  <c r="F75" i="9"/>
  <c r="F79" i="9"/>
  <c r="F85" i="9"/>
  <c r="F84" i="9"/>
  <c r="F80" i="9"/>
  <c r="F77" i="9"/>
  <c r="F74" i="9"/>
  <c r="F82" i="9"/>
  <c r="F28" i="9"/>
  <c r="C28" i="9"/>
  <c r="B32" i="9"/>
  <c r="C32" i="9"/>
  <c r="D32" i="9"/>
  <c r="G28" i="9"/>
  <c r="B28" i="9"/>
  <c r="D28" i="9"/>
  <c r="H105" i="4"/>
  <c r="E108" i="4"/>
  <c r="K110" i="4"/>
  <c r="E110" i="4"/>
  <c r="E107" i="4"/>
  <c r="K106" i="4"/>
  <c r="H110" i="4"/>
  <c r="B105" i="4"/>
  <c r="K109" i="4"/>
  <c r="E109" i="4"/>
  <c r="E105" i="4"/>
  <c r="B107" i="4"/>
  <c r="H107" i="4"/>
  <c r="K108" i="4"/>
  <c r="K107" i="4"/>
  <c r="E106" i="4"/>
  <c r="K105" i="4"/>
  <c r="H108" i="4"/>
  <c r="H109" i="4"/>
  <c r="B106" i="4"/>
  <c r="H106" i="4"/>
  <c r="G87" i="9" l="1"/>
  <c r="O80" i="9"/>
  <c r="O75" i="9"/>
  <c r="O84" i="9"/>
  <c r="O79" i="9"/>
  <c r="O77" i="9"/>
  <c r="O76" i="9"/>
  <c r="O88" i="9"/>
  <c r="O86" i="9"/>
  <c r="O85" i="9"/>
  <c r="O81" i="9"/>
  <c r="O78" i="9"/>
  <c r="O87" i="9"/>
  <c r="O74" i="9"/>
  <c r="O83" i="9"/>
  <c r="O82" i="9"/>
  <c r="G80" i="9"/>
  <c r="G76" i="9"/>
  <c r="G74" i="9"/>
  <c r="G77" i="9"/>
  <c r="G79" i="9"/>
  <c r="G85" i="9"/>
  <c r="G82" i="9"/>
  <c r="G84" i="9"/>
  <c r="G75" i="9"/>
  <c r="G78" i="9"/>
  <c r="G81" i="9"/>
  <c r="G86" i="9"/>
  <c r="D34" i="9"/>
  <c r="E25" i="5"/>
  <c r="E24" i="5"/>
  <c r="E27" i="5"/>
  <c r="H42" i="5"/>
  <c r="F42" i="5"/>
  <c r="D42" i="5"/>
  <c r="B42" i="5"/>
  <c r="A54" i="5" l="1"/>
  <c r="B54" i="5"/>
  <c r="D54" i="5"/>
  <c r="E32" i="5"/>
  <c r="D32" i="5"/>
  <c r="D40" i="5" s="1"/>
  <c r="C32" i="5"/>
  <c r="C40" i="5" s="1"/>
  <c r="B32" i="5"/>
  <c r="B40" i="5" s="1"/>
  <c r="C54" i="5"/>
  <c r="E40" i="5"/>
  <c r="C36" i="5"/>
  <c r="C44" i="5" s="1"/>
  <c r="H36" i="5"/>
  <c r="H44" i="5" s="1"/>
  <c r="F36" i="5"/>
  <c r="F44" i="5" s="1"/>
  <c r="G36" i="5"/>
  <c r="G44" i="5" s="1"/>
  <c r="E36" i="5"/>
  <c r="E44" i="5" s="1"/>
  <c r="G32" i="5"/>
  <c r="G40" i="5" s="1"/>
  <c r="I36" i="5"/>
  <c r="I44" i="5" s="1"/>
  <c r="I32" i="5"/>
  <c r="I40" i="5" s="1"/>
  <c r="H32" i="5"/>
  <c r="H40" i="5" s="1"/>
  <c r="D36" i="5"/>
  <c r="D44" i="5" s="1"/>
  <c r="B36" i="5"/>
  <c r="B44" i="5" s="1"/>
  <c r="F32" i="5"/>
  <c r="F40" i="5" s="1"/>
  <c r="O78" i="5" l="1"/>
  <c r="O70" i="5"/>
  <c r="O77" i="5"/>
  <c r="O69" i="5"/>
  <c r="O79" i="5"/>
  <c r="O76" i="5"/>
  <c r="O68" i="5"/>
  <c r="O75" i="5"/>
  <c r="O67" i="5"/>
  <c r="O74" i="5"/>
  <c r="O73" i="5"/>
  <c r="O72" i="5"/>
  <c r="O71" i="5"/>
  <c r="O66" i="5"/>
  <c r="O80" i="5"/>
  <c r="N79" i="5"/>
  <c r="N71" i="5"/>
  <c r="N78" i="5"/>
  <c r="N70" i="5"/>
  <c r="N77" i="5"/>
  <c r="N69" i="5"/>
  <c r="N68" i="5"/>
  <c r="N75" i="5"/>
  <c r="N67" i="5"/>
  <c r="N74" i="5"/>
  <c r="N73" i="5"/>
  <c r="N80" i="5"/>
  <c r="N76" i="5"/>
  <c r="N66" i="5"/>
  <c r="N72" i="5"/>
  <c r="G75" i="5"/>
  <c r="G74" i="5"/>
  <c r="G68" i="5"/>
  <c r="G76" i="5"/>
  <c r="G73" i="5"/>
  <c r="G67" i="5"/>
  <c r="G79" i="5"/>
  <c r="G69" i="5"/>
  <c r="G71" i="5"/>
  <c r="G72" i="5"/>
  <c r="G66" i="5"/>
  <c r="G78" i="5"/>
  <c r="G70" i="5"/>
  <c r="G77" i="5"/>
  <c r="F69" i="5"/>
  <c r="F75" i="5"/>
  <c r="F67" i="5"/>
  <c r="F73" i="5"/>
  <c r="F78" i="5"/>
  <c r="F79" i="5"/>
  <c r="F68" i="5"/>
  <c r="F66" i="5"/>
  <c r="F71" i="5"/>
  <c r="F70" i="5"/>
  <c r="F74" i="5"/>
  <c r="F77" i="5"/>
  <c r="F76" i="5"/>
  <c r="F72" i="5"/>
  <c r="D46" i="5"/>
  <c r="C101" i="3"/>
  <c r="A101" i="3"/>
  <c r="O106" i="3" l="1"/>
  <c r="O107" i="3"/>
  <c r="K110" i="3"/>
  <c r="E111" i="3"/>
  <c r="B108" i="3"/>
  <c r="B105" i="3"/>
  <c r="K109" i="3"/>
  <c r="E110" i="3"/>
  <c r="B107" i="3"/>
  <c r="E108" i="3"/>
  <c r="E107" i="3"/>
  <c r="K106" i="3"/>
  <c r="H106" i="3"/>
  <c r="K108" i="3"/>
  <c r="E109" i="3"/>
  <c r="B106" i="3"/>
  <c r="K107" i="3"/>
  <c r="H111" i="3"/>
  <c r="H108" i="3"/>
  <c r="H112" i="3"/>
  <c r="H109" i="3"/>
  <c r="E112" i="3"/>
  <c r="E105" i="3"/>
  <c r="K112" i="3"/>
  <c r="H110" i="3"/>
  <c r="H107" i="3"/>
  <c r="B109" i="3"/>
  <c r="E106" i="3"/>
  <c r="K105" i="3"/>
  <c r="B110" i="3"/>
  <c r="H105" i="3"/>
  <c r="K111" i="3"/>
  <c r="A101" i="2"/>
  <c r="E112" i="2" l="1"/>
  <c r="H110" i="2"/>
  <c r="H111" i="2"/>
  <c r="H112" i="2"/>
  <c r="K111" i="2"/>
  <c r="E105" i="2"/>
  <c r="E106" i="2"/>
  <c r="E108" i="2"/>
  <c r="K106" i="2"/>
  <c r="H108" i="2"/>
  <c r="K108" i="2"/>
  <c r="K105" i="2"/>
  <c r="H105" i="2"/>
  <c r="E110" i="2"/>
  <c r="K112" i="2"/>
  <c r="K109" i="2"/>
  <c r="K107" i="2"/>
  <c r="K110" i="2"/>
  <c r="H107" i="2"/>
  <c r="E111" i="2"/>
  <c r="H106" i="2"/>
  <c r="E109" i="2"/>
  <c r="E107" i="2"/>
  <c r="H109" i="2"/>
  <c r="B110" i="2"/>
  <c r="B108" i="2"/>
  <c r="B107" i="2"/>
  <c r="B105" i="2"/>
  <c r="B109" i="2"/>
  <c r="B106" i="2"/>
  <c r="B32" i="1" l="1"/>
  <c r="AA5" i="8"/>
  <c r="E25" i="8" l="1"/>
  <c r="E26" i="8" s="1"/>
  <c r="Q15" i="8"/>
  <c r="O15" i="8" s="1"/>
  <c r="Q14" i="8"/>
  <c r="W14" i="8"/>
  <c r="W15" i="8"/>
  <c r="U15" i="8" s="1"/>
  <c r="U14" i="8"/>
  <c r="S15" i="8" s="1"/>
  <c r="AA6" i="8"/>
  <c r="AA4" i="8"/>
  <c r="B31" i="8" l="1"/>
  <c r="A44" i="8"/>
  <c r="B35" i="8"/>
  <c r="F31" i="8"/>
  <c r="E35" i="8"/>
  <c r="D35" i="8"/>
  <c r="C44" i="8"/>
  <c r="E31" i="8"/>
  <c r="D31" i="8"/>
  <c r="G31" i="8"/>
  <c r="C31" i="8"/>
  <c r="D44" i="8"/>
  <c r="B44" i="8"/>
  <c r="C35" i="8"/>
  <c r="P15" i="8"/>
  <c r="N15" i="8" s="1"/>
  <c r="V15" i="8"/>
  <c r="T15" i="8" s="1"/>
  <c r="P14" i="8"/>
  <c r="T14" i="8"/>
  <c r="R15" i="8" s="1"/>
  <c r="V14" i="8"/>
  <c r="X17" i="1"/>
  <c r="AF10" i="1" s="1"/>
  <c r="W17" i="1"/>
  <c r="Q16" i="1"/>
  <c r="S17" i="1" s="1"/>
  <c r="R16" i="1"/>
  <c r="U16" i="1"/>
  <c r="AF11" i="1" l="1"/>
  <c r="O67" i="8"/>
  <c r="O59" i="8"/>
  <c r="O70" i="8"/>
  <c r="O66" i="8"/>
  <c r="O58" i="8"/>
  <c r="O63" i="8"/>
  <c r="O62" i="8"/>
  <c r="O61" i="8"/>
  <c r="O68" i="8"/>
  <c r="O65" i="8"/>
  <c r="O57" i="8"/>
  <c r="O69" i="8"/>
  <c r="O60" i="8"/>
  <c r="O64" i="8"/>
  <c r="O56" i="8"/>
  <c r="G61" i="8"/>
  <c r="G68" i="8"/>
  <c r="G67" i="8"/>
  <c r="G59" i="8"/>
  <c r="G58" i="8"/>
  <c r="G57" i="8"/>
  <c r="G64" i="8"/>
  <c r="G63" i="8"/>
  <c r="G69" i="8"/>
  <c r="G65" i="8"/>
  <c r="G56" i="8"/>
  <c r="G62" i="8"/>
  <c r="G60" i="8"/>
  <c r="G66" i="8"/>
  <c r="N68" i="8"/>
  <c r="N60" i="8"/>
  <c r="N59" i="8"/>
  <c r="N69" i="8"/>
  <c r="N67" i="8"/>
  <c r="N70" i="8"/>
  <c r="N66" i="8"/>
  <c r="N58" i="8"/>
  <c r="N64" i="8"/>
  <c r="N65" i="8"/>
  <c r="N57" i="8"/>
  <c r="N62" i="8"/>
  <c r="N63" i="8"/>
  <c r="N61" i="8"/>
  <c r="N56" i="8"/>
  <c r="F62" i="8"/>
  <c r="F69" i="8"/>
  <c r="F61" i="8"/>
  <c r="F68" i="8"/>
  <c r="F59" i="8"/>
  <c r="F60" i="8"/>
  <c r="F67" i="8"/>
  <c r="F58" i="8"/>
  <c r="F57" i="8"/>
  <c r="F56" i="8"/>
  <c r="F63" i="8"/>
  <c r="F65" i="8"/>
  <c r="F64" i="8"/>
  <c r="F66" i="8"/>
  <c r="D37" i="8"/>
  <c r="E17" i="7"/>
  <c r="E25" i="7" s="1"/>
  <c r="E26" i="7" s="1"/>
  <c r="AG31" i="7" l="1"/>
  <c r="AA6" i="7"/>
  <c r="E35" i="7"/>
  <c r="E43" i="7" s="1"/>
  <c r="C35" i="7"/>
  <c r="C43" i="7" s="1"/>
  <c r="B31" i="7"/>
  <c r="B39" i="7" s="1"/>
  <c r="B53" i="7"/>
  <c r="C31" i="7"/>
  <c r="C39" i="7" s="1"/>
  <c r="E31" i="7"/>
  <c r="E39" i="7" s="1"/>
  <c r="B35" i="7"/>
  <c r="B43" i="7" s="1"/>
  <c r="D35" i="7"/>
  <c r="D43" i="7" s="1"/>
  <c r="D53" i="7"/>
  <c r="C53" i="7"/>
  <c r="D31" i="7"/>
  <c r="D39" i="7" s="1"/>
  <c r="G31" i="7"/>
  <c r="G39" i="7" s="1"/>
  <c r="F31" i="7"/>
  <c r="F39" i="7" s="1"/>
  <c r="A53" i="7"/>
  <c r="W14" i="7"/>
  <c r="W15" i="7"/>
  <c r="U14" i="7"/>
  <c r="AA11" i="7" l="1"/>
  <c r="S15" i="7" s="1"/>
  <c r="AA10" i="7"/>
  <c r="U15" i="7" s="1"/>
  <c r="N76" i="7"/>
  <c r="N68" i="7"/>
  <c r="N65" i="7"/>
  <c r="N71" i="7"/>
  <c r="N70" i="7"/>
  <c r="N69" i="7"/>
  <c r="N79" i="7"/>
  <c r="N75" i="7"/>
  <c r="N67" i="7"/>
  <c r="N74" i="7"/>
  <c r="N78" i="7"/>
  <c r="N77" i="7"/>
  <c r="N66" i="7"/>
  <c r="N73" i="7"/>
  <c r="N72" i="7"/>
  <c r="F77" i="7"/>
  <c r="F69" i="7"/>
  <c r="F68" i="7"/>
  <c r="F67" i="7"/>
  <c r="F66" i="7"/>
  <c r="F74" i="7"/>
  <c r="F65" i="7"/>
  <c r="F78" i="7"/>
  <c r="F76" i="7"/>
  <c r="F75" i="7"/>
  <c r="F73" i="7"/>
  <c r="F72" i="7"/>
  <c r="F70" i="7"/>
  <c r="F71" i="7"/>
  <c r="O75" i="7"/>
  <c r="O67" i="7"/>
  <c r="O79" i="7"/>
  <c r="O74" i="7"/>
  <c r="O66" i="7"/>
  <c r="O70" i="7"/>
  <c r="O76" i="7"/>
  <c r="O73" i="7"/>
  <c r="O65" i="7"/>
  <c r="O78" i="7"/>
  <c r="O72" i="7"/>
  <c r="O77" i="7"/>
  <c r="O71" i="7"/>
  <c r="O69" i="7"/>
  <c r="O68" i="7"/>
  <c r="G68" i="7"/>
  <c r="G75" i="7"/>
  <c r="G67" i="7"/>
  <c r="G66" i="7"/>
  <c r="G73" i="7"/>
  <c r="G72" i="7"/>
  <c r="G71" i="7"/>
  <c r="G78" i="7"/>
  <c r="G69" i="7"/>
  <c r="G76" i="7"/>
  <c r="G74" i="7"/>
  <c r="G65" i="7"/>
  <c r="G77" i="7"/>
  <c r="G70" i="7"/>
  <c r="Q15" i="7"/>
  <c r="O15" i="7" s="1"/>
  <c r="Q14" i="7"/>
  <c r="D45" i="7"/>
  <c r="AD7" i="13"/>
  <c r="AO5" i="13"/>
  <c r="AO15" i="13" s="1"/>
  <c r="AO16" i="13" s="1"/>
  <c r="E23" i="13"/>
  <c r="O17" i="13" l="1"/>
  <c r="M17" i="13" s="1"/>
  <c r="U17" i="13"/>
  <c r="O16" i="13"/>
  <c r="U16" i="13"/>
  <c r="S16" i="13"/>
  <c r="AC11" i="13" s="1"/>
  <c r="Q17" i="13" s="1"/>
  <c r="S17" i="13"/>
  <c r="D32" i="13"/>
  <c r="D40" i="13" s="1"/>
  <c r="A72" i="13"/>
  <c r="C72" i="13"/>
  <c r="C28" i="13"/>
  <c r="C36" i="13" s="1"/>
  <c r="B72" i="13"/>
  <c r="D72" i="13"/>
  <c r="AO14" i="13"/>
  <c r="F28" i="13"/>
  <c r="F36" i="13" s="1"/>
  <c r="D28" i="13"/>
  <c r="D36" i="13" s="1"/>
  <c r="G28" i="13"/>
  <c r="G36" i="13" s="1"/>
  <c r="E28" i="13"/>
  <c r="E36" i="13" s="1"/>
  <c r="B28" i="13"/>
  <c r="B36" i="13" s="1"/>
  <c r="B32" i="13"/>
  <c r="B40" i="13" s="1"/>
  <c r="E32" i="13"/>
  <c r="E40" i="13" s="1"/>
  <c r="C32" i="13"/>
  <c r="C40" i="13" s="1"/>
  <c r="AO5" i="1"/>
  <c r="AO14" i="1" s="1"/>
  <c r="AG7" i="1"/>
  <c r="Y16" i="1" l="1"/>
  <c r="T16" i="1"/>
  <c r="O84" i="13"/>
  <c r="O92" i="13"/>
  <c r="O87" i="13"/>
  <c r="O88" i="13"/>
  <c r="O96" i="13"/>
  <c r="O89" i="13"/>
  <c r="O90" i="13"/>
  <c r="O85" i="13"/>
  <c r="O93" i="13"/>
  <c r="O86" i="13"/>
  <c r="O94" i="13"/>
  <c r="O95" i="13"/>
  <c r="O97" i="13"/>
  <c r="O98" i="13"/>
  <c r="O91" i="13"/>
  <c r="N84" i="13"/>
  <c r="N92" i="13"/>
  <c r="N85" i="13"/>
  <c r="N93" i="13"/>
  <c r="N87" i="13"/>
  <c r="N95" i="13"/>
  <c r="N88" i="13"/>
  <c r="N89" i="13"/>
  <c r="N97" i="13"/>
  <c r="N98" i="13"/>
  <c r="N86" i="13"/>
  <c r="N94" i="13"/>
  <c r="N96" i="13"/>
  <c r="N90" i="13"/>
  <c r="N91" i="13"/>
  <c r="E28" i="1"/>
  <c r="E36" i="1" s="1"/>
  <c r="D72" i="1"/>
  <c r="B72" i="1"/>
  <c r="G85" i="13"/>
  <c r="G92" i="13"/>
  <c r="G84" i="13"/>
  <c r="G91" i="13"/>
  <c r="G97" i="13"/>
  <c r="G96" i="13"/>
  <c r="G95" i="13"/>
  <c r="G86" i="13"/>
  <c r="G93" i="13"/>
  <c r="G90" i="13"/>
  <c r="G89" i="13"/>
  <c r="G88" i="13"/>
  <c r="G87" i="13"/>
  <c r="G94" i="13"/>
  <c r="F94" i="13"/>
  <c r="F86" i="13"/>
  <c r="F93" i="13"/>
  <c r="F92" i="13"/>
  <c r="F90" i="13"/>
  <c r="F84" i="13"/>
  <c r="F91" i="13"/>
  <c r="F89" i="13"/>
  <c r="F96" i="13"/>
  <c r="F95" i="13"/>
  <c r="F85" i="13"/>
  <c r="F88" i="13"/>
  <c r="F87" i="13"/>
  <c r="F97" i="13"/>
  <c r="X16" i="1"/>
  <c r="AG11" i="1" s="1"/>
  <c r="H28" i="1"/>
  <c r="H36" i="1" s="1"/>
  <c r="I28" i="1"/>
  <c r="I36" i="1" s="1"/>
  <c r="O16" i="1"/>
  <c r="AA17" i="1"/>
  <c r="Y17" i="1"/>
  <c r="D42" i="13"/>
  <c r="F28" i="1"/>
  <c r="F36" i="1" s="1"/>
  <c r="C72" i="1"/>
  <c r="A72" i="1"/>
  <c r="N98" i="1" s="1"/>
  <c r="O17" i="1"/>
  <c r="M17" i="1" s="1"/>
  <c r="AO15" i="1"/>
  <c r="AO16" i="1" s="1"/>
  <c r="D28" i="1"/>
  <c r="D36" i="1" s="1"/>
  <c r="F32" i="1"/>
  <c r="F40" i="1" s="1"/>
  <c r="B40" i="1"/>
  <c r="C28" i="1"/>
  <c r="C36" i="1" s="1"/>
  <c r="G32" i="1"/>
  <c r="G40" i="1" s="1"/>
  <c r="G28" i="1"/>
  <c r="G36" i="1" s="1"/>
  <c r="D32" i="1"/>
  <c r="D40" i="1" s="1"/>
  <c r="C32" i="1"/>
  <c r="C40" i="1" s="1"/>
  <c r="AA16" i="1"/>
  <c r="E32" i="1"/>
  <c r="E40" i="1" s="1"/>
  <c r="I32" i="1"/>
  <c r="I40" i="1" s="1"/>
  <c r="H32" i="1"/>
  <c r="H40" i="1" s="1"/>
  <c r="B28" i="1"/>
  <c r="B36" i="1" s="1"/>
  <c r="Q17" i="1" l="1"/>
  <c r="O98" i="1"/>
  <c r="R17" i="1"/>
  <c r="AG10" i="1"/>
  <c r="N93" i="1"/>
  <c r="N96" i="1"/>
  <c r="N90" i="1"/>
  <c r="N91" i="1"/>
  <c r="N92" i="1"/>
  <c r="N97" i="1"/>
  <c r="N95" i="1"/>
  <c r="N94" i="1"/>
  <c r="O93" i="1"/>
  <c r="O92" i="1"/>
  <c r="O97" i="1"/>
  <c r="O95" i="1"/>
  <c r="O94" i="1"/>
  <c r="O96" i="1"/>
  <c r="G87" i="1"/>
  <c r="G86" i="1"/>
  <c r="G84" i="1"/>
  <c r="G85" i="1"/>
  <c r="G90" i="1"/>
  <c r="G91" i="1"/>
  <c r="G92" i="1"/>
  <c r="G89" i="1"/>
  <c r="G94" i="1"/>
  <c r="G96" i="1"/>
  <c r="G95" i="1"/>
  <c r="G97" i="1"/>
  <c r="G93" i="1"/>
  <c r="G88" i="1"/>
  <c r="F89" i="1"/>
  <c r="F90" i="1"/>
  <c r="F91" i="1"/>
  <c r="F84" i="1"/>
  <c r="F97" i="1"/>
  <c r="F96" i="1"/>
  <c r="F86" i="1"/>
  <c r="F95" i="1"/>
  <c r="F94" i="1"/>
  <c r="F92" i="1"/>
  <c r="F93" i="1"/>
  <c r="F87" i="1"/>
  <c r="F85" i="1"/>
  <c r="F88" i="1"/>
  <c r="O86" i="1"/>
  <c r="O84" i="1"/>
  <c r="O85" i="1"/>
  <c r="O88" i="1"/>
  <c r="O90" i="1"/>
  <c r="O91" i="1"/>
  <c r="O89" i="1"/>
  <c r="O87" i="1"/>
  <c r="N88" i="1"/>
  <c r="N87" i="1"/>
  <c r="N86" i="1"/>
  <c r="N85" i="1"/>
  <c r="N84" i="1"/>
  <c r="N89" i="1"/>
  <c r="U17" i="1"/>
  <c r="D42" i="1"/>
</calcChain>
</file>

<file path=xl/sharedStrings.xml><?xml version="1.0" encoding="utf-8"?>
<sst xmlns="http://schemas.openxmlformats.org/spreadsheetml/2006/main" count="1655" uniqueCount="251">
  <si>
    <t>1'</t>
  </si>
  <si>
    <t>2e</t>
  </si>
  <si>
    <t>2n</t>
  </si>
  <si>
    <t>2r</t>
  </si>
  <si>
    <t>3e</t>
  </si>
  <si>
    <t>3r</t>
  </si>
  <si>
    <t>WALLS</t>
  </si>
  <si>
    <t>FLAT/HIP/GABLE ROOF 0 TO 7 DEGREES</t>
  </si>
  <si>
    <t>FLAT/HIP/GABLE ROOF 7 TO 20 DEGREES</t>
  </si>
  <si>
    <t>FLAT/HIP/GABLE ROOF 20 TO 27 DEGREES</t>
  </si>
  <si>
    <t>FLAT/HIP/GABLE ROOF 27 TO 45 DEGREES</t>
  </si>
  <si>
    <t>.-21.5</t>
  </si>
  <si>
    <t>.</t>
  </si>
  <si>
    <t>1 &amp; 1'</t>
  </si>
  <si>
    <t>WIND LOADS - Components and Cladding</t>
  </si>
  <si>
    <t>Conditions:</t>
  </si>
  <si>
    <t>- Simple Diaphragm</t>
  </si>
  <si>
    <t>- Regular Shaped</t>
  </si>
  <si>
    <t>- Not Classified as Flexible</t>
  </si>
  <si>
    <t>- Does not have special response characteristics</t>
  </si>
  <si>
    <t>- Symetrical with roof slope less than 45 degrees</t>
  </si>
  <si>
    <t>- Exempt from Torsional requirements</t>
  </si>
  <si>
    <t>mph</t>
  </si>
  <si>
    <t>Wind Exposure, λ=</t>
  </si>
  <si>
    <t>Mean Roof Height, h =</t>
  </si>
  <si>
    <t>ft.</t>
  </si>
  <si>
    <t>Wind Speed, V(ult) =</t>
  </si>
  <si>
    <t>(Avg)</t>
  </si>
  <si>
    <t>Wind Area</t>
  </si>
  <si>
    <t>Zone</t>
  </si>
  <si>
    <t>Wind Speed</t>
  </si>
  <si>
    <t>Height</t>
  </si>
  <si>
    <t>0 to 7 Slope</t>
  </si>
  <si>
    <t>7 to 20 Slope</t>
  </si>
  <si>
    <t>20 to 27 Slope</t>
  </si>
  <si>
    <t>27 to 45 Slope</t>
  </si>
  <si>
    <t>(Enclosed or partially open)</t>
  </si>
  <si>
    <t>C</t>
  </si>
  <si>
    <t>Postive</t>
  </si>
  <si>
    <t>Negative</t>
  </si>
  <si>
    <t>Pult (Ultimate Design Pressure)</t>
  </si>
  <si>
    <t>Pasd (Allowable Stress Design)</t>
  </si>
  <si>
    <t>psf</t>
  </si>
  <si>
    <t>(Enclosed)</t>
  </si>
  <si>
    <t>Wind Directionanlity Factor (Kd)=</t>
  </si>
  <si>
    <t>Ground Elevation (Ke)=</t>
  </si>
  <si>
    <t>Internal Pressure Coefficient (GCpi)=</t>
  </si>
  <si>
    <t>Topographic Factor (Kzt) =</t>
  </si>
  <si>
    <t>Building Height and Exposure (λ=)</t>
  </si>
  <si>
    <t>Velocity Pressure Exposure (Kz)=</t>
  </si>
  <si>
    <t>Velocity Pressure (Qh)=</t>
  </si>
  <si>
    <t>Wind Speed, V =</t>
  </si>
  <si>
    <t>Overhang:</t>
  </si>
  <si>
    <t>No</t>
  </si>
  <si>
    <t>Height of Parapet (ft.)=</t>
  </si>
  <si>
    <t>Width:</t>
  </si>
  <si>
    <t>Zone 4:</t>
  </si>
  <si>
    <t>Zone 5:</t>
  </si>
  <si>
    <t>Zone 2:</t>
  </si>
  <si>
    <t>Zone 1:</t>
  </si>
  <si>
    <t>Zone 3:</t>
  </si>
  <si>
    <t>=Std Kz from Table 30.3-1</t>
  </si>
  <si>
    <t>Allowable Stress Design</t>
  </si>
  <si>
    <t>Importance Factor (I)=</t>
  </si>
  <si>
    <t>FLAT/HIP/GABLE ROOF 7 TO 27 DEGREES</t>
  </si>
  <si>
    <t>7 to 27 Slope</t>
  </si>
  <si>
    <t>(Change to 1.15 For Risk Cat. III or IV)</t>
  </si>
  <si>
    <t>in 12</t>
  </si>
  <si>
    <t>(Degrees)</t>
  </si>
  <si>
    <t>Lenth:</t>
  </si>
  <si>
    <t>Building Dimensions=</t>
  </si>
  <si>
    <t>Roof Type =</t>
  </si>
  <si>
    <t>Transverse / Complex</t>
  </si>
  <si>
    <t>Eave Height =</t>
  </si>
  <si>
    <t>h =</t>
  </si>
  <si>
    <t>Roof Slope (Degrees) =</t>
  </si>
  <si>
    <t>Ht. to Peak</t>
  </si>
  <si>
    <r>
      <rPr>
        <sz val="10"/>
        <rFont val="Arial"/>
        <family val="2"/>
      </rPr>
      <t xml:space="preserve">Enter Roof Slope </t>
    </r>
    <r>
      <rPr>
        <sz val="10"/>
        <color rgb="FFFF0000"/>
        <rFont val="Arial"/>
        <family val="2"/>
      </rPr>
      <t>(decimals)</t>
    </r>
    <r>
      <rPr>
        <sz val="10"/>
        <rFont val="Arial"/>
        <family val="2"/>
      </rPr>
      <t xml:space="preserve"> =</t>
    </r>
  </si>
  <si>
    <t>+/- 0.18</t>
  </si>
  <si>
    <t>Ht. to Peak (Ft.)</t>
  </si>
  <si>
    <r>
      <rPr>
        <sz val="10"/>
        <rFont val="Arial"/>
        <family val="2"/>
      </rPr>
      <t xml:space="preserve">Enter Roof Slope </t>
    </r>
    <r>
      <rPr>
        <sz val="10"/>
        <color rgb="FFFF0000"/>
        <rFont val="Arial"/>
        <family val="2"/>
      </rPr>
      <t xml:space="preserve">(decimals) </t>
    </r>
    <r>
      <rPr>
        <sz val="10"/>
        <rFont val="Arial"/>
        <family val="2"/>
      </rPr>
      <t>=</t>
    </r>
  </si>
  <si>
    <r>
      <rPr>
        <sz val="10"/>
        <rFont val="Arial"/>
        <family val="2"/>
      </rPr>
      <t xml:space="preserve">Enter Roof Slope </t>
    </r>
    <r>
      <rPr>
        <sz val="10"/>
        <color rgb="FFFF0000"/>
        <rFont val="Arial"/>
        <family val="2"/>
      </rPr>
      <t xml:space="preserve">(decimals) </t>
    </r>
    <r>
      <rPr>
        <sz val="10"/>
        <color theme="1"/>
        <rFont val="Arial"/>
        <family val="2"/>
      </rPr>
      <t>=</t>
    </r>
  </si>
  <si>
    <t>Wind Speed, V(asd) =</t>
  </si>
  <si>
    <t>Building Dimensions</t>
  </si>
  <si>
    <t>Parapet =</t>
  </si>
  <si>
    <t>Method 2 Parapet</t>
  </si>
  <si>
    <t>Method 2</t>
  </si>
  <si>
    <t># of Fasteners:</t>
  </si>
  <si>
    <t>FL Approval #:</t>
  </si>
  <si>
    <t>Roofing Type:</t>
  </si>
  <si>
    <t>Sheathing:</t>
  </si>
  <si>
    <t>Underlayment:</t>
  </si>
  <si>
    <t>Insulation:</t>
  </si>
  <si>
    <t>Adhesive:</t>
  </si>
  <si>
    <t>Fastener Type:</t>
  </si>
  <si>
    <t>Zones</t>
  </si>
  <si>
    <t>Construction Type:</t>
  </si>
  <si>
    <t>HVHZ or Non-HVHZ:</t>
  </si>
  <si>
    <t>Roof Classification:</t>
  </si>
  <si>
    <t>Mule-Hide #:</t>
  </si>
  <si>
    <t>BELOW ONLY APPLIES TO EPDM OR TPO (MAX 1/2 IN 12 SLOPE)</t>
  </si>
  <si>
    <t>Additional Notes:</t>
  </si>
  <si>
    <t>1. HVHZ only apply to Miami Dade and Broward Counties.</t>
  </si>
  <si>
    <t>Steel Construction</t>
  </si>
  <si>
    <t>Non-HVHZ</t>
  </si>
  <si>
    <t>Class B</t>
  </si>
  <si>
    <t>Insulation / Underlayment</t>
  </si>
  <si>
    <t>Positive</t>
  </si>
  <si>
    <t>Wind Speed Conversion</t>
  </si>
  <si>
    <t>2. HVHZ: Impacted rated windows and doors are required.</t>
  </si>
  <si>
    <t>Pos. Zone 4</t>
  </si>
  <si>
    <t>Pos. Zone 5</t>
  </si>
  <si>
    <t>Neg. Zone 4</t>
  </si>
  <si>
    <t>Neg. Zone 5</t>
  </si>
  <si>
    <t>Door 1</t>
  </si>
  <si>
    <t>Door 2</t>
  </si>
  <si>
    <t>Door 3</t>
  </si>
  <si>
    <r>
      <t xml:space="preserve">3. State funded educational buildings (SREF) require </t>
    </r>
    <r>
      <rPr>
        <u/>
        <sz val="10"/>
        <color theme="1"/>
        <rFont val="Arial"/>
        <family val="2"/>
      </rPr>
      <t>Risk Category III</t>
    </r>
    <r>
      <rPr>
        <sz val="10"/>
        <color theme="1"/>
        <rFont val="Arial"/>
        <family val="2"/>
      </rPr>
      <t xml:space="preserve">.                                           </t>
    </r>
    <r>
      <rPr>
        <b/>
        <i/>
        <u/>
        <sz val="10"/>
        <color rgb="FFFF0000"/>
        <rFont val="Arial"/>
        <family val="2"/>
      </rPr>
      <t>Wind Speed &amp; Exposure will change!</t>
    </r>
  </si>
  <si>
    <t>Window 1</t>
  </si>
  <si>
    <t>Window 2</t>
  </si>
  <si>
    <t>Window 3</t>
  </si>
  <si>
    <t>Window 4</t>
  </si>
  <si>
    <t>Window 5</t>
  </si>
  <si>
    <t>Wind Speed V(asd) =</t>
  </si>
  <si>
    <t>Wind Speed V(ult) =</t>
  </si>
  <si>
    <t>ft. (Max 30')</t>
  </si>
  <si>
    <t>Eave Height from grade=</t>
  </si>
  <si>
    <t>Max Allowable Pressure:</t>
  </si>
  <si>
    <t>B</t>
  </si>
  <si>
    <t>D</t>
  </si>
  <si>
    <r>
      <t>Velocity Pressure Exposure (K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 or K</t>
    </r>
    <r>
      <rPr>
        <sz val="8"/>
        <color theme="1"/>
        <rFont val="Calibri"/>
        <family val="2"/>
        <scheme val="minor"/>
      </rPr>
      <t>z</t>
    </r>
    <r>
      <rPr>
        <sz val="11"/>
        <color theme="1"/>
        <rFont val="Calibri"/>
        <family val="2"/>
        <scheme val="minor"/>
      </rPr>
      <t>)</t>
    </r>
  </si>
  <si>
    <r>
      <t>Topographic Factor (K</t>
    </r>
    <r>
      <rPr>
        <sz val="8"/>
        <rFont val="Arial"/>
        <family val="2"/>
      </rPr>
      <t>zt</t>
    </r>
    <r>
      <rPr>
        <sz val="10"/>
        <rFont val="Arial"/>
        <family val="2"/>
      </rPr>
      <t>) =</t>
    </r>
  </si>
  <si>
    <r>
      <t>Wind Directionanlity Factor (K</t>
    </r>
    <r>
      <rPr>
        <sz val="8"/>
        <color theme="1"/>
        <rFont val="Arial"/>
        <family val="2"/>
      </rPr>
      <t>d</t>
    </r>
    <r>
      <rPr>
        <sz val="10"/>
        <color theme="1"/>
        <rFont val="Arial"/>
        <family val="2"/>
      </rPr>
      <t>)=</t>
    </r>
  </si>
  <si>
    <r>
      <t>Ground Elevation (K</t>
    </r>
    <r>
      <rPr>
        <sz val="8"/>
        <color theme="1"/>
        <rFont val="Arial"/>
        <family val="2"/>
      </rPr>
      <t>e</t>
    </r>
    <r>
      <rPr>
        <sz val="10"/>
        <color theme="1"/>
        <rFont val="Arial"/>
        <family val="2"/>
      </rPr>
      <t>)=</t>
    </r>
  </si>
  <si>
    <r>
      <t>Internal Pressure Coefficient (GC</t>
    </r>
    <r>
      <rPr>
        <sz val="8"/>
        <rFont val="Arial"/>
        <family val="2"/>
      </rPr>
      <t>pi</t>
    </r>
    <r>
      <rPr>
        <sz val="10"/>
        <rFont val="Arial"/>
        <family val="2"/>
      </rPr>
      <t>)=</t>
    </r>
  </si>
  <si>
    <r>
      <t>Velocity Pressure Exposure (K</t>
    </r>
    <r>
      <rPr>
        <sz val="8"/>
        <color theme="1"/>
        <rFont val="Arial"/>
        <family val="2"/>
      </rPr>
      <t>h</t>
    </r>
    <r>
      <rPr>
        <sz val="10"/>
        <color theme="1"/>
        <rFont val="Arial"/>
        <family val="2"/>
      </rPr>
      <t xml:space="preserve"> / K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)=</t>
    </r>
  </si>
  <si>
    <t>Alerternate Kz Formula (See Table 26.10-1)</t>
  </si>
  <si>
    <r>
      <t>Velocity Pressure (Q</t>
    </r>
    <r>
      <rPr>
        <sz val="8"/>
        <color theme="1"/>
        <rFont val="Arial"/>
        <family val="2"/>
      </rPr>
      <t>h</t>
    </r>
    <r>
      <rPr>
        <sz val="10"/>
        <color theme="1"/>
        <rFont val="Arial"/>
        <family val="2"/>
      </rPr>
      <t xml:space="preserve"> / Q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)=</t>
    </r>
  </si>
  <si>
    <t>Window &amp; Door Wind Pressure (DP)</t>
  </si>
  <si>
    <t>Design Pressure (p)</t>
  </si>
  <si>
    <t>psf (0.00256KzKztKdV^2I)</t>
  </si>
  <si>
    <r>
      <t>Internal Pressure Coefficient (GC</t>
    </r>
    <r>
      <rPr>
        <sz val="8"/>
        <rFont val="Arial"/>
        <family val="2"/>
      </rPr>
      <t>pi</t>
    </r>
    <r>
      <rPr>
        <sz val="10"/>
        <rFont val="Arial"/>
        <family val="2"/>
      </rPr>
      <t>)</t>
    </r>
  </si>
  <si>
    <r>
      <t>Velocity Pressure Exposure (K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)=</t>
    </r>
  </si>
  <si>
    <r>
      <t>Velocity Pressure (Q</t>
    </r>
    <r>
      <rPr>
        <sz val="8"/>
        <color theme="1"/>
        <rFont val="Arial"/>
        <family val="2"/>
      </rPr>
      <t>h</t>
    </r>
    <r>
      <rPr>
        <sz val="10"/>
        <color theme="1"/>
        <rFont val="Arial"/>
        <family val="2"/>
      </rPr>
      <t>)=</t>
    </r>
  </si>
  <si>
    <t>(Method 2 - Analytical Procedure)</t>
  </si>
  <si>
    <t>(Part 1 - Low Rise Buildings)</t>
  </si>
  <si>
    <t>Endwall:</t>
  </si>
  <si>
    <t>Sidewall:</t>
  </si>
  <si>
    <t>&lt;---Zone 2</t>
  </si>
  <si>
    <t>&lt;---Zone 1</t>
  </si>
  <si>
    <t>width</t>
  </si>
  <si>
    <t>length</t>
  </si>
  <si>
    <t>Total Length (ft):</t>
  </si>
  <si>
    <t>Slope: 0 to 7 Degrees</t>
  </si>
  <si>
    <t>Slope: 7 to 27 Degrees</t>
  </si>
  <si>
    <t>Slope: 27 to 45 Degrees</t>
  </si>
  <si>
    <t>Each Corner</t>
  </si>
  <si>
    <t>&lt;---Wind Zones @ Roof</t>
  </si>
  <si>
    <t>Slope: 7 to 45 Degrees</t>
  </si>
  <si>
    <t>Zone Dimensions (FT.)</t>
  </si>
  <si>
    <t>&lt;---Wind Zones 4 &amp; 5 Endwalls</t>
  </si>
  <si>
    <t>&lt;---Wind Zones 4 &amp; 5 Sidewalls</t>
  </si>
  <si>
    <t>Total Width (ft) each corner / side:</t>
  </si>
  <si>
    <t>-</t>
  </si>
  <si>
    <r>
      <t>psf (0.00256K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zt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d</t>
    </r>
    <r>
      <rPr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>^2</t>
    </r>
    <r>
      <rPr>
        <sz val="10"/>
        <color theme="1"/>
        <rFont val="Arial"/>
        <family val="2"/>
      </rPr>
      <t>)</t>
    </r>
  </si>
  <si>
    <r>
      <t>psf (0.00256K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zt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d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e</t>
    </r>
    <r>
      <rPr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>^2</t>
    </r>
    <r>
      <rPr>
        <sz val="10"/>
        <color theme="1"/>
        <rFont val="Arial"/>
        <family val="2"/>
      </rPr>
      <t>)</t>
    </r>
  </si>
  <si>
    <r>
      <t>psf (0.00256K</t>
    </r>
    <r>
      <rPr>
        <sz val="8"/>
        <color theme="1"/>
        <rFont val="Arial"/>
        <family val="2"/>
      </rPr>
      <t>z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zt</t>
    </r>
    <r>
      <rPr>
        <sz val="10"/>
        <color theme="1"/>
        <rFont val="Arial"/>
        <family val="2"/>
      </rPr>
      <t>K</t>
    </r>
    <r>
      <rPr>
        <sz val="8"/>
        <color theme="1"/>
        <rFont val="Arial"/>
        <family val="2"/>
      </rPr>
      <t>e</t>
    </r>
    <r>
      <rPr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>^2</t>
    </r>
    <r>
      <rPr>
        <sz val="10"/>
        <color theme="1"/>
        <rFont val="Arial"/>
        <family val="2"/>
      </rPr>
      <t>)</t>
    </r>
  </si>
  <si>
    <t>&lt;---Ht. w/o parapet</t>
  </si>
  <si>
    <t>&lt;---Ht. w/ parapet</t>
  </si>
  <si>
    <t>Alerternate Kz Formula (See Table 29.3-1)</t>
  </si>
  <si>
    <t>(Table 26.10-1)</t>
  </si>
  <si>
    <t>(Table 26.6-1)</t>
  </si>
  <si>
    <t>(Table 26.9-1)</t>
  </si>
  <si>
    <t>(Table 29.3-1)</t>
  </si>
  <si>
    <t>(Table 26.11-1)</t>
  </si>
  <si>
    <t>(Table 26.13-1)</t>
  </si>
  <si>
    <r>
      <t xml:space="preserve">(Change to 1.15 For Risk Cat. III or IV) </t>
    </r>
    <r>
      <rPr>
        <sz val="11"/>
        <rFont val="Calibri"/>
        <family val="2"/>
        <scheme val="minor"/>
      </rPr>
      <t>(Table 6-1)</t>
    </r>
  </si>
  <si>
    <t>(Table 6-3)</t>
  </si>
  <si>
    <t>(Table 6-4)</t>
  </si>
  <si>
    <t>(Avg) (Section 6.5.7.2)</t>
  </si>
  <si>
    <t>(Section 6.5.4)</t>
  </si>
  <si>
    <t>(Avg) (Section 26.8.2)</t>
  </si>
  <si>
    <t>- Effective Wind Area figured at 10 sq. ft.</t>
  </si>
  <si>
    <t>- Low rise / Low slope building</t>
  </si>
  <si>
    <t>Wind Speed V =</t>
  </si>
  <si>
    <t>Wind Speed, V=</t>
  </si>
  <si>
    <t>(Part 1 - Low-Rise Buildings)</t>
  </si>
  <si>
    <t>(PART 2 - SIMPLIFIED METHOD)</t>
  </si>
  <si>
    <t>(PART 1 - SIMPLIFIED METHOD)</t>
  </si>
  <si>
    <r>
      <t xml:space="preserve">(ASCE 7-10 Applies to </t>
    </r>
    <r>
      <rPr>
        <b/>
        <sz val="10"/>
        <color rgb="FF7030A0"/>
        <rFont val="Arial"/>
        <family val="2"/>
      </rPr>
      <t xml:space="preserve">2012 IBC </t>
    </r>
    <r>
      <rPr>
        <b/>
        <sz val="10"/>
        <rFont val="Arial"/>
        <family val="2"/>
      </rPr>
      <t>&amp;</t>
    </r>
    <r>
      <rPr>
        <b/>
        <sz val="10"/>
        <color rgb="FF7030A0"/>
        <rFont val="Arial"/>
        <family val="2"/>
      </rPr>
      <t xml:space="preserve"> 2015 IBC</t>
    </r>
    <r>
      <rPr>
        <b/>
        <sz val="10"/>
        <rFont val="Arial"/>
        <family val="2"/>
      </rPr>
      <t>)</t>
    </r>
  </si>
  <si>
    <r>
      <t xml:space="preserve">(ASCE 7-16 Applies to </t>
    </r>
    <r>
      <rPr>
        <b/>
        <sz val="10"/>
        <color rgb="FF7030A0"/>
        <rFont val="Arial"/>
        <family val="2"/>
      </rPr>
      <t xml:space="preserve">2018 IBC </t>
    </r>
    <r>
      <rPr>
        <b/>
        <sz val="10"/>
        <rFont val="Arial"/>
        <family val="2"/>
      </rPr>
      <t>&amp;</t>
    </r>
    <r>
      <rPr>
        <b/>
        <sz val="10"/>
        <color rgb="FF7030A0"/>
        <rFont val="Arial"/>
        <family val="2"/>
      </rPr>
      <t xml:space="preserve"> 2021 IBC</t>
    </r>
    <r>
      <rPr>
        <b/>
        <sz val="10"/>
        <rFont val="Arial"/>
        <family val="2"/>
      </rPr>
      <t>)</t>
    </r>
  </si>
  <si>
    <r>
      <t xml:space="preserve">(ASCE 7-05 Applies to </t>
    </r>
    <r>
      <rPr>
        <b/>
        <sz val="10"/>
        <color rgb="FF7030A0"/>
        <rFont val="Arial"/>
        <family val="2"/>
      </rPr>
      <t>2009 IBC</t>
    </r>
    <r>
      <rPr>
        <b/>
        <sz val="10"/>
        <rFont val="Arial"/>
        <family val="2"/>
      </rPr>
      <t>)</t>
    </r>
  </si>
  <si>
    <t>Ke=e^0.0000362Kg (Kg=Elevation)</t>
  </si>
  <si>
    <t>Ground Elevation:</t>
  </si>
  <si>
    <t>(e=Euler's number - 2.71828)</t>
  </si>
  <si>
    <t>Alternate Formula Table 26.9-1</t>
  </si>
  <si>
    <t>IBC, 2404.1, Wind Speed V must be used</t>
  </si>
  <si>
    <t>IBC, 2404.1, Wind Speed Vult must be used</t>
  </si>
  <si>
    <t>TELstar door w/ std. hardware:</t>
  </si>
  <si>
    <t>TELstar door w/ 10x10 pane &amp; std. hardware:</t>
  </si>
  <si>
    <t>TELstar door w/ 10x10 pane &amp; panic hardware:</t>
  </si>
  <si>
    <t>TELstar Pro door w/ std. hardware:</t>
  </si>
  <si>
    <t>TELstar Pro door w/ panic hardware:</t>
  </si>
  <si>
    <t>TELstar Spartan door w/ panic hardware:</t>
  </si>
  <si>
    <t>TELstar door w/ panic hardware:</t>
  </si>
  <si>
    <t>TELstar Spartan door w/ pane &amp; panic hardware:</t>
  </si>
  <si>
    <t>Dbl. TELstar Spartan door w/ pane &amp; panic hardware:</t>
  </si>
  <si>
    <t>707 Commercial steel door w/ hardware (Curries Windstorm):</t>
  </si>
  <si>
    <t>Dbl. 707 Commercial steel door w/ hardware (Curries Windstorm):</t>
  </si>
  <si>
    <t>Door Type:</t>
  </si>
  <si>
    <t>Wall Zones:</t>
  </si>
  <si>
    <t>EXTERIOR DOORS:</t>
  </si>
  <si>
    <t>Wintech 2510 Aluminum H.S.:</t>
  </si>
  <si>
    <t>Wintech 2520 Aluminum Fixed:</t>
  </si>
  <si>
    <t>Wintech G70 Vinyl single hung:</t>
  </si>
  <si>
    <t>Wintech G70 Vinyl H.S.:</t>
  </si>
  <si>
    <t>Wintech S251 Aluminum fixed:</t>
  </si>
  <si>
    <t>Wintech M225 Aluminum single hung:</t>
  </si>
  <si>
    <t>Kinro 9750 Vinyl single hung:</t>
  </si>
  <si>
    <t>Window Type:</t>
  </si>
  <si>
    <t>EXTERIOR WINDOWS:</t>
  </si>
  <si>
    <t>607 Commercial steel door w/ std. hardware:</t>
  </si>
  <si>
    <t>607 Commercial steel door w/ panic hardware:</t>
  </si>
  <si>
    <t>Dbl. 607 Commercial steel door w/ panic hardware:</t>
  </si>
  <si>
    <t>Design Pressure:</t>
  </si>
  <si>
    <t>Negative:</t>
  </si>
  <si>
    <t>Positive:</t>
  </si>
  <si>
    <t>Kinro 9990 Vinyl horizontal slider:</t>
  </si>
  <si>
    <t>Krestmark 200 Vinyl single hung:</t>
  </si>
  <si>
    <t>Krestmark 4000 Vinyl single hung Impact:</t>
  </si>
  <si>
    <t>Ply Gem 500 Vinyl single hung:</t>
  </si>
  <si>
    <t>Ply Gem 1110 Vinyl single hung:</t>
  </si>
  <si>
    <t>Ply Gem 1500 Vinyl single hung Impact:</t>
  </si>
  <si>
    <t>Showcase 143 Vinyl horizontal slider Impact (48x36):</t>
  </si>
  <si>
    <t>U-Factor:</t>
  </si>
  <si>
    <t>SHGC:</t>
  </si>
  <si>
    <t>Wintech 2560 Aluminum single hung:</t>
  </si>
  <si>
    <t>Gable / Mono</t>
  </si>
  <si>
    <r>
      <t>p=qp(GC</t>
    </r>
    <r>
      <rPr>
        <sz val="8"/>
        <color theme="1"/>
        <rFont val="Arial"/>
        <family val="2"/>
      </rPr>
      <t>p</t>
    </r>
    <r>
      <rPr>
        <sz val="10"/>
        <color theme="1"/>
        <rFont val="Arial"/>
        <family val="2"/>
      </rPr>
      <t>)-(GC</t>
    </r>
    <r>
      <rPr>
        <sz val="8"/>
        <color theme="1"/>
        <rFont val="Arial"/>
        <family val="2"/>
      </rPr>
      <t>pi</t>
    </r>
    <r>
      <rPr>
        <sz val="10"/>
        <color theme="1"/>
        <rFont val="Arial"/>
        <family val="2"/>
      </rPr>
      <t>) - (Sectioin 30.3.2.)</t>
    </r>
  </si>
  <si>
    <r>
      <t>p=q</t>
    </r>
    <r>
      <rPr>
        <sz val="8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K</t>
    </r>
    <r>
      <rPr>
        <sz val="8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[(GC</t>
    </r>
    <r>
      <rPr>
        <sz val="8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)-(GC</t>
    </r>
    <r>
      <rPr>
        <sz val="8"/>
        <color theme="1"/>
        <rFont val="Calibri"/>
        <family val="2"/>
        <scheme val="minor"/>
      </rPr>
      <t>pi</t>
    </r>
    <r>
      <rPr>
        <sz val="11"/>
        <color theme="1"/>
        <rFont val="Calibri"/>
        <family val="2"/>
        <scheme val="minor"/>
      </rPr>
      <t>)] - (Section 30.3.2)</t>
    </r>
  </si>
  <si>
    <r>
      <t>p</t>
    </r>
    <r>
      <rPr>
        <sz val="8"/>
        <color theme="1"/>
        <rFont val="Calibri"/>
        <family val="2"/>
        <scheme val="minor"/>
      </rPr>
      <t>net</t>
    </r>
    <r>
      <rPr>
        <sz val="11"/>
        <color theme="1"/>
        <rFont val="Calibri"/>
        <family val="2"/>
        <scheme val="minor"/>
      </rPr>
      <t>=λK</t>
    </r>
    <r>
      <rPr>
        <sz val="8"/>
        <color theme="1"/>
        <rFont val="Calibri"/>
        <family val="2"/>
        <scheme val="minor"/>
      </rPr>
      <t>zt</t>
    </r>
    <r>
      <rPr>
        <sz val="11"/>
        <color theme="1"/>
        <rFont val="Calibri"/>
        <family val="2"/>
        <scheme val="minor"/>
      </rPr>
      <t>IP</t>
    </r>
    <r>
      <rPr>
        <sz val="8"/>
        <color theme="1"/>
        <rFont val="Calibri"/>
        <family val="2"/>
        <scheme val="minor"/>
      </rPr>
      <t>net30 -</t>
    </r>
    <r>
      <rPr>
        <sz val="11"/>
        <color theme="1"/>
        <rFont val="Calibri"/>
        <family val="2"/>
        <scheme val="minor"/>
      </rPr>
      <t xml:space="preserve"> (Section 30.4.2)</t>
    </r>
  </si>
  <si>
    <r>
      <t>p</t>
    </r>
    <r>
      <rPr>
        <sz val="8"/>
        <color theme="1"/>
        <rFont val="Calibri"/>
        <family val="2"/>
        <scheme val="minor"/>
      </rPr>
      <t>net</t>
    </r>
    <r>
      <rPr>
        <sz val="11"/>
        <color theme="1"/>
        <rFont val="Calibri"/>
        <family val="2"/>
        <scheme val="minor"/>
      </rPr>
      <t>=λK</t>
    </r>
    <r>
      <rPr>
        <sz val="8"/>
        <color theme="1"/>
        <rFont val="Calibri"/>
        <family val="2"/>
        <scheme val="minor"/>
      </rPr>
      <t>zt</t>
    </r>
    <r>
      <rPr>
        <sz val="11"/>
        <color theme="1"/>
        <rFont val="Calibri"/>
        <family val="2"/>
        <scheme val="minor"/>
      </rPr>
      <t>IP</t>
    </r>
    <r>
      <rPr>
        <sz val="8"/>
        <color theme="1"/>
        <rFont val="Calibri"/>
        <family val="2"/>
        <scheme val="minor"/>
      </rPr>
      <t>net30</t>
    </r>
    <r>
      <rPr>
        <sz val="11"/>
        <color theme="1"/>
        <rFont val="Calibri"/>
        <family val="2"/>
        <scheme val="minor"/>
      </rPr>
      <t xml:space="preserve"> - (Section 6.4.2.2)</t>
    </r>
  </si>
  <si>
    <r>
      <t>p=qp(GC</t>
    </r>
    <r>
      <rPr>
        <sz val="8"/>
        <color theme="1"/>
        <rFont val="Arial"/>
        <family val="2"/>
      </rPr>
      <t>p</t>
    </r>
    <r>
      <rPr>
        <sz val="10"/>
        <color theme="1"/>
        <rFont val="Arial"/>
        <family val="2"/>
      </rPr>
      <t>)-(GC</t>
    </r>
    <r>
      <rPr>
        <sz val="8"/>
        <color theme="1"/>
        <rFont val="Arial"/>
        <family val="2"/>
      </rPr>
      <t>pi</t>
    </r>
    <r>
      <rPr>
        <sz val="10"/>
        <color theme="1"/>
        <rFont val="Arial"/>
        <family val="2"/>
      </rPr>
      <t>) - (Section 6.5.12.4)</t>
    </r>
  </si>
  <si>
    <t>(Figure 6-3)</t>
  </si>
  <si>
    <r>
      <t>p=P</t>
    </r>
    <r>
      <rPr>
        <sz val="8"/>
        <color theme="1"/>
        <rFont val="Calibri"/>
        <family val="2"/>
        <scheme val="minor"/>
      </rPr>
      <t>table</t>
    </r>
    <r>
      <rPr>
        <sz val="11"/>
        <color theme="1"/>
        <rFont val="Calibri"/>
        <family val="2"/>
        <scheme val="minor"/>
      </rPr>
      <t>(EAF)(RF)K</t>
    </r>
    <r>
      <rPr>
        <sz val="8"/>
        <color theme="1"/>
        <rFont val="Calibri"/>
        <family val="2"/>
        <scheme val="minor"/>
      </rPr>
      <t>zt</t>
    </r>
    <r>
      <rPr>
        <sz val="11"/>
        <color theme="1"/>
        <rFont val="Calibri"/>
        <family val="2"/>
        <scheme val="minor"/>
      </rPr>
      <t xml:space="preserve"> - (Section 30.7.1.1)</t>
    </r>
  </si>
  <si>
    <t>(Avg) (Section 26.8)</t>
  </si>
  <si>
    <t>(Table 30.7-2)</t>
  </si>
  <si>
    <r>
      <t>p=qp(GC</t>
    </r>
    <r>
      <rPr>
        <sz val="8"/>
        <color theme="1"/>
        <rFont val="Arial"/>
        <family val="2"/>
      </rPr>
      <t>p</t>
    </r>
    <r>
      <rPr>
        <sz val="10"/>
        <color theme="1"/>
        <rFont val="Arial"/>
        <family val="2"/>
      </rPr>
      <t>)-(GC</t>
    </r>
    <r>
      <rPr>
        <sz val="8"/>
        <color theme="1"/>
        <rFont val="Arial"/>
        <family val="2"/>
      </rPr>
      <t>pi</t>
    </r>
    <r>
      <rPr>
        <sz val="10"/>
        <color theme="1"/>
        <rFont val="Arial"/>
        <family val="2"/>
      </rPr>
      <t>) - (Section 30.6.2)</t>
    </r>
  </si>
  <si>
    <r>
      <t xml:space="preserve">(ASCE 7-22 Applies to </t>
    </r>
    <r>
      <rPr>
        <b/>
        <sz val="10"/>
        <color rgb="FF7030A0"/>
        <rFont val="Arial"/>
        <family val="2"/>
      </rPr>
      <t xml:space="preserve">2023 FL Code, 2021 VA Code </t>
    </r>
    <r>
      <rPr>
        <b/>
        <sz val="10"/>
        <rFont val="Arial"/>
        <family val="2"/>
      </rPr>
      <t>&amp;</t>
    </r>
    <r>
      <rPr>
        <b/>
        <sz val="10"/>
        <color rgb="FF7030A0"/>
        <rFont val="Arial"/>
        <family val="2"/>
      </rPr>
      <t xml:space="preserve"> 2024 IBC</t>
    </r>
    <r>
      <rPr>
        <b/>
        <sz val="10"/>
        <rFont val="Arial"/>
        <family val="2"/>
      </rPr>
      <t>)</t>
    </r>
  </si>
  <si>
    <t>Zone 1':</t>
  </si>
  <si>
    <t>ft. (Max 57')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</si>
</sst>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??/16"/>
    <numFmt numFmtId="165" formatCode="0.000"/>
    <numFmt numFmtId="166" formatCode="#,##0.0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0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rgb="FFC00000"/>
      <name val="Arial"/>
      <family val="2"/>
    </font>
    <font>
      <b/>
      <i/>
      <u/>
      <sz val="10"/>
      <color rgb="FFFF0000"/>
      <name val="Arial"/>
      <family val="2"/>
    </font>
    <font>
      <u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7030A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quotePrefix="1" applyFont="1"/>
    <xf numFmtId="0" fontId="1" fillId="0" borderId="0" xfId="0" applyFon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/>
    <xf numFmtId="0" fontId="7" fillId="0" borderId="0" xfId="0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2" fontId="7" fillId="0" borderId="0" xfId="0" applyNumberFormat="1" applyFont="1"/>
    <xf numFmtId="2" fontId="8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quotePrefix="1"/>
    <xf numFmtId="0" fontId="0" fillId="0" borderId="1" xfId="0" applyBorder="1"/>
    <xf numFmtId="0" fontId="0" fillId="0" borderId="0" xfId="0" applyAlignment="1">
      <alignment vertical="center" textRotation="90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5" fillId="0" borderId="0" xfId="0" applyFont="1" applyAlignment="1">
      <alignment vertical="center" textRotation="90" wrapText="1"/>
    </xf>
    <xf numFmtId="0" fontId="0" fillId="0" borderId="15" xfId="0" applyBorder="1"/>
    <xf numFmtId="0" fontId="7" fillId="0" borderId="1" xfId="0" applyFont="1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7" fillId="0" borderId="0" xfId="0" quotePrefix="1" applyFont="1" applyAlignment="1">
      <alignment vertical="center"/>
    </xf>
    <xf numFmtId="16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9" fillId="0" borderId="0" xfId="0" applyFont="1"/>
    <xf numFmtId="0" fontId="7" fillId="0" borderId="0" xfId="0" quotePrefix="1" applyFont="1"/>
    <xf numFmtId="0" fontId="6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quotePrefix="1" applyFont="1" applyAlignment="1">
      <alignment horizontal="center"/>
    </xf>
    <xf numFmtId="1" fontId="0" fillId="0" borderId="0" xfId="0" applyNumberFormat="1"/>
    <xf numFmtId="1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2" borderId="1" xfId="0" quotePrefix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7" fillId="2" borderId="1" xfId="0" applyFont="1" applyFill="1" applyBorder="1" applyAlignment="1">
      <alignment horizontal="center"/>
    </xf>
    <xf numFmtId="165" fontId="0" fillId="0" borderId="0" xfId="0" applyNumberFormat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1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2" fontId="7" fillId="2" borderId="0" xfId="0" applyNumberFormat="1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1" fontId="16" fillId="0" borderId="0" xfId="0" applyNumberFormat="1" applyFont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167" fontId="0" fillId="0" borderId="0" xfId="0" applyNumberFormat="1"/>
    <xf numFmtId="0" fontId="20" fillId="0" borderId="0" xfId="0" applyFont="1"/>
    <xf numFmtId="4" fontId="0" fillId="0" borderId="0" xfId="0" applyNumberFormat="1"/>
    <xf numFmtId="165" fontId="7" fillId="0" borderId="0" xfId="0" applyNumberFormat="1" applyFont="1" applyAlignment="1">
      <alignment vertical="center"/>
    </xf>
    <xf numFmtId="2" fontId="7" fillId="0" borderId="4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23" fillId="0" borderId="0" xfId="0" applyFont="1"/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2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0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3" xfId="0" applyFont="1" applyBorder="1" applyAlignment="1">
      <alignment horizontal="right" vertical="center" wrapText="1"/>
    </xf>
    <xf numFmtId="0" fontId="7" fillId="0" borderId="21" xfId="0" applyFont="1" applyBorder="1" applyAlignment="1">
      <alignment horizontal="right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40" xfId="0" applyFont="1" applyBorder="1" applyAlignment="1">
      <alignment horizontal="right" vertical="center" wrapText="1"/>
    </xf>
    <xf numFmtId="0" fontId="7" fillId="0" borderId="41" xfId="0" applyFont="1" applyBorder="1" applyAlignment="1">
      <alignment horizontal="right" vertical="center" wrapText="1"/>
    </xf>
    <xf numFmtId="0" fontId="7" fillId="0" borderId="42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3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3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7" fillId="0" borderId="46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3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right" vertical="center"/>
    </xf>
    <xf numFmtId="0" fontId="7" fillId="0" borderId="31" xfId="0" applyFont="1" applyBorder="1" applyAlignment="1">
      <alignment horizontal="right" vertical="center" wrapText="1"/>
    </xf>
    <xf numFmtId="0" fontId="7" fillId="0" borderId="32" xfId="0" applyFont="1" applyBorder="1" applyAlignment="1">
      <alignment horizontal="right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textRotation="90"/>
    </xf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 wrapText="1"/>
    </xf>
  </cellXfs>
  <cellStyles count="1">
    <cellStyle name="Normal" xfId="0" builtinId="0"/>
  </cellStyles>
  <dxfs count="92">
    <dxf>
      <font>
        <color rgb="FFFF0000"/>
      </font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/>
        <top/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/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border>
        <left/>
        <right/>
        <top/>
        <bottom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/>
        <top/>
        <bottom/>
        <vertical/>
        <horizontal/>
      </border>
    </dxf>
    <dxf>
      <border>
        <right/>
        <bottom/>
        <vertical/>
        <horizontal/>
      </border>
    </dxf>
    <dxf>
      <border>
        <left style="thin">
          <color auto="1"/>
        </left>
        <right/>
        <top/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  <dxf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border>
        <left/>
        <right/>
        <top style="thin">
          <color auto="1"/>
        </top>
        <bottom/>
        <vertical/>
        <horizontal/>
      </border>
    </dxf>
    <dxf>
      <font>
        <color rgb="FFFF0000"/>
      </font>
    </dxf>
    <dxf>
      <font>
        <color rgb="FFFF0000"/>
      </font>
    </dxf>
    <dxf>
      <border>
        <left style="thin">
          <color auto="1"/>
        </left>
        <right/>
        <top/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/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/>
        <top style="thin">
          <color auto="1"/>
        </top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</xdr:colOff>
      <xdr:row>47</xdr:row>
      <xdr:rowOff>15240</xdr:rowOff>
    </xdr:from>
    <xdr:to>
      <xdr:col>11</xdr:col>
      <xdr:colOff>491979</xdr:colOff>
      <xdr:row>59</xdr:row>
      <xdr:rowOff>72714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A0CFF4-03FE-A311-8BF6-96796D8A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4745" y="8785860"/>
          <a:ext cx="3536169" cy="224060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13</xdr:col>
      <xdr:colOff>148863</xdr:colOff>
      <xdr:row>39</xdr:row>
      <xdr:rowOff>148849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823C3D-EC37-EF8C-877B-B2AD3B91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5800725"/>
          <a:ext cx="1952898" cy="1857634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28</xdr:row>
      <xdr:rowOff>57150</xdr:rowOff>
    </xdr:from>
    <xdr:to>
      <xdr:col>16</xdr:col>
      <xdr:colOff>377401</xdr:colOff>
      <xdr:row>39</xdr:row>
      <xdr:rowOff>110792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23CE4E-EB95-53EB-4839-1E69A7135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1075" y="5467350"/>
          <a:ext cx="1514686" cy="2162477"/>
        </a:xfrm>
        <a:prstGeom prst="rect">
          <a:avLst/>
        </a:prstGeom>
      </xdr:spPr>
    </xdr:pic>
    <xdr:clientData/>
  </xdr:twoCellAnchor>
  <xdr:twoCellAnchor editAs="oneCell">
    <xdr:from>
      <xdr:col>18</xdr:col>
      <xdr:colOff>171450</xdr:colOff>
      <xdr:row>27</xdr:row>
      <xdr:rowOff>142875</xdr:rowOff>
    </xdr:from>
    <xdr:to>
      <xdr:col>20</xdr:col>
      <xdr:colOff>453599</xdr:colOff>
      <xdr:row>39</xdr:row>
      <xdr:rowOff>303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D143792-21C4-2A05-0D66-48E06094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50" y="5362575"/>
          <a:ext cx="1495634" cy="21720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65</xdr:row>
      <xdr:rowOff>66675</xdr:rowOff>
    </xdr:from>
    <xdr:to>
      <xdr:col>10</xdr:col>
      <xdr:colOff>530079</xdr:colOff>
      <xdr:row>77</xdr:row>
      <xdr:rowOff>148914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127163-5D35-C7F8-F2BC-D2A3C34F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0" y="12030075"/>
          <a:ext cx="3534264" cy="2229174"/>
        </a:xfrm>
        <a:prstGeom prst="rect">
          <a:avLst/>
        </a:prstGeom>
      </xdr:spPr>
    </xdr:pic>
    <xdr:clientData/>
  </xdr:twoCellAnchor>
  <xdr:twoCellAnchor editAs="oneCell">
    <xdr:from>
      <xdr:col>9</xdr:col>
      <xdr:colOff>266700</xdr:colOff>
      <xdr:row>24</xdr:row>
      <xdr:rowOff>152400</xdr:rowOff>
    </xdr:from>
    <xdr:to>
      <xdr:col>13</xdr:col>
      <xdr:colOff>72708</xdr:colOff>
      <xdr:row>35</xdr:row>
      <xdr:rowOff>148884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DBEB18-9741-4759-963B-4DAE862E1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7940" y="5204460"/>
          <a:ext cx="2343468" cy="2019594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114300</xdr:colOff>
      <xdr:row>25</xdr:row>
      <xdr:rowOff>9525</xdr:rowOff>
    </xdr:from>
    <xdr:to>
      <xdr:col>16</xdr:col>
      <xdr:colOff>567916</xdr:colOff>
      <xdr:row>35</xdr:row>
      <xdr:rowOff>110769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4668B6E-0450-44CF-9886-74413137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9740" y="5252085"/>
          <a:ext cx="1665196" cy="19300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466725</xdr:colOff>
      <xdr:row>25</xdr:row>
      <xdr:rowOff>28575</xdr:rowOff>
    </xdr:from>
    <xdr:to>
      <xdr:col>13</xdr:col>
      <xdr:colOff>194613</xdr:colOff>
      <xdr:row>38</xdr:row>
      <xdr:rowOff>152766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492B0-D720-4CB5-BC80-4F3C72588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5248275"/>
          <a:ext cx="2172003" cy="2619741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24</xdr:row>
      <xdr:rowOff>180975</xdr:rowOff>
    </xdr:from>
    <xdr:to>
      <xdr:col>17</xdr:col>
      <xdr:colOff>230423</xdr:colOff>
      <xdr:row>38</xdr:row>
      <xdr:rowOff>110490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EC89B4-D2B7-4A0F-9812-1F1FA83C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5210175"/>
          <a:ext cx="2125898" cy="26289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21</xdr:col>
      <xdr:colOff>186690</xdr:colOff>
      <xdr:row>38</xdr:row>
      <xdr:rowOff>148254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C88095-93D5-4657-8A37-065ABE41F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5219700"/>
          <a:ext cx="1990725" cy="263427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10</xdr:col>
      <xdr:colOff>457689</xdr:colOff>
      <xdr:row>78</xdr:row>
      <xdr:rowOff>38424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CFBE16-7637-49A8-B86C-F5C566E07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" y="12696825"/>
          <a:ext cx="3505689" cy="232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542925</xdr:colOff>
      <xdr:row>22</xdr:row>
      <xdr:rowOff>57150</xdr:rowOff>
    </xdr:from>
    <xdr:to>
      <xdr:col>13</xdr:col>
      <xdr:colOff>186978</xdr:colOff>
      <xdr:row>34</xdr:row>
      <xdr:rowOff>179410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F9A990-5FA5-4468-8EFB-3B11E5FDB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4743450"/>
          <a:ext cx="2067213" cy="2438740"/>
        </a:xfrm>
        <a:prstGeom prst="rect">
          <a:avLst/>
        </a:prstGeom>
      </xdr:spPr>
    </xdr:pic>
    <xdr:clientData/>
  </xdr:twoCellAnchor>
  <xdr:twoCellAnchor editAs="oneCell">
    <xdr:from>
      <xdr:col>13</xdr:col>
      <xdr:colOff>552450</xdr:colOff>
      <xdr:row>22</xdr:row>
      <xdr:rowOff>0</xdr:rowOff>
    </xdr:from>
    <xdr:to>
      <xdr:col>17</xdr:col>
      <xdr:colOff>148872</xdr:colOff>
      <xdr:row>34</xdr:row>
      <xdr:rowOff>114640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EF04A4-72CF-4017-BC48-1A14A245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0" y="4686300"/>
          <a:ext cx="2019582" cy="2438740"/>
        </a:xfrm>
        <a:prstGeom prst="rect">
          <a:avLst/>
        </a:prstGeom>
      </xdr:spPr>
    </xdr:pic>
    <xdr:clientData/>
  </xdr:twoCellAnchor>
  <xdr:twoCellAnchor editAs="oneCell">
    <xdr:from>
      <xdr:col>17</xdr:col>
      <xdr:colOff>581025</xdr:colOff>
      <xdr:row>22</xdr:row>
      <xdr:rowOff>28574</xdr:rowOff>
    </xdr:from>
    <xdr:to>
      <xdr:col>20</xdr:col>
      <xdr:colOff>528714</xdr:colOff>
      <xdr:row>34</xdr:row>
      <xdr:rowOff>387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EB8C56-B2D6-4138-AB2A-9D2917FA4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4225" y="4714874"/>
          <a:ext cx="1761249" cy="2295913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56</xdr:row>
      <xdr:rowOff>9525</xdr:rowOff>
    </xdr:from>
    <xdr:to>
      <xdr:col>10</xdr:col>
      <xdr:colOff>225279</xdr:colOff>
      <xdr:row>68</xdr:row>
      <xdr:rowOff>42234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5AE6CA-E8E6-42D3-BA26-01E181D78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90825" y="10829925"/>
          <a:ext cx="3522834" cy="23244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27</xdr:row>
      <xdr:rowOff>152400</xdr:rowOff>
    </xdr:from>
    <xdr:to>
      <xdr:col>14</xdr:col>
      <xdr:colOff>110808</xdr:colOff>
      <xdr:row>38</xdr:row>
      <xdr:rowOff>114594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D4FA35-7C8D-0C83-D326-48A7F20C9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00" y="5610225"/>
          <a:ext cx="2276793" cy="2105319"/>
        </a:xfrm>
        <a:prstGeom prst="rect">
          <a:avLst/>
        </a:prstGeom>
      </xdr:spPr>
    </xdr:pic>
    <xdr:clientData/>
  </xdr:twoCellAnchor>
  <xdr:twoCellAnchor editAs="oneCell">
    <xdr:from>
      <xdr:col>15</xdr:col>
      <xdr:colOff>114300</xdr:colOff>
      <xdr:row>28</xdr:row>
      <xdr:rowOff>9525</xdr:rowOff>
    </xdr:from>
    <xdr:to>
      <xdr:col>17</xdr:col>
      <xdr:colOff>529816</xdr:colOff>
      <xdr:row>38</xdr:row>
      <xdr:rowOff>72669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43A75C-5E92-A661-60EB-9B22317E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58300" y="5667375"/>
          <a:ext cx="1619476" cy="2000529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</xdr:colOff>
      <xdr:row>48</xdr:row>
      <xdr:rowOff>129540</xdr:rowOff>
    </xdr:from>
    <xdr:to>
      <xdr:col>11</xdr:col>
      <xdr:colOff>491979</xdr:colOff>
      <xdr:row>61</xdr:row>
      <xdr:rowOff>6039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44E0C94-C083-45E6-89DE-85042FFF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2840" y="9441180"/>
          <a:ext cx="3517119" cy="23510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</xdr:colOff>
      <xdr:row>47</xdr:row>
      <xdr:rowOff>160020</xdr:rowOff>
    </xdr:from>
    <xdr:to>
      <xdr:col>12</xdr:col>
      <xdr:colOff>491979</xdr:colOff>
      <xdr:row>60</xdr:row>
      <xdr:rowOff>4134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51B084-506C-AEEC-F9BD-D0203B734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0060" y="9281160"/>
          <a:ext cx="3509499" cy="2328234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26</xdr:row>
      <xdr:rowOff>28575</xdr:rowOff>
    </xdr:from>
    <xdr:to>
      <xdr:col>13</xdr:col>
      <xdr:colOff>194613</xdr:colOff>
      <xdr:row>39</xdr:row>
      <xdr:rowOff>118476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F9E40E-1D39-D8E3-5514-D8FB4463D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125" y="5248275"/>
          <a:ext cx="2172003" cy="2619741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542925</xdr:colOff>
      <xdr:row>25</xdr:row>
      <xdr:rowOff>180975</xdr:rowOff>
    </xdr:from>
    <xdr:to>
      <xdr:col>17</xdr:col>
      <xdr:colOff>230423</xdr:colOff>
      <xdr:row>39</xdr:row>
      <xdr:rowOff>110490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7372CC-8B78-974D-0341-DA53A23A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725" y="5210175"/>
          <a:ext cx="2125898" cy="26289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21</xdr:col>
      <xdr:colOff>156210</xdr:colOff>
      <xdr:row>39</xdr:row>
      <xdr:rowOff>110154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DF29EE-5F0B-193F-D159-B2FC7AC69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5219700"/>
          <a:ext cx="1990725" cy="26342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26670</xdr:colOff>
      <xdr:row>39</xdr:row>
      <xdr:rowOff>116205</xdr:rowOff>
    </xdr:from>
    <xdr:to>
      <xdr:col>11</xdr:col>
      <xdr:colOff>225243</xdr:colOff>
      <xdr:row>50</xdr:row>
      <xdr:rowOff>156508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794A19-725D-6483-74EE-BF0A33D2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4270" y="7698105"/>
          <a:ext cx="3246573" cy="2135803"/>
        </a:xfrm>
        <a:prstGeom prst="rect">
          <a:avLst/>
        </a:prstGeom>
      </xdr:spPr>
    </xdr:pic>
    <xdr:clientData/>
  </xdr:twoCellAnchor>
  <xdr:twoCellAnchor editAs="oneCell">
    <xdr:from>
      <xdr:col>9</xdr:col>
      <xdr:colOff>542925</xdr:colOff>
      <xdr:row>22</xdr:row>
      <xdr:rowOff>152400</xdr:rowOff>
    </xdr:from>
    <xdr:to>
      <xdr:col>13</xdr:col>
      <xdr:colOff>186978</xdr:colOff>
      <xdr:row>35</xdr:row>
      <xdr:rowOff>80350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9A8E0A-EF75-E959-DE4B-D99B36EF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4290060"/>
          <a:ext cx="2131983" cy="2351110"/>
        </a:xfrm>
        <a:prstGeom prst="rect">
          <a:avLst/>
        </a:prstGeom>
      </xdr:spPr>
    </xdr:pic>
    <xdr:clientData/>
  </xdr:twoCellAnchor>
  <xdr:twoCellAnchor editAs="oneCell">
    <xdr:from>
      <xdr:col>13</xdr:col>
      <xdr:colOff>506730</xdr:colOff>
      <xdr:row>22</xdr:row>
      <xdr:rowOff>129540</xdr:rowOff>
    </xdr:from>
    <xdr:to>
      <xdr:col>17</xdr:col>
      <xdr:colOff>110772</xdr:colOff>
      <xdr:row>35</xdr:row>
      <xdr:rowOff>72730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D758994-F679-4B75-8D31-9440C4512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2490" y="4267200"/>
          <a:ext cx="2084352" cy="2347300"/>
        </a:xfrm>
        <a:prstGeom prst="rect">
          <a:avLst/>
        </a:prstGeom>
      </xdr:spPr>
    </xdr:pic>
    <xdr:clientData/>
  </xdr:twoCellAnchor>
  <xdr:twoCellAnchor editAs="oneCell">
    <xdr:from>
      <xdr:col>17</xdr:col>
      <xdr:colOff>596265</xdr:colOff>
      <xdr:row>23</xdr:row>
      <xdr:rowOff>60960</xdr:rowOff>
    </xdr:from>
    <xdr:to>
      <xdr:col>20</xdr:col>
      <xdr:colOff>532524</xdr:colOff>
      <xdr:row>35</xdr:row>
      <xdr:rowOff>34678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ABA167-518B-478A-4AC6-371731A3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81385" y="4381500"/>
          <a:ext cx="1765059" cy="22044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832F-681C-4146-8A4A-191932AD91C1}">
  <dimension ref="A1:AU81"/>
  <sheetViews>
    <sheetView tabSelected="1" zoomScaleNormal="100" workbookViewId="0">
      <selection activeCell="E13" sqref="E13"/>
    </sheetView>
  </sheetViews>
  <sheetFormatPr defaultRowHeight="14.4" x14ac:dyDescent="0.3"/>
  <cols>
    <col min="10" max="21" width="9.109375" customWidth="1"/>
    <col min="22" max="22" width="8.88671875" customWidth="1"/>
    <col min="24" max="24" width="8.88671875" customWidth="1"/>
    <col min="36" max="36" width="8.88671875" customWidth="1"/>
    <col min="37" max="47" width="8.88671875" hidden="1" customWidth="1"/>
  </cols>
  <sheetData>
    <row r="1" spans="1:47" ht="17.399999999999999" x14ac:dyDescent="0.3">
      <c r="E1" s="3" t="s">
        <v>14</v>
      </c>
      <c r="S1" s="22"/>
      <c r="T1" s="23"/>
      <c r="U1" s="23"/>
      <c r="AR1" s="12"/>
      <c r="AS1" s="12"/>
    </row>
    <row r="2" spans="1:47" ht="17.399999999999999" x14ac:dyDescent="0.3">
      <c r="E2" s="3" t="s">
        <v>186</v>
      </c>
      <c r="M2" s="22"/>
      <c r="N2" s="150" t="s">
        <v>83</v>
      </c>
      <c r="O2" s="150"/>
      <c r="R2" s="25"/>
      <c r="S2" s="22"/>
      <c r="T2" s="103"/>
      <c r="U2" s="23"/>
      <c r="AR2" s="8"/>
      <c r="AS2" s="23"/>
    </row>
    <row r="3" spans="1:47" x14ac:dyDescent="0.3">
      <c r="E3" s="4" t="s">
        <v>248</v>
      </c>
      <c r="M3" s="22"/>
      <c r="N3" s="39" t="s">
        <v>55</v>
      </c>
      <c r="O3" s="39" t="s">
        <v>69</v>
      </c>
      <c r="S3" s="22"/>
      <c r="T3" s="25"/>
      <c r="U3" s="25"/>
    </row>
    <row r="4" spans="1:47" x14ac:dyDescent="0.3">
      <c r="M4" s="22" t="s">
        <v>70</v>
      </c>
      <c r="N4" s="58">
        <v>24</v>
      </c>
      <c r="O4" s="59">
        <v>60</v>
      </c>
      <c r="V4" s="22"/>
      <c r="AK4" s="133" t="s">
        <v>28</v>
      </c>
      <c r="AL4" s="133"/>
      <c r="AR4" s="159" t="s">
        <v>130</v>
      </c>
      <c r="AS4" s="159"/>
      <c r="AT4" s="159"/>
      <c r="AU4" s="159"/>
    </row>
    <row r="5" spans="1:47" x14ac:dyDescent="0.3">
      <c r="C5" s="5" t="s">
        <v>15</v>
      </c>
      <c r="D5" s="6" t="s">
        <v>16</v>
      </c>
      <c r="M5" s="22" t="s">
        <v>71</v>
      </c>
      <c r="N5" s="132" t="s">
        <v>237</v>
      </c>
      <c r="O5" s="132"/>
      <c r="AK5" s="74">
        <f>N4*0.1</f>
        <v>2.4000000000000004</v>
      </c>
      <c r="AL5" s="74">
        <f>E16*0.4</f>
        <v>6</v>
      </c>
      <c r="AM5" t="s">
        <v>160</v>
      </c>
      <c r="AR5" s="39"/>
      <c r="AS5" s="39" t="s">
        <v>128</v>
      </c>
      <c r="AT5" s="39" t="s">
        <v>37</v>
      </c>
      <c r="AU5" s="39" t="s">
        <v>129</v>
      </c>
    </row>
    <row r="6" spans="1:47" x14ac:dyDescent="0.3">
      <c r="D6" s="6" t="s">
        <v>183</v>
      </c>
      <c r="M6" s="8"/>
      <c r="N6" s="8"/>
      <c r="O6" s="8"/>
      <c r="AK6" s="74">
        <f>O4*0.1</f>
        <v>6</v>
      </c>
      <c r="AL6" s="74">
        <f>E16*0.4</f>
        <v>6</v>
      </c>
      <c r="AM6" t="s">
        <v>161</v>
      </c>
      <c r="AR6" s="39">
        <v>15</v>
      </c>
      <c r="AS6" s="39">
        <v>0.56999999999999995</v>
      </c>
      <c r="AT6" s="39">
        <v>0.85</v>
      </c>
      <c r="AU6" s="39">
        <v>1.03</v>
      </c>
    </row>
    <row r="7" spans="1:47" x14ac:dyDescent="0.3">
      <c r="D7" s="6" t="s">
        <v>17</v>
      </c>
      <c r="E7" s="19"/>
      <c r="M7" s="8"/>
      <c r="N7" s="133" t="s">
        <v>76</v>
      </c>
      <c r="O7" s="133"/>
      <c r="Q7" s="12"/>
      <c r="R7" s="12"/>
      <c r="S7" s="12"/>
      <c r="AK7" s="96">
        <f>MIN(N4,O4)*0.1</f>
        <v>2.4000000000000004</v>
      </c>
      <c r="AL7" s="97">
        <f>E16*0.4</f>
        <v>6</v>
      </c>
      <c r="AM7" t="s">
        <v>157</v>
      </c>
      <c r="AR7" s="39">
        <v>20</v>
      </c>
      <c r="AS7" s="39">
        <v>0.62</v>
      </c>
      <c r="AT7" s="39">
        <v>0.9</v>
      </c>
      <c r="AU7" s="39">
        <v>1.08</v>
      </c>
    </row>
    <row r="8" spans="1:47" x14ac:dyDescent="0.3">
      <c r="D8" s="6" t="s">
        <v>18</v>
      </c>
      <c r="N8" s="133">
        <f>MAX(AK13,AK14)</f>
        <v>15.25</v>
      </c>
      <c r="O8" s="133"/>
      <c r="Q8" s="8"/>
      <c r="R8" s="8"/>
      <c r="S8" s="8"/>
      <c r="AK8" s="11" t="s">
        <v>150</v>
      </c>
      <c r="AL8" s="11" t="s">
        <v>151</v>
      </c>
      <c r="AR8" s="39">
        <v>25</v>
      </c>
      <c r="AS8" s="39">
        <v>0.66</v>
      </c>
      <c r="AT8" s="39">
        <v>0.94</v>
      </c>
      <c r="AU8" s="39">
        <v>1.1200000000000001</v>
      </c>
    </row>
    <row r="9" spans="1:47" ht="15" thickBot="1" x14ac:dyDescent="0.35">
      <c r="D9" s="6" t="s">
        <v>19</v>
      </c>
      <c r="M9" s="1"/>
      <c r="Q9" s="8"/>
      <c r="R9" s="8"/>
      <c r="S9" s="8"/>
      <c r="AR9" s="39">
        <v>30</v>
      </c>
      <c r="AS9" s="39">
        <v>0.7</v>
      </c>
      <c r="AT9" s="39">
        <v>0.98</v>
      </c>
      <c r="AU9" s="39">
        <v>1.1599999999999999</v>
      </c>
    </row>
    <row r="10" spans="1:47" ht="15" thickBot="1" x14ac:dyDescent="0.35">
      <c r="D10" s="6" t="s">
        <v>20</v>
      </c>
      <c r="M10" s="19"/>
      <c r="N10" s="141" t="s">
        <v>159</v>
      </c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3"/>
      <c r="AK10" s="8">
        <f>IF(E19&lt;=7,(N4-(X14*2)),IF(AND(E19&gt;7,E19&lt;=45),(N4-(X14*4)),0))</f>
        <v>18</v>
      </c>
      <c r="AL10" s="8">
        <f>IF(E19&lt;=7,(O4-(Y14*2)),IF(AND(E19&gt;7,E19&lt;=45),(O4-(Y14*2)),0))</f>
        <v>54</v>
      </c>
      <c r="AM10" t="s">
        <v>148</v>
      </c>
      <c r="AR10" s="39">
        <v>40</v>
      </c>
      <c r="AS10" s="39">
        <v>0.74</v>
      </c>
      <c r="AT10" s="39">
        <v>1.04</v>
      </c>
      <c r="AU10" s="39">
        <v>1.22</v>
      </c>
    </row>
    <row r="11" spans="1:47" ht="15" thickBot="1" x14ac:dyDescent="0.35">
      <c r="D11" s="6" t="s">
        <v>21</v>
      </c>
      <c r="M11" s="19"/>
      <c r="N11" s="137" t="s">
        <v>56</v>
      </c>
      <c r="O11" s="138"/>
      <c r="P11" s="137" t="s">
        <v>57</v>
      </c>
      <c r="Q11" s="138"/>
      <c r="R11" s="137" t="s">
        <v>59</v>
      </c>
      <c r="S11" s="138"/>
      <c r="T11" s="137" t="s">
        <v>249</v>
      </c>
      <c r="U11" s="138"/>
      <c r="V11" s="137" t="s">
        <v>58</v>
      </c>
      <c r="W11" s="138"/>
      <c r="X11" s="137" t="s">
        <v>60</v>
      </c>
      <c r="Y11" s="138"/>
      <c r="AK11" s="8">
        <f>IF(E19&lt;=7,(N4-V13*2),IF(AND(E19&gt;7,E19&lt;=27),(N4-(V13*2)),IF(AND(E19&gt;27,E19&lt;=45),(N4-(V13*2)),0)))</f>
        <v>6</v>
      </c>
      <c r="AL11" s="8">
        <f>IF(E19&lt;=7,(O4-(V13*2)),IF(AND(E19&gt;7,E19&lt;=45),(O4-(Y13*4)),0))</f>
        <v>42</v>
      </c>
      <c r="AM11" t="s">
        <v>149</v>
      </c>
      <c r="AR11" s="39">
        <v>50</v>
      </c>
      <c r="AS11" s="39">
        <v>0.79</v>
      </c>
      <c r="AT11" s="39">
        <v>1.0900000000000001</v>
      </c>
      <c r="AU11" s="39">
        <v>1.27</v>
      </c>
    </row>
    <row r="12" spans="1:47" x14ac:dyDescent="0.3">
      <c r="D12" s="6" t="s">
        <v>182</v>
      </c>
      <c r="E12" s="45"/>
      <c r="F12" s="45"/>
      <c r="M12" s="19"/>
      <c r="N12" s="91" t="s">
        <v>146</v>
      </c>
      <c r="O12" s="92" t="s">
        <v>147</v>
      </c>
      <c r="P12" s="91" t="s">
        <v>146</v>
      </c>
      <c r="Q12" s="92" t="s">
        <v>147</v>
      </c>
      <c r="R12" s="91" t="s">
        <v>146</v>
      </c>
      <c r="S12" s="92" t="s">
        <v>147</v>
      </c>
      <c r="T12" s="91" t="s">
        <v>146</v>
      </c>
      <c r="U12" s="92" t="s">
        <v>147</v>
      </c>
      <c r="V12" s="91" t="s">
        <v>146</v>
      </c>
      <c r="W12" s="92" t="str">
        <f>IF(AND(E17&gt;7,E17&lt;=27),"along centerline of roof","Sidewall:")</f>
        <v>along centerline of roof</v>
      </c>
      <c r="X12" s="91" t="s">
        <v>146</v>
      </c>
      <c r="Y12" s="92" t="s">
        <v>147</v>
      </c>
      <c r="AR12" s="39">
        <v>60</v>
      </c>
      <c r="AS12" s="39">
        <v>0.83</v>
      </c>
      <c r="AT12" s="39">
        <v>1.1299999999999999</v>
      </c>
      <c r="AU12" s="39">
        <v>1.31</v>
      </c>
    </row>
    <row r="13" spans="1:47" x14ac:dyDescent="0.3">
      <c r="A13" s="19"/>
      <c r="B13" s="19"/>
      <c r="C13" s="19"/>
      <c r="D13" s="27" t="s">
        <v>51</v>
      </c>
      <c r="E13" s="20">
        <v>130</v>
      </c>
      <c r="F13" s="7" t="s">
        <v>22</v>
      </c>
      <c r="G13" s="21"/>
      <c r="H13" s="19"/>
      <c r="M13" s="22" t="s">
        <v>162</v>
      </c>
      <c r="N13" s="60" t="s">
        <v>163</v>
      </c>
      <c r="O13" s="88" t="s">
        <v>163</v>
      </c>
      <c r="P13" s="60">
        <f>IF(MIN(AK5,AL5)&lt;3,3,MIN(AK5,AL5))</f>
        <v>3</v>
      </c>
      <c r="Q13" s="88">
        <f>IF(MIN(AK6,AL6)&lt;3,3,MIN(AK6,AL6))</f>
        <v>6</v>
      </c>
      <c r="R13" s="60">
        <f>IF(E19&lt;=7,E17*0.6,"-")</f>
        <v>9</v>
      </c>
      <c r="S13" s="88">
        <f>IF(E19&lt;=7,E17*0.6,"-")</f>
        <v>9</v>
      </c>
      <c r="T13" s="60" t="str">
        <f>IF(H30="Leave Out Zone 1'","N/A",IF(E19&lt;=7,"-",IF(MIN(AJ6,AK6)&lt;3,3,MIN(AJ6,AK6))))</f>
        <v>N/A</v>
      </c>
      <c r="U13" s="88" t="str">
        <f>IF(H30="Leave Out Zone 1'","N/A",IF(E19&lt;=7,"-",IF(MIN(AJ5,AK5)&lt;3,3,MIN(AJ5,AK5))))</f>
        <v>N/A</v>
      </c>
      <c r="V13" s="60">
        <f>IF(E19&lt;=7,E17*0.6,IF(MIN(AJ6,AK6)&lt;3,3,MIN(AJ6,AK6)))</f>
        <v>9</v>
      </c>
      <c r="W13" s="88">
        <f>IF(V11="Zone 2n:","-",IF(E19&lt;=7,E17*0.6,IF(MIN(AJ6,AK6)&lt;3,3,MIN(AJ6,AK6))))</f>
        <v>9</v>
      </c>
      <c r="X13" s="60">
        <f>IF(X11="Zone 2r:","-",IF(E19&lt;=7,E17*0.6,MIN(AJ5,AK5)))</f>
        <v>9</v>
      </c>
      <c r="Y13" s="88">
        <f>IF(E19&lt;=7,E17*0.6,IF(MIN(AJ5,AK5)&lt;3,3,MIN(AJ5,AK5)))</f>
        <v>9</v>
      </c>
      <c r="AK13">
        <f>IF(N5="transverse / complex",(E16+(E18*((O4/2)/12))),IF(N5="gable / mono",(E16+(E18*((N4/2)/12))),0))</f>
        <v>15.25</v>
      </c>
      <c r="AL13" t="s">
        <v>167</v>
      </c>
      <c r="AR13" s="39">
        <v>70</v>
      </c>
      <c r="AS13" s="39">
        <v>0.86</v>
      </c>
      <c r="AT13" s="39">
        <v>1.17</v>
      </c>
      <c r="AU13" s="39">
        <v>1.34</v>
      </c>
    </row>
    <row r="14" spans="1:47" ht="15" thickBot="1" x14ac:dyDescent="0.35">
      <c r="D14" s="27" t="s">
        <v>82</v>
      </c>
      <c r="E14" s="53">
        <f>SUM(E13*SQRT(0.6))</f>
        <v>100.69756700139284</v>
      </c>
      <c r="F14" s="12" t="s">
        <v>22</v>
      </c>
      <c r="M14" s="22" t="s">
        <v>152</v>
      </c>
      <c r="N14" s="89">
        <f>SUM(N4-P14*2)</f>
        <v>18</v>
      </c>
      <c r="O14" s="90">
        <f>SUM(O4-Q14*2)</f>
        <v>48</v>
      </c>
      <c r="P14" s="89">
        <f>IF(MIN(AK5,AL5)&lt;3,3,MIN(AK5,AL5))</f>
        <v>3</v>
      </c>
      <c r="Q14" s="90">
        <f>IF(MIN(AK6,AL6)&lt;3,3,MIN(AK6,AL6))</f>
        <v>6</v>
      </c>
      <c r="R14" s="89">
        <f>IF(AK11&lt;=0,"N/A",IF(E19&lt;=7,(N4-V13*2),IF(AND(E19&gt;7,E19&lt;=27),(N4-(V13*2)),IF(E19&gt;27,N4,0))))</f>
        <v>6</v>
      </c>
      <c r="S14" s="90">
        <f>IF(AL11&lt;=0,"N/A",IF(E19&lt;=7,(O4-(V13*2)),IF(E19&gt;7,(O4-(V13*2)),0)))</f>
        <v>42</v>
      </c>
      <c r="T14" s="89" t="str">
        <f>IF(H30="Leave Out Zone 1'","N/A",IF(E19&gt;7,E17*0.4,(N4-(R13+V13))))</f>
        <v>N/A</v>
      </c>
      <c r="U14" s="90" t="str">
        <f>IF(H30="Leave Out Zone 1'","N/A",IF(E19&gt;7,(O4-(AA13*2)),(O4-(W13*4))))</f>
        <v>N/A</v>
      </c>
      <c r="V14" s="89">
        <f>IF(E19&lt;=7,(N4),IF(E19&gt;7,(N4-((Z14*2)+(AB14*2))),0))</f>
        <v>24</v>
      </c>
      <c r="W14" s="90">
        <f>IF(V11="Zone 2n:","-",IF(E18&lt;=7,(O4),IF(AND(E18&gt;7,E18&lt;=45),(O4-(Y14*2)),0)))</f>
        <v>60</v>
      </c>
      <c r="X14" s="94">
        <f>IF(X11="Zone 2r:","-",IF(E19&lt;=7,E17*0.2,IF(MIN(AJ5,AK5)&lt;3,3,MIN(AJ5,AK5))))</f>
        <v>3</v>
      </c>
      <c r="Y14" s="95">
        <f>IF(E19&lt;=7,E17*0.2,IF(E19&gt;7,(O4-(AC13*2))))</f>
        <v>3</v>
      </c>
      <c r="AK14">
        <f>E16+E20</f>
        <v>15</v>
      </c>
      <c r="AL14" t="s">
        <v>168</v>
      </c>
      <c r="AR14" s="39">
        <v>80</v>
      </c>
      <c r="AS14" s="39">
        <v>0.9</v>
      </c>
      <c r="AT14" s="39">
        <v>1.21</v>
      </c>
      <c r="AU14" s="39">
        <v>1.38</v>
      </c>
    </row>
    <row r="15" spans="1:47" ht="15" thickBot="1" x14ac:dyDescent="0.35">
      <c r="A15" s="19"/>
      <c r="B15" s="19"/>
      <c r="C15" s="19"/>
      <c r="D15" s="27" t="s">
        <v>23</v>
      </c>
      <c r="E15" s="14" t="s">
        <v>37</v>
      </c>
      <c r="F15" s="7"/>
      <c r="G15" s="21"/>
      <c r="H15" s="19"/>
      <c r="P15" s="139" t="s">
        <v>156</v>
      </c>
      <c r="Q15" s="140"/>
      <c r="X15" s="139" t="s">
        <v>156</v>
      </c>
      <c r="Y15" s="140"/>
      <c r="AR15" s="39">
        <v>90</v>
      </c>
      <c r="AS15" s="39">
        <v>0.92</v>
      </c>
      <c r="AT15" s="39">
        <v>1.24</v>
      </c>
      <c r="AU15" s="39">
        <v>1.4</v>
      </c>
    </row>
    <row r="16" spans="1:47" x14ac:dyDescent="0.3">
      <c r="A16" s="19"/>
      <c r="B16" s="19"/>
      <c r="C16" s="19"/>
      <c r="D16" s="27" t="s">
        <v>73</v>
      </c>
      <c r="E16" s="20">
        <v>15</v>
      </c>
      <c r="F16" s="7" t="s">
        <v>250</v>
      </c>
      <c r="G16" s="19"/>
      <c r="H16" s="21"/>
      <c r="AR16" s="39">
        <v>100</v>
      </c>
      <c r="AS16" s="39">
        <v>0.95</v>
      </c>
      <c r="AT16" s="39">
        <v>1.26</v>
      </c>
      <c r="AU16" s="39">
        <v>1.43</v>
      </c>
    </row>
    <row r="17" spans="1:47" x14ac:dyDescent="0.3">
      <c r="D17" s="27" t="s">
        <v>74</v>
      </c>
      <c r="E17" s="26">
        <f>IF(E20&gt;0,E16+E20,IF(E19&lt;=10,E16,IF(N5="transverse / complex",(E16+(E18*((O4/2)/12)/2)),IF(N5="gable / mono",(E16+(E18*((N4/2)/12)/2)),E16+E20))))</f>
        <v>15</v>
      </c>
      <c r="F17" s="19"/>
      <c r="AR17" s="39">
        <v>120</v>
      </c>
      <c r="AS17" s="39">
        <v>1</v>
      </c>
      <c r="AT17" s="39">
        <v>1.31</v>
      </c>
      <c r="AU17" s="39">
        <v>1.48</v>
      </c>
    </row>
    <row r="18" spans="1:47" x14ac:dyDescent="0.3">
      <c r="D18" s="22" t="s">
        <v>80</v>
      </c>
      <c r="E18" s="44">
        <v>0.25</v>
      </c>
      <c r="F18" s="19" t="s">
        <v>67</v>
      </c>
      <c r="M18" s="19"/>
      <c r="AR18" s="39">
        <v>140</v>
      </c>
      <c r="AS18" s="39">
        <v>1.04</v>
      </c>
      <c r="AT18" s="39">
        <v>1.34</v>
      </c>
      <c r="AU18" s="39">
        <v>1.52</v>
      </c>
    </row>
    <row r="19" spans="1:47" x14ac:dyDescent="0.3">
      <c r="C19" s="19"/>
      <c r="D19" s="27" t="s">
        <v>75</v>
      </c>
      <c r="E19" s="26">
        <f>ATAN(E18/12)*(180/PI())</f>
        <v>1.1934894239820351</v>
      </c>
      <c r="F19" s="19"/>
      <c r="G19" s="21"/>
      <c r="H19" s="19"/>
      <c r="AR19" s="39">
        <v>160</v>
      </c>
      <c r="AS19" s="39">
        <v>1.08</v>
      </c>
      <c r="AT19" s="39">
        <v>1.39</v>
      </c>
      <c r="AU19" s="39">
        <v>1.55</v>
      </c>
    </row>
    <row r="20" spans="1:47" x14ac:dyDescent="0.3">
      <c r="D20" s="27" t="s">
        <v>54</v>
      </c>
      <c r="E20" s="44">
        <v>0</v>
      </c>
      <c r="F20" s="19"/>
      <c r="P20" s="8"/>
      <c r="AR20" s="39">
        <v>180</v>
      </c>
      <c r="AS20" s="39">
        <v>1.1100000000000001</v>
      </c>
      <c r="AT20" s="39">
        <v>1.41</v>
      </c>
      <c r="AU20" s="39">
        <v>1.58</v>
      </c>
    </row>
    <row r="21" spans="1:47" x14ac:dyDescent="0.3">
      <c r="A21" s="19"/>
      <c r="B21" s="19"/>
      <c r="C21" s="19"/>
      <c r="D21" s="27" t="s">
        <v>131</v>
      </c>
      <c r="E21" s="21">
        <v>1</v>
      </c>
      <c r="F21" s="7" t="s">
        <v>181</v>
      </c>
      <c r="G21" s="19"/>
      <c r="H21" s="19"/>
      <c r="AR21" s="39">
        <v>200</v>
      </c>
      <c r="AS21" s="39">
        <v>1.1399999999999999</v>
      </c>
      <c r="AT21" s="39">
        <v>1.44</v>
      </c>
      <c r="AU21" s="39">
        <v>1.61</v>
      </c>
    </row>
    <row r="22" spans="1:47" x14ac:dyDescent="0.3">
      <c r="A22" s="19"/>
      <c r="B22" s="19"/>
      <c r="C22" s="19"/>
      <c r="D22" s="22" t="s">
        <v>132</v>
      </c>
      <c r="E22" s="23">
        <v>0.85</v>
      </c>
      <c r="F22" s="19" t="s">
        <v>171</v>
      </c>
      <c r="G22" s="19"/>
      <c r="H22" s="19"/>
      <c r="AR22" s="39">
        <v>250</v>
      </c>
      <c r="AS22" s="39">
        <v>1.21</v>
      </c>
      <c r="AT22" s="39">
        <v>1.51</v>
      </c>
      <c r="AU22" s="39">
        <v>1.68</v>
      </c>
    </row>
    <row r="23" spans="1:47" x14ac:dyDescent="0.3">
      <c r="A23" s="19"/>
      <c r="B23" s="19"/>
      <c r="C23" s="19"/>
      <c r="D23" s="22" t="s">
        <v>133</v>
      </c>
      <c r="E23" s="23">
        <f>IF(F23=0,1,IF(F23=1000,0.96,IF(F23=2000,0.93,IF(F23=3000,0.9,IF(F23=4000,0.86,IF(F23=5000,0.83,IF(F23=6000,0.8,IF(F23=7000,0.78,IF(F23=8000,0.75,IF(F23=9000,0.72))))))))))</f>
        <v>1</v>
      </c>
      <c r="F23" s="24">
        <v>0</v>
      </c>
      <c r="G23" s="19" t="s">
        <v>172</v>
      </c>
      <c r="H23" s="19"/>
      <c r="N23" s="1"/>
      <c r="O23" s="40"/>
      <c r="P23" s="40"/>
      <c r="AR23" s="39">
        <v>300</v>
      </c>
      <c r="AS23" s="39">
        <v>1.27</v>
      </c>
      <c r="AT23" s="39">
        <v>1.57</v>
      </c>
      <c r="AU23" s="39">
        <v>1.73</v>
      </c>
    </row>
    <row r="24" spans="1:47" x14ac:dyDescent="0.3">
      <c r="A24" s="19"/>
      <c r="B24" s="19"/>
      <c r="C24" s="19"/>
      <c r="D24" s="27" t="s">
        <v>134</v>
      </c>
      <c r="E24" s="23">
        <f>IF(F24="(enclosed)",-0.18,IF(F24="(Patially Enclosed)",-0.55,IF(F24="(open)",0,IF(F24="(Partially Open)",-0.18,0))))</f>
        <v>-0.18</v>
      </c>
      <c r="F24" s="19" t="s">
        <v>43</v>
      </c>
      <c r="G24" s="19" t="s">
        <v>175</v>
      </c>
      <c r="H24" s="19"/>
      <c r="N24" s="9"/>
      <c r="O24" s="19"/>
      <c r="AR24" s="39">
        <v>350</v>
      </c>
      <c r="AS24" s="39">
        <v>1.33</v>
      </c>
      <c r="AT24" s="39">
        <v>1.62</v>
      </c>
      <c r="AU24" s="39">
        <v>1.78</v>
      </c>
    </row>
    <row r="25" spans="1:47" x14ac:dyDescent="0.3">
      <c r="A25" s="19"/>
      <c r="B25" s="19"/>
      <c r="C25" s="19"/>
      <c r="D25" s="27" t="s">
        <v>134</v>
      </c>
      <c r="E25" s="23">
        <f>IF(F24="(enclosed)",0.18,IF(F24="(Patially Enclosed)",0.55,IF(F24="(open)",0,IF(F24="(Partially Open)",0.18,0))))</f>
        <v>0.18</v>
      </c>
      <c r="F25" s="19"/>
      <c r="G25" s="19"/>
      <c r="H25" s="19"/>
      <c r="AR25" s="39">
        <v>400</v>
      </c>
      <c r="AS25" s="39">
        <v>1.38</v>
      </c>
      <c r="AT25" s="39">
        <v>1.66</v>
      </c>
      <c r="AU25" s="39">
        <v>1.82</v>
      </c>
    </row>
    <row r="26" spans="1:47" x14ac:dyDescent="0.3">
      <c r="A26" s="19"/>
      <c r="B26" s="23"/>
      <c r="C26" s="19"/>
      <c r="D26" s="22" t="s">
        <v>135</v>
      </c>
      <c r="E26" s="26">
        <f>IF(E17&lt;=15,INDEX(AS6:AU6,MATCH(E15,AS5:AU5,0)),IF(AND(E17&gt;15,E17&lt;=20),INDEX(AS7:AU7,MATCH(E15,AS5:AU5,0)),IF(AND(E17&gt;20,E17&lt;=25),INDEX(AS8:AU8,MATCH(E15,AS5:AU5,0)),IF(AND(E17&gt;25,E17&lt;=30),INDEX(AS9:AU9,MATCH(E15,AS5:AU5,0)),IF(AND(E17&gt;30,E17&lt;=40),INDEX(AS10:AU10,MATCH(E15,AS5:AU5,0)),IF(AND(E17&gt;40,E17&lt;=50),INDEX(AS11:AU11,MATCH(E15,AS5:AU5,0)),IF(AND(E17&gt;50,E17&lt;=60),INDEX(AS12:AU12,MATCH(E15,AS5:AU5,0)),IF(AND(E17&gt;60,E17&lt;=70),INDEX(AS13:AU13,MATCH(E15,AS5:AU5,0)),IF(AND(E17&gt;70,E17&lt;=80),INDEX(AS14:AU14,MATCH(E15,AS5:AU5,0)),IF(AND(E17&gt;80,E17&lt;=90),INDEX(AS15:AU15,MATCH(E15,AS5:AU5,0)),IF(AND(E17&gt;90,E17&lt;=100),INDEX(AS16:AU16,MATCH(E15,AS5:AU5,0)),IF(AND(E17&gt;100,E17&lt;=120),INDEX(AS17:AU17,MATCH(E15,AS5:AU5,0)),IF(AND(E17&gt;120,E17&lt;=140),INDEX(AS18:AU18,MATCH(E15,AS5:AU5,0)),IF(AND(E17&gt;140,E17&lt;=160),INDEX(AS19:AU19,MATCH(E15,AS5:AU5,0)),IF(AND(E17&gt;160,E17&lt;=180),INDEX(AS20:AU20,MATCH(E15,AS5:AU5,0)),IF(AND(E17&gt;180,E17&lt;=200),INDEX(AS21:AU21,MATCH(E15,AS5:AU5,0)),IF(AND(E17&gt;200,E17&lt;=250),INDEX(AS22:AU22,MATCH(E15,AS5:AU5,0)),IF(AND(E17&gt;250,E17&lt;=300),INDEX(AS23:AU23,MATCH(E15,AS5:AU5,0)),IF(AND(E17&gt;300,E17&lt;=350),INDEX(AS24:AU24,MATCH(E15,AS5:AU5,0)),IF(AND(E17&gt;350,E17&lt;=400),INDEX(AS25:AU25,MATCH(E15,AS5:AU5,0)),IF(AND(E17&gt;400,E17&lt;=450),INDEX(AS26:AU26,MATCH(E15,AS5:AU5,0)),IF(AND(E17&gt;450,E17&lt;=500),INDEX(AS27:AU27,MATCH(E15,AS5:AU5,0)),0))))))))))))))))))))))</f>
        <v>0.85</v>
      </c>
      <c r="F26" s="25" t="s">
        <v>170</v>
      </c>
      <c r="G26" s="19"/>
      <c r="H26" s="19"/>
      <c r="AR26" s="39">
        <v>450</v>
      </c>
      <c r="AS26" s="39">
        <v>1.42</v>
      </c>
      <c r="AT26" s="39">
        <v>1.7</v>
      </c>
      <c r="AU26" s="39">
        <v>1.86</v>
      </c>
    </row>
    <row r="27" spans="1:47" x14ac:dyDescent="0.3">
      <c r="A27" s="19"/>
      <c r="B27" s="19"/>
      <c r="C27" s="19"/>
      <c r="D27" s="22" t="s">
        <v>137</v>
      </c>
      <c r="E27" s="26">
        <f>(0.00256*E26*E21*E23*(E13^2))</f>
        <v>36.7744</v>
      </c>
      <c r="F27" s="25" t="s">
        <v>166</v>
      </c>
      <c r="G27" s="19"/>
      <c r="H27" s="19"/>
      <c r="I27" s="19"/>
      <c r="AR27" s="39">
        <v>500</v>
      </c>
      <c r="AS27" s="39">
        <v>1.46</v>
      </c>
      <c r="AT27" s="39">
        <v>1.74</v>
      </c>
      <c r="AU27" s="39">
        <v>1.89</v>
      </c>
    </row>
    <row r="28" spans="1:47" ht="15" thickBot="1" x14ac:dyDescent="0.35">
      <c r="A28" t="s">
        <v>239</v>
      </c>
      <c r="J28" s="19"/>
    </row>
    <row r="29" spans="1:47" ht="16.2" thickBot="1" x14ac:dyDescent="0.35">
      <c r="A29" s="155" t="s">
        <v>139</v>
      </c>
      <c r="B29" s="156"/>
      <c r="C29" s="156"/>
      <c r="D29" s="156"/>
      <c r="E29" s="156"/>
      <c r="F29" s="156"/>
      <c r="G29" s="156"/>
      <c r="H29" s="156"/>
      <c r="I29" s="157"/>
      <c r="J29" s="19"/>
    </row>
    <row r="30" spans="1:47" x14ac:dyDescent="0.3">
      <c r="A30" s="152" t="s">
        <v>40</v>
      </c>
      <c r="B30" s="158" t="s">
        <v>56</v>
      </c>
      <c r="C30" s="147"/>
      <c r="D30" s="146" t="s">
        <v>57</v>
      </c>
      <c r="E30" s="147"/>
      <c r="F30" s="146" t="s">
        <v>59</v>
      </c>
      <c r="G30" s="147"/>
      <c r="H30" s="148" t="str">
        <f>IF(AND(E19&lt;=7,((E17*0.6)*4)&gt;=N4),"Leave Out Zone 1'",IF(E19&lt;=7,"Zone 1':",0))</f>
        <v>Leave Out Zone 1'</v>
      </c>
      <c r="I30" s="148"/>
      <c r="J30" s="19"/>
    </row>
    <row r="31" spans="1:47" ht="14.4" customHeight="1" x14ac:dyDescent="0.3">
      <c r="A31" s="153"/>
      <c r="B31" s="48" t="str">
        <f>IF(E20&gt;0,"Windward","Postive")</f>
        <v>Postive</v>
      </c>
      <c r="C31" s="39" t="str">
        <f>IF(E20&gt;0,"Leeward","Negative")</f>
        <v>Negative</v>
      </c>
      <c r="D31" s="39" t="str">
        <f>IF(E20&gt;0,"Windward","Postive")</f>
        <v>Postive</v>
      </c>
      <c r="E31" s="39" t="str">
        <f>IF(E20&gt;0,"Leeward","Negative")</f>
        <v>Negative</v>
      </c>
      <c r="F31" s="39" t="s">
        <v>38</v>
      </c>
      <c r="G31" s="39" t="s">
        <v>39</v>
      </c>
      <c r="H31" s="39" t="str">
        <f>IF(H30="leave out zone 1'","","Postive")</f>
        <v/>
      </c>
      <c r="I31" s="39" t="str">
        <f>IF(H30="leave out zone 1'","","Negative")</f>
        <v/>
      </c>
      <c r="J31" s="19"/>
      <c r="AR31" s="1" t="s">
        <v>136</v>
      </c>
      <c r="AS31" s="40">
        <f>IF(AND(E15="B",E16&lt;15),(2.41*(15/3280)^(2/7.5)),IF(AND(E15="B",E16&gt;=15),(2.41*(E17/3280)^(2/7.5)),IF(E15="C",(2.41*(E17/2460)^(2/9.8)),IF(E15="D",(2.41*(E17/1935)^(2/11.5)),0))))</f>
        <v>0.85115390110279943</v>
      </c>
    </row>
    <row r="32" spans="1:47" x14ac:dyDescent="0.3">
      <c r="A32" s="153"/>
      <c r="B32" s="49">
        <f>IF(E19&lt;=10,E27*E22*((1*0.9)-E24),IF(E19&gt;10,E27*E22*(1-E24),0))</f>
        <v>33.758899200000002</v>
      </c>
      <c r="C32" s="50">
        <f>IF(E19&lt;=10,E27*E22*(((-1.1*0.9)*0.9)-E25),IF(E19&gt;10,E27*E22*((-1.1)-E25),0))</f>
        <v>-33.477575040000005</v>
      </c>
      <c r="D32" s="50">
        <f>IF(E19&lt;=10,E27*E22*((1*0.9)-E24),IF(E19&gt;10,E27*E22*(1-E24),0))</f>
        <v>33.758899200000002</v>
      </c>
      <c r="E32" s="50">
        <f>IF(E19&lt;=10,E27*E22*((-1.4*0.9)-E25),IF(E19&gt;10,E27*E22*((-1.4)-E25),0))</f>
        <v>-45.0118656</v>
      </c>
      <c r="F32" s="50">
        <f>IF(E19&lt;=7,E27*E22*((0.3)-E24),IF(AND(E19&gt;7,E19&lt;=20),E27*E22*((0.6)-E24),IF(AND(E19&gt;20,E19&lt;=27),E27*E22*((0.6)-E24),IF(AND(E19&gt;27,E19&lt;=45),E27*E22*((0.9)-E24),0))))</f>
        <v>15.0039552</v>
      </c>
      <c r="G32" s="50">
        <f>IF(E19&lt;=7,E27*E22*((-1.7)-E25),IF(AND(E19&gt;7,E19&lt;=20),E27*E22*((-2)-E25),IF(AND(E19&gt;20,E19&lt;=27),E27*E22*((-1.5)-E25),IF(AND(E19&gt;27,E19&lt;=45),E27*E22*((-1.8)-E25),0))))</f>
        <v>-58.7654912</v>
      </c>
      <c r="H32" s="50" t="str">
        <f>IF(H30="leave out zone 1'","",IF(E19&lt;=7,E27*((0.3)-E24),IF(AND(E19&gt;7,E19&lt;=20),E27*((0.5)-E24),IF(AND(E19&gt;20,E19&lt;=27),E27*((0.5)-E24),IF(AND(E19&gt;27,E19&lt;=45),E27*((0.9)-E24),0)))))</f>
        <v/>
      </c>
      <c r="I32" s="50" t="str">
        <f>IF(H30="leave out zone 1'","",IF(E19&lt;=7,E27*((-0.9)-E25),IF(AND(E19&gt;7,E19&lt;=20),E27*((-1.5)-E25),IF(AND(E19&gt;20,E19&lt;=27),E27*((-1.5)-E25),IF(AND(E19&gt;27,E19&lt;=45),E27*((-1.8)-E25),0)))))</f>
        <v/>
      </c>
      <c r="J32" s="19"/>
    </row>
    <row r="33" spans="1:46" x14ac:dyDescent="0.3">
      <c r="A33" s="153"/>
      <c r="B33" s="25"/>
      <c r="C33" s="25"/>
      <c r="D33" s="25"/>
      <c r="E33" s="25"/>
      <c r="F33" s="25"/>
      <c r="G33" s="25"/>
      <c r="H33" s="25"/>
      <c r="I33" s="25"/>
      <c r="J33" s="19"/>
      <c r="AR33" s="131" t="s">
        <v>195</v>
      </c>
      <c r="AS33" s="131"/>
      <c r="AT33" s="131"/>
    </row>
    <row r="34" spans="1:46" x14ac:dyDescent="0.3">
      <c r="A34" s="153"/>
      <c r="B34" s="151" t="s">
        <v>58</v>
      </c>
      <c r="C34" s="136"/>
      <c r="D34" s="134" t="s">
        <v>60</v>
      </c>
      <c r="E34" s="136"/>
      <c r="F34" s="25"/>
      <c r="G34" s="25"/>
      <c r="H34" s="25"/>
      <c r="I34" s="25"/>
      <c r="J34" s="19"/>
      <c r="AR34" s="65" t="s">
        <v>193</v>
      </c>
      <c r="AS34">
        <v>6000</v>
      </c>
    </row>
    <row r="35" spans="1:46" x14ac:dyDescent="0.3">
      <c r="A35" s="153"/>
      <c r="B35" s="48" t="str">
        <f>IF(E20&gt;0,"Windward","Postive")</f>
        <v>Postive</v>
      </c>
      <c r="C35" s="39" t="str">
        <f>IF(E20&gt;0,"Leeward","Negative")</f>
        <v>Negative</v>
      </c>
      <c r="D35" s="39" t="str">
        <f>IF(E20&gt;0,"Windward","Postive")</f>
        <v>Postive</v>
      </c>
      <c r="E35" s="39" t="str">
        <f>IF(E20&gt;0,"Leeward","Negative")</f>
        <v>Negative</v>
      </c>
      <c r="F35" s="23"/>
      <c r="G35" s="23"/>
      <c r="H35" s="23"/>
      <c r="I35" s="23"/>
      <c r="J35" s="19"/>
      <c r="AR35" s="19"/>
      <c r="AS35">
        <f>(2.71828^(-0.0000362*AS34))</f>
        <v>0.80476911698556319</v>
      </c>
      <c r="AT35" t="s">
        <v>192</v>
      </c>
    </row>
    <row r="36" spans="1:46" ht="15" thickBot="1" x14ac:dyDescent="0.35">
      <c r="A36" s="154"/>
      <c r="B36" s="49">
        <f>IF(AND(E19&lt;=7,E20&gt;=3),E27*E22*((1)-E24),IF(E19&lt;=7,E27*E22*((0.3)-E24),IF(AND(E19&gt;7,E19&lt;=20),E27*E22*((0.6)-E24),IF(AND(E19&gt;20,E19&lt;=27),E27*E22*((0.6)-E24),IF(AND(E19&gt;27,E19&lt;=45),E27*E22*((0.9)-E24),0)))))</f>
        <v>15.0039552</v>
      </c>
      <c r="C36" s="50">
        <f>IF(E19&lt;=7,E27*E22*((-2.3)-E25),IF(AND(E19&gt;7,E19&lt;=20),E27*E22*((-2.7)-E25),IF(AND(E19&gt;20,E19&lt;=27),E27*E22*((-2.5)-E25),IF(AND(E19&gt;27,E19&lt;=45),E27*E22*((-2)-E25),0))))</f>
        <v>-77.520435199999994</v>
      </c>
      <c r="D36" s="50">
        <f>IF(AND(E19&lt;=7,E20&gt;=3),E27*E22*((1)-E24),IF(E19&lt;=7,E27*E22*((0.3)-E24),IF(AND(E19&gt;7,E19&lt;=20),E27*E22*((0.6)-E24),IF(AND(E19&gt;20,E19&lt;=27),E27*E22*((0.6)-E24),IF(AND(E19&gt;27,E19&lt;=45),E27*E22*((0.9)-E24),0)))))</f>
        <v>15.0039552</v>
      </c>
      <c r="E36" s="50">
        <f>IF(AND(E19&lt;=7,E20&gt;=3),E27*E22*((-2.3)-E25),IF(E19&lt;=7,E27*E22*((-3.2)-E25),IF(AND(E19&gt;7,E19&lt;=20),E27*E22*((-3.6)-E25),IF(AND(E19&gt;20,E19&lt;=27),E27*E22*((-3)-E25),IF(AND(E19&gt;27,E19&lt;=45),E27*E22*((-2.5)-E25),0)))))</f>
        <v>-105.65285120000001</v>
      </c>
      <c r="F36" s="93"/>
      <c r="G36" s="26"/>
      <c r="H36" s="26"/>
      <c r="I36" s="26"/>
      <c r="J36" s="19"/>
      <c r="AR36" s="19"/>
      <c r="AT36" t="s">
        <v>194</v>
      </c>
    </row>
    <row r="37" spans="1:46" ht="15" thickBot="1" x14ac:dyDescent="0.35">
      <c r="A37" s="18"/>
      <c r="B37" s="25"/>
      <c r="C37" s="25"/>
      <c r="D37" s="25"/>
      <c r="E37" s="25"/>
      <c r="F37" s="25"/>
      <c r="G37" s="25"/>
      <c r="H37" s="25"/>
      <c r="I37" s="25"/>
      <c r="J37" s="19"/>
    </row>
    <row r="38" spans="1:46" x14ac:dyDescent="0.3">
      <c r="A38" s="152" t="s">
        <v>41</v>
      </c>
      <c r="B38" s="151" t="str">
        <f>B30</f>
        <v>Zone 4:</v>
      </c>
      <c r="C38" s="136"/>
      <c r="D38" s="134" t="str">
        <f>D30</f>
        <v>Zone 5:</v>
      </c>
      <c r="E38" s="136"/>
      <c r="F38" s="134" t="str">
        <f>F30</f>
        <v>Zone 1:</v>
      </c>
      <c r="G38" s="136"/>
      <c r="H38" s="133" t="str">
        <f>H30</f>
        <v>Leave Out Zone 1'</v>
      </c>
      <c r="I38" s="133"/>
      <c r="K38" s="8"/>
      <c r="L38" s="8"/>
      <c r="M38" s="8"/>
      <c r="N38" s="8"/>
      <c r="O38" s="8"/>
      <c r="P38" s="8"/>
      <c r="Q38" s="8"/>
      <c r="R38" s="8"/>
    </row>
    <row r="39" spans="1:46" ht="14.4" customHeight="1" x14ac:dyDescent="0.3">
      <c r="A39" s="153"/>
      <c r="B39" s="48" t="s">
        <v>38</v>
      </c>
      <c r="C39" s="39" t="s">
        <v>39</v>
      </c>
      <c r="D39" s="39" t="s">
        <v>38</v>
      </c>
      <c r="E39" s="39" t="s">
        <v>39</v>
      </c>
      <c r="F39" s="39" t="s">
        <v>38</v>
      </c>
      <c r="G39" s="39" t="s">
        <v>39</v>
      </c>
      <c r="H39" s="39" t="str">
        <f>IF(H38="leave out zone 1'","","Postive")</f>
        <v/>
      </c>
      <c r="I39" s="39" t="str">
        <f>IF(H38="leave out zone 1'","","Negative")</f>
        <v/>
      </c>
      <c r="J39" s="2"/>
      <c r="K39" s="8"/>
      <c r="L39" s="23"/>
      <c r="M39" s="23"/>
      <c r="N39" s="23"/>
      <c r="O39" s="23"/>
      <c r="P39" s="23"/>
      <c r="Q39" s="23"/>
      <c r="R39" s="23"/>
    </row>
    <row r="40" spans="1:46" x14ac:dyDescent="0.3">
      <c r="A40" s="153"/>
      <c r="B40" s="49">
        <f t="shared" ref="B40:G40" si="0">(B32*0.6)</f>
        <v>20.25533952</v>
      </c>
      <c r="C40" s="49">
        <f t="shared" si="0"/>
        <v>-20.086545024000003</v>
      </c>
      <c r="D40" s="49">
        <f t="shared" si="0"/>
        <v>20.25533952</v>
      </c>
      <c r="E40" s="50">
        <f t="shared" si="0"/>
        <v>-27.007119360000001</v>
      </c>
      <c r="F40" s="49">
        <f t="shared" si="0"/>
        <v>9.0023731199999997</v>
      </c>
      <c r="G40" s="49">
        <f t="shared" si="0"/>
        <v>-35.25929472</v>
      </c>
      <c r="H40" s="49" t="str">
        <f>IF(H32="","",H32*0.6)</f>
        <v/>
      </c>
      <c r="I40" s="49" t="str">
        <f>IF(I32="","",I32*0.6)</f>
        <v/>
      </c>
      <c r="K40" s="8"/>
      <c r="L40" s="23"/>
      <c r="M40" s="23"/>
      <c r="N40" s="23"/>
      <c r="O40" s="23"/>
      <c r="P40" s="23"/>
      <c r="Q40" s="8"/>
      <c r="R40" s="8"/>
    </row>
    <row r="41" spans="1:46" x14ac:dyDescent="0.3">
      <c r="A41" s="153"/>
      <c r="B41" s="25"/>
      <c r="C41" s="25"/>
      <c r="D41" s="25"/>
      <c r="E41" s="25"/>
      <c r="F41" s="25"/>
      <c r="G41" s="25"/>
      <c r="H41" s="25"/>
      <c r="I41" s="25"/>
      <c r="K41" s="134" t="s">
        <v>153</v>
      </c>
      <c r="L41" s="135"/>
      <c r="M41" s="136"/>
      <c r="N41" s="41"/>
      <c r="O41" s="134" t="s">
        <v>154</v>
      </c>
      <c r="P41" s="135"/>
      <c r="Q41" s="136"/>
      <c r="R41" s="8"/>
      <c r="S41" s="134" t="s">
        <v>155</v>
      </c>
      <c r="T41" s="135"/>
      <c r="U41" s="136"/>
    </row>
    <row r="42" spans="1:46" x14ac:dyDescent="0.3">
      <c r="A42" s="153"/>
      <c r="B42" s="151" t="str">
        <f>B34</f>
        <v>Zone 2:</v>
      </c>
      <c r="C42" s="136"/>
      <c r="D42" s="134" t="str">
        <f>D34</f>
        <v>Zone 3:</v>
      </c>
      <c r="E42" s="136"/>
      <c r="F42" s="25"/>
      <c r="G42" s="25"/>
      <c r="H42" s="25"/>
      <c r="I42" s="25"/>
      <c r="J42" s="19"/>
      <c r="K42" s="80"/>
      <c r="L42" s="23"/>
      <c r="M42" s="26"/>
      <c r="N42" s="41"/>
      <c r="O42" s="41"/>
      <c r="P42" s="41"/>
      <c r="Q42" s="23"/>
      <c r="R42" s="8"/>
    </row>
    <row r="43" spans="1:46" x14ac:dyDescent="0.3">
      <c r="A43" s="153"/>
      <c r="B43" s="48" t="s">
        <v>38</v>
      </c>
      <c r="C43" s="39" t="s">
        <v>39</v>
      </c>
      <c r="D43" s="39" t="s">
        <v>38</v>
      </c>
      <c r="E43" s="39" t="s">
        <v>39</v>
      </c>
      <c r="F43" s="25"/>
      <c r="G43" s="25"/>
      <c r="H43" s="25"/>
      <c r="I43" s="25"/>
      <c r="J43" s="19"/>
      <c r="K43" s="80"/>
      <c r="L43" s="8"/>
      <c r="M43" s="41"/>
      <c r="N43" s="41"/>
      <c r="O43" s="41"/>
      <c r="P43" s="41"/>
      <c r="Q43" s="8"/>
      <c r="R43" s="8"/>
    </row>
    <row r="44" spans="1:46" ht="15" thickBot="1" x14ac:dyDescent="0.35">
      <c r="A44" s="154"/>
      <c r="B44" s="49">
        <f>(B36*0.6)</f>
        <v>9.0023731199999997</v>
      </c>
      <c r="C44" s="49">
        <f>(C36*0.6)</f>
        <v>-46.512261119999998</v>
      </c>
      <c r="D44" s="49">
        <f>(D36*0.6)</f>
        <v>9.0023731199999997</v>
      </c>
      <c r="E44" s="49">
        <f>(E36*0.6)</f>
        <v>-63.391710720000006</v>
      </c>
      <c r="F44" s="26"/>
      <c r="G44" s="26"/>
      <c r="H44" s="26"/>
      <c r="I44" s="26"/>
      <c r="J44" s="19"/>
      <c r="K44" s="80"/>
      <c r="L44" s="23"/>
      <c r="M44" s="41"/>
      <c r="N44" s="41"/>
      <c r="O44" s="41"/>
      <c r="P44" s="26"/>
      <c r="Q44" s="23"/>
      <c r="R44" s="8"/>
    </row>
    <row r="45" spans="1:46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9"/>
      <c r="K45" s="80"/>
      <c r="L45" s="23"/>
      <c r="M45" s="41"/>
      <c r="N45" s="41"/>
      <c r="O45" s="41"/>
      <c r="P45" s="26"/>
      <c r="Q45" s="23"/>
      <c r="R45" s="47"/>
    </row>
    <row r="46" spans="1:46" ht="15" x14ac:dyDescent="0.3">
      <c r="A46" s="18"/>
      <c r="B46" s="18"/>
      <c r="C46" s="17" t="s">
        <v>127</v>
      </c>
      <c r="D46" s="29">
        <f>MIN(C40,E40,G40,C44,E44)</f>
        <v>-63.391710720000006</v>
      </c>
      <c r="E46" s="18" t="s">
        <v>42</v>
      </c>
      <c r="F46" s="18"/>
      <c r="G46" s="18"/>
      <c r="H46" s="18"/>
      <c r="I46" s="18"/>
      <c r="J46" s="19"/>
      <c r="K46" s="80"/>
      <c r="L46" s="8"/>
      <c r="M46" s="41"/>
      <c r="N46" s="41"/>
      <c r="O46" s="41"/>
      <c r="P46" s="41"/>
      <c r="Q46" s="8"/>
      <c r="R46" s="8"/>
    </row>
    <row r="47" spans="1:46" x14ac:dyDescent="0.3">
      <c r="J47" s="16"/>
      <c r="K47" s="8"/>
      <c r="L47" s="81"/>
      <c r="M47" s="23"/>
      <c r="N47" s="23"/>
      <c r="O47" s="23"/>
      <c r="P47" s="23"/>
      <c r="Q47" s="81"/>
      <c r="R47" s="8"/>
    </row>
    <row r="48" spans="1:46" x14ac:dyDescent="0.3">
      <c r="J48" s="16"/>
      <c r="K48" s="25"/>
      <c r="L48" s="25"/>
      <c r="M48" s="16"/>
      <c r="N48" s="16"/>
      <c r="O48" s="16"/>
      <c r="P48" s="16"/>
    </row>
    <row r="49" spans="1:22" x14ac:dyDescent="0.3">
      <c r="A49" s="19"/>
      <c r="J49" s="16"/>
      <c r="M49" s="16"/>
      <c r="N49" s="16"/>
      <c r="O49" s="16"/>
      <c r="P49" s="16"/>
    </row>
    <row r="50" spans="1:22" x14ac:dyDescent="0.3">
      <c r="A50" t="s">
        <v>196</v>
      </c>
      <c r="J50" s="16"/>
      <c r="K50" s="22"/>
      <c r="L50" s="64"/>
      <c r="M50" s="16"/>
      <c r="N50" s="16"/>
      <c r="O50" s="16"/>
      <c r="P50" s="16"/>
    </row>
    <row r="51" spans="1:22" x14ac:dyDescent="0.3">
      <c r="A51" s="134" t="s">
        <v>138</v>
      </c>
      <c r="B51" s="135"/>
      <c r="C51" s="135"/>
      <c r="D51" s="136"/>
      <c r="E51" s="25"/>
      <c r="F51" s="25"/>
      <c r="G51" s="25"/>
      <c r="H51" s="77"/>
      <c r="I51" s="77"/>
      <c r="J51" s="16"/>
      <c r="K51" s="22"/>
      <c r="L51" s="56"/>
      <c r="M51" s="16"/>
      <c r="N51" s="16"/>
      <c r="O51" s="16"/>
      <c r="P51" s="16"/>
    </row>
    <row r="52" spans="1:22" x14ac:dyDescent="0.3">
      <c r="A52" s="120" t="s">
        <v>56</v>
      </c>
      <c r="B52" s="120"/>
      <c r="C52" s="121" t="s">
        <v>57</v>
      </c>
      <c r="D52" s="122"/>
      <c r="O52" s="16"/>
      <c r="P52" s="16"/>
    </row>
    <row r="53" spans="1:22" x14ac:dyDescent="0.3">
      <c r="A53" s="79" t="s">
        <v>107</v>
      </c>
      <c r="B53" s="79" t="s">
        <v>39</v>
      </c>
      <c r="C53" s="79" t="s">
        <v>107</v>
      </c>
      <c r="D53" s="79" t="s">
        <v>39</v>
      </c>
      <c r="O53" s="16"/>
      <c r="P53" s="16"/>
      <c r="Q53" s="16"/>
      <c r="R53" s="16"/>
      <c r="S53" s="16"/>
      <c r="T53" s="16"/>
      <c r="U53" s="16"/>
      <c r="V53" s="16"/>
    </row>
    <row r="54" spans="1:22" x14ac:dyDescent="0.3">
      <c r="A54" s="83">
        <f>IF(E19&lt;=10,E27*E22*((1*0.9)-E24),IF(E19&gt;10,E27*E22*(1-E24),0))</f>
        <v>33.758899200000002</v>
      </c>
      <c r="B54" s="83">
        <f>IF(E19&lt;=10,E27*E22*(((-1.1*0.9)*0.9)-E25),IF(E19&gt;10,E27*E22*((-1.1)-E25),0))</f>
        <v>-33.477575040000005</v>
      </c>
      <c r="C54" s="76">
        <f>IF(E19&lt;=10,E27*E22*((1*0.9)-E24),IF(E19&gt;10,E27*E22*(1-E24),0))</f>
        <v>33.758899200000002</v>
      </c>
      <c r="D54" s="76">
        <f>IF(E19&lt;=10,E27*E22*((-1.4*0.9)-E25),IF(E19&gt;10,E27*E22*((-1.4)-E25),0))</f>
        <v>-45.0118656</v>
      </c>
      <c r="O54" s="16"/>
      <c r="P54" s="16"/>
      <c r="Q54" s="16"/>
      <c r="R54" s="16"/>
      <c r="S54" s="16"/>
      <c r="T54" s="16"/>
      <c r="U54" s="16"/>
      <c r="V54" s="16"/>
    </row>
    <row r="55" spans="1:22" x14ac:dyDescent="0.3">
      <c r="A55" s="110" t="str">
        <f>IF(E20&lt;=10,"*10% reduction factor for GCp is used per Figure 30.3-1, Note 5",0)</f>
        <v>*10% reduction factor for GCp is used per Figure 30.3-1, Note 5</v>
      </c>
      <c r="B55" s="77"/>
      <c r="C55" s="77"/>
      <c r="D55" s="77"/>
      <c r="E55" s="77"/>
      <c r="F55" s="77"/>
      <c r="G55" s="77"/>
      <c r="H55" s="41"/>
      <c r="O55" s="16"/>
      <c r="P55" s="16"/>
      <c r="Q55" s="16"/>
      <c r="R55" s="16"/>
      <c r="S55" s="16"/>
      <c r="T55" s="16"/>
      <c r="U55" s="16"/>
      <c r="V55" s="16"/>
    </row>
    <row r="56" spans="1:22" ht="15" customHeight="1" x14ac:dyDescent="0.3">
      <c r="A56" s="77"/>
      <c r="B56" s="77"/>
      <c r="C56" s="77"/>
      <c r="D56" s="77"/>
      <c r="E56" s="77"/>
      <c r="F56" s="77"/>
      <c r="G56" s="77"/>
      <c r="H56" s="41"/>
      <c r="T56" s="16"/>
      <c r="U56" s="16"/>
      <c r="V56" s="16"/>
    </row>
    <row r="57" spans="1:22" x14ac:dyDescent="0.3">
      <c r="A57" s="77"/>
      <c r="B57" s="77"/>
      <c r="C57" s="77"/>
      <c r="D57" s="77"/>
      <c r="E57" s="77"/>
      <c r="F57" s="77"/>
      <c r="G57" s="77"/>
      <c r="H57" s="26"/>
      <c r="T57" s="16"/>
      <c r="U57" s="16"/>
      <c r="V57" s="16"/>
    </row>
    <row r="58" spans="1:22" x14ac:dyDescent="0.3">
      <c r="E58" s="77"/>
      <c r="F58" s="77"/>
      <c r="G58" s="77"/>
      <c r="H58" s="8"/>
      <c r="I58" s="31"/>
      <c r="T58" s="16"/>
      <c r="U58" s="16"/>
      <c r="V58" s="16"/>
    </row>
    <row r="59" spans="1:22" x14ac:dyDescent="0.3">
      <c r="H59" s="8"/>
      <c r="J59" s="16"/>
      <c r="K59" s="16"/>
      <c r="L59" s="16"/>
      <c r="T59" s="16"/>
      <c r="U59" s="16"/>
      <c r="V59" s="16"/>
    </row>
    <row r="60" spans="1:22" x14ac:dyDescent="0.3">
      <c r="H60" s="77"/>
      <c r="I60" s="77"/>
      <c r="J60" s="16"/>
      <c r="K60" s="16"/>
      <c r="L60" s="16"/>
      <c r="T60" s="16"/>
      <c r="U60" s="16"/>
      <c r="V60" s="16"/>
    </row>
    <row r="61" spans="1:22" x14ac:dyDescent="0.3">
      <c r="E61" s="25"/>
      <c r="F61" s="25"/>
      <c r="G61" s="25"/>
      <c r="H61" s="77"/>
      <c r="I61" s="77"/>
      <c r="J61" s="16"/>
      <c r="K61" s="16"/>
      <c r="L61" s="16"/>
      <c r="T61" s="16"/>
      <c r="U61" s="16"/>
      <c r="V61" s="16"/>
    </row>
    <row r="62" spans="1:22" ht="15" thickBot="1" x14ac:dyDescent="0.35">
      <c r="A62" s="23"/>
      <c r="B62" s="23"/>
      <c r="C62" s="23"/>
      <c r="D62" s="21"/>
      <c r="E62" s="23"/>
      <c r="F62" s="21"/>
      <c r="G62" s="21"/>
      <c r="H62" s="82"/>
      <c r="I62" s="82"/>
      <c r="J62" s="16"/>
      <c r="K62" s="16"/>
      <c r="L62" s="16"/>
      <c r="T62" s="16"/>
      <c r="U62" s="16"/>
      <c r="V62" s="16"/>
    </row>
    <row r="63" spans="1:22" ht="15" customHeight="1" thickBot="1" x14ac:dyDescent="0.35">
      <c r="A63" s="141" t="s">
        <v>211</v>
      </c>
      <c r="B63" s="142"/>
      <c r="C63" s="142"/>
      <c r="D63" s="142"/>
      <c r="E63" s="142"/>
      <c r="F63" s="142"/>
      <c r="G63" s="143"/>
      <c r="I63" s="141" t="s">
        <v>220</v>
      </c>
      <c r="J63" s="142"/>
      <c r="K63" s="142"/>
      <c r="L63" s="142"/>
      <c r="M63" s="142"/>
      <c r="N63" s="142"/>
      <c r="O63" s="143"/>
      <c r="T63" s="16"/>
      <c r="U63" s="16"/>
      <c r="V63" s="16"/>
    </row>
    <row r="64" spans="1:22" ht="26.4" customHeight="1" thickBot="1" x14ac:dyDescent="0.35">
      <c r="A64" s="144" t="s">
        <v>209</v>
      </c>
      <c r="B64" s="145"/>
      <c r="C64" s="145"/>
      <c r="D64" s="146" t="s">
        <v>224</v>
      </c>
      <c r="E64" s="147"/>
      <c r="F64" s="148" t="s">
        <v>210</v>
      </c>
      <c r="G64" s="149"/>
      <c r="I64" s="161" t="s">
        <v>219</v>
      </c>
      <c r="J64" s="162"/>
      <c r="K64" s="163"/>
      <c r="L64" s="146" t="s">
        <v>224</v>
      </c>
      <c r="M64" s="147"/>
      <c r="N64" s="146" t="s">
        <v>210</v>
      </c>
      <c r="O64" s="160"/>
      <c r="T64" s="16"/>
      <c r="U64" s="16"/>
      <c r="V64" s="16"/>
    </row>
    <row r="65" spans="1:22" ht="15" customHeight="1" x14ac:dyDescent="0.3">
      <c r="A65" s="118"/>
      <c r="B65" s="119"/>
      <c r="C65" s="119"/>
      <c r="D65" s="11" t="s">
        <v>226</v>
      </c>
      <c r="E65" s="39" t="s">
        <v>225</v>
      </c>
      <c r="F65" s="39">
        <v>4</v>
      </c>
      <c r="G65" s="88">
        <v>5</v>
      </c>
      <c r="I65" s="164"/>
      <c r="J65" s="165"/>
      <c r="K65" s="166"/>
      <c r="L65" s="11" t="s">
        <v>226</v>
      </c>
      <c r="M65" s="39" t="s">
        <v>225</v>
      </c>
      <c r="N65" s="39">
        <v>4</v>
      </c>
      <c r="O65" s="88">
        <v>5</v>
      </c>
      <c r="P65" s="98" t="s">
        <v>234</v>
      </c>
      <c r="Q65" s="99" t="s">
        <v>235</v>
      </c>
      <c r="T65" s="16"/>
      <c r="U65" s="16"/>
      <c r="V65" s="16"/>
    </row>
    <row r="66" spans="1:22" ht="15" customHeight="1" x14ac:dyDescent="0.3">
      <c r="A66" s="118" t="s">
        <v>198</v>
      </c>
      <c r="B66" s="119"/>
      <c r="C66" s="119"/>
      <c r="D66" s="39">
        <v>56</v>
      </c>
      <c r="E66" s="39">
        <v>-73</v>
      </c>
      <c r="F66" s="39" t="str">
        <f>IF(AND(E66&gt;B54,D66&lt;A54),"NG",IF(E66&gt;B54,"Neg NG",IF(D66&lt;A54,"Pos NG","OK")))</f>
        <v>OK</v>
      </c>
      <c r="G66" s="88" t="str">
        <f>IF(AND(E66&gt;D54,D66&lt;C54),"NG",IF(E66&gt;D54,"Neg NG",IF(D66&lt;C54,"Pos NG","OK")))</f>
        <v>OK</v>
      </c>
      <c r="I66" s="123" t="s">
        <v>214</v>
      </c>
      <c r="J66" s="124"/>
      <c r="K66" s="125"/>
      <c r="L66" s="39">
        <v>45</v>
      </c>
      <c r="M66" s="39">
        <v>-45</v>
      </c>
      <c r="N66" s="39" t="str">
        <f>IF(AND(M66&gt;B54,L66&lt;A54),"NG",IF(M66&gt;B54,"Neg NG",IF(L66&lt;A54,"Pos NG","OK")))</f>
        <v>OK</v>
      </c>
      <c r="O66" s="88" t="str">
        <f>IF(AND(M66&gt;D54,L66&lt;C54),"NG",IF(M66&gt;D54,"Neg NG",IF(L66&lt;C54,"Pos NG","OK")))</f>
        <v>Neg NG</v>
      </c>
      <c r="P66" s="60">
        <v>0.28999999999999998</v>
      </c>
      <c r="Q66" s="88">
        <v>0.23</v>
      </c>
      <c r="T66" s="16"/>
      <c r="U66" s="16"/>
      <c r="V66" s="16"/>
    </row>
    <row r="67" spans="1:22" ht="28.5" customHeight="1" x14ac:dyDescent="0.3">
      <c r="A67" s="118" t="s">
        <v>204</v>
      </c>
      <c r="B67" s="119"/>
      <c r="C67" s="119"/>
      <c r="D67" s="39">
        <v>56</v>
      </c>
      <c r="E67" s="39">
        <v>-45</v>
      </c>
      <c r="F67" s="39" t="str">
        <f>IF(AND(E67&gt;B54,D67&lt;A54),"NG",IF(E67&gt;B54,"Neg NG",IF(D67&lt;A54,"Pos NG","OK")))</f>
        <v>OK</v>
      </c>
      <c r="G67" s="88" t="str">
        <f>IF(AND(E67&gt;D54,D67&lt;C54),"NG",IF(E67&gt;D54,"Neg NG",IF(D67&lt;C54,"Pos NG","OK")))</f>
        <v>Neg NG</v>
      </c>
      <c r="I67" s="123" t="s">
        <v>215</v>
      </c>
      <c r="J67" s="124"/>
      <c r="K67" s="125"/>
      <c r="L67" s="39">
        <v>45</v>
      </c>
      <c r="M67" s="39">
        <v>-45</v>
      </c>
      <c r="N67" s="39" t="str">
        <f>IF(AND(M67&gt;B54,L67&lt;A54),"NG",IF(M67&gt;B54,"Neg NG",IF(L67&lt;A54,"Pos NG","OK")))</f>
        <v>OK</v>
      </c>
      <c r="O67" s="88" t="str">
        <f>IF(AND(M67&gt;D54,L67&lt;C54),"NG",IF(M67&gt;D54,"Neg NG",IF(L67&lt;C54,"Pos NG","OK")))</f>
        <v>Neg NG</v>
      </c>
      <c r="P67" s="60">
        <v>0.31</v>
      </c>
      <c r="Q67" s="88">
        <v>0.23</v>
      </c>
      <c r="T67" s="16"/>
      <c r="U67" s="16"/>
      <c r="V67" s="16"/>
    </row>
    <row r="68" spans="1:22" ht="28.5" customHeight="1" x14ac:dyDescent="0.3">
      <c r="A68" s="118" t="s">
        <v>199</v>
      </c>
      <c r="B68" s="119"/>
      <c r="C68" s="119"/>
      <c r="D68" s="39">
        <v>56</v>
      </c>
      <c r="E68" s="39">
        <v>-61</v>
      </c>
      <c r="F68" s="39" t="str">
        <f>IF(AND(E68&gt;B54,D68&lt;A54),"NG",IF(E68&gt;B54,"Neg NG",IF(D68&lt;A54,"Pos NG","OK")))</f>
        <v>OK</v>
      </c>
      <c r="G68" s="88" t="str">
        <f>IF(AND(E68&gt;D54,D68&lt;C54),"NG",IF(E68&gt;D54,"Neg NG",IF(D68&lt;C54,"Pos NG","OK")))</f>
        <v>OK</v>
      </c>
      <c r="I68" s="123" t="s">
        <v>212</v>
      </c>
      <c r="J68" s="124"/>
      <c r="K68" s="125"/>
      <c r="L68" s="39">
        <v>75</v>
      </c>
      <c r="M68" s="39">
        <v>-75</v>
      </c>
      <c r="N68" s="39" t="str">
        <f>IF(AND(M68&gt;B54,L68&lt;A54),"NG",IF(M68&gt;B54,"Neg NG",IF(L68&lt;A54,"Pos NG","OK")))</f>
        <v>OK</v>
      </c>
      <c r="O68" s="88" t="str">
        <f>IF(AND(M68&gt;D54,L68&lt;C54),"NG",IF(M68&gt;D54,"Neg NG",IF(L68&lt;C54,"Pos NG","OK")))</f>
        <v>OK</v>
      </c>
      <c r="P68" s="60">
        <v>0.45</v>
      </c>
      <c r="Q68" s="88">
        <v>0.24</v>
      </c>
      <c r="T68" s="16"/>
      <c r="U68" s="16"/>
      <c r="V68" s="16"/>
    </row>
    <row r="69" spans="1:22" ht="28.5" customHeight="1" x14ac:dyDescent="0.3">
      <c r="A69" s="118" t="s">
        <v>200</v>
      </c>
      <c r="B69" s="119"/>
      <c r="C69" s="119"/>
      <c r="D69" s="39">
        <v>41</v>
      </c>
      <c r="E69" s="39">
        <v>-37</v>
      </c>
      <c r="F69" s="39" t="str">
        <f>IF(AND(E69&gt;B54,D69&lt;A54),"NG",IF(E69&gt;B54,"Neg NG",IF(D69&lt;A54,"Pos NG","OK")))</f>
        <v>OK</v>
      </c>
      <c r="G69" s="88" t="str">
        <f>IF(AND(E69&gt;D54,D69&lt;C54),"NG",IF(E69&gt;D54,"Neg NG",IF(D69&lt;C54,"Pos NG","OK")))</f>
        <v>Neg NG</v>
      </c>
      <c r="I69" s="123" t="s">
        <v>213</v>
      </c>
      <c r="J69" s="124"/>
      <c r="K69" s="125"/>
      <c r="L69" s="39">
        <v>90</v>
      </c>
      <c r="M69" s="39">
        <v>-90</v>
      </c>
      <c r="N69" s="39" t="str">
        <f>IF(AND(M69&gt;B54,L69&lt;A54),"NG",IF(M69&gt;B54,"Neg NG",IF(L69&lt;A54,"Pos NG","OK")))</f>
        <v>OK</v>
      </c>
      <c r="O69" s="88" t="str">
        <f>IF(AND(M69&gt;D54,L69&lt;C54),"NG",IF(M69&gt;D54,"Neg NG",IF(L69&lt;C54,"Pos NG","OK")))</f>
        <v>OK</v>
      </c>
      <c r="P69" s="60">
        <v>0.39</v>
      </c>
      <c r="Q69" s="88">
        <v>0.25</v>
      </c>
      <c r="T69" s="16"/>
      <c r="U69" s="16"/>
      <c r="V69" s="16"/>
    </row>
    <row r="70" spans="1:22" ht="28.5" customHeight="1" x14ac:dyDescent="0.3">
      <c r="A70" s="118" t="s">
        <v>201</v>
      </c>
      <c r="B70" s="119"/>
      <c r="C70" s="119"/>
      <c r="D70" s="39">
        <v>70.180000000000007</v>
      </c>
      <c r="E70" s="39">
        <v>-70.180000000000007</v>
      </c>
      <c r="F70" s="39" t="str">
        <f>IF(AND(E70&gt;B54,D70&lt;A54),"NG",IF(E70&gt;B54,"Neg NG",IF(D70&lt;A54,"Pos NG","OK")))</f>
        <v>OK</v>
      </c>
      <c r="G70" s="88" t="str">
        <f>IF(AND(E70&gt;D54,D70&lt;C54),"NG",IF(E70&gt;D54,"Neg NG",IF(D70&lt;C54,"Pos NG","OK")))</f>
        <v>OK</v>
      </c>
      <c r="I70" s="123" t="s">
        <v>236</v>
      </c>
      <c r="J70" s="124"/>
      <c r="K70" s="125"/>
      <c r="L70" s="39">
        <v>52.5</v>
      </c>
      <c r="M70" s="39">
        <v>-52.5</v>
      </c>
      <c r="N70" s="39" t="str">
        <f>IF(AND(M70&gt;B54,L70&lt;A54),"NG",IF(M70&gt;B54,"Neg NG",IF(L70&lt;A54,"Pos NG","OK")))</f>
        <v>OK</v>
      </c>
      <c r="O70" s="88" t="str">
        <f>IF(AND(M70&gt;D54,L70&lt;C54),"NG",IF(M70&gt;D54,"Neg NG",IF(L70&lt;C54,"Pos NG","OK")))</f>
        <v>OK</v>
      </c>
      <c r="P70" s="60">
        <v>0.45</v>
      </c>
      <c r="Q70" s="88">
        <v>0.24</v>
      </c>
      <c r="T70" s="16"/>
      <c r="U70" s="16"/>
      <c r="V70" s="16"/>
    </row>
    <row r="71" spans="1:22" ht="28.5" customHeight="1" x14ac:dyDescent="0.3">
      <c r="A71" s="118" t="s">
        <v>202</v>
      </c>
      <c r="B71" s="119"/>
      <c r="C71" s="119"/>
      <c r="D71" s="39">
        <v>50</v>
      </c>
      <c r="E71" s="39">
        <v>-50</v>
      </c>
      <c r="F71" s="39" t="str">
        <f>IF(AND(E71&gt;B54,D71&lt;A54),"NG",IF(E71&gt;B54,"Neg NG",IF(D71&lt;A54,"Pos NG","OK")))</f>
        <v>OK</v>
      </c>
      <c r="G71" s="88" t="str">
        <f>IF(AND(E71&gt;D54,D71&lt;C54),"NG",IF(E71&gt;D54,"Neg NG",IF(D71&lt;C54,"Pos NG","OK")))</f>
        <v>OK</v>
      </c>
      <c r="I71" s="123" t="s">
        <v>216</v>
      </c>
      <c r="J71" s="124"/>
      <c r="K71" s="125"/>
      <c r="L71" s="39">
        <v>90</v>
      </c>
      <c r="M71" s="39">
        <v>-90</v>
      </c>
      <c r="N71" s="39" t="str">
        <f>IF(AND(M71&gt;B54,L71&lt;A54),"NG",IF(M71&gt;B54,"Neg NG",IF(L71&lt;A54,"Pos NG","OK")))</f>
        <v>OK</v>
      </c>
      <c r="O71" s="88" t="str">
        <f>IF(AND(M71&gt;D54,L71&lt;C54),"NG",IF(M71&gt;D54,"Neg NG",IF(L71&lt;C54,"Pos NG","OK")))</f>
        <v>OK</v>
      </c>
      <c r="P71" s="60">
        <v>0.39</v>
      </c>
      <c r="Q71" s="88">
        <v>0.25</v>
      </c>
      <c r="T71" s="16"/>
      <c r="U71" s="16"/>
      <c r="V71" s="16"/>
    </row>
    <row r="72" spans="1:22" ht="28.5" customHeight="1" x14ac:dyDescent="0.3">
      <c r="A72" s="118" t="s">
        <v>203</v>
      </c>
      <c r="B72" s="119"/>
      <c r="C72" s="119"/>
      <c r="D72" s="39">
        <v>75</v>
      </c>
      <c r="E72" s="39">
        <v>-75</v>
      </c>
      <c r="F72" s="39" t="str">
        <f>IF(AND(E72&gt;B54,D72&lt;A54),"NG",IF(E72&gt;B54,"Neg NG",IF(D72&lt;A54,"Pos NG","OK")))</f>
        <v>OK</v>
      </c>
      <c r="G72" s="88" t="str">
        <f>IF(AND(E72&gt;D54,D72&lt;C54),"NG",IF(E72&gt;D54,"Neg NG",IF(D72&lt;C54,"Pos NG","OK")))</f>
        <v>OK</v>
      </c>
      <c r="I72" s="123" t="s">
        <v>217</v>
      </c>
      <c r="J72" s="124"/>
      <c r="K72" s="125"/>
      <c r="L72" s="39">
        <v>52.5</v>
      </c>
      <c r="M72" s="39">
        <v>-52.5</v>
      </c>
      <c r="N72" s="39" t="str">
        <f>IF(AND(M72&gt;B54,L72&lt;A54),"NG",IF(M72&gt;B54,"Neg NG",IF(L72&lt;A54,"Pos NG","OK")))</f>
        <v>OK</v>
      </c>
      <c r="O72" s="88" t="str">
        <f>IF(AND(M72&gt;D54,L72&lt;C54),"NG",IF(M72&gt;D54,"Neg NG",IF(L72&lt;C54,"Pos NG","OK")))</f>
        <v>OK</v>
      </c>
      <c r="P72" s="60" t="s">
        <v>163</v>
      </c>
      <c r="Q72" s="88" t="s">
        <v>163</v>
      </c>
      <c r="R72" s="16"/>
      <c r="S72" s="16"/>
      <c r="T72" s="16"/>
      <c r="U72" s="16"/>
      <c r="V72" s="16"/>
    </row>
    <row r="73" spans="1:22" ht="28.5" customHeight="1" x14ac:dyDescent="0.3">
      <c r="A73" s="118" t="s">
        <v>205</v>
      </c>
      <c r="B73" s="119"/>
      <c r="C73" s="119"/>
      <c r="D73" s="39">
        <v>50</v>
      </c>
      <c r="E73" s="39">
        <v>-50</v>
      </c>
      <c r="F73" s="39" t="str">
        <f>IF(AND(E73&gt;B54,D73&lt;A54),"NG",IF(E73&gt;B54,"Neg NG",IF(D73&lt;A54,"Pos NG","OK")))</f>
        <v>OK</v>
      </c>
      <c r="G73" s="88" t="str">
        <f>IF(AND(E73&gt;D54,D73&lt;C54),"NG",IF(E73&gt;D54,"Neg NG",IF(D73&lt;C54,"Pos NG","OK")))</f>
        <v>OK</v>
      </c>
      <c r="I73" s="123" t="s">
        <v>218</v>
      </c>
      <c r="J73" s="124"/>
      <c r="K73" s="125"/>
      <c r="L73" s="39">
        <v>50</v>
      </c>
      <c r="M73" s="39">
        <v>-66</v>
      </c>
      <c r="N73" s="39" t="str">
        <f>IF(AND(M73&gt;B54,L73&lt;A54),"NG",IF(M73&gt;B54,"Neg NG",IF(L73&lt;A54,"Pos NG","OK")))</f>
        <v>OK</v>
      </c>
      <c r="O73" s="88" t="str">
        <f>IF(AND(M73&gt;D54,L73&lt;C54),"NG",IF(M73&gt;D54,"Neg NG",IF(L73&lt;C54,"Pos NG","OK")))</f>
        <v>OK</v>
      </c>
      <c r="P73" s="60" t="s">
        <v>163</v>
      </c>
      <c r="Q73" s="88" t="s">
        <v>163</v>
      </c>
    </row>
    <row r="74" spans="1:22" ht="28.5" customHeight="1" x14ac:dyDescent="0.3">
      <c r="A74" s="118" t="s">
        <v>206</v>
      </c>
      <c r="B74" s="119"/>
      <c r="C74" s="119"/>
      <c r="D74" s="39">
        <v>50</v>
      </c>
      <c r="E74" s="39">
        <v>-50</v>
      </c>
      <c r="F74" s="39" t="str">
        <f>IF(AND(E74&gt;B54,D74&lt;A54),"NG",IF(E74&gt;B54,"Neg NG",IF(D74&lt;A54,"Pos NG","OK")))</f>
        <v>OK</v>
      </c>
      <c r="G74" s="88" t="str">
        <f>IF(AND(E74&gt;D54,D74&lt;C54),"NG",IF(E74&gt;D54,"Neg NG",IF(D74&lt;C54,"Pos NG","OK")))</f>
        <v>OK</v>
      </c>
      <c r="I74" s="123" t="s">
        <v>227</v>
      </c>
      <c r="J74" s="124"/>
      <c r="K74" s="125"/>
      <c r="L74" s="39">
        <v>25</v>
      </c>
      <c r="M74" s="39">
        <v>-25</v>
      </c>
      <c r="N74" s="39" t="str">
        <f>IF(AND(M74&gt;B54,L74&lt;A54),"NG",IF(M74&gt;B54,"Neg NG",IF(L74&lt;A54,"Pos NG","OK")))</f>
        <v>NG</v>
      </c>
      <c r="O74" s="88" t="str">
        <f>IF(AND(M74&gt;D54,L74&lt;C54),"NG",IF(M74&gt;D54,"Neg NG",IF(L74&lt;C54,"Pos NG","OK")))</f>
        <v>NG</v>
      </c>
      <c r="P74" s="60" t="s">
        <v>163</v>
      </c>
      <c r="Q74" s="88" t="s">
        <v>163</v>
      </c>
    </row>
    <row r="75" spans="1:22" ht="28.5" customHeight="1" x14ac:dyDescent="0.3">
      <c r="A75" s="118" t="s">
        <v>221</v>
      </c>
      <c r="B75" s="119"/>
      <c r="C75" s="119"/>
      <c r="D75" s="39">
        <v>70</v>
      </c>
      <c r="E75" s="39">
        <v>-70</v>
      </c>
      <c r="F75" s="39" t="str">
        <f>IF(AND(E75&gt;B54,D75&lt;A54),"NG",IF(E75&gt;B54,"Neg NG",IF(D75&lt;A54,"Pos NG","OK")))</f>
        <v>OK</v>
      </c>
      <c r="G75" s="88" t="str">
        <f>IF(AND(E66&gt;D54,D66&lt;C54),"NG",IF(E66&gt;D54,"Neg NG",IF(D66&lt;C54,"Pos NG","OK")))</f>
        <v>OK</v>
      </c>
      <c r="I75" s="123" t="s">
        <v>228</v>
      </c>
      <c r="J75" s="124"/>
      <c r="K75" s="125"/>
      <c r="L75" s="39">
        <v>45</v>
      </c>
      <c r="M75" s="39">
        <v>-45</v>
      </c>
      <c r="N75" s="39" t="str">
        <f>IF(AND(M75&gt;B54,L75&lt;A54),"NG",IF(M75&gt;B54,"Neg NG",IF(L75&lt;A54,"Pos NG","OK")))</f>
        <v>OK</v>
      </c>
      <c r="O75" s="88" t="str">
        <f>IF(AND(M75&gt;D54,L75&lt;C54),"NG",IF(M75&gt;D54,"Neg NG",IF(L75&lt;C54,"Pos NG","OK")))</f>
        <v>Neg NG</v>
      </c>
      <c r="P75" s="60">
        <v>0.33</v>
      </c>
      <c r="Q75" s="88">
        <v>0.24</v>
      </c>
    </row>
    <row r="76" spans="1:22" ht="28.5" customHeight="1" x14ac:dyDescent="0.3">
      <c r="A76" s="123" t="s">
        <v>222</v>
      </c>
      <c r="B76" s="124"/>
      <c r="C76" s="125"/>
      <c r="D76" s="39">
        <v>60</v>
      </c>
      <c r="E76" s="39">
        <v>-60</v>
      </c>
      <c r="F76" s="39" t="str">
        <f>IF(AND(E76&gt;B54,D76&lt;A54),"NG",IF(E76&gt;B54,"Neg NG",IF(D76&lt;A54,"Pos NG","OK")))</f>
        <v>OK</v>
      </c>
      <c r="G76" s="88" t="str">
        <f>IF(AND(E76&gt;D54,D76&lt;C54),"NG",IF(E76&gt;D54,"Neg NG",IF(D76&lt;C54,"Pos NG","OK")))</f>
        <v>OK</v>
      </c>
      <c r="I76" s="123" t="s">
        <v>229</v>
      </c>
      <c r="J76" s="124"/>
      <c r="K76" s="125"/>
      <c r="L76" s="39">
        <v>60</v>
      </c>
      <c r="M76" s="39">
        <v>-60</v>
      </c>
      <c r="N76" s="39" t="str">
        <f>IF(AND(M76&gt;B54,L76&lt;A54),"NG",IF(M76&gt;B54,"Neg NG",IF(L76&lt;A54,"Pos NG","OK")))</f>
        <v>OK</v>
      </c>
      <c r="O76" s="88" t="str">
        <f>IF(AND(M76&gt;D54,L76&lt;C54),"NG",IF(M76&gt;D54,"Neg NG",IF(L76&lt;C54,"Pos NG","OK")))</f>
        <v>OK</v>
      </c>
      <c r="P76" s="60">
        <v>0.32</v>
      </c>
      <c r="Q76" s="88">
        <v>0.23</v>
      </c>
    </row>
    <row r="77" spans="1:22" ht="28.5" customHeight="1" x14ac:dyDescent="0.3">
      <c r="A77" s="123" t="s">
        <v>223</v>
      </c>
      <c r="B77" s="124"/>
      <c r="C77" s="125"/>
      <c r="D77" s="39">
        <v>60</v>
      </c>
      <c r="E77" s="39">
        <v>-60</v>
      </c>
      <c r="F77" s="39" t="str">
        <f>IF(AND(E77&gt;B54,D77&lt;A54),"NG",IF(E77&gt;B54,"Neg NG",IF(D77&lt;A54,"Pos NG","OK")))</f>
        <v>OK</v>
      </c>
      <c r="G77" s="88" t="str">
        <f>IF(AND(E77&gt;D54,D77&lt;C54),"NG",IF(E77&gt;D54,"Neg NG",IF(D77&lt;C54,"Pos NG","OK")))</f>
        <v>OK</v>
      </c>
      <c r="I77" s="123" t="s">
        <v>230</v>
      </c>
      <c r="J77" s="124"/>
      <c r="K77" s="125"/>
      <c r="L77" s="39">
        <v>50</v>
      </c>
      <c r="M77" s="39">
        <v>-50</v>
      </c>
      <c r="N77" s="39" t="str">
        <f>IF(AND(M77&gt;B54,L77&lt;A54),"NG",IF(M77&gt;B54,"Neg NG",IF(L77&lt;A54,"Pos NG","OK")))</f>
        <v>OK</v>
      </c>
      <c r="O77" s="88" t="str">
        <f>IF(AND(M77&gt;D54,L77&lt;C54),"NG",IF(M77&gt;D54,"Neg NG",IF(L77&lt;C54,"Pos NG","OK")))</f>
        <v>OK</v>
      </c>
      <c r="P77" s="60"/>
      <c r="Q77" s="88"/>
    </row>
    <row r="78" spans="1:22" ht="28.5" customHeight="1" x14ac:dyDescent="0.3">
      <c r="A78" s="118" t="s">
        <v>207</v>
      </c>
      <c r="B78" s="119"/>
      <c r="C78" s="119"/>
      <c r="D78" s="39">
        <v>80</v>
      </c>
      <c r="E78" s="39">
        <v>-80</v>
      </c>
      <c r="F78" s="39" t="str">
        <f>IF(AND(E78&gt;B54,D78&lt;A54),"NG",IF(E78&gt;B54,"Neg NG",IF(D78&lt;A54,"Pos NG","OK")))</f>
        <v>OK</v>
      </c>
      <c r="G78" s="88" t="str">
        <f>IF(AND(E78&gt;D54,D78&lt;C54),"NG",IF(E78&gt;D54,"Neg NG",IF(D78&lt;C54,"Pos NG","OK")))</f>
        <v>OK</v>
      </c>
      <c r="I78" s="123" t="s">
        <v>231</v>
      </c>
      <c r="J78" s="124"/>
      <c r="K78" s="125"/>
      <c r="L78" s="39">
        <v>30</v>
      </c>
      <c r="M78" s="39">
        <v>-35</v>
      </c>
      <c r="N78" s="39" t="str">
        <f>IF(AND(M78&gt;B54,L78&lt;A54),"NG",IF(M78&gt;B54,"Neg NG",IF(L78&lt;A54,"Pos NG","OK")))</f>
        <v>Pos NG</v>
      </c>
      <c r="O78" s="88" t="str">
        <f>IF(AND(M78&gt;D54,L78&lt;C54),"NG",IF(M78&gt;D54,"Neg NG",IF(L78&lt;C54,"Pos NG","OK")))</f>
        <v>NG</v>
      </c>
      <c r="P78" s="60">
        <v>0.35</v>
      </c>
      <c r="Q78" s="88">
        <v>0.3</v>
      </c>
    </row>
    <row r="79" spans="1:22" ht="45" customHeight="1" thickBot="1" x14ac:dyDescent="0.35">
      <c r="A79" s="126" t="s">
        <v>208</v>
      </c>
      <c r="B79" s="127"/>
      <c r="C79" s="127"/>
      <c r="D79" s="109">
        <v>150</v>
      </c>
      <c r="E79" s="109">
        <v>-150</v>
      </c>
      <c r="F79" s="109" t="str">
        <f>IF(AND(E79&gt;B54,D79&lt;A54),"NG",IF(E79&gt;B54,"Neg NG",IF(D79&lt;A54,"Pos NG","OK")))</f>
        <v>OK</v>
      </c>
      <c r="G79" s="90" t="str">
        <f>IF(AND(E79&gt;D54,D79&lt;C54),"NG",IF(E79&gt;D54,"Neg NG",IF(D79&lt;C54,"Pos NG","OK")))</f>
        <v>OK</v>
      </c>
      <c r="I79" s="123" t="s">
        <v>232</v>
      </c>
      <c r="J79" s="124"/>
      <c r="K79" s="125"/>
      <c r="L79" s="39">
        <v>50</v>
      </c>
      <c r="M79" s="39">
        <v>-50</v>
      </c>
      <c r="N79" s="39" t="str">
        <f>IF(AND(M79&gt;B54,L79&lt;A54),"NG",IF(M79&gt;B54,"Neg NG",IF(L79&lt;A54,"Pos NG","OK")))</f>
        <v>OK</v>
      </c>
      <c r="O79" s="88" t="str">
        <f>IF(AND(M79&gt;D54,L79&lt;C54),"NG",IF(M79&gt;D54,"Neg NG",IF(L79&lt;C54,"Pos NG","OK")))</f>
        <v>OK</v>
      </c>
      <c r="P79" s="60">
        <v>0.36</v>
      </c>
      <c r="Q79" s="88">
        <v>0.28000000000000003</v>
      </c>
    </row>
    <row r="80" spans="1:22" ht="36" customHeight="1" thickBot="1" x14ac:dyDescent="0.35">
      <c r="I80" s="128" t="s">
        <v>233</v>
      </c>
      <c r="J80" s="129"/>
      <c r="K80" s="130"/>
      <c r="L80" s="111">
        <v>60</v>
      </c>
      <c r="M80" s="111">
        <v>-60</v>
      </c>
      <c r="N80" s="111" t="str">
        <f>IF(AND(M80&gt;B54,L80&lt;A54),"NG",IF(M80&gt;B54,"Neg NG",IF(L80&lt;A54,"Pos NG","OK")))</f>
        <v>OK</v>
      </c>
      <c r="O80" s="112" t="str">
        <f>IF(AND(M80&gt;D54,L80&lt;C54),"NG",IF(M80&gt;D54,"Neg NG",IF(L80&lt;C54,"Pos NG","OK")))</f>
        <v>OK</v>
      </c>
      <c r="P80" s="89">
        <v>0.33</v>
      </c>
      <c r="Q80" s="90">
        <v>0.22</v>
      </c>
    </row>
    <row r="81" ht="28.5" customHeight="1" x14ac:dyDescent="0.3"/>
  </sheetData>
  <mergeCells count="74">
    <mergeCell ref="I73:K73"/>
    <mergeCell ref="I74:K74"/>
    <mergeCell ref="I75:K75"/>
    <mergeCell ref="I76:K76"/>
    <mergeCell ref="I77:K77"/>
    <mergeCell ref="I69:K69"/>
    <mergeCell ref="I70:K70"/>
    <mergeCell ref="I71:K71"/>
    <mergeCell ref="I72:K72"/>
    <mergeCell ref="I63:O63"/>
    <mergeCell ref="N64:O64"/>
    <mergeCell ref="L64:M64"/>
    <mergeCell ref="I64:K65"/>
    <mergeCell ref="I66:K66"/>
    <mergeCell ref="I67:K67"/>
    <mergeCell ref="I68:K68"/>
    <mergeCell ref="AR4:AU4"/>
    <mergeCell ref="AK4:AL4"/>
    <mergeCell ref="P11:Q11"/>
    <mergeCell ref="R11:S11"/>
    <mergeCell ref="V11:W11"/>
    <mergeCell ref="N2:O2"/>
    <mergeCell ref="B42:C42"/>
    <mergeCell ref="D42:E42"/>
    <mergeCell ref="A38:A44"/>
    <mergeCell ref="B38:C38"/>
    <mergeCell ref="D38:E38"/>
    <mergeCell ref="F38:G38"/>
    <mergeCell ref="A29:I29"/>
    <mergeCell ref="B34:C34"/>
    <mergeCell ref="F30:G30"/>
    <mergeCell ref="D30:E30"/>
    <mergeCell ref="B30:C30"/>
    <mergeCell ref="A30:A36"/>
    <mergeCell ref="D34:E34"/>
    <mergeCell ref="H30:I30"/>
    <mergeCell ref="H38:I38"/>
    <mergeCell ref="A51:D51"/>
    <mergeCell ref="A63:G63"/>
    <mergeCell ref="A64:C65"/>
    <mergeCell ref="D64:E64"/>
    <mergeCell ref="F64:G64"/>
    <mergeCell ref="AR33:AT33"/>
    <mergeCell ref="N5:O5"/>
    <mergeCell ref="N7:O7"/>
    <mergeCell ref="K41:M41"/>
    <mergeCell ref="O41:Q41"/>
    <mergeCell ref="S41:U41"/>
    <mergeCell ref="N8:O8"/>
    <mergeCell ref="N11:O11"/>
    <mergeCell ref="X11:Y11"/>
    <mergeCell ref="P15:Q15"/>
    <mergeCell ref="X15:Y15"/>
    <mergeCell ref="T11:U11"/>
    <mergeCell ref="N10:Y10"/>
    <mergeCell ref="I79:K79"/>
    <mergeCell ref="A79:C79"/>
    <mergeCell ref="I80:K80"/>
    <mergeCell ref="A76:C76"/>
    <mergeCell ref="A77:C77"/>
    <mergeCell ref="I78:K78"/>
    <mergeCell ref="A78:C78"/>
    <mergeCell ref="A75:C75"/>
    <mergeCell ref="A70:C70"/>
    <mergeCell ref="A71:C71"/>
    <mergeCell ref="A72:C72"/>
    <mergeCell ref="A73:C73"/>
    <mergeCell ref="A66:C66"/>
    <mergeCell ref="A52:B52"/>
    <mergeCell ref="A67:C67"/>
    <mergeCell ref="A74:C74"/>
    <mergeCell ref="A68:C68"/>
    <mergeCell ref="A69:C69"/>
    <mergeCell ref="C52:D52"/>
  </mergeCells>
  <conditionalFormatting sqref="F66:G79">
    <cfRule type="containsText" dxfId="91" priority="19" operator="containsText" text="NG">
      <formula>NOT(ISERROR(SEARCH("NG",F66)))</formula>
    </cfRule>
  </conditionalFormatting>
  <conditionalFormatting sqref="F34:I34">
    <cfRule type="expression" dxfId="90" priority="44">
      <formula>($F$34="Zone 3e:")</formula>
    </cfRule>
  </conditionalFormatting>
  <conditionalFormatting sqref="F36:I36">
    <cfRule type="expression" dxfId="89" priority="48">
      <formula>($F$34="Zone 3e:")</formula>
    </cfRule>
  </conditionalFormatting>
  <conditionalFormatting sqref="F42:I44">
    <cfRule type="expression" dxfId="88" priority="33">
      <formula>($F$34="Zone 3e:")</formula>
    </cfRule>
  </conditionalFormatting>
  <conditionalFormatting sqref="G35">
    <cfRule type="expression" dxfId="87" priority="47">
      <formula>($F$34="Zone 3e:")</formula>
    </cfRule>
  </conditionalFormatting>
  <conditionalFormatting sqref="H31">
    <cfRule type="expression" dxfId="86" priority="10">
      <formula>$H$30="Leave Out Zone 1'"</formula>
    </cfRule>
    <cfRule type="expression" dxfId="85" priority="13">
      <formula>$H$24="Leave Out Zone 1'"</formula>
    </cfRule>
  </conditionalFormatting>
  <conditionalFormatting sqref="H32">
    <cfRule type="expression" dxfId="84" priority="9">
      <formula>$H$30="Leave Out Zone 1'"</formula>
    </cfRule>
  </conditionalFormatting>
  <conditionalFormatting sqref="H39">
    <cfRule type="expression" dxfId="83" priority="2">
      <formula>$H$30="Leave Out Zone 1'"</formula>
    </cfRule>
    <cfRule type="expression" dxfId="82" priority="6">
      <formula>$H$24="Leave Out Zone 1'"</formula>
    </cfRule>
  </conditionalFormatting>
  <conditionalFormatting sqref="H40">
    <cfRule type="expression" dxfId="81" priority="3">
      <formula>$H$30="Leave Out Zone 1'"</formula>
    </cfRule>
  </conditionalFormatting>
  <conditionalFormatting sqref="H30:I30">
    <cfRule type="expression" dxfId="80" priority="11">
      <formula>$H$30="Leave Out Zone 1'"</formula>
    </cfRule>
  </conditionalFormatting>
  <conditionalFormatting sqref="H38:I38">
    <cfRule type="expression" dxfId="79" priority="5">
      <formula>$H$30="Leave Out Zone 1'"</formula>
    </cfRule>
  </conditionalFormatting>
  <conditionalFormatting sqref="I31">
    <cfRule type="expression" dxfId="78" priority="8">
      <formula>$H$30="Leave Out Zone 1'"</formula>
    </cfRule>
    <cfRule type="expression" dxfId="77" priority="12">
      <formula>$H$24="Leave Out Zone 1'"</formula>
    </cfRule>
  </conditionalFormatting>
  <conditionalFormatting sqref="I32">
    <cfRule type="expression" dxfId="76" priority="7">
      <formula>$H$30="Leave Out Zone 1'"</formula>
    </cfRule>
  </conditionalFormatting>
  <conditionalFormatting sqref="I35">
    <cfRule type="expression" dxfId="75" priority="46">
      <formula>($F$34="Zone 3e:")</formula>
    </cfRule>
  </conditionalFormatting>
  <conditionalFormatting sqref="I39">
    <cfRule type="expression" dxfId="74" priority="1">
      <formula>$H$30="Leave Out Zone 1'"</formula>
    </cfRule>
  </conditionalFormatting>
  <conditionalFormatting sqref="I40">
    <cfRule type="expression" dxfId="73" priority="4">
      <formula>$H$30="Leave Out Zone 1'"</formula>
    </cfRule>
  </conditionalFormatting>
  <conditionalFormatting sqref="N66:O80">
    <cfRule type="containsText" dxfId="72" priority="15" operator="containsText" text="NG">
      <formula>NOT(ISERROR(SEARCH("NG",N66)))</formula>
    </cfRule>
  </conditionalFormatting>
  <conditionalFormatting sqref="Q45">
    <cfRule type="expression" dxfId="71" priority="22">
      <formula>(Q45="Zone 3e:")</formula>
    </cfRule>
  </conditionalFormatting>
  <conditionalFormatting sqref="Q80">
    <cfRule type="containsText" dxfId="70" priority="14" operator="containsText" text="NG">
      <formula>NOT(ISERROR(SEARCH("NG",Q80)))</formula>
    </cfRule>
  </conditionalFormatting>
  <conditionalFormatting sqref="AS15">
    <cfRule type="expression" dxfId="69" priority="82">
      <formula>(Q42="Zone 3e:")</formula>
    </cfRule>
  </conditionalFormatting>
  <conditionalFormatting sqref="AS15:AT15 Q42">
    <cfRule type="expression" dxfId="68" priority="38">
      <formula>(Q15="Zone 3e:")</formula>
    </cfRule>
  </conditionalFormatting>
  <conditionalFormatting sqref="AT15">
    <cfRule type="expression" dxfId="67" priority="83">
      <formula>(Q42="Zone 3e:")</formula>
    </cfRule>
  </conditionalFormatting>
  <dataValidations count="6">
    <dataValidation type="list" allowBlank="1" showInputMessage="1" showErrorMessage="1" sqref="T3:U3 N5:O5" xr:uid="{20771334-A80A-493E-9444-ADB0B3B0D4A4}">
      <formula1>"Transverse / Complex, Gable / Mono"</formula1>
    </dataValidation>
    <dataValidation type="list" allowBlank="1" showInputMessage="1" showErrorMessage="1" sqref="E15" xr:uid="{9515E56E-B53E-4260-82FB-7C8D611B9FA8}">
      <formula1>"B,C,D"</formula1>
    </dataValidation>
    <dataValidation type="whole" allowBlank="1" showInputMessage="1" showErrorMessage="1" sqref="E16" xr:uid="{3DCDDD6E-D457-4A9A-A1ED-EC181AAE5FE0}">
      <formula1>1</formula1>
      <formula2>57</formula2>
    </dataValidation>
    <dataValidation type="list" allowBlank="1" showInputMessage="1" showErrorMessage="1" sqref="F23" xr:uid="{06D06EB8-0340-4748-9531-18F67F688A06}">
      <formula1>"0,1000,2000,3000,4000,5000,6000,7000,8000,9000"</formula1>
    </dataValidation>
    <dataValidation type="whole" allowBlank="1" showInputMessage="1" showErrorMessage="1" sqref="E20" xr:uid="{AF5C01DE-ED7E-48D7-A6BF-5C47075DA88F}">
      <formula1>0</formula1>
      <formula2>3</formula2>
    </dataValidation>
    <dataValidation type="list" allowBlank="1" showInputMessage="1" showErrorMessage="1" sqref="F24" xr:uid="{80797F0F-EEFC-4BA1-BBF2-4CFD9D144CCE}">
      <formula1>"(Enclosed), (Patially Enclosed), (Open), (Partially Open)"</formula1>
    </dataValidation>
  </dataValidations>
  <pageMargins left="0.7" right="0.7" top="0.75" bottom="0.75" header="0.3" footer="0.3"/>
  <pageSetup orientation="portrait" r:id="rId1"/>
  <ignoredErrors>
    <ignoredError sqref="E2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8"/>
  <sheetViews>
    <sheetView workbookViewId="0">
      <selection activeCell="E13" sqref="E13"/>
    </sheetView>
  </sheetViews>
  <sheetFormatPr defaultRowHeight="14.4" x14ac:dyDescent="0.3"/>
  <cols>
    <col min="3" max="3" width="9.5546875" bestFit="1" customWidth="1"/>
    <col min="8" max="8" width="9" customWidth="1"/>
    <col min="12" max="12" width="9.88671875" customWidth="1"/>
    <col min="13" max="13" width="9.6640625" customWidth="1"/>
    <col min="14" max="14" width="9.44140625" customWidth="1"/>
    <col min="21" max="21" width="8.88671875" customWidth="1"/>
    <col min="28" max="30" width="8.88671875" customWidth="1"/>
    <col min="32" max="34" width="0" hidden="1" customWidth="1"/>
    <col min="38" max="53" width="8.88671875" hidden="1" customWidth="1"/>
  </cols>
  <sheetData>
    <row r="1" spans="3:42" ht="17.399999999999999" x14ac:dyDescent="0.3">
      <c r="E1" s="3" t="s">
        <v>14</v>
      </c>
      <c r="K1" s="133" t="s">
        <v>108</v>
      </c>
      <c r="L1" s="133"/>
      <c r="M1" s="133"/>
      <c r="N1" s="133"/>
    </row>
    <row r="2" spans="3:42" ht="17.399999999999999" x14ac:dyDescent="0.3">
      <c r="E2" s="3" t="s">
        <v>187</v>
      </c>
      <c r="K2" s="32"/>
      <c r="L2" s="72" t="s">
        <v>184</v>
      </c>
      <c r="M2" s="70">
        <v>160</v>
      </c>
      <c r="N2" s="73" t="s">
        <v>22</v>
      </c>
      <c r="V2" s="19"/>
      <c r="W2" s="19"/>
      <c r="AL2" s="19"/>
      <c r="AM2" s="19"/>
      <c r="AN2" s="27" t="s">
        <v>51</v>
      </c>
      <c r="AO2" s="20">
        <f>E13</f>
        <v>130</v>
      </c>
      <c r="AP2" s="7" t="s">
        <v>22</v>
      </c>
    </row>
    <row r="3" spans="3:42" x14ac:dyDescent="0.3">
      <c r="E3" s="4" t="s">
        <v>190</v>
      </c>
      <c r="K3" s="32"/>
      <c r="L3" s="72" t="s">
        <v>123</v>
      </c>
      <c r="M3" s="74">
        <f>SUM(M2*SQRT(0.6))</f>
        <v>123.93546707863734</v>
      </c>
      <c r="N3" s="75" t="s">
        <v>22</v>
      </c>
      <c r="V3" s="19"/>
      <c r="W3" s="19"/>
      <c r="AN3" s="27" t="s">
        <v>82</v>
      </c>
      <c r="AO3" s="53">
        <f>SUM(AO2*SQRT(0.6))</f>
        <v>100.69756700139284</v>
      </c>
      <c r="AP3" s="12" t="s">
        <v>22</v>
      </c>
    </row>
    <row r="4" spans="3:42" x14ac:dyDescent="0.3">
      <c r="K4" s="22"/>
      <c r="L4" s="25"/>
      <c r="M4" s="25"/>
      <c r="V4" s="56"/>
      <c r="AF4" s="133" t="s">
        <v>28</v>
      </c>
      <c r="AG4" s="133"/>
      <c r="AL4" s="19"/>
      <c r="AM4" s="19"/>
      <c r="AN4" s="27" t="s">
        <v>23</v>
      </c>
      <c r="AO4" s="14" t="str">
        <f>E14</f>
        <v>C</v>
      </c>
      <c r="AP4" s="7"/>
    </row>
    <row r="5" spans="3:42" x14ac:dyDescent="0.3">
      <c r="C5" s="5" t="s">
        <v>15</v>
      </c>
      <c r="D5" s="6" t="s">
        <v>16</v>
      </c>
      <c r="L5" s="22"/>
      <c r="M5" s="150" t="s">
        <v>83</v>
      </c>
      <c r="N5" s="150"/>
      <c r="AF5" s="100">
        <f>M7*0.1</f>
        <v>3.6</v>
      </c>
      <c r="AG5" s="100">
        <f>E16*0.4</f>
        <v>8.4</v>
      </c>
      <c r="AH5" t="s">
        <v>160</v>
      </c>
      <c r="AL5" s="19"/>
      <c r="AM5" s="19"/>
      <c r="AN5" s="27" t="s">
        <v>73</v>
      </c>
      <c r="AO5" s="78">
        <f>E16</f>
        <v>21</v>
      </c>
      <c r="AP5" s="7" t="s">
        <v>25</v>
      </c>
    </row>
    <row r="6" spans="3:42" x14ac:dyDescent="0.3">
      <c r="D6" s="6" t="s">
        <v>183</v>
      </c>
      <c r="L6" s="22"/>
      <c r="M6" s="39" t="s">
        <v>55</v>
      </c>
      <c r="N6" s="39" t="s">
        <v>69</v>
      </c>
      <c r="AF6" s="100">
        <f>N7*0.1</f>
        <v>6</v>
      </c>
      <c r="AG6" s="100">
        <f>E16*0.4</f>
        <v>8.4</v>
      </c>
      <c r="AH6" t="s">
        <v>161</v>
      </c>
      <c r="AN6" s="22" t="s">
        <v>80</v>
      </c>
      <c r="AO6" s="44">
        <f>E17</f>
        <v>0.25</v>
      </c>
      <c r="AP6" s="19" t="s">
        <v>67</v>
      </c>
    </row>
    <row r="7" spans="3:42" x14ac:dyDescent="0.3">
      <c r="D7" s="6" t="s">
        <v>17</v>
      </c>
      <c r="L7" s="22" t="s">
        <v>70</v>
      </c>
      <c r="M7" s="58">
        <v>36</v>
      </c>
      <c r="N7" s="59">
        <v>60</v>
      </c>
      <c r="AF7" s="101">
        <f>MIN(M7,N7)*0.1</f>
        <v>3.6</v>
      </c>
      <c r="AG7" s="102">
        <f>E16*0.4</f>
        <v>8.4</v>
      </c>
      <c r="AH7" t="s">
        <v>157</v>
      </c>
      <c r="AM7" s="19"/>
      <c r="AN7" s="27" t="s">
        <v>75</v>
      </c>
      <c r="AO7" s="26">
        <f>E18</f>
        <v>1.1934894239820351</v>
      </c>
      <c r="AP7" s="19"/>
    </row>
    <row r="8" spans="3:42" x14ac:dyDescent="0.3">
      <c r="D8" s="6" t="s">
        <v>18</v>
      </c>
      <c r="L8" s="22" t="s">
        <v>71</v>
      </c>
      <c r="M8" s="132" t="s">
        <v>72</v>
      </c>
      <c r="N8" s="132"/>
      <c r="AF8" s="11" t="s">
        <v>150</v>
      </c>
      <c r="AG8" s="11" t="s">
        <v>151</v>
      </c>
      <c r="AN8" s="27" t="s">
        <v>54</v>
      </c>
      <c r="AO8" s="44">
        <v>0</v>
      </c>
      <c r="AP8" s="19"/>
    </row>
    <row r="9" spans="3:42" x14ac:dyDescent="0.3">
      <c r="D9" s="6" t="s">
        <v>19</v>
      </c>
      <c r="N9" s="1"/>
      <c r="O9" s="23"/>
      <c r="P9" s="56"/>
      <c r="AL9" s="19"/>
      <c r="AM9" s="19"/>
      <c r="AN9" s="27" t="s">
        <v>47</v>
      </c>
      <c r="AO9" s="21">
        <v>1</v>
      </c>
      <c r="AP9" s="7" t="s">
        <v>27</v>
      </c>
    </row>
    <row r="10" spans="3:42" x14ac:dyDescent="0.3">
      <c r="D10" s="6" t="s">
        <v>20</v>
      </c>
      <c r="M10" s="133" t="s">
        <v>76</v>
      </c>
      <c r="N10" s="133"/>
      <c r="O10" s="8"/>
      <c r="P10" s="12"/>
      <c r="Q10" s="12"/>
      <c r="AF10" s="8">
        <f>IF(E18&lt;=7,(M7-(X17*2)),IF(E18&gt;7,(M7-(X17*4)),0))</f>
        <v>27.6</v>
      </c>
      <c r="AG10" s="8">
        <f>IF(E18&lt;=7,(N7-(X16*2)),IF(AND(E18&gt;7,E18&lt;=45),(N7-(X16*2)),0))</f>
        <v>34.799999999999997</v>
      </c>
      <c r="AH10" t="s">
        <v>148</v>
      </c>
      <c r="AL10" s="19"/>
      <c r="AM10" s="19"/>
      <c r="AN10" s="22" t="s">
        <v>44</v>
      </c>
      <c r="AO10" s="23">
        <v>0.85</v>
      </c>
      <c r="AP10" s="19"/>
    </row>
    <row r="11" spans="3:42" x14ac:dyDescent="0.3">
      <c r="D11" s="6" t="s">
        <v>21</v>
      </c>
      <c r="M11" s="133">
        <f>MAX(AF13,AF14)</f>
        <v>21.625</v>
      </c>
      <c r="N11" s="133"/>
      <c r="O11" s="19"/>
      <c r="P11" s="19"/>
      <c r="Q11" s="19"/>
      <c r="AF11" s="8">
        <f>IF(E18&lt;=7,(M7-U16*2),IF(AND(E18&gt;7,E18&lt;=27),(M7-(U16*2)),IF(AND(E18&gt;27,E18&lt;=45),(M7-(U16*4))*0)))</f>
        <v>10.8</v>
      </c>
      <c r="AG11" s="8">
        <f>IF(E18&lt;=7,(N7-(U16*2)),IF(AND(E18&gt;7,E18&lt;=45),(N7-(X16*4)),0))</f>
        <v>34.799999999999997</v>
      </c>
      <c r="AH11" t="s">
        <v>149</v>
      </c>
      <c r="AL11" s="19"/>
      <c r="AM11" s="19"/>
      <c r="AN11" s="22" t="s">
        <v>45</v>
      </c>
      <c r="AO11" s="23">
        <f>IF(AP11=0,1,IF(AP11=1000,0.96,IF(AP11=2000,0.93,IF(AP11=3000,0.9,IF(AP11=4000,0.86,IF(AP11=5000,0.83,IF(AP11=6000,0.8,0)))))))</f>
        <v>1</v>
      </c>
      <c r="AP11" s="24">
        <v>0</v>
      </c>
    </row>
    <row r="12" spans="3:42" ht="15" thickBot="1" x14ac:dyDescent="0.35">
      <c r="D12" s="6" t="s">
        <v>182</v>
      </c>
      <c r="N12" s="22"/>
      <c r="P12" s="56"/>
      <c r="AL12" s="19"/>
      <c r="AM12" s="19"/>
      <c r="AN12" s="27" t="s">
        <v>46</v>
      </c>
      <c r="AO12" s="23">
        <f>IF(AP12="(enclosed)",-0.18,IF(AP12="(Partially Enclosed)",-0.55,IF(AP12="(open)",0,IF(AP12="(Partially Open)",-0.18,0))))</f>
        <v>-0.18</v>
      </c>
      <c r="AP12" s="19" t="s">
        <v>43</v>
      </c>
    </row>
    <row r="13" spans="3:42" ht="15" thickBot="1" x14ac:dyDescent="0.35">
      <c r="D13" s="27" t="s">
        <v>51</v>
      </c>
      <c r="E13" s="20">
        <v>130</v>
      </c>
      <c r="F13" s="54" t="s">
        <v>22</v>
      </c>
      <c r="G13" s="2"/>
      <c r="J13" s="19"/>
      <c r="L13" s="19"/>
      <c r="M13" s="141" t="s">
        <v>159</v>
      </c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3"/>
      <c r="AF13">
        <f>IF(M8="transverse / complex",(E15+(E17*((N7/2)/12))),IF(M8="gable / mono",(E15+(E17*((M7/2)/12))),0))</f>
        <v>21.625</v>
      </c>
      <c r="AG13" t="s">
        <v>167</v>
      </c>
      <c r="AL13" s="19"/>
      <c r="AM13" s="19"/>
      <c r="AN13" s="27" t="s">
        <v>46</v>
      </c>
      <c r="AO13" s="23">
        <f>IF(AP12="(enclosed)",0.18,IF(AP12="(Partially Enclosed)",0.55,IF(AP12="(open)",0,IF(AP12="(Partially Open)",0.18,0))))</f>
        <v>0.18</v>
      </c>
      <c r="AP13" s="19"/>
    </row>
    <row r="14" spans="3:42" ht="15" thickBot="1" x14ac:dyDescent="0.35">
      <c r="D14" s="27" t="s">
        <v>23</v>
      </c>
      <c r="E14" s="14" t="s">
        <v>37</v>
      </c>
      <c r="F14" s="54"/>
      <c r="G14" s="2"/>
      <c r="L14" s="19"/>
      <c r="M14" s="167" t="s">
        <v>56</v>
      </c>
      <c r="N14" s="168"/>
      <c r="O14" s="167" t="s">
        <v>57</v>
      </c>
      <c r="P14" s="168"/>
      <c r="Q14" s="167" t="s">
        <v>59</v>
      </c>
      <c r="R14" s="168"/>
      <c r="S14" s="167" t="str">
        <f>IF(E18&gt;7,"Zone 2e:","Zone 1':")</f>
        <v>Zone 1':</v>
      </c>
      <c r="T14" s="168"/>
      <c r="U14" s="167" t="str">
        <f>IF(E18&gt;7,"Zone 2n:","Zone 2:")</f>
        <v>Zone 2:</v>
      </c>
      <c r="V14" s="168"/>
      <c r="W14" s="167" t="str">
        <f>IF(E18&gt;7,"Zone 2r:","Zone 3:")</f>
        <v>Zone 3:</v>
      </c>
      <c r="X14" s="168"/>
      <c r="Y14" s="167" t="str">
        <f>IF(E18&gt;7,"Zone 3e:","")</f>
        <v/>
      </c>
      <c r="Z14" s="168"/>
      <c r="AA14" s="167" t="str">
        <f>IF(E18&gt;7,"Zone 3r:","")</f>
        <v/>
      </c>
      <c r="AB14" s="168"/>
      <c r="AF14">
        <f>E15+E19</f>
        <v>21</v>
      </c>
      <c r="AG14" t="s">
        <v>168</v>
      </c>
      <c r="AL14" s="23"/>
      <c r="AM14" s="25"/>
      <c r="AN14" s="27" t="s">
        <v>48</v>
      </c>
      <c r="AO14" s="23">
        <f>IF(AND(AO4="B",AO5&lt;=15),"0.82",IF(AND(AO4="B",AO5=20),"0.89",IF(AND(AO4="B",AO5=25),"0.94",IF(AND(AO4="B",AO5=30),"1",IF(AND(AO4="B",AO5=35),"1.05",IF(AND(AO4="B",AO5=40),"1.09",IF(AND(AO4="B",AO5=45),"1.12",IF(AND(AO4="B",AO5=50),"1.16",IF(AND(AO4="B",AO5=55),"1.19",IF(AND(AO4="B",AO5=60),"1.22",IF(AND(AO4="C",AO5&lt;=15),"1.21",IF(AND(AO4="C",AO5=20),"1.29",IF(AND(AO4="C",AO5=25),"1.35",IF(AND(AO4="C",AO5=30),"1.4",IF(AND(AO4="C",AO5=35),"1.45",IF(AND(AO4="C",AO5=40),"1.49",IF(AND(AO4="C",AO5=45),"1.53",IF(AND(AO4="C",AO5=50),"1.56",IF(AND(AO4="C",AO5=55),"1.59",IF(AND(AO4="C",AO5=60),"1.62",IF(AND(AO4="D",AO5&lt;=15),"1.47",IF(AND(AO4="D",AO5=20),"1.55",IF(AND(AO4="D",AO5=25),"1.61",IF(AND(AO4="D",AO5=30),"1.66",IF(AND(AO4="D",AO5=35),"1.7",IF(AND(AO4="D",AO5=40),"1.74",IF(AND(AO4="D",AO5=45),"1.78",IF(AND(AO4="D",AO5=50),"1.81",IF(AND(AO4="D",AO5=55),"1.84",IF(AND(AO4="D",AO5=60),"1.87",0))))))))))))))))))))))))))))))</f>
        <v>0</v>
      </c>
      <c r="AP14" s="19"/>
    </row>
    <row r="15" spans="3:42" x14ac:dyDescent="0.3">
      <c r="D15" s="27" t="s">
        <v>126</v>
      </c>
      <c r="E15" s="20">
        <v>21</v>
      </c>
      <c r="F15" s="54" t="s">
        <v>125</v>
      </c>
      <c r="L15" s="19"/>
      <c r="M15" s="91" t="s">
        <v>146</v>
      </c>
      <c r="N15" s="92" t="s">
        <v>147</v>
      </c>
      <c r="O15" s="91" t="s">
        <v>146</v>
      </c>
      <c r="P15" s="92" t="s">
        <v>147</v>
      </c>
      <c r="Q15" s="91" t="s">
        <v>146</v>
      </c>
      <c r="R15" s="92" t="s">
        <v>147</v>
      </c>
      <c r="S15" s="91" t="s">
        <v>146</v>
      </c>
      <c r="T15" s="92" t="s">
        <v>147</v>
      </c>
      <c r="U15" s="91" t="s">
        <v>146</v>
      </c>
      <c r="V15" s="92" t="s">
        <v>147</v>
      </c>
      <c r="W15" s="91" t="s">
        <v>146</v>
      </c>
      <c r="X15" s="92" t="str">
        <f>IF(W14="Zone 2r:","Peak","Sidewall:")</f>
        <v>Sidewall:</v>
      </c>
      <c r="Y15" s="98" t="str">
        <f>IF(E18&gt;7,"Endwall","")</f>
        <v/>
      </c>
      <c r="Z15" s="99" t="str">
        <f>IF(E18&gt;7,"Sidewall","")</f>
        <v/>
      </c>
      <c r="AA15" s="98" t="str">
        <f>IF(E18&gt;7,"Endwall","")</f>
        <v/>
      </c>
      <c r="AB15" s="99" t="str">
        <f>IF(E18&gt;7,"Sidewall","")</f>
        <v/>
      </c>
      <c r="AL15" s="19"/>
      <c r="AM15" s="19"/>
      <c r="AN15" s="22" t="s">
        <v>49</v>
      </c>
      <c r="AO15" s="26">
        <f>IF(AND(AO4="B",AO5&lt;30),(2.01*((30+AO8)/1200)^(2/7)),IF(AND(AO4="B",AO5&gt;=30),(2.01*((AO5+AO8)/1200)^(2/7)),IF(AO4="C",(2.01*((AO5+AO8)/900)^(2/9.5)),IF(AO4="D",(2.01*((AO5+AO8)/700)^(2/11.5)),0))))</f>
        <v>0.91119687732675281</v>
      </c>
      <c r="AP15" s="25"/>
    </row>
    <row r="16" spans="3:42" x14ac:dyDescent="0.3">
      <c r="D16" s="27" t="s">
        <v>74</v>
      </c>
      <c r="E16" s="26">
        <f>IF(E19&gt;0,E15+E19,IF(E18&lt;=10,E15,IF(M8="transverse / complex",(E15+(E17*((N7/2)/12)/2)),IF(M8="gable / mono",(E15+(E17*((M7/2)/12)/2)),E15+E19))))</f>
        <v>21</v>
      </c>
      <c r="L16" s="22" t="s">
        <v>162</v>
      </c>
      <c r="M16" s="60" t="s">
        <v>163</v>
      </c>
      <c r="N16" s="88" t="s">
        <v>163</v>
      </c>
      <c r="O16" s="60">
        <f>IF(MIN(AF5,AG5)&lt;3,3,MIN(AF5,AG5))</f>
        <v>3.6</v>
      </c>
      <c r="P16" s="88">
        <f>IF(MIN(AF6,AG6)&lt;3,3,MIN(AF6,AG6))</f>
        <v>6</v>
      </c>
      <c r="Q16" s="60">
        <f>IF(E18&lt;=7,E16*0.6,"-")</f>
        <v>12.6</v>
      </c>
      <c r="R16" s="88">
        <f>IF(E18&lt;=7,E16*0.6,"-")</f>
        <v>12.6</v>
      </c>
      <c r="S16" s="60" t="str">
        <f>IF(H26="Leave Out Zone 1'","N/A",IF(E18&lt;=7,"-",IF(S14="Zone 2e:","-",IF(MIN(AF6,AG6)&lt;3,3,MIN(AF6,AG6)))))</f>
        <v>N/A</v>
      </c>
      <c r="T16" s="88" t="str">
        <f>IF(H26="Leave Out Zone 1'","N/A",IF(E18&lt;=7,"-",IF(MIN(AF5,AG5)&lt;3,3,MIN(AF5,AG5))))</f>
        <v>N/A</v>
      </c>
      <c r="U16" s="60">
        <f>IF(E18&lt;=7,E16*0.6,IF(MIN(AF6,AG6)&lt;3,3,MIN(AF6,AG6)))</f>
        <v>12.6</v>
      </c>
      <c r="V16" s="88">
        <f>IF(U14="Zone 2n:","-",IF(E18&lt;=7,E16*0.6,IF(MIN(AF6,AG6)&lt;3,3,MIN(AF6,AG6))))</f>
        <v>12.6</v>
      </c>
      <c r="W16" s="60">
        <f>IF(W14="Zone 2r:","-",IF(E18&lt;=7,E16*0.6,MIN(AF5,AG5)))</f>
        <v>12.6</v>
      </c>
      <c r="X16" s="88">
        <f>IF(E18&lt;=7,E16*0.6,IF(MIN(AF5,AG5)&lt;3,3,MIN(AF5,AG5)))</f>
        <v>12.6</v>
      </c>
      <c r="Y16" s="60" t="str">
        <f>IF(E18&lt;=7,"",IF(MIN(AF5,AG5)&lt;3,3,MIN(AF5,AG5)))</f>
        <v/>
      </c>
      <c r="Z16" s="88" t="str">
        <f>IF(E18&lt;=7,"",IF(MIN(AF6,AG6)&lt;3,3,MIN(AF6,AG6)))</f>
        <v/>
      </c>
      <c r="AA16" s="60" t="str">
        <f>IF(E18&lt;=7,"",IF(MIN(AF5,AG5)&lt;3,3,MIN(AF5,AG5)))</f>
        <v/>
      </c>
      <c r="AB16" s="88" t="str">
        <f>IF(E18&lt;=7,"",IF(MIN(AF6,AG6)&lt;3,3,MIN(AF6,AG6)))</f>
        <v/>
      </c>
      <c r="AL16" s="19"/>
      <c r="AM16" s="19"/>
      <c r="AN16" s="22" t="s">
        <v>50</v>
      </c>
      <c r="AO16" s="26">
        <f>(0.6*0.00256*AO15*AO9*AO10*AO11*(AO2^2))</f>
        <v>20.105231067338963</v>
      </c>
      <c r="AP16" s="25" t="s">
        <v>42</v>
      </c>
    </row>
    <row r="17" spans="1:53" ht="15" thickBot="1" x14ac:dyDescent="0.35">
      <c r="D17" s="22" t="s">
        <v>81</v>
      </c>
      <c r="E17" s="44">
        <v>0.25</v>
      </c>
      <c r="F17" s="25" t="s">
        <v>67</v>
      </c>
      <c r="L17" s="22" t="s">
        <v>152</v>
      </c>
      <c r="M17" s="89">
        <f>SUM(M7-O17*2)</f>
        <v>28.8</v>
      </c>
      <c r="N17" s="90">
        <f>SUM(N7-P17*2)</f>
        <v>48</v>
      </c>
      <c r="O17" s="89">
        <f>IF(MIN(AF5,AG5)&lt;3,3,MIN(AF5,AG5))</f>
        <v>3.6</v>
      </c>
      <c r="P17" s="90">
        <f>IF(MIN(AF6,AG6)&lt;3,3,MIN(AF6,AG6))</f>
        <v>6</v>
      </c>
      <c r="Q17" s="89">
        <f>IF(AF11&lt;=0,"N/A",IF(E18&lt;=7,(M7-U16*2),IF(E18&gt;7,(M7-((T16*2)+(X16*2))))))</f>
        <v>10.8</v>
      </c>
      <c r="R17" s="90">
        <f>IF(AG11&lt;=0,"N/A",IF(E18&lt;=7,(N7-(U16*2)),IF(E18&gt;7,(N7-(U16*4)),0)))</f>
        <v>34.799999999999997</v>
      </c>
      <c r="S17" s="89" t="str">
        <f>IF(H26="Leave Out Zone 1'","N/A",IF(S14="Zone 2e:","-",IF(E19&gt;7,E17*0.4,(M7-(Q16+U16)))))</f>
        <v>N/A</v>
      </c>
      <c r="T17" s="90" t="str">
        <f>IF(H26="Leave Out Zone 1'","N/A",IF(E18&gt;7,(N7-(Z16*2)),(N7-(V16*4))))</f>
        <v>N/A</v>
      </c>
      <c r="U17" s="89">
        <f>IF(E18&lt;=7,(M7),IF(E18&gt;7,(M7-((Y17*2)+(AA17*2))),0))</f>
        <v>36</v>
      </c>
      <c r="V17" s="90">
        <f>IF(U14="Zone 2n:","-",IF(E18&lt;=7,(N7),IF(AND(E18&gt;7,E18&lt;=45),(N7-(X17*2)),0)))</f>
        <v>60</v>
      </c>
      <c r="W17" s="94">
        <f>IF(W14="Zone 2r:","-",IF(E18&lt;=7,E16*0.2,IF(MIN(AF5,AG5)&lt;3,3,MIN(AF5,AG5))))</f>
        <v>4.2</v>
      </c>
      <c r="X17" s="95">
        <f>IF(E18&lt;=7,E16*0.2,IF(E18&gt;7,(N7-(AB16*2))))</f>
        <v>4.2</v>
      </c>
      <c r="Y17" s="89" t="str">
        <f>IF(E18&lt;=7,"",IF(MIN(AF5,AG5)&lt;3,3,MIN(AF5,AG5)))</f>
        <v/>
      </c>
      <c r="Z17" s="90" t="str">
        <f>IF(E18&lt;=7,"",IF(MIN(AF6,AG6)&lt;3,3,MIN(AF6,AG6)))</f>
        <v/>
      </c>
      <c r="AA17" s="89" t="str">
        <f>IF(E18&lt;=7,"",IF(MIN(AF5,AG5)&lt;3,3,MIN(AF5,AG5)))</f>
        <v/>
      </c>
      <c r="AB17" s="90" t="str">
        <f>IF(E18&lt;=7,"",IF(MIN(AF6,AG6)&lt;3,3,MIN(AF6,AG6)))</f>
        <v/>
      </c>
    </row>
    <row r="18" spans="1:53" ht="15" thickBot="1" x14ac:dyDescent="0.35">
      <c r="D18" s="27" t="s">
        <v>75</v>
      </c>
      <c r="E18" s="26">
        <f>ATAN(E17/12)*(180/PI())</f>
        <v>1.1934894239820351</v>
      </c>
      <c r="F18" s="25" t="s">
        <v>68</v>
      </c>
      <c r="O18" s="139" t="s">
        <v>156</v>
      </c>
      <c r="P18" s="140"/>
      <c r="W18" s="139" t="str">
        <f>IF(W14="Zone 3:","Each Corner","")</f>
        <v>Each Corner</v>
      </c>
      <c r="X18" s="140"/>
      <c r="Y18" s="139" t="str">
        <f>IF(E18&gt;7,"Each Corner","")</f>
        <v/>
      </c>
      <c r="Z18" s="140"/>
      <c r="AM18" s="170" t="s">
        <v>118</v>
      </c>
      <c r="AN18" s="171"/>
      <c r="AO18" s="172"/>
      <c r="AP18" s="159" t="s">
        <v>119</v>
      </c>
      <c r="AQ18" s="159"/>
      <c r="AR18" s="159"/>
      <c r="AS18" s="159" t="s">
        <v>120</v>
      </c>
      <c r="AT18" s="159"/>
      <c r="AU18" s="159"/>
      <c r="AV18" s="159" t="s">
        <v>121</v>
      </c>
      <c r="AW18" s="159"/>
      <c r="AX18" s="159"/>
      <c r="AY18" s="159" t="s">
        <v>122</v>
      </c>
      <c r="AZ18" s="159"/>
      <c r="BA18" s="159"/>
    </row>
    <row r="19" spans="1:53" x14ac:dyDescent="0.3">
      <c r="D19" s="27" t="s">
        <v>54</v>
      </c>
      <c r="E19" s="44">
        <v>0</v>
      </c>
      <c r="G19" s="2"/>
      <c r="AL19" s="1" t="s">
        <v>110</v>
      </c>
      <c r="AM19" s="76" t="e">
        <f>(1-0.3*(LOG(E71)-LOG(10))/(LOG(500)-LOG(10)))</f>
        <v>#NUM!</v>
      </c>
      <c r="AN19" s="76" t="e">
        <f>IF(E18&lt;=10,AM19*0.9,AM19)</f>
        <v>#NUM!</v>
      </c>
      <c r="AO19" s="76" t="e">
        <f>AN19-(AO12)</f>
        <v>#NUM!</v>
      </c>
      <c r="AP19" s="76" t="e">
        <f>(1-0.3*(LOG(E72)-LOG(10))/(LOG(500)-LOG(10)))</f>
        <v>#NUM!</v>
      </c>
      <c r="AQ19" s="76" t="e">
        <f>IF(E18&lt;=10,AP19*0.9,AP19)</f>
        <v>#NUM!</v>
      </c>
      <c r="AR19" s="76" t="e">
        <f>AQ19-(AO12)</f>
        <v>#NUM!</v>
      </c>
      <c r="AS19" s="76" t="e">
        <f>(1-0.3*(LOG(E73)-LOG(10))/(LOG(500)-LOG(10)))</f>
        <v>#NUM!</v>
      </c>
      <c r="AT19" s="76" t="e">
        <f>IF(E18&lt;=10,AS19*0.9,AS19)</f>
        <v>#NUM!</v>
      </c>
      <c r="AU19" s="76" t="e">
        <f>AT19-(AO12)</f>
        <v>#NUM!</v>
      </c>
      <c r="AV19" s="76" t="e">
        <f>(1-0.3*(LOG(E74)-LOG(10))/(LOG(500)-LOG(10)))</f>
        <v>#NUM!</v>
      </c>
      <c r="AW19" s="76" t="e">
        <f>IF(E18&lt;=10,AV19*0.9,AV19)</f>
        <v>#NUM!</v>
      </c>
      <c r="AX19" s="76" t="e">
        <f>AW19-(AO12)</f>
        <v>#NUM!</v>
      </c>
      <c r="AY19" s="76" t="e">
        <f>(1-0.3*(LOG(E75)-LOG(10))/(LOG(500)-LOG(10)))</f>
        <v>#NUM!</v>
      </c>
      <c r="AZ19" s="76" t="e">
        <f>IF(E18&lt;=10,AY19*0.9,AY19)</f>
        <v>#NUM!</v>
      </c>
      <c r="BA19" s="76" t="e">
        <f>AZ19-(AO12)</f>
        <v>#NUM!</v>
      </c>
    </row>
    <row r="20" spans="1:53" x14ac:dyDescent="0.3">
      <c r="D20" s="27" t="s">
        <v>52</v>
      </c>
      <c r="E20" s="44" t="s">
        <v>53</v>
      </c>
      <c r="F20" s="25"/>
      <c r="AL20" s="1" t="s">
        <v>111</v>
      </c>
      <c r="AM20" s="76" t="e">
        <f>(1-0.3*(LOG(E71)-LOG(10))/(LOG(500)-LOG(10)))</f>
        <v>#NUM!</v>
      </c>
      <c r="AN20" s="76" t="e">
        <f>IF(E18&lt;=10,AM20*0.9,AM20)</f>
        <v>#NUM!</v>
      </c>
      <c r="AO20" s="76" t="e">
        <f>AN20-(AO12)</f>
        <v>#NUM!</v>
      </c>
      <c r="AP20" s="76" t="e">
        <f>(1-0.3*(LOG(E72)-LOG(10))/(LOG(500)-LOG(10)))</f>
        <v>#NUM!</v>
      </c>
      <c r="AQ20" s="76" t="e">
        <f>IF(E18&lt;=10,AP20*0.9,AP20)</f>
        <v>#NUM!</v>
      </c>
      <c r="AR20" s="76" t="e">
        <f>AQ20-(AO12)</f>
        <v>#NUM!</v>
      </c>
      <c r="AS20" s="76" t="e">
        <f>(1-0.3*(LOG(E73)-LOG(10))/(LOG(500)-LOG(10)))</f>
        <v>#NUM!</v>
      </c>
      <c r="AT20" s="76" t="e">
        <f>IF(E18&lt;=10,AS20*0.9,AS20)</f>
        <v>#NUM!</v>
      </c>
      <c r="AU20" s="76" t="e">
        <f>AT20-(AO12)</f>
        <v>#NUM!</v>
      </c>
      <c r="AV20" s="76" t="e">
        <f>(1-0.3*(LOG(E74)-LOG(10))/(LOG(500)-LOG(10)))</f>
        <v>#NUM!</v>
      </c>
      <c r="AW20" s="76" t="e">
        <f>IF(E18&lt;=10,AV20*0.9,AV20)</f>
        <v>#NUM!</v>
      </c>
      <c r="AX20" s="76" t="e">
        <f>AW20-(AO12)</f>
        <v>#NUM!</v>
      </c>
      <c r="AY20" s="76" t="e">
        <f>(1-0.3*(LOG(E75)-LOG(10))/(LOG(500)-LOG(10)))</f>
        <v>#NUM!</v>
      </c>
      <c r="AZ20" s="76" t="e">
        <f>IF(E18&lt;=10,AY20*0.9,AY20)</f>
        <v>#NUM!</v>
      </c>
      <c r="BA20" s="76" t="e">
        <f>AZ20-(AO12)</f>
        <v>#NUM!</v>
      </c>
    </row>
    <row r="21" spans="1:53" x14ac:dyDescent="0.3">
      <c r="D21" s="27" t="s">
        <v>131</v>
      </c>
      <c r="E21" s="21">
        <v>1</v>
      </c>
      <c r="F21" s="54" t="s">
        <v>27</v>
      </c>
      <c r="K21" s="2"/>
      <c r="L21" s="2"/>
      <c r="M21" s="2"/>
      <c r="N21" s="2"/>
      <c r="O21" s="2"/>
      <c r="P21" s="2"/>
      <c r="Q21" s="2"/>
      <c r="R21" s="2"/>
      <c r="AL21" s="1" t="s">
        <v>112</v>
      </c>
      <c r="AM21" s="76" t="e">
        <f>-(1.1-0.3*(LOG(E71)-LOG(10))/(LOG(500)-LOG(10)))</f>
        <v>#NUM!</v>
      </c>
      <c r="AN21" s="76" t="e">
        <f>IF(E18&lt;=10,AM21*0.9,AM21)</f>
        <v>#NUM!</v>
      </c>
      <c r="AO21" s="76" t="e">
        <f>AN21-(AO13)</f>
        <v>#NUM!</v>
      </c>
      <c r="AP21" s="76" t="e">
        <f>-(1.1-0.3*(LOG(E72)-LOG(10))/(LOG(500)-LOG(10)))</f>
        <v>#NUM!</v>
      </c>
      <c r="AQ21" s="76" t="e">
        <f>IF(E18&lt;=10,AP21*0.9,AP21)</f>
        <v>#NUM!</v>
      </c>
      <c r="AR21" s="76" t="e">
        <f>AQ21-(AO13)</f>
        <v>#NUM!</v>
      </c>
      <c r="AS21" s="76" t="e">
        <f>-(1.1-0.3*(LOG(E73)-LOG(10))/(LOG(500)-LOG(10)))</f>
        <v>#NUM!</v>
      </c>
      <c r="AT21" s="76" t="e">
        <f>IF(E18&lt;=10,AS21*0.9,AS21)</f>
        <v>#NUM!</v>
      </c>
      <c r="AU21" s="76" t="e">
        <f>AT21-(AO13)</f>
        <v>#NUM!</v>
      </c>
      <c r="AV21" s="76" t="e">
        <f>-(1.1-0.3*(LOG(E74)-LOG(10))/(LOG(500)-LOG(10)))</f>
        <v>#NUM!</v>
      </c>
      <c r="AW21" s="76" t="e">
        <f>IF(E18&lt;=10,AV21*0.9,AV21)</f>
        <v>#NUM!</v>
      </c>
      <c r="AX21" s="76" t="e">
        <f>AW21-(AO13)</f>
        <v>#NUM!</v>
      </c>
      <c r="AY21" s="76" t="e">
        <f>-(1.1-0.3*(LOG(E75)-LOG(10))/(LOG(500)-LOG(10)))</f>
        <v>#NUM!</v>
      </c>
      <c r="AZ21" s="76" t="e">
        <f>IF(E18&lt;=10,AY21*0.9,AY21)</f>
        <v>#NUM!</v>
      </c>
      <c r="BA21" s="76" t="e">
        <f>AZ21-(AO13)</f>
        <v>#NUM!</v>
      </c>
    </row>
    <row r="22" spans="1:53" x14ac:dyDescent="0.3">
      <c r="D22" s="27" t="s">
        <v>141</v>
      </c>
      <c r="E22" s="51" t="s">
        <v>78</v>
      </c>
      <c r="F22" s="54" t="s">
        <v>36</v>
      </c>
      <c r="AL22" s="1" t="s">
        <v>113</v>
      </c>
      <c r="AM22" s="76" t="e">
        <f>-(1.4-0.6*(LOG(E71)-LOG(10))/(LOG(500)-LOG(10)))</f>
        <v>#NUM!</v>
      </c>
      <c r="AN22" s="76" t="e">
        <f>IF(E18&lt;=10,AM22*0.9,AM22)</f>
        <v>#NUM!</v>
      </c>
      <c r="AO22" s="76" t="e">
        <f>AN22-(AO13)</f>
        <v>#NUM!</v>
      </c>
      <c r="AP22" s="76" t="e">
        <f>-(1.4-0.6*(LOG(E72)-LOG(10))/(LOG(500)-LOG(10)))</f>
        <v>#NUM!</v>
      </c>
      <c r="AQ22" s="76" t="e">
        <f>IF(E18&lt;=10,AP22*0.9,AP22)</f>
        <v>#NUM!</v>
      </c>
      <c r="AR22" s="76" t="e">
        <f>AQ22-(AO13)</f>
        <v>#NUM!</v>
      </c>
      <c r="AS22" s="76" t="e">
        <f>-(1.4-0.6*(LOG(E73)-LOG(10))/(LOG(500)-LOG(10)))</f>
        <v>#NUM!</v>
      </c>
      <c r="AT22" s="76" t="e">
        <f>IF(E18&lt;=10,AS22*0.9,AS22)</f>
        <v>#NUM!</v>
      </c>
      <c r="AU22" s="76" t="e">
        <f>AT22-(AO13)</f>
        <v>#NUM!</v>
      </c>
      <c r="AV22" s="76" t="e">
        <f>-(1.4-0.6*(LOG(E74)-LOG(10))/(LOG(500)-LOG(10)))</f>
        <v>#NUM!</v>
      </c>
      <c r="AW22" s="76" t="e">
        <f>IF(E18&lt;=10,AV22*0.9,AV22)</f>
        <v>#NUM!</v>
      </c>
      <c r="AX22" s="76" t="e">
        <f>AW22-(AO13)</f>
        <v>#NUM!</v>
      </c>
      <c r="AY22" s="76" t="e">
        <f>-(1.4-0.6*(LOG(E75)-LOG(10))/(LOG(500)-LOG(10)))</f>
        <v>#NUM!</v>
      </c>
      <c r="AZ22" s="76" t="e">
        <f>IF(E18&lt;=10,AY22*0.9,AY22)</f>
        <v>#NUM!</v>
      </c>
      <c r="BA22" s="76" t="e">
        <f>AZ22-(AO13)</f>
        <v>#NUM!</v>
      </c>
    </row>
    <row r="23" spans="1:53" x14ac:dyDescent="0.3">
      <c r="D23" s="27" t="s">
        <v>48</v>
      </c>
      <c r="E23" s="23" t="str">
        <f>IF(AND(E14="B",E16&lt;=15),"0.82",IF(AND(AND(E14="B"),E16&gt;15,E16&lt;=20),"0.89",IF(AND(AND(E14="B"),E16&gt;20,E16&lt;=25),"0.94",IF(AND(AND(E14="B"),E16&gt;25,E16&lt;=30),"1",IF(AND(AND(E14="B"),E16&gt;30,E16&lt;=35),"1.05",IF(AND(AND(E14="B"),E16&gt;35,E16&lt;=40),"1.09",IF(AND(AND(E14="B"),E16&gt;40,E16&lt;=45),"1.12",IF(AND(AND(E14="B"),E16&gt;45,E16&lt;=50),"1.16",IF(AND(AND(E14="B"),E16&gt;50,E16&lt;=55),"1.19",IF(AND(AND(E14="B"),E16&gt;55,E16&lt;=60),"1.22",IF(AND(E14="C",E15&lt;=15),"1.21",IF(AND(AND(E14="C"),E16&gt;15,E16&lt;=20),"1.29",IF(AND(AND(E14="C"),E16&gt;20,E16&lt;=25),"1.35",IF(AND(AND(E14="C"),E16&gt;25,E16&lt;=30),"1.4",IF(AND(AND(E14="C"),E16&gt;30,E16&lt;=35),"1.45",IF(AND(AND(E14="C"),E16&gt;35,E16&lt;=40),"1.49",IF(AND(AND(E14="C"),E16&gt;40,E16&lt;=45),"1.53",IF(AND(AND(E14="C"),E16&gt;45,E16&lt;=50),"1.56",IF(AND(AND(E14="C"),E16&gt;50,E16&lt;=55),"1.59",IF(AND(AND(E14="C"),E16&gt;55,E16&lt;=60),"1.62",IF(AND(E14="D",E15&lt;=15),"1.47",IF(AND(AND(E14="D"),E16&gt;15,E16&lt;=20),"1.55",IF(AND(AND(E14="D"),E16&gt;20,E16&lt;=25),"1.61",IF(AND(AND(E14="D"),E16&gt;25,E16&lt;=30),"1.66",IF(AND(AND(E14="D"),E16&gt;30,E16&lt;=35),"1.7",IF(AND(AND(E14="D"),E16&gt;35,E16&lt;=40),"1.74",IF(AND(AND(E14="D"),E16&gt;40,E16&lt;=45),"1.78",IF(AND(AND(E14="D"),E16&gt;45,E16&lt;=50),"1.81",IF(AND(AND(E14="D"),E16&gt;50,E16&lt;=55),"1.84",IF(AND(AND(E14="D"),E16&gt;55,E16&lt;=60),"1.87",0))))))))))))))))))))))))))))))</f>
        <v>1.35</v>
      </c>
      <c r="F23" s="10"/>
      <c r="AM23" s="170" t="s">
        <v>114</v>
      </c>
      <c r="AN23" s="171"/>
      <c r="AO23" s="172"/>
      <c r="AP23" s="169" t="s">
        <v>115</v>
      </c>
      <c r="AQ23" s="169"/>
      <c r="AR23" s="169"/>
      <c r="AS23" s="169" t="s">
        <v>116</v>
      </c>
      <c r="AT23" s="169"/>
      <c r="AU23" s="169"/>
    </row>
    <row r="24" spans="1:53" ht="15" thickBot="1" x14ac:dyDescent="0.35">
      <c r="A24" t="s">
        <v>240</v>
      </c>
      <c r="AL24" s="1" t="s">
        <v>110</v>
      </c>
      <c r="AM24" s="76" t="e">
        <f>(1-0.3*(LOG(E81)-LOG(10))/(LOG(500)-LOG(10)))</f>
        <v>#NUM!</v>
      </c>
      <c r="AN24" s="76" t="e">
        <f>IF(E18&lt;=10,AM24*0.9,AM24)</f>
        <v>#NUM!</v>
      </c>
      <c r="AO24" s="76" t="e">
        <f>AN24-(AO12)</f>
        <v>#NUM!</v>
      </c>
      <c r="AP24" s="76" t="e">
        <f>(1-0.3*(LOG(F82)-LOG(10))/(LOG(500)-LOG(10)))</f>
        <v>#VALUE!</v>
      </c>
      <c r="AQ24" s="76" t="e">
        <f>IF(E18&lt;=10,AP24*0.9,AP24)</f>
        <v>#VALUE!</v>
      </c>
      <c r="AR24" s="76" t="e">
        <f>AQ24-(AO12)</f>
        <v>#VALUE!</v>
      </c>
      <c r="AS24" s="76">
        <f>(1-0.3*(LOG(F83)-LOG(10))/(LOG(500)-LOG(10)))</f>
        <v>1.070267280938999</v>
      </c>
      <c r="AT24" s="76">
        <f>IF(E18&lt;=10,AS24*0.9,AS24)</f>
        <v>0.96324055284509913</v>
      </c>
      <c r="AU24" s="76">
        <f>AT24-(AO12)</f>
        <v>1.1432405528450991</v>
      </c>
    </row>
    <row r="25" spans="1:53" ht="16.2" thickBot="1" x14ac:dyDescent="0.35">
      <c r="A25" s="155" t="s">
        <v>139</v>
      </c>
      <c r="B25" s="156"/>
      <c r="C25" s="156"/>
      <c r="D25" s="156"/>
      <c r="E25" s="156"/>
      <c r="F25" s="156"/>
      <c r="G25" s="156"/>
      <c r="H25" s="156"/>
      <c r="I25" s="157"/>
      <c r="K25" s="19"/>
      <c r="L25" s="19"/>
      <c r="AL25" s="1" t="s">
        <v>111</v>
      </c>
      <c r="AM25" s="76" t="e">
        <f>(1-0.3*(LOG(E81)-LOG(10))/(LOG(500)-LOG(10)))</f>
        <v>#NUM!</v>
      </c>
      <c r="AN25" s="76" t="e">
        <f>IF(E18&lt;=10,AM25*0.9,AM25)</f>
        <v>#NUM!</v>
      </c>
      <c r="AO25" s="76" t="e">
        <f>AN25-(AO12)</f>
        <v>#NUM!</v>
      </c>
      <c r="AP25" s="76" t="e">
        <f>(1-0.3*(LOG(F82)-LOG(10))/(LOG(500)-LOG(10)))</f>
        <v>#VALUE!</v>
      </c>
      <c r="AQ25" s="76" t="e">
        <f>IF(E18&lt;=10,AP25*0.9,AP25)</f>
        <v>#VALUE!</v>
      </c>
      <c r="AR25" s="76" t="e">
        <f>AQ25-(AO12)</f>
        <v>#VALUE!</v>
      </c>
      <c r="AS25" s="76">
        <f>(1-0.3*(LOG(F83)-LOG(10))/(LOG(500)-LOG(10)))</f>
        <v>1.070267280938999</v>
      </c>
      <c r="AT25" s="76">
        <f>IF(E18&lt;=10,AS25*0.9,AS25)</f>
        <v>0.96324055284509913</v>
      </c>
      <c r="AU25" s="76">
        <f>AT25-(AO12)</f>
        <v>1.1432405528450991</v>
      </c>
    </row>
    <row r="26" spans="1:53" x14ac:dyDescent="0.3">
      <c r="A26" s="152" t="s">
        <v>40</v>
      </c>
      <c r="B26" s="136" t="s">
        <v>56</v>
      </c>
      <c r="C26" s="133"/>
      <c r="D26" s="133" t="s">
        <v>57</v>
      </c>
      <c r="E26" s="133"/>
      <c r="F26" s="133" t="s">
        <v>59</v>
      </c>
      <c r="G26" s="133"/>
      <c r="H26" s="133" t="str">
        <f>IF(AND(E18&lt;=7,((E15*0.6)*4)&gt;=M7),"Leave Out Zone 1'",IF(E18&lt;=7,"Zone 1':",IF(AND(E18&gt;7,E18&lt;=45),"Zone 2e:",0)))</f>
        <v>Leave Out Zone 1'</v>
      </c>
      <c r="I26" s="133"/>
      <c r="K26" s="19"/>
      <c r="L26" s="19"/>
      <c r="AL26" s="1" t="s">
        <v>112</v>
      </c>
      <c r="AM26" s="76" t="e">
        <f>-(1.1-0.3*(LOG(E81)-LOG(10))/(LOG(500)-LOG(10)))</f>
        <v>#NUM!</v>
      </c>
      <c r="AN26" s="76" t="e">
        <f>IF(E18&lt;=10,AM26*0.9,AM26)</f>
        <v>#NUM!</v>
      </c>
      <c r="AO26" s="76" t="e">
        <f>AN26-(AO13)</f>
        <v>#NUM!</v>
      </c>
      <c r="AP26" s="76" t="e">
        <f>-(1.1-0.3*(LOG(F82)-LOG(10))/(LOG(500)-LOG(10)))</f>
        <v>#VALUE!</v>
      </c>
      <c r="AQ26" s="76" t="e">
        <f>IF(E18&lt;=10,AP26*0.9,AP26)</f>
        <v>#VALUE!</v>
      </c>
      <c r="AR26" s="76" t="e">
        <f>AQ26-(AO13)</f>
        <v>#VALUE!</v>
      </c>
      <c r="AS26" s="76">
        <f>-(1.1-0.3*(LOG(F83)-LOG(10))/(LOG(500)-LOG(10)))</f>
        <v>-1.1702672809389991</v>
      </c>
      <c r="AT26" s="76">
        <f>IF(E18&lt;=10,AS26*0.9,AS26)</f>
        <v>-1.0532405528450992</v>
      </c>
      <c r="AU26" s="76">
        <f>AT26-(AO13)</f>
        <v>-1.2332405528450991</v>
      </c>
    </row>
    <row r="27" spans="1:53" x14ac:dyDescent="0.3">
      <c r="A27" s="153"/>
      <c r="B27" s="48" t="s">
        <v>38</v>
      </c>
      <c r="C27" s="39" t="s">
        <v>39</v>
      </c>
      <c r="D27" s="39" t="s">
        <v>38</v>
      </c>
      <c r="E27" s="39" t="s">
        <v>39</v>
      </c>
      <c r="F27" s="39" t="s">
        <v>38</v>
      </c>
      <c r="G27" s="39" t="s">
        <v>39</v>
      </c>
      <c r="H27" s="39" t="str">
        <f>IF(H26="leave out zone 1'","","Postive")</f>
        <v/>
      </c>
      <c r="I27" s="39" t="str">
        <f>IF(H26="leave out zone 1'","","Negative")</f>
        <v/>
      </c>
      <c r="J27" s="19"/>
      <c r="K27" s="19"/>
      <c r="L27" s="19"/>
      <c r="AL27" s="1" t="s">
        <v>113</v>
      </c>
      <c r="AM27" s="76" t="e">
        <f>-(1.4-0.6*(LOG(E81)-LOG(10))/(LOG(500)-LOG(10)))</f>
        <v>#NUM!</v>
      </c>
      <c r="AN27" s="76" t="e">
        <f>IF(E18&lt;=10,AM27*0.9,AM27)</f>
        <v>#NUM!</v>
      </c>
      <c r="AO27" s="76" t="e">
        <f>AN27-(AO13)</f>
        <v>#NUM!</v>
      </c>
      <c r="AP27" s="76" t="e">
        <f>-(1.4-0.6*(LOG(F82)-LOG(10))/(LOG(500)-LOG(10)))</f>
        <v>#VALUE!</v>
      </c>
      <c r="AQ27" s="76" t="e">
        <f>IF(E18&lt;=10,AP27*0.9,AP27)</f>
        <v>#VALUE!</v>
      </c>
      <c r="AR27" s="76" t="e">
        <f>AQ27-(AO13)</f>
        <v>#VALUE!</v>
      </c>
      <c r="AS27" s="76">
        <f>-(1.4-0.6*(LOG(F83)-LOG(10))/(LOG(500)-LOG(10)))</f>
        <v>-1.5405345618779978</v>
      </c>
      <c r="AT27" s="76">
        <f>IF(E18&lt;=10,AS27*0.9,AS27)</f>
        <v>-1.386481105690198</v>
      </c>
      <c r="AU27" s="76">
        <f>AT27-(AO13)</f>
        <v>-1.5664811056901979</v>
      </c>
    </row>
    <row r="28" spans="1:53" x14ac:dyDescent="0.3">
      <c r="A28" s="153"/>
      <c r="B28" s="49">
        <f>IF(E18&lt;=10,('7-16 Positive'!B105)*E23,IF(AND(E18&gt;7,E18&lt;=20),'7-16 Positive'!E105*E23,IF(AND(E18&gt;20,E18&lt;=27),'7-16 Positive'!H105*E23,IF(AND(E18&gt;27,E18&lt;=45),'7-16 Positive'!K105*E23,0))))</f>
        <v>41.04</v>
      </c>
      <c r="C28" s="50">
        <f>IF(E18&lt;=10,('7-16 Negative'!B105)*E23,IF(AND(E18&gt;7,E18&lt;=20),'7-16 Negative'!E105*E23,IF(AND(E18&gt;20,E18&lt;=27),'7-16 Negative'!H105*E23,IF(AND(E18&gt;27,E18&lt;=45),'7-16 Negative'!K105*E23,0))))</f>
        <v>-44.550000000000004</v>
      </c>
      <c r="D28" s="50">
        <f>IF(E18&lt;=10,('7-16 Positive'!B106)*E23,IF(AND(E18&gt;7,E18&lt;=20),'7-16 Positive'!E106*E23,IF(AND(E18&gt;20,E18&lt;=27),'7-16 Positive'!H106*E23,IF(AND(E18&gt;27,E18&lt;=45),'7-16 Positive'!K106*E23,0))))</f>
        <v>41.04</v>
      </c>
      <c r="E28" s="50">
        <f>IF(E18&lt;=10,('7-16 Negative'!B106)*E23,IF(AND(E18&gt;7,E18&lt;=20),'7-16 Negative'!E106*E23,IF(AND(E18&gt;20,E18&lt;=27),'7-16 Negative'!H106*E23,IF(AND(E18&gt;27,E18&lt;=45),'7-16 Negative'!K106*E23,0))))</f>
        <v>-54.945000000000007</v>
      </c>
      <c r="F28" s="50">
        <f>IF(E18&lt;=7,'7-16 Positive'!B107*E23,IF(AND(E18&gt;7,E18&lt;=20),'7-16 Positive'!E107*E23,IF(AND(E18&gt;20,E18&lt;=27),'7-16 Positive'!H107*E23,IF(AND(E18&gt;27,E18&lt;=45),'7-16 Positive'!K107*E23,0))))</f>
        <v>16.740000000000002</v>
      </c>
      <c r="G28" s="50">
        <f>IF(AND(E18&lt;=7,E20="no"),'7-16 Negative'!B107*E23,IF(AND(E18&gt;7,AND(E18&lt;=20),E20="no"),'7-16 Negative'!E107*E23,IF(AND(E18&gt;20,AND(E18&lt;=27),E20="no"),'7-16 Negative'!H107*E23,IF(AND(E18&gt;27,AND(E18&lt;=45),E20="no"),'7-16 Negative'!K107*E23,IF(AND(E18&lt;=7,E20="yes"),'7-16 Negative Overhang'!B105*E23,IF(AND(E18&gt;7,AND(E18&lt;=20),E20="yes"),'7-16 Negative Overhang'!E105*E23,IF(AND(#REF!="20 to 27",E20="yes"),'7-16 Negative Overhang'!H105*E23,IF(AND(E18&gt;27,AND(E18&lt;=45),E20="yes"),'7-16 Negative Overhang'!K105*E23,0))))))))</f>
        <v>-65.34</v>
      </c>
      <c r="H28" s="50" t="str">
        <f>IF(H26="leave out zone 1'","",IF(E18&lt;=7,'7-16 Positive'!B108*E23,IF(AND(E18&gt;7,E18&lt;=20),'7-16 Positive'!E108*E23,IF(AND(E18&gt;20,E18&lt;=27),'7-16 Positive'!H108*E23,IF(AND(E18&gt;27,E18&lt;=45),'7-16 Positive'!K108*E23,0)))))</f>
        <v/>
      </c>
      <c r="I28" s="50" t="str">
        <f>IF(H26="leave out zone 1'","",IF(AND(E18&lt;=7,E20="no"),'7-16 Negative'!B108*E23,IF(AND(E18&gt;7,AND(E18&lt;=20),E20="no"),'7-16 Negative'!E108*E23,IF(AND(E18&gt;20,AND(E18&lt;=27),E20="no"),'7-16 Negative'!H108*E23,IF(AND(E18&gt;27,AND(E18&lt;=45),E20="no"),'7-16 Negative'!K108*E23,IF(AND(E18&lt;=7,E20="yes"),'7-16 Negative Overhang'!B105*E23,IF(AND(E18&gt;7,AND(E18&lt;=20),E20="yes"),'7-16 Negative Overhang'!E106*E23,IF(AND(#REF!="20 to 27",E20="yes"),'7-16 Negative Overhang'!H106*E23,IF(AND(E18&gt;27,AND(E18&lt;=45),E20="yes"),'7-16 Negative Overhang'!K106*E23,0)))))))))</f>
        <v/>
      </c>
      <c r="J28" s="19"/>
      <c r="K28" s="19"/>
      <c r="L28" s="19"/>
    </row>
    <row r="29" spans="1:53" x14ac:dyDescent="0.3">
      <c r="A29" s="153"/>
      <c r="B29" s="25"/>
      <c r="C29" s="25"/>
      <c r="D29" s="25"/>
      <c r="E29" s="25"/>
      <c r="F29" s="25"/>
      <c r="G29" s="25"/>
      <c r="H29" s="25"/>
      <c r="I29" s="25"/>
      <c r="J29" s="19"/>
      <c r="K29" s="19"/>
      <c r="L29" s="19"/>
    </row>
    <row r="30" spans="1:53" x14ac:dyDescent="0.3">
      <c r="A30" s="153"/>
      <c r="B30" s="135" t="str">
        <f>IF(E18&lt;=7,"Zone 2:",IF(AND(E18&gt;7,E18&lt;=45),"Zone 2n:",0))</f>
        <v>Zone 2:</v>
      </c>
      <c r="C30" s="136"/>
      <c r="D30" s="133" t="str">
        <f>IF(E18&lt;=7,"Zone 3:",IF(AND(E18&gt;7,E18&lt;=45),"Zone 2r:",0))</f>
        <v>Zone 3:</v>
      </c>
      <c r="E30" s="133"/>
      <c r="F30" s="175" t="str">
        <f>IF(AND(E18&gt;7,E18&lt;=45),"Zone 3e:","")</f>
        <v/>
      </c>
      <c r="G30" s="175"/>
      <c r="H30" s="175" t="str">
        <f>IF(AND(E18&gt;7,E18&lt;=45),"Zone 3r:","")</f>
        <v/>
      </c>
      <c r="I30" s="175"/>
      <c r="J30" s="19"/>
      <c r="K30" s="19"/>
      <c r="L30" s="19"/>
    </row>
    <row r="31" spans="1:53" x14ac:dyDescent="0.3">
      <c r="A31" s="153"/>
      <c r="B31" s="48" t="s">
        <v>38</v>
      </c>
      <c r="C31" s="39" t="s">
        <v>39</v>
      </c>
      <c r="D31" s="39" t="s">
        <v>38</v>
      </c>
      <c r="E31" s="39" t="s">
        <v>39</v>
      </c>
      <c r="F31" s="23" t="str">
        <f>IF(E18&lt;=7,"",IF(AND(E18&gt;7,E18&lt;=45),"Postive",0))</f>
        <v/>
      </c>
      <c r="G31" s="23" t="str">
        <f>IF(E18&lt;=7,"",IF(AND(E18&gt;7,E18&lt;=45),"Negative",0))</f>
        <v/>
      </c>
      <c r="H31" s="23" t="str">
        <f>IF(E18&lt;=7,"",IF(AND(E18&gt;7,E18&lt;=45),"Postive",0))</f>
        <v/>
      </c>
      <c r="I31" s="23" t="str">
        <f>IF(E18&lt;=7,"",IF(AND(E18&gt;7,E18&lt;=45),"Negative",0))</f>
        <v/>
      </c>
      <c r="J31" s="19"/>
      <c r="K31" s="19"/>
      <c r="L31" s="19"/>
    </row>
    <row r="32" spans="1:53" ht="15" thickBot="1" x14ac:dyDescent="0.35">
      <c r="A32" s="154"/>
      <c r="B32" s="49">
        <f>IF(E18&lt;=7,'7-16 Positive'!B109*E23,IF(AND(E18&gt;7,E18&lt;=20),'7-16 Positive'!E109*E23,IF(AND(E18&gt;20,E18&lt;=27),'7-16 Positive'!H109*E23,IF(AND(E18&gt;27,E18&lt;=45),'7-16 Positive'!K109*E23,0))))</f>
        <v>16.740000000000002</v>
      </c>
      <c r="C32" s="50">
        <f>IF(AND(EE17&lt;=7,E20="no"),'7-16 Negative'!B109*E23,IF(AND(E18&gt;7,AND(E18&lt;=20),E20="no"),'7-16 Negative'!E109*E23,IF(AND(E18&gt;20,AND(E18&lt;=27),E20="no"),'7-16 Negative'!H109*E23,IF(AND(E18&gt;27,AND(E18&lt;=45),E20="no"),'7-16 Negative'!K109*E23,IF(AND(E18&lt;=7,E20="yes"),'7-16 Negative Overhang'!B106*E23,IF(AND(E18&gt;7,AND(E18&lt;=20),E20="yes"),'7-16 Negative Overhang'!E107*E23,IF(AND(E18&gt;20,AND(E18&lt;=27),E20="yes"),'7-16 Negative Overhang'!H107*E23,IF(AND(E18&gt;27,AND(E18&lt;=45),E20="yes"),'7-16 Negative Overhang'!K107*E23,0))))))))</f>
        <v>-86.265000000000001</v>
      </c>
      <c r="D32" s="50">
        <f>IF(E18&lt;=7,'7-16 Positive'!B110*E23,IF(AND(E18&gt;7,E18&lt;=20),'7-16 Positive'!E110*E23,IF(AND(E18&gt;20,E18&lt;=27),'7-16 Positive'!H110*E23,IF(AND(E18&gt;27,E18&lt;=45),'7-16 Positive'!K110*E23,0))))</f>
        <v>16.740000000000002</v>
      </c>
      <c r="E32" s="50">
        <f>IF(AND(E18&lt;=7,E20="no"),'7-16 Negative'!B110*E23,IF(AND(E18&gt;7,AND(E18&lt;=20),E20="no"),'7-16 Negative'!E110*E23,IF(AND(E18&gt;20,AND(E18&lt;=27),E20="no"),'7-16 Negative'!H110*E23,IF(AND(E18&gt;27,AND(E18&lt;=45),E20="no"),'7-16 Negative'!K110*E23,IF(AND(E18&lt;=7,E20="yes"),'7-16 Negative Overhang'!B105*E23,IF(AND(E18&gt;7,AND(E18&lt;=20),E20="yes"),'7-16 Negative Overhang'!E108*E23,IF(AND(E18&gt;20,AND(E18&lt;=27),E20="yes"),'7-16 Negative Overhang'!H108*E23,IF(AND(E18&gt;27,AND(E18&lt;=45),E20="yes"),'7-16 Negative Overhang'!K108*E23,0))))))))</f>
        <v>-117.58499999999999</v>
      </c>
      <c r="F32" s="26" t="str">
        <f>IF(E18&lt;=7,"",IF(AND(E18&gt;7,E18&lt;=20),'7-16 Positive'!E111*E23,IF(AND(E18&gt;20,E18&lt;=27),'7-16 Positive'!H111*E23,IF(AND(E18&gt;27,E18&lt;=45),'7-16 Positive'!K111*E23,0))))</f>
        <v/>
      </c>
      <c r="G32" s="26" t="str">
        <f>IF(E18&lt;=7,"",IF(AND(E18&gt;7,AND(E18&lt;=20),E20="no"),'7-16 Negative'!E111*E23,IF(AND(E18&gt;20,AND(E18&lt;=27),E20="no"),'7-16 Negative'!H111*E23,IF(AND(E18&gt;27,AND(E18&lt;=45),E20="no"),'7-16 Negative'!K111*E23,IF(E18&lt;=7,"",IF(AND(E18&gt;7,AND(E18&lt;=20),E20="yes"),'7-16 Negative Overhang'!E109*E23,IF(AND(E18&gt;20,AND(E18&lt;=27),E20="yes"),'7-16 Negative Overhang'!H109*E23,IF(AND(E18&gt;27,AND(E18&lt;=45),E20="yes"),'7-16 Negative Overhang'!K109*E23,0))))))))</f>
        <v/>
      </c>
      <c r="H32" s="26" t="str">
        <f>IF(E18&lt;=7,"",IF(AND(E18&gt;7,E18&lt;=20),'7-16 Positive'!E112*E23,IF(AND(E18&gt;20,E18&lt;=27),'7-16 Positive'!H112*E23,IF(AND(E18&gt;27,E18&lt;=45),'7-16 Positive'!K112*E23,0))))</f>
        <v/>
      </c>
      <c r="I32" s="26" t="str">
        <f>IF(E18&lt;=7,"",IF(AND(E18&gt;7,AND(E18&lt;=20),E20="no"),'7-16 Negative'!E112*E23,IF(AND(E18&gt;20,AND(E18&lt;=27),E20="no"),'7-16 Negative'!H112*E23,IF(AND(E18&gt;27,AND(E18&lt;=45),E20="no"),'7-16 Negative'!K112*E23,IF(E18&lt;=7,"",IF(AND(E18&gt;7,AND(E18&lt;=20),E20="yes"),'7-16 Negative Overhang'!E110*E23,IF(AND(E18&gt;20,AND(E18&lt;=27),E20="yes"),'7-16 Negative Overhang'!H110*E23,IF(AND(E18&gt;27,AND(E18&lt;=45),E20="yes"),'7-16 Negative Overhang'!K110*E23,0))))))))</f>
        <v/>
      </c>
      <c r="J32" s="19"/>
      <c r="K32" s="19"/>
      <c r="L32" s="19"/>
    </row>
    <row r="33" spans="1:19" ht="15" thickBot="1" x14ac:dyDescent="0.35">
      <c r="A33" s="18"/>
      <c r="B33" s="25"/>
      <c r="C33" s="25"/>
      <c r="D33" s="25"/>
      <c r="E33" s="25"/>
      <c r="F33" s="25"/>
      <c r="G33" s="25"/>
      <c r="H33" s="25"/>
      <c r="I33" s="25"/>
      <c r="J33" s="19"/>
      <c r="K33" s="19"/>
      <c r="L33" s="19"/>
    </row>
    <row r="34" spans="1:19" x14ac:dyDescent="0.3">
      <c r="A34" s="152" t="s">
        <v>41</v>
      </c>
      <c r="B34" s="136" t="str">
        <f>B26</f>
        <v>Zone 4:</v>
      </c>
      <c r="C34" s="133"/>
      <c r="D34" s="133" t="str">
        <f>D26</f>
        <v>Zone 5:</v>
      </c>
      <c r="E34" s="133"/>
      <c r="F34" s="133" t="str">
        <f>F26</f>
        <v>Zone 1:</v>
      </c>
      <c r="G34" s="133"/>
      <c r="H34" s="133" t="str">
        <f>H26</f>
        <v>Leave Out Zone 1'</v>
      </c>
      <c r="I34" s="133"/>
    </row>
    <row r="35" spans="1:19" x14ac:dyDescent="0.3">
      <c r="A35" s="153"/>
      <c r="B35" s="48" t="s">
        <v>38</v>
      </c>
      <c r="C35" s="39" t="s">
        <v>39</v>
      </c>
      <c r="D35" s="39" t="s">
        <v>38</v>
      </c>
      <c r="E35" s="39" t="s">
        <v>39</v>
      </c>
      <c r="F35" s="39" t="s">
        <v>38</v>
      </c>
      <c r="G35" s="39" t="s">
        <v>39</v>
      </c>
      <c r="H35" s="39" t="str">
        <f>H27</f>
        <v/>
      </c>
      <c r="I35" s="39" t="str">
        <f>I27</f>
        <v/>
      </c>
    </row>
    <row r="36" spans="1:19" x14ac:dyDescent="0.3">
      <c r="A36" s="153"/>
      <c r="B36" s="49">
        <f t="shared" ref="B36:G36" si="0">B28*0.6</f>
        <v>24.623999999999999</v>
      </c>
      <c r="C36" s="49">
        <f t="shared" si="0"/>
        <v>-26.73</v>
      </c>
      <c r="D36" s="49">
        <f t="shared" si="0"/>
        <v>24.623999999999999</v>
      </c>
      <c r="E36" s="49">
        <f t="shared" si="0"/>
        <v>-32.967000000000006</v>
      </c>
      <c r="F36" s="49">
        <f t="shared" si="0"/>
        <v>10.044</v>
      </c>
      <c r="G36" s="49">
        <f t="shared" si="0"/>
        <v>-39.204000000000001</v>
      </c>
      <c r="H36" s="49" t="str">
        <f>IF(H28="","",H28*0.6)</f>
        <v/>
      </c>
      <c r="I36" s="108" t="str">
        <f>IF(I28="","",I28*0.6)</f>
        <v/>
      </c>
    </row>
    <row r="37" spans="1:19" x14ac:dyDescent="0.3">
      <c r="A37" s="153"/>
      <c r="B37" s="25"/>
      <c r="C37" s="25"/>
      <c r="D37" s="25"/>
      <c r="E37" s="25"/>
      <c r="F37" s="25"/>
      <c r="G37" s="25"/>
      <c r="H37" s="25"/>
      <c r="I37" s="25"/>
      <c r="K37" s="134" t="s">
        <v>153</v>
      </c>
      <c r="L37" s="135"/>
      <c r="M37" s="136"/>
      <c r="O37" s="134" t="s">
        <v>158</v>
      </c>
      <c r="P37" s="135"/>
      <c r="Q37" s="136"/>
    </row>
    <row r="38" spans="1:19" x14ac:dyDescent="0.3">
      <c r="A38" s="153"/>
      <c r="B38" s="135" t="str">
        <f>B30</f>
        <v>Zone 2:</v>
      </c>
      <c r="C38" s="136"/>
      <c r="D38" s="133" t="str">
        <f>D30</f>
        <v>Zone 3:</v>
      </c>
      <c r="E38" s="133"/>
      <c r="F38" s="175" t="str">
        <f>F30</f>
        <v/>
      </c>
      <c r="G38" s="175"/>
      <c r="H38" s="175" t="str">
        <f>H30</f>
        <v/>
      </c>
      <c r="I38" s="175"/>
      <c r="J38" s="19"/>
      <c r="K38" s="19"/>
      <c r="L38" s="19"/>
    </row>
    <row r="39" spans="1:19" x14ac:dyDescent="0.3">
      <c r="A39" s="153"/>
      <c r="B39" s="48" t="s">
        <v>38</v>
      </c>
      <c r="C39" s="39" t="s">
        <v>39</v>
      </c>
      <c r="D39" s="39" t="s">
        <v>38</v>
      </c>
      <c r="E39" s="39" t="s">
        <v>39</v>
      </c>
      <c r="F39" s="23" t="str">
        <f>F31</f>
        <v/>
      </c>
      <c r="G39" s="23" t="str">
        <f>G31</f>
        <v/>
      </c>
      <c r="H39" s="23" t="str">
        <f>H31</f>
        <v/>
      </c>
      <c r="I39" s="23" t="str">
        <f>I31</f>
        <v/>
      </c>
      <c r="K39" s="25"/>
      <c r="L39" s="25"/>
      <c r="M39" s="25"/>
      <c r="N39" s="41"/>
      <c r="O39" s="25"/>
      <c r="P39" s="25"/>
      <c r="Q39" s="25"/>
      <c r="R39" s="8"/>
    </row>
    <row r="40" spans="1:19" ht="15" thickBot="1" x14ac:dyDescent="0.35">
      <c r="A40" s="154"/>
      <c r="B40" s="49">
        <f>B32*0.6</f>
        <v>10.044</v>
      </c>
      <c r="C40" s="49">
        <f>C32*0.6</f>
        <v>-51.759</v>
      </c>
      <c r="D40" s="49">
        <f>D32*0.6</f>
        <v>10.044</v>
      </c>
      <c r="E40" s="49">
        <f>E32*0.6</f>
        <v>-70.550999999999988</v>
      </c>
      <c r="F40" s="26" t="str">
        <f>IF(E18&lt;=7,"",IF(AND(E18&gt;7,E18&lt;=45),F32*0.6,0))</f>
        <v/>
      </c>
      <c r="G40" s="26" t="str">
        <f>IF(E18&lt;=7,"",IF(AND(E18&gt;7,E18&lt;=45),G32*0.6,0))</f>
        <v/>
      </c>
      <c r="H40" s="26" t="str">
        <f>IF(E18&lt;=7,"",IF(AND(E18&gt;7,E18&lt;=45),H32*0.6,0))</f>
        <v/>
      </c>
      <c r="I40" s="26" t="str">
        <f>IF(E18&lt;=7,"",IF(AND(E18&gt;7,E18&lt;=45),I32*0.6,0))</f>
        <v/>
      </c>
      <c r="J40" s="19"/>
      <c r="K40" s="80"/>
      <c r="L40" s="23"/>
      <c r="M40" s="26"/>
      <c r="N40" s="41"/>
      <c r="O40" s="41"/>
      <c r="P40" s="41"/>
      <c r="Q40" s="23"/>
      <c r="R40" s="8"/>
    </row>
    <row r="41" spans="1:19" x14ac:dyDescent="0.3">
      <c r="A41" s="12"/>
      <c r="B41" s="12"/>
      <c r="C41" s="12"/>
      <c r="D41" s="12"/>
      <c r="E41" s="12"/>
      <c r="F41" s="12"/>
      <c r="G41" s="12"/>
      <c r="H41" s="12"/>
      <c r="I41" s="12"/>
    </row>
    <row r="42" spans="1:19" ht="15" x14ac:dyDescent="0.3">
      <c r="A42" s="12"/>
      <c r="B42" s="12"/>
      <c r="C42" s="22" t="s">
        <v>127</v>
      </c>
      <c r="D42" s="29">
        <f>MIN(C36,E36,G36,I36,C40,E40,G40,I40)</f>
        <v>-70.550999999999988</v>
      </c>
      <c r="E42" s="25" t="s">
        <v>42</v>
      </c>
      <c r="F42" s="12"/>
      <c r="G42" s="12"/>
      <c r="H42" s="12"/>
      <c r="I42" s="12"/>
    </row>
    <row r="44" spans="1:19" x14ac:dyDescent="0.3">
      <c r="S44" s="1"/>
    </row>
    <row r="47" spans="1:19" x14ac:dyDescent="0.3">
      <c r="A47" s="176" t="s">
        <v>100</v>
      </c>
      <c r="B47" s="176"/>
      <c r="C47" s="176"/>
      <c r="D47" s="176"/>
      <c r="E47" s="176"/>
      <c r="F47" s="176"/>
      <c r="G47" s="176"/>
      <c r="H47" s="176"/>
      <c r="I47" s="176"/>
      <c r="K47" s="18"/>
      <c r="L47" s="25"/>
      <c r="M47" s="19"/>
      <c r="N47" s="19"/>
      <c r="O47" s="19"/>
      <c r="P47" s="19"/>
    </row>
    <row r="48" spans="1:19" x14ac:dyDescent="0.3">
      <c r="A48" s="173" t="s">
        <v>97</v>
      </c>
      <c r="B48" s="179"/>
      <c r="C48" s="177" t="s">
        <v>104</v>
      </c>
      <c r="D48" s="177"/>
      <c r="G48" s="148" t="s">
        <v>106</v>
      </c>
      <c r="H48" s="148"/>
      <c r="I48" s="148"/>
      <c r="L48" s="45"/>
      <c r="M48" s="19"/>
      <c r="N48" s="19"/>
      <c r="O48" s="19"/>
      <c r="P48" s="19"/>
    </row>
    <row r="49" spans="1:11" x14ac:dyDescent="0.3">
      <c r="A49" s="173" t="s">
        <v>98</v>
      </c>
      <c r="B49" s="179"/>
      <c r="C49" s="178" t="s">
        <v>105</v>
      </c>
      <c r="D49" s="178"/>
      <c r="G49" s="11" t="s">
        <v>95</v>
      </c>
      <c r="H49" s="120" t="s">
        <v>87</v>
      </c>
      <c r="I49" s="120"/>
    </row>
    <row r="50" spans="1:11" x14ac:dyDescent="0.3">
      <c r="A50" s="173" t="s">
        <v>96</v>
      </c>
      <c r="B50" s="179"/>
      <c r="C50" s="132" t="s">
        <v>103</v>
      </c>
      <c r="D50" s="132"/>
      <c r="G50" s="67" t="s">
        <v>59</v>
      </c>
      <c r="H50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c"),E13&gt;180),E13&lt;=200,C48="non-hvhz"),"N/A",IF(AND(AND(AND(AND(E13&lt;=170),C50="wood construction"),OR(C49="class b",C49="CLASS A")),C48="non-hvhz"),"16",IF(AND(AND(AND(AND(AND(E13&gt;170),E13&lt;=180),C50="wood construction"),OR(C49="class b",C49="CLASS A")),C48="non-hvhz"),"18",IF(AND(AND(AND(AND(E13&gt;180,E13&lt;=190),C50="wood construction"),OR(C49="class B",C49="CLASS A")),C48="non-hvhz"),"16",IF(AND(AND(OR(C49="class c",C49="class b",C49="CLASS A")),(C50="steel construction"),E13&lt;=150,C48="non-hvhz"),"18",IF(AND(AND(AND(AND(OR(C49="class c",C49="class b",C49="CLASS A")),C50="steel construction"),E13=200),E14="d",C48="non-hvhz"),"32",IF(AND(AND(AND(AND(OR(C49="class c",C49="class b",C49="CLASS A")),C50="steel construction"),E13=180),E14="d",C48="non-hvhz"),"24",IF(AND(AND(AND(AND(OR(C49="class c",C49="class b",C49="CLASS A",E14="b",E14="c")),C50="steel construction"),E13&gt;190),E13&lt;=200,C48="non-hvhz"),"24",IF(AND(AND(AND(AND(OR(C49="class c",C49="class b",C49="CLASS A")),C50="steel construction"),E13=170),E14="d",C48="non-hvhz"),"18",IF(AND(AND(AND(AND(OR(C49="class c",C49="class b",C49="CLASS A")),C50="steel construction"),E13&gt;150),E13&lt;=180,C48="non-hvhz"),"24",IF(AND(AND(AND(AND(OR(C49="class c",C49="class b",C49="CLASS A",E14="b",E14="c")),C50="steel construction"),E13&gt;180),E13&lt;=190,C48="non-hvhz"),"18",IF(AND(AND(AND(C50="wood construction"),OR(C49="class b",C49="CLASS A")),E13&lt;=190,C48="hvhz"),"18",IF(AND(AND(AND(C50="steel construction"),C49="class b"),E13&lt;=190,C48="hvhz"),"24",IF(AND(AND(AND(C50="steel construction"),C49="class A"),E13&lt;=190,C48="hvhz"),"18",IF(AND(AND(AND(AND(C50="steel construction"),OR(C49="class b",C49="class a")),E13=200),E14="d",C48="hvhz"),"32",IF(AND(AND(AND(AND(C50="steel construction"),OR(C49="class b",C49="class a")),E13=180),E14="d",C48="hvhz"),"24",IF(AND(AND(AND(AND(C50="steel construction"),OR(C49="class b",C49="class a")),E13&gt;190),E13&lt;=200,C48="hvhz"),"24","NG")))))))))))))))))))</f>
        <v>18</v>
      </c>
      <c r="I50" s="133"/>
    </row>
    <row r="51" spans="1:11" x14ac:dyDescent="0.3">
      <c r="G51" s="67" t="str">
        <f>IF(H26="Leave Out Zone 1'","N/A:",IF(E18&lt;=7,"Zone 1':",IF(H26="zone 2e:","N/A:",0)))</f>
        <v>N/A:</v>
      </c>
      <c r="H51" s="133" t="str">
        <f>IF(E18&gt;7,"N/A",IF(H26="leave out zone 1'","N/A",H50))</f>
        <v>N/A</v>
      </c>
      <c r="I51" s="133"/>
    </row>
    <row r="52" spans="1:11" x14ac:dyDescent="0.3">
      <c r="A52" s="173" t="s">
        <v>88</v>
      </c>
      <c r="B52" s="173"/>
      <c r="C52" s="69" t="str">
        <f>IF(AND(C54="Standard EPDM",C48="non-hvhz"),"FL10703-R9",IF(AND(C53="tbd",C48="non-hvhz"),"FL10703-R9",IF(AND(C54="TPO-C",C48="non-hvhz"),"FL12772-R9",IF(AND(C48="hvhz",C54="ng"),"NG",IF(C48="hvhz","FL19566-R3","NG")))))</f>
        <v>FL10703-R9</v>
      </c>
      <c r="D52" s="19"/>
      <c r="G52" s="67" t="s">
        <v>58</v>
      </c>
      <c r="H52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c"),E13&gt;180),E13&lt;=200,C48="non-hvhz"),"N/A",IF(AND(AND(AND(AND(E13&lt;=190),C50="wood construction"),OR(C49="class b",C49="CLASS A")),C48="non-hvhz"),"24",IF(AND(AND(OR(C49="class c",C49="class b",C49="CLASS A")),(C50="steel construction"),E13&lt;=150,C48="non-hvhz"),"24",IF(AND(AND(AND(AND(OR(C49="class c",C49="class b",C49="CLASS A")),C50="steel construction"),E13=200),E14="d",C48="non-hvhz"),"48",IF(AND(AND(AND(AND(OR(C49="class c",C49="class b",C49="CLASS A")),C50="steel construction"),E13=180),E14="d",C48="non-hvhz"),"32",IF(AND(AND(AND(AND(OR(C49="class c",C49="class b",C49="CLASS A",E14="b",E14="c")),C50="steel construction"),E13&gt;190),E13&lt;=200,C48="non-hvhz"),"32",IF(AND(AND(AND(AND(OR(C49="class c",C49="class b",C49="CLASS A")),C50="steel construction"),E13=170),E14="d",C48="non-hvhz"),"24",IF(AND(AND(AND(AND(OR(C49="class c",C49="class b",C49="CLASS A")),C50="steel construction"),E13&gt;150),E13&lt;=180,C48="non-hvhz"),"32",IF(AND(AND(AND(AND(OR(C49="class c",C49="class b",C49="CLASS A",E14="b",E14="c")),C50="steel construction"),E13&gt;180),E13&lt;=190,C48="non-hvhz"),"24",IF(AND(AND(AND(C50="wood construction"),OR(C49="class b",C49="CLASS A")),E13&lt;=190,C48="hvhz"),"24",IF(AND(AND(AND(C50="steel construction"),C49="class b"),E13&lt;=190,C48="hvhz"),"32",IF(AND(AND(AND(C50="steel construction"),C49="class A"),E13&lt;=190,C48="hvhz"),"24",IF(AND(AND(AND(AND(C50="steel construction"),OR(C49="class b",C49="class a")),E13=200),E14="d",C48="hvhz"),"48",IF(AND(AND(AND(AND(C50="steel construction"),OR(C49="class b",C49="class a")),E13=180),E14="d",C48="hvhz"),"32",IF(AND(AND(AND(AND(C50="steel construction"),OR(C49="class b",C49="class a")),E13&gt;190),E13&lt;=200,C48="hvhz"),"32","NG")))))))))))))))))</f>
        <v>24</v>
      </c>
      <c r="I52" s="133"/>
    </row>
    <row r="53" spans="1:11" x14ac:dyDescent="0.3">
      <c r="A53" s="173" t="s">
        <v>99</v>
      </c>
      <c r="B53" s="173"/>
      <c r="C53" s="68" t="str">
        <f>IF(AND(AND(AND(C50="wood construction"),C49="class c"),E13&lt;=170,C48="non-hvhz"),"W-11",IF(AND(AND(AND(AND(C50="wood construction"),C49="class c"),E13&gt;170),E13&lt;=180,C48="non-hvhz"),"W-12",IF(AND(AND(AND(AND(OR(E14="c",E14="d")),(C50="wood construction"),C49="class c"),E13&gt;180),E13&lt;=200,C48="non-hvhz"),"W-13",IF(AND(AND(AND(AND(E13&lt;=180),C50="wood construction"),OR(C49="class b",C49="CLASS A")),C48="non-hvhz"),"TBD",IF(AND(AND(AND(AND(E13&gt;180,E13&lt;=190),C50="wood construction"),OR(C49="class B",C49="CLASS A")),C48="non-hvhz"),"TBD",IF(AND(AND(OR(C49="class c",C49="class b",C49="CLASS A")),(C50="steel construction"),E13&lt;=150,C48="non-hvhz"),"SC-33",IF(AND(AND(AND(AND(OR(C49="class c",C49="class b",C49="CLASS A")),C50="steel construction"),E13=200),E14="d",C48="non-hvhz"),"SC-46",IF(AND(AND(AND(AND(OR(C49="class c",C49="class b",C49="CLASS A")),C50="steel construction"),E13=180),E14="d",C48="non-hvhz"),"SC-44",IF(AND(AND(AND(AND(OR(C49="class c",C49="class b",C49="CLASS A",E14="b",E14="c")),C50="steel construction"),E13&gt;190),E13&lt;=200,C48="non-hvhz"),"SC-44",IF(AND(AND(AND(AND(OR(C49="class c",C49="class b",C49="CLASS A")),C50="steel construction"),E13=170),E14="d",C48="non-hvhz"),"SC-39",IF(AND(AND(AND(AND(OR(C49="class c",C49="class b",C49="CLASS A")),C50="steel construction"),E13&gt;150),E13&lt;=180,C48="non-hvhz"),"SC-37",IF(AND(AND(AND(AND(OR(C49="class c",C49="class b",C49="CLASS A",E14="b",E14="c")),C50="steel construction"),E13&gt;180),E13&lt;=190,C48="non-hvhz"),"SC-39",IF(AND(AND(AND(C50="wood construction"),OR(C49="class b",C49="CLASS A")),E13&lt;=180,C48="hvhz"),"TBD",IF(AND(AND(AND(AND(C50="wood construction"),OR(C49="class b",C49="CLASS A")),E13&lt;180),E13&gt;=190,C48="hvhz"),"W-4",IF(AND(AND(AND(C50="steel construction"),C49="class b"),E13&lt;=190,C48="hvhz"),"SC-26",IF(AND(AND(AND(C50="steel construction"),C49="class A"),E13&lt;=190,C48="hvhz"),"TBD",IF(AND(AND(AND(AND(C50="steel construction"),OR(C49="class b",C49="class a")),E13=200),E14="d",C48="hvhz"),"SC-34",IF(AND(AND(AND(AND(C50="steel construction"),OR(C49="class b",C49="class a")),E13=180),E14="d",C48="hvhz"),"SC-33",IF(AND(AND(AND(AND(C50="steel construction"),OR(C49="class b",C49="class a")),E13&gt;190),E13&lt;=200,C48="hvhz"),"SC-33","NG")))))))))))))))))))</f>
        <v>SC-33</v>
      </c>
      <c r="D53" s="19"/>
      <c r="G53" s="67" t="s">
        <v>60</v>
      </c>
      <c r="H53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c"),E13&gt;180),E13&lt;=200,C48="non-hvhz"),"N/A",IF(AND(AND(AND(AND(E13&lt;=190),C50="wood construction"),OR(C49="class b",C49="CLASS A")),C48="non-hvhz"),"32",IF(AND(AND(OR(C49="class c",C49="class b",C49="CLASS A")),(C50="steel construction"),E13&lt;=150,C48="non-hvhz"),"32",IF(AND(AND(AND(AND(OR(C49="class c",C49="class b",C49="CLASS A")),C50="steel construction"),E13=200),E14="d",C48="non-hvhz"),"60",IF(AND(AND(AND(AND(OR(C49="class c",C49="class b",C49="CLASS A")),C50="steel construction"),E13=180),E14="d",C48="non-hvhz"),"48",IF(AND(AND(AND(AND(OR(C49="class c",C49="class b",C49="CLASS A",E14="b",E14="c")),C50="steel construction"),E13&gt;190),E13&lt;=200,C48="non-hvhz"),"48",IF(AND(AND(AND(AND(OR(C49="class c",C49="class b",C49="CLASS A")),C50="steel construction"),E13=170),E14="d",C48="non-hvhz"),"32",IF(AND(AND(AND(AND(OR(C49="class c",C49="class b",C49="CLASS A")),C50="steel construction"),E13&gt;150),E13&lt;=180,C48="non-hvhz"),"48",IF(AND(AND(AND(AND(OR(C49="class c",C49="class b",C49="CLASS A",E14="b",E14="c")),C50="steel construction"),E13&gt;180),E13&lt;=190,C48="non-hvhz"),"32",IF(AND(AND(AND(C50="wood construction"),OR(C49="class b",C49="CLASS A")),E13&lt;=190,C48="hvhz"),"32",IF(AND(AND(AND(C50="steel construction"),C49="class b"),E13&lt;=190,C48="hvhz"),"42",IF(AND(AND(AND(C50="steel construction"),C49="class A"),E13&lt;=190,C48="hvhz"),"32",IF(AND(AND(AND(AND(C50="steel construction"),OR(C49="class b",C49="class a")),E13=200),E14="d",C48="hvhz"),"60",IF(AND(AND(AND(AND(C50="steel construction"),OR(C49="class b",C49="class a")),E13=180),E14="d",C48="hvhz"),"48",IF(AND(AND(AND(AND(C50="steel construction"),OR(C49="class b",C49="class a")),E13&gt;190),E13&lt;=200,C48="hvhz"),"48","NG")))))))))))))))))</f>
        <v>32</v>
      </c>
      <c r="I53" s="133"/>
    </row>
    <row r="54" spans="1:11" x14ac:dyDescent="0.3">
      <c r="A54" s="173" t="s">
        <v>89</v>
      </c>
      <c r="B54" s="173"/>
      <c r="C54" s="19" t="str">
        <f>IF(AND(AND(AND(C50="wood construction"),C49="class c"),E13&lt;=170,C48="non-hvhz"),"Standard EPDM",IF(AND(AND(AND(AND(C50="wood construction"),C49="class c"),E13&gt;170),E13&lt;=180,C48="non-hvhz"),"Standard EPDM",IF(AND(AND(AND(AND(OR(E14="c",E14="d")),(C50="wood construction"),C49="class c"),E13&gt;180),E13&lt;=200,C48="non-hvhz"),"Standard EPDM",IF(AND(AND(AND(AND(E13&lt;=180),C50="wood construction"),OR(C49="class b",C49="CLASS A")),C48="non-hvhz"),"Mule-Hide TPO-C",IF(AND(AND(AND(AND(E13&gt;180,E13&lt;=190),C50="wood construction"),OR(C49="class B",C49="CLASS A")),C48="non-hvhz"),"Mule-Hide TPO-C",IF(AND(AND(OR(C49="class c",C49="class b",C49="CLASS A")),(C50="steel construction"),E13&lt;=150,C48="non-hvhz"),"Standard EPDM",IF(AND(AND(AND(AND(OR(C49="class c",C49="class b",C49="CLASS A")),C50="steel construction"),E13=200),E14="d",C48="non-hvhz"),"Standard EPDM",IF(AND(AND(AND(AND(OR(C49="class c",C49="class b",C49="CLASS A")),C50="steel construction"),E13=180),E14="d",C48="non-hvhz"),"Standard EPDM",IF(AND(AND(AND(AND(OR(C49="class c",C49="class b",C49="CLASS A",E14="b",E14="c")),C50="steel construction"),E13&gt;190),E13&lt;=200,C48="non-hvhz"),"Standard EPDM",IF(AND(AND(AND(AND(OR(C49="class c",C49="class b",C49="CLASS A")),C50="steel construction"),E13=170),E14="d",C48="non-hvhz"),"Standard EPDM",IF(AND(AND(AND(AND(OR(C49="class c",C49="class b",C49="CLASS A")),C50="steel construction"),E13&gt;150),E13&lt;=180,C48="non-hvhz"),"Standard EPDM",IF(AND(AND(AND(AND(OR(C49="class c",C49="class b",C49="CLASS A",E14="b",E14="c")),C50="steel construction"),E13&gt;180),E13&lt;=190,C48="non-hvhz"),"Standard EPDM",IF(AND(AND(AND(C50="wood construction"),OR(C49="class b",C49="CLASS A")),E13&lt;=180,C48="hvhz"),"Mule-Hide TPO-C",IF(AND(AND(AND(AND(C50="wood construction"),OR(C49="class b",C49="CLASS A")),E13&lt;180),E13&gt;=190,C48="hvhz"),"Mule-Hide TPO-C",IF(AND(AND(AND(C50="steel construction"),C49="class b"),E13&lt;=190,C48="hvhz"),"Standard EPDM",IF(AND(AND(AND(C50="steel construction"),C49="class A"),E13&lt;=190,C48="hvhz"),"Standard EPDM",IF(AND(AND(AND(AND(C50="steel construction"),OR(C49="class b",C49="class a")),E13=200),E14="d",C48="hvhz"),"Standard EPDM",IF(AND(AND(AND(AND(C50="steel construction"),OR(C49="class b",C49="class a")),E13=180),E14="d",C48="hvhz"),"Standard EPDM",IF(AND(AND(AND(AND(C50="steel construction"),OR(C49="class b",C49="class a")),E13&gt;190),E13&lt;=200,C48="hvhz"),"Standard EPDM","NG")))))))))))))))))))</f>
        <v>Standard EPDM</v>
      </c>
      <c r="D54" s="19"/>
    </row>
    <row r="55" spans="1:11" x14ac:dyDescent="0.3">
      <c r="A55" s="173" t="s">
        <v>91</v>
      </c>
      <c r="B55" s="173"/>
      <c r="C55" s="19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c"),E13&gt;180),E13&lt;=200,C48="non-hvhz"),"Standard EPDM",IF(AND(AND(AND(AND(E13&lt;=180),C50="wood construction"),OR(C49="class b",C49="CLASS A")),C48="non-hvhz"),"1/2"" Dens Deck Prime",IF(AND(AND(AND(AND(E13&gt;180,E13&lt;=190),C50="wood construction"),OR(C49="class B",C49="CLASS A")),C48="non-hvhz"),"1/2"" Securock",IF(AND(AND(OR(C49="class c",C49="class b",C49="CLASS A")),(C50="steel construction"),E13&lt;=150,C48="non-hvhz"),"1/2"" Dens Deck Prime",IF(AND(AND(AND(AND(OR(C49="class c",C49="class b",C49="CLASS A")),C50="steel construction"),E13=200),E14="d",C48="non-hvhz"),"None",IF(AND(AND(AND(AND(OR(C49="class c",C49="class b",C49="CLASS A")),C50="steel construction"),E13=180),E14="d",C48="non-hvhz"),"None",IF(AND(AND(AND(AND(OR(C49="class c",C49="class b",C49="CLASS A",E14="b",E14="c")),C50="steel construction"),E13&gt;190),E13&lt;=200,C48="non-hvhz"),"None",IF(AND(AND(AND(AND(OR(C49="class c",C49="class b",C49="CLASS A")),C50="steel construction"),E13=170),E14="d",C48="non-hvhz"),"1/2"" Securock",IF(AND(AND(AND(AND(OR(C49="class c",C49="class b",C49="CLASS A")),C50="steel construction"),E13&gt;150),E13&lt;=180,C48="non-hvhz"),"1/2"" Dens Deck Prime",IF(AND(AND(AND(AND(OR(C49="class c",C49="class b",C49="CLASS A",E14="b",E14="c")),C50="steel construction"),E13&gt;180),E13&lt;=190,C48="non-hvhz"),"1/2"" Securock",IF(AND(AND(AND(C50="wood construction"),OR(C49="class b",C49="CLASS A")),E13&lt;=180,C48="hvhz"),"1/2"" Dens Deck Prime",IF(AND(AND(AND(AND(C50="wood construction"),OR(C49="class b",C49="CLASS A")),E13&lt;180),E13&gt;=190,C48="hvhz"),"1/2"" Securock",IF(AND(AND(AND(C50="steel construction"),C49="class b"),E13&lt;=190,C48="hvhz"),"None",IF(AND(AND(AND(C50="steel construction"),C49="class A"),E13&lt;=190,C48="hvhz"),"1/2"" Securock",IF(AND(AND(AND(AND(C50="steel construction"),OR(C49="class b",C49="class a")),E13=200),E14="d",C48="hvhz"),"None",IF(AND(AND(AND(AND(C50="steel construction"),OR(C49="class b",C49="class a")),E13=180),E14="d",C48="hvhz"),"None",IF(AND(AND(AND(AND(C50="steel construction"),OR(C49="class b",C49="class a")),E13&gt;190),E13&lt;=200,C48="hvhz"),"None","NG")))))))))))))))))))</f>
        <v>1/2" Dens Deck Prime</v>
      </c>
      <c r="D55" s="19"/>
      <c r="K55" s="15"/>
    </row>
    <row r="56" spans="1:11" x14ac:dyDescent="0.3">
      <c r="A56" s="173" t="s">
        <v>92</v>
      </c>
      <c r="B56" s="173"/>
      <c r="C56" s="7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c"),E13&gt;180),E13&lt;=200,C48="non-hvhz"),"None",IF(AND(AND(AND(AND(E13&lt;=180),C50="wood construction"),OR(C49="class b",C49="CLASS A")),C48="non-hvhz"),"None",IF(AND(AND(AND(AND(E13&gt;180,E13&lt;=190),C50="wood construction"),OR(C49="class B",C49="CLASS A")),C48="non-hvhz"),"None",IF(AND(AND(OR(C49="class c",C49="class b",C49="CLASS A")),(C50="steel construction"),E13&lt;=150,C48="non-hvhz"),"Min. 1"" Polyiso Mule-Hide ISO 1 loose laid",IF(AND(AND(AND(AND(OR(C49="class c",C49="class b",C49="CLASS A")),C50="steel construction"),E13=200),E14="d",C48="non-hvhz"),"Min. 2"" SecureShield",IF(AND(AND(AND(AND(OR(C49="class c",C49="class b",C49="CLASS A")),C50="steel construction"),E13=170),E14="d",C48="non-hvhz"),"Min. 1"" Polyiso Mule-Hide ISO 1 loose laid",IF(AND(AND(AND(AND(OR(C49="class c",C49="class b",C49="CLASS A")),C50="steel construction"),E13&gt;150),E13&lt;=180,C48="non-hvhz"),"Min. 1-1/2"" Polyiso Mule-Hide ISO 1 loose laid",IF(AND(AND(AND(AND(OR(C49="class c",C49="class b",C49="CLASS A",E14="b",E14="c")),C50="steel construction"),E13&gt;180),E13&lt;=190,C48="non-hvhz"),"Min. 1"" Polyiso Mule-Hide ISO 1 loose laid",IF(AND(AND(AND(C50="wood construction"),OR(C49="class b",C49="CLASS A")),E13&lt;=180,C48="hvhz"),"None",IF(AND(AND(AND(AND(C50="wood construction"),OR(C49="class b",C49="CLASS A")),E13&lt;180),E13&gt;=190,C48="hvhz"),"None",IF(AND(AND(AND(C50="steel construction"),C49="class b"),E13&lt;=190,C48="hvhz"),"Min. 2"" Polyiso Mule-Hide ISO 1",IF(AND(AND(AND(C50="steel construction"),C49="class A"),E13&lt;=190,C48="hvhz"),"Min. 1"" Polyiso Mule-Hide ISO 1 loose laid",IF(AND(AND(AND(AND(C50="steel construction"),OR(C49="class b",C49="class a")),E13=200),E14="d",C48="hvhz"),"Min. 2"" SecureShield",IF(AND(AND(AND(AND(C50="steel construction"),OR(C49="class b",C49="class a")),E13=180),E14="d",C48="hvhz"),"Min. 2"" SecureShield",IF(AND(AND(AND(AND(C50="steel construction"),OR(C49="class b",C49="class a")),E13&gt;190),E13&lt;=200,C48="hvhz"),"Min. 2"" SecureShield","NG")))))))))))))))))</f>
        <v>Min. 1" Polyiso Mule-Hide ISO 1 loose laid</v>
      </c>
      <c r="D56" s="19"/>
      <c r="E56" s="71"/>
      <c r="K56" s="15"/>
    </row>
    <row r="57" spans="1:11" x14ac:dyDescent="0.3">
      <c r="A57" s="173" t="s">
        <v>90</v>
      </c>
      <c r="B57" s="173"/>
      <c r="C57" s="19" t="str">
        <f>IF(AND(AND(AND(C50="wood construction"),C49="class c"),E13&lt;=170,C48="non-hvhz"),"Min. 15/32"" CDX Plywood",IF(AND(AND(AND(AND(C50="wood construction"),C49="class c"),E13&gt;170),E13&lt;=180,C48="non-hvhz"),"15/32"" OSB",IF(AND(AND(AND(AND(OR(E14="c",E14="d")),(C50="wood construction"),C49="class c"),E13&gt;180),E13&lt;=200,C48="non-hvhz"),"Min. 7/16"" OSB",IF(AND(AND(AND(AND(E13&lt;=180),C50="wood construction"),OR(C49="class b",C49="CLASS A")),C48="non-hvhz"),"Min. 19/32"" CDX Plywood",IF(AND(AND(AND(AND(E13&gt;180,E13&lt;=190),C50="wood construction"),OR(C49="class B",C49="CLASS A")),C48="non-hvhz"),"Min. 19/32"" CDX Plywood",IF(AND(AND(OR(C49="class c",C49="class b",C49="CLASS A")),(C50="steel construction"),E13&lt;=150,C48="non-hvhz"),"Min. 22ga. Type B, Grade 33 Deck",IF(AND(AND(AND(AND(OR(C49="class c",C49="class b",C49="CLASS A")),C50="steel construction"),E13=200),E14="d",C48="non-hvhz"),"Min. 22ga. Type B, Grade 33 Deck",IF(AND(AND(AND(AND(OR(C49="class c",C49="class b",C49="CLASS A")),C50="steel construction"),E13=180),E14="d",C48="non-hvhz"),"Min. 22ga. Type B, Grade 33 Deck",IF(AND(AND(AND(AND(OR(C49="class c",C49="class b",C49="CLASS A",E14="b",E14="c")),C50="steel construction"),E13&gt;190),E13&lt;=200,C48="non-hvhz"),"Min. 22ga. Type B, Grade 33 Deck",IF(AND(AND(AND(AND(OR(C49="class c",C49="class b",C49="CLASS A")),C50="steel construction"),E13=170),E14="d",C48="non-hvhz"),"Min. 22ga. Type B, Grade 33 Deck",IF(AND(AND(AND(AND(OR(C49="class c",C49="class b",C49="CLASS A")),C50="steel construction"),E13&gt;150),E13&lt;=180,C48="non-hvhz"),"Min. 22ga. Type B, Grade 33 Deck",IF(AND(AND(AND(AND(OR(C49="class c",C49="class b",C49="CLASS A",E14="b",E14="c")),C50="steel construction"),E13&gt;180),E13&lt;=190,C48="non-hvhz"),"Min. 22ga. Type B, Grade 33 Deck",IF(AND(AND(AND(C50="wood construction"),OR(C49="class b",C49="CLASS A")),E13&lt;=180,C48="hvhz"),"Min. 19/32"" CDX Plywood",IF(AND(AND(AND(AND(C50="wood construction"),OR(C49="class b",C49="CLASS A")),E13&lt;180),E13&gt;=190,C48="hvhz"),"Min. 19/32"" CDX Plywood",IF(AND(AND(AND(C50="steel construction"),C49="class b"),E13&lt;=190,C48="hvhz"),"Min. 22ga. Type B, Grade 33 Deck",IF(AND(AND(AND(C50="steel construction"),C49="class A"),E13&lt;=190,C48="hvhz"),"Min. 22ga. Type B, Grade 33 Deck",IF(AND(AND(AND(AND(C50="steel construction"),OR(C49="class b",C49="class a")),E13=200),E14="d",C48="hvhz"),"Min. 22ga. Type B, Grade 33 Deck",IF(AND(AND(AND(AND(C50="steel construction"),OR(C49="class b",C49="class a")),E13=180),E14="d",C48="hvhz"),"Min. 22ga. Type B, Grade 33 Deck",IF(AND(AND(AND(AND(C50="steel construction"),OR(C49="class b",C49="class a")),E13&gt;190),E13&lt;=200,C48="hvhz"),"Min. 22ga. Type B, Grade 33 Deck","NG")))))))))))))))))))</f>
        <v>Min. 22ga. Type B, Grade 33 Deck</v>
      </c>
      <c r="D57" s="19"/>
    </row>
    <row r="58" spans="1:11" x14ac:dyDescent="0.3">
      <c r="A58" s="173" t="s">
        <v>93</v>
      </c>
      <c r="B58" s="173"/>
      <c r="C58" s="19" t="str">
        <f>IF(AND(AND(AND(C50="wood construction"),C49="class c"),E13&lt;=170,C48="non-hvhz"),"Mule-Hide FR Adhesive",IF(AND(AND(AND(AND(C50="wood construction"),C49="class c"),E13&gt;170),E13&lt;=180,C48="non-hvhz"),"Mule-Hide FR Adhesive",IF(AND(AND(AND(AND(OR(E14="c",E14="d")),(C50="wood construction"),C49="class c"),E13&gt;180),E13&lt;=200,C48="non-hvhz"),"Mule-Hide FR Adhesive",IF(AND(AND(AND(AND(E13&lt;=180),C50="wood construction"),OR(C49="class b",C49="CLASS A")),C48="non-hvhz"),"Mule-Hide TPO-C Bonding Adhesive",IF(AND(AND(AND(AND(E13&gt;180,E13&lt;=190),C50="wood construction"),OR(C49="class B",C49="CLASS A")),C48="non-hvhz"),"Mule-Hide TPO-C Bonding Adhesive",IF(AND(AND(OR(C49="class c",C49="class b",C49="CLASS A")),(C50="steel construction"),E13&lt;=150,C48="non-hvhz"),"Mule-Hide Bonding Adhesive",IF(AND(AND(AND(AND(OR(C49="class c",C49="class b",C49="CLASS A")),C50="steel construction"),E13=200),E14="d",C48="non-hvhz"),"Mule-Hide Bonding Adhesive",IF(AND(AND(AND(AND(OR(C49="class c",C49="class b",C49="CLASS A")),C50="steel construction"),E13=180),E14="d",C48="non-hvhz"),"Mule-Hide Bonding Adhesive",IF(AND(AND(AND(AND(OR(C49="class c",C49="class b",C49="CLASS A",E14="b",E14="c")),C50="steel construction"),E13&gt;190),E13&lt;=200,C48="non-hvhz"),"Mule-Hide Bonding Adhesive",IF(AND(AND(AND(AND(OR(C49="class c",C49="class b",C49="CLASS A")),C50="steel construction"),E13=170),E14="d",C48="non-hvhz"),"Mule-Hide Bonding Adhesive",IF(AND(AND(AND(AND(OR(C49="class c",C49="class b",C49="CLASS A")),C50="steel construction"),E13&gt;150),E13&lt;=180,C48="non-hvhz"),"Mule-Hide Bonding Adhesive",IF(AND(AND(AND(AND(OR(C49="class c",C49="class b",C49="CLASS A",E14="b",E14="c")),C50="steel construction"),E13&gt;180),E13&lt;=190,C48="non-hvhz"),"Mule-Hide Bonding Adhesive",IF(AND(AND(AND(C50="wood construction"),OR(C49="class b",C49="CLASS A")),E13&lt;=180,C48="hvhz"),"Mule-Hide TPO-C Bonding Adhesive or Low VOC Bonding Adhesive",IF(AND(AND(AND(AND(C50="wood construction"),OR(C49="class b",C49="CLASS A")),E13&lt;180),E13&gt;=190,C48="hvhz"),"Mule-Hide TPO-C Bonding Adhesive or Low VOC Bonding Adhesive",IF(AND(AND(AND(C50="steel construction"),C49="class b"),E13&lt;=190,C48="hvhz"),"Mule-Hide Bonding Adhesive",IF(AND(AND(AND(C50="steel construction"),C49="class A"),E13&lt;=190,C48="hvhz"),"Mule-Hide Bonding Adhesive",IF(AND(AND(AND(AND(C50="steel construction"),OR(C49="class b",C49="class a")),E13=200),E14="d",C48="hvhz"),"Mule-Hide Bonding Adhesive",IF(AND(AND(AND(AND(C50="steel construction"),OR(C49="class b",C49="class a")),E13=180),E14="d",C48="hvhz"),"Mule-Hide Bonding Adhesive",IF(AND(AND(AND(AND(C50="steel construction"),OR(C49="class b",C49="class a")),E13&gt;190),E13&lt;=200,C48="hvhz"),"Mule-Hide Bonding Adhesive","NG")))))))))))))))))))</f>
        <v>Mule-Hide Bonding Adhesive</v>
      </c>
      <c r="D58" s="19"/>
    </row>
    <row r="59" spans="1:11" x14ac:dyDescent="0.3">
      <c r="A59" s="173" t="s">
        <v>94</v>
      </c>
      <c r="B59" s="173"/>
      <c r="C59" s="19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c"),E13&gt;180),E13&lt;=200,C48="non-hvhz"),"None",IF(AND(AND(AND(AND(E13&lt;=180),C50="wood construction"),OR(C49="class b",C49="CLASS A")),C48="non-hvhz"),"Mule-Hide HDP Fastener w/ 3"" Deck Plates",IF(AND(AND(AND(AND(E13&gt;180,E13&lt;=190),C50="wood construction"),OR(C49="class B",C49="CLASS A")),C48="non-hvhz"),"Mule-Hide HDP Fastener w/ 3"" Deck Plates",IF(AND(AND(OR(C49="class c",C49="class b",C49="CLASS A")),(C50="steel construction"),E13&lt;=150,C48="non-hvhz"),"Mule-Hide HDP Fastener w/ 3"" Deck Plates",IF(AND(AND(AND(AND(OR(C49="class c",C49="class b",C49="CLASS A")),C50="steel construction"),E13=200),E14="d",C48="non-hvhz"),"Mule-Hide HDP Fastener w/ 3"" Deck Plates",IF(AND(AND(AND(AND(OR(C49="class c",C49="class b",C49="CLASS A")),C50="steel construction"),E13=180),E14="d",C48="non-hvhz"),"Mule-Hide HDP Fastener w/ 3"" Deck Plates",IF(AND(AND(AND(AND(OR(C49="class c",C49="class b",C49="CLASS A",E14="b",E14="c")),C50="steel construction"),E13&gt;190),E13&lt;=200,C48="non-hvhz"),"Mule-Hide HDP Fastener w/ 3"" Deck Plates",IF(AND(AND(AND(AND(OR(C49="class c",C49="class b",C49="CLASS A")),C50="steel construction"),E13=170),E14="d",C48="non-hvhz"),"Mule-Hide HDP Fastener w/ 3"" Deck Plates",IF(AND(AND(AND(AND(OR(C49="class c",C49="class b",C49="CLASS A")),C50="steel construction"),E13&gt;150),E13&lt;=180,C48="non-hvhz"),"Mule-Hide HDP Fastener w/ 3"" Deck Plates",IF(AND(AND(AND(AND(OR(C49="class c",C49="class b",C49="CLASS A",E14="b",E14="c")),C50="steel construction"),E13&gt;180),E13&lt;=190,C48="non-hvhz"),"Mule-Hide HDP Fastener w/ 3"" Deck Plates",IF(AND(AND(AND(C50="wood construction"),OR(C49="class b",C49="CLASS A")),E13&lt;=180,C48="hvhz"),"Mule-Hide Drill Point Fastener w/ 3"" Deck Plates",IF(AND(AND(AND(AND(C50="wood construction"),OR(C49="class b",C49="CLASS A")),E13&lt;180),E13&gt;=190,C48="hvhz"),"Mule-Hide Drill Point Fastener w/ 3"" Deck Plates",IF(AND(AND(AND(C50="steel construction"),C49="class b"),E13&lt;=190,C48="hvhz"),"Mule-Hide HDP Fastener w/ 3"" Deck Plates",IF(AND(AND(AND(C50="steel construction"),C49="class A"),E13&lt;=190,C48="hvhz"),"Mule-Hide HDP Fastener w/ 3"" Deck Plates",IF(AND(AND(AND(AND(C50="steel construction"),OR(C49="class b",C49="class a")),E13=200),E14="d",C48="hvhz"),"Mule-Hide HDP Fastener w/ 3"" Deck Plates",IF(AND(AND(AND(AND(C50="steel construction"),OR(C49="class b",C49="class a")),E13=180),E14="d",C48="hvhz"),"Mule-Hide HDP Fastener w/ 3"" Deck Plates",IF(AND(AND(AND(AND(C50="steel construction"),OR(C49="class b",C49="class a")),E13&gt;190),E13&lt;=200,C48="hvhz"),"Mule-Hide HDP Fastener w/ 3"" Deck Plates","NG")))))))))))))))))))</f>
        <v>Mule-Hide HDP Fastener w/ 3" Deck Plates</v>
      </c>
      <c r="D59" s="19"/>
    </row>
    <row r="61" spans="1:11" x14ac:dyDescent="0.3">
      <c r="A61" s="19" t="s">
        <v>101</v>
      </c>
      <c r="B61" s="19"/>
      <c r="C61" s="19"/>
      <c r="D61" s="19"/>
      <c r="E61" s="19"/>
      <c r="F61" s="19"/>
      <c r="G61" s="19"/>
      <c r="H61" s="19"/>
      <c r="I61" s="19"/>
    </row>
    <row r="62" spans="1:11" x14ac:dyDescent="0.3">
      <c r="A62" s="19" t="s">
        <v>102</v>
      </c>
      <c r="B62" s="19"/>
      <c r="C62" s="19"/>
      <c r="D62" s="19"/>
      <c r="E62" s="19"/>
      <c r="F62" s="19"/>
      <c r="G62" s="19"/>
      <c r="H62" s="19"/>
      <c r="I62" s="19"/>
    </row>
    <row r="63" spans="1:11" x14ac:dyDescent="0.3">
      <c r="A63" s="19" t="s">
        <v>109</v>
      </c>
    </row>
    <row r="64" spans="1:11" x14ac:dyDescent="0.3">
      <c r="A64" s="174" t="s">
        <v>117</v>
      </c>
      <c r="B64" s="174"/>
      <c r="C64" s="174"/>
      <c r="D64" s="174"/>
      <c r="E64" s="174"/>
      <c r="F64" s="174"/>
      <c r="G64" s="174"/>
      <c r="H64" s="174"/>
      <c r="I64" s="174"/>
    </row>
    <row r="65" spans="1:12" x14ac:dyDescent="0.3">
      <c r="A65" s="174"/>
      <c r="B65" s="174"/>
      <c r="C65" s="174"/>
      <c r="D65" s="174"/>
      <c r="E65" s="174"/>
      <c r="F65" s="174"/>
      <c r="G65" s="174"/>
      <c r="H65" s="174"/>
      <c r="I65" s="174"/>
    </row>
    <row r="68" spans="1:12" x14ac:dyDescent="0.3">
      <c r="A68" t="s">
        <v>196</v>
      </c>
    </row>
    <row r="69" spans="1:12" x14ac:dyDescent="0.3">
      <c r="A69" s="133" t="s">
        <v>138</v>
      </c>
      <c r="B69" s="133"/>
      <c r="C69" s="133"/>
      <c r="D69" s="133"/>
      <c r="E69" s="25"/>
      <c r="F69" s="25"/>
      <c r="G69" s="25"/>
      <c r="H69" s="77"/>
      <c r="I69" s="77"/>
    </row>
    <row r="70" spans="1:12" x14ac:dyDescent="0.3">
      <c r="A70" s="120" t="s">
        <v>56</v>
      </c>
      <c r="B70" s="120"/>
      <c r="C70" s="120" t="s">
        <v>57</v>
      </c>
      <c r="D70" s="120"/>
      <c r="E70" s="23"/>
      <c r="F70" s="21"/>
      <c r="G70" s="21"/>
      <c r="H70" s="77"/>
      <c r="I70" s="77"/>
      <c r="K70" s="25"/>
      <c r="L70" s="25"/>
    </row>
    <row r="71" spans="1:12" x14ac:dyDescent="0.3">
      <c r="A71" s="79" t="s">
        <v>107</v>
      </c>
      <c r="B71" s="79" t="s">
        <v>39</v>
      </c>
      <c r="C71" s="79" t="s">
        <v>107</v>
      </c>
      <c r="D71" s="79" t="s">
        <v>39</v>
      </c>
      <c r="E71" s="53"/>
      <c r="F71" s="84"/>
      <c r="G71" s="84"/>
      <c r="H71" s="82"/>
      <c r="I71" s="82"/>
      <c r="K71" s="54"/>
      <c r="L71" s="54"/>
    </row>
    <row r="72" spans="1:12" x14ac:dyDescent="0.3">
      <c r="A72" s="83">
        <f>IF(E18&lt;=10,('7-16 Positive'!B105)*E23,IF(AND(E18&gt;7,E18&lt;=20),'7-16 Positive'!E105*E23,IF(AND(E18&gt;20,E18&lt;=27),'7-16 Positive'!H105*E23,IF(AND(E18&gt;27,E18&lt;=45),'7-16 Positive'!K105*E23,0))))</f>
        <v>41.04</v>
      </c>
      <c r="B72" s="83">
        <f>IF(E18&lt;=10,('7-16 Negative'!B105)*E23,IF(AND(E18&gt;7,E18&lt;=20),'7-16 Negative'!E105*E23,IF(AND(E18&gt;20,E18&lt;=27),'7-16 Negative'!H105*E23,IF(AND(E18&gt;27,E18&lt;=45),'7-16 Negative'!K105*E23,0))))</f>
        <v>-44.550000000000004</v>
      </c>
      <c r="C72" s="76">
        <f>IF(E18&lt;=10,('7-16 Positive'!B106)*E23,IF(AND(E18&gt;7,E18&lt;=20),'7-16 Positive'!E106*E23,IF(AND(E18&gt;20,E18&lt;=27),'7-16 Positive'!H106*E23,IF(AND(E18&gt;27,E18&lt;=45),'7-16 Positive'!K106*E23,0))))</f>
        <v>41.04</v>
      </c>
      <c r="D72" s="76">
        <f>IF(E18&lt;=10,('7-16 Negative'!B106)*E23,IF(AND(E18&gt;7,E18&lt;=20),'7-16 Negative'!E106*E23,IF(AND(E18&gt;20,E18&lt;=27),'7-16 Negative'!H106*E23,IF(AND(E18&gt;27,E18&lt;=45),'7-16 Negative'!K106*E23,0))))</f>
        <v>-54.945000000000007</v>
      </c>
      <c r="E72" s="53"/>
      <c r="F72" s="85"/>
      <c r="G72" s="85"/>
      <c r="K72" s="63"/>
      <c r="L72" s="63"/>
    </row>
    <row r="73" spans="1:12" x14ac:dyDescent="0.3">
      <c r="A73" s="19"/>
      <c r="B73" s="23"/>
      <c r="C73" s="23"/>
      <c r="D73" s="23"/>
      <c r="E73" s="53"/>
      <c r="F73" s="85"/>
      <c r="G73" s="85"/>
      <c r="K73" s="63"/>
      <c r="L73" s="63"/>
    </row>
    <row r="74" spans="1:12" x14ac:dyDescent="0.3">
      <c r="A74" s="19"/>
      <c r="B74" s="23"/>
      <c r="C74" s="23"/>
      <c r="D74" s="23"/>
      <c r="E74" s="53"/>
      <c r="F74" s="85"/>
      <c r="G74" s="85"/>
      <c r="K74" s="63"/>
      <c r="L74" s="63"/>
    </row>
    <row r="75" spans="1:12" x14ac:dyDescent="0.3">
      <c r="A75" s="19"/>
      <c r="B75" s="23"/>
      <c r="C75" s="23"/>
      <c r="D75" s="23"/>
      <c r="E75" s="53"/>
      <c r="F75" s="85"/>
      <c r="G75" s="85"/>
      <c r="K75" s="63"/>
      <c r="L75" s="63"/>
    </row>
    <row r="76" spans="1:12" x14ac:dyDescent="0.3">
      <c r="A76" s="19"/>
      <c r="B76" s="19"/>
      <c r="C76" s="19"/>
      <c r="D76" s="19"/>
      <c r="E76" s="19"/>
      <c r="F76" s="19"/>
      <c r="G76" s="19"/>
      <c r="H76" s="19"/>
      <c r="I76" s="19"/>
    </row>
    <row r="77" spans="1:12" ht="14.4" customHeight="1" x14ac:dyDescent="0.3">
      <c r="A77" s="77"/>
      <c r="B77" s="77"/>
      <c r="C77" s="77"/>
      <c r="D77" s="77"/>
      <c r="E77" s="77"/>
      <c r="F77" s="77"/>
      <c r="G77" s="77"/>
      <c r="H77" s="8"/>
      <c r="I77" s="31"/>
    </row>
    <row r="78" spans="1:12" x14ac:dyDescent="0.3">
      <c r="A78" s="77"/>
      <c r="B78" s="77"/>
      <c r="C78" s="77"/>
      <c r="D78" s="77"/>
      <c r="E78" s="77"/>
      <c r="F78" s="77"/>
      <c r="G78" s="77"/>
      <c r="H78" s="8"/>
    </row>
    <row r="79" spans="1:12" x14ac:dyDescent="0.3">
      <c r="A79" s="25"/>
      <c r="B79" s="25"/>
      <c r="C79" s="25"/>
      <c r="D79" s="25"/>
      <c r="E79" s="25"/>
      <c r="F79" s="25"/>
      <c r="G79" s="25"/>
      <c r="H79" s="77"/>
      <c r="I79" s="77"/>
    </row>
    <row r="80" spans="1:12" ht="15" thickBot="1" x14ac:dyDescent="0.35">
      <c r="A80" s="23"/>
      <c r="B80" s="23"/>
      <c r="C80" s="23"/>
      <c r="D80" s="21"/>
      <c r="E80" s="23"/>
      <c r="F80" s="21"/>
      <c r="G80" s="21"/>
      <c r="H80" s="77"/>
      <c r="I80" s="77"/>
      <c r="K80" s="25"/>
      <c r="L80" s="25"/>
    </row>
    <row r="81" spans="1:17" ht="14.4" customHeight="1" thickBot="1" x14ac:dyDescent="0.35">
      <c r="A81" s="141" t="s">
        <v>211</v>
      </c>
      <c r="B81" s="142"/>
      <c r="C81" s="142"/>
      <c r="D81" s="142"/>
      <c r="E81" s="142"/>
      <c r="F81" s="142"/>
      <c r="G81" s="143"/>
      <c r="I81" s="141" t="s">
        <v>220</v>
      </c>
      <c r="J81" s="142"/>
      <c r="K81" s="142"/>
      <c r="L81" s="142"/>
      <c r="M81" s="142"/>
      <c r="N81" s="142"/>
      <c r="O81" s="143"/>
    </row>
    <row r="82" spans="1:17" ht="15" thickBot="1" x14ac:dyDescent="0.35">
      <c r="A82" s="144" t="s">
        <v>209</v>
      </c>
      <c r="B82" s="145"/>
      <c r="C82" s="145"/>
      <c r="D82" s="148" t="s">
        <v>224</v>
      </c>
      <c r="E82" s="148"/>
      <c r="F82" s="148" t="s">
        <v>210</v>
      </c>
      <c r="G82" s="149"/>
      <c r="I82" s="144" t="s">
        <v>219</v>
      </c>
      <c r="J82" s="145"/>
      <c r="K82" s="145"/>
      <c r="L82" s="148" t="s">
        <v>224</v>
      </c>
      <c r="M82" s="148"/>
      <c r="N82" s="148" t="s">
        <v>210</v>
      </c>
      <c r="O82" s="149"/>
      <c r="Q82" s="25"/>
    </row>
    <row r="83" spans="1:17" ht="14.4" customHeight="1" x14ac:dyDescent="0.3">
      <c r="A83" s="118"/>
      <c r="B83" s="119"/>
      <c r="C83" s="119"/>
      <c r="D83" s="11" t="s">
        <v>226</v>
      </c>
      <c r="E83" s="39" t="s">
        <v>225</v>
      </c>
      <c r="F83" s="39">
        <v>4</v>
      </c>
      <c r="G83" s="88">
        <v>5</v>
      </c>
      <c r="I83" s="118"/>
      <c r="J83" s="119"/>
      <c r="K83" s="119"/>
      <c r="L83" s="11" t="s">
        <v>226</v>
      </c>
      <c r="M83" s="39" t="s">
        <v>225</v>
      </c>
      <c r="N83" s="39">
        <v>4</v>
      </c>
      <c r="O83" s="113">
        <v>5</v>
      </c>
      <c r="P83" s="98" t="s">
        <v>234</v>
      </c>
      <c r="Q83" s="99" t="s">
        <v>235</v>
      </c>
    </row>
    <row r="84" spans="1:17" ht="14.4" customHeight="1" x14ac:dyDescent="0.3">
      <c r="A84" s="118" t="s">
        <v>198</v>
      </c>
      <c r="B84" s="119"/>
      <c r="C84" s="119"/>
      <c r="D84" s="39">
        <v>56</v>
      </c>
      <c r="E84" s="39">
        <v>-73</v>
      </c>
      <c r="F84" s="39" t="str">
        <f>IF(AND(E84&gt;B72,D84&lt;A72),"NG",IF(E84&gt;B72,"Neg NG",IF(D84&lt;A72,"Pos NG","OK")))</f>
        <v>OK</v>
      </c>
      <c r="G84" s="88" t="str">
        <f>IF(AND(E84&gt;D72,D84&lt;C72),"NG",IF(E84&gt;D72,"Neg NG",IF(D84&lt;C72,"Pos NG","OK")))</f>
        <v>OK</v>
      </c>
      <c r="I84" s="118" t="s">
        <v>214</v>
      </c>
      <c r="J84" s="119"/>
      <c r="K84" s="119"/>
      <c r="L84" s="39">
        <v>45</v>
      </c>
      <c r="M84" s="39">
        <v>-45</v>
      </c>
      <c r="N84" s="39" t="str">
        <f>IF(AND(M84&gt;B72,L84&lt;A72),"NG",IF(M84&gt;B72,"Neg NG",IF(L84&lt;A72,"Pos NG","OK")))</f>
        <v>OK</v>
      </c>
      <c r="O84" s="113" t="str">
        <f>IF(AND(M84&gt;D72,L84&lt;C72),"NG",IF(M84&gt;D72,"Neg NG",IF(L84&lt;C72,"Pos NG","OK")))</f>
        <v>Neg NG</v>
      </c>
      <c r="P84" s="60">
        <v>0.28999999999999998</v>
      </c>
      <c r="Q84" s="88">
        <v>0.23</v>
      </c>
    </row>
    <row r="85" spans="1:17" ht="30" customHeight="1" x14ac:dyDescent="0.3">
      <c r="A85" s="118" t="s">
        <v>204</v>
      </c>
      <c r="B85" s="119"/>
      <c r="C85" s="119"/>
      <c r="D85" s="39">
        <v>56</v>
      </c>
      <c r="E85" s="39">
        <v>-45</v>
      </c>
      <c r="F85" s="39" t="str">
        <f>IF(AND(E85&gt;B72,D85&lt;A72),"NG",IF(E85&gt;B72,"Neg NG",IF(D85&lt;A72,"Pos NG","OK")))</f>
        <v>OK</v>
      </c>
      <c r="G85" s="88" t="str">
        <f>IF(AND(E85&gt;D72,D85&lt;C72),"NG",IF(E85&gt;D72,"Neg NG",IF(D85&lt;C72,"Pos NG","OK")))</f>
        <v>Neg NG</v>
      </c>
      <c r="I85" s="118" t="s">
        <v>215</v>
      </c>
      <c r="J85" s="119"/>
      <c r="K85" s="119"/>
      <c r="L85" s="39">
        <v>45</v>
      </c>
      <c r="M85" s="39">
        <v>-45</v>
      </c>
      <c r="N85" s="39" t="str">
        <f>IF(AND(M85&gt;B72,L85&lt;A72),"NG",IF(M85&gt;B72,"Neg NG",IF(L85&lt;A72,"Pos NG","OK")))</f>
        <v>OK</v>
      </c>
      <c r="O85" s="113" t="str">
        <f>IF(AND(M85&gt;D72,L85&lt;C72),"NG",IF(M85&gt;D72,"Neg NG",IF(L85&lt;C72,"Pos NG","OK")))</f>
        <v>Neg NG</v>
      </c>
      <c r="P85" s="60">
        <v>0.31</v>
      </c>
      <c r="Q85" s="88">
        <v>0.23</v>
      </c>
    </row>
    <row r="86" spans="1:17" ht="28.95" customHeight="1" x14ac:dyDescent="0.3">
      <c r="A86" s="118" t="s">
        <v>199</v>
      </c>
      <c r="B86" s="119"/>
      <c r="C86" s="119"/>
      <c r="D86" s="39">
        <v>56</v>
      </c>
      <c r="E86" s="39">
        <v>-61</v>
      </c>
      <c r="F86" s="39" t="str">
        <f>IF(AND(E86&gt;B72,D86&lt;A72),"NG",IF(E86&gt;B72,"Neg NG",IF(D86&lt;A72,"Pos NG","OK")))</f>
        <v>OK</v>
      </c>
      <c r="G86" s="88" t="str">
        <f>IF(AND(E86&gt;D72,D86&lt;C72),"NG",IF(E86&gt;D72,"Neg NG",IF(D86&lt;C72,"Pos NG","OK")))</f>
        <v>OK</v>
      </c>
      <c r="I86" s="118" t="s">
        <v>212</v>
      </c>
      <c r="J86" s="119"/>
      <c r="K86" s="119"/>
      <c r="L86" s="39">
        <v>75</v>
      </c>
      <c r="M86" s="39">
        <v>-75</v>
      </c>
      <c r="N86" s="39" t="str">
        <f>IF(AND(M86&gt;B72,L86&lt;A72),"NG",IF(M86&gt;B72,"Neg NG",IF(L86&lt;A72,"Pos NG","OK")))</f>
        <v>OK</v>
      </c>
      <c r="O86" s="113" t="str">
        <f>IF(AND(M86&gt;D72,L86&lt;C72),"NG",IF(M86&gt;D72,"Neg NG",IF(L86&lt;C72,"Pos NG","OK")))</f>
        <v>OK</v>
      </c>
      <c r="P86" s="60">
        <v>0.45</v>
      </c>
      <c r="Q86" s="88">
        <v>0.24</v>
      </c>
    </row>
    <row r="87" spans="1:17" ht="28.95" customHeight="1" x14ac:dyDescent="0.3">
      <c r="A87" s="118" t="s">
        <v>200</v>
      </c>
      <c r="B87" s="119"/>
      <c r="C87" s="119"/>
      <c r="D87" s="39">
        <v>41</v>
      </c>
      <c r="E87" s="39">
        <v>-37</v>
      </c>
      <c r="F87" s="39" t="str">
        <f>IF(AND(E87&gt;B72,D87&lt;A72),"NG",IF(E87&gt;B72,"Neg NG",IF(D87&lt;A72,"Pos NG","OK")))</f>
        <v>NG</v>
      </c>
      <c r="G87" s="88" t="str">
        <f>IF(AND(E87&gt;D72,D87&lt;C72),"NG",IF(E87&gt;D72,"Neg NG",IF(D87&lt;C72,"Pos NG","OK")))</f>
        <v>NG</v>
      </c>
      <c r="I87" s="118" t="s">
        <v>213</v>
      </c>
      <c r="J87" s="119"/>
      <c r="K87" s="119"/>
      <c r="L87" s="39">
        <v>90</v>
      </c>
      <c r="M87" s="39">
        <v>-90</v>
      </c>
      <c r="N87" s="39" t="str">
        <f>IF(AND(M87&gt;B72,L87&lt;A72),"NG",IF(M87&gt;B72,"Neg NG",IF(L87&lt;A72,"Pos NG","OK")))</f>
        <v>OK</v>
      </c>
      <c r="O87" s="113" t="str">
        <f>IF(AND(M87&gt;D72,L87&lt;C72),"NG",IF(M87&gt;D72,"Neg NG",IF(L87&lt;C72,"Pos NG","OK")))</f>
        <v>OK</v>
      </c>
      <c r="P87" s="60">
        <v>0.39</v>
      </c>
      <c r="Q87" s="88">
        <v>0.25</v>
      </c>
    </row>
    <row r="88" spans="1:17" ht="28.95" customHeight="1" x14ac:dyDescent="0.3">
      <c r="A88" s="118" t="s">
        <v>201</v>
      </c>
      <c r="B88" s="119"/>
      <c r="C88" s="119"/>
      <c r="D88" s="39">
        <v>70.180000000000007</v>
      </c>
      <c r="E88" s="39">
        <v>-70.180000000000007</v>
      </c>
      <c r="F88" s="39" t="str">
        <f>IF(AND(E88&gt;B72,D88&lt;A72),"NG",IF(E88&gt;B72,"Neg NG",IF(D88&lt;A72,"Pos NG","OK")))</f>
        <v>OK</v>
      </c>
      <c r="G88" s="88" t="str">
        <f>IF(AND(E88&gt;D72,D88&lt;C72),"NG",IF(E88&gt;D72,"Neg NG",IF(D88&lt;C72,"Pos NG","OK")))</f>
        <v>OK</v>
      </c>
      <c r="I88" s="118" t="s">
        <v>236</v>
      </c>
      <c r="J88" s="119"/>
      <c r="K88" s="119"/>
      <c r="L88" s="39">
        <v>52.5</v>
      </c>
      <c r="M88" s="39">
        <v>-52.5</v>
      </c>
      <c r="N88" s="39" t="str">
        <f>IF(AND(M88&gt;B72,L88&lt;A72),"NG",IF(M88&gt;B72,"Neg NG",IF(L88&lt;A72,"Pos NG","OK")))</f>
        <v>OK</v>
      </c>
      <c r="O88" s="113" t="str">
        <f>IF(AND(M88&gt;D72,L88&lt;C72),"NG",IF(M88&gt;D72,"Neg NG",IF(L88&lt;C72,"Pos NG","OK")))</f>
        <v>Neg NG</v>
      </c>
      <c r="P88" s="60">
        <v>0.45</v>
      </c>
      <c r="Q88" s="88">
        <v>0.24</v>
      </c>
    </row>
    <row r="89" spans="1:17" ht="28.95" customHeight="1" x14ac:dyDescent="0.3">
      <c r="A89" s="118" t="s">
        <v>202</v>
      </c>
      <c r="B89" s="119"/>
      <c r="C89" s="119"/>
      <c r="D89" s="39">
        <v>50</v>
      </c>
      <c r="E89" s="39">
        <v>-50</v>
      </c>
      <c r="F89" s="39" t="str">
        <f>IF(AND(E89&gt;B72,D89&lt;A72),"NG",IF(E89&gt;B72,"Neg NG",IF(D89&lt;A72,"Pos NG","OK")))</f>
        <v>OK</v>
      </c>
      <c r="G89" s="88" t="str">
        <f>IF(AND(E89&gt;D72,D89&lt;C72),"NG",IF(E89&gt;D72,"Neg NG",IF(D89&lt;C72,"Pos NG","OK")))</f>
        <v>Neg NG</v>
      </c>
      <c r="I89" s="118" t="s">
        <v>216</v>
      </c>
      <c r="J89" s="119"/>
      <c r="K89" s="119"/>
      <c r="L89" s="39">
        <v>90</v>
      </c>
      <c r="M89" s="39">
        <v>-90</v>
      </c>
      <c r="N89" s="39" t="str">
        <f>IF(AND(M89&gt;B72,L89&lt;A72),"NG",IF(M89&gt;B72,"Neg NG",IF(L89&lt;A72,"Pos NG","OK")))</f>
        <v>OK</v>
      </c>
      <c r="O89" s="113" t="str">
        <f>IF(AND(M89&gt;D72,L89&lt;C72),"NG",IF(M89&gt;D72,"Neg NG",IF(L89&lt;C72,"Pos NG","OK")))</f>
        <v>OK</v>
      </c>
      <c r="P89" s="60">
        <v>0.39</v>
      </c>
      <c r="Q89" s="88">
        <v>0.25</v>
      </c>
    </row>
    <row r="90" spans="1:17" ht="28.95" customHeight="1" x14ac:dyDescent="0.3">
      <c r="A90" s="118" t="s">
        <v>203</v>
      </c>
      <c r="B90" s="119"/>
      <c r="C90" s="119"/>
      <c r="D90" s="39">
        <v>75</v>
      </c>
      <c r="E90" s="39">
        <v>-75</v>
      </c>
      <c r="F90" s="39" t="str">
        <f>IF(AND(E90&gt;B72,D90&lt;A72),"NG",IF(E90&gt;B72,"Neg NG",IF(D90&lt;A72,"Pos NG","OK")))</f>
        <v>OK</v>
      </c>
      <c r="G90" s="88" t="str">
        <f>IF(AND(E90&gt;D72,D90&lt;C72),"NG",IF(E90&gt;D72,"Neg NG",IF(D90&lt;C72,"Pos NG","OK")))</f>
        <v>OK</v>
      </c>
      <c r="I90" s="118" t="s">
        <v>217</v>
      </c>
      <c r="J90" s="119"/>
      <c r="K90" s="119"/>
      <c r="L90" s="39">
        <v>52.5</v>
      </c>
      <c r="M90" s="39">
        <v>-52.5</v>
      </c>
      <c r="N90" s="39" t="str">
        <f>IF(AND(M90&gt;B72,L90&lt;A72),"NG",IF(M90&gt;B72,"Neg NG",IF(L90&lt;A72,"Pos NG","OK")))</f>
        <v>OK</v>
      </c>
      <c r="O90" s="113" t="str">
        <f>IF(AND(M90&gt;D72,L90&lt;C72),"NG",IF(M90&gt;D72,"Neg NG",IF(L90&lt;C72,"Pos NG","OK")))</f>
        <v>Neg NG</v>
      </c>
      <c r="P90" s="60" t="s">
        <v>163</v>
      </c>
      <c r="Q90" s="88" t="s">
        <v>163</v>
      </c>
    </row>
    <row r="91" spans="1:17" ht="28.95" customHeight="1" x14ac:dyDescent="0.3">
      <c r="A91" s="118" t="s">
        <v>205</v>
      </c>
      <c r="B91" s="119"/>
      <c r="C91" s="119"/>
      <c r="D91" s="39">
        <v>50</v>
      </c>
      <c r="E91" s="39">
        <v>-50</v>
      </c>
      <c r="F91" s="39" t="str">
        <f>IF(AND(E91&gt;B72,D91&lt;A72),"NG",IF(E91&gt;B72,"Neg NG",IF(D91&lt;A72,"Pos NG","OK")))</f>
        <v>OK</v>
      </c>
      <c r="G91" s="88" t="str">
        <f>IF(AND(E91&gt;D72,D91&lt;C72),"NG",IF(E91&gt;D72,"Neg NG",IF(D91&lt;C72,"Pos NG","OK")))</f>
        <v>Neg NG</v>
      </c>
      <c r="I91" s="118" t="s">
        <v>218</v>
      </c>
      <c r="J91" s="119"/>
      <c r="K91" s="119"/>
      <c r="L91" s="39">
        <v>50</v>
      </c>
      <c r="M91" s="39">
        <v>-66</v>
      </c>
      <c r="N91" s="39" t="str">
        <f>IF(AND(M91&gt;B72,L91&lt;A72),"NG",IF(M91&gt;B72,"Neg NG",IF(L91&lt;A72,"Pos NG","OK")))</f>
        <v>OK</v>
      </c>
      <c r="O91" s="113" t="str">
        <f>IF(AND(M91&gt;D72,L91&lt;C72),"NG",IF(M91&gt;D72,"Neg NG",IF(L91&lt;C72,"Pos NG","OK")))</f>
        <v>OK</v>
      </c>
      <c r="P91" s="60" t="s">
        <v>163</v>
      </c>
      <c r="Q91" s="88" t="s">
        <v>163</v>
      </c>
    </row>
    <row r="92" spans="1:17" ht="28.95" customHeight="1" x14ac:dyDescent="0.3">
      <c r="A92" s="118" t="s">
        <v>206</v>
      </c>
      <c r="B92" s="119"/>
      <c r="C92" s="119"/>
      <c r="D92" s="39">
        <v>50</v>
      </c>
      <c r="E92" s="39">
        <v>-50</v>
      </c>
      <c r="F92" s="39" t="str">
        <f>IF(AND(E92&gt;B72,D92&lt;A72),"NG",IF(E92&gt;B72,"Neg NG",IF(D92&lt;A72,"Pos NG","OK")))</f>
        <v>OK</v>
      </c>
      <c r="G92" s="88" t="str">
        <f>IF(AND(E92&gt;D72,D92&lt;C72),"NG",IF(E92&gt;D72,"Neg NG",IF(D92&lt;C72,"Pos NG","OK")))</f>
        <v>Neg NG</v>
      </c>
      <c r="I92" s="118" t="s">
        <v>227</v>
      </c>
      <c r="J92" s="119"/>
      <c r="K92" s="119"/>
      <c r="L92" s="39">
        <v>25</v>
      </c>
      <c r="M92" s="39">
        <v>-25</v>
      </c>
      <c r="N92" s="39" t="str">
        <f>IF(AND(M92&gt;B72,L92&lt;A72),"NG",IF(M92&gt;B72,"Neg NG",IF(L92&lt;A72,"Pos NG","OK")))</f>
        <v>NG</v>
      </c>
      <c r="O92" s="113" t="str">
        <f>IF(AND(M92&gt;D72,L92&lt;C72),"NG",IF(M92&gt;D72,"Neg NG",IF(L92&lt;C72,"Pos NG","OK")))</f>
        <v>NG</v>
      </c>
      <c r="P92" s="60" t="s">
        <v>163</v>
      </c>
      <c r="Q92" s="88" t="s">
        <v>163</v>
      </c>
    </row>
    <row r="93" spans="1:17" ht="30" customHeight="1" x14ac:dyDescent="0.3">
      <c r="A93" s="118" t="s">
        <v>221</v>
      </c>
      <c r="B93" s="119"/>
      <c r="C93" s="119"/>
      <c r="D93" s="39">
        <v>70</v>
      </c>
      <c r="E93" s="39">
        <v>-70</v>
      </c>
      <c r="F93" s="39" t="str">
        <f>IF(AND(E93&gt;B72,D93&lt;A72),"NG",IF(E93&gt;B72,"Neg NG",IF(D93&lt;A72,"Pos NG","OK")))</f>
        <v>OK</v>
      </c>
      <c r="G93" s="88" t="str">
        <f>IF(AND(E84&gt;D72,D84&lt;C72),"NG",IF(E84&gt;D72,"Neg NG",IF(D84&lt;C72,"Pos NG","OK")))</f>
        <v>OK</v>
      </c>
      <c r="I93" s="118" t="s">
        <v>228</v>
      </c>
      <c r="J93" s="119"/>
      <c r="K93" s="119"/>
      <c r="L93" s="39">
        <v>45</v>
      </c>
      <c r="M93" s="39">
        <v>-45</v>
      </c>
      <c r="N93" s="39" t="str">
        <f>IF(AND(M93&gt;B72,L93&lt;A72),"NG",IF(M93&gt;B72,"Neg NG",IF(L93&lt;A72,"Pos NG","OK")))</f>
        <v>OK</v>
      </c>
      <c r="O93" s="113" t="str">
        <f>IF(AND(M93&gt;D72,L93&lt;C72),"NG",IF(M93&gt;D72,"Neg NG",IF(L93&lt;C72,"Pos NG","OK")))</f>
        <v>Neg NG</v>
      </c>
      <c r="P93" s="60">
        <v>0.33</v>
      </c>
      <c r="Q93" s="88">
        <v>0.24</v>
      </c>
    </row>
    <row r="94" spans="1:17" ht="30" customHeight="1" x14ac:dyDescent="0.3">
      <c r="A94" s="123" t="s">
        <v>222</v>
      </c>
      <c r="B94" s="124"/>
      <c r="C94" s="125"/>
      <c r="D94" s="39">
        <v>60</v>
      </c>
      <c r="E94" s="39">
        <v>-60</v>
      </c>
      <c r="F94" s="39" t="str">
        <f>IF(AND(E94&gt;B72,D94&lt;A72),"NG",IF(E94&gt;B72,"Neg NG",IF(D94&lt;A72,"Pos NG","OK")))</f>
        <v>OK</v>
      </c>
      <c r="G94" s="88" t="str">
        <f>IF(AND(E94&gt;D72,D94&lt;C72),"NG",IF(E94&gt;D72,"Neg NG",IF(D94&lt;C72,"Pos NG","OK")))</f>
        <v>OK</v>
      </c>
      <c r="I94" s="118" t="s">
        <v>229</v>
      </c>
      <c r="J94" s="119"/>
      <c r="K94" s="119"/>
      <c r="L94" s="39">
        <v>60</v>
      </c>
      <c r="M94" s="39">
        <v>-60</v>
      </c>
      <c r="N94" s="39" t="str">
        <f>IF(AND(M94&gt;B72,L94&lt;A72),"NG",IF(M94&gt;B72,"Neg NG",IF(L94&lt;A72,"Pos NG","OK")))</f>
        <v>OK</v>
      </c>
      <c r="O94" s="113" t="str">
        <f>IF(AND(M94&gt;D72,L94&lt;C72),"NG",IF(M94&gt;D72,"Neg NG",IF(L94&lt;C72,"Pos NG","OK")))</f>
        <v>OK</v>
      </c>
      <c r="P94" s="60">
        <v>0.32</v>
      </c>
      <c r="Q94" s="88">
        <v>0.23</v>
      </c>
    </row>
    <row r="95" spans="1:17" ht="30" customHeight="1" x14ac:dyDescent="0.3">
      <c r="A95" s="123" t="s">
        <v>223</v>
      </c>
      <c r="B95" s="124"/>
      <c r="C95" s="125"/>
      <c r="D95" s="39">
        <v>60</v>
      </c>
      <c r="E95" s="39">
        <v>-60</v>
      </c>
      <c r="F95" s="39" t="str">
        <f>IF(AND(E95&gt;B72,D95&lt;A72),"NG",IF(E95&gt;B72,"Neg NG",IF(D95&lt;A72,"Pos NG","OK")))</f>
        <v>OK</v>
      </c>
      <c r="G95" s="88" t="str">
        <f>IF(AND(E95&gt;D72,D95&lt;C72),"NG",IF(E95&gt;D72,"Neg NG",IF(D95&lt;C72,"Pos NG","OK")))</f>
        <v>OK</v>
      </c>
      <c r="I95" s="118" t="s">
        <v>230</v>
      </c>
      <c r="J95" s="119"/>
      <c r="K95" s="119"/>
      <c r="L95" s="39">
        <v>50</v>
      </c>
      <c r="M95" s="39">
        <v>-50</v>
      </c>
      <c r="N95" s="39" t="str">
        <f>IF(AND(M95&gt;B72,L95&lt;A72),"NG",IF(M95&gt;B72,"Neg NG",IF(L95&lt;A72,"Pos NG","OK")))</f>
        <v>OK</v>
      </c>
      <c r="O95" s="113" t="str">
        <f>IF(AND(M95&gt;D72,L95&lt;C72),"NG",IF(M95&gt;D72,"Neg NG",IF(L95&lt;C72,"Pos NG","OK")))</f>
        <v>Neg NG</v>
      </c>
      <c r="P95" s="60"/>
      <c r="Q95" s="88"/>
    </row>
    <row r="96" spans="1:17" ht="28.95" customHeight="1" x14ac:dyDescent="0.3">
      <c r="A96" s="118" t="s">
        <v>207</v>
      </c>
      <c r="B96" s="119"/>
      <c r="C96" s="119"/>
      <c r="D96" s="39">
        <v>80</v>
      </c>
      <c r="E96" s="39">
        <v>-80</v>
      </c>
      <c r="F96" s="39" t="str">
        <f>IF(AND(E96&gt;B72,D96&lt;A72),"NG",IF(E96&gt;B72,"Neg NG",IF(D96&lt;A72,"Pos NG","OK")))</f>
        <v>OK</v>
      </c>
      <c r="G96" s="88" t="str">
        <f>IF(AND(E96&gt;D72,D96&lt;C72),"NG",IF(E96&gt;D72,"Neg NG",IF(D96&lt;C72,"Pos NG","OK")))</f>
        <v>OK</v>
      </c>
      <c r="I96" s="118" t="s">
        <v>231</v>
      </c>
      <c r="J96" s="119"/>
      <c r="K96" s="119"/>
      <c r="L96" s="39">
        <v>30</v>
      </c>
      <c r="M96" s="39">
        <v>-35</v>
      </c>
      <c r="N96" s="39" t="str">
        <f>IF(AND(M96&gt;B72,L96&lt;A72),"NG",IF(M96&gt;B72,"Neg NG",IF(L96&lt;A72,"Pos NG","OK")))</f>
        <v>NG</v>
      </c>
      <c r="O96" s="113" t="str">
        <f>IF(AND(M96&gt;D72,L96&lt;C72),"NG",IF(M96&gt;D72,"Neg NG",IF(L96&lt;C72,"Pos NG","OK")))</f>
        <v>NG</v>
      </c>
      <c r="P96" s="60">
        <v>0.35</v>
      </c>
      <c r="Q96" s="88">
        <v>0.3</v>
      </c>
    </row>
    <row r="97" spans="1:17" ht="43.2" customHeight="1" thickBot="1" x14ac:dyDescent="0.35">
      <c r="A97" s="126" t="s">
        <v>208</v>
      </c>
      <c r="B97" s="127"/>
      <c r="C97" s="127"/>
      <c r="D97" s="109">
        <v>150</v>
      </c>
      <c r="E97" s="109">
        <v>-150</v>
      </c>
      <c r="F97" s="109" t="str">
        <f>IF(AND(E97&gt;B72,D97&lt;A72),"NG",IF(E97&gt;B72,"Neg NG",IF(D97&lt;A72,"Pos NG","OK")))</f>
        <v>OK</v>
      </c>
      <c r="G97" s="90" t="str">
        <f>IF(AND(E97&gt;D72,D97&lt;C72),"NG",IF(E97&gt;D72,"Neg NG",IF(D97&lt;C72,"Pos NG","OK")))</f>
        <v>OK</v>
      </c>
      <c r="I97" s="118" t="s">
        <v>232</v>
      </c>
      <c r="J97" s="119"/>
      <c r="K97" s="119"/>
      <c r="L97" s="39">
        <v>50</v>
      </c>
      <c r="M97" s="39">
        <v>-50</v>
      </c>
      <c r="N97" s="39" t="str">
        <f>IF(AND(M97&gt;B72,L97&lt;A72),"NG",IF(M97&gt;B72,"Neg NG",IF(L97&lt;A72,"Pos NG","OK")))</f>
        <v>OK</v>
      </c>
      <c r="O97" s="113" t="str">
        <f>IF(AND(M97&gt;D72,L97&lt;C72),"NG",IF(M97&gt;D72,"Neg NG",IF(L97&lt;C72,"Pos NG","OK")))</f>
        <v>Neg NG</v>
      </c>
      <c r="P97" s="60">
        <v>0.36</v>
      </c>
      <c r="Q97" s="88">
        <v>0.28000000000000003</v>
      </c>
    </row>
    <row r="98" spans="1:17" ht="28.5" customHeight="1" thickBot="1" x14ac:dyDescent="0.35">
      <c r="I98" s="180" t="s">
        <v>233</v>
      </c>
      <c r="J98" s="181"/>
      <c r="K98" s="181"/>
      <c r="L98" s="111">
        <v>60</v>
      </c>
      <c r="M98" s="111">
        <v>-60</v>
      </c>
      <c r="N98" s="111" t="str">
        <f>IF(AND(M98&gt;B72,L98&lt;A72),"NG",IF(M98&gt;B72,"Neg NG",IF(L98&lt;A72,"Pos NG","OK")))</f>
        <v>OK</v>
      </c>
      <c r="O98" s="114" t="str">
        <f>IF(AND(M98&gt;D72,L98&lt;C72),"NG",IF(M98&gt;D72,"Neg NG",IF(L98&lt;C72,"Pos NG","OK")))</f>
        <v>OK</v>
      </c>
      <c r="P98" s="89">
        <v>0.33</v>
      </c>
      <c r="Q98" s="90">
        <v>0.22</v>
      </c>
    </row>
  </sheetData>
  <mergeCells count="109">
    <mergeCell ref="I98:K98"/>
    <mergeCell ref="A97:C97"/>
    <mergeCell ref="A92:C92"/>
    <mergeCell ref="A93:C93"/>
    <mergeCell ref="A96:C96"/>
    <mergeCell ref="A86:C86"/>
    <mergeCell ref="A84:C84"/>
    <mergeCell ref="A94:C94"/>
    <mergeCell ref="A95:C95"/>
    <mergeCell ref="I85:K85"/>
    <mergeCell ref="N82:O82"/>
    <mergeCell ref="D82:E82"/>
    <mergeCell ref="I92:K92"/>
    <mergeCell ref="I93:K93"/>
    <mergeCell ref="I94:K94"/>
    <mergeCell ref="I95:K95"/>
    <mergeCell ref="I96:K96"/>
    <mergeCell ref="I97:K97"/>
    <mergeCell ref="A81:G81"/>
    <mergeCell ref="L82:M82"/>
    <mergeCell ref="I81:O81"/>
    <mergeCell ref="I91:K91"/>
    <mergeCell ref="A89:C89"/>
    <mergeCell ref="I89:K89"/>
    <mergeCell ref="A90:C90"/>
    <mergeCell ref="I90:K90"/>
    <mergeCell ref="A91:C91"/>
    <mergeCell ref="I86:K86"/>
    <mergeCell ref="A87:C87"/>
    <mergeCell ref="I87:K87"/>
    <mergeCell ref="A88:C88"/>
    <mergeCell ref="I88:K88"/>
    <mergeCell ref="I84:K84"/>
    <mergeCell ref="A85:C85"/>
    <mergeCell ref="A69:D69"/>
    <mergeCell ref="A70:B70"/>
    <mergeCell ref="C70:D70"/>
    <mergeCell ref="A82:C83"/>
    <mergeCell ref="F82:G82"/>
    <mergeCell ref="I82:K83"/>
    <mergeCell ref="A47:I47"/>
    <mergeCell ref="A57:B57"/>
    <mergeCell ref="A55:B55"/>
    <mergeCell ref="A56:B56"/>
    <mergeCell ref="H49:I49"/>
    <mergeCell ref="G48:I48"/>
    <mergeCell ref="H50:I50"/>
    <mergeCell ref="H51:I51"/>
    <mergeCell ref="H52:I52"/>
    <mergeCell ref="H53:I53"/>
    <mergeCell ref="A58:B58"/>
    <mergeCell ref="A59:B59"/>
    <mergeCell ref="C48:D48"/>
    <mergeCell ref="A54:B54"/>
    <mergeCell ref="C49:D49"/>
    <mergeCell ref="A48:B48"/>
    <mergeCell ref="A49:B49"/>
    <mergeCell ref="A50:B50"/>
    <mergeCell ref="A53:B53"/>
    <mergeCell ref="K1:N1"/>
    <mergeCell ref="A64:I65"/>
    <mergeCell ref="A34:A40"/>
    <mergeCell ref="A25:I25"/>
    <mergeCell ref="B34:C34"/>
    <mergeCell ref="D34:E34"/>
    <mergeCell ref="F34:G34"/>
    <mergeCell ref="H34:I34"/>
    <mergeCell ref="B38:C38"/>
    <mergeCell ref="D38:E38"/>
    <mergeCell ref="F38:G38"/>
    <mergeCell ref="H38:I38"/>
    <mergeCell ref="H30:I30"/>
    <mergeCell ref="B30:C30"/>
    <mergeCell ref="C50:D50"/>
    <mergeCell ref="A52:B52"/>
    <mergeCell ref="A26:A32"/>
    <mergeCell ref="F26:G26"/>
    <mergeCell ref="H26:I26"/>
    <mergeCell ref="D30:E30"/>
    <mergeCell ref="F30:G30"/>
    <mergeCell ref="B26:C26"/>
    <mergeCell ref="D26:E26"/>
    <mergeCell ref="K37:M37"/>
    <mergeCell ref="AV18:AX18"/>
    <mergeCell ref="AY18:BA18"/>
    <mergeCell ref="AP18:AR18"/>
    <mergeCell ref="AP23:AR23"/>
    <mergeCell ref="AS18:AU18"/>
    <mergeCell ref="AS23:AU23"/>
    <mergeCell ref="Q14:R14"/>
    <mergeCell ref="S14:T14"/>
    <mergeCell ref="U14:V14"/>
    <mergeCell ref="AM23:AO23"/>
    <mergeCell ref="AM18:AO18"/>
    <mergeCell ref="O37:Q37"/>
    <mergeCell ref="AF4:AG4"/>
    <mergeCell ref="W14:X14"/>
    <mergeCell ref="Y14:Z14"/>
    <mergeCell ref="AA14:AB14"/>
    <mergeCell ref="O18:P18"/>
    <mergeCell ref="W18:X18"/>
    <mergeCell ref="Y18:Z18"/>
    <mergeCell ref="M5:N5"/>
    <mergeCell ref="M8:N8"/>
    <mergeCell ref="M10:N10"/>
    <mergeCell ref="M11:N11"/>
    <mergeCell ref="M13:AB13"/>
    <mergeCell ref="M14:N14"/>
    <mergeCell ref="O14:P14"/>
  </mergeCells>
  <conditionalFormatting sqref="F84:G97">
    <cfRule type="containsText" dxfId="66" priority="3" operator="containsText" text="NG">
      <formula>NOT(ISERROR(SEARCH("NG",F84)))</formula>
    </cfRule>
  </conditionalFormatting>
  <conditionalFormatting sqref="F30:I30">
    <cfRule type="expression" dxfId="65" priority="40">
      <formula>($F$30="Zone 3e:")</formula>
    </cfRule>
  </conditionalFormatting>
  <conditionalFormatting sqref="F32:I32">
    <cfRule type="expression" dxfId="64" priority="45">
      <formula>($F$30="Zone 3e:")</formula>
    </cfRule>
  </conditionalFormatting>
  <conditionalFormatting sqref="F38:I40">
    <cfRule type="expression" dxfId="63" priority="33">
      <formula>($F$30="Zone 3e:")</formula>
    </cfRule>
  </conditionalFormatting>
  <conditionalFormatting sqref="G31">
    <cfRule type="expression" dxfId="62" priority="43">
      <formula>($F$30="Zone 3e:")</formula>
    </cfRule>
  </conditionalFormatting>
  <conditionalFormatting sqref="H27">
    <cfRule type="expression" dxfId="61" priority="25">
      <formula>$H$26="Leave Out Zone 1'"</formula>
    </cfRule>
  </conditionalFormatting>
  <conditionalFormatting sqref="H28">
    <cfRule type="expression" dxfId="60" priority="24">
      <formula>$H$26="Leave Out Zone 1'"</formula>
    </cfRule>
  </conditionalFormatting>
  <conditionalFormatting sqref="H35">
    <cfRule type="expression" dxfId="59" priority="19">
      <formula>$H$26="Leave Out Zone 1'"</formula>
    </cfRule>
  </conditionalFormatting>
  <conditionalFormatting sqref="H36">
    <cfRule type="expression" dxfId="58" priority="20">
      <formula>$H$26="Leave Out Zone 1'"</formula>
    </cfRule>
  </conditionalFormatting>
  <conditionalFormatting sqref="H26:I26">
    <cfRule type="expression" dxfId="57" priority="26">
      <formula>$H$26="Leave Out Zone 1'"</formula>
    </cfRule>
  </conditionalFormatting>
  <conditionalFormatting sqref="H34:I34">
    <cfRule type="expression" dxfId="56" priority="17">
      <formula>$H$26="Leave Out Zone 1'"</formula>
    </cfRule>
  </conditionalFormatting>
  <conditionalFormatting sqref="I27">
    <cfRule type="expression" dxfId="55" priority="23">
      <formula>$H$26="Leave Out Zone 1'"</formula>
    </cfRule>
  </conditionalFormatting>
  <conditionalFormatting sqref="I28">
    <cfRule type="expression" dxfId="54" priority="22">
      <formula>$H$26="Leave Out Zone 1'"</formula>
    </cfRule>
  </conditionalFormatting>
  <conditionalFormatting sqref="I31">
    <cfRule type="expression" dxfId="53" priority="42">
      <formula>($F$30="Zone 3e:")</formula>
    </cfRule>
  </conditionalFormatting>
  <conditionalFormatting sqref="I35">
    <cfRule type="expression" dxfId="52" priority="18">
      <formula>$H$26="Leave Out Zone 1'"</formula>
    </cfRule>
  </conditionalFormatting>
  <conditionalFormatting sqref="I36">
    <cfRule type="expression" dxfId="51" priority="21">
      <formula>$H$26="Leave Out Zone 1'"</formula>
    </cfRule>
  </conditionalFormatting>
  <conditionalFormatting sqref="N84:O98 Q98">
    <cfRule type="containsText" dxfId="50" priority="1" operator="containsText" text="NG">
      <formula>NOT(ISERROR(SEARCH("NG",N84)))</formula>
    </cfRule>
  </conditionalFormatting>
  <conditionalFormatting sqref="P9 X14">
    <cfRule type="expression" dxfId="49" priority="12">
      <formula>(P9="Zone 3e:")</formula>
    </cfRule>
  </conditionalFormatting>
  <conditionalFormatting sqref="Q40">
    <cfRule type="expression" dxfId="48" priority="14">
      <formula>(Q40="Zone 3e:")</formula>
    </cfRule>
  </conditionalFormatting>
  <conditionalFormatting sqref="W18:X18">
    <cfRule type="expression" dxfId="47" priority="5">
      <formula>E19&gt;7</formula>
    </cfRule>
  </conditionalFormatting>
  <conditionalFormatting sqref="X14">
    <cfRule type="expression" dxfId="46" priority="13">
      <formula>(P9="Zone 3e:")</formula>
    </cfRule>
  </conditionalFormatting>
  <conditionalFormatting sqref="Y18:Z18">
    <cfRule type="expression" dxfId="45" priority="4">
      <formula>$E$18&lt;=7</formula>
    </cfRule>
  </conditionalFormatting>
  <conditionalFormatting sqref="Z14 AB14">
    <cfRule type="expression" dxfId="44" priority="92">
      <formula>(#REF!="Zone 3e:")</formula>
    </cfRule>
  </conditionalFormatting>
  <conditionalFormatting sqref="Z14">
    <cfRule type="expression" dxfId="43" priority="9">
      <formula>(Z14="Zone 3e:")</formula>
    </cfRule>
  </conditionalFormatting>
  <conditionalFormatting sqref="AB14">
    <cfRule type="expression" dxfId="42" priority="7">
      <formula>(AB14="Zone 3e:")</formula>
    </cfRule>
  </conditionalFormatting>
  <dataValidations count="9">
    <dataValidation type="list" allowBlank="1" showInputMessage="1" showErrorMessage="1" sqref="E14 AO4" xr:uid="{00000000-0002-0000-0000-000000000000}">
      <formula1>"B,C,D"</formula1>
    </dataValidation>
    <dataValidation type="list" allowBlank="1" showInputMessage="1" showErrorMessage="1" sqref="E13" xr:uid="{00000000-0002-0000-0000-000001000000}">
      <formula1>"95,100,105,110,115,120,130,140,150,160,170,180,190,200"</formula1>
    </dataValidation>
    <dataValidation type="list" allowBlank="1" showInputMessage="1" showErrorMessage="1" sqref="E20" xr:uid="{00000000-0002-0000-0000-000002000000}">
      <formula1>"Yes,No"</formula1>
    </dataValidation>
    <dataValidation type="list" allowBlank="1" showInputMessage="1" showErrorMessage="1" sqref="C48:D48" xr:uid="{00000000-0002-0000-0000-000003000000}">
      <formula1>"Non-HVHZ,HVHZ"</formula1>
    </dataValidation>
    <dataValidation type="list" allowBlank="1" showInputMessage="1" showErrorMessage="1" sqref="C49" xr:uid="{00000000-0002-0000-0000-000004000000}">
      <formula1>"Class C, Class B, Class A"</formula1>
    </dataValidation>
    <dataValidation type="list" allowBlank="1" showInputMessage="1" showErrorMessage="1" sqref="C50" xr:uid="{00000000-0002-0000-0000-000005000000}">
      <formula1>"Wood Construction, Steel Construction"</formula1>
    </dataValidation>
    <dataValidation type="list" allowBlank="1" showInputMessage="1" showErrorMessage="1" sqref="AP11" xr:uid="{00000000-0002-0000-0000-000007000000}">
      <formula1>"0,1000,2000,3000,4000,5000,6000"</formula1>
    </dataValidation>
    <dataValidation type="list" allowBlank="1" showInputMessage="1" showErrorMessage="1" sqref="L4:M4 M8:N8" xr:uid="{00000000-0002-0000-0000-000008000000}">
      <formula1>"Transverse / Complex, Gable / Mono"</formula1>
    </dataValidation>
    <dataValidation type="whole" allowBlank="1" showInputMessage="1" showErrorMessage="1" sqref="E15" xr:uid="{00000000-0002-0000-0000-000009000000}">
      <formula1>1</formula1>
      <formula2>30</formula2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98"/>
  <sheetViews>
    <sheetView workbookViewId="0">
      <selection activeCell="E13" sqref="E13"/>
    </sheetView>
  </sheetViews>
  <sheetFormatPr defaultRowHeight="14.4" x14ac:dyDescent="0.3"/>
  <cols>
    <col min="21" max="21" width="8.88671875" customWidth="1"/>
    <col min="25" max="27" width="8.88671875" customWidth="1"/>
    <col min="29" max="31" width="8.88671875" hidden="1" customWidth="1"/>
    <col min="38" max="53" width="8.88671875" hidden="1" customWidth="1"/>
  </cols>
  <sheetData>
    <row r="1" spans="3:42" ht="17.399999999999999" x14ac:dyDescent="0.3">
      <c r="E1" s="3" t="s">
        <v>14</v>
      </c>
      <c r="J1" s="133" t="s">
        <v>108</v>
      </c>
      <c r="K1" s="133"/>
      <c r="L1" s="133"/>
      <c r="M1" s="133"/>
    </row>
    <row r="2" spans="3:42" ht="17.399999999999999" x14ac:dyDescent="0.3">
      <c r="E2" s="3" t="s">
        <v>187</v>
      </c>
      <c r="J2" s="32"/>
      <c r="K2" s="72" t="s">
        <v>124</v>
      </c>
      <c r="L2" s="70">
        <v>155</v>
      </c>
      <c r="M2" s="73" t="s">
        <v>22</v>
      </c>
      <c r="N2" s="25"/>
      <c r="O2" s="25"/>
      <c r="U2" s="19"/>
      <c r="AL2" s="19"/>
      <c r="AM2" s="19"/>
    </row>
    <row r="3" spans="3:42" x14ac:dyDescent="0.3">
      <c r="E3" s="4" t="s">
        <v>189</v>
      </c>
      <c r="J3" s="32"/>
      <c r="K3" s="72" t="s">
        <v>123</v>
      </c>
      <c r="L3" s="74">
        <f>SUM(L2*SQRT(0.6))</f>
        <v>120.06248373242992</v>
      </c>
      <c r="M3" s="75" t="s">
        <v>22</v>
      </c>
      <c r="N3" s="107"/>
      <c r="O3" s="107"/>
      <c r="AN3" s="27" t="s">
        <v>51</v>
      </c>
      <c r="AO3" s="20">
        <f>E13</f>
        <v>130</v>
      </c>
      <c r="AP3" s="7" t="s">
        <v>22</v>
      </c>
    </row>
    <row r="4" spans="3:42" x14ac:dyDescent="0.3">
      <c r="J4" s="22"/>
      <c r="K4" s="25"/>
      <c r="L4" s="25"/>
      <c r="U4" s="19"/>
      <c r="AC4" s="133" t="s">
        <v>28</v>
      </c>
      <c r="AD4" s="133"/>
      <c r="AL4" s="19"/>
      <c r="AM4" s="19"/>
      <c r="AN4" s="27" t="s">
        <v>23</v>
      </c>
      <c r="AO4" s="14" t="str">
        <f>E14</f>
        <v>C</v>
      </c>
      <c r="AP4" s="7"/>
    </row>
    <row r="5" spans="3:42" x14ac:dyDescent="0.3">
      <c r="C5" s="5" t="s">
        <v>15</v>
      </c>
      <c r="D5" s="6" t="s">
        <v>16</v>
      </c>
      <c r="I5" s="19"/>
      <c r="K5" s="22"/>
      <c r="L5" s="184" t="s">
        <v>83</v>
      </c>
      <c r="M5" s="185"/>
      <c r="U5" s="19"/>
      <c r="AC5" s="74">
        <f>L7*0.1</f>
        <v>2.4000000000000004</v>
      </c>
      <c r="AD5" s="74">
        <f>E16*0.4</f>
        <v>6</v>
      </c>
      <c r="AE5" t="s">
        <v>160</v>
      </c>
      <c r="AL5" s="19"/>
      <c r="AM5" s="19"/>
      <c r="AN5" s="27" t="s">
        <v>74</v>
      </c>
      <c r="AO5" s="78">
        <f>E16</f>
        <v>15</v>
      </c>
      <c r="AP5" s="7" t="s">
        <v>25</v>
      </c>
    </row>
    <row r="6" spans="3:42" x14ac:dyDescent="0.3">
      <c r="D6" s="6" t="s">
        <v>183</v>
      </c>
      <c r="I6" s="19"/>
      <c r="K6" s="22"/>
      <c r="L6" s="39" t="s">
        <v>55</v>
      </c>
      <c r="M6" s="39" t="s">
        <v>69</v>
      </c>
      <c r="AC6" s="74">
        <f>M7*0.1</f>
        <v>6</v>
      </c>
      <c r="AD6" s="74">
        <f>E16*0.4</f>
        <v>6</v>
      </c>
      <c r="AE6" t="s">
        <v>161</v>
      </c>
      <c r="AN6" s="27"/>
      <c r="AO6" s="26"/>
      <c r="AP6" s="19"/>
    </row>
    <row r="7" spans="3:42" x14ac:dyDescent="0.3">
      <c r="D7" s="6" t="s">
        <v>17</v>
      </c>
      <c r="I7" s="19"/>
      <c r="K7" s="22" t="s">
        <v>70</v>
      </c>
      <c r="L7" s="58">
        <v>24</v>
      </c>
      <c r="M7" s="59">
        <v>60</v>
      </c>
      <c r="AC7" s="96">
        <f>MIN(L7,M7)*0.1</f>
        <v>2.4000000000000004</v>
      </c>
      <c r="AD7" s="97">
        <f>E16*0.4</f>
        <v>6</v>
      </c>
      <c r="AE7" t="s">
        <v>157</v>
      </c>
      <c r="AM7" s="19"/>
      <c r="AN7" s="22" t="s">
        <v>77</v>
      </c>
      <c r="AO7" s="30">
        <f>E17</f>
        <v>0.25</v>
      </c>
      <c r="AP7" t="s">
        <v>67</v>
      </c>
    </row>
    <row r="8" spans="3:42" x14ac:dyDescent="0.3">
      <c r="D8" s="6" t="s">
        <v>18</v>
      </c>
      <c r="I8" s="19"/>
      <c r="K8" s="22" t="s">
        <v>71</v>
      </c>
      <c r="L8" s="182" t="s">
        <v>72</v>
      </c>
      <c r="M8" s="183"/>
      <c r="AC8" s="11" t="s">
        <v>150</v>
      </c>
      <c r="AD8" s="11" t="s">
        <v>151</v>
      </c>
      <c r="AN8" s="27" t="s">
        <v>75</v>
      </c>
      <c r="AO8" s="41">
        <f>E18</f>
        <v>1.1934894239820351</v>
      </c>
    </row>
    <row r="9" spans="3:42" x14ac:dyDescent="0.3">
      <c r="D9" s="6" t="s">
        <v>19</v>
      </c>
      <c r="I9" s="19"/>
      <c r="K9" s="19"/>
      <c r="L9" s="19"/>
      <c r="M9" s="22"/>
      <c r="N9" s="19"/>
      <c r="AN9" s="27"/>
      <c r="AO9" s="8"/>
    </row>
    <row r="10" spans="3:42" x14ac:dyDescent="0.3">
      <c r="D10" s="6" t="s">
        <v>20</v>
      </c>
      <c r="I10" s="19"/>
      <c r="K10" s="19"/>
      <c r="L10" s="134" t="s">
        <v>79</v>
      </c>
      <c r="M10" s="136"/>
      <c r="N10" s="19"/>
      <c r="AC10" s="8">
        <f>IF(E18&lt;=7,(L7-(U17*2)),IF(AND(E18&gt;7,E18&lt;=45),(L7-(U17*4)),0))</f>
        <v>18</v>
      </c>
      <c r="AD10" s="8">
        <f>IF(E18&lt;=7,(M7-(V17*2)),IF(AND(E18&gt;7,E18&lt;=45),(M7-(V17*2)),0))</f>
        <v>48</v>
      </c>
      <c r="AE10" t="s">
        <v>148</v>
      </c>
      <c r="AN10" s="27" t="s">
        <v>47</v>
      </c>
      <c r="AO10" s="21">
        <v>1</v>
      </c>
      <c r="AP10" s="7" t="s">
        <v>27</v>
      </c>
    </row>
    <row r="11" spans="3:42" x14ac:dyDescent="0.3">
      <c r="D11" s="6" t="s">
        <v>21</v>
      </c>
      <c r="I11" s="19"/>
      <c r="K11" s="19"/>
      <c r="L11" s="134">
        <f>MAX(AC13,AC14)</f>
        <v>15.625</v>
      </c>
      <c r="M11" s="136"/>
      <c r="N11" s="19"/>
      <c r="Q11" s="19"/>
      <c r="AC11" s="8">
        <f>IF(E18&lt;=7,(L7-S16*2),IF(AND(E18&gt;7,E18&lt;=27),(L7-(S16*2)),IF(AND(E18&gt;27,E18&lt;=45),(L7-(S16*4))*0)))</f>
        <v>18</v>
      </c>
      <c r="AD11" s="8">
        <f>IF(E18&lt;=7,(M7-(T16*2)),IF(AND(E18&gt;7,E18&lt;=45),(M7-(V16*4)),0))</f>
        <v>48</v>
      </c>
      <c r="AE11" t="s">
        <v>149</v>
      </c>
      <c r="AN11" s="22" t="s">
        <v>44</v>
      </c>
      <c r="AO11" s="23">
        <v>0.85</v>
      </c>
      <c r="AP11" s="19"/>
    </row>
    <row r="12" spans="3:42" ht="15" thickBot="1" x14ac:dyDescent="0.35">
      <c r="D12" s="6" t="s">
        <v>182</v>
      </c>
      <c r="J12" s="19"/>
      <c r="K12" s="19"/>
      <c r="L12" s="19"/>
      <c r="M12" s="19"/>
      <c r="N12" s="19"/>
      <c r="Q12" s="19"/>
      <c r="AN12" s="27" t="s">
        <v>46</v>
      </c>
      <c r="AO12" s="23">
        <f>IF(AP12="(enclosed)",-0.18,IF(AP12="(Partially Enclosed)",-0.55,IF(AP12="(open)",0,)))</f>
        <v>-0.18</v>
      </c>
      <c r="AP12" s="19" t="s">
        <v>43</v>
      </c>
    </row>
    <row r="13" spans="3:42" ht="15" thickBot="1" x14ac:dyDescent="0.35">
      <c r="D13" s="27" t="s">
        <v>26</v>
      </c>
      <c r="E13" s="20">
        <v>130</v>
      </c>
      <c r="F13" s="55" t="s">
        <v>22</v>
      </c>
      <c r="G13" s="2"/>
      <c r="I13" s="19"/>
      <c r="J13" s="19"/>
      <c r="K13" s="19"/>
      <c r="L13" s="19"/>
      <c r="M13" s="141" t="s">
        <v>159</v>
      </c>
      <c r="N13" s="142"/>
      <c r="O13" s="142"/>
      <c r="P13" s="142"/>
      <c r="Q13" s="142"/>
      <c r="R13" s="142"/>
      <c r="S13" s="142"/>
      <c r="T13" s="142"/>
      <c r="U13" s="142"/>
      <c r="V13" s="143"/>
      <c r="AC13">
        <f>IF(L8="transverse / complex",(E15+(E17*((M7/2)/12))),IF(L8="gable / mono",(E15+(E17*((L7/2)/12))),0))</f>
        <v>15.625</v>
      </c>
      <c r="AD13" t="s">
        <v>167</v>
      </c>
      <c r="AN13" s="27" t="s">
        <v>46</v>
      </c>
      <c r="AO13" s="23">
        <f>IF(AP12="(enclosed)",0.18,IF(AP12="(Partially Enclosed)",0.55,IF(AP12="(open)",0)))</f>
        <v>0.18</v>
      </c>
    </row>
    <row r="14" spans="3:42" ht="15" thickBot="1" x14ac:dyDescent="0.35">
      <c r="D14" s="27" t="s">
        <v>23</v>
      </c>
      <c r="E14" s="14" t="s">
        <v>37</v>
      </c>
      <c r="F14" s="55"/>
      <c r="I14" s="25"/>
      <c r="L14" s="19"/>
      <c r="M14" s="141" t="s">
        <v>56</v>
      </c>
      <c r="N14" s="143"/>
      <c r="O14" s="141" t="s">
        <v>57</v>
      </c>
      <c r="P14" s="143"/>
      <c r="Q14" s="141" t="s">
        <v>59</v>
      </c>
      <c r="R14" s="143"/>
      <c r="S14" s="141" t="s">
        <v>58</v>
      </c>
      <c r="T14" s="143"/>
      <c r="U14" s="141" t="s">
        <v>60</v>
      </c>
      <c r="V14" s="143"/>
      <c r="AC14">
        <f>E15+E19</f>
        <v>15</v>
      </c>
      <c r="AD14" t="s">
        <v>168</v>
      </c>
      <c r="AN14" s="27" t="s">
        <v>48</v>
      </c>
      <c r="AO14" s="23" t="str">
        <f>IF(AND(AO4="B",AO5&lt;=15),"1",IF(AND(AO4="B",AO5=20),"1",IF(AND(AO4="B",AO5=25),"1",IF(AND(AO4="B",AO5=30),"1",IF(AND(AO4="B",AO5=35),"1.05",IF(AND(AO4="B",AO5=40),"1.09",IF(AND(AO4="B",AO5=45),"1.12",IF(AND(AO4="B",AO5=50),"1.16",IF(AND(AO4="B",AO5=55),"1.19",IF(AND(AO4="B",AO5=60),"1.22",IF(AND(AO4="C",AO5&lt;=15),"1.21",IF(AND(AO4="C",AO5=20),"1.29",IF(AND(AO4="C",AO5=25),"1.35",IF(AND(AO4="C",AO5=30),"1.4",IF(AND(AO4="C",AO5=35),"1.45",IF(AND(AO4="C",AO5=40),"1.49",IF(AND(AO4="C",AO5=45),"1.53",IF(AND(AO4="C",AO5=50),"1.56",IF(AND(AO4="C",AO5=55),"1.59",IF(AND(AO4="C",AO5=60),"1.62",IF(AND(AO4="D",AO5&lt;=15),"1.47",IF(AND(AO4="D",AO5=20),"1.55",IF(AND(AO4="D",AO5=25),"1.61",IF(AND(AO4="D",AO5=30),"1.66",IF(AND(AO4="D",AO5=35),"1.7",IF(AND(AO4="D",AO5=40),"1.74",IF(AND(AO4="D",AO5=45),"1.78",IF(AND(AO4="D",AO5=50),"1.81",IF(AND(AO4="D",AO5=55),"1.84",IF(AND(AO4="D",AO5=60),"1.87",0))))))))))))))))))))))))))))))</f>
        <v>1.21</v>
      </c>
    </row>
    <row r="15" spans="3:42" x14ac:dyDescent="0.3">
      <c r="D15" s="27" t="s">
        <v>126</v>
      </c>
      <c r="E15" s="20">
        <v>15</v>
      </c>
      <c r="F15" s="54" t="s">
        <v>125</v>
      </c>
      <c r="G15" s="2"/>
      <c r="H15" s="2"/>
      <c r="I15" s="21"/>
      <c r="L15" s="19"/>
      <c r="M15" s="91" t="s">
        <v>146</v>
      </c>
      <c r="N15" s="92" t="s">
        <v>147</v>
      </c>
      <c r="O15" s="91" t="s">
        <v>146</v>
      </c>
      <c r="P15" s="92" t="s">
        <v>147</v>
      </c>
      <c r="Q15" s="91" t="s">
        <v>146</v>
      </c>
      <c r="R15" s="92" t="s">
        <v>147</v>
      </c>
      <c r="S15" s="91" t="s">
        <v>146</v>
      </c>
      <c r="T15" s="92" t="s">
        <v>147</v>
      </c>
      <c r="U15" s="91" t="s">
        <v>146</v>
      </c>
      <c r="V15" s="92" t="s">
        <v>147</v>
      </c>
      <c r="AN15" s="22" t="s">
        <v>49</v>
      </c>
      <c r="AO15" s="26">
        <f>IF(AND(AO4="B",AO5&lt;30),(2.01*((30)/1200)^(2/7)),IF(AND(AO4="B",AO5&gt;=30),(2.01*((AO5)/1200)^(2/7)),IF(AO4="C",(2.01*((AO5)/900)^(2/9.5)),IF(AO4="D",(2.01*((AO5)/700)^(2/11.5)),0))))</f>
        <v>0.84888415207790313</v>
      </c>
      <c r="AP15" s="25"/>
    </row>
    <row r="16" spans="3:42" x14ac:dyDescent="0.3">
      <c r="D16" s="27" t="s">
        <v>74</v>
      </c>
      <c r="E16" s="26">
        <f>IF(E19&gt;0,E15+E19,IF(E18&lt;=10,E15,IF(L8="transverse / complex",(E15+(E17*((M7/2)/12)/2)),IF(L8="gable / mono",(E15+(E17*((L7/2)/12)/2)),E15+E19))))</f>
        <v>15</v>
      </c>
      <c r="I16" s="21"/>
      <c r="L16" s="22" t="s">
        <v>162</v>
      </c>
      <c r="M16" s="60" t="s">
        <v>163</v>
      </c>
      <c r="N16" s="88" t="s">
        <v>163</v>
      </c>
      <c r="O16" s="60">
        <f>IF(MIN(AC5,AD5)&lt;3,3,MIN(AC5,AD5))</f>
        <v>3</v>
      </c>
      <c r="P16" s="88">
        <f>IF(MIN(AC6,AD6)&lt;3,3,MIN(AC6,AD6))</f>
        <v>6</v>
      </c>
      <c r="Q16" s="60" t="s">
        <v>163</v>
      </c>
      <c r="R16" s="88" t="s">
        <v>163</v>
      </c>
      <c r="S16" s="60">
        <f>IF(MIN(AC7,AD7)&lt;3,3,MIN(AC7,AD7))</f>
        <v>3</v>
      </c>
      <c r="T16" s="88">
        <f>IF(MIN(AC6,AD6)&lt;3,3,MIN(AC6,AD6))</f>
        <v>6</v>
      </c>
      <c r="U16" s="60">
        <f>IF(MIN(AC7,AD7)&lt;3,3,MIN(AC7,AD7))</f>
        <v>3</v>
      </c>
      <c r="V16" s="88">
        <f>IF(MIN(AC6,AD6)&lt;3,3,MIN(AC6,AD6))</f>
        <v>6</v>
      </c>
      <c r="AN16" s="22" t="s">
        <v>50</v>
      </c>
      <c r="AO16" s="26">
        <f>(0.6*0.00256*AO15*AO10*AO11*(AO3^2))</f>
        <v>18.730323217304182</v>
      </c>
      <c r="AP16" s="25" t="s">
        <v>42</v>
      </c>
    </row>
    <row r="17" spans="1:53" ht="15" thickBot="1" x14ac:dyDescent="0.35">
      <c r="D17" s="22" t="s">
        <v>81</v>
      </c>
      <c r="E17" s="44">
        <v>0.25</v>
      </c>
      <c r="F17" s="56" t="s">
        <v>67</v>
      </c>
      <c r="I17" s="19"/>
      <c r="L17" s="22" t="s">
        <v>152</v>
      </c>
      <c r="M17" s="89">
        <f>SUM(L7-O17*2)</f>
        <v>18</v>
      </c>
      <c r="N17" s="90">
        <f>SUM(M7-P17*2)</f>
        <v>48</v>
      </c>
      <c r="O17" s="89">
        <f>IF(MIN(AC5,AD5)&lt;3,3,MIN(AC5,AD5))</f>
        <v>3</v>
      </c>
      <c r="P17" s="90">
        <f>IF(MIN(AC6,AD6)&lt;3,3,MIN(AC6,AD6))</f>
        <v>6</v>
      </c>
      <c r="Q17" s="89">
        <f>IF(AC11&lt;=0,"N/A",IF(E18&lt;=7,(L7-S16*2),IF(E18&gt;7,(L7-(S16*4)),0)))</f>
        <v>18</v>
      </c>
      <c r="R17" s="90">
        <f>IF(AD11&lt;=0,"N/A",IF(E18&lt;=7,(M7-(T16*2)),IF(E18&gt;7,(M7-(T16*4)),0)))</f>
        <v>48</v>
      </c>
      <c r="S17" s="89">
        <f>IF(AC10&lt;=0,"N/A",IF(E18&lt;=7,(L7-(U17*2)),IF(E18&gt;7,(L7-(U17*4)),0)))</f>
        <v>18</v>
      </c>
      <c r="T17" s="90">
        <f>IF(AD10&lt;=0,"N/A",IF(E18&lt;=7,(M7-(V17*2)),IF(E18&gt;7,(M7-(V17*2)),0)))</f>
        <v>48</v>
      </c>
      <c r="U17" s="94">
        <f>IF(MIN(AC5,AD5)&lt;3,3,MIN(AC5,AD5))</f>
        <v>3</v>
      </c>
      <c r="V17" s="95">
        <f>IF(MIN(AC6,AD6)&lt;3,3,MIN(AC6,AD6))</f>
        <v>6</v>
      </c>
    </row>
    <row r="18" spans="1:53" ht="15" thickBot="1" x14ac:dyDescent="0.35">
      <c r="D18" s="27" t="s">
        <v>75</v>
      </c>
      <c r="E18" s="26">
        <f>ATAN(E17/12)*(180/PI())</f>
        <v>1.1934894239820351</v>
      </c>
      <c r="F18" s="56" t="s">
        <v>68</v>
      </c>
      <c r="G18" s="2"/>
      <c r="I18" s="19"/>
      <c r="O18" s="139" t="s">
        <v>156</v>
      </c>
      <c r="P18" s="140"/>
      <c r="U18" s="139" t="s">
        <v>156</v>
      </c>
      <c r="V18" s="140"/>
      <c r="AM18" s="170" t="s">
        <v>118</v>
      </c>
      <c r="AN18" s="171"/>
      <c r="AO18" s="172"/>
      <c r="AP18" s="170" t="s">
        <v>119</v>
      </c>
      <c r="AQ18" s="171"/>
      <c r="AR18" s="172"/>
      <c r="AS18" s="170" t="s">
        <v>120</v>
      </c>
      <c r="AT18" s="171"/>
      <c r="AU18" s="172"/>
      <c r="AV18" s="170" t="s">
        <v>121</v>
      </c>
      <c r="AW18" s="171"/>
      <c r="AX18" s="172"/>
      <c r="AY18" s="115" t="s">
        <v>122</v>
      </c>
      <c r="AZ18" s="116"/>
      <c r="BA18" s="117"/>
    </row>
    <row r="19" spans="1:53" x14ac:dyDescent="0.3">
      <c r="D19" s="27" t="s">
        <v>84</v>
      </c>
      <c r="E19" s="20">
        <v>0</v>
      </c>
      <c r="F19" s="55"/>
      <c r="H19" s="2"/>
      <c r="I19" s="19"/>
      <c r="AL19" s="1" t="s">
        <v>110</v>
      </c>
      <c r="AM19" s="76" t="e">
        <f>(1-0.3*(LOG(E71)-LOG(10))/(LOG(500)-LOG(10)))</f>
        <v>#NUM!</v>
      </c>
      <c r="AN19" s="76" t="e">
        <f>IF(E18&lt;=10,AM19*0.9,AM19)</f>
        <v>#NUM!</v>
      </c>
      <c r="AO19" s="76" t="e">
        <f>AN19-(AO12)</f>
        <v>#NUM!</v>
      </c>
      <c r="AP19" s="76" t="e">
        <f>(1-0.3*(LOG(E72)-LOG(10))/(LOG(500)-LOG(10)))</f>
        <v>#NUM!</v>
      </c>
      <c r="AQ19" s="76" t="e">
        <f>IF(E18&lt;=10,AP19*0.9,AP19)</f>
        <v>#NUM!</v>
      </c>
      <c r="AR19" s="76" t="e">
        <f>AQ19-(AO12)</f>
        <v>#NUM!</v>
      </c>
      <c r="AS19" s="76" t="e">
        <f>(1-0.3*(LOG(E73)-LOG(10))/(LOG(500)-LOG(10)))</f>
        <v>#NUM!</v>
      </c>
      <c r="AT19" s="76" t="e">
        <f>IF(E18&lt;=10,AS19*0.9,AS19)</f>
        <v>#NUM!</v>
      </c>
      <c r="AU19" s="76" t="e">
        <f>AT19-(AO12)</f>
        <v>#NUM!</v>
      </c>
      <c r="AV19" s="76" t="e">
        <f>(1-0.3*(LOG(E74)-LOG(10))/(LOG(500)-LOG(10)))</f>
        <v>#NUM!</v>
      </c>
      <c r="AW19" s="76" t="e">
        <f>IF(E18&lt;=10,AV19*0.9,AV19)</f>
        <v>#NUM!</v>
      </c>
      <c r="AX19" s="76" t="e">
        <f>AW19-(AO12)</f>
        <v>#NUM!</v>
      </c>
      <c r="AY19" s="76" t="e">
        <f>(1-0.3*(LOG(E75)-LOG(10))/(LOG(500)-LOG(10)))</f>
        <v>#NUM!</v>
      </c>
      <c r="AZ19" s="76" t="e">
        <f>IF(E18&lt;=10,AY19*0.9,AY19)</f>
        <v>#NUM!</v>
      </c>
      <c r="BA19" s="76" t="e">
        <f>AZ19-(AO12)</f>
        <v>#NUM!</v>
      </c>
    </row>
    <row r="20" spans="1:53" x14ac:dyDescent="0.3">
      <c r="D20" s="27" t="s">
        <v>52</v>
      </c>
      <c r="E20" s="44" t="s">
        <v>53</v>
      </c>
      <c r="F20" s="56"/>
      <c r="G20" s="2"/>
      <c r="AL20" s="1" t="s">
        <v>111</v>
      </c>
      <c r="AM20" s="76" t="e">
        <f>(1-0.3*(LOG(E71)-LOG(10))/(LOG(500)-LOG(10)))</f>
        <v>#NUM!</v>
      </c>
      <c r="AN20" s="76" t="e">
        <f>IF(E18&lt;=10,AM20*0.9,AM20)</f>
        <v>#NUM!</v>
      </c>
      <c r="AO20" s="76" t="e">
        <f>AN20-(AO12)</f>
        <v>#NUM!</v>
      </c>
      <c r="AP20" s="76" t="e">
        <f>(1-0.3*(LOG(E72)-LOG(10))/(LOG(500)-LOG(10)))</f>
        <v>#NUM!</v>
      </c>
      <c r="AQ20" s="76" t="e">
        <f>IF(E18&lt;=10,AP20*0.9,AP20)</f>
        <v>#NUM!</v>
      </c>
      <c r="AR20" s="76" t="e">
        <f>AQ20-(AO12)</f>
        <v>#NUM!</v>
      </c>
      <c r="AS20" s="76" t="e">
        <f>(1-0.3*(LOG(E73)-LOG(10))/(LOG(500)-LOG(10)))</f>
        <v>#NUM!</v>
      </c>
      <c r="AT20" s="76" t="e">
        <f>IF(E18&lt;=10,AS20*0.9,AS20)</f>
        <v>#NUM!</v>
      </c>
      <c r="AU20" s="76" t="e">
        <f>AT20-(AO12)</f>
        <v>#NUM!</v>
      </c>
      <c r="AV20" s="76" t="e">
        <f>(1-0.3*(LOG(E74)-LOG(10))/(LOG(500)-LOG(10)))</f>
        <v>#NUM!</v>
      </c>
      <c r="AW20" s="76" t="e">
        <f>IF(E18&lt;=10,AV20*0.9,AV20)</f>
        <v>#NUM!</v>
      </c>
      <c r="AX20" s="76" t="e">
        <f>AW20-(AO12)</f>
        <v>#NUM!</v>
      </c>
      <c r="AY20" s="76" t="e">
        <f>(1-0.3*(LOG(E75)-LOG(10))/(LOG(500)-LOG(10)))</f>
        <v>#NUM!</v>
      </c>
      <c r="AZ20" s="76" t="e">
        <f>IF(E18&lt;=10,AY20*0.9,AY20)</f>
        <v>#NUM!</v>
      </c>
      <c r="BA20" s="76" t="e">
        <f>AZ20-(AO12)</f>
        <v>#NUM!</v>
      </c>
    </row>
    <row r="21" spans="1:53" x14ac:dyDescent="0.3">
      <c r="D21" s="27" t="s">
        <v>131</v>
      </c>
      <c r="E21" s="21">
        <v>1</v>
      </c>
      <c r="F21" s="55" t="s">
        <v>245</v>
      </c>
      <c r="AL21" s="1" t="s">
        <v>112</v>
      </c>
      <c r="AM21" s="76" t="e">
        <f>-(1.1-0.3*(LOG(E71)-LOG(10))/(LOG(500)-LOG(10)))</f>
        <v>#NUM!</v>
      </c>
      <c r="AN21" s="76" t="e">
        <f>IF(E18&lt;=10,AM21*0.9,AM21)</f>
        <v>#NUM!</v>
      </c>
      <c r="AO21" s="76" t="e">
        <f>AN21-(AO13)</f>
        <v>#NUM!</v>
      </c>
      <c r="AP21" s="76" t="e">
        <f>-(1.1-0.3*(LOG(E72)-LOG(10))/(LOG(500)-LOG(10)))</f>
        <v>#NUM!</v>
      </c>
      <c r="AQ21" s="76" t="e">
        <f>IF(E18&lt;=10,AP21*0.9,AP21)</f>
        <v>#NUM!</v>
      </c>
      <c r="AR21" s="76" t="e">
        <f>AQ21-(AO13)</f>
        <v>#NUM!</v>
      </c>
      <c r="AS21" s="76" t="e">
        <f>-(1.1-0.3*(LOG(E73)-LOG(10))/(LOG(500)-LOG(10)))</f>
        <v>#NUM!</v>
      </c>
      <c r="AT21" s="76" t="e">
        <f>IF(E18&lt;=10,AS21*0.9,AS21)</f>
        <v>#NUM!</v>
      </c>
      <c r="AU21" s="76" t="e">
        <f>AT21-(AO13)</f>
        <v>#NUM!</v>
      </c>
      <c r="AV21" s="76" t="e">
        <f>-(1.1-0.3*(LOG(E74)-LOG(10))/(LOG(500)-LOG(10)))</f>
        <v>#NUM!</v>
      </c>
      <c r="AW21" s="76" t="e">
        <f>IF(E18&lt;=10,AV21*0.9,AV21)</f>
        <v>#NUM!</v>
      </c>
      <c r="AX21" s="76" t="e">
        <f>AW21-(AO13)</f>
        <v>#NUM!</v>
      </c>
      <c r="AY21" s="76" t="e">
        <f>-(1.1-0.3*(LOG(E75)-LOG(10))/(LOG(500)-LOG(10)))</f>
        <v>#NUM!</v>
      </c>
      <c r="AZ21" s="76" t="e">
        <f>IF(E18&lt;=10,AY21*0.9,AY21)</f>
        <v>#NUM!</v>
      </c>
      <c r="BA21" s="76" t="e">
        <f>AZ21-(AO13)</f>
        <v>#NUM!</v>
      </c>
    </row>
    <row r="22" spans="1:53" x14ac:dyDescent="0.3">
      <c r="D22" s="27" t="s">
        <v>141</v>
      </c>
      <c r="E22" s="51" t="s">
        <v>78</v>
      </c>
      <c r="F22" s="55" t="s">
        <v>36</v>
      </c>
      <c r="AL22" s="1" t="s">
        <v>113</v>
      </c>
      <c r="AM22" s="76" t="e">
        <f>-(1.4-0.6*(LOG(E71)-LOG(10))/(LOG(500)-LOG(10)))</f>
        <v>#NUM!</v>
      </c>
      <c r="AN22" s="76" t="e">
        <f>IF(E18&lt;=10,AM22*0.9,AM22)</f>
        <v>#NUM!</v>
      </c>
      <c r="AO22" s="76" t="e">
        <f>AN22-(AO13)</f>
        <v>#NUM!</v>
      </c>
      <c r="AP22" s="76" t="e">
        <f>-(1.4-0.6*(LOG(E72)-LOG(10))/(LOG(500)-LOG(10)))</f>
        <v>#NUM!</v>
      </c>
      <c r="AQ22" s="76" t="e">
        <f>IF(E18&lt;=10,AP22*0.9,AP22)</f>
        <v>#NUM!</v>
      </c>
      <c r="AR22" s="76" t="e">
        <f>AQ22-(AO13)</f>
        <v>#NUM!</v>
      </c>
      <c r="AS22" s="76" t="e">
        <f>-(1.4-0.6*(LOG(E73)-LOG(10))/(LOG(500)-LOG(10)))</f>
        <v>#NUM!</v>
      </c>
      <c r="AT22" s="76" t="e">
        <f>IF(E18&lt;=10,AS22*0.9,AS22)</f>
        <v>#NUM!</v>
      </c>
      <c r="AU22" s="76" t="e">
        <f>AT22-(AO13)</f>
        <v>#NUM!</v>
      </c>
      <c r="AV22" s="76" t="e">
        <f>-(1.4-0.6*(LOG(E74)-LOG(10))/(LOG(500)-LOG(10)))</f>
        <v>#NUM!</v>
      </c>
      <c r="AW22" s="76" t="e">
        <f>IF(E18&lt;=10,AV22*0.9,AV22)</f>
        <v>#NUM!</v>
      </c>
      <c r="AX22" s="76" t="e">
        <f>AW22-(AO13)</f>
        <v>#NUM!</v>
      </c>
      <c r="AY22" s="76" t="e">
        <f>-(1.4-0.6*(LOG(E75)-LOG(10))/(LOG(500)-LOG(10)))</f>
        <v>#NUM!</v>
      </c>
      <c r="AZ22" s="76" t="e">
        <f>IF(E18&lt;=10,AY22*0.9,AY22)</f>
        <v>#NUM!</v>
      </c>
      <c r="BA22" s="76" t="e">
        <f>AZ22-(AO13)</f>
        <v>#NUM!</v>
      </c>
    </row>
    <row r="23" spans="1:53" x14ac:dyDescent="0.3">
      <c r="D23" s="27" t="s">
        <v>48</v>
      </c>
      <c r="E23" s="23">
        <f>IF(AND(E16&lt;=30,E14="B"),1,IF(AND(AND(E16&gt;30),E16&lt;=35,E14="B"),1.05,IF(AND(AND(E16&gt;35),E16&lt;=40,E14="B"),1.09,IF(AND(AND(E16&gt;40),E16&lt;=45,E14="B"),1.12,IF(AND(AND(E16&gt;45),E16&lt;=50,E14="B"),1.16,IF(AND(AND(E16&gt;50),E16&lt;=55,E14="B"),1.19,IF(AND(AND(E16&gt;55),E16&lt;=60,E14="B"),1.22,IF(AND(E16&lt;=15,E14="C"),1.21,IF(AND(AND(E16&gt;15),E16&lt;=20,E14="C"),1.29,IF(AND(AND(E16&gt;20),E16&lt;=25,E14="C"),1.35,IF(AND(AND(E16&gt;25),E16&lt;=30,E14="C"),1.4,IF(AND(AND(E16&gt;30),E16&lt;=35,E14="C"),1.45,IF(AND(AND(E16&gt;35),E16&lt;=40,E14="C"),1.49,IF(AND(AND(E16&gt;40),E16&lt;=45,E14="C"),1.53,IF(AND(AND(E16&gt;45),E16&lt;=50,E14="C"),1.56,IF(AND(AND(E16&gt;50),E16&lt;=55,E14="C"),1.59,IF(AND(AND(E16&gt;55),E16&lt;=60,E14="C"),1.62,IF(AND(E16&lt;=15,E14="d"),1.47,IF(AND(AND(E16&gt;15),E16&lt;=20,E14="d"),1.55,IF(AND(AND(E16&gt;20),E16&lt;=25,E14="d"),1.61,IF(AND(AND(E16&gt;25),E16&lt;=30,E14="d"),1.66,IF(AND(AND(E16&gt;30),E16&lt;=35,E14="d"),1.7,IF(AND(AND(E16&gt;35),E16&lt;=40,E14="d"),1.74,IF(AND(AND(E16&gt;40),E16&lt;=45,E14="d"),1.78,IF(AND(AND(E16&gt;45),E16&lt;=50,E14="d"),1.81,IF(AND(AND(E16&gt;50),E16&lt;=55,E14="d"),1.84,IF(AND(AND(E16&gt;55),E16&lt;=60,E14="d"),1.87,0)))))))))))))))))))))))))))</f>
        <v>1.21</v>
      </c>
      <c r="F23" s="55" t="s">
        <v>246</v>
      </c>
      <c r="AM23" s="159" t="s">
        <v>114</v>
      </c>
      <c r="AN23" s="159"/>
      <c r="AO23" s="159"/>
      <c r="AP23" s="169" t="s">
        <v>115</v>
      </c>
      <c r="AQ23" s="169"/>
      <c r="AR23" s="169"/>
      <c r="AS23" s="169" t="s">
        <v>116</v>
      </c>
      <c r="AT23" s="169"/>
      <c r="AU23" s="169"/>
    </row>
    <row r="24" spans="1:53" ht="15" thickBot="1" x14ac:dyDescent="0.35">
      <c r="A24" t="s">
        <v>244</v>
      </c>
      <c r="AL24" s="1" t="s">
        <v>110</v>
      </c>
      <c r="AM24" s="76" t="e">
        <f>(1-0.3*(LOG(E81)-LOG(10))/(LOG(500)-LOG(10)))</f>
        <v>#NUM!</v>
      </c>
      <c r="AN24" s="76" t="e">
        <f>IF(E18&lt;=10,AM24*0.9,AM24)</f>
        <v>#NUM!</v>
      </c>
      <c r="AO24" s="76" t="e">
        <f>AN24-(AO12)</f>
        <v>#NUM!</v>
      </c>
      <c r="AP24" s="76" t="e">
        <f>(1-0.3*(LOG(E82)-LOG(10))/(LOG(500)-LOG(10)))</f>
        <v>#NUM!</v>
      </c>
      <c r="AQ24" s="76" t="e">
        <f>IF(E18&lt;=10,AP24*0.9,AP24)</f>
        <v>#NUM!</v>
      </c>
      <c r="AR24" s="76" t="e">
        <f>AQ24-(AO12)</f>
        <v>#NUM!</v>
      </c>
      <c r="AS24" s="76" t="e">
        <f>(1-0.3*(LOG(E83)-LOG(10))/(LOG(500)-LOG(10)))</f>
        <v>#VALUE!</v>
      </c>
      <c r="AT24" s="76" t="e">
        <f>IF(E18&lt;=10,AS24*0.9,AS24)</f>
        <v>#VALUE!</v>
      </c>
      <c r="AU24" s="76" t="e">
        <f>AT24-(AO12)</f>
        <v>#VALUE!</v>
      </c>
    </row>
    <row r="25" spans="1:53" ht="16.2" thickBot="1" x14ac:dyDescent="0.35">
      <c r="A25" s="155" t="s">
        <v>139</v>
      </c>
      <c r="B25" s="156"/>
      <c r="C25" s="156"/>
      <c r="D25" s="156"/>
      <c r="E25" s="156"/>
      <c r="F25" s="156"/>
      <c r="G25" s="156"/>
      <c r="H25" s="156"/>
      <c r="I25" s="157"/>
      <c r="J25" s="19"/>
      <c r="P25" s="21"/>
      <c r="Q25" s="19"/>
      <c r="R25" s="19"/>
      <c r="AL25" s="1" t="s">
        <v>111</v>
      </c>
      <c r="AM25" s="76" t="e">
        <f>(1-0.3*(LOG(E81)-LOG(10))/(LOG(500)-LOG(10)))</f>
        <v>#NUM!</v>
      </c>
      <c r="AN25" s="76" t="e">
        <f>IF(E18&lt;=10,AM25*0.9,AM25)</f>
        <v>#NUM!</v>
      </c>
      <c r="AO25" s="76" t="e">
        <f>AN25-(AO12)</f>
        <v>#NUM!</v>
      </c>
      <c r="AP25" s="76" t="e">
        <f>(1-0.3*(LOG(E82)-LOG(10))/(LOG(500)-LOG(10)))</f>
        <v>#NUM!</v>
      </c>
      <c r="AQ25" s="76" t="e">
        <f>IF(E18&lt;=10,AP25*0.9,AP25)</f>
        <v>#NUM!</v>
      </c>
      <c r="AR25" s="76" t="e">
        <f>AQ25-(AO12)</f>
        <v>#NUM!</v>
      </c>
      <c r="AS25" s="76" t="e">
        <f>(1-0.3*(LOG(E83)-LOG(10))/(LOG(500)-LOG(10)))</f>
        <v>#VALUE!</v>
      </c>
      <c r="AT25" s="76" t="e">
        <f>IF(E18&lt;=10,AS25*0.9,AS25)</f>
        <v>#VALUE!</v>
      </c>
      <c r="AU25" s="76" t="e">
        <f>AT25-(AO12)</f>
        <v>#VALUE!</v>
      </c>
    </row>
    <row r="26" spans="1:53" x14ac:dyDescent="0.3">
      <c r="A26" s="152" t="s">
        <v>40</v>
      </c>
      <c r="B26" s="136" t="s">
        <v>56</v>
      </c>
      <c r="C26" s="133"/>
      <c r="D26" s="133" t="s">
        <v>57</v>
      </c>
      <c r="E26" s="133"/>
      <c r="F26" s="133" t="s">
        <v>59</v>
      </c>
      <c r="G26" s="133"/>
      <c r="H26" s="16"/>
      <c r="I26" s="16"/>
      <c r="J26" s="19"/>
      <c r="P26" s="21"/>
      <c r="Q26" s="19"/>
      <c r="R26" s="19"/>
      <c r="AL26" s="1" t="s">
        <v>112</v>
      </c>
      <c r="AM26" s="76" t="e">
        <f>-(1.1-0.3*(LOG(E81)-LOG(10))/(LOG(500)-LOG(10)))</f>
        <v>#NUM!</v>
      </c>
      <c r="AN26" s="76" t="e">
        <f>IF(E18&lt;=10,AM26*0.9,AM26)</f>
        <v>#NUM!</v>
      </c>
      <c r="AO26" s="76" t="e">
        <f>AN26-(AO13)</f>
        <v>#NUM!</v>
      </c>
      <c r="AP26" s="76" t="e">
        <f>-(1.1-0.3*(LOG(E82)-LOG(10))/(LOG(500)-LOG(10)))</f>
        <v>#NUM!</v>
      </c>
      <c r="AQ26" s="76" t="e">
        <f>IF(E18&lt;=10,AP26*0.9,AP26)</f>
        <v>#NUM!</v>
      </c>
      <c r="AR26" s="76" t="e">
        <f>AQ26-(AO13)</f>
        <v>#NUM!</v>
      </c>
      <c r="AS26" s="76" t="e">
        <f>-(1.1-0.3*(LOG(E83)-LOG(10))/(LOG(500)-LOG(10)))</f>
        <v>#VALUE!</v>
      </c>
      <c r="AT26" s="76" t="e">
        <f>IF(E18&lt;=10,AS26*0.9,AS26)</f>
        <v>#VALUE!</v>
      </c>
      <c r="AU26" s="76" t="e">
        <f>AT26-(AO13)</f>
        <v>#VALUE!</v>
      </c>
    </row>
    <row r="27" spans="1:53" x14ac:dyDescent="0.3">
      <c r="A27" s="153"/>
      <c r="B27" s="48" t="s">
        <v>38</v>
      </c>
      <c r="C27" s="39" t="s">
        <v>39</v>
      </c>
      <c r="D27" s="39" t="s">
        <v>38</v>
      </c>
      <c r="E27" s="39" t="s">
        <v>39</v>
      </c>
      <c r="F27" s="39" t="s">
        <v>38</v>
      </c>
      <c r="G27" s="39" t="s">
        <v>39</v>
      </c>
      <c r="H27" s="16"/>
      <c r="I27" s="16"/>
      <c r="J27" s="19"/>
      <c r="P27" s="19"/>
      <c r="Q27" s="19"/>
      <c r="R27" s="19"/>
      <c r="AL27" s="1" t="s">
        <v>113</v>
      </c>
      <c r="AM27" s="76" t="e">
        <f>-(1.4-0.6*(LOG(E81)-LOG(10))/(LOG(500)-LOG(10)))</f>
        <v>#NUM!</v>
      </c>
      <c r="AN27" s="76" t="e">
        <f>IF(E18&lt;=10,AM27*0.9,AM27)</f>
        <v>#NUM!</v>
      </c>
      <c r="AO27" s="76" t="e">
        <f>AN27-(AO13)</f>
        <v>#NUM!</v>
      </c>
      <c r="AP27" s="76" t="e">
        <f>-(1.4-0.6*(LOG(E82)-LOG(10))/(LOG(500)-LOG(10)))</f>
        <v>#NUM!</v>
      </c>
      <c r="AQ27" s="76" t="e">
        <f>IF(E18&lt;=10,AP27*0.9,AP27)</f>
        <v>#NUM!</v>
      </c>
      <c r="AR27" s="76" t="e">
        <f>AQ27-(AO13)</f>
        <v>#NUM!</v>
      </c>
      <c r="AS27" s="76" t="e">
        <f>-(1.4-0.6*(LOG(E83)-LOG(10))/(LOG(500)-LOG(10)))</f>
        <v>#VALUE!</v>
      </c>
      <c r="AT27" s="76" t="e">
        <f>IF(E18&lt;=10,AS27*0.9,AS27)</f>
        <v>#VALUE!</v>
      </c>
      <c r="AU27" s="76" t="e">
        <f>AT27-(AO13)</f>
        <v>#VALUE!</v>
      </c>
    </row>
    <row r="28" spans="1:53" x14ac:dyDescent="0.3">
      <c r="A28" s="153"/>
      <c r="B28" s="49">
        <f>IF(E18&lt;=10,('7-10 Positive'!B55)*E23,IF(E18&lt;=7,'7-10 Positive'!B55*E23,IF(AND(E18&gt;7,E18&lt;=27),'7-10 Positive'!E55*E23,IF(AND(E18&gt;27,E18&lt;=45),'7-10 Positive'!H55*E23,0))))</f>
        <v>36.783999999999999</v>
      </c>
      <c r="C28" s="50">
        <f>IF(E18&lt;=10,('7-10 Negative'!B55)*E23,IF(E18&lt;=7,'7-10 Negative'!B55*E23,IF(AND(E18&gt;7,E18&lt;=27),'7-10 Negative'!E55*E23,IF(AND(E18&gt;27,E18&lt;=45),'7-10 Negative'!H55*E23,0))))</f>
        <v>-39.93</v>
      </c>
      <c r="D28" s="50">
        <f>IF(E18&lt;=10,('7-10 Positive'!B56)*E23,IF(E18&lt;=7,'7-10 Positive'!B56*E23,IF(AND(E18&gt;7,E18&lt;=27),'7-10 Positive'!E56*E23,IF(AND(E18&gt;27,E18&lt;=45),'7-10 Positive'!H56*E23,0))))</f>
        <v>36.783999999999999</v>
      </c>
      <c r="E28" s="50">
        <f>IF(E18&lt;=10,('7-10 Negative'!B56)*E23,IF(E18&lt;=7,'7-10 Negative'!B56*E23,IF(AND(E18&gt;7,E18&lt;=27),'7-10 Negative'!E56*E23,IF(AND(E18&gt;27,E18&lt;=45),'7-10 Negative'!H56*E23,0))))</f>
        <v>-49.247</v>
      </c>
      <c r="F28" s="50">
        <f>IF(E18&lt;=7,'7-10 Positive'!B57*E23,IF(AND(E18&gt;7,E18&lt;=27),'7-10 Positive'!E57*E23,IF(AND(E18&gt;27,E18&lt;=45),'7-10 Positive'!H57*E23,0)))</f>
        <v>15.004</v>
      </c>
      <c r="G28" s="50">
        <f>IF(E18&lt;=7,'7-10 Negative'!B57*E23,IF(AND(E18&gt;7,E18&lt;=27),'7-10 Negative'!E57*E23,IF(AND(E18&gt;27,E18&lt;=45),'7-10 Negative'!H57*E23,0)))</f>
        <v>-36.783999999999999</v>
      </c>
      <c r="H28" s="16"/>
      <c r="I28" s="16"/>
      <c r="J28" s="19"/>
      <c r="L28" s="19"/>
      <c r="M28" s="19"/>
      <c r="N28" s="19"/>
      <c r="O28" s="19"/>
      <c r="P28" s="19"/>
      <c r="Q28" s="19"/>
      <c r="R28" s="19"/>
    </row>
    <row r="29" spans="1:53" x14ac:dyDescent="0.3">
      <c r="A29" s="153"/>
      <c r="B29" s="25"/>
      <c r="C29" s="25"/>
      <c r="D29" s="25"/>
      <c r="E29" s="25"/>
      <c r="F29" s="25"/>
      <c r="G29" s="25"/>
      <c r="H29" s="18"/>
      <c r="I29" s="18"/>
      <c r="J29" s="19"/>
      <c r="K29" s="19"/>
      <c r="L29" s="19"/>
      <c r="M29" s="19"/>
      <c r="N29" s="19"/>
      <c r="O29" s="19"/>
      <c r="P29" s="19"/>
      <c r="Q29" s="19"/>
      <c r="R29" s="19"/>
    </row>
    <row r="30" spans="1:53" x14ac:dyDescent="0.3">
      <c r="A30" s="153"/>
      <c r="B30" s="133" t="s">
        <v>58</v>
      </c>
      <c r="C30" s="133"/>
      <c r="D30" s="134" t="s">
        <v>60</v>
      </c>
      <c r="E30" s="136"/>
      <c r="F30" s="25"/>
      <c r="G30" s="25"/>
      <c r="H30" s="18"/>
      <c r="I30" s="18"/>
      <c r="J30" s="19"/>
      <c r="K30" s="19"/>
      <c r="L30" s="19"/>
      <c r="M30" s="19"/>
      <c r="N30" s="19"/>
      <c r="O30" s="19"/>
      <c r="P30" s="19"/>
      <c r="Q30" s="19"/>
      <c r="R30" s="19"/>
    </row>
    <row r="31" spans="1:53" x14ac:dyDescent="0.3">
      <c r="A31" s="153"/>
      <c r="B31" s="39" t="s">
        <v>38</v>
      </c>
      <c r="C31" s="39" t="s">
        <v>39</v>
      </c>
      <c r="D31" s="39" t="s">
        <v>38</v>
      </c>
      <c r="E31" s="39" t="s">
        <v>39</v>
      </c>
      <c r="F31" s="23"/>
      <c r="G31" s="23"/>
      <c r="H31" s="47"/>
      <c r="I31" s="47"/>
      <c r="J31" s="19"/>
      <c r="K31" s="19"/>
      <c r="L31" s="19"/>
      <c r="M31" s="19"/>
      <c r="N31" s="19"/>
      <c r="O31" s="19"/>
      <c r="P31" s="19"/>
      <c r="Q31" s="19"/>
      <c r="R31" s="19"/>
    </row>
    <row r="32" spans="1:53" ht="15" thickBot="1" x14ac:dyDescent="0.35">
      <c r="A32" s="154"/>
      <c r="B32" s="50">
        <f>IF(E18&lt;=7,'7-10 Positive'!B58*E23,IF(AND(E18&gt;7,E18&lt;=27),'7-10 Positive'!E58*E23,IF(AND(E18&gt;27,E18&lt;=45),'7-10 Positive'!H58*E23,0)))</f>
        <v>15.004</v>
      </c>
      <c r="C32" s="50">
        <f>IF(AND(E18&lt;=7,E20="no"),'7-10 Negative'!B58*E23,IF(AND(E18&gt;7,AND(E18&lt;=27),E20="no"),'7-10 Negative'!E58*E23,IF(AND(E18&gt;27,AND(E18&lt;=45),E20="no"),'7-10 Negative'!H58*E23,IF(AND(E18&lt;=7,E20="yes"),'7-10 Negative Overhang'!B32*E23,IF(AND(E18&gt;7,AND(E18&lt;=27),E20="yes"),'7-10 Negative Overhang'!E32*E23,IF(AND(E18&gt;27,AND(E18&lt;=45),E20="yes"),'7-10 Negative Overhang'!H32*E23,0))))))</f>
        <v>-61.71</v>
      </c>
      <c r="D32" s="50">
        <f>IF(E18&lt;=7,'7-10 Positive'!B59*E23,IF(AND(E18&gt;7,E18&lt;=27),'7-10 Positive'!E59*E23,IF(AND(E18&gt;27,E18&lt;=45),'7-10 Positive'!H59*E23,0)))</f>
        <v>15.004</v>
      </c>
      <c r="E32" s="50">
        <f>IF(AND(E18&lt;=7,E20="no"),'7-10 Negative'!B59*E23,IF(AND(E18&gt;7,AND(E18&lt;=27),E20="no"),'7-10 Negative'!E59*E23,IF(AND(E18&gt;27,AND(E18&lt;=45),E20="no"),'7-10 Negative'!H59*E23,IF(AND(E18&lt;=7,E20="yes"),'7-10 Negative Overhang'!B33*E23,IF(AND(E18&gt;7,AND(E18&lt;=27),E20="yes"),'7-10 Negative Overhang'!E33*E23,IF(AND(E18&gt;27,AND(E18&lt;=45),E20="yes"),'7-10 Negative Overhang'!H33*E23,0))))))</f>
        <v>-92.927999999999997</v>
      </c>
      <c r="F32" s="23"/>
      <c r="G32" s="23"/>
      <c r="H32" s="47"/>
      <c r="I32" s="47"/>
      <c r="J32" s="19"/>
      <c r="K32" s="19"/>
      <c r="L32" s="19"/>
      <c r="M32" s="19"/>
      <c r="N32" s="19"/>
      <c r="O32" s="19"/>
      <c r="P32" s="19"/>
      <c r="Q32" s="19"/>
      <c r="R32" s="19"/>
    </row>
    <row r="33" spans="1:21" ht="15" thickBot="1" x14ac:dyDescent="0.35">
      <c r="A33" s="18"/>
      <c r="B33" s="25"/>
      <c r="C33" s="25"/>
      <c r="D33" s="25"/>
      <c r="E33" s="25"/>
      <c r="F33" s="25"/>
      <c r="G33" s="25"/>
      <c r="H33" s="18"/>
      <c r="I33" s="18"/>
      <c r="J33" s="19"/>
      <c r="K33" s="19"/>
      <c r="L33" s="19"/>
      <c r="M33" s="19"/>
      <c r="N33" s="19"/>
      <c r="Q33" s="19"/>
      <c r="R33" s="19"/>
    </row>
    <row r="34" spans="1:21" x14ac:dyDescent="0.3">
      <c r="A34" s="152" t="s">
        <v>41</v>
      </c>
      <c r="B34" s="136" t="str">
        <f>B26</f>
        <v>Zone 4:</v>
      </c>
      <c r="C34" s="133"/>
      <c r="D34" s="133" t="str">
        <f>D26</f>
        <v>Zone 5:</v>
      </c>
      <c r="E34" s="133"/>
      <c r="F34" s="133" t="str">
        <f>F26</f>
        <v>Zone 1:</v>
      </c>
      <c r="G34" s="133"/>
      <c r="H34" s="16"/>
      <c r="I34" s="16"/>
      <c r="J34" s="19"/>
      <c r="K34" s="19"/>
      <c r="L34" s="19"/>
      <c r="M34" s="19"/>
      <c r="N34" s="19"/>
      <c r="O34" s="19"/>
      <c r="P34" s="19"/>
      <c r="Q34" s="19"/>
      <c r="R34" s="19"/>
    </row>
    <row r="35" spans="1:21" x14ac:dyDescent="0.3">
      <c r="A35" s="153"/>
      <c r="B35" s="48" t="s">
        <v>38</v>
      </c>
      <c r="C35" s="39" t="s">
        <v>39</v>
      </c>
      <c r="D35" s="39" t="s">
        <v>38</v>
      </c>
      <c r="E35" s="39" t="s">
        <v>39</v>
      </c>
      <c r="F35" s="39" t="s">
        <v>38</v>
      </c>
      <c r="G35" s="39" t="s">
        <v>39</v>
      </c>
      <c r="H35" s="16"/>
      <c r="I35" s="16"/>
      <c r="J35" s="19"/>
      <c r="K35" s="19"/>
      <c r="L35" s="19"/>
      <c r="M35" s="19"/>
      <c r="N35" s="19"/>
      <c r="O35" s="19"/>
      <c r="P35" s="19"/>
      <c r="Q35" s="19"/>
      <c r="R35" s="19"/>
    </row>
    <row r="36" spans="1:21" x14ac:dyDescent="0.3">
      <c r="A36" s="153"/>
      <c r="B36" s="49">
        <f t="shared" ref="B36:G36" si="0">(B28*0.6)</f>
        <v>22.070399999999999</v>
      </c>
      <c r="C36" s="49">
        <f t="shared" si="0"/>
        <v>-23.957999999999998</v>
      </c>
      <c r="D36" s="49">
        <f t="shared" si="0"/>
        <v>22.070399999999999</v>
      </c>
      <c r="E36" s="49">
        <f t="shared" si="0"/>
        <v>-29.548199999999998</v>
      </c>
      <c r="F36" s="49">
        <f t="shared" si="0"/>
        <v>9.0023999999999997</v>
      </c>
      <c r="G36" s="49">
        <f t="shared" si="0"/>
        <v>-22.070399999999999</v>
      </c>
      <c r="H36" s="16"/>
      <c r="I36" s="16"/>
      <c r="O36" s="19"/>
      <c r="P36" s="19"/>
      <c r="Q36" s="19"/>
      <c r="R36" s="19"/>
    </row>
    <row r="37" spans="1:21" x14ac:dyDescent="0.3">
      <c r="A37" s="153"/>
      <c r="B37" s="25"/>
      <c r="C37" s="25"/>
      <c r="D37" s="25"/>
      <c r="E37" s="25"/>
      <c r="F37" s="25"/>
      <c r="G37" s="25"/>
      <c r="H37" s="18"/>
      <c r="I37" s="18"/>
      <c r="O37" s="19"/>
      <c r="P37" s="19"/>
      <c r="Q37" s="19"/>
      <c r="R37" s="19"/>
    </row>
    <row r="38" spans="1:21" x14ac:dyDescent="0.3">
      <c r="A38" s="153"/>
      <c r="B38" s="133" t="str">
        <f>B30</f>
        <v>Zone 2:</v>
      </c>
      <c r="C38" s="133"/>
      <c r="D38" s="134" t="str">
        <f>D30</f>
        <v>Zone 3:</v>
      </c>
      <c r="E38" s="136"/>
      <c r="F38" s="25"/>
      <c r="G38" s="25"/>
      <c r="H38" s="18"/>
      <c r="I38" s="18"/>
      <c r="O38" s="19"/>
      <c r="P38" s="19"/>
      <c r="Q38" s="19"/>
      <c r="R38" s="19"/>
    </row>
    <row r="39" spans="1:21" x14ac:dyDescent="0.3">
      <c r="A39" s="153"/>
      <c r="B39" s="39" t="s">
        <v>38</v>
      </c>
      <c r="C39" s="39" t="s">
        <v>39</v>
      </c>
      <c r="D39" s="39" t="s">
        <v>38</v>
      </c>
      <c r="E39" s="39" t="s">
        <v>39</v>
      </c>
      <c r="F39" s="25"/>
      <c r="G39" s="25"/>
      <c r="H39" s="18"/>
      <c r="I39" s="18"/>
      <c r="O39" s="19"/>
      <c r="P39" s="19"/>
      <c r="Q39" s="19"/>
      <c r="R39" s="19"/>
    </row>
    <row r="40" spans="1:21" ht="15" thickBot="1" x14ac:dyDescent="0.35">
      <c r="A40" s="154"/>
      <c r="B40" s="49">
        <f>(B32*0.6)</f>
        <v>9.0023999999999997</v>
      </c>
      <c r="C40" s="49">
        <f>(C32*0.6)</f>
        <v>-37.025999999999996</v>
      </c>
      <c r="D40" s="50">
        <f>(D32*0.6)</f>
        <v>9.0023999999999997</v>
      </c>
      <c r="E40" s="49">
        <f>(E32*0.6)</f>
        <v>-55.756799999999998</v>
      </c>
      <c r="F40" s="23"/>
      <c r="G40" s="23"/>
      <c r="H40" s="18"/>
      <c r="I40" s="47"/>
      <c r="J40" s="19"/>
      <c r="K40" s="134" t="s">
        <v>153</v>
      </c>
      <c r="L40" s="135"/>
      <c r="M40" s="136"/>
      <c r="N40" s="19"/>
      <c r="O40" s="134" t="s">
        <v>154</v>
      </c>
      <c r="P40" s="135"/>
      <c r="Q40" s="136"/>
      <c r="R40" s="19"/>
      <c r="S40" s="134" t="s">
        <v>155</v>
      </c>
      <c r="T40" s="135"/>
      <c r="U40" s="136"/>
    </row>
    <row r="41" spans="1:2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9"/>
      <c r="K41" s="19"/>
      <c r="L41" s="19"/>
      <c r="M41" s="19"/>
      <c r="N41" s="19"/>
      <c r="O41" s="19"/>
      <c r="P41" s="19"/>
      <c r="Q41" s="19"/>
      <c r="R41" s="19"/>
    </row>
    <row r="42" spans="1:21" ht="15" x14ac:dyDescent="0.3">
      <c r="A42" s="18"/>
      <c r="B42" s="18"/>
      <c r="C42" s="22" t="s">
        <v>127</v>
      </c>
      <c r="D42" s="29">
        <f>MIN(C36,E36,G36,C40,E40)</f>
        <v>-55.756799999999998</v>
      </c>
      <c r="E42" s="25" t="s">
        <v>42</v>
      </c>
      <c r="F42" s="18"/>
      <c r="G42" s="18"/>
      <c r="H42" s="18"/>
      <c r="I42" s="18"/>
    </row>
    <row r="47" spans="1:21" x14ac:dyDescent="0.3">
      <c r="A47" s="176" t="s">
        <v>100</v>
      </c>
      <c r="B47" s="176"/>
      <c r="C47" s="176"/>
      <c r="D47" s="176"/>
      <c r="E47" s="176"/>
      <c r="F47" s="176"/>
      <c r="G47" s="176"/>
      <c r="H47" s="176"/>
      <c r="I47" s="176"/>
    </row>
    <row r="48" spans="1:21" x14ac:dyDescent="0.3">
      <c r="A48" s="173" t="s">
        <v>97</v>
      </c>
      <c r="B48" s="179"/>
      <c r="C48" s="177" t="s">
        <v>104</v>
      </c>
      <c r="D48" s="177"/>
      <c r="G48" s="148" t="s">
        <v>106</v>
      </c>
      <c r="H48" s="148"/>
      <c r="I48" s="148"/>
    </row>
    <row r="49" spans="1:9" x14ac:dyDescent="0.3">
      <c r="A49" s="173" t="s">
        <v>98</v>
      </c>
      <c r="B49" s="179"/>
      <c r="C49" s="178" t="s">
        <v>105</v>
      </c>
      <c r="D49" s="178"/>
      <c r="G49" s="11" t="s">
        <v>95</v>
      </c>
      <c r="H49" s="120" t="s">
        <v>87</v>
      </c>
      <c r="I49" s="120"/>
    </row>
    <row r="50" spans="1:9" x14ac:dyDescent="0.3">
      <c r="A50" s="173" t="s">
        <v>96</v>
      </c>
      <c r="B50" s="179"/>
      <c r="C50" s="132" t="s">
        <v>103</v>
      </c>
      <c r="D50" s="132"/>
      <c r="G50" s="67" t="s">
        <v>59</v>
      </c>
      <c r="H50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c"),E13&gt;180),E13&lt;=200,C48="non-hvhz"),"N/A",IF(AND(AND(AND(AND(E13&lt;=170),C50="wood construction"),OR(C49="class b",C49="CLASS A")),C48="non-hvhz"),"16",IF(AND(AND(AND(AND(AND(E13&gt;170),E13&lt;=180),C50="wood construction"),OR(C49="class b",C49="CLASS A")),C48="non-hvhz"),"18",IF(AND(AND(AND(AND(E13&gt;180,E13&lt;=190),C50="wood construction"),OR(C49="class B",C49="CLASS A")),C48="non-hvhz"),"16",IF(AND(AND(OR(C49="class c",C49="class b",C49="CLASS A")),(C50="steel construction"),E13&lt;=150,C48="non-hvhz"),"18",IF(AND(AND(AND(AND(OR(C49="class c",C49="class b",C49="CLASS A")),C50="steel construction"),E13=200),E14="d",C48="non-hvhz"),"32",IF(AND(AND(AND(AND(OR(C49="class c",C49="class b",C49="CLASS A")),C50="steel construction"),E13=180),E14="d",C48="non-hvhz"),"24",IF(AND(AND(AND(AND(OR(C49="class c",C49="class b",C49="CLASS A",E14="b",E14="c")),C50="steel construction"),E13&gt;190),E13&lt;=200,C48="non-hvhz"),"24",IF(AND(AND(AND(AND(OR(C49="class c",C49="class b",C49="CLASS A")),C50="steel construction"),E13=170),E14="d",C48="non-hvhz"),"18",IF(AND(AND(AND(AND(OR(C49="class c",C49="class b",C49="CLASS A")),C50="steel construction"),E13&gt;150),E13&lt;=180,C48="non-hvhz"),"24",IF(AND(AND(AND(AND(OR(C49="class c",C49="class b",C49="CLASS A",E14="b",E14="c")),C50="steel construction"),E13&gt;180),E13&lt;=190,C48="non-hvhz"),"18",IF(AND(AND(AND(C50="wood construction"),OR(C49="class b",C49="CLASS A")),E13&lt;=190,C48="hvhz"),"18",IF(AND(AND(AND(C50="steel construction"),C49="class b"),E13&lt;=190,C48="hvhz"),"24",IF(AND(AND(AND(C50="steel construction"),C49="class A"),E13&lt;=190,C48="hvhz"),"18",IF(AND(AND(AND(AND(C50="steel construction"),OR(C49="class b",C49="class a")),E13=200),E14="d",C48="hvhz"),"32",IF(AND(AND(AND(AND(C50="steel construction"),OR(C49="class b",C49="class a")),E13=180),E14="d",C48="hvhz"),"24",IF(AND(AND(AND(AND(C50="steel construction"),OR(C49="class b",C49="class a")),E13&gt;190),E13&lt;=200,C48="hvhz"),"24","NG")))))))))))))))))))</f>
        <v>18</v>
      </c>
      <c r="I50" s="133"/>
    </row>
    <row r="51" spans="1:9" x14ac:dyDescent="0.3">
      <c r="G51" s="67" t="s">
        <v>58</v>
      </c>
      <c r="H51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c"),E13&gt;180),E13&lt;=200,C48="non-hvhz"),"N/A",IF(AND(AND(AND(AND(E13&lt;=190),C50="wood construction"),OR(C49="class b",C49="CLASS A")),C48="non-hvhz"),"24",IF(AND(AND(OR(C49="class c",C49="class b",C49="CLASS A")),(C50="steel construction"),E13&lt;=150,C48="non-hvhz"),"24",IF(AND(AND(AND(AND(OR(C49="class c",C49="class b",C49="CLASS A")),C50="steel construction"),E13=200),E14="d",C48="non-hvhz"),"48",IF(AND(AND(AND(AND(OR(C49="class c",C49="class b",C49="CLASS A")),C50="steel construction"),E13=180),E14="d",C48="non-hvhz"),"32",IF(AND(AND(AND(AND(OR(C49="class c",C49="class b",C49="CLASS A",E14="b",E14="c")),C50="steel construction"),E13&gt;190),E13&lt;=200,C48="non-hvhz"),"32",IF(AND(AND(AND(AND(OR(C49="class c",C49="class b",C49="CLASS A")),C50="steel construction"),E13=170),E14="d",C48="non-hvhz"),"24",IF(AND(AND(AND(AND(OR(C49="class c",C49="class b",C49="CLASS A")),C50="steel construction"),E13&gt;150),E13&lt;=180,C48="non-hvhz"),"32",IF(AND(AND(AND(AND(OR(C49="class c",C49="class b",C49="CLASS A",E14="b",E14="c")),C50="steel construction"),E13&gt;180),E13&lt;=190,C48="non-hvhz"),"24",IF(AND(AND(AND(C50="wood construction"),OR(C49="class b",C49="CLASS A")),E13&lt;=190,C48="hvhz"),"24",IF(AND(AND(AND(C50="steel construction"),C49="class b"),E13&lt;=190,C48="hvhz"),"32",IF(AND(AND(AND(C50="steel construction"),C49="class A"),E13&lt;=190,C48="hvhz"),"24",IF(AND(AND(AND(AND(C50="steel construction"),OR(C49="class b",C49="class a")),E13=200),E14="d",C48="hvhz"),"48",IF(AND(AND(AND(AND(C50="steel construction"),OR(C49="class b",C49="class a")),E13=180),E14="d",C48="hvhz"),"32",IF(AND(AND(AND(AND(C50="steel construction"),OR(C49="class b",C49="class a")),E13&gt;190),E13&lt;=200,C48="hvhz"),"32","NG")))))))))))))))))</f>
        <v>24</v>
      </c>
      <c r="I51" s="133"/>
    </row>
    <row r="52" spans="1:9" x14ac:dyDescent="0.3">
      <c r="A52" s="173" t="s">
        <v>88</v>
      </c>
      <c r="B52" s="173"/>
      <c r="C52" s="69" t="str">
        <f>IF(AND(C54="Standard EPDM",C48="non-hvhz"),"FL10703-R8",IF(AND(C53="tbd",C48="non-hvhz"),"FL10703-R8",IF(AND(C54="TPO-C",C48="non-hvhz"),"FL12772-R9",IF(AND(C48="hvhz",C54="ng"),"NG",IF(C48="hvhz","FL19566-R3","NG")))))</f>
        <v>FL10703-R8</v>
      </c>
      <c r="D52" s="19"/>
      <c r="G52" s="67" t="s">
        <v>60</v>
      </c>
      <c r="H52" s="133" t="str">
        <f>IF(AND(AND(AND(C50="wood construction"),C49="class c"),E13&lt;=170,C48="non-hvhz"),"N/A",IF(AND(AND(AND(AND(C50="wood construction"),C49="class c"),E13&gt;170),E13&lt;=180,C48="non-hvhz"),"N/A",IF(AND(AND(AND(AND(OR(E14="c",E14="d")),(C50="wood construction"),C49="class c"),E13&gt;180),E13&lt;=200,C48="non-hvhz"),"N/A",IF(AND(AND(AND(AND(E13&lt;=190),C50="wood construction"),OR(C49="class b",C49="CLASS A")),C48="non-hvhz"),"32",IF(AND(AND(OR(C49="class c",C49="class b",C49="CLASS A")),(C50="steel construction"),E13&lt;=150,C48="non-hvhz"),"32",IF(AND(AND(AND(AND(OR(C49="class c",C49="class b",C49="CLASS A")),C50="steel construction"),E13=200),E14="d",C48="non-hvhz"),"60",IF(AND(AND(AND(AND(OR(C49="class c",C49="class b",C49="CLASS A")),C50="steel construction"),E13=180),E14="d",C48="non-hvhz"),"48",IF(AND(AND(AND(AND(OR(C49="class c",C49="class b",C49="CLASS A",E14="b",E14="c")),C50="steel construction"),E13&gt;190),E13&lt;=200,C48="non-hvhz"),"48",IF(AND(AND(AND(AND(OR(C49="class c",C49="class b",C49="CLASS A")),C50="steel construction"),E13=170),E14="d",C48="non-hvhz"),"32",IF(AND(AND(AND(AND(OR(C49="class c",C49="class b",C49="CLASS A")),C50="steel construction"),E13&gt;150),E13&lt;=180,C48="non-hvhz"),"48",IF(AND(AND(AND(AND(OR(C49="class c",C49="class b",C49="CLASS A",E14="b",E14="c")),C50="steel construction"),E13&gt;180),E13&lt;=190,C48="non-hvhz"),"32",IF(AND(AND(AND(C50="wood construction"),OR(C49="class b",C49="CLASS A")),E13&lt;=190,C48="hvhz"),"32",IF(AND(AND(AND(C50="steel construction"),C49="class b"),E13&lt;=190,C48="hvhz"),"42",IF(AND(AND(AND(C50="steel construction"),C49="class A"),E13&lt;=190,C48="hvhz"),"32",IF(AND(AND(AND(AND(C50="steel construction"),OR(C49="class b",C49="class a")),E13=200),E14="d",C48="hvhz"),"60",IF(AND(AND(AND(AND(C50="steel construction"),OR(C49="class b",C49="class a")),E13=180),E14="d",C48="hvhz"),"48",IF(AND(AND(AND(AND(C50="steel construction"),OR(C49="class b",C49="class a")),E13&gt;190),E13&lt;=200,C48="hvhz"),"48","NG")))))))))))))))))</f>
        <v>32</v>
      </c>
      <c r="I52" s="133"/>
    </row>
    <row r="53" spans="1:9" x14ac:dyDescent="0.3">
      <c r="A53" s="173" t="s">
        <v>99</v>
      </c>
      <c r="B53" s="173"/>
      <c r="C53" s="68" t="str">
        <f>IF(AND(AND(AND(C50="wood construction"),C49="class c"),E13&lt;=170,C48="non-hvhz"),"W-11",IF(AND(AND(AND(AND(C50="wood construction"),C49="class c"),E13&gt;170),E13&lt;=180,C48="non-hvhz"),"W-12",IF(AND(AND(AND(AND(OR(E14="c",E14="d")),(C50="wood construction"),C49="class c"),E13&gt;180),E13&lt;=200,C48="non-hvhz"),"W-13",IF(AND(AND(AND(AND(E13&lt;=180),C50="wood construction"),OR(C49="class b",C49="CLASS A")),C48="non-hvhz"),"TBD",IF(AND(AND(AND(AND(E13&gt;180,E13&lt;=190),C50="wood construction"),OR(C49="class B",C49="CLASS A")),C48="non-hvhz"),"TBD",IF(AND(AND(OR(C49="class c",C49="class b",C49="CLASS A")),(C50="steel construction"),E13&lt;=150,C48="non-hvhz"),"SC-33",IF(AND(AND(AND(AND(OR(C49="class c",C49="class b",C49="CLASS A")),C50="steel construction"),E13=200),E14="d",C48="non-hvhz"),"SC-46",IF(AND(AND(AND(AND(OR(C49="class c",C49="class b",C49="CLASS A")),C50="steel construction"),E13=180),E14="d",C48="non-hvhz"),"SC-44",IF(AND(AND(AND(AND(OR(C49="class c",C49="class b",C49="CLASS A",E14="b",E14="c")),C50="steel construction"),E13&gt;190),E13&lt;=200,C48="non-hvhz"),"SC-44",IF(AND(AND(AND(AND(OR(C49="class c",C49="class b",C49="CLASS A")),C50="steel construction"),E13=170),E14="d",C48="non-hvhz"),"SC-39",IF(AND(AND(AND(AND(OR(C49="class c",C49="class b",C49="CLASS A")),C50="steel construction"),E13&gt;150),E13&lt;=180,C48="non-hvhz"),"SC-15",IF(AND(AND(AND(AND(OR(C49="class c",C49="class b",C49="CLASS A",E14="b",E14="c")),C50="steel construction"),E13&gt;180),E13&lt;=190,C48="non-hvhz"),"SC-39",IF(AND(AND(AND(C50="wood construction"),OR(C49="class b",C49="CLASS A")),E13&lt;=180,C48="hvhz"),"TBD",IF(AND(AND(AND(AND(C50="wood construction"),OR(C49="class b",C49="CLASS A")),E13&lt;180),E13&gt;=190,C48="hvhz"),"W-4",IF(AND(AND(AND(C50="steel construction"),C49="class b"),E13&lt;=190,C48="hvhz"),"SC-26",IF(AND(AND(AND(C50="steel construction"),C49="class A"),E13&lt;=190,C48="hvhz"),"TBD",IF(AND(AND(AND(AND(C50="steel construction"),OR(C49="class b",C49="class a")),E13=200),E14="d",C48="hvhz"),"SC-34",IF(AND(AND(AND(AND(C50="steel construction"),OR(C49="class b",C49="class a")),E13=180),E14="d",C48="hvhz"),"SC-33",IF(AND(AND(AND(AND(C50="steel construction"),OR(C49="class b",C49="class a")),E13&gt;190),E13&lt;=200,C48="hvhz"),"SC-33","NG")))))))))))))))))))</f>
        <v>SC-33</v>
      </c>
      <c r="D53" s="19"/>
    </row>
    <row r="54" spans="1:9" x14ac:dyDescent="0.3">
      <c r="A54" s="173" t="s">
        <v>89</v>
      </c>
      <c r="B54" s="173"/>
      <c r="C54" s="19" t="str">
        <f>IF(AND(AND(AND(C50="wood construction"),C49="class c"),E13&lt;=170,C48="non-hvhz"),"Standard EPDM",IF(AND(AND(AND(AND(C50="wood construction"),C49="class c"),E13&gt;170),E13&lt;=180,C48="non-hvhz"),"Standard EPDM",IF(AND(AND(AND(AND(OR(E14="c",E14="d")),(C50="wood construction"),C49="class c"),E13&gt;180),E13&lt;=200,C48="non-hvhz"),"Standard EPDM",IF(AND(AND(AND(AND(E13&lt;=180),C50="wood construction"),OR(C49="class b",C49="CLASS A")),C48="non-hvhz"),"Mule-Hide TPO-C",IF(AND(AND(AND(AND(E13&gt;180,E13&lt;=190),C50="wood construction"),OR(C49="class B",C49="CLASS A")),C48="non-hvhz"),"Mule-Hide TPO-C",IF(AND(AND(OR(C49="class c",C49="class b",C49="CLASS A")),(C50="steel construction"),E13&lt;=150,C48="non-hvhz"),"Standard EPDM",IF(AND(AND(AND(AND(OR(C49="class c",C49="class b",C49="CLASS A")),C50="steel construction"),E13=200),E14="d",C48="non-hvhz"),"Standard EPDM",IF(AND(AND(AND(AND(OR(C49="class c",C49="class b",C49="CLASS A")),C50="steel construction"),E13=180),E14="d",C48="non-hvhz"),"Standard EPDM",IF(AND(AND(AND(AND(OR(C49="class c",C49="class b",C49="CLASS A",E14="b",E14="c")),C50="steel construction"),E13&gt;190),E13&lt;=200,C48="non-hvhz"),"Standard EPDM",IF(AND(AND(AND(AND(OR(C49="class c",C49="class b",C49="CLASS A")),C50="steel construction"),E13=170),E14="d",C48="non-hvhz"),"Standard EPDM",IF(AND(AND(AND(AND(OR(C49="class c",C49="class b",C49="CLASS A")),C50="steel construction"),E13&gt;150),E13&lt;=180,C48="non-hvhz"),"Standard EPDM",IF(AND(AND(AND(AND(OR(C49="class c",C49="class b",C49="CLASS A",E14="b",E14="c")),C50="steel construction"),E13&gt;180),E13&lt;=190,C48="non-hvhz"),"Standard EPDM",IF(AND(AND(AND(C50="wood construction"),OR(C49="class b",C49="CLASS A")),E13&lt;=180,C48="hvhz"),"Mule-Hide TPO-C",IF(AND(AND(AND(AND(C50="wood construction"),OR(C49="class b",C49="CLASS A")),E13&lt;180),E13&gt;=190,C48="hvhz"),"Mule-Hide TPO-C",IF(AND(AND(AND(C50="steel construction"),C49="class b"),E13&lt;=190,C48="hvhz"),"Standard EPDM",IF(AND(AND(AND(C50="steel construction"),C49="class A"),E13&lt;=190,C48="hvhz"),"Standard EPDM",IF(AND(AND(AND(AND(C50="steel construction"),OR(C49="class b",C49="class a")),E13=200),E14="d",C48="hvhz"),"Standard EPDM",IF(AND(AND(AND(AND(C50="steel construction"),OR(C49="class b",C49="class a")),E13=180),E14="d",C48="hvhz"),"Standard EPDM",IF(AND(AND(AND(AND(C50="steel construction"),OR(C49="class b",C49="class a")),E13&gt;190),E13&lt;=200,C48="hvhz"),"Standard EPDM","NG")))))))))))))))))))</f>
        <v>Standard EPDM</v>
      </c>
      <c r="D54" s="19"/>
    </row>
    <row r="55" spans="1:9" x14ac:dyDescent="0.3">
      <c r="A55" s="173" t="s">
        <v>91</v>
      </c>
      <c r="B55" s="173"/>
      <c r="C55" s="19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c"),E13&gt;180),E13&lt;=200,C48="non-hvhz"),"Standard EPDM",IF(AND(AND(AND(AND(E13&lt;=180),C50="wood construction"),OR(C49="class b",C49="CLASS A")),C48="non-hvhz"),"1/2"" Dens Deck Prime",IF(AND(AND(AND(AND(E13&gt;180,E13&lt;=190),C50="wood construction"),OR(C49="class B",C49="CLASS A")),C48="non-hvhz"),"1/2"" Securock",IF(AND(AND(OR(C49="class c",C49="class b",C49="CLASS A")),(C50="steel construction"),E13&lt;=150,C48="non-hvhz"),"1/2"" Dens Deck Prime",IF(AND(AND(AND(AND(OR(C49="class c",C49="class b",C49="CLASS A")),C50="steel construction"),E13=200),E14="d",C48="non-hvhz"),"None",IF(AND(AND(AND(AND(OR(C49="class c",C49="class b",C49="CLASS A")),C50="steel construction"),E13=180),E14="d",C48="non-hvhz"),"None",IF(AND(AND(AND(AND(OR(C49="class c",C49="class b",C49="CLASS A",E14="b",E14="c")),C50="steel construction"),E13&gt;190),E13&lt;=200,C48="non-hvhz"),"None",IF(AND(AND(AND(AND(OR(C49="class c",C49="class b",C49="CLASS A")),C50="steel construction"),E13=170),E14="d",C48="non-hvhz"),"1/2"" Securock",IF(AND(AND(AND(AND(OR(C49="class c",C49="class b",C49="CLASS A")),C50="steel construction"),E13&gt;150),E13&lt;=180,C48="non-hvhz"),"1/2"" Dens Deck Prime",IF(AND(AND(AND(AND(OR(C49="class c",C49="class b",C49="CLASS A",E14="b",E14="c")),C50="steel construction"),E13&gt;180),E13&lt;=190,C48="non-hvhz"),"1/2"" Securock",IF(AND(AND(AND(C50="wood construction"),OR(C49="class b",C49="CLASS A")),E13&lt;=180,C48="hvhz"),"1/2"" Dens Deck Prime",IF(AND(AND(AND(AND(C50="wood construction"),OR(C49="class b",C49="CLASS A")),E13&lt;180),E13&gt;=190,C48="hvhz"),"1/2"" Securock",IF(AND(AND(AND(C50="steel construction"),C49="class b"),E13&lt;=190,C48="hvhz"),"None",IF(AND(AND(AND(C50="steel construction"),C49="class A"),E13&lt;=190,C48="hvhz"),"1/2"" Securock",IF(AND(AND(AND(AND(C50="steel construction"),OR(C49="class b",C49="class a")),E13=200),E14="d",C48="hvhz"),"None",IF(AND(AND(AND(AND(C50="steel construction"),OR(C49="class b",C49="class a")),E13=180),E14="d",C48="hvhz"),"None",IF(AND(AND(AND(AND(C50="steel construction"),OR(C49="class b",C49="class a")),E13&gt;190),E13&lt;=200,C48="hvhz"),"None","NG")))))))))))))))))))</f>
        <v>1/2" Dens Deck Prime</v>
      </c>
      <c r="D55" s="19"/>
    </row>
    <row r="56" spans="1:9" x14ac:dyDescent="0.3">
      <c r="A56" s="173" t="s">
        <v>92</v>
      </c>
      <c r="B56" s="173"/>
      <c r="C56" s="7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c"),E13&gt;180),E13&lt;=200,C48="non-hvhz"),"None",IF(AND(AND(AND(AND(E13&lt;=180),C50="wood construction"),OR(C49="class b",C49="CLASS A")),C48="non-hvhz"),"None",IF(AND(AND(AND(AND(E13&gt;180,E13&lt;=190),C50="wood construction"),OR(C49="class B",C49="CLASS A")),C48="non-hvhz"),"None",IF(AND(AND(OR(C49="class c",C49="class b",C49="CLASS A")),(C50="steel construction"),E13&lt;=150,C48="non-hvhz"),"Min. 1"" Polyiso Mule-Hide ISO 1 loose laid",IF(AND(AND(AND(AND(OR(C49="class c",C49="class b",C49="CLASS A")),C50="steel construction"),E13=200),E14="d",C48="non-hvhz"),"Min. 2"" SecureShield",IF(AND(AND(AND(AND(OR(C49="class c",C49="class b",C49="CLASS A")),C50="steel construction"),E13=170),E14="d",C48="non-hvhz"),"Min. 1"" Polyiso Mule-Hide ISO 1 loose laid",IF(AND(AND(AND(AND(OR(C49="class c",C49="class b",C49="CLASS A")),C50="steel construction"),E13&gt;150),E13&lt;=180,C48="non-hvhz"),"Min. 1-1/2"" Polyiso Mule-Hide ISO 1 loose laid",IF(AND(AND(AND(AND(OR(C49="class c",C49="class b",C49="CLASS A",E14="b",E14="c")),C50="steel construction"),E13&gt;180),E13&lt;=190,C48="non-hvhz"),"Min. 1"" Polyiso Mule-Hide ISO 1 loose laid",IF(AND(AND(AND(C50="wood construction"),OR(C49="class b",C49="CLASS A")),E13&lt;=180,C48="hvhz"),"None",IF(AND(AND(AND(AND(C50="wood construction"),OR(C49="class b",C49="CLASS A")),E13&lt;180),E13&gt;=190,C48="hvhz"),"None",IF(AND(AND(AND(C50="steel construction"),C49="class b"),E13&lt;=190,C48="hvhz"),"Min. 2"" Polyiso Mule-Hide ISO 1",IF(AND(AND(AND(C50="steel construction"),C49="class A"),E13&lt;=190,C48="hvhz"),"Min. 1"" Polyiso Mule-Hide ISO 1 loose laid",IF(AND(AND(AND(AND(C50="steel construction"),OR(C49="class b",C49="class a")),E13=200),E14="d",C48="hvhz"),"Min. 2"" SecureShield",IF(AND(AND(AND(AND(C50="steel construction"),OR(C49="class b",C49="class a")),E13=180),E14="d",C48="hvhz"),"Min. 2"" SecureShield",IF(AND(AND(AND(AND(C50="steel construction"),OR(C49="class b",C49="class a")),E13&gt;190),E13&lt;=200,C48="hvhz"),"Min. 2"" SecureShield","NG")))))))))))))))))</f>
        <v>Min. 1" Polyiso Mule-Hide ISO 1 loose laid</v>
      </c>
      <c r="D56" s="19"/>
      <c r="E56" s="71"/>
    </row>
    <row r="57" spans="1:9" x14ac:dyDescent="0.3">
      <c r="A57" s="173" t="s">
        <v>90</v>
      </c>
      <c r="B57" s="173"/>
      <c r="C57" s="19" t="str">
        <f>IF(AND(AND(AND(C50="wood construction"),C49="class c"),E13&lt;=170,C48="non-hvhz"),"Min. 15/32"" CDX Plywood",IF(AND(AND(AND(AND(C50="wood construction"),C49="class c"),E13&gt;170),E13&lt;=180,C48="non-hvhz"),"15/32"" OSB",IF(AND(AND(AND(AND(OR(E14="c",E14="d")),(C50="wood construction"),C49="class c"),E13&gt;180),E13&lt;=200,C48="non-hvhz"),"Min. 7/16"" OSB",IF(AND(AND(AND(AND(E13&lt;=180),C50="wood construction"),OR(C49="class b",C49="CLASS A")),C48="non-hvhz"),"Min. 19/32"" CDX Plywood",IF(AND(AND(AND(AND(E13&gt;180,E13&lt;=190),C50="wood construction"),OR(C49="class B",C49="CLASS A")),C48="non-hvhz"),"Min. 19/32"" CDX Plywood",IF(AND(AND(OR(C49="class c",C49="class b",C49="CLASS A")),(C50="steel construction"),E13&lt;=150,C48="non-hvhz"),"Min. 22ga. Type B, Grade 33 Deck",IF(AND(AND(AND(AND(OR(C49="class c",C49="class b",C49="CLASS A")),C50="steel construction"),E13=200),E14="d",C48="non-hvhz"),"Min. 22ga. Type B, Grade 33 Deck",IF(AND(AND(AND(AND(OR(C49="class c",C49="class b",C49="CLASS A")),C50="steel construction"),E13=180),E14="d",C48="non-hvhz"),"Min. 22ga. Type B, Grade 33 Deck",IF(AND(AND(AND(AND(OR(C49="class c",C49="class b",C49="CLASS A",E14="b",E14="c")),C50="steel construction"),E13&gt;190),E13&lt;=200,C48="non-hvhz"),"Min. 22ga. Type B, Grade 33 Deck",IF(AND(AND(AND(AND(OR(C49="class c",C49="class b",C49="CLASS A")),C50="steel construction"),E13=170),E14="d",C48="non-hvhz"),"Min. 22ga. Type B, Grade 33 Deck",IF(AND(AND(AND(AND(OR(C49="class c",C49="class b",C49="CLASS A")),C50="steel construction"),E13&gt;150),E13&lt;=180,C48="non-hvhz"),"Min. 22ga. Type B, Grade 33 Deck",IF(AND(AND(AND(AND(OR(C49="class c",C49="class b",C49="CLASS A",E14="b",E14="c")),C50="steel construction"),E13&gt;180),E13&lt;=190,C48="non-hvhz"),"Min. 22ga. Type B, Grade 33 Deck",IF(AND(AND(AND(C50="wood construction"),OR(C49="class b",C49="CLASS A")),E13&lt;=180,C48="hvhz"),"Min. 19/32"" CDX Plywood",IF(AND(AND(AND(AND(C50="wood construction"),OR(C49="class b",C49="CLASS A")),E13&lt;180),E13&gt;=190,C48="hvhz"),"Min. 19/32"" CDX Plywood",IF(AND(AND(AND(C50="steel construction"),C49="class b"),E13&lt;=190,C48="hvhz"),"Min. 22ga. Type B, Grade 33 Deck",IF(AND(AND(AND(C50="steel construction"),C49="class A"),E13&lt;=190,C48="hvhz"),"Min. 22ga. Type B, Grade 33 Deck",IF(AND(AND(AND(AND(C50="steel construction"),OR(C49="class b",C49="class a")),E13=200),E14="d",C48="hvhz"),"Min. 22ga. Type B, Grade 33 Deck",IF(AND(AND(AND(AND(C50="steel construction"),OR(C49="class b",C49="class a")),E13=180),E14="d",C48="hvhz"),"Min. 22ga. Type B, Grade 33 Deck",IF(AND(AND(AND(AND(C50="steel construction"),OR(C49="class b",C49="class a")),E13&gt;190),E13&lt;=200,C48="hvhz"),"Min. 22ga. Type B, Grade 33 Deck","NG")))))))))))))))))))</f>
        <v>Min. 22ga. Type B, Grade 33 Deck</v>
      </c>
      <c r="D57" s="19"/>
    </row>
    <row r="58" spans="1:9" x14ac:dyDescent="0.3">
      <c r="A58" s="173" t="s">
        <v>93</v>
      </c>
      <c r="B58" s="173"/>
      <c r="C58" s="19" t="str">
        <f>IF(AND(AND(AND(C50="wood construction"),C49="class c"),E13&lt;=170,C48="non-hvhz"),"Mule-Hide FR Adhesive",IF(AND(AND(AND(AND(C50="wood construction"),C49="class c"),E13&gt;170),E13&lt;=180,C48="non-hvhz"),"Mule-Hide FR Adhesive",IF(AND(AND(AND(AND(OR(E14="c",E14="d")),(C50="wood construction"),C49="class c"),E13&gt;180),E13&lt;=200,C48="non-hvhz"),"Mule-Hide FR Adhesive",IF(AND(AND(AND(AND(E13&lt;=180),C50="wood construction"),OR(C49="class b",C49="CLASS A")),C48="non-hvhz"),"Mule-Hide TPO-C Bonding Adhesive",IF(AND(AND(AND(AND(E13&gt;180,E13&lt;=190),C50="wood construction"),OR(C49="class B",C49="CLASS A")),C48="non-hvhz"),"Mule-Hide TPO-C Bonding Adhesive",IF(AND(AND(OR(C49="class c",C49="class b",C49="CLASS A")),(C50="steel construction"),E13&lt;=150,C48="non-hvhz"),"Mule-Hide Bonding Adhesive",IF(AND(AND(AND(AND(OR(C49="class c",C49="class b",C49="CLASS A")),C50="steel construction"),E13=200),E14="d",C48="non-hvhz"),"Mule-Hide Bonding Adhesive",IF(AND(AND(AND(AND(OR(C49="class c",C49="class b",C49="CLASS A")),C50="steel construction"),E13=180),E14="d",C48="non-hvhz"),"Mule-Hide Bonding Adhesive",IF(AND(AND(AND(AND(OR(C49="class c",C49="class b",C49="CLASS A",E14="b",E14="c")),C50="steel construction"),E13&gt;190),E13&lt;=200,C48="non-hvhz"),"Mule-Hide Bonding Adhesive",IF(AND(AND(AND(AND(OR(C49="class c",C49="class b",C49="CLASS A")),C50="steel construction"),E13=170),E14="d",C48="non-hvhz"),"Mule-Hide Bonding Adhesive",IF(AND(AND(AND(AND(OR(C49="class c",C49="class b",C49="CLASS A")),C50="steel construction"),E13&gt;150),E13&lt;=180,C48="non-hvhz"),"Mule-Hide Bonding Adhesive",IF(AND(AND(AND(AND(OR(C49="class c",C49="class b",C49="CLASS A",E14="b",E14="c")),C50="steel construction"),E13&gt;180),E13&lt;=190,C48="non-hvhz"),"Mule-Hide Bonding Adhesive",IF(AND(AND(AND(C50="wood construction"),OR(C49="class b",C49="CLASS A")),E13&lt;=180,C48="hvhz"),"Mule-Hide TPO-C Bonding Adhesive or Low VOC Bonding Adhesive",IF(AND(AND(AND(AND(C50="wood construction"),OR(C49="class b",C49="CLASS A")),E13&lt;180),E13&gt;=190,C48="hvhz"),"Mule-Hide TPO-C Bonding Adhesive or Low VOC Bonding Adhesive",IF(AND(AND(AND(C50="steel construction"),C49="class b"),E13&lt;=190,C48="hvhz"),"Mule-Hide Bonding Adhesive",IF(AND(AND(AND(C50="steel construction"),C49="class A"),E13&lt;=190,C48="hvhz"),"Mule-Hide Bonding Adhesive",IF(AND(AND(AND(AND(C50="steel construction"),OR(C49="class b",C49="class a")),E13=200),E14="d",C48="hvhz"),"Mule-Hide Bonding Adhesive",IF(AND(AND(AND(AND(C50="steel construction"),OR(C49="class b",C49="class a")),E13=180),E14="d",C48="hvhz"),"Mule-Hide Bonding Adhesive",IF(AND(AND(AND(AND(C50="steel construction"),OR(C49="class b",C49="class a")),E13&gt;190),E13&lt;=200,C48="hvhz"),"Mule-Hide Bonding Adhesive","NG")))))))))))))))))))</f>
        <v>Mule-Hide Bonding Adhesive</v>
      </c>
      <c r="D58" s="19"/>
    </row>
    <row r="59" spans="1:9" x14ac:dyDescent="0.3">
      <c r="A59" s="173" t="s">
        <v>94</v>
      </c>
      <c r="B59" s="173"/>
      <c r="C59" s="19" t="str">
        <f>IF(AND(AND(AND(C50="wood construction"),C49="class c"),E13&lt;=170,C48="non-hvhz"),"None",IF(AND(AND(AND(AND(C50="wood construction"),C49="class c"),E13&gt;170),E13&lt;=180,C48="non-hvhz"),"None",IF(AND(AND(AND(AND(OR(E14="c",E14="d")),(C50="wood construction"),C49="class c"),E13&gt;180),E13&lt;=200,C48="non-hvhz"),"None",IF(AND(AND(AND(AND(E13&lt;=180),C50="wood construction"),OR(C49="class b",C49="CLASS A")),C48="non-hvhz"),"Mule-Hide HDP Fastener w/ 3"" Deck Plates",IF(AND(AND(AND(AND(E13&gt;180,E13&lt;=190),C50="wood construction"),OR(C49="class B",C49="CLASS A")),C48="non-hvhz"),"Mule-Hide HDP Fastener w/ 3"" Deck Plates",IF(AND(AND(OR(C49="class c",C49="class b",C49="CLASS A")),(C50="steel construction"),E13&lt;=150,C48="non-hvhz"),"Mule-Hide HDP Fastener w/ 3"" Deck Plates",IF(AND(AND(AND(AND(OR(C49="class c",C49="class b",C49="CLASS A")),C50="steel construction"),E13=200),E14="d",C48="non-hvhz"),"Mule-Hide HDP Fastener w/ 3"" Deck Plates",IF(AND(AND(AND(AND(OR(C49="class c",C49="class b",C49="CLASS A")),C50="steel construction"),E13=180),E14="d",C48="non-hvhz"),"Mule-Hide HDP Fastener w/ 3"" Deck Plates",IF(AND(AND(AND(AND(OR(C49="class c",C49="class b",C49="CLASS A",E14="b",E14="c")),C50="steel construction"),E13&gt;190),E13&lt;=200,C48="non-hvhz"),"Mule-Hide HDP Fastener w/ 3"" Deck Plates",IF(AND(AND(AND(AND(OR(C49="class c",C49="class b",C49="CLASS A")),C50="steel construction"),E13=170),E14="d",C48="non-hvhz"),"Mule-Hide HDP Fastener w/ 3"" Deck Plates",IF(AND(AND(AND(AND(OR(C49="class c",C49="class b",C49="CLASS A")),C50="steel construction"),E13&gt;150),E13&lt;=180,C48="non-hvhz"),"Mule-Hide HDP Fastener w/ 3"" Deck Plates",IF(AND(AND(AND(AND(OR(C49="class c",C49="class b",C49="CLASS A",E14="b",E14="c")),C50="steel construction"),E13&gt;180),E13&lt;=190,C48="non-hvhz"),"Mule-Hide HDP Fastener w/ 3"" Deck Plates",IF(AND(AND(AND(C50="wood construction"),OR(C49="class b",C49="CLASS A")),E13&lt;=180,C48="hvhz"),"Mule-Hide Drill Point Fastener w/ 3"" Deck Plates",IF(AND(AND(AND(AND(C50="wood construction"),OR(C49="class b",C49="CLASS A")),E13&lt;180),E13&gt;=190,C48="hvhz"),"Mule-Hide Drill Point Fastener w/ 3"" Deck Plates",IF(AND(AND(AND(C50="steel construction"),C49="class b"),E13&lt;=190,C48="hvhz"),"Mule-Hide HDP Fastener w/ 3"" Deck Plates",IF(AND(AND(AND(C50="steel construction"),C49="class A"),E13&lt;=190,C48="hvhz"),"Mule-Hide HDP Fastener w/ 3"" Deck Plates",IF(AND(AND(AND(AND(C50="steel construction"),OR(C49="class b",C49="class a")),E13=200),E14="d",C48="hvhz"),"Mule-Hide HDP Fastener w/ 3"" Deck Plates",IF(AND(AND(AND(AND(C50="steel construction"),OR(C49="class b",C49="class a")),E13=180),E14="d",C48="hvhz"),"Mule-Hide HDP Fastener w/ 3"" Deck Plates",IF(AND(AND(AND(AND(C50="steel construction"),OR(C49="class b",C49="class a")),E13&gt;190),E13&lt;=200,C48="hvhz"),"Mule-Hide HDP Fastener w/ 3"" Deck Plates","NG")))))))))))))))))))</f>
        <v>Mule-Hide HDP Fastener w/ 3" Deck Plates</v>
      </c>
      <c r="D59" s="19"/>
    </row>
    <row r="60" spans="1:9" x14ac:dyDescent="0.3">
      <c r="G60" s="19"/>
      <c r="H60" s="19"/>
      <c r="I60" s="19"/>
    </row>
    <row r="61" spans="1:9" x14ac:dyDescent="0.3">
      <c r="A61" s="19" t="s">
        <v>101</v>
      </c>
      <c r="B61" s="19"/>
      <c r="C61" s="19"/>
      <c r="D61" s="19"/>
      <c r="E61" s="19"/>
      <c r="F61" s="19"/>
      <c r="G61" s="19"/>
      <c r="H61" s="19"/>
      <c r="I61" s="19"/>
    </row>
    <row r="62" spans="1:9" x14ac:dyDescent="0.3">
      <c r="A62" s="19" t="s">
        <v>102</v>
      </c>
      <c r="B62" s="19"/>
      <c r="C62" s="19"/>
      <c r="D62" s="19"/>
      <c r="E62" s="19"/>
      <c r="F62" s="19"/>
      <c r="G62" s="19"/>
      <c r="H62" s="19"/>
      <c r="I62" s="19"/>
    </row>
    <row r="63" spans="1:9" x14ac:dyDescent="0.3">
      <c r="A63" s="19" t="s">
        <v>109</v>
      </c>
    </row>
    <row r="64" spans="1:9" ht="14.4" customHeight="1" x14ac:dyDescent="0.3">
      <c r="A64" s="174" t="s">
        <v>117</v>
      </c>
      <c r="B64" s="174"/>
      <c r="C64" s="174"/>
      <c r="D64" s="174"/>
      <c r="E64" s="174"/>
      <c r="F64" s="174"/>
      <c r="G64" s="174"/>
      <c r="H64" s="174"/>
      <c r="I64" s="174"/>
    </row>
    <row r="65" spans="1:9" x14ac:dyDescent="0.3">
      <c r="A65" s="174"/>
      <c r="B65" s="174"/>
      <c r="C65" s="174"/>
      <c r="D65" s="174"/>
      <c r="E65" s="174"/>
      <c r="F65" s="174"/>
      <c r="G65" s="174"/>
      <c r="H65" s="174"/>
      <c r="I65" s="174"/>
    </row>
    <row r="68" spans="1:9" x14ac:dyDescent="0.3">
      <c r="A68" t="s">
        <v>197</v>
      </c>
    </row>
    <row r="69" spans="1:9" x14ac:dyDescent="0.3">
      <c r="A69" s="133" t="s">
        <v>138</v>
      </c>
      <c r="B69" s="133"/>
      <c r="C69" s="133"/>
      <c r="D69" s="133"/>
      <c r="E69" s="25"/>
      <c r="F69" s="25"/>
      <c r="G69" s="25"/>
      <c r="H69" s="77"/>
      <c r="I69" s="77"/>
    </row>
    <row r="70" spans="1:9" x14ac:dyDescent="0.3">
      <c r="A70" s="120" t="s">
        <v>56</v>
      </c>
      <c r="B70" s="120"/>
      <c r="C70" s="120" t="s">
        <v>57</v>
      </c>
      <c r="D70" s="120"/>
      <c r="E70" s="23"/>
      <c r="F70" s="21"/>
      <c r="G70" s="21"/>
      <c r="H70" s="77"/>
      <c r="I70" s="77"/>
    </row>
    <row r="71" spans="1:9" x14ac:dyDescent="0.3">
      <c r="A71" s="79" t="s">
        <v>107</v>
      </c>
      <c r="B71" s="79" t="s">
        <v>39</v>
      </c>
      <c r="C71" s="79" t="s">
        <v>107</v>
      </c>
      <c r="D71" s="79" t="s">
        <v>39</v>
      </c>
      <c r="E71" s="53"/>
      <c r="F71" s="84"/>
      <c r="G71" s="84"/>
      <c r="H71" s="82"/>
      <c r="I71" s="82"/>
    </row>
    <row r="72" spans="1:9" x14ac:dyDescent="0.3">
      <c r="A72" s="83">
        <f>IF(E18&lt;=10,('7-10 Positive'!B55)*E23,IF(E18&lt;=7,'7-10 Positive'!B55*E23,IF(AND(E18&gt;7,E18&lt;=27),'7-10 Positive'!E55*E23,IF(AND(E18&gt;27,E18&lt;=45),'7-10 Positive'!H55*E23,0))))</f>
        <v>36.783999999999999</v>
      </c>
      <c r="B72" s="83">
        <f>IF(E18&lt;=10,('7-10 Negative'!B55)*E23,IF(E18&lt;=7,'7-10 Negative'!B55*E23,IF(AND(E18&gt;7,E18&lt;=27),'7-10 Negative'!E55*E23,IF(AND(E18&gt;27,E18&lt;=45),'7-10 Negative'!H55*E23,0))))</f>
        <v>-39.93</v>
      </c>
      <c r="C72" s="76">
        <f>IF(E18&lt;=10,('7-10 Positive'!B56)*E23,IF(E18&lt;=7,'7-10 Positive'!B56*E23,IF(AND(E18&gt;7,E18&lt;=27),'7-10 Positive'!E56*E23,IF(AND(E18&gt;27,E18&lt;=45),'7-10 Positive'!H56*E23,0))))</f>
        <v>36.783999999999999</v>
      </c>
      <c r="D72" s="76">
        <f>IF(E18&lt;=10,('7-10 Negative'!B56)*E23,IF(E18&lt;=7,'7-10 Negative'!B56*E23,IF(AND(E18&gt;7,E18&lt;=27),'7-10 Negative'!E56*E23,IF(AND(E18&gt;27,E18&lt;=45),'7-10 Negative'!H56*E23,0))))</f>
        <v>-49.247</v>
      </c>
      <c r="E72" s="53"/>
      <c r="F72" s="85"/>
      <c r="G72" s="85"/>
    </row>
    <row r="73" spans="1:9" x14ac:dyDescent="0.3">
      <c r="A73" s="19"/>
      <c r="B73" s="23"/>
      <c r="C73" s="23"/>
      <c r="D73" s="23"/>
      <c r="E73" s="53"/>
      <c r="F73" s="85"/>
      <c r="G73" s="85"/>
    </row>
    <row r="74" spans="1:9" x14ac:dyDescent="0.3">
      <c r="A74" s="19"/>
      <c r="B74" s="23"/>
      <c r="C74" s="23"/>
      <c r="D74" s="23"/>
      <c r="E74" s="53"/>
      <c r="F74" s="85"/>
      <c r="G74" s="85"/>
    </row>
    <row r="75" spans="1:9" x14ac:dyDescent="0.3">
      <c r="A75" s="19"/>
      <c r="B75" s="23"/>
      <c r="C75" s="23"/>
      <c r="D75" s="23"/>
      <c r="E75" s="53"/>
      <c r="F75" s="85"/>
      <c r="G75" s="85"/>
    </row>
    <row r="76" spans="1:9" x14ac:dyDescent="0.3">
      <c r="E76" s="19"/>
      <c r="F76" s="19"/>
      <c r="G76" s="19"/>
      <c r="H76" s="19"/>
      <c r="I76" s="19"/>
    </row>
    <row r="77" spans="1:9" x14ac:dyDescent="0.3">
      <c r="E77" s="77"/>
      <c r="F77" s="77"/>
      <c r="G77" s="77"/>
      <c r="H77" s="8"/>
      <c r="I77" s="31"/>
    </row>
    <row r="78" spans="1:9" x14ac:dyDescent="0.3">
      <c r="E78" s="77"/>
      <c r="F78" s="77"/>
      <c r="G78" s="77"/>
      <c r="H78" s="8"/>
      <c r="I78" s="77"/>
    </row>
    <row r="79" spans="1:9" x14ac:dyDescent="0.3">
      <c r="E79" s="25"/>
      <c r="F79" s="25"/>
      <c r="G79" s="25"/>
      <c r="H79" s="77"/>
      <c r="I79" s="77"/>
    </row>
    <row r="80" spans="1:9" ht="15" thickBot="1" x14ac:dyDescent="0.35">
      <c r="A80" s="23"/>
      <c r="B80" s="23"/>
      <c r="C80" s="23"/>
      <c r="D80" s="21"/>
      <c r="E80" s="23"/>
      <c r="F80" s="21"/>
      <c r="G80" s="21"/>
      <c r="H80" s="77"/>
      <c r="I80" s="77"/>
    </row>
    <row r="81" spans="1:15" ht="15" thickBot="1" x14ac:dyDescent="0.35">
      <c r="A81" s="141" t="s">
        <v>211</v>
      </c>
      <c r="B81" s="142"/>
      <c r="C81" s="142"/>
      <c r="D81" s="142"/>
      <c r="E81" s="142"/>
      <c r="F81" s="142"/>
      <c r="G81" s="143"/>
      <c r="I81" s="141" t="s">
        <v>220</v>
      </c>
      <c r="J81" s="142"/>
      <c r="K81" s="142"/>
      <c r="L81" s="142"/>
      <c r="M81" s="142"/>
      <c r="N81" s="142"/>
      <c r="O81" s="143"/>
    </row>
    <row r="82" spans="1:15" ht="15" customHeight="1" x14ac:dyDescent="0.3">
      <c r="A82" s="144" t="s">
        <v>209</v>
      </c>
      <c r="B82" s="145"/>
      <c r="C82" s="145"/>
      <c r="D82" s="148" t="s">
        <v>224</v>
      </c>
      <c r="E82" s="148"/>
      <c r="F82" s="148" t="s">
        <v>210</v>
      </c>
      <c r="G82" s="149"/>
      <c r="I82" s="144" t="s">
        <v>219</v>
      </c>
      <c r="J82" s="145"/>
      <c r="K82" s="145"/>
      <c r="L82" s="146" t="s">
        <v>224</v>
      </c>
      <c r="M82" s="147"/>
      <c r="N82" s="146" t="s">
        <v>210</v>
      </c>
      <c r="O82" s="160"/>
    </row>
    <row r="83" spans="1:15" x14ac:dyDescent="0.3">
      <c r="A83" s="118"/>
      <c r="B83" s="119"/>
      <c r="C83" s="119"/>
      <c r="D83" s="11" t="s">
        <v>226</v>
      </c>
      <c r="E83" s="39" t="s">
        <v>225</v>
      </c>
      <c r="F83" s="39">
        <v>4</v>
      </c>
      <c r="G83" s="88">
        <v>5</v>
      </c>
      <c r="I83" s="118"/>
      <c r="J83" s="119"/>
      <c r="K83" s="119"/>
      <c r="L83" s="11" t="s">
        <v>226</v>
      </c>
      <c r="M83" s="39" t="s">
        <v>225</v>
      </c>
      <c r="N83" s="39">
        <v>4</v>
      </c>
      <c r="O83" s="88">
        <v>5</v>
      </c>
    </row>
    <row r="84" spans="1:15" ht="15" customHeight="1" x14ac:dyDescent="0.3">
      <c r="A84" s="118" t="s">
        <v>198</v>
      </c>
      <c r="B84" s="119"/>
      <c r="C84" s="119"/>
      <c r="D84" s="39">
        <v>56</v>
      </c>
      <c r="E84" s="39">
        <v>-73</v>
      </c>
      <c r="F84" s="39" t="str">
        <f>IF(AND(E84&gt;B72,D84&lt;A72),"NG",IF(E84&gt;B72,"Neg NG",IF(D84&lt;A72,"Pos NG","OK")))</f>
        <v>OK</v>
      </c>
      <c r="G84" s="88" t="str">
        <f>IF(AND(E84&gt;D72,D84&lt;C72),"NG",IF(E84&gt;D72,"Neg NG",IF(D84&lt;C72,"Pos NG","OK")))</f>
        <v>OK</v>
      </c>
      <c r="I84" s="118" t="s">
        <v>214</v>
      </c>
      <c r="J84" s="119"/>
      <c r="K84" s="119"/>
      <c r="L84" s="39">
        <v>45</v>
      </c>
      <c r="M84" s="39">
        <v>-45</v>
      </c>
      <c r="N84" s="39" t="str">
        <f>IF(AND(M84&gt;B72,L84&lt;A72),"NG",IF(M84&gt;B72,"Neg NG",IF(L84&lt;A72,"Pos NG","OK")))</f>
        <v>OK</v>
      </c>
      <c r="O84" s="88" t="str">
        <f>IF(AND(M84&gt;D72,L84&lt;C72),"NG",IF(M84&gt;D72,"Neg NG",IF(L84&lt;C72,"Pos NG","OK")))</f>
        <v>Neg NG</v>
      </c>
    </row>
    <row r="85" spans="1:15" ht="30" customHeight="1" x14ac:dyDescent="0.3">
      <c r="A85" s="118" t="s">
        <v>204</v>
      </c>
      <c r="B85" s="119"/>
      <c r="C85" s="119"/>
      <c r="D85" s="39">
        <v>56</v>
      </c>
      <c r="E85" s="39">
        <v>-45</v>
      </c>
      <c r="F85" s="39" t="str">
        <f>IF(AND(E85&gt;B72,D85&lt;A72),"NG",IF(E85&gt;B72,"Neg NG",IF(D85&lt;A72,"Pos NG","OK")))</f>
        <v>OK</v>
      </c>
      <c r="G85" s="88" t="str">
        <f>IF(AND(E85&gt;D72,D85&lt;C72),"NG",IF(E85&gt;D72,"Neg NG",IF(D85&lt;C72,"Pos NG","OK")))</f>
        <v>Neg NG</v>
      </c>
      <c r="I85" s="118" t="s">
        <v>215</v>
      </c>
      <c r="J85" s="119"/>
      <c r="K85" s="119"/>
      <c r="L85" s="39">
        <v>45</v>
      </c>
      <c r="M85" s="39">
        <v>-45</v>
      </c>
      <c r="N85" s="39" t="str">
        <f>IF(AND(M85&gt;B72,L85&lt;A72),"NG",IF(M85&gt;B72,"Neg NG",IF(L85&lt;A72,"Pos NG","OK")))</f>
        <v>OK</v>
      </c>
      <c r="O85" s="88" t="str">
        <f>IF(AND(M85&gt;D72,L85&lt;C72),"NG",IF(M85&gt;D72,"Neg NG",IF(L85&lt;C72,"Pos NG","OK")))</f>
        <v>Neg NG</v>
      </c>
    </row>
    <row r="86" spans="1:15" ht="30" customHeight="1" x14ac:dyDescent="0.3">
      <c r="A86" s="118" t="s">
        <v>199</v>
      </c>
      <c r="B86" s="119"/>
      <c r="C86" s="119"/>
      <c r="D86" s="39">
        <v>56</v>
      </c>
      <c r="E86" s="39">
        <v>-61</v>
      </c>
      <c r="F86" s="39" t="str">
        <f>IF(AND(E86&gt;B72,D86&lt;A72),"NG",IF(E86&gt;B72,"Neg NG",IF(D86&lt;A72,"Pos NG","OK")))</f>
        <v>OK</v>
      </c>
      <c r="G86" s="88" t="str">
        <f>IF(AND(E86&gt;D72,D86&lt;C72),"NG",IF(E86&gt;D72,"Neg NG",IF(D86&lt;C72,"Pos NG","OK")))</f>
        <v>OK</v>
      </c>
      <c r="I86" s="118" t="s">
        <v>212</v>
      </c>
      <c r="J86" s="119"/>
      <c r="K86" s="119"/>
      <c r="L86" s="39">
        <v>75</v>
      </c>
      <c r="M86" s="39">
        <v>-75</v>
      </c>
      <c r="N86" s="39" t="str">
        <f>IF(AND(M86&gt;B72,L86&lt;A72),"NG",IF(M86&gt;B72,"Neg NG",IF(L86&lt;A72,"Pos NG","OK")))</f>
        <v>OK</v>
      </c>
      <c r="O86" s="88" t="str">
        <f>IF(AND(M86&gt;D72,L86&lt;C72),"NG",IF(M86&gt;D72,"Neg NG",IF(L86&lt;C72,"Pos NG","OK")))</f>
        <v>OK</v>
      </c>
    </row>
    <row r="87" spans="1:15" ht="30" customHeight="1" x14ac:dyDescent="0.3">
      <c r="A87" s="118" t="s">
        <v>200</v>
      </c>
      <c r="B87" s="119"/>
      <c r="C87" s="119"/>
      <c r="D87" s="39">
        <v>41</v>
      </c>
      <c r="E87" s="39">
        <v>-37</v>
      </c>
      <c r="F87" s="39" t="str">
        <f>IF(AND(E87&gt;B72,D87&lt;A72),"NG",IF(E87&gt;B72,"Neg NG",IF(D87&lt;A72,"Pos NG","OK")))</f>
        <v>Neg NG</v>
      </c>
      <c r="G87" s="88" t="str">
        <f>IF(AND(E87&gt;D72,D87&lt;C72),"NG",IF(E87&gt;D72,"Neg NG",IF(D87&lt;C72,"Pos NG","OK")))</f>
        <v>Neg NG</v>
      </c>
      <c r="I87" s="118" t="s">
        <v>213</v>
      </c>
      <c r="J87" s="119"/>
      <c r="K87" s="119"/>
      <c r="L87" s="39">
        <v>90</v>
      </c>
      <c r="M87" s="39">
        <v>-90</v>
      </c>
      <c r="N87" s="39" t="str">
        <f>IF(AND(M87&gt;B72,L87&lt;A72),"NG",IF(M87&gt;B72,"Neg NG",IF(L87&lt;A72,"Pos NG","OK")))</f>
        <v>OK</v>
      </c>
      <c r="O87" s="88" t="str">
        <f>IF(AND(M87&gt;D72,L87&lt;C72),"NG",IF(M87&gt;D72,"Neg NG",IF(L87&lt;C72,"Pos NG","OK")))</f>
        <v>OK</v>
      </c>
    </row>
    <row r="88" spans="1:15" ht="30" customHeight="1" x14ac:dyDescent="0.3">
      <c r="A88" s="118" t="s">
        <v>201</v>
      </c>
      <c r="B88" s="119"/>
      <c r="C88" s="119"/>
      <c r="D88" s="39">
        <v>70.180000000000007</v>
      </c>
      <c r="E88" s="39">
        <v>-70.180000000000007</v>
      </c>
      <c r="F88" s="39" t="str">
        <f>IF(AND(E88&gt;B72,D88&lt;A72),"NG",IF(E88&gt;B72,"Neg NG",IF(D88&lt;A72,"Pos NG","OK")))</f>
        <v>OK</v>
      </c>
      <c r="G88" s="88" t="str">
        <f>IF(AND(E88&gt;D72,D88&lt;C72),"NG",IF(E88&gt;D72,"Neg NG",IF(D88&lt;C72,"Pos NG","OK")))</f>
        <v>OK</v>
      </c>
      <c r="I88" s="118" t="s">
        <v>236</v>
      </c>
      <c r="J88" s="119"/>
      <c r="K88" s="119"/>
      <c r="L88" s="39">
        <v>52.5</v>
      </c>
      <c r="M88" s="39">
        <v>-52.5</v>
      </c>
      <c r="N88" s="39" t="str">
        <f>IF(AND(M88&gt;B72,L88&lt;A72),"NG",IF(M88&gt;B72,"Neg NG",IF(L88&lt;A72,"Pos NG","OK")))</f>
        <v>OK</v>
      </c>
      <c r="O88" s="88" t="str">
        <f>IF(AND(M88&gt;D72,L88&lt;C72),"NG",IF(M88&gt;D72,"Neg NG",IF(L88&lt;C72,"Pos NG","OK")))</f>
        <v>OK</v>
      </c>
    </row>
    <row r="89" spans="1:15" ht="30" customHeight="1" x14ac:dyDescent="0.3">
      <c r="A89" s="118" t="s">
        <v>202</v>
      </c>
      <c r="B89" s="119"/>
      <c r="C89" s="119"/>
      <c r="D89" s="39">
        <v>50</v>
      </c>
      <c r="E89" s="39">
        <v>-50</v>
      </c>
      <c r="F89" s="39" t="str">
        <f>IF(AND(E89&gt;B72,D89&lt;A72),"NG",IF(E89&gt;B72,"Neg NG",IF(D89&lt;A72,"Pos NG","OK")))</f>
        <v>OK</v>
      </c>
      <c r="G89" s="88" t="str">
        <f>IF(AND(E89&gt;D72,D89&lt;C72),"NG",IF(E89&gt;D72,"Neg NG",IF(D89&lt;C72,"Pos NG","OK")))</f>
        <v>OK</v>
      </c>
      <c r="I89" s="118" t="s">
        <v>216</v>
      </c>
      <c r="J89" s="119"/>
      <c r="K89" s="119"/>
      <c r="L89" s="39">
        <v>90</v>
      </c>
      <c r="M89" s="39">
        <v>-90</v>
      </c>
      <c r="N89" s="39" t="str">
        <f>IF(AND(M89&gt;B72,L89&lt;A72),"NG",IF(M89&gt;B72,"Neg NG",IF(L89&lt;A72,"Pos NG","OK")))</f>
        <v>OK</v>
      </c>
      <c r="O89" s="88" t="str">
        <f>IF(AND(M89&gt;D72,L89&lt;C72),"NG",IF(M89&gt;D72,"Neg NG",IF(L89&lt;C72,"Pos NG","OK")))</f>
        <v>OK</v>
      </c>
    </row>
    <row r="90" spans="1:15" ht="30" customHeight="1" x14ac:dyDescent="0.3">
      <c r="A90" s="118" t="s">
        <v>203</v>
      </c>
      <c r="B90" s="119"/>
      <c r="C90" s="119"/>
      <c r="D90" s="39">
        <v>75</v>
      </c>
      <c r="E90" s="39">
        <v>-75</v>
      </c>
      <c r="F90" s="39" t="str">
        <f>IF(AND(E90&gt;B72,D90&lt;A72),"NG",IF(E90&gt;B72,"Neg NG",IF(D90&lt;A72,"Pos NG","OK")))</f>
        <v>OK</v>
      </c>
      <c r="G90" s="88" t="str">
        <f>IF(AND(E90&gt;D72,D90&lt;C72),"NG",IF(E90&gt;D72,"Neg NG",IF(D90&lt;C72,"Pos NG","OK")))</f>
        <v>OK</v>
      </c>
      <c r="I90" s="118" t="s">
        <v>217</v>
      </c>
      <c r="J90" s="119"/>
      <c r="K90" s="119"/>
      <c r="L90" s="39">
        <v>52.5</v>
      </c>
      <c r="M90" s="39">
        <v>-52.5</v>
      </c>
      <c r="N90" s="39" t="str">
        <f>IF(AND(M90&gt;B72,L90&lt;A72),"NG",IF(M90&gt;B72,"Neg NG",IF(L90&lt;A72,"Pos NG","OK")))</f>
        <v>OK</v>
      </c>
      <c r="O90" s="88" t="str">
        <f>IF(AND(M90&gt;D72,L90&lt;C72),"NG",IF(M90&gt;D72,"Neg NG",IF(L90&lt;C72,"Pos NG","OK")))</f>
        <v>OK</v>
      </c>
    </row>
    <row r="91" spans="1:15" ht="30" customHeight="1" x14ac:dyDescent="0.3">
      <c r="A91" s="118" t="s">
        <v>205</v>
      </c>
      <c r="B91" s="119"/>
      <c r="C91" s="119"/>
      <c r="D91" s="39">
        <v>50</v>
      </c>
      <c r="E91" s="39">
        <v>-50</v>
      </c>
      <c r="F91" s="39" t="str">
        <f>IF(AND(E91&gt;B72,D91&lt;A72),"NG",IF(E91&gt;B72,"Neg NG",IF(D91&lt;A72,"Pos NG","OK")))</f>
        <v>OK</v>
      </c>
      <c r="G91" s="88" t="str">
        <f>IF(AND(E91&gt;D72,D91&lt;C72),"NG",IF(E91&gt;D72,"Neg NG",IF(D91&lt;C72,"Pos NG","OK")))</f>
        <v>OK</v>
      </c>
      <c r="I91" s="118" t="s">
        <v>218</v>
      </c>
      <c r="J91" s="119"/>
      <c r="K91" s="119"/>
      <c r="L91" s="39">
        <v>50</v>
      </c>
      <c r="M91" s="39">
        <v>-66</v>
      </c>
      <c r="N91" s="39" t="str">
        <f>IF(AND(M91&gt;B72,L91&lt;A72),"NG",IF(M91&gt;B72,"Neg NG",IF(L91&lt;A72,"Pos NG","OK")))</f>
        <v>OK</v>
      </c>
      <c r="O91" s="88" t="str">
        <f>IF(AND(M91&gt;D72,L91&lt;C72),"NG",IF(M91&gt;D72,"Neg NG",IF(L91&lt;C72,"Pos NG","OK")))</f>
        <v>OK</v>
      </c>
    </row>
    <row r="92" spans="1:15" ht="30" customHeight="1" x14ac:dyDescent="0.3">
      <c r="A92" s="118" t="s">
        <v>206</v>
      </c>
      <c r="B92" s="119"/>
      <c r="C92" s="119"/>
      <c r="D92" s="39">
        <v>50</v>
      </c>
      <c r="E92" s="39">
        <v>-50</v>
      </c>
      <c r="F92" s="39" t="str">
        <f>IF(AND(E92&gt;B72,D92&lt;A72),"NG",IF(E92&gt;B72,"Neg NG",IF(D92&lt;A72,"Pos NG","OK")))</f>
        <v>OK</v>
      </c>
      <c r="G92" s="88" t="str">
        <f>IF(AND(E92&gt;D72,D92&lt;C72),"NG",IF(E92&gt;D72,"Neg NG",IF(D92&lt;C72,"Pos NG","OK")))</f>
        <v>OK</v>
      </c>
      <c r="I92" s="118" t="s">
        <v>227</v>
      </c>
      <c r="J92" s="119"/>
      <c r="K92" s="119"/>
      <c r="L92" s="39">
        <v>25</v>
      </c>
      <c r="M92" s="39">
        <v>-25</v>
      </c>
      <c r="N92" s="39" t="str">
        <f>IF(AND(M92&gt;B72,L92&lt;A72),"NG",IF(M92&gt;B72,"Neg NG",IF(L92&lt;A72,"Pos NG","OK")))</f>
        <v>NG</v>
      </c>
      <c r="O92" s="88" t="str">
        <f>IF(AND(M92&gt;D72,L92&lt;C72),"NG",IF(M92&gt;D72,"Neg NG",IF(L92&lt;C72,"Pos NG","OK")))</f>
        <v>NG</v>
      </c>
    </row>
    <row r="93" spans="1:15" ht="30" customHeight="1" x14ac:dyDescent="0.3">
      <c r="A93" s="118" t="s">
        <v>221</v>
      </c>
      <c r="B93" s="119"/>
      <c r="C93" s="119"/>
      <c r="D93" s="39">
        <v>70</v>
      </c>
      <c r="E93" s="39">
        <v>-70</v>
      </c>
      <c r="F93" s="39" t="str">
        <f>IF(AND(E93&gt;B72,D93&lt;A72),"NG",IF(E93&gt;B72,"Neg NG",IF(D93&lt;A72,"Pos NG","OK")))</f>
        <v>OK</v>
      </c>
      <c r="G93" s="88" t="str">
        <f>IF(AND(E84&gt;D72,D84&lt;C72),"NG",IF(E84&gt;D72,"Neg NG",IF(D84&lt;C72,"Pos NG","OK")))</f>
        <v>OK</v>
      </c>
      <c r="I93" s="118" t="s">
        <v>228</v>
      </c>
      <c r="J93" s="119"/>
      <c r="K93" s="119"/>
      <c r="L93" s="39">
        <v>45</v>
      </c>
      <c r="M93" s="39">
        <v>-45</v>
      </c>
      <c r="N93" s="39" t="str">
        <f>IF(AND(M93&gt;B72,L93&lt;A72),"NG",IF(M93&gt;B72,"Neg NG",IF(L93&lt;A72,"Pos NG","OK")))</f>
        <v>OK</v>
      </c>
      <c r="O93" s="88" t="str">
        <f>IF(AND(M93&gt;D72,L93&lt;C72),"NG",IF(M93&gt;D72,"Neg NG",IF(L93&lt;C72,"Pos NG","OK")))</f>
        <v>Neg NG</v>
      </c>
    </row>
    <row r="94" spans="1:15" ht="30" customHeight="1" x14ac:dyDescent="0.3">
      <c r="A94" s="123" t="s">
        <v>222</v>
      </c>
      <c r="B94" s="124"/>
      <c r="C94" s="125"/>
      <c r="D94" s="39">
        <v>60</v>
      </c>
      <c r="E94" s="39">
        <v>-60</v>
      </c>
      <c r="F94" s="39" t="str">
        <f>IF(AND(E94&gt;B72,D94&lt;A72),"NG",IF(E94&gt;B72,"Neg NG",IF(D94&lt;A72,"Pos NG","OK")))</f>
        <v>OK</v>
      </c>
      <c r="G94" s="88" t="str">
        <f>IF(AND(E94&gt;D72,D94&lt;C72),"NG",IF(E94&gt;D72,"Neg NG",IF(D94&lt;C72,"Pos NG","OK")))</f>
        <v>OK</v>
      </c>
      <c r="I94" s="118" t="s">
        <v>229</v>
      </c>
      <c r="J94" s="119"/>
      <c r="K94" s="119"/>
      <c r="L94" s="39">
        <v>60</v>
      </c>
      <c r="M94" s="39">
        <v>-60</v>
      </c>
      <c r="N94" s="39" t="str">
        <f>IF(AND(M94&gt;B72,L94&lt;A72),"NG",IF(M94&gt;B72,"Neg NG",IF(L94&lt;A72,"Pos NG","OK")))</f>
        <v>OK</v>
      </c>
      <c r="O94" s="88" t="str">
        <f>IF(AND(M94&gt;D72,L94&lt;C72),"NG",IF(M94&gt;D72,"Neg NG",IF(L94&lt;C72,"Pos NG","OK")))</f>
        <v>OK</v>
      </c>
    </row>
    <row r="95" spans="1:15" ht="30" customHeight="1" x14ac:dyDescent="0.3">
      <c r="A95" s="123" t="s">
        <v>223</v>
      </c>
      <c r="B95" s="124"/>
      <c r="C95" s="125"/>
      <c r="D95" s="39">
        <v>60</v>
      </c>
      <c r="E95" s="39">
        <v>-60</v>
      </c>
      <c r="F95" s="39" t="str">
        <f>IF(AND(E95&gt;B72,D95&lt;A72),"NG",IF(E95&gt;B72,"Neg NG",IF(D95&lt;A72,"Pos NG","OK")))</f>
        <v>OK</v>
      </c>
      <c r="G95" s="88" t="str">
        <f>IF(AND(E95&gt;D72,D95&lt;C72),"NG",IF(E95&gt;D72,"Neg NG",IF(D95&lt;C72,"Pos NG","OK")))</f>
        <v>OK</v>
      </c>
      <c r="I95" s="118" t="s">
        <v>230</v>
      </c>
      <c r="J95" s="119"/>
      <c r="K95" s="119"/>
      <c r="L95" s="39">
        <v>50</v>
      </c>
      <c r="M95" s="39">
        <v>-50</v>
      </c>
      <c r="N95" s="39" t="str">
        <f>IF(AND(M95&gt;B72,L95&lt;A72),"NG",IF(M95&gt;B72,"Neg NG",IF(L95&lt;A72,"Pos NG","OK")))</f>
        <v>OK</v>
      </c>
      <c r="O95" s="88" t="str">
        <f>IF(AND(M95&gt;D72,L95&lt;C72),"NG",IF(M95&gt;D72,"Neg NG",IF(L95&lt;C72,"Pos NG","OK")))</f>
        <v>OK</v>
      </c>
    </row>
    <row r="96" spans="1:15" ht="30" customHeight="1" x14ac:dyDescent="0.3">
      <c r="A96" s="118" t="s">
        <v>207</v>
      </c>
      <c r="B96" s="119"/>
      <c r="C96" s="119"/>
      <c r="D96" s="39">
        <v>80</v>
      </c>
      <c r="E96" s="39">
        <v>-80</v>
      </c>
      <c r="F96" s="39" t="str">
        <f>IF(AND(E96&gt;B72,D96&lt;A72),"NG",IF(E96&gt;B72,"Neg NG",IF(D96&lt;A72,"Pos NG","OK")))</f>
        <v>OK</v>
      </c>
      <c r="G96" s="88" t="str">
        <f>IF(AND(E96&gt;D72,D96&lt;C72),"NG",IF(E96&gt;D72,"Neg NG",IF(D96&lt;C72,"Pos NG","OK")))</f>
        <v>OK</v>
      </c>
      <c r="I96" s="118" t="s">
        <v>231</v>
      </c>
      <c r="J96" s="119"/>
      <c r="K96" s="119"/>
      <c r="L96" s="39">
        <v>30</v>
      </c>
      <c r="M96" s="39">
        <v>-35</v>
      </c>
      <c r="N96" s="39" t="str">
        <f>IF(AND(M96&gt;B72,L96&lt;A72),"NG",IF(M96&gt;B72,"Neg NG",IF(L96&lt;A72,"Pos NG","OK")))</f>
        <v>NG</v>
      </c>
      <c r="O96" s="88" t="str">
        <f>IF(AND(M96&gt;D72,L96&lt;C72),"NG",IF(M96&gt;D72,"Neg NG",IF(L96&lt;C72,"Pos NG","OK")))</f>
        <v>NG</v>
      </c>
    </row>
    <row r="97" spans="1:15" ht="45" customHeight="1" thickBot="1" x14ac:dyDescent="0.35">
      <c r="A97" s="126" t="s">
        <v>208</v>
      </c>
      <c r="B97" s="127"/>
      <c r="C97" s="127"/>
      <c r="D97" s="109">
        <v>150</v>
      </c>
      <c r="E97" s="109">
        <v>-150</v>
      </c>
      <c r="F97" s="109" t="str">
        <f>IF(AND(E97&gt;B72,D97&lt;A72),"NG",IF(E97&gt;B72,"Neg NG",IF(D97&lt;A72,"Pos NG","OK")))</f>
        <v>OK</v>
      </c>
      <c r="G97" s="90" t="str">
        <f>IF(AND(E97&gt;D72,D97&lt;C72),"NG",IF(E97&gt;D72,"Neg NG",IF(D97&lt;C72,"Pos NG","OK")))</f>
        <v>OK</v>
      </c>
      <c r="I97" s="118" t="s">
        <v>232</v>
      </c>
      <c r="J97" s="119"/>
      <c r="K97" s="119"/>
      <c r="L97" s="39">
        <v>50</v>
      </c>
      <c r="M97" s="39">
        <v>-50</v>
      </c>
      <c r="N97" s="39" t="str">
        <f>IF(AND(M97&gt;B72,L97&lt;A72),"NG",IF(M97&gt;B72,"Neg NG",IF(L97&lt;A72,"Pos NG","OK")))</f>
        <v>OK</v>
      </c>
      <c r="O97" s="88" t="str">
        <f>IF(AND(M97&gt;D72,L97&lt;C72),"NG",IF(M97&gt;D72,"Neg NG",IF(L97&lt;C72,"Pos NG","OK")))</f>
        <v>OK</v>
      </c>
    </row>
    <row r="98" spans="1:15" ht="28.5" customHeight="1" thickBot="1" x14ac:dyDescent="0.35">
      <c r="I98" s="180" t="s">
        <v>233</v>
      </c>
      <c r="J98" s="181"/>
      <c r="K98" s="181"/>
      <c r="L98" s="111">
        <v>60</v>
      </c>
      <c r="M98" s="111">
        <v>-60</v>
      </c>
      <c r="N98" s="111" t="str">
        <f>IF(AND(M98&gt;B72,L98&lt;A72),"NG",IF(M98&gt;B72,"Neg NG",IF(L98&lt;A72,"Pos NG","OK")))</f>
        <v>OK</v>
      </c>
      <c r="O98" s="112" t="str">
        <f>IF(AND(M98&gt;D72,L98&lt;C72),"NG",IF(M98&gt;D72,"Neg NG",IF(L98&lt;C72,"Pos NG","OK")))</f>
        <v>OK</v>
      </c>
    </row>
  </sheetData>
  <mergeCells count="98">
    <mergeCell ref="A95:C95"/>
    <mergeCell ref="A96:C96"/>
    <mergeCell ref="A97:C97"/>
    <mergeCell ref="A93:C93"/>
    <mergeCell ref="A94:C94"/>
    <mergeCell ref="A90:C90"/>
    <mergeCell ref="A91:C91"/>
    <mergeCell ref="A92:C92"/>
    <mergeCell ref="I90:K90"/>
    <mergeCell ref="I91:K91"/>
    <mergeCell ref="I92:K92"/>
    <mergeCell ref="A87:C87"/>
    <mergeCell ref="A88:C88"/>
    <mergeCell ref="A89:C89"/>
    <mergeCell ref="I87:K87"/>
    <mergeCell ref="I88:K88"/>
    <mergeCell ref="I89:K89"/>
    <mergeCell ref="A84:C84"/>
    <mergeCell ref="A85:C85"/>
    <mergeCell ref="A86:C86"/>
    <mergeCell ref="I84:K84"/>
    <mergeCell ref="I85:K85"/>
    <mergeCell ref="I86:K86"/>
    <mergeCell ref="A26:A32"/>
    <mergeCell ref="B26:C26"/>
    <mergeCell ref="D26:E26"/>
    <mergeCell ref="A82:C83"/>
    <mergeCell ref="L82:M82"/>
    <mergeCell ref="A81:G81"/>
    <mergeCell ref="I81:O81"/>
    <mergeCell ref="D82:E82"/>
    <mergeCell ref="F82:G82"/>
    <mergeCell ref="I82:K83"/>
    <mergeCell ref="N82:O82"/>
    <mergeCell ref="A34:A40"/>
    <mergeCell ref="B34:C34"/>
    <mergeCell ref="D34:E34"/>
    <mergeCell ref="F34:G34"/>
    <mergeCell ref="A59:B59"/>
    <mergeCell ref="AS18:AU18"/>
    <mergeCell ref="AV18:AX18"/>
    <mergeCell ref="A25:I25"/>
    <mergeCell ref="J1:M1"/>
    <mergeCell ref="AM23:AO23"/>
    <mergeCell ref="L11:M11"/>
    <mergeCell ref="L10:M10"/>
    <mergeCell ref="L8:M8"/>
    <mergeCell ref="L5:M5"/>
    <mergeCell ref="U14:V14"/>
    <mergeCell ref="S14:T14"/>
    <mergeCell ref="Q14:R14"/>
    <mergeCell ref="O14:P14"/>
    <mergeCell ref="M14:N14"/>
    <mergeCell ref="AP18:AR18"/>
    <mergeCell ref="AM18:AO18"/>
    <mergeCell ref="AP23:AR23"/>
    <mergeCell ref="AS23:AU23"/>
    <mergeCell ref="A58:B58"/>
    <mergeCell ref="A53:B53"/>
    <mergeCell ref="H52:I52"/>
    <mergeCell ref="A54:B54"/>
    <mergeCell ref="A55:B55"/>
    <mergeCell ref="A56:B56"/>
    <mergeCell ref="F26:G26"/>
    <mergeCell ref="B30:C30"/>
    <mergeCell ref="D30:E30"/>
    <mergeCell ref="B38:C38"/>
    <mergeCell ref="D38:E38"/>
    <mergeCell ref="A47:I47"/>
    <mergeCell ref="A48:B48"/>
    <mergeCell ref="C48:D48"/>
    <mergeCell ref="A49:B49"/>
    <mergeCell ref="C49:D49"/>
    <mergeCell ref="H49:I49"/>
    <mergeCell ref="A50:B50"/>
    <mergeCell ref="C50:D50"/>
    <mergeCell ref="H50:I50"/>
    <mergeCell ref="A69:D69"/>
    <mergeCell ref="A70:B70"/>
    <mergeCell ref="C70:D70"/>
    <mergeCell ref="A52:B52"/>
    <mergeCell ref="H51:I51"/>
    <mergeCell ref="A57:B57"/>
    <mergeCell ref="A64:I65"/>
    <mergeCell ref="AC4:AD4"/>
    <mergeCell ref="I98:K98"/>
    <mergeCell ref="I93:K93"/>
    <mergeCell ref="I94:K94"/>
    <mergeCell ref="I95:K95"/>
    <mergeCell ref="I96:K96"/>
    <mergeCell ref="I97:K97"/>
    <mergeCell ref="G48:I48"/>
    <mergeCell ref="K40:M40"/>
    <mergeCell ref="O40:Q40"/>
    <mergeCell ref="S40:U40"/>
    <mergeCell ref="U18:V18"/>
    <mergeCell ref="O18:P18"/>
    <mergeCell ref="M13:V13"/>
  </mergeCells>
  <conditionalFormatting sqref="F84:G97">
    <cfRule type="containsText" dxfId="41" priority="7" operator="containsText" text="NG">
      <formula>NOT(ISERROR(SEARCH("NG",F84)))</formula>
    </cfRule>
  </conditionalFormatting>
  <conditionalFormatting sqref="N84:O98">
    <cfRule type="containsText" dxfId="40" priority="1" operator="containsText" text="NG">
      <formula>NOT(ISERROR(SEARCH("NG",N84)))</formula>
    </cfRule>
  </conditionalFormatting>
  <dataValidations count="10">
    <dataValidation type="list" allowBlank="1" showInputMessage="1" showErrorMessage="1" sqref="E14 AO4" xr:uid="{00000000-0002-0000-0100-000000000000}">
      <formula1>"B,C,D"</formula1>
    </dataValidation>
    <dataValidation type="list" allowBlank="1" showInputMessage="1" showErrorMessage="1" sqref="E13" xr:uid="{00000000-0002-0000-0100-000001000000}">
      <formula1>"110,115,120,130,140,150,160,180,200"</formula1>
    </dataValidation>
    <dataValidation type="list" allowBlank="1" showInputMessage="1" showErrorMessage="1" sqref="L67" xr:uid="{00000000-0002-0000-0100-000002000000}">
      <formula1>"Enclosed,Partially Enclosed,Open,Partially Open"</formula1>
    </dataValidation>
    <dataValidation type="list" allowBlank="1" showInputMessage="1" showErrorMessage="1" sqref="L76" xr:uid="{00000000-0002-0000-0100-000003000000}">
      <formula1>"0,1000,2000,3000,4000,5000,6000"</formula1>
    </dataValidation>
    <dataValidation type="list" allowBlank="1" showInputMessage="1" showErrorMessage="1" sqref="E20" xr:uid="{00000000-0002-0000-0100-000004000000}">
      <formula1>"Yes,No"</formula1>
    </dataValidation>
    <dataValidation type="list" allowBlank="1" showInputMessage="1" showErrorMessage="1" sqref="C50" xr:uid="{00000000-0002-0000-0100-000005000000}">
      <formula1>"Wood Construction, Steel Construction"</formula1>
    </dataValidation>
    <dataValidation type="list" allowBlank="1" showInputMessage="1" showErrorMessage="1" sqref="C49" xr:uid="{00000000-0002-0000-0100-000006000000}">
      <formula1>"Class C, Class B, Class A"</formula1>
    </dataValidation>
    <dataValidation type="list" allowBlank="1" showInputMessage="1" showErrorMessage="1" sqref="C48:D48" xr:uid="{00000000-0002-0000-0100-000007000000}">
      <formula1>"Non-HVHZ,HVHZ"</formula1>
    </dataValidation>
    <dataValidation type="whole" allowBlank="1" showInputMessage="1" showErrorMessage="1" sqref="E15" xr:uid="{00000000-0002-0000-0100-000008000000}">
      <formula1>1</formula1>
      <formula2>30</formula2>
    </dataValidation>
    <dataValidation type="list" allowBlank="1" showInputMessage="1" showErrorMessage="1" sqref="K4:L4 L8:M8" xr:uid="{00000000-0002-0000-0100-00000A000000}">
      <formula1>"Transverse / Complex, Gable / Mono"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88"/>
  <sheetViews>
    <sheetView workbookViewId="0">
      <selection activeCell="E13" sqref="E13"/>
    </sheetView>
  </sheetViews>
  <sheetFormatPr defaultRowHeight="14.4" x14ac:dyDescent="0.3"/>
  <cols>
    <col min="24" max="28" width="8.88671875" customWidth="1"/>
    <col min="29" max="31" width="0" hidden="1" customWidth="1"/>
    <col min="38" max="38" width="9.109375" customWidth="1"/>
    <col min="39" max="54" width="8.88671875" hidden="1" customWidth="1"/>
  </cols>
  <sheetData>
    <row r="1" spans="3:43" ht="17.399999999999999" x14ac:dyDescent="0.3">
      <c r="E1" s="3" t="s">
        <v>14</v>
      </c>
      <c r="J1" s="25"/>
      <c r="K1" s="25"/>
      <c r="L1" s="25"/>
      <c r="M1" s="25"/>
    </row>
    <row r="2" spans="3:43" ht="17.399999999999999" x14ac:dyDescent="0.3">
      <c r="E2" s="3" t="s">
        <v>188</v>
      </c>
      <c r="I2" s="25"/>
      <c r="K2" s="27"/>
      <c r="L2" s="21"/>
      <c r="N2" s="150" t="s">
        <v>83</v>
      </c>
      <c r="O2" s="150"/>
      <c r="AO2" s="27" t="s">
        <v>51</v>
      </c>
      <c r="AP2" s="13">
        <f>E13</f>
        <v>130</v>
      </c>
      <c r="AQ2" s="7" t="s">
        <v>22</v>
      </c>
    </row>
    <row r="3" spans="3:43" x14ac:dyDescent="0.3">
      <c r="E3" s="4" t="s">
        <v>191</v>
      </c>
      <c r="I3" s="22"/>
      <c r="K3" s="27"/>
      <c r="L3" s="53"/>
      <c r="M3" s="22"/>
      <c r="N3" s="39" t="s">
        <v>55</v>
      </c>
      <c r="O3" s="39" t="s">
        <v>69</v>
      </c>
      <c r="AO3" s="27" t="s">
        <v>23</v>
      </c>
      <c r="AP3" s="14" t="str">
        <f>E14</f>
        <v>C</v>
      </c>
      <c r="AQ3" s="7"/>
    </row>
    <row r="4" spans="3:43" x14ac:dyDescent="0.3">
      <c r="I4" s="22"/>
      <c r="M4" s="22" t="s">
        <v>70</v>
      </c>
      <c r="N4" s="58">
        <v>24</v>
      </c>
      <c r="O4" s="59">
        <v>60</v>
      </c>
      <c r="AC4" s="133" t="s">
        <v>28</v>
      </c>
      <c r="AD4" s="133"/>
      <c r="AO4" s="27" t="s">
        <v>24</v>
      </c>
      <c r="AP4" s="78">
        <f>E16</f>
        <v>15</v>
      </c>
      <c r="AQ4" s="7" t="s">
        <v>25</v>
      </c>
    </row>
    <row r="5" spans="3:43" x14ac:dyDescent="0.3">
      <c r="C5" s="5" t="s">
        <v>15</v>
      </c>
      <c r="D5" s="6" t="s">
        <v>16</v>
      </c>
      <c r="I5" s="22"/>
      <c r="M5" s="22" t="s">
        <v>71</v>
      </c>
      <c r="N5" s="132" t="s">
        <v>72</v>
      </c>
      <c r="O5" s="132"/>
      <c r="AC5" s="74">
        <f>N4*0.1</f>
        <v>2.4000000000000004</v>
      </c>
      <c r="AD5" s="74">
        <f>E16*0.4</f>
        <v>6</v>
      </c>
      <c r="AE5" t="s">
        <v>160</v>
      </c>
      <c r="AO5" s="22" t="s">
        <v>81</v>
      </c>
      <c r="AP5" s="30">
        <f>E17</f>
        <v>0.25</v>
      </c>
      <c r="AQ5" t="s">
        <v>67</v>
      </c>
    </row>
    <row r="6" spans="3:43" x14ac:dyDescent="0.3">
      <c r="D6" s="6" t="s">
        <v>183</v>
      </c>
      <c r="I6" s="22"/>
      <c r="M6" s="19"/>
      <c r="N6" s="19"/>
      <c r="O6" s="22"/>
      <c r="AC6" s="11">
        <f>O4*0.1</f>
        <v>6</v>
      </c>
      <c r="AD6" s="11">
        <f>E16*0.4</f>
        <v>6</v>
      </c>
      <c r="AE6" t="s">
        <v>161</v>
      </c>
      <c r="AO6" s="27" t="s">
        <v>75</v>
      </c>
      <c r="AP6" s="41">
        <f>E18</f>
        <v>1.1934894239820351</v>
      </c>
    </row>
    <row r="7" spans="3:43" x14ac:dyDescent="0.3">
      <c r="D7" s="6" t="s">
        <v>17</v>
      </c>
      <c r="M7" s="19"/>
      <c r="N7" s="133" t="s">
        <v>79</v>
      </c>
      <c r="O7" s="133"/>
      <c r="AC7" s="96">
        <f>MIN(N4,O4)*0.1</f>
        <v>2.4000000000000004</v>
      </c>
      <c r="AD7" s="97">
        <f>E16*0.4</f>
        <v>6</v>
      </c>
      <c r="AE7" t="s">
        <v>157</v>
      </c>
      <c r="AO7" s="27"/>
      <c r="AP7" s="20"/>
      <c r="AQ7" s="7"/>
    </row>
    <row r="8" spans="3:43" x14ac:dyDescent="0.3">
      <c r="D8" s="6" t="s">
        <v>18</v>
      </c>
      <c r="M8" s="19"/>
      <c r="N8" s="133">
        <f>MAX(AC13,AC14)</f>
        <v>15.625</v>
      </c>
      <c r="O8" s="133"/>
      <c r="AC8" s="11" t="s">
        <v>150</v>
      </c>
      <c r="AD8" s="11" t="s">
        <v>151</v>
      </c>
      <c r="AO8" s="27"/>
      <c r="AP8" s="30"/>
    </row>
    <row r="9" spans="3:43" x14ac:dyDescent="0.3">
      <c r="D9" s="6" t="s">
        <v>19</v>
      </c>
      <c r="M9" s="8"/>
      <c r="AO9" s="27" t="s">
        <v>63</v>
      </c>
      <c r="AP9" s="30">
        <v>1</v>
      </c>
      <c r="AQ9" t="s">
        <v>66</v>
      </c>
    </row>
    <row r="10" spans="3:43" ht="15" thickBot="1" x14ac:dyDescent="0.35">
      <c r="D10" s="6" t="s">
        <v>20</v>
      </c>
      <c r="M10" s="8"/>
      <c r="AC10" s="8">
        <f>IF(E18&lt;=7,(N4-(V15*2)),IF(AND(E18&gt;7,E18&lt;=45),(N4-(V15*4)),0))</f>
        <v>18</v>
      </c>
      <c r="AD10" s="8">
        <f>IF(E18&lt;=7,(O4-(W14*2)),IF(AND(E18&gt;7,E18&lt;=45),(O4-(W14*2)),0))</f>
        <v>48</v>
      </c>
      <c r="AE10" t="s">
        <v>148</v>
      </c>
      <c r="AO10" s="27" t="s">
        <v>47</v>
      </c>
      <c r="AP10" s="21">
        <v>1</v>
      </c>
      <c r="AQ10" s="7" t="s">
        <v>27</v>
      </c>
    </row>
    <row r="11" spans="3:43" ht="15" thickBot="1" x14ac:dyDescent="0.35">
      <c r="D11" s="6" t="s">
        <v>21</v>
      </c>
      <c r="M11" s="19"/>
      <c r="N11" s="167" t="s">
        <v>159</v>
      </c>
      <c r="O11" s="186"/>
      <c r="P11" s="186"/>
      <c r="Q11" s="186"/>
      <c r="R11" s="186"/>
      <c r="S11" s="186"/>
      <c r="T11" s="186"/>
      <c r="U11" s="186"/>
      <c r="V11" s="186"/>
      <c r="W11" s="168"/>
      <c r="AC11" s="8">
        <f>IF(E18&lt;=7,(N4-T14*2),IF(AND(E18&gt;7,E18&lt;=27),(N4-(T14*2)),IF(AND(E18&gt;27,E18&lt;=45),(N4-(T14*4))*0)))</f>
        <v>18</v>
      </c>
      <c r="AD11" s="8">
        <f>IF(E18&lt;=7,(O4-(U14*2)),IF(AND(E18&gt;7,E18&lt;=45),(O4-(W14*4)),0))</f>
        <v>48</v>
      </c>
      <c r="AE11" t="s">
        <v>149</v>
      </c>
      <c r="AO11" s="22" t="s">
        <v>44</v>
      </c>
      <c r="AP11" s="23">
        <v>0.85</v>
      </c>
      <c r="AQ11" s="19"/>
    </row>
    <row r="12" spans="3:43" ht="15" thickBot="1" x14ac:dyDescent="0.35">
      <c r="D12" s="6" t="s">
        <v>182</v>
      </c>
      <c r="M12" s="19"/>
      <c r="N12" s="167" t="s">
        <v>56</v>
      </c>
      <c r="O12" s="168"/>
      <c r="P12" s="167" t="s">
        <v>57</v>
      </c>
      <c r="Q12" s="168"/>
      <c r="R12" s="167" t="s">
        <v>59</v>
      </c>
      <c r="S12" s="168"/>
      <c r="T12" s="167" t="s">
        <v>58</v>
      </c>
      <c r="U12" s="168"/>
      <c r="V12" s="167" t="s">
        <v>60</v>
      </c>
      <c r="W12" s="168"/>
      <c r="AO12" s="27" t="s">
        <v>46</v>
      </c>
      <c r="AP12" s="23">
        <f>IF(AQ12="(enclosed)",-0.18,IF(AQ12="(Partially Enclosed)",-0.55,IF(AQ12="(open)",0,)))</f>
        <v>-0.18</v>
      </c>
      <c r="AQ12" s="19" t="s">
        <v>43</v>
      </c>
    </row>
    <row r="13" spans="3:43" x14ac:dyDescent="0.3">
      <c r="D13" s="27" t="s">
        <v>185</v>
      </c>
      <c r="E13" s="20">
        <v>130</v>
      </c>
      <c r="F13" s="55" t="s">
        <v>22</v>
      </c>
      <c r="G13" s="2"/>
      <c r="H13" s="52"/>
      <c r="M13" s="19"/>
      <c r="N13" s="91" t="s">
        <v>146</v>
      </c>
      <c r="O13" s="92" t="s">
        <v>147</v>
      </c>
      <c r="P13" s="91" t="s">
        <v>146</v>
      </c>
      <c r="Q13" s="92" t="s">
        <v>147</v>
      </c>
      <c r="R13" s="91" t="s">
        <v>146</v>
      </c>
      <c r="S13" s="92" t="s">
        <v>147</v>
      </c>
      <c r="T13" s="91" t="s">
        <v>146</v>
      </c>
      <c r="U13" s="92" t="s">
        <v>147</v>
      </c>
      <c r="V13" s="91" t="s">
        <v>146</v>
      </c>
      <c r="W13" s="92" t="s">
        <v>147</v>
      </c>
      <c r="AC13">
        <f>IF(N5="transverse / complex",(E15+(E17*((O4/2)/12))),IF(N5="gable / mono",(E15+(E17*((N4/2)/12))),0))</f>
        <v>15.625</v>
      </c>
      <c r="AD13" t="s">
        <v>167</v>
      </c>
      <c r="AO13" s="27" t="s">
        <v>46</v>
      </c>
      <c r="AP13" s="23">
        <f>IF(AQ12="(enclosed)",0.18,IF(AQ12="(Partially Enclosed)",0.55,IF(AQ12="(open)",0)))</f>
        <v>0.18</v>
      </c>
    </row>
    <row r="14" spans="3:43" x14ac:dyDescent="0.3">
      <c r="D14" s="27" t="s">
        <v>23</v>
      </c>
      <c r="E14" s="14" t="s">
        <v>37</v>
      </c>
      <c r="F14" s="55"/>
      <c r="G14" s="2"/>
      <c r="H14" s="2"/>
      <c r="M14" s="22" t="s">
        <v>162</v>
      </c>
      <c r="N14" s="60" t="s">
        <v>163</v>
      </c>
      <c r="O14" s="88" t="s">
        <v>163</v>
      </c>
      <c r="P14" s="60">
        <f>IF(MIN(AC5,AD5)&lt;3,3,MIN(AC5,AD5))</f>
        <v>3</v>
      </c>
      <c r="Q14" s="88">
        <f>IF(MIN(AC6,AD6)&lt;3,3,MIN(AC6,AD6))</f>
        <v>6</v>
      </c>
      <c r="R14" s="60" t="s">
        <v>163</v>
      </c>
      <c r="S14" s="88" t="s">
        <v>163</v>
      </c>
      <c r="T14" s="60">
        <f>IF(MIN(AC7,AD7)&lt;3,3,MIN(AC7,AD7))</f>
        <v>3</v>
      </c>
      <c r="U14" s="88">
        <f>IF(MIN(AC6,AD6)&lt;3,3,MIN(AC6,AD6))</f>
        <v>6</v>
      </c>
      <c r="V14" s="60">
        <f>IF(MIN(AC7,AD7)&lt;3,3,MIN(AC7,AD7))</f>
        <v>3</v>
      </c>
      <c r="W14" s="88">
        <f>IF(MIN(AC6,AD6)&lt;3,3,MIN(AC6,AD6))</f>
        <v>6</v>
      </c>
      <c r="AC14">
        <f>E15+E19</f>
        <v>15</v>
      </c>
      <c r="AD14" t="s">
        <v>168</v>
      </c>
      <c r="AO14" s="27" t="s">
        <v>48</v>
      </c>
      <c r="AP14" s="23" t="str">
        <f>IF(AND(AP3="B",AP4&lt;=15),"1",IF(AND(AP3="B",AP4=20),"1",IF(AND(AP3="B",AP4=25),"1",IF(AND(AP3="B",AP4=30),"1",IF(AND(AP3="B",AP4=35),"1.05",IF(AND(AP3="B",AP4=40),"1.09",IF(AND(AP3="B",AP4=45),"1.12",IF(AND(AP3="B",AP4=50),"1.16",IF(AND(AP3="B",AP4=55),"1.19",IF(AND(AP3="B",AP4=60),"1.22",IF(AND(AP3="C",AP4&lt;=15),"1.21",IF(AND(AP3="C",AP4=20),"1.29",IF(AND(AP3="C",AP4=25),"1.35",IF(AND(AP3="C",AP4=30),"1.4",IF(AND(AP3="C",AP4=35),"1.45",IF(AND(AP3="C",AP4=40),"1.49",IF(AND(AP3="C",AP4=45),"1.53",IF(AND(AP3="C",AP4=50),"1.56",IF(AND(AP3="C",AP4=55),"1.59",IF(AND(AP3="C",AP4=60),"1.62",IF(AND(AP3="D",AP4&lt;=15),"1.47",IF(AND(AP3="D",AP4=20),"1.55",IF(AND(AP3="D",AP4=25),"1.61",IF(AND(AP3="D",AP4=30),"1.66",IF(AND(AP3="D",AP4=35),"1.7",IF(AND(AP3="D",AP4=40),"1.74",IF(AND(AP3="D",AP4=45),"1.78",IF(AND(AP3="D",AP4=50),"1.81",IF(AND(AP3="D",AP4=55),"1.84",IF(AND(AP3="D",AP4=60),"1.87",0))))))))))))))))))))))))))))))</f>
        <v>1.21</v>
      </c>
    </row>
    <row r="15" spans="3:43" ht="15" thickBot="1" x14ac:dyDescent="0.35">
      <c r="D15" s="27" t="s">
        <v>126</v>
      </c>
      <c r="E15" s="20">
        <v>15</v>
      </c>
      <c r="F15" s="54" t="s">
        <v>125</v>
      </c>
      <c r="M15" s="22" t="s">
        <v>152</v>
      </c>
      <c r="N15" s="89">
        <f>SUM(N4-P15*2)</f>
        <v>18</v>
      </c>
      <c r="O15" s="90">
        <f>SUM(O4-Q15*2)</f>
        <v>48</v>
      </c>
      <c r="P15" s="89">
        <f>IF(MIN(AC5,AD5)&lt;3,3,MIN(AC5,AD5))</f>
        <v>3</v>
      </c>
      <c r="Q15" s="90">
        <f>IF(MIN(AC6,AD6)&lt;3,3,MIN(AC6,AD6))</f>
        <v>6</v>
      </c>
      <c r="R15" s="89">
        <f>IF(AC11&lt;=0,"N/A",IF(E18&lt;=7,(N4-T14*2),IF(AND(E18&gt;7,E18&lt;=27),(N4-(T14*2)),IF(AND(E18&gt;27,E18&lt;=45),(N4-(T14*4)),0))))</f>
        <v>18</v>
      </c>
      <c r="S15" s="90">
        <f>IF(AD11&lt;=0,"N/A",IF(E18&lt;=7,(O4-(U14*2)),IF(E18&gt;7,(O4-(U14*4)),0)))</f>
        <v>48</v>
      </c>
      <c r="T15" s="89">
        <f>IF(AC10&lt;=0,"N/A",IF(E18&lt;=7,(N4-(V15*2)),IF(E18&gt;7,(N4-(V15*4)),0)))</f>
        <v>18</v>
      </c>
      <c r="U15" s="90">
        <f>IF(E18&lt;=7,(O4-(W15*2)),IF(E18&gt;7,(O4-(W15*2)),0))</f>
        <v>48</v>
      </c>
      <c r="V15" s="94">
        <f>IF(MIN(AC5,AD5)&lt;3,3,MIN(AC5,AD5))</f>
        <v>3</v>
      </c>
      <c r="W15" s="95">
        <f>IF(MIN(AC6,AD6)&lt;3,3,MIN(AC6,AD6))</f>
        <v>6</v>
      </c>
      <c r="AO15" s="22" t="s">
        <v>49</v>
      </c>
      <c r="AP15" s="26">
        <f>IF(AND(AP3="B",AP4&lt;30),(2.01*((30+AP8)/1200)^(2/7)),IF(AND(AP3="B",AP4&gt;=30),(2.01*((AP4+AP8)/1200)^(2/7)),IF(AP3="C",(2.01*((AP4+AP8)/900)^(2/9.5)),IF(AP3="D",(2.01*((AP4+AP8)/700)^(2/11.5)),0))))</f>
        <v>0.84888415207790313</v>
      </c>
      <c r="AQ15" s="25"/>
    </row>
    <row r="16" spans="3:43" ht="15" thickBot="1" x14ac:dyDescent="0.35">
      <c r="D16" s="27" t="s">
        <v>74</v>
      </c>
      <c r="E16" s="26">
        <f>IF(E19&gt;0,E15+E19,IF(E18&lt;=10,E15,IF(N5="transverse / complex",(E15+(E17*((O4/2)/12)/2)),IF(N5="gable / mono",(E15+(E17*((N4/2)/12)/2)),E15+E19))))</f>
        <v>15</v>
      </c>
      <c r="P16" s="139" t="s">
        <v>156</v>
      </c>
      <c r="Q16" s="140"/>
      <c r="V16" s="139" t="s">
        <v>156</v>
      </c>
      <c r="W16" s="140"/>
      <c r="AO16" s="22" t="s">
        <v>50</v>
      </c>
      <c r="AP16" s="26">
        <f>(0.6*0.00256*AP15*AP10*AP11*AP9*(AP2^2))</f>
        <v>18.730323217304182</v>
      </c>
      <c r="AQ16" s="25" t="s">
        <v>42</v>
      </c>
    </row>
    <row r="17" spans="1:54" x14ac:dyDescent="0.3">
      <c r="D17" s="22" t="s">
        <v>81</v>
      </c>
      <c r="E17" s="44">
        <v>0.25</v>
      </c>
      <c r="F17" s="56" t="s">
        <v>67</v>
      </c>
    </row>
    <row r="18" spans="1:54" x14ac:dyDescent="0.3">
      <c r="D18" s="27" t="s">
        <v>75</v>
      </c>
      <c r="E18" s="26">
        <f>ATAN(E17/12)*(180/PI())</f>
        <v>1.1934894239820351</v>
      </c>
      <c r="F18" s="56"/>
      <c r="AN18" s="159" t="s">
        <v>118</v>
      </c>
      <c r="AO18" s="159"/>
      <c r="AP18" s="159"/>
      <c r="AQ18" s="159" t="s">
        <v>119</v>
      </c>
      <c r="AR18" s="159"/>
      <c r="AS18" s="159"/>
      <c r="AT18" s="159" t="s">
        <v>120</v>
      </c>
      <c r="AU18" s="159"/>
      <c r="AV18" s="159"/>
      <c r="AW18" s="159" t="s">
        <v>121</v>
      </c>
      <c r="AX18" s="159"/>
      <c r="AY18" s="159"/>
      <c r="AZ18" s="159" t="s">
        <v>122</v>
      </c>
      <c r="BA18" s="159"/>
      <c r="BB18" s="159"/>
    </row>
    <row r="19" spans="1:54" x14ac:dyDescent="0.3">
      <c r="D19" s="27" t="s">
        <v>84</v>
      </c>
      <c r="E19" s="20">
        <v>0</v>
      </c>
      <c r="G19" s="2"/>
      <c r="AM19" s="1" t="s">
        <v>110</v>
      </c>
      <c r="AN19" s="76" t="e">
        <f>(1-0.3*(LOG(E60)-LOG(10))/(LOG(500)-LOG(10)))</f>
        <v>#NUM!</v>
      </c>
      <c r="AO19" s="76" t="e">
        <f>IF(E18&lt;=10,AN19*0.9,AN19)</f>
        <v>#NUM!</v>
      </c>
      <c r="AP19" s="76" t="e">
        <f>AO19-(AP12)</f>
        <v>#NUM!</v>
      </c>
      <c r="AQ19" s="76" t="e">
        <f>(1-0.3*(LOG(E61)-LOG(10))/(LOG(500)-LOG(10)))</f>
        <v>#NUM!</v>
      </c>
      <c r="AR19" s="76" t="e">
        <f>IF(E18&lt;=10,AQ19*0.9,AQ19)</f>
        <v>#NUM!</v>
      </c>
      <c r="AS19" s="76" t="e">
        <f>AR19-(AP12)</f>
        <v>#NUM!</v>
      </c>
      <c r="AT19" s="76" t="e">
        <f>(1-0.3*(LOG(E62)-LOG(10))/(LOG(500)-LOG(10)))</f>
        <v>#NUM!</v>
      </c>
      <c r="AU19" s="76" t="e">
        <f>IF(E18&lt;=10,AT19*0.9,AT19)</f>
        <v>#NUM!</v>
      </c>
      <c r="AV19" s="76" t="e">
        <f>AU19-(AP12)</f>
        <v>#NUM!</v>
      </c>
      <c r="AW19" s="76" t="e">
        <f>(1-0.3*(LOG(E63)-LOG(10))/(LOG(500)-LOG(10)))</f>
        <v>#NUM!</v>
      </c>
      <c r="AX19" s="76" t="e">
        <f>IF(E18&lt;=10,AW19*0.9,AW19)</f>
        <v>#NUM!</v>
      </c>
      <c r="AY19" s="76" t="e">
        <f>AX19-(AP12)</f>
        <v>#NUM!</v>
      </c>
      <c r="AZ19" s="76" t="e">
        <f>(1-0.3*(LOG(E64)-LOG(10))/(LOG(500)-LOG(10)))</f>
        <v>#NUM!</v>
      </c>
      <c r="BA19" s="76" t="e">
        <f>IF(E18&lt;=10,AZ19*0.9,AZ19)</f>
        <v>#NUM!</v>
      </c>
      <c r="BB19" s="76" t="e">
        <f>BA19-(AP12)</f>
        <v>#NUM!</v>
      </c>
    </row>
    <row r="20" spans="1:54" x14ac:dyDescent="0.3">
      <c r="D20" s="27" t="s">
        <v>52</v>
      </c>
      <c r="E20" s="44" t="s">
        <v>53</v>
      </c>
      <c r="F20" s="56"/>
      <c r="AM20" s="1" t="s">
        <v>111</v>
      </c>
      <c r="AN20" s="76" t="e">
        <f>(1-0.3*(LOG(E60)-LOG(10))/(LOG(500)-LOG(10)))</f>
        <v>#NUM!</v>
      </c>
      <c r="AO20" s="76" t="e">
        <f>IF(E18&lt;=10,AN20*0.9,AN20)</f>
        <v>#NUM!</v>
      </c>
      <c r="AP20" s="76" t="e">
        <f>AO20-(AP12)</f>
        <v>#NUM!</v>
      </c>
      <c r="AQ20" s="76" t="e">
        <f>(1-0.3*(LOG(E61)-LOG(10))/(LOG(500)-LOG(10)))</f>
        <v>#NUM!</v>
      </c>
      <c r="AR20" s="76" t="e">
        <f>IF(E18&lt;=10,AQ20*0.9,AQ20)</f>
        <v>#NUM!</v>
      </c>
      <c r="AS20" s="76" t="e">
        <f>AR20-(AP12)</f>
        <v>#NUM!</v>
      </c>
      <c r="AT20" s="76" t="e">
        <f>(1-0.3*(LOG(E62)-LOG(10))/(LOG(500)-LOG(10)))</f>
        <v>#NUM!</v>
      </c>
      <c r="AU20" s="76" t="e">
        <f>IF(E18&lt;=10,AT20*0.9,AT20)</f>
        <v>#NUM!</v>
      </c>
      <c r="AV20" s="76" t="e">
        <f>AU20-(AP12)</f>
        <v>#NUM!</v>
      </c>
      <c r="AW20" s="76" t="e">
        <f>(1-0.3*(LOG(E63)-LOG(10))/(LOG(500)-LOG(10)))</f>
        <v>#NUM!</v>
      </c>
      <c r="AX20" s="76" t="e">
        <f>IF(E18&lt;=10,AW20*0.9,AW20)</f>
        <v>#NUM!</v>
      </c>
      <c r="AY20" s="76" t="e">
        <f>AX20-(AP12)</f>
        <v>#NUM!</v>
      </c>
      <c r="AZ20" s="76" t="e">
        <f>(1-0.3*(LOG(E64)-LOG(10))/(LOG(500)-LOG(10)))</f>
        <v>#NUM!</v>
      </c>
      <c r="BA20" s="76" t="e">
        <f>IF(E18&lt;=10,AZ20*0.9,AZ20)</f>
        <v>#NUM!</v>
      </c>
      <c r="BB20" s="76" t="e">
        <f>BA20-(AP12)</f>
        <v>#NUM!</v>
      </c>
    </row>
    <row r="21" spans="1:54" x14ac:dyDescent="0.3">
      <c r="D21" s="27" t="s">
        <v>131</v>
      </c>
      <c r="E21" s="21">
        <v>1</v>
      </c>
      <c r="F21" s="55" t="s">
        <v>179</v>
      </c>
      <c r="AM21" s="1" t="s">
        <v>112</v>
      </c>
      <c r="AN21" s="76" t="e">
        <f>-(1.1-0.3*(LOG(E60)-LOG(10))/(LOG(500)-LOG(10)))</f>
        <v>#NUM!</v>
      </c>
      <c r="AO21" s="76" t="e">
        <f>IF(E18&lt;=10,AN21*0.9,AN21)</f>
        <v>#NUM!</v>
      </c>
      <c r="AP21" s="76" t="e">
        <f>AO21-(AP13)</f>
        <v>#NUM!</v>
      </c>
      <c r="AQ21" s="76" t="e">
        <f>-(1.1-0.3*(LOG(E61)-LOG(10))/(LOG(500)-LOG(10)))</f>
        <v>#NUM!</v>
      </c>
      <c r="AR21" s="76" t="e">
        <f>IF(E18&lt;=10,AQ21*0.9,AQ21)</f>
        <v>#NUM!</v>
      </c>
      <c r="AS21" s="76" t="e">
        <f>AR21-(AP13)</f>
        <v>#NUM!</v>
      </c>
      <c r="AT21" s="76" t="e">
        <f>-(1.1-0.3*(LOG(E62)-LOG(10))/(LOG(500)-LOG(10)))</f>
        <v>#NUM!</v>
      </c>
      <c r="AU21" s="76" t="e">
        <f>IF(E18&lt;=10,AT21*0.9,AT21)</f>
        <v>#NUM!</v>
      </c>
      <c r="AV21" s="76" t="e">
        <f>AU21-(AP13)</f>
        <v>#NUM!</v>
      </c>
      <c r="AW21" s="76" t="e">
        <f>-(1.1-0.3*(LOG(E63)-LOG(10))/(LOG(500)-LOG(10)))</f>
        <v>#NUM!</v>
      </c>
      <c r="AX21" s="76" t="e">
        <f>IF(E18&lt;=10,AW21*0.9,AW21)</f>
        <v>#NUM!</v>
      </c>
      <c r="AY21" s="76" t="e">
        <f>AX21-(AP13)</f>
        <v>#NUM!</v>
      </c>
      <c r="AZ21" s="76" t="e">
        <f>-(1.1-0.3*(LOG(E64)-LOG(10))/(LOG(500)-LOG(10)))</f>
        <v>#NUM!</v>
      </c>
      <c r="BA21" s="76" t="e">
        <f>IF(E18&lt;=10,AZ21*0.9,AZ21)</f>
        <v>#NUM!</v>
      </c>
      <c r="BB21" s="76" t="e">
        <f>BA21-(AP13)</f>
        <v>#NUM!</v>
      </c>
    </row>
    <row r="22" spans="1:54" x14ac:dyDescent="0.3">
      <c r="D22" s="27" t="s">
        <v>141</v>
      </c>
      <c r="E22" s="51" t="s">
        <v>78</v>
      </c>
      <c r="F22" s="55" t="s">
        <v>36</v>
      </c>
      <c r="AM22" s="1" t="s">
        <v>113</v>
      </c>
      <c r="AN22" s="76" t="e">
        <f>-(1.4-0.6*(LOG(E60)-LOG(10))/(LOG(500)-LOG(10)))</f>
        <v>#NUM!</v>
      </c>
      <c r="AO22" s="76" t="e">
        <f>IF(E18&lt;=10,AN22*0.9,AN22)</f>
        <v>#NUM!</v>
      </c>
      <c r="AP22" s="76" t="e">
        <f>AO22-(AP13)</f>
        <v>#NUM!</v>
      </c>
      <c r="AQ22" s="76" t="e">
        <f>-(1.4-0.6*(LOG(E61)-LOG(10))/(LOG(500)-LOG(10)))</f>
        <v>#NUM!</v>
      </c>
      <c r="AR22" s="76" t="e">
        <f>IF(E18&lt;=10,AQ22*0.9,AQ22)</f>
        <v>#NUM!</v>
      </c>
      <c r="AS22" s="76" t="e">
        <f>AR22-(AP13)</f>
        <v>#NUM!</v>
      </c>
      <c r="AT22" s="76" t="e">
        <f>-(1.4-0.6*(LOG(E62)-LOG(10))/(LOG(500)-LOG(10)))</f>
        <v>#NUM!</v>
      </c>
      <c r="AU22" s="76" t="e">
        <f>IF(E18&lt;=10,AT22*0.9,AT22)</f>
        <v>#NUM!</v>
      </c>
      <c r="AV22" s="76" t="e">
        <f>AU22-(AP13)</f>
        <v>#NUM!</v>
      </c>
      <c r="AW22" s="76" t="e">
        <f>-(1.4-0.6*(LOG(E63)-LOG(10))/(LOG(500)-LOG(10)))</f>
        <v>#NUM!</v>
      </c>
      <c r="AX22" s="76" t="e">
        <f>IF(E18&lt;=10,AW22*0.9,AW22)</f>
        <v>#NUM!</v>
      </c>
      <c r="AY22" s="76" t="e">
        <f>AX22-(AP13)</f>
        <v>#NUM!</v>
      </c>
      <c r="AZ22" s="76" t="e">
        <f>-(1.4-0.6*(LOG(E64)-LOG(10))/(LOG(500)-LOG(10)))</f>
        <v>#NUM!</v>
      </c>
      <c r="BA22" s="76" t="e">
        <f>IF(E18&lt;=10,AZ22*0.9,AZ22)</f>
        <v>#NUM!</v>
      </c>
      <c r="BB22" s="76" t="e">
        <f>BA22-(AP13)</f>
        <v>#NUM!</v>
      </c>
    </row>
    <row r="23" spans="1:54" x14ac:dyDescent="0.3">
      <c r="D23" s="27" t="s">
        <v>48</v>
      </c>
      <c r="E23" s="23">
        <f>IF(AND(E16&lt;=30,E14="B"),1,IF(AND(AND(E16&gt;30),E16&lt;=35,E14="B"),1.05,IF(AND(AND(E16&gt;35),E16&lt;=40,E14="B"),1.09,IF(AND(AND(E16&gt;40),E16&lt;=45,E14="B"),1.12,IF(AND(AND(E16&gt;45),E16&lt;=50,E14="B"),1.16,IF(AND(AND(E16&gt;50),E16&lt;=55,E14="B"),1.19,IF(AND(AND(E16&gt;55),E16&lt;=60,E14="B"),1.22,IF(AND(E16&lt;=15,E14="C"),1.21,IF(AND(AND(E16&gt;15),E16&lt;=20,E14="C"),1.29,IF(AND(AND(E16&gt;20),E16&lt;=25,E14="C"),1.35,IF(AND(AND(E16&gt;25),E16&lt;=30,E14="C"),1.4,IF(AND(AND(E16&gt;30),E16&lt;=35,E14="C"),1.45,IF(AND(AND(E16&gt;35),E16&lt;=40,E14="C"),1.49,IF(AND(AND(E16&gt;40),E16&lt;=45,E14="C"),1.53,IF(AND(AND(E16&gt;45),E16&lt;=50,E14="C"),1.56,IF(AND(AND(E16&gt;50),E16&lt;=55,E14="C"),1.59,IF(AND(AND(E16&gt;55),E16&lt;=60,E14="C"),1.62,IF(AND(E16&lt;=15,E14="d"),1.47,IF(AND(AND(E16&gt;15),E16&lt;=20,E14="d"),1.55,IF(AND(AND(E16&gt;20),E16&lt;=25,E14="d"),1.61,IF(AND(AND(E16&gt;25),E16&lt;=30,E14="d"),1.66,IF(AND(AND(E16&gt;30),E16&lt;=35,E14="d"),1.7,IF(AND(AND(E16&gt;35),E16&lt;=40,E14="d"),1.74,IF(AND(AND(E16&gt;40),E16&lt;=45,E14="d"),1.78,IF(AND(AND(E16&gt;45),E16&lt;=50,E14="d"),1.81,IF(AND(AND(E16&gt;50),E16&lt;=55,E14="d"),1.84,IF(AND(AND(E16&gt;55),E16&lt;=60,E14="d"),1.87,0)))))))))))))))))))))))))))</f>
        <v>1.21</v>
      </c>
      <c r="F23" s="55" t="s">
        <v>243</v>
      </c>
      <c r="AN23" s="159" t="s">
        <v>114</v>
      </c>
      <c r="AO23" s="159"/>
      <c r="AP23" s="159"/>
      <c r="AQ23" s="169" t="s">
        <v>115</v>
      </c>
      <c r="AR23" s="169"/>
      <c r="AS23" s="169"/>
      <c r="AT23" s="169" t="s">
        <v>116</v>
      </c>
      <c r="AU23" s="169"/>
      <c r="AV23" s="169"/>
    </row>
    <row r="24" spans="1:54" ht="15" thickBot="1" x14ac:dyDescent="0.35">
      <c r="A24" t="s">
        <v>241</v>
      </c>
      <c r="AM24" s="1" t="s">
        <v>110</v>
      </c>
      <c r="AN24" s="76" t="e">
        <f>(1-0.3*(LOG(E72)-LOG(10))/(LOG(500)-LOG(10)))</f>
        <v>#NUM!</v>
      </c>
      <c r="AO24" s="76" t="e">
        <f>IF(E18&lt;=10,AN24*0.9,AN24)</f>
        <v>#NUM!</v>
      </c>
      <c r="AP24" s="76" t="e">
        <f>AO24-(AP12)</f>
        <v>#NUM!</v>
      </c>
      <c r="AQ24" s="76" t="e">
        <f>(1-0.3*(LOG(E73)-LOG(10))/(LOG(500)-LOG(10)))</f>
        <v>#VALUE!</v>
      </c>
      <c r="AR24" s="76" t="e">
        <f>IF(E18&lt;=10,AQ24*0.9,AQ24)</f>
        <v>#VALUE!</v>
      </c>
      <c r="AS24" s="76" t="e">
        <f>AR24-(AP12)</f>
        <v>#VALUE!</v>
      </c>
      <c r="AT24" s="76" t="e">
        <f>(1-0.3*(LOG(E74)-LOG(10))/(LOG(500)-LOG(10)))</f>
        <v>#NUM!</v>
      </c>
      <c r="AU24" s="76" t="e">
        <f>IF(E18&lt;=10,AT24*0.9,AT24)</f>
        <v>#NUM!</v>
      </c>
      <c r="AV24" s="76" t="e">
        <f>AU24-(AP12)</f>
        <v>#NUM!</v>
      </c>
    </row>
    <row r="25" spans="1:54" ht="16.2" thickBot="1" x14ac:dyDescent="0.35">
      <c r="A25" s="155" t="s">
        <v>139</v>
      </c>
      <c r="B25" s="156"/>
      <c r="C25" s="156"/>
      <c r="D25" s="156"/>
      <c r="E25" s="156"/>
      <c r="F25" s="156"/>
      <c r="G25" s="156"/>
      <c r="H25" s="156"/>
      <c r="I25" s="157"/>
      <c r="AM25" s="1" t="s">
        <v>111</v>
      </c>
      <c r="AN25" s="76" t="e">
        <f>(1-0.3*(LOG(E72)-LOG(10))/(LOG(500)-LOG(10)))</f>
        <v>#NUM!</v>
      </c>
      <c r="AO25" s="76" t="e">
        <f>IF(E18&lt;=10,AN25*0.9,AN25)</f>
        <v>#NUM!</v>
      </c>
      <c r="AP25" s="76" t="e">
        <f>AO25-(AP12)</f>
        <v>#NUM!</v>
      </c>
      <c r="AQ25" s="76" t="e">
        <f>(1-0.3*(LOG(E73)-LOG(10))/(LOG(500)-LOG(10)))</f>
        <v>#VALUE!</v>
      </c>
      <c r="AR25" s="76" t="e">
        <f>IF(E18&lt;=10,AQ25*0.9,AQ25)</f>
        <v>#VALUE!</v>
      </c>
      <c r="AS25" s="76" t="e">
        <f>AR25-(AP12)</f>
        <v>#VALUE!</v>
      </c>
      <c r="AT25" s="76" t="e">
        <f>(1-0.3*(LOG(E74)-LOG(10))/(LOG(500)-LOG(10)))</f>
        <v>#NUM!</v>
      </c>
      <c r="AU25" s="76" t="e">
        <f>IF(E18&lt;=10,AT25*0.9,AT25)</f>
        <v>#NUM!</v>
      </c>
      <c r="AV25" s="76" t="e">
        <f>AU25-(AP12)</f>
        <v>#NUM!</v>
      </c>
    </row>
    <row r="26" spans="1:54" x14ac:dyDescent="0.3">
      <c r="A26" s="152" t="s">
        <v>62</v>
      </c>
      <c r="B26" s="136" t="s">
        <v>56</v>
      </c>
      <c r="C26" s="133"/>
      <c r="D26" s="133" t="s">
        <v>57</v>
      </c>
      <c r="E26" s="133"/>
      <c r="F26" s="133" t="s">
        <v>59</v>
      </c>
      <c r="G26" s="133"/>
      <c r="H26" s="19"/>
      <c r="I26" s="19"/>
      <c r="AM26" s="1" t="s">
        <v>112</v>
      </c>
      <c r="AN26" s="76" t="e">
        <f>-(1.1-0.3*(LOG(E72)-LOG(10))/(LOG(500)-LOG(10)))</f>
        <v>#NUM!</v>
      </c>
      <c r="AO26" s="76" t="e">
        <f>IF(E18&lt;=10,AN26*0.9,AN26)</f>
        <v>#NUM!</v>
      </c>
      <c r="AP26" s="76" t="e">
        <f>AO26-(AP13)</f>
        <v>#NUM!</v>
      </c>
      <c r="AQ26" s="76" t="e">
        <f>-(1.1-0.3*(LOG(E73)-LOG(10))/(LOG(500)-LOG(10)))</f>
        <v>#VALUE!</v>
      </c>
      <c r="AR26" s="76" t="e">
        <f>IF(E18&lt;=10,AQ26*0.9,AQ26)</f>
        <v>#VALUE!</v>
      </c>
      <c r="AS26" s="76" t="e">
        <f>AR26-(AP13)</f>
        <v>#VALUE!</v>
      </c>
      <c r="AT26" s="76" t="e">
        <f>-(1.1-0.3*(LOG(E74)-LOG(10))/(LOG(500)-LOG(10)))</f>
        <v>#NUM!</v>
      </c>
      <c r="AU26" s="76" t="e">
        <f>IF(E18&lt;=10,AT26*0.9,AT26)</f>
        <v>#NUM!</v>
      </c>
      <c r="AV26" s="76" t="e">
        <f>AU26-(AP13)</f>
        <v>#NUM!</v>
      </c>
    </row>
    <row r="27" spans="1:54" x14ac:dyDescent="0.3">
      <c r="A27" s="153"/>
      <c r="B27" s="48" t="s">
        <v>38</v>
      </c>
      <c r="C27" s="39" t="s">
        <v>39</v>
      </c>
      <c r="D27" s="39" t="s">
        <v>38</v>
      </c>
      <c r="E27" s="39" t="s">
        <v>39</v>
      </c>
      <c r="F27" s="39" t="s">
        <v>38</v>
      </c>
      <c r="G27" s="39" t="s">
        <v>39</v>
      </c>
      <c r="H27" s="19"/>
      <c r="I27" s="19"/>
      <c r="AM27" s="1" t="s">
        <v>113</v>
      </c>
      <c r="AN27" s="76" t="e">
        <f>-(1.4-0.6*(LOG(E72)-LOG(10))/(LOG(500)-LOG(10)))</f>
        <v>#NUM!</v>
      </c>
      <c r="AO27" s="76" t="e">
        <f>IF(E18&lt;=10,AN27*0.9,AN27)</f>
        <v>#NUM!</v>
      </c>
      <c r="AP27" s="76" t="e">
        <f>AO27-(AP13)</f>
        <v>#NUM!</v>
      </c>
      <c r="AQ27" s="76" t="e">
        <f>-(1.4-0.6*(LOG(E73)-LOG(10))/(LOG(500)-LOG(10)))</f>
        <v>#VALUE!</v>
      </c>
      <c r="AR27" s="76" t="e">
        <f>IF(E18&lt;=10,AQ27*0.9,AQ27)</f>
        <v>#VALUE!</v>
      </c>
      <c r="AS27" s="76" t="e">
        <f>AR27-(AP13)</f>
        <v>#VALUE!</v>
      </c>
      <c r="AT27" s="76" t="e">
        <f>-(1.4-0.6*(LOG(E74)-LOG(10))/(LOG(500)-LOG(10)))</f>
        <v>#NUM!</v>
      </c>
      <c r="AU27" s="76" t="e">
        <f>IF(E18&lt;=10,AT27*0.9,AT27)</f>
        <v>#NUM!</v>
      </c>
      <c r="AV27" s="76" t="e">
        <f>AU27-(AP13)</f>
        <v>#NUM!</v>
      </c>
    </row>
    <row r="28" spans="1:54" x14ac:dyDescent="0.3">
      <c r="A28" s="153"/>
      <c r="B28" s="49">
        <f>IF(E18&lt;=7,'7-05 Positive'!B55*E23,IF(AND(E18&gt;7,E18&lt;=27),'7-05 Positive'!E55*E23,IF(AND(E18&gt;27,E18&lt;=45),'7-05 Positive'!H55*E23,0)))</f>
        <v>36.783999999999999</v>
      </c>
      <c r="C28" s="50">
        <f>IF(E18&lt;=7,'7-05 Negative'!B55*E23,IF(AND(E18&gt;7,E18&lt;=27),'7-05 Negative'!E55*E23,IF(AND(E18&gt;27,E18&lt;=45),'7-05 Negative'!H55*E23,0)))</f>
        <v>-39.93</v>
      </c>
      <c r="D28" s="50">
        <f>IF(E18&lt;=7,'7-05 Positive'!B56*E23,IF(AND(E18&gt;7,E18&lt;=27),'7-05 Positive'!E56*E23,IF(AND(E18&gt;27,E18&lt;=45),'7-05 Positive'!H56*E23,0)))</f>
        <v>36.783999999999999</v>
      </c>
      <c r="E28" s="50">
        <f>IF(E18&lt;=7,'7-05 Negative'!B56*E23,IF(AND(E18&gt;7,E18&lt;=27),'7-05 Negative'!E56*E23,IF(AND(E18&gt;27,E18&lt;=45),'7-05 Negative'!H56*E23,0)))</f>
        <v>-49.247</v>
      </c>
      <c r="F28" s="50">
        <f>IF(E18&lt;=7,'7-05 Positive'!B57*E23,IF(AND(E18&gt;7,E18&lt;=27),'7-05 Positive'!E57*E23,IF(AND(E18&gt;27,E18&lt;=45),'7-05 Positive'!H57*E23,0)))</f>
        <v>15.004</v>
      </c>
      <c r="G28" s="50">
        <f>IF(E18&lt;=7,'7-05 Negative'!B57*E23,IF(AND(E18&gt;7,E18&lt;=27),'7-05 Negative'!E57*E23,IF(AND(E18&gt;27,E18&lt;=45),'7-05 Negative'!H57*E23,0)))</f>
        <v>-36.783999999999999</v>
      </c>
      <c r="H28" s="19"/>
      <c r="I28" s="19"/>
    </row>
    <row r="29" spans="1:54" x14ac:dyDescent="0.3">
      <c r="A29" s="153"/>
      <c r="B29" s="25"/>
      <c r="C29" s="25"/>
      <c r="D29" s="25"/>
      <c r="E29" s="25"/>
      <c r="F29" s="25"/>
      <c r="G29" s="25"/>
      <c r="H29" s="25"/>
      <c r="I29" s="25"/>
    </row>
    <row r="30" spans="1:54" x14ac:dyDescent="0.3">
      <c r="A30" s="153"/>
      <c r="B30" s="133" t="s">
        <v>58</v>
      </c>
      <c r="C30" s="133"/>
      <c r="D30" s="134" t="s">
        <v>60</v>
      </c>
      <c r="E30" s="136"/>
      <c r="F30" s="25"/>
      <c r="H30" s="25"/>
      <c r="I30" s="25"/>
    </row>
    <row r="31" spans="1:54" x14ac:dyDescent="0.3">
      <c r="A31" s="153"/>
      <c r="B31" s="39" t="s">
        <v>38</v>
      </c>
      <c r="C31" s="39" t="s">
        <v>39</v>
      </c>
      <c r="D31" s="39" t="s">
        <v>38</v>
      </c>
      <c r="E31" s="39" t="s">
        <v>39</v>
      </c>
      <c r="F31" s="23"/>
      <c r="G31" s="23"/>
      <c r="H31" s="23"/>
      <c r="I31" s="23"/>
    </row>
    <row r="32" spans="1:54" ht="15" thickBot="1" x14ac:dyDescent="0.35">
      <c r="A32" s="154"/>
      <c r="B32" s="50">
        <f>IF(E18&lt;=7,'7-05 Positive'!B58*E23,IF(AND(E18&gt;7,E18&lt;=27),'7-05 Positive'!E58*E23,IF(AND(E18&gt;27,E18&lt;=45),'7-05 Positive'!H58*E23,0)))</f>
        <v>15.004</v>
      </c>
      <c r="C32" s="50">
        <f>IF(AND(E18&lt;=7,E20="no"),'7-05 Negative'!B58*E23,IF(AND(E18&gt;7,AND(E18&lt;=27),E20="no"),'7-05 Negative'!E58*E23,IF(AND(E18&gt;27,AND(E18&lt;=45),E20="no"),'7-05 Negative'!H58*E23,IF(AND(E18&lt;=7,E20="yes"),'7-05 Negative Overhang'!B32*E23,IF(AND(E18&gt;7,AND(E18&lt;=27),E20="yes"),'7-05 Negative Overhang'!E32*E23,IF(AND(E18&gt;27,AND(E18&lt;=45),E20="yes"),'7-05 Negative Overhang'!H32*E23,0))))))</f>
        <v>-61.71</v>
      </c>
      <c r="D32" s="50">
        <f>IF(E18&lt;=7,'7-05 Positive'!B59*E23,IF(AND(E18&gt;7,E18&lt;=27),'7-05 Positive'!E59*E23,IF(AND(E18&gt;27,E18&lt;=45),'7-05 Positive'!H59*E23,0)))</f>
        <v>15.004</v>
      </c>
      <c r="E32" s="50">
        <f>IF(AND(E18&lt;=7,E20="no"),'7-05 Negative'!B59*E23,IF(AND(E18&gt;7,AND(E18&lt;=27),E20="no"),'7-05 Negative'!E59*E23,IF(AND(E18&gt;27,AND(E18&lt;=45),E20="no"),'7-05 Negative'!H59*E23,IF(AND(E18&lt;=7,E20="yes"),'7-05 Negative Overhang'!B33*E23,IF(AND(E18&gt;7,AND(E18&lt;=27),E20="yes"),'7-05 Negative Overhang'!E33*E23,IF(AND(E18&gt;27,AND(E18&lt;=45),E20="yes"),'7-05 Negative Overhang'!H33*E23,0))))))</f>
        <v>-92.927999999999997</v>
      </c>
      <c r="F32" s="23"/>
      <c r="G32" s="23"/>
      <c r="H32" s="23"/>
      <c r="I32" s="23"/>
    </row>
    <row r="33" spans="1:21" x14ac:dyDescent="0.3">
      <c r="A33" s="18"/>
      <c r="B33" s="18"/>
      <c r="C33" s="18"/>
      <c r="D33" s="18"/>
      <c r="E33" s="18"/>
      <c r="F33" s="18"/>
      <c r="G33" s="18"/>
      <c r="H33" s="18"/>
      <c r="I33" s="18"/>
    </row>
    <row r="34" spans="1:21" ht="15" x14ac:dyDescent="0.3">
      <c r="A34" s="37"/>
      <c r="B34" s="18"/>
      <c r="C34" s="22" t="s">
        <v>127</v>
      </c>
      <c r="D34" s="29">
        <f>MIN(C28,E28,G28,C32,E32)</f>
        <v>-92.927999999999997</v>
      </c>
      <c r="E34" s="25" t="s">
        <v>42</v>
      </c>
      <c r="F34" s="18"/>
      <c r="G34" s="18"/>
      <c r="H34" s="16"/>
      <c r="I34" s="16"/>
    </row>
    <row r="35" spans="1:21" x14ac:dyDescent="0.3">
      <c r="L35" s="19"/>
      <c r="M35" s="19"/>
      <c r="N35" s="19"/>
      <c r="O35" s="19"/>
      <c r="P35" s="19"/>
      <c r="Q35" s="19"/>
      <c r="R35" s="19"/>
    </row>
    <row r="36" spans="1:21" x14ac:dyDescent="0.3">
      <c r="A36" s="176" t="s">
        <v>100</v>
      </c>
      <c r="B36" s="176"/>
      <c r="C36" s="176"/>
      <c r="D36" s="176"/>
      <c r="E36" s="176"/>
      <c r="F36" s="176"/>
      <c r="G36" s="176"/>
      <c r="H36" s="176"/>
      <c r="I36" s="176"/>
      <c r="J36" s="19"/>
      <c r="K36" s="134" t="s">
        <v>153</v>
      </c>
      <c r="L36" s="135"/>
      <c r="M36" s="136"/>
      <c r="O36" s="134" t="s">
        <v>154</v>
      </c>
      <c r="P36" s="135"/>
      <c r="Q36" s="136"/>
      <c r="R36" s="19"/>
      <c r="S36" s="134" t="s">
        <v>155</v>
      </c>
      <c r="T36" s="135"/>
      <c r="U36" s="136"/>
    </row>
    <row r="37" spans="1:21" x14ac:dyDescent="0.3">
      <c r="A37" s="173" t="s">
        <v>97</v>
      </c>
      <c r="B37" s="179"/>
      <c r="C37" s="177" t="s">
        <v>104</v>
      </c>
      <c r="D37" s="177"/>
      <c r="G37" s="148" t="s">
        <v>106</v>
      </c>
      <c r="H37" s="148"/>
      <c r="I37" s="148"/>
      <c r="J37" s="19"/>
      <c r="K37" s="19"/>
      <c r="O37" s="19"/>
      <c r="P37" s="19"/>
      <c r="Q37" s="19"/>
      <c r="R37" s="19"/>
    </row>
    <row r="38" spans="1:21" x14ac:dyDescent="0.3">
      <c r="A38" s="173" t="s">
        <v>98</v>
      </c>
      <c r="B38" s="179"/>
      <c r="C38" s="178" t="s">
        <v>105</v>
      </c>
      <c r="D38" s="178"/>
      <c r="G38" s="11" t="s">
        <v>95</v>
      </c>
      <c r="H38" s="120" t="s">
        <v>87</v>
      </c>
      <c r="I38" s="120"/>
    </row>
    <row r="39" spans="1:21" x14ac:dyDescent="0.3">
      <c r="A39" s="173" t="s">
        <v>96</v>
      </c>
      <c r="B39" s="179"/>
      <c r="C39" s="132" t="s">
        <v>103</v>
      </c>
      <c r="D39" s="132"/>
      <c r="G39" s="67" t="s">
        <v>59</v>
      </c>
      <c r="H39" s="133" t="str">
        <f>IF(AND(AND(AND(C39="wood construction"),C38="class c"),E13&lt;=170,C37="non-hvhz"),"N/A",IF(AND(AND(AND(AND(C39="wood construction"),C38="class c"),E13&gt;170),E13&lt;=180,C37="non-hvhz"),"N/A",IF(AND(AND(AND(AND(OR(E15="c",E15="d")),(C39="wood construction"),C38="class c"),E13&gt;180),E13&lt;=200,C37="non-hvhz"),"N/A",IF(AND(AND(AND(AND(E13&lt;=170),C39="wood construction"),OR(C38="class b",C38="CLASS A")),C37="non-hvhz"),"16",IF(AND(AND(AND(AND(AND(E13&gt;170),E13&lt;=180),C39="wood construction"),OR(C38="class b",C38="CLASS A")),C37="non-hvhz"),"18",IF(AND(AND(AND(AND(E13&gt;180,E13&lt;=190),C39="wood construction"),OR(C38="class B",C38="CLASS A")),C37="non-hvhz"),"16",IF(AND(AND(OR(C38="class c",C38="class b",C38="CLASS A")),(C39="steel construction"),E13&lt;=150,C37="non-hvhz"),"18",IF(AND(AND(AND(AND(OR(C38="class c",C38="class b",C38="CLASS A")),C39="steel construction"),E13=200),E15="d",C37="non-hvhz"),"32",IF(AND(AND(AND(AND(OR(C38="class c",C38="class b",C38="CLASS A")),C39="steel construction"),E13=180),E15="d",C37="non-hvhz"),"24",IF(AND(AND(AND(AND(OR(C38="class c",C38="class b",C38="CLASS A",E15="b",E15="c")),C39="steel construction"),E13&gt;190),E13&lt;=200,C37="non-hvhz"),"24",IF(AND(AND(AND(AND(OR(C38="class c",C38="class b",C38="CLASS A")),C39="steel construction"),E13=170),E15="d",C37="non-hvhz"),"18",IF(AND(AND(AND(AND(OR(C38="class c",C38="class b",C38="CLASS A")),C39="steel construction"),E13&gt;150),E13&lt;=180,C37="non-hvhz"),"24",IF(AND(AND(AND(AND(OR(C38="class c",C38="class b",C38="CLASS A",E15="b",E15="c")),C39="steel construction"),E13&gt;180),E13&lt;=190,C37="non-hvhz"),"18",IF(AND(AND(AND(C39="wood construction"),OR(C38="class b",C38="CLASS A")),E13&lt;=190,C37="hvhz"),"18",IF(AND(AND(AND(C39="steel construction"),C38="class b"),E13&lt;=190,C37="hvhz"),"24",IF(AND(AND(AND(C39="steel construction"),C38="class A"),E13&lt;=190,C37="hvhz"),"18",IF(AND(AND(AND(AND(C39="steel construction"),OR(C38="class b",C38="class a")),E13=200),E15="d",C37="hvhz"),"32",IF(AND(AND(AND(AND(C39="steel construction"),OR(C38="class b",C38="class a")),E13=180),E15="d",C37="hvhz"),"24",IF(AND(AND(AND(AND(C39="steel construction"),OR(C38="class b",C38="class a")),E13&gt;190),E13&lt;=200,C37="hvhz"),"24","NG")))))))))))))))))))</f>
        <v>18</v>
      </c>
      <c r="I39" s="133"/>
    </row>
    <row r="40" spans="1:21" x14ac:dyDescent="0.3">
      <c r="G40" s="67" t="s">
        <v>58</v>
      </c>
      <c r="H40" s="133" t="str">
        <f>IF(AND(AND(AND(C39="wood construction"),C38="class c"),E13&lt;=170,C37="non-hvhz"),"N/A",IF(AND(AND(AND(AND(C39="wood construction"),C38="class c"),E13&gt;170),E13&lt;=180,C37="non-hvhz"),"N/A",IF(AND(AND(AND(AND(OR(E15="c",E15="d")),(C39="wood construction"),C38="class c"),E13&gt;180),E13&lt;=200,C37="non-hvhz"),"N/A",IF(AND(AND(AND(AND(E13&lt;=190),C39="wood construction"),OR(C38="class b",C38="CLASS A")),C37="non-hvhz"),"24",IF(AND(AND(OR(C38="class c",C38="class b",C38="CLASS A")),(C39="steel construction"),E13&lt;=150,C37="non-hvhz"),"24",IF(AND(AND(AND(AND(OR(C38="class c",C38="class b",C38="CLASS A")),C39="steel construction"),E13=200),E15="d",C37="non-hvhz"),"48",IF(AND(AND(AND(AND(OR(C38="class c",C38="class b",C38="CLASS A")),C39="steel construction"),E13=180),E15="d",C37="non-hvhz"),"32",IF(AND(AND(AND(AND(OR(C38="class c",C38="class b",C38="CLASS A",E15="b",E15="c")),C39="steel construction"),E13&gt;190),E13&lt;=200,C37="non-hvhz"),"32",IF(AND(AND(AND(AND(OR(C38="class c",C38="class b",C38="CLASS A")),C39="steel construction"),E13=170),E15="d",C37="non-hvhz"),"24",IF(AND(AND(AND(AND(OR(C38="class c",C38="class b",C38="CLASS A")),C39="steel construction"),E13&gt;150),E13&lt;=180,C37="non-hvhz"),"32",IF(AND(AND(AND(AND(OR(C38="class c",C38="class b",C38="CLASS A",E15="b",E15="c")),C39="steel construction"),E13&gt;180),E13&lt;=190,C37="non-hvhz"),"24",IF(AND(AND(AND(C39="wood construction"),OR(C38="class b",C38="CLASS A")),E13&lt;=190,C37="hvhz"),"24",IF(AND(AND(AND(C39="steel construction"),C38="class b"),E13&lt;=190,C37="hvhz"),"32",IF(AND(AND(AND(C39="steel construction"),C38="class A"),E13&lt;=190,C37="hvhz"),"24",IF(AND(AND(AND(AND(C39="steel construction"),OR(C38="class b",C38="class a")),E13=200),E15="d",C37="hvhz"),"48",IF(AND(AND(AND(AND(C39="steel construction"),OR(C38="class b",C38="class a")),E13=180),E15="d",C37="hvhz"),"32",IF(AND(AND(AND(AND(C39="steel construction"),OR(C38="class b",C38="class a")),E13&gt;190),E13&lt;=200,C37="hvhz"),"32","NG")))))))))))))))))</f>
        <v>24</v>
      </c>
      <c r="I40" s="133"/>
    </row>
    <row r="41" spans="1:21" x14ac:dyDescent="0.3">
      <c r="A41" s="173" t="s">
        <v>88</v>
      </c>
      <c r="B41" s="173"/>
      <c r="C41" s="69" t="str">
        <f>IF(AND(C43="Standard EPDM",C37="non-hvhz"),"FL10703-R8",IF(AND(C42="tbd",C37="non-hvhz"),"FL10703-R8",IF(AND(C43="TPO-C",C37="non-hvhz"),"FL12772-R9",IF(AND(C37="hvhz",C43="ng"),"NG",IF(C37="hvhz","FL19566-R3","NG")))))</f>
        <v>FL10703-R8</v>
      </c>
      <c r="D41" s="19"/>
      <c r="G41" s="67" t="s">
        <v>60</v>
      </c>
      <c r="H41" s="133" t="str">
        <f>IF(AND(AND(AND(C39="wood construction"),C38="class c"),E13&lt;=170,C37="non-hvhz"),"N/A",IF(AND(AND(AND(AND(C39="wood construction"),C38="class c"),E13&gt;170),E13&lt;=180,C37="non-hvhz"),"N/A",IF(AND(AND(AND(AND(OR(E15="c",E15="d")),(C39="wood construction"),C38="class c"),E13&gt;180),E13&lt;=200,C37="non-hvhz"),"N/A",IF(AND(AND(AND(AND(E13&lt;=190),C39="wood construction"),OR(C38="class b",C38="CLASS A")),C37="non-hvhz"),"32",IF(AND(AND(OR(C38="class c",C38="class b",C38="CLASS A")),(C39="steel construction"),E13&lt;=150,C37="non-hvhz"),"32",IF(AND(AND(AND(AND(OR(C38="class c",C38="class b",C38="CLASS A")),C39="steel construction"),E13=200),E15="d",C37="non-hvhz"),"60",IF(AND(AND(AND(AND(OR(C38="class c",C38="class b",C38="CLASS A")),C39="steel construction"),E13=180),E15="d",C37="non-hvhz"),"48",IF(AND(AND(AND(AND(OR(C38="class c",C38="class b",C38="CLASS A",E15="b",E15="c")),C39="steel construction"),E13&gt;190),E13&lt;=200,C37="non-hvhz"),"48",IF(AND(AND(AND(AND(OR(C38="class c",C38="class b",C38="CLASS A")),C39="steel construction"),E13=170),E15="d",C37="non-hvhz"),"32",IF(AND(AND(AND(AND(OR(C38="class c",C38="class b",C38="CLASS A")),C39="steel construction"),E13&gt;150),E13&lt;=180,C37="non-hvhz"),"48",IF(AND(AND(AND(AND(OR(C38="class c",C38="class b",C38="CLASS A",E15="b",E15="c")),C39="steel construction"),E13&gt;180),E13&lt;=190,C37="non-hvhz"),"32",IF(AND(AND(AND(C39="wood construction"),OR(C38="class b",C38="CLASS A")),E13&lt;=190,C37="hvhz"),"32",IF(AND(AND(AND(C39="steel construction"),C38="class b"),E13&lt;=190,C37="hvhz"),"42",IF(AND(AND(AND(C39="steel construction"),C38="class A"),E13&lt;=190,C37="hvhz"),"32",IF(AND(AND(AND(AND(C39="steel construction"),OR(C38="class b",C38="class a")),E13=200),E15="d",C37="hvhz"),"60",IF(AND(AND(AND(AND(C39="steel construction"),OR(C38="class b",C38="class a")),E13=180),E15="d",C37="hvhz"),"48",IF(AND(AND(AND(AND(C39="steel construction"),OR(C38="class b",C38="class a")),E13&gt;190),E13&lt;=200,C37="hvhz"),"48","NG")))))))))))))))))</f>
        <v>32</v>
      </c>
      <c r="I41" s="133"/>
    </row>
    <row r="42" spans="1:21" x14ac:dyDescent="0.3">
      <c r="A42" s="173" t="s">
        <v>99</v>
      </c>
      <c r="B42" s="173"/>
      <c r="C42" s="68" t="str">
        <f>IF(AND(AND(AND(C39="wood construction"),C38="class c"),E13&lt;=170,C37="non-hvhz"),"W-11",IF(AND(AND(AND(AND(C39="wood construction"),C38="class c"),E13&gt;170),E13&lt;=180,C37="non-hvhz"),"W-12",IF(AND(AND(AND(AND(OR(E14="c",E14="d")),(C39="wood construction"),C38="class c"),E13&gt;180),E13&lt;=200,C37="non-hvhz"),"W-13",IF(AND(AND(AND(AND(E13&lt;=180),C39="wood construction"),OR(C38="class b",C38="CLASS A")),C37="non-hvhz"),"TBD",IF(AND(AND(AND(AND(E13&gt;180,E13&lt;=190),C39="wood construction"),OR(C38="class B",C38="CLASS A")),C37="non-hvhz"),"TBD",IF(AND(AND(OR(C38="class c",C38="class b",C38="CLASS A")),(C39="steel construction"),E13&lt;=150,C37="non-hvhz"),"SC-33",IF(AND(AND(AND(AND(OR(C38="class c",C38="class b",C38="CLASS A")),C39="steel construction"),E13=200),E14="d",C37="non-hvhz"),"SC-46",IF(AND(AND(AND(AND(OR(C38="class c",C38="class b",C38="CLASS A")),C39="steel construction"),E13=180),E14="d",C37="non-hvhz"),"SC-44",IF(AND(AND(AND(AND(OR(C38="class c",C38="class b",C38="CLASS A",E14="b",E14="c")),C39="steel construction"),E13&gt;190),E13&lt;=200,C37="non-hvhz"),"SC-44",IF(AND(AND(AND(AND(OR(C38="class c",C38="class b",C38="CLASS A")),C39="steel construction"),E13=170),E14="d",C37="non-hvhz"),"SC-39",IF(AND(AND(AND(AND(OR(C38="class c",C38="class b",C38="CLASS A")),C39="steel construction"),E13&gt;150),E13&lt;=180,C37="non-hvhz"),"SC-15",IF(AND(AND(AND(AND(OR(C38="class c",C38="class b",C38="CLASS A",E14="b",E14="c")),C39="steel construction"),E13&gt;180),E13&lt;=190,C37="non-hvhz"),"SC-39",IF(AND(AND(AND(C39="wood construction"),OR(C38="class b",C38="CLASS A")),E13&lt;=180,C37="hvhz"),"TBD",IF(AND(AND(AND(AND(C39="wood construction"),OR(C38="class b",C38="CLASS A")),E13&lt;180),E13&gt;=190,C37="hvhz"),"W-4",IF(AND(AND(AND(C39="steel construction"),C38="class b"),E13&lt;=190,C37="hvhz"),"SC-26",IF(AND(AND(AND(C39="steel construction"),C38="class A"),E13&lt;=190,C37="hvhz"),"TBD",IF(AND(AND(AND(AND(C39="steel construction"),OR(C38="class b",C38="class a")),E13=200),E14="d",C37="hvhz"),"SC-34",IF(AND(AND(AND(AND(C39="steel construction"),OR(C38="class b",C38="class a")),E13=180),E14="d",C37="hvhz"),"SC-33",IF(AND(AND(AND(AND(C39="steel construction"),OR(C38="class b",C38="class a")),E13&gt;190),E13&lt;=200,C37="hvhz"),"SC-33","NG")))))))))))))))))))</f>
        <v>SC-33</v>
      </c>
      <c r="D42" s="19"/>
    </row>
    <row r="43" spans="1:21" x14ac:dyDescent="0.3">
      <c r="A43" s="173" t="s">
        <v>89</v>
      </c>
      <c r="B43" s="173"/>
      <c r="C43" s="19" t="str">
        <f>IF(AND(AND(AND(C39="wood construction"),C38="class c"),E13&lt;=170,C37="non-hvhz"),"Standard EPDM",IF(AND(AND(AND(AND(C39="wood construction"),C38="class c"),E13&gt;170),E13&lt;=180,C37="non-hvhz"),"Standard EPDM",IF(AND(AND(AND(AND(OR(E14="c",E14="d")),(C39="wood construction"),C38="class c"),E13&gt;180),E13&lt;=200,C37="non-hvhz"),"Standard EPDM",IF(AND(AND(AND(AND(E13&lt;=180),C39="wood construction"),OR(C38="class b",C38="CLASS A")),C37="non-hvhz"),"Mule-Hide TPO-C",IF(AND(AND(AND(AND(E13&gt;180,E13&lt;=190),C39="wood construction"),OR(C38="class B",C38="CLASS A")),C37="non-hvhz"),"Mule-Hide TPO-C",IF(AND(AND(OR(C38="class c",C38="class b",C38="CLASS A")),(C39="steel construction"),E13&lt;=150,C37="non-hvhz"),"Standard EPDM",IF(AND(AND(AND(AND(OR(C38="class c",C38="class b",C38="CLASS A")),C39="steel construction"),E13=200),E14="d",C37="non-hvhz"),"Standard EPDM",IF(AND(AND(AND(AND(OR(C38="class c",C38="class b",C38="CLASS A")),C39="steel construction"),E13=180),E14="d",C37="non-hvhz"),"Standard EPDM",IF(AND(AND(AND(AND(OR(C38="class c",C38="class b",C38="CLASS A",E14="b",E14="c")),C39="steel construction"),E13&gt;190),E13&lt;=200,C37="non-hvhz"),"Standard EPDM",IF(AND(AND(AND(AND(OR(C38="class c",C38="class b",C38="CLASS A")),C39="steel construction"),E13=170),E14="d",C37="non-hvhz"),"Standard EPDM",IF(AND(AND(AND(AND(OR(C38="class c",C38="class b",C38="CLASS A")),C39="steel construction"),E13&gt;150),E13&lt;=180,C37="non-hvhz"),"Standard EPDM",IF(AND(AND(AND(AND(OR(C38="class c",C38="class b",C38="CLASS A",E14="b",E14="c")),C39="steel construction"),E13&gt;180),E13&lt;=190,C37="non-hvhz"),"Standard EPDM",IF(AND(AND(AND(C39="wood construction"),OR(C38="class b",C38="CLASS A")),E13&lt;=180,C37="hvhz"),"Mule-Hide TPO-C",IF(AND(AND(AND(AND(C39="wood construction"),OR(C38="class b",C38="CLASS A")),E13&lt;180),E13&gt;=190,C37="hvhz"),"Mule-Hide TPO-C",IF(AND(AND(AND(C39="steel construction"),C38="class b"),E13&lt;=190,C37="hvhz"),"Standard EPDM",IF(AND(AND(AND(C39="steel construction"),C38="class A"),E13&lt;=190,C37="hvhz"),"Standard EPDM",IF(AND(AND(AND(AND(C39="steel construction"),OR(C38="class b",C38="class a")),E13=200),E14="d",C37="hvhz"),"Standard EPDM",IF(AND(AND(AND(AND(C39="steel construction"),OR(C38="class b",C38="class a")),E13=180),E14="d",C37="hvhz"),"Standard EPDM",IF(AND(AND(AND(AND(C39="steel construction"),OR(C38="class b",C38="class a")),E13&gt;190),E13&lt;=200,C37="hvhz"),"Standard EPDM","NG")))))))))))))))))))</f>
        <v>Standard EPDM</v>
      </c>
      <c r="D43" s="19"/>
    </row>
    <row r="44" spans="1:21" x14ac:dyDescent="0.3">
      <c r="A44" s="173" t="s">
        <v>91</v>
      </c>
      <c r="B44" s="173"/>
      <c r="C44" s="19" t="str">
        <f>IF(AND(AND(AND(C39="wood construction"),C38="class c"),E13&lt;=170,C37="non-hvhz"),"None",IF(AND(AND(AND(AND(C39="wood construction"),C38="class c"),E13&gt;170),E13&lt;=180,C37="non-hvhz"),"None",IF(AND(AND(AND(AND(OR(E14="c",E14="d")),(C39="wood construction"),C38="class c"),E13&gt;180),E13&lt;=200,C37="non-hvhz"),"Standard EPDM",IF(AND(AND(AND(AND(E13&lt;=180),C39="wood construction"),OR(C38="class b",C38="CLASS A")),C37="non-hvhz"),"1/2"" Dens Deck Prime",IF(AND(AND(AND(AND(E13&gt;180,E13&lt;=190),C39="wood construction"),OR(C38="class B",C38="CLASS A")),C37="non-hvhz"),"1/2"" Securock",IF(AND(AND(OR(C38="class c",C38="class b",C38="CLASS A")),(C39="steel construction"),E13&lt;=150,C37="non-hvhz"),"1/2"" Dens Deck Prime",IF(AND(AND(AND(AND(OR(C38="class c",C38="class b",C38="CLASS A")),C39="steel construction"),E13=200),E14="d",C37="non-hvhz"),"None",IF(AND(AND(AND(AND(OR(C38="class c",C38="class b",C38="CLASS A")),C39="steel construction"),E13=180),E14="d",C37="non-hvhz"),"None",IF(AND(AND(AND(AND(OR(C38="class c",C38="class b",C38="CLASS A",E14="b",E14="c")),C39="steel construction"),E13&gt;190),E13&lt;=200,C37="non-hvhz"),"None",IF(AND(AND(AND(AND(OR(C38="class c",C38="class b",C38="CLASS A")),C39="steel construction"),E13=170),E14="d",C37="non-hvhz"),"1/2"" Securock",IF(AND(AND(AND(AND(OR(C38="class c",C38="class b",C38="CLASS A")),C39="steel construction"),E13&gt;150),E13&lt;=180,C37="non-hvhz"),"1/2"" Dens Deck Prime",IF(AND(AND(AND(AND(OR(C38="class c",C38="class b",C38="CLASS A",E14="b",E14="c")),C39="steel construction"),E13&gt;180),E13&lt;=190,C37="non-hvhz"),"1/2"" Securock",IF(AND(AND(AND(C39="wood construction"),OR(C38="class b",C38="CLASS A")),E13&lt;=180,C37="hvhz"),"1/2"" Dens Deck Prime",IF(AND(AND(AND(AND(C39="wood construction"),OR(C38="class b",C38="CLASS A")),E13&lt;180),E13&gt;=190,C37="hvhz"),"1/2"" Securock",IF(AND(AND(AND(C39="steel construction"),C38="class b"),E13&lt;=190,C37="hvhz"),"None",IF(AND(AND(AND(C39="steel construction"),C38="class A"),E13&lt;=190,C37="hvhz"),"1/2"" Securock",IF(AND(AND(AND(AND(C39="steel construction"),OR(C38="class b",C38="class a")),E13=200),E14="d",C37="hvhz"),"None",IF(AND(AND(AND(AND(C39="steel construction"),OR(C38="class b",C38="class a")),E13=180),E14="d",C37="hvhz"),"None",IF(AND(AND(AND(AND(C39="steel construction"),OR(C38="class b",C38="class a")),E13&gt;190),E13&lt;=200,C37="hvhz"),"None","NG")))))))))))))))))))</f>
        <v>1/2" Dens Deck Prime</v>
      </c>
      <c r="D44" s="19"/>
    </row>
    <row r="45" spans="1:21" x14ac:dyDescent="0.3">
      <c r="A45" s="173" t="s">
        <v>92</v>
      </c>
      <c r="B45" s="173"/>
      <c r="C45" s="7" t="str">
        <f>IF(AND(AND(AND(C39="wood construction"),C38="class c"),E13&lt;=170,C37="non-hvhz"),"None",IF(AND(AND(AND(AND(C39="wood construction"),C38="class c"),E13&gt;170),E13&lt;=180,C37="non-hvhz"),"None",IF(AND(AND(AND(AND(OR(E14="c",E14="d")),(C39="wood construction"),C38="class c"),E13&gt;180),E13&lt;=200,C37="non-hvhz"),"None",IF(AND(AND(AND(AND(E13&lt;=180),C39="wood construction"),OR(C38="class b",C38="CLASS A")),C37="non-hvhz"),"None",IF(AND(AND(AND(AND(E13&gt;180,E13&lt;=190),C39="wood construction"),OR(C38="class B",C38="CLASS A")),C37="non-hvhz"),"None",IF(AND(AND(OR(C38="class c",C38="class b",C38="CLASS A")),(C39="steel construction"),E13&lt;=150,C37="non-hvhz"),"Min. 1"" Polyiso Mule-Hide ISO 1 loose laid",IF(AND(AND(AND(AND(OR(C38="class c",C38="class b",C38="CLASS A")),C39="steel construction"),E13=200),E14="d",C37="non-hvhz"),"Min. 2"" SecureShield",IF(AND(AND(AND(AND(OR(C38="class c",C38="class b",C38="CLASS A")),C39="steel construction"),E13=170),E14="d",C37="non-hvhz"),"Min. 1"" Polyiso Mule-Hide ISO 1 loose laid",IF(AND(AND(AND(AND(OR(C38="class c",C38="class b",C38="CLASS A")),C39="steel construction"),E13&gt;150),E13&lt;=180,C37="non-hvhz"),"Min. 1-1/2"" Polyiso Mule-Hide ISO 1 loose laid",IF(AND(AND(AND(AND(OR(C38="class c",C38="class b",C38="CLASS A",E14="b",E14="c")),C39="steel construction"),E13&gt;180),E13&lt;=190,C37="non-hvhz"),"Min. 1"" Polyiso Mule-Hide ISO 1 loose laid",IF(AND(AND(AND(C39="wood construction"),OR(C38="class b",C38="CLASS A")),E13&lt;=180,C37="hvhz"),"None",IF(AND(AND(AND(AND(C39="wood construction"),OR(C38="class b",C38="CLASS A")),E13&lt;180),E13&gt;=190,C37="hvhz"),"None",IF(AND(AND(AND(C39="steel construction"),C38="class b"),E13&lt;=190,C37="hvhz"),"Min. 2"" Polyiso Mule-Hide ISO 1",IF(AND(AND(AND(C39="steel construction"),C38="class A"),E13&lt;=190,C37="hvhz"),"Min. 1"" Polyiso Mule-Hide ISO 1 loose laid",IF(AND(AND(AND(AND(C39="steel construction"),OR(C38="class b",C38="class a")),E13=200),E14="d",C37="hvhz"),"Min. 2"" SecureShield",IF(AND(AND(AND(AND(C39="steel construction"),OR(C38="class b",C38="class a")),E13=180),E14="d",C37="hvhz"),"Min. 2"" SecureShield",IF(AND(AND(AND(AND(C39="steel construction"),OR(C38="class b",C38="class a")),E13&gt;190),E13&lt;=200,C37="hvhz"),"Min. 2"" SecureShield","NG")))))))))))))))))</f>
        <v>Min. 1" Polyiso Mule-Hide ISO 1 loose laid</v>
      </c>
      <c r="D45" s="19"/>
      <c r="E45" s="71"/>
    </row>
    <row r="46" spans="1:21" x14ac:dyDescent="0.3">
      <c r="A46" s="173" t="s">
        <v>90</v>
      </c>
      <c r="B46" s="173"/>
      <c r="C46" s="19" t="str">
        <f>IF(AND(AND(AND(C39="wood construction"),C38="class c"),E13&lt;=170,C37="non-hvhz"),"Min. 15/32"" CDX Plywood",IF(AND(AND(AND(AND(C39="wood construction"),C38="class c"),E13&gt;170),E13&lt;=180,C37="non-hvhz"),"15/32"" OSB",IF(AND(AND(AND(AND(OR(E14="c",E14="d")),(C39="wood construction"),C38="class c"),E13&gt;180),E13&lt;=200,C37="non-hvhz"),"Min. 7/16"" OSB",IF(AND(AND(AND(AND(E13&lt;=180),C39="wood construction"),OR(C38="class b",C38="CLASS A")),C37="non-hvhz"),"Min. 19/32"" CDX Plywood",IF(AND(AND(AND(AND(E13&gt;180,E13&lt;=190),C39="wood construction"),OR(C38="class B",C38="CLASS A")),C37="non-hvhz"),"Min. 19/32"" CDX Plywood",IF(AND(AND(OR(C38="class c",C38="class b",C38="CLASS A")),(C39="steel construction"),E13&lt;=150,C37="non-hvhz"),"Min. 22ga. Type B, Grade 33 Deck",IF(AND(AND(AND(AND(OR(C38="class c",C38="class b",C38="CLASS A")),C39="steel construction"),E13=200),E14="d",C37="non-hvhz"),"Min. 22ga. Type B, Grade 33 Deck",IF(AND(AND(AND(AND(OR(C38="class c",C38="class b",C38="CLASS A")),C39="steel construction"),E13=180),E14="d",C37="non-hvhz"),"Min. 22ga. Type B, Grade 33 Deck",IF(AND(AND(AND(AND(OR(C38="class c",C38="class b",C38="CLASS A",E14="b",E14="c")),C39="steel construction"),E13&gt;190),E13&lt;=200,C37="non-hvhz"),"Min. 22ga. Type B, Grade 33 Deck",IF(AND(AND(AND(AND(OR(C38="class c",C38="class b",C38="CLASS A")),C39="steel construction"),E13=170),E14="d",C37="non-hvhz"),"Min. 22ga. Type B, Grade 33 Deck",IF(AND(AND(AND(AND(OR(C38="class c",C38="class b",C38="CLASS A")),C39="steel construction"),E13&gt;150),E13&lt;=180,C37="non-hvhz"),"Min. 22ga. Type B, Grade 33 Deck",IF(AND(AND(AND(AND(OR(C38="class c",C38="class b",C38="CLASS A",E14="b",E14="c")),C39="steel construction"),E13&gt;180),E13&lt;=190,C37="non-hvhz"),"Min. 22ga. Type B, Grade 33 Deck",IF(AND(AND(AND(C39="wood construction"),OR(C38="class b",C38="CLASS A")),E13&lt;=180,C37="hvhz"),"Min. 19/32"" CDX Plywood",IF(AND(AND(AND(AND(C39="wood construction"),OR(C38="class b",C38="CLASS A")),E13&lt;180),E13&gt;=190,C37="hvhz"),"Min. 19/32"" CDX Plywood",IF(AND(AND(AND(C39="steel construction"),C38="class b"),E13&lt;=190,C37="hvhz"),"Min. 22ga. Type B, Grade 33 Deck",IF(AND(AND(AND(C39="steel construction"),C38="class A"),E13&lt;=190,C37="hvhz"),"Min. 22ga. Type B, Grade 33 Deck",IF(AND(AND(AND(AND(C39="steel construction"),OR(C38="class b",C38="class a")),E13=200),E14="d",C37="hvhz"),"Min. 22ga. Type B, Grade 33 Deck",IF(AND(AND(AND(AND(C39="steel construction"),OR(C38="class b",C38="class a")),E13=180),E14="d",C37="hvhz"),"Min. 22ga. Type B, Grade 33 Deck",IF(AND(AND(AND(AND(C39="steel construction"),OR(C38="class b",C38="class a")),E13&gt;190),E13&lt;=200,C37="hvhz"),"Min. 22ga. Type B, Grade 33 Deck","NG")))))))))))))))))))</f>
        <v>Min. 22ga. Type B, Grade 33 Deck</v>
      </c>
      <c r="D46" s="19"/>
    </row>
    <row r="47" spans="1:21" x14ac:dyDescent="0.3">
      <c r="A47" s="173" t="s">
        <v>93</v>
      </c>
      <c r="B47" s="173"/>
      <c r="C47" s="19" t="str">
        <f>IF(AND(AND(AND(C39="wood construction"),C38="class c"),E13&lt;=170,C37="non-hvhz"),"Mule-Hide FR Adhesive",IF(AND(AND(AND(AND(C39="wood construction"),C38="class c"),E13&gt;170),E13&lt;=180,C37="non-hvhz"),"Mule-Hide FR Adhesive",IF(AND(AND(AND(AND(OR(E14="c",E14="d")),(C39="wood construction"),C38="class c"),E13&gt;180),E13&lt;=200,C37="non-hvhz"),"Mule-Hide FR Adhesive",IF(AND(AND(AND(AND(E13&lt;=180),C39="wood construction"),OR(C38="class b",C38="CLASS A")),C37="non-hvhz"),"Mule-Hide TPO-C Bonding Adhesive",IF(AND(AND(AND(AND(E13&gt;180,E13&lt;=190),C39="wood construction"),OR(C38="class B",C38="CLASS A")),C37="non-hvhz"),"Mule-Hide TPO-C Bonding Adhesive",IF(AND(AND(OR(C38="class c",C38="class b",C38="CLASS A")),(C39="steel construction"),E13&lt;=150,C37="non-hvhz"),"Mule-Hide Bonding Adhesive",IF(AND(AND(AND(AND(OR(C38="class c",C38="class b",C38="CLASS A")),C39="steel construction"),E13=200),E14="d",C37="non-hvhz"),"Mule-Hide Bonding Adhesive",IF(AND(AND(AND(AND(OR(C38="class c",C38="class b",C38="CLASS A")),C39="steel construction"),E13=180),E14="d",C37="non-hvhz"),"Mule-Hide Bonding Adhesive",IF(AND(AND(AND(AND(OR(C38="class c",C38="class b",C38="CLASS A",E14="b",E14="c")),C39="steel construction"),E13&gt;190),E13&lt;=200,C37="non-hvhz"),"Mule-Hide Bonding Adhesive",IF(AND(AND(AND(AND(OR(C38="class c",C38="class b",C38="CLASS A")),C39="steel construction"),E13=170),E14="d",C37="non-hvhz"),"Mule-Hide Bonding Adhesive",IF(AND(AND(AND(AND(OR(C38="class c",C38="class b",C38="CLASS A")),C39="steel construction"),E13&gt;150),E13&lt;=180,C37="non-hvhz"),"Mule-Hide Bonding Adhesive",IF(AND(AND(AND(AND(OR(C38="class c",C38="class b",C38="CLASS A",E14="b",E14="c")),C39="steel construction"),E13&gt;180),E13&lt;=190,C37="non-hvhz"),"Mule-Hide Bonding Adhesive",IF(AND(AND(AND(C39="wood construction"),OR(C38="class b",C38="CLASS A")),E13&lt;=180,C37="hvhz"),"Mule-Hide TPO-C Bonding Adhesive or Low VOC Bonding Adhesive",IF(AND(AND(AND(AND(C39="wood construction"),OR(C38="class b",C38="CLASS A")),E13&lt;180),E13&gt;=190,C37="hvhz"),"Mule-Hide TPO-C Bonding Adhesive or Low VOC Bonding Adhesive",IF(AND(AND(AND(C39="steel construction"),C38="class b"),E13&lt;=190,C37="hvhz"),"Mule-Hide Bonding Adhesive",IF(AND(AND(AND(C39="steel construction"),C38="class A"),E13&lt;=190,C37="hvhz"),"Mule-Hide Bonding Adhesive",IF(AND(AND(AND(AND(C39="steel construction"),OR(C38="class b",C38="class a")),E13=200),E14="d",C37="hvhz"),"Mule-Hide Bonding Adhesive",IF(AND(AND(AND(AND(C39="steel construction"),OR(C38="class b",C38="class a")),E13=180),E14="d",C37="hvhz"),"Mule-Hide Bonding Adhesive",IF(AND(AND(AND(AND(C39="steel construction"),OR(C38="class b",C38="class a")),E13&gt;190),E13&lt;=200,C37="hvhz"),"Mule-Hide Bonding Adhesive","NG")))))))))))))))))))</f>
        <v>Mule-Hide Bonding Adhesive</v>
      </c>
      <c r="D47" s="19"/>
    </row>
    <row r="48" spans="1:21" x14ac:dyDescent="0.3">
      <c r="A48" s="173" t="s">
        <v>94</v>
      </c>
      <c r="B48" s="173"/>
      <c r="C48" s="19" t="str">
        <f>IF(AND(AND(AND(C39="wood construction"),C38="class c"),E13&lt;=170,C37="non-hvhz"),"None",IF(AND(AND(AND(AND(C39="wood construction"),C38="class c"),E13&gt;170),E13&lt;=180,C37="non-hvhz"),"None",IF(AND(AND(AND(AND(OR(E14="c",E14="d")),(C39="wood construction"),C38="class c"),E13&gt;180),E13&lt;=200,C37="non-hvhz"),"None",IF(AND(AND(AND(AND(E13&lt;=180),C39="wood construction"),OR(C38="class b",C38="CLASS A")),C37="non-hvhz"),"Mule-Hide HDP Fastener w/ 3"" Deck Plates",IF(AND(AND(AND(AND(E13&gt;180,E13&lt;=190),C39="wood construction"),OR(C38="class B",C38="CLASS A")),C37="non-hvhz"),"Mule-Hide HDP Fastener w/ 3"" Deck Plates",IF(AND(AND(OR(C38="class c",C38="class b",C38="CLASS A")),(C39="steel construction"),E13&lt;=150,C37="non-hvhz"),"Mule-Hide HDP Fastener w/ 3"" Deck Plates",IF(AND(AND(AND(AND(OR(C38="class c",C38="class b",C38="CLASS A")),C39="steel construction"),E13=200),E14="d",C37="non-hvhz"),"Mule-Hide HDP Fastener w/ 3"" Deck Plates",IF(AND(AND(AND(AND(OR(C38="class c",C38="class b",C38="CLASS A")),C39="steel construction"),E13=180),E14="d",C37="non-hvhz"),"Mule-Hide HDP Fastener w/ 3"" Deck Plates",IF(AND(AND(AND(AND(OR(C38="class c",C38="class b",C38="CLASS A",E14="b",E14="c")),C39="steel construction"),E13&gt;190),E13&lt;=200,C37="non-hvhz"),"Mule-Hide HDP Fastener w/ 3"" Deck Plates",IF(AND(AND(AND(AND(OR(C38="class c",C38="class b",C38="CLASS A")),C39="steel construction"),E13=170),E14="d",C37="non-hvhz"),"Mule-Hide HDP Fastener w/ 3"" Deck Plates",IF(AND(AND(AND(AND(OR(C38="class c",C38="class b",C38="CLASS A")),C39="steel construction"),E13&gt;150),E13&lt;=180,C37="non-hvhz"),"Mule-Hide HDP Fastener w/ 3"" Deck Plates",IF(AND(AND(AND(AND(OR(C38="class c",C38="class b",C38="CLASS A",E14="b",E14="c")),C39="steel construction"),E13&gt;180),E13&lt;=190,C37="non-hvhz"),"Mule-Hide HDP Fastener w/ 3"" Deck Plates",IF(AND(AND(AND(C39="wood construction"),OR(C38="class b",C38="CLASS A")),E13&lt;=180,C37="hvhz"),"Mule-Hide Drill Point Fastener w/ 3"" Deck Plates",IF(AND(AND(AND(AND(C39="wood construction"),OR(C38="class b",C38="CLASS A")),E13&lt;180),E13&gt;=190,C37="hvhz"),"Mule-Hide Drill Point Fastener w/ 3"" Deck Plates",IF(AND(AND(AND(C39="steel construction"),C38="class b"),E13&lt;=190,C37="hvhz"),"Mule-Hide HDP Fastener w/ 3"" Deck Plates",IF(AND(AND(AND(C39="steel construction"),C38="class A"),E13&lt;=190,C37="hvhz"),"Mule-Hide HDP Fastener w/ 3"" Deck Plates",IF(AND(AND(AND(AND(C39="steel construction"),OR(C38="class b",C38="class a")),E13=200),E14="d",C37="hvhz"),"Mule-Hide HDP Fastener w/ 3"" Deck Plates",IF(AND(AND(AND(AND(C39="steel construction"),OR(C38="class b",C38="class a")),E13=180),E14="d",C37="hvhz"),"Mule-Hide HDP Fastener w/ 3"" Deck Plates",IF(AND(AND(AND(AND(C39="steel construction"),OR(C38="class b",C38="class a")),E13&gt;190),E13&lt;=200,C37="hvhz"),"Mule-Hide HDP Fastener w/ 3"" Deck Plates","NG")))))))))))))))))))</f>
        <v>Mule-Hide HDP Fastener w/ 3" Deck Plates</v>
      </c>
      <c r="D48" s="19"/>
    </row>
    <row r="49" spans="1:9" x14ac:dyDescent="0.3">
      <c r="G49" s="19"/>
      <c r="H49" s="19"/>
      <c r="I49" s="19"/>
    </row>
    <row r="50" spans="1:9" x14ac:dyDescent="0.3">
      <c r="A50" s="19" t="s">
        <v>101</v>
      </c>
      <c r="B50" s="19"/>
      <c r="C50" s="19"/>
      <c r="D50" s="19"/>
      <c r="E50" s="19"/>
      <c r="F50" s="19"/>
      <c r="G50" s="19"/>
      <c r="H50" s="19"/>
      <c r="I50" s="19"/>
    </row>
    <row r="51" spans="1:9" x14ac:dyDescent="0.3">
      <c r="A51" s="19" t="s">
        <v>102</v>
      </c>
      <c r="B51" s="19"/>
      <c r="C51" s="19"/>
      <c r="D51" s="19"/>
      <c r="E51" s="19"/>
      <c r="F51" s="19"/>
      <c r="G51" s="19"/>
      <c r="H51" s="19"/>
      <c r="I51" s="19"/>
    </row>
    <row r="52" spans="1:9" x14ac:dyDescent="0.3">
      <c r="A52" s="19" t="s">
        <v>109</v>
      </c>
    </row>
    <row r="53" spans="1:9" x14ac:dyDescent="0.3">
      <c r="A53" s="174" t="s">
        <v>117</v>
      </c>
      <c r="B53" s="174"/>
      <c r="C53" s="174"/>
      <c r="D53" s="174"/>
      <c r="E53" s="174"/>
      <c r="F53" s="174"/>
      <c r="G53" s="174"/>
      <c r="H53" s="174"/>
      <c r="I53" s="174"/>
    </row>
    <row r="54" spans="1:9" x14ac:dyDescent="0.3">
      <c r="A54" s="174"/>
      <c r="B54" s="174"/>
      <c r="C54" s="174"/>
      <c r="D54" s="174"/>
      <c r="E54" s="174"/>
      <c r="F54" s="174"/>
      <c r="G54" s="174"/>
      <c r="H54" s="174"/>
      <c r="I54" s="174"/>
    </row>
    <row r="57" spans="1:9" x14ac:dyDescent="0.3">
      <c r="A57" s="133" t="s">
        <v>138</v>
      </c>
      <c r="B57" s="133"/>
      <c r="C57" s="133"/>
      <c r="D57" s="133"/>
    </row>
    <row r="58" spans="1:9" x14ac:dyDescent="0.3">
      <c r="A58" s="120" t="s">
        <v>56</v>
      </c>
      <c r="B58" s="120"/>
      <c r="C58" s="120" t="s">
        <v>57</v>
      </c>
      <c r="D58" s="120"/>
      <c r="E58" s="25"/>
      <c r="F58" s="25"/>
      <c r="G58" s="25"/>
      <c r="H58" s="77"/>
      <c r="I58" s="77"/>
    </row>
    <row r="59" spans="1:9" x14ac:dyDescent="0.3">
      <c r="A59" s="79" t="s">
        <v>107</v>
      </c>
      <c r="B59" s="79" t="s">
        <v>39</v>
      </c>
      <c r="C59" s="79" t="s">
        <v>107</v>
      </c>
      <c r="D59" s="79" t="s">
        <v>39</v>
      </c>
      <c r="E59" s="23"/>
      <c r="F59" s="21"/>
      <c r="G59" s="21"/>
      <c r="H59" s="77"/>
      <c r="I59" s="77"/>
    </row>
    <row r="60" spans="1:9" x14ac:dyDescent="0.3">
      <c r="A60" s="83">
        <f>IF(E18&lt;=7,'7-05 Positive'!B55*E23,IF(AND(E18&gt;7,E18&lt;=27),'7-05 Positive'!E55*E23,IF(AND(E18&gt;27,E18&lt;=45),'7-05 Positive'!H55*E23,0)))</f>
        <v>36.783999999999999</v>
      </c>
      <c r="B60" s="83">
        <f>IF(E18&lt;=7,'7-05 Negative'!B55*E23,IF(AND(E18&gt;7,E18&lt;=27),'7-05 Negative'!E55*E23,IF(AND(E18&gt;27,E18&lt;=45),'7-05 Negative'!H55*E23,0)))</f>
        <v>-39.93</v>
      </c>
      <c r="C60" s="76">
        <f>IF(E18&lt;=7,'7-05 Positive'!B56*E23,IF(AND(E18&gt;7,E18&lt;=27),'7-05 Positive'!E56*E23,IF(AND(E18&gt;27,E18&lt;=45),'7-05 Positive'!H56*E23,0)))</f>
        <v>36.783999999999999</v>
      </c>
      <c r="D60" s="76">
        <f>IF(E18&lt;=7,'7-05 Negative'!B56*E23,IF(AND(E18&gt;7,E18&lt;=27),'7-05 Negative'!E56*E23,IF(AND(E18&gt;27,E18&lt;=45),'7-05 Negative'!H56*E23,0)))</f>
        <v>-49.247</v>
      </c>
      <c r="E60" s="53"/>
      <c r="F60" s="85"/>
      <c r="G60" s="85"/>
      <c r="H60" s="86"/>
      <c r="I60" s="86"/>
    </row>
    <row r="61" spans="1:9" x14ac:dyDescent="0.3">
      <c r="A61" s="19"/>
      <c r="B61" s="23"/>
      <c r="C61" s="23"/>
      <c r="D61" s="23"/>
      <c r="E61" s="53"/>
      <c r="F61" s="85"/>
      <c r="G61" s="85"/>
    </row>
    <row r="62" spans="1:9" x14ac:dyDescent="0.3">
      <c r="A62" s="19"/>
      <c r="B62" s="23"/>
      <c r="C62" s="23"/>
      <c r="D62" s="23"/>
      <c r="E62" s="53"/>
      <c r="F62" s="85"/>
      <c r="G62" s="85"/>
    </row>
    <row r="63" spans="1:9" x14ac:dyDescent="0.3">
      <c r="A63" s="19"/>
      <c r="B63" s="23"/>
      <c r="C63" s="23"/>
      <c r="D63" s="23"/>
      <c r="E63" s="53"/>
      <c r="F63" s="85"/>
      <c r="G63" s="85"/>
    </row>
    <row r="64" spans="1:9" x14ac:dyDescent="0.3">
      <c r="A64" s="19"/>
      <c r="B64" s="23"/>
      <c r="C64" s="23"/>
      <c r="D64" s="23"/>
      <c r="E64" s="53"/>
      <c r="F64" s="85"/>
      <c r="G64" s="85"/>
    </row>
    <row r="65" spans="1:15" x14ac:dyDescent="0.3">
      <c r="A65" s="19"/>
      <c r="B65" s="19"/>
      <c r="C65" s="19"/>
      <c r="D65" s="19"/>
      <c r="E65" s="19"/>
      <c r="F65" s="19"/>
      <c r="G65" s="19"/>
      <c r="H65" s="19"/>
      <c r="I65" s="19"/>
    </row>
    <row r="66" spans="1:15" x14ac:dyDescent="0.3">
      <c r="A66" s="77"/>
      <c r="B66" s="77"/>
      <c r="C66" s="77"/>
      <c r="D66" s="77"/>
      <c r="E66" s="77"/>
      <c r="F66" s="77"/>
      <c r="G66" s="77"/>
      <c r="H66" s="8"/>
      <c r="I66" s="31"/>
    </row>
    <row r="67" spans="1:15" x14ac:dyDescent="0.3">
      <c r="A67" s="77"/>
      <c r="B67" s="77"/>
      <c r="C67" s="77"/>
      <c r="D67" s="77"/>
      <c r="E67" s="77"/>
      <c r="F67" s="77"/>
      <c r="G67" s="77"/>
      <c r="H67" s="8"/>
      <c r="I67" s="77"/>
    </row>
    <row r="68" spans="1:15" x14ac:dyDescent="0.3">
      <c r="A68" s="25"/>
      <c r="B68" s="25"/>
      <c r="C68" s="25"/>
      <c r="D68" s="25"/>
      <c r="E68" s="25"/>
      <c r="F68" s="25"/>
      <c r="G68" s="25"/>
      <c r="H68" s="77"/>
      <c r="I68" s="77"/>
    </row>
    <row r="70" spans="1:15" ht="15" thickBot="1" x14ac:dyDescent="0.35"/>
    <row r="71" spans="1:15" ht="15" thickBot="1" x14ac:dyDescent="0.35">
      <c r="A71" s="141" t="s">
        <v>211</v>
      </c>
      <c r="B71" s="142"/>
      <c r="C71" s="142"/>
      <c r="D71" s="142"/>
      <c r="E71" s="142"/>
      <c r="F71" s="142"/>
      <c r="G71" s="143"/>
      <c r="I71" s="141" t="s">
        <v>220</v>
      </c>
      <c r="J71" s="142"/>
      <c r="K71" s="142"/>
      <c r="L71" s="142"/>
      <c r="M71" s="142"/>
      <c r="N71" s="142"/>
      <c r="O71" s="143"/>
    </row>
    <row r="72" spans="1:15" ht="15" customHeight="1" x14ac:dyDescent="0.3">
      <c r="A72" s="144" t="s">
        <v>209</v>
      </c>
      <c r="B72" s="145"/>
      <c r="C72" s="145"/>
      <c r="D72" s="148" t="s">
        <v>224</v>
      </c>
      <c r="E72" s="148"/>
      <c r="F72" s="148" t="s">
        <v>210</v>
      </c>
      <c r="G72" s="149"/>
      <c r="I72" s="144" t="s">
        <v>219</v>
      </c>
      <c r="J72" s="145"/>
      <c r="K72" s="145"/>
      <c r="L72" s="148" t="s">
        <v>224</v>
      </c>
      <c r="M72" s="148"/>
      <c r="N72" s="148" t="s">
        <v>210</v>
      </c>
      <c r="O72" s="149"/>
    </row>
    <row r="73" spans="1:15" x14ac:dyDescent="0.3">
      <c r="A73" s="118"/>
      <c r="B73" s="119"/>
      <c r="C73" s="119"/>
      <c r="D73" s="11" t="s">
        <v>226</v>
      </c>
      <c r="E73" s="39" t="s">
        <v>225</v>
      </c>
      <c r="F73" s="39">
        <v>4</v>
      </c>
      <c r="G73" s="88">
        <v>5</v>
      </c>
      <c r="I73" s="118"/>
      <c r="J73" s="119"/>
      <c r="K73" s="119"/>
      <c r="L73" s="11" t="s">
        <v>226</v>
      </c>
      <c r="M73" s="39" t="s">
        <v>225</v>
      </c>
      <c r="N73" s="39">
        <v>4</v>
      </c>
      <c r="O73" s="88">
        <v>5</v>
      </c>
    </row>
    <row r="74" spans="1:15" ht="15" customHeight="1" x14ac:dyDescent="0.3">
      <c r="A74" s="118" t="s">
        <v>198</v>
      </c>
      <c r="B74" s="119"/>
      <c r="C74" s="119"/>
      <c r="D74" s="39">
        <v>56</v>
      </c>
      <c r="E74" s="39">
        <v>-73</v>
      </c>
      <c r="F74" s="39" t="str">
        <f>IF(AND(E74&gt;B60,D74&lt;A60),"NG",IF(E74&gt;B60,"Neg NG",IF(D74&lt;A60,"Pos NG","OK")))</f>
        <v>OK</v>
      </c>
      <c r="G74" s="88" t="str">
        <f>IF(AND(E74&gt;D60,D74&lt;C60),"NG",IF(E74&gt;D60,"Neg NG",IF(D74&lt;C60,"Pos NG","OK")))</f>
        <v>OK</v>
      </c>
      <c r="I74" s="118" t="s">
        <v>214</v>
      </c>
      <c r="J74" s="119"/>
      <c r="K74" s="119"/>
      <c r="L74" s="39">
        <v>45</v>
      </c>
      <c r="M74" s="39">
        <v>-45</v>
      </c>
      <c r="N74" s="39" t="str">
        <f>IF(AND(M74&gt;B60,L74&lt;A60),"NG",IF(M74&gt;B60,"Neg NG",IF(L74&lt;A60,"Pos NG","OK")))</f>
        <v>OK</v>
      </c>
      <c r="O74" s="88" t="str">
        <f>IF(AND(M74&gt;D60,L74&lt;C60),"NG",IF(M74&gt;D60,"Neg NG",IF(L74&lt;C60,"Pos NG","OK")))</f>
        <v>Neg NG</v>
      </c>
    </row>
    <row r="75" spans="1:15" ht="30" customHeight="1" x14ac:dyDescent="0.3">
      <c r="A75" s="118" t="s">
        <v>204</v>
      </c>
      <c r="B75" s="119"/>
      <c r="C75" s="119"/>
      <c r="D75" s="39">
        <v>56</v>
      </c>
      <c r="E75" s="39">
        <v>-45</v>
      </c>
      <c r="F75" s="39" t="str">
        <f>IF(AND(E75&gt;B60,D75&lt;A60),"NG",IF(E75&gt;B60,"Neg NG",IF(D75&lt;A60,"Pos NG","OK")))</f>
        <v>OK</v>
      </c>
      <c r="G75" s="88" t="str">
        <f>IF(AND(E75&gt;D60,D75&lt;C60),"NG",IF(E75&gt;D60,"Neg NG",IF(D75&lt;C60,"Pos NG","OK")))</f>
        <v>Neg NG</v>
      </c>
      <c r="I75" s="118" t="s">
        <v>215</v>
      </c>
      <c r="J75" s="119"/>
      <c r="K75" s="119"/>
      <c r="L75" s="39">
        <v>45</v>
      </c>
      <c r="M75" s="39">
        <v>-45</v>
      </c>
      <c r="N75" s="39" t="str">
        <f>IF(AND(M75&gt;B60,L75&lt;A60),"NG",IF(M75&gt;B60,"Neg NG",IF(L75&lt;A60,"Pos NG","OK")))</f>
        <v>OK</v>
      </c>
      <c r="O75" s="88" t="str">
        <f>IF(AND(M75&gt;D60,L75&lt;C60),"NG",IF(M75&gt;D60,"Neg NG",IF(L75&lt;C60,"Pos NG","OK")))</f>
        <v>Neg NG</v>
      </c>
    </row>
    <row r="76" spans="1:15" ht="30" customHeight="1" x14ac:dyDescent="0.3">
      <c r="A76" s="118" t="s">
        <v>199</v>
      </c>
      <c r="B76" s="119"/>
      <c r="C76" s="119"/>
      <c r="D76" s="39">
        <v>56</v>
      </c>
      <c r="E76" s="39">
        <v>-61</v>
      </c>
      <c r="F76" s="39" t="str">
        <f>IF(AND(E76&gt;B60,D76&lt;A60),"NG",IF(E76&gt;B60,"Neg NG",IF(D76&lt;A60,"Pos NG","OK")))</f>
        <v>OK</v>
      </c>
      <c r="G76" s="88" t="str">
        <f>IF(AND(E76&gt;D60,D76&lt;C60),"NG",IF(E76&gt;D60,"Neg NG",IF(D76&lt;C60,"Pos NG","OK")))</f>
        <v>OK</v>
      </c>
      <c r="I76" s="118" t="s">
        <v>212</v>
      </c>
      <c r="J76" s="119"/>
      <c r="K76" s="119"/>
      <c r="L76" s="39">
        <v>75</v>
      </c>
      <c r="M76" s="39">
        <v>-75</v>
      </c>
      <c r="N76" s="39" t="str">
        <f>IF(AND(M76&gt;B60,L76&lt;A60),"NG",IF(M76&gt;B60,"Neg NG",IF(L76&lt;A60,"Pos NG","OK")))</f>
        <v>OK</v>
      </c>
      <c r="O76" s="88" t="str">
        <f>IF(AND(M76&gt;D60,L76&lt;C60),"NG",IF(M76&gt;D60,"Neg NG",IF(L76&lt;C60,"Pos NG","OK")))</f>
        <v>OK</v>
      </c>
    </row>
    <row r="77" spans="1:15" ht="30" customHeight="1" x14ac:dyDescent="0.3">
      <c r="A77" s="118" t="s">
        <v>200</v>
      </c>
      <c r="B77" s="119"/>
      <c r="C77" s="119"/>
      <c r="D77" s="39">
        <v>41</v>
      </c>
      <c r="E77" s="39">
        <v>-37</v>
      </c>
      <c r="F77" s="39" t="str">
        <f>IF(AND(E77&gt;B60,D77&lt;A60),"NG",IF(E77&gt;B60,"Neg NG",IF(D77&lt;A60,"Pos NG","OK")))</f>
        <v>Neg NG</v>
      </c>
      <c r="G77" s="88" t="str">
        <f>IF(AND(E77&gt;D60,D77&lt;C60),"NG",IF(E77&gt;D60,"Neg NG",IF(D77&lt;C60,"Pos NG","OK")))</f>
        <v>Neg NG</v>
      </c>
      <c r="I77" s="118" t="s">
        <v>213</v>
      </c>
      <c r="J77" s="119"/>
      <c r="K77" s="119"/>
      <c r="L77" s="39">
        <v>90</v>
      </c>
      <c r="M77" s="39">
        <v>-90</v>
      </c>
      <c r="N77" s="39" t="str">
        <f>IF(AND(M77&gt;B60,L77&lt;A60),"NG",IF(M77&gt;B60,"Neg NG",IF(L77&lt;A60,"Pos NG","OK")))</f>
        <v>OK</v>
      </c>
      <c r="O77" s="88" t="str">
        <f>IF(AND(M77&gt;D60,L77&lt;C60),"NG",IF(M77&gt;D60,"Neg NG",IF(L77&lt;C60,"Pos NG","OK")))</f>
        <v>OK</v>
      </c>
    </row>
    <row r="78" spans="1:15" ht="30" customHeight="1" x14ac:dyDescent="0.3">
      <c r="A78" s="118" t="s">
        <v>201</v>
      </c>
      <c r="B78" s="119"/>
      <c r="C78" s="119"/>
      <c r="D78" s="39">
        <v>70.180000000000007</v>
      </c>
      <c r="E78" s="39">
        <v>-70.180000000000007</v>
      </c>
      <c r="F78" s="39" t="str">
        <f>IF(AND(E78&gt;B60,D78&lt;A60),"NG",IF(E78&gt;B60,"Neg NG",IF(D78&lt;A60,"Pos NG","OK")))</f>
        <v>OK</v>
      </c>
      <c r="G78" s="88" t="str">
        <f>IF(AND(E78&gt;D60,D78&lt;C60),"NG",IF(E78&gt;D60,"Neg NG",IF(D78&lt;C60,"Pos NG","OK")))</f>
        <v>OK</v>
      </c>
      <c r="I78" s="118" t="s">
        <v>236</v>
      </c>
      <c r="J78" s="119"/>
      <c r="K78" s="119"/>
      <c r="L78" s="39">
        <v>52.5</v>
      </c>
      <c r="M78" s="39">
        <v>-52.5</v>
      </c>
      <c r="N78" s="39" t="str">
        <f>IF(AND(M78&gt;B60,L78&lt;A60),"NG",IF(M78&gt;B60,"Neg NG",IF(L78&lt;A60,"Pos NG","OK")))</f>
        <v>OK</v>
      </c>
      <c r="O78" s="88" t="str">
        <f>IF(AND(M78&gt;D60,L78&lt;C60),"NG",IF(M78&gt;D60,"Neg NG",IF(L78&lt;C60,"Pos NG","OK")))</f>
        <v>OK</v>
      </c>
    </row>
    <row r="79" spans="1:15" ht="30" customHeight="1" x14ac:dyDescent="0.3">
      <c r="A79" s="118" t="s">
        <v>202</v>
      </c>
      <c r="B79" s="119"/>
      <c r="C79" s="119"/>
      <c r="D79" s="39">
        <v>50</v>
      </c>
      <c r="E79" s="39">
        <v>-50</v>
      </c>
      <c r="F79" s="39" t="str">
        <f>IF(AND(E79&gt;B60,D79&lt;A60),"NG",IF(E79&gt;B60,"Neg NG",IF(D79&lt;A60,"Pos NG","OK")))</f>
        <v>OK</v>
      </c>
      <c r="G79" s="88" t="str">
        <f>IF(AND(E79&gt;D60,D79&lt;C60),"NG",IF(E79&gt;D60,"Neg NG",IF(D79&lt;C60,"Pos NG","OK")))</f>
        <v>OK</v>
      </c>
      <c r="I79" s="118" t="s">
        <v>216</v>
      </c>
      <c r="J79" s="119"/>
      <c r="K79" s="119"/>
      <c r="L79" s="39">
        <v>90</v>
      </c>
      <c r="M79" s="39">
        <v>-90</v>
      </c>
      <c r="N79" s="39" t="str">
        <f>IF(AND(M79&gt;B60,L79&lt;A60),"NG",IF(M79&gt;B60,"Neg NG",IF(L79&lt;A60,"Pos NG","OK")))</f>
        <v>OK</v>
      </c>
      <c r="O79" s="88" t="str">
        <f>IF(AND(M79&gt;D60,L79&lt;C60),"NG",IF(M79&gt;D60,"Neg NG",IF(L79&lt;C60,"Pos NG","OK")))</f>
        <v>OK</v>
      </c>
    </row>
    <row r="80" spans="1:15" ht="30" customHeight="1" x14ac:dyDescent="0.3">
      <c r="A80" s="118" t="s">
        <v>203</v>
      </c>
      <c r="B80" s="119"/>
      <c r="C80" s="119"/>
      <c r="D80" s="39">
        <v>75</v>
      </c>
      <c r="E80" s="39">
        <v>-75</v>
      </c>
      <c r="F80" s="39" t="str">
        <f>IF(AND(E80&gt;B60,D80&lt;A60),"NG",IF(E80&gt;B60,"Neg NG",IF(D80&lt;A60,"Pos NG","OK")))</f>
        <v>OK</v>
      </c>
      <c r="G80" s="88" t="str">
        <f>IF(AND(E80&gt;D60,D80&lt;C60),"NG",IF(E80&gt;D60,"Neg NG",IF(D80&lt;C60,"Pos NG","OK")))</f>
        <v>OK</v>
      </c>
      <c r="I80" s="118" t="s">
        <v>217</v>
      </c>
      <c r="J80" s="119"/>
      <c r="K80" s="119"/>
      <c r="L80" s="39">
        <v>52.5</v>
      </c>
      <c r="M80" s="39">
        <v>-52.5</v>
      </c>
      <c r="N80" s="39" t="str">
        <f>IF(AND(M80&gt;B60,L80&lt;A60),"NG",IF(M80&gt;B60,"Neg NG",IF(L80&lt;A60,"Pos NG","OK")))</f>
        <v>OK</v>
      </c>
      <c r="O80" s="88" t="str">
        <f>IF(AND(M80&gt;D60,L80&lt;C60),"NG",IF(M80&gt;D60,"Neg NG",IF(L80&lt;C60,"Pos NG","OK")))</f>
        <v>OK</v>
      </c>
    </row>
    <row r="81" spans="1:15" ht="30" customHeight="1" x14ac:dyDescent="0.3">
      <c r="A81" s="118" t="s">
        <v>205</v>
      </c>
      <c r="B81" s="119"/>
      <c r="C81" s="119"/>
      <c r="D81" s="39">
        <v>50</v>
      </c>
      <c r="E81" s="39">
        <v>-50</v>
      </c>
      <c r="F81" s="39" t="str">
        <f>IF(AND(E81&gt;B60,D81&lt;A60),"NG",IF(E81&gt;B60,"Neg NG",IF(D81&lt;A60,"Pos NG","OK")))</f>
        <v>OK</v>
      </c>
      <c r="G81" s="88" t="str">
        <f>IF(AND(E81&gt;D60,D81&lt;C60),"NG",IF(E81&gt;D60,"Neg NG",IF(D81&lt;C60,"Pos NG","OK")))</f>
        <v>OK</v>
      </c>
      <c r="I81" s="118" t="s">
        <v>218</v>
      </c>
      <c r="J81" s="119"/>
      <c r="K81" s="119"/>
      <c r="L81" s="39">
        <v>50</v>
      </c>
      <c r="M81" s="39">
        <v>-66</v>
      </c>
      <c r="N81" s="39" t="str">
        <f>IF(AND(M81&gt;B60,L81&lt;A60),"NG",IF(M81&gt;B60,"Neg NG",IF(L81&lt;A60,"Pos NG","OK")))</f>
        <v>OK</v>
      </c>
      <c r="O81" s="88" t="str">
        <f>IF(AND(M81&gt;D60,L81&lt;C60),"NG",IF(M81&gt;D60,"Neg NG",IF(L81&lt;C60,"Pos NG","OK")))</f>
        <v>OK</v>
      </c>
    </row>
    <row r="82" spans="1:15" ht="30" customHeight="1" x14ac:dyDescent="0.3">
      <c r="A82" s="118" t="s">
        <v>206</v>
      </c>
      <c r="B82" s="119"/>
      <c r="C82" s="119"/>
      <c r="D82" s="39">
        <v>50</v>
      </c>
      <c r="E82" s="39">
        <v>-50</v>
      </c>
      <c r="F82" s="39" t="str">
        <f>IF(AND(E82&gt;B60,D82&lt;A60),"NG",IF(E82&gt;B60,"Neg NG",IF(D82&lt;A60,"Pos NG","OK")))</f>
        <v>OK</v>
      </c>
      <c r="G82" s="88" t="str">
        <f>IF(AND(E82&gt;D60,D82&lt;C60),"NG",IF(E82&gt;D60,"Neg NG",IF(D82&lt;C60,"Pos NG","OK")))</f>
        <v>OK</v>
      </c>
      <c r="I82" s="118" t="s">
        <v>227</v>
      </c>
      <c r="J82" s="119"/>
      <c r="K82" s="119"/>
      <c r="L82" s="39">
        <v>25</v>
      </c>
      <c r="M82" s="39">
        <v>-25</v>
      </c>
      <c r="N82" s="39" t="str">
        <f>IF(AND(M82&gt;B60,L82&lt;A60),"NG",IF(M82&gt;B60,"Neg NG",IF(L82&lt;A60,"Pos NG","OK")))</f>
        <v>NG</v>
      </c>
      <c r="O82" s="88" t="str">
        <f>IF(AND(M82&gt;D60,L82&lt;C60),"NG",IF(M82&gt;D60,"Neg NG",IF(L82&lt;C60,"Pos NG","OK")))</f>
        <v>NG</v>
      </c>
    </row>
    <row r="83" spans="1:15" ht="30" customHeight="1" x14ac:dyDescent="0.3">
      <c r="A83" s="118" t="s">
        <v>221</v>
      </c>
      <c r="B83" s="119"/>
      <c r="C83" s="119"/>
      <c r="D83" s="39">
        <v>70</v>
      </c>
      <c r="E83" s="39">
        <v>-70</v>
      </c>
      <c r="F83" s="39" t="str">
        <f>IF(AND(E83&gt;B60,D83&lt;A60),"NG",IF(E83&gt;B60,"Neg NG",IF(D83&lt;A60,"Pos NG","OK")))</f>
        <v>OK</v>
      </c>
      <c r="G83" s="88" t="str">
        <f>IF(AND(E74&gt;D60,D74&lt;C60),"NG",IF(E74&gt;D60,"Neg NG",IF(D74&lt;C60,"Pos NG","OK")))</f>
        <v>OK</v>
      </c>
      <c r="I83" s="118" t="s">
        <v>228</v>
      </c>
      <c r="J83" s="119"/>
      <c r="K83" s="119"/>
      <c r="L83" s="39">
        <v>45</v>
      </c>
      <c r="M83" s="39">
        <v>-45</v>
      </c>
      <c r="N83" s="39" t="str">
        <f>IF(AND(M83&gt;B60,L83&lt;A60),"NG",IF(M83&gt;B60,"Neg NG",IF(L83&lt;A60,"Pos NG","OK")))</f>
        <v>OK</v>
      </c>
      <c r="O83" s="88" t="str">
        <f>IF(AND(M83&gt;D60,L83&lt;C60),"NG",IF(M83&gt;D60,"Neg NG",IF(L83&lt;C60,"Pos NG","OK")))</f>
        <v>Neg NG</v>
      </c>
    </row>
    <row r="84" spans="1:15" ht="30" customHeight="1" x14ac:dyDescent="0.3">
      <c r="A84" s="123" t="s">
        <v>222</v>
      </c>
      <c r="B84" s="124"/>
      <c r="C84" s="125"/>
      <c r="D84" s="39">
        <v>60</v>
      </c>
      <c r="E84" s="39">
        <v>-60</v>
      </c>
      <c r="F84" s="39" t="str">
        <f>IF(AND(E84&gt;B60,D84&lt;A60),"NG",IF(E84&gt;B60,"Neg NG",IF(D84&lt;A60,"Pos NG","OK")))</f>
        <v>OK</v>
      </c>
      <c r="G84" s="88" t="str">
        <f>IF(AND(E84&gt;D60,D84&lt;C60),"NG",IF(E84&gt;D60,"Neg NG",IF(D84&lt;C60,"Pos NG","OK")))</f>
        <v>OK</v>
      </c>
      <c r="I84" s="118" t="s">
        <v>229</v>
      </c>
      <c r="J84" s="119"/>
      <c r="K84" s="119"/>
      <c r="L84" s="39">
        <v>60</v>
      </c>
      <c r="M84" s="39">
        <v>-60</v>
      </c>
      <c r="N84" s="39" t="str">
        <f>IF(AND(M84&gt;B60,L84&lt;A60),"NG",IF(M84&gt;B60,"Neg NG",IF(L84&lt;A60,"Pos NG","OK")))</f>
        <v>OK</v>
      </c>
      <c r="O84" s="88" t="str">
        <f>IF(AND(M84&gt;D60,L84&lt;C60),"NG",IF(M84&gt;D60,"Neg NG",IF(L84&lt;C60,"Pos NG","OK")))</f>
        <v>OK</v>
      </c>
    </row>
    <row r="85" spans="1:15" ht="30" customHeight="1" x14ac:dyDescent="0.3">
      <c r="A85" s="123" t="s">
        <v>223</v>
      </c>
      <c r="B85" s="124"/>
      <c r="C85" s="125"/>
      <c r="D85" s="39">
        <v>60</v>
      </c>
      <c r="E85" s="39">
        <v>-60</v>
      </c>
      <c r="F85" s="39" t="str">
        <f>IF(AND(E85&gt;B60,D85&lt;A60),"NG",IF(E85&gt;B60,"Neg NG",IF(D85&lt;A60,"Pos NG","OK")))</f>
        <v>OK</v>
      </c>
      <c r="G85" s="88" t="str">
        <f>IF(AND(E85&gt;D60,D85&lt;C60),"NG",IF(E85&gt;D60,"Neg NG",IF(D85&lt;C60,"Pos NG","OK")))</f>
        <v>OK</v>
      </c>
      <c r="I85" s="118" t="s">
        <v>230</v>
      </c>
      <c r="J85" s="119"/>
      <c r="K85" s="119"/>
      <c r="L85" s="39">
        <v>50</v>
      </c>
      <c r="M85" s="39">
        <v>-50</v>
      </c>
      <c r="N85" s="39" t="str">
        <f>IF(AND(M85&gt;B60,L85&lt;A60),"NG",IF(M85&gt;B60,"Neg NG",IF(L85&lt;A60,"Pos NG","OK")))</f>
        <v>OK</v>
      </c>
      <c r="O85" s="88" t="str">
        <f>IF(AND(M85&gt;D60,L85&lt;C60),"NG",IF(M85&gt;D60,"Neg NG",IF(L85&lt;C60,"Pos NG","OK")))</f>
        <v>OK</v>
      </c>
    </row>
    <row r="86" spans="1:15" ht="30" customHeight="1" x14ac:dyDescent="0.3">
      <c r="A86" s="118" t="s">
        <v>207</v>
      </c>
      <c r="B86" s="119"/>
      <c r="C86" s="119"/>
      <c r="D86" s="39">
        <v>80</v>
      </c>
      <c r="E86" s="39">
        <v>-80</v>
      </c>
      <c r="F86" s="39" t="str">
        <f>IF(AND(E86&gt;B60,D86&lt;A60),"NG",IF(E86&gt;B60,"Neg NG",IF(D86&lt;A60,"Pos NG","OK")))</f>
        <v>OK</v>
      </c>
      <c r="G86" s="88" t="str">
        <f>IF(AND(E86&gt;D60,D86&lt;C60),"NG",IF(E86&gt;D60,"Neg NG",IF(D86&lt;C60,"Pos NG","OK")))</f>
        <v>OK</v>
      </c>
      <c r="I86" s="118" t="s">
        <v>231</v>
      </c>
      <c r="J86" s="119"/>
      <c r="K86" s="119"/>
      <c r="L86" s="39">
        <v>30</v>
      </c>
      <c r="M86" s="39">
        <v>-35</v>
      </c>
      <c r="N86" s="39" t="str">
        <f>IF(AND(M86&gt;B60,L86&lt;A60),"NG",IF(M86&gt;B60,"Neg NG",IF(L86&lt;A60,"Pos NG","OK")))</f>
        <v>NG</v>
      </c>
      <c r="O86" s="88" t="str">
        <f>IF(AND(M86&gt;D60,L86&lt;C60),"NG",IF(M86&gt;D60,"Neg NG",IF(L86&lt;C60,"Pos NG","OK")))</f>
        <v>NG</v>
      </c>
    </row>
    <row r="87" spans="1:15" ht="45" customHeight="1" thickBot="1" x14ac:dyDescent="0.35">
      <c r="A87" s="126" t="s">
        <v>208</v>
      </c>
      <c r="B87" s="127"/>
      <c r="C87" s="127"/>
      <c r="D87" s="109">
        <v>150</v>
      </c>
      <c r="E87" s="109">
        <v>-150</v>
      </c>
      <c r="F87" s="109" t="str">
        <f>IF(AND(E87&gt;B60,D87&lt;A60),"NG",IF(E87&gt;B60,"Neg NG",IF(D87&lt;A60,"Pos NG","OK")))</f>
        <v>OK</v>
      </c>
      <c r="G87" s="90" t="str">
        <f>IF(AND(E87&gt;D60,D87&lt;C60),"NG",IF(E87&gt;D60,"Neg NG",IF(D87&lt;C60,"Pos NG","OK")))</f>
        <v>OK</v>
      </c>
      <c r="I87" s="118" t="s">
        <v>232</v>
      </c>
      <c r="J87" s="119"/>
      <c r="K87" s="119"/>
      <c r="L87" s="39">
        <v>50</v>
      </c>
      <c r="M87" s="39">
        <v>-50</v>
      </c>
      <c r="N87" s="39" t="str">
        <f>IF(AND(M87&gt;B60,L87&lt;A60),"NG",IF(M87&gt;B60,"Neg NG",IF(L87&lt;A60,"Pos NG","OK")))</f>
        <v>OK</v>
      </c>
      <c r="O87" s="88" t="str">
        <f>IF(AND(M87&gt;D60,L87&lt;C60),"NG",IF(M87&gt;D60,"Neg NG",IF(L87&lt;C60,"Pos NG","OK")))</f>
        <v>OK</v>
      </c>
    </row>
    <row r="88" spans="1:15" ht="28.5" customHeight="1" thickBot="1" x14ac:dyDescent="0.35">
      <c r="I88" s="180" t="s">
        <v>233</v>
      </c>
      <c r="J88" s="181"/>
      <c r="K88" s="181"/>
      <c r="L88" s="111">
        <v>60</v>
      </c>
      <c r="M88" s="111">
        <v>-60</v>
      </c>
      <c r="N88" s="111" t="str">
        <f>IF(AND(M88&gt;B60,L88&lt;A60),"NG",IF(M88&gt;B60,"Neg NG",IF(L88&lt;A60,"Pos NG","OK")))</f>
        <v>OK</v>
      </c>
      <c r="O88" s="112" t="str">
        <f>IF(AND(M88&gt;D60,L88&lt;C60),"NG",IF(M88&gt;D60,"Neg NG",IF(L88&lt;C60,"Pos NG","OK")))</f>
        <v>OK</v>
      </c>
    </row>
  </sheetData>
  <mergeCells count="92">
    <mergeCell ref="A87:C87"/>
    <mergeCell ref="A82:C82"/>
    <mergeCell ref="A83:C83"/>
    <mergeCell ref="A84:C84"/>
    <mergeCell ref="A85:C85"/>
    <mergeCell ref="A86:C86"/>
    <mergeCell ref="A79:C79"/>
    <mergeCell ref="A80:C80"/>
    <mergeCell ref="A81:C81"/>
    <mergeCell ref="I79:K79"/>
    <mergeCell ref="I80:K80"/>
    <mergeCell ref="I81:K81"/>
    <mergeCell ref="A76:C76"/>
    <mergeCell ref="A77:C77"/>
    <mergeCell ref="A78:C78"/>
    <mergeCell ref="I76:K76"/>
    <mergeCell ref="I77:K77"/>
    <mergeCell ref="I78:K78"/>
    <mergeCell ref="A57:D57"/>
    <mergeCell ref="A58:B58"/>
    <mergeCell ref="C58:D58"/>
    <mergeCell ref="H40:I40"/>
    <mergeCell ref="C38:D38"/>
    <mergeCell ref="H38:I38"/>
    <mergeCell ref="A39:B39"/>
    <mergeCell ref="C39:D39"/>
    <mergeCell ref="H39:I39"/>
    <mergeCell ref="A53:I54"/>
    <mergeCell ref="A42:B42"/>
    <mergeCell ref="H41:I41"/>
    <mergeCell ref="A45:B45"/>
    <mergeCell ref="A41:B41"/>
    <mergeCell ref="A46:B46"/>
    <mergeCell ref="A47:B47"/>
    <mergeCell ref="A43:B43"/>
    <mergeCell ref="A44:B44"/>
    <mergeCell ref="A36:I36"/>
    <mergeCell ref="A37:B37"/>
    <mergeCell ref="C37:D37"/>
    <mergeCell ref="G37:I37"/>
    <mergeCell ref="A48:B48"/>
    <mergeCell ref="A38:B38"/>
    <mergeCell ref="AT18:AV18"/>
    <mergeCell ref="AW18:AY18"/>
    <mergeCell ref="AZ18:BB18"/>
    <mergeCell ref="AN18:AP18"/>
    <mergeCell ref="AQ18:AS18"/>
    <mergeCell ref="A25:I25"/>
    <mergeCell ref="A26:A32"/>
    <mergeCell ref="B26:C26"/>
    <mergeCell ref="D26:E26"/>
    <mergeCell ref="F26:G26"/>
    <mergeCell ref="B30:C30"/>
    <mergeCell ref="D30:E30"/>
    <mergeCell ref="AT23:AV23"/>
    <mergeCell ref="K36:M36"/>
    <mergeCell ref="O36:Q36"/>
    <mergeCell ref="S36:U36"/>
    <mergeCell ref="AN23:AP23"/>
    <mergeCell ref="AQ23:AS23"/>
    <mergeCell ref="P16:Q16"/>
    <mergeCell ref="V16:W16"/>
    <mergeCell ref="AC4:AD4"/>
    <mergeCell ref="N2:O2"/>
    <mergeCell ref="N5:O5"/>
    <mergeCell ref="N7:O7"/>
    <mergeCell ref="N8:O8"/>
    <mergeCell ref="N11:W11"/>
    <mergeCell ref="N12:O12"/>
    <mergeCell ref="P12:Q12"/>
    <mergeCell ref="R12:S12"/>
    <mergeCell ref="T12:U12"/>
    <mergeCell ref="V12:W12"/>
    <mergeCell ref="A75:C75"/>
    <mergeCell ref="I75:K75"/>
    <mergeCell ref="A71:G71"/>
    <mergeCell ref="I71:O71"/>
    <mergeCell ref="A72:C73"/>
    <mergeCell ref="D72:E72"/>
    <mergeCell ref="F72:G72"/>
    <mergeCell ref="I72:K73"/>
    <mergeCell ref="L72:M72"/>
    <mergeCell ref="N72:O72"/>
    <mergeCell ref="A74:C74"/>
    <mergeCell ref="I74:K74"/>
    <mergeCell ref="I88:K88"/>
    <mergeCell ref="I87:K87"/>
    <mergeCell ref="I82:K82"/>
    <mergeCell ref="I83:K83"/>
    <mergeCell ref="I84:K84"/>
    <mergeCell ref="I85:K85"/>
    <mergeCell ref="I86:K86"/>
  </mergeCells>
  <conditionalFormatting sqref="F74:G87">
    <cfRule type="containsText" dxfId="39" priority="9" operator="containsText" text="NG">
      <formula>NOT(ISERROR(SEARCH("NG",F74)))</formula>
    </cfRule>
  </conditionalFormatting>
  <conditionalFormatting sqref="N74:O88">
    <cfRule type="containsText" dxfId="38" priority="1" operator="containsText" text="NG">
      <formula>NOT(ISERROR(SEARCH("NG",N74)))</formula>
    </cfRule>
  </conditionalFormatting>
  <dataValidations count="9">
    <dataValidation type="list" allowBlank="1" showInputMessage="1" showErrorMessage="1" sqref="E20" xr:uid="{00000000-0002-0000-0200-000000000000}">
      <formula1>"Yes,No"</formula1>
    </dataValidation>
    <dataValidation type="list" allowBlank="1" showInputMessage="1" showErrorMessage="1" sqref="E13" xr:uid="{00000000-0002-0000-0200-000001000000}">
      <formula1>"85,90,100,105,110,120,125,130,140,145,150,170"</formula1>
    </dataValidation>
    <dataValidation type="list" allowBlank="1" showInputMessage="1" showErrorMessage="1" sqref="E14 AP3" xr:uid="{00000000-0002-0000-0200-000002000000}">
      <formula1>"B,C,D"</formula1>
    </dataValidation>
    <dataValidation type="list" allowBlank="1" showInputMessage="1" showErrorMessage="1" sqref="C37:D37" xr:uid="{00000000-0002-0000-0200-000003000000}">
      <formula1>"Non-HVHZ,HVHZ"</formula1>
    </dataValidation>
    <dataValidation type="list" allowBlank="1" showInputMessage="1" showErrorMessage="1" sqref="C38" xr:uid="{00000000-0002-0000-0200-000004000000}">
      <formula1>"Class C, Class B, Class A"</formula1>
    </dataValidation>
    <dataValidation type="list" allowBlank="1" showInputMessage="1" showErrorMessage="1" sqref="C39" xr:uid="{00000000-0002-0000-0200-000005000000}">
      <formula1>"Wood Construction, Steel Construction"</formula1>
    </dataValidation>
    <dataValidation type="whole" allowBlank="1" showInputMessage="1" showErrorMessage="1" sqref="E15" xr:uid="{00000000-0002-0000-0200-000006000000}">
      <formula1>1</formula1>
      <formula2>30</formula2>
    </dataValidation>
    <dataValidation type="list" allowBlank="1" showInputMessage="1" showErrorMessage="1" sqref="AP7" xr:uid="{00000000-0002-0000-0200-000007000000}">
      <formula1>"0 to 7,7 to 27,27 to 45"</formula1>
    </dataValidation>
    <dataValidation type="list" allowBlank="1" showInputMessage="1" showErrorMessage="1" sqref="N5:O5" xr:uid="{00000000-0002-0000-0200-000009000000}">
      <formula1>"Transverse / Complex, Gable / Mono"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81"/>
  <sheetViews>
    <sheetView workbookViewId="0">
      <selection activeCell="E13" sqref="E13"/>
    </sheetView>
  </sheetViews>
  <sheetFormatPr defaultRowHeight="14.4" x14ac:dyDescent="0.3"/>
  <cols>
    <col min="10" max="21" width="9.109375" customWidth="1"/>
    <col min="28" max="35" width="8.88671875" customWidth="1"/>
    <col min="36" max="43" width="0" hidden="1" customWidth="1"/>
  </cols>
  <sheetData>
    <row r="1" spans="1:43" ht="17.399999999999999" x14ac:dyDescent="0.3">
      <c r="E1" s="3" t="s">
        <v>14</v>
      </c>
    </row>
    <row r="2" spans="1:43" ht="17.399999999999999" x14ac:dyDescent="0.3">
      <c r="E2" s="3" t="s">
        <v>145</v>
      </c>
      <c r="J2" s="25"/>
      <c r="K2" s="25"/>
      <c r="L2" s="25"/>
      <c r="M2" s="22"/>
      <c r="N2" s="150" t="s">
        <v>83</v>
      </c>
      <c r="O2" s="150"/>
      <c r="AB2" s="19"/>
      <c r="AC2" s="31"/>
    </row>
    <row r="3" spans="1:43" x14ac:dyDescent="0.3">
      <c r="E3" s="4" t="s">
        <v>190</v>
      </c>
      <c r="M3" s="22"/>
      <c r="N3" s="39" t="s">
        <v>55</v>
      </c>
      <c r="O3" s="39" t="s">
        <v>69</v>
      </c>
    </row>
    <row r="4" spans="1:43" x14ac:dyDescent="0.3">
      <c r="M4" s="22" t="s">
        <v>70</v>
      </c>
      <c r="N4" s="58">
        <v>48</v>
      </c>
      <c r="O4" s="59">
        <v>60</v>
      </c>
      <c r="S4" s="12"/>
      <c r="T4" s="12"/>
      <c r="AJ4" s="133" t="s">
        <v>28</v>
      </c>
      <c r="AK4" s="133"/>
      <c r="AN4" s="159" t="s">
        <v>130</v>
      </c>
      <c r="AO4" s="159"/>
      <c r="AP4" s="159"/>
      <c r="AQ4" s="159"/>
    </row>
    <row r="5" spans="1:43" x14ac:dyDescent="0.3">
      <c r="C5" s="5" t="s">
        <v>15</v>
      </c>
      <c r="D5" s="6" t="s">
        <v>16</v>
      </c>
      <c r="M5" s="22" t="s">
        <v>71</v>
      </c>
      <c r="N5" s="132" t="s">
        <v>72</v>
      </c>
      <c r="O5" s="132"/>
      <c r="S5" s="8"/>
      <c r="T5" s="23"/>
      <c r="AJ5" s="100">
        <f>N4*0.1</f>
        <v>4.8000000000000007</v>
      </c>
      <c r="AK5" s="100">
        <f>E16*0.4</f>
        <v>6</v>
      </c>
      <c r="AL5" t="s">
        <v>160</v>
      </c>
      <c r="AN5" s="39"/>
      <c r="AO5" s="39" t="s">
        <v>128</v>
      </c>
      <c r="AP5" s="39" t="s">
        <v>37</v>
      </c>
      <c r="AQ5" s="39" t="s">
        <v>129</v>
      </c>
    </row>
    <row r="6" spans="1:43" x14ac:dyDescent="0.3">
      <c r="D6" s="6" t="s">
        <v>183</v>
      </c>
      <c r="I6" s="19"/>
      <c r="O6" s="1"/>
      <c r="P6" s="19"/>
      <c r="Q6" s="19"/>
      <c r="AJ6" s="100">
        <f>O4*0.1</f>
        <v>6</v>
      </c>
      <c r="AK6" s="100">
        <f>E16*0.4</f>
        <v>6</v>
      </c>
      <c r="AL6" t="s">
        <v>161</v>
      </c>
      <c r="AN6" s="39">
        <v>15</v>
      </c>
      <c r="AO6" s="39">
        <v>0.56999999999999995</v>
      </c>
      <c r="AP6" s="39">
        <v>0.85</v>
      </c>
      <c r="AQ6" s="39">
        <v>1.03</v>
      </c>
    </row>
    <row r="7" spans="1:43" x14ac:dyDescent="0.3">
      <c r="D7" s="6" t="s">
        <v>17</v>
      </c>
      <c r="E7" s="19"/>
      <c r="I7" s="19"/>
      <c r="N7" s="133" t="s">
        <v>76</v>
      </c>
      <c r="O7" s="133"/>
      <c r="P7" s="19"/>
      <c r="Q7" s="19"/>
      <c r="R7" s="19"/>
      <c r="AJ7" s="101">
        <f>MIN(N4,O4)*0.1</f>
        <v>4.8000000000000007</v>
      </c>
      <c r="AK7" s="102">
        <f>E16*0.4</f>
        <v>6</v>
      </c>
      <c r="AL7" t="s">
        <v>157</v>
      </c>
      <c r="AN7" s="39">
        <v>20</v>
      </c>
      <c r="AO7" s="39">
        <v>0.62</v>
      </c>
      <c r="AP7" s="39">
        <v>0.9</v>
      </c>
      <c r="AQ7" s="39">
        <v>1.08</v>
      </c>
    </row>
    <row r="8" spans="1:43" x14ac:dyDescent="0.3">
      <c r="D8" s="6" t="s">
        <v>18</v>
      </c>
      <c r="I8" s="19"/>
      <c r="N8" s="133">
        <f>MAX(AJ13,AJ14)</f>
        <v>15.625</v>
      </c>
      <c r="O8" s="133"/>
      <c r="P8" s="56"/>
      <c r="R8" s="19"/>
      <c r="AJ8" s="11" t="s">
        <v>150</v>
      </c>
      <c r="AK8" s="11" t="s">
        <v>151</v>
      </c>
      <c r="AN8" s="39">
        <v>25</v>
      </c>
      <c r="AO8" s="39">
        <v>0.66</v>
      </c>
      <c r="AP8" s="39">
        <v>0.94</v>
      </c>
      <c r="AQ8" s="39">
        <v>1.1200000000000001</v>
      </c>
    </row>
    <row r="9" spans="1:43" ht="15" thickBot="1" x14ac:dyDescent="0.35">
      <c r="D9" s="6" t="s">
        <v>19</v>
      </c>
      <c r="M9" s="8"/>
      <c r="N9" s="22"/>
      <c r="O9" s="23"/>
      <c r="P9" s="56"/>
      <c r="R9" s="19"/>
      <c r="AN9" s="39">
        <v>30</v>
      </c>
      <c r="AO9" s="39">
        <v>0.7</v>
      </c>
      <c r="AP9" s="39">
        <v>0.98</v>
      </c>
      <c r="AQ9" s="39">
        <v>1.1599999999999999</v>
      </c>
    </row>
    <row r="10" spans="1:43" ht="15" thickBot="1" x14ac:dyDescent="0.35">
      <c r="D10" s="6" t="s">
        <v>20</v>
      </c>
      <c r="M10" s="19"/>
      <c r="N10" s="141" t="s">
        <v>159</v>
      </c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3"/>
      <c r="AJ10" s="8">
        <f>IF(E19&lt;=7,(N4-(Y14*2)),IF(E19&gt;7,(N4-(Y14*4)),0))</f>
        <v>42</v>
      </c>
      <c r="AK10" s="8">
        <f>IF(E19&lt;=7,(O4-(Y13*2)),IF(AND(E19&gt;7,E19&lt;=45),(O4-(Y13*2)),0))</f>
        <v>42</v>
      </c>
      <c r="AL10" t="s">
        <v>148</v>
      </c>
      <c r="AN10" s="39">
        <v>40</v>
      </c>
      <c r="AO10" s="39">
        <v>0.76</v>
      </c>
      <c r="AP10" s="39">
        <v>1.04</v>
      </c>
      <c r="AQ10" s="39">
        <v>1.22</v>
      </c>
    </row>
    <row r="11" spans="1:43" ht="15" thickBot="1" x14ac:dyDescent="0.35">
      <c r="D11" s="6" t="s">
        <v>21</v>
      </c>
      <c r="M11" s="19"/>
      <c r="N11" s="167" t="s">
        <v>56</v>
      </c>
      <c r="O11" s="168"/>
      <c r="P11" s="167" t="s">
        <v>57</v>
      </c>
      <c r="Q11" s="168"/>
      <c r="R11" s="167" t="s">
        <v>59</v>
      </c>
      <c r="S11" s="168"/>
      <c r="T11" s="167" t="str">
        <f>IF(E19&gt;7,"Zone 2e:","Zone 1':")</f>
        <v>Zone 1':</v>
      </c>
      <c r="U11" s="168"/>
      <c r="V11" s="167" t="str">
        <f>IF(E19&gt;7,"Zone 2n:","Zone 2:")</f>
        <v>Zone 2:</v>
      </c>
      <c r="W11" s="168"/>
      <c r="X11" s="167" t="str">
        <f>IF(E19&gt;7,"Zone 2r:","Zone 3:")</f>
        <v>Zone 3:</v>
      </c>
      <c r="Y11" s="168"/>
      <c r="Z11" s="167" t="str">
        <f>IF(E19&gt;7,"Zone 3e:","")</f>
        <v/>
      </c>
      <c r="AA11" s="168"/>
      <c r="AB11" s="167" t="str">
        <f>IF(E19&gt;7,"Zone 3r:","")</f>
        <v/>
      </c>
      <c r="AC11" s="168"/>
      <c r="AJ11" s="8">
        <f>IF(E19&lt;=7,(N4-V13*2),IF(AND(E19&gt;7,E19&lt;=27),(N4-(V13*2)),IF(AND(E19&gt;27,E19&lt;=45),(N4-(V13*4))*0)))</f>
        <v>30</v>
      </c>
      <c r="AK11" s="8">
        <f>IF(E19&lt;=7,(O4-(V13*2)),IF(AND(E19&gt;7,E19&lt;=45),(O4-(Y13*4)),0))</f>
        <v>42</v>
      </c>
      <c r="AL11" t="s">
        <v>149</v>
      </c>
      <c r="AN11" s="39">
        <v>50</v>
      </c>
      <c r="AO11" s="39">
        <v>0.81</v>
      </c>
      <c r="AP11" s="39">
        <v>1.0900000000000001</v>
      </c>
      <c r="AQ11" s="39">
        <v>1.27</v>
      </c>
    </row>
    <row r="12" spans="1:43" x14ac:dyDescent="0.3">
      <c r="D12" s="6" t="s">
        <v>182</v>
      </c>
      <c r="E12" s="45"/>
      <c r="F12" s="45"/>
      <c r="M12" s="19"/>
      <c r="N12" s="91" t="s">
        <v>146</v>
      </c>
      <c r="O12" s="92" t="s">
        <v>147</v>
      </c>
      <c r="P12" s="91" t="s">
        <v>146</v>
      </c>
      <c r="Q12" s="92" t="s">
        <v>147</v>
      </c>
      <c r="R12" s="91" t="s">
        <v>146</v>
      </c>
      <c r="S12" s="92" t="s">
        <v>147</v>
      </c>
      <c r="T12" s="91" t="s">
        <v>146</v>
      </c>
      <c r="U12" s="92" t="s">
        <v>147</v>
      </c>
      <c r="V12" s="91" t="s">
        <v>146</v>
      </c>
      <c r="W12" s="92" t="s">
        <v>147</v>
      </c>
      <c r="X12" s="91" t="s">
        <v>146</v>
      </c>
      <c r="Y12" s="92" t="str">
        <f>IF(X11="Zone 2r:","Peak","Sidewall:")</f>
        <v>Sidewall:</v>
      </c>
      <c r="Z12" s="98" t="str">
        <f>IF(E19&gt;7,"Endwall","")</f>
        <v/>
      </c>
      <c r="AA12" s="99" t="str">
        <f>IF(E19&gt;7,"Sidewall","")</f>
        <v/>
      </c>
      <c r="AB12" s="98" t="str">
        <f>IF(E19&gt;7,"Endwall","")</f>
        <v/>
      </c>
      <c r="AC12" s="99" t="str">
        <f>IF(E19&gt;7,"Sidewall","")</f>
        <v/>
      </c>
      <c r="AN12" s="39">
        <v>60</v>
      </c>
      <c r="AO12" s="39">
        <v>0.85</v>
      </c>
      <c r="AP12" s="39">
        <v>1.1299999999999999</v>
      </c>
      <c r="AQ12" s="39">
        <v>1.31</v>
      </c>
    </row>
    <row r="13" spans="1:43" x14ac:dyDescent="0.3">
      <c r="A13" s="19"/>
      <c r="B13" s="19"/>
      <c r="C13" s="19"/>
      <c r="D13" s="27" t="s">
        <v>51</v>
      </c>
      <c r="E13" s="20">
        <v>130</v>
      </c>
      <c r="F13" s="7" t="s">
        <v>22</v>
      </c>
      <c r="G13" s="21"/>
      <c r="H13" s="19"/>
      <c r="I13" s="19"/>
      <c r="J13" s="19"/>
      <c r="M13" s="22" t="s">
        <v>162</v>
      </c>
      <c r="N13" s="60" t="s">
        <v>163</v>
      </c>
      <c r="O13" s="88" t="s">
        <v>163</v>
      </c>
      <c r="P13" s="60">
        <f>IF(MIN(AJ5,AK5)&lt;3,3,MIN(AJ5,AK5))</f>
        <v>4.8000000000000007</v>
      </c>
      <c r="Q13" s="88">
        <f>IF(MIN(AJ6,AK6)&lt;3,3,MIN(AJ6,AK6))</f>
        <v>6</v>
      </c>
      <c r="R13" s="60">
        <f>IF(E19&lt;=7,E17*0.6,"-")</f>
        <v>9</v>
      </c>
      <c r="S13" s="88">
        <f>IF(E19&lt;=7,E17*0.6,"-")</f>
        <v>9</v>
      </c>
      <c r="T13" s="60" t="str">
        <f>IF(H30="Leave Out Zone 1'","N/A",IF(E19&lt;=7,"-",IF(T11="Zone 2e:","-",IF(MIN(AJ6,AK6)&lt;3,3,MIN(AJ6,AK6)))))</f>
        <v>-</v>
      </c>
      <c r="U13" s="88" t="str">
        <f>IF(H30="Leave Out Zone 1'","N/A",IF(E19&lt;=7,"-",IF(MIN(AJ5,AK5)&lt;3,3,MIN(AJ5,AK5))))</f>
        <v>-</v>
      </c>
      <c r="V13" s="60">
        <f>IF(E19&lt;=7,E17*0.6,IF(MIN(AJ6,AK6)&lt;3,3,MIN(AJ6,AK6)))</f>
        <v>9</v>
      </c>
      <c r="W13" s="88">
        <f>IF(V11="Zone 2n:","-",IF(E19&lt;=7,E17*0.6,IF(MIN(AJ6,AK6)&lt;3,3,MIN(AJ6,AK6))))</f>
        <v>9</v>
      </c>
      <c r="X13" s="60">
        <f>IF(X11="Zone 2r:","-",IF(E19&lt;=7,E17*0.6,MIN(AJ5,AK5)))</f>
        <v>9</v>
      </c>
      <c r="Y13" s="88">
        <f>IF(E19&lt;=7,E17*0.6,IF(MIN(AJ5,AK5)&lt;3,3,MIN(AJ5,AK5)))</f>
        <v>9</v>
      </c>
      <c r="Z13" s="60" t="str">
        <f>IF(E19&lt;=7,"",IF(MIN(AJ5,AK5)&lt;3,3,MIN(AJ5,AK5)))</f>
        <v/>
      </c>
      <c r="AA13" s="88" t="str">
        <f>IF(E19&lt;=7,"",IF(MIN(AJ6,AK6)&lt;3,3,MIN(AJ6,AK6)))</f>
        <v/>
      </c>
      <c r="AB13" s="60" t="str">
        <f>IF(E19&lt;=7,"",IF(MIN(AJ5,AK5)&lt;3,3,MIN(AJ5,AK5)))</f>
        <v/>
      </c>
      <c r="AC13" s="88" t="str">
        <f>IF(E19&lt;=7,"",IF(MIN(AJ6,AK6)&lt;3,3,MIN(AJ6,AK6)))</f>
        <v/>
      </c>
      <c r="AJ13">
        <f>IF(N5="transverse / complex",(E16+(E18*((O4/2)/12))),IF(N5="gable / mono",(E16+(E18*((N4/2)/12))),0))</f>
        <v>15.625</v>
      </c>
      <c r="AK13" t="s">
        <v>167</v>
      </c>
      <c r="AN13" s="39">
        <v>70</v>
      </c>
      <c r="AO13" s="39">
        <v>0.89</v>
      </c>
      <c r="AP13" s="39">
        <v>1.17</v>
      </c>
      <c r="AQ13" s="39">
        <v>1.34</v>
      </c>
    </row>
    <row r="14" spans="1:43" ht="15" thickBot="1" x14ac:dyDescent="0.35">
      <c r="D14" s="27" t="s">
        <v>82</v>
      </c>
      <c r="E14" s="53">
        <f>SUM(E13*SQRT(0.6))</f>
        <v>100.69756700139284</v>
      </c>
      <c r="F14" s="12" t="s">
        <v>22</v>
      </c>
      <c r="M14" s="22" t="s">
        <v>152</v>
      </c>
      <c r="N14" s="89">
        <f>SUM(N4-P14*2)</f>
        <v>38.4</v>
      </c>
      <c r="O14" s="90">
        <f>SUM(O4-Q14*2)</f>
        <v>48</v>
      </c>
      <c r="P14" s="89">
        <f>IF(MIN(AJ5,AK5)&lt;3,3,MIN(AJ5,AK5))</f>
        <v>4.8000000000000007</v>
      </c>
      <c r="Q14" s="90">
        <f>IF(MIN(AJ6,AK6)&lt;3,3,MIN(AJ6,AK6))</f>
        <v>6</v>
      </c>
      <c r="R14" s="89">
        <f>IF(AJ11&lt;=0,"N/A",IF(E19&lt;=7,(N4-V13*2),IF(E19&gt;7,(N4-((U13*2)+(Y13*2))))))</f>
        <v>30</v>
      </c>
      <c r="S14" s="90">
        <f>IF(AK11&lt;=0,"N/A",IF(E19&lt;=7,(O4-(V13*2)),IF(E19&gt;7,(O4-(V13*4)),0)))</f>
        <v>42</v>
      </c>
      <c r="T14" s="89">
        <f>IF(H30="Leave Out Zone 1'","N/A",IF(T11="Zone 2e:","-",IF(E19&gt;7,E17*0.4,(N4-(R13+V13)))))</f>
        <v>30</v>
      </c>
      <c r="U14" s="90">
        <f>IF(H30="Leave Out Zone 1'","N/A",IF(E19&gt;7,(O4-(AA13*2)),(O4-(W13*4))))</f>
        <v>24</v>
      </c>
      <c r="V14" s="89">
        <f>IF(E19&lt;=7,(N4),IF(E19&gt;7,(N4-((Z14*2)+(AB14*2))),0))</f>
        <v>48</v>
      </c>
      <c r="W14" s="90">
        <f>IF(V11="Zone 2n:","-",IF(E18&lt;=7,(O4),IF(AND(E18&gt;7,E18&lt;=45),(O4-(Y14*2)),0)))</f>
        <v>60</v>
      </c>
      <c r="X14" s="94">
        <f>IF(X11="Zone 2r:","-",IF(E19&lt;=7,E17*0.2,IF(MIN(AJ5,AK5)&lt;3,3,MIN(AJ5,AK5))))</f>
        <v>3</v>
      </c>
      <c r="Y14" s="95">
        <f>IF(E19&lt;=7,E17*0.2,IF(E19&gt;7,(O4-(AC13*2))))</f>
        <v>3</v>
      </c>
      <c r="Z14" s="89" t="str">
        <f>IF(E19&lt;=7,"",IF(MIN(AJ5,AK5)&lt;3,3,MIN(AJ5,AK5)))</f>
        <v/>
      </c>
      <c r="AA14" s="90" t="str">
        <f>IF(E19&lt;=7,"",IF(MIN(AJ6,AK6)&lt;3,3,MIN(AJ6,AK6)))</f>
        <v/>
      </c>
      <c r="AB14" s="89" t="str">
        <f>IF(E19&lt;=7,"",IF(MIN(AJ5,AK5)&lt;3,3,MIN(AJ5,AK5)))</f>
        <v/>
      </c>
      <c r="AC14" s="90" t="str">
        <f>IF(E19&lt;=7,"",IF(MIN(AJ6,AK6)&lt;3,3,MIN(AJ6,AK6)))</f>
        <v/>
      </c>
      <c r="AJ14">
        <f>E16+E20</f>
        <v>15</v>
      </c>
      <c r="AK14" t="s">
        <v>168</v>
      </c>
      <c r="AN14" s="39">
        <v>80</v>
      </c>
      <c r="AO14" s="39">
        <v>0.93</v>
      </c>
      <c r="AP14" s="39">
        <v>1.21</v>
      </c>
      <c r="AQ14" s="39">
        <v>1.38</v>
      </c>
    </row>
    <row r="15" spans="1:43" ht="15" thickBot="1" x14ac:dyDescent="0.35">
      <c r="A15" s="19"/>
      <c r="B15" s="19"/>
      <c r="C15" s="19"/>
      <c r="D15" s="27" t="s">
        <v>23</v>
      </c>
      <c r="E15" s="14" t="s">
        <v>37</v>
      </c>
      <c r="F15" s="7"/>
      <c r="G15" s="21"/>
      <c r="H15" s="19"/>
      <c r="I15" s="19"/>
      <c r="P15" s="139" t="s">
        <v>156</v>
      </c>
      <c r="Q15" s="140"/>
      <c r="X15" s="139" t="str">
        <f>IF(X11="Zone 3:","Each Corner","")</f>
        <v>Each Corner</v>
      </c>
      <c r="Y15" s="140"/>
      <c r="Z15" s="139" t="str">
        <f>IF(E18&gt;7,"Each Corner","")</f>
        <v/>
      </c>
      <c r="AA15" s="140"/>
      <c r="AN15" s="39">
        <v>90</v>
      </c>
      <c r="AO15" s="39">
        <v>0.96</v>
      </c>
      <c r="AP15" s="39">
        <v>1.24</v>
      </c>
      <c r="AQ15" s="39">
        <v>1.4</v>
      </c>
    </row>
    <row r="16" spans="1:43" x14ac:dyDescent="0.3">
      <c r="A16" s="19"/>
      <c r="B16" s="19"/>
      <c r="C16" s="19"/>
      <c r="D16" s="27" t="s">
        <v>73</v>
      </c>
      <c r="E16" s="20">
        <v>15</v>
      </c>
      <c r="F16" s="7" t="s">
        <v>250</v>
      </c>
      <c r="G16" s="19"/>
      <c r="H16" s="21"/>
      <c r="I16" s="19"/>
      <c r="AN16" s="39">
        <v>100</v>
      </c>
      <c r="AO16" s="39">
        <v>0.99</v>
      </c>
      <c r="AP16" s="39">
        <v>1.26</v>
      </c>
      <c r="AQ16" s="39">
        <v>1.43</v>
      </c>
    </row>
    <row r="17" spans="1:43" x14ac:dyDescent="0.3">
      <c r="D17" s="27" t="s">
        <v>74</v>
      </c>
      <c r="E17" s="26">
        <f>IF(E20&gt;0,E16+E20,IF(E19&lt;=10,E16,IF(N5="transverse / complex",(E16+(E18*((O4/2)/12)/2)),IF(N5="gable / mono",(E16+(E18*((N4/2)/12)/2)),E16+E20))))</f>
        <v>15</v>
      </c>
      <c r="F17" s="19"/>
      <c r="AN17" s="39">
        <v>120</v>
      </c>
      <c r="AO17" s="39">
        <v>1.04</v>
      </c>
      <c r="AP17" s="39">
        <v>1.31</v>
      </c>
      <c r="AQ17" s="39">
        <v>1.48</v>
      </c>
    </row>
    <row r="18" spans="1:43" x14ac:dyDescent="0.3">
      <c r="D18" s="22" t="s">
        <v>80</v>
      </c>
      <c r="E18" s="44">
        <v>0.25</v>
      </c>
      <c r="F18" s="19" t="s">
        <v>67</v>
      </c>
      <c r="AN18" s="39">
        <v>140</v>
      </c>
      <c r="AO18" s="39">
        <v>1.0900000000000001</v>
      </c>
      <c r="AP18" s="39">
        <v>1.36</v>
      </c>
      <c r="AQ18" s="39">
        <v>1.52</v>
      </c>
    </row>
    <row r="19" spans="1:43" x14ac:dyDescent="0.3">
      <c r="C19" s="19"/>
      <c r="D19" s="27" t="s">
        <v>75</v>
      </c>
      <c r="E19" s="26">
        <f>ATAN(E18/12)*(180/PI())</f>
        <v>1.1934894239820351</v>
      </c>
      <c r="F19" s="19"/>
      <c r="G19" s="21"/>
      <c r="H19" s="19"/>
      <c r="I19" s="19"/>
      <c r="AN19" s="39">
        <v>160</v>
      </c>
      <c r="AO19" s="39">
        <v>1.1299999999999999</v>
      </c>
      <c r="AP19" s="39">
        <v>1.39</v>
      </c>
      <c r="AQ19" s="39">
        <v>1.55</v>
      </c>
    </row>
    <row r="20" spans="1:43" x14ac:dyDescent="0.3">
      <c r="D20" s="27" t="s">
        <v>54</v>
      </c>
      <c r="E20" s="44">
        <v>0</v>
      </c>
      <c r="F20" s="19"/>
      <c r="J20" s="8"/>
      <c r="K20" s="8"/>
      <c r="AN20" s="39">
        <v>180</v>
      </c>
      <c r="AO20" s="39">
        <v>1.17</v>
      </c>
      <c r="AP20" s="39">
        <v>1.43</v>
      </c>
      <c r="AQ20" s="39">
        <v>1.58</v>
      </c>
    </row>
    <row r="21" spans="1:43" x14ac:dyDescent="0.3">
      <c r="A21" s="19"/>
      <c r="B21" s="19"/>
      <c r="C21" s="19"/>
      <c r="D21" s="27" t="s">
        <v>131</v>
      </c>
      <c r="E21" s="21">
        <v>1</v>
      </c>
      <c r="F21" s="7" t="s">
        <v>181</v>
      </c>
      <c r="G21" s="19"/>
      <c r="H21" s="19"/>
      <c r="I21" s="19"/>
      <c r="AN21" s="39">
        <v>200</v>
      </c>
      <c r="AO21" s="39">
        <v>1.2</v>
      </c>
      <c r="AP21" s="39">
        <v>1.46</v>
      </c>
      <c r="AQ21" s="39">
        <v>1.61</v>
      </c>
    </row>
    <row r="22" spans="1:43" x14ac:dyDescent="0.3">
      <c r="A22" s="19"/>
      <c r="B22" s="19"/>
      <c r="C22" s="19"/>
      <c r="D22" s="22" t="s">
        <v>132</v>
      </c>
      <c r="E22" s="23">
        <v>0.85</v>
      </c>
      <c r="F22" s="19" t="s">
        <v>171</v>
      </c>
      <c r="G22" s="19"/>
      <c r="H22" s="19"/>
      <c r="I22" s="19"/>
      <c r="AN22" s="39">
        <v>250</v>
      </c>
      <c r="AO22" s="39">
        <v>1.28</v>
      </c>
      <c r="AP22" s="39">
        <v>1.53</v>
      </c>
      <c r="AQ22" s="39">
        <v>1.68</v>
      </c>
    </row>
    <row r="23" spans="1:43" x14ac:dyDescent="0.3">
      <c r="A23" s="19"/>
      <c r="B23" s="19"/>
      <c r="C23" s="19"/>
      <c r="D23" s="22" t="s">
        <v>133</v>
      </c>
      <c r="E23" s="23">
        <f>IF(F23=0,1,IF(F23=1000,0.96,IF(F23=2000,0.93,IF(F23=3000,0.9,IF(F23=4000,0.86,IF(F23=5000,0.83,IF(F23=6000,0.8,IF(F23=7000,0.78,IF(F23=8000,0.75,IF(F23=9000,0.72))))))))))</f>
        <v>1</v>
      </c>
      <c r="F23" s="24">
        <v>0</v>
      </c>
      <c r="G23" s="19" t="s">
        <v>172</v>
      </c>
      <c r="H23" s="19"/>
      <c r="I23" s="19"/>
      <c r="AN23" s="39">
        <v>300</v>
      </c>
      <c r="AO23" s="39">
        <v>1.35</v>
      </c>
      <c r="AP23" s="39">
        <v>1.59</v>
      </c>
      <c r="AQ23" s="39">
        <v>1.73</v>
      </c>
    </row>
    <row r="24" spans="1:43" x14ac:dyDescent="0.3">
      <c r="A24" s="19"/>
      <c r="B24" s="19"/>
      <c r="C24" s="19"/>
      <c r="D24" s="27" t="s">
        <v>134</v>
      </c>
      <c r="E24" s="23">
        <f>IF(F24="(enclosed)",-0.18,IF(F24="(Partially Enclosed)",-0.55,IF(F24="(open)",0,IF(F24="(Partially Open)",-0.18,0))))</f>
        <v>-0.18</v>
      </c>
      <c r="F24" s="19" t="s">
        <v>43</v>
      </c>
      <c r="G24" s="19" t="s">
        <v>175</v>
      </c>
      <c r="H24" s="19"/>
      <c r="I24" s="19"/>
      <c r="N24" s="9"/>
      <c r="O24" s="19"/>
      <c r="AN24" s="39">
        <v>350</v>
      </c>
      <c r="AO24" s="39">
        <v>1.41</v>
      </c>
      <c r="AP24" s="39">
        <v>1.64</v>
      </c>
      <c r="AQ24" s="39">
        <v>1.78</v>
      </c>
    </row>
    <row r="25" spans="1:43" x14ac:dyDescent="0.3">
      <c r="A25" s="19"/>
      <c r="B25" s="19"/>
      <c r="C25" s="19"/>
      <c r="D25" s="27" t="s">
        <v>134</v>
      </c>
      <c r="E25" s="23">
        <f>IF(F24="(enclosed)",0.18,IF(F24="(Partially Enclosed)",0.55,IF(F24="(open)",0,IF(F24="(Partially Open)",0.18,0))))</f>
        <v>0.18</v>
      </c>
      <c r="F25" s="19"/>
      <c r="G25" s="19"/>
      <c r="H25" s="19"/>
      <c r="J25" s="19"/>
      <c r="O25" s="22"/>
      <c r="P25" s="43"/>
      <c r="AN25" s="39">
        <v>400</v>
      </c>
      <c r="AO25" s="39">
        <v>1.47</v>
      </c>
      <c r="AP25" s="39">
        <v>1.69</v>
      </c>
      <c r="AQ25" s="39">
        <v>1.82</v>
      </c>
    </row>
    <row r="26" spans="1:43" x14ac:dyDescent="0.3">
      <c r="A26" s="19"/>
      <c r="B26" s="19"/>
      <c r="C26" s="19"/>
      <c r="D26" s="22" t="s">
        <v>135</v>
      </c>
      <c r="E26" s="23">
        <f>IF(E17&lt;=15,INDEX(AO6:AQ6,MATCH(E15,AO5:AQ5,0)),IF(AND(E17&gt;15,E17&lt;=20),INDEX(AO7:AQ7,MATCH(E15,AO5:AQ5,0)),IF(AND(E17&gt;20,E17&lt;=25),INDEX(AO8:AQ8,MATCH(E15,AO5:AQ5,0)),IF(AND(E17&gt;25,E17&lt;=30),INDEX(AO9:AQ9,MATCH(E15,AO5:AQ5,0)),IF(AND(E17&gt;30,E17&lt;=40),INDEX(AO10:AQ10,MATCH(E15,AO5:AQ5,0)),IF(AND(E17&gt;40,E17&lt;=50),INDEX(AO11:AQ11,MATCH(E15,AO5:AQ5,0)),IF(AND(E17&gt;50,E17&lt;=60),INDEX(AO12:AQ12,MATCH(E15,AO5:AQ5,0)),IF(AND(E17&gt;60,E17&lt;=70),INDEX(AO13:AQ13,MATCH(E15,AO5:AQ5,0)),IF(AND(E17&gt;70,E17&lt;=80),INDEX(AO14:AQ14,MATCH(E15,AO5:AQ5,0)),IF(AND(E17&gt;80,E17&lt;=90),INDEX(AO15:AQ15,MATCH(E15,AO5:AQ5,0)),IF(AND(E17&gt;90,E17&lt;=100),INDEX(AO16:AQ16,MATCH(E15,AO5:AQ5,0)),IF(AND(E17&gt;100,E17&lt;=120),INDEX(AO17:AQ17,MATCH(E15,AO5:AQ5,0)),IF(AND(E17&gt;120,E17&lt;=140),INDEX(AO18:AQ18,MATCH(E15,AO5:AQ5,0)),IF(AND(E17&gt;140,E17&lt;=160),INDEX(AO19:AQ19,MATCH(E15,AO5:AQ5,0)),IF(AND(E17&gt;160,E17&lt;=180),INDEX(AO20:AQ20,MATCH(E15,AO5:AQ5,0)),IF(AND(E17&gt;180,E17&lt;=200),INDEX(AO21:AQ21,MATCH(E15,AO5:AQ5,0)),IF(AND(E17&gt;200,E17&lt;=250),INDEX(AO22:AQ22,MATCH(E15,AO5:AQ5,0)),IF(AND(E17&gt;250,E17&lt;=300),INDEX(AO23:AQ23,MATCH(E15,AO5:AQ5,0)),IF(AND(E17&gt;300,E17&lt;=350),INDEX(AO24:AQ24,MATCH(E15,AO5:AQ5,0)),IF(AND(E17&gt;350,E17&lt;=400),INDEX(AO25:AQ25,MATCH(E15,AO5:AQ5,0)),IF(AND(E17&gt;400,E17&lt;=450),INDEX(AO26:AQ26,MATCH(E15,AO5:AQ5,0)),IF(AND(E17&gt;450,E17&lt;=500),INDEX(AO27:AQ27,MATCH(E15,AO5:AQ5,0)),0))))))))))))))))))))))</f>
        <v>0.85</v>
      </c>
      <c r="F26" s="25" t="s">
        <v>170</v>
      </c>
      <c r="G26" s="19"/>
      <c r="H26" s="19"/>
      <c r="I26" s="19"/>
      <c r="J26" s="19"/>
      <c r="AN26" s="39">
        <v>450</v>
      </c>
      <c r="AO26" s="39">
        <v>1.52</v>
      </c>
      <c r="AP26" s="39">
        <v>1.73</v>
      </c>
      <c r="AQ26" s="39">
        <v>1.86</v>
      </c>
    </row>
    <row r="27" spans="1:43" x14ac:dyDescent="0.3">
      <c r="A27" s="19"/>
      <c r="B27" s="19"/>
      <c r="C27" s="19"/>
      <c r="D27" s="22" t="s">
        <v>137</v>
      </c>
      <c r="E27" s="26">
        <f>(0.00256*E26*E21*E22*E23*(E13^2))</f>
        <v>31.258239999999997</v>
      </c>
      <c r="F27" s="25" t="s">
        <v>165</v>
      </c>
      <c r="G27" s="19"/>
      <c r="H27" s="19"/>
      <c r="I27" s="19"/>
      <c r="J27" s="19"/>
      <c r="AN27" s="39">
        <v>500</v>
      </c>
      <c r="AO27" s="39">
        <v>1.56</v>
      </c>
      <c r="AP27" s="39">
        <v>1.77</v>
      </c>
      <c r="AQ27" s="39">
        <v>1.89</v>
      </c>
    </row>
    <row r="28" spans="1:43" ht="15" thickBot="1" x14ac:dyDescent="0.35">
      <c r="A28" s="19" t="s">
        <v>238</v>
      </c>
      <c r="J28" s="19"/>
      <c r="L28" s="19"/>
      <c r="M28" s="19"/>
    </row>
    <row r="29" spans="1:43" ht="16.2" thickBot="1" x14ac:dyDescent="0.35">
      <c r="A29" s="155" t="s">
        <v>139</v>
      </c>
      <c r="B29" s="156"/>
      <c r="C29" s="156"/>
      <c r="D29" s="156"/>
      <c r="E29" s="156"/>
      <c r="F29" s="156"/>
      <c r="G29" s="156"/>
      <c r="H29" s="156"/>
      <c r="I29" s="157"/>
      <c r="J29" s="19"/>
      <c r="L29" s="19"/>
      <c r="M29" s="19"/>
    </row>
    <row r="30" spans="1:43" x14ac:dyDescent="0.3">
      <c r="A30" s="153" t="s">
        <v>40</v>
      </c>
      <c r="B30" s="187" t="s">
        <v>56</v>
      </c>
      <c r="C30" s="148"/>
      <c r="D30" s="148" t="s">
        <v>57</v>
      </c>
      <c r="E30" s="148"/>
      <c r="F30" s="148" t="s">
        <v>59</v>
      </c>
      <c r="G30" s="148"/>
      <c r="H30" s="148" t="str">
        <f>IF(AND(E19&lt;=7,((E17*0.6)*4)&gt;=N4),"Leave Out Zone 1'",IF(E19&lt;=7,"Zone 1':",IF(AND(E19&gt;7,E19&lt;=45),"Zone 2e:",0)))</f>
        <v>Zone 1':</v>
      </c>
      <c r="I30" s="148"/>
      <c r="J30" s="19"/>
      <c r="K30" s="19"/>
      <c r="L30" s="19"/>
      <c r="M30" s="19"/>
    </row>
    <row r="31" spans="1:43" x14ac:dyDescent="0.3">
      <c r="A31" s="153"/>
      <c r="B31" s="48" t="s">
        <v>38</v>
      </c>
      <c r="C31" s="39" t="s">
        <v>39</v>
      </c>
      <c r="D31" s="39" t="s">
        <v>38</v>
      </c>
      <c r="E31" s="39" t="s">
        <v>39</v>
      </c>
      <c r="F31" s="39" t="s">
        <v>38</v>
      </c>
      <c r="G31" s="39" t="s">
        <v>39</v>
      </c>
      <c r="H31" s="39" t="str">
        <f>IF(H30="leave out zone 1'","","Postive")</f>
        <v>Postive</v>
      </c>
      <c r="I31" s="39" t="str">
        <f>IF(H30="leave out zone 1'","","Negative")</f>
        <v>Negative</v>
      </c>
      <c r="J31" s="19"/>
      <c r="K31" s="19"/>
      <c r="L31" s="19"/>
      <c r="M31" s="19"/>
      <c r="AN31" s="1" t="s">
        <v>136</v>
      </c>
      <c r="AO31" s="106">
        <f>IF(AND(E15="B",E16&lt;15),(2.01*((15+E20)/1200)^(2/7)),IF(AND(E15="B",E16&gt;=15),(2.01*((E16+E20)/1200)^(2/7)),IF(E15="C",(2.01*((E16+E20)/900)^(2/9.5)),IF(E15="D",(2.01*((E16+E20)/700)^(2/11.5)),0))))</f>
        <v>0.84888415207790313</v>
      </c>
    </row>
    <row r="32" spans="1:43" x14ac:dyDescent="0.3">
      <c r="A32" s="153"/>
      <c r="B32" s="49">
        <f>IF(E19&lt;=10,E27*((1*0.9)-E24),E27*(1-E24))</f>
        <v>33.758899200000002</v>
      </c>
      <c r="C32" s="50">
        <f>IF(E19&lt;=10,E27*((-1.1*0.9)-E25),E27*((-1.1)-E25))</f>
        <v>-36.5721408</v>
      </c>
      <c r="D32" s="50">
        <f>IF(E19&lt;=10,E27*((1*0.9)-E24),E27*(1-E24))</f>
        <v>33.758899200000002</v>
      </c>
      <c r="E32" s="50">
        <f>IF(E19&lt;=10,E27*((-1.4*0.9)-E25),E27*((-1.4)-E25))</f>
        <v>-45.011865599999993</v>
      </c>
      <c r="F32" s="50">
        <f>IF(E19&lt;=7,E27*(0.3-E24),IF(AND(E19&gt;7,E19&lt;=20),E27*(0.5-E24),IF(AND(E19&gt;20,E19&lt;=27),E27*(0.5-E24),IF(AND(E19&gt;27,E19&lt;=45),E27*(0.9-E24),0))))</f>
        <v>15.003955199999998</v>
      </c>
      <c r="G32" s="50">
        <f>IF(E19&lt;=7,E27*((-1.7)-E25),IF(AND(E19&gt;7,E19&lt;=20),E27*((-1.5)-E25),IF(AND(E19&gt;20,E19&lt;=27),E27*((-1.5)-E25),IF(AND(E19&gt;27,E19&lt;=45),E27*((-1.8)-E25),0))))</f>
        <v>-58.765491199999992</v>
      </c>
      <c r="H32" s="50">
        <f>IF(H30="leave out zone 1'","",IF(E19&lt;=7,E27*((0.3)-E24),IF(AND(E19&gt;7,E19&lt;=20),E27*((0.5)-E24),IF(AND(E19&gt;20,E19&lt;=27),E27*((0.5)-E24),IF(AND(E19&gt;27,E19&lt;=45),E27*((0.9)-E24),0)))))</f>
        <v>15.003955199999998</v>
      </c>
      <c r="I32" s="50">
        <f>IF(H30="leave out zone 1'","",IF(E19&lt;=7,E27*((-0.9)-E25),IF(AND(E19&gt;7,E19&lt;=20),E27*((-1.5)-E25),IF(AND(E19&gt;20,E19&lt;=27),E27*((-1.5)-E25),IF(AND(E19&gt;27,E19&lt;=45),E27*((-1.8)-E25),0)))))</f>
        <v>-33.758899200000002</v>
      </c>
      <c r="J32" s="19"/>
      <c r="K32" s="19"/>
      <c r="L32" s="19"/>
      <c r="M32" s="19"/>
    </row>
    <row r="33" spans="1:42" x14ac:dyDescent="0.3">
      <c r="A33" s="153"/>
      <c r="B33" s="25"/>
      <c r="C33" s="25"/>
      <c r="D33" s="25"/>
      <c r="E33" s="25"/>
      <c r="F33" s="25"/>
      <c r="G33" s="25"/>
      <c r="H33" s="25"/>
      <c r="I33" s="25"/>
      <c r="J33" s="19"/>
      <c r="K33" s="19"/>
      <c r="L33" s="19"/>
      <c r="M33" s="19"/>
      <c r="AN33" s="131" t="s">
        <v>195</v>
      </c>
      <c r="AO33" s="131"/>
      <c r="AP33" s="131"/>
    </row>
    <row r="34" spans="1:42" x14ac:dyDescent="0.3">
      <c r="A34" s="153"/>
      <c r="B34" s="135" t="str">
        <f>IF(E19&lt;=7,"Zone 2:",IF(AND(E19&gt;7,E19&lt;=45),"Zone 2n:",0))</f>
        <v>Zone 2:</v>
      </c>
      <c r="C34" s="136"/>
      <c r="D34" s="133" t="str">
        <f>IF(E19&lt;=7,"Zone 3:",IF(AND(E19&gt;7,E19&lt;=45),"Zone 2r:",0))</f>
        <v>Zone 3:</v>
      </c>
      <c r="E34" s="133"/>
      <c r="F34" s="175" t="str">
        <f>IF(AND(E19&gt;7,E19&lt;=45),"Zone 3e:","")</f>
        <v/>
      </c>
      <c r="G34" s="175"/>
      <c r="H34" s="175" t="str">
        <f>IF(AND(E19&gt;7,E19&lt;=45),"Zone 3r:","")</f>
        <v/>
      </c>
      <c r="I34" s="175"/>
      <c r="J34" s="19"/>
      <c r="K34" s="19"/>
      <c r="L34" s="19"/>
      <c r="M34" s="19"/>
      <c r="AN34" s="65" t="s">
        <v>193</v>
      </c>
      <c r="AO34">
        <v>0</v>
      </c>
    </row>
    <row r="35" spans="1:42" x14ac:dyDescent="0.3">
      <c r="A35" s="153"/>
      <c r="B35" s="48" t="s">
        <v>38</v>
      </c>
      <c r="C35" s="39" t="s">
        <v>39</v>
      </c>
      <c r="D35" s="39" t="s">
        <v>38</v>
      </c>
      <c r="E35" s="39" t="s">
        <v>39</v>
      </c>
      <c r="F35" s="23" t="str">
        <f>IF(E19&lt;=7,"",IF(AND(E19&gt;7,E19&lt;=45),"Postive",0))</f>
        <v/>
      </c>
      <c r="G35" s="23" t="str">
        <f>IF(E19&lt;=7,"",IF(AND(E19&gt;7,E19&lt;=45),"Negative",0))</f>
        <v/>
      </c>
      <c r="H35" s="23" t="str">
        <f>IF(E19&lt;=7,"",IF(AND(E19&gt;7,E19&lt;=45),"Postive",0))</f>
        <v/>
      </c>
      <c r="I35" s="23" t="str">
        <f>IF(E19&lt;=7,"",IF(AND(E19&gt;7,E19&lt;=45),"Negative",0))</f>
        <v/>
      </c>
      <c r="J35" s="19"/>
      <c r="K35" s="19"/>
      <c r="L35" s="19"/>
      <c r="M35" s="19"/>
      <c r="AN35" s="19"/>
      <c r="AO35">
        <f>(2.71828^(-0.0000362*AO34))</f>
        <v>1</v>
      </c>
      <c r="AP35" t="s">
        <v>192</v>
      </c>
    </row>
    <row r="36" spans="1:42" ht="15" thickBot="1" x14ac:dyDescent="0.35">
      <c r="A36" s="154"/>
      <c r="B36" s="49">
        <f>IF(AND(E19&lt;=7,E20&gt;=3),E27*((1)-E24),IF(E19&lt;=7,E27*((0.3)-E24),IF(AND(E19&gt;7,E19&lt;=20),E27*((0.5)-E24),IF(AND(E19&gt;20,E19&lt;=27),E27*((0.5)-E24),IF(AND(E19&gt;27,E19&lt;=45),E27*((0.9)-E24),0)))))</f>
        <v>15.003955199999998</v>
      </c>
      <c r="C36" s="50">
        <f>IF(E19&lt;=7,E27*((-2.3)-E25),IF(AND(E19&gt;7,E19&lt;=20),E27*((-2.5)-E25),IF(AND(E19&gt;20,E19&lt;=27),E27*((-2.5)-E25),IF(AND(E19&gt;27,E19&lt;=45),E27*((-2)-E25),0))))</f>
        <v>-77.520435199999994</v>
      </c>
      <c r="D36" s="50">
        <f>IF(AND(E19&lt;=7,E20&gt;=3),E27*((1)-E24),IF(E19&lt;=7,E27*((0.3)-E24),IF(AND(E19&gt;7,E19&lt;=20),E27*((0.5)-E24),IF(AND(E19&gt;20,E19&lt;=27),E27*((0.5)-E24),IF(AND(E19&gt;27,E19&lt;=45),E27*((0.9)-E24),0)))))</f>
        <v>15.003955199999998</v>
      </c>
      <c r="E36" s="50">
        <f>IF(E19&lt;=7,E27*((-3.2)-E25),IF(AND(E19&gt;7,E19&lt;=20),E27*((-2.5)-E25),IF(AND(E19&gt;20,E19&lt;=27),E27*((-2.5)-E25),IF(AND(E19&gt;27,E19&lt;=45),E27*((-1.8)-E25),0))))</f>
        <v>-105.6528512</v>
      </c>
      <c r="F36" s="26" t="str">
        <f>IF(E19&lt;=7,"",IF(AND(E19&gt;7,E19&lt;=20),E27*((0.5)-E24),IF(AND(E19&gt;20,E19&lt;=27),E27*((0.5)-E24),IF(AND(E19&gt;27,E19&lt;=45),E27*((0.9)-E24),0))))</f>
        <v/>
      </c>
      <c r="G36" s="26" t="str">
        <f>IF(E19&lt;=7,"",IF(AND(E19&gt;7,E19&lt;=20),E27*((-2.5)-E25),IF(AND(E19&gt;20,E19&lt;=27),E27*((-2.5)-E25),IF(AND(E19&gt;27,E19&lt;=45),E27*((-2.5)-E25),0))))</f>
        <v/>
      </c>
      <c r="H36" s="26" t="str">
        <f>IF(E19&lt;=7,"",IF(AND(E19&gt;7,E19&lt;=20),E27*((0.5)-E24),IF(AND(E19&gt;20,E19&lt;=27),E27*((0.5)-E24),IF(AND(E19&gt;27,E19&lt;=45),E27*((0.9)-E24),0))))</f>
        <v/>
      </c>
      <c r="I36" s="26" t="str">
        <f>IF(E19&lt;=7,"",IF(AND(E19&gt;7,E19&lt;=20),E27*((-3.6)-E25),IF(AND(E19&gt;20,E19&lt;=27),E27*((-2.8)-E25),IF(AND(E19&gt;27,E19&lt;=45),E27*((-2)-E25),IF(AND(E19&gt;7,E19&lt;=20),E27*((-4.7)-E25),IF(AND(E19&gt;20,E19&lt;=27),E27*((-3.6)-E25),IF(AND(E19&gt;27,E19&lt;=45),E27*((-2.8)-E25),0)))))))</f>
        <v/>
      </c>
      <c r="J36" s="19"/>
      <c r="K36" s="19"/>
      <c r="L36" s="19"/>
      <c r="M36" s="19"/>
      <c r="AN36" s="19"/>
      <c r="AP36" t="s">
        <v>194</v>
      </c>
    </row>
    <row r="37" spans="1:42" ht="15" thickBot="1" x14ac:dyDescent="0.35">
      <c r="A37" s="18"/>
      <c r="B37" s="25"/>
      <c r="C37" s="25"/>
      <c r="D37" s="25"/>
      <c r="E37" s="25"/>
      <c r="F37" s="25"/>
      <c r="G37" s="25"/>
      <c r="H37" s="25"/>
      <c r="I37" s="25"/>
    </row>
    <row r="38" spans="1:42" x14ac:dyDescent="0.3">
      <c r="A38" s="152" t="s">
        <v>41</v>
      </c>
      <c r="B38" s="136" t="str">
        <f>B30</f>
        <v>Zone 4:</v>
      </c>
      <c r="C38" s="133"/>
      <c r="D38" s="133" t="str">
        <f>D30</f>
        <v>Zone 5:</v>
      </c>
      <c r="E38" s="133"/>
      <c r="F38" s="133" t="str">
        <f>F30</f>
        <v>Zone 1:</v>
      </c>
      <c r="G38" s="133"/>
      <c r="H38" s="133" t="str">
        <f>H30</f>
        <v>Zone 1':</v>
      </c>
      <c r="I38" s="133"/>
    </row>
    <row r="39" spans="1:42" x14ac:dyDescent="0.3">
      <c r="A39" s="153"/>
      <c r="B39" s="48" t="s">
        <v>38</v>
      </c>
      <c r="C39" s="39" t="s">
        <v>39</v>
      </c>
      <c r="D39" s="39" t="s">
        <v>38</v>
      </c>
      <c r="E39" s="39" t="s">
        <v>39</v>
      </c>
      <c r="F39" s="39" t="s">
        <v>38</v>
      </c>
      <c r="G39" s="39" t="s">
        <v>39</v>
      </c>
      <c r="H39" s="39" t="str">
        <f>IF(H38="leave out zone 1'","","Postive")</f>
        <v>Postive</v>
      </c>
      <c r="I39" s="39" t="str">
        <f>IF(H38="leave out zone 1'","","Negative")</f>
        <v>Negative</v>
      </c>
    </row>
    <row r="40" spans="1:42" x14ac:dyDescent="0.3">
      <c r="A40" s="153"/>
      <c r="B40" s="49">
        <f t="shared" ref="B40:G40" si="0">(B32*0.6)</f>
        <v>20.25533952</v>
      </c>
      <c r="C40" s="49">
        <f t="shared" si="0"/>
        <v>-21.943284479999999</v>
      </c>
      <c r="D40" s="49">
        <f t="shared" si="0"/>
        <v>20.25533952</v>
      </c>
      <c r="E40" s="50">
        <f t="shared" si="0"/>
        <v>-27.007119359999994</v>
      </c>
      <c r="F40" s="49">
        <f t="shared" si="0"/>
        <v>9.0023731199999979</v>
      </c>
      <c r="G40" s="49">
        <f t="shared" si="0"/>
        <v>-35.259294719999993</v>
      </c>
      <c r="H40" s="49">
        <f>IF(H32="","",H32*0.6)</f>
        <v>9.0023731199999979</v>
      </c>
      <c r="I40" s="49">
        <f>IF(I32="","",I32*0.6)</f>
        <v>-20.25533952</v>
      </c>
      <c r="L40" s="134" t="s">
        <v>153</v>
      </c>
      <c r="M40" s="135"/>
      <c r="N40" s="136"/>
      <c r="P40" s="134" t="s">
        <v>158</v>
      </c>
      <c r="Q40" s="135"/>
      <c r="R40" s="136"/>
    </row>
    <row r="41" spans="1:42" x14ac:dyDescent="0.3">
      <c r="A41" s="153"/>
      <c r="B41" s="25"/>
      <c r="C41" s="25"/>
      <c r="D41" s="25"/>
      <c r="E41" s="25"/>
      <c r="F41" s="25"/>
      <c r="G41" s="25"/>
      <c r="H41" s="25"/>
      <c r="I41" s="25"/>
      <c r="J41" s="19"/>
      <c r="K41" s="19"/>
      <c r="L41" s="19"/>
      <c r="M41" s="19"/>
    </row>
    <row r="42" spans="1:42" x14ac:dyDescent="0.3">
      <c r="A42" s="153"/>
      <c r="B42" s="135" t="str">
        <f>B34</f>
        <v>Zone 2:</v>
      </c>
      <c r="C42" s="136"/>
      <c r="D42" s="133" t="str">
        <f>D34</f>
        <v>Zone 3:</v>
      </c>
      <c r="E42" s="133"/>
      <c r="F42" s="175" t="str">
        <f>F34</f>
        <v/>
      </c>
      <c r="G42" s="175"/>
      <c r="H42" s="175" t="str">
        <f>H34</f>
        <v/>
      </c>
      <c r="I42" s="175"/>
      <c r="J42" s="19"/>
      <c r="K42" s="25"/>
      <c r="M42" s="19"/>
      <c r="N42" s="19"/>
      <c r="O42" s="19"/>
      <c r="P42" s="19"/>
    </row>
    <row r="43" spans="1:42" x14ac:dyDescent="0.3">
      <c r="A43" s="153"/>
      <c r="B43" s="48" t="s">
        <v>38</v>
      </c>
      <c r="C43" s="39" t="s">
        <v>39</v>
      </c>
      <c r="D43" s="39" t="s">
        <v>38</v>
      </c>
      <c r="E43" s="39" t="s">
        <v>39</v>
      </c>
      <c r="F43" s="25" t="str">
        <f>F35</f>
        <v/>
      </c>
      <c r="G43" s="25" t="str">
        <f>G35</f>
        <v/>
      </c>
      <c r="H43" s="25" t="str">
        <f>H35</f>
        <v/>
      </c>
      <c r="I43" s="25" t="str">
        <f>I35</f>
        <v/>
      </c>
      <c r="J43" s="19"/>
      <c r="K43" s="62"/>
      <c r="L43" s="26"/>
      <c r="M43" s="19"/>
      <c r="N43" s="19"/>
      <c r="O43" s="19"/>
      <c r="P43" s="19"/>
    </row>
    <row r="44" spans="1:42" ht="15" thickBot="1" x14ac:dyDescent="0.35">
      <c r="A44" s="154"/>
      <c r="B44" s="49">
        <f>(B36*0.6)</f>
        <v>9.0023731199999979</v>
      </c>
      <c r="C44" s="49">
        <f>(C36*0.6)</f>
        <v>-46.512261119999998</v>
      </c>
      <c r="D44" s="49">
        <f>(D36*0.6)</f>
        <v>9.0023731199999979</v>
      </c>
      <c r="E44" s="49">
        <f>(E36*0.6)</f>
        <v>-63.391710719999999</v>
      </c>
      <c r="F44" s="26" t="str">
        <f>IF(E19&lt;=7,"",IF(AND(E19&gt;7,E19&lt;=45),F36*0.6,0))</f>
        <v/>
      </c>
      <c r="G44" s="26" t="str">
        <f>IF(E19&lt;=7,"",IF(AND(E19&gt;7,E19&lt;=45),G36*0.6,0))</f>
        <v/>
      </c>
      <c r="H44" s="26" t="str">
        <f>IF(E19&lt;=7,"",IF(AND(E19&gt;7,E19&lt;=45),H36*0.6,0))</f>
        <v/>
      </c>
      <c r="I44" s="26" t="str">
        <f>IF(I36="","",I36*0.6)</f>
        <v/>
      </c>
      <c r="J44" s="19"/>
      <c r="K44" s="18"/>
      <c r="L44" s="18"/>
      <c r="M44" s="19"/>
      <c r="N44" s="19"/>
      <c r="O44" s="19"/>
      <c r="P44" s="19"/>
    </row>
    <row r="45" spans="1:42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9"/>
      <c r="K45" s="18"/>
      <c r="L45" s="25"/>
      <c r="M45" s="19"/>
      <c r="N45" s="19"/>
      <c r="O45" s="19"/>
      <c r="P45" s="19"/>
      <c r="Q45" s="45"/>
    </row>
    <row r="46" spans="1:42" ht="15" x14ac:dyDescent="0.3">
      <c r="A46" s="18"/>
      <c r="B46" s="18"/>
      <c r="C46" s="17" t="s">
        <v>127</v>
      </c>
      <c r="D46" s="29">
        <f>MIN(C40,E40,G40,I40,C44,E44,G44,I44)</f>
        <v>-63.391710719999999</v>
      </c>
      <c r="E46" s="18" t="s">
        <v>42</v>
      </c>
      <c r="F46" s="18"/>
      <c r="G46" s="18"/>
      <c r="H46" s="18"/>
      <c r="I46" s="18"/>
      <c r="J46" s="16"/>
      <c r="L46" s="45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6"/>
      <c r="X46" s="16"/>
    </row>
    <row r="47" spans="1:42" x14ac:dyDescent="0.3">
      <c r="J47" s="16"/>
      <c r="K47" s="25"/>
      <c r="L47" s="25"/>
      <c r="M47" s="16"/>
      <c r="N47" s="16"/>
      <c r="O47" s="16"/>
      <c r="P47" s="16"/>
      <c r="U47" s="19"/>
      <c r="V47" s="19"/>
      <c r="W47" s="16"/>
      <c r="X47" s="16"/>
    </row>
    <row r="48" spans="1:42" x14ac:dyDescent="0.3">
      <c r="J48" s="16"/>
      <c r="M48" s="16"/>
      <c r="N48" s="16"/>
      <c r="O48" s="16"/>
      <c r="P48" s="16"/>
      <c r="U48" s="23"/>
      <c r="V48" s="23"/>
      <c r="W48" s="47"/>
      <c r="X48" s="16"/>
    </row>
    <row r="49" spans="1:24" x14ac:dyDescent="0.3">
      <c r="J49" s="16"/>
      <c r="K49" s="22"/>
      <c r="L49" s="64"/>
      <c r="O49" s="16"/>
      <c r="U49" s="23"/>
      <c r="V49" s="23"/>
      <c r="W49" s="47"/>
      <c r="X49" s="16"/>
    </row>
    <row r="50" spans="1:24" x14ac:dyDescent="0.3">
      <c r="A50" t="s">
        <v>196</v>
      </c>
      <c r="J50" s="16"/>
      <c r="K50" s="22"/>
      <c r="L50" s="56"/>
      <c r="O50" s="16"/>
      <c r="U50" s="23"/>
      <c r="V50" s="23"/>
      <c r="W50" s="47"/>
      <c r="X50" s="16"/>
    </row>
    <row r="51" spans="1:24" x14ac:dyDescent="0.3">
      <c r="A51" s="133" t="s">
        <v>138</v>
      </c>
      <c r="B51" s="133"/>
      <c r="C51" s="133"/>
      <c r="D51" s="133"/>
      <c r="J51" s="16"/>
      <c r="K51" s="22"/>
      <c r="L51" s="56"/>
      <c r="O51" s="16"/>
      <c r="U51" s="23"/>
      <c r="V51" s="23"/>
      <c r="W51" s="47"/>
      <c r="X51" s="16"/>
    </row>
    <row r="52" spans="1:24" x14ac:dyDescent="0.3">
      <c r="A52" s="120" t="s">
        <v>56</v>
      </c>
      <c r="B52" s="120"/>
      <c r="C52" s="120" t="s">
        <v>57</v>
      </c>
      <c r="D52" s="120"/>
      <c r="J52" s="16"/>
      <c r="K52" s="22"/>
      <c r="L52" s="56"/>
      <c r="M52" s="16"/>
      <c r="N52" s="16"/>
      <c r="O52" s="16"/>
      <c r="U52" s="23"/>
      <c r="V52" s="23"/>
      <c r="W52" s="47"/>
      <c r="X52" s="16"/>
    </row>
    <row r="53" spans="1:24" x14ac:dyDescent="0.3">
      <c r="A53" s="79" t="s">
        <v>107</v>
      </c>
      <c r="B53" s="79" t="s">
        <v>39</v>
      </c>
      <c r="C53" s="79" t="s">
        <v>107</v>
      </c>
      <c r="D53" s="79" t="s">
        <v>39</v>
      </c>
      <c r="J53" s="16"/>
      <c r="M53" s="16"/>
      <c r="N53" s="16"/>
      <c r="O53" s="16"/>
      <c r="U53" s="23"/>
      <c r="V53" s="23"/>
      <c r="W53" s="47"/>
      <c r="X53" s="16"/>
    </row>
    <row r="54" spans="1:24" x14ac:dyDescent="0.3">
      <c r="A54" s="83">
        <f>IF(E19&lt;=10,E27*((1*0.9)-E24),E27*(1-E24))</f>
        <v>33.758899200000002</v>
      </c>
      <c r="B54" s="83">
        <f>IF(E19&lt;=10,E27*((-1.1*0.9)-E25),E27*((-1.1)-E25))</f>
        <v>-36.5721408</v>
      </c>
      <c r="C54" s="76">
        <f>IF(E19&lt;=10,E27*((1*0.9)-E24),E27*(1-E24))</f>
        <v>33.758899200000002</v>
      </c>
      <c r="D54" s="76">
        <f>IF(E19&lt;=10,E27*((-1.4*0.9)-E25),E27*((-1.4)-E25))</f>
        <v>-45.011865599999993</v>
      </c>
      <c r="J54" s="16"/>
      <c r="M54" s="16"/>
      <c r="N54" s="16"/>
      <c r="O54" s="16"/>
      <c r="U54" s="23"/>
      <c r="V54" s="23"/>
      <c r="W54" s="47"/>
      <c r="X54" s="16"/>
    </row>
    <row r="55" spans="1:24" x14ac:dyDescent="0.3">
      <c r="A55" s="110" t="str">
        <f>IF(E19&lt;=10,"*10% reduction factor for GCp is used per Figure 30.3-1, Note 5",0)</f>
        <v>*10% reduction factor for GCp is used per Figure 30.3-1, Note 5</v>
      </c>
      <c r="J55" s="16"/>
      <c r="K55" s="65"/>
      <c r="L55" s="66"/>
      <c r="M55" s="16"/>
      <c r="N55" s="16"/>
      <c r="O55" s="16"/>
      <c r="U55" s="23"/>
      <c r="V55" s="23"/>
      <c r="W55" s="47"/>
      <c r="X55" s="16"/>
    </row>
    <row r="56" spans="1:24" x14ac:dyDescent="0.3">
      <c r="J56" s="16"/>
      <c r="K56" s="65"/>
      <c r="L56" s="66"/>
      <c r="M56" s="16"/>
      <c r="N56" s="16"/>
      <c r="O56" s="16"/>
      <c r="U56" s="23"/>
      <c r="V56" s="23"/>
      <c r="W56" s="47"/>
      <c r="X56" s="16"/>
    </row>
    <row r="57" spans="1:24" x14ac:dyDescent="0.3">
      <c r="J57" s="16"/>
      <c r="K57" s="16"/>
      <c r="L57" s="16"/>
      <c r="M57" s="16"/>
      <c r="N57" s="16"/>
      <c r="O57" s="16"/>
      <c r="U57" s="23"/>
      <c r="V57" s="23"/>
      <c r="W57" s="47"/>
      <c r="X57" s="16"/>
    </row>
    <row r="58" spans="1:24" x14ac:dyDescent="0.3">
      <c r="J58" s="16"/>
      <c r="K58" s="16"/>
      <c r="L58" s="16"/>
      <c r="M58" s="16"/>
      <c r="N58" s="16"/>
      <c r="O58" s="16"/>
      <c r="U58" s="23"/>
      <c r="V58" s="23"/>
      <c r="W58" s="47"/>
      <c r="X58" s="16"/>
    </row>
    <row r="59" spans="1:24" x14ac:dyDescent="0.3">
      <c r="J59" s="16"/>
      <c r="K59" s="16"/>
      <c r="L59" s="16"/>
      <c r="M59" s="16"/>
      <c r="N59" s="16"/>
      <c r="O59" s="16"/>
      <c r="U59" s="23"/>
      <c r="V59" s="23"/>
      <c r="W59" s="47"/>
      <c r="X59" s="16"/>
    </row>
    <row r="60" spans="1:24" x14ac:dyDescent="0.3">
      <c r="J60" s="16"/>
      <c r="K60" s="16"/>
      <c r="L60" s="16"/>
      <c r="M60" s="16"/>
      <c r="N60" s="16"/>
      <c r="O60" s="16"/>
      <c r="U60" s="23"/>
      <c r="V60" s="23"/>
      <c r="W60" s="47"/>
      <c r="X60" s="16"/>
    </row>
    <row r="61" spans="1:24" x14ac:dyDescent="0.3"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4" ht="15" thickBot="1" x14ac:dyDescent="0.35"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spans="1:24" ht="15" thickBot="1" x14ac:dyDescent="0.35">
      <c r="A63" s="141" t="s">
        <v>211</v>
      </c>
      <c r="B63" s="142"/>
      <c r="C63" s="142"/>
      <c r="D63" s="142"/>
      <c r="E63" s="142"/>
      <c r="F63" s="142"/>
      <c r="G63" s="143"/>
      <c r="I63" s="141" t="s">
        <v>220</v>
      </c>
      <c r="J63" s="142"/>
      <c r="K63" s="142"/>
      <c r="L63" s="142"/>
      <c r="M63" s="142"/>
      <c r="N63" s="142"/>
      <c r="O63" s="143"/>
      <c r="P63" s="16"/>
      <c r="Q63" s="16"/>
      <c r="R63" s="16"/>
      <c r="S63" s="16"/>
      <c r="T63" s="16"/>
      <c r="U63" s="16"/>
      <c r="V63" s="16"/>
    </row>
    <row r="64" spans="1:24" ht="15" customHeight="1" x14ac:dyDescent="0.3">
      <c r="A64" s="144" t="s">
        <v>209</v>
      </c>
      <c r="B64" s="145"/>
      <c r="C64" s="145"/>
      <c r="D64" s="148" t="s">
        <v>224</v>
      </c>
      <c r="E64" s="148"/>
      <c r="F64" s="148" t="s">
        <v>210</v>
      </c>
      <c r="G64" s="149"/>
      <c r="I64" s="144" t="s">
        <v>219</v>
      </c>
      <c r="J64" s="145"/>
      <c r="K64" s="145"/>
      <c r="L64" s="148" t="s">
        <v>224</v>
      </c>
      <c r="M64" s="148"/>
      <c r="N64" s="148" t="s">
        <v>210</v>
      </c>
      <c r="O64" s="149"/>
      <c r="P64" s="16"/>
      <c r="Q64" s="16"/>
      <c r="R64" s="16"/>
      <c r="S64" s="16"/>
      <c r="T64" s="16"/>
      <c r="U64" s="16"/>
      <c r="V64" s="16"/>
    </row>
    <row r="65" spans="1:22" x14ac:dyDescent="0.3">
      <c r="A65" s="118"/>
      <c r="B65" s="119"/>
      <c r="C65" s="119"/>
      <c r="D65" s="11" t="s">
        <v>226</v>
      </c>
      <c r="E65" s="39" t="s">
        <v>225</v>
      </c>
      <c r="F65" s="39">
        <v>4</v>
      </c>
      <c r="G65" s="88">
        <v>5</v>
      </c>
      <c r="I65" s="118"/>
      <c r="J65" s="119"/>
      <c r="K65" s="119"/>
      <c r="L65" s="11" t="s">
        <v>226</v>
      </c>
      <c r="M65" s="39" t="s">
        <v>225</v>
      </c>
      <c r="N65" s="39">
        <v>4</v>
      </c>
      <c r="O65" s="88">
        <v>5</v>
      </c>
      <c r="Q65" s="16"/>
      <c r="R65" s="16"/>
      <c r="S65" s="16"/>
      <c r="T65" s="16"/>
      <c r="U65" s="16"/>
      <c r="V65" s="16"/>
    </row>
    <row r="66" spans="1:22" ht="15" customHeight="1" x14ac:dyDescent="0.3">
      <c r="A66" s="118" t="s">
        <v>198</v>
      </c>
      <c r="B66" s="119"/>
      <c r="C66" s="119"/>
      <c r="D66" s="39">
        <v>56</v>
      </c>
      <c r="E66" s="39">
        <v>-73</v>
      </c>
      <c r="F66" s="39" t="str">
        <f>IF(AND(E66&gt;B54,D66&lt;A54),"NG",IF(E66&gt;B54,"Neg NG",IF(D66&lt;A54,"Pos NG","OK")))</f>
        <v>OK</v>
      </c>
      <c r="G66" s="88" t="str">
        <f>IF(AND(E66&gt;D54,D66&lt;C54),"NG",IF(E66&gt;D54,"Neg NG",IF(D66&lt;C54,"Pos NG","OK")))</f>
        <v>OK</v>
      </c>
      <c r="I66" s="118" t="s">
        <v>214</v>
      </c>
      <c r="J66" s="119"/>
      <c r="K66" s="119"/>
      <c r="L66" s="39">
        <v>45</v>
      </c>
      <c r="M66" s="39">
        <v>-45</v>
      </c>
      <c r="N66" s="39" t="str">
        <f>IF(AND(M66&gt;B54,L66&lt;A54),"NG",IF(M66&gt;B54,"Neg NG",IF(L66&lt;A54,"Pos NG","OK")))</f>
        <v>OK</v>
      </c>
      <c r="O66" s="88" t="str">
        <f>IF(AND(M66&gt;D54,L66&lt;C54),"NG",IF(M66&gt;D54,"Neg NG",IF(L66&lt;C54,"Pos NG","OK")))</f>
        <v>Neg NG</v>
      </c>
      <c r="Q66" s="16"/>
      <c r="R66" s="16"/>
      <c r="S66" s="16"/>
      <c r="T66" s="16"/>
      <c r="U66" s="16"/>
      <c r="V66" s="16"/>
    </row>
    <row r="67" spans="1:22" ht="30" customHeight="1" x14ac:dyDescent="0.3">
      <c r="A67" s="118" t="s">
        <v>204</v>
      </c>
      <c r="B67" s="119"/>
      <c r="C67" s="119"/>
      <c r="D67" s="39">
        <v>56</v>
      </c>
      <c r="E67" s="39">
        <v>-45</v>
      </c>
      <c r="F67" s="39" t="str">
        <f>IF(AND(E67&gt;B54,D67&lt;A54),"NG",IF(E67&gt;B54,"Neg NG",IF(D67&lt;A54,"Pos NG","OK")))</f>
        <v>OK</v>
      </c>
      <c r="G67" s="88" t="str">
        <f>IF(AND(E67&gt;D54,D67&lt;C54),"NG",IF(E67&gt;D54,"Neg NG",IF(D67&lt;C54,"Pos NG","OK")))</f>
        <v>Neg NG</v>
      </c>
      <c r="I67" s="118" t="s">
        <v>215</v>
      </c>
      <c r="J67" s="119"/>
      <c r="K67" s="119"/>
      <c r="L67" s="39">
        <v>45</v>
      </c>
      <c r="M67" s="39">
        <v>-45</v>
      </c>
      <c r="N67" s="39" t="str">
        <f>IF(AND(M67&gt;B54,L67&lt;A54),"NG",IF(M67&gt;B54,"Neg NG",IF(L67&lt;A54,"Pos NG","OK")))</f>
        <v>OK</v>
      </c>
      <c r="O67" s="88" t="str">
        <f>IF(AND(M67&gt;D54,L67&lt;C54),"NG",IF(M67&gt;D54,"Neg NG",IF(L67&lt;C54,"Pos NG","OK")))</f>
        <v>Neg NG</v>
      </c>
      <c r="Q67" s="16"/>
      <c r="R67" s="16"/>
      <c r="S67" s="16"/>
      <c r="T67" s="16"/>
      <c r="U67" s="16"/>
      <c r="V67" s="16"/>
    </row>
    <row r="68" spans="1:22" ht="28.95" customHeight="1" x14ac:dyDescent="0.3">
      <c r="A68" s="118" t="s">
        <v>199</v>
      </c>
      <c r="B68" s="119"/>
      <c r="C68" s="119"/>
      <c r="D68" s="39">
        <v>56</v>
      </c>
      <c r="E68" s="39">
        <v>-61</v>
      </c>
      <c r="F68" s="39" t="str">
        <f>IF(AND(E68&gt;B54,D68&lt;A54),"NG",IF(E68&gt;B54,"Neg NG",IF(D68&lt;A54,"Pos NG","OK")))</f>
        <v>OK</v>
      </c>
      <c r="G68" s="88" t="str">
        <f>IF(AND(E68&gt;D54,D68&lt;C54),"NG",IF(E68&gt;D54,"Neg NG",IF(D68&lt;C54,"Pos NG","OK")))</f>
        <v>OK</v>
      </c>
      <c r="I68" s="118" t="s">
        <v>212</v>
      </c>
      <c r="J68" s="119"/>
      <c r="K68" s="119"/>
      <c r="L68" s="39">
        <v>75</v>
      </c>
      <c r="M68" s="39">
        <v>-75</v>
      </c>
      <c r="N68" s="39" t="str">
        <f>IF(AND(M68&gt;B54,L68&lt;A54),"NG",IF(M68&gt;B54,"Neg NG",IF(L68&lt;A54,"Pos NG","OK")))</f>
        <v>OK</v>
      </c>
      <c r="O68" s="88" t="str">
        <f>IF(AND(M68&gt;D54,L68&lt;C54),"NG",IF(M68&gt;D54,"Neg NG",IF(L68&lt;C54,"Pos NG","OK")))</f>
        <v>OK</v>
      </c>
      <c r="Q68" s="16"/>
      <c r="R68" s="16"/>
      <c r="S68" s="16"/>
      <c r="T68" s="16"/>
      <c r="U68" s="16"/>
      <c r="V68" s="16"/>
    </row>
    <row r="69" spans="1:22" ht="28.95" customHeight="1" x14ac:dyDescent="0.3">
      <c r="A69" s="118" t="s">
        <v>200</v>
      </c>
      <c r="B69" s="119"/>
      <c r="C69" s="119"/>
      <c r="D69" s="39">
        <v>41</v>
      </c>
      <c r="E69" s="39">
        <v>-37</v>
      </c>
      <c r="F69" s="39" t="str">
        <f>IF(AND(E69&gt;B54,D69&lt;A54),"NG",IF(E69&gt;B54,"Neg NG",IF(D69&lt;A54,"Pos NG","OK")))</f>
        <v>OK</v>
      </c>
      <c r="G69" s="88" t="str">
        <f>IF(AND(E69&gt;D54,D69&lt;C54),"NG",IF(E69&gt;D54,"Neg NG",IF(D69&lt;C54,"Pos NG","OK")))</f>
        <v>Neg NG</v>
      </c>
      <c r="I69" s="118" t="s">
        <v>213</v>
      </c>
      <c r="J69" s="119"/>
      <c r="K69" s="119"/>
      <c r="L69" s="39">
        <v>90</v>
      </c>
      <c r="M69" s="39">
        <v>-90</v>
      </c>
      <c r="N69" s="39" t="str">
        <f>IF(AND(M69&gt;B54,L69&lt;A54),"NG",IF(M69&gt;B54,"Neg NG",IF(L69&lt;A54,"Pos NG","OK")))</f>
        <v>OK</v>
      </c>
      <c r="O69" s="88" t="str">
        <f>IF(AND(M69&gt;D54,L69&lt;C54),"NG",IF(M69&gt;D54,"Neg NG",IF(L69&lt;C54,"Pos NG","OK")))</f>
        <v>OK</v>
      </c>
      <c r="Q69" s="16"/>
      <c r="R69" s="16"/>
      <c r="S69" s="16"/>
      <c r="T69" s="16"/>
      <c r="U69" s="16"/>
      <c r="V69" s="16"/>
    </row>
    <row r="70" spans="1:22" ht="28.95" customHeight="1" x14ac:dyDescent="0.3">
      <c r="A70" s="118" t="s">
        <v>201</v>
      </c>
      <c r="B70" s="119"/>
      <c r="C70" s="119"/>
      <c r="D70" s="39">
        <v>70.180000000000007</v>
      </c>
      <c r="E70" s="39">
        <v>-70.180000000000007</v>
      </c>
      <c r="F70" s="39" t="str">
        <f>IF(AND(E70&gt;B54,D70&lt;A54),"NG",IF(E70&gt;B54,"Neg NG",IF(D70&lt;A54,"Pos NG","OK")))</f>
        <v>OK</v>
      </c>
      <c r="G70" s="88" t="str">
        <f>IF(AND(E70&gt;D54,D70&lt;C54),"NG",IF(E70&gt;D54,"Neg NG",IF(D70&lt;C54,"Pos NG","OK")))</f>
        <v>OK</v>
      </c>
      <c r="I70" s="118" t="s">
        <v>236</v>
      </c>
      <c r="J70" s="119"/>
      <c r="K70" s="119"/>
      <c r="L70" s="39">
        <v>52.5</v>
      </c>
      <c r="M70" s="39">
        <v>-52.5</v>
      </c>
      <c r="N70" s="39" t="str">
        <f>IF(AND(M70&gt;B54,L70&lt;A54),"NG",IF(M70&gt;B54,"Neg NG",IF(L70&lt;A54,"Pos NG","OK")))</f>
        <v>OK</v>
      </c>
      <c r="O70" s="88" t="str">
        <f>IF(AND(M70&gt;D54,L70&lt;C54),"NG",IF(M70&gt;D54,"Neg NG",IF(L70&lt;C54,"Pos NG","OK")))</f>
        <v>OK</v>
      </c>
      <c r="Q70" s="16"/>
      <c r="R70" s="16"/>
      <c r="S70" s="16"/>
      <c r="T70" s="16"/>
      <c r="U70" s="16"/>
      <c r="V70" s="16"/>
    </row>
    <row r="71" spans="1:22" ht="28.95" customHeight="1" x14ac:dyDescent="0.3">
      <c r="A71" s="118" t="s">
        <v>202</v>
      </c>
      <c r="B71" s="119"/>
      <c r="C71" s="119"/>
      <c r="D71" s="39">
        <v>50</v>
      </c>
      <c r="E71" s="39">
        <v>-50</v>
      </c>
      <c r="F71" s="39" t="str">
        <f>IF(AND(E71&gt;B54,D71&lt;A54),"NG",IF(E71&gt;B54,"Neg NG",IF(D71&lt;A54,"Pos NG","OK")))</f>
        <v>OK</v>
      </c>
      <c r="G71" s="88" t="str">
        <f>IF(AND(E71&gt;D54,D71&lt;C54),"NG",IF(E71&gt;D54,"Neg NG",IF(D71&lt;C54,"Pos NG","OK")))</f>
        <v>OK</v>
      </c>
      <c r="I71" s="118" t="s">
        <v>216</v>
      </c>
      <c r="J71" s="119"/>
      <c r="K71" s="119"/>
      <c r="L71" s="39">
        <v>90</v>
      </c>
      <c r="M71" s="39">
        <v>-90</v>
      </c>
      <c r="N71" s="39" t="str">
        <f>IF(AND(M71&gt;B54,L71&lt;A54),"NG",IF(M71&gt;B54,"Neg NG",IF(L71&lt;A54,"Pos NG","OK")))</f>
        <v>OK</v>
      </c>
      <c r="O71" s="88" t="str">
        <f>IF(AND(M71&gt;D54,L71&lt;C54),"NG",IF(M71&gt;D54,"Neg NG",IF(L71&lt;C54,"Pos NG","OK")))</f>
        <v>OK</v>
      </c>
      <c r="Q71" s="16"/>
      <c r="R71" s="16"/>
      <c r="S71" s="16"/>
      <c r="T71" s="16"/>
      <c r="U71" s="16"/>
      <c r="V71" s="16"/>
    </row>
    <row r="72" spans="1:22" ht="28.95" customHeight="1" x14ac:dyDescent="0.3">
      <c r="A72" s="118" t="s">
        <v>203</v>
      </c>
      <c r="B72" s="119"/>
      <c r="C72" s="119"/>
      <c r="D72" s="39">
        <v>75</v>
      </c>
      <c r="E72" s="39">
        <v>-75</v>
      </c>
      <c r="F72" s="39" t="str">
        <f>IF(AND(E72&gt;B54,D72&lt;A54),"NG",IF(E72&gt;B54,"Neg NG",IF(D72&lt;A54,"Pos NG","OK")))</f>
        <v>OK</v>
      </c>
      <c r="G72" s="88" t="str">
        <f>IF(AND(E72&gt;D54,D72&lt;C54),"NG",IF(E72&gt;D54,"Neg NG",IF(D72&lt;C54,"Pos NG","OK")))</f>
        <v>OK</v>
      </c>
      <c r="I72" s="118" t="s">
        <v>217</v>
      </c>
      <c r="J72" s="119"/>
      <c r="K72" s="119"/>
      <c r="L72" s="39">
        <v>52.5</v>
      </c>
      <c r="M72" s="39">
        <v>-52.5</v>
      </c>
      <c r="N72" s="39" t="str">
        <f>IF(AND(M72&gt;B54,L72&lt;A54),"NG",IF(M72&gt;B54,"Neg NG",IF(L72&lt;A54,"Pos NG","OK")))</f>
        <v>OK</v>
      </c>
      <c r="O72" s="88" t="str">
        <f>IF(AND(M72&gt;D54,L72&lt;C54),"NG",IF(M72&gt;D54,"Neg NG",IF(L72&lt;C54,"Pos NG","OK")))</f>
        <v>OK</v>
      </c>
    </row>
    <row r="73" spans="1:22" ht="28.95" customHeight="1" x14ac:dyDescent="0.3">
      <c r="A73" s="118" t="s">
        <v>205</v>
      </c>
      <c r="B73" s="119"/>
      <c r="C73" s="119"/>
      <c r="D73" s="39">
        <v>50</v>
      </c>
      <c r="E73" s="39">
        <v>-50</v>
      </c>
      <c r="F73" s="39" t="str">
        <f>IF(AND(E73&gt;B54,D73&lt;A54),"NG",IF(E73&gt;B54,"Neg NG",IF(D73&lt;A54,"Pos NG","OK")))</f>
        <v>OK</v>
      </c>
      <c r="G73" s="88" t="str">
        <f>IF(AND(E73&gt;D54,D73&lt;C54),"NG",IF(E73&gt;D54,"Neg NG",IF(D73&lt;C54,"Pos NG","OK")))</f>
        <v>OK</v>
      </c>
      <c r="I73" s="118" t="s">
        <v>218</v>
      </c>
      <c r="J73" s="119"/>
      <c r="K73" s="119"/>
      <c r="L73" s="39">
        <v>50</v>
      </c>
      <c r="M73" s="39">
        <v>-66</v>
      </c>
      <c r="N73" s="39" t="str">
        <f>IF(AND(M73&gt;B54,L73&lt;A54),"NG",IF(M73&gt;B54,"Neg NG",IF(L73&lt;A54,"Pos NG","OK")))</f>
        <v>OK</v>
      </c>
      <c r="O73" s="88" t="str">
        <f>IF(AND(M73&gt;D54,L73&lt;C54),"NG",IF(M73&gt;D54,"Neg NG",IF(L73&lt;C54,"Pos NG","OK")))</f>
        <v>OK</v>
      </c>
    </row>
    <row r="74" spans="1:22" ht="28.95" customHeight="1" x14ac:dyDescent="0.3">
      <c r="A74" s="118" t="s">
        <v>206</v>
      </c>
      <c r="B74" s="119"/>
      <c r="C74" s="119"/>
      <c r="D74" s="39">
        <v>50</v>
      </c>
      <c r="E74" s="39">
        <v>-50</v>
      </c>
      <c r="F74" s="39" t="str">
        <f>IF(AND(E74&gt;B54,D74&lt;A54),"NG",IF(E74&gt;B54,"Neg NG",IF(D74&lt;A54,"Pos NG","OK")))</f>
        <v>OK</v>
      </c>
      <c r="G74" s="88" t="str">
        <f>IF(AND(E74&gt;D54,D74&lt;C54),"NG",IF(E74&gt;D54,"Neg NG",IF(D74&lt;C54,"Pos NG","OK")))</f>
        <v>OK</v>
      </c>
      <c r="I74" s="118" t="s">
        <v>227</v>
      </c>
      <c r="J74" s="119"/>
      <c r="K74" s="119"/>
      <c r="L74" s="39">
        <v>25</v>
      </c>
      <c r="M74" s="39">
        <v>-25</v>
      </c>
      <c r="N74" s="39" t="str">
        <f>IF(AND(M74&gt;B54,L74&lt;A54),"NG",IF(M74&gt;B54,"Neg NG",IF(L74&lt;A54,"Pos NG","OK")))</f>
        <v>NG</v>
      </c>
      <c r="O74" s="88" t="str">
        <f>IF(AND(M74&gt;D54,L74&lt;C54),"NG",IF(M74&gt;D54,"Neg NG",IF(L74&lt;C54,"Pos NG","OK")))</f>
        <v>NG</v>
      </c>
    </row>
    <row r="75" spans="1:22" ht="30" customHeight="1" x14ac:dyDescent="0.3">
      <c r="A75" s="118" t="s">
        <v>221</v>
      </c>
      <c r="B75" s="119"/>
      <c r="C75" s="119"/>
      <c r="D75" s="39">
        <v>70</v>
      </c>
      <c r="E75" s="39">
        <v>-70</v>
      </c>
      <c r="F75" s="39" t="str">
        <f>IF(AND(E75&gt;B54,D75&lt;A54),"NG",IF(E75&gt;B54,"Neg NG",IF(D75&lt;A54,"Pos NG","OK")))</f>
        <v>OK</v>
      </c>
      <c r="G75" s="88" t="str">
        <f>IF(AND(E66&gt;D54,D66&lt;C54),"NG",IF(E66&gt;D54,"Neg NG",IF(D66&lt;C54,"Pos NG","OK")))</f>
        <v>OK</v>
      </c>
      <c r="I75" s="118" t="s">
        <v>228</v>
      </c>
      <c r="J75" s="119"/>
      <c r="K75" s="119"/>
      <c r="L75" s="39">
        <v>45</v>
      </c>
      <c r="M75" s="39">
        <v>-45</v>
      </c>
      <c r="N75" s="39" t="str">
        <f>IF(AND(M75&gt;B54,L75&lt;A54),"NG",IF(M75&gt;B54,"Neg NG",IF(L75&lt;A54,"Pos NG","OK")))</f>
        <v>OK</v>
      </c>
      <c r="O75" s="88" t="str">
        <f>IF(AND(M75&gt;D54,L75&lt;C54),"NG",IF(M75&gt;D54,"Neg NG",IF(L75&lt;C54,"Pos NG","OK")))</f>
        <v>Neg NG</v>
      </c>
    </row>
    <row r="76" spans="1:22" ht="30" customHeight="1" x14ac:dyDescent="0.3">
      <c r="A76" s="123" t="s">
        <v>222</v>
      </c>
      <c r="B76" s="124"/>
      <c r="C76" s="125"/>
      <c r="D76" s="39">
        <v>60</v>
      </c>
      <c r="E76" s="39">
        <v>-60</v>
      </c>
      <c r="F76" s="39" t="str">
        <f>IF(AND(E76&gt;B54,D76&lt;A54),"NG",IF(E76&gt;B54,"Neg NG",IF(D76&lt;A54,"Pos NG","OK")))</f>
        <v>OK</v>
      </c>
      <c r="G76" s="88" t="str">
        <f>IF(AND(E76&gt;D54,D76&lt;C54),"NG",IF(E76&gt;D54,"Neg NG",IF(D76&lt;C54,"Pos NG","OK")))</f>
        <v>OK</v>
      </c>
      <c r="I76" s="118" t="s">
        <v>229</v>
      </c>
      <c r="J76" s="119"/>
      <c r="K76" s="119"/>
      <c r="L76" s="39">
        <v>60</v>
      </c>
      <c r="M76" s="39">
        <v>-60</v>
      </c>
      <c r="N76" s="39" t="str">
        <f>IF(AND(M76&gt;B54,L76&lt;A54),"NG",IF(M76&gt;B54,"Neg NG",IF(L76&lt;A54,"Pos NG","OK")))</f>
        <v>OK</v>
      </c>
      <c r="O76" s="88" t="str">
        <f>IF(AND(M76&gt;D54,L76&lt;C54),"NG",IF(M76&gt;D54,"Neg NG",IF(L76&lt;C54,"Pos NG","OK")))</f>
        <v>OK</v>
      </c>
    </row>
    <row r="77" spans="1:22" ht="30" customHeight="1" x14ac:dyDescent="0.3">
      <c r="A77" s="123" t="s">
        <v>223</v>
      </c>
      <c r="B77" s="124"/>
      <c r="C77" s="125"/>
      <c r="D77" s="39">
        <v>60</v>
      </c>
      <c r="E77" s="39">
        <v>-60</v>
      </c>
      <c r="F77" s="39" t="str">
        <f>IF(AND(E77&gt;B54,D77&lt;A54),"NG",IF(E77&gt;B54,"Neg NG",IF(D77&lt;A54,"Pos NG","OK")))</f>
        <v>OK</v>
      </c>
      <c r="G77" s="88" t="str">
        <f>IF(AND(E77&gt;D54,D77&lt;C54),"NG",IF(E77&gt;D54,"Neg NG",IF(D77&lt;C54,"Pos NG","OK")))</f>
        <v>OK</v>
      </c>
      <c r="I77" s="118" t="s">
        <v>230</v>
      </c>
      <c r="J77" s="119"/>
      <c r="K77" s="119"/>
      <c r="L77" s="39">
        <v>50</v>
      </c>
      <c r="M77" s="39">
        <v>-50</v>
      </c>
      <c r="N77" s="39" t="str">
        <f>IF(AND(M77&gt;B54,L77&lt;A54),"NG",IF(M77&gt;B54,"Neg NG",IF(L77&lt;A54,"Pos NG","OK")))</f>
        <v>OK</v>
      </c>
      <c r="O77" s="88" t="str">
        <f>IF(AND(M77&gt;D54,L77&lt;C54),"NG",IF(M77&gt;D54,"Neg NG",IF(L77&lt;C54,"Pos NG","OK")))</f>
        <v>OK</v>
      </c>
    </row>
    <row r="78" spans="1:22" ht="28.95" customHeight="1" x14ac:dyDescent="0.3">
      <c r="A78" s="118" t="s">
        <v>207</v>
      </c>
      <c r="B78" s="119"/>
      <c r="C78" s="119"/>
      <c r="D78" s="39">
        <v>80</v>
      </c>
      <c r="E78" s="39">
        <v>-80</v>
      </c>
      <c r="F78" s="39" t="str">
        <f>IF(AND(E78&gt;B54,D78&lt;A54),"NG",IF(E78&gt;B54,"Neg NG",IF(D78&lt;A54,"Pos NG","OK")))</f>
        <v>OK</v>
      </c>
      <c r="G78" s="88" t="str">
        <f>IF(AND(E78&gt;D54,D78&lt;C54),"NG",IF(E78&gt;D54,"Neg NG",IF(D78&lt;C54,"Pos NG","OK")))</f>
        <v>OK</v>
      </c>
      <c r="I78" s="118" t="s">
        <v>231</v>
      </c>
      <c r="J78" s="119"/>
      <c r="K78" s="119"/>
      <c r="L78" s="39">
        <v>30</v>
      </c>
      <c r="M78" s="39">
        <v>-35</v>
      </c>
      <c r="N78" s="39" t="str">
        <f>IF(AND(M78&gt;B54,L78&lt;A54),"NG",IF(M78&gt;B54,"Neg NG",IF(L78&lt;A54,"Pos NG","OK")))</f>
        <v>NG</v>
      </c>
      <c r="O78" s="88" t="str">
        <f>IF(AND(M78&gt;D54,L78&lt;C54),"NG",IF(M78&gt;D54,"Neg NG",IF(L78&lt;C54,"Pos NG","OK")))</f>
        <v>NG</v>
      </c>
    </row>
    <row r="79" spans="1:22" ht="43.2" customHeight="1" thickBot="1" x14ac:dyDescent="0.35">
      <c r="A79" s="126" t="s">
        <v>208</v>
      </c>
      <c r="B79" s="127"/>
      <c r="C79" s="127"/>
      <c r="D79" s="109">
        <v>150</v>
      </c>
      <c r="E79" s="109">
        <v>-150</v>
      </c>
      <c r="F79" s="109" t="str">
        <f>IF(AND(E79&gt;B54,D79&lt;A54),"NG",IF(E79&gt;B54,"Neg NG",IF(D79&lt;A54,"Pos NG","OK")))</f>
        <v>OK</v>
      </c>
      <c r="G79" s="90" t="str">
        <f>IF(AND(E79&gt;D54,D79&lt;C54),"NG",IF(E79&gt;D54,"Neg NG",IF(D79&lt;C54,"Pos NG","OK")))</f>
        <v>OK</v>
      </c>
      <c r="I79" s="118" t="s">
        <v>232</v>
      </c>
      <c r="J79" s="119"/>
      <c r="K79" s="119"/>
      <c r="L79" s="39">
        <v>50</v>
      </c>
      <c r="M79" s="39">
        <v>-50</v>
      </c>
      <c r="N79" s="39" t="str">
        <f>IF(AND(M79&gt;B54,L79&lt;A54),"NG",IF(M79&gt;B54,"Neg NG",IF(L79&lt;A54,"Pos NG","OK")))</f>
        <v>OK</v>
      </c>
      <c r="O79" s="88" t="str">
        <f>IF(AND(M79&gt;D54,L79&lt;C54),"NG",IF(M79&gt;D54,"Neg NG",IF(L79&lt;C54,"Pos NG","OK")))</f>
        <v>OK</v>
      </c>
    </row>
    <row r="80" spans="1:22" ht="28.5" customHeight="1" thickBot="1" x14ac:dyDescent="0.35">
      <c r="I80" s="180" t="s">
        <v>233</v>
      </c>
      <c r="J80" s="181"/>
      <c r="K80" s="181"/>
      <c r="L80" s="111">
        <v>60</v>
      </c>
      <c r="M80" s="111">
        <v>-60</v>
      </c>
      <c r="N80" s="111" t="str">
        <f>IF(AND(M80&gt;B54,L80&lt;A54),"NG",IF(M80&gt;B54,"Neg NG",IF(L80&lt;A54,"Pos NG","OK")))</f>
        <v>OK</v>
      </c>
      <c r="O80" s="112" t="str">
        <f>IF(AND(M80&gt;D54,L80&lt;C54),"NG",IF(M80&gt;D54,"Neg NG",IF(L80&lt;C54,"Pos NG","OK")))</f>
        <v>OK</v>
      </c>
    </row>
    <row r="81" ht="14.4" customHeight="1" x14ac:dyDescent="0.3"/>
  </sheetData>
  <mergeCells count="80">
    <mergeCell ref="A78:C78"/>
    <mergeCell ref="A79:C79"/>
    <mergeCell ref="A64:C65"/>
    <mergeCell ref="A69:C69"/>
    <mergeCell ref="A70:C70"/>
    <mergeCell ref="A71:C71"/>
    <mergeCell ref="A72:C72"/>
    <mergeCell ref="A73:C73"/>
    <mergeCell ref="A66:C66"/>
    <mergeCell ref="A67:C67"/>
    <mergeCell ref="A68:C68"/>
    <mergeCell ref="A76:C76"/>
    <mergeCell ref="A77:C77"/>
    <mergeCell ref="A74:C74"/>
    <mergeCell ref="A75:C75"/>
    <mergeCell ref="F34:G34"/>
    <mergeCell ref="A29:I29"/>
    <mergeCell ref="N5:O5"/>
    <mergeCell ref="N7:O7"/>
    <mergeCell ref="P15:Q15"/>
    <mergeCell ref="H34:I34"/>
    <mergeCell ref="A30:A36"/>
    <mergeCell ref="B30:C30"/>
    <mergeCell ref="D30:E30"/>
    <mergeCell ref="F30:G30"/>
    <mergeCell ref="H30:I30"/>
    <mergeCell ref="A51:D51"/>
    <mergeCell ref="A52:B52"/>
    <mergeCell ref="C52:D52"/>
    <mergeCell ref="Z15:AA15"/>
    <mergeCell ref="N2:O2"/>
    <mergeCell ref="A38:A44"/>
    <mergeCell ref="B38:C38"/>
    <mergeCell ref="D38:E38"/>
    <mergeCell ref="F38:G38"/>
    <mergeCell ref="H38:I38"/>
    <mergeCell ref="B42:C42"/>
    <mergeCell ref="D42:E42"/>
    <mergeCell ref="F42:G42"/>
    <mergeCell ref="H42:I42"/>
    <mergeCell ref="B34:C34"/>
    <mergeCell ref="D34:E34"/>
    <mergeCell ref="AN33:AP33"/>
    <mergeCell ref="AN4:AQ4"/>
    <mergeCell ref="L40:N40"/>
    <mergeCell ref="P40:R40"/>
    <mergeCell ref="X15:Y15"/>
    <mergeCell ref="T11:U11"/>
    <mergeCell ref="Z11:AA11"/>
    <mergeCell ref="AB11:AC11"/>
    <mergeCell ref="N10:AC10"/>
    <mergeCell ref="AJ4:AK4"/>
    <mergeCell ref="N11:O11"/>
    <mergeCell ref="P11:Q11"/>
    <mergeCell ref="R11:S11"/>
    <mergeCell ref="V11:W11"/>
    <mergeCell ref="X11:Y11"/>
    <mergeCell ref="N8:O8"/>
    <mergeCell ref="I63:O63"/>
    <mergeCell ref="D64:E64"/>
    <mergeCell ref="F64:G64"/>
    <mergeCell ref="I64:K65"/>
    <mergeCell ref="N64:O64"/>
    <mergeCell ref="A63:G63"/>
    <mergeCell ref="L64:M64"/>
    <mergeCell ref="I71:K71"/>
    <mergeCell ref="I72:K72"/>
    <mergeCell ref="I73:K73"/>
    <mergeCell ref="I66:K66"/>
    <mergeCell ref="I67:K67"/>
    <mergeCell ref="I68:K68"/>
    <mergeCell ref="I69:K69"/>
    <mergeCell ref="I70:K70"/>
    <mergeCell ref="I80:K80"/>
    <mergeCell ref="I79:K79"/>
    <mergeCell ref="I74:K74"/>
    <mergeCell ref="I75:K75"/>
    <mergeCell ref="I76:K76"/>
    <mergeCell ref="I77:K77"/>
    <mergeCell ref="I78:K78"/>
  </mergeCells>
  <conditionalFormatting sqref="F66:G79">
    <cfRule type="containsText" dxfId="37" priority="7" operator="containsText" text="NG">
      <formula>NOT(ISERROR(SEARCH("NG",F66)))</formula>
    </cfRule>
  </conditionalFormatting>
  <conditionalFormatting sqref="F34:I34">
    <cfRule type="expression" dxfId="36" priority="56">
      <formula>($F$34="Zone 3e:")</formula>
    </cfRule>
  </conditionalFormatting>
  <conditionalFormatting sqref="F36:I36">
    <cfRule type="expression" dxfId="35" priority="60">
      <formula>($F$34="Zone 3e:")</formula>
    </cfRule>
  </conditionalFormatting>
  <conditionalFormatting sqref="F42:I44">
    <cfRule type="expression" dxfId="34" priority="37">
      <formula>($F$34="Zone 3e:")</formula>
    </cfRule>
  </conditionalFormatting>
  <conditionalFormatting sqref="G35">
    <cfRule type="expression" dxfId="33" priority="59">
      <formula>($F$34="Zone 3e:")</formula>
    </cfRule>
  </conditionalFormatting>
  <conditionalFormatting sqref="H31">
    <cfRule type="expression" dxfId="32" priority="34">
      <formula>$H$30="Leave Out Zone 1'"</formula>
    </cfRule>
    <cfRule type="expression" dxfId="31" priority="44">
      <formula>$H$24="Leave Out Zone 1'"</formula>
    </cfRule>
  </conditionalFormatting>
  <conditionalFormatting sqref="H32">
    <cfRule type="expression" dxfId="30" priority="33">
      <formula>$H$30="Leave Out Zone 1'"</formula>
    </cfRule>
  </conditionalFormatting>
  <conditionalFormatting sqref="H39">
    <cfRule type="expression" dxfId="29" priority="28">
      <formula>$H$30="Leave Out Zone 1'"</formula>
    </cfRule>
    <cfRule type="expression" dxfId="28" priority="41">
      <formula>$H$24="Leave Out Zone 1'"</formula>
    </cfRule>
  </conditionalFormatting>
  <conditionalFormatting sqref="H40">
    <cfRule type="expression" dxfId="27" priority="29">
      <formula>$H$30="Leave Out Zone 1'"</formula>
    </cfRule>
  </conditionalFormatting>
  <conditionalFormatting sqref="H30:I30">
    <cfRule type="expression" dxfId="26" priority="36">
      <formula>$H$30="Leave Out Zone 1'"</formula>
    </cfRule>
  </conditionalFormatting>
  <conditionalFormatting sqref="H38:I38">
    <cfRule type="expression" dxfId="25" priority="35">
      <formula>$H$30="Leave Out Zone 1'"</formula>
    </cfRule>
  </conditionalFormatting>
  <conditionalFormatting sqref="I31">
    <cfRule type="expression" dxfId="24" priority="32">
      <formula>$H$30="Leave Out Zone 1'"</formula>
    </cfRule>
    <cfRule type="expression" dxfId="23" priority="43">
      <formula>$H$24="Leave Out Zone 1'"</formula>
    </cfRule>
  </conditionalFormatting>
  <conditionalFormatting sqref="I32">
    <cfRule type="expression" dxfId="22" priority="31">
      <formula>$H$30="Leave Out Zone 1'"</formula>
    </cfRule>
  </conditionalFormatting>
  <conditionalFormatting sqref="I35">
    <cfRule type="expression" dxfId="21" priority="58">
      <formula>($F$34="Zone 3e:")</formula>
    </cfRule>
  </conditionalFormatting>
  <conditionalFormatting sqref="I39">
    <cfRule type="expression" dxfId="20" priority="27">
      <formula>$H$30="Leave Out Zone 1'"</formula>
    </cfRule>
  </conditionalFormatting>
  <conditionalFormatting sqref="I40">
    <cfRule type="expression" dxfId="19" priority="30">
      <formula>$H$30="Leave Out Zone 1'"</formula>
    </cfRule>
  </conditionalFormatting>
  <conditionalFormatting sqref="N66:O80">
    <cfRule type="containsText" dxfId="18" priority="1" operator="containsText" text="NG">
      <formula>NOT(ISERROR(SEARCH("NG",N66)))</formula>
    </cfRule>
  </conditionalFormatting>
  <conditionalFormatting sqref="P9 Y11">
    <cfRule type="expression" dxfId="17" priority="48">
      <formula>(P9="Zone 3e:")</formula>
    </cfRule>
  </conditionalFormatting>
  <conditionalFormatting sqref="X15:Y15">
    <cfRule type="expression" dxfId="16" priority="17">
      <formula>E19&gt;7</formula>
    </cfRule>
  </conditionalFormatting>
  <conditionalFormatting sqref="Y11">
    <cfRule type="expression" dxfId="15" priority="66">
      <formula>(P9="Zone 3e:")</formula>
    </cfRule>
  </conditionalFormatting>
  <conditionalFormatting sqref="Z15:AA15">
    <cfRule type="expression" dxfId="14" priority="15">
      <formula>$E$18&lt;=7</formula>
    </cfRule>
  </conditionalFormatting>
  <conditionalFormatting sqref="AA11">
    <cfRule type="expression" dxfId="13" priority="24">
      <formula>(AA11="Zone 3e:")</formula>
    </cfRule>
    <cfRule type="expression" dxfId="12" priority="25">
      <formula>(R9="Zone 3e:")</formula>
    </cfRule>
  </conditionalFormatting>
  <conditionalFormatting sqref="AC11">
    <cfRule type="expression" dxfId="11" priority="22">
      <formula>(AC11="Zone 3e:")</formula>
    </cfRule>
    <cfRule type="expression" dxfId="10" priority="23">
      <formula>(T9="Zone 3e:")</formula>
    </cfRule>
  </conditionalFormatting>
  <conditionalFormatting sqref="AO15">
    <cfRule type="expression" dxfId="9" priority="20">
      <formula>(Q42="Zone 3e:")</formula>
    </cfRule>
  </conditionalFormatting>
  <conditionalFormatting sqref="AO15:AP15">
    <cfRule type="expression" dxfId="8" priority="19">
      <formula>(AO15="Zone 3e:")</formula>
    </cfRule>
  </conditionalFormatting>
  <conditionalFormatting sqref="AP15">
    <cfRule type="expression" dxfId="7" priority="21">
      <formula>(Q42="Zone 3e:")</formula>
    </cfRule>
  </conditionalFormatting>
  <dataValidations count="6">
    <dataValidation type="list" allowBlank="1" showInputMessage="1" showErrorMessage="1" sqref="F23" xr:uid="{00000000-0002-0000-0300-000000000000}">
      <formula1>"0,1000,2000,3000,4000,5000,6000,7000,8000,9000"</formula1>
    </dataValidation>
    <dataValidation type="list" allowBlank="1" showInputMessage="1" showErrorMessage="1" sqref="E15" xr:uid="{00000000-0002-0000-0300-000001000000}">
      <formula1>"B,C,D"</formula1>
    </dataValidation>
    <dataValidation type="list" allowBlank="1" showInputMessage="1" showErrorMessage="1" sqref="N5:O5" xr:uid="{00000000-0002-0000-0300-000002000000}">
      <formula1>"Transverse / Complex, Gable / Mono"</formula1>
    </dataValidation>
    <dataValidation type="whole" allowBlank="1" showInputMessage="1" showErrorMessage="1" sqref="E16" xr:uid="{0716A31D-C3B3-466B-8A95-C103C789EA56}">
      <formula1>0</formula1>
      <formula2>57</formula2>
    </dataValidation>
    <dataValidation type="whole" allowBlank="1" showInputMessage="1" showErrorMessage="1" sqref="E20" xr:uid="{5EB86B10-BF42-4A5C-93AB-5563EF045790}">
      <formula1>0</formula1>
      <formula2>3</formula2>
    </dataValidation>
    <dataValidation type="list" allowBlank="1" showInputMessage="1" showErrorMessage="1" sqref="F24" xr:uid="{60F380B0-FA9B-4586-87FF-3E3BC322C531}">
      <formula1>"(Enclosed), (Patially Enclosed), (Open), (Partially Open)"</formula1>
    </dataValidation>
  </dataValidations>
  <pageMargins left="0.7" right="0.7" top="0.75" bottom="0.75" header="0.3" footer="0.3"/>
  <pageSetup orientation="portrait" r:id="rId1"/>
  <ignoredErrors>
    <ignoredError sqref="E26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79"/>
  <sheetViews>
    <sheetView workbookViewId="0">
      <selection activeCell="E13" sqref="E13"/>
    </sheetView>
  </sheetViews>
  <sheetFormatPr defaultRowHeight="14.4" x14ac:dyDescent="0.3"/>
  <cols>
    <col min="10" max="19" width="9.109375" customWidth="1"/>
    <col min="25" max="25" width="9.109375" customWidth="1"/>
    <col min="26" max="27" width="9.109375" hidden="1" customWidth="1"/>
    <col min="28" max="35" width="8.88671875" hidden="1" customWidth="1"/>
  </cols>
  <sheetData>
    <row r="1" spans="1:35" ht="17.399999999999999" x14ac:dyDescent="0.3">
      <c r="E1" s="3" t="s">
        <v>14</v>
      </c>
      <c r="I1" s="19"/>
      <c r="J1" s="19"/>
      <c r="K1" s="19"/>
      <c r="L1" s="19"/>
      <c r="M1" s="19"/>
      <c r="N1" s="19"/>
      <c r="O1" s="19"/>
      <c r="P1" s="19"/>
      <c r="Q1" s="19"/>
    </row>
    <row r="2" spans="1:35" ht="17.399999999999999" x14ac:dyDescent="0.3">
      <c r="E2" s="3" t="s">
        <v>145</v>
      </c>
      <c r="I2" s="19"/>
      <c r="J2" s="25"/>
      <c r="K2" s="25"/>
      <c r="L2" s="25"/>
      <c r="M2" s="22"/>
      <c r="N2" s="150" t="s">
        <v>83</v>
      </c>
      <c r="O2" s="150"/>
      <c r="Y2" s="19"/>
      <c r="Z2" s="46"/>
      <c r="AA2" s="19"/>
    </row>
    <row r="3" spans="1:35" x14ac:dyDescent="0.3">
      <c r="E3" s="4" t="s">
        <v>189</v>
      </c>
      <c r="I3" s="19"/>
      <c r="J3" s="22"/>
      <c r="K3" s="25"/>
      <c r="L3" s="25"/>
      <c r="M3" s="22"/>
      <c r="N3" s="39" t="s">
        <v>55</v>
      </c>
      <c r="O3" s="39" t="s">
        <v>69</v>
      </c>
      <c r="Y3" s="19"/>
      <c r="Z3" s="19"/>
      <c r="AA3" s="19"/>
    </row>
    <row r="4" spans="1:35" x14ac:dyDescent="0.3">
      <c r="I4" s="19"/>
      <c r="J4" s="22"/>
      <c r="K4" s="42"/>
      <c r="L4" s="25"/>
      <c r="M4" s="22" t="s">
        <v>70</v>
      </c>
      <c r="N4" s="58">
        <v>24</v>
      </c>
      <c r="O4" s="59">
        <v>60</v>
      </c>
      <c r="Z4" s="133" t="s">
        <v>28</v>
      </c>
      <c r="AA4" s="133"/>
      <c r="AF4" s="159" t="s">
        <v>130</v>
      </c>
      <c r="AG4" s="159"/>
      <c r="AH4" s="159"/>
      <c r="AI4" s="159"/>
    </row>
    <row r="5" spans="1:35" x14ac:dyDescent="0.3">
      <c r="C5" s="5" t="s">
        <v>15</v>
      </c>
      <c r="D5" s="6" t="s">
        <v>16</v>
      </c>
      <c r="I5" s="19"/>
      <c r="M5" s="22" t="s">
        <v>71</v>
      </c>
      <c r="N5" s="132" t="s">
        <v>72</v>
      </c>
      <c r="O5" s="132"/>
      <c r="Z5" s="74">
        <f>N4*0.1</f>
        <v>2.4000000000000004</v>
      </c>
      <c r="AA5" s="74">
        <f>E16*0.4</f>
        <v>6</v>
      </c>
      <c r="AB5" t="s">
        <v>160</v>
      </c>
      <c r="AC5" s="25"/>
      <c r="AF5" s="39"/>
      <c r="AG5" s="39" t="s">
        <v>128</v>
      </c>
      <c r="AH5" s="39" t="s">
        <v>37</v>
      </c>
      <c r="AI5" s="39" t="s">
        <v>129</v>
      </c>
    </row>
    <row r="6" spans="1:35" x14ac:dyDescent="0.3">
      <c r="D6" s="6" t="s">
        <v>183</v>
      </c>
      <c r="I6" s="19"/>
      <c r="M6" s="19"/>
      <c r="N6" s="19"/>
      <c r="O6" s="22"/>
      <c r="Z6" s="74">
        <f>O4*0.1</f>
        <v>6</v>
      </c>
      <c r="AA6" s="74">
        <f>E17*0.4</f>
        <v>6</v>
      </c>
      <c r="AB6" t="s">
        <v>161</v>
      </c>
      <c r="AC6" s="23"/>
      <c r="AF6" s="39">
        <v>15</v>
      </c>
      <c r="AG6" s="39">
        <v>0.56999999999999995</v>
      </c>
      <c r="AH6" s="39">
        <v>0.85</v>
      </c>
      <c r="AI6" s="39">
        <v>1.03</v>
      </c>
    </row>
    <row r="7" spans="1:35" x14ac:dyDescent="0.3">
      <c r="D7" s="6" t="s">
        <v>17</v>
      </c>
      <c r="E7" s="19"/>
      <c r="M7" s="19"/>
      <c r="N7" s="133" t="s">
        <v>79</v>
      </c>
      <c r="O7" s="133"/>
      <c r="Q7" s="19"/>
      <c r="Z7" s="96">
        <f>MIN(N4,O4)*0.1</f>
        <v>2.4000000000000004</v>
      </c>
      <c r="AA7" s="97">
        <f>E16*0.4</f>
        <v>6</v>
      </c>
      <c r="AB7" t="s">
        <v>157</v>
      </c>
      <c r="AF7" s="39">
        <v>20</v>
      </c>
      <c r="AG7" s="39">
        <v>0.62</v>
      </c>
      <c r="AH7" s="39">
        <v>0.9</v>
      </c>
      <c r="AI7" s="39">
        <v>1.08</v>
      </c>
    </row>
    <row r="8" spans="1:35" x14ac:dyDescent="0.3">
      <c r="D8" s="6" t="s">
        <v>18</v>
      </c>
      <c r="I8" s="19"/>
      <c r="M8" s="19"/>
      <c r="N8" s="133">
        <f>MAX(Z13,Z14)</f>
        <v>15.625</v>
      </c>
      <c r="O8" s="133"/>
      <c r="Q8" s="19"/>
      <c r="Z8" s="11" t="s">
        <v>150</v>
      </c>
      <c r="AA8" s="11" t="s">
        <v>151</v>
      </c>
      <c r="AF8" s="39">
        <v>25</v>
      </c>
      <c r="AG8" s="39">
        <v>0.66</v>
      </c>
      <c r="AH8" s="39">
        <v>0.94</v>
      </c>
      <c r="AI8" s="39">
        <v>1.1200000000000001</v>
      </c>
    </row>
    <row r="9" spans="1:35" x14ac:dyDescent="0.3">
      <c r="D9" s="6" t="s">
        <v>19</v>
      </c>
      <c r="I9" s="19"/>
      <c r="M9" s="23"/>
      <c r="N9" s="19"/>
      <c r="O9" s="19"/>
      <c r="P9" s="19"/>
      <c r="Q9" s="19"/>
      <c r="AF9" s="39">
        <v>30</v>
      </c>
      <c r="AG9" s="39">
        <v>0.7</v>
      </c>
      <c r="AH9" s="39">
        <v>0.98</v>
      </c>
      <c r="AI9" s="39">
        <v>1.1599999999999999</v>
      </c>
    </row>
    <row r="10" spans="1:35" ht="15" thickBot="1" x14ac:dyDescent="0.35">
      <c r="D10" s="6" t="s">
        <v>20</v>
      </c>
      <c r="I10" s="19"/>
      <c r="M10" s="23"/>
      <c r="N10" s="19"/>
      <c r="Q10" s="19"/>
      <c r="Z10" s="8">
        <f>IF(E19&lt;=7,(N4-(V15*2)),IF(AND(E19&gt;7,E19&lt;=45),(N4-(V15*4)),0))</f>
        <v>18</v>
      </c>
      <c r="AA10" s="8">
        <f>IF(E19&lt;=7,(O4-(W15*2)),IF(AND(E19&gt;7,E19&lt;=45),(O4-(W15*2)),0))</f>
        <v>48</v>
      </c>
      <c r="AB10" t="s">
        <v>148</v>
      </c>
      <c r="AF10" s="39">
        <v>40</v>
      </c>
      <c r="AG10" s="39">
        <v>0.76</v>
      </c>
      <c r="AH10" s="39">
        <v>1.04</v>
      </c>
      <c r="AI10" s="39">
        <v>1.22</v>
      </c>
    </row>
    <row r="11" spans="1:35" ht="15" thickBot="1" x14ac:dyDescent="0.35">
      <c r="D11" s="6" t="s">
        <v>21</v>
      </c>
      <c r="I11" s="19"/>
      <c r="M11" s="19"/>
      <c r="N11" s="167" t="s">
        <v>159</v>
      </c>
      <c r="O11" s="186"/>
      <c r="P11" s="186"/>
      <c r="Q11" s="186"/>
      <c r="R11" s="186"/>
      <c r="S11" s="186"/>
      <c r="T11" s="186"/>
      <c r="U11" s="186"/>
      <c r="V11" s="186"/>
      <c r="W11" s="168"/>
      <c r="Z11" s="8">
        <f>IF(E19&lt;=7,(N4-T14*2),IF(AND(E19&gt;7,E19&lt;=27),(N4-(T14*2)),IF(AND(E19&gt;27,E19&lt;=45),(N4-(T14*4))*0)))</f>
        <v>18</v>
      </c>
      <c r="AA11" s="8">
        <f>IF(E19&lt;=7,(O4-(U14*2)),IF(AND(E19&gt;7,E19&lt;=45),(O4-(W14*4)),0))</f>
        <v>48</v>
      </c>
      <c r="AB11" t="s">
        <v>149</v>
      </c>
      <c r="AF11" s="39">
        <v>50</v>
      </c>
      <c r="AG11" s="39">
        <v>0.81</v>
      </c>
      <c r="AH11" s="39">
        <v>1.0900000000000001</v>
      </c>
      <c r="AI11" s="39">
        <v>1.27</v>
      </c>
    </row>
    <row r="12" spans="1:35" ht="15" thickBot="1" x14ac:dyDescent="0.35">
      <c r="D12" s="6" t="s">
        <v>182</v>
      </c>
      <c r="J12" s="19"/>
      <c r="K12" s="19"/>
      <c r="L12" s="19"/>
      <c r="M12" s="19"/>
      <c r="N12" s="167" t="s">
        <v>56</v>
      </c>
      <c r="O12" s="168"/>
      <c r="P12" s="167" t="s">
        <v>57</v>
      </c>
      <c r="Q12" s="168"/>
      <c r="R12" s="167" t="s">
        <v>59</v>
      </c>
      <c r="S12" s="168"/>
      <c r="T12" s="167" t="s">
        <v>58</v>
      </c>
      <c r="U12" s="168"/>
      <c r="V12" s="167" t="s">
        <v>60</v>
      </c>
      <c r="W12" s="168"/>
      <c r="AF12" s="39">
        <v>60</v>
      </c>
      <c r="AG12" s="39">
        <v>0.85</v>
      </c>
      <c r="AH12" s="39">
        <v>1.1299999999999999</v>
      </c>
      <c r="AI12" s="39">
        <v>1.31</v>
      </c>
    </row>
    <row r="13" spans="1:35" x14ac:dyDescent="0.3">
      <c r="A13" s="19"/>
      <c r="B13" s="19"/>
      <c r="C13" s="19"/>
      <c r="D13" s="27" t="s">
        <v>26</v>
      </c>
      <c r="E13" s="20">
        <v>130</v>
      </c>
      <c r="F13" s="7" t="s">
        <v>22</v>
      </c>
      <c r="G13" s="21"/>
      <c r="H13" s="19"/>
      <c r="I13" s="19"/>
      <c r="J13" s="19"/>
      <c r="K13" s="19"/>
      <c r="L13" s="28"/>
      <c r="M13" s="19"/>
      <c r="N13" s="91" t="s">
        <v>146</v>
      </c>
      <c r="O13" s="92" t="s">
        <v>147</v>
      </c>
      <c r="P13" s="91" t="s">
        <v>146</v>
      </c>
      <c r="Q13" s="92" t="s">
        <v>147</v>
      </c>
      <c r="R13" s="91" t="s">
        <v>146</v>
      </c>
      <c r="S13" s="92" t="s">
        <v>147</v>
      </c>
      <c r="T13" s="91" t="s">
        <v>146</v>
      </c>
      <c r="U13" s="92" t="s">
        <v>147</v>
      </c>
      <c r="V13" s="91" t="s">
        <v>146</v>
      </c>
      <c r="W13" s="92" t="s">
        <v>147</v>
      </c>
      <c r="Z13">
        <f>IF(N5="transverse / complex",(E16+(E18*((O4/2)/12))),IF(N5="gable / mono",(E16+(E18*((N4/2)/12))),0))</f>
        <v>15.625</v>
      </c>
      <c r="AA13" t="s">
        <v>167</v>
      </c>
      <c r="AF13" s="39">
        <v>70</v>
      </c>
      <c r="AG13" s="39">
        <v>0.89</v>
      </c>
      <c r="AH13" s="39">
        <v>1.17</v>
      </c>
      <c r="AI13" s="39">
        <v>1.34</v>
      </c>
    </row>
    <row r="14" spans="1:35" x14ac:dyDescent="0.3">
      <c r="D14" s="27" t="s">
        <v>82</v>
      </c>
      <c r="E14" s="53">
        <f>SUM(E13*SQRT(0.6))</f>
        <v>100.69756700139284</v>
      </c>
      <c r="F14" s="12" t="s">
        <v>22</v>
      </c>
      <c r="I14" s="25"/>
      <c r="M14" s="22" t="s">
        <v>162</v>
      </c>
      <c r="N14" s="60" t="s">
        <v>163</v>
      </c>
      <c r="O14" s="88" t="s">
        <v>163</v>
      </c>
      <c r="P14" s="60">
        <f>IF(MIN(Z5,AA5)&lt;3,3,MIN(Z5,AA5))</f>
        <v>3</v>
      </c>
      <c r="Q14" s="88">
        <f>IF(MIN(Z6,AA6)&lt;3,3,MIN(Z6,AA6))</f>
        <v>6</v>
      </c>
      <c r="R14" s="60" t="s">
        <v>163</v>
      </c>
      <c r="S14" s="88" t="s">
        <v>163</v>
      </c>
      <c r="T14" s="60">
        <f>IF(MIN(Z7,AA7)&lt;3,3,MIN(Z7,AA7))</f>
        <v>3</v>
      </c>
      <c r="U14" s="88">
        <f>IF(MIN(Z6,AA6)&lt;3,3,MIN(Z6,AA6))</f>
        <v>6</v>
      </c>
      <c r="V14" s="60">
        <f>IF(MIN(Z7,AA7)&lt;3,3,MIN(Z7,AA7))</f>
        <v>3</v>
      </c>
      <c r="W14" s="88">
        <f>IF(MIN(Z6,AA6)&lt;3,3,MIN(Z6,AA6))</f>
        <v>6</v>
      </c>
      <c r="Z14">
        <f>E16+E20</f>
        <v>15</v>
      </c>
      <c r="AA14" t="s">
        <v>168</v>
      </c>
      <c r="AF14" s="39">
        <v>80</v>
      </c>
      <c r="AG14" s="39">
        <v>0.93</v>
      </c>
      <c r="AH14" s="39">
        <v>1.21</v>
      </c>
      <c r="AI14" s="39">
        <v>1.38</v>
      </c>
    </row>
    <row r="15" spans="1:35" ht="15" thickBot="1" x14ac:dyDescent="0.35">
      <c r="A15" s="19"/>
      <c r="B15" s="19"/>
      <c r="C15" s="19"/>
      <c r="D15" s="27" t="s">
        <v>23</v>
      </c>
      <c r="E15" s="14" t="s">
        <v>37</v>
      </c>
      <c r="F15" s="7"/>
      <c r="G15" s="21"/>
      <c r="I15" s="21"/>
      <c r="M15" s="22" t="s">
        <v>152</v>
      </c>
      <c r="N15" s="89">
        <f>SUM(N4-P15*2)</f>
        <v>18</v>
      </c>
      <c r="O15" s="90">
        <f>SUM(O4-Q15*2)</f>
        <v>48</v>
      </c>
      <c r="P15" s="89">
        <f>IF(MIN(Z5,AA5)&lt;3,3,MIN(Z5,AA5))</f>
        <v>3</v>
      </c>
      <c r="Q15" s="90">
        <f>IF(MIN(Z6,AA6)&lt;3,3,MIN(Z6,AA6))</f>
        <v>6</v>
      </c>
      <c r="R15" s="89">
        <f>IF(Z11&lt;=0,"N/A",IF(E19&lt;=7,(N4-T14*2),IF(E19&gt;7,(N4-(T14*4)),0)))</f>
        <v>18</v>
      </c>
      <c r="S15" s="90">
        <f>IF(AA11&lt;=0,"N/A",IF(E19&lt;=7,(O4-(U14*2)),IF(E19&gt;7,(O4-(U14*4)),0)))</f>
        <v>48</v>
      </c>
      <c r="T15" s="89">
        <f>IF(Z10&lt;=0,"N/A",IF(E19&lt;=7,(N4-(V15*2)),IF(E19&gt;7,(N4-(V15*4)),0)))</f>
        <v>18</v>
      </c>
      <c r="U15" s="90">
        <f>IF(AA10&lt;=0,"N/A",IF(E19&lt;=7,(O4-(W15*2)),IF(E19&gt;7,(O4-(W15*2)),0)))</f>
        <v>48</v>
      </c>
      <c r="V15" s="94">
        <f>IF(MIN(Z5,AA5)&lt;3,3,MIN(Z5,AA5))</f>
        <v>3</v>
      </c>
      <c r="W15" s="95">
        <f>IF(MIN(Z6,AA6)&lt;3,3,MIN(Z6,AA6))</f>
        <v>6</v>
      </c>
      <c r="AF15" s="39">
        <v>90</v>
      </c>
      <c r="AG15" s="39">
        <v>0.96</v>
      </c>
      <c r="AH15" s="39">
        <v>1.24</v>
      </c>
      <c r="AI15" s="39">
        <v>1.4</v>
      </c>
    </row>
    <row r="16" spans="1:35" ht="15" thickBot="1" x14ac:dyDescent="0.35">
      <c r="A16" s="19"/>
      <c r="B16" s="19"/>
      <c r="C16" s="19"/>
      <c r="D16" s="27" t="s">
        <v>73</v>
      </c>
      <c r="E16" s="20">
        <v>15</v>
      </c>
      <c r="F16" s="7" t="s">
        <v>250</v>
      </c>
      <c r="G16" s="19"/>
      <c r="I16" s="21"/>
      <c r="P16" s="139" t="s">
        <v>156</v>
      </c>
      <c r="Q16" s="140"/>
      <c r="V16" s="139" t="s">
        <v>156</v>
      </c>
      <c r="W16" s="140"/>
      <c r="AF16" s="39">
        <v>100</v>
      </c>
      <c r="AG16" s="39">
        <v>0.99</v>
      </c>
      <c r="AH16" s="39">
        <v>1.26</v>
      </c>
      <c r="AI16" s="39">
        <v>1.43</v>
      </c>
    </row>
    <row r="17" spans="1:35" x14ac:dyDescent="0.3">
      <c r="D17" s="27" t="s">
        <v>74</v>
      </c>
      <c r="E17" s="26">
        <f>IF(AND(E20&gt;0,(E16+E20)&gt;N8),E16+E20,IF(E19&lt;=10,E16,IF(N5="transverse / complex",(E16+(E18*((O4/2)/12)/2)),IF(N5="gable / mono",(E16+(E18*((N4/2)/12)/2)),E16+E20))))</f>
        <v>15</v>
      </c>
      <c r="F17" s="19"/>
      <c r="I17" s="19"/>
      <c r="AF17" s="39">
        <v>120</v>
      </c>
      <c r="AG17" s="39">
        <v>1.04</v>
      </c>
      <c r="AH17" s="39">
        <v>1.31</v>
      </c>
      <c r="AI17" s="39">
        <v>1.48</v>
      </c>
    </row>
    <row r="18" spans="1:35" x14ac:dyDescent="0.3">
      <c r="C18" s="19"/>
      <c r="D18" s="22" t="s">
        <v>77</v>
      </c>
      <c r="E18" s="30">
        <v>0.25</v>
      </c>
      <c r="F18" t="s">
        <v>67</v>
      </c>
      <c r="H18" s="19"/>
      <c r="I18" s="19"/>
      <c r="AF18" s="39">
        <v>140</v>
      </c>
      <c r="AG18" s="39">
        <v>1.0900000000000001</v>
      </c>
      <c r="AH18" s="39">
        <v>1.36</v>
      </c>
      <c r="AI18" s="39">
        <v>1.52</v>
      </c>
    </row>
    <row r="19" spans="1:35" x14ac:dyDescent="0.3">
      <c r="D19" s="27" t="s">
        <v>75</v>
      </c>
      <c r="E19" s="41">
        <f>ATAN(E18/12)*(180/PI())</f>
        <v>1.1934894239820351</v>
      </c>
      <c r="I19" s="19"/>
      <c r="AF19" s="39">
        <v>160</v>
      </c>
      <c r="AG19" s="39">
        <v>1.1299999999999999</v>
      </c>
      <c r="AH19" s="39">
        <v>1.39</v>
      </c>
      <c r="AI19" s="39">
        <v>1.55</v>
      </c>
    </row>
    <row r="20" spans="1:35" x14ac:dyDescent="0.3">
      <c r="D20" s="27" t="s">
        <v>54</v>
      </c>
      <c r="E20" s="30">
        <v>0</v>
      </c>
      <c r="I20" s="19"/>
      <c r="J20" s="19"/>
      <c r="N20" s="25"/>
      <c r="O20" s="25"/>
      <c r="P20" s="25"/>
      <c r="Q20" s="87"/>
      <c r="R20" s="21"/>
      <c r="AF20" s="39">
        <v>180</v>
      </c>
      <c r="AG20" s="39">
        <v>1.17</v>
      </c>
      <c r="AH20" s="39">
        <v>1.43</v>
      </c>
      <c r="AI20" s="39">
        <v>1.58</v>
      </c>
    </row>
    <row r="21" spans="1:35" x14ac:dyDescent="0.3">
      <c r="D21" s="27" t="s">
        <v>131</v>
      </c>
      <c r="E21" s="21">
        <v>1</v>
      </c>
      <c r="F21" s="7" t="s">
        <v>181</v>
      </c>
      <c r="H21" s="104"/>
      <c r="I21" s="19"/>
      <c r="J21" s="19"/>
      <c r="AF21" s="39">
        <v>200</v>
      </c>
      <c r="AG21" s="39">
        <v>1.2</v>
      </c>
      <c r="AH21" s="39">
        <v>1.46</v>
      </c>
      <c r="AI21" s="39">
        <v>1.61</v>
      </c>
    </row>
    <row r="22" spans="1:35" x14ac:dyDescent="0.3">
      <c r="D22" s="22" t="s">
        <v>132</v>
      </c>
      <c r="E22" s="23">
        <v>0.85</v>
      </c>
      <c r="F22" s="19" t="s">
        <v>171</v>
      </c>
      <c r="I22" s="19"/>
      <c r="J22" s="19"/>
      <c r="R22" s="21"/>
      <c r="AF22" s="39">
        <v>250</v>
      </c>
      <c r="AG22" s="39">
        <v>1.28</v>
      </c>
      <c r="AH22" s="39">
        <v>1.53</v>
      </c>
      <c r="AI22" s="39">
        <v>1.68</v>
      </c>
    </row>
    <row r="23" spans="1:35" x14ac:dyDescent="0.3">
      <c r="D23" s="27" t="s">
        <v>134</v>
      </c>
      <c r="E23" s="23">
        <f>IF(F23="(enclosed)",-0.18,IF(F23="(Partially Enclosed)",-0.55,IF(F23="(open)",0,)))</f>
        <v>-0.18</v>
      </c>
      <c r="F23" s="19" t="s">
        <v>43</v>
      </c>
      <c r="G23" t="s">
        <v>174</v>
      </c>
      <c r="I23" s="19"/>
      <c r="J23" s="19"/>
      <c r="R23" s="21"/>
      <c r="AF23" s="39">
        <v>300</v>
      </c>
      <c r="AG23" s="39">
        <v>1.35</v>
      </c>
      <c r="AH23" s="39">
        <v>1.59</v>
      </c>
      <c r="AI23" s="39">
        <v>1.73</v>
      </c>
    </row>
    <row r="24" spans="1:35" x14ac:dyDescent="0.3">
      <c r="D24" s="27" t="s">
        <v>134</v>
      </c>
      <c r="E24" s="23">
        <f>IF(F23="(enclosed)",0.18,IF(F23="(Partially Enclosed)",0.55,IF(F23="(open)",0)))</f>
        <v>0.18</v>
      </c>
      <c r="I24" s="19"/>
      <c r="J24" s="19"/>
      <c r="R24" s="21"/>
      <c r="AF24" s="39">
        <v>350</v>
      </c>
      <c r="AG24" s="39">
        <v>1.41</v>
      </c>
      <c r="AH24" s="39">
        <v>1.64</v>
      </c>
      <c r="AI24" s="39">
        <v>1.78</v>
      </c>
    </row>
    <row r="25" spans="1:35" x14ac:dyDescent="0.3">
      <c r="D25" s="22" t="s">
        <v>135</v>
      </c>
      <c r="E25" s="26">
        <f>IF(E17&lt;=15,INDEX(AG6:AI6,MATCH(E15,AG5:AI5,0)),IF(AND(E17&gt;15,E17&lt;=20),INDEX(AG7:AI7,MATCH(E15,AG5:AI5,0)),IF(AND(E17&gt;20,E17&lt;=25),INDEX(AG8:AI8,MATCH(E15,AG5:AI5,0)),IF(AND(E17&gt;25,E17&lt;=30),INDEX(AG9:AI9,MATCH(E15,AG5:AI5,0)),IF(AND(E17&gt;30,E17&lt;=40),INDEX(AG10:AI10,MATCH(E15,AG5:AI5,0)),IF(AND(E17&gt;40,E17&lt;=50),INDEX(AG11:AI11,MATCH(E15,AG5:AI5,0)),IF(AND(E17&gt;50,E17&lt;=60),INDEX(AG12:AI12,MATCH(E15,AG5:AI5,0)),IF(AND(E17&gt;60,E17&lt;=70),INDEX(AG13:AI13,MATCH(E15,AG5:AI5,0)),IF(AND(E17&gt;70,E17&lt;=80),INDEX(AG14:AI14,MATCH(E15,AG5:AI5,0)),IF(AND(E17&gt;80,E17&lt;=90),INDEX(AG15:AI15,MATCH(E15,AG5:AI5,0)),IF(AND(E17&gt;90,E17&lt;=100),INDEX(AG16:AI16,MATCH(E15,AG5:AI5,0)),IF(AND(E17&gt;100,E17&lt;=120),INDEX(AG17:AI17,MATCH(E15,AG5:AI5,0)),IF(AND(E17&gt;120,E17&lt;=140),INDEX(AG18:AI18,MATCH(E15,AG5:AI5,0)),IF(AND(E17&gt;140,E17&lt;=160),INDEX(AG19:AI19,MATCH(E15,AG5:AI5,0)),IF(AND(E17&gt;160,E17&lt;=180),INDEX(AG20:AI20,MATCH(E15,AG5:AI5,0)),IF(AND(E17&gt;180,E17&lt;=200),INDEX(AG21:AI21,MATCH(E15,AG5:AI5,0)),IF(AND(E17&gt;200,E17&lt;=250),INDEX(AG22:AI22,MATCH(E15,AG5:AI5,0)),IF(AND(E17&gt;250,E17&lt;=300),INDEX(AG23:AI23,MATCH(E15,AG5:AI5,0)),IF(AND(E17&gt;300,E17&lt;=350),INDEX(AG24:AI24,MATCH(E15,AG5:AI5,0)),IF(AND(E17&gt;350,E17&lt;=400),INDEX(AG25:AI25,MATCH(E15,AG5:AI5,0)),IF(AND(E17&gt;400,E17&lt;=450),INDEX(AG26:AI26,MATCH(E15,AG5:AI5,0)),IF(AND(E17&gt;450,E17&lt;=500),INDEX(AG27:AI27,MATCH(E15,AG5:AI5,0)),0))))))))))))))))))))))</f>
        <v>0.85</v>
      </c>
      <c r="F25" s="25" t="s">
        <v>173</v>
      </c>
      <c r="I25" s="19"/>
      <c r="J25" s="19"/>
      <c r="O25" s="19"/>
      <c r="P25" s="19"/>
      <c r="Q25" s="19"/>
      <c r="R25" s="19"/>
      <c r="AF25" s="39">
        <v>400</v>
      </c>
      <c r="AG25" s="39">
        <v>1.47</v>
      </c>
      <c r="AH25" s="39">
        <v>1.69</v>
      </c>
      <c r="AI25" s="39">
        <v>1.82</v>
      </c>
    </row>
    <row r="26" spans="1:35" x14ac:dyDescent="0.3">
      <c r="D26" s="22" t="s">
        <v>137</v>
      </c>
      <c r="E26" s="26">
        <f>(0.00256*E25*E21*E22*(E13^2))</f>
        <v>31.258239999999997</v>
      </c>
      <c r="F26" s="25" t="s">
        <v>164</v>
      </c>
      <c r="I26" s="19"/>
      <c r="J26" s="19"/>
      <c r="P26" s="21"/>
      <c r="Q26" s="19"/>
      <c r="R26" s="19"/>
      <c r="AF26" s="39">
        <v>450</v>
      </c>
      <c r="AG26" s="39">
        <v>1.52</v>
      </c>
      <c r="AH26" s="39">
        <v>1.73</v>
      </c>
      <c r="AI26" s="39">
        <v>1.86</v>
      </c>
    </row>
    <row r="27" spans="1:35" ht="15" thickBot="1" x14ac:dyDescent="0.35">
      <c r="A27" s="19" t="s">
        <v>247</v>
      </c>
      <c r="J27" s="19"/>
      <c r="P27" s="21"/>
      <c r="Q27" s="19"/>
      <c r="R27" s="19"/>
      <c r="AF27" s="39">
        <v>500</v>
      </c>
      <c r="AG27" s="39">
        <v>1.56</v>
      </c>
      <c r="AH27" s="39">
        <v>1.77</v>
      </c>
      <c r="AI27" s="39">
        <v>1.89</v>
      </c>
    </row>
    <row r="28" spans="1:35" ht="16.2" thickBot="1" x14ac:dyDescent="0.35">
      <c r="A28" s="155" t="s">
        <v>139</v>
      </c>
      <c r="B28" s="156"/>
      <c r="C28" s="156"/>
      <c r="D28" s="156"/>
      <c r="E28" s="156"/>
      <c r="F28" s="156"/>
      <c r="G28" s="156"/>
      <c r="H28" s="156"/>
      <c r="I28" s="157"/>
      <c r="J28" s="19"/>
      <c r="P28" s="19"/>
      <c r="Q28" s="19"/>
      <c r="R28" s="19"/>
    </row>
    <row r="29" spans="1:35" x14ac:dyDescent="0.3">
      <c r="A29" s="153" t="s">
        <v>40</v>
      </c>
      <c r="B29" s="187" t="s">
        <v>56</v>
      </c>
      <c r="C29" s="148"/>
      <c r="D29" s="148" t="s">
        <v>57</v>
      </c>
      <c r="E29" s="148"/>
      <c r="F29" s="148" t="s">
        <v>59</v>
      </c>
      <c r="G29" s="148"/>
      <c r="H29" s="45"/>
      <c r="I29" s="45"/>
      <c r="J29" s="19"/>
      <c r="L29" s="19"/>
      <c r="M29" s="19"/>
      <c r="N29" s="19"/>
      <c r="O29" s="19"/>
      <c r="P29" s="19"/>
      <c r="Q29" s="19"/>
      <c r="R29" s="19"/>
    </row>
    <row r="30" spans="1:35" x14ac:dyDescent="0.3">
      <c r="A30" s="153"/>
      <c r="B30" s="48" t="s">
        <v>38</v>
      </c>
      <c r="C30" s="39" t="s">
        <v>39</v>
      </c>
      <c r="D30" s="39" t="s">
        <v>38</v>
      </c>
      <c r="E30" s="39" t="s">
        <v>39</v>
      </c>
      <c r="F30" s="39" t="s">
        <v>38</v>
      </c>
      <c r="G30" s="39" t="s">
        <v>39</v>
      </c>
      <c r="H30" s="45"/>
      <c r="I30" s="45"/>
      <c r="J30" s="19"/>
      <c r="K30" s="19"/>
      <c r="L30" s="19"/>
      <c r="M30" s="19"/>
      <c r="N30" s="19"/>
      <c r="O30" s="19"/>
      <c r="P30" s="19"/>
      <c r="Q30" s="19"/>
      <c r="R30" s="19"/>
    </row>
    <row r="31" spans="1:35" x14ac:dyDescent="0.3">
      <c r="A31" s="153"/>
      <c r="B31" s="49">
        <f>IF(E19&lt;=10,E26*((1*0.9)-E23),E26*(1-E23))</f>
        <v>33.758899200000002</v>
      </c>
      <c r="C31" s="50">
        <f>IF(E19&lt;=10,E26*((-1.1*0.9)-E24),E26*((-1.1)-E24))</f>
        <v>-36.5721408</v>
      </c>
      <c r="D31" s="50">
        <f>IF(E19&lt;=10,E26*((1*0.9)-E23),E26*(1-E23))</f>
        <v>33.758899200000002</v>
      </c>
      <c r="E31" s="50">
        <f>IF(E19&lt;=10,E26*((-1.4*0.9)-E24),E26*((-1.4)-E24))</f>
        <v>-45.011865599999993</v>
      </c>
      <c r="F31" s="50">
        <f>IF(E19&lt;=7,E26*(0.3-E23),IF(AND(E19&gt;7,E19&lt;=27),E26*(0.5-E23),IF(AND(E19&gt;27,E19&lt;=45),E26*(0.9-E23),0)))</f>
        <v>15.003955199999998</v>
      </c>
      <c r="G31" s="50">
        <f>IF(E19&lt;=7,E26*((-1)-E24),IF(AND(E19&gt;7,E19&lt;=27),E26*((-0.9)-E24),IF(AND(E19&gt;27,E19&lt;=45),E26*((-1)-E24),0)))</f>
        <v>-36.884723199999996</v>
      </c>
      <c r="H31" s="45"/>
      <c r="I31" s="45"/>
      <c r="J31" s="19"/>
      <c r="K31" s="19"/>
      <c r="L31" s="19"/>
      <c r="M31" s="19"/>
      <c r="N31" s="19"/>
      <c r="O31" s="19"/>
      <c r="P31" s="19"/>
      <c r="Q31" s="19"/>
      <c r="R31" s="19"/>
      <c r="AF31" s="1" t="s">
        <v>169</v>
      </c>
      <c r="AG31" s="106">
        <f>IF(AND(E15="B",E17&lt;15),(2.01*((15)/1200)^(2/7)),IF(AND(E15="B",E16&gt;=15),(2.01*((E17)/1200)^(2/7)),IF(E15="C",(2.01*((E17)/900)^(2/9.5)),IF(E15="D",(2.01*((E17)/700)^(2/11.5)),0))))</f>
        <v>0.84888415207790313</v>
      </c>
    </row>
    <row r="32" spans="1:35" x14ac:dyDescent="0.3">
      <c r="A32" s="153"/>
      <c r="B32" s="25"/>
      <c r="C32" s="25"/>
      <c r="D32" s="25"/>
      <c r="E32" s="25"/>
      <c r="F32" s="25"/>
      <c r="G32" s="25"/>
      <c r="H32" s="25"/>
      <c r="I32" s="25"/>
      <c r="J32" s="19"/>
      <c r="K32" s="19"/>
      <c r="L32" s="19"/>
      <c r="M32" s="19"/>
      <c r="N32" s="19"/>
      <c r="O32" s="19"/>
      <c r="P32" s="19"/>
      <c r="Q32" s="19"/>
      <c r="R32" s="19"/>
    </row>
    <row r="33" spans="1:22" x14ac:dyDescent="0.3">
      <c r="A33" s="153"/>
      <c r="B33" s="188" t="s">
        <v>58</v>
      </c>
      <c r="C33" s="133"/>
      <c r="D33" s="135" t="s">
        <v>60</v>
      </c>
      <c r="E33" s="136"/>
      <c r="F33" s="25"/>
      <c r="G33" s="25"/>
      <c r="H33" s="25"/>
      <c r="I33" s="25"/>
      <c r="J33" s="19"/>
      <c r="K33" s="19"/>
      <c r="L33" s="19"/>
      <c r="M33" s="19"/>
      <c r="N33" s="19"/>
      <c r="O33" s="19"/>
      <c r="P33" s="19"/>
      <c r="Q33" s="19"/>
      <c r="R33" s="19"/>
    </row>
    <row r="34" spans="1:22" x14ac:dyDescent="0.3">
      <c r="A34" s="153"/>
      <c r="B34" s="60" t="s">
        <v>38</v>
      </c>
      <c r="C34" s="39" t="s">
        <v>39</v>
      </c>
      <c r="D34" s="48" t="s">
        <v>38</v>
      </c>
      <c r="E34" s="39" t="s">
        <v>39</v>
      </c>
      <c r="F34" s="23"/>
      <c r="G34" s="23"/>
      <c r="H34" s="23"/>
      <c r="I34" s="23"/>
      <c r="J34" s="19"/>
      <c r="K34" s="19"/>
      <c r="L34" s="19"/>
      <c r="M34" s="19"/>
      <c r="N34" s="19"/>
      <c r="Q34" s="19"/>
      <c r="R34" s="19"/>
    </row>
    <row r="35" spans="1:22" ht="15" thickBot="1" x14ac:dyDescent="0.35">
      <c r="A35" s="154"/>
      <c r="B35" s="61">
        <f>IF(AND(E19&lt;=7,E20&gt;=3),E26*((1)-E23),IF(E19&lt;=7,E26*((0.3)-E23),IF(AND(E19&gt;7,E19&lt;=27),E26*((0.5)-E23),IF(AND(E19&gt;27,E19&lt;=45),E26*((0.9)-E23),0))))</f>
        <v>15.003955199999998</v>
      </c>
      <c r="C35" s="50">
        <f>IF(E19&lt;=7,E26*((-1.8)-E24),IF(AND(E19&gt;7,E19&lt;=27),E26*((-1.7)-E24),IF(AND(E19&gt;27,E19&lt;=45),E26*((-1.2)-E24),0)))</f>
        <v>-61.891315199999994</v>
      </c>
      <c r="D35" s="49">
        <f>IF(AND(E19&lt;=7,E20&gt;=3),E26*((1)-E23),IF(E19&lt;=7,E26*((0.3)-E23),IF(AND(E19&gt;7,E19&lt;=27),E26*((0.5)-E23),IF(AND(E19&gt;27,E19&lt;=45),E26*((0.9)-E23),0))))</f>
        <v>15.003955199999998</v>
      </c>
      <c r="E35" s="50">
        <f>IF(AND(E19&lt;=7,E20&gt;=3),E26*((-1.8)-E24),IF(E19&lt;=7,E26*((-2.8)-E24),IF(AND(E19&gt;7,E19&lt;=27),E26*((-2.6)-E24),IF(AND(E19&gt;27,E19&lt;=45),E26*((-1.2)-E24),0))))</f>
        <v>-93.149555199999995</v>
      </c>
      <c r="F35" s="26"/>
      <c r="G35" s="26"/>
      <c r="H35" s="26"/>
      <c r="I35" s="26"/>
      <c r="J35" s="19"/>
      <c r="K35" s="19"/>
      <c r="L35" s="19"/>
      <c r="M35" s="19"/>
      <c r="N35" s="19"/>
      <c r="O35" s="19"/>
      <c r="P35" s="19"/>
      <c r="Q35" s="19"/>
      <c r="R35" s="19"/>
    </row>
    <row r="36" spans="1:22" ht="15" thickBot="1" x14ac:dyDescent="0.35">
      <c r="A36" s="18"/>
      <c r="B36" s="25"/>
      <c r="C36" s="25"/>
      <c r="D36" s="25"/>
      <c r="E36" s="25"/>
      <c r="F36" s="25"/>
      <c r="G36" s="25"/>
      <c r="H36" s="25"/>
      <c r="I36" s="25"/>
      <c r="J36" s="19"/>
      <c r="K36" s="19"/>
      <c r="L36" s="19"/>
      <c r="M36" s="19"/>
      <c r="N36" s="19"/>
      <c r="O36" s="19"/>
      <c r="P36" s="19"/>
      <c r="Q36" s="19"/>
      <c r="R36" s="19"/>
    </row>
    <row r="37" spans="1:22" x14ac:dyDescent="0.3">
      <c r="A37" s="152" t="s">
        <v>41</v>
      </c>
      <c r="B37" s="136" t="s">
        <v>56</v>
      </c>
      <c r="C37" s="133"/>
      <c r="D37" s="133" t="s">
        <v>57</v>
      </c>
      <c r="E37" s="133"/>
      <c r="F37" s="133" t="s">
        <v>59</v>
      </c>
      <c r="G37" s="133"/>
      <c r="H37" s="45"/>
      <c r="I37" s="45"/>
      <c r="O37" s="19"/>
      <c r="P37" s="19"/>
      <c r="Q37" s="19"/>
      <c r="R37" s="19"/>
    </row>
    <row r="38" spans="1:22" x14ac:dyDescent="0.3">
      <c r="A38" s="153"/>
      <c r="B38" s="48" t="s">
        <v>38</v>
      </c>
      <c r="C38" s="39" t="s">
        <v>39</v>
      </c>
      <c r="D38" s="39" t="s">
        <v>38</v>
      </c>
      <c r="E38" s="39" t="s">
        <v>39</v>
      </c>
      <c r="F38" s="39" t="s">
        <v>38</v>
      </c>
      <c r="G38" s="39" t="s">
        <v>39</v>
      </c>
      <c r="H38" s="45"/>
      <c r="I38" s="45"/>
      <c r="O38" s="19"/>
      <c r="P38" s="19"/>
      <c r="Q38" s="19"/>
      <c r="R38" s="19"/>
    </row>
    <row r="39" spans="1:22" x14ac:dyDescent="0.3">
      <c r="A39" s="153"/>
      <c r="B39" s="49">
        <f t="shared" ref="B39:G39" si="0">(B31*0.6)</f>
        <v>20.25533952</v>
      </c>
      <c r="C39" s="49">
        <f t="shared" si="0"/>
        <v>-21.943284479999999</v>
      </c>
      <c r="D39" s="49">
        <f t="shared" si="0"/>
        <v>20.25533952</v>
      </c>
      <c r="E39" s="49">
        <f t="shared" si="0"/>
        <v>-27.007119359999994</v>
      </c>
      <c r="F39" s="49">
        <f t="shared" si="0"/>
        <v>9.0023731199999979</v>
      </c>
      <c r="G39" s="49">
        <f t="shared" si="0"/>
        <v>-22.130833919999997</v>
      </c>
      <c r="H39" s="45"/>
      <c r="I39" s="45"/>
      <c r="O39" s="19"/>
      <c r="P39" s="19"/>
      <c r="Q39" s="19"/>
      <c r="R39" s="19"/>
    </row>
    <row r="40" spans="1:22" x14ac:dyDescent="0.3">
      <c r="A40" s="153"/>
      <c r="B40" s="25"/>
      <c r="C40" s="25"/>
      <c r="D40" s="25"/>
      <c r="E40" s="25"/>
      <c r="F40" s="25"/>
      <c r="G40" s="25"/>
      <c r="H40" s="25"/>
      <c r="I40" s="25"/>
      <c r="O40" s="19"/>
      <c r="P40" s="19"/>
      <c r="Q40" s="19"/>
      <c r="R40" s="19"/>
    </row>
    <row r="41" spans="1:22" x14ac:dyDescent="0.3">
      <c r="A41" s="153"/>
      <c r="B41" s="188" t="s">
        <v>58</v>
      </c>
      <c r="C41" s="133"/>
      <c r="D41" s="135" t="s">
        <v>60</v>
      </c>
      <c r="E41" s="136"/>
      <c r="F41" s="25"/>
      <c r="G41" s="25"/>
      <c r="H41" s="25"/>
      <c r="I41" s="25"/>
      <c r="J41" s="19"/>
      <c r="K41" s="134" t="s">
        <v>153</v>
      </c>
      <c r="L41" s="135"/>
      <c r="M41" s="136"/>
      <c r="N41" s="19"/>
      <c r="O41" s="134" t="s">
        <v>154</v>
      </c>
      <c r="P41" s="135"/>
      <c r="Q41" s="136"/>
      <c r="R41" s="19"/>
      <c r="S41" s="134" t="s">
        <v>155</v>
      </c>
      <c r="T41" s="135"/>
      <c r="U41" s="136"/>
    </row>
    <row r="42" spans="1:22" x14ac:dyDescent="0.3">
      <c r="A42" s="153"/>
      <c r="B42" s="60" t="s">
        <v>38</v>
      </c>
      <c r="C42" s="39" t="s">
        <v>39</v>
      </c>
      <c r="D42" s="48" t="s">
        <v>38</v>
      </c>
      <c r="E42" s="39" t="s">
        <v>39</v>
      </c>
      <c r="F42" s="25"/>
      <c r="G42" s="25"/>
      <c r="H42" s="25"/>
      <c r="I42" s="25"/>
      <c r="J42" s="19"/>
      <c r="K42" s="19"/>
      <c r="L42" s="19"/>
      <c r="M42" s="19"/>
      <c r="N42" s="19"/>
      <c r="O42" s="19"/>
      <c r="P42" s="19"/>
      <c r="Q42" s="19"/>
      <c r="R42" s="19"/>
    </row>
    <row r="43" spans="1:22" ht="15" thickBot="1" x14ac:dyDescent="0.35">
      <c r="A43" s="154"/>
      <c r="B43" s="49">
        <f>(B35*0.6)</f>
        <v>9.0023731199999979</v>
      </c>
      <c r="C43" s="49">
        <f>(C35*0.6)</f>
        <v>-37.134789119999994</v>
      </c>
      <c r="D43" s="49">
        <f>(D35*0.6)</f>
        <v>9.0023731199999979</v>
      </c>
      <c r="E43" s="49">
        <f>(E35*0.6)</f>
        <v>-55.889733119999995</v>
      </c>
      <c r="F43" s="26"/>
      <c r="G43" s="26"/>
      <c r="H43" s="62"/>
      <c r="I43" s="26"/>
      <c r="J43" s="19"/>
      <c r="K43" s="19"/>
      <c r="L43" s="19"/>
      <c r="M43" s="19"/>
      <c r="N43" s="19"/>
      <c r="O43" s="19"/>
      <c r="P43" s="19"/>
      <c r="Q43" s="19"/>
      <c r="R43" s="19"/>
    </row>
    <row r="44" spans="1:22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9"/>
      <c r="K44" s="19"/>
      <c r="L44" s="19"/>
      <c r="M44" s="19"/>
      <c r="N44" s="19"/>
      <c r="O44" s="19"/>
      <c r="P44" s="19"/>
      <c r="Q44" s="19"/>
      <c r="R44" s="19"/>
    </row>
    <row r="45" spans="1:22" ht="15" x14ac:dyDescent="0.3">
      <c r="A45" s="18"/>
      <c r="B45" s="18"/>
      <c r="C45" s="17" t="s">
        <v>127</v>
      </c>
      <c r="D45" s="29">
        <f>MIN(C39,E39,G39,C43,E43,)</f>
        <v>-55.889733119999995</v>
      </c>
      <c r="E45" s="18" t="s">
        <v>42</v>
      </c>
      <c r="F45" s="18"/>
      <c r="G45" s="18"/>
      <c r="H45" s="18"/>
      <c r="I45" s="18"/>
      <c r="J45" s="19"/>
      <c r="K45" s="19"/>
      <c r="L45" s="19"/>
      <c r="M45" s="19"/>
      <c r="N45" s="19"/>
      <c r="O45" s="19"/>
      <c r="P45" s="19"/>
      <c r="Q45" s="19"/>
      <c r="R45" s="19"/>
      <c r="S45" s="16"/>
    </row>
    <row r="46" spans="1:22" x14ac:dyDescent="0.3"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spans="1:22" x14ac:dyDescent="0.3"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x14ac:dyDescent="0.3">
      <c r="A48" s="19"/>
      <c r="B48" s="19"/>
      <c r="C48" s="19"/>
      <c r="G48" s="19"/>
      <c r="H48" s="19"/>
      <c r="I48" s="19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spans="1:22" x14ac:dyDescent="0.3">
      <c r="A49" t="s">
        <v>197</v>
      </c>
      <c r="B49" s="19"/>
      <c r="C49" s="19"/>
      <c r="G49" s="19"/>
      <c r="H49" s="19"/>
      <c r="I49" s="19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spans="1:22" x14ac:dyDescent="0.3">
      <c r="A50" s="133" t="s">
        <v>138</v>
      </c>
      <c r="B50" s="133"/>
      <c r="C50" s="133"/>
      <c r="D50" s="133"/>
      <c r="G50" s="19"/>
      <c r="H50" s="19"/>
      <c r="I50" s="19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spans="1:22" x14ac:dyDescent="0.3">
      <c r="A51" s="120" t="s">
        <v>56</v>
      </c>
      <c r="B51" s="120"/>
      <c r="C51" s="120" t="s">
        <v>57</v>
      </c>
      <c r="D51" s="120"/>
      <c r="G51" s="19"/>
      <c r="H51" s="19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spans="1:22" x14ac:dyDescent="0.3">
      <c r="A52" s="79" t="s">
        <v>107</v>
      </c>
      <c r="B52" s="79" t="s">
        <v>39</v>
      </c>
      <c r="C52" s="79" t="s">
        <v>107</v>
      </c>
      <c r="D52" s="79" t="s">
        <v>39</v>
      </c>
      <c r="G52" s="19"/>
      <c r="H52" s="19"/>
      <c r="I52" s="19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spans="1:22" x14ac:dyDescent="0.3">
      <c r="A53" s="83">
        <f>IF(E19&lt;=10,E26*((1*0.9)-E23),E26*(1-E23))</f>
        <v>33.758899200000002</v>
      </c>
      <c r="B53" s="83">
        <f>IF(E19&lt;=10,E26*((-1.1*0.9)-E24),E26*((-1.1)-E24))</f>
        <v>-36.5721408</v>
      </c>
      <c r="C53" s="76">
        <f>IF(E19&lt;=10,E26*((1*0.9)-E23),E26*(1-E23))</f>
        <v>33.758899200000002</v>
      </c>
      <c r="D53" s="76">
        <f>IF(E19&lt;=10,E26*((-1.4*0.9)-E24),E26*((-1.4)-E24))</f>
        <v>-45.011865599999993</v>
      </c>
      <c r="G53" s="19"/>
      <c r="H53" s="19"/>
      <c r="I53" s="19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spans="1:22" x14ac:dyDescent="0.3">
      <c r="A54" s="110" t="str">
        <f>IF(E19&lt;=10,"*10% reduction factor for GCp is used per Figure 30.4-1, Note 5",0)</f>
        <v>*10% reduction factor for GCp is used per Figure 30.4-1, Note 5</v>
      </c>
      <c r="B54" s="19"/>
      <c r="C54" s="19"/>
      <c r="D54" s="19"/>
      <c r="E54" s="19"/>
      <c r="F54" s="19"/>
      <c r="G54" s="19"/>
      <c r="H54" s="19"/>
      <c r="I54" s="19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spans="1:22" x14ac:dyDescent="0.3"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spans="1:22" x14ac:dyDescent="0.3"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spans="1:22" x14ac:dyDescent="0.3"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spans="1:22" x14ac:dyDescent="0.3"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spans="1:22" x14ac:dyDescent="0.3"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spans="1:22" x14ac:dyDescent="0.3"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spans="1:22" ht="15" thickBot="1" x14ac:dyDescent="0.35"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spans="1:22" ht="15" thickBot="1" x14ac:dyDescent="0.35">
      <c r="A62" s="141" t="s">
        <v>211</v>
      </c>
      <c r="B62" s="142"/>
      <c r="C62" s="142"/>
      <c r="D62" s="142"/>
      <c r="E62" s="142"/>
      <c r="F62" s="142"/>
      <c r="G62" s="143"/>
      <c r="I62" s="141" t="s">
        <v>220</v>
      </c>
      <c r="J62" s="142"/>
      <c r="K62" s="142"/>
      <c r="L62" s="142"/>
      <c r="M62" s="142"/>
      <c r="N62" s="142"/>
      <c r="O62" s="143"/>
      <c r="P62" s="16"/>
      <c r="Q62" s="16"/>
      <c r="R62" s="16"/>
      <c r="S62" s="16"/>
      <c r="T62" s="16"/>
      <c r="U62" s="16"/>
      <c r="V62" s="16"/>
    </row>
    <row r="63" spans="1:22" ht="15" customHeight="1" x14ac:dyDescent="0.3">
      <c r="A63" s="144" t="s">
        <v>209</v>
      </c>
      <c r="B63" s="145"/>
      <c r="C63" s="145"/>
      <c r="D63" s="148" t="s">
        <v>224</v>
      </c>
      <c r="E63" s="148"/>
      <c r="F63" s="148" t="s">
        <v>210</v>
      </c>
      <c r="G63" s="149"/>
      <c r="I63" s="144" t="s">
        <v>219</v>
      </c>
      <c r="J63" s="145"/>
      <c r="K63" s="145"/>
      <c r="L63" s="148" t="s">
        <v>224</v>
      </c>
      <c r="M63" s="148"/>
      <c r="N63" s="148" t="s">
        <v>210</v>
      </c>
      <c r="O63" s="149"/>
      <c r="P63" s="16"/>
      <c r="Q63" s="16"/>
      <c r="R63" s="16"/>
      <c r="S63" s="16"/>
      <c r="T63" s="16"/>
      <c r="U63" s="16"/>
      <c r="V63" s="16"/>
    </row>
    <row r="64" spans="1:22" x14ac:dyDescent="0.3">
      <c r="A64" s="118"/>
      <c r="B64" s="119"/>
      <c r="C64" s="119"/>
      <c r="D64" s="11" t="s">
        <v>226</v>
      </c>
      <c r="E64" s="39" t="s">
        <v>225</v>
      </c>
      <c r="F64" s="39">
        <v>4</v>
      </c>
      <c r="G64" s="88">
        <v>5</v>
      </c>
      <c r="I64" s="118"/>
      <c r="J64" s="119"/>
      <c r="K64" s="119"/>
      <c r="L64" s="11" t="s">
        <v>226</v>
      </c>
      <c r="M64" s="39" t="s">
        <v>225</v>
      </c>
      <c r="N64" s="39">
        <v>4</v>
      </c>
      <c r="O64" s="88">
        <v>5</v>
      </c>
      <c r="P64" s="16"/>
      <c r="Q64" s="16"/>
      <c r="R64" s="16"/>
      <c r="S64" s="16"/>
      <c r="T64" s="16"/>
      <c r="U64" s="16"/>
      <c r="V64" s="16"/>
    </row>
    <row r="65" spans="1:22" ht="15" customHeight="1" x14ac:dyDescent="0.3">
      <c r="A65" s="118" t="s">
        <v>198</v>
      </c>
      <c r="B65" s="119"/>
      <c r="C65" s="119"/>
      <c r="D65" s="39">
        <v>56</v>
      </c>
      <c r="E65" s="39">
        <v>-73</v>
      </c>
      <c r="F65" s="39" t="str">
        <f>IF(AND(E65&gt;B53,D65&lt;A53),"NG",IF(E65&gt;B53,"Neg NG",IF(D65&lt;A53,"Pos NG","OK")))</f>
        <v>OK</v>
      </c>
      <c r="G65" s="88" t="str">
        <f>IF(AND(E65&gt;D53,D65&lt;C53),"NG",IF(E65&gt;D53,"Neg NG",IF(D65&lt;C53,"Pos NG","OK")))</f>
        <v>OK</v>
      </c>
      <c r="I65" s="118" t="s">
        <v>214</v>
      </c>
      <c r="J65" s="119"/>
      <c r="K65" s="119"/>
      <c r="L65" s="39">
        <v>45</v>
      </c>
      <c r="M65" s="39">
        <v>-45</v>
      </c>
      <c r="N65" s="39" t="str">
        <f>IF(AND(M65&gt;B53,L65&lt;A53),"NG",IF(M65&gt;B53,"Neg NG",IF(L65&lt;A53,"Pos NG","OK")))</f>
        <v>OK</v>
      </c>
      <c r="O65" s="88" t="str">
        <f>IF(AND(M65&gt;D53,L65&lt;C53),"NG",IF(M65&gt;D53,"Neg NG",IF(L65&lt;C53,"Pos NG","OK")))</f>
        <v>Neg NG</v>
      </c>
      <c r="P65" s="16"/>
      <c r="Q65" s="16"/>
      <c r="R65" s="16"/>
      <c r="S65" s="16"/>
      <c r="T65" s="16"/>
      <c r="U65" s="16"/>
      <c r="V65" s="16"/>
    </row>
    <row r="66" spans="1:22" ht="30" customHeight="1" x14ac:dyDescent="0.3">
      <c r="A66" s="118" t="s">
        <v>204</v>
      </c>
      <c r="B66" s="119"/>
      <c r="C66" s="119"/>
      <c r="D66" s="39">
        <v>56</v>
      </c>
      <c r="E66" s="39">
        <v>-45</v>
      </c>
      <c r="F66" s="39" t="str">
        <f>IF(AND(E66&gt;B53,D66&lt;A53),"NG",IF(E66&gt;B53,"Neg NG",IF(D66&lt;A53,"Pos NG","OK")))</f>
        <v>OK</v>
      </c>
      <c r="G66" s="88" t="str">
        <f>IF(AND(E66&gt;D53,D66&lt;C53),"NG",IF(E66&gt;D53,"Neg NG",IF(D66&lt;C53,"Pos NG","OK")))</f>
        <v>Neg NG</v>
      </c>
      <c r="I66" s="118" t="s">
        <v>215</v>
      </c>
      <c r="J66" s="119"/>
      <c r="K66" s="119"/>
      <c r="L66" s="39">
        <v>45</v>
      </c>
      <c r="M66" s="39">
        <v>-45</v>
      </c>
      <c r="N66" s="39" t="str">
        <f>IF(AND(M66&gt;B53,L66&lt;A53),"NG",IF(M66&gt;B53,"Neg NG",IF(L66&lt;A53,"Pos NG","OK")))</f>
        <v>OK</v>
      </c>
      <c r="O66" s="88" t="str">
        <f>IF(AND(M66&gt;D53,L66&lt;C53),"NG",IF(M66&gt;D53,"Neg NG",IF(L66&lt;C53,"Pos NG","OK")))</f>
        <v>Neg NG</v>
      </c>
      <c r="P66" s="16"/>
      <c r="Q66" s="16"/>
      <c r="R66" s="16"/>
      <c r="S66" s="16"/>
      <c r="T66" s="16"/>
      <c r="U66" s="16"/>
      <c r="V66" s="16"/>
    </row>
    <row r="67" spans="1:22" ht="30" customHeight="1" x14ac:dyDescent="0.3">
      <c r="A67" s="118" t="s">
        <v>199</v>
      </c>
      <c r="B67" s="119"/>
      <c r="C67" s="119"/>
      <c r="D67" s="39">
        <v>56</v>
      </c>
      <c r="E67" s="39">
        <v>-61</v>
      </c>
      <c r="F67" s="39" t="str">
        <f>IF(AND(E67&gt;B53,D67&lt;A53),"NG",IF(E67&gt;B53,"Neg NG",IF(D67&lt;A53,"Pos NG","OK")))</f>
        <v>OK</v>
      </c>
      <c r="G67" s="88" t="str">
        <f>IF(AND(E67&gt;D53,D67&lt;C53),"NG",IF(E67&gt;D53,"Neg NG",IF(D67&lt;C53,"Pos NG","OK")))</f>
        <v>OK</v>
      </c>
      <c r="I67" s="118" t="s">
        <v>212</v>
      </c>
      <c r="J67" s="119"/>
      <c r="K67" s="119"/>
      <c r="L67" s="39">
        <v>75</v>
      </c>
      <c r="M67" s="39">
        <v>-75</v>
      </c>
      <c r="N67" s="39" t="str">
        <f>IF(AND(M67&gt;B53,L67&lt;A53),"NG",IF(M67&gt;B53,"Neg NG",IF(L67&lt;A53,"Pos NG","OK")))</f>
        <v>OK</v>
      </c>
      <c r="O67" s="88" t="str">
        <f>IF(AND(M67&gt;D53,L67&lt;C53),"NG",IF(M67&gt;D53,"Neg NG",IF(L67&lt;C53,"Pos NG","OK")))</f>
        <v>OK</v>
      </c>
      <c r="P67" s="16"/>
      <c r="Q67" s="16"/>
      <c r="R67" s="16"/>
      <c r="S67" s="16"/>
      <c r="T67" s="16"/>
      <c r="U67" s="16"/>
      <c r="V67" s="16"/>
    </row>
    <row r="68" spans="1:22" ht="30" customHeight="1" x14ac:dyDescent="0.3">
      <c r="A68" s="118" t="s">
        <v>200</v>
      </c>
      <c r="B68" s="119"/>
      <c r="C68" s="119"/>
      <c r="D68" s="39">
        <v>41</v>
      </c>
      <c r="E68" s="39">
        <v>-37</v>
      </c>
      <c r="F68" s="39" t="str">
        <f>IF(AND(E68&gt;B53,D68&lt;A53),"NG",IF(E68&gt;B53,"Neg NG",IF(D68&lt;A53,"Pos NG","OK")))</f>
        <v>OK</v>
      </c>
      <c r="G68" s="88" t="str">
        <f>IF(AND(E68&gt;D53,D68&lt;C53),"NG",IF(E68&gt;D53,"Neg NG",IF(D68&lt;C53,"Pos NG","OK")))</f>
        <v>Neg NG</v>
      </c>
      <c r="I68" s="118" t="s">
        <v>213</v>
      </c>
      <c r="J68" s="119"/>
      <c r="K68" s="119"/>
      <c r="L68" s="39">
        <v>90</v>
      </c>
      <c r="M68" s="39">
        <v>-90</v>
      </c>
      <c r="N68" s="39" t="str">
        <f>IF(AND(M68&gt;B53,L68&lt;A53),"NG",IF(M68&gt;B53,"Neg NG",IF(L68&lt;A53,"Pos NG","OK")))</f>
        <v>OK</v>
      </c>
      <c r="O68" s="88" t="str">
        <f>IF(AND(M68&gt;D53,L68&lt;C53),"NG",IF(M68&gt;D53,"Neg NG",IF(L68&lt;C53,"Pos NG","OK")))</f>
        <v>OK</v>
      </c>
      <c r="P68" s="16"/>
      <c r="Q68" s="16"/>
      <c r="R68" s="16"/>
      <c r="S68" s="16"/>
      <c r="T68" s="16"/>
      <c r="U68" s="16"/>
      <c r="V68" s="16"/>
    </row>
    <row r="69" spans="1:22" ht="30" customHeight="1" x14ac:dyDescent="0.3">
      <c r="A69" s="118" t="s">
        <v>201</v>
      </c>
      <c r="B69" s="119"/>
      <c r="C69" s="119"/>
      <c r="D69" s="39">
        <v>70.180000000000007</v>
      </c>
      <c r="E69" s="39">
        <v>-70.180000000000007</v>
      </c>
      <c r="F69" s="39" t="str">
        <f>IF(AND(E69&gt;B53,D69&lt;A53),"NG",IF(E69&gt;B53,"Neg NG",IF(D69&lt;A53,"Pos NG","OK")))</f>
        <v>OK</v>
      </c>
      <c r="G69" s="88" t="str">
        <f>IF(AND(E69&gt;D53,D69&lt;C53),"NG",IF(E69&gt;D53,"Neg NG",IF(D69&lt;C53,"Pos NG","OK")))</f>
        <v>OK</v>
      </c>
      <c r="I69" s="118" t="s">
        <v>236</v>
      </c>
      <c r="J69" s="119"/>
      <c r="K69" s="119"/>
      <c r="L69" s="39">
        <v>52.5</v>
      </c>
      <c r="M69" s="39">
        <v>-52.5</v>
      </c>
      <c r="N69" s="39" t="str">
        <f>IF(AND(M69&gt;B53,L69&lt;A53),"NG",IF(M69&gt;B53,"Neg NG",IF(L69&lt;A53,"Pos NG","OK")))</f>
        <v>OK</v>
      </c>
      <c r="O69" s="88" t="str">
        <f>IF(AND(M69&gt;D53,L69&lt;C53),"NG",IF(M69&gt;D53,"Neg NG",IF(L69&lt;C53,"Pos NG","OK")))</f>
        <v>OK</v>
      </c>
      <c r="P69" s="16"/>
      <c r="Q69" s="16"/>
      <c r="R69" s="16"/>
      <c r="S69" s="16"/>
      <c r="T69" s="16"/>
      <c r="U69" s="16"/>
      <c r="V69" s="16"/>
    </row>
    <row r="70" spans="1:22" ht="30" customHeight="1" x14ac:dyDescent="0.3">
      <c r="A70" s="118" t="s">
        <v>202</v>
      </c>
      <c r="B70" s="119"/>
      <c r="C70" s="119"/>
      <c r="D70" s="39">
        <v>50</v>
      </c>
      <c r="E70" s="39">
        <v>-50</v>
      </c>
      <c r="F70" s="39" t="str">
        <f>IF(AND(E70&gt;B53,D70&lt;A53),"NG",IF(E70&gt;B53,"Neg NG",IF(D70&lt;A53,"Pos NG","OK")))</f>
        <v>OK</v>
      </c>
      <c r="G70" s="88" t="str">
        <f>IF(AND(E70&gt;D53,D70&lt;C53),"NG",IF(E70&gt;D53,"Neg NG",IF(D70&lt;C53,"Pos NG","OK")))</f>
        <v>OK</v>
      </c>
      <c r="I70" s="118" t="s">
        <v>216</v>
      </c>
      <c r="J70" s="119"/>
      <c r="K70" s="119"/>
      <c r="L70" s="39">
        <v>90</v>
      </c>
      <c r="M70" s="39">
        <v>-90</v>
      </c>
      <c r="N70" s="39" t="str">
        <f>IF(AND(M70&gt;B53,L70&lt;A53),"NG",IF(M70&gt;B53,"Neg NG",IF(L70&lt;A53,"Pos NG","OK")))</f>
        <v>OK</v>
      </c>
      <c r="O70" s="88" t="str">
        <f>IF(AND(M70&gt;D53,L70&lt;C53),"NG",IF(M70&gt;D53,"Neg NG",IF(L70&lt;C53,"Pos NG","OK")))</f>
        <v>OK</v>
      </c>
      <c r="P70" s="16"/>
      <c r="Q70" s="16"/>
      <c r="R70" s="16"/>
      <c r="S70" s="16"/>
      <c r="T70" s="16"/>
      <c r="U70" s="16"/>
      <c r="V70" s="16"/>
    </row>
    <row r="71" spans="1:22" ht="30" customHeight="1" x14ac:dyDescent="0.3">
      <c r="A71" s="118" t="s">
        <v>203</v>
      </c>
      <c r="B71" s="119"/>
      <c r="C71" s="119"/>
      <c r="D71" s="39">
        <v>75</v>
      </c>
      <c r="E71" s="39">
        <v>-75</v>
      </c>
      <c r="F71" s="39" t="str">
        <f>IF(AND(E71&gt;B53,D71&lt;A53),"NG",IF(E71&gt;B53,"Neg NG",IF(D71&lt;A53,"Pos NG","OK")))</f>
        <v>OK</v>
      </c>
      <c r="G71" s="88" t="str">
        <f>IF(AND(E71&gt;D53,D71&lt;C53),"NG",IF(E71&gt;D53,"Neg NG",IF(D71&lt;C53,"Pos NG","OK")))</f>
        <v>OK</v>
      </c>
      <c r="I71" s="118" t="s">
        <v>217</v>
      </c>
      <c r="J71" s="119"/>
      <c r="K71" s="119"/>
      <c r="L71" s="39">
        <v>52.5</v>
      </c>
      <c r="M71" s="39">
        <v>-52.5</v>
      </c>
      <c r="N71" s="39" t="str">
        <f>IF(AND(M71&gt;B53,L71&lt;A53),"NG",IF(M71&gt;B53,"Neg NG",IF(L71&lt;A53,"Pos NG","OK")))</f>
        <v>OK</v>
      </c>
      <c r="O71" s="88" t="str">
        <f>IF(AND(M71&gt;D53,L71&lt;C53),"NG",IF(M71&gt;D53,"Neg NG",IF(L71&lt;C53,"Pos NG","OK")))</f>
        <v>OK</v>
      </c>
      <c r="P71" s="16"/>
      <c r="Q71" s="16"/>
      <c r="R71" s="16"/>
      <c r="S71" s="16"/>
      <c r="T71" s="16"/>
      <c r="U71" s="16"/>
      <c r="V71" s="16"/>
    </row>
    <row r="72" spans="1:22" ht="30" customHeight="1" x14ac:dyDescent="0.3">
      <c r="A72" s="118" t="s">
        <v>205</v>
      </c>
      <c r="B72" s="119"/>
      <c r="C72" s="119"/>
      <c r="D72" s="39">
        <v>50</v>
      </c>
      <c r="E72" s="39">
        <v>-50</v>
      </c>
      <c r="F72" s="39" t="str">
        <f>IF(AND(E72&gt;B53,D72&lt;A53),"NG",IF(E72&gt;B53,"Neg NG",IF(D72&lt;A53,"Pos NG","OK")))</f>
        <v>OK</v>
      </c>
      <c r="G72" s="88" t="str">
        <f>IF(AND(E72&gt;D53,D72&lt;C53),"NG",IF(E72&gt;D53,"Neg NG",IF(D72&lt;C53,"Pos NG","OK")))</f>
        <v>OK</v>
      </c>
      <c r="I72" s="118" t="s">
        <v>218</v>
      </c>
      <c r="J72" s="119"/>
      <c r="K72" s="119"/>
      <c r="L72" s="39">
        <v>50</v>
      </c>
      <c r="M72" s="39">
        <v>-66</v>
      </c>
      <c r="N72" s="39" t="str">
        <f>IF(AND(M72&gt;B53,L72&lt;A53),"NG",IF(M72&gt;B53,"Neg NG",IF(L72&lt;A53,"Pos NG","OK")))</f>
        <v>OK</v>
      </c>
      <c r="O72" s="88" t="str">
        <f>IF(AND(M72&gt;D53,L72&lt;C53),"NG",IF(M72&gt;D53,"Neg NG",IF(L72&lt;C53,"Pos NG","OK")))</f>
        <v>OK</v>
      </c>
    </row>
    <row r="73" spans="1:22" ht="30" customHeight="1" x14ac:dyDescent="0.3">
      <c r="A73" s="118" t="s">
        <v>206</v>
      </c>
      <c r="B73" s="119"/>
      <c r="C73" s="119"/>
      <c r="D73" s="39">
        <v>50</v>
      </c>
      <c r="E73" s="39">
        <v>-50</v>
      </c>
      <c r="F73" s="39" t="str">
        <f>IF(AND(E73&gt;B53,D73&lt;A53),"NG",IF(E73&gt;B53,"Neg NG",IF(D73&lt;A53,"Pos NG","OK")))</f>
        <v>OK</v>
      </c>
      <c r="G73" s="88" t="str">
        <f>IF(AND(E73&gt;D53,D73&lt;C53),"NG",IF(E73&gt;D53,"Neg NG",IF(D73&lt;C53,"Pos NG","OK")))</f>
        <v>OK</v>
      </c>
      <c r="I73" s="118" t="s">
        <v>227</v>
      </c>
      <c r="J73" s="119"/>
      <c r="K73" s="119"/>
      <c r="L73" s="39">
        <v>25</v>
      </c>
      <c r="M73" s="39">
        <v>-25</v>
      </c>
      <c r="N73" s="39" t="str">
        <f>IF(AND(M73&gt;B53,L73&lt;A53),"NG",IF(M73&gt;B53,"Neg NG",IF(L73&lt;A53,"Pos NG","OK")))</f>
        <v>NG</v>
      </c>
      <c r="O73" s="88" t="str">
        <f>IF(AND(M73&gt;D53,L73&lt;C53),"NG",IF(M73&gt;D53,"Neg NG",IF(L73&lt;C53,"Pos NG","OK")))</f>
        <v>NG</v>
      </c>
    </row>
    <row r="74" spans="1:22" ht="30" customHeight="1" x14ac:dyDescent="0.3">
      <c r="A74" s="118" t="s">
        <v>221</v>
      </c>
      <c r="B74" s="119"/>
      <c r="C74" s="119"/>
      <c r="D74" s="39">
        <v>70</v>
      </c>
      <c r="E74" s="39">
        <v>-70</v>
      </c>
      <c r="F74" s="39" t="str">
        <f>IF(AND(E74&gt;B53,D74&lt;A53),"NG",IF(E74&gt;B53,"Neg NG",IF(D74&lt;A53,"Pos NG","OK")))</f>
        <v>OK</v>
      </c>
      <c r="G74" s="88" t="str">
        <f>IF(AND(E65&gt;D53,D65&lt;C53),"NG",IF(E65&gt;D53,"Neg NG",IF(D65&lt;C53,"Pos NG","OK")))</f>
        <v>OK</v>
      </c>
      <c r="I74" s="118" t="s">
        <v>228</v>
      </c>
      <c r="J74" s="119"/>
      <c r="K74" s="119"/>
      <c r="L74" s="39">
        <v>45</v>
      </c>
      <c r="M74" s="39">
        <v>-45</v>
      </c>
      <c r="N74" s="39" t="str">
        <f>IF(AND(M74&gt;B53,L74&lt;A53),"NG",IF(M74&gt;B53,"Neg NG",IF(L74&lt;A53,"Pos NG","OK")))</f>
        <v>OK</v>
      </c>
      <c r="O74" s="88" t="str">
        <f>IF(AND(M74&gt;D53,L74&lt;C53),"NG",IF(M74&gt;D53,"Neg NG",IF(L74&lt;C53,"Pos NG","OK")))</f>
        <v>Neg NG</v>
      </c>
    </row>
    <row r="75" spans="1:22" ht="30" customHeight="1" x14ac:dyDescent="0.3">
      <c r="A75" s="123" t="s">
        <v>222</v>
      </c>
      <c r="B75" s="124"/>
      <c r="C75" s="125"/>
      <c r="D75" s="39">
        <v>60</v>
      </c>
      <c r="E75" s="39">
        <v>-60</v>
      </c>
      <c r="F75" s="39" t="str">
        <f>IF(AND(E75&gt;B53,D75&lt;A53),"NG",IF(E75&gt;B53,"Neg NG",IF(D75&lt;A53,"Pos NG","OK")))</f>
        <v>OK</v>
      </c>
      <c r="G75" s="88" t="str">
        <f>IF(AND(E75&gt;D53,D75&lt;C53),"NG",IF(E75&gt;D53,"Neg NG",IF(D75&lt;C53,"Pos NG","OK")))</f>
        <v>OK</v>
      </c>
      <c r="I75" s="118" t="s">
        <v>229</v>
      </c>
      <c r="J75" s="119"/>
      <c r="K75" s="119"/>
      <c r="L75" s="39">
        <v>60</v>
      </c>
      <c r="M75" s="39">
        <v>-60</v>
      </c>
      <c r="N75" s="39" t="str">
        <f>IF(AND(M75&gt;B53,L75&lt;A53),"NG",IF(M75&gt;B53,"Neg NG",IF(L75&lt;A53,"Pos NG","OK")))</f>
        <v>OK</v>
      </c>
      <c r="O75" s="88" t="str">
        <f>IF(AND(M75&gt;D53,L75&lt;C53),"NG",IF(M75&gt;D53,"Neg NG",IF(L75&lt;C53,"Pos NG","OK")))</f>
        <v>OK</v>
      </c>
    </row>
    <row r="76" spans="1:22" ht="30" customHeight="1" x14ac:dyDescent="0.3">
      <c r="A76" s="123" t="s">
        <v>223</v>
      </c>
      <c r="B76" s="124"/>
      <c r="C76" s="125"/>
      <c r="D76" s="39">
        <v>60</v>
      </c>
      <c r="E76" s="39">
        <v>-60</v>
      </c>
      <c r="F76" s="39" t="str">
        <f>IF(AND(E76&gt;B53,D76&lt;A53),"NG",IF(E76&gt;B53,"Neg NG",IF(D76&lt;A53,"Pos NG","OK")))</f>
        <v>OK</v>
      </c>
      <c r="G76" s="88" t="str">
        <f>IF(AND(E76&gt;D53,D76&lt;C53),"NG",IF(E76&gt;D53,"Neg NG",IF(D76&lt;C53,"Pos NG","OK")))</f>
        <v>OK</v>
      </c>
      <c r="I76" s="118" t="s">
        <v>230</v>
      </c>
      <c r="J76" s="119"/>
      <c r="K76" s="119"/>
      <c r="L76" s="39">
        <v>50</v>
      </c>
      <c r="M76" s="39">
        <v>-50</v>
      </c>
      <c r="N76" s="39" t="str">
        <f>IF(AND(M76&gt;B53,L76&lt;A53),"NG",IF(M76&gt;B53,"Neg NG",IF(L76&lt;A53,"Pos NG","OK")))</f>
        <v>OK</v>
      </c>
      <c r="O76" s="88" t="str">
        <f>IF(AND(M76&gt;D53,L76&lt;C53),"NG",IF(M76&gt;D53,"Neg NG",IF(L76&lt;C53,"Pos NG","OK")))</f>
        <v>OK</v>
      </c>
    </row>
    <row r="77" spans="1:22" ht="30" customHeight="1" x14ac:dyDescent="0.3">
      <c r="A77" s="118" t="s">
        <v>207</v>
      </c>
      <c r="B77" s="119"/>
      <c r="C77" s="119"/>
      <c r="D77" s="39">
        <v>80</v>
      </c>
      <c r="E77" s="39">
        <v>-80</v>
      </c>
      <c r="F77" s="39" t="str">
        <f>IF(AND(E77&gt;B53,D77&lt;A53),"NG",IF(E77&gt;B53,"Neg NG",IF(D77&lt;A53,"Pos NG","OK")))</f>
        <v>OK</v>
      </c>
      <c r="G77" s="88" t="str">
        <f>IF(AND(E77&gt;D53,D77&lt;C53),"NG",IF(E77&gt;D53,"Neg NG",IF(D77&lt;C53,"Pos NG","OK")))</f>
        <v>OK</v>
      </c>
      <c r="I77" s="118" t="s">
        <v>231</v>
      </c>
      <c r="J77" s="119"/>
      <c r="K77" s="119"/>
      <c r="L77" s="39">
        <v>30</v>
      </c>
      <c r="M77" s="39">
        <v>-35</v>
      </c>
      <c r="N77" s="39" t="str">
        <f>IF(AND(M77&gt;B53,L77&lt;A53),"NG",IF(M77&gt;B53,"Neg NG",IF(L77&lt;A53,"Pos NG","OK")))</f>
        <v>NG</v>
      </c>
      <c r="O77" s="88" t="str">
        <f>IF(AND(M77&gt;D53,L77&lt;C53),"NG",IF(M77&gt;D53,"Neg NG",IF(L77&lt;C53,"Pos NG","OK")))</f>
        <v>NG</v>
      </c>
    </row>
    <row r="78" spans="1:22" ht="45" customHeight="1" thickBot="1" x14ac:dyDescent="0.35">
      <c r="A78" s="126" t="s">
        <v>208</v>
      </c>
      <c r="B78" s="127"/>
      <c r="C78" s="127"/>
      <c r="D78" s="109">
        <v>150</v>
      </c>
      <c r="E78" s="109">
        <v>-150</v>
      </c>
      <c r="F78" s="109" t="str">
        <f>IF(AND(E78&gt;B53,D78&lt;A53),"NG",IF(E78&gt;B53,"Neg NG",IF(D78&lt;A53,"Pos NG","OK")))</f>
        <v>OK</v>
      </c>
      <c r="G78" s="90" t="str">
        <f>IF(AND(E78&gt;D53,D78&lt;C53),"NG",IF(E78&gt;D53,"Neg NG",IF(D78&lt;C53,"Pos NG","OK")))</f>
        <v>OK</v>
      </c>
      <c r="I78" s="118" t="s">
        <v>232</v>
      </c>
      <c r="J78" s="119"/>
      <c r="K78" s="119"/>
      <c r="L78" s="39">
        <v>50</v>
      </c>
      <c r="M78" s="39">
        <v>-50</v>
      </c>
      <c r="N78" s="39" t="str">
        <f>IF(AND(M78&gt;B53,L78&lt;A53),"NG",IF(M78&gt;B53,"Neg NG",IF(L78&lt;A53,"Pos NG","OK")))</f>
        <v>OK</v>
      </c>
      <c r="O78" s="88" t="str">
        <f>IF(AND(M78&gt;D53,L78&lt;C53),"NG",IF(M78&gt;D53,"Neg NG",IF(L78&lt;C53,"Pos NG","OK")))</f>
        <v>OK</v>
      </c>
    </row>
    <row r="79" spans="1:22" ht="28.5" customHeight="1" thickBot="1" x14ac:dyDescent="0.35">
      <c r="I79" s="180" t="s">
        <v>233</v>
      </c>
      <c r="J79" s="181"/>
      <c r="K79" s="181"/>
      <c r="L79" s="111">
        <v>60</v>
      </c>
      <c r="M79" s="111">
        <v>-60</v>
      </c>
      <c r="N79" s="111" t="str">
        <f>IF(AND(M79&gt;B53,L79&lt;A53),"NG",IF(M79&gt;B53,"Neg NG",IF(L79&lt;A53,"Pos NG","OK")))</f>
        <v>OK</v>
      </c>
      <c r="O79" s="112" t="str">
        <f>IF(AND(M79&gt;D53,L79&lt;C53),"NG",IF(M79&gt;D53,"Neg NG",IF(L79&lt;C53,"Pos NG","OK")))</f>
        <v>OK</v>
      </c>
    </row>
  </sheetData>
  <mergeCells count="70">
    <mergeCell ref="A74:C74"/>
    <mergeCell ref="A77:C77"/>
    <mergeCell ref="A78:C78"/>
    <mergeCell ref="A75:C75"/>
    <mergeCell ref="A76:C76"/>
    <mergeCell ref="A71:C71"/>
    <mergeCell ref="A72:C72"/>
    <mergeCell ref="A73:C73"/>
    <mergeCell ref="I71:K71"/>
    <mergeCell ref="I72:K72"/>
    <mergeCell ref="I73:K73"/>
    <mergeCell ref="A68:C68"/>
    <mergeCell ref="A69:C69"/>
    <mergeCell ref="A70:C70"/>
    <mergeCell ref="I68:K68"/>
    <mergeCell ref="I69:K69"/>
    <mergeCell ref="I70:K70"/>
    <mergeCell ref="A65:C65"/>
    <mergeCell ref="A66:C66"/>
    <mergeCell ref="A67:C67"/>
    <mergeCell ref="I65:K65"/>
    <mergeCell ref="I66:K66"/>
    <mergeCell ref="I67:K67"/>
    <mergeCell ref="I62:O62"/>
    <mergeCell ref="D63:E63"/>
    <mergeCell ref="F63:G63"/>
    <mergeCell ref="I63:K64"/>
    <mergeCell ref="N63:O63"/>
    <mergeCell ref="F29:G29"/>
    <mergeCell ref="B33:C33"/>
    <mergeCell ref="K41:M41"/>
    <mergeCell ref="O41:Q41"/>
    <mergeCell ref="D33:E33"/>
    <mergeCell ref="B37:C37"/>
    <mergeCell ref="D37:E37"/>
    <mergeCell ref="F37:G37"/>
    <mergeCell ref="B41:C41"/>
    <mergeCell ref="D41:E41"/>
    <mergeCell ref="B29:C29"/>
    <mergeCell ref="D29:E29"/>
    <mergeCell ref="AF4:AI4"/>
    <mergeCell ref="S41:U41"/>
    <mergeCell ref="Z4:AA4"/>
    <mergeCell ref="N11:W11"/>
    <mergeCell ref="N12:O12"/>
    <mergeCell ref="P12:Q12"/>
    <mergeCell ref="R12:S12"/>
    <mergeCell ref="T12:U12"/>
    <mergeCell ref="V12:W12"/>
    <mergeCell ref="P16:Q16"/>
    <mergeCell ref="V16:W16"/>
    <mergeCell ref="N5:O5"/>
    <mergeCell ref="N7:O7"/>
    <mergeCell ref="N8:O8"/>
    <mergeCell ref="N2:O2"/>
    <mergeCell ref="I79:K79"/>
    <mergeCell ref="I74:K74"/>
    <mergeCell ref="I75:K75"/>
    <mergeCell ref="I76:K76"/>
    <mergeCell ref="I77:K77"/>
    <mergeCell ref="I78:K78"/>
    <mergeCell ref="A28:I28"/>
    <mergeCell ref="A50:D50"/>
    <mergeCell ref="A51:B51"/>
    <mergeCell ref="C51:D51"/>
    <mergeCell ref="A37:A43"/>
    <mergeCell ref="A29:A35"/>
    <mergeCell ref="A63:C64"/>
    <mergeCell ref="L63:M63"/>
    <mergeCell ref="A62:G62"/>
  </mergeCells>
  <conditionalFormatting sqref="F65:G78">
    <cfRule type="containsText" dxfId="6" priority="7" operator="containsText" text="NG">
      <formula>NOT(ISERROR(SEARCH("NG",F65)))</formula>
    </cfRule>
  </conditionalFormatting>
  <conditionalFormatting sqref="N65:O79">
    <cfRule type="containsText" dxfId="5" priority="1" operator="containsText" text="NG">
      <formula>NOT(ISERROR(SEARCH("NG",N65)))</formula>
    </cfRule>
  </conditionalFormatting>
  <conditionalFormatting sqref="AG15">
    <cfRule type="expression" dxfId="4" priority="13">
      <formula>(Q42="Zone 3e:")</formula>
    </cfRule>
  </conditionalFormatting>
  <conditionalFormatting sqref="AG15:AH15">
    <cfRule type="expression" dxfId="3" priority="12">
      <formula>(AG15="Zone 3e:")</formula>
    </cfRule>
  </conditionalFormatting>
  <conditionalFormatting sqref="AH15">
    <cfRule type="expression" dxfId="2" priority="14">
      <formula>(Q42="Zone 3e:")</formula>
    </cfRule>
  </conditionalFormatting>
  <dataValidations count="6">
    <dataValidation type="list" allowBlank="1" showInputMessage="1" showErrorMessage="1" sqref="E15" xr:uid="{00000000-0002-0000-0400-000000000000}">
      <formula1>"B,C,D"</formula1>
    </dataValidation>
    <dataValidation type="list" allowBlank="1" showInputMessage="1" showErrorMessage="1" sqref="N5:O5" xr:uid="{00000000-0002-0000-0400-000001000000}">
      <formula1>"Transverse / Complex, Gable / Mono"</formula1>
    </dataValidation>
    <dataValidation type="list" allowBlank="1" showInputMessage="1" showErrorMessage="1" sqref="I42" xr:uid="{00000000-0002-0000-0400-000002000000}">
      <formula1>"Plywood,Dens Deck,B-Deck,Securock"</formula1>
    </dataValidation>
    <dataValidation type="whole" allowBlank="1" showInputMessage="1" showErrorMessage="1" sqref="E16" xr:uid="{0358EAD2-CC93-442A-99B1-D2294138E93A}">
      <formula1>0</formula1>
      <formula2>57</formula2>
    </dataValidation>
    <dataValidation type="whole" allowBlank="1" showInputMessage="1" showErrorMessage="1" sqref="E20" xr:uid="{17DD8904-40D1-497B-8C84-8A21C20FFDE5}">
      <formula1>0</formula1>
      <formula2>3</formula2>
    </dataValidation>
    <dataValidation type="list" allowBlank="1" showInputMessage="1" showErrorMessage="1" sqref="F23" xr:uid="{DE03BAF1-1CD1-4D83-A4DA-74D11F1A87F0}">
      <formula1>"(Enclosed), (Partially Enclosed), (Open)"</formula1>
    </dataValidation>
  </dataValidations>
  <pageMargins left="0.7" right="0.7" top="0.75" bottom="0.75" header="0.3" footer="0.3"/>
  <pageSetup orientation="portrait" r:id="rId1"/>
  <ignoredErrors>
    <ignoredError sqref="E25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73"/>
  <sheetViews>
    <sheetView workbookViewId="0">
      <selection activeCell="E13" sqref="E13"/>
    </sheetView>
  </sheetViews>
  <sheetFormatPr defaultRowHeight="14.4" x14ac:dyDescent="0.3"/>
  <cols>
    <col min="10" max="17" width="9.109375" customWidth="1"/>
    <col min="25" max="25" width="9.109375" customWidth="1"/>
    <col min="26" max="27" width="9.109375" hidden="1" customWidth="1"/>
    <col min="28" max="30" width="0" hidden="1" customWidth="1"/>
  </cols>
  <sheetData>
    <row r="1" spans="1:28" ht="17.399999999999999" x14ac:dyDescent="0.3">
      <c r="E1" s="3" t="s">
        <v>14</v>
      </c>
      <c r="Z1" s="19">
        <f>IF(AND(E15&lt;=30,E14="B"),1,IF(AND(E15=35,E14="B"),1.05,IF(AND(E15=40,E14="B"),1.09,IF(AND(E15=45,E14="B"),1.12,IF(AND(E15=50,E14="B"),1.16,IF(AND(E15=55,E14="B"),1.19,IF(AND(E15=60,E14="B"),1.22,IF(AND(E15&lt;=15,E14="C"),1.21,IF(AND(E15=20,E14="C"),1.29,IF(AND(E15=25,E14="C"),1.35,IF(AND(E15=30,E14="C"),1.4,IF(AND(E15=35,E14="C"),1.45,IF(AND(E15=40,E14="C"),1.49,IF(AND(E15=45,E14="C"),1.53,IF(AND(E15=50,E14="C"),1.56,IF(AND(E15=55,E14="C"),1.59,IF(AND(E15=60,E14="C"),1.62,IF(AND(E15&lt;=15,E14="d"),1.47,IF(AND(E15=20,E14="d"),1.55,IF(AND(E15=25,E14="d"),1.61,IF(AND(E15=30,E14="d"),1.66,IF(AND(E15=35,E14="d"),1.7,IF(AND(E15=40,E14="d")*1.74,IF(AND(E15=45,E14="d")*1.78,IF(AND(E15=50,E14="d")*1.81,IF(AND(E15=55,E14="d")*1.84,IF(AND(E15=60,E14="d"),1.87,0)))))))))))))))))))))))))))</f>
        <v>1.21</v>
      </c>
      <c r="AA1" s="31" t="s">
        <v>61</v>
      </c>
    </row>
    <row r="2" spans="1:28" ht="17.399999999999999" x14ac:dyDescent="0.3">
      <c r="E2" s="3" t="s">
        <v>144</v>
      </c>
      <c r="J2" s="25"/>
      <c r="K2" s="25"/>
      <c r="L2" s="25"/>
      <c r="N2" s="150" t="s">
        <v>83</v>
      </c>
      <c r="O2" s="150"/>
    </row>
    <row r="3" spans="1:28" x14ac:dyDescent="0.3">
      <c r="E3" s="4" t="s">
        <v>191</v>
      </c>
      <c r="J3" s="22"/>
      <c r="K3" s="25"/>
      <c r="L3" s="25"/>
      <c r="M3" s="22"/>
      <c r="N3" s="39" t="s">
        <v>55</v>
      </c>
      <c r="O3" s="39" t="s">
        <v>69</v>
      </c>
      <c r="Z3" s="133" t="s">
        <v>28</v>
      </c>
      <c r="AA3" s="133"/>
    </row>
    <row r="4" spans="1:28" x14ac:dyDescent="0.3">
      <c r="J4" s="22"/>
      <c r="K4" s="42"/>
      <c r="L4" s="25"/>
      <c r="M4" s="22" t="s">
        <v>70</v>
      </c>
      <c r="N4" s="58">
        <v>24</v>
      </c>
      <c r="O4" s="59">
        <v>60</v>
      </c>
      <c r="Z4" s="74">
        <f>N4*0.1</f>
        <v>2.4000000000000004</v>
      </c>
      <c r="AA4" s="74">
        <f>E16*0.4</f>
        <v>6</v>
      </c>
      <c r="AB4" t="s">
        <v>160</v>
      </c>
    </row>
    <row r="5" spans="1:28" x14ac:dyDescent="0.3">
      <c r="C5" s="5" t="s">
        <v>15</v>
      </c>
      <c r="D5" s="6" t="s">
        <v>16</v>
      </c>
      <c r="M5" s="22" t="s">
        <v>71</v>
      </c>
      <c r="N5" s="132" t="s">
        <v>72</v>
      </c>
      <c r="O5" s="132"/>
      <c r="Z5" s="11">
        <f>O4*0.1</f>
        <v>6</v>
      </c>
      <c r="AA5" s="11">
        <f>E16*0.4</f>
        <v>6</v>
      </c>
      <c r="AB5" t="s">
        <v>161</v>
      </c>
    </row>
    <row r="6" spans="1:28" x14ac:dyDescent="0.3">
      <c r="D6" s="6" t="s">
        <v>183</v>
      </c>
      <c r="M6" s="19"/>
      <c r="N6" s="19"/>
      <c r="O6" s="22"/>
      <c r="Z6" s="96">
        <f>MIN(N4,O4)*0.1</f>
        <v>2.4000000000000004</v>
      </c>
      <c r="AA6" s="97">
        <f>E16*0.4</f>
        <v>6</v>
      </c>
      <c r="AB6" t="s">
        <v>157</v>
      </c>
    </row>
    <row r="7" spans="1:28" x14ac:dyDescent="0.3">
      <c r="D7" s="6" t="s">
        <v>17</v>
      </c>
      <c r="E7" s="19"/>
      <c r="M7" s="19"/>
      <c r="N7" s="133" t="s">
        <v>79</v>
      </c>
      <c r="O7" s="133"/>
      <c r="Z7" s="11" t="s">
        <v>150</v>
      </c>
      <c r="AA7" s="11" t="s">
        <v>151</v>
      </c>
    </row>
    <row r="8" spans="1:28" x14ac:dyDescent="0.3">
      <c r="D8" s="6" t="s">
        <v>18</v>
      </c>
      <c r="M8" s="19"/>
      <c r="N8" s="133">
        <f>MAX(Z12,Z13)</f>
        <v>15.625</v>
      </c>
      <c r="O8" s="133"/>
    </row>
    <row r="9" spans="1:28" x14ac:dyDescent="0.3">
      <c r="D9" s="6" t="s">
        <v>19</v>
      </c>
      <c r="N9" s="8"/>
      <c r="Z9" s="8">
        <f>IF(E18&lt;=7,(N4-(V15*2)),IF(AND(E18&gt;7,E18&lt;=45),(N4-(V15*4)),0))</f>
        <v>18</v>
      </c>
      <c r="AA9" s="8">
        <f>IF(E18&lt;=7,(O4-(W14*2)),IF(AND(E18&gt;7,E18&lt;=45),(O4-(W14*2)),0))</f>
        <v>48</v>
      </c>
      <c r="AB9" t="s">
        <v>148</v>
      </c>
    </row>
    <row r="10" spans="1:28" ht="15" thickBot="1" x14ac:dyDescent="0.35">
      <c r="D10" s="6" t="s">
        <v>20</v>
      </c>
      <c r="N10" s="8"/>
      <c r="Z10" s="8">
        <f>IF(E18&lt;=7,(N4-T14*2),IF(AND(E18&gt;7,E18&lt;=27),(N4-(T14*2)),IF(AND(E18&gt;27,E18&lt;=45),(N4-(T14*4))*0)))</f>
        <v>18</v>
      </c>
      <c r="AA10" s="8">
        <f>IF(E18&lt;=7,(O4-(U14*2)),IF(AND(E18&gt;7,E18&lt;=45),(O4-(W14*4)),0))</f>
        <v>48</v>
      </c>
      <c r="AB10" t="s">
        <v>149</v>
      </c>
    </row>
    <row r="11" spans="1:28" ht="15" thickBot="1" x14ac:dyDescent="0.35">
      <c r="D11" s="6" t="s">
        <v>21</v>
      </c>
      <c r="M11" s="19"/>
      <c r="N11" s="167" t="s">
        <v>159</v>
      </c>
      <c r="O11" s="186"/>
      <c r="P11" s="186"/>
      <c r="Q11" s="186"/>
      <c r="R11" s="186"/>
      <c r="S11" s="186"/>
      <c r="T11" s="186"/>
      <c r="U11" s="186"/>
      <c r="V11" s="186"/>
      <c r="W11" s="168"/>
    </row>
    <row r="12" spans="1:28" ht="15" thickBot="1" x14ac:dyDescent="0.35">
      <c r="D12" s="6" t="s">
        <v>182</v>
      </c>
      <c r="M12" s="19"/>
      <c r="N12" s="167" t="s">
        <v>56</v>
      </c>
      <c r="O12" s="168"/>
      <c r="P12" s="167" t="s">
        <v>57</v>
      </c>
      <c r="Q12" s="168"/>
      <c r="R12" s="167" t="s">
        <v>59</v>
      </c>
      <c r="S12" s="168"/>
      <c r="T12" s="167" t="s">
        <v>58</v>
      </c>
      <c r="U12" s="168"/>
      <c r="V12" s="167" t="s">
        <v>60</v>
      </c>
      <c r="W12" s="168"/>
      <c r="Z12">
        <f>IF(N5="transverse / complex",(E15+(E17*((O4/2)/12))),IF(N5="gable / mono",(E15+(E17*((N4/2)/12))),0))</f>
        <v>15.625</v>
      </c>
      <c r="AA12" t="s">
        <v>167</v>
      </c>
    </row>
    <row r="13" spans="1:28" x14ac:dyDescent="0.3">
      <c r="A13" s="19"/>
      <c r="B13" s="19"/>
      <c r="C13" s="19"/>
      <c r="D13" s="27" t="s">
        <v>51</v>
      </c>
      <c r="E13" s="13">
        <v>130</v>
      </c>
      <c r="F13" s="7" t="s">
        <v>22</v>
      </c>
      <c r="G13" s="21"/>
      <c r="H13" s="19"/>
      <c r="M13" s="19"/>
      <c r="N13" s="91" t="s">
        <v>146</v>
      </c>
      <c r="O13" s="92" t="s">
        <v>147</v>
      </c>
      <c r="P13" s="91" t="s">
        <v>146</v>
      </c>
      <c r="Q13" s="92" t="s">
        <v>147</v>
      </c>
      <c r="R13" s="91" t="s">
        <v>146</v>
      </c>
      <c r="S13" s="92" t="s">
        <v>147</v>
      </c>
      <c r="T13" s="91" t="s">
        <v>146</v>
      </c>
      <c r="U13" s="92" t="s">
        <v>147</v>
      </c>
      <c r="V13" s="91" t="s">
        <v>146</v>
      </c>
      <c r="W13" s="92" t="s">
        <v>147</v>
      </c>
      <c r="Z13">
        <f>E15+E19</f>
        <v>15</v>
      </c>
      <c r="AA13" t="s">
        <v>168</v>
      </c>
    </row>
    <row r="14" spans="1:28" x14ac:dyDescent="0.3">
      <c r="A14" s="19"/>
      <c r="B14" s="19"/>
      <c r="C14" s="19"/>
      <c r="D14" s="27" t="s">
        <v>23</v>
      </c>
      <c r="E14" s="14" t="s">
        <v>37</v>
      </c>
      <c r="F14" s="7"/>
      <c r="G14" s="21"/>
      <c r="H14" s="19"/>
      <c r="M14" s="22" t="s">
        <v>162</v>
      </c>
      <c r="N14" s="60" t="s">
        <v>163</v>
      </c>
      <c r="O14" s="88" t="s">
        <v>163</v>
      </c>
      <c r="P14" s="60">
        <f>IF(MIN(Z4,AA4)&lt;3,3,MIN(Z4,AA4))</f>
        <v>3</v>
      </c>
      <c r="Q14" s="88">
        <f>IF(MIN(Z5,AA5)&lt;3,3,MIN(Z5,AA5))</f>
        <v>6</v>
      </c>
      <c r="R14" s="60" t="s">
        <v>163</v>
      </c>
      <c r="S14" s="88" t="s">
        <v>163</v>
      </c>
      <c r="T14" s="60">
        <f>IF(MIN(Z6,AA6)&lt;3,3,MIN(Z6,AA6))</f>
        <v>3</v>
      </c>
      <c r="U14" s="88">
        <f>IF(MIN(Z5,AA5)&lt;3,3,MIN(Z5,AA5))</f>
        <v>6</v>
      </c>
      <c r="V14" s="60">
        <f>IF(MIN(Z6,AA6)&lt;3,3,MIN(Z6,AA6))</f>
        <v>3</v>
      </c>
      <c r="W14" s="88">
        <f>IF(MIN(Z5,AA5)&lt;3,3,MIN(Z5,AA5))</f>
        <v>6</v>
      </c>
    </row>
    <row r="15" spans="1:28" ht="15" thickBot="1" x14ac:dyDescent="0.35">
      <c r="A15" s="19"/>
      <c r="B15" s="19"/>
      <c r="C15" s="19"/>
      <c r="D15" s="27" t="s">
        <v>73</v>
      </c>
      <c r="E15" s="20">
        <v>15</v>
      </c>
      <c r="F15" s="7" t="s">
        <v>250</v>
      </c>
      <c r="G15" s="19"/>
      <c r="H15" s="21"/>
      <c r="M15" s="22" t="s">
        <v>152</v>
      </c>
      <c r="N15" s="89">
        <f>SUM(N4-P15*2)</f>
        <v>18</v>
      </c>
      <c r="O15" s="90">
        <f>SUM(O4-Q15*2)</f>
        <v>48</v>
      </c>
      <c r="P15" s="89">
        <f>IF(MIN(Z4,AA4)&lt;3,3,MIN(Z4,AA4))</f>
        <v>3</v>
      </c>
      <c r="Q15" s="90">
        <f>IF(MIN(Z5,AA5)&lt;3,3,MIN(Z5,AA5))</f>
        <v>6</v>
      </c>
      <c r="R15" s="89">
        <f>IF(Z10&lt;=0,"N/A",IF(E18&lt;=7,(N4-T14*2),IF(AND(E18&gt;7,E18&lt;=27),(N4-(T14*2)),IF(AND(E18&gt;27,E18&lt;=45),(N4-(T14*4)),0))))</f>
        <v>18</v>
      </c>
      <c r="S15" s="90">
        <f>IF(AA10&lt;=0,"N/A",IF(E18&lt;=7,(O4-(U14*2)),IF(E18&gt;7,(O4-(U14*4)),0)))</f>
        <v>48</v>
      </c>
      <c r="T15" s="89">
        <f>IF(Z9&lt;=0,"N/A",IF(E18&lt;=7,(N4-(V15*2)),IF(E18&gt;7,(N4-(V15*4)),0)))</f>
        <v>18</v>
      </c>
      <c r="U15" s="90">
        <f>IF(E18&lt;=7,(O4-(W15*2)),IF(E18&gt;7,(O4-(W15*2)),0))</f>
        <v>48</v>
      </c>
      <c r="V15" s="94">
        <f>IF(MIN(Z4,AA4)&lt;3,3,MIN(Z4,AA4))</f>
        <v>3</v>
      </c>
      <c r="W15" s="95">
        <f>IF(MIN(Z5,AA5)&lt;3,3,MIN(Z5,AA5))</f>
        <v>6</v>
      </c>
      <c r="Y15" s="16"/>
    </row>
    <row r="16" spans="1:28" ht="15" thickBot="1" x14ac:dyDescent="0.35">
      <c r="D16" s="27" t="s">
        <v>24</v>
      </c>
      <c r="E16" s="26">
        <f>IF(E19&gt;0,E15+E19,IF(E18&lt;=10,E15,IF(N5="transverse / complex",(E15+(E17*((O4/2)/12)/2)),IF(N5="gable / mono",(E15+(E17*((N4/2)/12)/2)),E15+E19))))</f>
        <v>15</v>
      </c>
      <c r="P16" s="139" t="s">
        <v>156</v>
      </c>
      <c r="Q16" s="140"/>
      <c r="V16" s="139" t="s">
        <v>156</v>
      </c>
      <c r="W16" s="140"/>
      <c r="Y16" s="16"/>
    </row>
    <row r="17" spans="1:25" x14ac:dyDescent="0.3">
      <c r="C17" s="19"/>
      <c r="D17" s="22" t="s">
        <v>81</v>
      </c>
      <c r="E17" s="30">
        <v>0.25</v>
      </c>
      <c r="F17" t="s">
        <v>67</v>
      </c>
      <c r="Y17" s="16"/>
    </row>
    <row r="18" spans="1:25" x14ac:dyDescent="0.3">
      <c r="A18" s="19"/>
      <c r="B18" s="19"/>
      <c r="C18" s="19"/>
      <c r="D18" s="27" t="s">
        <v>75</v>
      </c>
      <c r="E18" s="41">
        <f>ATAN(E17/12)*(180/PI())</f>
        <v>1.1934894239820351</v>
      </c>
      <c r="G18" s="21"/>
      <c r="H18" s="19"/>
      <c r="U18" s="16"/>
      <c r="Y18" s="16"/>
    </row>
    <row r="19" spans="1:25" x14ac:dyDescent="0.3">
      <c r="D19" s="27" t="s">
        <v>54</v>
      </c>
      <c r="E19" s="30">
        <v>0</v>
      </c>
      <c r="I19" s="19"/>
    </row>
    <row r="20" spans="1:25" x14ac:dyDescent="0.3">
      <c r="D20" s="27" t="s">
        <v>63</v>
      </c>
      <c r="E20" s="30">
        <v>1</v>
      </c>
      <c r="F20" s="105" t="s">
        <v>176</v>
      </c>
    </row>
    <row r="21" spans="1:25" x14ac:dyDescent="0.3">
      <c r="A21" s="19"/>
      <c r="B21" s="19"/>
      <c r="C21" s="19"/>
      <c r="D21" s="27" t="s">
        <v>131</v>
      </c>
      <c r="E21" s="21">
        <v>1</v>
      </c>
      <c r="F21" s="7" t="s">
        <v>179</v>
      </c>
      <c r="G21" s="21"/>
      <c r="H21" s="21"/>
      <c r="I21" s="19"/>
    </row>
    <row r="22" spans="1:25" x14ac:dyDescent="0.3">
      <c r="A22" s="19"/>
      <c r="B22" s="19"/>
      <c r="C22" s="19"/>
      <c r="D22" s="22" t="s">
        <v>132</v>
      </c>
      <c r="E22" s="23">
        <v>0.85</v>
      </c>
      <c r="F22" s="19" t="s">
        <v>180</v>
      </c>
      <c r="G22" s="19"/>
      <c r="H22" s="19"/>
      <c r="I22" s="19"/>
    </row>
    <row r="23" spans="1:25" x14ac:dyDescent="0.3">
      <c r="A23" s="19"/>
      <c r="B23" s="19"/>
      <c r="C23" s="19"/>
      <c r="D23" s="27" t="s">
        <v>134</v>
      </c>
      <c r="E23" s="23">
        <f>IF(F23="(enclosed)",-0.18,IF(F23="(Partially Enclosed)",-0.55,IF(F23="(open)",0,)))</f>
        <v>-0.18</v>
      </c>
      <c r="F23" s="19" t="s">
        <v>43</v>
      </c>
      <c r="G23" s="19" t="s">
        <v>178</v>
      </c>
      <c r="H23" s="19"/>
      <c r="I23" s="19"/>
    </row>
    <row r="24" spans="1:25" x14ac:dyDescent="0.3">
      <c r="A24" s="19"/>
      <c r="B24" s="19"/>
      <c r="C24" s="19"/>
      <c r="D24" s="27" t="s">
        <v>134</v>
      </c>
      <c r="E24" s="23">
        <f>IF(F23="(enclosed)",0.18,IF(F23="(Partially Enclosed)",0.55,IF(F23="(open)",0)))</f>
        <v>0.18</v>
      </c>
      <c r="G24" s="19"/>
      <c r="H24" s="19"/>
      <c r="I24" s="19"/>
    </row>
    <row r="25" spans="1:25" x14ac:dyDescent="0.3">
      <c r="A25" s="19"/>
      <c r="B25" s="19"/>
      <c r="C25" s="19"/>
      <c r="D25" s="22" t="s">
        <v>142</v>
      </c>
      <c r="E25" s="26">
        <f>IF(AND(E14="B",E15&lt;15),(2.01*((15)/1200)^(2/7)),IF(AND(E14="B",E16&gt;=15),(2.01*((E15)/1200)^(2/7)),IF(E14="C",(2.01*((E15)/900)^(2/9.5)),IF(E14="D",(2.01*((E15)/700)^(2/11.5)),0))))</f>
        <v>0.84888415207790313</v>
      </c>
      <c r="F25" s="25" t="s">
        <v>177</v>
      </c>
      <c r="G25" s="19"/>
      <c r="H25" s="19"/>
      <c r="I25" s="19"/>
    </row>
    <row r="26" spans="1:25" x14ac:dyDescent="0.3">
      <c r="A26" s="19"/>
      <c r="B26" s="19"/>
      <c r="C26" s="19"/>
      <c r="D26" s="22" t="s">
        <v>143</v>
      </c>
      <c r="E26" s="26">
        <f>(0.00256*E25*E21*E22*E20*(E13^2))</f>
        <v>31.217205362173644</v>
      </c>
      <c r="F26" s="25" t="s">
        <v>140</v>
      </c>
      <c r="G26" s="19"/>
      <c r="H26" s="19"/>
      <c r="I26" s="19"/>
    </row>
    <row r="27" spans="1:25" ht="15" thickBot="1" x14ac:dyDescent="0.35">
      <c r="A27" s="19" t="s">
        <v>242</v>
      </c>
      <c r="B27" s="19"/>
      <c r="C27" s="19"/>
      <c r="D27" s="19"/>
      <c r="E27" s="19"/>
      <c r="F27" s="19"/>
      <c r="G27" s="19"/>
      <c r="H27" s="19"/>
      <c r="I27" s="19"/>
    </row>
    <row r="28" spans="1:25" ht="16.2" thickBot="1" x14ac:dyDescent="0.35">
      <c r="A28" s="155" t="s">
        <v>139</v>
      </c>
      <c r="B28" s="156"/>
      <c r="C28" s="156"/>
      <c r="D28" s="156"/>
      <c r="E28" s="156"/>
      <c r="F28" s="156"/>
      <c r="G28" s="156"/>
      <c r="H28" s="156"/>
      <c r="I28" s="157"/>
    </row>
    <row r="29" spans="1:25" x14ac:dyDescent="0.3">
      <c r="A29" s="153" t="s">
        <v>62</v>
      </c>
      <c r="B29" s="187" t="s">
        <v>56</v>
      </c>
      <c r="C29" s="148"/>
      <c r="D29" s="148" t="s">
        <v>57</v>
      </c>
      <c r="E29" s="148"/>
      <c r="F29" s="148" t="s">
        <v>59</v>
      </c>
      <c r="G29" s="148"/>
      <c r="H29" s="45"/>
      <c r="I29" s="45"/>
    </row>
    <row r="30" spans="1:25" x14ac:dyDescent="0.3">
      <c r="A30" s="153"/>
      <c r="B30" s="48" t="s">
        <v>38</v>
      </c>
      <c r="C30" s="39" t="s">
        <v>39</v>
      </c>
      <c r="D30" s="39" t="s">
        <v>38</v>
      </c>
      <c r="E30" s="39" t="s">
        <v>39</v>
      </c>
      <c r="F30" s="39" t="s">
        <v>38</v>
      </c>
      <c r="G30" s="39" t="s">
        <v>39</v>
      </c>
      <c r="H30" s="45"/>
      <c r="I30" s="45"/>
    </row>
    <row r="31" spans="1:25" x14ac:dyDescent="0.3">
      <c r="A31" s="153"/>
      <c r="B31" s="49">
        <f>IF(E18&lt;=10,E26*((1*0.9)-E23),E26*(1-E23))</f>
        <v>33.714581791147538</v>
      </c>
      <c r="C31" s="50">
        <f>IF(E18&lt;=10,E26*((-1.1*0.9)-E24),E26*((-1.1)-E24))</f>
        <v>-36.524130273743168</v>
      </c>
      <c r="D31" s="50">
        <f>IF(E18&lt;=10,E26*((1*0.9)-E23),E26*(1-E23))</f>
        <v>33.714581791147538</v>
      </c>
      <c r="E31" s="50">
        <f>IF(E18&lt;=10,E26*((-1.4*0.9)-E24),E26*((-1.4)-E24))</f>
        <v>-44.952775721530045</v>
      </c>
      <c r="F31" s="50">
        <f>IF(E18&lt;=7,E26*(0.3-E23),IF(AND(E18&gt;7,E18&lt;=27),E26*(0.5-E23),IF(AND(E18&gt;27,E18&lt;=45),E26*(0.9-E23),0)))</f>
        <v>14.984258573843348</v>
      </c>
      <c r="G31" s="50">
        <f>IF(E18&lt;=7,E26*((-1)-E24),IF(AND(E18&gt;7,E18&lt;=27),E26*((-0.9)-E24),IF(AND(E18&gt;27,E18&lt;=45),E26*((-1)-E24),0)))</f>
        <v>-36.836302327364898</v>
      </c>
      <c r="H31" s="45"/>
      <c r="I31" s="45"/>
    </row>
    <row r="32" spans="1:25" x14ac:dyDescent="0.3">
      <c r="A32" s="153"/>
      <c r="B32" s="25"/>
      <c r="C32" s="25"/>
      <c r="D32" s="25"/>
      <c r="E32" s="25"/>
      <c r="F32" s="25"/>
      <c r="G32" s="25"/>
      <c r="H32" s="25"/>
      <c r="I32" s="25"/>
    </row>
    <row r="33" spans="1:25" x14ac:dyDescent="0.3">
      <c r="A33" s="153"/>
      <c r="B33" s="188" t="s">
        <v>58</v>
      </c>
      <c r="C33" s="133"/>
      <c r="D33" s="135" t="s">
        <v>60</v>
      </c>
      <c r="E33" s="136"/>
      <c r="F33" s="25"/>
      <c r="G33" s="23"/>
      <c r="H33" s="63"/>
      <c r="I33" s="25"/>
    </row>
    <row r="34" spans="1:25" x14ac:dyDescent="0.3">
      <c r="A34" s="153"/>
      <c r="B34" s="60" t="s">
        <v>38</v>
      </c>
      <c r="C34" s="39" t="s">
        <v>39</v>
      </c>
      <c r="D34" s="48" t="s">
        <v>38</v>
      </c>
      <c r="E34" s="39" t="s">
        <v>39</v>
      </c>
      <c r="F34" s="57"/>
      <c r="G34" s="23"/>
      <c r="H34" s="23"/>
      <c r="I34" s="23"/>
    </row>
    <row r="35" spans="1:25" ht="15" thickBot="1" x14ac:dyDescent="0.35">
      <c r="A35" s="154"/>
      <c r="B35" s="61">
        <f>IF(AND(E18&lt;7,E19&gt;=3),E26*((1)-E23),IF(E18&lt;=7,E26*((0.3)-E23),IF(AND(E18&gt;7,E18&lt;=27),E26*((0.5)-E23),IF(AND(E18&gt;27,E18&lt;=45),E26*((0.9)-E23),0))))</f>
        <v>14.984258573843348</v>
      </c>
      <c r="C35" s="50">
        <f>IF(E18&lt;=7,E26*((-1.8)-E24),IF(AND(E18&gt;7,E18&lt;=27),E26*((-1.7)-E24),IF(AND(E18&gt;27,E18&lt;=45),E26*((-1.2)-E24),0)))</f>
        <v>-61.810066617103814</v>
      </c>
      <c r="D35" s="49">
        <f>IF(E18&lt;=7,E26*((0.3)-E23),IF(AND(E18&gt;7,E18&lt;=27),E26*((0.5)-E23),IF(AND(#REF!&gt;27,E18&lt;=45),E26*((0.9)-E23),0)))</f>
        <v>14.984258573843348</v>
      </c>
      <c r="E35" s="50">
        <f>IF(AND(E18&lt;=7,E19&gt;=3),E26*((-1.8)-E24),IF(E18&lt;=7,E26*((-2.8)-E24),IF(AND(E18&gt;7,E18&lt;=27),E26*((-2.6)-E24),IF(AND(E18&gt;27,E18&lt;=45),E26*((-1.2)-E24),0))))</f>
        <v>-93.027271979277458</v>
      </c>
      <c r="F35" s="26"/>
      <c r="G35" s="26"/>
      <c r="H35" s="26"/>
      <c r="I35" s="26"/>
    </row>
    <row r="36" spans="1:25" x14ac:dyDescent="0.3">
      <c r="A36" s="18"/>
      <c r="B36" s="18"/>
      <c r="C36" s="18"/>
      <c r="D36" s="18"/>
      <c r="E36" s="18"/>
      <c r="F36" s="18"/>
      <c r="G36" s="18"/>
      <c r="H36" s="18"/>
      <c r="I36" s="18"/>
      <c r="L36" s="19"/>
      <c r="M36" s="19"/>
      <c r="N36" s="19"/>
      <c r="O36" s="19"/>
      <c r="P36" s="19"/>
      <c r="Q36" s="19"/>
      <c r="R36" s="19"/>
    </row>
    <row r="37" spans="1:25" ht="15" x14ac:dyDescent="0.3">
      <c r="A37" s="18"/>
      <c r="B37" s="18"/>
      <c r="C37" s="17" t="s">
        <v>127</v>
      </c>
      <c r="D37" s="29">
        <f>MIN(C31,E31,G31,C35,E35,)</f>
        <v>-93.027271979277458</v>
      </c>
      <c r="E37" s="18" t="s">
        <v>42</v>
      </c>
      <c r="F37" s="18"/>
      <c r="G37" s="18"/>
      <c r="J37" s="19"/>
      <c r="K37" s="134" t="s">
        <v>153</v>
      </c>
      <c r="L37" s="135"/>
      <c r="M37" s="136"/>
      <c r="O37" s="134" t="s">
        <v>154</v>
      </c>
      <c r="P37" s="135"/>
      <c r="Q37" s="136"/>
      <c r="R37" s="19"/>
      <c r="S37" s="134" t="s">
        <v>155</v>
      </c>
      <c r="T37" s="135"/>
      <c r="U37" s="136"/>
    </row>
    <row r="38" spans="1:25" x14ac:dyDescent="0.3">
      <c r="J38" s="19"/>
      <c r="K38" s="19"/>
      <c r="O38" s="19"/>
      <c r="P38" s="19"/>
      <c r="Q38" s="19"/>
      <c r="R38" s="19"/>
    </row>
    <row r="39" spans="1:25" x14ac:dyDescent="0.3">
      <c r="J39" s="19"/>
      <c r="K39" s="19"/>
      <c r="O39" s="19"/>
      <c r="P39" s="19"/>
      <c r="Q39" s="19"/>
      <c r="R39" s="19"/>
      <c r="S39" s="16"/>
      <c r="T39" s="16"/>
      <c r="U39" s="16"/>
      <c r="Y39" s="16"/>
    </row>
    <row r="40" spans="1:25" x14ac:dyDescent="0.3">
      <c r="O40" s="19"/>
      <c r="P40" s="19"/>
      <c r="Q40" s="19"/>
      <c r="R40" s="19"/>
      <c r="S40" s="16"/>
      <c r="T40" s="16"/>
      <c r="U40" s="16"/>
      <c r="Y40" s="16"/>
    </row>
    <row r="41" spans="1:25" x14ac:dyDescent="0.3">
      <c r="A41" s="133" t="s">
        <v>138</v>
      </c>
      <c r="B41" s="133"/>
      <c r="C41" s="133"/>
      <c r="D41" s="133"/>
      <c r="L41" s="19"/>
      <c r="M41" s="19"/>
      <c r="N41" s="19"/>
      <c r="O41" s="19"/>
      <c r="P41" s="19"/>
      <c r="Q41" s="19"/>
      <c r="R41" s="19"/>
      <c r="S41" s="16"/>
      <c r="T41" s="16"/>
      <c r="U41" s="16"/>
      <c r="Y41" s="16"/>
    </row>
    <row r="42" spans="1:25" x14ac:dyDescent="0.3">
      <c r="A42" s="120" t="s">
        <v>56</v>
      </c>
      <c r="B42" s="120"/>
      <c r="C42" s="120" t="s">
        <v>57</v>
      </c>
      <c r="D42" s="120"/>
      <c r="L42" s="19"/>
      <c r="M42" s="19"/>
      <c r="N42" s="19"/>
      <c r="O42" s="19"/>
      <c r="P42" s="19"/>
      <c r="Q42" s="19"/>
      <c r="R42" s="19"/>
      <c r="S42" s="16"/>
      <c r="T42" s="16"/>
      <c r="U42" s="16"/>
      <c r="Y42" s="16"/>
    </row>
    <row r="43" spans="1:25" x14ac:dyDescent="0.3">
      <c r="A43" s="79" t="s">
        <v>107</v>
      </c>
      <c r="B43" s="79" t="s">
        <v>39</v>
      </c>
      <c r="C43" s="79" t="s">
        <v>107</v>
      </c>
      <c r="D43" s="79" t="s">
        <v>39</v>
      </c>
      <c r="L43" s="19"/>
      <c r="M43" s="19"/>
      <c r="N43" s="19"/>
      <c r="O43" s="19"/>
      <c r="P43" s="19"/>
      <c r="Q43" s="19"/>
      <c r="R43" s="19"/>
      <c r="S43" s="16"/>
      <c r="T43" s="16"/>
      <c r="U43" s="16"/>
      <c r="Y43" s="16"/>
    </row>
    <row r="44" spans="1:25" x14ac:dyDescent="0.3">
      <c r="A44" s="83">
        <f>IF(E18&lt;=10,E26*((1*0.9)-E23),E26*(1-E23))</f>
        <v>33.714581791147538</v>
      </c>
      <c r="B44" s="83">
        <f>IF(E18&lt;=10,E26*((-1.1*0.9)-E24),E26*((-1.1)-E24))</f>
        <v>-36.524130273743168</v>
      </c>
      <c r="C44" s="76">
        <f>IF(E18&lt;=10,E26*((1*0.9)-E23),E26*(1-E23))</f>
        <v>33.714581791147538</v>
      </c>
      <c r="D44" s="76">
        <f>IF(E18&lt;=10,E26*((-1.4*0.9)-E24),E26*((-1.4)-E24))</f>
        <v>-44.952775721530045</v>
      </c>
      <c r="L44" s="19"/>
      <c r="M44" s="19"/>
      <c r="N44" s="19"/>
      <c r="O44" s="19"/>
      <c r="P44" s="19"/>
      <c r="Q44" s="19"/>
      <c r="R44" s="19"/>
      <c r="S44" s="16"/>
      <c r="T44" s="16"/>
      <c r="U44" s="16"/>
      <c r="Y44" s="16"/>
    </row>
    <row r="45" spans="1:25" x14ac:dyDescent="0.3">
      <c r="A45" s="110" t="str">
        <f>IF(E19&lt;=10,"*10% reduction factor for GCp is used per Figure 6-11A, Note 5",0)</f>
        <v>*10% reduction factor for GCp is used per Figure 6-11A, Note 5</v>
      </c>
      <c r="L45" s="19"/>
      <c r="M45" s="19"/>
      <c r="N45" s="19"/>
      <c r="O45" s="19"/>
      <c r="P45" s="19"/>
      <c r="Q45" s="19"/>
      <c r="R45" s="19"/>
      <c r="S45" s="16"/>
      <c r="T45" s="16"/>
      <c r="U45" s="16"/>
      <c r="Y45" s="16"/>
    </row>
    <row r="46" spans="1:25" x14ac:dyDescent="0.3">
      <c r="L46" s="16"/>
      <c r="M46" s="16"/>
      <c r="N46" s="16"/>
      <c r="O46" s="16"/>
      <c r="P46" s="16"/>
      <c r="Q46" s="16"/>
      <c r="R46" s="16"/>
      <c r="S46" s="16"/>
      <c r="T46" s="16"/>
      <c r="U46" s="16"/>
      <c r="Y46" s="16"/>
    </row>
    <row r="47" spans="1:25" x14ac:dyDescent="0.3">
      <c r="L47" s="16"/>
      <c r="M47" s="16"/>
      <c r="N47" s="16"/>
      <c r="O47" s="16"/>
      <c r="P47" s="16"/>
      <c r="Q47" s="16"/>
      <c r="R47" s="16"/>
      <c r="S47" s="16"/>
      <c r="T47" s="16"/>
      <c r="U47" s="16"/>
      <c r="Y47" s="16"/>
    </row>
    <row r="48" spans="1:25" x14ac:dyDescent="0.3">
      <c r="L48" s="16"/>
      <c r="M48" s="16"/>
      <c r="N48" s="16"/>
      <c r="O48" s="16"/>
      <c r="P48" s="16"/>
      <c r="Q48" s="16"/>
      <c r="R48" s="16"/>
      <c r="S48" s="16"/>
      <c r="T48" s="16"/>
      <c r="U48" s="16"/>
      <c r="Y48" s="16"/>
    </row>
    <row r="49" spans="1:25" x14ac:dyDescent="0.3">
      <c r="L49" s="19"/>
      <c r="M49" s="19"/>
      <c r="N49" s="19"/>
      <c r="O49" s="19"/>
      <c r="P49" s="19"/>
      <c r="Q49" s="19"/>
      <c r="R49" s="19"/>
      <c r="S49" s="16"/>
      <c r="T49" s="16"/>
      <c r="U49" s="16"/>
      <c r="Y49" s="16"/>
    </row>
    <row r="50" spans="1:25" x14ac:dyDescent="0.3">
      <c r="L50" s="19"/>
      <c r="M50" s="19"/>
      <c r="N50" s="19"/>
      <c r="O50" s="19"/>
      <c r="P50" s="19"/>
      <c r="Q50" s="19"/>
      <c r="R50" s="19"/>
      <c r="S50" s="16"/>
      <c r="T50" s="16"/>
      <c r="U50" s="16"/>
      <c r="Y50" s="16"/>
    </row>
    <row r="51" spans="1:25" x14ac:dyDescent="0.3">
      <c r="L51" s="19"/>
      <c r="M51" s="19"/>
      <c r="N51" s="19"/>
      <c r="O51" s="19"/>
      <c r="P51" s="19"/>
      <c r="Q51" s="19"/>
      <c r="R51" s="19"/>
      <c r="S51" s="16"/>
      <c r="T51" s="16"/>
      <c r="U51" s="16"/>
      <c r="Y51" s="16"/>
    </row>
    <row r="52" spans="1:25" ht="15" thickBot="1" x14ac:dyDescent="0.35">
      <c r="L52" s="19"/>
      <c r="M52" s="19"/>
      <c r="N52" s="19"/>
      <c r="O52" s="19"/>
      <c r="P52" s="19"/>
      <c r="Q52" s="19"/>
      <c r="R52" s="19"/>
      <c r="S52" s="16"/>
      <c r="T52" s="16"/>
      <c r="U52" s="16"/>
      <c r="Y52" s="16"/>
    </row>
    <row r="53" spans="1:25" ht="15" customHeight="1" thickBot="1" x14ac:dyDescent="0.35">
      <c r="A53" s="141" t="s">
        <v>211</v>
      </c>
      <c r="B53" s="142"/>
      <c r="C53" s="142"/>
      <c r="D53" s="142"/>
      <c r="E53" s="142"/>
      <c r="F53" s="142"/>
      <c r="G53" s="143"/>
      <c r="I53" s="141" t="s">
        <v>220</v>
      </c>
      <c r="J53" s="142"/>
      <c r="K53" s="142"/>
      <c r="L53" s="142"/>
      <c r="M53" s="142"/>
      <c r="N53" s="142"/>
      <c r="O53" s="143"/>
      <c r="P53" s="19"/>
      <c r="Q53" s="19"/>
      <c r="R53" s="19"/>
      <c r="S53" s="16"/>
      <c r="T53" s="16"/>
      <c r="U53" s="16"/>
      <c r="Y53" s="16"/>
    </row>
    <row r="54" spans="1:25" ht="15" customHeight="1" x14ac:dyDescent="0.3">
      <c r="A54" s="144" t="s">
        <v>209</v>
      </c>
      <c r="B54" s="145"/>
      <c r="C54" s="145"/>
      <c r="D54" s="148" t="s">
        <v>224</v>
      </c>
      <c r="E54" s="148"/>
      <c r="F54" s="148" t="s">
        <v>210</v>
      </c>
      <c r="G54" s="149"/>
      <c r="I54" s="144" t="s">
        <v>219</v>
      </c>
      <c r="J54" s="145"/>
      <c r="K54" s="145"/>
      <c r="L54" s="148" t="s">
        <v>224</v>
      </c>
      <c r="M54" s="148"/>
      <c r="N54" s="148" t="s">
        <v>210</v>
      </c>
      <c r="O54" s="149"/>
      <c r="P54" s="19"/>
      <c r="Q54" s="19"/>
      <c r="R54" s="19"/>
      <c r="S54" s="16"/>
      <c r="T54" s="16"/>
      <c r="U54" s="16"/>
      <c r="Y54" s="16"/>
    </row>
    <row r="55" spans="1:25" ht="15" customHeight="1" x14ac:dyDescent="0.3">
      <c r="A55" s="118"/>
      <c r="B55" s="119"/>
      <c r="C55" s="119"/>
      <c r="D55" s="11" t="s">
        <v>226</v>
      </c>
      <c r="E55" s="39" t="s">
        <v>225</v>
      </c>
      <c r="F55" s="39">
        <v>4</v>
      </c>
      <c r="G55" s="88">
        <v>5</v>
      </c>
      <c r="I55" s="118"/>
      <c r="J55" s="119"/>
      <c r="K55" s="119"/>
      <c r="L55" s="11" t="s">
        <v>226</v>
      </c>
      <c r="M55" s="39" t="s">
        <v>225</v>
      </c>
      <c r="N55" s="39">
        <v>4</v>
      </c>
      <c r="O55" s="88">
        <v>5</v>
      </c>
      <c r="P55" s="19"/>
      <c r="Q55" s="19"/>
      <c r="R55" s="19"/>
      <c r="S55" s="16"/>
      <c r="T55" s="16"/>
      <c r="U55" s="16"/>
      <c r="Y55" s="16"/>
    </row>
    <row r="56" spans="1:25" ht="15" customHeight="1" x14ac:dyDescent="0.3">
      <c r="A56" s="118" t="s">
        <v>198</v>
      </c>
      <c r="B56" s="119"/>
      <c r="C56" s="119"/>
      <c r="D56" s="39">
        <v>56</v>
      </c>
      <c r="E56" s="39">
        <v>-73</v>
      </c>
      <c r="F56" s="39" t="str">
        <f>IF(AND(E56&gt;B44,D56&lt;A44),"NG",IF(E56&gt;B44,"Neg NG",IF(D56&lt;A44,"Pos NG","OK")))</f>
        <v>OK</v>
      </c>
      <c r="G56" s="88" t="str">
        <f>IF(AND(E56&gt;D44,D56&lt;C44),"NG",IF(E56&gt;D44,"Neg NG",IF(D56&lt;C44,"Pos NG","OK")))</f>
        <v>OK</v>
      </c>
      <c r="I56" s="118" t="s">
        <v>214</v>
      </c>
      <c r="J56" s="119"/>
      <c r="K56" s="119"/>
      <c r="L56" s="39">
        <v>45</v>
      </c>
      <c r="M56" s="39">
        <v>-45</v>
      </c>
      <c r="N56" s="39" t="str">
        <f>IF(AND(M56&gt;B44,L56&lt;A44),"NG",IF(M56&gt;B44,"Neg NG",IF(L56&lt;A44,"Pos NG","OK")))</f>
        <v>OK</v>
      </c>
      <c r="O56" s="88" t="str">
        <f>IF(AND(M56&gt;D44,L56&lt;C44),"NG",IF(M56&gt;D44,"Neg NG",IF(L56&lt;C44,"Pos NG","OK")))</f>
        <v>OK</v>
      </c>
      <c r="P56" s="19"/>
      <c r="Q56" s="19"/>
      <c r="R56" s="19"/>
      <c r="S56" s="16"/>
      <c r="T56" s="16"/>
      <c r="U56" s="16"/>
      <c r="Y56" s="16"/>
    </row>
    <row r="57" spans="1:25" ht="30" customHeight="1" x14ac:dyDescent="0.3">
      <c r="A57" s="118" t="s">
        <v>204</v>
      </c>
      <c r="B57" s="119"/>
      <c r="C57" s="119"/>
      <c r="D57" s="39">
        <v>56</v>
      </c>
      <c r="E57" s="39">
        <v>-45</v>
      </c>
      <c r="F57" s="39" t="str">
        <f>IF(AND(E57&gt;B44,D57&lt;A44),"NG",IF(E57&gt;B44,"Neg NG",IF(D57&lt;A44,"Pos NG","OK")))</f>
        <v>OK</v>
      </c>
      <c r="G57" s="88" t="str">
        <f>IF(AND(E57&gt;D44,D57&lt;C44),"NG",IF(E57&gt;D44,"Neg NG",IF(D57&lt;C44,"Pos NG","OK")))</f>
        <v>OK</v>
      </c>
      <c r="I57" s="118" t="s">
        <v>215</v>
      </c>
      <c r="J57" s="119"/>
      <c r="K57" s="119"/>
      <c r="L57" s="39">
        <v>45</v>
      </c>
      <c r="M57" s="39">
        <v>-45</v>
      </c>
      <c r="N57" s="39" t="str">
        <f>IF(AND(M57&gt;B44,L57&lt;A44),"NG",IF(M57&gt;B44,"Neg NG",IF(L57&lt;A44,"Pos NG","OK")))</f>
        <v>OK</v>
      </c>
      <c r="O57" s="88" t="str">
        <f>IF(AND(M57&gt;D44,L57&lt;C44),"NG",IF(M57&gt;D44,"Neg NG",IF(L57&lt;C44,"Pos NG","OK")))</f>
        <v>OK</v>
      </c>
      <c r="P57" s="19"/>
      <c r="Q57" s="19"/>
      <c r="R57" s="19"/>
      <c r="S57" s="16"/>
      <c r="T57" s="16"/>
      <c r="U57" s="16"/>
      <c r="Y57" s="16"/>
    </row>
    <row r="58" spans="1:25" ht="30" customHeight="1" x14ac:dyDescent="0.3">
      <c r="A58" s="118" t="s">
        <v>199</v>
      </c>
      <c r="B58" s="119"/>
      <c r="C58" s="119"/>
      <c r="D58" s="39">
        <v>56</v>
      </c>
      <c r="E58" s="39">
        <v>-61</v>
      </c>
      <c r="F58" s="39" t="str">
        <f>IF(AND(E58&gt;B44,D58&lt;A44),"NG",IF(E58&gt;B44,"Neg NG",IF(D58&lt;A44,"Pos NG","OK")))</f>
        <v>OK</v>
      </c>
      <c r="G58" s="88" t="str">
        <f>IF(AND(E58&gt;D44,D58&lt;C44),"NG",IF(E58&gt;D44,"Neg NG",IF(D58&lt;C44,"Pos NG","OK")))</f>
        <v>OK</v>
      </c>
      <c r="I58" s="118" t="s">
        <v>212</v>
      </c>
      <c r="J58" s="119"/>
      <c r="K58" s="119"/>
      <c r="L58" s="39">
        <v>75</v>
      </c>
      <c r="M58" s="39">
        <v>-75</v>
      </c>
      <c r="N58" s="39" t="str">
        <f>IF(AND(M58&gt;B44,L58&lt;A44),"NG",IF(M58&gt;B44,"Neg NG",IF(L58&lt;A44,"Pos NG","OK")))</f>
        <v>OK</v>
      </c>
      <c r="O58" s="88" t="str">
        <f>IF(AND(M58&gt;D44,L58&lt;C44),"NG",IF(M58&gt;D44,"Neg NG",IF(L58&lt;C44,"Pos NG","OK")))</f>
        <v>OK</v>
      </c>
      <c r="P58" s="19"/>
      <c r="Q58" s="19"/>
      <c r="R58" s="19"/>
      <c r="S58" s="16"/>
      <c r="T58" s="16"/>
      <c r="U58" s="16"/>
      <c r="Y58" s="16"/>
    </row>
    <row r="59" spans="1:25" ht="30" customHeight="1" x14ac:dyDescent="0.3">
      <c r="A59" s="118" t="s">
        <v>200</v>
      </c>
      <c r="B59" s="119"/>
      <c r="C59" s="119"/>
      <c r="D59" s="39">
        <v>41</v>
      </c>
      <c r="E59" s="39">
        <v>-37</v>
      </c>
      <c r="F59" s="39" t="str">
        <f>IF(AND(E59&gt;B44,D59&lt;A44),"NG",IF(E59&gt;B44,"Neg NG",IF(D59&lt;A44,"Pos NG","OK")))</f>
        <v>OK</v>
      </c>
      <c r="G59" s="88" t="str">
        <f>IF(AND(E59&gt;D44,D59&lt;C44),"NG",IF(E59&gt;D44,"Neg NG",IF(D59&lt;C44,"Pos NG","OK")))</f>
        <v>Neg NG</v>
      </c>
      <c r="I59" s="118" t="s">
        <v>213</v>
      </c>
      <c r="J59" s="119"/>
      <c r="K59" s="119"/>
      <c r="L59" s="39">
        <v>90</v>
      </c>
      <c r="M59" s="39">
        <v>-90</v>
      </c>
      <c r="N59" s="39" t="str">
        <f>IF(AND(M59&gt;B44,L59&lt;A44),"NG",IF(M59&gt;B44,"Neg NG",IF(L59&lt;A44,"Pos NG","OK")))</f>
        <v>OK</v>
      </c>
      <c r="O59" s="88" t="str">
        <f>IF(AND(M59&gt;D44,L59&lt;C44),"NG",IF(M59&gt;D44,"Neg NG",IF(L59&lt;C44,"Pos NG","OK")))</f>
        <v>OK</v>
      </c>
      <c r="P59" s="19"/>
      <c r="Q59" s="19"/>
      <c r="R59" s="19"/>
      <c r="S59" s="16"/>
      <c r="T59" s="16"/>
      <c r="U59" s="16"/>
      <c r="Y59" s="16"/>
    </row>
    <row r="60" spans="1:25" ht="30" customHeight="1" x14ac:dyDescent="0.3">
      <c r="A60" s="118" t="s">
        <v>201</v>
      </c>
      <c r="B60" s="119"/>
      <c r="C60" s="119"/>
      <c r="D60" s="39">
        <v>70.180000000000007</v>
      </c>
      <c r="E60" s="39">
        <v>-70.180000000000007</v>
      </c>
      <c r="F60" s="39" t="str">
        <f>IF(AND(E60&gt;B44,D60&lt;A44),"NG",IF(E60&gt;B44,"Neg NG",IF(D60&lt;A44,"Pos NG","OK")))</f>
        <v>OK</v>
      </c>
      <c r="G60" s="88" t="str">
        <f>IF(AND(E60&gt;D44,D60&lt;C44),"NG",IF(E60&gt;D44,"Neg NG",IF(D60&lt;C44,"Pos NG","OK")))</f>
        <v>OK</v>
      </c>
      <c r="I60" s="118" t="s">
        <v>236</v>
      </c>
      <c r="J60" s="119"/>
      <c r="K60" s="119"/>
      <c r="L60" s="39">
        <v>52.5</v>
      </c>
      <c r="M60" s="39">
        <v>-52.5</v>
      </c>
      <c r="N60" s="39" t="str">
        <f>IF(AND(M60&gt;B44,L60&lt;A44),"NG",IF(M60&gt;B44,"Neg NG",IF(L60&lt;A44,"Pos NG","OK")))</f>
        <v>OK</v>
      </c>
      <c r="O60" s="88" t="str">
        <f>IF(AND(M60&gt;D44,L60&lt;C44),"NG",IF(M60&gt;D44,"Neg NG",IF(L60&lt;C44,"Pos NG","OK")))</f>
        <v>OK</v>
      </c>
      <c r="P60" s="19"/>
      <c r="Q60" s="19"/>
      <c r="R60" s="19"/>
      <c r="S60" s="16"/>
      <c r="T60" s="16"/>
      <c r="U60" s="16"/>
      <c r="Y60" s="16"/>
    </row>
    <row r="61" spans="1:25" ht="30" customHeight="1" x14ac:dyDescent="0.3">
      <c r="A61" s="118" t="s">
        <v>202</v>
      </c>
      <c r="B61" s="119"/>
      <c r="C61" s="119"/>
      <c r="D61" s="39">
        <v>50</v>
      </c>
      <c r="E61" s="39">
        <v>-50</v>
      </c>
      <c r="F61" s="39" t="str">
        <f>IF(AND(E61&gt;B44,D61&lt;A44),"NG",IF(E61&gt;B44,"Neg NG",IF(D61&lt;A44,"Pos NG","OK")))</f>
        <v>OK</v>
      </c>
      <c r="G61" s="88" t="str">
        <f>IF(AND(E61&gt;D44,D61&lt;C44),"NG",IF(E61&gt;D44,"Neg NG",IF(D61&lt;C44,"Pos NG","OK")))</f>
        <v>OK</v>
      </c>
      <c r="I61" s="118" t="s">
        <v>216</v>
      </c>
      <c r="J61" s="119"/>
      <c r="K61" s="119"/>
      <c r="L61" s="39">
        <v>90</v>
      </c>
      <c r="M61" s="39">
        <v>-90</v>
      </c>
      <c r="N61" s="39" t="str">
        <f>IF(AND(M61&gt;B44,L61&lt;A44),"NG",IF(M61&gt;B44,"Neg NG",IF(L61&lt;A44,"Pos NG","OK")))</f>
        <v>OK</v>
      </c>
      <c r="O61" s="88" t="str">
        <f>IF(AND(M61&gt;D44,L61&lt;C44),"NG",IF(M61&gt;D44,"Neg NG",IF(L61&lt;C44,"Pos NG","OK")))</f>
        <v>OK</v>
      </c>
      <c r="P61" s="19"/>
      <c r="Q61" s="19"/>
      <c r="R61" s="19"/>
      <c r="S61" s="16"/>
      <c r="T61" s="16"/>
      <c r="U61" s="16"/>
      <c r="Y61" s="16"/>
    </row>
    <row r="62" spans="1:25" ht="30" customHeight="1" x14ac:dyDescent="0.3">
      <c r="A62" s="118" t="s">
        <v>203</v>
      </c>
      <c r="B62" s="119"/>
      <c r="C62" s="119"/>
      <c r="D62" s="39">
        <v>75</v>
      </c>
      <c r="E62" s="39">
        <v>-75</v>
      </c>
      <c r="F62" s="39" t="str">
        <f>IF(AND(E62&gt;B44,D62&lt;A44),"NG",IF(E62&gt;B44,"Neg NG",IF(D62&lt;A44,"Pos NG","OK")))</f>
        <v>OK</v>
      </c>
      <c r="G62" s="88" t="str">
        <f>IF(AND(E62&gt;D44,D62&lt;C44),"NG",IF(E62&gt;D44,"Neg NG",IF(D62&lt;C44,"Pos NG","OK")))</f>
        <v>OK</v>
      </c>
      <c r="I62" s="118" t="s">
        <v>217</v>
      </c>
      <c r="J62" s="119"/>
      <c r="K62" s="119"/>
      <c r="L62" s="39">
        <v>52.5</v>
      </c>
      <c r="M62" s="39">
        <v>-52.5</v>
      </c>
      <c r="N62" s="39" t="str">
        <f>IF(AND(M62&gt;B44,L62&lt;A44),"NG",IF(M62&gt;B44,"Neg NG",IF(L62&lt;A44,"Pos NG","OK")))</f>
        <v>OK</v>
      </c>
      <c r="O62" s="88" t="str">
        <f>IF(AND(M62&gt;D44,L62&lt;C44),"NG",IF(M62&gt;D44,"Neg NG",IF(L62&lt;C44,"Pos NG","OK")))</f>
        <v>OK</v>
      </c>
      <c r="P62" s="19"/>
      <c r="Q62" s="19"/>
      <c r="R62" s="19"/>
      <c r="S62" s="16"/>
      <c r="T62" s="16"/>
      <c r="U62" s="16"/>
      <c r="Y62" s="16"/>
    </row>
    <row r="63" spans="1:25" ht="30" customHeight="1" x14ac:dyDescent="0.3">
      <c r="A63" s="118" t="s">
        <v>205</v>
      </c>
      <c r="B63" s="119"/>
      <c r="C63" s="119"/>
      <c r="D63" s="39">
        <v>50</v>
      </c>
      <c r="E63" s="39">
        <v>-50</v>
      </c>
      <c r="F63" s="39" t="str">
        <f>IF(AND(E63&gt;B44,D63&lt;A44),"NG",IF(E63&gt;B44,"Neg NG",IF(D63&lt;A44,"Pos NG","OK")))</f>
        <v>OK</v>
      </c>
      <c r="G63" s="88" t="str">
        <f>IF(AND(E63&gt;D44,D63&lt;C44),"NG",IF(E63&gt;D44,"Neg NG",IF(D63&lt;C44,"Pos NG","OK")))</f>
        <v>OK</v>
      </c>
      <c r="I63" s="118" t="s">
        <v>218</v>
      </c>
      <c r="J63" s="119"/>
      <c r="K63" s="119"/>
      <c r="L63" s="39">
        <v>50</v>
      </c>
      <c r="M63" s="39">
        <v>-66</v>
      </c>
      <c r="N63" s="39" t="str">
        <f>IF(AND(M63&gt;B44,L63&lt;A44),"NG",IF(M63&gt;B44,"Neg NG",IF(L63&lt;A44,"Pos NG","OK")))</f>
        <v>OK</v>
      </c>
      <c r="O63" s="88" t="str">
        <f>IF(AND(M63&gt;D44,L63&lt;C44),"NG",IF(M63&gt;D44,"Neg NG",IF(L63&lt;C44,"Pos NG","OK")))</f>
        <v>OK</v>
      </c>
      <c r="P63" s="19"/>
      <c r="Q63" s="19"/>
      <c r="R63" s="19"/>
      <c r="S63" s="16"/>
      <c r="T63" s="16"/>
      <c r="U63" s="16"/>
      <c r="Y63" s="16"/>
    </row>
    <row r="64" spans="1:25" ht="30" customHeight="1" x14ac:dyDescent="0.3">
      <c r="A64" s="118" t="s">
        <v>206</v>
      </c>
      <c r="B64" s="119"/>
      <c r="C64" s="119"/>
      <c r="D64" s="39">
        <v>50</v>
      </c>
      <c r="E64" s="39">
        <v>-50</v>
      </c>
      <c r="F64" s="39" t="str">
        <f>IF(AND(E64&gt;B44,D64&lt;A44),"NG",IF(E64&gt;B44,"Neg NG",IF(D64&lt;A44,"Pos NG","OK")))</f>
        <v>OK</v>
      </c>
      <c r="G64" s="88" t="str">
        <f>IF(AND(E64&gt;D44,D64&lt;C44),"NG",IF(E64&gt;D44,"Neg NG",IF(D64&lt;C44,"Pos NG","OK")))</f>
        <v>OK</v>
      </c>
      <c r="I64" s="118" t="s">
        <v>227</v>
      </c>
      <c r="J64" s="119"/>
      <c r="K64" s="119"/>
      <c r="L64" s="39">
        <v>25</v>
      </c>
      <c r="M64" s="39">
        <v>-25</v>
      </c>
      <c r="N64" s="39" t="str">
        <f>IF(AND(M64&gt;B44,L64&lt;A44),"NG",IF(M64&gt;B44,"Neg NG",IF(L64&lt;A44,"Pos NG","OK")))</f>
        <v>NG</v>
      </c>
      <c r="O64" s="88" t="str">
        <f>IF(AND(M64&gt;D44,L64&lt;C44),"NG",IF(M64&gt;D44,"Neg NG",IF(L64&lt;C44,"Pos NG","OK")))</f>
        <v>NG</v>
      </c>
      <c r="P64" s="19"/>
      <c r="Q64" s="19"/>
      <c r="R64" s="19"/>
      <c r="S64" s="16"/>
      <c r="T64" s="16"/>
      <c r="U64" s="16"/>
      <c r="Y64" s="16"/>
    </row>
    <row r="65" spans="1:25" ht="30" customHeight="1" x14ac:dyDescent="0.3">
      <c r="A65" s="118" t="s">
        <v>221</v>
      </c>
      <c r="B65" s="119"/>
      <c r="C65" s="119"/>
      <c r="D65" s="39">
        <v>70</v>
      </c>
      <c r="E65" s="39">
        <v>-70</v>
      </c>
      <c r="F65" s="39" t="str">
        <f>IF(AND(E65&gt;B44,D65&lt;A44),"NG",IF(E65&gt;B44,"Neg NG",IF(D65&lt;A44,"Pos NG","OK")))</f>
        <v>OK</v>
      </c>
      <c r="G65" s="88" t="str">
        <f>IF(AND(E56&gt;D44,D56&lt;C44),"NG",IF(E56&gt;D44,"Neg NG",IF(D56&lt;C44,"Pos NG","OK")))</f>
        <v>OK</v>
      </c>
      <c r="I65" s="118" t="s">
        <v>228</v>
      </c>
      <c r="J65" s="119"/>
      <c r="K65" s="119"/>
      <c r="L65" s="39">
        <v>45</v>
      </c>
      <c r="M65" s="39">
        <v>-45</v>
      </c>
      <c r="N65" s="39" t="str">
        <f>IF(AND(M65&gt;B44,L65&lt;A44),"NG",IF(M65&gt;B44,"Neg NG",IF(L65&lt;A44,"Pos NG","OK")))</f>
        <v>OK</v>
      </c>
      <c r="O65" s="88" t="str">
        <f>IF(AND(M65&gt;D44,L65&lt;C44),"NG",IF(M65&gt;D44,"Neg NG",IF(L65&lt;C44,"Pos NG","OK")))</f>
        <v>OK</v>
      </c>
      <c r="Q65" s="19"/>
      <c r="R65" s="19"/>
      <c r="S65" s="16"/>
      <c r="T65" s="16"/>
      <c r="U65" s="16"/>
      <c r="Y65" s="16"/>
    </row>
    <row r="66" spans="1:25" ht="30" customHeight="1" x14ac:dyDescent="0.3">
      <c r="A66" s="123" t="s">
        <v>222</v>
      </c>
      <c r="B66" s="124"/>
      <c r="C66" s="125"/>
      <c r="D66" s="39">
        <v>60</v>
      </c>
      <c r="E66" s="39">
        <v>-60</v>
      </c>
      <c r="F66" s="39" t="str">
        <f>IF(AND(E66&gt;B44,D66&lt;A44),"NG",IF(E66&gt;B44,"Neg NG",IF(D66&lt;A44,"Pos NG","OK")))</f>
        <v>OK</v>
      </c>
      <c r="G66" s="88" t="str">
        <f>IF(AND(E66&gt;D44,D66&lt;C44),"NG",IF(E66&gt;D44,"Neg NG",IF(D66&lt;C44,"Pos NG","OK")))</f>
        <v>OK</v>
      </c>
      <c r="I66" s="118" t="s">
        <v>229</v>
      </c>
      <c r="J66" s="119"/>
      <c r="K66" s="119"/>
      <c r="L66" s="39">
        <v>60</v>
      </c>
      <c r="M66" s="39">
        <v>-60</v>
      </c>
      <c r="N66" s="39" t="str">
        <f>IF(AND(M66&gt;B44,L66&lt;A44),"NG",IF(M66&gt;B44,"Neg NG",IF(L66&lt;A44,"Pos NG","OK")))</f>
        <v>OK</v>
      </c>
      <c r="O66" s="88" t="str">
        <f>IF(AND(M66&gt;D44,L66&lt;C44),"NG",IF(M66&gt;D44,"Neg NG",IF(L66&lt;C44,"Pos NG","OK")))</f>
        <v>OK</v>
      </c>
      <c r="Q66" s="19"/>
      <c r="R66" s="19"/>
      <c r="S66" s="16"/>
      <c r="T66" s="16"/>
      <c r="U66" s="16"/>
      <c r="Y66" s="16"/>
    </row>
    <row r="67" spans="1:25" ht="30" customHeight="1" x14ac:dyDescent="0.3">
      <c r="A67" s="123" t="s">
        <v>223</v>
      </c>
      <c r="B67" s="124"/>
      <c r="C67" s="125"/>
      <c r="D67" s="39">
        <v>60</v>
      </c>
      <c r="E67" s="39">
        <v>-60</v>
      </c>
      <c r="F67" s="39" t="str">
        <f>IF(AND(E67&gt;B44,D67&lt;A44),"NG",IF(E67&gt;B44,"Neg NG",IF(D67&lt;A44,"Pos NG","OK")))</f>
        <v>OK</v>
      </c>
      <c r="G67" s="88" t="str">
        <f>IF(AND(E67&gt;D44,D67&lt;C44),"NG",IF(E67&gt;D44,"Neg NG",IF(D67&lt;C44,"Pos NG","OK")))</f>
        <v>OK</v>
      </c>
      <c r="I67" s="118" t="s">
        <v>230</v>
      </c>
      <c r="J67" s="119"/>
      <c r="K67" s="119"/>
      <c r="L67" s="39">
        <v>50</v>
      </c>
      <c r="M67" s="39">
        <v>-50</v>
      </c>
      <c r="N67" s="39" t="str">
        <f>IF(AND(M67&gt;B44,L67&lt;A44),"NG",IF(M67&gt;B44,"Neg NG",IF(L67&lt;A44,"Pos NG","OK")))</f>
        <v>OK</v>
      </c>
      <c r="O67" s="88" t="str">
        <f>IF(AND(M67&gt;D44,L67&lt;C44),"NG",IF(M67&gt;D44,"Neg NG",IF(L67&lt;C44,"Pos NG","OK")))</f>
        <v>OK</v>
      </c>
      <c r="Q67" s="19"/>
      <c r="R67" s="19"/>
      <c r="S67" s="16"/>
      <c r="T67" s="16"/>
      <c r="U67" s="16"/>
      <c r="Y67" s="16"/>
    </row>
    <row r="68" spans="1:25" ht="30" customHeight="1" x14ac:dyDescent="0.3">
      <c r="A68" s="118" t="s">
        <v>207</v>
      </c>
      <c r="B68" s="119"/>
      <c r="C68" s="119"/>
      <c r="D68" s="39">
        <v>80</v>
      </c>
      <c r="E68" s="39">
        <v>-80</v>
      </c>
      <c r="F68" s="39" t="str">
        <f>IF(AND(E68&gt;B44,D68&lt;A44),"NG",IF(E68&gt;B44,"Neg NG",IF(D68&lt;A44,"Pos NG","OK")))</f>
        <v>OK</v>
      </c>
      <c r="G68" s="88" t="str">
        <f>IF(AND(E68&gt;D44,D68&lt;C44),"NG",IF(E68&gt;D44,"Neg NG",IF(D68&lt;C44,"Pos NG","OK")))</f>
        <v>OK</v>
      </c>
      <c r="I68" s="118" t="s">
        <v>231</v>
      </c>
      <c r="J68" s="119"/>
      <c r="K68" s="119"/>
      <c r="L68" s="39">
        <v>30</v>
      </c>
      <c r="M68" s="39">
        <v>-35</v>
      </c>
      <c r="N68" s="39" t="str">
        <f>IF(AND(M68&gt;B44,L68&lt;A44),"NG",IF(M68&gt;B44,"Neg NG",IF(L68&lt;A44,"Pos NG","OK")))</f>
        <v>NG</v>
      </c>
      <c r="O68" s="88" t="str">
        <f>IF(AND(M68&gt;D44,L68&lt;C44),"NG",IF(M68&gt;D44,"Neg NG",IF(L68&lt;C44,"Pos NG","OK")))</f>
        <v>NG</v>
      </c>
      <c r="P68" s="19"/>
      <c r="Q68" s="19"/>
      <c r="R68" s="19"/>
      <c r="S68" s="16"/>
      <c r="T68" s="16"/>
      <c r="U68" s="16"/>
      <c r="Y68" s="16"/>
    </row>
    <row r="69" spans="1:25" ht="45" customHeight="1" thickBot="1" x14ac:dyDescent="0.35">
      <c r="A69" s="126" t="s">
        <v>208</v>
      </c>
      <c r="B69" s="127"/>
      <c r="C69" s="127"/>
      <c r="D69" s="109">
        <v>150</v>
      </c>
      <c r="E69" s="109">
        <v>-150</v>
      </c>
      <c r="F69" s="109" t="str">
        <f>IF(AND(E69&gt;B44,D69&lt;A44),"NG",IF(E69&gt;B44,"Neg NG",IF(D69&lt;A44,"Pos NG","OK")))</f>
        <v>OK</v>
      </c>
      <c r="G69" s="90" t="str">
        <f>IF(AND(E69&gt;D44,D69&lt;C44),"NG",IF(E69&gt;D44,"Neg NG",IF(D69&lt;C44,"Pos NG","OK")))</f>
        <v>OK</v>
      </c>
      <c r="I69" s="118" t="s">
        <v>232</v>
      </c>
      <c r="J69" s="119"/>
      <c r="K69" s="119"/>
      <c r="L69" s="39">
        <v>50</v>
      </c>
      <c r="M69" s="39">
        <v>-50</v>
      </c>
      <c r="N69" s="39" t="str">
        <f>IF(AND(M69&gt;B44,L69&lt;A44),"NG",IF(M69&gt;B44,"Neg NG",IF(L69&lt;A44,"Pos NG","OK")))</f>
        <v>OK</v>
      </c>
      <c r="O69" s="88" t="str">
        <f>IF(AND(M69&gt;D44,L69&lt;C44),"NG",IF(M69&gt;D44,"Neg NG",IF(L69&lt;C44,"Pos NG","OK")))</f>
        <v>OK</v>
      </c>
      <c r="P69" s="16"/>
      <c r="Q69" s="16"/>
      <c r="R69" s="16"/>
      <c r="S69" s="16"/>
      <c r="T69" s="16"/>
      <c r="U69" s="16"/>
      <c r="Y69" s="16"/>
    </row>
    <row r="70" spans="1:25" ht="28.5" customHeight="1" thickBot="1" x14ac:dyDescent="0.35">
      <c r="I70" s="180" t="s">
        <v>233</v>
      </c>
      <c r="J70" s="181"/>
      <c r="K70" s="181"/>
      <c r="L70" s="111">
        <v>60</v>
      </c>
      <c r="M70" s="111">
        <v>-60</v>
      </c>
      <c r="N70" s="111" t="str">
        <f>IF(AND(M70&gt;B44,L70&lt;A44),"NG",IF(M70&gt;B44,"Neg NG",IF(L70&lt;A44,"Pos NG","OK")))</f>
        <v>OK</v>
      </c>
      <c r="O70" s="112" t="str">
        <f>IF(AND(M70&gt;D44,L70&lt;C44),"NG",IF(M70&gt;D44,"Neg NG",IF(L70&lt;C44,"Pos NG","OK")))</f>
        <v>OK</v>
      </c>
      <c r="P70" s="16"/>
      <c r="Q70" s="16"/>
      <c r="R70" s="16"/>
      <c r="S70" s="16"/>
      <c r="T70" s="16"/>
      <c r="U70" s="16"/>
      <c r="Y70" s="16"/>
    </row>
    <row r="71" spans="1:25" x14ac:dyDescent="0.3"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Y71" s="16"/>
    </row>
    <row r="72" spans="1:25" x14ac:dyDescent="0.3"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Y72" s="16"/>
    </row>
    <row r="73" spans="1:25" x14ac:dyDescent="0.3"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Y73" s="16"/>
    </row>
  </sheetData>
  <mergeCells count="63">
    <mergeCell ref="A69:C69"/>
    <mergeCell ref="A66:C66"/>
    <mergeCell ref="A67:C67"/>
    <mergeCell ref="A64:C64"/>
    <mergeCell ref="A65:C65"/>
    <mergeCell ref="A68:C68"/>
    <mergeCell ref="A61:C61"/>
    <mergeCell ref="A62:C62"/>
    <mergeCell ref="A63:C63"/>
    <mergeCell ref="I61:K61"/>
    <mergeCell ref="I62:K62"/>
    <mergeCell ref="I63:K63"/>
    <mergeCell ref="A60:C60"/>
    <mergeCell ref="I58:K58"/>
    <mergeCell ref="I59:K59"/>
    <mergeCell ref="I60:K60"/>
    <mergeCell ref="A56:C56"/>
    <mergeCell ref="A57:C57"/>
    <mergeCell ref="L54:M54"/>
    <mergeCell ref="I56:K56"/>
    <mergeCell ref="I57:K57"/>
    <mergeCell ref="A58:C58"/>
    <mergeCell ref="A59:C59"/>
    <mergeCell ref="A41:D41"/>
    <mergeCell ref="A42:B42"/>
    <mergeCell ref="C42:D42"/>
    <mergeCell ref="A53:G53"/>
    <mergeCell ref="A54:C55"/>
    <mergeCell ref="D54:E54"/>
    <mergeCell ref="F54:G54"/>
    <mergeCell ref="S37:U37"/>
    <mergeCell ref="V16:W16"/>
    <mergeCell ref="P16:Q16"/>
    <mergeCell ref="A28:I28"/>
    <mergeCell ref="A29:A35"/>
    <mergeCell ref="B29:C29"/>
    <mergeCell ref="D29:E29"/>
    <mergeCell ref="F29:G29"/>
    <mergeCell ref="B33:C33"/>
    <mergeCell ref="D33:E33"/>
    <mergeCell ref="Z3:AA3"/>
    <mergeCell ref="N12:O12"/>
    <mergeCell ref="P12:Q12"/>
    <mergeCell ref="V12:W12"/>
    <mergeCell ref="T12:U12"/>
    <mergeCell ref="R12:S12"/>
    <mergeCell ref="N11:W11"/>
    <mergeCell ref="N2:O2"/>
    <mergeCell ref="N5:O5"/>
    <mergeCell ref="N7:O7"/>
    <mergeCell ref="N8:O8"/>
    <mergeCell ref="I70:K70"/>
    <mergeCell ref="I69:K69"/>
    <mergeCell ref="I64:K64"/>
    <mergeCell ref="I65:K65"/>
    <mergeCell ref="I66:K66"/>
    <mergeCell ref="I67:K67"/>
    <mergeCell ref="I68:K68"/>
    <mergeCell ref="K37:M37"/>
    <mergeCell ref="O37:Q37"/>
    <mergeCell ref="I53:O53"/>
    <mergeCell ref="I54:K55"/>
    <mergeCell ref="N54:O54"/>
  </mergeCells>
  <conditionalFormatting sqref="F56:G69">
    <cfRule type="containsText" dxfId="1" priority="9" operator="containsText" text="NG">
      <formula>NOT(ISERROR(SEARCH("NG",F56)))</formula>
    </cfRule>
  </conditionalFormatting>
  <conditionalFormatting sqref="N56:O70">
    <cfRule type="containsText" dxfId="0" priority="1" operator="containsText" text="NG">
      <formula>NOT(ISERROR(SEARCH("NG",N56)))</formula>
    </cfRule>
  </conditionalFormatting>
  <dataValidations count="5">
    <dataValidation type="list" allowBlank="1" showInputMessage="1" showErrorMessage="1" sqref="E14" xr:uid="{00000000-0002-0000-0500-000000000000}">
      <formula1>"B,C,D"</formula1>
    </dataValidation>
    <dataValidation type="list" allowBlank="1" showInputMessage="1" showErrorMessage="1" sqref="N5:O5" xr:uid="{9780E65E-221C-41E3-8075-386C8DD6858A}">
      <formula1>"Transverse / Complex, Gable / Mono"</formula1>
    </dataValidation>
    <dataValidation type="whole" allowBlank="1" showInputMessage="1" showErrorMessage="1" sqref="E15" xr:uid="{2CC1BA92-CCA3-4910-89B7-F4F135A809BD}">
      <formula1>0</formula1>
      <formula2>57</formula2>
    </dataValidation>
    <dataValidation type="whole" allowBlank="1" showInputMessage="1" showErrorMessage="1" sqref="E19" xr:uid="{9F6B1937-9BD0-48DD-BCBA-4C84851A98D4}">
      <formula1>0</formula1>
      <formula2>3</formula2>
    </dataValidation>
    <dataValidation type="list" allowBlank="1" showInputMessage="1" showErrorMessage="1" sqref="F23" xr:uid="{347B500D-D38B-428A-994A-11FC14E2F84E}">
      <formula1>"(Enclosed), (Partially Enclosed), (Open)"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3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10.33203125" customWidth="1"/>
  </cols>
  <sheetData>
    <row r="1" spans="1:17" x14ac:dyDescent="0.3">
      <c r="A1" s="32"/>
      <c r="B1" s="11" t="s">
        <v>28</v>
      </c>
      <c r="C1" s="11" t="s">
        <v>29</v>
      </c>
      <c r="D1" s="11">
        <v>95</v>
      </c>
      <c r="E1" s="11">
        <v>100</v>
      </c>
      <c r="F1" s="11">
        <v>105</v>
      </c>
      <c r="G1" s="11">
        <v>110</v>
      </c>
      <c r="H1" s="11">
        <v>115</v>
      </c>
      <c r="I1" s="11">
        <v>120</v>
      </c>
      <c r="J1" s="11">
        <v>130</v>
      </c>
      <c r="K1" s="11">
        <v>140</v>
      </c>
      <c r="L1" s="11">
        <v>150</v>
      </c>
      <c r="M1" s="11">
        <v>160</v>
      </c>
      <c r="N1" s="11">
        <v>170</v>
      </c>
      <c r="O1" s="11">
        <v>180</v>
      </c>
      <c r="P1" s="11">
        <v>190</v>
      </c>
      <c r="Q1" s="11">
        <v>200</v>
      </c>
    </row>
    <row r="2" spans="1:17" x14ac:dyDescent="0.3">
      <c r="A2" s="189" t="s">
        <v>6</v>
      </c>
      <c r="B2" s="32">
        <v>1</v>
      </c>
      <c r="C2" s="36">
        <v>4</v>
      </c>
      <c r="D2" s="32">
        <v>16.2</v>
      </c>
      <c r="E2" s="32">
        <v>18</v>
      </c>
      <c r="F2" s="32">
        <v>19.8</v>
      </c>
      <c r="G2" s="32">
        <v>21.8</v>
      </c>
      <c r="H2" s="32">
        <v>23.8</v>
      </c>
      <c r="I2" s="32">
        <v>25.9</v>
      </c>
      <c r="J2" s="32">
        <v>30.4</v>
      </c>
      <c r="K2" s="32">
        <v>35.299999999999997</v>
      </c>
      <c r="L2" s="32">
        <v>40.5</v>
      </c>
      <c r="M2" s="32">
        <v>46.1</v>
      </c>
      <c r="N2" s="32">
        <v>52</v>
      </c>
      <c r="O2" s="32">
        <v>58.3</v>
      </c>
      <c r="P2" s="32">
        <v>64.900000000000006</v>
      </c>
      <c r="Q2" s="32">
        <v>72</v>
      </c>
    </row>
    <row r="3" spans="1:17" x14ac:dyDescent="0.3">
      <c r="A3" s="189"/>
      <c r="B3" s="32">
        <v>20</v>
      </c>
      <c r="C3" s="36">
        <v>4</v>
      </c>
      <c r="D3" s="32">
        <v>15.5</v>
      </c>
      <c r="E3" s="32">
        <v>17.2</v>
      </c>
      <c r="F3" s="32">
        <v>18.899999999999999</v>
      </c>
      <c r="G3" s="32">
        <v>20.8</v>
      </c>
      <c r="H3" s="32">
        <v>22.7</v>
      </c>
      <c r="I3" s="32">
        <v>24.7</v>
      </c>
      <c r="J3" s="32">
        <v>29</v>
      </c>
      <c r="K3" s="32">
        <v>33.700000000000003</v>
      </c>
      <c r="L3" s="32">
        <v>38.700000000000003</v>
      </c>
      <c r="M3" s="32">
        <v>44</v>
      </c>
      <c r="N3" s="32">
        <v>49.6</v>
      </c>
      <c r="O3" s="32">
        <v>55.7</v>
      </c>
      <c r="P3" s="32">
        <v>62</v>
      </c>
      <c r="Q3" s="32">
        <v>68.7</v>
      </c>
    </row>
    <row r="4" spans="1:17" x14ac:dyDescent="0.3">
      <c r="A4" s="189"/>
      <c r="B4" s="32">
        <v>50</v>
      </c>
      <c r="C4" s="36">
        <v>4</v>
      </c>
      <c r="D4" s="32">
        <v>14.5</v>
      </c>
      <c r="E4" s="32">
        <v>16.100000000000001</v>
      </c>
      <c r="F4" s="32">
        <v>17.8</v>
      </c>
      <c r="G4" s="32">
        <v>19.5</v>
      </c>
      <c r="H4" s="32">
        <v>21.3</v>
      </c>
      <c r="I4" s="32">
        <v>23.2</v>
      </c>
      <c r="J4" s="32">
        <v>27.2</v>
      </c>
      <c r="K4" s="32">
        <v>31.6</v>
      </c>
      <c r="L4" s="32">
        <v>36.200000000000003</v>
      </c>
      <c r="M4" s="32">
        <v>41.2</v>
      </c>
      <c r="N4" s="32">
        <v>46.6</v>
      </c>
      <c r="O4" s="32">
        <v>52.2</v>
      </c>
      <c r="P4" s="32">
        <v>58.1</v>
      </c>
      <c r="Q4" s="32">
        <v>64.400000000000006</v>
      </c>
    </row>
    <row r="5" spans="1:17" x14ac:dyDescent="0.3">
      <c r="A5" s="189"/>
      <c r="B5" s="32">
        <v>100</v>
      </c>
      <c r="C5" s="36">
        <v>4</v>
      </c>
      <c r="D5" s="32">
        <v>13.8</v>
      </c>
      <c r="E5" s="32">
        <v>15.3</v>
      </c>
      <c r="F5" s="32">
        <v>16.899999999999999</v>
      </c>
      <c r="G5" s="32">
        <v>18.5</v>
      </c>
      <c r="H5" s="32">
        <v>20.2</v>
      </c>
      <c r="I5" s="32">
        <v>22</v>
      </c>
      <c r="J5" s="32">
        <v>25.9</v>
      </c>
      <c r="K5" s="32">
        <v>30</v>
      </c>
      <c r="L5" s="32">
        <v>34.4</v>
      </c>
      <c r="M5" s="32">
        <v>39.200000000000003</v>
      </c>
      <c r="N5" s="32">
        <v>44.2</v>
      </c>
      <c r="O5" s="32">
        <v>49.6</v>
      </c>
      <c r="P5" s="32">
        <v>55.2</v>
      </c>
      <c r="Q5" s="32">
        <v>61.2</v>
      </c>
    </row>
    <row r="6" spans="1:17" x14ac:dyDescent="0.3">
      <c r="A6" s="189"/>
      <c r="B6" s="32">
        <v>1</v>
      </c>
      <c r="C6" s="36">
        <v>5</v>
      </c>
      <c r="D6" s="32">
        <v>16.2</v>
      </c>
      <c r="E6" s="32">
        <v>18</v>
      </c>
      <c r="F6" s="32">
        <v>19.8</v>
      </c>
      <c r="G6" s="32">
        <v>21.8</v>
      </c>
      <c r="H6" s="32">
        <v>23.8</v>
      </c>
      <c r="I6" s="32">
        <v>25.9</v>
      </c>
      <c r="J6" s="32">
        <v>30.4</v>
      </c>
      <c r="K6" s="32">
        <v>35.299999999999997</v>
      </c>
      <c r="L6" s="32">
        <v>40.5</v>
      </c>
      <c r="M6" s="32">
        <v>46.1</v>
      </c>
      <c r="N6" s="32">
        <v>52</v>
      </c>
      <c r="O6" s="32">
        <v>58.3</v>
      </c>
      <c r="P6" s="32">
        <v>64.900000000000006</v>
      </c>
      <c r="Q6" s="32">
        <v>72</v>
      </c>
    </row>
    <row r="7" spans="1:17" x14ac:dyDescent="0.3">
      <c r="A7" s="189"/>
      <c r="B7" s="32">
        <v>20</v>
      </c>
      <c r="C7" s="36">
        <v>5</v>
      </c>
      <c r="D7" s="32">
        <v>15.5</v>
      </c>
      <c r="E7" s="32">
        <v>17.2</v>
      </c>
      <c r="F7" s="32">
        <v>18.899999999999999</v>
      </c>
      <c r="G7" s="32">
        <v>20.8</v>
      </c>
      <c r="H7" s="32">
        <v>22.7</v>
      </c>
      <c r="I7" s="32">
        <v>24.7</v>
      </c>
      <c r="J7" s="32">
        <v>29</v>
      </c>
      <c r="K7" s="32">
        <v>33.700000000000003</v>
      </c>
      <c r="L7" s="32">
        <v>38.700000000000003</v>
      </c>
      <c r="M7" s="32">
        <v>44</v>
      </c>
      <c r="N7" s="32">
        <v>49.6</v>
      </c>
      <c r="O7" s="32">
        <v>55.7</v>
      </c>
      <c r="P7" s="32">
        <v>62</v>
      </c>
      <c r="Q7" s="32">
        <v>68.7</v>
      </c>
    </row>
    <row r="8" spans="1:17" x14ac:dyDescent="0.3">
      <c r="A8" s="189"/>
      <c r="B8" s="32">
        <v>50</v>
      </c>
      <c r="C8" s="36">
        <v>5</v>
      </c>
      <c r="D8" s="32">
        <v>14.5</v>
      </c>
      <c r="E8" s="32">
        <v>16.100000000000001</v>
      </c>
      <c r="F8" s="32">
        <v>17.8</v>
      </c>
      <c r="G8" s="32">
        <v>19.5</v>
      </c>
      <c r="H8" s="32">
        <v>21.3</v>
      </c>
      <c r="I8" s="32">
        <v>23.2</v>
      </c>
      <c r="J8" s="32">
        <v>27.2</v>
      </c>
      <c r="K8" s="32">
        <v>31.6</v>
      </c>
      <c r="L8" s="32">
        <v>36.200000000000003</v>
      </c>
      <c r="M8" s="32">
        <v>41.2</v>
      </c>
      <c r="N8" s="32">
        <v>46.6</v>
      </c>
      <c r="O8" s="32">
        <v>52.2</v>
      </c>
      <c r="P8" s="32">
        <v>58.1</v>
      </c>
      <c r="Q8" s="32">
        <v>64.400000000000006</v>
      </c>
    </row>
    <row r="9" spans="1:17" x14ac:dyDescent="0.3">
      <c r="A9" s="189"/>
      <c r="B9" s="32">
        <v>100</v>
      </c>
      <c r="C9" s="36">
        <v>5</v>
      </c>
      <c r="D9" s="32">
        <v>13.8</v>
      </c>
      <c r="E9" s="32">
        <v>15.3</v>
      </c>
      <c r="F9" s="32">
        <v>16.899999999999999</v>
      </c>
      <c r="G9" s="32">
        <v>18.5</v>
      </c>
      <c r="H9" s="32">
        <v>20.2</v>
      </c>
      <c r="I9" s="32">
        <v>22</v>
      </c>
      <c r="J9" s="32">
        <v>25.9</v>
      </c>
      <c r="K9" s="32">
        <v>30</v>
      </c>
      <c r="L9" s="32">
        <v>34.4</v>
      </c>
      <c r="M9" s="32">
        <v>39.200000000000003</v>
      </c>
      <c r="N9" s="32">
        <v>44.2</v>
      </c>
      <c r="O9" s="32">
        <v>49.6</v>
      </c>
      <c r="P9" s="32">
        <v>55.2</v>
      </c>
      <c r="Q9" s="32">
        <v>61.2</v>
      </c>
    </row>
    <row r="10" spans="1:17" x14ac:dyDescent="0.3">
      <c r="A10" s="189" t="s">
        <v>7</v>
      </c>
      <c r="B10" s="32">
        <v>10</v>
      </c>
      <c r="C10" s="36">
        <v>1</v>
      </c>
      <c r="D10" s="32">
        <v>6.6</v>
      </c>
      <c r="E10" s="32">
        <v>7.3</v>
      </c>
      <c r="F10" s="32">
        <v>8.1</v>
      </c>
      <c r="G10" s="32">
        <v>8.9</v>
      </c>
      <c r="H10" s="32">
        <v>9.6999999999999993</v>
      </c>
      <c r="I10" s="32">
        <v>10.5</v>
      </c>
      <c r="J10" s="32">
        <v>12.4</v>
      </c>
      <c r="K10" s="32">
        <v>14.3</v>
      </c>
      <c r="L10" s="32">
        <v>16.5</v>
      </c>
      <c r="M10" s="32">
        <v>18.7</v>
      </c>
      <c r="N10" s="32">
        <v>21.1</v>
      </c>
      <c r="O10" s="32">
        <v>23.7</v>
      </c>
      <c r="P10" s="32">
        <v>26.4</v>
      </c>
      <c r="Q10" s="32">
        <v>29.3</v>
      </c>
    </row>
    <row r="11" spans="1:17" x14ac:dyDescent="0.3">
      <c r="A11" s="189"/>
      <c r="B11" s="32">
        <v>20</v>
      </c>
      <c r="C11" s="36">
        <v>1</v>
      </c>
      <c r="D11" s="32">
        <v>6.2</v>
      </c>
      <c r="E11" s="32">
        <v>6.9</v>
      </c>
      <c r="F11" s="32">
        <v>7.6</v>
      </c>
      <c r="G11" s="32">
        <v>8.3000000000000007</v>
      </c>
      <c r="H11" s="32">
        <v>9.1</v>
      </c>
      <c r="I11" s="32">
        <v>9.9</v>
      </c>
      <c r="J11" s="32">
        <v>11.6</v>
      </c>
      <c r="K11" s="32">
        <v>13.4</v>
      </c>
      <c r="L11" s="32">
        <v>15.4</v>
      </c>
      <c r="M11" s="32">
        <v>17.600000000000001</v>
      </c>
      <c r="N11" s="32">
        <v>19.8</v>
      </c>
      <c r="O11" s="32">
        <v>22.2</v>
      </c>
      <c r="P11" s="32">
        <v>24.8</v>
      </c>
      <c r="Q11" s="32">
        <v>27.4</v>
      </c>
    </row>
    <row r="12" spans="1:17" x14ac:dyDescent="0.3">
      <c r="A12" s="189"/>
      <c r="B12" s="32">
        <v>50</v>
      </c>
      <c r="C12" s="36">
        <v>1</v>
      </c>
      <c r="D12" s="32">
        <v>5.6</v>
      </c>
      <c r="E12" s="32">
        <v>6.3</v>
      </c>
      <c r="F12" s="32">
        <v>6.9</v>
      </c>
      <c r="G12" s="32">
        <v>7.6</v>
      </c>
      <c r="H12" s="32">
        <v>8.3000000000000007</v>
      </c>
      <c r="I12" s="32">
        <v>9</v>
      </c>
      <c r="J12" s="32">
        <v>10.6</v>
      </c>
      <c r="K12" s="32">
        <v>12.3</v>
      </c>
      <c r="L12" s="32">
        <v>14.1</v>
      </c>
      <c r="M12" s="32">
        <v>16</v>
      </c>
      <c r="N12" s="32">
        <v>18.100000000000001</v>
      </c>
      <c r="O12" s="32">
        <v>20.3</v>
      </c>
      <c r="P12" s="32">
        <v>22.6</v>
      </c>
      <c r="Q12" s="32">
        <v>25</v>
      </c>
    </row>
    <row r="13" spans="1:17" x14ac:dyDescent="0.3">
      <c r="A13" s="189"/>
      <c r="B13" s="32">
        <v>100</v>
      </c>
      <c r="C13" s="36">
        <v>1</v>
      </c>
      <c r="D13" s="32">
        <v>5.2</v>
      </c>
      <c r="E13" s="32">
        <v>5.8</v>
      </c>
      <c r="F13" s="32">
        <v>6.4</v>
      </c>
      <c r="G13" s="32">
        <v>7</v>
      </c>
      <c r="H13" s="32">
        <v>7.7</v>
      </c>
      <c r="I13" s="32">
        <v>8.3000000000000007</v>
      </c>
      <c r="J13" s="32">
        <v>9.8000000000000007</v>
      </c>
      <c r="K13" s="32">
        <v>11.4</v>
      </c>
      <c r="L13" s="32">
        <v>13</v>
      </c>
      <c r="M13" s="32">
        <v>14.8</v>
      </c>
      <c r="N13" s="32">
        <v>16.7</v>
      </c>
      <c r="O13" s="32">
        <v>18.8</v>
      </c>
      <c r="P13" s="32">
        <v>20.9</v>
      </c>
      <c r="Q13" s="32">
        <v>23.2</v>
      </c>
    </row>
    <row r="14" spans="1:17" x14ac:dyDescent="0.3">
      <c r="A14" s="189"/>
      <c r="B14" s="32">
        <v>10</v>
      </c>
      <c r="C14" s="36" t="s">
        <v>0</v>
      </c>
      <c r="D14" s="32">
        <v>6.6</v>
      </c>
      <c r="E14" s="32">
        <v>7.3</v>
      </c>
      <c r="F14" s="32">
        <v>8.1</v>
      </c>
      <c r="G14" s="32">
        <v>8.9</v>
      </c>
      <c r="H14" s="32">
        <v>9.6999999999999993</v>
      </c>
      <c r="I14" s="32">
        <v>10.5</v>
      </c>
      <c r="J14" s="32">
        <v>12.4</v>
      </c>
      <c r="K14" s="32">
        <v>14.3</v>
      </c>
      <c r="L14" s="32">
        <v>16.5</v>
      </c>
      <c r="M14" s="32">
        <v>18.7</v>
      </c>
      <c r="N14" s="32">
        <v>21.1</v>
      </c>
      <c r="O14" s="32">
        <v>23.7</v>
      </c>
      <c r="P14" s="32">
        <v>26.4</v>
      </c>
      <c r="Q14" s="32">
        <v>29.3</v>
      </c>
    </row>
    <row r="15" spans="1:17" x14ac:dyDescent="0.3">
      <c r="A15" s="189"/>
      <c r="B15" s="32">
        <v>20</v>
      </c>
      <c r="C15" s="36" t="s">
        <v>0</v>
      </c>
      <c r="D15" s="32">
        <v>6.2</v>
      </c>
      <c r="E15" s="32">
        <v>6.9</v>
      </c>
      <c r="F15" s="32">
        <v>7.6</v>
      </c>
      <c r="G15" s="32">
        <v>8.3000000000000007</v>
      </c>
      <c r="H15" s="32">
        <v>9.1</v>
      </c>
      <c r="I15" s="32">
        <v>9.9</v>
      </c>
      <c r="J15" s="32">
        <v>11.6</v>
      </c>
      <c r="K15" s="32">
        <v>13.4</v>
      </c>
      <c r="L15" s="32">
        <v>15.4</v>
      </c>
      <c r="M15" s="32">
        <v>17.600000000000001</v>
      </c>
      <c r="N15" s="32">
        <v>19.8</v>
      </c>
      <c r="O15" s="32">
        <v>22.2</v>
      </c>
      <c r="P15" s="32">
        <v>24.8</v>
      </c>
      <c r="Q15" s="32">
        <v>27.4</v>
      </c>
    </row>
    <row r="16" spans="1:17" x14ac:dyDescent="0.3">
      <c r="A16" s="189"/>
      <c r="B16" s="32">
        <v>50</v>
      </c>
      <c r="C16" s="36" t="s">
        <v>0</v>
      </c>
      <c r="D16" s="32">
        <v>5.6</v>
      </c>
      <c r="E16" s="32">
        <v>6.3</v>
      </c>
      <c r="F16" s="32">
        <v>6.9</v>
      </c>
      <c r="G16" s="32">
        <v>7.6</v>
      </c>
      <c r="H16" s="32">
        <v>8.3000000000000007</v>
      </c>
      <c r="I16" s="32">
        <v>9</v>
      </c>
      <c r="J16" s="32">
        <v>10.6</v>
      </c>
      <c r="K16" s="32">
        <v>12.3</v>
      </c>
      <c r="L16" s="32">
        <v>14.1</v>
      </c>
      <c r="M16" s="32">
        <v>16</v>
      </c>
      <c r="N16" s="32">
        <v>18.100000000000001</v>
      </c>
      <c r="O16" s="32">
        <v>20.3</v>
      </c>
      <c r="P16" s="32">
        <v>22.6</v>
      </c>
      <c r="Q16" s="32">
        <v>25</v>
      </c>
    </row>
    <row r="17" spans="1:17" x14ac:dyDescent="0.3">
      <c r="A17" s="189"/>
      <c r="B17" s="32">
        <v>100</v>
      </c>
      <c r="C17" s="36" t="s">
        <v>0</v>
      </c>
      <c r="D17" s="32">
        <v>5.2</v>
      </c>
      <c r="E17" s="32">
        <v>5.8</v>
      </c>
      <c r="F17" s="32">
        <v>6.4</v>
      </c>
      <c r="G17" s="32">
        <v>7</v>
      </c>
      <c r="H17" s="32">
        <v>7.7</v>
      </c>
      <c r="I17" s="32">
        <v>8.3000000000000007</v>
      </c>
      <c r="J17" s="32">
        <v>9.8000000000000007</v>
      </c>
      <c r="K17" s="32">
        <v>11.4</v>
      </c>
      <c r="L17" s="32">
        <v>13</v>
      </c>
      <c r="M17" s="32">
        <v>14.8</v>
      </c>
      <c r="N17" s="32">
        <v>16.7</v>
      </c>
      <c r="O17" s="32">
        <v>18.8</v>
      </c>
      <c r="P17" s="32">
        <v>20.9</v>
      </c>
      <c r="Q17" s="32">
        <v>23.2</v>
      </c>
    </row>
    <row r="18" spans="1:17" x14ac:dyDescent="0.3">
      <c r="A18" s="189"/>
      <c r="B18" s="32">
        <v>10</v>
      </c>
      <c r="C18" s="36">
        <v>2</v>
      </c>
      <c r="D18" s="32">
        <v>6.6</v>
      </c>
      <c r="E18" s="32">
        <v>7.3</v>
      </c>
      <c r="F18" s="32">
        <v>8.1</v>
      </c>
      <c r="G18" s="32">
        <v>8.9</v>
      </c>
      <c r="H18" s="32">
        <v>9.6999999999999993</v>
      </c>
      <c r="I18" s="32">
        <v>10.5</v>
      </c>
      <c r="J18" s="32">
        <v>12.4</v>
      </c>
      <c r="K18" s="32">
        <v>14.3</v>
      </c>
      <c r="L18" s="32">
        <v>16.5</v>
      </c>
      <c r="M18" s="32">
        <v>18.7</v>
      </c>
      <c r="N18" s="32">
        <v>21.1</v>
      </c>
      <c r="O18" s="32">
        <v>23.7</v>
      </c>
      <c r="P18" s="32">
        <v>26.4</v>
      </c>
      <c r="Q18" s="32">
        <v>29.3</v>
      </c>
    </row>
    <row r="19" spans="1:17" x14ac:dyDescent="0.3">
      <c r="A19" s="189"/>
      <c r="B19" s="32">
        <v>20</v>
      </c>
      <c r="C19" s="36">
        <v>2</v>
      </c>
      <c r="D19" s="32">
        <v>6.2</v>
      </c>
      <c r="E19" s="32">
        <v>6.9</v>
      </c>
      <c r="F19" s="32">
        <v>7.6</v>
      </c>
      <c r="G19" s="32">
        <v>8.3000000000000007</v>
      </c>
      <c r="H19" s="32">
        <v>9.1</v>
      </c>
      <c r="I19" s="32">
        <v>9.9</v>
      </c>
      <c r="J19" s="32">
        <v>11.6</v>
      </c>
      <c r="K19" s="32">
        <v>13.4</v>
      </c>
      <c r="L19" s="32">
        <v>15.4</v>
      </c>
      <c r="M19" s="32">
        <v>17.600000000000001</v>
      </c>
      <c r="N19" s="32">
        <v>19.8</v>
      </c>
      <c r="O19" s="32">
        <v>22.2</v>
      </c>
      <c r="P19" s="32">
        <v>24.8</v>
      </c>
      <c r="Q19" s="32">
        <v>27.4</v>
      </c>
    </row>
    <row r="20" spans="1:17" x14ac:dyDescent="0.3">
      <c r="A20" s="189"/>
      <c r="B20" s="32">
        <v>50</v>
      </c>
      <c r="C20" s="36">
        <v>2</v>
      </c>
      <c r="D20" s="32">
        <v>5.6</v>
      </c>
      <c r="E20" s="32">
        <v>6.3</v>
      </c>
      <c r="F20" s="32">
        <v>6.9</v>
      </c>
      <c r="G20" s="32">
        <v>7.6</v>
      </c>
      <c r="H20" s="32">
        <v>8.3000000000000007</v>
      </c>
      <c r="I20" s="32">
        <v>9</v>
      </c>
      <c r="J20" s="32">
        <v>10.6</v>
      </c>
      <c r="K20" s="32">
        <v>12.3</v>
      </c>
      <c r="L20" s="32">
        <v>14.1</v>
      </c>
      <c r="M20" s="32">
        <v>16</v>
      </c>
      <c r="N20" s="32">
        <v>18.100000000000001</v>
      </c>
      <c r="O20" s="32">
        <v>20.3</v>
      </c>
      <c r="P20" s="32">
        <v>22.6</v>
      </c>
      <c r="Q20" s="32">
        <v>25</v>
      </c>
    </row>
    <row r="21" spans="1:17" x14ac:dyDescent="0.3">
      <c r="A21" s="189"/>
      <c r="B21" s="32">
        <v>100</v>
      </c>
      <c r="C21" s="36">
        <v>2</v>
      </c>
      <c r="D21" s="32">
        <v>5.2</v>
      </c>
      <c r="E21" s="32">
        <v>5.8</v>
      </c>
      <c r="F21" s="32">
        <v>6.4</v>
      </c>
      <c r="G21" s="32">
        <v>7</v>
      </c>
      <c r="H21" s="32">
        <v>7.7</v>
      </c>
      <c r="I21" s="32">
        <v>8.3000000000000007</v>
      </c>
      <c r="J21" s="32">
        <v>9.8000000000000007</v>
      </c>
      <c r="K21" s="32">
        <v>11.4</v>
      </c>
      <c r="L21" s="32">
        <v>13</v>
      </c>
      <c r="M21" s="32">
        <v>14.8</v>
      </c>
      <c r="N21" s="32">
        <v>16.7</v>
      </c>
      <c r="O21" s="32">
        <v>18.8</v>
      </c>
      <c r="P21" s="32">
        <v>20.9</v>
      </c>
      <c r="Q21" s="32">
        <v>23.2</v>
      </c>
    </row>
    <row r="22" spans="1:17" x14ac:dyDescent="0.3">
      <c r="A22" s="189"/>
      <c r="B22" s="32">
        <v>10</v>
      </c>
      <c r="C22" s="36">
        <v>3</v>
      </c>
      <c r="D22" s="32">
        <v>6.6</v>
      </c>
      <c r="E22" s="32">
        <v>7.3</v>
      </c>
      <c r="F22" s="32">
        <v>8.1</v>
      </c>
      <c r="G22" s="32">
        <v>8.9</v>
      </c>
      <c r="H22" s="32">
        <v>9.6999999999999993</v>
      </c>
      <c r="I22" s="32">
        <v>10.5</v>
      </c>
      <c r="J22" s="32">
        <v>12.4</v>
      </c>
      <c r="K22" s="32">
        <v>14.3</v>
      </c>
      <c r="L22" s="32">
        <v>16.5</v>
      </c>
      <c r="M22" s="32">
        <v>18.7</v>
      </c>
      <c r="N22" s="32">
        <v>21.1</v>
      </c>
      <c r="O22" s="32">
        <v>23.7</v>
      </c>
      <c r="P22" s="32">
        <v>26.4</v>
      </c>
      <c r="Q22" s="32">
        <v>29.3</v>
      </c>
    </row>
    <row r="23" spans="1:17" x14ac:dyDescent="0.3">
      <c r="A23" s="189"/>
      <c r="B23" s="32">
        <v>20</v>
      </c>
      <c r="C23" s="36">
        <v>3</v>
      </c>
      <c r="D23" s="32">
        <v>6.2</v>
      </c>
      <c r="E23" s="32">
        <v>6.9</v>
      </c>
      <c r="F23" s="32">
        <v>7.6</v>
      </c>
      <c r="G23" s="32">
        <v>8.3000000000000007</v>
      </c>
      <c r="H23" s="32">
        <v>9.1</v>
      </c>
      <c r="I23" s="32">
        <v>9.9</v>
      </c>
      <c r="J23" s="32">
        <v>11.6</v>
      </c>
      <c r="K23" s="32">
        <v>13.4</v>
      </c>
      <c r="L23" s="32">
        <v>15.4</v>
      </c>
      <c r="M23" s="32">
        <v>17.600000000000001</v>
      </c>
      <c r="N23" s="32">
        <v>19.8</v>
      </c>
      <c r="O23" s="32">
        <v>22.2</v>
      </c>
      <c r="P23" s="32">
        <v>24.8</v>
      </c>
      <c r="Q23" s="32">
        <v>27.4</v>
      </c>
    </row>
    <row r="24" spans="1:17" x14ac:dyDescent="0.3">
      <c r="A24" s="189"/>
      <c r="B24" s="32">
        <v>50</v>
      </c>
      <c r="C24" s="36">
        <v>3</v>
      </c>
      <c r="D24" s="32">
        <v>5.6</v>
      </c>
      <c r="E24" s="32">
        <v>6.3</v>
      </c>
      <c r="F24" s="32">
        <v>6.9</v>
      </c>
      <c r="G24" s="32">
        <v>7.6</v>
      </c>
      <c r="H24" s="32">
        <v>8.3000000000000007</v>
      </c>
      <c r="I24" s="32">
        <v>9</v>
      </c>
      <c r="J24" s="32">
        <v>10.6</v>
      </c>
      <c r="K24" s="32">
        <v>12.3</v>
      </c>
      <c r="L24" s="32">
        <v>14.1</v>
      </c>
      <c r="M24" s="32">
        <v>16</v>
      </c>
      <c r="N24" s="32">
        <v>18.100000000000001</v>
      </c>
      <c r="O24" s="32">
        <v>20.3</v>
      </c>
      <c r="P24" s="32">
        <v>22.6</v>
      </c>
      <c r="Q24" s="32">
        <v>25</v>
      </c>
    </row>
    <row r="25" spans="1:17" x14ac:dyDescent="0.3">
      <c r="A25" s="189"/>
      <c r="B25" s="32">
        <v>100</v>
      </c>
      <c r="C25" s="36">
        <v>3</v>
      </c>
      <c r="D25" s="32">
        <v>5.2</v>
      </c>
      <c r="E25" s="32">
        <v>5.8</v>
      </c>
      <c r="F25" s="32">
        <v>6.4</v>
      </c>
      <c r="G25" s="32">
        <v>7</v>
      </c>
      <c r="H25" s="32">
        <v>7.7</v>
      </c>
      <c r="I25" s="32">
        <v>8.3000000000000007</v>
      </c>
      <c r="J25" s="32">
        <v>9.8000000000000007</v>
      </c>
      <c r="K25" s="32">
        <v>11.4</v>
      </c>
      <c r="L25" s="32">
        <v>13</v>
      </c>
      <c r="M25" s="32">
        <v>14.8</v>
      </c>
      <c r="N25" s="32">
        <v>16.7</v>
      </c>
      <c r="O25" s="32">
        <v>18.8</v>
      </c>
      <c r="P25" s="32">
        <v>20.9</v>
      </c>
      <c r="Q25" s="32">
        <v>23.2</v>
      </c>
    </row>
    <row r="26" spans="1:17" x14ac:dyDescent="0.3">
      <c r="A26" s="189" t="s">
        <v>8</v>
      </c>
      <c r="B26" s="32">
        <v>10</v>
      </c>
      <c r="C26" s="36">
        <v>1</v>
      </c>
      <c r="D26" s="32">
        <v>9.8000000000000007</v>
      </c>
      <c r="E26" s="32">
        <v>10.9</v>
      </c>
      <c r="F26" s="32">
        <v>12</v>
      </c>
      <c r="G26" s="32">
        <v>13.2</v>
      </c>
      <c r="H26" s="32">
        <v>14.4</v>
      </c>
      <c r="I26" s="32">
        <v>15.7</v>
      </c>
      <c r="J26" s="32">
        <v>18.399999999999999</v>
      </c>
      <c r="K26" s="32">
        <v>21.4</v>
      </c>
      <c r="L26" s="32">
        <v>24.5</v>
      </c>
      <c r="M26" s="32">
        <v>27.9</v>
      </c>
      <c r="N26" s="32">
        <v>31.5</v>
      </c>
      <c r="O26" s="32">
        <v>35.299999999999997</v>
      </c>
      <c r="P26" s="32">
        <v>39.4</v>
      </c>
      <c r="Q26" s="32">
        <v>43.6</v>
      </c>
    </row>
    <row r="27" spans="1:17" x14ac:dyDescent="0.3">
      <c r="A27" s="189"/>
      <c r="B27" s="32">
        <v>20</v>
      </c>
      <c r="C27" s="36">
        <v>1</v>
      </c>
      <c r="D27" s="32">
        <v>8.9</v>
      </c>
      <c r="E27" s="32">
        <v>9.8000000000000007</v>
      </c>
      <c r="F27" s="32">
        <v>10.8</v>
      </c>
      <c r="G27" s="32">
        <v>11.9</v>
      </c>
      <c r="H27" s="32">
        <v>13</v>
      </c>
      <c r="I27" s="32">
        <v>14.1</v>
      </c>
      <c r="J27" s="32">
        <v>16.600000000000001</v>
      </c>
      <c r="K27" s="32">
        <v>19.3</v>
      </c>
      <c r="L27" s="32">
        <v>22.1</v>
      </c>
      <c r="M27" s="32">
        <v>25.2</v>
      </c>
      <c r="N27" s="32">
        <v>28.4</v>
      </c>
      <c r="O27" s="32">
        <v>31.8</v>
      </c>
      <c r="P27" s="32">
        <v>35.5</v>
      </c>
      <c r="Q27" s="32">
        <v>39.299999999999997</v>
      </c>
    </row>
    <row r="28" spans="1:17" x14ac:dyDescent="0.3">
      <c r="A28" s="189"/>
      <c r="B28" s="32">
        <v>50</v>
      </c>
      <c r="C28" s="36">
        <v>1</v>
      </c>
      <c r="D28" s="32">
        <v>7.6</v>
      </c>
      <c r="E28" s="32">
        <v>8.4</v>
      </c>
      <c r="F28" s="32">
        <v>9.3000000000000007</v>
      </c>
      <c r="G28" s="32">
        <v>10.199999999999999</v>
      </c>
      <c r="H28" s="32">
        <v>11.1</v>
      </c>
      <c r="I28" s="32">
        <v>12.1</v>
      </c>
      <c r="J28" s="32">
        <v>14.2</v>
      </c>
      <c r="K28" s="32">
        <v>16.5</v>
      </c>
      <c r="L28" s="32">
        <v>18.899999999999999</v>
      </c>
      <c r="M28" s="32">
        <v>21.5</v>
      </c>
      <c r="N28" s="32">
        <v>24.3</v>
      </c>
      <c r="O28" s="32">
        <v>27.2</v>
      </c>
      <c r="P28" s="32">
        <v>30.3</v>
      </c>
      <c r="Q28" s="32">
        <v>33.6</v>
      </c>
    </row>
    <row r="29" spans="1:17" x14ac:dyDescent="0.3">
      <c r="A29" s="189"/>
      <c r="B29" s="32">
        <v>100</v>
      </c>
      <c r="C29" s="36">
        <v>1</v>
      </c>
      <c r="D29" s="32">
        <v>6.6</v>
      </c>
      <c r="E29" s="32">
        <v>7.3</v>
      </c>
      <c r="F29" s="32">
        <v>8.1</v>
      </c>
      <c r="G29" s="32">
        <v>8.9</v>
      </c>
      <c r="H29" s="32">
        <v>9.6999999999999993</v>
      </c>
      <c r="I29" s="32">
        <v>10.5</v>
      </c>
      <c r="J29" s="32">
        <v>12.4</v>
      </c>
      <c r="K29" s="32">
        <v>14.3</v>
      </c>
      <c r="L29" s="32">
        <v>16.5</v>
      </c>
      <c r="M29" s="32">
        <v>18.7</v>
      </c>
      <c r="N29" s="32">
        <v>21.1</v>
      </c>
      <c r="O29" s="32">
        <v>23.7</v>
      </c>
      <c r="P29" s="32">
        <v>26.4</v>
      </c>
      <c r="Q29" s="32">
        <v>29.3</v>
      </c>
    </row>
    <row r="30" spans="1:17" x14ac:dyDescent="0.3">
      <c r="A30" s="189"/>
      <c r="B30" s="32">
        <v>10</v>
      </c>
      <c r="C30" s="36" t="s">
        <v>1</v>
      </c>
      <c r="D30" s="32">
        <v>9.8000000000000007</v>
      </c>
      <c r="E30" s="32">
        <v>10.9</v>
      </c>
      <c r="F30" s="32">
        <v>12</v>
      </c>
      <c r="G30" s="32">
        <v>13.2</v>
      </c>
      <c r="H30" s="32">
        <v>14.4</v>
      </c>
      <c r="I30" s="32">
        <v>15.7</v>
      </c>
      <c r="J30" s="32">
        <v>18.399999999999999</v>
      </c>
      <c r="K30" s="32">
        <v>21.4</v>
      </c>
      <c r="L30" s="32">
        <v>24.5</v>
      </c>
      <c r="M30" s="32">
        <v>27.9</v>
      </c>
      <c r="N30" s="32">
        <v>31.5</v>
      </c>
      <c r="O30" s="32">
        <v>35.299999999999997</v>
      </c>
      <c r="P30" s="32">
        <v>39.4</v>
      </c>
      <c r="Q30" s="32">
        <v>43.6</v>
      </c>
    </row>
    <row r="31" spans="1:17" x14ac:dyDescent="0.3">
      <c r="A31" s="189"/>
      <c r="B31" s="32">
        <v>20</v>
      </c>
      <c r="C31" s="36" t="s">
        <v>1</v>
      </c>
      <c r="D31" s="32">
        <v>8.9</v>
      </c>
      <c r="E31" s="32">
        <v>9.8000000000000007</v>
      </c>
      <c r="F31" s="32">
        <v>10.8</v>
      </c>
      <c r="G31" s="32">
        <v>11.9</v>
      </c>
      <c r="H31" s="32">
        <v>13</v>
      </c>
      <c r="I31" s="32">
        <v>14.1</v>
      </c>
      <c r="J31" s="32">
        <v>16.600000000000001</v>
      </c>
      <c r="K31" s="32">
        <v>19.3</v>
      </c>
      <c r="L31" s="32">
        <v>22.1</v>
      </c>
      <c r="M31" s="32">
        <v>25.2</v>
      </c>
      <c r="N31" s="32">
        <v>28.4</v>
      </c>
      <c r="O31" s="32">
        <v>31.8</v>
      </c>
      <c r="P31" s="32">
        <v>35.5</v>
      </c>
      <c r="Q31" s="32">
        <v>39.299999999999997</v>
      </c>
    </row>
    <row r="32" spans="1:17" x14ac:dyDescent="0.3">
      <c r="A32" s="189"/>
      <c r="B32" s="32">
        <v>50</v>
      </c>
      <c r="C32" s="36" t="s">
        <v>1</v>
      </c>
      <c r="D32" s="32">
        <v>7.6</v>
      </c>
      <c r="E32" s="32">
        <v>8.4</v>
      </c>
      <c r="F32" s="32">
        <v>9.3000000000000007</v>
      </c>
      <c r="G32" s="32">
        <v>10.199999999999999</v>
      </c>
      <c r="H32" s="32">
        <v>11.1</v>
      </c>
      <c r="I32" s="32">
        <v>12.1</v>
      </c>
      <c r="J32" s="32">
        <v>14.2</v>
      </c>
      <c r="K32" s="32">
        <v>16.5</v>
      </c>
      <c r="L32" s="32">
        <v>18.899999999999999</v>
      </c>
      <c r="M32" s="32">
        <v>21.5</v>
      </c>
      <c r="N32" s="32">
        <v>24.3</v>
      </c>
      <c r="O32" s="32">
        <v>27.2</v>
      </c>
      <c r="P32" s="32">
        <v>30.3</v>
      </c>
      <c r="Q32" s="32">
        <v>33.6</v>
      </c>
    </row>
    <row r="33" spans="1:17" x14ac:dyDescent="0.3">
      <c r="A33" s="189"/>
      <c r="B33" s="32">
        <v>100</v>
      </c>
      <c r="C33" s="36" t="s">
        <v>1</v>
      </c>
      <c r="D33" s="32">
        <v>6.6</v>
      </c>
      <c r="E33" s="32">
        <v>7.3</v>
      </c>
      <c r="F33" s="32">
        <v>8.1</v>
      </c>
      <c r="G33" s="32">
        <v>8.9</v>
      </c>
      <c r="H33" s="32">
        <v>9.6999999999999993</v>
      </c>
      <c r="I33" s="32">
        <v>10.5</v>
      </c>
      <c r="J33" s="32">
        <v>12.4</v>
      </c>
      <c r="K33" s="32">
        <v>14.3</v>
      </c>
      <c r="L33" s="32">
        <v>16.5</v>
      </c>
      <c r="M33" s="32">
        <v>18.7</v>
      </c>
      <c r="N33" s="32">
        <v>21.1</v>
      </c>
      <c r="O33" s="32">
        <v>23.7</v>
      </c>
      <c r="P33" s="32">
        <v>26.4</v>
      </c>
      <c r="Q33" s="32">
        <v>29.3</v>
      </c>
    </row>
    <row r="34" spans="1:17" x14ac:dyDescent="0.3">
      <c r="A34" s="189"/>
      <c r="B34" s="32">
        <v>10</v>
      </c>
      <c r="C34" s="36" t="s">
        <v>2</v>
      </c>
      <c r="D34" s="32">
        <v>9.8000000000000007</v>
      </c>
      <c r="E34" s="32">
        <v>10.9</v>
      </c>
      <c r="F34" s="32">
        <v>12</v>
      </c>
      <c r="G34" s="32">
        <v>13.2</v>
      </c>
      <c r="H34" s="32">
        <v>14.4</v>
      </c>
      <c r="I34" s="32">
        <v>15.7</v>
      </c>
      <c r="J34" s="32">
        <v>18.399999999999999</v>
      </c>
      <c r="K34" s="32">
        <v>21.4</v>
      </c>
      <c r="L34" s="32">
        <v>24.5</v>
      </c>
      <c r="M34" s="32">
        <v>27.9</v>
      </c>
      <c r="N34" s="32">
        <v>31.5</v>
      </c>
      <c r="O34" s="32">
        <v>35.299999999999997</v>
      </c>
      <c r="P34" s="32">
        <v>39.4</v>
      </c>
      <c r="Q34" s="32">
        <v>43.6</v>
      </c>
    </row>
    <row r="35" spans="1:17" x14ac:dyDescent="0.3">
      <c r="A35" s="189"/>
      <c r="B35" s="32">
        <v>20</v>
      </c>
      <c r="C35" s="36" t="s">
        <v>2</v>
      </c>
      <c r="D35" s="32">
        <v>8.9</v>
      </c>
      <c r="E35" s="32">
        <v>9.8000000000000007</v>
      </c>
      <c r="F35" s="32">
        <v>10.8</v>
      </c>
      <c r="G35" s="32">
        <v>11.9</v>
      </c>
      <c r="H35" s="32">
        <v>13</v>
      </c>
      <c r="I35" s="32">
        <v>14.1</v>
      </c>
      <c r="J35" s="32">
        <v>16.600000000000001</v>
      </c>
      <c r="K35" s="32">
        <v>19.3</v>
      </c>
      <c r="L35" s="32">
        <v>22.1</v>
      </c>
      <c r="M35" s="32">
        <v>25.2</v>
      </c>
      <c r="N35" s="32">
        <v>28.4</v>
      </c>
      <c r="O35" s="32">
        <v>31.8</v>
      </c>
      <c r="P35" s="32">
        <v>35.5</v>
      </c>
      <c r="Q35" s="32">
        <v>39.299999999999997</v>
      </c>
    </row>
    <row r="36" spans="1:17" x14ac:dyDescent="0.3">
      <c r="A36" s="189"/>
      <c r="B36" s="32">
        <v>50</v>
      </c>
      <c r="C36" s="36" t="s">
        <v>2</v>
      </c>
      <c r="D36" s="32">
        <v>7.6</v>
      </c>
      <c r="E36" s="32">
        <v>8.4</v>
      </c>
      <c r="F36" s="32">
        <v>9.3000000000000007</v>
      </c>
      <c r="G36" s="32">
        <v>10.199999999999999</v>
      </c>
      <c r="H36" s="32">
        <v>11.1</v>
      </c>
      <c r="I36" s="32">
        <v>12.1</v>
      </c>
      <c r="J36" s="32">
        <v>14.2</v>
      </c>
      <c r="K36" s="32">
        <v>16.5</v>
      </c>
      <c r="L36" s="32">
        <v>18.899999999999999</v>
      </c>
      <c r="M36" s="32">
        <v>21.5</v>
      </c>
      <c r="N36" s="32">
        <v>24.3</v>
      </c>
      <c r="O36" s="32">
        <v>27.2</v>
      </c>
      <c r="P36" s="32">
        <v>30.3</v>
      </c>
      <c r="Q36" s="32">
        <v>33.6</v>
      </c>
    </row>
    <row r="37" spans="1:17" x14ac:dyDescent="0.3">
      <c r="A37" s="189"/>
      <c r="B37" s="32">
        <v>100</v>
      </c>
      <c r="C37" s="36" t="s">
        <v>2</v>
      </c>
      <c r="D37" s="32">
        <v>6.6</v>
      </c>
      <c r="E37" s="32">
        <v>7.3</v>
      </c>
      <c r="F37" s="32">
        <v>8.1</v>
      </c>
      <c r="G37" s="32">
        <v>8.9</v>
      </c>
      <c r="H37" s="32">
        <v>9.6999999999999993</v>
      </c>
      <c r="I37" s="32">
        <v>10.5</v>
      </c>
      <c r="J37" s="32">
        <v>12.4</v>
      </c>
      <c r="K37" s="32">
        <v>14.3</v>
      </c>
      <c r="L37" s="32">
        <v>16.5</v>
      </c>
      <c r="M37" s="32">
        <v>18.7</v>
      </c>
      <c r="N37" s="32">
        <v>21.1</v>
      </c>
      <c r="O37" s="32">
        <v>23.7</v>
      </c>
      <c r="P37" s="32">
        <v>26.4</v>
      </c>
      <c r="Q37" s="32">
        <v>29.3</v>
      </c>
    </row>
    <row r="38" spans="1:17" x14ac:dyDescent="0.3">
      <c r="A38" s="189"/>
      <c r="B38" s="32">
        <v>10</v>
      </c>
      <c r="C38" s="36" t="s">
        <v>3</v>
      </c>
      <c r="D38" s="32">
        <v>9.8000000000000007</v>
      </c>
      <c r="E38" s="32">
        <v>10.9</v>
      </c>
      <c r="F38" s="32">
        <v>12</v>
      </c>
      <c r="G38" s="32">
        <v>13.2</v>
      </c>
      <c r="H38" s="32">
        <v>14.4</v>
      </c>
      <c r="I38" s="32">
        <v>15.7</v>
      </c>
      <c r="J38" s="32">
        <v>18.399999999999999</v>
      </c>
      <c r="K38" s="32">
        <v>21.4</v>
      </c>
      <c r="L38" s="32">
        <v>24.5</v>
      </c>
      <c r="M38" s="32">
        <v>27.9</v>
      </c>
      <c r="N38" s="32">
        <v>31.5</v>
      </c>
      <c r="O38" s="32">
        <v>35.299999999999997</v>
      </c>
      <c r="P38" s="32">
        <v>39.4</v>
      </c>
      <c r="Q38" s="32">
        <v>43.6</v>
      </c>
    </row>
    <row r="39" spans="1:17" x14ac:dyDescent="0.3">
      <c r="A39" s="189"/>
      <c r="B39" s="32">
        <v>20</v>
      </c>
      <c r="C39" s="36" t="s">
        <v>3</v>
      </c>
      <c r="D39" s="32">
        <v>8.9</v>
      </c>
      <c r="E39" s="32">
        <v>9.8000000000000007</v>
      </c>
      <c r="F39" s="32">
        <v>10.8</v>
      </c>
      <c r="G39" s="32">
        <v>11.9</v>
      </c>
      <c r="H39" s="32">
        <v>13</v>
      </c>
      <c r="I39" s="32">
        <v>14.1</v>
      </c>
      <c r="J39" s="32">
        <v>16.600000000000001</v>
      </c>
      <c r="K39" s="32">
        <v>19.3</v>
      </c>
      <c r="L39" s="32">
        <v>22.1</v>
      </c>
      <c r="M39" s="32">
        <v>25.2</v>
      </c>
      <c r="N39" s="32">
        <v>28.4</v>
      </c>
      <c r="O39" s="32">
        <v>31.8</v>
      </c>
      <c r="P39" s="32">
        <v>35.5</v>
      </c>
      <c r="Q39" s="32">
        <v>39.299999999999997</v>
      </c>
    </row>
    <row r="40" spans="1:17" x14ac:dyDescent="0.3">
      <c r="A40" s="189"/>
      <c r="B40" s="32">
        <v>50</v>
      </c>
      <c r="C40" s="36" t="s">
        <v>3</v>
      </c>
      <c r="D40" s="32">
        <v>7.6</v>
      </c>
      <c r="E40" s="32">
        <v>8.4</v>
      </c>
      <c r="F40" s="32">
        <v>9.3000000000000007</v>
      </c>
      <c r="G40" s="32">
        <v>10.199999999999999</v>
      </c>
      <c r="H40" s="32">
        <v>11.1</v>
      </c>
      <c r="I40" s="32">
        <v>12.1</v>
      </c>
      <c r="J40" s="32">
        <v>14.2</v>
      </c>
      <c r="K40" s="32">
        <v>16.5</v>
      </c>
      <c r="L40" s="32">
        <v>18.899999999999999</v>
      </c>
      <c r="M40" s="32">
        <v>21.5</v>
      </c>
      <c r="N40" s="32">
        <v>24.3</v>
      </c>
      <c r="O40" s="32">
        <v>27.2</v>
      </c>
      <c r="P40" s="32">
        <v>30.3</v>
      </c>
      <c r="Q40" s="32">
        <v>33.6</v>
      </c>
    </row>
    <row r="41" spans="1:17" x14ac:dyDescent="0.3">
      <c r="A41" s="189"/>
      <c r="B41" s="32">
        <v>100</v>
      </c>
      <c r="C41" s="36" t="s">
        <v>3</v>
      </c>
      <c r="D41" s="32">
        <v>6.6</v>
      </c>
      <c r="E41" s="32">
        <v>7.3</v>
      </c>
      <c r="F41" s="32">
        <v>8.1</v>
      </c>
      <c r="G41" s="32">
        <v>8.9</v>
      </c>
      <c r="H41" s="32">
        <v>9.6999999999999993</v>
      </c>
      <c r="I41" s="32">
        <v>10.5</v>
      </c>
      <c r="J41" s="32">
        <v>12.4</v>
      </c>
      <c r="K41" s="32">
        <v>14.3</v>
      </c>
      <c r="L41" s="32">
        <v>16.5</v>
      </c>
      <c r="M41" s="32">
        <v>18.7</v>
      </c>
      <c r="N41" s="32">
        <v>21.1</v>
      </c>
      <c r="O41" s="32">
        <v>23.7</v>
      </c>
      <c r="P41" s="32">
        <v>26.4</v>
      </c>
      <c r="Q41" s="32">
        <v>29.3</v>
      </c>
    </row>
    <row r="42" spans="1:17" x14ac:dyDescent="0.3">
      <c r="A42" s="189"/>
      <c r="B42" s="32">
        <v>10</v>
      </c>
      <c r="C42" s="36" t="s">
        <v>4</v>
      </c>
      <c r="D42" s="32">
        <v>9.8000000000000007</v>
      </c>
      <c r="E42" s="32">
        <v>10.9</v>
      </c>
      <c r="F42" s="32">
        <v>12</v>
      </c>
      <c r="G42" s="32">
        <v>13.2</v>
      </c>
      <c r="H42" s="32">
        <v>14.4</v>
      </c>
      <c r="I42" s="32">
        <v>15.7</v>
      </c>
      <c r="J42" s="32">
        <v>18.399999999999999</v>
      </c>
      <c r="K42" s="32">
        <v>21.4</v>
      </c>
      <c r="L42" s="32">
        <v>24.5</v>
      </c>
      <c r="M42" s="32">
        <v>27.9</v>
      </c>
      <c r="N42" s="32">
        <v>31.5</v>
      </c>
      <c r="O42" s="32">
        <v>35.299999999999997</v>
      </c>
      <c r="P42" s="32">
        <v>39.4</v>
      </c>
      <c r="Q42" s="32">
        <v>43.6</v>
      </c>
    </row>
    <row r="43" spans="1:17" x14ac:dyDescent="0.3">
      <c r="A43" s="189"/>
      <c r="B43" s="32">
        <v>20</v>
      </c>
      <c r="C43" s="36" t="s">
        <v>4</v>
      </c>
      <c r="D43" s="32">
        <v>8.9</v>
      </c>
      <c r="E43" s="32">
        <v>9.8000000000000007</v>
      </c>
      <c r="F43" s="32">
        <v>10.8</v>
      </c>
      <c r="G43" s="32">
        <v>11.9</v>
      </c>
      <c r="H43" s="32">
        <v>13</v>
      </c>
      <c r="I43" s="32">
        <v>14.1</v>
      </c>
      <c r="J43" s="32">
        <v>16.600000000000001</v>
      </c>
      <c r="K43" s="32">
        <v>19.3</v>
      </c>
      <c r="L43" s="32">
        <v>22.1</v>
      </c>
      <c r="M43" s="32">
        <v>25.2</v>
      </c>
      <c r="N43" s="32">
        <v>28.4</v>
      </c>
      <c r="O43" s="32">
        <v>31.8</v>
      </c>
      <c r="P43" s="32">
        <v>35.5</v>
      </c>
      <c r="Q43" s="32">
        <v>39.299999999999997</v>
      </c>
    </row>
    <row r="44" spans="1:17" x14ac:dyDescent="0.3">
      <c r="A44" s="189"/>
      <c r="B44" s="32">
        <v>50</v>
      </c>
      <c r="C44" s="36" t="s">
        <v>4</v>
      </c>
      <c r="D44" s="32">
        <v>7.6</v>
      </c>
      <c r="E44" s="32">
        <v>8.4</v>
      </c>
      <c r="F44" s="32">
        <v>9.3000000000000007</v>
      </c>
      <c r="G44" s="32">
        <v>10.199999999999999</v>
      </c>
      <c r="H44" s="32">
        <v>11.1</v>
      </c>
      <c r="I44" s="32">
        <v>12.1</v>
      </c>
      <c r="J44" s="32">
        <v>14.2</v>
      </c>
      <c r="K44" s="32">
        <v>16.5</v>
      </c>
      <c r="L44" s="32">
        <v>18.899999999999999</v>
      </c>
      <c r="M44" s="32">
        <v>21.5</v>
      </c>
      <c r="N44" s="32">
        <v>24.3</v>
      </c>
      <c r="O44" s="32">
        <v>27.2</v>
      </c>
      <c r="P44" s="32">
        <v>30.3</v>
      </c>
      <c r="Q44" s="32">
        <v>33.6</v>
      </c>
    </row>
    <row r="45" spans="1:17" x14ac:dyDescent="0.3">
      <c r="A45" s="189"/>
      <c r="B45" s="32">
        <v>100</v>
      </c>
      <c r="C45" s="36" t="s">
        <v>4</v>
      </c>
      <c r="D45" s="32">
        <v>6.6</v>
      </c>
      <c r="E45" s="32">
        <v>7.3</v>
      </c>
      <c r="F45" s="32">
        <v>8.1</v>
      </c>
      <c r="G45" s="32">
        <v>8.9</v>
      </c>
      <c r="H45" s="32">
        <v>9.6999999999999993</v>
      </c>
      <c r="I45" s="32">
        <v>10.5</v>
      </c>
      <c r="J45" s="32">
        <v>12.4</v>
      </c>
      <c r="K45" s="32">
        <v>14.3</v>
      </c>
      <c r="L45" s="32">
        <v>16.5</v>
      </c>
      <c r="M45" s="32">
        <v>18.7</v>
      </c>
      <c r="N45" s="32">
        <v>21.1</v>
      </c>
      <c r="O45" s="32">
        <v>23.7</v>
      </c>
      <c r="P45" s="32">
        <v>26.4</v>
      </c>
      <c r="Q45" s="32">
        <v>29.3</v>
      </c>
    </row>
    <row r="46" spans="1:17" x14ac:dyDescent="0.3">
      <c r="A46" s="189"/>
      <c r="B46" s="32">
        <v>10</v>
      </c>
      <c r="C46" s="36" t="s">
        <v>5</v>
      </c>
      <c r="D46" s="32">
        <v>9.8000000000000007</v>
      </c>
      <c r="E46" s="32">
        <v>10.9</v>
      </c>
      <c r="F46" s="32">
        <v>12</v>
      </c>
      <c r="G46" s="32">
        <v>13.2</v>
      </c>
      <c r="H46" s="32">
        <v>14.4</v>
      </c>
      <c r="I46" s="32">
        <v>15.7</v>
      </c>
      <c r="J46" s="32">
        <v>18.399999999999999</v>
      </c>
      <c r="K46" s="32">
        <v>21.4</v>
      </c>
      <c r="L46" s="32">
        <v>24.5</v>
      </c>
      <c r="M46" s="32">
        <v>27.9</v>
      </c>
      <c r="N46" s="32">
        <v>31.5</v>
      </c>
      <c r="O46" s="32">
        <v>35.299999999999997</v>
      </c>
      <c r="P46" s="32">
        <v>39.4</v>
      </c>
      <c r="Q46" s="32">
        <v>43.6</v>
      </c>
    </row>
    <row r="47" spans="1:17" x14ac:dyDescent="0.3">
      <c r="A47" s="189"/>
      <c r="B47" s="32">
        <v>20</v>
      </c>
      <c r="C47" s="36" t="s">
        <v>5</v>
      </c>
      <c r="D47" s="32">
        <v>8.9</v>
      </c>
      <c r="E47" s="32">
        <v>9.8000000000000007</v>
      </c>
      <c r="F47" s="32">
        <v>10.8</v>
      </c>
      <c r="G47" s="32">
        <v>11.9</v>
      </c>
      <c r="H47" s="32">
        <v>13</v>
      </c>
      <c r="I47" s="32">
        <v>14.1</v>
      </c>
      <c r="J47" s="32">
        <v>16.600000000000001</v>
      </c>
      <c r="K47" s="32">
        <v>19.3</v>
      </c>
      <c r="L47" s="32">
        <v>22.1</v>
      </c>
      <c r="M47" s="32">
        <v>25.2</v>
      </c>
      <c r="N47" s="32">
        <v>28.4</v>
      </c>
      <c r="O47" s="32">
        <v>31.8</v>
      </c>
      <c r="P47" s="32">
        <v>35.5</v>
      </c>
      <c r="Q47" s="32">
        <v>39.299999999999997</v>
      </c>
    </row>
    <row r="48" spans="1:17" x14ac:dyDescent="0.3">
      <c r="A48" s="189"/>
      <c r="B48" s="32">
        <v>50</v>
      </c>
      <c r="C48" s="36" t="s">
        <v>5</v>
      </c>
      <c r="D48" s="32">
        <v>7.6</v>
      </c>
      <c r="E48" s="32">
        <v>8.4</v>
      </c>
      <c r="F48" s="32">
        <v>9.3000000000000007</v>
      </c>
      <c r="G48" s="32">
        <v>10.199999999999999</v>
      </c>
      <c r="H48" s="32">
        <v>11.1</v>
      </c>
      <c r="I48" s="32">
        <v>12.1</v>
      </c>
      <c r="J48" s="32">
        <v>14.2</v>
      </c>
      <c r="K48" s="32">
        <v>16.5</v>
      </c>
      <c r="L48" s="32">
        <v>18.899999999999999</v>
      </c>
      <c r="M48" s="32">
        <v>21.5</v>
      </c>
      <c r="N48" s="32">
        <v>24.3</v>
      </c>
      <c r="O48" s="32">
        <v>27.2</v>
      </c>
      <c r="P48" s="32">
        <v>30.3</v>
      </c>
      <c r="Q48" s="32">
        <v>33.6</v>
      </c>
    </row>
    <row r="49" spans="1:17" x14ac:dyDescent="0.3">
      <c r="A49" s="189"/>
      <c r="B49" s="32">
        <v>100</v>
      </c>
      <c r="C49" s="36" t="s">
        <v>5</v>
      </c>
      <c r="D49" s="32">
        <v>6.6</v>
      </c>
      <c r="E49" s="32">
        <v>7.3</v>
      </c>
      <c r="F49" s="32">
        <v>8.1</v>
      </c>
      <c r="G49" s="32">
        <v>8.9</v>
      </c>
      <c r="H49" s="32">
        <v>9.6999999999999993</v>
      </c>
      <c r="I49" s="32">
        <v>10.5</v>
      </c>
      <c r="J49" s="32">
        <v>12.4</v>
      </c>
      <c r="K49" s="32">
        <v>14.3</v>
      </c>
      <c r="L49" s="32">
        <v>16.5</v>
      </c>
      <c r="M49" s="32">
        <v>18.7</v>
      </c>
      <c r="N49" s="32">
        <v>21.1</v>
      </c>
      <c r="O49" s="32">
        <v>23.7</v>
      </c>
      <c r="P49" s="32">
        <v>26.4</v>
      </c>
      <c r="Q49" s="32">
        <v>29.3</v>
      </c>
    </row>
    <row r="50" spans="1:17" x14ac:dyDescent="0.3">
      <c r="A50" s="189" t="s">
        <v>9</v>
      </c>
      <c r="B50" s="32">
        <v>10</v>
      </c>
      <c r="C50" s="36">
        <v>1</v>
      </c>
      <c r="D50" s="32">
        <v>9.8000000000000007</v>
      </c>
      <c r="E50" s="32">
        <v>10.9</v>
      </c>
      <c r="F50" s="32">
        <v>12</v>
      </c>
      <c r="G50" s="32">
        <v>13.2</v>
      </c>
      <c r="H50" s="32">
        <v>14.4</v>
      </c>
      <c r="I50" s="32">
        <v>15.7</v>
      </c>
      <c r="J50" s="32">
        <v>18.399999999999999</v>
      </c>
      <c r="K50" s="32">
        <v>21.4</v>
      </c>
      <c r="L50" s="32">
        <v>24.5</v>
      </c>
      <c r="M50" s="32">
        <v>27.9</v>
      </c>
      <c r="N50" s="32">
        <v>31.5</v>
      </c>
      <c r="O50" s="32">
        <v>35.299999999999997</v>
      </c>
      <c r="P50" s="32">
        <v>39.4</v>
      </c>
      <c r="Q50" s="32">
        <v>43.6</v>
      </c>
    </row>
    <row r="51" spans="1:17" x14ac:dyDescent="0.3">
      <c r="A51" s="189"/>
      <c r="B51" s="32">
        <v>20</v>
      </c>
      <c r="C51" s="36">
        <v>1</v>
      </c>
      <c r="D51" s="32">
        <v>8.9</v>
      </c>
      <c r="E51" s="32">
        <v>9.8000000000000007</v>
      </c>
      <c r="F51" s="32">
        <v>10.8</v>
      </c>
      <c r="G51" s="32">
        <v>11.9</v>
      </c>
      <c r="H51" s="32">
        <v>13</v>
      </c>
      <c r="I51" s="32">
        <v>14.1</v>
      </c>
      <c r="J51" s="32">
        <v>16.600000000000001</v>
      </c>
      <c r="K51" s="32">
        <v>19.3</v>
      </c>
      <c r="L51" s="32">
        <v>22.1</v>
      </c>
      <c r="M51" s="32">
        <v>25.2</v>
      </c>
      <c r="N51" s="32">
        <v>28.4</v>
      </c>
      <c r="O51" s="32">
        <v>31.8</v>
      </c>
      <c r="P51" s="32">
        <v>35.5</v>
      </c>
      <c r="Q51" s="32">
        <v>39.299999999999997</v>
      </c>
    </row>
    <row r="52" spans="1:17" x14ac:dyDescent="0.3">
      <c r="A52" s="189"/>
      <c r="B52" s="32">
        <v>50</v>
      </c>
      <c r="C52" s="36">
        <v>1</v>
      </c>
      <c r="D52" s="32">
        <v>7.6</v>
      </c>
      <c r="E52" s="32">
        <v>8.4</v>
      </c>
      <c r="F52" s="32">
        <v>9.3000000000000007</v>
      </c>
      <c r="G52" s="32">
        <v>10.199999999999999</v>
      </c>
      <c r="H52" s="32">
        <v>11.1</v>
      </c>
      <c r="I52" s="32">
        <v>12.1</v>
      </c>
      <c r="J52" s="32">
        <v>14.2</v>
      </c>
      <c r="K52" s="32">
        <v>16.5</v>
      </c>
      <c r="L52" s="32">
        <v>18.899999999999999</v>
      </c>
      <c r="M52" s="32">
        <v>21.5</v>
      </c>
      <c r="N52" s="32">
        <v>24.3</v>
      </c>
      <c r="O52" s="32">
        <v>27.2</v>
      </c>
      <c r="P52" s="32">
        <v>30.3</v>
      </c>
      <c r="Q52" s="32">
        <v>33.6</v>
      </c>
    </row>
    <row r="53" spans="1:17" x14ac:dyDescent="0.3">
      <c r="A53" s="189"/>
      <c r="B53" s="32">
        <v>100</v>
      </c>
      <c r="C53" s="36">
        <v>1</v>
      </c>
      <c r="D53" s="32">
        <v>6.6</v>
      </c>
      <c r="E53" s="32">
        <v>7.3</v>
      </c>
      <c r="F53" s="32">
        <v>8.1</v>
      </c>
      <c r="G53" s="32">
        <v>8.9</v>
      </c>
      <c r="H53" s="32">
        <v>9.6999999999999993</v>
      </c>
      <c r="I53" s="32">
        <v>10.5</v>
      </c>
      <c r="J53" s="32">
        <v>12.4</v>
      </c>
      <c r="K53" s="32">
        <v>14.3</v>
      </c>
      <c r="L53" s="32">
        <v>16.5</v>
      </c>
      <c r="M53" s="32">
        <v>18.7</v>
      </c>
      <c r="N53" s="32">
        <v>21.1</v>
      </c>
      <c r="O53" s="32">
        <v>23.7</v>
      </c>
      <c r="P53" s="32">
        <v>26.4</v>
      </c>
      <c r="Q53" s="32">
        <v>29.3</v>
      </c>
    </row>
    <row r="54" spans="1:17" x14ac:dyDescent="0.3">
      <c r="A54" s="189"/>
      <c r="B54" s="32">
        <v>10</v>
      </c>
      <c r="C54" s="36" t="s">
        <v>1</v>
      </c>
      <c r="D54" s="32">
        <v>9.8000000000000007</v>
      </c>
      <c r="E54" s="32">
        <v>10.9</v>
      </c>
      <c r="F54" s="32">
        <v>12</v>
      </c>
      <c r="G54" s="32">
        <v>13.2</v>
      </c>
      <c r="H54" s="32">
        <v>14.4</v>
      </c>
      <c r="I54" s="32">
        <v>15.7</v>
      </c>
      <c r="J54" s="32">
        <v>18.399999999999999</v>
      </c>
      <c r="K54" s="32">
        <v>21.4</v>
      </c>
      <c r="L54" s="32">
        <v>24.5</v>
      </c>
      <c r="M54" s="32">
        <v>27.9</v>
      </c>
      <c r="N54" s="32">
        <v>31.5</v>
      </c>
      <c r="O54" s="32">
        <v>35.299999999999997</v>
      </c>
      <c r="P54" s="32">
        <v>39.4</v>
      </c>
      <c r="Q54" s="32">
        <v>43.6</v>
      </c>
    </row>
    <row r="55" spans="1:17" x14ac:dyDescent="0.3">
      <c r="A55" s="189"/>
      <c r="B55" s="32">
        <v>20</v>
      </c>
      <c r="C55" s="36" t="s">
        <v>1</v>
      </c>
      <c r="D55" s="32">
        <v>8.9</v>
      </c>
      <c r="E55" s="32">
        <v>9.8000000000000007</v>
      </c>
      <c r="F55" s="32">
        <v>10.8</v>
      </c>
      <c r="G55" s="32">
        <v>11.9</v>
      </c>
      <c r="H55" s="32">
        <v>13</v>
      </c>
      <c r="I55" s="32">
        <v>14.1</v>
      </c>
      <c r="J55" s="32">
        <v>16.600000000000001</v>
      </c>
      <c r="K55" s="32">
        <v>19.3</v>
      </c>
      <c r="L55" s="32">
        <v>22.1</v>
      </c>
      <c r="M55" s="32">
        <v>25.2</v>
      </c>
      <c r="N55" s="32">
        <v>28.4</v>
      </c>
      <c r="O55" s="32">
        <v>31.8</v>
      </c>
      <c r="P55" s="32">
        <v>35.5</v>
      </c>
      <c r="Q55" s="32">
        <v>39.299999999999997</v>
      </c>
    </row>
    <row r="56" spans="1:17" x14ac:dyDescent="0.3">
      <c r="A56" s="189"/>
      <c r="B56" s="32">
        <v>50</v>
      </c>
      <c r="C56" s="36" t="s">
        <v>1</v>
      </c>
      <c r="D56" s="32">
        <v>7.6</v>
      </c>
      <c r="E56" s="32">
        <v>8.4</v>
      </c>
      <c r="F56" s="32">
        <v>9.3000000000000007</v>
      </c>
      <c r="G56" s="32">
        <v>10.199999999999999</v>
      </c>
      <c r="H56" s="32">
        <v>11.1</v>
      </c>
      <c r="I56" s="32">
        <v>12.1</v>
      </c>
      <c r="J56" s="32">
        <v>14.2</v>
      </c>
      <c r="K56" s="32">
        <v>16.5</v>
      </c>
      <c r="L56" s="32">
        <v>18.899999999999999</v>
      </c>
      <c r="M56" s="32">
        <v>21.5</v>
      </c>
      <c r="N56" s="32">
        <v>24.3</v>
      </c>
      <c r="O56" s="32">
        <v>27.2</v>
      </c>
      <c r="P56" s="32">
        <v>30.3</v>
      </c>
      <c r="Q56" s="32">
        <v>33.6</v>
      </c>
    </row>
    <row r="57" spans="1:17" x14ac:dyDescent="0.3">
      <c r="A57" s="189"/>
      <c r="B57" s="32">
        <v>100</v>
      </c>
      <c r="C57" s="36" t="s">
        <v>1</v>
      </c>
      <c r="D57" s="32">
        <v>6.6</v>
      </c>
      <c r="E57" s="32">
        <v>7.3</v>
      </c>
      <c r="F57" s="32">
        <v>8.1</v>
      </c>
      <c r="G57" s="32">
        <v>8.9</v>
      </c>
      <c r="H57" s="32">
        <v>9.6999999999999993</v>
      </c>
      <c r="I57" s="32">
        <v>10.5</v>
      </c>
      <c r="J57" s="32">
        <v>12.4</v>
      </c>
      <c r="K57" s="32">
        <v>14.3</v>
      </c>
      <c r="L57" s="32">
        <v>16.5</v>
      </c>
      <c r="M57" s="32">
        <v>18.7</v>
      </c>
      <c r="N57" s="32">
        <v>21.1</v>
      </c>
      <c r="O57" s="32">
        <v>23.7</v>
      </c>
      <c r="P57" s="32">
        <v>26.4</v>
      </c>
      <c r="Q57" s="32">
        <v>29.3</v>
      </c>
    </row>
    <row r="58" spans="1:17" x14ac:dyDescent="0.3">
      <c r="A58" s="189"/>
      <c r="B58" s="32">
        <v>10</v>
      </c>
      <c r="C58" s="36" t="s">
        <v>2</v>
      </c>
      <c r="D58" s="32">
        <v>9.8000000000000007</v>
      </c>
      <c r="E58" s="32">
        <v>10.9</v>
      </c>
      <c r="F58" s="32">
        <v>12</v>
      </c>
      <c r="G58" s="32">
        <v>13.2</v>
      </c>
      <c r="H58" s="32">
        <v>14.4</v>
      </c>
      <c r="I58" s="32">
        <v>15.7</v>
      </c>
      <c r="J58" s="32">
        <v>18.399999999999999</v>
      </c>
      <c r="K58" s="32">
        <v>21.4</v>
      </c>
      <c r="L58" s="32">
        <v>24.5</v>
      </c>
      <c r="M58" s="32">
        <v>27.9</v>
      </c>
      <c r="N58" s="32">
        <v>31.5</v>
      </c>
      <c r="O58" s="32">
        <v>35.299999999999997</v>
      </c>
      <c r="P58" s="32">
        <v>39.4</v>
      </c>
      <c r="Q58" s="32">
        <v>43.6</v>
      </c>
    </row>
    <row r="59" spans="1:17" x14ac:dyDescent="0.3">
      <c r="A59" s="189"/>
      <c r="B59" s="32">
        <v>20</v>
      </c>
      <c r="C59" s="36" t="s">
        <v>2</v>
      </c>
      <c r="D59" s="32">
        <v>8.9</v>
      </c>
      <c r="E59" s="32">
        <v>9.8000000000000007</v>
      </c>
      <c r="F59" s="32">
        <v>10.8</v>
      </c>
      <c r="G59" s="32">
        <v>11.9</v>
      </c>
      <c r="H59" s="32">
        <v>13</v>
      </c>
      <c r="I59" s="32">
        <v>14.1</v>
      </c>
      <c r="J59" s="32">
        <v>16.600000000000001</v>
      </c>
      <c r="K59" s="32">
        <v>19.3</v>
      </c>
      <c r="L59" s="32">
        <v>22.1</v>
      </c>
      <c r="M59" s="32">
        <v>25.2</v>
      </c>
      <c r="N59" s="32">
        <v>28.4</v>
      </c>
      <c r="O59" s="32">
        <v>31.8</v>
      </c>
      <c r="P59" s="32">
        <v>35.5</v>
      </c>
      <c r="Q59" s="32">
        <v>39.299999999999997</v>
      </c>
    </row>
    <row r="60" spans="1:17" x14ac:dyDescent="0.3">
      <c r="A60" s="189"/>
      <c r="B60" s="32">
        <v>50</v>
      </c>
      <c r="C60" s="36" t="s">
        <v>2</v>
      </c>
      <c r="D60" s="32">
        <v>7.6</v>
      </c>
      <c r="E60" s="32">
        <v>8.4</v>
      </c>
      <c r="F60" s="32">
        <v>9.3000000000000007</v>
      </c>
      <c r="G60" s="32">
        <v>10.199999999999999</v>
      </c>
      <c r="H60" s="32">
        <v>11.1</v>
      </c>
      <c r="I60" s="32">
        <v>12.1</v>
      </c>
      <c r="J60" s="32">
        <v>14.2</v>
      </c>
      <c r="K60" s="32">
        <v>16.5</v>
      </c>
      <c r="L60" s="32">
        <v>18.899999999999999</v>
      </c>
      <c r="M60" s="32">
        <v>21.5</v>
      </c>
      <c r="N60" s="32">
        <v>24.3</v>
      </c>
      <c r="O60" s="32">
        <v>27.2</v>
      </c>
      <c r="P60" s="32">
        <v>30.3</v>
      </c>
      <c r="Q60" s="32">
        <v>33.6</v>
      </c>
    </row>
    <row r="61" spans="1:17" x14ac:dyDescent="0.3">
      <c r="A61" s="189"/>
      <c r="B61" s="32">
        <v>100</v>
      </c>
      <c r="C61" s="36" t="s">
        <v>2</v>
      </c>
      <c r="D61" s="32">
        <v>6.6</v>
      </c>
      <c r="E61" s="32">
        <v>7.3</v>
      </c>
      <c r="F61" s="32">
        <v>8.1</v>
      </c>
      <c r="G61" s="32">
        <v>8.9</v>
      </c>
      <c r="H61" s="32">
        <v>9.6999999999999993</v>
      </c>
      <c r="I61" s="32">
        <v>10.5</v>
      </c>
      <c r="J61" s="32">
        <v>12.4</v>
      </c>
      <c r="K61" s="32">
        <v>14.3</v>
      </c>
      <c r="L61" s="32">
        <v>16.5</v>
      </c>
      <c r="M61" s="32">
        <v>18.7</v>
      </c>
      <c r="N61" s="32">
        <v>21.1</v>
      </c>
      <c r="O61" s="32">
        <v>23.7</v>
      </c>
      <c r="P61" s="32">
        <v>26.4</v>
      </c>
      <c r="Q61" s="32">
        <v>29.3</v>
      </c>
    </row>
    <row r="62" spans="1:17" x14ac:dyDescent="0.3">
      <c r="A62" s="189"/>
      <c r="B62" s="32">
        <v>10</v>
      </c>
      <c r="C62" s="36" t="s">
        <v>3</v>
      </c>
      <c r="D62" s="32">
        <v>9.8000000000000007</v>
      </c>
      <c r="E62" s="32">
        <v>10.9</v>
      </c>
      <c r="F62" s="32">
        <v>12</v>
      </c>
      <c r="G62" s="32">
        <v>13.2</v>
      </c>
      <c r="H62" s="32">
        <v>14.4</v>
      </c>
      <c r="I62" s="32">
        <v>15.7</v>
      </c>
      <c r="J62" s="32">
        <v>18.399999999999999</v>
      </c>
      <c r="K62" s="32">
        <v>21.4</v>
      </c>
      <c r="L62" s="32">
        <v>24.5</v>
      </c>
      <c r="M62" s="32">
        <v>27.9</v>
      </c>
      <c r="N62" s="32">
        <v>31.5</v>
      </c>
      <c r="O62" s="32">
        <v>35.299999999999997</v>
      </c>
      <c r="P62" s="32">
        <v>39.4</v>
      </c>
      <c r="Q62" s="32">
        <v>43.6</v>
      </c>
    </row>
    <row r="63" spans="1:17" x14ac:dyDescent="0.3">
      <c r="A63" s="189"/>
      <c r="B63" s="32">
        <v>20</v>
      </c>
      <c r="C63" s="36" t="s">
        <v>3</v>
      </c>
      <c r="D63" s="32">
        <v>8.9</v>
      </c>
      <c r="E63" s="32">
        <v>9.8000000000000007</v>
      </c>
      <c r="F63" s="32">
        <v>10.8</v>
      </c>
      <c r="G63" s="32">
        <v>11.9</v>
      </c>
      <c r="H63" s="32">
        <v>13</v>
      </c>
      <c r="I63" s="32">
        <v>14.1</v>
      </c>
      <c r="J63" s="32">
        <v>16.600000000000001</v>
      </c>
      <c r="K63" s="32">
        <v>19.3</v>
      </c>
      <c r="L63" s="32">
        <v>22.1</v>
      </c>
      <c r="M63" s="32">
        <v>25.2</v>
      </c>
      <c r="N63" s="32">
        <v>28.4</v>
      </c>
      <c r="O63" s="32">
        <v>31.8</v>
      </c>
      <c r="P63" s="32">
        <v>35.5</v>
      </c>
      <c r="Q63" s="32">
        <v>39.299999999999997</v>
      </c>
    </row>
    <row r="64" spans="1:17" x14ac:dyDescent="0.3">
      <c r="A64" s="189"/>
      <c r="B64" s="32">
        <v>50</v>
      </c>
      <c r="C64" s="36" t="s">
        <v>3</v>
      </c>
      <c r="D64" s="32">
        <v>7.6</v>
      </c>
      <c r="E64" s="32">
        <v>8.4</v>
      </c>
      <c r="F64" s="32">
        <v>9.3000000000000007</v>
      </c>
      <c r="G64" s="32">
        <v>10.199999999999999</v>
      </c>
      <c r="H64" s="32">
        <v>11.1</v>
      </c>
      <c r="I64" s="32">
        <v>12.1</v>
      </c>
      <c r="J64" s="32">
        <v>14.2</v>
      </c>
      <c r="K64" s="32">
        <v>16.5</v>
      </c>
      <c r="L64" s="32">
        <v>18.899999999999999</v>
      </c>
      <c r="M64" s="32">
        <v>21.5</v>
      </c>
      <c r="N64" s="32">
        <v>24.3</v>
      </c>
      <c r="O64" s="32">
        <v>27.2</v>
      </c>
      <c r="P64" s="32">
        <v>30.3</v>
      </c>
      <c r="Q64" s="32">
        <v>33.6</v>
      </c>
    </row>
    <row r="65" spans="1:17" x14ac:dyDescent="0.3">
      <c r="A65" s="189"/>
      <c r="B65" s="32">
        <v>100</v>
      </c>
      <c r="C65" s="36" t="s">
        <v>3</v>
      </c>
      <c r="D65" s="32">
        <v>6.6</v>
      </c>
      <c r="E65" s="32">
        <v>7.3</v>
      </c>
      <c r="F65" s="32">
        <v>8.1</v>
      </c>
      <c r="G65" s="32">
        <v>8.9</v>
      </c>
      <c r="H65" s="32">
        <v>9.6999999999999993</v>
      </c>
      <c r="I65" s="32">
        <v>10.5</v>
      </c>
      <c r="J65" s="32">
        <v>12.4</v>
      </c>
      <c r="K65" s="32">
        <v>14.3</v>
      </c>
      <c r="L65" s="32">
        <v>16.5</v>
      </c>
      <c r="M65" s="32">
        <v>18.7</v>
      </c>
      <c r="N65" s="32">
        <v>21.1</v>
      </c>
      <c r="O65" s="32">
        <v>23.7</v>
      </c>
      <c r="P65" s="32">
        <v>26.4</v>
      </c>
      <c r="Q65" s="32">
        <v>29.3</v>
      </c>
    </row>
    <row r="66" spans="1:17" x14ac:dyDescent="0.3">
      <c r="A66" s="189"/>
      <c r="B66" s="32">
        <v>10</v>
      </c>
      <c r="C66" s="36" t="s">
        <v>4</v>
      </c>
      <c r="D66" s="32">
        <v>9.8000000000000007</v>
      </c>
      <c r="E66" s="32">
        <v>10.9</v>
      </c>
      <c r="F66" s="32">
        <v>12</v>
      </c>
      <c r="G66" s="32">
        <v>13.2</v>
      </c>
      <c r="H66" s="32">
        <v>14.4</v>
      </c>
      <c r="I66" s="32">
        <v>15.7</v>
      </c>
      <c r="J66" s="32">
        <v>18.399999999999999</v>
      </c>
      <c r="K66" s="32">
        <v>21.4</v>
      </c>
      <c r="L66" s="32">
        <v>24.5</v>
      </c>
      <c r="M66" s="32">
        <v>27.9</v>
      </c>
      <c r="N66" s="32">
        <v>31.5</v>
      </c>
      <c r="O66" s="32">
        <v>35.299999999999997</v>
      </c>
      <c r="P66" s="32">
        <v>39.4</v>
      </c>
      <c r="Q66" s="32">
        <v>43.6</v>
      </c>
    </row>
    <row r="67" spans="1:17" x14ac:dyDescent="0.3">
      <c r="A67" s="189"/>
      <c r="B67" s="32">
        <v>20</v>
      </c>
      <c r="C67" s="36" t="s">
        <v>4</v>
      </c>
      <c r="D67" s="32">
        <v>8.9</v>
      </c>
      <c r="E67" s="32">
        <v>9.8000000000000007</v>
      </c>
      <c r="F67" s="32">
        <v>10.8</v>
      </c>
      <c r="G67" s="32">
        <v>11.9</v>
      </c>
      <c r="H67" s="32">
        <v>13</v>
      </c>
      <c r="I67" s="32">
        <v>14.1</v>
      </c>
      <c r="J67" s="32">
        <v>16.600000000000001</v>
      </c>
      <c r="K67" s="32">
        <v>19.3</v>
      </c>
      <c r="L67" s="32">
        <v>22.1</v>
      </c>
      <c r="M67" s="32">
        <v>25.2</v>
      </c>
      <c r="N67" s="32">
        <v>28.4</v>
      </c>
      <c r="O67" s="32">
        <v>31.8</v>
      </c>
      <c r="P67" s="32">
        <v>35.5</v>
      </c>
      <c r="Q67" s="32">
        <v>39.299999999999997</v>
      </c>
    </row>
    <row r="68" spans="1:17" x14ac:dyDescent="0.3">
      <c r="A68" s="189"/>
      <c r="B68" s="32">
        <v>50</v>
      </c>
      <c r="C68" s="36" t="s">
        <v>4</v>
      </c>
      <c r="D68" s="32">
        <v>7.6</v>
      </c>
      <c r="E68" s="32">
        <v>8.4</v>
      </c>
      <c r="F68" s="32">
        <v>9.3000000000000007</v>
      </c>
      <c r="G68" s="32">
        <v>10.199999999999999</v>
      </c>
      <c r="H68" s="32">
        <v>11.1</v>
      </c>
      <c r="I68" s="32">
        <v>12.1</v>
      </c>
      <c r="J68" s="32">
        <v>14.2</v>
      </c>
      <c r="K68" s="32">
        <v>16.5</v>
      </c>
      <c r="L68" s="32">
        <v>18.899999999999999</v>
      </c>
      <c r="M68" s="32">
        <v>21.5</v>
      </c>
      <c r="N68" s="32">
        <v>24.3</v>
      </c>
      <c r="O68" s="32">
        <v>27.2</v>
      </c>
      <c r="P68" s="32">
        <v>30.3</v>
      </c>
      <c r="Q68" s="32">
        <v>33.6</v>
      </c>
    </row>
    <row r="69" spans="1:17" x14ac:dyDescent="0.3">
      <c r="A69" s="189"/>
      <c r="B69" s="32">
        <v>100</v>
      </c>
      <c r="C69" s="36" t="s">
        <v>4</v>
      </c>
      <c r="D69" s="32">
        <v>6.6</v>
      </c>
      <c r="E69" s="32">
        <v>7.3</v>
      </c>
      <c r="F69" s="32">
        <v>8.1</v>
      </c>
      <c r="G69" s="32">
        <v>8.9</v>
      </c>
      <c r="H69" s="32">
        <v>9.6999999999999993</v>
      </c>
      <c r="I69" s="32">
        <v>10.5</v>
      </c>
      <c r="J69" s="32">
        <v>12.4</v>
      </c>
      <c r="K69" s="32">
        <v>14.3</v>
      </c>
      <c r="L69" s="32">
        <v>16.5</v>
      </c>
      <c r="M69" s="32">
        <v>18.7</v>
      </c>
      <c r="N69" s="32">
        <v>21.1</v>
      </c>
      <c r="O69" s="32">
        <v>23.7</v>
      </c>
      <c r="P69" s="32">
        <v>26.4</v>
      </c>
      <c r="Q69" s="32">
        <v>29.3</v>
      </c>
    </row>
    <row r="70" spans="1:17" x14ac:dyDescent="0.3">
      <c r="A70" s="189"/>
      <c r="B70" s="32">
        <v>10</v>
      </c>
      <c r="C70" s="36" t="s">
        <v>5</v>
      </c>
      <c r="D70" s="32">
        <v>9.8000000000000007</v>
      </c>
      <c r="E70" s="32">
        <v>10.9</v>
      </c>
      <c r="F70" s="32">
        <v>12</v>
      </c>
      <c r="G70" s="32">
        <v>13.2</v>
      </c>
      <c r="H70" s="32">
        <v>14.4</v>
      </c>
      <c r="I70" s="32">
        <v>15.7</v>
      </c>
      <c r="J70" s="32">
        <v>18.399999999999999</v>
      </c>
      <c r="K70" s="32">
        <v>21.4</v>
      </c>
      <c r="L70" s="32">
        <v>24.5</v>
      </c>
      <c r="M70" s="32">
        <v>27.9</v>
      </c>
      <c r="N70" s="32">
        <v>31.5</v>
      </c>
      <c r="O70" s="32">
        <v>35.299999999999997</v>
      </c>
      <c r="P70" s="32">
        <v>39.4</v>
      </c>
      <c r="Q70" s="32">
        <v>43.6</v>
      </c>
    </row>
    <row r="71" spans="1:17" x14ac:dyDescent="0.3">
      <c r="A71" s="189"/>
      <c r="B71" s="32">
        <v>20</v>
      </c>
      <c r="C71" s="36" t="s">
        <v>5</v>
      </c>
      <c r="D71" s="32">
        <v>8.9</v>
      </c>
      <c r="E71" s="32">
        <v>9.8000000000000007</v>
      </c>
      <c r="F71" s="32">
        <v>10.8</v>
      </c>
      <c r="G71" s="32">
        <v>11.9</v>
      </c>
      <c r="H71" s="32">
        <v>13</v>
      </c>
      <c r="I71" s="32">
        <v>14.1</v>
      </c>
      <c r="J71" s="32">
        <v>16.600000000000001</v>
      </c>
      <c r="K71" s="32">
        <v>19.3</v>
      </c>
      <c r="L71" s="32">
        <v>22.1</v>
      </c>
      <c r="M71" s="32">
        <v>25.2</v>
      </c>
      <c r="N71" s="32">
        <v>28.4</v>
      </c>
      <c r="O71" s="32">
        <v>31.8</v>
      </c>
      <c r="P71" s="32">
        <v>35.5</v>
      </c>
      <c r="Q71" s="32">
        <v>39.299999999999997</v>
      </c>
    </row>
    <row r="72" spans="1:17" x14ac:dyDescent="0.3">
      <c r="A72" s="189"/>
      <c r="B72" s="32">
        <v>50</v>
      </c>
      <c r="C72" s="36" t="s">
        <v>5</v>
      </c>
      <c r="D72" s="32">
        <v>7.6</v>
      </c>
      <c r="E72" s="32">
        <v>8.4</v>
      </c>
      <c r="F72" s="32">
        <v>9.3000000000000007</v>
      </c>
      <c r="G72" s="32">
        <v>10.199999999999999</v>
      </c>
      <c r="H72" s="32">
        <v>11.1</v>
      </c>
      <c r="I72" s="32">
        <v>12.1</v>
      </c>
      <c r="J72" s="32">
        <v>14.2</v>
      </c>
      <c r="K72" s="32">
        <v>16.5</v>
      </c>
      <c r="L72" s="32">
        <v>18.899999999999999</v>
      </c>
      <c r="M72" s="32">
        <v>21.5</v>
      </c>
      <c r="N72" s="32">
        <v>24.3</v>
      </c>
      <c r="O72" s="32">
        <v>27.2</v>
      </c>
      <c r="P72" s="32">
        <v>30.3</v>
      </c>
      <c r="Q72" s="32">
        <v>33.6</v>
      </c>
    </row>
    <row r="73" spans="1:17" x14ac:dyDescent="0.3">
      <c r="A73" s="189"/>
      <c r="B73" s="32">
        <v>100</v>
      </c>
      <c r="C73" s="36" t="s">
        <v>5</v>
      </c>
      <c r="D73" s="32">
        <v>6.6</v>
      </c>
      <c r="E73" s="32">
        <v>7.3</v>
      </c>
      <c r="F73" s="32">
        <v>8.1</v>
      </c>
      <c r="G73" s="32">
        <v>8.9</v>
      </c>
      <c r="H73" s="32">
        <v>9.6999999999999993</v>
      </c>
      <c r="I73" s="32">
        <v>10.5</v>
      </c>
      <c r="J73" s="32">
        <v>12.4</v>
      </c>
      <c r="K73" s="32">
        <v>14.3</v>
      </c>
      <c r="L73" s="32">
        <v>16.5</v>
      </c>
      <c r="M73" s="32">
        <v>18.7</v>
      </c>
      <c r="N73" s="32">
        <v>21.1</v>
      </c>
      <c r="O73" s="32">
        <v>23.7</v>
      </c>
      <c r="P73" s="32">
        <v>26.4</v>
      </c>
      <c r="Q73" s="32">
        <v>29.3</v>
      </c>
    </row>
    <row r="74" spans="1:17" ht="15" customHeight="1" x14ac:dyDescent="0.3">
      <c r="A74" s="189" t="s">
        <v>10</v>
      </c>
      <c r="B74" s="32">
        <v>10</v>
      </c>
      <c r="C74" s="36">
        <v>1</v>
      </c>
      <c r="D74" s="32">
        <v>14.9</v>
      </c>
      <c r="E74" s="32">
        <v>16.5</v>
      </c>
      <c r="F74" s="32">
        <v>18.2</v>
      </c>
      <c r="G74" s="32">
        <v>19.899999999999999</v>
      </c>
      <c r="H74" s="32">
        <v>21.8</v>
      </c>
      <c r="I74" s="32">
        <v>23.7</v>
      </c>
      <c r="J74" s="32">
        <v>27.8</v>
      </c>
      <c r="K74" s="32">
        <v>32.200000000000003</v>
      </c>
      <c r="L74" s="32">
        <v>37</v>
      </c>
      <c r="M74" s="32">
        <v>42.1</v>
      </c>
      <c r="N74" s="32">
        <v>47.6</v>
      </c>
      <c r="O74" s="32">
        <v>53.3</v>
      </c>
      <c r="P74" s="32">
        <v>59.4</v>
      </c>
      <c r="Q74" s="32">
        <v>65.900000000000006</v>
      </c>
    </row>
    <row r="75" spans="1:17" x14ac:dyDescent="0.3">
      <c r="A75" s="189"/>
      <c r="B75" s="32">
        <v>20</v>
      </c>
      <c r="C75" s="36">
        <v>1</v>
      </c>
      <c r="D75" s="32">
        <v>13.2</v>
      </c>
      <c r="E75" s="32">
        <v>14.6</v>
      </c>
      <c r="F75" s="32">
        <v>16.100000000000001</v>
      </c>
      <c r="G75" s="32">
        <v>17.7</v>
      </c>
      <c r="H75" s="32">
        <v>19.3</v>
      </c>
      <c r="I75" s="32">
        <v>21.1</v>
      </c>
      <c r="J75" s="32">
        <v>24.7</v>
      </c>
      <c r="K75" s="32">
        <v>28.7</v>
      </c>
      <c r="L75" s="32">
        <v>32.9</v>
      </c>
      <c r="M75" s="32">
        <v>37.4</v>
      </c>
      <c r="N75" s="32">
        <v>42.3</v>
      </c>
      <c r="O75" s="32">
        <v>47.4</v>
      </c>
      <c r="P75" s="32">
        <v>52.8</v>
      </c>
      <c r="Q75" s="32">
        <v>58.5</v>
      </c>
    </row>
    <row r="76" spans="1:17" x14ac:dyDescent="0.3">
      <c r="A76" s="189"/>
      <c r="B76" s="32">
        <v>50</v>
      </c>
      <c r="C76" s="36">
        <v>1</v>
      </c>
      <c r="D76" s="32">
        <v>11</v>
      </c>
      <c r="E76" s="32">
        <v>12.2</v>
      </c>
      <c r="F76" s="32">
        <v>13.5</v>
      </c>
      <c r="G76" s="32">
        <v>14.8</v>
      </c>
      <c r="H76" s="32">
        <v>16.100000000000001</v>
      </c>
      <c r="I76" s="32">
        <v>17.600000000000001</v>
      </c>
      <c r="J76" s="32">
        <v>20.6</v>
      </c>
      <c r="K76" s="32">
        <v>23.9</v>
      </c>
      <c r="L76" s="32">
        <v>27.5</v>
      </c>
      <c r="M76" s="32">
        <v>31.2</v>
      </c>
      <c r="N76" s="32">
        <v>35.299999999999997</v>
      </c>
      <c r="O76" s="32">
        <v>39.5</v>
      </c>
      <c r="P76" s="32">
        <v>44</v>
      </c>
      <c r="Q76" s="32">
        <v>48.8</v>
      </c>
    </row>
    <row r="77" spans="1:17" x14ac:dyDescent="0.3">
      <c r="A77" s="189"/>
      <c r="B77" s="32">
        <v>100</v>
      </c>
      <c r="C77" s="36">
        <v>1</v>
      </c>
      <c r="D77" s="32">
        <v>9.4</v>
      </c>
      <c r="E77" s="32">
        <v>10.4</v>
      </c>
      <c r="F77" s="32">
        <v>11.4</v>
      </c>
      <c r="G77" s="32">
        <v>12.5</v>
      </c>
      <c r="H77" s="32">
        <v>13.7</v>
      </c>
      <c r="I77" s="32">
        <v>14.9</v>
      </c>
      <c r="J77" s="32">
        <v>17.5</v>
      </c>
      <c r="K77" s="32">
        <v>20.3</v>
      </c>
      <c r="L77" s="32">
        <v>23.3</v>
      </c>
      <c r="M77" s="32">
        <v>26.5</v>
      </c>
      <c r="N77" s="32">
        <v>30</v>
      </c>
      <c r="O77" s="32">
        <v>33.6</v>
      </c>
      <c r="P77" s="32">
        <v>37.4</v>
      </c>
      <c r="Q77" s="32">
        <v>41.5</v>
      </c>
    </row>
    <row r="78" spans="1:17" x14ac:dyDescent="0.3">
      <c r="A78" s="189"/>
      <c r="B78" s="32">
        <v>10</v>
      </c>
      <c r="C78" s="36" t="s">
        <v>1</v>
      </c>
      <c r="D78" s="32">
        <v>14.9</v>
      </c>
      <c r="E78" s="32">
        <v>16.5</v>
      </c>
      <c r="F78" s="32">
        <v>18.2</v>
      </c>
      <c r="G78" s="32">
        <v>19.899999999999999</v>
      </c>
      <c r="H78" s="32">
        <v>21.8</v>
      </c>
      <c r="I78" s="32">
        <v>23.7</v>
      </c>
      <c r="J78" s="32">
        <v>27.8</v>
      </c>
      <c r="K78" s="32">
        <v>32.200000000000003</v>
      </c>
      <c r="L78" s="32">
        <v>37</v>
      </c>
      <c r="M78" s="32">
        <v>42.1</v>
      </c>
      <c r="N78" s="32">
        <v>47.6</v>
      </c>
      <c r="O78" s="32">
        <v>53.3</v>
      </c>
      <c r="P78" s="32">
        <v>59.4</v>
      </c>
      <c r="Q78" s="32">
        <v>65.900000000000006</v>
      </c>
    </row>
    <row r="79" spans="1:17" x14ac:dyDescent="0.3">
      <c r="A79" s="189"/>
      <c r="B79" s="32">
        <v>20</v>
      </c>
      <c r="C79" s="36" t="s">
        <v>1</v>
      </c>
      <c r="D79" s="32">
        <v>13.2</v>
      </c>
      <c r="E79" s="32">
        <v>14.6</v>
      </c>
      <c r="F79" s="32">
        <v>16.100000000000001</v>
      </c>
      <c r="G79" s="32">
        <v>17.7</v>
      </c>
      <c r="H79" s="32">
        <v>19.3</v>
      </c>
      <c r="I79" s="32">
        <v>21.1</v>
      </c>
      <c r="J79" s="32">
        <v>24.7</v>
      </c>
      <c r="K79" s="32">
        <v>28.7</v>
      </c>
      <c r="L79" s="32">
        <v>32.9</v>
      </c>
      <c r="M79" s="32">
        <v>37.4</v>
      </c>
      <c r="N79" s="32">
        <v>42.3</v>
      </c>
      <c r="O79" s="32">
        <v>47.4</v>
      </c>
      <c r="P79" s="32">
        <v>52.8</v>
      </c>
      <c r="Q79" s="32">
        <v>58.5</v>
      </c>
    </row>
    <row r="80" spans="1:17" x14ac:dyDescent="0.3">
      <c r="A80" s="189"/>
      <c r="B80" s="32">
        <v>50</v>
      </c>
      <c r="C80" s="36" t="s">
        <v>1</v>
      </c>
      <c r="D80" s="32">
        <v>11</v>
      </c>
      <c r="E80" s="32">
        <v>12.2</v>
      </c>
      <c r="F80" s="32">
        <v>13.5</v>
      </c>
      <c r="G80" s="32">
        <v>14.8</v>
      </c>
      <c r="H80" s="32">
        <v>16.100000000000001</v>
      </c>
      <c r="I80" s="32">
        <v>17.600000000000001</v>
      </c>
      <c r="J80" s="32">
        <v>20.6</v>
      </c>
      <c r="K80" s="32">
        <v>23.9</v>
      </c>
      <c r="L80" s="32">
        <v>27.5</v>
      </c>
      <c r="M80" s="32">
        <v>31.2</v>
      </c>
      <c r="N80" s="32">
        <v>35.299999999999997</v>
      </c>
      <c r="O80" s="32">
        <v>39.5</v>
      </c>
      <c r="P80" s="32">
        <v>44</v>
      </c>
      <c r="Q80" s="32">
        <v>48.8</v>
      </c>
    </row>
    <row r="81" spans="1:17" x14ac:dyDescent="0.3">
      <c r="A81" s="189"/>
      <c r="B81" s="32">
        <v>100</v>
      </c>
      <c r="C81" s="36" t="s">
        <v>1</v>
      </c>
      <c r="D81" s="32">
        <v>9.4</v>
      </c>
      <c r="E81" s="32">
        <v>10.4</v>
      </c>
      <c r="F81" s="32">
        <v>11.4</v>
      </c>
      <c r="G81" s="32">
        <v>12.5</v>
      </c>
      <c r="H81" s="32">
        <v>13.7</v>
      </c>
      <c r="I81" s="32">
        <v>14.9</v>
      </c>
      <c r="J81" s="32">
        <v>17.5</v>
      </c>
      <c r="K81" s="32">
        <v>20.3</v>
      </c>
      <c r="L81" s="32">
        <v>23.3</v>
      </c>
      <c r="M81" s="32">
        <v>26.5</v>
      </c>
      <c r="N81" s="32">
        <v>30</v>
      </c>
      <c r="O81" s="32">
        <v>33.6</v>
      </c>
      <c r="P81" s="32">
        <v>37.4</v>
      </c>
      <c r="Q81" s="32">
        <v>41.5</v>
      </c>
    </row>
    <row r="82" spans="1:17" x14ac:dyDescent="0.3">
      <c r="A82" s="189"/>
      <c r="B82" s="32">
        <v>10</v>
      </c>
      <c r="C82" s="36" t="s">
        <v>2</v>
      </c>
      <c r="D82" s="32">
        <v>14.9</v>
      </c>
      <c r="E82" s="32">
        <v>16.5</v>
      </c>
      <c r="F82" s="32">
        <v>18.2</v>
      </c>
      <c r="G82" s="32">
        <v>19.899999999999999</v>
      </c>
      <c r="H82" s="32">
        <v>21.8</v>
      </c>
      <c r="I82" s="32">
        <v>23.7</v>
      </c>
      <c r="J82" s="32">
        <v>27.8</v>
      </c>
      <c r="K82" s="32">
        <v>32.200000000000003</v>
      </c>
      <c r="L82" s="32">
        <v>37</v>
      </c>
      <c r="M82" s="32">
        <v>42.1</v>
      </c>
      <c r="N82" s="32">
        <v>47.6</v>
      </c>
      <c r="O82" s="32">
        <v>53.3</v>
      </c>
      <c r="P82" s="32">
        <v>59.4</v>
      </c>
      <c r="Q82" s="32">
        <v>65.900000000000006</v>
      </c>
    </row>
    <row r="83" spans="1:17" x14ac:dyDescent="0.3">
      <c r="A83" s="189"/>
      <c r="B83" s="32">
        <v>20</v>
      </c>
      <c r="C83" s="36" t="s">
        <v>2</v>
      </c>
      <c r="D83" s="32">
        <v>13.2</v>
      </c>
      <c r="E83" s="32">
        <v>14.6</v>
      </c>
      <c r="F83" s="32">
        <v>16.100000000000001</v>
      </c>
      <c r="G83" s="32">
        <v>17.7</v>
      </c>
      <c r="H83" s="32">
        <v>19.3</v>
      </c>
      <c r="I83" s="32">
        <v>21.1</v>
      </c>
      <c r="J83" s="32">
        <v>24.7</v>
      </c>
      <c r="K83" s="32">
        <v>28.7</v>
      </c>
      <c r="L83" s="32">
        <v>32.9</v>
      </c>
      <c r="M83" s="32">
        <v>37.4</v>
      </c>
      <c r="N83" s="32">
        <v>42.3</v>
      </c>
      <c r="O83" s="32">
        <v>47.4</v>
      </c>
      <c r="P83" s="32">
        <v>52.8</v>
      </c>
      <c r="Q83" s="32">
        <v>58.5</v>
      </c>
    </row>
    <row r="84" spans="1:17" x14ac:dyDescent="0.3">
      <c r="A84" s="189"/>
      <c r="B84" s="32">
        <v>50</v>
      </c>
      <c r="C84" s="36" t="s">
        <v>2</v>
      </c>
      <c r="D84" s="32">
        <v>11</v>
      </c>
      <c r="E84" s="32">
        <v>12.2</v>
      </c>
      <c r="F84" s="32">
        <v>13.5</v>
      </c>
      <c r="G84" s="32">
        <v>14.8</v>
      </c>
      <c r="H84" s="32">
        <v>16.100000000000001</v>
      </c>
      <c r="I84" s="32">
        <v>17.600000000000001</v>
      </c>
      <c r="J84" s="32">
        <v>20.6</v>
      </c>
      <c r="K84" s="32">
        <v>23.9</v>
      </c>
      <c r="L84" s="32">
        <v>27.5</v>
      </c>
      <c r="M84" s="32">
        <v>31.2</v>
      </c>
      <c r="N84" s="32">
        <v>35.299999999999997</v>
      </c>
      <c r="O84" s="32">
        <v>39.5</v>
      </c>
      <c r="P84" s="32">
        <v>44</v>
      </c>
      <c r="Q84" s="32">
        <v>48.8</v>
      </c>
    </row>
    <row r="85" spans="1:17" x14ac:dyDescent="0.3">
      <c r="A85" s="189"/>
      <c r="B85" s="32">
        <v>100</v>
      </c>
      <c r="C85" s="36" t="s">
        <v>2</v>
      </c>
      <c r="D85" s="32">
        <v>9.4</v>
      </c>
      <c r="E85" s="32">
        <v>10.4</v>
      </c>
      <c r="F85" s="32">
        <v>11.4</v>
      </c>
      <c r="G85" s="32">
        <v>12.5</v>
      </c>
      <c r="H85" s="32">
        <v>13.7</v>
      </c>
      <c r="I85" s="32">
        <v>14.9</v>
      </c>
      <c r="J85" s="32">
        <v>17.5</v>
      </c>
      <c r="K85" s="32">
        <v>20.3</v>
      </c>
      <c r="L85" s="32">
        <v>23.3</v>
      </c>
      <c r="M85" s="32">
        <v>26.5</v>
      </c>
      <c r="N85" s="32">
        <v>30</v>
      </c>
      <c r="O85" s="32">
        <v>33.6</v>
      </c>
      <c r="P85" s="32">
        <v>37.4</v>
      </c>
      <c r="Q85" s="32">
        <v>41.5</v>
      </c>
    </row>
    <row r="86" spans="1:17" x14ac:dyDescent="0.3">
      <c r="A86" s="189"/>
      <c r="B86" s="32">
        <v>10</v>
      </c>
      <c r="C86" s="36" t="s">
        <v>3</v>
      </c>
      <c r="D86" s="32">
        <v>14.9</v>
      </c>
      <c r="E86" s="32">
        <v>16.5</v>
      </c>
      <c r="F86" s="32">
        <v>18.2</v>
      </c>
      <c r="G86" s="32">
        <v>19.899999999999999</v>
      </c>
      <c r="H86" s="32">
        <v>21.8</v>
      </c>
      <c r="I86" s="32">
        <v>23.7</v>
      </c>
      <c r="J86" s="32">
        <v>27.8</v>
      </c>
      <c r="K86" s="32">
        <v>32.200000000000003</v>
      </c>
      <c r="L86" s="32">
        <v>37</v>
      </c>
      <c r="M86" s="32">
        <v>42.1</v>
      </c>
      <c r="N86" s="32">
        <v>47.6</v>
      </c>
      <c r="O86" s="32">
        <v>53.3</v>
      </c>
      <c r="P86" s="32">
        <v>59.4</v>
      </c>
      <c r="Q86" s="32">
        <v>65.900000000000006</v>
      </c>
    </row>
    <row r="87" spans="1:17" x14ac:dyDescent="0.3">
      <c r="A87" s="189"/>
      <c r="B87" s="32">
        <v>20</v>
      </c>
      <c r="C87" s="36" t="s">
        <v>3</v>
      </c>
      <c r="D87" s="32">
        <v>13.2</v>
      </c>
      <c r="E87" s="32">
        <v>14.6</v>
      </c>
      <c r="F87" s="32">
        <v>16.100000000000001</v>
      </c>
      <c r="G87" s="32">
        <v>17.7</v>
      </c>
      <c r="H87" s="32">
        <v>19.3</v>
      </c>
      <c r="I87" s="32">
        <v>21.1</v>
      </c>
      <c r="J87" s="32">
        <v>24.7</v>
      </c>
      <c r="K87" s="32">
        <v>28.7</v>
      </c>
      <c r="L87" s="32">
        <v>32.9</v>
      </c>
      <c r="M87" s="32">
        <v>37.4</v>
      </c>
      <c r="N87" s="32">
        <v>42.3</v>
      </c>
      <c r="O87" s="32">
        <v>47.4</v>
      </c>
      <c r="P87" s="32">
        <v>52.8</v>
      </c>
      <c r="Q87" s="32">
        <v>58.5</v>
      </c>
    </row>
    <row r="88" spans="1:17" x14ac:dyDescent="0.3">
      <c r="A88" s="189"/>
      <c r="B88" s="32">
        <v>50</v>
      </c>
      <c r="C88" s="36" t="s">
        <v>3</v>
      </c>
      <c r="D88" s="32">
        <v>11</v>
      </c>
      <c r="E88" s="32">
        <v>12.2</v>
      </c>
      <c r="F88" s="32">
        <v>13.5</v>
      </c>
      <c r="G88" s="32">
        <v>14.8</v>
      </c>
      <c r="H88" s="32">
        <v>16.100000000000001</v>
      </c>
      <c r="I88" s="32">
        <v>17.600000000000001</v>
      </c>
      <c r="J88" s="32">
        <v>20.6</v>
      </c>
      <c r="K88" s="32">
        <v>23.9</v>
      </c>
      <c r="L88" s="32">
        <v>27.5</v>
      </c>
      <c r="M88" s="32">
        <v>31.2</v>
      </c>
      <c r="N88" s="32">
        <v>35.299999999999997</v>
      </c>
      <c r="O88" s="32">
        <v>39.5</v>
      </c>
      <c r="P88" s="32">
        <v>44</v>
      </c>
      <c r="Q88" s="32">
        <v>48.8</v>
      </c>
    </row>
    <row r="89" spans="1:17" x14ac:dyDescent="0.3">
      <c r="A89" s="189"/>
      <c r="B89" s="32">
        <v>100</v>
      </c>
      <c r="C89" s="36" t="s">
        <v>3</v>
      </c>
      <c r="D89" s="32">
        <v>9.4</v>
      </c>
      <c r="E89" s="32">
        <v>10.4</v>
      </c>
      <c r="F89" s="32">
        <v>11.4</v>
      </c>
      <c r="G89" s="32">
        <v>12.5</v>
      </c>
      <c r="H89" s="32">
        <v>13.7</v>
      </c>
      <c r="I89" s="32">
        <v>14.9</v>
      </c>
      <c r="J89" s="32">
        <v>17.5</v>
      </c>
      <c r="K89" s="32">
        <v>20.3</v>
      </c>
      <c r="L89" s="32">
        <v>23.3</v>
      </c>
      <c r="M89" s="32">
        <v>26.5</v>
      </c>
      <c r="N89" s="32">
        <v>30</v>
      </c>
      <c r="O89" s="32">
        <v>33.6</v>
      </c>
      <c r="P89" s="32">
        <v>37.4</v>
      </c>
      <c r="Q89" s="32">
        <v>41.5</v>
      </c>
    </row>
    <row r="90" spans="1:17" x14ac:dyDescent="0.3">
      <c r="A90" s="189"/>
      <c r="B90" s="32">
        <v>10</v>
      </c>
      <c r="C90" s="36" t="s">
        <v>4</v>
      </c>
      <c r="D90" s="32">
        <v>14.9</v>
      </c>
      <c r="E90" s="32">
        <v>16.5</v>
      </c>
      <c r="F90" s="32">
        <v>18.2</v>
      </c>
      <c r="G90" s="32">
        <v>19.899999999999999</v>
      </c>
      <c r="H90" s="32">
        <v>21.8</v>
      </c>
      <c r="I90" s="32">
        <v>23.7</v>
      </c>
      <c r="J90" s="32">
        <v>27.8</v>
      </c>
      <c r="K90" s="32">
        <v>32.200000000000003</v>
      </c>
      <c r="L90" s="32">
        <v>37</v>
      </c>
      <c r="M90" s="32">
        <v>42.1</v>
      </c>
      <c r="N90" s="32">
        <v>47.6</v>
      </c>
      <c r="O90" s="32">
        <v>53.3</v>
      </c>
      <c r="P90" s="32">
        <v>59.4</v>
      </c>
      <c r="Q90" s="32">
        <v>65.900000000000006</v>
      </c>
    </row>
    <row r="91" spans="1:17" x14ac:dyDescent="0.3">
      <c r="A91" s="189"/>
      <c r="B91" s="32">
        <v>20</v>
      </c>
      <c r="C91" s="36" t="s">
        <v>4</v>
      </c>
      <c r="D91" s="32">
        <v>13.2</v>
      </c>
      <c r="E91" s="32">
        <v>14.6</v>
      </c>
      <c r="F91" s="32">
        <v>16.100000000000001</v>
      </c>
      <c r="G91" s="32">
        <v>17.7</v>
      </c>
      <c r="H91" s="32">
        <v>19.3</v>
      </c>
      <c r="I91" s="32">
        <v>21.1</v>
      </c>
      <c r="J91" s="32">
        <v>24.7</v>
      </c>
      <c r="K91" s="32">
        <v>28.7</v>
      </c>
      <c r="L91" s="32">
        <v>32.9</v>
      </c>
      <c r="M91" s="32">
        <v>37.4</v>
      </c>
      <c r="N91" s="32">
        <v>42.3</v>
      </c>
      <c r="O91" s="32">
        <v>47.4</v>
      </c>
      <c r="P91" s="32">
        <v>52.8</v>
      </c>
      <c r="Q91" s="32">
        <v>58.5</v>
      </c>
    </row>
    <row r="92" spans="1:17" x14ac:dyDescent="0.3">
      <c r="A92" s="189"/>
      <c r="B92" s="32">
        <v>50</v>
      </c>
      <c r="C92" s="36" t="s">
        <v>4</v>
      </c>
      <c r="D92" s="32">
        <v>11</v>
      </c>
      <c r="E92" s="32">
        <v>12.2</v>
      </c>
      <c r="F92" s="32">
        <v>13.5</v>
      </c>
      <c r="G92" s="32">
        <v>14.8</v>
      </c>
      <c r="H92" s="32">
        <v>16.100000000000001</v>
      </c>
      <c r="I92" s="32">
        <v>17.600000000000001</v>
      </c>
      <c r="J92" s="32">
        <v>20.6</v>
      </c>
      <c r="K92" s="32">
        <v>23.9</v>
      </c>
      <c r="L92" s="32">
        <v>27.5</v>
      </c>
      <c r="M92" s="32">
        <v>31.2</v>
      </c>
      <c r="N92" s="32">
        <v>35.299999999999997</v>
      </c>
      <c r="O92" s="32">
        <v>39.5</v>
      </c>
      <c r="P92" s="32">
        <v>44</v>
      </c>
      <c r="Q92" s="32">
        <v>48.8</v>
      </c>
    </row>
    <row r="93" spans="1:17" x14ac:dyDescent="0.3">
      <c r="A93" s="189"/>
      <c r="B93" s="32">
        <v>100</v>
      </c>
      <c r="C93" s="36" t="s">
        <v>4</v>
      </c>
      <c r="D93" s="32">
        <v>9.4</v>
      </c>
      <c r="E93" s="32">
        <v>10.4</v>
      </c>
      <c r="F93" s="32">
        <v>11.4</v>
      </c>
      <c r="G93" s="32">
        <v>12.5</v>
      </c>
      <c r="H93" s="32">
        <v>13.7</v>
      </c>
      <c r="I93" s="32">
        <v>14.9</v>
      </c>
      <c r="J93" s="32">
        <v>17.5</v>
      </c>
      <c r="K93" s="32">
        <v>20.3</v>
      </c>
      <c r="L93" s="32">
        <v>23.3</v>
      </c>
      <c r="M93" s="32">
        <v>26.5</v>
      </c>
      <c r="N93" s="32">
        <v>30</v>
      </c>
      <c r="O93" s="32">
        <v>33.6</v>
      </c>
      <c r="P93" s="32">
        <v>37.4</v>
      </c>
      <c r="Q93" s="32">
        <v>41.5</v>
      </c>
    </row>
    <row r="94" spans="1:17" x14ac:dyDescent="0.3">
      <c r="A94" s="189"/>
      <c r="B94" s="32">
        <v>10</v>
      </c>
      <c r="C94" s="36" t="s">
        <v>5</v>
      </c>
      <c r="D94" s="32">
        <v>14.9</v>
      </c>
      <c r="E94" s="32">
        <v>16.5</v>
      </c>
      <c r="F94" s="32">
        <v>18.2</v>
      </c>
      <c r="G94" s="32">
        <v>19.899999999999999</v>
      </c>
      <c r="H94" s="32">
        <v>21.8</v>
      </c>
      <c r="I94" s="32">
        <v>23.7</v>
      </c>
      <c r="J94" s="32">
        <v>27.8</v>
      </c>
      <c r="K94" s="32">
        <v>32.200000000000003</v>
      </c>
      <c r="L94" s="32">
        <v>37</v>
      </c>
      <c r="M94" s="32">
        <v>42.1</v>
      </c>
      <c r="N94" s="32">
        <v>47.6</v>
      </c>
      <c r="O94" s="32">
        <v>53.3</v>
      </c>
      <c r="P94" s="32">
        <v>59.4</v>
      </c>
      <c r="Q94" s="32">
        <v>65.900000000000006</v>
      </c>
    </row>
    <row r="95" spans="1:17" x14ac:dyDescent="0.3">
      <c r="A95" s="189"/>
      <c r="B95" s="32">
        <v>20</v>
      </c>
      <c r="C95" s="36" t="s">
        <v>5</v>
      </c>
      <c r="D95" s="32">
        <v>13.2</v>
      </c>
      <c r="E95" s="32">
        <v>14.6</v>
      </c>
      <c r="F95" s="32">
        <v>16.100000000000001</v>
      </c>
      <c r="G95" s="32">
        <v>17.7</v>
      </c>
      <c r="H95" s="32">
        <v>19.3</v>
      </c>
      <c r="I95" s="32">
        <v>21.1</v>
      </c>
      <c r="J95" s="32">
        <v>24.7</v>
      </c>
      <c r="K95" s="32">
        <v>28.7</v>
      </c>
      <c r="L95" s="32">
        <v>32.9</v>
      </c>
      <c r="M95" s="32">
        <v>37.4</v>
      </c>
      <c r="N95" s="32">
        <v>42.3</v>
      </c>
      <c r="O95" s="32">
        <v>47.4</v>
      </c>
      <c r="P95" s="32">
        <v>52.8</v>
      </c>
      <c r="Q95" s="32">
        <v>58.5</v>
      </c>
    </row>
    <row r="96" spans="1:17" x14ac:dyDescent="0.3">
      <c r="A96" s="189"/>
      <c r="B96" s="32">
        <v>50</v>
      </c>
      <c r="C96" s="36" t="s">
        <v>5</v>
      </c>
      <c r="D96" s="32">
        <v>11</v>
      </c>
      <c r="E96" s="32">
        <v>12.2</v>
      </c>
      <c r="F96" s="32">
        <v>13.5</v>
      </c>
      <c r="G96" s="32">
        <v>14.8</v>
      </c>
      <c r="H96" s="32">
        <v>16.100000000000001</v>
      </c>
      <c r="I96" s="32">
        <v>17.600000000000001</v>
      </c>
      <c r="J96" s="32">
        <v>20.6</v>
      </c>
      <c r="K96" s="32">
        <v>23.9</v>
      </c>
      <c r="L96" s="32">
        <v>27.5</v>
      </c>
      <c r="M96" s="32">
        <v>31.2</v>
      </c>
      <c r="N96" s="32">
        <v>35.299999999999997</v>
      </c>
      <c r="O96" s="32">
        <v>39.5</v>
      </c>
      <c r="P96" s="32">
        <v>44</v>
      </c>
      <c r="Q96" s="32">
        <v>48.8</v>
      </c>
    </row>
    <row r="97" spans="1:17" x14ac:dyDescent="0.3">
      <c r="A97" s="189"/>
      <c r="B97" s="32">
        <v>100</v>
      </c>
      <c r="C97" s="36" t="s">
        <v>5</v>
      </c>
      <c r="D97" s="32">
        <v>9.4</v>
      </c>
      <c r="E97" s="32">
        <v>10.4</v>
      </c>
      <c r="F97" s="32">
        <v>11.4</v>
      </c>
      <c r="G97" s="32">
        <v>12.5</v>
      </c>
      <c r="H97" s="32">
        <v>13.7</v>
      </c>
      <c r="I97" s="32">
        <v>14.9</v>
      </c>
      <c r="J97" s="32">
        <v>17.5</v>
      </c>
      <c r="K97" s="32">
        <v>20.3</v>
      </c>
      <c r="L97" s="32">
        <v>23.3</v>
      </c>
      <c r="M97" s="32">
        <v>26.5</v>
      </c>
      <c r="N97" s="32">
        <v>30</v>
      </c>
      <c r="O97" s="32">
        <v>33.6</v>
      </c>
      <c r="P97" s="32">
        <v>37.4</v>
      </c>
      <c r="Q97" s="32">
        <v>41.5</v>
      </c>
    </row>
    <row r="100" spans="1:17" x14ac:dyDescent="0.3">
      <c r="A100" t="s">
        <v>30</v>
      </c>
      <c r="C100" t="s">
        <v>31</v>
      </c>
    </row>
    <row r="101" spans="1:17" x14ac:dyDescent="0.3">
      <c r="A101">
        <f>'C&amp;C 7-16 Simplified'!E13</f>
        <v>130</v>
      </c>
      <c r="C101">
        <f>'C&amp;C 7-16 Simplified'!E15</f>
        <v>21</v>
      </c>
    </row>
    <row r="104" spans="1:17" x14ac:dyDescent="0.3">
      <c r="A104" s="131" t="s">
        <v>32</v>
      </c>
      <c r="B104" s="131"/>
      <c r="D104" s="131" t="s">
        <v>33</v>
      </c>
      <c r="E104" s="131"/>
      <c r="G104" s="131" t="s">
        <v>34</v>
      </c>
      <c r="H104" s="131"/>
      <c r="J104" s="131" t="s">
        <v>35</v>
      </c>
      <c r="K104" s="131"/>
    </row>
    <row r="105" spans="1:17" x14ac:dyDescent="0.3">
      <c r="A105" s="1">
        <v>4</v>
      </c>
      <c r="B105">
        <f>INDEX(D2:Q2,MATCH(C101,B2,1),MATCH(A101,D1:Q1,0))</f>
        <v>30.4</v>
      </c>
      <c r="D105" s="1">
        <v>4</v>
      </c>
      <c r="E105">
        <f>INDEX(D2:Q2,MATCH(C101,B2,1),MATCH(A101,D1:Q1,0))</f>
        <v>30.4</v>
      </c>
      <c r="G105" s="1">
        <v>4</v>
      </c>
      <c r="H105">
        <f>INDEX(D2:Q2,MATCH(C101,B2,1),MATCH(A101,D1:Q1,0))</f>
        <v>30.4</v>
      </c>
      <c r="J105" s="1">
        <v>4</v>
      </c>
      <c r="K105">
        <f>INDEX(D2:Q2,MATCH(C101,B2,1),MATCH(A101,D1:Q1,0))</f>
        <v>30.4</v>
      </c>
    </row>
    <row r="106" spans="1:17" x14ac:dyDescent="0.3">
      <c r="A106" s="1">
        <v>5</v>
      </c>
      <c r="B106">
        <f>INDEX(D6:Q6,MATCH(C101,B6,1),MATCH(A101,D1:Q1,0))</f>
        <v>30.4</v>
      </c>
      <c r="D106" s="1">
        <v>5</v>
      </c>
      <c r="E106">
        <f>INDEX(D6:Q6,MATCH(C101,B6,1),MATCH(A101,D1:Q1))</f>
        <v>30.4</v>
      </c>
      <c r="G106" s="1">
        <v>5</v>
      </c>
      <c r="H106">
        <f>INDEX(D6:Q6,MATCH(C101,B6,1),MATCH(A101,D1:Q1,0))</f>
        <v>30.4</v>
      </c>
      <c r="J106" s="1">
        <v>5</v>
      </c>
      <c r="K106">
        <f>INDEX(D6:Q6,MATCH(C101,B6,1),MATCH(A101,D1:Q1,0))</f>
        <v>30.4</v>
      </c>
    </row>
    <row r="107" spans="1:17" x14ac:dyDescent="0.3">
      <c r="A107" s="1">
        <v>1</v>
      </c>
      <c r="B107">
        <f>INDEX(D10:Q10,MATCH(C101,B10,1),MATCH(A101,D1:Q1,0))</f>
        <v>12.4</v>
      </c>
      <c r="D107" s="1">
        <v>1</v>
      </c>
      <c r="E107">
        <f>INDEX(D26:Q26,MATCH(C101,B26,1),MATCH(A101,D1:Q1,0))</f>
        <v>18.399999999999999</v>
      </c>
      <c r="G107" s="1">
        <v>1</v>
      </c>
      <c r="H107">
        <f>INDEX(D50:Q50,MATCH(C101,B50,1),MATCH(A101,D1:Q1,0))</f>
        <v>18.399999999999999</v>
      </c>
      <c r="J107" s="1">
        <v>1</v>
      </c>
      <c r="K107">
        <f>INDEX(D74:Q74,MATCH(C101,B74,1),MATCH(A101,D1:Q1,0))</f>
        <v>27.8</v>
      </c>
    </row>
    <row r="108" spans="1:17" x14ac:dyDescent="0.3">
      <c r="A108" s="1" t="s">
        <v>0</v>
      </c>
      <c r="B108">
        <f>INDEX(D14:Q14,MATCH(C101,B14,1),MATCH(A101,D1:Q1,0))</f>
        <v>12.4</v>
      </c>
      <c r="D108" s="1" t="s">
        <v>1</v>
      </c>
      <c r="E108">
        <f>INDEX(D30:Q30,MATCH(C101,B30,1),MATCH(A101,D1:Q1,0))</f>
        <v>18.399999999999999</v>
      </c>
      <c r="G108" s="1" t="s">
        <v>1</v>
      </c>
      <c r="H108">
        <f>INDEX(D54:Q54,MATCH(C101,B54,1),MATCH(A101,D1:Q1,0))</f>
        <v>18.399999999999999</v>
      </c>
      <c r="J108" s="1" t="s">
        <v>1</v>
      </c>
      <c r="K108">
        <f>INDEX(D78:Q78,MATCH(C101,B78,1),MATCH(A101,D1:Q1,0))</f>
        <v>27.8</v>
      </c>
    </row>
    <row r="109" spans="1:17" x14ac:dyDescent="0.3">
      <c r="A109" s="1">
        <v>2</v>
      </c>
      <c r="B109">
        <f>INDEX(D18:Q18,MATCH(C101,B18,1),MATCH(A101,D1:Q1,0))</f>
        <v>12.4</v>
      </c>
      <c r="D109" s="1" t="s">
        <v>2</v>
      </c>
      <c r="E109">
        <f>INDEX(D34:Q34,MATCH(C101,B34,1),MATCH(A101,D1:Q1,0))</f>
        <v>18.399999999999999</v>
      </c>
      <c r="G109" s="1" t="s">
        <v>2</v>
      </c>
      <c r="H109">
        <f>INDEX(D58:Q58,MATCH(C101,B58,1),MATCH(A101,D1:Q1,0))</f>
        <v>18.399999999999999</v>
      </c>
      <c r="J109" s="1" t="s">
        <v>2</v>
      </c>
      <c r="K109">
        <f>INDEX(D82:Q82,MATCH(C101,B82,1),MATCH(A101,D1:Q1,0))</f>
        <v>27.8</v>
      </c>
    </row>
    <row r="110" spans="1:17" x14ac:dyDescent="0.3">
      <c r="A110" s="1">
        <v>3</v>
      </c>
      <c r="B110">
        <f>INDEX(D22:Q22,MATCH(C101,B22,1),MATCH(A101,D1:Q1,0))</f>
        <v>12.4</v>
      </c>
      <c r="D110" s="1" t="s">
        <v>3</v>
      </c>
      <c r="E110">
        <f>INDEX(D38:Q38,MATCH(C101,B38,1),MATCH(A101,D1:Q1,0))</f>
        <v>18.399999999999999</v>
      </c>
      <c r="G110" s="1" t="s">
        <v>3</v>
      </c>
      <c r="H110">
        <f>INDEX(D62:Q62,MATCH(C101,B62,1),MATCH(A101,D1:Q1,0))</f>
        <v>18.399999999999999</v>
      </c>
      <c r="J110" s="1" t="s">
        <v>3</v>
      </c>
      <c r="K110">
        <f>INDEX(D86:Q86,MATCH(C101,B86,1),MATCH(A101,D1:Q1,0))</f>
        <v>27.8</v>
      </c>
    </row>
    <row r="111" spans="1:17" x14ac:dyDescent="0.3">
      <c r="D111" s="1" t="s">
        <v>4</v>
      </c>
      <c r="E111">
        <f>INDEX(D42:Q42,MATCH(C101,B42,1),MATCH(A101,D1:Q1,0))</f>
        <v>18.399999999999999</v>
      </c>
      <c r="G111" s="1" t="s">
        <v>4</v>
      </c>
      <c r="H111">
        <f>INDEX(D66:Q66,MATCH(C101,B66,1),MATCH(A101,D1:Q1,0))</f>
        <v>18.399999999999999</v>
      </c>
      <c r="J111" s="1" t="s">
        <v>4</v>
      </c>
      <c r="K111">
        <f>INDEX(D90:Q90,MATCH(C101,B90,1),MATCH(A101,D1:Q1,0))</f>
        <v>27.8</v>
      </c>
    </row>
    <row r="112" spans="1:17" x14ac:dyDescent="0.3">
      <c r="D112" s="1" t="s">
        <v>5</v>
      </c>
      <c r="E112">
        <f>INDEX(D46:Q46,MATCH(C101,B46,1),MATCH(A101,D1:Q1,0))</f>
        <v>18.399999999999999</v>
      </c>
      <c r="G112" s="1" t="s">
        <v>5</v>
      </c>
      <c r="H112">
        <f>INDEX(D70:Q70,MATCH(C101,B70,1),MATCH(A101,D1:Q1,0))</f>
        <v>18.399999999999999</v>
      </c>
      <c r="J112" s="1" t="s">
        <v>5</v>
      </c>
      <c r="K112">
        <f>INDEX(D94:Q94,MATCH(C101,B94,1),MATCH(A101,D1:Q1,0))</f>
        <v>27.8</v>
      </c>
    </row>
    <row r="115" spans="1:2" x14ac:dyDescent="0.3">
      <c r="A115">
        <f>'C&amp;C 7-16 Analytical'!E13</f>
        <v>130</v>
      </c>
    </row>
    <row r="116" spans="1:2" x14ac:dyDescent="0.3">
      <c r="A116" t="s">
        <v>85</v>
      </c>
    </row>
    <row r="117" spans="1:2" x14ac:dyDescent="0.3">
      <c r="B117">
        <f>INDEX(D2:Q2,MATCH(C101,B2,1),MATCH(A115,D1:Q1,0))</f>
        <v>30.4</v>
      </c>
    </row>
    <row r="120" spans="1:2" x14ac:dyDescent="0.3">
      <c r="A120" s="12"/>
    </row>
    <row r="121" spans="1:2" x14ac:dyDescent="0.3">
      <c r="A121" s="1"/>
    </row>
    <row r="122" spans="1:2" x14ac:dyDescent="0.3">
      <c r="A122" s="1"/>
    </row>
    <row r="123" spans="1:2" x14ac:dyDescent="0.3">
      <c r="A123" s="1"/>
    </row>
    <row r="124" spans="1:2" x14ac:dyDescent="0.3">
      <c r="A124" s="1"/>
    </row>
    <row r="127" spans="1:2" x14ac:dyDescent="0.3">
      <c r="A127" s="12"/>
    </row>
    <row r="128" spans="1:2" x14ac:dyDescent="0.3">
      <c r="A128" s="1"/>
    </row>
    <row r="129" spans="1:4" x14ac:dyDescent="0.3">
      <c r="A129" s="1"/>
    </row>
    <row r="132" spans="1:4" x14ac:dyDescent="0.3">
      <c r="A132" s="1"/>
      <c r="B132" s="40"/>
      <c r="C132" s="40"/>
      <c r="D132" s="40"/>
    </row>
    <row r="133" spans="1:4" x14ac:dyDescent="0.3">
      <c r="A133" s="1"/>
      <c r="B133" s="40"/>
      <c r="C133" s="40"/>
      <c r="D133" s="40"/>
    </row>
  </sheetData>
  <mergeCells count="9">
    <mergeCell ref="J104:K104"/>
    <mergeCell ref="A104:B104"/>
    <mergeCell ref="D104:E104"/>
    <mergeCell ref="G104:H104"/>
    <mergeCell ref="A2:A9"/>
    <mergeCell ref="A10:A25"/>
    <mergeCell ref="A26:A49"/>
    <mergeCell ref="A50:A73"/>
    <mergeCell ref="A74:A9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9"/>
  <sheetViews>
    <sheetView workbookViewId="0">
      <pane ySplit="1" topLeftCell="A85" activePane="bottomLeft" state="frozen"/>
      <selection pane="bottomLeft"/>
    </sheetView>
  </sheetViews>
  <sheetFormatPr defaultRowHeight="14.4" x14ac:dyDescent="0.3"/>
  <sheetData>
    <row r="1" spans="1:17" x14ac:dyDescent="0.3">
      <c r="A1" s="32"/>
      <c r="B1" s="11" t="s">
        <v>28</v>
      </c>
      <c r="C1" s="11" t="s">
        <v>29</v>
      </c>
      <c r="D1" s="11">
        <v>95</v>
      </c>
      <c r="E1" s="11">
        <v>100</v>
      </c>
      <c r="F1" s="11">
        <v>105</v>
      </c>
      <c r="G1" s="11">
        <v>110</v>
      </c>
      <c r="H1" s="11">
        <v>115</v>
      </c>
      <c r="I1" s="11">
        <v>120</v>
      </c>
      <c r="J1" s="11">
        <v>130</v>
      </c>
      <c r="K1" s="11">
        <v>140</v>
      </c>
      <c r="L1" s="11">
        <v>150</v>
      </c>
      <c r="M1" s="11">
        <v>160</v>
      </c>
      <c r="N1" s="11">
        <v>170</v>
      </c>
      <c r="O1" s="11">
        <v>180</v>
      </c>
      <c r="P1" s="11">
        <v>190</v>
      </c>
      <c r="Q1" s="11">
        <v>200</v>
      </c>
    </row>
    <row r="2" spans="1:17" x14ac:dyDescent="0.3">
      <c r="A2" s="189" t="s">
        <v>6</v>
      </c>
      <c r="B2" s="32">
        <v>10</v>
      </c>
      <c r="C2" s="36">
        <v>4</v>
      </c>
      <c r="D2" s="32">
        <v>-17.600000000000001</v>
      </c>
      <c r="E2" s="32">
        <v>-19.5</v>
      </c>
      <c r="F2" s="32">
        <v>-21.5</v>
      </c>
      <c r="G2" s="32">
        <v>-23.6</v>
      </c>
      <c r="H2" s="32">
        <v>-25.8</v>
      </c>
      <c r="I2" s="32">
        <v>-28.1</v>
      </c>
      <c r="J2" s="32">
        <v>-33</v>
      </c>
      <c r="K2" s="32">
        <v>-38.200000000000003</v>
      </c>
      <c r="L2" s="32">
        <v>-38.200000000000003</v>
      </c>
      <c r="M2" s="32">
        <v>-50</v>
      </c>
      <c r="N2" s="32">
        <v>-56.4</v>
      </c>
      <c r="O2" s="32">
        <v>-63.2</v>
      </c>
      <c r="P2" s="32">
        <v>-70.400000000000006</v>
      </c>
      <c r="Q2" s="32">
        <v>-78.099999999999994</v>
      </c>
    </row>
    <row r="3" spans="1:17" x14ac:dyDescent="0.3">
      <c r="A3" s="189"/>
      <c r="B3" s="32">
        <v>20</v>
      </c>
      <c r="C3" s="36">
        <v>4</v>
      </c>
      <c r="D3" s="32">
        <v>-16.899999999999999</v>
      </c>
      <c r="E3" s="32">
        <v>-18.7</v>
      </c>
      <c r="F3" s="32">
        <v>-20.6</v>
      </c>
      <c r="G3" s="32">
        <v>-22.6</v>
      </c>
      <c r="H3" s="32">
        <v>-24.7</v>
      </c>
      <c r="I3" s="32">
        <v>-26.9</v>
      </c>
      <c r="J3" s="32">
        <v>-31.6</v>
      </c>
      <c r="K3" s="32">
        <v>-36.700000000000003</v>
      </c>
      <c r="L3" s="32">
        <v>-36.700000000000003</v>
      </c>
      <c r="M3" s="32">
        <v>-47.9</v>
      </c>
      <c r="N3" s="32">
        <v>-54.1</v>
      </c>
      <c r="O3" s="32">
        <v>-60.6</v>
      </c>
      <c r="P3" s="32">
        <v>-67.5</v>
      </c>
      <c r="Q3" s="32">
        <v>-74.8</v>
      </c>
    </row>
    <row r="4" spans="1:17" x14ac:dyDescent="0.3">
      <c r="A4" s="189"/>
      <c r="B4" s="32">
        <v>50</v>
      </c>
      <c r="C4" s="36">
        <v>4</v>
      </c>
      <c r="D4" s="32">
        <v>-15.9</v>
      </c>
      <c r="E4" s="32">
        <v>-17.600000000000001</v>
      </c>
      <c r="F4" s="32">
        <v>-19.399999999999999</v>
      </c>
      <c r="G4" s="32">
        <v>-21.3</v>
      </c>
      <c r="H4" s="32">
        <v>-23.3</v>
      </c>
      <c r="I4" s="32">
        <v>-25.4</v>
      </c>
      <c r="J4" s="32">
        <v>-29.8</v>
      </c>
      <c r="K4" s="32">
        <v>-34.6</v>
      </c>
      <c r="L4" s="32">
        <v>-34.6</v>
      </c>
      <c r="M4" s="32">
        <v>-45.1</v>
      </c>
      <c r="N4" s="32">
        <v>-51</v>
      </c>
      <c r="O4" s="32">
        <v>-57.1</v>
      </c>
      <c r="P4" s="32">
        <v>-63.7</v>
      </c>
      <c r="Q4" s="32">
        <v>-70.5</v>
      </c>
    </row>
    <row r="5" spans="1:17" x14ac:dyDescent="0.3">
      <c r="A5" s="189"/>
      <c r="B5" s="32">
        <v>100</v>
      </c>
      <c r="C5" s="36">
        <v>4</v>
      </c>
      <c r="D5" s="32">
        <v>-15.2</v>
      </c>
      <c r="E5" s="32">
        <v>-16.8</v>
      </c>
      <c r="F5" s="32">
        <v>-18.5</v>
      </c>
      <c r="G5" s="32">
        <v>-20.399999999999999</v>
      </c>
      <c r="H5" s="32">
        <v>-22.2</v>
      </c>
      <c r="I5" s="32">
        <v>-24.2</v>
      </c>
      <c r="J5" s="32">
        <v>-28.4</v>
      </c>
      <c r="K5" s="32">
        <v>-33</v>
      </c>
      <c r="L5" s="32">
        <v>-33</v>
      </c>
      <c r="M5" s="32">
        <v>-43.1</v>
      </c>
      <c r="N5" s="32">
        <v>-48.6</v>
      </c>
      <c r="O5" s="32">
        <v>-54.5</v>
      </c>
      <c r="P5" s="32">
        <v>-60.7</v>
      </c>
      <c r="Q5" s="32">
        <v>-67.3</v>
      </c>
    </row>
    <row r="6" spans="1:17" x14ac:dyDescent="0.3">
      <c r="A6" s="189"/>
      <c r="B6" s="32">
        <v>10</v>
      </c>
      <c r="C6" s="36">
        <v>5</v>
      </c>
      <c r="D6" s="32">
        <v>-21.7</v>
      </c>
      <c r="E6" s="32">
        <v>-24.1</v>
      </c>
      <c r="F6" s="32">
        <v>-26.6</v>
      </c>
      <c r="G6" s="32">
        <v>-29.1</v>
      </c>
      <c r="H6" s="32">
        <v>-31.9</v>
      </c>
      <c r="I6" s="32">
        <v>-34.700000000000003</v>
      </c>
      <c r="J6" s="32">
        <v>-40.700000000000003</v>
      </c>
      <c r="K6" s="32">
        <v>-47.2</v>
      </c>
      <c r="L6" s="32">
        <v>-47.2</v>
      </c>
      <c r="M6" s="32">
        <v>-61.7</v>
      </c>
      <c r="N6" s="32">
        <v>-69.900000000000006</v>
      </c>
      <c r="O6" s="32">
        <v>-78</v>
      </c>
      <c r="P6" s="32">
        <v>-87</v>
      </c>
      <c r="Q6" s="32">
        <v>-96.3</v>
      </c>
    </row>
    <row r="7" spans="1:17" x14ac:dyDescent="0.3">
      <c r="A7" s="189"/>
      <c r="B7" s="32">
        <v>20</v>
      </c>
      <c r="C7" s="36">
        <v>5</v>
      </c>
      <c r="D7" s="32">
        <v>-20.3</v>
      </c>
      <c r="E7" s="32">
        <v>-22.5</v>
      </c>
      <c r="F7" s="32">
        <v>-24.8</v>
      </c>
      <c r="G7" s="32">
        <v>-27.2</v>
      </c>
      <c r="H7" s="32">
        <v>-29.7</v>
      </c>
      <c r="I7" s="32">
        <v>-32.4</v>
      </c>
      <c r="J7" s="32">
        <v>-38</v>
      </c>
      <c r="K7" s="32">
        <v>-44</v>
      </c>
      <c r="L7" s="32">
        <v>-44</v>
      </c>
      <c r="M7" s="32">
        <v>-57.5</v>
      </c>
      <c r="N7" s="32">
        <v>-64.900000000000006</v>
      </c>
      <c r="O7" s="32">
        <v>-72.8</v>
      </c>
      <c r="P7" s="32">
        <v>-81.099999999999994</v>
      </c>
      <c r="Q7" s="32">
        <v>-89.9</v>
      </c>
    </row>
    <row r="8" spans="1:17" x14ac:dyDescent="0.3">
      <c r="A8" s="189"/>
      <c r="B8" s="32">
        <v>50</v>
      </c>
      <c r="C8" s="36">
        <v>5</v>
      </c>
      <c r="D8" s="32">
        <v>-18.3</v>
      </c>
      <c r="E8" s="32">
        <v>-20.3</v>
      </c>
      <c r="F8" s="32">
        <v>-22.4</v>
      </c>
      <c r="G8" s="32">
        <v>-24.6</v>
      </c>
      <c r="H8" s="32">
        <v>-26.9</v>
      </c>
      <c r="I8" s="32">
        <v>-29.3</v>
      </c>
      <c r="J8" s="32">
        <v>-34.299999999999997</v>
      </c>
      <c r="K8" s="32">
        <v>-39.799999999999997</v>
      </c>
      <c r="L8" s="32">
        <v>-39.799999999999997</v>
      </c>
      <c r="M8" s="32">
        <v>-52</v>
      </c>
      <c r="N8" s="32">
        <v>-58.7</v>
      </c>
      <c r="O8" s="32">
        <v>-65.8</v>
      </c>
      <c r="P8" s="32">
        <v>-73.400000000000006</v>
      </c>
      <c r="Q8" s="32">
        <v>-81.3</v>
      </c>
    </row>
    <row r="9" spans="1:17" x14ac:dyDescent="0.3">
      <c r="A9" s="189"/>
      <c r="B9" s="32">
        <v>100</v>
      </c>
      <c r="C9" s="36">
        <v>5</v>
      </c>
      <c r="D9" s="32">
        <v>-16.899999999999999</v>
      </c>
      <c r="E9" s="32">
        <v>-18.7</v>
      </c>
      <c r="F9" s="32">
        <v>-20.6</v>
      </c>
      <c r="G9" s="32">
        <v>-22.6</v>
      </c>
      <c r="H9" s="32">
        <v>-24.7</v>
      </c>
      <c r="I9" s="32">
        <v>-26.9</v>
      </c>
      <c r="J9" s="32">
        <v>-31.6</v>
      </c>
      <c r="K9" s="32">
        <v>-36.700000000000003</v>
      </c>
      <c r="L9" s="32">
        <v>-36.700000000000003</v>
      </c>
      <c r="M9" s="32">
        <v>-47.9</v>
      </c>
      <c r="N9" s="32">
        <v>-54.1</v>
      </c>
      <c r="O9" s="32">
        <v>-60.6</v>
      </c>
      <c r="P9" s="32">
        <v>-67.5</v>
      </c>
      <c r="Q9" s="32">
        <v>-74.8</v>
      </c>
    </row>
    <row r="10" spans="1:17" x14ac:dyDescent="0.3">
      <c r="A10" s="190" t="s">
        <v>7</v>
      </c>
      <c r="B10" s="32">
        <v>10</v>
      </c>
      <c r="C10" s="36">
        <v>1</v>
      </c>
      <c r="D10" s="32">
        <v>-25.9</v>
      </c>
      <c r="E10" s="32">
        <v>-28.7</v>
      </c>
      <c r="F10" s="32">
        <v>-31.6</v>
      </c>
      <c r="G10" s="32">
        <v>-34.700000000000003</v>
      </c>
      <c r="H10" s="32">
        <v>-37.9</v>
      </c>
      <c r="I10" s="32">
        <v>-41.3</v>
      </c>
      <c r="J10" s="32">
        <v>-48.4</v>
      </c>
      <c r="K10" s="32">
        <v>-56.2</v>
      </c>
      <c r="L10" s="32">
        <v>-56.2</v>
      </c>
      <c r="M10" s="32">
        <v>-73.400000000000006</v>
      </c>
      <c r="N10" s="32">
        <v>-82.8</v>
      </c>
      <c r="O10" s="32">
        <v>-92.9</v>
      </c>
      <c r="P10" s="32">
        <v>-103.5</v>
      </c>
      <c r="Q10" s="32">
        <v>-114.6</v>
      </c>
    </row>
    <row r="11" spans="1:17" x14ac:dyDescent="0.3">
      <c r="A11" s="190"/>
      <c r="B11" s="32">
        <v>20</v>
      </c>
      <c r="C11" s="36">
        <v>1</v>
      </c>
      <c r="D11" s="32">
        <v>-24.2</v>
      </c>
      <c r="E11" s="32">
        <v>-26.8</v>
      </c>
      <c r="F11" s="32">
        <v>-29.5</v>
      </c>
      <c r="G11" s="32">
        <v>-32.4</v>
      </c>
      <c r="H11" s="32">
        <v>-35.4</v>
      </c>
      <c r="I11" s="32">
        <v>-38.5</v>
      </c>
      <c r="J11" s="32">
        <v>-45.2</v>
      </c>
      <c r="K11" s="32">
        <v>-52.5</v>
      </c>
      <c r="L11" s="32">
        <v>-52.5</v>
      </c>
      <c r="M11" s="32">
        <v>-68.5</v>
      </c>
      <c r="N11" s="32">
        <v>-77.400000000000006</v>
      </c>
      <c r="O11" s="32">
        <v>-86.7</v>
      </c>
      <c r="P11" s="32">
        <v>-96.6</v>
      </c>
      <c r="Q11" s="32">
        <v>-107.1</v>
      </c>
    </row>
    <row r="12" spans="1:17" x14ac:dyDescent="0.3">
      <c r="A12" s="190"/>
      <c r="B12" s="32">
        <v>50</v>
      </c>
      <c r="C12" s="36">
        <v>1</v>
      </c>
      <c r="D12" s="32">
        <v>-21.9</v>
      </c>
      <c r="E12" s="32">
        <v>-24.3</v>
      </c>
      <c r="F12" s="32">
        <v>-26.8</v>
      </c>
      <c r="G12" s="32">
        <v>-29.4</v>
      </c>
      <c r="H12" s="32">
        <v>-32.1</v>
      </c>
      <c r="I12" s="32">
        <v>-34.9</v>
      </c>
      <c r="J12" s="32">
        <v>-41</v>
      </c>
      <c r="K12" s="32">
        <v>-47.6</v>
      </c>
      <c r="L12" s="32">
        <v>-47.6</v>
      </c>
      <c r="M12" s="32">
        <v>-62.1</v>
      </c>
      <c r="N12" s="32">
        <v>-70.099999999999994</v>
      </c>
      <c r="O12" s="32">
        <v>-78.599999999999994</v>
      </c>
      <c r="P12" s="32">
        <v>-87.6</v>
      </c>
      <c r="Q12" s="32">
        <v>-97.1</v>
      </c>
    </row>
    <row r="13" spans="1:17" x14ac:dyDescent="0.3">
      <c r="A13" s="190"/>
      <c r="B13" s="32">
        <v>100</v>
      </c>
      <c r="C13" s="36">
        <v>1</v>
      </c>
      <c r="D13" s="32">
        <v>-20.2</v>
      </c>
      <c r="E13" s="32">
        <v>-22.4</v>
      </c>
      <c r="F13" s="32">
        <v>-24.7</v>
      </c>
      <c r="G13" s="32">
        <v>-27.1</v>
      </c>
      <c r="H13" s="32">
        <v>-29.6</v>
      </c>
      <c r="I13" s="32">
        <v>-32.200000000000003</v>
      </c>
      <c r="J13" s="32">
        <v>-37.799999999999997</v>
      </c>
      <c r="K13" s="32">
        <v>-43.9</v>
      </c>
      <c r="L13" s="32">
        <v>-43.9</v>
      </c>
      <c r="M13" s="32">
        <v>-57.3</v>
      </c>
      <c r="N13" s="32">
        <v>-64.7</v>
      </c>
      <c r="O13" s="32">
        <v>-72.5</v>
      </c>
      <c r="P13" s="32">
        <v>-80.8</v>
      </c>
      <c r="Q13" s="32">
        <v>-89.5</v>
      </c>
    </row>
    <row r="14" spans="1:17" x14ac:dyDescent="0.3">
      <c r="A14" s="190"/>
      <c r="B14" s="32">
        <v>10</v>
      </c>
      <c r="C14" s="36" t="s">
        <v>0</v>
      </c>
      <c r="D14" s="32">
        <v>-14.9</v>
      </c>
      <c r="E14" s="32">
        <v>-16.5</v>
      </c>
      <c r="F14" s="32">
        <v>-18.2</v>
      </c>
      <c r="G14" s="32">
        <v>-19.899999999999999</v>
      </c>
      <c r="H14" s="32">
        <v>-21.8</v>
      </c>
      <c r="I14" s="32">
        <v>-23.7</v>
      </c>
      <c r="J14" s="32">
        <v>-27.8</v>
      </c>
      <c r="K14" s="32">
        <v>-32.299999999999997</v>
      </c>
      <c r="L14" s="32">
        <v>-32.299999999999997</v>
      </c>
      <c r="M14" s="32">
        <v>-42.1</v>
      </c>
      <c r="N14" s="32">
        <v>-47.6</v>
      </c>
      <c r="O14" s="32">
        <v>-53.3</v>
      </c>
      <c r="P14" s="32">
        <v>-59.4</v>
      </c>
      <c r="Q14" s="32">
        <v>-65.900000000000006</v>
      </c>
    </row>
    <row r="15" spans="1:17" x14ac:dyDescent="0.3">
      <c r="A15" s="190"/>
      <c r="B15" s="32">
        <v>20</v>
      </c>
      <c r="C15" s="36" t="s">
        <v>0</v>
      </c>
      <c r="D15" s="32">
        <v>-14.9</v>
      </c>
      <c r="E15" s="32">
        <v>-16.5</v>
      </c>
      <c r="F15" s="32">
        <v>-18.2</v>
      </c>
      <c r="G15" s="32">
        <v>-19.899999999999999</v>
      </c>
      <c r="H15" s="32">
        <v>-21.8</v>
      </c>
      <c r="I15" s="32">
        <v>-23.7</v>
      </c>
      <c r="J15" s="32">
        <v>-27.8</v>
      </c>
      <c r="K15" s="32">
        <v>-32.299999999999997</v>
      </c>
      <c r="L15" s="32">
        <v>-32.299999999999997</v>
      </c>
      <c r="M15" s="32">
        <v>-42.1</v>
      </c>
      <c r="N15" s="32">
        <v>-47.6</v>
      </c>
      <c r="O15" s="32">
        <v>-53.3</v>
      </c>
      <c r="P15" s="32">
        <v>-59.4</v>
      </c>
      <c r="Q15" s="32">
        <v>-65.900000000000006</v>
      </c>
    </row>
    <row r="16" spans="1:17" x14ac:dyDescent="0.3">
      <c r="A16" s="190"/>
      <c r="B16" s="32">
        <v>50</v>
      </c>
      <c r="C16" s="36" t="s">
        <v>0</v>
      </c>
      <c r="D16" s="32">
        <v>-14.9</v>
      </c>
      <c r="E16" s="32">
        <v>-16.5</v>
      </c>
      <c r="F16" s="32">
        <v>-18.2</v>
      </c>
      <c r="G16" s="32">
        <v>-19.899999999999999</v>
      </c>
      <c r="H16" s="32">
        <v>-21.8</v>
      </c>
      <c r="I16" s="32">
        <v>-23.7</v>
      </c>
      <c r="J16" s="32">
        <v>-27.8</v>
      </c>
      <c r="K16" s="32">
        <v>-32.299999999999997</v>
      </c>
      <c r="L16" s="32">
        <v>-32.299999999999997</v>
      </c>
      <c r="M16" s="32">
        <v>-42.1</v>
      </c>
      <c r="N16" s="32">
        <v>-47.6</v>
      </c>
      <c r="O16" s="32">
        <v>-53.3</v>
      </c>
      <c r="P16" s="32">
        <v>-59.4</v>
      </c>
      <c r="Q16" s="32">
        <v>-65.900000000000006</v>
      </c>
    </row>
    <row r="17" spans="1:17" x14ac:dyDescent="0.3">
      <c r="A17" s="190"/>
      <c r="B17" s="32">
        <v>100</v>
      </c>
      <c r="C17" s="36" t="s">
        <v>0</v>
      </c>
      <c r="D17" s="32">
        <v>-14.9</v>
      </c>
      <c r="E17" s="32">
        <v>-16.5</v>
      </c>
      <c r="F17" s="32">
        <v>-18.2</v>
      </c>
      <c r="G17" s="32">
        <v>-19.899999999999999</v>
      </c>
      <c r="H17" s="32">
        <v>-21.8</v>
      </c>
      <c r="I17" s="32">
        <v>-23.7</v>
      </c>
      <c r="J17" s="32">
        <v>-27.8</v>
      </c>
      <c r="K17" s="32">
        <v>-32.299999999999997</v>
      </c>
      <c r="L17" s="32">
        <v>-32.299999999999997</v>
      </c>
      <c r="M17" s="32">
        <v>-42.1</v>
      </c>
      <c r="N17" s="32">
        <v>-47.6</v>
      </c>
      <c r="O17" s="32">
        <v>-53.3</v>
      </c>
      <c r="P17" s="32">
        <v>-59.4</v>
      </c>
      <c r="Q17" s="32">
        <v>-65.900000000000006</v>
      </c>
    </row>
    <row r="18" spans="1:17" x14ac:dyDescent="0.3">
      <c r="A18" s="190"/>
      <c r="B18" s="32">
        <v>10</v>
      </c>
      <c r="C18" s="36">
        <v>2</v>
      </c>
      <c r="D18" s="32">
        <v>-34.1</v>
      </c>
      <c r="E18" s="32">
        <v>-37.799999999999997</v>
      </c>
      <c r="F18" s="32">
        <v>-41.7</v>
      </c>
      <c r="G18" s="32">
        <v>-45.7</v>
      </c>
      <c r="H18" s="32">
        <v>-50</v>
      </c>
      <c r="I18" s="32">
        <v>-54.4</v>
      </c>
      <c r="J18" s="32">
        <v>-63.9</v>
      </c>
      <c r="K18" s="32">
        <v>-74.099999999999994</v>
      </c>
      <c r="L18" s="32">
        <v>-74.099999999999994</v>
      </c>
      <c r="M18" s="32">
        <v>-96.8</v>
      </c>
      <c r="N18" s="32">
        <v>-109.3</v>
      </c>
      <c r="O18" s="32">
        <v>-122.5</v>
      </c>
      <c r="P18" s="32">
        <v>-136.5</v>
      </c>
      <c r="Q18" s="32">
        <v>-151.19999999999999</v>
      </c>
    </row>
    <row r="19" spans="1:17" x14ac:dyDescent="0.3">
      <c r="A19" s="190"/>
      <c r="B19" s="32">
        <v>20</v>
      </c>
      <c r="C19" s="36">
        <v>2</v>
      </c>
      <c r="D19" s="32">
        <v>-31.9</v>
      </c>
      <c r="E19" s="32">
        <v>-35.4</v>
      </c>
      <c r="F19" s="32">
        <v>-39</v>
      </c>
      <c r="G19" s="32">
        <v>-42.8</v>
      </c>
      <c r="H19" s="32">
        <v>-46.8</v>
      </c>
      <c r="I19" s="32">
        <v>-50.9</v>
      </c>
      <c r="J19" s="32">
        <v>-59.8</v>
      </c>
      <c r="K19" s="32">
        <v>-69.3</v>
      </c>
      <c r="L19" s="32">
        <v>-69.3</v>
      </c>
      <c r="M19" s="32">
        <v>-90.6</v>
      </c>
      <c r="N19" s="32">
        <v>-102.2</v>
      </c>
      <c r="O19" s="32">
        <v>-114.6</v>
      </c>
      <c r="P19" s="32">
        <v>-127.7</v>
      </c>
      <c r="Q19" s="32">
        <v>-141.5</v>
      </c>
    </row>
    <row r="20" spans="1:17" x14ac:dyDescent="0.3">
      <c r="A20" s="190"/>
      <c r="B20" s="32">
        <v>50</v>
      </c>
      <c r="C20" s="36">
        <v>2</v>
      </c>
      <c r="D20" s="32">
        <v>-29</v>
      </c>
      <c r="E20" s="32">
        <v>-32.200000000000003</v>
      </c>
      <c r="F20" s="32">
        <v>-35.5</v>
      </c>
      <c r="G20" s="32">
        <v>-38.9</v>
      </c>
      <c r="H20" s="32">
        <v>-42.5</v>
      </c>
      <c r="I20" s="32">
        <v>-46.3</v>
      </c>
      <c r="J20" s="32">
        <v>-54.4</v>
      </c>
      <c r="K20" s="32">
        <v>-63</v>
      </c>
      <c r="L20" s="32">
        <v>-63</v>
      </c>
      <c r="M20" s="32">
        <v>-82.3</v>
      </c>
      <c r="N20" s="32">
        <v>-92.9</v>
      </c>
      <c r="O20" s="32">
        <v>-104.2</v>
      </c>
      <c r="P20" s="32">
        <v>-116.1</v>
      </c>
      <c r="Q20" s="32">
        <v>-128.69999999999999</v>
      </c>
    </row>
    <row r="21" spans="1:17" x14ac:dyDescent="0.3">
      <c r="A21" s="190"/>
      <c r="B21" s="32">
        <v>100</v>
      </c>
      <c r="C21" s="36">
        <v>2</v>
      </c>
      <c r="D21" s="32">
        <v>-26.8</v>
      </c>
      <c r="E21" s="32">
        <v>-29.7</v>
      </c>
      <c r="F21" s="32">
        <v>-32.799999999999997</v>
      </c>
      <c r="G21" s="32">
        <v>-36</v>
      </c>
      <c r="H21" s="32">
        <v>-39.299999999999997</v>
      </c>
      <c r="I21" s="32">
        <v>-42.8</v>
      </c>
      <c r="J21" s="32">
        <v>-50.2</v>
      </c>
      <c r="K21" s="32">
        <v>-58.3</v>
      </c>
      <c r="L21" s="32">
        <v>-58.3</v>
      </c>
      <c r="M21" s="32">
        <v>-76.099999999999994</v>
      </c>
      <c r="N21" s="32">
        <v>-85.9</v>
      </c>
      <c r="O21" s="32">
        <v>-96.3</v>
      </c>
      <c r="P21" s="32">
        <v>-107.3</v>
      </c>
      <c r="Q21" s="32">
        <v>-118.9</v>
      </c>
    </row>
    <row r="22" spans="1:17" x14ac:dyDescent="0.3">
      <c r="A22" s="190"/>
      <c r="B22" s="32">
        <v>10</v>
      </c>
      <c r="C22" s="36">
        <v>3</v>
      </c>
      <c r="D22" s="32">
        <v>-46.5</v>
      </c>
      <c r="E22" s="32">
        <v>-51.5</v>
      </c>
      <c r="F22" s="32">
        <v>-56.8</v>
      </c>
      <c r="G22" s="32">
        <v>-62.3</v>
      </c>
      <c r="H22" s="32">
        <v>-68.099999999999994</v>
      </c>
      <c r="I22" s="32">
        <v>-74.2</v>
      </c>
      <c r="J22" s="32">
        <v>-87.1</v>
      </c>
      <c r="K22" s="32">
        <v>-101</v>
      </c>
      <c r="L22" s="32">
        <v>-101</v>
      </c>
      <c r="M22" s="32">
        <v>-131.9</v>
      </c>
      <c r="N22" s="32">
        <v>-148.9</v>
      </c>
      <c r="O22" s="32">
        <v>-166.9</v>
      </c>
      <c r="P22" s="32">
        <v>-186</v>
      </c>
      <c r="Q22" s="32">
        <v>-206.1</v>
      </c>
    </row>
    <row r="23" spans="1:17" x14ac:dyDescent="0.3">
      <c r="A23" s="190"/>
      <c r="B23" s="32">
        <v>20</v>
      </c>
      <c r="C23" s="36">
        <v>3</v>
      </c>
      <c r="D23" s="32">
        <v>-42.1</v>
      </c>
      <c r="E23" s="32">
        <v>-46.7</v>
      </c>
      <c r="F23" s="32">
        <v>-51.4</v>
      </c>
      <c r="G23" s="32">
        <v>-56.5</v>
      </c>
      <c r="H23" s="32">
        <v>-61.7</v>
      </c>
      <c r="I23" s="32">
        <v>-67.2</v>
      </c>
      <c r="J23" s="32">
        <v>-78.900000000000006</v>
      </c>
      <c r="K23" s="32">
        <v>-91.5</v>
      </c>
      <c r="L23" s="32">
        <v>-91.5</v>
      </c>
      <c r="M23" s="32">
        <v>-119.5</v>
      </c>
      <c r="N23" s="32">
        <v>-134.9</v>
      </c>
      <c r="O23" s="32">
        <v>-151.19999999999999</v>
      </c>
      <c r="P23" s="32">
        <v>-168.5</v>
      </c>
      <c r="Q23" s="32">
        <v>-186.7</v>
      </c>
    </row>
    <row r="24" spans="1:17" x14ac:dyDescent="0.3">
      <c r="A24" s="190"/>
      <c r="B24" s="32">
        <v>50</v>
      </c>
      <c r="C24" s="36">
        <v>3</v>
      </c>
      <c r="D24" s="32">
        <v>-36.299999999999997</v>
      </c>
      <c r="E24" s="32">
        <v>-40.200000000000003</v>
      </c>
      <c r="F24" s="32">
        <v>-44.4</v>
      </c>
      <c r="G24" s="32">
        <v>-48.7</v>
      </c>
      <c r="H24" s="32">
        <v>-53.2</v>
      </c>
      <c r="I24" s="32">
        <v>-57.9</v>
      </c>
      <c r="J24" s="32">
        <v>-68</v>
      </c>
      <c r="K24" s="32">
        <v>-78.900000000000006</v>
      </c>
      <c r="L24" s="32">
        <v>-78.900000000000006</v>
      </c>
      <c r="M24" s="32">
        <v>-103</v>
      </c>
      <c r="N24" s="32">
        <v>-116.3</v>
      </c>
      <c r="O24" s="32">
        <v>-130.4</v>
      </c>
      <c r="P24" s="32">
        <v>-145.30000000000001</v>
      </c>
      <c r="Q24" s="32">
        <v>-161</v>
      </c>
    </row>
    <row r="25" spans="1:17" x14ac:dyDescent="0.3">
      <c r="A25" s="190"/>
      <c r="B25" s="32">
        <v>100</v>
      </c>
      <c r="C25" s="36">
        <v>3</v>
      </c>
      <c r="D25" s="32">
        <v>-31.9</v>
      </c>
      <c r="E25" s="32">
        <v>-35.4</v>
      </c>
      <c r="F25" s="32">
        <v>-39</v>
      </c>
      <c r="G25" s="32">
        <v>-42.8</v>
      </c>
      <c r="H25" s="32">
        <v>-46.8</v>
      </c>
      <c r="I25" s="32">
        <v>-50.9</v>
      </c>
      <c r="J25" s="32">
        <v>-59.8</v>
      </c>
      <c r="K25" s="32">
        <v>-69.3</v>
      </c>
      <c r="L25" s="32">
        <v>-69.3</v>
      </c>
      <c r="M25" s="32">
        <v>-90.6</v>
      </c>
      <c r="N25" s="32">
        <v>-102.2</v>
      </c>
      <c r="O25" s="32">
        <v>-114.6</v>
      </c>
      <c r="P25" s="32">
        <v>-127.7</v>
      </c>
      <c r="Q25" s="32">
        <v>-141.5</v>
      </c>
    </row>
    <row r="26" spans="1:17" x14ac:dyDescent="0.3">
      <c r="A26" s="189" t="s">
        <v>8</v>
      </c>
      <c r="B26" s="32">
        <v>10</v>
      </c>
      <c r="C26" s="36">
        <v>1</v>
      </c>
      <c r="D26" s="32">
        <v>-30</v>
      </c>
      <c r="E26" s="32">
        <v>-33.200000000000003</v>
      </c>
      <c r="F26" s="32">
        <v>-36.6</v>
      </c>
      <c r="G26" s="32">
        <v>-40.200000000000003</v>
      </c>
      <c r="H26" s="32">
        <v>-44</v>
      </c>
      <c r="I26" s="32">
        <v>-47.9</v>
      </c>
      <c r="J26" s="32">
        <v>-56.2</v>
      </c>
      <c r="K26" s="32">
        <v>-65.099999999999994</v>
      </c>
      <c r="L26" s="32">
        <v>-65.099999999999994</v>
      </c>
      <c r="M26" s="32">
        <v>-85.1</v>
      </c>
      <c r="N26" s="32">
        <v>-96</v>
      </c>
      <c r="O26" s="32">
        <v>-107.7</v>
      </c>
      <c r="P26" s="32">
        <v>-120</v>
      </c>
      <c r="Q26" s="32">
        <v>-132.9</v>
      </c>
    </row>
    <row r="27" spans="1:17" x14ac:dyDescent="0.3">
      <c r="A27" s="189"/>
      <c r="B27" s="32">
        <v>20</v>
      </c>
      <c r="C27" s="36">
        <v>1</v>
      </c>
      <c r="D27" s="32">
        <v>-30</v>
      </c>
      <c r="E27" s="32">
        <v>-33.200000000000003</v>
      </c>
      <c r="F27" s="32">
        <v>-36.6</v>
      </c>
      <c r="G27" s="32">
        <v>-40.200000000000003</v>
      </c>
      <c r="H27" s="32">
        <v>-44</v>
      </c>
      <c r="I27" s="32">
        <v>-47.9</v>
      </c>
      <c r="J27" s="32">
        <v>-56.2</v>
      </c>
      <c r="K27" s="32">
        <v>-65.099999999999994</v>
      </c>
      <c r="L27" s="32">
        <v>-65.099999999999994</v>
      </c>
      <c r="M27" s="32">
        <v>-85.1</v>
      </c>
      <c r="N27" s="32">
        <v>-96</v>
      </c>
      <c r="O27" s="32">
        <v>-107.7</v>
      </c>
      <c r="P27" s="32">
        <v>-120</v>
      </c>
      <c r="Q27" s="32">
        <v>-132.9</v>
      </c>
    </row>
    <row r="28" spans="1:17" x14ac:dyDescent="0.3">
      <c r="A28" s="189"/>
      <c r="B28" s="32">
        <v>50</v>
      </c>
      <c r="C28" s="36">
        <v>1</v>
      </c>
      <c r="D28" s="32">
        <v>-18.2</v>
      </c>
      <c r="E28" s="32">
        <v>-20.2</v>
      </c>
      <c r="F28" s="32">
        <v>-22.3</v>
      </c>
      <c r="G28" s="32">
        <v>-24.5</v>
      </c>
      <c r="H28" s="32">
        <v>-26.7</v>
      </c>
      <c r="I28" s="32">
        <v>-29.1</v>
      </c>
      <c r="J28" s="32">
        <v>-34.200000000000003</v>
      </c>
      <c r="K28" s="32">
        <v>-39.6</v>
      </c>
      <c r="L28" s="32">
        <v>-39.6</v>
      </c>
      <c r="M28" s="32">
        <v>-51.8</v>
      </c>
      <c r="N28" s="32">
        <v>-58.4</v>
      </c>
      <c r="O28" s="32">
        <v>-65.5</v>
      </c>
      <c r="P28" s="32">
        <v>-73</v>
      </c>
      <c r="Q28" s="32">
        <v>-80.900000000000006</v>
      </c>
    </row>
    <row r="29" spans="1:17" x14ac:dyDescent="0.3">
      <c r="A29" s="189"/>
      <c r="B29" s="32">
        <v>100</v>
      </c>
      <c r="C29" s="36">
        <v>1</v>
      </c>
      <c r="D29" s="32">
        <v>-9.4</v>
      </c>
      <c r="E29" s="32">
        <v>-10.4</v>
      </c>
      <c r="F29" s="32">
        <v>-11.4</v>
      </c>
      <c r="G29" s="32">
        <v>-12.5</v>
      </c>
      <c r="H29" s="32">
        <v>-13.7</v>
      </c>
      <c r="I29" s="32">
        <v>-14.9</v>
      </c>
      <c r="J29" s="32">
        <v>-17.5</v>
      </c>
      <c r="K29" s="32">
        <v>-20.3</v>
      </c>
      <c r="L29" s="32">
        <v>-20.3</v>
      </c>
      <c r="M29" s="32">
        <v>-26.5</v>
      </c>
      <c r="N29" s="32">
        <v>-30</v>
      </c>
      <c r="O29" s="32">
        <v>-33.6</v>
      </c>
      <c r="P29" s="32">
        <v>-37.4</v>
      </c>
      <c r="Q29" s="32">
        <v>-41.5</v>
      </c>
    </row>
    <row r="30" spans="1:17" x14ac:dyDescent="0.3">
      <c r="A30" s="189"/>
      <c r="B30" s="32">
        <v>10</v>
      </c>
      <c r="C30" s="36" t="s">
        <v>1</v>
      </c>
      <c r="D30" s="32">
        <v>-30</v>
      </c>
      <c r="E30" s="32">
        <v>-33.200000000000003</v>
      </c>
      <c r="F30" s="32">
        <v>-36.6</v>
      </c>
      <c r="G30" s="32">
        <v>-40.200000000000003</v>
      </c>
      <c r="H30" s="32">
        <v>-44</v>
      </c>
      <c r="I30" s="32">
        <v>-47.9</v>
      </c>
      <c r="J30" s="32">
        <v>-56.2</v>
      </c>
      <c r="K30" s="32">
        <v>-65.099999999999994</v>
      </c>
      <c r="L30" s="32">
        <v>-65.099999999999994</v>
      </c>
      <c r="M30" s="32">
        <v>-85.1</v>
      </c>
      <c r="N30" s="32">
        <v>-96</v>
      </c>
      <c r="O30" s="32">
        <v>-107.7</v>
      </c>
      <c r="P30" s="32">
        <v>-120</v>
      </c>
      <c r="Q30" s="32">
        <v>-132.9</v>
      </c>
    </row>
    <row r="31" spans="1:17" x14ac:dyDescent="0.3">
      <c r="A31" s="189"/>
      <c r="B31" s="32">
        <v>20</v>
      </c>
      <c r="C31" s="36" t="s">
        <v>1</v>
      </c>
      <c r="D31" s="32">
        <v>-30</v>
      </c>
      <c r="E31" s="32">
        <v>-33.200000000000003</v>
      </c>
      <c r="F31" s="32">
        <v>-36.6</v>
      </c>
      <c r="G31" s="32">
        <v>-40.200000000000003</v>
      </c>
      <c r="H31" s="32">
        <v>-44</v>
      </c>
      <c r="I31" s="32">
        <v>-47.9</v>
      </c>
      <c r="J31" s="32">
        <v>-56.2</v>
      </c>
      <c r="K31" s="32">
        <v>-65.099999999999994</v>
      </c>
      <c r="L31" s="32">
        <v>-65.099999999999994</v>
      </c>
      <c r="M31" s="32">
        <v>-85.1</v>
      </c>
      <c r="N31" s="32">
        <v>-96</v>
      </c>
      <c r="O31" s="32">
        <v>-107.7</v>
      </c>
      <c r="P31" s="32">
        <v>-120</v>
      </c>
      <c r="Q31" s="32">
        <v>-132.9</v>
      </c>
    </row>
    <row r="32" spans="1:17" x14ac:dyDescent="0.3">
      <c r="A32" s="189"/>
      <c r="B32" s="32">
        <v>50</v>
      </c>
      <c r="C32" s="36" t="s">
        <v>1</v>
      </c>
      <c r="D32" s="32">
        <v>-18.2</v>
      </c>
      <c r="E32" s="32">
        <v>-20.2</v>
      </c>
      <c r="F32" s="32">
        <v>-22.3</v>
      </c>
      <c r="G32" s="32">
        <v>-24.5</v>
      </c>
      <c r="H32" s="32">
        <v>-26.7</v>
      </c>
      <c r="I32" s="32">
        <v>-29.1</v>
      </c>
      <c r="J32" s="32">
        <v>-34.200000000000003</v>
      </c>
      <c r="K32" s="32">
        <v>-39.6</v>
      </c>
      <c r="L32" s="32">
        <v>-39.6</v>
      </c>
      <c r="M32" s="32">
        <v>-51.8</v>
      </c>
      <c r="N32" s="32">
        <v>-58.4</v>
      </c>
      <c r="O32" s="32">
        <v>-65.5</v>
      </c>
      <c r="P32" s="32">
        <v>-73</v>
      </c>
      <c r="Q32" s="32">
        <v>-80.900000000000006</v>
      </c>
    </row>
    <row r="33" spans="1:17" x14ac:dyDescent="0.3">
      <c r="A33" s="189"/>
      <c r="B33" s="32">
        <v>100</v>
      </c>
      <c r="C33" s="36" t="s">
        <v>1</v>
      </c>
      <c r="D33" s="32">
        <v>-9.4</v>
      </c>
      <c r="E33" s="32">
        <v>-10.4</v>
      </c>
      <c r="F33" s="32">
        <v>-11.4</v>
      </c>
      <c r="G33" s="32">
        <v>-12.5</v>
      </c>
      <c r="H33" s="32">
        <v>-13.7</v>
      </c>
      <c r="I33" s="32">
        <v>-14.9</v>
      </c>
      <c r="J33" s="32">
        <v>-17.5</v>
      </c>
      <c r="K33" s="32">
        <v>-20.3</v>
      </c>
      <c r="L33" s="32">
        <v>-20.3</v>
      </c>
      <c r="M33" s="32">
        <v>-26.5</v>
      </c>
      <c r="N33" s="32">
        <v>-30</v>
      </c>
      <c r="O33" s="32">
        <v>-33.6</v>
      </c>
      <c r="P33" s="32">
        <v>-37.4</v>
      </c>
      <c r="Q33" s="32">
        <v>-41.5</v>
      </c>
    </row>
    <row r="34" spans="1:17" x14ac:dyDescent="0.3">
      <c r="A34" s="189"/>
      <c r="B34" s="32">
        <v>10</v>
      </c>
      <c r="C34" s="36" t="s">
        <v>2</v>
      </c>
      <c r="D34" s="32">
        <v>-43.8</v>
      </c>
      <c r="E34" s="32">
        <v>-48.5</v>
      </c>
      <c r="F34" s="32">
        <v>-53.4</v>
      </c>
      <c r="G34" s="32">
        <v>-58.7</v>
      </c>
      <c r="H34" s="32">
        <v>-64.099999999999994</v>
      </c>
      <c r="I34" s="32">
        <v>-69.8</v>
      </c>
      <c r="J34" s="32">
        <v>-81.900000000000006</v>
      </c>
      <c r="K34" s="32">
        <v>-95</v>
      </c>
      <c r="L34" s="32">
        <v>-95</v>
      </c>
      <c r="M34" s="32">
        <v>-124.1</v>
      </c>
      <c r="N34" s="32">
        <v>-140.1</v>
      </c>
      <c r="O34" s="32">
        <v>-157.1</v>
      </c>
      <c r="P34" s="32">
        <v>-175</v>
      </c>
      <c r="Q34" s="32">
        <v>-193.9</v>
      </c>
    </row>
    <row r="35" spans="1:17" x14ac:dyDescent="0.3">
      <c r="A35" s="189"/>
      <c r="B35" s="32">
        <v>20</v>
      </c>
      <c r="C35" s="36" t="s">
        <v>2</v>
      </c>
      <c r="D35" s="32">
        <v>-37.799999999999997</v>
      </c>
      <c r="E35" s="32">
        <v>-41.9</v>
      </c>
      <c r="F35" s="32">
        <v>-46.2</v>
      </c>
      <c r="G35" s="32">
        <v>-50.7</v>
      </c>
      <c r="H35" s="32">
        <v>-55.4</v>
      </c>
      <c r="I35" s="32">
        <v>-60.4</v>
      </c>
      <c r="J35" s="32">
        <v>-70.8</v>
      </c>
      <c r="K35" s="32">
        <v>-82.1</v>
      </c>
      <c r="L35" s="32">
        <v>-82.1</v>
      </c>
      <c r="M35" s="32">
        <v>-107.3</v>
      </c>
      <c r="N35" s="32">
        <v>-121.1</v>
      </c>
      <c r="O35" s="32">
        <v>-135.80000000000001</v>
      </c>
      <c r="P35" s="32">
        <v>-151.30000000000001</v>
      </c>
      <c r="Q35" s="32">
        <v>-167.7</v>
      </c>
    </row>
    <row r="36" spans="1:17" x14ac:dyDescent="0.3">
      <c r="A36" s="189"/>
      <c r="B36" s="32">
        <v>50</v>
      </c>
      <c r="C36" s="36" t="s">
        <v>2</v>
      </c>
      <c r="D36" s="32">
        <v>-30</v>
      </c>
      <c r="E36" s="32">
        <v>-33.200000000000003</v>
      </c>
      <c r="F36" s="32">
        <v>-36.6</v>
      </c>
      <c r="G36" s="32">
        <v>-40.200000000000003</v>
      </c>
      <c r="H36" s="32">
        <v>-44</v>
      </c>
      <c r="I36" s="32">
        <v>-47.9</v>
      </c>
      <c r="J36" s="32">
        <v>-56.2</v>
      </c>
      <c r="K36" s="32">
        <v>-65.099999999999994</v>
      </c>
      <c r="L36" s="32">
        <v>-65.099999999999994</v>
      </c>
      <c r="M36" s="32">
        <v>-85.1</v>
      </c>
      <c r="N36" s="32">
        <v>-96</v>
      </c>
      <c r="O36" s="32">
        <v>-107.7</v>
      </c>
      <c r="P36" s="32">
        <v>-120</v>
      </c>
      <c r="Q36" s="32">
        <v>-132.9</v>
      </c>
    </row>
    <row r="37" spans="1:17" x14ac:dyDescent="0.3">
      <c r="A37" s="189"/>
      <c r="B37" s="32">
        <v>100</v>
      </c>
      <c r="C37" s="36" t="s">
        <v>2</v>
      </c>
      <c r="D37" s="32">
        <v>-24.1</v>
      </c>
      <c r="E37" s="32">
        <v>-26.7</v>
      </c>
      <c r="F37" s="32">
        <v>-29.4</v>
      </c>
      <c r="G37" s="32">
        <v>-32.299999999999997</v>
      </c>
      <c r="H37" s="32">
        <v>-35.299999999999997</v>
      </c>
      <c r="I37" s="32">
        <v>-38.4</v>
      </c>
      <c r="J37" s="32">
        <v>-45.1</v>
      </c>
      <c r="K37" s="32">
        <v>-52.3</v>
      </c>
      <c r="L37" s="32">
        <v>-52.3</v>
      </c>
      <c r="M37" s="32">
        <v>-68.3</v>
      </c>
      <c r="N37" s="32">
        <v>-77.099999999999994</v>
      </c>
      <c r="O37" s="32">
        <v>-86.4</v>
      </c>
      <c r="P37" s="32">
        <v>-96.3</v>
      </c>
      <c r="Q37" s="32">
        <v>-106.7</v>
      </c>
    </row>
    <row r="38" spans="1:17" x14ac:dyDescent="0.3">
      <c r="A38" s="189"/>
      <c r="B38" s="32">
        <v>10</v>
      </c>
      <c r="C38" s="36" t="s">
        <v>3</v>
      </c>
      <c r="D38" s="32">
        <v>-43.8</v>
      </c>
      <c r="E38" s="32">
        <v>-48.5</v>
      </c>
      <c r="F38" s="32">
        <v>-53.4</v>
      </c>
      <c r="G38" s="32">
        <v>-58.7</v>
      </c>
      <c r="H38" s="32">
        <v>-64.099999999999994</v>
      </c>
      <c r="I38" s="32">
        <v>-69.8</v>
      </c>
      <c r="J38" s="32">
        <v>-81.900000000000006</v>
      </c>
      <c r="K38" s="32">
        <v>-95</v>
      </c>
      <c r="L38" s="32">
        <v>-95</v>
      </c>
      <c r="M38" s="32">
        <v>-124.1</v>
      </c>
      <c r="N38" s="32">
        <v>-140.1</v>
      </c>
      <c r="O38" s="32">
        <v>-157.1</v>
      </c>
      <c r="P38" s="32">
        <v>-175</v>
      </c>
      <c r="Q38" s="32">
        <v>-193.9</v>
      </c>
    </row>
    <row r="39" spans="1:17" x14ac:dyDescent="0.3">
      <c r="A39" s="189"/>
      <c r="B39" s="32">
        <v>20</v>
      </c>
      <c r="C39" s="36" t="s">
        <v>3</v>
      </c>
      <c r="D39" s="32">
        <v>-37.799999999999997</v>
      </c>
      <c r="E39" s="32">
        <v>-41.9</v>
      </c>
      <c r="F39" s="32">
        <v>-46.2</v>
      </c>
      <c r="G39" s="32">
        <v>-50.7</v>
      </c>
      <c r="H39" s="32">
        <v>-55.4</v>
      </c>
      <c r="I39" s="32">
        <v>-60.4</v>
      </c>
      <c r="J39" s="32">
        <v>-70.8</v>
      </c>
      <c r="K39" s="32">
        <v>-82.1</v>
      </c>
      <c r="L39" s="32">
        <v>-82.1</v>
      </c>
      <c r="M39" s="32">
        <v>-107.3</v>
      </c>
      <c r="N39" s="32">
        <v>-121.1</v>
      </c>
      <c r="O39" s="32">
        <v>-135.80000000000001</v>
      </c>
      <c r="P39" s="32">
        <v>-151.30000000000001</v>
      </c>
      <c r="Q39" s="32">
        <v>-167.7</v>
      </c>
    </row>
    <row r="40" spans="1:17" x14ac:dyDescent="0.3">
      <c r="A40" s="189"/>
      <c r="B40" s="32">
        <v>50</v>
      </c>
      <c r="C40" s="36" t="s">
        <v>3</v>
      </c>
      <c r="D40" s="32">
        <v>-30</v>
      </c>
      <c r="E40" s="32">
        <v>-33.200000000000003</v>
      </c>
      <c r="F40" s="32">
        <v>-36.6</v>
      </c>
      <c r="G40" s="32">
        <v>-40.200000000000003</v>
      </c>
      <c r="H40" s="32">
        <v>-44</v>
      </c>
      <c r="I40" s="32">
        <v>-47.9</v>
      </c>
      <c r="J40" s="32">
        <v>-56.2</v>
      </c>
      <c r="K40" s="32">
        <v>-65.099999999999994</v>
      </c>
      <c r="L40" s="32">
        <v>-65.099999999999994</v>
      </c>
      <c r="M40" s="32">
        <v>-85.1</v>
      </c>
      <c r="N40" s="32">
        <v>-96</v>
      </c>
      <c r="O40" s="32">
        <v>-107.7</v>
      </c>
      <c r="P40" s="32">
        <v>-120</v>
      </c>
      <c r="Q40" s="32">
        <v>-132.9</v>
      </c>
    </row>
    <row r="41" spans="1:17" x14ac:dyDescent="0.3">
      <c r="A41" s="189"/>
      <c r="B41" s="32">
        <v>100</v>
      </c>
      <c r="C41" s="36" t="s">
        <v>3</v>
      </c>
      <c r="D41" s="32">
        <v>-24.1</v>
      </c>
      <c r="E41" s="32">
        <v>-26.7</v>
      </c>
      <c r="F41" s="32">
        <v>-29.4</v>
      </c>
      <c r="G41" s="32">
        <v>-32.299999999999997</v>
      </c>
      <c r="H41" s="32">
        <v>-35.299999999999997</v>
      </c>
      <c r="I41" s="32">
        <v>-38.4</v>
      </c>
      <c r="J41" s="32">
        <v>-45.1</v>
      </c>
      <c r="K41" s="32">
        <v>-52.3</v>
      </c>
      <c r="L41" s="32">
        <v>-52.3</v>
      </c>
      <c r="M41" s="32">
        <v>-68.3</v>
      </c>
      <c r="N41" s="32">
        <v>-77.099999999999994</v>
      </c>
      <c r="O41" s="32">
        <v>-86.4</v>
      </c>
      <c r="P41" s="32">
        <v>-96.3</v>
      </c>
      <c r="Q41" s="32">
        <v>-106.7</v>
      </c>
    </row>
    <row r="42" spans="1:17" x14ac:dyDescent="0.3">
      <c r="A42" s="189"/>
      <c r="B42" s="32">
        <v>10</v>
      </c>
      <c r="C42" s="36" t="s">
        <v>4</v>
      </c>
      <c r="D42" s="32">
        <v>-43.8</v>
      </c>
      <c r="E42" s="32">
        <v>-48.5</v>
      </c>
      <c r="F42" s="32">
        <v>-53.4</v>
      </c>
      <c r="G42" s="32">
        <v>-58.7</v>
      </c>
      <c r="H42" s="32">
        <v>-64.099999999999994</v>
      </c>
      <c r="I42" s="32">
        <v>-69.8</v>
      </c>
      <c r="J42" s="32">
        <v>-81.900000000000006</v>
      </c>
      <c r="K42" s="32">
        <v>-95</v>
      </c>
      <c r="L42" s="32">
        <v>-95</v>
      </c>
      <c r="M42" s="32">
        <v>-124.1</v>
      </c>
      <c r="N42" s="32">
        <v>-140.1</v>
      </c>
      <c r="O42" s="32">
        <v>-157.1</v>
      </c>
      <c r="P42" s="32">
        <v>-175</v>
      </c>
      <c r="Q42" s="32">
        <v>-193.9</v>
      </c>
    </row>
    <row r="43" spans="1:17" x14ac:dyDescent="0.3">
      <c r="A43" s="189"/>
      <c r="B43" s="32">
        <v>20</v>
      </c>
      <c r="C43" s="36" t="s">
        <v>4</v>
      </c>
      <c r="D43" s="32">
        <v>-37.799999999999997</v>
      </c>
      <c r="E43" s="32">
        <v>-41.9</v>
      </c>
      <c r="F43" s="32">
        <v>-46.2</v>
      </c>
      <c r="G43" s="32">
        <v>-50.7</v>
      </c>
      <c r="H43" s="32">
        <v>-55.4</v>
      </c>
      <c r="I43" s="32">
        <v>-60.4</v>
      </c>
      <c r="J43" s="32">
        <v>-70.8</v>
      </c>
      <c r="K43" s="32">
        <v>-82.1</v>
      </c>
      <c r="L43" s="32">
        <v>-82.1</v>
      </c>
      <c r="M43" s="32">
        <v>-107.3</v>
      </c>
      <c r="N43" s="32">
        <v>-121.1</v>
      </c>
      <c r="O43" s="32">
        <v>-135.80000000000001</v>
      </c>
      <c r="P43" s="32">
        <v>-151.30000000000001</v>
      </c>
      <c r="Q43" s="32">
        <v>-167.7</v>
      </c>
    </row>
    <row r="44" spans="1:17" x14ac:dyDescent="0.3">
      <c r="A44" s="189"/>
      <c r="B44" s="32">
        <v>50</v>
      </c>
      <c r="C44" s="36" t="s">
        <v>4</v>
      </c>
      <c r="D44" s="32">
        <v>-30</v>
      </c>
      <c r="E44" s="32">
        <v>-33.200000000000003</v>
      </c>
      <c r="F44" s="32">
        <v>-36.6</v>
      </c>
      <c r="G44" s="32">
        <v>-40.200000000000003</v>
      </c>
      <c r="H44" s="32">
        <v>-44</v>
      </c>
      <c r="I44" s="32">
        <v>-47.9</v>
      </c>
      <c r="J44" s="32">
        <v>-56.2</v>
      </c>
      <c r="K44" s="32">
        <v>-65.099999999999994</v>
      </c>
      <c r="L44" s="32">
        <v>-65.099999999999994</v>
      </c>
      <c r="M44" s="32">
        <v>-85.1</v>
      </c>
      <c r="N44" s="32">
        <v>-96</v>
      </c>
      <c r="O44" s="32">
        <v>-107.7</v>
      </c>
      <c r="P44" s="32">
        <v>-120</v>
      </c>
      <c r="Q44" s="32">
        <v>-132.9</v>
      </c>
    </row>
    <row r="45" spans="1:17" x14ac:dyDescent="0.3">
      <c r="A45" s="189"/>
      <c r="B45" s="32">
        <v>100</v>
      </c>
      <c r="C45" s="36" t="s">
        <v>4</v>
      </c>
      <c r="D45" s="32">
        <v>-24.1</v>
      </c>
      <c r="E45" s="32">
        <v>-26.7</v>
      </c>
      <c r="F45" s="32">
        <v>-29.4</v>
      </c>
      <c r="G45" s="32">
        <v>-32.299999999999997</v>
      </c>
      <c r="H45" s="32">
        <v>-35.299999999999997</v>
      </c>
      <c r="I45" s="32">
        <v>-38.4</v>
      </c>
      <c r="J45" s="32">
        <v>-45.1</v>
      </c>
      <c r="K45" s="32">
        <v>-52.3</v>
      </c>
      <c r="L45" s="32">
        <v>-52.3</v>
      </c>
      <c r="M45" s="32">
        <v>-68.3</v>
      </c>
      <c r="N45" s="32">
        <v>-77.099999999999994</v>
      </c>
      <c r="O45" s="32">
        <v>-86.4</v>
      </c>
      <c r="P45" s="32">
        <v>-96.3</v>
      </c>
      <c r="Q45" s="32">
        <v>-106.7</v>
      </c>
    </row>
    <row r="46" spans="1:17" x14ac:dyDescent="0.3">
      <c r="A46" s="189"/>
      <c r="B46" s="32">
        <v>10</v>
      </c>
      <c r="C46" s="36" t="s">
        <v>5</v>
      </c>
      <c r="D46" s="32">
        <v>-52</v>
      </c>
      <c r="E46" s="32">
        <v>-57.6</v>
      </c>
      <c r="F46" s="32">
        <v>-63.5</v>
      </c>
      <c r="G46" s="32">
        <v>-69.7</v>
      </c>
      <c r="H46" s="32">
        <v>-76.2</v>
      </c>
      <c r="I46" s="32">
        <v>-83</v>
      </c>
      <c r="J46" s="32">
        <v>-97.4</v>
      </c>
      <c r="K46" s="32">
        <v>-112.9</v>
      </c>
      <c r="L46" s="32">
        <v>-112.9</v>
      </c>
      <c r="M46" s="32">
        <v>-147.5</v>
      </c>
      <c r="N46" s="32">
        <v>-166.5</v>
      </c>
      <c r="O46" s="32">
        <v>-186.7</v>
      </c>
      <c r="P46" s="32">
        <v>-208</v>
      </c>
      <c r="Q46" s="32">
        <v>-230.5</v>
      </c>
    </row>
    <row r="47" spans="1:17" x14ac:dyDescent="0.3">
      <c r="A47" s="189"/>
      <c r="B47" s="32">
        <v>20</v>
      </c>
      <c r="C47" s="36" t="s">
        <v>5</v>
      </c>
      <c r="D47" s="32">
        <v>-44.6</v>
      </c>
      <c r="E47" s="32">
        <v>-49.4</v>
      </c>
      <c r="F47" s="32">
        <v>-54.4</v>
      </c>
      <c r="G47" s="32">
        <v>-59.7</v>
      </c>
      <c r="H47" s="32">
        <v>-65.3</v>
      </c>
      <c r="I47" s="32">
        <v>-71.099999999999994</v>
      </c>
      <c r="J47" s="32">
        <v>-83.4</v>
      </c>
      <c r="K47" s="32">
        <v>-96.8</v>
      </c>
      <c r="L47" s="32">
        <v>-96.8</v>
      </c>
      <c r="M47" s="32">
        <v>-126.4</v>
      </c>
      <c r="N47" s="32">
        <v>-142.69999999999999</v>
      </c>
      <c r="O47" s="32">
        <v>-159.9</v>
      </c>
      <c r="P47" s="32">
        <v>-178.2</v>
      </c>
      <c r="Q47" s="32">
        <v>-197.5</v>
      </c>
    </row>
    <row r="48" spans="1:17" x14ac:dyDescent="0.3">
      <c r="A48" s="189"/>
      <c r="B48" s="32">
        <v>50</v>
      </c>
      <c r="C48" s="36" t="s">
        <v>5</v>
      </c>
      <c r="D48" s="32">
        <v>-34.700000000000003</v>
      </c>
      <c r="E48" s="32">
        <v>-38.4</v>
      </c>
      <c r="F48" s="32">
        <v>-42.4</v>
      </c>
      <c r="G48" s="32">
        <v>-46.5</v>
      </c>
      <c r="H48" s="32">
        <v>-50.8</v>
      </c>
      <c r="I48" s="32">
        <v>-55.4</v>
      </c>
      <c r="J48" s="32">
        <v>-65</v>
      </c>
      <c r="K48" s="32">
        <v>-75.400000000000006</v>
      </c>
      <c r="L48" s="32">
        <v>-75.400000000000006</v>
      </c>
      <c r="M48" s="32">
        <v>-98.4</v>
      </c>
      <c r="N48" s="32">
        <v>-111.1</v>
      </c>
      <c r="O48" s="32">
        <v>-124.6</v>
      </c>
      <c r="P48" s="32">
        <v>-138.80000000000001</v>
      </c>
      <c r="Q48" s="32">
        <v>-153.80000000000001</v>
      </c>
    </row>
    <row r="49" spans="1:17" x14ac:dyDescent="0.3">
      <c r="A49" s="189"/>
      <c r="B49" s="32">
        <v>100</v>
      </c>
      <c r="C49" s="36" t="s">
        <v>5</v>
      </c>
      <c r="D49" s="32">
        <v>-27.2</v>
      </c>
      <c r="E49" s="32">
        <v>-30.2</v>
      </c>
      <c r="F49" s="32">
        <v>-33.299999999999997</v>
      </c>
      <c r="G49" s="32">
        <v>-36.5</v>
      </c>
      <c r="H49" s="32">
        <v>-39.9</v>
      </c>
      <c r="I49" s="32">
        <v>-43.5</v>
      </c>
      <c r="J49" s="32">
        <v>-51</v>
      </c>
      <c r="K49" s="32">
        <v>-59.2</v>
      </c>
      <c r="L49" s="32">
        <v>-59.2</v>
      </c>
      <c r="M49" s="32">
        <v>-77.3</v>
      </c>
      <c r="N49" s="32">
        <v>-87.2</v>
      </c>
      <c r="O49" s="32">
        <v>-97.8</v>
      </c>
      <c r="P49" s="32">
        <v>-109</v>
      </c>
      <c r="Q49" s="32">
        <v>-120.7</v>
      </c>
    </row>
    <row r="50" spans="1:17" x14ac:dyDescent="0.3">
      <c r="A50" s="189" t="s">
        <v>9</v>
      </c>
      <c r="B50" s="32">
        <v>10</v>
      </c>
      <c r="C50" s="36">
        <v>1</v>
      </c>
      <c r="D50" s="32">
        <v>-23.1</v>
      </c>
      <c r="E50" s="32">
        <v>-25.6</v>
      </c>
      <c r="F50" s="32">
        <v>-28.2</v>
      </c>
      <c r="G50" s="32">
        <v>-31</v>
      </c>
      <c r="H50" s="32">
        <v>-33.9</v>
      </c>
      <c r="I50" s="32">
        <v>-36.9</v>
      </c>
      <c r="J50" s="32">
        <v>-43.3</v>
      </c>
      <c r="K50" s="32">
        <v>-50.2</v>
      </c>
      <c r="L50" s="32">
        <v>-57.6</v>
      </c>
      <c r="M50" s="32">
        <v>-65.599999999999994</v>
      </c>
      <c r="N50" s="32">
        <v>-74</v>
      </c>
      <c r="O50" s="32">
        <v>-83</v>
      </c>
      <c r="P50" s="32">
        <v>-92.5</v>
      </c>
      <c r="Q50" s="32">
        <v>-102.4</v>
      </c>
    </row>
    <row r="51" spans="1:17" x14ac:dyDescent="0.3">
      <c r="A51" s="189"/>
      <c r="B51" s="32">
        <v>20</v>
      </c>
      <c r="C51" s="36">
        <v>1</v>
      </c>
      <c r="D51" s="32">
        <v>-23.1</v>
      </c>
      <c r="E51" s="32">
        <v>-25.6</v>
      </c>
      <c r="F51" s="32">
        <v>-28.2</v>
      </c>
      <c r="G51" s="32">
        <v>-31</v>
      </c>
      <c r="H51" s="32">
        <v>-33.9</v>
      </c>
      <c r="I51" s="32">
        <v>-36.9</v>
      </c>
      <c r="J51" s="32">
        <v>-43.3</v>
      </c>
      <c r="K51" s="32">
        <v>-50.2</v>
      </c>
      <c r="L51" s="32">
        <v>-57.6</v>
      </c>
      <c r="M51" s="32">
        <v>-65.599999999999994</v>
      </c>
      <c r="N51" s="32">
        <v>-74</v>
      </c>
      <c r="O51" s="32">
        <v>-83</v>
      </c>
      <c r="P51" s="32">
        <v>-92.5</v>
      </c>
      <c r="Q51" s="32">
        <v>-102.4</v>
      </c>
    </row>
    <row r="52" spans="1:17" x14ac:dyDescent="0.3">
      <c r="A52" s="189"/>
      <c r="B52" s="32">
        <v>50</v>
      </c>
      <c r="C52" s="36">
        <v>1</v>
      </c>
      <c r="D52" s="32">
        <v>-19.600000000000001</v>
      </c>
      <c r="E52" s="32">
        <v>-21.7</v>
      </c>
      <c r="F52" s="32">
        <v>-24</v>
      </c>
      <c r="G52" s="32">
        <v>-26.3</v>
      </c>
      <c r="H52" s="32">
        <v>-28.8</v>
      </c>
      <c r="I52" s="32">
        <v>-31.3</v>
      </c>
      <c r="J52" s="32">
        <v>-36.700000000000003</v>
      </c>
      <c r="K52" s="32">
        <v>-42.6</v>
      </c>
      <c r="L52" s="32">
        <v>-48.9</v>
      </c>
      <c r="M52" s="32">
        <v>-55.7</v>
      </c>
      <c r="N52" s="32">
        <v>-62.8</v>
      </c>
      <c r="O52" s="32">
        <v>-70.400000000000006</v>
      </c>
      <c r="P52" s="32">
        <v>-78.5</v>
      </c>
      <c r="Q52" s="32">
        <v>-87</v>
      </c>
    </row>
    <row r="53" spans="1:17" x14ac:dyDescent="0.3">
      <c r="A53" s="189"/>
      <c r="B53" s="32">
        <v>100</v>
      </c>
      <c r="C53" s="36">
        <v>1</v>
      </c>
      <c r="D53" s="32">
        <v>-17</v>
      </c>
      <c r="E53" s="32">
        <v>-18.8</v>
      </c>
      <c r="F53" s="32">
        <v>-20.7</v>
      </c>
      <c r="G53" s="32">
        <v>-22.8</v>
      </c>
      <c r="H53" s="32">
        <v>-24.9</v>
      </c>
      <c r="I53" s="32">
        <v>-27.1</v>
      </c>
      <c r="J53" s="32">
        <v>-31.8</v>
      </c>
      <c r="K53" s="32">
        <v>-36.9</v>
      </c>
      <c r="L53" s="32">
        <v>-42.3</v>
      </c>
      <c r="M53" s="32">
        <v>-48.2</v>
      </c>
      <c r="N53" s="32">
        <v>-54.4</v>
      </c>
      <c r="O53" s="32">
        <v>-60.9</v>
      </c>
      <c r="P53" s="32">
        <v>-67.900000000000006</v>
      </c>
      <c r="Q53" s="32">
        <v>-75.2</v>
      </c>
    </row>
    <row r="54" spans="1:17" x14ac:dyDescent="0.3">
      <c r="A54" s="189"/>
      <c r="B54" s="32">
        <v>10</v>
      </c>
      <c r="C54" s="36" t="s">
        <v>1</v>
      </c>
      <c r="D54" s="32">
        <v>-23.1</v>
      </c>
      <c r="E54" s="32">
        <v>-25.6</v>
      </c>
      <c r="F54" s="32">
        <v>-28.2</v>
      </c>
      <c r="G54" s="32">
        <v>-31</v>
      </c>
      <c r="H54" s="32">
        <v>-33.9</v>
      </c>
      <c r="I54" s="32">
        <v>-36.9</v>
      </c>
      <c r="J54" s="32">
        <v>-43.3</v>
      </c>
      <c r="K54" s="32">
        <v>-50.2</v>
      </c>
      <c r="L54" s="32">
        <v>-57.6</v>
      </c>
      <c r="M54" s="32">
        <v>-65.599999999999994</v>
      </c>
      <c r="N54" s="32">
        <v>-74</v>
      </c>
      <c r="O54" s="32">
        <v>-83</v>
      </c>
      <c r="P54" s="32">
        <v>-92.5</v>
      </c>
      <c r="Q54" s="32">
        <v>-102.4</v>
      </c>
    </row>
    <row r="55" spans="1:17" x14ac:dyDescent="0.3">
      <c r="A55" s="189"/>
      <c r="B55" s="32">
        <v>20</v>
      </c>
      <c r="C55" s="36" t="s">
        <v>1</v>
      </c>
      <c r="D55" s="32">
        <v>-23.1</v>
      </c>
      <c r="E55" s="32">
        <v>-25.6</v>
      </c>
      <c r="F55" s="32">
        <v>-28.2</v>
      </c>
      <c r="G55" s="32">
        <v>-31</v>
      </c>
      <c r="H55" s="32">
        <v>-33.9</v>
      </c>
      <c r="I55" s="32">
        <v>-36.9</v>
      </c>
      <c r="J55" s="32">
        <v>-43.3</v>
      </c>
      <c r="K55" s="32">
        <v>-50.2</v>
      </c>
      <c r="L55" s="32">
        <v>-57.6</v>
      </c>
      <c r="M55" s="32">
        <v>-65.599999999999994</v>
      </c>
      <c r="N55" s="32">
        <v>-74</v>
      </c>
      <c r="O55" s="32">
        <v>-83</v>
      </c>
      <c r="P55" s="32">
        <v>-92.5</v>
      </c>
      <c r="Q55" s="32">
        <v>-102.4</v>
      </c>
    </row>
    <row r="56" spans="1:17" x14ac:dyDescent="0.3">
      <c r="A56" s="189"/>
      <c r="B56" s="32">
        <v>50</v>
      </c>
      <c r="C56" s="36" t="s">
        <v>1</v>
      </c>
      <c r="D56" s="32">
        <v>-19.600000000000001</v>
      </c>
      <c r="E56" s="32">
        <v>-21.7</v>
      </c>
      <c r="F56" s="32">
        <v>-24</v>
      </c>
      <c r="G56" s="32">
        <v>-26.3</v>
      </c>
      <c r="H56" s="32">
        <v>-28.8</v>
      </c>
      <c r="I56" s="32">
        <v>-31.3</v>
      </c>
      <c r="J56" s="32">
        <v>-36.700000000000003</v>
      </c>
      <c r="K56" s="32">
        <v>-42.6</v>
      </c>
      <c r="L56" s="32">
        <v>-48.9</v>
      </c>
      <c r="M56" s="32">
        <v>-55.7</v>
      </c>
      <c r="N56" s="32">
        <v>-62.8</v>
      </c>
      <c r="O56" s="32">
        <v>-70.400000000000006</v>
      </c>
      <c r="P56" s="32">
        <v>-78.5</v>
      </c>
      <c r="Q56" s="32">
        <v>-87</v>
      </c>
    </row>
    <row r="57" spans="1:17" x14ac:dyDescent="0.3">
      <c r="A57" s="189"/>
      <c r="B57" s="32">
        <v>100</v>
      </c>
      <c r="C57" s="36" t="s">
        <v>1</v>
      </c>
      <c r="D57" s="32">
        <v>-17</v>
      </c>
      <c r="E57" s="32">
        <v>-18.8</v>
      </c>
      <c r="F57" s="32">
        <v>-20.7</v>
      </c>
      <c r="G57" s="32">
        <v>-22.8</v>
      </c>
      <c r="H57" s="32">
        <v>-24.9</v>
      </c>
      <c r="I57" s="32">
        <v>-27.1</v>
      </c>
      <c r="J57" s="32">
        <v>-31.8</v>
      </c>
      <c r="K57" s="32">
        <v>-36.9</v>
      </c>
      <c r="L57" s="32">
        <v>-42.3</v>
      </c>
      <c r="M57" s="32">
        <v>-48.2</v>
      </c>
      <c r="N57" s="32">
        <v>-54.5</v>
      </c>
      <c r="O57" s="32">
        <v>-60.9</v>
      </c>
      <c r="P57" s="32">
        <v>-67.900000000000006</v>
      </c>
      <c r="Q57" s="32">
        <v>-75.2</v>
      </c>
    </row>
    <row r="58" spans="1:17" x14ac:dyDescent="0.3">
      <c r="A58" s="189"/>
      <c r="B58" s="32">
        <v>10</v>
      </c>
      <c r="C58" s="36" t="s">
        <v>2</v>
      </c>
      <c r="D58" s="32">
        <v>-36.9</v>
      </c>
      <c r="E58" s="32">
        <v>-40.9</v>
      </c>
      <c r="F58" s="32">
        <v>-45</v>
      </c>
      <c r="G58" s="32">
        <v>-49.4</v>
      </c>
      <c r="H58" s="32">
        <v>-54</v>
      </c>
      <c r="I58" s="32">
        <v>-58.8</v>
      </c>
      <c r="J58" s="32">
        <v>-69</v>
      </c>
      <c r="K58" s="32">
        <v>-80.099999999999994</v>
      </c>
      <c r="L58" s="32">
        <v>-91.9</v>
      </c>
      <c r="M58" s="32">
        <v>-104.6</v>
      </c>
      <c r="N58" s="32">
        <v>-118.1</v>
      </c>
      <c r="O58" s="32">
        <v>-132.4</v>
      </c>
      <c r="P58" s="32">
        <v>-147.5</v>
      </c>
      <c r="Q58" s="32">
        <v>-163.4</v>
      </c>
    </row>
    <row r="59" spans="1:17" x14ac:dyDescent="0.3">
      <c r="A59" s="189"/>
      <c r="B59" s="32">
        <v>20</v>
      </c>
      <c r="C59" s="36" t="s">
        <v>2</v>
      </c>
      <c r="D59" s="32">
        <v>-32.299999999999997</v>
      </c>
      <c r="E59" s="32">
        <v>-35.799999999999997</v>
      </c>
      <c r="F59" s="32">
        <v>-39.5</v>
      </c>
      <c r="G59" s="32">
        <v>-43.3</v>
      </c>
      <c r="H59" s="32">
        <v>-47.3</v>
      </c>
      <c r="I59" s="32">
        <v>-51.5</v>
      </c>
      <c r="J59" s="32">
        <v>-60.5</v>
      </c>
      <c r="K59" s="32">
        <v>-70.099999999999994</v>
      </c>
      <c r="L59" s="32">
        <v>-80.5</v>
      </c>
      <c r="M59" s="32">
        <v>-91.6</v>
      </c>
      <c r="N59" s="32">
        <v>-103.4</v>
      </c>
      <c r="O59" s="32">
        <v>-115.9</v>
      </c>
      <c r="P59" s="32">
        <v>-129.19999999999999</v>
      </c>
      <c r="Q59" s="32">
        <v>-143.1</v>
      </c>
    </row>
    <row r="60" spans="1:17" x14ac:dyDescent="0.3">
      <c r="A60" s="189"/>
      <c r="B60" s="32">
        <v>50</v>
      </c>
      <c r="C60" s="36" t="s">
        <v>2</v>
      </c>
      <c r="D60" s="32">
        <v>-26.2</v>
      </c>
      <c r="E60" s="32">
        <v>-29.1</v>
      </c>
      <c r="F60" s="32">
        <v>-32.1</v>
      </c>
      <c r="G60" s="32">
        <v>-35.200000000000003</v>
      </c>
      <c r="H60" s="32">
        <v>-38.5</v>
      </c>
      <c r="I60" s="32">
        <v>-41.9</v>
      </c>
      <c r="J60" s="32">
        <v>-49.1</v>
      </c>
      <c r="K60" s="32">
        <v>-57</v>
      </c>
      <c r="L60" s="32">
        <v>-65.400000000000006</v>
      </c>
      <c r="M60" s="32">
        <v>-74.400000000000006</v>
      </c>
      <c r="N60" s="32">
        <v>-84</v>
      </c>
      <c r="O60" s="32">
        <v>-94.2</v>
      </c>
      <c r="P60" s="32">
        <v>-105</v>
      </c>
      <c r="Q60" s="32">
        <v>-116.3</v>
      </c>
    </row>
    <row r="61" spans="1:17" x14ac:dyDescent="0.3">
      <c r="A61" s="189"/>
      <c r="B61" s="32">
        <v>100</v>
      </c>
      <c r="C61" s="36" t="s">
        <v>2</v>
      </c>
      <c r="D61" s="32">
        <v>-21.7</v>
      </c>
      <c r="E61" s="32">
        <v>-24</v>
      </c>
      <c r="F61" s="32">
        <v>-26.5</v>
      </c>
      <c r="G61" s="32">
        <v>-29</v>
      </c>
      <c r="H61" s="32">
        <v>-31.7</v>
      </c>
      <c r="I61" s="32">
        <v>-34.6</v>
      </c>
      <c r="J61" s="32">
        <v>-40.6</v>
      </c>
      <c r="K61" s="32">
        <v>-47.1</v>
      </c>
      <c r="L61" s="32">
        <v>-54</v>
      </c>
      <c r="M61" s="32">
        <v>-61.5</v>
      </c>
      <c r="N61" s="32">
        <v>-69.400000000000006</v>
      </c>
      <c r="O61" s="32">
        <v>-77.8</v>
      </c>
      <c r="P61" s="32">
        <v>-86.7</v>
      </c>
      <c r="Q61" s="32">
        <v>-96</v>
      </c>
    </row>
    <row r="62" spans="1:17" x14ac:dyDescent="0.3">
      <c r="A62" s="189"/>
      <c r="B62" s="32">
        <v>10</v>
      </c>
      <c r="C62" s="36" t="s">
        <v>3</v>
      </c>
      <c r="D62" s="32">
        <v>-36.9</v>
      </c>
      <c r="E62" s="32">
        <v>-40.9</v>
      </c>
      <c r="F62" s="32">
        <v>-45</v>
      </c>
      <c r="G62" s="32">
        <v>-49.4</v>
      </c>
      <c r="H62" s="32">
        <v>-54</v>
      </c>
      <c r="I62" s="32">
        <v>-58.8</v>
      </c>
      <c r="J62" s="32">
        <v>-69</v>
      </c>
      <c r="K62" s="32">
        <v>-80.099999999999994</v>
      </c>
      <c r="L62" s="32">
        <v>-91.9</v>
      </c>
      <c r="M62" s="32">
        <v>-104.6</v>
      </c>
      <c r="N62" s="32">
        <v>-118.1</v>
      </c>
      <c r="O62" s="32">
        <v>-132.4</v>
      </c>
      <c r="P62" s="32">
        <v>-147.5</v>
      </c>
      <c r="Q62" s="32">
        <v>-163.4</v>
      </c>
    </row>
    <row r="63" spans="1:17" x14ac:dyDescent="0.3">
      <c r="A63" s="189"/>
      <c r="B63" s="32">
        <v>20</v>
      </c>
      <c r="C63" s="36" t="s">
        <v>3</v>
      </c>
      <c r="D63" s="32">
        <v>-32.299999999999997</v>
      </c>
      <c r="E63" s="32">
        <v>-35.799999999999997</v>
      </c>
      <c r="F63" s="32">
        <v>-39.5</v>
      </c>
      <c r="G63" s="32">
        <v>-43.3</v>
      </c>
      <c r="H63" s="32">
        <v>-47.3</v>
      </c>
      <c r="I63" s="32">
        <v>-51.5</v>
      </c>
      <c r="J63" s="32">
        <v>-60.5</v>
      </c>
      <c r="K63" s="32">
        <v>-70.099999999999994</v>
      </c>
      <c r="L63" s="32">
        <v>-80.5</v>
      </c>
      <c r="M63" s="32">
        <v>-91.6</v>
      </c>
      <c r="N63" s="32">
        <v>-103.4</v>
      </c>
      <c r="O63" s="32">
        <v>-115.9</v>
      </c>
      <c r="P63" s="32">
        <v>-129.19999999999999</v>
      </c>
      <c r="Q63" s="32">
        <v>-143.1</v>
      </c>
    </row>
    <row r="64" spans="1:17" x14ac:dyDescent="0.3">
      <c r="A64" s="189"/>
      <c r="B64" s="32">
        <v>50</v>
      </c>
      <c r="C64" s="36" t="s">
        <v>3</v>
      </c>
      <c r="D64" s="32">
        <v>-26.2</v>
      </c>
      <c r="E64" s="32">
        <v>-29.1</v>
      </c>
      <c r="F64" s="32">
        <v>-32.1</v>
      </c>
      <c r="G64" s="32">
        <v>-35.200000000000003</v>
      </c>
      <c r="H64" s="32">
        <v>-38.5</v>
      </c>
      <c r="I64" s="32">
        <v>-41.9</v>
      </c>
      <c r="J64" s="32">
        <v>-49.1</v>
      </c>
      <c r="K64" s="32">
        <v>-57</v>
      </c>
      <c r="L64" s="32">
        <v>-65.400000000000006</v>
      </c>
      <c r="M64" s="32">
        <v>-74.400000000000006</v>
      </c>
      <c r="N64" s="32">
        <v>-84</v>
      </c>
      <c r="O64" s="32">
        <v>-94.2</v>
      </c>
      <c r="P64" s="32">
        <v>-105</v>
      </c>
      <c r="Q64" s="32">
        <v>-116.3</v>
      </c>
    </row>
    <row r="65" spans="1:17" x14ac:dyDescent="0.3">
      <c r="A65" s="189"/>
      <c r="B65" s="32">
        <v>100</v>
      </c>
      <c r="C65" s="36" t="s">
        <v>3</v>
      </c>
      <c r="D65" s="32">
        <v>-21.7</v>
      </c>
      <c r="E65" s="32">
        <v>-24</v>
      </c>
      <c r="F65" s="32">
        <v>-26.5</v>
      </c>
      <c r="G65" s="32">
        <v>-29</v>
      </c>
      <c r="H65" s="32">
        <v>-31.7</v>
      </c>
      <c r="I65" s="32">
        <v>-34.6</v>
      </c>
      <c r="J65" s="32">
        <v>-40.6</v>
      </c>
      <c r="K65" s="32">
        <v>-47.1</v>
      </c>
      <c r="L65" s="32">
        <v>-54</v>
      </c>
      <c r="M65" s="32">
        <v>-61.5</v>
      </c>
      <c r="N65" s="32">
        <v>-69.400000000000006</v>
      </c>
      <c r="O65" s="32">
        <v>-77.8</v>
      </c>
      <c r="P65" s="32">
        <v>-86.7</v>
      </c>
      <c r="Q65" s="32">
        <v>-96</v>
      </c>
    </row>
    <row r="66" spans="1:17" x14ac:dyDescent="0.3">
      <c r="A66" s="189"/>
      <c r="B66" s="32">
        <v>10</v>
      </c>
      <c r="C66" s="36" t="s">
        <v>4</v>
      </c>
      <c r="D66" s="32">
        <v>-36.9</v>
      </c>
      <c r="E66" s="32">
        <v>-40.9</v>
      </c>
      <c r="F66" s="32">
        <v>-45</v>
      </c>
      <c r="G66" s="32">
        <v>-49.4</v>
      </c>
      <c r="H66" s="32">
        <v>-54</v>
      </c>
      <c r="I66" s="32">
        <v>-58.8</v>
      </c>
      <c r="J66" s="32">
        <v>-69</v>
      </c>
      <c r="K66" s="32">
        <v>-80.099999999999994</v>
      </c>
      <c r="L66" s="32">
        <v>-91.9</v>
      </c>
      <c r="M66" s="32">
        <v>-104.6</v>
      </c>
      <c r="N66" s="32">
        <v>-118.1</v>
      </c>
      <c r="O66" s="32">
        <v>-132.4</v>
      </c>
      <c r="P66" s="32">
        <v>-147.5</v>
      </c>
      <c r="Q66" s="32">
        <v>-163.4</v>
      </c>
    </row>
    <row r="67" spans="1:17" x14ac:dyDescent="0.3">
      <c r="A67" s="189"/>
      <c r="B67" s="32">
        <v>20</v>
      </c>
      <c r="C67" s="36" t="s">
        <v>4</v>
      </c>
      <c r="D67" s="32">
        <v>-32.299999999999997</v>
      </c>
      <c r="E67" s="32">
        <v>-35.799999999999997</v>
      </c>
      <c r="F67" s="32">
        <v>-39.5</v>
      </c>
      <c r="G67" s="32">
        <v>-43.3</v>
      </c>
      <c r="H67" s="32">
        <v>-47.3</v>
      </c>
      <c r="I67" s="32">
        <v>-51.5</v>
      </c>
      <c r="J67" s="32">
        <v>-60.5</v>
      </c>
      <c r="K67" s="32">
        <v>-70.099999999999994</v>
      </c>
      <c r="L67" s="32">
        <v>-80.5</v>
      </c>
      <c r="M67" s="32">
        <v>-91.6</v>
      </c>
      <c r="N67" s="32">
        <v>-103.4</v>
      </c>
      <c r="O67" s="32">
        <v>-115.9</v>
      </c>
      <c r="P67" s="32">
        <v>-129.19999999999999</v>
      </c>
      <c r="Q67" s="32">
        <v>-143.1</v>
      </c>
    </row>
    <row r="68" spans="1:17" x14ac:dyDescent="0.3">
      <c r="A68" s="189"/>
      <c r="B68" s="32">
        <v>50</v>
      </c>
      <c r="C68" s="36" t="s">
        <v>4</v>
      </c>
      <c r="D68" s="32">
        <v>-26.2</v>
      </c>
      <c r="E68" s="32">
        <v>-29.1</v>
      </c>
      <c r="F68" s="32">
        <v>-32.1</v>
      </c>
      <c r="G68" s="32">
        <v>-35.200000000000003</v>
      </c>
      <c r="H68" s="32">
        <v>-38.5</v>
      </c>
      <c r="I68" s="32">
        <v>-41.9</v>
      </c>
      <c r="J68" s="32">
        <v>-49.1</v>
      </c>
      <c r="K68" s="32">
        <v>-57</v>
      </c>
      <c r="L68" s="32">
        <v>-65.400000000000006</v>
      </c>
      <c r="M68" s="32">
        <v>-74.400000000000006</v>
      </c>
      <c r="N68" s="32">
        <v>-84</v>
      </c>
      <c r="O68" s="32">
        <v>-94.2</v>
      </c>
      <c r="P68" s="32">
        <v>-105</v>
      </c>
      <c r="Q68" s="32">
        <v>-116.3</v>
      </c>
    </row>
    <row r="69" spans="1:17" x14ac:dyDescent="0.3">
      <c r="A69" s="189"/>
      <c r="B69" s="32">
        <v>100</v>
      </c>
      <c r="C69" s="36" t="s">
        <v>4</v>
      </c>
      <c r="D69" s="32">
        <v>-21.7</v>
      </c>
      <c r="E69" s="32">
        <v>-24</v>
      </c>
      <c r="F69" s="32">
        <v>-26.5</v>
      </c>
      <c r="G69" s="32">
        <v>-29</v>
      </c>
      <c r="H69" s="32">
        <v>-31.7</v>
      </c>
      <c r="I69" s="32">
        <v>-34.6</v>
      </c>
      <c r="J69" s="32">
        <v>-40.6</v>
      </c>
      <c r="K69" s="32">
        <v>-47.1</v>
      </c>
      <c r="L69" s="32">
        <v>-54</v>
      </c>
      <c r="M69" s="32">
        <v>-61.5</v>
      </c>
      <c r="N69" s="32">
        <v>-69.400000000000006</v>
      </c>
      <c r="O69" s="32">
        <v>-77.8</v>
      </c>
      <c r="P69" s="32">
        <v>-86.7</v>
      </c>
      <c r="Q69" s="32">
        <v>-96</v>
      </c>
    </row>
    <row r="70" spans="1:17" x14ac:dyDescent="0.3">
      <c r="A70" s="189"/>
      <c r="B70" s="32">
        <v>10</v>
      </c>
      <c r="C70" s="36" t="s">
        <v>5</v>
      </c>
      <c r="D70" s="32">
        <v>-47.5</v>
      </c>
      <c r="E70" s="32">
        <v>-52.6</v>
      </c>
      <c r="F70" s="32">
        <v>-58</v>
      </c>
      <c r="G70" s="32">
        <v>-63.7</v>
      </c>
      <c r="H70" s="32">
        <v>-69.599999999999994</v>
      </c>
      <c r="I70" s="32">
        <v>-75.8</v>
      </c>
      <c r="J70" s="32">
        <v>-89</v>
      </c>
      <c r="K70" s="32">
        <v>-103.2</v>
      </c>
      <c r="L70" s="32">
        <v>-118.5</v>
      </c>
      <c r="M70" s="32">
        <v>-134.80000000000001</v>
      </c>
      <c r="N70" s="32">
        <v>-152.19999999999999</v>
      </c>
      <c r="O70" s="32">
        <v>-170.6</v>
      </c>
      <c r="P70" s="32">
        <v>-190.1</v>
      </c>
      <c r="Q70" s="32">
        <v>-210.6</v>
      </c>
    </row>
    <row r="71" spans="1:17" x14ac:dyDescent="0.3">
      <c r="A71" s="189"/>
      <c r="B71" s="32">
        <v>20</v>
      </c>
      <c r="C71" s="36" t="s">
        <v>5</v>
      </c>
      <c r="D71" s="32">
        <v>-38.799999999999997</v>
      </c>
      <c r="E71" s="32">
        <v>-43</v>
      </c>
      <c r="F71" s="32">
        <v>-47.4</v>
      </c>
      <c r="G71" s="32">
        <v>-52</v>
      </c>
      <c r="H71" s="32">
        <v>-56.8</v>
      </c>
      <c r="I71" s="32">
        <v>-61.9</v>
      </c>
      <c r="J71" s="32">
        <v>-72.599999999999994</v>
      </c>
      <c r="K71" s="32">
        <v>-84.2</v>
      </c>
      <c r="L71" s="32">
        <v>-96.7</v>
      </c>
      <c r="M71" s="32">
        <v>-110</v>
      </c>
      <c r="N71" s="32">
        <v>-124.2</v>
      </c>
      <c r="O71" s="32">
        <v>-139.19999999999999</v>
      </c>
      <c r="P71" s="32">
        <v>-155.1</v>
      </c>
      <c r="Q71" s="32">
        <v>-171.9</v>
      </c>
    </row>
    <row r="72" spans="1:17" x14ac:dyDescent="0.3">
      <c r="A72" s="189"/>
      <c r="B72" s="32">
        <v>50</v>
      </c>
      <c r="C72" s="36" t="s">
        <v>5</v>
      </c>
      <c r="D72" s="32">
        <v>-27.2</v>
      </c>
      <c r="E72" s="32">
        <v>-30.2</v>
      </c>
      <c r="F72" s="32">
        <v>-33.299999999999997</v>
      </c>
      <c r="G72" s="32">
        <v>-36.5</v>
      </c>
      <c r="H72" s="32">
        <v>-39.9</v>
      </c>
      <c r="I72" s="32">
        <v>-43.5</v>
      </c>
      <c r="J72" s="32">
        <v>-51</v>
      </c>
      <c r="K72" s="32">
        <v>-59.2</v>
      </c>
      <c r="L72" s="32">
        <v>-67.900000000000006</v>
      </c>
      <c r="M72" s="32">
        <v>-77.3</v>
      </c>
      <c r="N72" s="32">
        <v>-87.2</v>
      </c>
      <c r="O72" s="32">
        <v>-97.8</v>
      </c>
      <c r="P72" s="32">
        <v>-109</v>
      </c>
      <c r="Q72" s="32">
        <v>-120.7</v>
      </c>
    </row>
    <row r="73" spans="1:17" x14ac:dyDescent="0.3">
      <c r="A73" s="189"/>
      <c r="B73" s="32">
        <v>100</v>
      </c>
      <c r="C73" s="36" t="s">
        <v>5</v>
      </c>
      <c r="D73" s="32">
        <v>-27.2</v>
      </c>
      <c r="E73" s="32">
        <v>-30.2</v>
      </c>
      <c r="F73" s="32">
        <v>-33.299999999999997</v>
      </c>
      <c r="G73" s="32">
        <v>-36.5</v>
      </c>
      <c r="H73" s="32">
        <v>-39.9</v>
      </c>
      <c r="I73" s="32">
        <v>-43.5</v>
      </c>
      <c r="J73" s="32">
        <v>-51</v>
      </c>
      <c r="K73" s="32">
        <v>-59.2</v>
      </c>
      <c r="L73" s="32">
        <v>-67.900000000000006</v>
      </c>
      <c r="M73" s="32">
        <v>-77.3</v>
      </c>
      <c r="N73" s="32">
        <v>-87.2</v>
      </c>
      <c r="O73" s="32">
        <v>-97.8</v>
      </c>
      <c r="P73" s="32">
        <v>-109</v>
      </c>
      <c r="Q73" s="32">
        <v>-120.7</v>
      </c>
    </row>
    <row r="74" spans="1:17" x14ac:dyDescent="0.3">
      <c r="A74" s="189" t="s">
        <v>10</v>
      </c>
      <c r="B74" s="32">
        <v>10</v>
      </c>
      <c r="C74" s="36">
        <v>1</v>
      </c>
      <c r="D74" s="32">
        <v>-27.2</v>
      </c>
      <c r="E74" s="32">
        <v>-30.2</v>
      </c>
      <c r="F74" s="32">
        <v>-33.299999999999997</v>
      </c>
      <c r="G74" s="32">
        <v>-36.5</v>
      </c>
      <c r="H74" s="32">
        <v>-39.9</v>
      </c>
      <c r="I74" s="32">
        <v>-43.5</v>
      </c>
      <c r="J74" s="32">
        <v>-51</v>
      </c>
      <c r="K74" s="32">
        <v>-59.2</v>
      </c>
      <c r="L74" s="32">
        <v>-67.900000000000006</v>
      </c>
      <c r="M74" s="32">
        <v>-77.3</v>
      </c>
      <c r="N74" s="32">
        <v>-87.2</v>
      </c>
      <c r="O74" s="32">
        <v>-97.8</v>
      </c>
      <c r="P74" s="32">
        <v>-109</v>
      </c>
      <c r="Q74" s="32">
        <v>-120.7</v>
      </c>
    </row>
    <row r="75" spans="1:17" x14ac:dyDescent="0.3">
      <c r="A75" s="189"/>
      <c r="B75" s="32">
        <v>20</v>
      </c>
      <c r="C75" s="36">
        <v>1</v>
      </c>
      <c r="D75" s="32">
        <v>-23.1</v>
      </c>
      <c r="E75" s="32">
        <v>-25.6</v>
      </c>
      <c r="F75" s="32">
        <v>-28.2</v>
      </c>
      <c r="G75" s="32">
        <v>-31</v>
      </c>
      <c r="H75" s="32">
        <v>-33.9</v>
      </c>
      <c r="I75" s="32">
        <v>-36.9</v>
      </c>
      <c r="J75" s="32">
        <v>-43.3</v>
      </c>
      <c r="K75" s="32">
        <v>-50.2</v>
      </c>
      <c r="L75" s="32">
        <v>-57.6</v>
      </c>
      <c r="M75" s="32">
        <v>-65.5</v>
      </c>
      <c r="N75" s="32">
        <v>-74</v>
      </c>
      <c r="O75" s="32">
        <v>-82.9</v>
      </c>
      <c r="P75" s="32">
        <v>-92.4</v>
      </c>
      <c r="Q75" s="32">
        <v>-102.4</v>
      </c>
    </row>
    <row r="76" spans="1:17" x14ac:dyDescent="0.3">
      <c r="A76" s="189"/>
      <c r="B76" s="32">
        <v>50</v>
      </c>
      <c r="C76" s="36">
        <v>1</v>
      </c>
      <c r="D76" s="32">
        <v>-17.600000000000001</v>
      </c>
      <c r="E76" s="32">
        <v>-19.5</v>
      </c>
      <c r="F76" s="32">
        <v>-21.5</v>
      </c>
      <c r="G76" s="32">
        <v>-23.6</v>
      </c>
      <c r="H76" s="32">
        <v>-25.8</v>
      </c>
      <c r="I76" s="32">
        <v>-28.1</v>
      </c>
      <c r="J76" s="32">
        <v>-33</v>
      </c>
      <c r="K76" s="32">
        <v>-38.299999999999997</v>
      </c>
      <c r="L76" s="32">
        <v>-43.9</v>
      </c>
      <c r="M76" s="32">
        <v>-50</v>
      </c>
      <c r="N76" s="32">
        <v>-56.4</v>
      </c>
      <c r="O76" s="32">
        <v>-63.3</v>
      </c>
      <c r="P76" s="32">
        <v>-70.5</v>
      </c>
      <c r="Q76" s="32">
        <v>-78.099999999999994</v>
      </c>
    </row>
    <row r="77" spans="1:17" x14ac:dyDescent="0.3">
      <c r="A77" s="189"/>
      <c r="B77" s="32">
        <v>100</v>
      </c>
      <c r="C77" s="36">
        <v>1</v>
      </c>
      <c r="D77" s="32">
        <v>-13.5</v>
      </c>
      <c r="E77" s="32">
        <v>-14.9</v>
      </c>
      <c r="F77" s="32">
        <v>-16.559999999999999</v>
      </c>
      <c r="G77" s="32">
        <v>-18.100000000000001</v>
      </c>
      <c r="H77" s="32">
        <v>-19.8</v>
      </c>
      <c r="I77" s="32" t="s">
        <v>11</v>
      </c>
      <c r="J77" s="32">
        <v>-25.2</v>
      </c>
      <c r="K77" s="32">
        <v>-29.3</v>
      </c>
      <c r="L77" s="32">
        <v>-33.6</v>
      </c>
      <c r="M77" s="32">
        <v>-38.200000000000003</v>
      </c>
      <c r="N77" s="32">
        <v>-43.2</v>
      </c>
      <c r="O77" s="32">
        <v>-48.4</v>
      </c>
      <c r="P77" s="32">
        <v>-53.9</v>
      </c>
      <c r="Q77" s="32">
        <v>-59.8</v>
      </c>
    </row>
    <row r="78" spans="1:17" x14ac:dyDescent="0.3">
      <c r="A78" s="189"/>
      <c r="B78" s="32">
        <v>10</v>
      </c>
      <c r="C78" s="36" t="s">
        <v>1</v>
      </c>
      <c r="D78" s="32">
        <v>-27.2</v>
      </c>
      <c r="E78" s="32">
        <v>-30.2</v>
      </c>
      <c r="F78" s="32">
        <v>-33.299999999999997</v>
      </c>
      <c r="G78" s="32">
        <v>-36.5</v>
      </c>
      <c r="H78" s="32">
        <v>-39.9</v>
      </c>
      <c r="I78" s="32">
        <v>-43.5</v>
      </c>
      <c r="J78" s="32">
        <v>-51</v>
      </c>
      <c r="K78" s="32">
        <v>-59.2</v>
      </c>
      <c r="L78" s="32">
        <v>-67.900000000000006</v>
      </c>
      <c r="M78" s="32">
        <v>-77.3</v>
      </c>
      <c r="N78" s="32">
        <v>-87.2</v>
      </c>
      <c r="O78" s="32">
        <v>-97.8</v>
      </c>
      <c r="P78" s="32">
        <v>-109</v>
      </c>
      <c r="Q78" s="32">
        <v>-120.7</v>
      </c>
    </row>
    <row r="79" spans="1:17" x14ac:dyDescent="0.3">
      <c r="A79" s="189"/>
      <c r="B79" s="32">
        <v>20</v>
      </c>
      <c r="C79" s="36" t="s">
        <v>1</v>
      </c>
      <c r="D79" s="32">
        <v>-23.1</v>
      </c>
      <c r="E79" s="32">
        <v>-25.6</v>
      </c>
      <c r="F79" s="32">
        <v>-28.2</v>
      </c>
      <c r="G79" s="32">
        <v>-31</v>
      </c>
      <c r="H79" s="32">
        <v>-33.9</v>
      </c>
      <c r="I79" s="32">
        <v>-36.9</v>
      </c>
      <c r="J79" s="32">
        <v>-43.3</v>
      </c>
      <c r="K79" s="32">
        <v>-50.2</v>
      </c>
      <c r="L79" s="32">
        <v>-57.6</v>
      </c>
      <c r="M79" s="32">
        <v>-65.5</v>
      </c>
      <c r="N79" s="32">
        <v>-74</v>
      </c>
      <c r="O79" s="32">
        <v>-82.9</v>
      </c>
      <c r="P79" s="32">
        <v>-92.4</v>
      </c>
      <c r="Q79" s="32">
        <v>-102.4</v>
      </c>
    </row>
    <row r="80" spans="1:17" x14ac:dyDescent="0.3">
      <c r="A80" s="189"/>
      <c r="B80" s="32">
        <v>50</v>
      </c>
      <c r="C80" s="36" t="s">
        <v>1</v>
      </c>
      <c r="D80" s="32">
        <v>-17.600000000000001</v>
      </c>
      <c r="E80" s="32">
        <v>-19.5</v>
      </c>
      <c r="F80" s="32">
        <v>-21.5</v>
      </c>
      <c r="G80" s="32">
        <v>-23.6</v>
      </c>
      <c r="H80" s="32">
        <v>-25.8</v>
      </c>
      <c r="I80" s="32">
        <v>-28.1</v>
      </c>
      <c r="J80" s="32">
        <v>-33</v>
      </c>
      <c r="K80" s="32">
        <v>-38.299999999999997</v>
      </c>
      <c r="L80" s="32">
        <v>-43.9</v>
      </c>
      <c r="M80" s="32">
        <v>-50</v>
      </c>
      <c r="N80" s="32">
        <v>-56.4</v>
      </c>
      <c r="O80" s="32">
        <v>-63.3</v>
      </c>
      <c r="P80" s="32">
        <v>-70.5</v>
      </c>
      <c r="Q80" s="32">
        <v>-78.099999999999994</v>
      </c>
    </row>
    <row r="81" spans="1:17" x14ac:dyDescent="0.3">
      <c r="A81" s="189"/>
      <c r="B81" s="32">
        <v>100</v>
      </c>
      <c r="C81" s="36" t="s">
        <v>1</v>
      </c>
      <c r="D81" s="32">
        <v>-13.5</v>
      </c>
      <c r="E81" s="32">
        <v>-14.9</v>
      </c>
      <c r="F81" s="32">
        <v>-16.559999999999999</v>
      </c>
      <c r="G81" s="32">
        <v>-18.100000000000001</v>
      </c>
      <c r="H81" s="32">
        <v>-19.8</v>
      </c>
      <c r="I81" s="32">
        <v>-21.5</v>
      </c>
      <c r="J81" s="32">
        <v>-25.2</v>
      </c>
      <c r="K81" s="32">
        <v>-29.3</v>
      </c>
      <c r="L81" s="32">
        <v>-33.6</v>
      </c>
      <c r="M81" s="32">
        <v>-38.200000000000003</v>
      </c>
      <c r="N81" s="32">
        <v>-43.2</v>
      </c>
      <c r="O81" s="32">
        <v>-48.4</v>
      </c>
      <c r="P81" s="32">
        <v>-53.9</v>
      </c>
      <c r="Q81" s="32">
        <v>-59.8</v>
      </c>
    </row>
    <row r="82" spans="1:17" x14ac:dyDescent="0.3">
      <c r="A82" s="189"/>
      <c r="B82" s="32">
        <v>10</v>
      </c>
      <c r="C82" s="36" t="s">
        <v>2</v>
      </c>
      <c r="D82" s="32">
        <v>-30</v>
      </c>
      <c r="E82" s="32">
        <v>-33.200000000000003</v>
      </c>
      <c r="F82" s="32">
        <v>-36.6</v>
      </c>
      <c r="G82" s="32">
        <v>-40.200000000000003</v>
      </c>
      <c r="H82" s="32">
        <v>-44</v>
      </c>
      <c r="I82" s="32">
        <v>-47.9</v>
      </c>
      <c r="J82" s="32">
        <v>-56.2</v>
      </c>
      <c r="K82" s="32">
        <v>-65.099999999999994</v>
      </c>
      <c r="L82" s="32">
        <v>-74.8</v>
      </c>
      <c r="M82" s="32">
        <v>-85.1</v>
      </c>
      <c r="N82" s="32">
        <v>-96</v>
      </c>
      <c r="O82" s="32">
        <v>-107.7</v>
      </c>
      <c r="P82" s="32">
        <v>-120</v>
      </c>
      <c r="Q82" s="32">
        <v>-132.9</v>
      </c>
    </row>
    <row r="83" spans="1:17" x14ac:dyDescent="0.3">
      <c r="A83" s="189"/>
      <c r="B83" s="32">
        <v>20</v>
      </c>
      <c r="C83" s="36" t="s">
        <v>2</v>
      </c>
      <c r="D83" s="32">
        <v>-26.8</v>
      </c>
      <c r="E83" s="32">
        <v>-29.7</v>
      </c>
      <c r="F83" s="32">
        <v>-32.799999999999997</v>
      </c>
      <c r="G83" s="32">
        <v>-35.9</v>
      </c>
      <c r="H83" s="32">
        <v>-39.299999999999997</v>
      </c>
      <c r="I83" s="32">
        <v>-42.8</v>
      </c>
      <c r="J83" s="32">
        <v>-50.2</v>
      </c>
      <c r="K83" s="32">
        <v>-58.2</v>
      </c>
      <c r="L83" s="32">
        <v>-66.8</v>
      </c>
      <c r="M83" s="32">
        <v>-76</v>
      </c>
      <c r="N83" s="32">
        <v>-85.9</v>
      </c>
      <c r="O83" s="32">
        <v>-96.2</v>
      </c>
      <c r="P83" s="32">
        <v>-107.2</v>
      </c>
      <c r="Q83" s="32">
        <v>-118.8</v>
      </c>
    </row>
    <row r="84" spans="1:17" x14ac:dyDescent="0.3">
      <c r="A84" s="189"/>
      <c r="B84" s="32">
        <v>50</v>
      </c>
      <c r="C84" s="36" t="s">
        <v>2</v>
      </c>
      <c r="D84" s="32">
        <v>-22.6</v>
      </c>
      <c r="E84" s="32">
        <v>-25</v>
      </c>
      <c r="F84" s="32">
        <v>-27.6</v>
      </c>
      <c r="G84" s="32">
        <v>-30.3</v>
      </c>
      <c r="H84" s="32">
        <v>-33.1</v>
      </c>
      <c r="I84" s="32">
        <v>-36.1</v>
      </c>
      <c r="J84" s="32">
        <v>-42.3</v>
      </c>
      <c r="K84" s="32">
        <v>-49.1</v>
      </c>
      <c r="L84" s="32">
        <v>-56.3</v>
      </c>
      <c r="M84" s="32">
        <v>-64.099999999999994</v>
      </c>
      <c r="N84" s="32">
        <v>-72.400000000000006</v>
      </c>
      <c r="O84" s="32">
        <v>-81.099999999999994</v>
      </c>
      <c r="P84" s="32">
        <v>-90.4</v>
      </c>
      <c r="Q84" s="32">
        <v>-100.2</v>
      </c>
    </row>
    <row r="85" spans="1:17" x14ac:dyDescent="0.3">
      <c r="A85" s="189"/>
      <c r="B85" s="32">
        <v>100</v>
      </c>
      <c r="C85" s="36" t="s">
        <v>2</v>
      </c>
      <c r="D85" s="32">
        <v>-19.399999999999999</v>
      </c>
      <c r="E85" s="32">
        <v>-21.5</v>
      </c>
      <c r="F85" s="32">
        <v>-23.7</v>
      </c>
      <c r="G85" s="32">
        <v>-26</v>
      </c>
      <c r="H85" s="32">
        <v>-28.5</v>
      </c>
      <c r="I85" s="32">
        <v>-31</v>
      </c>
      <c r="J85" s="32">
        <v>-36.4</v>
      </c>
      <c r="K85" s="32">
        <v>-42.2</v>
      </c>
      <c r="L85" s="32">
        <v>-48.4</v>
      </c>
      <c r="M85" s="32">
        <v>-55.1</v>
      </c>
      <c r="N85" s="32">
        <v>-62.2</v>
      </c>
      <c r="O85" s="32">
        <v>-69.7</v>
      </c>
      <c r="P85" s="32">
        <v>-77.7</v>
      </c>
      <c r="Q85" s="32">
        <v>-86.1</v>
      </c>
    </row>
    <row r="86" spans="1:17" x14ac:dyDescent="0.3">
      <c r="A86" s="189"/>
      <c r="B86" s="32">
        <v>10</v>
      </c>
      <c r="C86" s="36" t="s">
        <v>3</v>
      </c>
      <c r="D86" s="32">
        <v>-27.2</v>
      </c>
      <c r="E86" s="32">
        <v>-30.2</v>
      </c>
      <c r="F86" s="32">
        <v>-33.299999999999997</v>
      </c>
      <c r="G86" s="32">
        <v>-36.5</v>
      </c>
      <c r="H86" s="32">
        <v>-39.9</v>
      </c>
      <c r="I86" s="32">
        <v>-43.5</v>
      </c>
      <c r="J86" s="32">
        <v>-51</v>
      </c>
      <c r="K86" s="32">
        <v>-59.2</v>
      </c>
      <c r="L86" s="32">
        <v>-67.900000000000006</v>
      </c>
      <c r="M86" s="32">
        <v>-77.3</v>
      </c>
      <c r="N86" s="32">
        <v>-87.2</v>
      </c>
      <c r="O86" s="32">
        <v>-97.8</v>
      </c>
      <c r="P86" s="32">
        <v>-109</v>
      </c>
      <c r="Q86" s="32">
        <v>-120.7</v>
      </c>
    </row>
    <row r="87" spans="1:17" x14ac:dyDescent="0.3">
      <c r="A87" s="189"/>
      <c r="B87" s="32">
        <v>20</v>
      </c>
      <c r="C87" s="36" t="s">
        <v>3</v>
      </c>
      <c r="D87" s="32">
        <v>-23.1</v>
      </c>
      <c r="E87" s="32">
        <v>-25.6</v>
      </c>
      <c r="F87" s="32">
        <v>-28.2</v>
      </c>
      <c r="G87" s="32">
        <v>-31</v>
      </c>
      <c r="H87" s="32">
        <v>-33.9</v>
      </c>
      <c r="I87" s="32">
        <v>-36.9</v>
      </c>
      <c r="J87" s="32">
        <v>-43.3</v>
      </c>
      <c r="K87" s="32">
        <v>-50.2</v>
      </c>
      <c r="L87" s="32">
        <v>-57.6</v>
      </c>
      <c r="M87" s="32">
        <v>-65.5</v>
      </c>
      <c r="N87" s="32">
        <v>-74</v>
      </c>
      <c r="O87" s="32">
        <v>-82.9</v>
      </c>
      <c r="P87" s="32">
        <v>-92.4</v>
      </c>
      <c r="Q87" s="32">
        <v>-102.4</v>
      </c>
    </row>
    <row r="88" spans="1:17" x14ac:dyDescent="0.3">
      <c r="A88" s="189"/>
      <c r="B88" s="32">
        <v>50</v>
      </c>
      <c r="C88" s="36" t="s">
        <v>3</v>
      </c>
      <c r="D88" s="32">
        <v>-17.600000000000001</v>
      </c>
      <c r="E88" s="32">
        <v>-19.5</v>
      </c>
      <c r="F88" s="32">
        <v>-21.5</v>
      </c>
      <c r="G88" s="32">
        <v>-23.6</v>
      </c>
      <c r="H88" s="32">
        <v>-25.8</v>
      </c>
      <c r="I88" s="32">
        <v>-28.1</v>
      </c>
      <c r="J88" s="32">
        <v>-33</v>
      </c>
      <c r="K88" s="32">
        <v>-38.299999999999997</v>
      </c>
      <c r="L88" s="32">
        <v>-43.9</v>
      </c>
      <c r="M88" s="32">
        <v>-50</v>
      </c>
      <c r="N88" s="32">
        <v>-56.4</v>
      </c>
      <c r="O88" s="32">
        <v>-63.3</v>
      </c>
      <c r="P88" s="32">
        <v>-70.5</v>
      </c>
      <c r="Q88" s="32">
        <v>-78.099999999999994</v>
      </c>
    </row>
    <row r="89" spans="1:17" x14ac:dyDescent="0.3">
      <c r="A89" s="189"/>
      <c r="B89" s="32">
        <v>100</v>
      </c>
      <c r="C89" s="36" t="s">
        <v>3</v>
      </c>
      <c r="D89" s="32">
        <v>-13.5</v>
      </c>
      <c r="E89" s="32">
        <v>-14.9</v>
      </c>
      <c r="F89" s="32">
        <v>-16.5</v>
      </c>
      <c r="G89" s="32">
        <v>-18.100000000000001</v>
      </c>
      <c r="H89" s="32">
        <v>-19.8</v>
      </c>
      <c r="I89" s="32">
        <v>-21.5</v>
      </c>
      <c r="J89" s="32">
        <v>-25.2</v>
      </c>
      <c r="K89" s="32">
        <v>-29.3</v>
      </c>
      <c r="L89" s="32">
        <v>-33.6</v>
      </c>
      <c r="M89" s="32">
        <v>-38.200000000000003</v>
      </c>
      <c r="N89" s="32">
        <v>-43.2</v>
      </c>
      <c r="O89" s="32">
        <v>-48.4</v>
      </c>
      <c r="P89" s="32">
        <v>-53.9</v>
      </c>
      <c r="Q89" s="32">
        <v>-59.8</v>
      </c>
    </row>
    <row r="90" spans="1:17" x14ac:dyDescent="0.3">
      <c r="A90" s="189"/>
      <c r="B90" s="32">
        <v>10</v>
      </c>
      <c r="C90" s="36" t="s">
        <v>4</v>
      </c>
      <c r="D90" s="32">
        <v>-36.799999999999997</v>
      </c>
      <c r="E90" s="32">
        <v>-40.799999999999997</v>
      </c>
      <c r="F90" s="32">
        <v>-44.9</v>
      </c>
      <c r="G90" s="32">
        <v>-49.3</v>
      </c>
      <c r="H90" s="32">
        <v>-53.9</v>
      </c>
      <c r="I90" s="32">
        <v>-58.7</v>
      </c>
      <c r="J90" s="32">
        <v>-68.900000000000006</v>
      </c>
      <c r="K90" s="32">
        <v>-79.900000000000006</v>
      </c>
      <c r="L90" s="32">
        <v>-91.7</v>
      </c>
      <c r="M90" s="32">
        <v>-104.3</v>
      </c>
      <c r="N90" s="32">
        <v>-117.8</v>
      </c>
      <c r="O90" s="32">
        <v>-132</v>
      </c>
      <c r="P90" s="32">
        <v>-147.1</v>
      </c>
      <c r="Q90" s="32">
        <v>-163</v>
      </c>
    </row>
    <row r="91" spans="1:17" x14ac:dyDescent="0.3">
      <c r="A91" s="189"/>
      <c r="B91" s="32">
        <v>20</v>
      </c>
      <c r="C91" s="36" t="s">
        <v>4</v>
      </c>
      <c r="D91" s="32">
        <v>-32.6</v>
      </c>
      <c r="E91" s="32">
        <v>-36.1</v>
      </c>
      <c r="F91" s="32">
        <v>-39.799999999999997</v>
      </c>
      <c r="G91" s="32">
        <v>-43.7</v>
      </c>
      <c r="H91" s="32">
        <v>-47.8</v>
      </c>
      <c r="I91" s="32">
        <v>-52</v>
      </c>
      <c r="J91" s="32">
        <v>-61</v>
      </c>
      <c r="K91" s="32">
        <v>-70.8</v>
      </c>
      <c r="L91" s="32">
        <v>-81.3</v>
      </c>
      <c r="M91" s="32">
        <v>-92.5</v>
      </c>
      <c r="N91" s="32">
        <v>-104.4</v>
      </c>
      <c r="O91" s="32">
        <v>-117</v>
      </c>
      <c r="P91" s="32">
        <v>-130.4</v>
      </c>
      <c r="Q91" s="32">
        <v>-144.5</v>
      </c>
    </row>
    <row r="92" spans="1:17" x14ac:dyDescent="0.3">
      <c r="A92" s="189"/>
      <c r="B92" s="32">
        <v>50</v>
      </c>
      <c r="C92" s="36" t="s">
        <v>4</v>
      </c>
      <c r="D92" s="32">
        <v>-27.1</v>
      </c>
      <c r="E92" s="32">
        <v>-30</v>
      </c>
      <c r="F92" s="32">
        <v>-33.1</v>
      </c>
      <c r="G92" s="32">
        <v>-36.299999999999997</v>
      </c>
      <c r="H92" s="32">
        <v>-39.700000000000003</v>
      </c>
      <c r="I92" s="32">
        <v>-43.2</v>
      </c>
      <c r="J92" s="32">
        <v>-50.7</v>
      </c>
      <c r="K92" s="32">
        <v>-58.8</v>
      </c>
      <c r="L92" s="32">
        <v>-67.5</v>
      </c>
      <c r="M92" s="32">
        <v>-76.8</v>
      </c>
      <c r="N92" s="32">
        <v>-86.6</v>
      </c>
      <c r="O92" s="32">
        <v>-97.1</v>
      </c>
      <c r="P92" s="32">
        <v>-108.2</v>
      </c>
      <c r="Q92" s="32">
        <v>-119.9</v>
      </c>
    </row>
    <row r="93" spans="1:17" x14ac:dyDescent="0.3">
      <c r="A93" s="189"/>
      <c r="B93" s="32">
        <v>100</v>
      </c>
      <c r="C93" s="36" t="s">
        <v>4</v>
      </c>
      <c r="D93" s="32">
        <v>-22.9</v>
      </c>
      <c r="E93" s="32">
        <v>-25.3</v>
      </c>
      <c r="F93" s="32">
        <v>-27.9</v>
      </c>
      <c r="G93" s="32">
        <v>-30.7</v>
      </c>
      <c r="H93" s="32">
        <v>-33.5</v>
      </c>
      <c r="I93" s="32">
        <v>-36.5</v>
      </c>
      <c r="J93" s="32">
        <v>-42.8</v>
      </c>
      <c r="K93" s="32">
        <v>-49.7</v>
      </c>
      <c r="L93" s="32">
        <v>-57</v>
      </c>
      <c r="M93" s="32">
        <v>-64.900000000000006</v>
      </c>
      <c r="N93" s="32">
        <v>-73.2</v>
      </c>
      <c r="O93" s="32">
        <v>-82.1</v>
      </c>
      <c r="P93" s="32">
        <v>-91.5</v>
      </c>
      <c r="Q93" s="32">
        <v>-101.4</v>
      </c>
    </row>
    <row r="94" spans="1:17" x14ac:dyDescent="0.3">
      <c r="A94" s="189"/>
      <c r="B94" s="32">
        <v>10</v>
      </c>
      <c r="C94" s="36" t="s">
        <v>5</v>
      </c>
      <c r="D94" s="32">
        <v>-30</v>
      </c>
      <c r="E94" s="32">
        <v>-33.200000000000003</v>
      </c>
      <c r="F94" s="32">
        <v>-36.6</v>
      </c>
      <c r="G94" s="32">
        <v>-40.200000000000003</v>
      </c>
      <c r="H94" s="32">
        <v>-44</v>
      </c>
      <c r="I94" s="32">
        <v>-47.9</v>
      </c>
      <c r="J94" s="32">
        <v>-26.2</v>
      </c>
      <c r="K94" s="32">
        <v>-65.099999999999994</v>
      </c>
      <c r="L94" s="32">
        <v>-74.8</v>
      </c>
      <c r="M94" s="32">
        <v>-85.1</v>
      </c>
      <c r="N94" s="32">
        <v>-96</v>
      </c>
      <c r="O94" s="32">
        <v>-107.7</v>
      </c>
      <c r="P94" s="32">
        <v>-120</v>
      </c>
      <c r="Q94" s="32">
        <v>-132.9</v>
      </c>
    </row>
    <row r="95" spans="1:17" x14ac:dyDescent="0.3">
      <c r="A95" s="189"/>
      <c r="B95" s="32">
        <v>20</v>
      </c>
      <c r="C95" s="36" t="s">
        <v>5</v>
      </c>
      <c r="D95" s="32">
        <v>-26.8</v>
      </c>
      <c r="E95" s="32">
        <v>-29.7</v>
      </c>
      <c r="F95" s="32">
        <v>-32.799999999999997</v>
      </c>
      <c r="G95" s="32">
        <v>-35.9</v>
      </c>
      <c r="H95" s="32">
        <v>-39.299999999999997</v>
      </c>
      <c r="I95" s="32">
        <v>-42.8</v>
      </c>
      <c r="J95" s="32">
        <v>-50.2</v>
      </c>
      <c r="K95" s="32">
        <v>-58.2</v>
      </c>
      <c r="L95" s="32">
        <v>-66.8</v>
      </c>
      <c r="M95" s="32">
        <v>-76</v>
      </c>
      <c r="N95" s="32">
        <v>-85.9</v>
      </c>
      <c r="O95" s="32">
        <v>-96.2</v>
      </c>
      <c r="P95" s="32">
        <v>-107.2</v>
      </c>
      <c r="Q95" s="32">
        <v>-118.8</v>
      </c>
    </row>
    <row r="96" spans="1:17" x14ac:dyDescent="0.3">
      <c r="A96" s="189"/>
      <c r="B96" s="32">
        <v>50</v>
      </c>
      <c r="C96" s="36" t="s">
        <v>5</v>
      </c>
      <c r="D96" s="32">
        <v>-22.6</v>
      </c>
      <c r="E96" s="32">
        <v>-25</v>
      </c>
      <c r="F96" s="32">
        <v>-27.6</v>
      </c>
      <c r="G96" s="32">
        <v>-30.3</v>
      </c>
      <c r="H96" s="32">
        <v>-33.1</v>
      </c>
      <c r="I96" s="32">
        <v>-36.1</v>
      </c>
      <c r="J96" s="32">
        <v>-42.3</v>
      </c>
      <c r="K96" s="32">
        <v>-49.1</v>
      </c>
      <c r="L96" s="32">
        <v>-56.3</v>
      </c>
      <c r="M96" s="32">
        <v>-64.099999999999994</v>
      </c>
      <c r="N96" s="32">
        <v>-72.400000000000006</v>
      </c>
      <c r="O96" s="32">
        <v>-81.099999999999994</v>
      </c>
      <c r="P96" s="32">
        <v>-90.4</v>
      </c>
      <c r="Q96" s="32">
        <v>-100.2</v>
      </c>
    </row>
    <row r="97" spans="1:17" x14ac:dyDescent="0.3">
      <c r="A97" s="189"/>
      <c r="B97" s="32">
        <v>100</v>
      </c>
      <c r="C97" s="36" t="s">
        <v>5</v>
      </c>
      <c r="D97" s="32">
        <v>-19.399999999999999</v>
      </c>
      <c r="E97" s="32">
        <v>-21.5</v>
      </c>
      <c r="F97" s="32">
        <v>-23.7</v>
      </c>
      <c r="G97" s="32">
        <v>-26</v>
      </c>
      <c r="H97" s="32">
        <v>-28.5</v>
      </c>
      <c r="I97" s="32">
        <v>-31</v>
      </c>
      <c r="J97" s="32">
        <v>-36.4</v>
      </c>
      <c r="K97" s="32">
        <v>-42.2</v>
      </c>
      <c r="L97" s="32">
        <v>-48.4</v>
      </c>
      <c r="M97" s="32">
        <v>-55.1</v>
      </c>
      <c r="N97" s="32">
        <v>-62.2</v>
      </c>
      <c r="O97" s="32">
        <v>-69.7</v>
      </c>
      <c r="P97" s="32">
        <v>-77.7</v>
      </c>
      <c r="Q97" s="32">
        <v>-86.1</v>
      </c>
    </row>
    <row r="98" spans="1:17" x14ac:dyDescent="0.3">
      <c r="K98" t="s">
        <v>12</v>
      </c>
    </row>
    <row r="100" spans="1:17" x14ac:dyDescent="0.3">
      <c r="A100" t="s">
        <v>30</v>
      </c>
      <c r="C100" t="s">
        <v>31</v>
      </c>
    </row>
    <row r="101" spans="1:17" x14ac:dyDescent="0.3">
      <c r="A101">
        <f>'C&amp;C 7-16 Simplified'!E13</f>
        <v>130</v>
      </c>
      <c r="C101">
        <f>'C&amp;C 7-16 Simplified'!E15</f>
        <v>21</v>
      </c>
    </row>
    <row r="104" spans="1:17" x14ac:dyDescent="0.3">
      <c r="A104" s="131" t="s">
        <v>32</v>
      </c>
      <c r="B104" s="131"/>
      <c r="D104" s="131" t="s">
        <v>33</v>
      </c>
      <c r="E104" s="131"/>
      <c r="G104" s="131" t="s">
        <v>34</v>
      </c>
      <c r="H104" s="131"/>
      <c r="J104" s="131" t="s">
        <v>35</v>
      </c>
      <c r="K104" s="131"/>
      <c r="N104">
        <f>'C&amp;C 7-16 Analytical'!E13</f>
        <v>130</v>
      </c>
    </row>
    <row r="105" spans="1:17" x14ac:dyDescent="0.3">
      <c r="A105" s="1">
        <v>4</v>
      </c>
      <c r="B105">
        <f>INDEX(D2:Q2,MATCH(C101,B2,1),MATCH(A101,D1:Q1,0))</f>
        <v>-33</v>
      </c>
      <c r="D105" s="1">
        <v>4</v>
      </c>
      <c r="E105">
        <f>INDEX(D2:Q2,MATCH(C101,B2,1),MATCH(A101,D1:Q1,0))</f>
        <v>-33</v>
      </c>
      <c r="G105" s="1">
        <v>4</v>
      </c>
      <c r="H105">
        <f>INDEX(D2:Q2,MATCH(C101,B2,1),MATCH(A101,D1:Q1,0))</f>
        <v>-33</v>
      </c>
      <c r="J105" s="1">
        <v>4</v>
      </c>
      <c r="K105">
        <f>INDEX(D2:Q2,MATCH(C101,B2,1),MATCH(A101,D1:Q1,0))</f>
        <v>-33</v>
      </c>
      <c r="N105" t="s">
        <v>86</v>
      </c>
    </row>
    <row r="106" spans="1:17" x14ac:dyDescent="0.3">
      <c r="A106" s="1">
        <v>5</v>
      </c>
      <c r="B106">
        <f>INDEX(D6:Q6,MATCH(C101,B6,1),MATCH(A101,D1:Q1,0))</f>
        <v>-40.700000000000003</v>
      </c>
      <c r="D106" s="1">
        <v>5</v>
      </c>
      <c r="E106">
        <f>INDEX(D6:Q6,MATCH(C101,B6,1),MATCH(A101,D1:Q1,0))</f>
        <v>-40.700000000000003</v>
      </c>
      <c r="G106" s="1">
        <v>5</v>
      </c>
      <c r="H106">
        <f>INDEX(D6:Q6,MATCH(C101,B6,1),MATCH(A101,D1:Q1,0))</f>
        <v>-40.700000000000003</v>
      </c>
      <c r="J106" s="1">
        <v>5</v>
      </c>
      <c r="K106">
        <f>INDEX(D6:Q6,MATCH(C101,B6,1),MATCH(A101,D1:Q1,0))</f>
        <v>-40.700000000000003</v>
      </c>
      <c r="N106">
        <v>2</v>
      </c>
      <c r="O106">
        <f>INDEX(D18:Q18,MATCH(C101,B18,1),MATCH(N104,D1:Q1,0))</f>
        <v>-63.9</v>
      </c>
    </row>
    <row r="107" spans="1:17" x14ac:dyDescent="0.3">
      <c r="A107" s="1">
        <v>1</v>
      </c>
      <c r="B107">
        <f>INDEX(D10:Q10,MATCH(C101,B10,1),MATCH(A101,D1:Q1,0))</f>
        <v>-48.4</v>
      </c>
      <c r="D107" s="1">
        <v>1</v>
      </c>
      <c r="E107">
        <f>INDEX(D26:Q26,MATCH(C101,B26,1),MATCH(A101,D1:Q1,0))</f>
        <v>-56.2</v>
      </c>
      <c r="G107" s="1">
        <v>1</v>
      </c>
      <c r="H107">
        <f>INDEX(D50:Q50,MATCH(C101,B50,1),MATCH(A101,D1:Q1,0))</f>
        <v>-43.3</v>
      </c>
      <c r="J107" s="1">
        <v>1</v>
      </c>
      <c r="K107">
        <f>INDEX(D74:Q74,MATCH(C101,B74,1),MATCH(A101,D1:Q1,0))</f>
        <v>-51</v>
      </c>
      <c r="N107">
        <v>4</v>
      </c>
      <c r="O107">
        <f>INDEX(D2:Q2,MATCH(C101,B2,1),MATCH(N104,D1:Q1,0))</f>
        <v>-33</v>
      </c>
    </row>
    <row r="108" spans="1:17" x14ac:dyDescent="0.3">
      <c r="A108" s="1" t="s">
        <v>0</v>
      </c>
      <c r="B108">
        <f>INDEX(D14:Q14,MATCH(C101,B14,1),MATCH(A101,D1:Q1,0))</f>
        <v>-27.8</v>
      </c>
      <c r="D108" s="1" t="s">
        <v>1</v>
      </c>
      <c r="E108">
        <f>INDEX(D30:Q30,MATCH(C101,B30,1),MATCH(A101,D1:Q1,0))</f>
        <v>-56.2</v>
      </c>
      <c r="G108" s="1" t="s">
        <v>1</v>
      </c>
      <c r="H108">
        <f>INDEX(D54:Q54,MATCH(C101,B54,1),MATCH(A101,D1:Q1,0))</f>
        <v>-43.3</v>
      </c>
      <c r="J108" s="1" t="s">
        <v>1</v>
      </c>
      <c r="K108">
        <f>INDEX(D78:Q78,MATCH(C101,B78,1),MATCH(A101,D1:Q1,0))</f>
        <v>-51</v>
      </c>
    </row>
    <row r="109" spans="1:17" x14ac:dyDescent="0.3">
      <c r="A109" s="1">
        <v>2</v>
      </c>
      <c r="B109">
        <f>INDEX(D18:Q18,MATCH(C101,B18,1),MATCH(A101,D1:Q1,0))</f>
        <v>-63.9</v>
      </c>
      <c r="D109" s="1" t="s">
        <v>2</v>
      </c>
      <c r="E109">
        <f>INDEX(D34:Q34,MATCH(C101,B34,1),MATCH(A101,D1:Q1,0))</f>
        <v>-81.900000000000006</v>
      </c>
      <c r="G109" s="1" t="s">
        <v>2</v>
      </c>
      <c r="H109">
        <f>INDEX(D58:Q58,MATCH(C101,B58,1),MATCH(A101,D1:Q1,0))</f>
        <v>-69</v>
      </c>
      <c r="J109" s="1" t="s">
        <v>2</v>
      </c>
      <c r="K109">
        <f>INDEX(D82:Q82,MATCH(C101,B82,1),MATCH(A101,D1:Q1,0))</f>
        <v>-56.2</v>
      </c>
    </row>
    <row r="110" spans="1:17" x14ac:dyDescent="0.3">
      <c r="A110" s="1">
        <v>3</v>
      </c>
      <c r="B110">
        <f>INDEX(D22:Q22,MATCH(C101,B22,1),MATCH(A101,D1:Q1,0))</f>
        <v>-87.1</v>
      </c>
      <c r="D110" s="1" t="s">
        <v>3</v>
      </c>
      <c r="E110">
        <f>INDEX(D38:Q38,MATCH(C101,B38,1),MATCH(A101,D1:Q1,0))</f>
        <v>-81.900000000000006</v>
      </c>
      <c r="G110" s="1" t="s">
        <v>3</v>
      </c>
      <c r="H110">
        <f>INDEX(D62:Q62,MATCH(C101,B62,1),MATCH(A101,D1:Q1,0))</f>
        <v>-69</v>
      </c>
      <c r="J110" s="1" t="s">
        <v>3</v>
      </c>
      <c r="K110">
        <f>INDEX(D86:Q86,MATCH(C101,B86,1),MATCH(A101,D1:Q1,0))</f>
        <v>-51</v>
      </c>
    </row>
    <row r="111" spans="1:17" x14ac:dyDescent="0.3">
      <c r="D111" s="1" t="s">
        <v>4</v>
      </c>
      <c r="E111">
        <f>INDEX(D42:Q42,MATCH(C101,B42,1),MATCH(A101,D1:Q1,0))</f>
        <v>-81.900000000000006</v>
      </c>
      <c r="G111" s="1" t="s">
        <v>4</v>
      </c>
      <c r="H111">
        <f>INDEX(D66:Q66,MATCH(C101,B66,1),MATCH(A101,D1:Q1,0))</f>
        <v>-69</v>
      </c>
      <c r="J111" s="1" t="s">
        <v>4</v>
      </c>
      <c r="K111">
        <f>INDEX(D90:Q90,MATCH(C101,B90,1),MATCH(A101,D1:Q1,0))</f>
        <v>-68.900000000000006</v>
      </c>
    </row>
    <row r="112" spans="1:17" x14ac:dyDescent="0.3">
      <c r="D112" s="1" t="s">
        <v>5</v>
      </c>
      <c r="E112">
        <f>INDEX(D46:Q46,MATCH(C101,B46,1),MATCH(A101,D1:Q1,0))</f>
        <v>-97.4</v>
      </c>
      <c r="G112" s="1" t="s">
        <v>5</v>
      </c>
      <c r="H112">
        <f>INDEX(D70:Q70,MATCH(C101,B70,1),MATCH(A101,D1:Q1,0))</f>
        <v>-89</v>
      </c>
      <c r="J112" s="1" t="s">
        <v>5</v>
      </c>
      <c r="K112">
        <f>INDEX(D94:Q94,MATCH(C101,B94,1),MATCH(A101,D1:Q1,0))</f>
        <v>-26.2</v>
      </c>
    </row>
    <row r="118" spans="1:4" x14ac:dyDescent="0.3">
      <c r="A118" s="12"/>
    </row>
    <row r="120" spans="1:4" x14ac:dyDescent="0.3">
      <c r="A120" s="12"/>
      <c r="C120" s="41"/>
      <c r="D120" s="41"/>
    </row>
    <row r="121" spans="1:4" x14ac:dyDescent="0.3">
      <c r="A121" s="1"/>
      <c r="C121" s="41"/>
      <c r="D121" s="41"/>
    </row>
    <row r="122" spans="1:4" x14ac:dyDescent="0.3">
      <c r="A122" s="1"/>
      <c r="C122" s="41"/>
      <c r="D122" s="41"/>
    </row>
    <row r="123" spans="1:4" x14ac:dyDescent="0.3">
      <c r="A123" s="1"/>
      <c r="C123" s="41"/>
      <c r="D123" s="41"/>
    </row>
    <row r="124" spans="1:4" x14ac:dyDescent="0.3">
      <c r="A124" s="1"/>
      <c r="C124" s="41"/>
      <c r="D124" s="41"/>
    </row>
    <row r="127" spans="1:4" x14ac:dyDescent="0.3">
      <c r="A127" s="12"/>
      <c r="C127" s="41"/>
      <c r="D127" s="41"/>
    </row>
    <row r="128" spans="1:4" x14ac:dyDescent="0.3">
      <c r="A128" s="1"/>
      <c r="C128" s="41"/>
      <c r="D128" s="41"/>
    </row>
    <row r="129" spans="1:12" x14ac:dyDescent="0.3">
      <c r="A129" s="1"/>
      <c r="C129" s="41"/>
      <c r="D129" s="41"/>
    </row>
    <row r="133" spans="1:12" x14ac:dyDescent="0.3">
      <c r="A133" s="1"/>
      <c r="B133" s="40"/>
      <c r="C133" s="40"/>
      <c r="D133" s="40"/>
    </row>
    <row r="134" spans="1:12" x14ac:dyDescent="0.3">
      <c r="A134" s="1"/>
      <c r="B134" s="40"/>
      <c r="C134" s="40"/>
      <c r="D134" s="40"/>
    </row>
    <row r="135" spans="1:12" x14ac:dyDescent="0.3">
      <c r="B135" s="40"/>
      <c r="C135" s="40"/>
      <c r="D135" s="40"/>
    </row>
    <row r="138" spans="1:12" x14ac:dyDescent="0.3">
      <c r="A138" s="1"/>
      <c r="B138" s="40"/>
      <c r="C138" s="40"/>
      <c r="D138" s="40"/>
      <c r="E138" s="1"/>
      <c r="F138" s="40"/>
      <c r="G138" s="40"/>
      <c r="H138" s="40"/>
      <c r="I138" s="1"/>
      <c r="J138" s="40"/>
      <c r="K138" s="40"/>
      <c r="L138" s="40"/>
    </row>
    <row r="139" spans="1:12" x14ac:dyDescent="0.3">
      <c r="A139" s="1"/>
      <c r="B139" s="40"/>
      <c r="C139" s="40"/>
      <c r="D139" s="40"/>
      <c r="E139" s="1"/>
      <c r="F139" s="40"/>
      <c r="G139" s="40"/>
      <c r="H139" s="40"/>
      <c r="I139" s="1"/>
      <c r="J139" s="40"/>
      <c r="K139" s="40"/>
      <c r="L139" s="40"/>
    </row>
  </sheetData>
  <mergeCells count="9">
    <mergeCell ref="A104:B104"/>
    <mergeCell ref="D104:E104"/>
    <mergeCell ref="G104:H104"/>
    <mergeCell ref="J104:K104"/>
    <mergeCell ref="A2:A9"/>
    <mergeCell ref="A10:A25"/>
    <mergeCell ref="A26:A49"/>
    <mergeCell ref="A50:A73"/>
    <mergeCell ref="A74:A9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110"/>
  <sheetViews>
    <sheetView workbookViewId="0">
      <pane ySplit="1" topLeftCell="A90" activePane="bottomLeft" state="frozen"/>
      <selection pane="bottomLeft"/>
    </sheetView>
  </sheetViews>
  <sheetFormatPr defaultRowHeight="14.4" x14ac:dyDescent="0.3"/>
  <sheetData>
    <row r="1" spans="1:17" x14ac:dyDescent="0.3">
      <c r="A1" s="32"/>
      <c r="B1" s="11" t="s">
        <v>28</v>
      </c>
      <c r="C1" s="11" t="s">
        <v>29</v>
      </c>
      <c r="D1" s="11">
        <v>95</v>
      </c>
      <c r="E1" s="11">
        <v>100</v>
      </c>
      <c r="F1" s="11">
        <v>105</v>
      </c>
      <c r="G1" s="11">
        <v>110</v>
      </c>
      <c r="H1" s="11">
        <v>115</v>
      </c>
      <c r="I1" s="11">
        <v>120</v>
      </c>
      <c r="J1" s="11">
        <v>130</v>
      </c>
      <c r="K1" s="11">
        <v>140</v>
      </c>
      <c r="L1" s="11">
        <v>150</v>
      </c>
      <c r="M1" s="11">
        <v>160</v>
      </c>
      <c r="N1" s="11">
        <v>170</v>
      </c>
      <c r="O1" s="11">
        <v>180</v>
      </c>
      <c r="P1" s="11">
        <v>190</v>
      </c>
      <c r="Q1" s="11">
        <v>200</v>
      </c>
    </row>
    <row r="2" spans="1:17" x14ac:dyDescent="0.3">
      <c r="A2" s="191" t="s">
        <v>7</v>
      </c>
      <c r="B2" s="34">
        <v>10</v>
      </c>
      <c r="C2" s="34" t="s">
        <v>13</v>
      </c>
      <c r="D2" s="34">
        <v>-23.4</v>
      </c>
      <c r="E2" s="34">
        <v>-25.9</v>
      </c>
      <c r="F2" s="35">
        <v>-28.6</v>
      </c>
      <c r="G2" s="34">
        <v>-31.4</v>
      </c>
      <c r="H2" s="34">
        <v>-34.299999999999997</v>
      </c>
      <c r="I2" s="34">
        <v>-37.299999999999997</v>
      </c>
      <c r="J2" s="34">
        <v>-43.8</v>
      </c>
      <c r="K2" s="34">
        <v>-50.8</v>
      </c>
      <c r="L2" s="34">
        <v>-58.3</v>
      </c>
      <c r="M2" s="34">
        <v>-66.3</v>
      </c>
      <c r="N2" s="34">
        <v>-74.900000000000006</v>
      </c>
      <c r="O2" s="34">
        <v>-84</v>
      </c>
      <c r="P2" s="34">
        <v>-93.6</v>
      </c>
      <c r="Q2" s="34">
        <v>-103.7</v>
      </c>
    </row>
    <row r="3" spans="1:17" x14ac:dyDescent="0.3">
      <c r="A3" s="191"/>
      <c r="B3" s="34">
        <v>20</v>
      </c>
      <c r="C3" s="34" t="s">
        <v>13</v>
      </c>
      <c r="D3" s="34">
        <v>-23</v>
      </c>
      <c r="E3" s="34">
        <v>-25.5</v>
      </c>
      <c r="F3" s="35">
        <v>-28.1</v>
      </c>
      <c r="G3" s="34">
        <v>-30.8</v>
      </c>
      <c r="H3" s="34">
        <v>-33.700000000000003</v>
      </c>
      <c r="I3" s="34">
        <v>-36.700000000000003</v>
      </c>
      <c r="J3" s="34">
        <v>-43</v>
      </c>
      <c r="K3" s="34">
        <v>-49.9</v>
      </c>
      <c r="L3" s="34">
        <v>-57.3</v>
      </c>
      <c r="M3" s="34">
        <v>-65.2</v>
      </c>
      <c r="N3" s="34">
        <v>-73.599999999999994</v>
      </c>
      <c r="O3" s="34">
        <v>-82.5</v>
      </c>
      <c r="P3" s="34">
        <v>-91.9</v>
      </c>
      <c r="Q3" s="34">
        <v>-101.8</v>
      </c>
    </row>
    <row r="4" spans="1:17" x14ac:dyDescent="0.3">
      <c r="A4" s="191"/>
      <c r="B4" s="34">
        <v>50</v>
      </c>
      <c r="C4" s="34" t="s">
        <v>13</v>
      </c>
      <c r="D4" s="34">
        <v>-22.4</v>
      </c>
      <c r="E4" s="34">
        <v>-24.9</v>
      </c>
      <c r="F4" s="35">
        <v>-27.4</v>
      </c>
      <c r="G4" s="34">
        <v>-30.1</v>
      </c>
      <c r="H4" s="34">
        <v>-32.9</v>
      </c>
      <c r="I4" s="34">
        <v>-35.799999999999997</v>
      </c>
      <c r="J4" s="34">
        <v>-42</v>
      </c>
      <c r="K4" s="34">
        <v>-48.7</v>
      </c>
      <c r="L4" s="34">
        <v>-55.9</v>
      </c>
      <c r="M4" s="34">
        <v>-63.6</v>
      </c>
      <c r="N4" s="34">
        <v>-71.8</v>
      </c>
      <c r="O4" s="34">
        <v>-80.5</v>
      </c>
      <c r="P4" s="34">
        <v>-89.7</v>
      </c>
      <c r="Q4" s="34">
        <v>-99.4</v>
      </c>
    </row>
    <row r="5" spans="1:17" x14ac:dyDescent="0.3">
      <c r="A5" s="191"/>
      <c r="B5" s="34">
        <v>100</v>
      </c>
      <c r="C5" s="34" t="s">
        <v>13</v>
      </c>
      <c r="D5" s="34">
        <v>-22</v>
      </c>
      <c r="E5" s="34">
        <v>-24.4</v>
      </c>
      <c r="F5" s="35">
        <v>-26.9</v>
      </c>
      <c r="G5" s="34">
        <v>-29.5</v>
      </c>
      <c r="H5" s="34">
        <v>-32.299999999999997</v>
      </c>
      <c r="I5" s="34">
        <v>-35.1</v>
      </c>
      <c r="J5" s="34">
        <v>-41.2</v>
      </c>
      <c r="K5" s="34">
        <v>-47.8</v>
      </c>
      <c r="L5" s="34">
        <v>-54.9</v>
      </c>
      <c r="M5" s="34">
        <v>-62.4</v>
      </c>
      <c r="N5" s="34">
        <v>-70.5</v>
      </c>
      <c r="O5" s="34">
        <v>-79</v>
      </c>
      <c r="P5" s="34">
        <v>-88.1</v>
      </c>
      <c r="Q5" s="34">
        <v>-97.6</v>
      </c>
    </row>
    <row r="6" spans="1:17" x14ac:dyDescent="0.3">
      <c r="A6" s="191"/>
      <c r="B6" s="34">
        <v>10</v>
      </c>
      <c r="C6" s="34">
        <v>2</v>
      </c>
      <c r="D6" s="34">
        <v>-31.6</v>
      </c>
      <c r="E6" s="34">
        <v>-35.1</v>
      </c>
      <c r="F6" s="35">
        <v>-38.700000000000003</v>
      </c>
      <c r="G6" s="34">
        <v>-42.4</v>
      </c>
      <c r="H6" s="34">
        <v>-46.4</v>
      </c>
      <c r="I6" s="34">
        <v>-50.5</v>
      </c>
      <c r="J6" s="34">
        <v>-59.3</v>
      </c>
      <c r="K6" s="34">
        <v>-68.7</v>
      </c>
      <c r="L6" s="34">
        <v>-78.900000000000006</v>
      </c>
      <c r="M6" s="34">
        <v>-89.8</v>
      </c>
      <c r="N6" s="34">
        <v>-101.3</v>
      </c>
      <c r="O6" s="34">
        <v>-113.6</v>
      </c>
      <c r="P6" s="34">
        <v>-126.6</v>
      </c>
      <c r="Q6" s="34">
        <v>-140.30000000000001</v>
      </c>
    </row>
    <row r="7" spans="1:17" x14ac:dyDescent="0.3">
      <c r="A7" s="191"/>
      <c r="B7" s="34">
        <v>20</v>
      </c>
      <c r="C7" s="34">
        <v>2</v>
      </c>
      <c r="D7" s="34">
        <v>-28.7</v>
      </c>
      <c r="E7" s="34">
        <v>-31.8</v>
      </c>
      <c r="F7" s="35">
        <v>-35.1</v>
      </c>
      <c r="G7" s="34">
        <v>-38.5</v>
      </c>
      <c r="H7" s="34">
        <v>-42.1</v>
      </c>
      <c r="I7" s="34">
        <v>-45.8</v>
      </c>
      <c r="J7" s="34">
        <v>-53.8</v>
      </c>
      <c r="K7" s="34">
        <v>-62.4</v>
      </c>
      <c r="L7" s="34">
        <v>-71.599999999999994</v>
      </c>
      <c r="M7" s="34">
        <v>-81.5</v>
      </c>
      <c r="N7" s="34">
        <v>-92</v>
      </c>
      <c r="O7" s="34">
        <v>-103.1</v>
      </c>
      <c r="P7" s="34">
        <v>-114.9</v>
      </c>
      <c r="Q7" s="34">
        <v>-127.3</v>
      </c>
    </row>
    <row r="8" spans="1:17" x14ac:dyDescent="0.3">
      <c r="A8" s="191"/>
      <c r="B8" s="34">
        <v>50</v>
      </c>
      <c r="C8" s="34">
        <v>2</v>
      </c>
      <c r="D8" s="34">
        <v>-24.9</v>
      </c>
      <c r="E8" s="34">
        <v>-27.5</v>
      </c>
      <c r="F8" s="35">
        <v>-30.4</v>
      </c>
      <c r="G8" s="34">
        <v>-33.299999999999997</v>
      </c>
      <c r="H8" s="34">
        <v>-36.4</v>
      </c>
      <c r="I8" s="34">
        <v>-39.700000000000003</v>
      </c>
      <c r="J8" s="34">
        <v>-46.5</v>
      </c>
      <c r="K8" s="34">
        <v>-54</v>
      </c>
      <c r="L8" s="34">
        <v>-62</v>
      </c>
      <c r="M8" s="34">
        <v>-70.5</v>
      </c>
      <c r="N8" s="34">
        <v>-79.599999999999994</v>
      </c>
      <c r="O8" s="34">
        <v>-89.2</v>
      </c>
      <c r="P8" s="34">
        <v>-99.4</v>
      </c>
      <c r="Q8" s="34">
        <v>-110.1</v>
      </c>
    </row>
    <row r="9" spans="1:17" x14ac:dyDescent="0.3">
      <c r="A9" s="191"/>
      <c r="B9" s="34">
        <v>100</v>
      </c>
      <c r="C9" s="34">
        <v>2</v>
      </c>
      <c r="D9" s="34">
        <v>-21.9</v>
      </c>
      <c r="E9" s="34">
        <v>-24.3</v>
      </c>
      <c r="F9" s="35">
        <v>-26.8</v>
      </c>
      <c r="G9" s="34">
        <v>-29.4</v>
      </c>
      <c r="H9" s="34">
        <v>-32.1</v>
      </c>
      <c r="I9" s="34">
        <v>-35</v>
      </c>
      <c r="J9" s="34">
        <v>-41.1</v>
      </c>
      <c r="K9" s="34">
        <v>-47.6</v>
      </c>
      <c r="L9" s="34">
        <v>-54.7</v>
      </c>
      <c r="M9" s="34">
        <v>-62.2</v>
      </c>
      <c r="N9" s="34">
        <v>-70.2</v>
      </c>
      <c r="O9" s="34">
        <v>-78.7</v>
      </c>
      <c r="P9" s="34">
        <v>-87.7</v>
      </c>
      <c r="Q9" s="34">
        <v>-97.2</v>
      </c>
    </row>
    <row r="10" spans="1:17" x14ac:dyDescent="0.3">
      <c r="A10" s="191"/>
      <c r="B10" s="34">
        <v>10</v>
      </c>
      <c r="C10" s="34">
        <v>3</v>
      </c>
      <c r="D10" s="34">
        <v>-44</v>
      </c>
      <c r="E10" s="34">
        <v>-48.8</v>
      </c>
      <c r="F10" s="35">
        <v>-53.8</v>
      </c>
      <c r="G10" s="34">
        <v>-59</v>
      </c>
      <c r="H10" s="34">
        <v>-64.5</v>
      </c>
      <c r="I10" s="34">
        <v>-70.2</v>
      </c>
      <c r="J10" s="34">
        <v>-82.4</v>
      </c>
      <c r="K10" s="34">
        <v>-95.6</v>
      </c>
      <c r="L10" s="34">
        <v>-109.8</v>
      </c>
      <c r="M10" s="34">
        <v>-124.9</v>
      </c>
      <c r="N10" s="34">
        <v>-141</v>
      </c>
      <c r="O10" s="34">
        <v>-158.1</v>
      </c>
      <c r="P10" s="34">
        <v>-176.1</v>
      </c>
      <c r="Q10" s="34">
        <v>-195.1</v>
      </c>
    </row>
    <row r="11" spans="1:17" x14ac:dyDescent="0.3">
      <c r="A11" s="191"/>
      <c r="B11" s="34">
        <v>20</v>
      </c>
      <c r="C11" s="34">
        <v>3</v>
      </c>
      <c r="D11" s="34">
        <v>-38.9</v>
      </c>
      <c r="E11" s="34">
        <v>-43.1</v>
      </c>
      <c r="F11" s="35">
        <v>-47.5</v>
      </c>
      <c r="G11" s="34">
        <v>-52.2</v>
      </c>
      <c r="H11" s="34">
        <v>-57</v>
      </c>
      <c r="I11" s="34">
        <v>-62.1</v>
      </c>
      <c r="J11" s="34">
        <v>-72.900000000000006</v>
      </c>
      <c r="K11" s="34">
        <v>-84.5</v>
      </c>
      <c r="L11" s="34">
        <v>-97</v>
      </c>
      <c r="M11" s="34">
        <v>-110.4</v>
      </c>
      <c r="N11" s="34">
        <v>-124.6</v>
      </c>
      <c r="O11" s="34">
        <v>-139.69999999999999</v>
      </c>
      <c r="P11" s="34">
        <v>-155.6</v>
      </c>
      <c r="Q11" s="34">
        <v>-172.4</v>
      </c>
    </row>
    <row r="12" spans="1:17" x14ac:dyDescent="0.3">
      <c r="A12" s="191"/>
      <c r="B12" s="34">
        <v>50</v>
      </c>
      <c r="C12" s="34">
        <v>3</v>
      </c>
      <c r="D12" s="34">
        <v>-32.1</v>
      </c>
      <c r="E12" s="34">
        <v>-35.6</v>
      </c>
      <c r="F12" s="35">
        <v>-39.299999999999997</v>
      </c>
      <c r="G12" s="34">
        <v>-43.1</v>
      </c>
      <c r="H12" s="34">
        <v>-47.1</v>
      </c>
      <c r="I12" s="34">
        <v>-51.3</v>
      </c>
      <c r="J12" s="34">
        <v>-60.2</v>
      </c>
      <c r="K12" s="34">
        <v>-69.8</v>
      </c>
      <c r="L12" s="34">
        <v>-80.099999999999994</v>
      </c>
      <c r="M12" s="34">
        <v>-91.2</v>
      </c>
      <c r="N12" s="34">
        <v>-102.9</v>
      </c>
      <c r="O12" s="34">
        <v>-115.4</v>
      </c>
      <c r="P12" s="34">
        <v>-128.6</v>
      </c>
      <c r="Q12" s="34">
        <v>-142.5</v>
      </c>
    </row>
    <row r="13" spans="1:17" x14ac:dyDescent="0.3">
      <c r="A13" s="191"/>
      <c r="B13" s="34">
        <v>100</v>
      </c>
      <c r="C13" s="34">
        <v>3</v>
      </c>
      <c r="D13" s="34">
        <v>-27</v>
      </c>
      <c r="E13" s="34">
        <v>-29.9</v>
      </c>
      <c r="F13" s="35">
        <v>-33</v>
      </c>
      <c r="G13" s="34">
        <v>-36.200000000000003</v>
      </c>
      <c r="H13" s="34">
        <v>-39.6</v>
      </c>
      <c r="I13" s="34">
        <v>-43.1</v>
      </c>
      <c r="J13" s="34">
        <v>-50.6</v>
      </c>
      <c r="K13" s="34">
        <v>-58.7</v>
      </c>
      <c r="L13" s="34">
        <v>-67.400000000000006</v>
      </c>
      <c r="M13" s="34">
        <v>-76.599999999999994</v>
      </c>
      <c r="N13" s="34">
        <v>-86.5</v>
      </c>
      <c r="O13" s="34">
        <v>-97</v>
      </c>
      <c r="P13" s="34">
        <v>-108.1</v>
      </c>
      <c r="Q13" s="34">
        <v>-119.8</v>
      </c>
    </row>
    <row r="14" spans="1:17" x14ac:dyDescent="0.3">
      <c r="A14" s="191" t="s">
        <v>7</v>
      </c>
      <c r="B14" s="34">
        <v>10</v>
      </c>
      <c r="C14" s="34">
        <v>1</v>
      </c>
      <c r="D14" s="34">
        <v>-34.4</v>
      </c>
      <c r="E14" s="34">
        <v>-38.1</v>
      </c>
      <c r="F14" s="35">
        <v>-42</v>
      </c>
      <c r="G14" s="34">
        <v>-46.1</v>
      </c>
      <c r="H14" s="34">
        <v>-50.4</v>
      </c>
      <c r="I14" s="34">
        <v>-54.9</v>
      </c>
      <c r="J14" s="34">
        <v>-64.400000000000006</v>
      </c>
      <c r="K14" s="34">
        <v>-74.7</v>
      </c>
      <c r="L14" s="34">
        <v>-85.8</v>
      </c>
      <c r="M14" s="34">
        <v>-97.6</v>
      </c>
      <c r="N14" s="34">
        <v>-110.1</v>
      </c>
      <c r="O14" s="34">
        <v>-123.5</v>
      </c>
      <c r="P14" s="34">
        <v>-137.6</v>
      </c>
      <c r="Q14" s="34">
        <v>-152.4</v>
      </c>
    </row>
    <row r="15" spans="1:17" x14ac:dyDescent="0.3">
      <c r="A15" s="191"/>
      <c r="B15" s="34">
        <v>20</v>
      </c>
      <c r="C15" s="34">
        <v>1</v>
      </c>
      <c r="D15" s="34">
        <v>-34.4</v>
      </c>
      <c r="E15" s="34">
        <v>-39.1</v>
      </c>
      <c r="F15" s="35">
        <v>-42</v>
      </c>
      <c r="G15" s="34">
        <v>-46.1</v>
      </c>
      <c r="H15" s="34">
        <v>-50.4</v>
      </c>
      <c r="I15" s="34">
        <v>-54.9</v>
      </c>
      <c r="J15" s="34">
        <v>-64.400000000000006</v>
      </c>
      <c r="K15" s="34">
        <v>-74.7</v>
      </c>
      <c r="L15" s="34">
        <v>-85.8</v>
      </c>
      <c r="M15" s="34">
        <v>-97.6</v>
      </c>
      <c r="N15" s="34">
        <v>-110.1</v>
      </c>
      <c r="O15" s="34">
        <v>-123.5</v>
      </c>
      <c r="P15" s="34">
        <v>-137.6</v>
      </c>
      <c r="Q15" s="34">
        <v>-152.4</v>
      </c>
    </row>
    <row r="16" spans="1:17" x14ac:dyDescent="0.3">
      <c r="A16" s="191"/>
      <c r="B16" s="34">
        <v>50</v>
      </c>
      <c r="C16" s="34">
        <v>1</v>
      </c>
      <c r="D16" s="34">
        <v>-29.7</v>
      </c>
      <c r="E16" s="34">
        <v>-33</v>
      </c>
      <c r="F16" s="35">
        <v>-36.299999999999997</v>
      </c>
      <c r="G16" s="34">
        <v>-39.9</v>
      </c>
      <c r="H16" s="34">
        <v>-43.6</v>
      </c>
      <c r="I16" s="34">
        <v>-47.5</v>
      </c>
      <c r="J16" s="34">
        <v>-55.7</v>
      </c>
      <c r="K16" s="34">
        <v>-64.599999999999994</v>
      </c>
      <c r="L16" s="34">
        <v>-74.099999999999994</v>
      </c>
      <c r="M16" s="34">
        <v>-84.4</v>
      </c>
      <c r="N16" s="34">
        <v>-95.2</v>
      </c>
      <c r="O16" s="34">
        <v>-106.8</v>
      </c>
      <c r="P16" s="34">
        <v>-119</v>
      </c>
      <c r="Q16" s="34">
        <v>-131.80000000000001</v>
      </c>
    </row>
    <row r="17" spans="1:17" x14ac:dyDescent="0.3">
      <c r="A17" s="191"/>
      <c r="B17" s="34">
        <v>100</v>
      </c>
      <c r="C17" s="34">
        <v>1</v>
      </c>
      <c r="D17" s="34">
        <v>-26.2</v>
      </c>
      <c r="E17" s="34">
        <v>-29.1</v>
      </c>
      <c r="F17" s="35">
        <v>-32</v>
      </c>
      <c r="G17" s="34">
        <v>-35.200000000000003</v>
      </c>
      <c r="H17" s="34">
        <v>-38.4</v>
      </c>
      <c r="I17" s="34">
        <v>-41.8</v>
      </c>
      <c r="J17" s="34">
        <v>-49.1</v>
      </c>
      <c r="K17" s="34">
        <v>-56.9</v>
      </c>
      <c r="L17" s="34">
        <v>-65.400000000000006</v>
      </c>
      <c r="M17" s="34">
        <v>-74.400000000000006</v>
      </c>
      <c r="N17" s="34">
        <v>-84</v>
      </c>
      <c r="O17" s="34">
        <v>-94.1</v>
      </c>
      <c r="P17" s="34">
        <v>-104.9</v>
      </c>
      <c r="Q17" s="34">
        <v>-116.2</v>
      </c>
    </row>
    <row r="18" spans="1:17" x14ac:dyDescent="0.3">
      <c r="A18" s="191"/>
      <c r="B18" s="34">
        <v>10</v>
      </c>
      <c r="C18" s="34" t="s">
        <v>1</v>
      </c>
      <c r="D18" s="34">
        <v>-34.4</v>
      </c>
      <c r="E18" s="34">
        <v>-38.1</v>
      </c>
      <c r="F18" s="35">
        <v>-42</v>
      </c>
      <c r="G18" s="34">
        <v>-46.1</v>
      </c>
      <c r="H18" s="34">
        <v>-50.4</v>
      </c>
      <c r="I18" s="34">
        <v>-54.9</v>
      </c>
      <c r="J18" s="34">
        <v>-64.400000000000006</v>
      </c>
      <c r="K18" s="34">
        <v>-74.7</v>
      </c>
      <c r="L18" s="34">
        <v>-85.8</v>
      </c>
      <c r="M18" s="34">
        <v>-97.6</v>
      </c>
      <c r="N18" s="34">
        <v>-110.1</v>
      </c>
      <c r="O18" s="34">
        <v>-123.5</v>
      </c>
      <c r="P18" s="34">
        <v>-137.6</v>
      </c>
      <c r="Q18" s="34">
        <v>-152.4</v>
      </c>
    </row>
    <row r="19" spans="1:17" x14ac:dyDescent="0.3">
      <c r="A19" s="191"/>
      <c r="B19" s="34">
        <v>20</v>
      </c>
      <c r="C19" s="34" t="s">
        <v>1</v>
      </c>
      <c r="D19" s="34">
        <v>-34.4</v>
      </c>
      <c r="E19" s="34">
        <v>-38.1</v>
      </c>
      <c r="F19" s="35">
        <v>-42</v>
      </c>
      <c r="G19" s="34">
        <v>-46.1</v>
      </c>
      <c r="H19" s="34">
        <v>-50.4</v>
      </c>
      <c r="I19" s="34">
        <v>-54.9</v>
      </c>
      <c r="J19" s="34">
        <v>-64.400000000000006</v>
      </c>
      <c r="K19" s="34">
        <v>-74.7</v>
      </c>
      <c r="L19" s="34">
        <v>-85.8</v>
      </c>
      <c r="M19" s="34">
        <v>-97.6</v>
      </c>
      <c r="N19" s="34">
        <v>-110.1</v>
      </c>
      <c r="O19" s="34">
        <v>-123.5</v>
      </c>
      <c r="P19" s="34">
        <v>-137.6</v>
      </c>
      <c r="Q19" s="34">
        <v>-152.4</v>
      </c>
    </row>
    <row r="20" spans="1:17" x14ac:dyDescent="0.3">
      <c r="A20" s="191"/>
      <c r="B20" s="34">
        <v>50</v>
      </c>
      <c r="C20" s="34" t="s">
        <v>1</v>
      </c>
      <c r="D20" s="34">
        <v>-29.7</v>
      </c>
      <c r="E20" s="34">
        <v>-33</v>
      </c>
      <c r="F20" s="35">
        <v>-36.299999999999997</v>
      </c>
      <c r="G20" s="34">
        <v>-39.9</v>
      </c>
      <c r="H20" s="34">
        <v>-43.6</v>
      </c>
      <c r="I20" s="34">
        <v>-47.5</v>
      </c>
      <c r="J20" s="34">
        <v>-55.7</v>
      </c>
      <c r="K20" s="34">
        <v>-64.599999999999994</v>
      </c>
      <c r="L20" s="34">
        <v>-74.099999999999994</v>
      </c>
      <c r="M20" s="34">
        <v>-84.4</v>
      </c>
      <c r="N20" s="34">
        <v>-95.2</v>
      </c>
      <c r="O20" s="34">
        <v>-106.8</v>
      </c>
      <c r="P20" s="34">
        <v>-119</v>
      </c>
      <c r="Q20" s="34">
        <v>-131.80000000000001</v>
      </c>
    </row>
    <row r="21" spans="1:17" x14ac:dyDescent="0.3">
      <c r="A21" s="191"/>
      <c r="B21" s="34">
        <v>100</v>
      </c>
      <c r="C21" s="34" t="s">
        <v>1</v>
      </c>
      <c r="D21" s="34">
        <v>-26.2</v>
      </c>
      <c r="E21" s="34">
        <v>-29.1</v>
      </c>
      <c r="F21" s="35">
        <v>-32</v>
      </c>
      <c r="G21" s="34">
        <v>-35.200000000000003</v>
      </c>
      <c r="H21" s="34">
        <v>-38.4</v>
      </c>
      <c r="I21" s="34">
        <v>-41.8</v>
      </c>
      <c r="J21" s="34">
        <v>-49.1</v>
      </c>
      <c r="K21" s="34">
        <v>-56.9</v>
      </c>
      <c r="L21" s="34">
        <v>-65.400000000000006</v>
      </c>
      <c r="M21" s="34">
        <v>-74.400000000000006</v>
      </c>
      <c r="N21" s="34">
        <v>-84</v>
      </c>
      <c r="O21" s="34">
        <v>-94.1</v>
      </c>
      <c r="P21" s="34">
        <v>-104.9</v>
      </c>
      <c r="Q21" s="34">
        <v>-116.2</v>
      </c>
    </row>
    <row r="22" spans="1:17" x14ac:dyDescent="0.3">
      <c r="A22" s="191"/>
      <c r="B22" s="34">
        <v>10</v>
      </c>
      <c r="C22" s="34" t="s">
        <v>2</v>
      </c>
      <c r="D22" s="34">
        <v>-48.2</v>
      </c>
      <c r="E22" s="34">
        <v>-53.4</v>
      </c>
      <c r="F22" s="35">
        <v>-58.8</v>
      </c>
      <c r="G22" s="34">
        <v>-64.599999999999994</v>
      </c>
      <c r="H22" s="34">
        <v>-70.599999999999994</v>
      </c>
      <c r="I22" s="34">
        <v>-76.8</v>
      </c>
      <c r="J22" s="34">
        <v>-90.2</v>
      </c>
      <c r="K22" s="34">
        <v>-104.6</v>
      </c>
      <c r="L22" s="34">
        <v>-120.1</v>
      </c>
      <c r="M22" s="34">
        <v>-136.6</v>
      </c>
      <c r="N22" s="34">
        <v>-154.19999999999999</v>
      </c>
      <c r="O22" s="34">
        <v>-172.9</v>
      </c>
      <c r="P22" s="34">
        <v>-192.6</v>
      </c>
      <c r="Q22" s="34">
        <v>-213.4</v>
      </c>
    </row>
    <row r="23" spans="1:17" x14ac:dyDescent="0.3">
      <c r="A23" s="191"/>
      <c r="B23" s="34">
        <v>20</v>
      </c>
      <c r="C23" s="34" t="s">
        <v>2</v>
      </c>
      <c r="D23" s="34">
        <v>-41.9</v>
      </c>
      <c r="E23" s="34">
        <v>-46.5</v>
      </c>
      <c r="F23" s="35">
        <v>-51.2</v>
      </c>
      <c r="G23" s="34">
        <v>-56.2</v>
      </c>
      <c r="H23" s="34">
        <v>-61.5</v>
      </c>
      <c r="I23" s="34">
        <v>-66.900000000000006</v>
      </c>
      <c r="J23" s="34">
        <v>-78.5</v>
      </c>
      <c r="K23" s="34">
        <v>-91.1</v>
      </c>
      <c r="L23" s="34">
        <v>-104.6</v>
      </c>
      <c r="M23" s="34">
        <v>-119</v>
      </c>
      <c r="N23" s="34">
        <v>-134.30000000000001</v>
      </c>
      <c r="O23" s="34">
        <v>-150.6</v>
      </c>
      <c r="P23" s="34">
        <v>-167.8</v>
      </c>
      <c r="Q23" s="34">
        <v>-185.9</v>
      </c>
    </row>
    <row r="24" spans="1:17" x14ac:dyDescent="0.3">
      <c r="A24" s="191"/>
      <c r="B24" s="34">
        <v>50</v>
      </c>
      <c r="C24" s="34" t="s">
        <v>2</v>
      </c>
      <c r="D24" s="34">
        <v>-33.700000000000003</v>
      </c>
      <c r="E24" s="34">
        <v>-37.4</v>
      </c>
      <c r="F24" s="35">
        <v>-41.2</v>
      </c>
      <c r="G24" s="34">
        <v>-45.2</v>
      </c>
      <c r="H24" s="34">
        <v>-49.4</v>
      </c>
      <c r="I24" s="34">
        <v>-53.8</v>
      </c>
      <c r="J24" s="34">
        <v>-63.2</v>
      </c>
      <c r="K24" s="34">
        <f>IF(AND(E17="0 to 7",E18="yes"),'7-16 Negative Overhang'!B107*E21,IF(AND(E17="7 to 20",E18="yes"),'7-16 Negative'!E110*E21,IF(AND(E17="20 to 27",E18="yes"),'7-16 Negative'!H110*E21,IF(AND(E17="27 to 45",E18="yes"),'7-16 Negative'!K110*E21,0))))</f>
        <v>0</v>
      </c>
      <c r="L24" s="34">
        <v>-84.1</v>
      </c>
      <c r="M24" s="34">
        <v>-95.7</v>
      </c>
      <c r="N24" s="34">
        <v>-108</v>
      </c>
      <c r="O24" s="34">
        <v>-121.1</v>
      </c>
      <c r="P24" s="34">
        <v>-134.9</v>
      </c>
      <c r="Q24" s="34">
        <v>-149.5</v>
      </c>
    </row>
    <row r="25" spans="1:17" x14ac:dyDescent="0.3">
      <c r="A25" s="191"/>
      <c r="B25" s="34">
        <v>100</v>
      </c>
      <c r="C25" s="34" t="s">
        <v>2</v>
      </c>
      <c r="D25" s="34">
        <v>-27.5</v>
      </c>
      <c r="E25" s="34">
        <v>-30.5</v>
      </c>
      <c r="F25" s="35">
        <v>-33.6</v>
      </c>
      <c r="G25" s="34">
        <v>-36.9</v>
      </c>
      <c r="H25" s="34">
        <v>-40.299999999999997</v>
      </c>
      <c r="I25" s="34">
        <v>-43.9</v>
      </c>
      <c r="J25" s="34">
        <v>-51.5</v>
      </c>
      <c r="K25" s="34">
        <v>-59.8</v>
      </c>
      <c r="L25" s="34">
        <v>-68.599999999999994</v>
      </c>
      <c r="M25" s="34">
        <v>-78.099999999999994</v>
      </c>
      <c r="N25" s="34">
        <v>-88.1</v>
      </c>
      <c r="O25" s="34">
        <v>-98.8</v>
      </c>
      <c r="P25" s="34">
        <v>-110.1</v>
      </c>
      <c r="Q25" s="34">
        <v>-122</v>
      </c>
    </row>
    <row r="26" spans="1:17" x14ac:dyDescent="0.3">
      <c r="A26" s="191"/>
      <c r="B26" s="34">
        <v>10</v>
      </c>
      <c r="C26" s="34" t="s">
        <v>3</v>
      </c>
      <c r="D26" s="34">
        <v>-48.2</v>
      </c>
      <c r="E26" s="34">
        <v>-53.4</v>
      </c>
      <c r="F26" s="35">
        <v>-58.8</v>
      </c>
      <c r="G26" s="34">
        <v>-64.599999999999994</v>
      </c>
      <c r="H26" s="34">
        <v>-70.599999999999994</v>
      </c>
      <c r="I26" s="34">
        <v>-76.8</v>
      </c>
      <c r="J26" s="34">
        <v>-90.2</v>
      </c>
      <c r="K26" s="34">
        <v>-104.6</v>
      </c>
      <c r="L26" s="34">
        <v>-120.1</v>
      </c>
      <c r="M26" s="34">
        <v>-136.6</v>
      </c>
      <c r="N26" s="34">
        <v>-154.19999999999999</v>
      </c>
      <c r="O26" s="34">
        <v>-172.9</v>
      </c>
      <c r="P26" s="34">
        <v>-192.6</v>
      </c>
      <c r="Q26" s="34">
        <v>-213.4</v>
      </c>
    </row>
    <row r="27" spans="1:17" x14ac:dyDescent="0.3">
      <c r="A27" s="191"/>
      <c r="B27" s="34">
        <v>20</v>
      </c>
      <c r="C27" s="34" t="s">
        <v>3</v>
      </c>
      <c r="D27" s="34">
        <v>-41.9</v>
      </c>
      <c r="E27" s="34">
        <v>-46.5</v>
      </c>
      <c r="F27" s="35">
        <v>-51.2</v>
      </c>
      <c r="G27" s="34">
        <v>-56.2</v>
      </c>
      <c r="H27" s="34">
        <v>-61.5</v>
      </c>
      <c r="I27" s="34">
        <v>-66.900000000000006</v>
      </c>
      <c r="J27" s="34">
        <v>-78.5</v>
      </c>
      <c r="K27" s="34">
        <v>-91.1</v>
      </c>
      <c r="L27" s="34">
        <v>-104.6</v>
      </c>
      <c r="M27" s="34">
        <v>-119</v>
      </c>
      <c r="N27" s="34">
        <v>-134.30000000000001</v>
      </c>
      <c r="O27" s="34">
        <v>-150.6</v>
      </c>
      <c r="P27" s="34">
        <v>-167.8</v>
      </c>
      <c r="Q27" s="34">
        <v>-185.9</v>
      </c>
    </row>
    <row r="28" spans="1:17" x14ac:dyDescent="0.3">
      <c r="A28" s="191"/>
      <c r="B28" s="34">
        <v>50</v>
      </c>
      <c r="C28" s="34" t="s">
        <v>3</v>
      </c>
      <c r="D28" s="34">
        <v>-33.700000000000003</v>
      </c>
      <c r="E28" s="34">
        <v>-37.4</v>
      </c>
      <c r="F28" s="35">
        <v>-41.2</v>
      </c>
      <c r="G28" s="34">
        <v>-45.2</v>
      </c>
      <c r="H28" s="34">
        <v>-49.4</v>
      </c>
      <c r="I28" s="34">
        <v>-53.8</v>
      </c>
      <c r="J28" s="34">
        <v>-63.2</v>
      </c>
      <c r="K28" s="34">
        <v>-73.3</v>
      </c>
      <c r="L28" s="34">
        <v>-84.1</v>
      </c>
      <c r="M28" s="34">
        <v>-95.7</v>
      </c>
      <c r="N28" s="34">
        <v>-108</v>
      </c>
      <c r="O28" s="34">
        <v>-121.1</v>
      </c>
      <c r="P28" s="34">
        <v>-134.9</v>
      </c>
      <c r="Q28" s="34">
        <v>-149.5</v>
      </c>
    </row>
    <row r="29" spans="1:17" x14ac:dyDescent="0.3">
      <c r="A29" s="191"/>
      <c r="B29" s="34">
        <v>100</v>
      </c>
      <c r="C29" s="34" t="s">
        <v>3</v>
      </c>
      <c r="D29" s="34">
        <v>-27.5</v>
      </c>
      <c r="E29" s="34">
        <v>-30.5</v>
      </c>
      <c r="F29" s="35">
        <v>-33.6</v>
      </c>
      <c r="G29" s="34">
        <v>-36.9</v>
      </c>
      <c r="H29" s="34">
        <v>-40.299999999999997</v>
      </c>
      <c r="I29" s="34">
        <v>-43.9</v>
      </c>
      <c r="J29" s="34">
        <v>-51.5</v>
      </c>
      <c r="K29" s="34">
        <v>-59.8</v>
      </c>
      <c r="L29" s="34">
        <v>-68.599999999999994</v>
      </c>
      <c r="M29" s="34">
        <v>-78.099999999999994</v>
      </c>
      <c r="N29" s="34">
        <v>-88.1</v>
      </c>
      <c r="O29" s="34">
        <v>-98.8</v>
      </c>
      <c r="P29" s="34">
        <v>-110.1</v>
      </c>
      <c r="Q29" s="34">
        <v>-122</v>
      </c>
    </row>
    <row r="30" spans="1:17" x14ac:dyDescent="0.3">
      <c r="A30" s="191"/>
      <c r="B30" s="34">
        <v>10</v>
      </c>
      <c r="C30" s="34" t="s">
        <v>4</v>
      </c>
      <c r="D30" s="34">
        <v>-56.4</v>
      </c>
      <c r="E30" s="34">
        <v>-62.5</v>
      </c>
      <c r="F30" s="35">
        <v>-68.900000000000006</v>
      </c>
      <c r="G30" s="34">
        <v>-75.599999999999994</v>
      </c>
      <c r="H30" s="34">
        <v>-82.7</v>
      </c>
      <c r="I30" s="34">
        <v>-90</v>
      </c>
      <c r="J30" s="34">
        <v>-105.6</v>
      </c>
      <c r="K30" s="34">
        <v>-122.5</v>
      </c>
      <c r="L30" s="34">
        <v>-140.6</v>
      </c>
      <c r="M30" s="34">
        <v>-160</v>
      </c>
      <c r="N30" s="34">
        <v>-180.6</v>
      </c>
      <c r="O30" s="34">
        <v>-202.5</v>
      </c>
      <c r="P30" s="34">
        <v>-225.6</v>
      </c>
      <c r="Q30" s="34">
        <v>-250</v>
      </c>
    </row>
    <row r="31" spans="1:17" x14ac:dyDescent="0.3">
      <c r="A31" s="191"/>
      <c r="B31" s="34">
        <v>20</v>
      </c>
      <c r="C31" s="34" t="s">
        <v>4</v>
      </c>
      <c r="D31" s="34">
        <v>-48.7</v>
      </c>
      <c r="E31" s="34">
        <v>-54</v>
      </c>
      <c r="F31" s="35">
        <v>-59.5</v>
      </c>
      <c r="G31" s="34">
        <v>-65.3</v>
      </c>
      <c r="H31" s="34">
        <v>-71.400000000000006</v>
      </c>
      <c r="I31" s="34">
        <v>-77.7</v>
      </c>
      <c r="J31" s="34">
        <v>-91.2</v>
      </c>
      <c r="K31" s="34">
        <v>-105.8</v>
      </c>
      <c r="L31" s="34">
        <v>-121.4</v>
      </c>
      <c r="M31" s="34">
        <v>-138.19999999999999</v>
      </c>
      <c r="N31" s="34">
        <v>-156</v>
      </c>
      <c r="O31" s="34">
        <v>-174.9</v>
      </c>
      <c r="P31" s="34">
        <v>-194.8</v>
      </c>
      <c r="Q31" s="34">
        <v>-215.9</v>
      </c>
    </row>
    <row r="32" spans="1:17" x14ac:dyDescent="0.3">
      <c r="A32" s="191"/>
      <c r="B32" s="34">
        <v>50</v>
      </c>
      <c r="C32" s="34" t="s">
        <v>4</v>
      </c>
      <c r="D32" s="34">
        <v>-38.5</v>
      </c>
      <c r="E32" s="34">
        <v>-42.7</v>
      </c>
      <c r="F32" s="35">
        <v>-47.1</v>
      </c>
      <c r="G32" s="34">
        <v>-51.6</v>
      </c>
      <c r="H32" s="34">
        <v>-56.5</v>
      </c>
      <c r="I32" s="34">
        <v>-61.5</v>
      </c>
      <c r="J32" s="34">
        <v>-72.099999999999994</v>
      </c>
      <c r="K32" s="34">
        <v>-83.7</v>
      </c>
      <c r="L32" s="34">
        <v>-96</v>
      </c>
      <c r="M32" s="34">
        <v>-109.3</v>
      </c>
      <c r="N32" s="34">
        <v>-123.4</v>
      </c>
      <c r="O32" s="34">
        <v>-138.30000000000001</v>
      </c>
      <c r="P32" s="34">
        <v>-154.1</v>
      </c>
      <c r="Q32" s="34">
        <v>-170.7</v>
      </c>
    </row>
    <row r="33" spans="1:17" x14ac:dyDescent="0.3">
      <c r="A33" s="191"/>
      <c r="B33" s="34">
        <v>100</v>
      </c>
      <c r="C33" s="34" t="s">
        <v>4</v>
      </c>
      <c r="D33" s="34">
        <v>-30.8</v>
      </c>
      <c r="E33" s="34">
        <v>-34.200000000000003</v>
      </c>
      <c r="F33" s="35">
        <v>-37.700000000000003</v>
      </c>
      <c r="G33" s="34">
        <v>-41.3</v>
      </c>
      <c r="H33" s="34">
        <v>-45.2</v>
      </c>
      <c r="I33" s="34">
        <v>-49.2</v>
      </c>
      <c r="J33" s="34">
        <v>-57.7</v>
      </c>
      <c r="K33" s="34">
        <v>-66.900000000000006</v>
      </c>
      <c r="L33" s="34">
        <v>-76.8</v>
      </c>
      <c r="M33" s="34">
        <v>-87.4</v>
      </c>
      <c r="N33" s="34">
        <v>-98.7</v>
      </c>
      <c r="O33" s="34">
        <v>-110.6</v>
      </c>
      <c r="P33" s="34">
        <v>-123.3</v>
      </c>
      <c r="Q33" s="34">
        <v>-136.6</v>
      </c>
    </row>
    <row r="34" spans="1:17" x14ac:dyDescent="0.3">
      <c r="A34" s="191"/>
      <c r="B34" s="34">
        <v>10</v>
      </c>
      <c r="C34" s="34" t="s">
        <v>5</v>
      </c>
      <c r="D34" s="34">
        <v>-66</v>
      </c>
      <c r="E34" s="34">
        <v>-73.2</v>
      </c>
      <c r="F34" s="35">
        <v>-80.7</v>
      </c>
      <c r="G34" s="34">
        <v>-88.5</v>
      </c>
      <c r="H34" s="34">
        <v>-96.8</v>
      </c>
      <c r="I34" s="34">
        <v>-105.4</v>
      </c>
      <c r="J34" s="34">
        <v>-123.7</v>
      </c>
      <c r="K34" s="34">
        <v>-143.4</v>
      </c>
      <c r="L34" s="34">
        <v>-164.6</v>
      </c>
      <c r="M34" s="34">
        <v>-187.3</v>
      </c>
      <c r="N34" s="34">
        <v>-211.5</v>
      </c>
      <c r="O34" s="34">
        <v>-237.1</v>
      </c>
      <c r="P34" s="34">
        <v>-264.2</v>
      </c>
      <c r="Q34" s="34">
        <v>-292.7</v>
      </c>
    </row>
    <row r="35" spans="1:17" x14ac:dyDescent="0.3">
      <c r="A35" s="191"/>
      <c r="B35" s="34">
        <v>20</v>
      </c>
      <c r="C35" s="34" t="s">
        <v>5</v>
      </c>
      <c r="D35" s="34">
        <v>-55.7</v>
      </c>
      <c r="E35" s="34">
        <v>-61.7</v>
      </c>
      <c r="F35" s="35">
        <v>-68</v>
      </c>
      <c r="G35" s="34">
        <v>-74.7</v>
      </c>
      <c r="H35" s="34">
        <v>-81.599999999999994</v>
      </c>
      <c r="I35" s="34">
        <v>-88.9</v>
      </c>
      <c r="J35" s="34">
        <v>-104.3</v>
      </c>
      <c r="K35" s="34">
        <v>-120.9</v>
      </c>
      <c r="L35" s="34">
        <v>-138.80000000000001</v>
      </c>
      <c r="M35" s="34">
        <v>-158</v>
      </c>
      <c r="N35" s="34">
        <v>-178.3</v>
      </c>
      <c r="O35" s="34">
        <v>-199.9</v>
      </c>
      <c r="P35" s="34">
        <v>-222.7</v>
      </c>
      <c r="Q35" s="34">
        <v>-246.8</v>
      </c>
    </row>
    <row r="36" spans="1:17" x14ac:dyDescent="0.3">
      <c r="A36" s="191"/>
      <c r="B36" s="34">
        <v>50</v>
      </c>
      <c r="C36" s="34" t="s">
        <v>5</v>
      </c>
      <c r="D36" s="34">
        <v>-42</v>
      </c>
      <c r="E36" s="34">
        <v>-46.5</v>
      </c>
      <c r="F36" s="35">
        <v>-51.3</v>
      </c>
      <c r="G36" s="34">
        <v>-56.3</v>
      </c>
      <c r="H36" s="34">
        <v>-61.5</v>
      </c>
      <c r="I36" s="34">
        <v>-67</v>
      </c>
      <c r="J36" s="34">
        <v>-78.599999999999994</v>
      </c>
      <c r="K36" s="34">
        <v>-91.2</v>
      </c>
      <c r="L36" s="34">
        <v>-104.7</v>
      </c>
      <c r="M36" s="34">
        <v>-119.1</v>
      </c>
      <c r="N36" s="34">
        <v>-134.5</v>
      </c>
      <c r="O36" s="34">
        <v>-150.80000000000001</v>
      </c>
      <c r="P36" s="34">
        <v>-168</v>
      </c>
      <c r="Q36" s="34">
        <v>-186.1</v>
      </c>
    </row>
    <row r="37" spans="1:17" x14ac:dyDescent="0.3">
      <c r="A37" s="191"/>
      <c r="B37" s="34">
        <v>100</v>
      </c>
      <c r="C37" s="34" t="s">
        <v>5</v>
      </c>
      <c r="D37" s="34">
        <v>-31.6</v>
      </c>
      <c r="E37" s="34">
        <v>-35.1</v>
      </c>
      <c r="F37" s="35">
        <v>-38.700000000000003</v>
      </c>
      <c r="G37" s="34">
        <v>-42.4</v>
      </c>
      <c r="H37" s="34">
        <v>-46.4</v>
      </c>
      <c r="I37" s="34">
        <v>-50.5</v>
      </c>
      <c r="J37" s="34">
        <v>-59.3</v>
      </c>
      <c r="K37" s="34">
        <v>-68.7</v>
      </c>
      <c r="L37" s="34">
        <v>-78.900000000000006</v>
      </c>
      <c r="M37" s="34">
        <v>-89.8</v>
      </c>
      <c r="N37" s="34">
        <v>-101.3</v>
      </c>
      <c r="O37" s="34">
        <v>-113.6</v>
      </c>
      <c r="P37" s="34">
        <v>-126.6</v>
      </c>
      <c r="Q37" s="34">
        <v>-140.30000000000001</v>
      </c>
    </row>
    <row r="38" spans="1:17" x14ac:dyDescent="0.3">
      <c r="A38" s="191" t="s">
        <v>9</v>
      </c>
      <c r="B38" s="34">
        <v>10</v>
      </c>
      <c r="C38" s="34">
        <v>1</v>
      </c>
      <c r="D38" s="34">
        <v>-27.5</v>
      </c>
      <c r="E38" s="34">
        <v>-30.5</v>
      </c>
      <c r="F38" s="35">
        <v>-33.6</v>
      </c>
      <c r="G38" s="34">
        <v>-36.9</v>
      </c>
      <c r="H38" s="34">
        <v>-40.299999999999997</v>
      </c>
      <c r="I38" s="34">
        <v>-43.9</v>
      </c>
      <c r="J38" s="34">
        <v>-51.5</v>
      </c>
      <c r="K38" s="34">
        <v>-59.8</v>
      </c>
      <c r="L38" s="34">
        <v>-68.599999999999994</v>
      </c>
      <c r="M38" s="34">
        <v>-78.099999999999994</v>
      </c>
      <c r="N38" s="34">
        <v>-98.8</v>
      </c>
      <c r="O38" s="34">
        <v>-98.8</v>
      </c>
      <c r="P38" s="34">
        <v>-110.1</v>
      </c>
      <c r="Q38" s="34">
        <v>-122</v>
      </c>
    </row>
    <row r="39" spans="1:17" x14ac:dyDescent="0.3">
      <c r="A39" s="191"/>
      <c r="B39" s="34">
        <v>20</v>
      </c>
      <c r="C39" s="34">
        <v>1</v>
      </c>
      <c r="D39" s="34">
        <v>-27.5</v>
      </c>
      <c r="E39" s="34">
        <v>-30.5</v>
      </c>
      <c r="F39" s="35">
        <v>-33.6</v>
      </c>
      <c r="G39" s="34">
        <v>-36.9</v>
      </c>
      <c r="H39" s="34">
        <v>-40.299999999999997</v>
      </c>
      <c r="I39" s="34">
        <v>-43.9</v>
      </c>
      <c r="J39" s="34">
        <v>-51.5</v>
      </c>
      <c r="K39" s="34">
        <v>-59.8</v>
      </c>
      <c r="L39" s="34">
        <v>-68.599999999999994</v>
      </c>
      <c r="M39" s="34">
        <v>-78.099999999999994</v>
      </c>
      <c r="N39" s="34">
        <v>-98.8</v>
      </c>
      <c r="O39" s="34">
        <v>-98.8</v>
      </c>
      <c r="P39" s="34">
        <v>-110.1</v>
      </c>
      <c r="Q39" s="34">
        <v>-122</v>
      </c>
    </row>
    <row r="40" spans="1:17" x14ac:dyDescent="0.3">
      <c r="A40" s="191"/>
      <c r="B40" s="34">
        <v>50</v>
      </c>
      <c r="C40" s="34">
        <v>1</v>
      </c>
      <c r="D40" s="34">
        <v>-26.6</v>
      </c>
      <c r="E40" s="34">
        <v>-29.5</v>
      </c>
      <c r="F40" s="35">
        <v>-32.5</v>
      </c>
      <c r="G40" s="34">
        <v>-35.6</v>
      </c>
      <c r="H40" s="34">
        <v>-39</v>
      </c>
      <c r="I40" s="34">
        <v>-42.4</v>
      </c>
      <c r="J40" s="34">
        <v>-49.8</v>
      </c>
      <c r="K40" s="34">
        <v>-57.7</v>
      </c>
      <c r="L40" s="34">
        <v>-66.3</v>
      </c>
      <c r="M40" s="34">
        <v>-75.400000000000006</v>
      </c>
      <c r="N40" s="34">
        <v>-95.4</v>
      </c>
      <c r="O40" s="34">
        <v>-95.4</v>
      </c>
      <c r="P40" s="34">
        <v>-106.3</v>
      </c>
      <c r="Q40" s="34">
        <v>-117.8</v>
      </c>
    </row>
    <row r="41" spans="1:17" x14ac:dyDescent="0.3">
      <c r="A41" s="191"/>
      <c r="B41" s="34">
        <v>100</v>
      </c>
      <c r="C41" s="34">
        <v>1</v>
      </c>
      <c r="D41" s="34">
        <v>-25.9</v>
      </c>
      <c r="E41" s="34">
        <v>-28.7</v>
      </c>
      <c r="F41" s="35">
        <v>-31.6</v>
      </c>
      <c r="G41" s="34">
        <v>-34.700000000000003</v>
      </c>
      <c r="H41" s="34">
        <v>-37.9</v>
      </c>
      <c r="I41" s="34">
        <v>-41.3</v>
      </c>
      <c r="J41" s="34">
        <v>-48.5</v>
      </c>
      <c r="K41" s="34">
        <v>-56.2</v>
      </c>
      <c r="L41" s="34">
        <v>-64.5</v>
      </c>
      <c r="M41" s="34">
        <v>-73.400000000000006</v>
      </c>
      <c r="N41" s="34">
        <v>-92.9</v>
      </c>
      <c r="O41" s="34">
        <v>-92.9</v>
      </c>
      <c r="P41" s="34">
        <v>-103.5</v>
      </c>
      <c r="Q41" s="34">
        <v>-114.7</v>
      </c>
    </row>
    <row r="42" spans="1:17" x14ac:dyDescent="0.3">
      <c r="A42" s="191"/>
      <c r="B42" s="34">
        <v>10</v>
      </c>
      <c r="C42" s="34" t="s">
        <v>1</v>
      </c>
      <c r="D42" s="34">
        <v>-27.5</v>
      </c>
      <c r="E42" s="34">
        <v>-30.5</v>
      </c>
      <c r="F42" s="35">
        <v>-33.6</v>
      </c>
      <c r="G42" s="34">
        <v>-36.9</v>
      </c>
      <c r="H42" s="34">
        <v>-40.299999999999997</v>
      </c>
      <c r="I42" s="34">
        <v>-43.9</v>
      </c>
      <c r="J42" s="34">
        <v>-51.5</v>
      </c>
      <c r="K42" s="34">
        <v>-59.8</v>
      </c>
      <c r="L42" s="34">
        <v>-68.599999999999994</v>
      </c>
      <c r="M42" s="34">
        <v>-78.099999999999994</v>
      </c>
      <c r="N42" s="34">
        <v>-98.8</v>
      </c>
      <c r="O42" s="34">
        <v>-98.8</v>
      </c>
      <c r="P42" s="34">
        <v>-110.1</v>
      </c>
      <c r="Q42" s="34">
        <v>-122</v>
      </c>
    </row>
    <row r="43" spans="1:17" x14ac:dyDescent="0.3">
      <c r="A43" s="191"/>
      <c r="B43" s="34">
        <v>20</v>
      </c>
      <c r="C43" s="34" t="s">
        <v>1</v>
      </c>
      <c r="D43" s="34">
        <v>-27.5</v>
      </c>
      <c r="E43" s="34">
        <v>-30.5</v>
      </c>
      <c r="F43" s="35">
        <v>-33.6</v>
      </c>
      <c r="G43" s="34">
        <v>-36.9</v>
      </c>
      <c r="H43" s="34">
        <v>-40.299999999999997</v>
      </c>
      <c r="I43" s="34">
        <v>-43.9</v>
      </c>
      <c r="J43" s="34">
        <v>-51.5</v>
      </c>
      <c r="K43" s="34">
        <v>-59.8</v>
      </c>
      <c r="L43" s="34">
        <v>-68.599999999999994</v>
      </c>
      <c r="M43" s="34">
        <v>-78.099999999999994</v>
      </c>
      <c r="N43" s="34">
        <v>-98.8</v>
      </c>
      <c r="O43" s="34">
        <v>-98.8</v>
      </c>
      <c r="P43" s="34">
        <v>-110.1</v>
      </c>
      <c r="Q43" s="34">
        <v>-122</v>
      </c>
    </row>
    <row r="44" spans="1:17" x14ac:dyDescent="0.3">
      <c r="A44" s="191"/>
      <c r="B44" s="34">
        <v>50</v>
      </c>
      <c r="C44" s="34" t="s">
        <v>1</v>
      </c>
      <c r="D44" s="34">
        <v>-26</v>
      </c>
      <c r="E44" s="34">
        <v>-29.3</v>
      </c>
      <c r="F44" s="35">
        <v>-32.5</v>
      </c>
      <c r="G44" s="34">
        <v>-35.5</v>
      </c>
      <c r="H44" s="34">
        <v>-38.799999999999997</v>
      </c>
      <c r="I44" s="34">
        <v>-42.2</v>
      </c>
      <c r="J44" s="34">
        <v>-49.6</v>
      </c>
      <c r="K44" s="34">
        <v>-57.5</v>
      </c>
      <c r="L44" s="34">
        <v>-66</v>
      </c>
      <c r="M44" s="34">
        <v>-75.099999999999994</v>
      </c>
      <c r="N44" s="34">
        <v>-95</v>
      </c>
      <c r="O44" s="34">
        <v>-95</v>
      </c>
      <c r="P44" s="34">
        <v>-105.9</v>
      </c>
      <c r="Q44" s="34">
        <v>-117.3</v>
      </c>
    </row>
    <row r="45" spans="1:17" x14ac:dyDescent="0.3">
      <c r="A45" s="191"/>
      <c r="B45" s="34">
        <v>100</v>
      </c>
      <c r="C45" s="34" t="s">
        <v>1</v>
      </c>
      <c r="D45" s="34">
        <v>-25.7</v>
      </c>
      <c r="E45" s="34">
        <v>-28.4</v>
      </c>
      <c r="F45" s="35">
        <v>-31.4</v>
      </c>
      <c r="G45" s="34">
        <v>-34.4</v>
      </c>
      <c r="H45" s="34">
        <v>-37.6</v>
      </c>
      <c r="I45" s="34">
        <v>-41</v>
      </c>
      <c r="J45" s="34">
        <v>-48.1</v>
      </c>
      <c r="K45" s="34">
        <v>-55.7</v>
      </c>
      <c r="L45" s="34">
        <v>-64</v>
      </c>
      <c r="M45" s="34">
        <v>-72.8</v>
      </c>
      <c r="N45" s="34">
        <v>-92.2</v>
      </c>
      <c r="O45" s="34">
        <v>-92.2</v>
      </c>
      <c r="P45" s="34">
        <v>-102.7</v>
      </c>
      <c r="Q45" s="34">
        <v>-113.8</v>
      </c>
    </row>
    <row r="46" spans="1:17" x14ac:dyDescent="0.3">
      <c r="A46" s="191"/>
      <c r="B46" s="34">
        <v>10</v>
      </c>
      <c r="C46" s="34" t="s">
        <v>2</v>
      </c>
      <c r="D46" s="34">
        <v>-41.3</v>
      </c>
      <c r="E46" s="34">
        <v>-45.7</v>
      </c>
      <c r="F46" s="35">
        <v>-50.4</v>
      </c>
      <c r="G46" s="34">
        <v>-55.3</v>
      </c>
      <c r="H46" s="34">
        <v>-60.5</v>
      </c>
      <c r="I46" s="34">
        <v>-65.900000000000006</v>
      </c>
      <c r="J46" s="34">
        <v>-77.3</v>
      </c>
      <c r="K46" s="34">
        <v>-89.6</v>
      </c>
      <c r="L46" s="34">
        <v>-102.9</v>
      </c>
      <c r="M46" s="34">
        <v>-117.1</v>
      </c>
      <c r="N46" s="34">
        <v>-148.19999999999999</v>
      </c>
      <c r="O46" s="34">
        <v>-148.19999999999999</v>
      </c>
      <c r="P46" s="34">
        <v>-165.1</v>
      </c>
      <c r="Q46" s="34">
        <v>-182.9</v>
      </c>
    </row>
    <row r="47" spans="1:17" x14ac:dyDescent="0.3">
      <c r="A47" s="191"/>
      <c r="B47" s="34">
        <v>20</v>
      </c>
      <c r="C47" s="34" t="s">
        <v>2</v>
      </c>
      <c r="D47" s="34">
        <v>-38.5</v>
      </c>
      <c r="E47" s="34">
        <v>-42.6</v>
      </c>
      <c r="F47" s="35">
        <v>-47</v>
      </c>
      <c r="G47" s="34">
        <v>-51.6</v>
      </c>
      <c r="H47" s="34">
        <v>-56.4</v>
      </c>
      <c r="I47" s="34">
        <v>-61.4</v>
      </c>
      <c r="J47" s="34">
        <v>-72</v>
      </c>
      <c r="K47" s="34">
        <v>-83.5</v>
      </c>
      <c r="L47" s="34">
        <v>-95.9</v>
      </c>
      <c r="M47" s="34">
        <v>-109.1</v>
      </c>
      <c r="N47" s="34">
        <v>-138.1</v>
      </c>
      <c r="O47" s="34">
        <v>-138.1</v>
      </c>
      <c r="P47" s="34">
        <v>-153.80000000000001</v>
      </c>
      <c r="Q47" s="34">
        <v>-170.5</v>
      </c>
    </row>
    <row r="48" spans="1:17" x14ac:dyDescent="0.3">
      <c r="A48" s="191"/>
      <c r="B48" s="34">
        <v>50</v>
      </c>
      <c r="C48" s="34" t="s">
        <v>2</v>
      </c>
      <c r="D48" s="34">
        <v>-34.700000000000003</v>
      </c>
      <c r="E48" s="34">
        <v>-38.5</v>
      </c>
      <c r="F48" s="35">
        <v>-42.4</v>
      </c>
      <c r="G48" s="34">
        <v>-46.6</v>
      </c>
      <c r="H48" s="34">
        <v>-50.9</v>
      </c>
      <c r="I48" s="34">
        <v>-55.4</v>
      </c>
      <c r="J48" s="34">
        <v>-65</v>
      </c>
      <c r="K48" s="34">
        <v>-75.400000000000006</v>
      </c>
      <c r="L48" s="34">
        <v>-86.6</v>
      </c>
      <c r="M48" s="34">
        <v>-98.5</v>
      </c>
      <c r="N48" s="34">
        <v>-124.7</v>
      </c>
      <c r="O48" s="34">
        <v>-124.7</v>
      </c>
      <c r="P48" s="34">
        <v>-138.9</v>
      </c>
      <c r="Q48" s="34">
        <v>-153.9</v>
      </c>
    </row>
    <row r="49" spans="1:17" x14ac:dyDescent="0.3">
      <c r="A49" s="191"/>
      <c r="B49" s="34">
        <v>100</v>
      </c>
      <c r="C49" s="34" t="s">
        <v>2</v>
      </c>
      <c r="D49" s="34">
        <v>-31.9</v>
      </c>
      <c r="E49" s="34">
        <v>-35.4</v>
      </c>
      <c r="F49" s="35">
        <v>-39</v>
      </c>
      <c r="G49" s="34">
        <v>-42.8</v>
      </c>
      <c r="H49" s="34">
        <v>-46.8</v>
      </c>
      <c r="I49" s="34">
        <v>-50.9</v>
      </c>
      <c r="J49" s="34">
        <v>-59.8</v>
      </c>
      <c r="K49" s="34">
        <v>-69.3</v>
      </c>
      <c r="L49" s="34">
        <v>-79.599999999999994</v>
      </c>
      <c r="M49" s="34">
        <v>-90.5</v>
      </c>
      <c r="N49" s="34">
        <v>-114.6</v>
      </c>
      <c r="O49" s="34">
        <v>-114.6</v>
      </c>
      <c r="P49" s="34">
        <v>-127.7</v>
      </c>
      <c r="Q49" s="34">
        <v>-141.5</v>
      </c>
    </row>
    <row r="50" spans="1:17" x14ac:dyDescent="0.3">
      <c r="A50" s="191"/>
      <c r="B50" s="34">
        <v>10</v>
      </c>
      <c r="C50" s="34" t="s">
        <v>3</v>
      </c>
      <c r="D50" s="34">
        <v>-41.3</v>
      </c>
      <c r="E50" s="34">
        <v>-45.7</v>
      </c>
      <c r="F50" s="35">
        <v>-50.4</v>
      </c>
      <c r="G50" s="34">
        <v>-55.3</v>
      </c>
      <c r="H50" s="34">
        <v>-60.5</v>
      </c>
      <c r="I50" s="34">
        <v>-65.900000000000006</v>
      </c>
      <c r="J50" s="34">
        <v>-77.3</v>
      </c>
      <c r="K50" s="34">
        <v>-89.6</v>
      </c>
      <c r="L50" s="34">
        <v>-102.9</v>
      </c>
      <c r="M50" s="34">
        <v>-117.1</v>
      </c>
      <c r="N50" s="34">
        <v>-148.19999999999999</v>
      </c>
      <c r="O50" s="34">
        <v>-148.19999999999999</v>
      </c>
      <c r="P50" s="34">
        <v>-165.1</v>
      </c>
      <c r="Q50" s="34">
        <v>-182.9</v>
      </c>
    </row>
    <row r="51" spans="1:17" x14ac:dyDescent="0.3">
      <c r="A51" s="191"/>
      <c r="B51" s="34">
        <v>20</v>
      </c>
      <c r="C51" s="34" t="s">
        <v>3</v>
      </c>
      <c r="D51" s="34">
        <v>-38.5</v>
      </c>
      <c r="E51" s="34">
        <v>-42.6</v>
      </c>
      <c r="F51" s="35">
        <v>-47</v>
      </c>
      <c r="G51" s="34">
        <v>-51.6</v>
      </c>
      <c r="H51" s="34">
        <v>-56.4</v>
      </c>
      <c r="I51" s="34">
        <v>-61.4</v>
      </c>
      <c r="J51" s="34">
        <v>-72</v>
      </c>
      <c r="K51" s="34">
        <v>-83.5</v>
      </c>
      <c r="L51" s="34">
        <v>-95.9</v>
      </c>
      <c r="M51" s="34">
        <v>-109.1</v>
      </c>
      <c r="N51" s="34">
        <v>-138.1</v>
      </c>
      <c r="O51" s="34">
        <v>-138.1</v>
      </c>
      <c r="P51" s="34">
        <v>-153.80000000000001</v>
      </c>
      <c r="Q51" s="34">
        <v>-170.5</v>
      </c>
    </row>
    <row r="52" spans="1:17" x14ac:dyDescent="0.3">
      <c r="A52" s="191"/>
      <c r="B52" s="34">
        <v>50</v>
      </c>
      <c r="C52" s="34" t="s">
        <v>3</v>
      </c>
      <c r="D52" s="34">
        <v>-34.700000000000003</v>
      </c>
      <c r="E52" s="34">
        <v>-38.5</v>
      </c>
      <c r="F52" s="35">
        <v>-42.4</v>
      </c>
      <c r="G52" s="34">
        <v>-46.6</v>
      </c>
      <c r="H52" s="34">
        <v>-50.9</v>
      </c>
      <c r="I52" s="34">
        <v>-55.4</v>
      </c>
      <c r="J52" s="34">
        <v>-65</v>
      </c>
      <c r="K52" s="34">
        <v>-75.400000000000006</v>
      </c>
      <c r="L52" s="34">
        <v>-86.6</v>
      </c>
      <c r="M52" s="34">
        <v>-98.5</v>
      </c>
      <c r="N52" s="34">
        <v>-124.7</v>
      </c>
      <c r="O52" s="34">
        <v>-124.7</v>
      </c>
      <c r="P52" s="34">
        <v>-138.9</v>
      </c>
      <c r="Q52" s="34">
        <v>-153.9</v>
      </c>
    </row>
    <row r="53" spans="1:17" x14ac:dyDescent="0.3">
      <c r="A53" s="191"/>
      <c r="B53" s="34">
        <v>100</v>
      </c>
      <c r="C53" s="34" t="s">
        <v>3</v>
      </c>
      <c r="D53" s="34">
        <v>-31.9</v>
      </c>
      <c r="E53" s="34">
        <v>-35.4</v>
      </c>
      <c r="F53" s="35">
        <v>-39</v>
      </c>
      <c r="G53" s="34">
        <v>-42.8</v>
      </c>
      <c r="H53" s="34">
        <v>-46.8</v>
      </c>
      <c r="I53" s="34">
        <v>-50.9</v>
      </c>
      <c r="J53" s="34">
        <v>-59.8</v>
      </c>
      <c r="K53" s="34">
        <v>-69.3</v>
      </c>
      <c r="L53" s="34">
        <v>-79.599999999999994</v>
      </c>
      <c r="M53" s="34">
        <v>-90.5</v>
      </c>
      <c r="N53" s="34">
        <v>-114.6</v>
      </c>
      <c r="O53" s="34">
        <v>-114.6</v>
      </c>
      <c r="P53" s="34">
        <v>-127.7</v>
      </c>
      <c r="Q53" s="34">
        <v>-141.5</v>
      </c>
    </row>
    <row r="54" spans="1:17" x14ac:dyDescent="0.3">
      <c r="A54" s="191"/>
      <c r="B54" s="34">
        <v>10</v>
      </c>
      <c r="C54" s="34" t="s">
        <v>4</v>
      </c>
      <c r="D54" s="34">
        <v>-49.5</v>
      </c>
      <c r="E54" s="34">
        <v>-54.9</v>
      </c>
      <c r="F54" s="35">
        <v>-60.5</v>
      </c>
      <c r="G54" s="34">
        <v>-66.400000000000006</v>
      </c>
      <c r="H54" s="34">
        <v>-72.599999999999994</v>
      </c>
      <c r="I54" s="34">
        <v>-79</v>
      </c>
      <c r="J54" s="34">
        <v>-92.7</v>
      </c>
      <c r="K54" s="34">
        <v>-107.6</v>
      </c>
      <c r="L54" s="34">
        <v>-123.5</v>
      </c>
      <c r="M54" s="34">
        <v>-140.5</v>
      </c>
      <c r="N54" s="34">
        <v>-177.8</v>
      </c>
      <c r="O54" s="34">
        <v>-177.8</v>
      </c>
      <c r="P54" s="34">
        <v>-198.1</v>
      </c>
      <c r="Q54" s="34">
        <v>-219.5</v>
      </c>
    </row>
    <row r="55" spans="1:17" x14ac:dyDescent="0.3">
      <c r="A55" s="191"/>
      <c r="B55" s="34">
        <v>20</v>
      </c>
      <c r="C55" s="34" t="s">
        <v>4</v>
      </c>
      <c r="D55" s="34">
        <v>-41.7</v>
      </c>
      <c r="E55" s="34">
        <v>-46.2</v>
      </c>
      <c r="F55" s="35">
        <v>-50.9</v>
      </c>
      <c r="G55" s="34">
        <v>-55.9</v>
      </c>
      <c r="H55" s="34">
        <v>-61</v>
      </c>
      <c r="I55" s="34">
        <v>-66.5</v>
      </c>
      <c r="J55" s="34">
        <v>-78</v>
      </c>
      <c r="K55" s="34">
        <v>-90.5</v>
      </c>
      <c r="L55" s="34">
        <v>-103.9</v>
      </c>
      <c r="M55" s="34">
        <v>-118.2</v>
      </c>
      <c r="N55" s="34">
        <v>-149.6</v>
      </c>
      <c r="O55" s="34">
        <v>-149.6</v>
      </c>
      <c r="P55" s="34">
        <v>-166.6</v>
      </c>
      <c r="Q55" s="34">
        <v>-184.6</v>
      </c>
    </row>
    <row r="56" spans="1:17" x14ac:dyDescent="0.3">
      <c r="A56" s="191"/>
      <c r="B56" s="34">
        <v>50</v>
      </c>
      <c r="C56" s="34" t="s">
        <v>4</v>
      </c>
      <c r="D56" s="34">
        <v>-31.3</v>
      </c>
      <c r="E56" s="34">
        <v>-34.6</v>
      </c>
      <c r="F56" s="35">
        <v>-38.200000000000003</v>
      </c>
      <c r="G56" s="34">
        <v>-41.9</v>
      </c>
      <c r="H56" s="34">
        <v>-45.8</v>
      </c>
      <c r="I56" s="34">
        <v>-49.9</v>
      </c>
      <c r="J56" s="34">
        <v>-58.5</v>
      </c>
      <c r="K56" s="34">
        <v>-67.900000000000006</v>
      </c>
      <c r="L56" s="34">
        <v>-77.900000000000006</v>
      </c>
      <c r="M56" s="34">
        <v>-88.7</v>
      </c>
      <c r="N56" s="34">
        <v>-112.2</v>
      </c>
      <c r="O56" s="34">
        <v>-112.2</v>
      </c>
      <c r="P56" s="34">
        <v>-125</v>
      </c>
      <c r="Q56" s="34">
        <v>-138.5</v>
      </c>
    </row>
    <row r="57" spans="1:17" x14ac:dyDescent="0.3">
      <c r="A57" s="191"/>
      <c r="B57" s="34">
        <v>100</v>
      </c>
      <c r="C57" s="34" t="s">
        <v>4</v>
      </c>
      <c r="D57" s="34">
        <v>-23.4</v>
      </c>
      <c r="E57" s="34">
        <v>-25.9</v>
      </c>
      <c r="F57" s="35">
        <v>-28.6</v>
      </c>
      <c r="G57" s="34">
        <v>-31.4</v>
      </c>
      <c r="H57" s="34">
        <v>-34.299999999999997</v>
      </c>
      <c r="I57" s="34">
        <v>-37.299999999999997</v>
      </c>
      <c r="J57" s="34">
        <v>-43.8</v>
      </c>
      <c r="K57" s="34">
        <v>-50.8</v>
      </c>
      <c r="L57" s="34">
        <v>-58.3</v>
      </c>
      <c r="M57" s="34">
        <v>-66.3</v>
      </c>
      <c r="N57" s="34">
        <v>-84</v>
      </c>
      <c r="O57" s="34">
        <v>-84</v>
      </c>
      <c r="P57" s="34">
        <v>-93.6</v>
      </c>
      <c r="Q57" s="34">
        <v>-103.7</v>
      </c>
    </row>
    <row r="58" spans="1:17" x14ac:dyDescent="0.3">
      <c r="A58" s="191"/>
      <c r="B58" s="34">
        <v>10</v>
      </c>
      <c r="C58" s="34" t="s">
        <v>5</v>
      </c>
      <c r="D58" s="34">
        <v>-57.4</v>
      </c>
      <c r="E58" s="34">
        <v>-63.6</v>
      </c>
      <c r="F58" s="35">
        <v>-70.099999999999994</v>
      </c>
      <c r="G58" s="34">
        <v>-76.900000000000006</v>
      </c>
      <c r="H58" s="34">
        <v>-84.1</v>
      </c>
      <c r="I58" s="34">
        <v>-91.5</v>
      </c>
      <c r="J58" s="34">
        <v>-107.4</v>
      </c>
      <c r="K58" s="34">
        <v>-124.6</v>
      </c>
      <c r="L58" s="34">
        <v>-143</v>
      </c>
      <c r="M58" s="34">
        <v>-162.69999999999999</v>
      </c>
      <c r="N58" s="34">
        <v>-206</v>
      </c>
      <c r="O58" s="34">
        <v>-206</v>
      </c>
      <c r="P58" s="34">
        <v>-229.5</v>
      </c>
      <c r="Q58" s="34">
        <v>-254.3</v>
      </c>
    </row>
    <row r="59" spans="1:17" x14ac:dyDescent="0.3">
      <c r="A59" s="191"/>
      <c r="B59" s="34">
        <v>20</v>
      </c>
      <c r="C59" s="34" t="s">
        <v>5</v>
      </c>
      <c r="D59" s="34">
        <v>-47.5</v>
      </c>
      <c r="E59" s="34">
        <v>-52.6</v>
      </c>
      <c r="F59" s="35">
        <v>-58</v>
      </c>
      <c r="G59" s="34">
        <v>-63.7</v>
      </c>
      <c r="H59" s="34">
        <v>-69.599999999999994</v>
      </c>
      <c r="I59" s="34">
        <v>-75.8</v>
      </c>
      <c r="J59" s="34">
        <v>-88.9</v>
      </c>
      <c r="K59" s="34">
        <v>-103.1</v>
      </c>
      <c r="L59" s="34">
        <v>-118.4</v>
      </c>
      <c r="M59" s="34">
        <v>-134.69999999999999</v>
      </c>
      <c r="N59" s="34">
        <v>-170.4</v>
      </c>
      <c r="O59" s="34">
        <v>-170.4</v>
      </c>
      <c r="P59" s="34">
        <v>-189.9</v>
      </c>
      <c r="Q59" s="34">
        <v>-210.4</v>
      </c>
    </row>
    <row r="60" spans="1:17" x14ac:dyDescent="0.3">
      <c r="A60" s="191"/>
      <c r="B60" s="34">
        <v>50</v>
      </c>
      <c r="C60" s="34" t="s">
        <v>5</v>
      </c>
      <c r="D60" s="34">
        <v>-34.4</v>
      </c>
      <c r="E60" s="34">
        <v>-38.1</v>
      </c>
      <c r="F60" s="35">
        <v>-42</v>
      </c>
      <c r="G60" s="34">
        <v>-46.1</v>
      </c>
      <c r="H60" s="34">
        <v>-50.4</v>
      </c>
      <c r="I60" s="34">
        <v>-54.9</v>
      </c>
      <c r="J60" s="34">
        <v>-64.400000000000006</v>
      </c>
      <c r="K60" s="34">
        <v>-74.7</v>
      </c>
      <c r="L60" s="34">
        <v>-85.8</v>
      </c>
      <c r="M60" s="34">
        <v>-97.6</v>
      </c>
      <c r="N60" s="34">
        <v>-123.5</v>
      </c>
      <c r="O60" s="34">
        <v>-123.5</v>
      </c>
      <c r="P60" s="34">
        <v>-137.6</v>
      </c>
      <c r="Q60" s="34">
        <v>-152.4</v>
      </c>
    </row>
    <row r="61" spans="1:17" x14ac:dyDescent="0.3">
      <c r="A61" s="191"/>
      <c r="B61" s="34">
        <v>100</v>
      </c>
      <c r="C61" s="34" t="s">
        <v>5</v>
      </c>
      <c r="D61" s="34">
        <v>-34.4</v>
      </c>
      <c r="E61" s="34">
        <v>-38.1</v>
      </c>
      <c r="F61" s="35">
        <v>-42</v>
      </c>
      <c r="G61" s="34">
        <v>-46.1</v>
      </c>
      <c r="H61" s="34">
        <v>-50.4</v>
      </c>
      <c r="I61" s="34">
        <v>-54.9</v>
      </c>
      <c r="J61" s="34">
        <v>-64.400000000000006</v>
      </c>
      <c r="K61" s="34">
        <v>-74.7</v>
      </c>
      <c r="L61" s="34">
        <v>-85.8</v>
      </c>
      <c r="M61" s="34">
        <v>-97.6</v>
      </c>
      <c r="N61" s="34">
        <v>-123.5</v>
      </c>
      <c r="O61" s="34">
        <v>-123.5</v>
      </c>
      <c r="P61" s="34">
        <v>-137.6</v>
      </c>
      <c r="Q61" s="34">
        <v>-152.4</v>
      </c>
    </row>
    <row r="62" spans="1:17" x14ac:dyDescent="0.3">
      <c r="A62" s="191" t="s">
        <v>10</v>
      </c>
      <c r="B62" s="34">
        <v>10</v>
      </c>
      <c r="C62" s="34">
        <v>1</v>
      </c>
      <c r="D62" s="34">
        <v>-30.3</v>
      </c>
      <c r="E62" s="34">
        <v>-33.5</v>
      </c>
      <c r="F62" s="35">
        <v>-37</v>
      </c>
      <c r="G62" s="34">
        <v>-40.6</v>
      </c>
      <c r="H62" s="34">
        <v>-44.4</v>
      </c>
      <c r="I62" s="34">
        <v>-48.3</v>
      </c>
      <c r="J62" s="34">
        <v>-56.7</v>
      </c>
      <c r="K62" s="34">
        <v>-65.7</v>
      </c>
      <c r="L62" s="34">
        <v>-75.5</v>
      </c>
      <c r="M62" s="34">
        <v>-85.9</v>
      </c>
      <c r="N62" s="34">
        <v>-108.7</v>
      </c>
      <c r="O62" s="34">
        <v>-108.7</v>
      </c>
      <c r="P62" s="34">
        <v>-121.1</v>
      </c>
      <c r="Q62" s="34">
        <v>-134.19999999999999</v>
      </c>
    </row>
    <row r="63" spans="1:17" x14ac:dyDescent="0.3">
      <c r="A63" s="191"/>
      <c r="B63" s="34">
        <v>20</v>
      </c>
      <c r="C63" s="34">
        <v>1</v>
      </c>
      <c r="D63" s="34">
        <v>-28.2</v>
      </c>
      <c r="E63" s="34">
        <v>-31.2</v>
      </c>
      <c r="F63" s="35">
        <v>-34.4</v>
      </c>
      <c r="G63" s="34">
        <v>-37.799999999999997</v>
      </c>
      <c r="H63" s="34">
        <v>-41.3</v>
      </c>
      <c r="I63" s="34">
        <v>-45</v>
      </c>
      <c r="J63" s="34">
        <v>-52.8</v>
      </c>
      <c r="K63" s="34">
        <v>-61.2</v>
      </c>
      <c r="L63" s="34">
        <v>-70.3</v>
      </c>
      <c r="M63" s="34">
        <v>-80</v>
      </c>
      <c r="N63" s="34">
        <v>-101.2</v>
      </c>
      <c r="O63" s="34">
        <v>-101.2</v>
      </c>
      <c r="P63" s="34">
        <v>-112.8</v>
      </c>
      <c r="Q63" s="34">
        <v>-125</v>
      </c>
    </row>
    <row r="64" spans="1:17" x14ac:dyDescent="0.3">
      <c r="A64" s="191"/>
      <c r="B64" s="34">
        <v>50</v>
      </c>
      <c r="C64" s="34">
        <v>1</v>
      </c>
      <c r="D64" s="34">
        <v>-25.5</v>
      </c>
      <c r="E64" s="34">
        <v>-28.2</v>
      </c>
      <c r="F64" s="35">
        <v>-31.1</v>
      </c>
      <c r="G64" s="34">
        <v>-34.1</v>
      </c>
      <c r="H64" s="34">
        <v>-37.299999999999997</v>
      </c>
      <c r="I64" s="34">
        <v>-40.6</v>
      </c>
      <c r="J64" s="34">
        <v>-47.7</v>
      </c>
      <c r="K64" s="34">
        <v>-55.3</v>
      </c>
      <c r="L64" s="34">
        <v>-63.5</v>
      </c>
      <c r="M64" s="34">
        <v>-72.2</v>
      </c>
      <c r="N64" s="34">
        <v>-91.4</v>
      </c>
      <c r="O64" s="34">
        <v>-91.4</v>
      </c>
      <c r="P64" s="34">
        <v>-101.8</v>
      </c>
      <c r="Q64" s="34">
        <v>-112.8</v>
      </c>
    </row>
    <row r="65" spans="1:17" x14ac:dyDescent="0.3">
      <c r="A65" s="191"/>
      <c r="B65" s="34">
        <v>100</v>
      </c>
      <c r="C65" s="34">
        <v>1</v>
      </c>
      <c r="D65" s="34">
        <v>-23.4</v>
      </c>
      <c r="E65" s="34">
        <v>-25.9</v>
      </c>
      <c r="F65" s="35">
        <v>-28.6</v>
      </c>
      <c r="G65" s="34">
        <v>-31.4</v>
      </c>
      <c r="H65" s="34">
        <v>-34.4</v>
      </c>
      <c r="I65" s="34">
        <v>-37.299999999999997</v>
      </c>
      <c r="J65" s="34">
        <v>-43.8</v>
      </c>
      <c r="K65" s="34">
        <v>-50.8</v>
      </c>
      <c r="L65" s="34">
        <v>-58.3</v>
      </c>
      <c r="M65" s="34">
        <v>-66.3</v>
      </c>
      <c r="N65" s="34">
        <v>-84</v>
      </c>
      <c r="O65" s="34">
        <v>-84</v>
      </c>
      <c r="P65" s="34">
        <v>-93.6</v>
      </c>
      <c r="Q65" s="34">
        <v>-103.7</v>
      </c>
    </row>
    <row r="66" spans="1:17" x14ac:dyDescent="0.3">
      <c r="A66" s="191"/>
      <c r="B66" s="34">
        <v>10</v>
      </c>
      <c r="C66" s="34" t="s">
        <v>1</v>
      </c>
      <c r="D66" s="34">
        <v>-30.3</v>
      </c>
      <c r="E66" s="34">
        <v>-33.5</v>
      </c>
      <c r="F66" s="35">
        <v>-37</v>
      </c>
      <c r="G66" s="34">
        <v>-40.6</v>
      </c>
      <c r="H66" s="34">
        <v>-44.4</v>
      </c>
      <c r="I66" s="34">
        <v>-48.3</v>
      </c>
      <c r="J66" s="34">
        <v>-56.7</v>
      </c>
      <c r="K66" s="34">
        <v>-65.7</v>
      </c>
      <c r="L66" s="34">
        <v>-75.5</v>
      </c>
      <c r="M66" s="34">
        <v>-85.9</v>
      </c>
      <c r="N66" s="34">
        <v>-108.7</v>
      </c>
      <c r="O66" s="34">
        <v>-108.7</v>
      </c>
      <c r="P66" s="34">
        <v>-121.1</v>
      </c>
      <c r="Q66" s="34">
        <v>-134.19999999999999</v>
      </c>
    </row>
    <row r="67" spans="1:17" x14ac:dyDescent="0.3">
      <c r="A67" s="191"/>
      <c r="B67" s="34">
        <v>20</v>
      </c>
      <c r="C67" s="34" t="s">
        <v>1</v>
      </c>
      <c r="D67" s="34">
        <v>-28.2</v>
      </c>
      <c r="E67" s="34">
        <v>-31.2</v>
      </c>
      <c r="F67" s="35">
        <v>-34.4</v>
      </c>
      <c r="G67" s="34">
        <v>-37.799999999999997</v>
      </c>
      <c r="H67" s="34">
        <v>-41.3</v>
      </c>
      <c r="I67" s="34">
        <v>-45</v>
      </c>
      <c r="J67" s="34">
        <v>-52.8</v>
      </c>
      <c r="K67" s="34">
        <v>-61.2</v>
      </c>
      <c r="L67" s="34">
        <v>-70.3</v>
      </c>
      <c r="M67" s="34">
        <v>-80</v>
      </c>
      <c r="N67" s="34">
        <v>-101.2</v>
      </c>
      <c r="O67" s="34">
        <v>-101.2</v>
      </c>
      <c r="P67" s="34">
        <v>-112.8</v>
      </c>
      <c r="Q67" s="34">
        <v>-125</v>
      </c>
    </row>
    <row r="68" spans="1:17" x14ac:dyDescent="0.3">
      <c r="A68" s="191"/>
      <c r="B68" s="34">
        <v>50</v>
      </c>
      <c r="C68" s="34" t="s">
        <v>1</v>
      </c>
      <c r="D68" s="34">
        <v>-25.5</v>
      </c>
      <c r="E68" s="34">
        <v>-28.2</v>
      </c>
      <c r="F68" s="35">
        <v>-31.1</v>
      </c>
      <c r="G68" s="34">
        <v>-34.1</v>
      </c>
      <c r="H68" s="34">
        <v>-37.299999999999997</v>
      </c>
      <c r="I68" s="34">
        <v>-40.6</v>
      </c>
      <c r="J68" s="34">
        <v>-47.7</v>
      </c>
      <c r="K68" s="34">
        <v>-55.3</v>
      </c>
      <c r="L68" s="34">
        <v>-63.5</v>
      </c>
      <c r="M68" s="34">
        <v>-72.2</v>
      </c>
      <c r="N68" s="34">
        <v>-91.4</v>
      </c>
      <c r="O68" s="34">
        <v>-91.4</v>
      </c>
      <c r="P68" s="34">
        <v>-101.8</v>
      </c>
      <c r="Q68" s="34">
        <v>-112.8</v>
      </c>
    </row>
    <row r="69" spans="1:17" x14ac:dyDescent="0.3">
      <c r="A69" s="191"/>
      <c r="B69" s="34">
        <v>100</v>
      </c>
      <c r="C69" s="34" t="s">
        <v>1</v>
      </c>
      <c r="D69" s="34">
        <v>-23.4</v>
      </c>
      <c r="E69" s="34">
        <v>-25.9</v>
      </c>
      <c r="F69" s="35">
        <v>-28.6</v>
      </c>
      <c r="G69" s="34">
        <v>-31.4</v>
      </c>
      <c r="H69" s="34">
        <v>-34.299999999999997</v>
      </c>
      <c r="I69" s="34">
        <v>-37.299999999999997</v>
      </c>
      <c r="J69" s="34">
        <v>-43.8</v>
      </c>
      <c r="K69" s="34">
        <v>-50.8</v>
      </c>
      <c r="L69" s="34">
        <v>-58.3</v>
      </c>
      <c r="M69" s="34">
        <v>-66.3</v>
      </c>
      <c r="N69" s="34">
        <v>-84</v>
      </c>
      <c r="O69" s="34">
        <v>-84</v>
      </c>
      <c r="P69" s="34">
        <v>-93.6</v>
      </c>
      <c r="Q69" s="34">
        <v>-103.7</v>
      </c>
    </row>
    <row r="70" spans="1:17" x14ac:dyDescent="0.3">
      <c r="A70" s="191"/>
      <c r="B70" s="34">
        <v>10</v>
      </c>
      <c r="C70" s="34" t="s">
        <v>2</v>
      </c>
      <c r="D70" s="34">
        <v>-38.5</v>
      </c>
      <c r="E70" s="34">
        <v>-42.7</v>
      </c>
      <c r="F70" s="35">
        <v>-47.1</v>
      </c>
      <c r="G70" s="34">
        <v>-51.6</v>
      </c>
      <c r="H70" s="34">
        <v>-56.5</v>
      </c>
      <c r="I70" s="34">
        <v>-61.5</v>
      </c>
      <c r="J70" s="34">
        <v>-72.099999999999994</v>
      </c>
      <c r="K70" s="34">
        <v>-83.7</v>
      </c>
      <c r="L70" s="34">
        <v>-96</v>
      </c>
      <c r="M70" s="34">
        <v>-109.3</v>
      </c>
      <c r="N70" s="34">
        <v>-138.30000000000001</v>
      </c>
      <c r="O70" s="34">
        <v>-138.30000000000001</v>
      </c>
      <c r="P70" s="34">
        <v>-154.1</v>
      </c>
      <c r="Q70" s="34">
        <v>-170.7</v>
      </c>
    </row>
    <row r="71" spans="1:17" x14ac:dyDescent="0.3">
      <c r="A71" s="191"/>
      <c r="B71" s="34">
        <v>20</v>
      </c>
      <c r="C71" s="34" t="s">
        <v>2</v>
      </c>
      <c r="D71" s="34">
        <v>-35.299999999999997</v>
      </c>
      <c r="E71" s="34">
        <v>-39.200000000000003</v>
      </c>
      <c r="F71" s="35">
        <v>-43.2</v>
      </c>
      <c r="G71" s="34">
        <v>-47.4</v>
      </c>
      <c r="H71" s="34">
        <v>-51.8</v>
      </c>
      <c r="I71" s="34">
        <v>-56.4</v>
      </c>
      <c r="J71" s="34">
        <v>-66.2</v>
      </c>
      <c r="K71" s="34">
        <v>-76.8</v>
      </c>
      <c r="L71" s="34">
        <v>-88.1</v>
      </c>
      <c r="M71" s="34">
        <v>-100.2</v>
      </c>
      <c r="N71" s="34">
        <v>-126.9</v>
      </c>
      <c r="O71" s="34">
        <v>-126.9</v>
      </c>
      <c r="P71" s="34">
        <v>-141.4</v>
      </c>
      <c r="Q71" s="34">
        <v>-156.6</v>
      </c>
    </row>
    <row r="72" spans="1:17" x14ac:dyDescent="0.3">
      <c r="A72" s="191"/>
      <c r="B72" s="34">
        <v>50</v>
      </c>
      <c r="C72" s="34" t="s">
        <v>2</v>
      </c>
      <c r="D72" s="34">
        <v>-31.1</v>
      </c>
      <c r="E72" s="34">
        <v>-34.5</v>
      </c>
      <c r="F72" s="35">
        <v>-38</v>
      </c>
      <c r="G72" s="34">
        <v>-41.7</v>
      </c>
      <c r="H72" s="34">
        <v>-45.6</v>
      </c>
      <c r="I72" s="34">
        <v>-49.7</v>
      </c>
      <c r="J72" s="34">
        <v>-58.3</v>
      </c>
      <c r="K72" s="34">
        <v>-67.599999999999994</v>
      </c>
      <c r="L72" s="34">
        <v>-77.599999999999994</v>
      </c>
      <c r="M72" s="34">
        <v>-88.3</v>
      </c>
      <c r="N72" s="34">
        <v>-111.8</v>
      </c>
      <c r="O72" s="34">
        <v>-111.8</v>
      </c>
      <c r="P72" s="34">
        <v>-124.5</v>
      </c>
      <c r="Q72" s="34">
        <v>-138</v>
      </c>
    </row>
    <row r="73" spans="1:17" x14ac:dyDescent="0.3">
      <c r="A73" s="191"/>
      <c r="B73" s="34">
        <v>100</v>
      </c>
      <c r="C73" s="34" t="s">
        <v>2</v>
      </c>
      <c r="D73" s="34">
        <v>-27.9</v>
      </c>
      <c r="E73" s="34">
        <v>-31</v>
      </c>
      <c r="F73" s="35">
        <v>-34.1</v>
      </c>
      <c r="G73" s="34">
        <v>-37.5</v>
      </c>
      <c r="H73" s="34">
        <v>-41</v>
      </c>
      <c r="I73" s="34">
        <v>-44.6</v>
      </c>
      <c r="J73" s="34">
        <v>-52.3</v>
      </c>
      <c r="K73" s="34">
        <v>-60.7</v>
      </c>
      <c r="L73" s="34">
        <v>-69.7</v>
      </c>
      <c r="M73" s="34">
        <v>-79.3</v>
      </c>
      <c r="N73" s="34">
        <v>-100.3</v>
      </c>
      <c r="O73" s="34">
        <v>-100.3</v>
      </c>
      <c r="P73" s="34">
        <v>-111.8</v>
      </c>
      <c r="Q73" s="34">
        <v>-123.9</v>
      </c>
    </row>
    <row r="74" spans="1:17" x14ac:dyDescent="0.3">
      <c r="A74" s="191"/>
      <c r="B74" s="34">
        <v>10</v>
      </c>
      <c r="C74" s="34" t="s">
        <v>3</v>
      </c>
      <c r="D74" s="34">
        <v>-30.3</v>
      </c>
      <c r="E74" s="34">
        <v>-33.5</v>
      </c>
      <c r="F74" s="35">
        <v>-37</v>
      </c>
      <c r="G74" s="34">
        <v>-40.6</v>
      </c>
      <c r="H74" s="34">
        <v>-44.4</v>
      </c>
      <c r="I74" s="34">
        <v>-48.3</v>
      </c>
      <c r="J74" s="34">
        <v>-56.7</v>
      </c>
      <c r="K74" s="34">
        <v>-65.7</v>
      </c>
      <c r="L74" s="34">
        <v>-75.5</v>
      </c>
      <c r="M74" s="34">
        <v>-85.9</v>
      </c>
      <c r="N74" s="34">
        <v>-108.7</v>
      </c>
      <c r="O74" s="34">
        <v>-108.7</v>
      </c>
      <c r="P74" s="34">
        <v>-121.1</v>
      </c>
      <c r="Q74" s="34">
        <v>-134.19999999999999</v>
      </c>
    </row>
    <row r="75" spans="1:17" x14ac:dyDescent="0.3">
      <c r="A75" s="191"/>
      <c r="B75" s="34">
        <v>20</v>
      </c>
      <c r="C75" s="34" t="s">
        <v>3</v>
      </c>
      <c r="D75" s="34">
        <v>-28.2</v>
      </c>
      <c r="E75" s="34">
        <v>-31.2</v>
      </c>
      <c r="F75" s="35">
        <v>-34.4</v>
      </c>
      <c r="G75" s="34">
        <v>-37.799999999999997</v>
      </c>
      <c r="H75" s="34">
        <v>-41.3</v>
      </c>
      <c r="I75" s="34">
        <v>-45</v>
      </c>
      <c r="J75" s="34">
        <v>-52.8</v>
      </c>
      <c r="K75" s="34">
        <v>-61.2</v>
      </c>
      <c r="L75" s="34">
        <v>-70.3</v>
      </c>
      <c r="M75" s="34">
        <v>-80</v>
      </c>
      <c r="N75" s="34">
        <v>-101.2</v>
      </c>
      <c r="O75" s="34">
        <v>-101.2</v>
      </c>
      <c r="P75" s="34">
        <v>-112.8</v>
      </c>
      <c r="Q75" s="34">
        <v>-125</v>
      </c>
    </row>
    <row r="76" spans="1:17" x14ac:dyDescent="0.3">
      <c r="A76" s="191"/>
      <c r="B76" s="34">
        <v>50</v>
      </c>
      <c r="C76" s="34" t="s">
        <v>3</v>
      </c>
      <c r="D76" s="34">
        <v>-25.5</v>
      </c>
      <c r="E76" s="34">
        <v>-28.2</v>
      </c>
      <c r="F76" s="35">
        <v>-31.1</v>
      </c>
      <c r="G76" s="34">
        <v>-34.1</v>
      </c>
      <c r="H76" s="34">
        <v>-37.299999999999997</v>
      </c>
      <c r="I76" s="34">
        <v>-40.6</v>
      </c>
      <c r="J76" s="34">
        <v>-47.7</v>
      </c>
      <c r="K76" s="34">
        <v>-55.3</v>
      </c>
      <c r="L76" s="34">
        <v>-63.5</v>
      </c>
      <c r="M76" s="34">
        <v>-72.2</v>
      </c>
      <c r="N76" s="34">
        <v>-91.4</v>
      </c>
      <c r="O76" s="34">
        <v>-91.4</v>
      </c>
      <c r="P76" s="34">
        <v>-101.8</v>
      </c>
      <c r="Q76" s="34">
        <v>-112.8</v>
      </c>
    </row>
    <row r="77" spans="1:17" x14ac:dyDescent="0.3">
      <c r="A77" s="191"/>
      <c r="B77" s="34">
        <v>100</v>
      </c>
      <c r="C77" s="34" t="s">
        <v>3</v>
      </c>
      <c r="D77" s="34">
        <v>-23.4</v>
      </c>
      <c r="E77" s="34">
        <v>-25.9</v>
      </c>
      <c r="F77" s="35">
        <v>-28.6</v>
      </c>
      <c r="G77" s="34">
        <v>-31.4</v>
      </c>
      <c r="H77" s="34">
        <v>-34.4</v>
      </c>
      <c r="I77" s="34">
        <v>-37.299999999999997</v>
      </c>
      <c r="J77" s="34">
        <v>-43.8</v>
      </c>
      <c r="K77" s="34">
        <v>-50.8</v>
      </c>
      <c r="L77" s="34">
        <v>-58.3</v>
      </c>
      <c r="M77" s="34">
        <v>-66.3</v>
      </c>
      <c r="N77" s="34">
        <v>-84</v>
      </c>
      <c r="O77" s="34">
        <v>-84</v>
      </c>
      <c r="P77" s="34">
        <v>-93.6</v>
      </c>
      <c r="Q77" s="34">
        <v>-103.7</v>
      </c>
    </row>
    <row r="78" spans="1:17" x14ac:dyDescent="0.3">
      <c r="A78" s="191"/>
      <c r="B78" s="34">
        <v>10</v>
      </c>
      <c r="C78" s="34" t="s">
        <v>4</v>
      </c>
      <c r="D78" s="34">
        <v>-45.3</v>
      </c>
      <c r="E78" s="34">
        <v>-50.2</v>
      </c>
      <c r="F78" s="35">
        <v>-55.4</v>
      </c>
      <c r="G78" s="34">
        <v>-60.8</v>
      </c>
      <c r="H78" s="34">
        <v>-66.400000000000006</v>
      </c>
      <c r="I78" s="34">
        <v>-72.3</v>
      </c>
      <c r="J78" s="34">
        <v>-84.8</v>
      </c>
      <c r="K78" s="34">
        <v>-98.4</v>
      </c>
      <c r="L78" s="34">
        <v>-113</v>
      </c>
      <c r="M78" s="34">
        <v>-128.5</v>
      </c>
      <c r="N78" s="34">
        <v>-162.69999999999999</v>
      </c>
      <c r="O78" s="34">
        <v>-162.69999999999999</v>
      </c>
      <c r="P78" s="34">
        <v>-181.2</v>
      </c>
      <c r="Q78" s="34">
        <v>-200.8</v>
      </c>
    </row>
    <row r="79" spans="1:17" x14ac:dyDescent="0.3">
      <c r="A79" s="191"/>
      <c r="B79" s="34">
        <v>20</v>
      </c>
      <c r="C79" s="34" t="s">
        <v>4</v>
      </c>
      <c r="D79" s="34">
        <v>-41.1</v>
      </c>
      <c r="E79" s="34">
        <v>-45.6</v>
      </c>
      <c r="F79" s="35">
        <v>-50.2</v>
      </c>
      <c r="G79" s="34">
        <v>-55.1</v>
      </c>
      <c r="H79" s="34">
        <v>-60.3</v>
      </c>
      <c r="I79" s="34">
        <v>-65.599999999999994</v>
      </c>
      <c r="J79" s="34">
        <v>-77</v>
      </c>
      <c r="K79" s="34">
        <v>-89.3</v>
      </c>
      <c r="L79" s="34">
        <v>-102.5</v>
      </c>
      <c r="M79" s="34">
        <v>-116.7</v>
      </c>
      <c r="N79" s="34">
        <v>-147.6</v>
      </c>
      <c r="O79" s="34">
        <v>-147.6</v>
      </c>
      <c r="P79" s="34">
        <v>-164.5</v>
      </c>
      <c r="Q79" s="34">
        <v>-182.3</v>
      </c>
    </row>
    <row r="80" spans="1:17" x14ac:dyDescent="0.3">
      <c r="A80" s="191"/>
      <c r="B80" s="34">
        <v>50</v>
      </c>
      <c r="C80" s="34" t="s">
        <v>4</v>
      </c>
      <c r="D80" s="34">
        <v>-35.6</v>
      </c>
      <c r="E80" s="34">
        <v>-39.4</v>
      </c>
      <c r="F80" s="35">
        <v>-43.5</v>
      </c>
      <c r="G80" s="34">
        <v>-47.7</v>
      </c>
      <c r="H80" s="34">
        <v>-52.2</v>
      </c>
      <c r="I80" s="34">
        <v>-56.8</v>
      </c>
      <c r="J80" s="34">
        <v>-66.599999999999994</v>
      </c>
      <c r="K80" s="34">
        <v>-77.3</v>
      </c>
      <c r="L80" s="34">
        <v>-88.7</v>
      </c>
      <c r="M80" s="34">
        <v>-101</v>
      </c>
      <c r="N80" s="34">
        <v>-127.8</v>
      </c>
      <c r="O80" s="34">
        <v>-127.8</v>
      </c>
      <c r="P80" s="34">
        <v>-142.4</v>
      </c>
      <c r="Q80" s="34">
        <v>-157.69999999999999</v>
      </c>
    </row>
    <row r="81" spans="1:17" x14ac:dyDescent="0.3">
      <c r="A81" s="191"/>
      <c r="B81" s="34">
        <v>100</v>
      </c>
      <c r="C81" s="34" t="s">
        <v>4</v>
      </c>
      <c r="D81" s="34">
        <v>-31.4</v>
      </c>
      <c r="E81" s="34">
        <v>-34.799999999999997</v>
      </c>
      <c r="F81" s="35">
        <v>-38.4</v>
      </c>
      <c r="G81" s="34">
        <v>-42.1</v>
      </c>
      <c r="H81" s="34">
        <v>-46</v>
      </c>
      <c r="I81" s="34">
        <v>-50.1</v>
      </c>
      <c r="J81" s="34">
        <v>-58.8</v>
      </c>
      <c r="K81" s="34">
        <v>-68.2</v>
      </c>
      <c r="L81" s="34">
        <v>-78.3</v>
      </c>
      <c r="M81" s="34">
        <v>-89.1</v>
      </c>
      <c r="N81" s="34">
        <v>-112.7</v>
      </c>
      <c r="O81" s="34">
        <v>-112.7</v>
      </c>
      <c r="P81" s="34">
        <v>-125.6</v>
      </c>
      <c r="Q81" s="34">
        <v>-139.19999999999999</v>
      </c>
    </row>
    <row r="82" spans="1:17" x14ac:dyDescent="0.3">
      <c r="A82" s="191"/>
      <c r="B82" s="34">
        <v>10</v>
      </c>
      <c r="C82" s="34" t="s">
        <v>5</v>
      </c>
      <c r="D82" s="34">
        <v>-38.5</v>
      </c>
      <c r="E82" s="34">
        <v>-42.7</v>
      </c>
      <c r="F82" s="35">
        <v>-47.1</v>
      </c>
      <c r="G82" s="34">
        <v>-51.6</v>
      </c>
      <c r="H82" s="34">
        <v>-56.5</v>
      </c>
      <c r="I82" s="34">
        <v>-61.5</v>
      </c>
      <c r="J82" s="34">
        <v>-72.099999999999994</v>
      </c>
      <c r="K82" s="34">
        <v>-83.7</v>
      </c>
      <c r="L82" s="34">
        <v>-96</v>
      </c>
      <c r="M82" s="34">
        <v>-109.3</v>
      </c>
      <c r="N82" s="34">
        <v>-138.30000000000001</v>
      </c>
      <c r="O82" s="34">
        <v>-138.30000000000001</v>
      </c>
      <c r="P82" s="34">
        <v>-154.1</v>
      </c>
      <c r="Q82" s="34">
        <v>-170.7</v>
      </c>
    </row>
    <row r="83" spans="1:17" x14ac:dyDescent="0.3">
      <c r="A83" s="191"/>
      <c r="B83" s="34">
        <v>20</v>
      </c>
      <c r="C83" s="34" t="s">
        <v>5</v>
      </c>
      <c r="D83" s="34">
        <v>-35.299999999999997</v>
      </c>
      <c r="E83" s="34">
        <v>-39.200000000000003</v>
      </c>
      <c r="F83" s="35">
        <v>-43.2</v>
      </c>
      <c r="G83" s="34">
        <v>-47.4</v>
      </c>
      <c r="H83" s="34">
        <v>-51.8</v>
      </c>
      <c r="I83" s="34">
        <v>-56.4</v>
      </c>
      <c r="J83" s="34">
        <v>-66.2</v>
      </c>
      <c r="K83" s="34">
        <v>-76.8</v>
      </c>
      <c r="L83" s="34">
        <v>-88.1</v>
      </c>
      <c r="M83" s="34">
        <v>-100.2</v>
      </c>
      <c r="N83" s="34">
        <v>-126.9</v>
      </c>
      <c r="O83" s="34">
        <v>-126.9</v>
      </c>
      <c r="P83" s="34">
        <v>-141.4</v>
      </c>
      <c r="Q83" s="34">
        <v>-156.6</v>
      </c>
    </row>
    <row r="84" spans="1:17" x14ac:dyDescent="0.3">
      <c r="A84" s="191"/>
      <c r="B84" s="34">
        <v>50</v>
      </c>
      <c r="C84" s="34" t="s">
        <v>5</v>
      </c>
      <c r="D84" s="34">
        <v>-31.1</v>
      </c>
      <c r="E84" s="34">
        <v>-34.5</v>
      </c>
      <c r="F84" s="35">
        <v>-38</v>
      </c>
      <c r="G84" s="34">
        <v>-41.7</v>
      </c>
      <c r="H84" s="34">
        <v>-45.6</v>
      </c>
      <c r="I84" s="34">
        <v>-49.7</v>
      </c>
      <c r="J84" s="34">
        <v>-58.3</v>
      </c>
      <c r="K84" s="34">
        <v>-67.599999999999994</v>
      </c>
      <c r="L84" s="34">
        <v>-77.599999999999994</v>
      </c>
      <c r="M84" s="34">
        <v>-88.3</v>
      </c>
      <c r="N84" s="34">
        <v>-111.8</v>
      </c>
      <c r="O84" s="34">
        <v>-111.8</v>
      </c>
      <c r="P84" s="34">
        <v>-124.5</v>
      </c>
      <c r="Q84" s="34">
        <v>-138</v>
      </c>
    </row>
    <row r="85" spans="1:17" x14ac:dyDescent="0.3">
      <c r="A85" s="191"/>
      <c r="B85" s="34">
        <v>100</v>
      </c>
      <c r="C85" s="34" t="s">
        <v>5</v>
      </c>
      <c r="D85" s="34">
        <v>-27.9</v>
      </c>
      <c r="E85" s="34">
        <v>-31</v>
      </c>
      <c r="F85" s="35">
        <v>-34.1</v>
      </c>
      <c r="G85" s="34">
        <v>-37.5</v>
      </c>
      <c r="H85" s="34">
        <v>-41</v>
      </c>
      <c r="I85" s="34">
        <v>-44.6</v>
      </c>
      <c r="J85" s="34">
        <v>-52.3</v>
      </c>
      <c r="K85" s="34">
        <v>-60.7</v>
      </c>
      <c r="L85" s="34">
        <v>-69.7</v>
      </c>
      <c r="M85" s="34">
        <v>-79.3</v>
      </c>
      <c r="N85" s="34">
        <v>-100.3</v>
      </c>
      <c r="O85" s="34">
        <v>-100.3</v>
      </c>
      <c r="P85" s="34">
        <v>-111.8</v>
      </c>
      <c r="Q85" s="34">
        <v>-123.9</v>
      </c>
    </row>
    <row r="100" spans="1:11" x14ac:dyDescent="0.3">
      <c r="A100" t="s">
        <v>30</v>
      </c>
      <c r="C100" t="s">
        <v>31</v>
      </c>
    </row>
    <row r="101" spans="1:11" x14ac:dyDescent="0.3">
      <c r="A101">
        <f>'C&amp;C 7-16 Simplified'!E13</f>
        <v>130</v>
      </c>
      <c r="C101">
        <f>'C&amp;C 7-16 Simplified'!E15</f>
        <v>21</v>
      </c>
    </row>
    <row r="104" spans="1:11" x14ac:dyDescent="0.3">
      <c r="A104" s="131" t="s">
        <v>32</v>
      </c>
      <c r="B104" s="131"/>
      <c r="D104" s="131" t="s">
        <v>33</v>
      </c>
      <c r="E104" s="131"/>
      <c r="G104" s="131" t="s">
        <v>34</v>
      </c>
      <c r="H104" s="131"/>
      <c r="J104" s="131" t="s">
        <v>35</v>
      </c>
      <c r="K104" s="131"/>
    </row>
    <row r="105" spans="1:11" x14ac:dyDescent="0.3">
      <c r="A105" s="15" t="s">
        <v>13</v>
      </c>
      <c r="B105">
        <f>INDEX(D2:Q2,MATCH(C101,B2,1),MATCH(A101,D1:Q1,0))</f>
        <v>-43.8</v>
      </c>
      <c r="D105">
        <v>1</v>
      </c>
      <c r="E105">
        <f>INDEX(D14:Q14,MATCH(C101,B14,1),MATCH(A101,D1:Q1,0))</f>
        <v>-64.400000000000006</v>
      </c>
      <c r="G105">
        <v>1</v>
      </c>
      <c r="H105">
        <f>INDEX(D38:Q38,MATCH(C101,B38,1),MATCH(A101,D1:Q1,0))</f>
        <v>-51.5</v>
      </c>
      <c r="J105">
        <v>1</v>
      </c>
      <c r="K105">
        <f>INDEX(D62:Q62,MATCH(C101,B62,1),MATCH(A101,D1:Q1,0))</f>
        <v>-56.7</v>
      </c>
    </row>
    <row r="106" spans="1:11" x14ac:dyDescent="0.3">
      <c r="A106">
        <v>2</v>
      </c>
      <c r="B106">
        <f>INDEX(D6:Q6,MATCH(C101,B6,1),MATCH(A101,D1:Q1,0))</f>
        <v>-59.3</v>
      </c>
      <c r="D106" s="15" t="s">
        <v>1</v>
      </c>
      <c r="E106">
        <f>INDEX(D18:Q18,MATCH(C101,B18,1),MATCH(A101,D1:Q1,0))</f>
        <v>-64.400000000000006</v>
      </c>
      <c r="G106" s="15" t="s">
        <v>1</v>
      </c>
      <c r="H106">
        <f>INDEX(D42:Q42,MATCH(C101,B42,1),MATCH(A101,D1:Q1,0))</f>
        <v>-51.5</v>
      </c>
      <c r="J106" s="15" t="s">
        <v>1</v>
      </c>
      <c r="K106">
        <f>INDEX(D66:Q66,MATCH(C101,B66,1),MATCH(A101,D1:Q1,0))</f>
        <v>-56.7</v>
      </c>
    </row>
    <row r="107" spans="1:11" x14ac:dyDescent="0.3">
      <c r="A107">
        <v>3</v>
      </c>
      <c r="B107">
        <f>INDEX(D10:Q10,MATCH(C101,B10,1),MATCH(A101,D1:Q1,0))</f>
        <v>-82.4</v>
      </c>
      <c r="D107" s="15" t="s">
        <v>2</v>
      </c>
      <c r="E107">
        <f>INDEX(D22:Q22,MATCH(C101,B22,1),MATCH(A101,D1:Q1,0))</f>
        <v>-90.2</v>
      </c>
      <c r="G107" s="15" t="s">
        <v>2</v>
      </c>
      <c r="H107">
        <f>INDEX(D46:Q46,MATCH(C101,B46,1),MATCH(A101,D1:Q1,0))</f>
        <v>-77.3</v>
      </c>
      <c r="J107" s="15" t="s">
        <v>2</v>
      </c>
      <c r="K107">
        <f>INDEX(D70:Q70,MATCH(C101,B70,1),MATCH(A101,D1:Q1,0))</f>
        <v>-72.099999999999994</v>
      </c>
    </row>
    <row r="108" spans="1:11" x14ac:dyDescent="0.3">
      <c r="D108" s="15" t="s">
        <v>3</v>
      </c>
      <c r="E108">
        <f>INDEX(D26:Q26,MATCH(C101,B26,1),MATCH(A101,D1:Q1,0))</f>
        <v>-90.2</v>
      </c>
      <c r="G108" s="15" t="s">
        <v>3</v>
      </c>
      <c r="H108">
        <f>INDEX(D50:Q50,MATCH(C101,B50,1),MATCH(A101,D1:Q1,0))</f>
        <v>-77.3</v>
      </c>
      <c r="J108" s="15" t="s">
        <v>3</v>
      </c>
      <c r="K108">
        <f>INDEX(D74:Q74,MATCH(C101,B74,1),MATCH(A101,D1:Q1,0))</f>
        <v>-56.7</v>
      </c>
    </row>
    <row r="109" spans="1:11" x14ac:dyDescent="0.3">
      <c r="D109" s="15" t="s">
        <v>4</v>
      </c>
      <c r="E109">
        <f>INDEX(D30:Q30,MATCH(C101,B30,1),MATCH(A101,D1:Q1,0))</f>
        <v>-105.6</v>
      </c>
      <c r="G109" s="15" t="s">
        <v>4</v>
      </c>
      <c r="H109">
        <f>INDEX(D54:Q54,MATCH(C101,B54,1),MATCH(A101,D1:Q1,0))</f>
        <v>-92.7</v>
      </c>
      <c r="J109" s="15" t="s">
        <v>4</v>
      </c>
      <c r="K109">
        <f>INDEX(D78:Q78,MATCH(C101,B78,1),MATCH(A101,D1:Q1,0))</f>
        <v>-84.8</v>
      </c>
    </row>
    <row r="110" spans="1:11" x14ac:dyDescent="0.3">
      <c r="D110" s="15" t="s">
        <v>5</v>
      </c>
      <c r="E110">
        <f>INDEX(D34:Q34,MATCH(C101,B34,1),MATCH(A101,D1:Q1,0))</f>
        <v>-123.7</v>
      </c>
      <c r="G110" s="15" t="s">
        <v>5</v>
      </c>
      <c r="H110">
        <f>INDEX(D58:Q58,MATCH(C101,B58,1),MATCH(A101,D1:Q1,0))</f>
        <v>-107.4</v>
      </c>
      <c r="J110" s="15" t="s">
        <v>5</v>
      </c>
      <c r="K110">
        <f>INDEX(D82:Q82,MATCH(C101,B82,1),MATCH(A101,D1:Q1,0))</f>
        <v>-72.099999999999994</v>
      </c>
    </row>
  </sheetData>
  <mergeCells count="8">
    <mergeCell ref="J104:K104"/>
    <mergeCell ref="A38:A61"/>
    <mergeCell ref="A62:A85"/>
    <mergeCell ref="A2:A13"/>
    <mergeCell ref="A14:A37"/>
    <mergeCell ref="A104:B104"/>
    <mergeCell ref="D104:E104"/>
    <mergeCell ref="G104:H10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7"/>
  <sheetViews>
    <sheetView workbookViewId="0">
      <pane ySplit="1" topLeftCell="A39" activePane="bottomLeft" state="frozen"/>
      <selection pane="bottomLeft"/>
    </sheetView>
  </sheetViews>
  <sheetFormatPr defaultRowHeight="14.4" x14ac:dyDescent="0.3"/>
  <cols>
    <col min="2" max="2" width="10.33203125" customWidth="1"/>
  </cols>
  <sheetData>
    <row r="1" spans="1:12" x14ac:dyDescent="0.3">
      <c r="A1" s="32"/>
      <c r="B1" s="11" t="s">
        <v>28</v>
      </c>
      <c r="C1" s="11" t="s">
        <v>29</v>
      </c>
      <c r="D1" s="11">
        <v>110</v>
      </c>
      <c r="E1" s="32">
        <v>115</v>
      </c>
      <c r="F1" s="11">
        <v>120</v>
      </c>
      <c r="G1" s="11">
        <v>130</v>
      </c>
      <c r="H1" s="11">
        <v>140</v>
      </c>
      <c r="I1" s="11">
        <v>150</v>
      </c>
      <c r="J1" s="11">
        <v>160</v>
      </c>
      <c r="K1" s="11">
        <v>180</v>
      </c>
      <c r="L1" s="11">
        <v>200</v>
      </c>
    </row>
    <row r="2" spans="1:12" x14ac:dyDescent="0.3">
      <c r="A2" s="189" t="s">
        <v>6</v>
      </c>
      <c r="B2" s="32">
        <v>10</v>
      </c>
      <c r="C2" s="36">
        <v>4</v>
      </c>
      <c r="D2" s="32">
        <v>21.8</v>
      </c>
      <c r="E2" s="32">
        <v>23.8</v>
      </c>
      <c r="F2" s="32">
        <v>25.9</v>
      </c>
      <c r="G2" s="32">
        <v>30.4</v>
      </c>
      <c r="H2" s="32">
        <v>35.299999999999997</v>
      </c>
      <c r="I2" s="32">
        <v>40.5</v>
      </c>
      <c r="J2" s="32">
        <v>46.1</v>
      </c>
      <c r="K2" s="32">
        <v>58.3</v>
      </c>
      <c r="L2" s="32">
        <v>72</v>
      </c>
    </row>
    <row r="3" spans="1:12" x14ac:dyDescent="0.3">
      <c r="A3" s="189"/>
      <c r="B3" s="32">
        <v>20</v>
      </c>
      <c r="C3" s="36">
        <v>4</v>
      </c>
      <c r="D3" s="32">
        <v>20.8</v>
      </c>
      <c r="E3" s="32">
        <v>22.7</v>
      </c>
      <c r="F3" s="32">
        <v>24.7</v>
      </c>
      <c r="G3" s="32">
        <v>29</v>
      </c>
      <c r="H3" s="32">
        <v>33.700000000000003</v>
      </c>
      <c r="I3" s="32">
        <v>38.700000000000003</v>
      </c>
      <c r="J3" s="32">
        <v>44</v>
      </c>
      <c r="K3" s="32">
        <v>55.7</v>
      </c>
      <c r="L3" s="32">
        <v>68.7</v>
      </c>
    </row>
    <row r="4" spans="1:12" x14ac:dyDescent="0.3">
      <c r="A4" s="189"/>
      <c r="B4" s="32">
        <v>50</v>
      </c>
      <c r="C4" s="36">
        <v>4</v>
      </c>
      <c r="D4" s="32">
        <v>19.5</v>
      </c>
      <c r="E4" s="32">
        <v>21.3</v>
      </c>
      <c r="F4" s="32">
        <v>23.2</v>
      </c>
      <c r="G4" s="32">
        <v>27.2</v>
      </c>
      <c r="H4" s="32">
        <v>31.6</v>
      </c>
      <c r="I4" s="32">
        <v>36.200000000000003</v>
      </c>
      <c r="J4" s="32">
        <v>41.2</v>
      </c>
      <c r="K4" s="32">
        <v>52.2</v>
      </c>
      <c r="L4" s="32">
        <v>64.400000000000006</v>
      </c>
    </row>
    <row r="5" spans="1:12" x14ac:dyDescent="0.3">
      <c r="A5" s="189"/>
      <c r="B5" s="32">
        <v>100</v>
      </c>
      <c r="C5" s="36">
        <v>4</v>
      </c>
      <c r="D5" s="32">
        <v>18.5</v>
      </c>
      <c r="E5" s="32">
        <v>20.2</v>
      </c>
      <c r="F5" s="32">
        <v>22</v>
      </c>
      <c r="G5" s="32">
        <v>25.9</v>
      </c>
      <c r="H5" s="32">
        <v>30</v>
      </c>
      <c r="I5" s="32">
        <v>34.4</v>
      </c>
      <c r="J5" s="32">
        <v>39.200000000000003</v>
      </c>
      <c r="K5" s="32">
        <v>49.6</v>
      </c>
      <c r="L5" s="32">
        <v>61.2</v>
      </c>
    </row>
    <row r="6" spans="1:12" x14ac:dyDescent="0.3">
      <c r="A6" s="189"/>
      <c r="B6" s="32">
        <v>10</v>
      </c>
      <c r="C6" s="36">
        <v>5</v>
      </c>
      <c r="D6" s="32">
        <v>21.8</v>
      </c>
      <c r="E6" s="32">
        <v>23.8</v>
      </c>
      <c r="F6" s="32">
        <v>25.9</v>
      </c>
      <c r="G6" s="32">
        <v>30.4</v>
      </c>
      <c r="H6" s="32">
        <v>35.299999999999997</v>
      </c>
      <c r="I6" s="32">
        <v>40.5</v>
      </c>
      <c r="J6" s="32">
        <v>46.1</v>
      </c>
      <c r="K6" s="32">
        <v>58.3</v>
      </c>
      <c r="L6" s="32">
        <v>72</v>
      </c>
    </row>
    <row r="7" spans="1:12" x14ac:dyDescent="0.3">
      <c r="A7" s="189"/>
      <c r="B7" s="32">
        <v>20</v>
      </c>
      <c r="C7" s="36">
        <v>5</v>
      </c>
      <c r="D7" s="32">
        <v>20.8</v>
      </c>
      <c r="E7" s="32">
        <v>22.7</v>
      </c>
      <c r="F7" s="32">
        <v>24.7</v>
      </c>
      <c r="G7" s="32">
        <v>29</v>
      </c>
      <c r="H7" s="32">
        <v>33.700000000000003</v>
      </c>
      <c r="I7" s="32">
        <v>38.700000000000003</v>
      </c>
      <c r="J7" s="32">
        <v>44</v>
      </c>
      <c r="K7" s="32">
        <v>55.7</v>
      </c>
      <c r="L7" s="32">
        <v>68.7</v>
      </c>
    </row>
    <row r="8" spans="1:12" x14ac:dyDescent="0.3">
      <c r="A8" s="189"/>
      <c r="B8" s="32">
        <v>50</v>
      </c>
      <c r="C8" s="36">
        <v>5</v>
      </c>
      <c r="D8" s="32">
        <v>19.5</v>
      </c>
      <c r="E8" s="32">
        <v>21.3</v>
      </c>
      <c r="F8" s="32">
        <v>23.2</v>
      </c>
      <c r="G8" s="32">
        <v>27.2</v>
      </c>
      <c r="H8" s="32">
        <v>31.6</v>
      </c>
      <c r="I8" s="32">
        <v>36.200000000000003</v>
      </c>
      <c r="J8" s="32">
        <v>41.2</v>
      </c>
      <c r="K8" s="32">
        <v>52.2</v>
      </c>
      <c r="L8" s="32">
        <v>64.400000000000006</v>
      </c>
    </row>
    <row r="9" spans="1:12" x14ac:dyDescent="0.3">
      <c r="A9" s="189"/>
      <c r="B9" s="32">
        <v>100</v>
      </c>
      <c r="C9" s="36">
        <v>5</v>
      </c>
      <c r="D9" s="32">
        <v>18.5</v>
      </c>
      <c r="E9" s="32">
        <v>20.2</v>
      </c>
      <c r="F9" s="32">
        <v>22</v>
      </c>
      <c r="G9" s="32">
        <v>25.9</v>
      </c>
      <c r="H9" s="32">
        <v>30</v>
      </c>
      <c r="I9" s="32">
        <v>34.4</v>
      </c>
      <c r="J9" s="32">
        <v>39.200000000000003</v>
      </c>
      <c r="K9" s="32">
        <v>49.6</v>
      </c>
      <c r="L9" s="32">
        <v>61.2</v>
      </c>
    </row>
    <row r="10" spans="1:12" ht="15" customHeight="1" x14ac:dyDescent="0.3">
      <c r="A10" s="192" t="s">
        <v>7</v>
      </c>
      <c r="B10" s="32">
        <v>10</v>
      </c>
      <c r="C10" s="36">
        <v>1</v>
      </c>
      <c r="D10" s="32">
        <v>8.9</v>
      </c>
      <c r="E10" s="32">
        <v>9.6999999999999993</v>
      </c>
      <c r="F10" s="32">
        <v>10.5</v>
      </c>
      <c r="G10" s="32">
        <v>12.4</v>
      </c>
      <c r="H10" s="32">
        <v>14.3</v>
      </c>
      <c r="I10" s="32">
        <v>16.5</v>
      </c>
      <c r="J10" s="32">
        <v>18.7</v>
      </c>
      <c r="K10" s="32">
        <v>23.7</v>
      </c>
      <c r="L10" s="32">
        <v>29.3</v>
      </c>
    </row>
    <row r="11" spans="1:12" x14ac:dyDescent="0.3">
      <c r="A11" s="192"/>
      <c r="B11" s="32">
        <v>20</v>
      </c>
      <c r="C11" s="36">
        <v>1</v>
      </c>
      <c r="D11" s="32">
        <v>8.3000000000000007</v>
      </c>
      <c r="E11" s="32">
        <v>9.1</v>
      </c>
      <c r="F11" s="32">
        <v>9.9</v>
      </c>
      <c r="G11" s="32">
        <v>11.6</v>
      </c>
      <c r="H11" s="32">
        <v>13.4</v>
      </c>
      <c r="I11" s="32">
        <v>15.4</v>
      </c>
      <c r="J11" s="32">
        <v>17.600000000000001</v>
      </c>
      <c r="K11" s="32">
        <v>22.2</v>
      </c>
      <c r="L11" s="32">
        <v>27.4</v>
      </c>
    </row>
    <row r="12" spans="1:12" x14ac:dyDescent="0.3">
      <c r="A12" s="192"/>
      <c r="B12" s="32">
        <v>50</v>
      </c>
      <c r="C12" s="36">
        <v>1</v>
      </c>
      <c r="D12" s="32">
        <v>7.6</v>
      </c>
      <c r="E12" s="32">
        <v>8.3000000000000007</v>
      </c>
      <c r="F12" s="32">
        <v>9</v>
      </c>
      <c r="G12" s="32">
        <v>10.6</v>
      </c>
      <c r="H12" s="32">
        <v>12.3</v>
      </c>
      <c r="I12" s="32">
        <v>14.1</v>
      </c>
      <c r="J12" s="32">
        <v>16</v>
      </c>
      <c r="K12" s="32">
        <v>20.3</v>
      </c>
      <c r="L12" s="32">
        <v>25</v>
      </c>
    </row>
    <row r="13" spans="1:12" x14ac:dyDescent="0.3">
      <c r="A13" s="192"/>
      <c r="B13" s="32">
        <v>100</v>
      </c>
      <c r="C13" s="36">
        <v>1</v>
      </c>
      <c r="D13" s="32">
        <v>7</v>
      </c>
      <c r="E13" s="32">
        <v>7.7</v>
      </c>
      <c r="F13" s="32">
        <v>8.3000000000000007</v>
      </c>
      <c r="G13" s="32">
        <v>9.8000000000000007</v>
      </c>
      <c r="H13" s="32">
        <v>11.4</v>
      </c>
      <c r="I13" s="32">
        <v>13</v>
      </c>
      <c r="J13" s="32">
        <v>14.8</v>
      </c>
      <c r="K13" s="32">
        <v>18.8</v>
      </c>
      <c r="L13" s="32">
        <v>23.2</v>
      </c>
    </row>
    <row r="14" spans="1:12" x14ac:dyDescent="0.3">
      <c r="A14" s="192"/>
      <c r="B14" s="32">
        <v>10</v>
      </c>
      <c r="C14" s="36">
        <v>2</v>
      </c>
      <c r="D14" s="32">
        <v>8.9</v>
      </c>
      <c r="E14" s="32">
        <v>9.6999999999999993</v>
      </c>
      <c r="F14" s="32">
        <v>10.5</v>
      </c>
      <c r="G14" s="32">
        <v>12.4</v>
      </c>
      <c r="H14" s="32">
        <v>14.3</v>
      </c>
      <c r="I14" s="32">
        <v>16.5</v>
      </c>
      <c r="J14" s="32">
        <v>18.7</v>
      </c>
      <c r="K14" s="32">
        <v>23.7</v>
      </c>
      <c r="L14" s="32">
        <v>29.3</v>
      </c>
    </row>
    <row r="15" spans="1:12" x14ac:dyDescent="0.3">
      <c r="A15" s="192"/>
      <c r="B15" s="32">
        <v>20</v>
      </c>
      <c r="C15" s="36">
        <v>2</v>
      </c>
      <c r="D15" s="32">
        <v>8.3000000000000007</v>
      </c>
      <c r="E15" s="32">
        <v>9.1</v>
      </c>
      <c r="F15" s="32">
        <v>9.9</v>
      </c>
      <c r="G15" s="32">
        <v>11.6</v>
      </c>
      <c r="H15" s="32">
        <v>13.4</v>
      </c>
      <c r="I15" s="32">
        <v>15.4</v>
      </c>
      <c r="J15" s="32">
        <v>17.600000000000001</v>
      </c>
      <c r="K15" s="32">
        <v>22.2</v>
      </c>
      <c r="L15" s="32">
        <v>27.4</v>
      </c>
    </row>
    <row r="16" spans="1:12" x14ac:dyDescent="0.3">
      <c r="A16" s="192"/>
      <c r="B16" s="32">
        <v>50</v>
      </c>
      <c r="C16" s="36">
        <v>2</v>
      </c>
      <c r="D16" s="32">
        <v>7.6</v>
      </c>
      <c r="E16" s="32">
        <v>8.3000000000000007</v>
      </c>
      <c r="F16" s="32">
        <v>9</v>
      </c>
      <c r="G16" s="32">
        <v>10.6</v>
      </c>
      <c r="H16" s="32">
        <v>12.3</v>
      </c>
      <c r="I16" s="32">
        <v>14.1</v>
      </c>
      <c r="J16" s="32">
        <v>16</v>
      </c>
      <c r="K16" s="32">
        <v>20.3</v>
      </c>
      <c r="L16" s="32">
        <v>25</v>
      </c>
    </row>
    <row r="17" spans="1:12" x14ac:dyDescent="0.3">
      <c r="A17" s="192"/>
      <c r="B17" s="32">
        <v>100</v>
      </c>
      <c r="C17" s="36">
        <v>2</v>
      </c>
      <c r="D17" s="32">
        <v>7</v>
      </c>
      <c r="E17" s="32">
        <v>7.7</v>
      </c>
      <c r="F17" s="32">
        <v>8.3000000000000007</v>
      </c>
      <c r="G17" s="32">
        <v>9.8000000000000007</v>
      </c>
      <c r="H17" s="32">
        <v>11.4</v>
      </c>
      <c r="I17" s="32">
        <v>13</v>
      </c>
      <c r="J17" s="32">
        <v>14.8</v>
      </c>
      <c r="K17" s="32">
        <v>18.8</v>
      </c>
      <c r="L17" s="32">
        <v>23.2</v>
      </c>
    </row>
    <row r="18" spans="1:12" x14ac:dyDescent="0.3">
      <c r="A18" s="192"/>
      <c r="B18" s="32">
        <v>10</v>
      </c>
      <c r="C18" s="36">
        <v>3</v>
      </c>
      <c r="D18" s="32">
        <v>8.9</v>
      </c>
      <c r="E18" s="32">
        <v>9.6999999999999993</v>
      </c>
      <c r="F18" s="32">
        <v>10.5</v>
      </c>
      <c r="G18" s="32">
        <v>12.4</v>
      </c>
      <c r="H18" s="32">
        <v>14.3</v>
      </c>
      <c r="I18" s="32">
        <v>16.5</v>
      </c>
      <c r="J18" s="32">
        <v>18.7</v>
      </c>
      <c r="K18" s="32">
        <v>23.7</v>
      </c>
      <c r="L18" s="32">
        <v>29.3</v>
      </c>
    </row>
    <row r="19" spans="1:12" x14ac:dyDescent="0.3">
      <c r="A19" s="192"/>
      <c r="B19" s="32">
        <v>20</v>
      </c>
      <c r="C19" s="36">
        <v>3</v>
      </c>
      <c r="D19" s="32">
        <v>8.3000000000000007</v>
      </c>
      <c r="E19" s="32">
        <v>9.1</v>
      </c>
      <c r="F19" s="32">
        <v>9.9</v>
      </c>
      <c r="G19" s="32">
        <v>11.6</v>
      </c>
      <c r="H19" s="32">
        <v>13.4</v>
      </c>
      <c r="I19" s="32">
        <v>15.4</v>
      </c>
      <c r="J19" s="32">
        <v>17.600000000000001</v>
      </c>
      <c r="K19" s="32">
        <v>22.2</v>
      </c>
      <c r="L19" s="32">
        <v>27.4</v>
      </c>
    </row>
    <row r="20" spans="1:12" x14ac:dyDescent="0.3">
      <c r="A20" s="192"/>
      <c r="B20" s="32">
        <v>50</v>
      </c>
      <c r="C20" s="36">
        <v>3</v>
      </c>
      <c r="D20" s="32">
        <v>7.6</v>
      </c>
      <c r="E20" s="32">
        <v>8.3000000000000007</v>
      </c>
      <c r="F20" s="32">
        <v>9</v>
      </c>
      <c r="G20" s="32">
        <v>10.6</v>
      </c>
      <c r="H20" s="32">
        <v>12.3</v>
      </c>
      <c r="I20" s="32">
        <v>14.1</v>
      </c>
      <c r="J20" s="32">
        <v>16</v>
      </c>
      <c r="K20" s="32">
        <v>20.3</v>
      </c>
      <c r="L20" s="32">
        <v>25</v>
      </c>
    </row>
    <row r="21" spans="1:12" x14ac:dyDescent="0.3">
      <c r="A21" s="192"/>
      <c r="B21" s="32">
        <v>100</v>
      </c>
      <c r="C21" s="36">
        <v>3</v>
      </c>
      <c r="D21" s="32">
        <v>7</v>
      </c>
      <c r="E21" s="32">
        <v>7.7</v>
      </c>
      <c r="F21" s="32">
        <v>8.3000000000000007</v>
      </c>
      <c r="G21" s="32">
        <v>9.8000000000000007</v>
      </c>
      <c r="H21" s="32">
        <v>11.4</v>
      </c>
      <c r="I21" s="32">
        <v>13</v>
      </c>
      <c r="J21" s="32">
        <v>14.8</v>
      </c>
      <c r="K21" s="32">
        <v>18.8</v>
      </c>
      <c r="L21" s="32">
        <v>23.2</v>
      </c>
    </row>
    <row r="22" spans="1:12" x14ac:dyDescent="0.3">
      <c r="A22" s="192" t="s">
        <v>64</v>
      </c>
      <c r="B22" s="32">
        <v>10</v>
      </c>
      <c r="C22" s="36">
        <v>1</v>
      </c>
      <c r="D22" s="32">
        <v>12.5</v>
      </c>
      <c r="E22" s="32">
        <v>13.7</v>
      </c>
      <c r="F22" s="32">
        <v>14.9</v>
      </c>
      <c r="G22" s="32">
        <v>17.5</v>
      </c>
      <c r="H22" s="32">
        <v>20.3</v>
      </c>
      <c r="I22" s="32">
        <v>23.3</v>
      </c>
      <c r="J22" s="32">
        <v>26.5</v>
      </c>
      <c r="K22" s="32">
        <v>33.6</v>
      </c>
      <c r="L22" s="32">
        <v>41.5</v>
      </c>
    </row>
    <row r="23" spans="1:12" x14ac:dyDescent="0.3">
      <c r="A23" s="192"/>
      <c r="B23" s="32">
        <v>20</v>
      </c>
      <c r="C23" s="36">
        <v>1</v>
      </c>
      <c r="D23" s="32">
        <v>11.4</v>
      </c>
      <c r="E23" s="32">
        <v>12.5</v>
      </c>
      <c r="F23" s="32">
        <v>13.6</v>
      </c>
      <c r="G23" s="32">
        <v>16</v>
      </c>
      <c r="H23" s="32">
        <v>18.5</v>
      </c>
      <c r="I23" s="32">
        <v>21.3</v>
      </c>
      <c r="J23" s="32">
        <v>24.2</v>
      </c>
      <c r="K23" s="32">
        <v>30.6</v>
      </c>
      <c r="L23" s="32">
        <v>37.799999999999997</v>
      </c>
    </row>
    <row r="24" spans="1:12" x14ac:dyDescent="0.3">
      <c r="A24" s="192"/>
      <c r="B24" s="32">
        <v>50</v>
      </c>
      <c r="C24" s="36">
        <v>1</v>
      </c>
      <c r="D24" s="32">
        <v>10</v>
      </c>
      <c r="E24" s="32">
        <v>10.9</v>
      </c>
      <c r="F24" s="32">
        <v>11.9</v>
      </c>
      <c r="G24" s="32">
        <v>13.9</v>
      </c>
      <c r="H24" s="32">
        <v>16.100000000000001</v>
      </c>
      <c r="I24" s="32">
        <v>18.5</v>
      </c>
      <c r="J24" s="32">
        <v>21.1</v>
      </c>
      <c r="K24" s="32">
        <v>26.7</v>
      </c>
      <c r="L24" s="32">
        <v>32.9</v>
      </c>
    </row>
    <row r="25" spans="1:12" x14ac:dyDescent="0.3">
      <c r="A25" s="192"/>
      <c r="B25" s="32">
        <v>100</v>
      </c>
      <c r="C25" s="36">
        <v>1</v>
      </c>
      <c r="D25" s="32">
        <v>8</v>
      </c>
      <c r="E25" s="32">
        <v>9.6999999999999993</v>
      </c>
      <c r="F25" s="32">
        <v>10.5</v>
      </c>
      <c r="G25" s="32">
        <v>12.4</v>
      </c>
      <c r="H25" s="32">
        <v>14.3</v>
      </c>
      <c r="I25" s="32">
        <v>16.5</v>
      </c>
      <c r="J25" s="32">
        <v>18.7</v>
      </c>
      <c r="K25" s="32">
        <v>23.7</v>
      </c>
      <c r="L25" s="32">
        <v>29.3</v>
      </c>
    </row>
    <row r="26" spans="1:12" ht="15" customHeight="1" x14ac:dyDescent="0.3">
      <c r="A26" s="192"/>
      <c r="B26" s="32">
        <v>10</v>
      </c>
      <c r="C26" s="36">
        <v>2</v>
      </c>
      <c r="D26" s="32">
        <v>12.5</v>
      </c>
      <c r="E26" s="32">
        <v>13.7</v>
      </c>
      <c r="F26" s="32">
        <v>14.9</v>
      </c>
      <c r="G26" s="32">
        <v>17.5</v>
      </c>
      <c r="H26" s="32">
        <v>20.3</v>
      </c>
      <c r="I26" s="32">
        <v>23.3</v>
      </c>
      <c r="J26" s="32">
        <v>26.5</v>
      </c>
      <c r="K26" s="32">
        <v>33.6</v>
      </c>
      <c r="L26" s="32">
        <v>41.5</v>
      </c>
    </row>
    <row r="27" spans="1:12" x14ac:dyDescent="0.3">
      <c r="A27" s="192"/>
      <c r="B27" s="32">
        <v>20</v>
      </c>
      <c r="C27" s="36">
        <v>2</v>
      </c>
      <c r="D27" s="32">
        <v>11.4</v>
      </c>
      <c r="E27" s="32">
        <v>12.5</v>
      </c>
      <c r="F27" s="32">
        <v>13.6</v>
      </c>
      <c r="G27" s="32">
        <v>16</v>
      </c>
      <c r="H27" s="32">
        <v>18.5</v>
      </c>
      <c r="I27" s="32">
        <v>21.3</v>
      </c>
      <c r="J27" s="32">
        <v>24.2</v>
      </c>
      <c r="K27" s="32">
        <v>30.6</v>
      </c>
      <c r="L27" s="32">
        <v>37.799999999999997</v>
      </c>
    </row>
    <row r="28" spans="1:12" x14ac:dyDescent="0.3">
      <c r="A28" s="192"/>
      <c r="B28" s="32">
        <v>50</v>
      </c>
      <c r="C28" s="36">
        <v>2</v>
      </c>
      <c r="D28" s="32">
        <v>10</v>
      </c>
      <c r="E28" s="32">
        <v>10.9</v>
      </c>
      <c r="F28" s="32">
        <v>11.9</v>
      </c>
      <c r="G28" s="32">
        <v>13.9</v>
      </c>
      <c r="H28" s="32">
        <v>16.100000000000001</v>
      </c>
      <c r="I28" s="32">
        <v>18.5</v>
      </c>
      <c r="J28" s="32">
        <v>21.1</v>
      </c>
      <c r="K28" s="32">
        <v>26.7</v>
      </c>
      <c r="L28" s="32">
        <v>32.9</v>
      </c>
    </row>
    <row r="29" spans="1:12" x14ac:dyDescent="0.3">
      <c r="A29" s="192"/>
      <c r="B29" s="32">
        <v>100</v>
      </c>
      <c r="C29" s="36">
        <v>2</v>
      </c>
      <c r="D29" s="32">
        <v>8</v>
      </c>
      <c r="E29" s="32">
        <v>9.6999999999999993</v>
      </c>
      <c r="F29" s="32">
        <v>10.5</v>
      </c>
      <c r="G29" s="32">
        <v>12.4</v>
      </c>
      <c r="H29" s="32">
        <v>14.3</v>
      </c>
      <c r="I29" s="32">
        <v>16.5</v>
      </c>
      <c r="J29" s="32">
        <v>18.7</v>
      </c>
      <c r="K29" s="32">
        <v>23.7</v>
      </c>
      <c r="L29" s="32">
        <v>29.3</v>
      </c>
    </row>
    <row r="30" spans="1:12" x14ac:dyDescent="0.3">
      <c r="A30" s="192"/>
      <c r="B30" s="32">
        <v>10</v>
      </c>
      <c r="C30" s="36">
        <v>3</v>
      </c>
      <c r="D30" s="32">
        <v>12.5</v>
      </c>
      <c r="E30" s="32">
        <v>13.7</v>
      </c>
      <c r="F30" s="32">
        <v>14.9</v>
      </c>
      <c r="G30" s="32">
        <v>17.5</v>
      </c>
      <c r="H30" s="32">
        <v>20.3</v>
      </c>
      <c r="I30" s="32">
        <v>23.3</v>
      </c>
      <c r="J30" s="32">
        <v>26.5</v>
      </c>
      <c r="K30" s="32">
        <v>33.6</v>
      </c>
      <c r="L30" s="32">
        <v>41.5</v>
      </c>
    </row>
    <row r="31" spans="1:12" x14ac:dyDescent="0.3">
      <c r="A31" s="192"/>
      <c r="B31" s="32">
        <v>20</v>
      </c>
      <c r="C31" s="36">
        <v>3</v>
      </c>
      <c r="D31" s="32">
        <v>11.4</v>
      </c>
      <c r="E31" s="32">
        <v>12.5</v>
      </c>
      <c r="F31" s="32">
        <v>13.6</v>
      </c>
      <c r="G31" s="32">
        <v>16</v>
      </c>
      <c r="H31" s="32">
        <v>18.5</v>
      </c>
      <c r="I31" s="32">
        <v>21.3</v>
      </c>
      <c r="J31" s="32">
        <v>24.2</v>
      </c>
      <c r="K31" s="32">
        <v>30.6</v>
      </c>
      <c r="L31" s="32">
        <v>37.799999999999997</v>
      </c>
    </row>
    <row r="32" spans="1:12" x14ac:dyDescent="0.3">
      <c r="A32" s="192"/>
      <c r="B32" s="32">
        <v>50</v>
      </c>
      <c r="C32" s="36">
        <v>3</v>
      </c>
      <c r="D32" s="32">
        <v>10</v>
      </c>
      <c r="E32" s="32">
        <v>10.9</v>
      </c>
      <c r="F32" s="32">
        <v>11.9</v>
      </c>
      <c r="G32" s="32">
        <v>13.9</v>
      </c>
      <c r="H32" s="32">
        <v>16.100000000000001</v>
      </c>
      <c r="I32" s="32">
        <v>18.5</v>
      </c>
      <c r="J32" s="32">
        <v>21.1</v>
      </c>
      <c r="K32" s="32">
        <v>26.7</v>
      </c>
      <c r="L32" s="32">
        <v>32.9</v>
      </c>
    </row>
    <row r="33" spans="1:12" x14ac:dyDescent="0.3">
      <c r="A33" s="192"/>
      <c r="B33" s="32">
        <v>100</v>
      </c>
      <c r="C33" s="36">
        <v>3</v>
      </c>
      <c r="D33" s="32">
        <v>8</v>
      </c>
      <c r="E33" s="32">
        <v>9.6999999999999993</v>
      </c>
      <c r="F33" s="32">
        <v>10.5</v>
      </c>
      <c r="G33" s="32">
        <v>12.4</v>
      </c>
      <c r="H33" s="32">
        <v>14.3</v>
      </c>
      <c r="I33" s="32">
        <v>16.5</v>
      </c>
      <c r="J33" s="32">
        <v>18.7</v>
      </c>
      <c r="K33" s="32">
        <v>23.7</v>
      </c>
      <c r="L33" s="32">
        <v>29.3</v>
      </c>
    </row>
    <row r="34" spans="1:12" x14ac:dyDescent="0.3">
      <c r="A34" s="192" t="s">
        <v>10</v>
      </c>
      <c r="B34" s="32">
        <v>10</v>
      </c>
      <c r="C34" s="36">
        <v>1</v>
      </c>
      <c r="D34" s="32">
        <v>19.899999999999999</v>
      </c>
      <c r="E34" s="32">
        <v>21.8</v>
      </c>
      <c r="F34" s="32">
        <v>23.7</v>
      </c>
      <c r="G34" s="32">
        <v>27.8</v>
      </c>
      <c r="H34" s="32">
        <v>32.200000000000003</v>
      </c>
      <c r="I34" s="32">
        <v>37</v>
      </c>
      <c r="J34" s="32">
        <v>42.1</v>
      </c>
      <c r="K34" s="32">
        <v>53.3</v>
      </c>
      <c r="L34" s="32">
        <v>65.900000000000006</v>
      </c>
    </row>
    <row r="35" spans="1:12" x14ac:dyDescent="0.3">
      <c r="A35" s="192"/>
      <c r="B35" s="32">
        <v>20</v>
      </c>
      <c r="C35" s="36">
        <v>1</v>
      </c>
      <c r="D35" s="32">
        <v>19.399999999999999</v>
      </c>
      <c r="E35" s="32">
        <v>21.2</v>
      </c>
      <c r="F35" s="32">
        <v>23</v>
      </c>
      <c r="G35" s="32">
        <v>27</v>
      </c>
      <c r="H35" s="32">
        <v>31.4</v>
      </c>
      <c r="I35" s="32">
        <v>36</v>
      </c>
      <c r="J35" s="32">
        <v>41</v>
      </c>
      <c r="K35" s="32">
        <v>51.9</v>
      </c>
      <c r="L35" s="32">
        <v>64</v>
      </c>
    </row>
    <row r="36" spans="1:12" x14ac:dyDescent="0.3">
      <c r="A36" s="192"/>
      <c r="B36" s="32">
        <v>50</v>
      </c>
      <c r="C36" s="36">
        <v>1</v>
      </c>
      <c r="D36" s="32">
        <v>18.600000000000001</v>
      </c>
      <c r="E36" s="32">
        <v>20.399999999999999</v>
      </c>
      <c r="F36" s="32">
        <v>22.2</v>
      </c>
      <c r="G36" s="32">
        <v>26</v>
      </c>
      <c r="H36" s="32">
        <v>30.2</v>
      </c>
      <c r="I36" s="32">
        <v>34.6</v>
      </c>
      <c r="J36" s="32">
        <v>39.4</v>
      </c>
      <c r="K36" s="32">
        <v>49.9</v>
      </c>
      <c r="L36" s="32">
        <v>61.6</v>
      </c>
    </row>
    <row r="37" spans="1:12" x14ac:dyDescent="0.3">
      <c r="A37" s="192"/>
      <c r="B37" s="32">
        <v>100</v>
      </c>
      <c r="C37" s="36">
        <v>1</v>
      </c>
      <c r="D37" s="32">
        <v>18.100000000000001</v>
      </c>
      <c r="E37" s="32">
        <v>19.8</v>
      </c>
      <c r="F37" s="32">
        <v>21.5</v>
      </c>
      <c r="G37" s="32">
        <v>25.2</v>
      </c>
      <c r="H37" s="32">
        <v>29.3</v>
      </c>
      <c r="I37" s="32">
        <v>33.6</v>
      </c>
      <c r="J37" s="32">
        <v>38.200000000000003</v>
      </c>
      <c r="K37" s="32">
        <v>48.4</v>
      </c>
      <c r="L37" s="32">
        <v>59.8</v>
      </c>
    </row>
    <row r="38" spans="1:12" x14ac:dyDescent="0.3">
      <c r="A38" s="192"/>
      <c r="B38" s="32">
        <v>10</v>
      </c>
      <c r="C38" s="36">
        <v>2</v>
      </c>
      <c r="D38" s="32">
        <v>19.899999999999999</v>
      </c>
      <c r="E38" s="32">
        <v>21.8</v>
      </c>
      <c r="F38" s="32">
        <v>23.7</v>
      </c>
      <c r="G38" s="32">
        <v>27.8</v>
      </c>
      <c r="H38" s="32">
        <v>32.200000000000003</v>
      </c>
      <c r="I38" s="32">
        <v>37</v>
      </c>
      <c r="J38" s="32">
        <v>42.1</v>
      </c>
      <c r="K38" s="32">
        <v>53.3</v>
      </c>
      <c r="L38" s="32">
        <v>65.900000000000006</v>
      </c>
    </row>
    <row r="39" spans="1:12" x14ac:dyDescent="0.3">
      <c r="A39" s="192"/>
      <c r="B39" s="32">
        <v>20</v>
      </c>
      <c r="C39" s="36">
        <v>2</v>
      </c>
      <c r="D39" s="32">
        <v>19.399999999999999</v>
      </c>
      <c r="E39" s="32">
        <v>21.2</v>
      </c>
      <c r="F39" s="32">
        <v>23</v>
      </c>
      <c r="G39" s="32">
        <v>27</v>
      </c>
      <c r="H39" s="32">
        <v>31.4</v>
      </c>
      <c r="I39" s="32">
        <v>36</v>
      </c>
      <c r="J39" s="32">
        <v>41</v>
      </c>
      <c r="K39" s="32">
        <v>51.9</v>
      </c>
      <c r="L39" s="32">
        <v>64</v>
      </c>
    </row>
    <row r="40" spans="1:12" x14ac:dyDescent="0.3">
      <c r="A40" s="192"/>
      <c r="B40" s="32">
        <v>50</v>
      </c>
      <c r="C40" s="36">
        <v>2</v>
      </c>
      <c r="D40" s="32">
        <v>18.600000000000001</v>
      </c>
      <c r="E40" s="32">
        <v>20.399999999999999</v>
      </c>
      <c r="F40" s="32">
        <v>22.2</v>
      </c>
      <c r="G40" s="32">
        <v>26</v>
      </c>
      <c r="H40" s="32">
        <v>30.2</v>
      </c>
      <c r="I40" s="32">
        <v>34.6</v>
      </c>
      <c r="J40" s="32">
        <v>39.4</v>
      </c>
      <c r="K40" s="32">
        <v>49.9</v>
      </c>
      <c r="L40" s="32">
        <v>61.6</v>
      </c>
    </row>
    <row r="41" spans="1:12" x14ac:dyDescent="0.3">
      <c r="A41" s="192"/>
      <c r="B41" s="32">
        <v>100</v>
      </c>
      <c r="C41" s="36">
        <v>2</v>
      </c>
      <c r="D41" s="32">
        <v>18.100000000000001</v>
      </c>
      <c r="E41" s="32">
        <v>19.8</v>
      </c>
      <c r="F41" s="32">
        <v>21.5</v>
      </c>
      <c r="G41" s="32">
        <v>25.2</v>
      </c>
      <c r="H41" s="32">
        <v>29.3</v>
      </c>
      <c r="I41" s="32">
        <v>33.6</v>
      </c>
      <c r="J41" s="32">
        <v>38.200000000000003</v>
      </c>
      <c r="K41" s="32">
        <v>48.4</v>
      </c>
      <c r="L41" s="32">
        <v>59.8</v>
      </c>
    </row>
    <row r="42" spans="1:12" x14ac:dyDescent="0.3">
      <c r="A42" s="192"/>
      <c r="B42" s="32">
        <v>10</v>
      </c>
      <c r="C42" s="36">
        <v>3</v>
      </c>
      <c r="D42" s="32">
        <v>19.899999999999999</v>
      </c>
      <c r="E42" s="32">
        <v>21.8</v>
      </c>
      <c r="F42" s="32">
        <v>23.7</v>
      </c>
      <c r="G42" s="32">
        <v>27.8</v>
      </c>
      <c r="H42" s="32">
        <v>32.200000000000003</v>
      </c>
      <c r="I42" s="32">
        <v>37</v>
      </c>
      <c r="J42" s="32">
        <v>42.1</v>
      </c>
      <c r="K42" s="32">
        <v>53.3</v>
      </c>
      <c r="L42" s="32">
        <v>65.900000000000006</v>
      </c>
    </row>
    <row r="43" spans="1:12" x14ac:dyDescent="0.3">
      <c r="A43" s="192"/>
      <c r="B43" s="32">
        <v>20</v>
      </c>
      <c r="C43" s="36">
        <v>3</v>
      </c>
      <c r="D43" s="32">
        <v>19.399999999999999</v>
      </c>
      <c r="E43" s="32">
        <v>21.2</v>
      </c>
      <c r="F43" s="32">
        <v>23</v>
      </c>
      <c r="G43" s="32">
        <v>27</v>
      </c>
      <c r="H43" s="32">
        <v>31.4</v>
      </c>
      <c r="I43" s="32">
        <v>36</v>
      </c>
      <c r="J43" s="32">
        <v>41</v>
      </c>
      <c r="K43" s="32">
        <v>51.9</v>
      </c>
      <c r="L43" s="32">
        <v>64</v>
      </c>
    </row>
    <row r="44" spans="1:12" x14ac:dyDescent="0.3">
      <c r="A44" s="192"/>
      <c r="B44" s="32">
        <v>50</v>
      </c>
      <c r="C44" s="36">
        <v>3</v>
      </c>
      <c r="D44" s="32">
        <v>18.600000000000001</v>
      </c>
      <c r="E44" s="32">
        <v>20.399999999999999</v>
      </c>
      <c r="F44" s="32">
        <v>22.2</v>
      </c>
      <c r="G44" s="32">
        <v>26</v>
      </c>
      <c r="H44" s="32">
        <v>30.2</v>
      </c>
      <c r="I44" s="32">
        <v>34.6</v>
      </c>
      <c r="J44" s="32">
        <v>39.4</v>
      </c>
      <c r="K44" s="32">
        <v>49.9</v>
      </c>
      <c r="L44" s="32">
        <v>61.6</v>
      </c>
    </row>
    <row r="45" spans="1:12" x14ac:dyDescent="0.3">
      <c r="A45" s="192"/>
      <c r="B45" s="32">
        <v>100</v>
      </c>
      <c r="C45" s="36">
        <v>3</v>
      </c>
      <c r="D45" s="32">
        <v>18.100000000000001</v>
      </c>
      <c r="E45" s="32">
        <v>19.8</v>
      </c>
      <c r="F45" s="32">
        <v>21.5</v>
      </c>
      <c r="G45" s="32">
        <v>25.2</v>
      </c>
      <c r="H45" s="32">
        <v>29.3</v>
      </c>
      <c r="I45" s="32">
        <v>33.6</v>
      </c>
      <c r="J45" s="32">
        <v>38.200000000000003</v>
      </c>
      <c r="K45" s="32">
        <v>48.4</v>
      </c>
      <c r="L45" s="32">
        <v>59.8</v>
      </c>
    </row>
    <row r="46" spans="1:12" x14ac:dyDescent="0.3">
      <c r="A46" s="33"/>
      <c r="C46" s="1"/>
    </row>
    <row r="47" spans="1:12" x14ac:dyDescent="0.3">
      <c r="A47" s="33"/>
      <c r="C47" s="1"/>
    </row>
    <row r="48" spans="1:12" x14ac:dyDescent="0.3">
      <c r="A48" s="33"/>
      <c r="C48" s="1"/>
    </row>
    <row r="49" spans="1:10" x14ac:dyDescent="0.3">
      <c r="A49" s="33"/>
      <c r="C49" s="1"/>
    </row>
    <row r="50" spans="1:10" ht="15" customHeight="1" x14ac:dyDescent="0.3">
      <c r="A50" t="s">
        <v>30</v>
      </c>
      <c r="B50" s="2"/>
      <c r="C50" t="s">
        <v>31</v>
      </c>
    </row>
    <row r="51" spans="1:10" x14ac:dyDescent="0.3">
      <c r="A51">
        <f>'C&amp;C 7-10 Simplified'!E13</f>
        <v>130</v>
      </c>
      <c r="C51">
        <f>'C&amp;C 7-10 Simplified'!E15</f>
        <v>15</v>
      </c>
    </row>
    <row r="54" spans="1:10" x14ac:dyDescent="0.3">
      <c r="A54" s="2" t="s">
        <v>32</v>
      </c>
      <c r="D54" s="131" t="s">
        <v>65</v>
      </c>
      <c r="E54" s="131"/>
      <c r="G54" s="131" t="s">
        <v>35</v>
      </c>
      <c r="H54" s="131"/>
      <c r="I54" s="131"/>
      <c r="J54" s="131"/>
    </row>
    <row r="55" spans="1:10" x14ac:dyDescent="0.3">
      <c r="A55" s="1">
        <v>4</v>
      </c>
      <c r="B55">
        <f>INDEX(D2:L2,MATCH(C51,B2,1),MATCH(A51,D1:L1,0))</f>
        <v>30.4</v>
      </c>
      <c r="D55" s="1">
        <v>4</v>
      </c>
      <c r="E55">
        <f>INDEX(D2:L2,MATCH(C51,B2,1),MATCH(A51,D1:L1,0))</f>
        <v>30.4</v>
      </c>
      <c r="G55" s="1">
        <v>4</v>
      </c>
      <c r="H55">
        <f>INDEX(D2:L2,MATCH(C51,B2,1),MATCH(A51,D1:L1,0))</f>
        <v>30.4</v>
      </c>
      <c r="I55" s="1"/>
    </row>
    <row r="56" spans="1:10" x14ac:dyDescent="0.3">
      <c r="A56" s="1">
        <v>5</v>
      </c>
      <c r="B56">
        <f>INDEX(D6:L6,MATCH(C51,B6,1),MATCH(A51,D1:L1,0))</f>
        <v>30.4</v>
      </c>
      <c r="D56" s="1">
        <v>5</v>
      </c>
      <c r="E56">
        <f>INDEX(D6:L6,MATCH(C51,B6,1),MATCH(A51,D1:L1,0))</f>
        <v>30.4</v>
      </c>
      <c r="G56" s="1">
        <v>5</v>
      </c>
      <c r="H56">
        <f>INDEX(D6:L6,MATCH(C51,B6,1),MATCH(A51,D1:L1,0))</f>
        <v>30.4</v>
      </c>
      <c r="I56" s="1"/>
    </row>
    <row r="57" spans="1:10" x14ac:dyDescent="0.3">
      <c r="A57" s="1">
        <v>1</v>
      </c>
      <c r="B57">
        <f>INDEX(D10:L10,MATCH(C51,B10,1),MATCH(A51,D1:L1,0))</f>
        <v>12.4</v>
      </c>
      <c r="D57" s="1">
        <v>1</v>
      </c>
      <c r="E57">
        <f>INDEX(D22:L22,MATCH(C51,B22,1),MATCH(A51,D1:L1,0))</f>
        <v>17.5</v>
      </c>
      <c r="G57" s="1">
        <v>1</v>
      </c>
      <c r="H57">
        <f>INDEX(D34:L34,MATCH(C51,B34,1),MATCH(A51,D1:L1,0))</f>
        <v>27.8</v>
      </c>
      <c r="I57" s="1"/>
    </row>
    <row r="58" spans="1:10" x14ac:dyDescent="0.3">
      <c r="A58" s="1">
        <v>2</v>
      </c>
      <c r="B58">
        <f>INDEX(D14:L14,MATCH(C51,B14,1),MATCH(A51,D1:L1,0))</f>
        <v>12.4</v>
      </c>
      <c r="D58" s="1">
        <v>2</v>
      </c>
      <c r="E58">
        <f>INDEX(D26:L26,MATCH(C51,B26,1),MATCH(A51,D1:L1,0))</f>
        <v>17.5</v>
      </c>
      <c r="G58" s="1">
        <v>2</v>
      </c>
      <c r="H58">
        <f>INDEX(D38:L38,MATCH(C51,B38,1),MATCH(A51,D1:L1,0))</f>
        <v>27.8</v>
      </c>
      <c r="I58" s="1"/>
    </row>
    <row r="59" spans="1:10" x14ac:dyDescent="0.3">
      <c r="A59" s="1">
        <v>3</v>
      </c>
      <c r="B59">
        <f>INDEX(D18:L18,MATCH(C51,B18,1),MATCH(A51,D1:L1,0))</f>
        <v>12.4</v>
      </c>
      <c r="D59" s="1">
        <v>3</v>
      </c>
      <c r="E59">
        <f>INDEX(D30:L30,MATCH(C51,B30,1),MATCH(A51,D1:L1,0))</f>
        <v>17.5</v>
      </c>
      <c r="G59" s="1">
        <v>3</v>
      </c>
      <c r="H59">
        <f>INDEX(D42:L42,MATCH(C51,B42,1),MATCH(A51,D1:L1,0))</f>
        <v>27.8</v>
      </c>
      <c r="I59" s="1"/>
    </row>
    <row r="60" spans="1:10" x14ac:dyDescent="0.3">
      <c r="A60" s="33"/>
    </row>
    <row r="61" spans="1:10" x14ac:dyDescent="0.3">
      <c r="A61" s="33"/>
    </row>
    <row r="62" spans="1:10" x14ac:dyDescent="0.3">
      <c r="A62" s="33"/>
      <c r="C62" s="1"/>
    </row>
    <row r="63" spans="1:10" x14ac:dyDescent="0.3">
      <c r="A63" s="33"/>
      <c r="C63" s="1"/>
    </row>
    <row r="64" spans="1:10" x14ac:dyDescent="0.3">
      <c r="A64" s="33"/>
      <c r="C64" s="1"/>
    </row>
    <row r="65" spans="1:3" x14ac:dyDescent="0.3">
      <c r="A65" s="33"/>
      <c r="C65" s="1"/>
    </row>
    <row r="66" spans="1:3" x14ac:dyDescent="0.3">
      <c r="A66" s="33"/>
      <c r="C66" s="1"/>
    </row>
    <row r="67" spans="1:3" x14ac:dyDescent="0.3">
      <c r="A67" s="33"/>
      <c r="C67" s="1"/>
    </row>
    <row r="68" spans="1:3" x14ac:dyDescent="0.3">
      <c r="A68" s="33"/>
      <c r="C68" s="1"/>
    </row>
    <row r="69" spans="1:3" x14ac:dyDescent="0.3">
      <c r="A69" s="33"/>
      <c r="C69" s="1"/>
    </row>
    <row r="70" spans="1:3" x14ac:dyDescent="0.3">
      <c r="A70" s="33"/>
      <c r="C70" s="1"/>
    </row>
    <row r="71" spans="1:3" x14ac:dyDescent="0.3">
      <c r="A71" s="33"/>
      <c r="C71" s="1"/>
    </row>
    <row r="72" spans="1:3" x14ac:dyDescent="0.3">
      <c r="A72" s="33"/>
      <c r="C72" s="1"/>
    </row>
    <row r="73" spans="1:3" x14ac:dyDescent="0.3">
      <c r="A73" s="33"/>
      <c r="C73" s="1"/>
    </row>
    <row r="74" spans="1:3" ht="15" customHeight="1" x14ac:dyDescent="0.3">
      <c r="A74" s="33"/>
      <c r="C74" s="1"/>
    </row>
    <row r="75" spans="1:3" x14ac:dyDescent="0.3">
      <c r="A75" s="33"/>
      <c r="C75" s="1"/>
    </row>
    <row r="76" spans="1:3" x14ac:dyDescent="0.3">
      <c r="A76" s="33"/>
      <c r="C76" s="1"/>
    </row>
    <row r="77" spans="1:3" x14ac:dyDescent="0.3">
      <c r="A77" s="33"/>
      <c r="C77" s="1"/>
    </row>
    <row r="78" spans="1:3" x14ac:dyDescent="0.3">
      <c r="A78" s="33"/>
      <c r="C78" s="1"/>
    </row>
    <row r="79" spans="1:3" x14ac:dyDescent="0.3">
      <c r="A79" s="33"/>
      <c r="C79" s="1"/>
    </row>
    <row r="80" spans="1:3" x14ac:dyDescent="0.3">
      <c r="A80" s="33"/>
      <c r="C80" s="1"/>
    </row>
    <row r="81" spans="1:3" x14ac:dyDescent="0.3">
      <c r="A81" s="33"/>
      <c r="C81" s="1"/>
    </row>
    <row r="82" spans="1:3" x14ac:dyDescent="0.3">
      <c r="A82" s="33"/>
      <c r="C82" s="1"/>
    </row>
    <row r="83" spans="1:3" x14ac:dyDescent="0.3">
      <c r="A83" s="33"/>
      <c r="C83" s="1"/>
    </row>
    <row r="84" spans="1:3" x14ac:dyDescent="0.3">
      <c r="A84" s="33"/>
      <c r="C84" s="1"/>
    </row>
    <row r="85" spans="1:3" x14ac:dyDescent="0.3">
      <c r="A85" s="33"/>
      <c r="C85" s="1"/>
    </row>
    <row r="86" spans="1:3" x14ac:dyDescent="0.3">
      <c r="A86" s="33"/>
      <c r="C86" s="1"/>
    </row>
    <row r="87" spans="1:3" x14ac:dyDescent="0.3">
      <c r="A87" s="33"/>
      <c r="C87" s="1"/>
    </row>
    <row r="88" spans="1:3" x14ac:dyDescent="0.3">
      <c r="A88" s="33"/>
      <c r="C88" s="1"/>
    </row>
    <row r="89" spans="1:3" x14ac:dyDescent="0.3">
      <c r="A89" s="33"/>
      <c r="C89" s="1"/>
    </row>
    <row r="90" spans="1:3" x14ac:dyDescent="0.3">
      <c r="A90" s="33"/>
      <c r="C90" s="1"/>
    </row>
    <row r="91" spans="1:3" x14ac:dyDescent="0.3">
      <c r="A91" s="33"/>
      <c r="C91" s="1"/>
    </row>
    <row r="92" spans="1:3" x14ac:dyDescent="0.3">
      <c r="A92" s="33"/>
      <c r="C92" s="1"/>
    </row>
    <row r="93" spans="1:3" x14ac:dyDescent="0.3">
      <c r="A93" s="33"/>
      <c r="C93" s="1"/>
    </row>
    <row r="94" spans="1:3" x14ac:dyDescent="0.3">
      <c r="A94" s="33"/>
    </row>
    <row r="95" spans="1:3" x14ac:dyDescent="0.3">
      <c r="A95" s="33"/>
    </row>
    <row r="96" spans="1:3" x14ac:dyDescent="0.3">
      <c r="A96" s="33"/>
    </row>
    <row r="97" spans="1:1" x14ac:dyDescent="0.3">
      <c r="A97" s="33"/>
    </row>
  </sheetData>
  <mergeCells count="7">
    <mergeCell ref="I54:J54"/>
    <mergeCell ref="A2:A9"/>
    <mergeCell ref="A10:A21"/>
    <mergeCell ref="A22:A33"/>
    <mergeCell ref="A34:A45"/>
    <mergeCell ref="D54:E54"/>
    <mergeCell ref="G54:H5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7"/>
  <sheetViews>
    <sheetView workbookViewId="0">
      <pane ySplit="1" topLeftCell="A29" activePane="bottomLeft" state="frozen"/>
      <selection pane="bottomLeft"/>
    </sheetView>
  </sheetViews>
  <sheetFormatPr defaultRowHeight="14.4" x14ac:dyDescent="0.3"/>
  <cols>
    <col min="2" max="2" width="10.33203125" customWidth="1"/>
  </cols>
  <sheetData>
    <row r="1" spans="1:12" x14ac:dyDescent="0.3">
      <c r="A1" s="32"/>
      <c r="B1" s="11" t="s">
        <v>28</v>
      </c>
      <c r="C1" s="11" t="s">
        <v>29</v>
      </c>
      <c r="D1" s="11">
        <v>110</v>
      </c>
      <c r="E1" s="32">
        <v>115</v>
      </c>
      <c r="F1" s="11">
        <v>120</v>
      </c>
      <c r="G1" s="11">
        <v>130</v>
      </c>
      <c r="H1" s="11">
        <v>140</v>
      </c>
      <c r="I1" s="11">
        <v>150</v>
      </c>
      <c r="J1" s="11">
        <v>160</v>
      </c>
      <c r="K1" s="11">
        <v>180</v>
      </c>
      <c r="L1" s="11">
        <v>200</v>
      </c>
    </row>
    <row r="2" spans="1:12" x14ac:dyDescent="0.3">
      <c r="A2" s="189" t="s">
        <v>6</v>
      </c>
      <c r="B2" s="32">
        <v>10</v>
      </c>
      <c r="C2" s="36">
        <v>4</v>
      </c>
      <c r="D2" s="32">
        <v>-23.6</v>
      </c>
      <c r="E2" s="32">
        <v>-25.8</v>
      </c>
      <c r="F2" s="32">
        <v>-28.1</v>
      </c>
      <c r="G2" s="32">
        <v>-33</v>
      </c>
      <c r="H2" s="32">
        <v>-38.200000000000003</v>
      </c>
      <c r="I2" s="32">
        <v>-43.9</v>
      </c>
      <c r="J2" s="32">
        <v>-50</v>
      </c>
      <c r="K2" s="32">
        <v>-63.2</v>
      </c>
      <c r="L2" s="32">
        <v>-78.099999999999994</v>
      </c>
    </row>
    <row r="3" spans="1:12" x14ac:dyDescent="0.3">
      <c r="A3" s="189"/>
      <c r="B3" s="32">
        <v>20</v>
      </c>
      <c r="C3" s="36">
        <v>4</v>
      </c>
      <c r="D3" s="32">
        <v>-22.6</v>
      </c>
      <c r="E3" s="32">
        <v>-24.7</v>
      </c>
      <c r="F3" s="32">
        <v>-26.9</v>
      </c>
      <c r="G3" s="32">
        <v>-31.6</v>
      </c>
      <c r="H3" s="32">
        <v>-36.700000000000003</v>
      </c>
      <c r="I3" s="32">
        <v>-42.1</v>
      </c>
      <c r="J3" s="32">
        <v>-47.9</v>
      </c>
      <c r="K3" s="32">
        <v>-60.6</v>
      </c>
      <c r="L3" s="32">
        <v>-74.8</v>
      </c>
    </row>
    <row r="4" spans="1:12" x14ac:dyDescent="0.3">
      <c r="A4" s="189"/>
      <c r="B4" s="32">
        <v>50</v>
      </c>
      <c r="C4" s="36">
        <v>4</v>
      </c>
      <c r="D4" s="32">
        <v>-21.3</v>
      </c>
      <c r="E4" s="32">
        <v>-23.3</v>
      </c>
      <c r="F4" s="32">
        <v>-25.4</v>
      </c>
      <c r="G4" s="32">
        <v>-29.8</v>
      </c>
      <c r="H4" s="32">
        <v>-34.6</v>
      </c>
      <c r="I4" s="32">
        <v>-39.700000000000003</v>
      </c>
      <c r="J4" s="32">
        <v>-45.1</v>
      </c>
      <c r="K4" s="32">
        <v>-57.1</v>
      </c>
      <c r="L4" s="32">
        <v>-70.5</v>
      </c>
    </row>
    <row r="5" spans="1:12" x14ac:dyDescent="0.3">
      <c r="A5" s="189"/>
      <c r="B5" s="32">
        <v>100</v>
      </c>
      <c r="C5" s="36">
        <v>4</v>
      </c>
      <c r="D5" s="32">
        <v>-20.399999999999999</v>
      </c>
      <c r="E5" s="32">
        <v>-22.2</v>
      </c>
      <c r="F5" s="32">
        <v>-24.2</v>
      </c>
      <c r="G5" s="32">
        <v>-28.4</v>
      </c>
      <c r="H5" s="32">
        <v>-33</v>
      </c>
      <c r="I5" s="32">
        <v>-37.799999999999997</v>
      </c>
      <c r="J5" s="32">
        <v>-43.1</v>
      </c>
      <c r="K5" s="32">
        <v>-54.5</v>
      </c>
      <c r="L5" s="32">
        <v>-67.3</v>
      </c>
    </row>
    <row r="6" spans="1:12" x14ac:dyDescent="0.3">
      <c r="A6" s="189"/>
      <c r="B6" s="32">
        <v>10</v>
      </c>
      <c r="C6" s="36">
        <v>5</v>
      </c>
      <c r="D6" s="32">
        <v>-29.1</v>
      </c>
      <c r="E6" s="32">
        <v>-31.9</v>
      </c>
      <c r="F6" s="32">
        <v>-34.700000000000003</v>
      </c>
      <c r="G6" s="32">
        <v>-40.700000000000003</v>
      </c>
      <c r="H6" s="32">
        <v>-47.2</v>
      </c>
      <c r="I6" s="32">
        <v>-54.2</v>
      </c>
      <c r="J6" s="32">
        <v>-61.7</v>
      </c>
      <c r="K6" s="32">
        <v>-78</v>
      </c>
      <c r="L6" s="32">
        <v>-96.3</v>
      </c>
    </row>
    <row r="7" spans="1:12" x14ac:dyDescent="0.3">
      <c r="A7" s="189"/>
      <c r="B7" s="32">
        <v>20</v>
      </c>
      <c r="C7" s="36">
        <v>5</v>
      </c>
      <c r="D7" s="32">
        <v>-27.2</v>
      </c>
      <c r="E7" s="32">
        <v>-29.7</v>
      </c>
      <c r="F7" s="32">
        <v>-32.4</v>
      </c>
      <c r="G7" s="32">
        <v>-38</v>
      </c>
      <c r="H7" s="32">
        <v>-44</v>
      </c>
      <c r="I7" s="32">
        <v>-50.5</v>
      </c>
      <c r="J7" s="32">
        <v>-57.5</v>
      </c>
      <c r="K7" s="32">
        <v>-72.8</v>
      </c>
      <c r="L7" s="32">
        <v>-89.9</v>
      </c>
    </row>
    <row r="8" spans="1:12" x14ac:dyDescent="0.3">
      <c r="A8" s="189"/>
      <c r="B8" s="32">
        <v>50</v>
      </c>
      <c r="C8" s="36">
        <v>5</v>
      </c>
      <c r="D8" s="32">
        <v>-24.6</v>
      </c>
      <c r="E8" s="32">
        <v>-26.9</v>
      </c>
      <c r="F8" s="32">
        <v>-29.3</v>
      </c>
      <c r="G8" s="32">
        <v>-34.299999999999997</v>
      </c>
      <c r="H8" s="32">
        <v>-39.799999999999997</v>
      </c>
      <c r="I8" s="32">
        <v>-45.7</v>
      </c>
      <c r="J8" s="32">
        <v>-52</v>
      </c>
      <c r="K8" s="32">
        <v>-65.8</v>
      </c>
      <c r="L8" s="32">
        <v>-31.3</v>
      </c>
    </row>
    <row r="9" spans="1:12" x14ac:dyDescent="0.3">
      <c r="A9" s="189"/>
      <c r="B9" s="32">
        <v>100</v>
      </c>
      <c r="C9" s="36">
        <v>5</v>
      </c>
      <c r="D9" s="32">
        <v>-22.6</v>
      </c>
      <c r="E9" s="32">
        <v>-24.7</v>
      </c>
      <c r="F9" s="32">
        <v>-26.9</v>
      </c>
      <c r="G9" s="32">
        <v>-31.6</v>
      </c>
      <c r="H9" s="32">
        <v>-36.700000000000003</v>
      </c>
      <c r="I9" s="32">
        <v>-42.1</v>
      </c>
      <c r="J9" s="32">
        <v>-47.9</v>
      </c>
      <c r="K9" s="32">
        <v>-60.6</v>
      </c>
      <c r="L9" s="32">
        <v>-74.8</v>
      </c>
    </row>
    <row r="10" spans="1:12" ht="15" customHeight="1" x14ac:dyDescent="0.3">
      <c r="A10" s="192" t="s">
        <v>7</v>
      </c>
      <c r="B10" s="32">
        <v>10</v>
      </c>
      <c r="C10" s="36">
        <v>1</v>
      </c>
      <c r="D10" s="32">
        <v>-21.8</v>
      </c>
      <c r="E10" s="32">
        <v>-23.8</v>
      </c>
      <c r="F10" s="32">
        <v>-25.9</v>
      </c>
      <c r="G10" s="32">
        <v>-30.4</v>
      </c>
      <c r="H10" s="32">
        <v>-35.299999999999997</v>
      </c>
      <c r="I10" s="32">
        <v>-40.5</v>
      </c>
      <c r="J10" s="32">
        <v>-46.1</v>
      </c>
      <c r="K10" s="32">
        <v>-58.3</v>
      </c>
      <c r="L10" s="32">
        <v>-72</v>
      </c>
    </row>
    <row r="11" spans="1:12" x14ac:dyDescent="0.3">
      <c r="A11" s="192"/>
      <c r="B11" s="32">
        <v>20</v>
      </c>
      <c r="C11" s="36">
        <v>1</v>
      </c>
      <c r="D11" s="32">
        <v>-21.2</v>
      </c>
      <c r="E11" s="32">
        <v>-23.2</v>
      </c>
      <c r="F11" s="32">
        <v>-25.2</v>
      </c>
      <c r="G11" s="32">
        <v>-29.6</v>
      </c>
      <c r="H11" s="32">
        <v>-34.4</v>
      </c>
      <c r="I11" s="32">
        <v>-39.4</v>
      </c>
      <c r="J11" s="32">
        <v>-44.9</v>
      </c>
      <c r="K11" s="32">
        <v>-56.8</v>
      </c>
      <c r="L11" s="32">
        <v>-70.099999999999994</v>
      </c>
    </row>
    <row r="12" spans="1:12" x14ac:dyDescent="0.3">
      <c r="A12" s="192"/>
      <c r="B12" s="32">
        <v>50</v>
      </c>
      <c r="C12" s="36">
        <v>1</v>
      </c>
      <c r="D12" s="32">
        <v>-20.5</v>
      </c>
      <c r="E12" s="32">
        <v>-22.4</v>
      </c>
      <c r="F12" s="32">
        <v>-24.4</v>
      </c>
      <c r="G12" s="32">
        <v>-28.6</v>
      </c>
      <c r="H12" s="32">
        <v>-33.200000000000003</v>
      </c>
      <c r="I12" s="32">
        <v>-38.1</v>
      </c>
      <c r="J12" s="32">
        <v>-43.3</v>
      </c>
      <c r="K12" s="32">
        <v>-54.8</v>
      </c>
      <c r="L12" s="32">
        <v>-67.7</v>
      </c>
    </row>
    <row r="13" spans="1:12" x14ac:dyDescent="0.3">
      <c r="A13" s="192"/>
      <c r="B13" s="32">
        <v>100</v>
      </c>
      <c r="C13" s="36">
        <v>1</v>
      </c>
      <c r="D13" s="32">
        <v>-19.899999999999999</v>
      </c>
      <c r="E13" s="32">
        <v>-21.8</v>
      </c>
      <c r="F13" s="32">
        <v>-23.7</v>
      </c>
      <c r="G13" s="32">
        <v>-27.8</v>
      </c>
      <c r="H13" s="32">
        <v>-32.299999999999997</v>
      </c>
      <c r="I13" s="32">
        <v>-37</v>
      </c>
      <c r="J13" s="32">
        <v>-42.1</v>
      </c>
      <c r="K13" s="32">
        <v>-53.3</v>
      </c>
      <c r="L13" s="32">
        <v>-65.900000000000006</v>
      </c>
    </row>
    <row r="14" spans="1:12" x14ac:dyDescent="0.3">
      <c r="A14" s="192"/>
      <c r="B14" s="32">
        <v>10</v>
      </c>
      <c r="C14" s="36">
        <v>2</v>
      </c>
      <c r="D14" s="32">
        <v>-36.5</v>
      </c>
      <c r="E14" s="32">
        <v>-39.9</v>
      </c>
      <c r="F14" s="32">
        <v>-43.5</v>
      </c>
      <c r="G14" s="32">
        <v>-51</v>
      </c>
      <c r="H14" s="32">
        <v>-59.2</v>
      </c>
      <c r="I14" s="32">
        <v>-67.900000000000006</v>
      </c>
      <c r="J14" s="32">
        <v>-77.3</v>
      </c>
      <c r="K14" s="32">
        <v>-97.8</v>
      </c>
      <c r="L14" s="32">
        <v>-120.7</v>
      </c>
    </row>
    <row r="15" spans="1:12" x14ac:dyDescent="0.3">
      <c r="A15" s="192"/>
      <c r="B15" s="32">
        <v>20</v>
      </c>
      <c r="C15" s="36">
        <v>2</v>
      </c>
      <c r="D15" s="32">
        <v>-32.6</v>
      </c>
      <c r="E15" s="32">
        <v>-25.7</v>
      </c>
      <c r="F15" s="32">
        <v>-38.799999999999997</v>
      </c>
      <c r="G15" s="32">
        <v>-45.6</v>
      </c>
      <c r="H15" s="32">
        <v>-52.9</v>
      </c>
      <c r="I15" s="32">
        <v>-60.7</v>
      </c>
      <c r="J15" s="32">
        <v>-69</v>
      </c>
      <c r="K15" s="32">
        <v>-87.4</v>
      </c>
      <c r="L15" s="32">
        <v>-107.9</v>
      </c>
    </row>
    <row r="16" spans="1:12" x14ac:dyDescent="0.3">
      <c r="A16" s="192"/>
      <c r="B16" s="32">
        <v>50</v>
      </c>
      <c r="C16" s="36">
        <v>2</v>
      </c>
      <c r="D16" s="32">
        <v>-27.5</v>
      </c>
      <c r="E16" s="32">
        <v>-30.1</v>
      </c>
      <c r="F16" s="32">
        <v>-32.700000000000003</v>
      </c>
      <c r="G16" s="32">
        <v>-38.4</v>
      </c>
      <c r="H16" s="32">
        <v>-44.5</v>
      </c>
      <c r="I16" s="32">
        <v>-51.1</v>
      </c>
      <c r="J16" s="32">
        <v>-58.2</v>
      </c>
      <c r="K16" s="32">
        <v>-73.599999999999994</v>
      </c>
      <c r="L16" s="32">
        <v>-90.9</v>
      </c>
    </row>
    <row r="17" spans="1:12" x14ac:dyDescent="0.3">
      <c r="A17" s="192"/>
      <c r="B17" s="32">
        <v>100</v>
      </c>
      <c r="C17" s="36">
        <v>2</v>
      </c>
      <c r="D17" s="32">
        <v>-23.6</v>
      </c>
      <c r="E17" s="32">
        <v>-25.8</v>
      </c>
      <c r="F17" s="32">
        <v>-28.1</v>
      </c>
      <c r="G17" s="32">
        <v>-33</v>
      </c>
      <c r="H17" s="32">
        <v>-38.200000000000003</v>
      </c>
      <c r="I17" s="32">
        <v>-43.9</v>
      </c>
      <c r="J17" s="32">
        <v>-50</v>
      </c>
      <c r="K17" s="32">
        <v>-63.2</v>
      </c>
      <c r="L17" s="32">
        <v>-78.099999999999994</v>
      </c>
    </row>
    <row r="18" spans="1:12" x14ac:dyDescent="0.3">
      <c r="A18" s="192"/>
      <c r="B18" s="32">
        <v>10</v>
      </c>
      <c r="C18" s="36">
        <v>3</v>
      </c>
      <c r="D18" s="32">
        <v>-55</v>
      </c>
      <c r="E18" s="32">
        <v>-60.1</v>
      </c>
      <c r="F18" s="32">
        <v>-65.400000000000006</v>
      </c>
      <c r="G18" s="32">
        <v>-76.8</v>
      </c>
      <c r="H18" s="32">
        <v>-89</v>
      </c>
      <c r="I18" s="32">
        <v>-102.2</v>
      </c>
      <c r="J18" s="32">
        <v>-116.3</v>
      </c>
      <c r="K18" s="32">
        <v>-147.19999999999999</v>
      </c>
      <c r="L18" s="32">
        <v>-181.7</v>
      </c>
    </row>
    <row r="19" spans="1:12" x14ac:dyDescent="0.3">
      <c r="A19" s="192"/>
      <c r="B19" s="32">
        <v>20</v>
      </c>
      <c r="C19" s="36">
        <v>3</v>
      </c>
      <c r="D19" s="32">
        <v>-45.5</v>
      </c>
      <c r="E19" s="32">
        <v>-49.8</v>
      </c>
      <c r="F19" s="32">
        <v>-54.2</v>
      </c>
      <c r="G19" s="32">
        <v>-63.6</v>
      </c>
      <c r="H19" s="32">
        <v>-73.8</v>
      </c>
      <c r="I19" s="32">
        <v>-84.7</v>
      </c>
      <c r="J19" s="32">
        <v>-96.3</v>
      </c>
      <c r="K19" s="32">
        <v>-121.9</v>
      </c>
      <c r="L19" s="32">
        <v>-150.5</v>
      </c>
    </row>
    <row r="20" spans="1:12" x14ac:dyDescent="0.3">
      <c r="A20" s="192"/>
      <c r="B20" s="32">
        <v>50</v>
      </c>
      <c r="C20" s="36">
        <v>3</v>
      </c>
      <c r="D20" s="32">
        <v>-33.1</v>
      </c>
      <c r="E20" s="32">
        <v>-36.1</v>
      </c>
      <c r="F20" s="32">
        <v>-39.299999999999997</v>
      </c>
      <c r="G20" s="32">
        <v>-46.2</v>
      </c>
      <c r="H20" s="32">
        <v>-53.5</v>
      </c>
      <c r="I20" s="32">
        <v>-61.5</v>
      </c>
      <c r="J20" s="32">
        <v>-69.900000000000006</v>
      </c>
      <c r="K20" s="32">
        <v>-88.5</v>
      </c>
      <c r="L20" s="32">
        <v>-109.3</v>
      </c>
    </row>
    <row r="21" spans="1:12" x14ac:dyDescent="0.3">
      <c r="A21" s="192"/>
      <c r="B21" s="32">
        <v>100</v>
      </c>
      <c r="C21" s="36">
        <v>3</v>
      </c>
      <c r="D21" s="32">
        <v>-23.6</v>
      </c>
      <c r="E21" s="32">
        <v>-25.8</v>
      </c>
      <c r="F21" s="32">
        <v>-28.1</v>
      </c>
      <c r="G21" s="32">
        <v>-33</v>
      </c>
      <c r="H21" s="32">
        <v>-38.200000000000003</v>
      </c>
      <c r="I21" s="32">
        <v>-43.9</v>
      </c>
      <c r="J21" s="32">
        <v>-50</v>
      </c>
      <c r="K21" s="32">
        <v>-63.2</v>
      </c>
      <c r="L21" s="32">
        <v>-78.099999999999994</v>
      </c>
    </row>
    <row r="22" spans="1:12" x14ac:dyDescent="0.3">
      <c r="A22" s="192" t="s">
        <v>64</v>
      </c>
      <c r="B22" s="32">
        <v>10</v>
      </c>
      <c r="C22" s="36">
        <v>1</v>
      </c>
      <c r="D22" s="32">
        <v>-19.899999999999999</v>
      </c>
      <c r="E22" s="32">
        <v>-21.8</v>
      </c>
      <c r="F22" s="32">
        <v>-23.7</v>
      </c>
      <c r="G22" s="32">
        <v>-27.8</v>
      </c>
      <c r="H22" s="32">
        <v>-32.299999999999997</v>
      </c>
      <c r="I22" s="32">
        <v>-37</v>
      </c>
      <c r="J22" s="32">
        <v>-42.1</v>
      </c>
      <c r="K22" s="32">
        <v>-53.3</v>
      </c>
      <c r="L22" s="32">
        <v>-65.900000000000006</v>
      </c>
    </row>
    <row r="23" spans="1:12" x14ac:dyDescent="0.3">
      <c r="A23" s="192"/>
      <c r="B23" s="32">
        <v>20</v>
      </c>
      <c r="C23" s="36">
        <v>1</v>
      </c>
      <c r="D23" s="32">
        <v>-19.399999999999999</v>
      </c>
      <c r="E23" s="32">
        <v>-21.2</v>
      </c>
      <c r="F23" s="32">
        <v>-23</v>
      </c>
      <c r="G23" s="32">
        <v>-27</v>
      </c>
      <c r="H23" s="32">
        <v>-31.4</v>
      </c>
      <c r="I23" s="32">
        <v>-36</v>
      </c>
      <c r="J23" s="32">
        <v>-41</v>
      </c>
      <c r="K23" s="32">
        <v>-51.9</v>
      </c>
      <c r="L23" s="32">
        <v>-64</v>
      </c>
    </row>
    <row r="24" spans="1:12" x14ac:dyDescent="0.3">
      <c r="A24" s="192"/>
      <c r="B24" s="32">
        <v>50</v>
      </c>
      <c r="C24" s="36">
        <v>1</v>
      </c>
      <c r="D24" s="32">
        <v>-18.600000000000001</v>
      </c>
      <c r="E24" s="32">
        <v>-20.399999999999999</v>
      </c>
      <c r="F24" s="32">
        <v>-22.2</v>
      </c>
      <c r="G24" s="32">
        <v>-26</v>
      </c>
      <c r="H24" s="32">
        <v>-30.2</v>
      </c>
      <c r="I24" s="32">
        <v>-34.6</v>
      </c>
      <c r="J24" s="32">
        <v>-39.4</v>
      </c>
      <c r="K24" s="32">
        <v>-49.9</v>
      </c>
      <c r="L24" s="32">
        <v>-61.6</v>
      </c>
    </row>
    <row r="25" spans="1:12" x14ac:dyDescent="0.3">
      <c r="A25" s="192"/>
      <c r="B25" s="32">
        <v>100</v>
      </c>
      <c r="C25" s="36">
        <v>1</v>
      </c>
      <c r="D25" s="32">
        <v>-18.100000000000001</v>
      </c>
      <c r="E25" s="32">
        <v>-19.8</v>
      </c>
      <c r="F25" s="32">
        <v>-21.5</v>
      </c>
      <c r="G25" s="32">
        <v>-25.2</v>
      </c>
      <c r="H25" s="32">
        <v>-29.3</v>
      </c>
      <c r="I25" s="32">
        <v>-33.6</v>
      </c>
      <c r="J25" s="32">
        <v>-38.200000000000003</v>
      </c>
      <c r="K25" s="32">
        <v>-48.4</v>
      </c>
      <c r="L25" s="32">
        <v>-59.8</v>
      </c>
    </row>
    <row r="26" spans="1:12" ht="15" customHeight="1" x14ac:dyDescent="0.3">
      <c r="A26" s="192"/>
      <c r="B26" s="32">
        <v>10</v>
      </c>
      <c r="C26" s="36">
        <v>2</v>
      </c>
      <c r="D26" s="32">
        <v>-34.700000000000003</v>
      </c>
      <c r="E26" s="32">
        <v>-37.9</v>
      </c>
      <c r="F26" s="32">
        <v>-41.3</v>
      </c>
      <c r="G26" s="32">
        <v>-48.4</v>
      </c>
      <c r="H26" s="32">
        <v>-56.2</v>
      </c>
      <c r="I26" s="32">
        <v>-64.5</v>
      </c>
      <c r="J26" s="32">
        <v>-73.400000000000006</v>
      </c>
      <c r="K26" s="32">
        <v>-92.9</v>
      </c>
      <c r="L26" s="32">
        <v>-114.6</v>
      </c>
    </row>
    <row r="27" spans="1:12" x14ac:dyDescent="0.3">
      <c r="A27" s="192"/>
      <c r="B27" s="32">
        <v>20</v>
      </c>
      <c r="C27" s="36">
        <v>2</v>
      </c>
      <c r="D27" s="32">
        <v>-31.9</v>
      </c>
      <c r="E27" s="32">
        <v>-34.9</v>
      </c>
      <c r="F27" s="32">
        <v>-38</v>
      </c>
      <c r="G27" s="32">
        <v>-44.6</v>
      </c>
      <c r="H27" s="32">
        <v>-51.7</v>
      </c>
      <c r="I27" s="32">
        <v>-59.3</v>
      </c>
      <c r="J27" s="32">
        <v>-67.5</v>
      </c>
      <c r="K27" s="32">
        <v>-85.4</v>
      </c>
      <c r="L27" s="32">
        <v>-105.5</v>
      </c>
    </row>
    <row r="28" spans="1:12" x14ac:dyDescent="0.3">
      <c r="A28" s="192"/>
      <c r="B28" s="32">
        <v>50</v>
      </c>
      <c r="C28" s="36">
        <v>2</v>
      </c>
      <c r="D28" s="32">
        <v>-28.2</v>
      </c>
      <c r="E28" s="32">
        <v>-30.9</v>
      </c>
      <c r="F28" s="32">
        <v>-33.6</v>
      </c>
      <c r="G28" s="32">
        <v>-39.4</v>
      </c>
      <c r="H28" s="32">
        <v>-45.7</v>
      </c>
      <c r="I28" s="32">
        <v>-52.5</v>
      </c>
      <c r="J28" s="32">
        <v>-59.7</v>
      </c>
      <c r="K28" s="32">
        <v>-75.599999999999994</v>
      </c>
      <c r="L28" s="32">
        <v>-93.3</v>
      </c>
    </row>
    <row r="29" spans="1:12" x14ac:dyDescent="0.3">
      <c r="A29" s="192"/>
      <c r="B29" s="32">
        <v>100</v>
      </c>
      <c r="C29" s="36">
        <v>2</v>
      </c>
      <c r="D29" s="32">
        <v>-25.5</v>
      </c>
      <c r="E29" s="32">
        <v>-27.8</v>
      </c>
      <c r="F29" s="32">
        <v>-30.3</v>
      </c>
      <c r="G29" s="32">
        <v>-35.6</v>
      </c>
      <c r="H29" s="32">
        <v>-41.2</v>
      </c>
      <c r="I29" s="32">
        <v>-47.3</v>
      </c>
      <c r="J29" s="32">
        <v>-53.9</v>
      </c>
      <c r="K29" s="32">
        <v>-68.2</v>
      </c>
      <c r="L29" s="32">
        <v>-84.2</v>
      </c>
    </row>
    <row r="30" spans="1:12" x14ac:dyDescent="0.3">
      <c r="A30" s="192"/>
      <c r="B30" s="32">
        <v>10</v>
      </c>
      <c r="C30" s="36">
        <v>3</v>
      </c>
      <c r="D30" s="32">
        <v>-51.3</v>
      </c>
      <c r="E30" s="32">
        <v>-56</v>
      </c>
      <c r="F30" s="32">
        <v>-61</v>
      </c>
      <c r="G30" s="32">
        <v>-71.599999999999994</v>
      </c>
      <c r="H30" s="32">
        <v>-83.1</v>
      </c>
      <c r="I30" s="32">
        <v>-95.4</v>
      </c>
      <c r="J30" s="32">
        <v>-108.5</v>
      </c>
      <c r="K30" s="32">
        <v>-137.30000000000001</v>
      </c>
      <c r="L30" s="32">
        <v>-169.5</v>
      </c>
    </row>
    <row r="31" spans="1:12" x14ac:dyDescent="0.3">
      <c r="A31" s="192"/>
      <c r="B31" s="32">
        <v>20</v>
      </c>
      <c r="C31" s="36">
        <v>3</v>
      </c>
      <c r="D31" s="32">
        <v>-47.9</v>
      </c>
      <c r="E31" s="32">
        <v>-52.4</v>
      </c>
      <c r="F31" s="32">
        <v>-57.1</v>
      </c>
      <c r="G31" s="32">
        <v>-67</v>
      </c>
      <c r="H31" s="32">
        <v>-77.7</v>
      </c>
      <c r="I31" s="32">
        <v>-89.2</v>
      </c>
      <c r="J31" s="32">
        <v>-101.4</v>
      </c>
      <c r="K31" s="32">
        <v>-128.4</v>
      </c>
      <c r="L31" s="32">
        <v>-158.5</v>
      </c>
    </row>
    <row r="32" spans="1:12" x14ac:dyDescent="0.3">
      <c r="A32" s="192"/>
      <c r="B32" s="32">
        <v>50</v>
      </c>
      <c r="C32" s="36">
        <v>3</v>
      </c>
      <c r="D32" s="32">
        <v>-43.5</v>
      </c>
      <c r="E32" s="32">
        <v>-47.6</v>
      </c>
      <c r="F32" s="32">
        <v>-51.8</v>
      </c>
      <c r="G32" s="32">
        <v>-60.8</v>
      </c>
      <c r="H32" s="32">
        <v>-70.5</v>
      </c>
      <c r="I32" s="32">
        <v>-81</v>
      </c>
      <c r="J32" s="32">
        <v>-92.1</v>
      </c>
      <c r="K32" s="32">
        <v>-116.6</v>
      </c>
      <c r="L32" s="32">
        <v>-143.9</v>
      </c>
    </row>
    <row r="33" spans="1:12" x14ac:dyDescent="0.3">
      <c r="A33" s="192"/>
      <c r="B33" s="32">
        <v>100</v>
      </c>
      <c r="C33" s="36">
        <v>3</v>
      </c>
      <c r="D33" s="32">
        <v>-40.200000000000003</v>
      </c>
      <c r="E33" s="32">
        <v>-44</v>
      </c>
      <c r="F33" s="32">
        <v>-47.9</v>
      </c>
      <c r="G33" s="32">
        <v>-56.2</v>
      </c>
      <c r="H33" s="32">
        <v>-65.099999999999994</v>
      </c>
      <c r="I33" s="32">
        <v>-74.8</v>
      </c>
      <c r="J33" s="32">
        <v>-85.1</v>
      </c>
      <c r="K33" s="32">
        <v>-107.7</v>
      </c>
      <c r="L33" s="32">
        <v>-132.9</v>
      </c>
    </row>
    <row r="34" spans="1:12" x14ac:dyDescent="0.3">
      <c r="A34" s="192" t="s">
        <v>10</v>
      </c>
      <c r="B34" s="32">
        <v>10</v>
      </c>
      <c r="C34" s="36">
        <v>1</v>
      </c>
      <c r="D34" s="32">
        <v>-21.8</v>
      </c>
      <c r="E34" s="32">
        <v>-23.8</v>
      </c>
      <c r="F34" s="32">
        <v>-25.9</v>
      </c>
      <c r="G34" s="32">
        <v>-30.4</v>
      </c>
      <c r="H34" s="32">
        <v>-35.299999999999997</v>
      </c>
      <c r="I34" s="32">
        <v>-40.5</v>
      </c>
      <c r="J34" s="32">
        <v>-46.1</v>
      </c>
      <c r="K34" s="32">
        <v>-58.3</v>
      </c>
      <c r="L34" s="32">
        <v>-72</v>
      </c>
    </row>
    <row r="35" spans="1:12" x14ac:dyDescent="0.3">
      <c r="A35" s="192"/>
      <c r="B35" s="32">
        <v>20</v>
      </c>
      <c r="C35" s="36">
        <v>1</v>
      </c>
      <c r="D35" s="32">
        <v>-20.7</v>
      </c>
      <c r="E35" s="32">
        <v>-22.6</v>
      </c>
      <c r="F35" s="32">
        <v>-24.6</v>
      </c>
      <c r="G35" s="32">
        <v>-28.9</v>
      </c>
      <c r="H35" s="32">
        <v>-33.5</v>
      </c>
      <c r="I35" s="32">
        <v>-38.4</v>
      </c>
      <c r="J35" s="32">
        <v>-43.7</v>
      </c>
      <c r="K35" s="32">
        <v>-55.3</v>
      </c>
      <c r="L35" s="32">
        <v>-68.3</v>
      </c>
    </row>
    <row r="36" spans="1:12" x14ac:dyDescent="0.3">
      <c r="A36" s="192"/>
      <c r="B36" s="32">
        <v>50</v>
      </c>
      <c r="C36" s="36">
        <v>1</v>
      </c>
      <c r="D36" s="32">
        <v>-19.2</v>
      </c>
      <c r="E36" s="32">
        <v>-21</v>
      </c>
      <c r="F36" s="32">
        <v>-22.8</v>
      </c>
      <c r="G36" s="32">
        <v>-26.8</v>
      </c>
      <c r="H36" s="32">
        <v>-31.1</v>
      </c>
      <c r="I36" s="32">
        <v>-35.700000000000003</v>
      </c>
      <c r="J36" s="32">
        <v>-40.6</v>
      </c>
      <c r="K36" s="32">
        <v>-51.4</v>
      </c>
      <c r="L36" s="32">
        <v>-63.4</v>
      </c>
    </row>
    <row r="37" spans="1:12" x14ac:dyDescent="0.3">
      <c r="A37" s="192"/>
      <c r="B37" s="32">
        <v>100</v>
      </c>
      <c r="C37" s="36">
        <v>1</v>
      </c>
      <c r="D37" s="32">
        <v>-18.100000000000001</v>
      </c>
      <c r="E37" s="32">
        <v>-19.8</v>
      </c>
      <c r="F37" s="32">
        <v>-21.5</v>
      </c>
      <c r="G37" s="32">
        <v>-25.2</v>
      </c>
      <c r="H37" s="32">
        <v>-29.3</v>
      </c>
      <c r="I37" s="32">
        <v>-33.6</v>
      </c>
      <c r="J37" s="32">
        <v>-38.200000000000003</v>
      </c>
      <c r="K37" s="32">
        <v>-48.4</v>
      </c>
      <c r="L37" s="32">
        <v>-59.8</v>
      </c>
    </row>
    <row r="38" spans="1:12" x14ac:dyDescent="0.3">
      <c r="A38" s="192"/>
      <c r="B38" s="32">
        <v>10</v>
      </c>
      <c r="C38" s="36">
        <v>2</v>
      </c>
      <c r="D38" s="32">
        <v>-25.5</v>
      </c>
      <c r="E38" s="32">
        <v>-27.8</v>
      </c>
      <c r="F38" s="32">
        <v>-30.3</v>
      </c>
      <c r="G38" s="32">
        <v>-35.6</v>
      </c>
      <c r="H38" s="32">
        <v>-51.2</v>
      </c>
      <c r="I38" s="32">
        <v>-47.3</v>
      </c>
      <c r="J38" s="32">
        <v>-53.9</v>
      </c>
      <c r="K38" s="32">
        <v>-68.2</v>
      </c>
      <c r="L38" s="32">
        <v>-84.2</v>
      </c>
    </row>
    <row r="39" spans="1:12" x14ac:dyDescent="0.3">
      <c r="A39" s="192"/>
      <c r="B39" s="32">
        <v>20</v>
      </c>
      <c r="C39" s="36">
        <v>2</v>
      </c>
      <c r="D39" s="32">
        <v>-24.3</v>
      </c>
      <c r="E39" s="32">
        <v>-26.6</v>
      </c>
      <c r="F39" s="32">
        <v>-29</v>
      </c>
      <c r="G39" s="32">
        <v>-34</v>
      </c>
      <c r="H39" s="32">
        <v>-39.4</v>
      </c>
      <c r="I39" s="32">
        <v>-45.3</v>
      </c>
      <c r="J39" s="32">
        <v>-51.5</v>
      </c>
      <c r="K39" s="32">
        <v>-65.2</v>
      </c>
      <c r="L39" s="32">
        <v>-80.5</v>
      </c>
    </row>
    <row r="40" spans="1:12" x14ac:dyDescent="0.3">
      <c r="A40" s="192"/>
      <c r="B40" s="32">
        <v>50</v>
      </c>
      <c r="C40" s="36">
        <v>2</v>
      </c>
      <c r="D40" s="32">
        <v>-22.9</v>
      </c>
      <c r="E40" s="32">
        <v>-25</v>
      </c>
      <c r="F40" s="32">
        <v>-27.2</v>
      </c>
      <c r="G40" s="32">
        <v>-32</v>
      </c>
      <c r="H40" s="32">
        <v>-37.1</v>
      </c>
      <c r="I40" s="32">
        <v>-42.5</v>
      </c>
      <c r="J40" s="32">
        <v>-48.4</v>
      </c>
      <c r="K40" s="32">
        <v>-61.3</v>
      </c>
      <c r="L40" s="32">
        <v>-75.599999999999994</v>
      </c>
    </row>
    <row r="41" spans="1:12" x14ac:dyDescent="0.3">
      <c r="A41" s="192"/>
      <c r="B41" s="32">
        <v>100</v>
      </c>
      <c r="C41" s="36">
        <v>2</v>
      </c>
      <c r="D41" s="32">
        <v>-21.8</v>
      </c>
      <c r="E41" s="32">
        <v>-23.8</v>
      </c>
      <c r="F41" s="32">
        <v>-25.9</v>
      </c>
      <c r="G41" s="32">
        <v>-30.4</v>
      </c>
      <c r="H41" s="32">
        <v>-35.299999999999997</v>
      </c>
      <c r="I41" s="32">
        <v>-40.5</v>
      </c>
      <c r="J41" s="32">
        <v>-46.1</v>
      </c>
      <c r="K41" s="32">
        <v>-58.3</v>
      </c>
      <c r="L41" s="32">
        <v>-72</v>
      </c>
    </row>
    <row r="42" spans="1:12" x14ac:dyDescent="0.3">
      <c r="A42" s="192"/>
      <c r="B42" s="32">
        <v>10</v>
      </c>
      <c r="C42" s="36">
        <v>3</v>
      </c>
      <c r="D42" s="32">
        <v>-25.5</v>
      </c>
      <c r="E42" s="32">
        <v>-27.8</v>
      </c>
      <c r="F42" s="32">
        <v>-30.3</v>
      </c>
      <c r="G42" s="32">
        <v>-35.6</v>
      </c>
      <c r="H42" s="32">
        <v>-41.2</v>
      </c>
      <c r="I42" s="32">
        <v>-47.3</v>
      </c>
      <c r="J42" s="32">
        <v>-53.9</v>
      </c>
      <c r="K42" s="32">
        <v>-68.2</v>
      </c>
      <c r="L42" s="32">
        <v>-84.2</v>
      </c>
    </row>
    <row r="43" spans="1:12" x14ac:dyDescent="0.3">
      <c r="A43" s="192"/>
      <c r="B43" s="32">
        <v>20</v>
      </c>
      <c r="C43" s="36">
        <v>3</v>
      </c>
      <c r="D43" s="32">
        <v>-24.3</v>
      </c>
      <c r="E43" s="32">
        <v>-26.6</v>
      </c>
      <c r="F43" s="32">
        <v>-29</v>
      </c>
      <c r="G43" s="32">
        <v>-34</v>
      </c>
      <c r="H43" s="32">
        <v>-39.4</v>
      </c>
      <c r="I43" s="32">
        <v>-45.3</v>
      </c>
      <c r="J43" s="32">
        <v>-51.5</v>
      </c>
      <c r="K43" s="32">
        <v>-65.2</v>
      </c>
      <c r="L43" s="32">
        <v>-80.5</v>
      </c>
    </row>
    <row r="44" spans="1:12" x14ac:dyDescent="0.3">
      <c r="A44" s="192"/>
      <c r="B44" s="32">
        <v>50</v>
      </c>
      <c r="C44" s="36">
        <v>3</v>
      </c>
      <c r="D44" s="32">
        <v>-22.9</v>
      </c>
      <c r="E44" s="32">
        <v>-25</v>
      </c>
      <c r="F44" s="32">
        <v>-27.2</v>
      </c>
      <c r="G44" s="32">
        <v>-32</v>
      </c>
      <c r="H44" s="32">
        <v>-37.1</v>
      </c>
      <c r="I44" s="32">
        <v>-42.5</v>
      </c>
      <c r="J44" s="32">
        <v>-48.4</v>
      </c>
      <c r="K44" s="32">
        <v>-61.3</v>
      </c>
      <c r="L44" s="32">
        <v>-75.599999999999994</v>
      </c>
    </row>
    <row r="45" spans="1:12" x14ac:dyDescent="0.3">
      <c r="A45" s="192"/>
      <c r="B45" s="32">
        <v>100</v>
      </c>
      <c r="C45" s="36">
        <v>3</v>
      </c>
      <c r="D45" s="32">
        <v>-21.8</v>
      </c>
      <c r="E45" s="32">
        <v>-23.8</v>
      </c>
      <c r="F45" s="32">
        <v>-25.9</v>
      </c>
      <c r="G45" s="32">
        <v>-30.4</v>
      </c>
      <c r="H45" s="32">
        <v>-35.299999999999997</v>
      </c>
      <c r="I45" s="32">
        <v>-40.5</v>
      </c>
      <c r="J45" s="32">
        <v>-46.1</v>
      </c>
      <c r="K45" s="32">
        <v>-58.3</v>
      </c>
      <c r="L45" s="32">
        <v>-72</v>
      </c>
    </row>
    <row r="46" spans="1:12" x14ac:dyDescent="0.3">
      <c r="A46" s="33"/>
      <c r="C46" s="1"/>
    </row>
    <row r="47" spans="1:12" x14ac:dyDescent="0.3">
      <c r="A47" s="33"/>
      <c r="C47" s="1"/>
    </row>
    <row r="48" spans="1:12" x14ac:dyDescent="0.3">
      <c r="A48" s="33"/>
      <c r="C48" s="1"/>
    </row>
    <row r="49" spans="1:10" x14ac:dyDescent="0.3">
      <c r="A49" s="33"/>
      <c r="C49" s="1"/>
    </row>
    <row r="50" spans="1:10" ht="15" customHeight="1" x14ac:dyDescent="0.3">
      <c r="A50" t="s">
        <v>30</v>
      </c>
      <c r="B50" s="2"/>
      <c r="C50" t="s">
        <v>31</v>
      </c>
    </row>
    <row r="51" spans="1:10" x14ac:dyDescent="0.3">
      <c r="A51">
        <f>'C&amp;C 7-10 Simplified'!E13</f>
        <v>130</v>
      </c>
      <c r="C51">
        <f>'C&amp;C 7-10 Simplified'!E15</f>
        <v>15</v>
      </c>
    </row>
    <row r="54" spans="1:10" x14ac:dyDescent="0.3">
      <c r="A54" s="2" t="s">
        <v>32</v>
      </c>
      <c r="D54" s="131" t="s">
        <v>65</v>
      </c>
      <c r="E54" s="131"/>
      <c r="G54" s="131" t="s">
        <v>35</v>
      </c>
      <c r="H54" s="131"/>
      <c r="I54" s="131"/>
      <c r="J54" s="131"/>
    </row>
    <row r="55" spans="1:10" x14ac:dyDescent="0.3">
      <c r="A55" s="1">
        <v>4</v>
      </c>
      <c r="B55">
        <f>INDEX(D2:L2,MATCH(C51,B2,1),MATCH(A51,D1:L1,0))</f>
        <v>-33</v>
      </c>
      <c r="D55" s="1">
        <v>4</v>
      </c>
      <c r="E55">
        <f>INDEX(D2:L2,MATCH(C51,B2,1),MATCH(A51,D1:L1,0))</f>
        <v>-33</v>
      </c>
      <c r="G55" s="1">
        <v>4</v>
      </c>
      <c r="H55">
        <f>INDEX(D2:L2,MATCH(C51,B2,1),MATCH(A51,D1:L1,0))</f>
        <v>-33</v>
      </c>
      <c r="I55" s="1"/>
    </row>
    <row r="56" spans="1:10" x14ac:dyDescent="0.3">
      <c r="A56" s="1">
        <v>5</v>
      </c>
      <c r="B56">
        <f>INDEX(D6:L6,MATCH(C51,B6,1),MATCH(A51,D1:L1,0))</f>
        <v>-40.700000000000003</v>
      </c>
      <c r="D56" s="1">
        <v>5</v>
      </c>
      <c r="E56">
        <f>INDEX(D6:L6,MATCH(C51,B6,1),MATCH(A51,D1:L1,0))</f>
        <v>-40.700000000000003</v>
      </c>
      <c r="G56" s="1">
        <v>5</v>
      </c>
      <c r="H56">
        <f>INDEX(D6:L6,MATCH(C51,B6,1),MATCH(A51,D1:L1,0))</f>
        <v>-40.700000000000003</v>
      </c>
      <c r="I56" s="1"/>
    </row>
    <row r="57" spans="1:10" x14ac:dyDescent="0.3">
      <c r="A57" s="1">
        <v>1</v>
      </c>
      <c r="B57">
        <f>INDEX(D10:L10,MATCH(C51,B10,1),MATCH(A51,D1:L1,0))</f>
        <v>-30.4</v>
      </c>
      <c r="D57" s="1">
        <v>1</v>
      </c>
      <c r="E57">
        <f>INDEX(D22:L22,MATCH(C51,B22,1),MATCH(A51,D1:L1,0))</f>
        <v>-27.8</v>
      </c>
      <c r="G57" s="1">
        <v>1</v>
      </c>
      <c r="H57">
        <f>INDEX(D34:L34,MATCH(C51,B34,1),MATCH(A51,D1:L1,0))</f>
        <v>-30.4</v>
      </c>
      <c r="I57" s="1"/>
    </row>
    <row r="58" spans="1:10" x14ac:dyDescent="0.3">
      <c r="A58" s="1">
        <v>2</v>
      </c>
      <c r="B58">
        <f>INDEX(D14:L14,MATCH(C51,B14,1),MATCH(A51,D1:L1,0))</f>
        <v>-51</v>
      </c>
      <c r="D58" s="1">
        <v>2</v>
      </c>
      <c r="E58">
        <f>INDEX(D26:L26,MATCH(C51,B26,1),MATCH(A51,D1:L1,0))</f>
        <v>-48.4</v>
      </c>
      <c r="G58" s="1">
        <v>2</v>
      </c>
      <c r="H58">
        <f>INDEX(D38:L38,MATCH(C51,B38,1),MATCH(A51,D1:L1,0))</f>
        <v>-35.6</v>
      </c>
      <c r="I58" s="1"/>
    </row>
    <row r="59" spans="1:10" x14ac:dyDescent="0.3">
      <c r="A59" s="1">
        <v>3</v>
      </c>
      <c r="B59">
        <f>INDEX(D18:L18,MATCH(C51,B18,1),MATCH(A51,D1:L1,0))</f>
        <v>-76.8</v>
      </c>
      <c r="D59" s="1">
        <v>3</v>
      </c>
      <c r="E59">
        <f>INDEX(D30:L30,MATCH(C51,B30,1),MATCH(A51,D1:L1,0))</f>
        <v>-71.599999999999994</v>
      </c>
      <c r="G59" s="1">
        <v>3</v>
      </c>
      <c r="H59">
        <f>INDEX(D42:L42,MATCH(C51,B42,1),MATCH(A51,D1:L1,0))</f>
        <v>-35.6</v>
      </c>
      <c r="I59" s="1"/>
    </row>
    <row r="60" spans="1:10" x14ac:dyDescent="0.3">
      <c r="A60" s="33"/>
    </row>
    <row r="61" spans="1:10" x14ac:dyDescent="0.3">
      <c r="A61" s="33"/>
    </row>
    <row r="62" spans="1:10" x14ac:dyDescent="0.3">
      <c r="A62" s="33"/>
      <c r="C62" s="1"/>
    </row>
    <row r="63" spans="1:10" x14ac:dyDescent="0.3">
      <c r="A63" s="33"/>
      <c r="C63" s="1"/>
    </row>
    <row r="64" spans="1:10" x14ac:dyDescent="0.3">
      <c r="A64" s="33"/>
      <c r="C64" s="1"/>
    </row>
    <row r="65" spans="1:3" x14ac:dyDescent="0.3">
      <c r="A65" s="33"/>
      <c r="C65" s="1"/>
    </row>
    <row r="66" spans="1:3" x14ac:dyDescent="0.3">
      <c r="A66" s="33"/>
      <c r="C66" s="1"/>
    </row>
    <row r="67" spans="1:3" x14ac:dyDescent="0.3">
      <c r="A67" s="33"/>
      <c r="C67" s="1"/>
    </row>
    <row r="68" spans="1:3" x14ac:dyDescent="0.3">
      <c r="A68" s="33"/>
      <c r="C68" s="1"/>
    </row>
    <row r="69" spans="1:3" x14ac:dyDescent="0.3">
      <c r="A69" s="33"/>
      <c r="C69" s="1"/>
    </row>
    <row r="70" spans="1:3" x14ac:dyDescent="0.3">
      <c r="A70" s="33"/>
      <c r="C70" s="1"/>
    </row>
    <row r="71" spans="1:3" x14ac:dyDescent="0.3">
      <c r="A71" s="33"/>
      <c r="C71" s="1"/>
    </row>
    <row r="72" spans="1:3" x14ac:dyDescent="0.3">
      <c r="A72" s="33"/>
      <c r="C72" s="1"/>
    </row>
    <row r="73" spans="1:3" x14ac:dyDescent="0.3">
      <c r="A73" s="33"/>
      <c r="C73" s="1"/>
    </row>
    <row r="74" spans="1:3" ht="15" customHeight="1" x14ac:dyDescent="0.3">
      <c r="A74" s="33"/>
      <c r="C74" s="1"/>
    </row>
    <row r="75" spans="1:3" x14ac:dyDescent="0.3">
      <c r="A75" s="33"/>
      <c r="C75" s="1"/>
    </row>
    <row r="76" spans="1:3" x14ac:dyDescent="0.3">
      <c r="A76" s="33"/>
      <c r="C76" s="1"/>
    </row>
    <row r="77" spans="1:3" x14ac:dyDescent="0.3">
      <c r="A77" s="33"/>
      <c r="C77" s="1"/>
    </row>
    <row r="78" spans="1:3" x14ac:dyDescent="0.3">
      <c r="A78" s="33"/>
      <c r="C78" s="1"/>
    </row>
    <row r="79" spans="1:3" x14ac:dyDescent="0.3">
      <c r="A79" s="33"/>
      <c r="C79" s="1"/>
    </row>
    <row r="80" spans="1:3" x14ac:dyDescent="0.3">
      <c r="A80" s="33"/>
      <c r="C80" s="1"/>
    </row>
    <row r="81" spans="1:3" x14ac:dyDescent="0.3">
      <c r="A81" s="33"/>
      <c r="C81" s="1"/>
    </row>
    <row r="82" spans="1:3" x14ac:dyDescent="0.3">
      <c r="A82" s="33"/>
      <c r="C82" s="1"/>
    </row>
    <row r="83" spans="1:3" x14ac:dyDescent="0.3">
      <c r="A83" s="33"/>
      <c r="C83" s="1"/>
    </row>
    <row r="84" spans="1:3" x14ac:dyDescent="0.3">
      <c r="A84" s="33"/>
      <c r="C84" s="1"/>
    </row>
    <row r="85" spans="1:3" x14ac:dyDescent="0.3">
      <c r="A85" s="33"/>
      <c r="C85" s="1"/>
    </row>
    <row r="86" spans="1:3" x14ac:dyDescent="0.3">
      <c r="A86" s="33"/>
      <c r="C86" s="1"/>
    </row>
    <row r="87" spans="1:3" x14ac:dyDescent="0.3">
      <c r="A87" s="33"/>
      <c r="C87" s="1"/>
    </row>
    <row r="88" spans="1:3" x14ac:dyDescent="0.3">
      <c r="A88" s="33"/>
      <c r="C88" s="1"/>
    </row>
    <row r="89" spans="1:3" x14ac:dyDescent="0.3">
      <c r="A89" s="33"/>
      <c r="C89" s="1"/>
    </row>
    <row r="90" spans="1:3" x14ac:dyDescent="0.3">
      <c r="A90" s="33"/>
      <c r="C90" s="1"/>
    </row>
    <row r="91" spans="1:3" x14ac:dyDescent="0.3">
      <c r="A91" s="33"/>
      <c r="C91" s="1"/>
    </row>
    <row r="92" spans="1:3" x14ac:dyDescent="0.3">
      <c r="A92" s="33"/>
      <c r="C92" s="1"/>
    </row>
    <row r="93" spans="1:3" x14ac:dyDescent="0.3">
      <c r="A93" s="33"/>
      <c r="C93" s="1"/>
    </row>
    <row r="94" spans="1:3" x14ac:dyDescent="0.3">
      <c r="A94" s="33"/>
    </row>
    <row r="95" spans="1:3" x14ac:dyDescent="0.3">
      <c r="A95" s="33"/>
    </row>
    <row r="96" spans="1:3" x14ac:dyDescent="0.3">
      <c r="A96" s="33"/>
    </row>
    <row r="97" spans="1:1" x14ac:dyDescent="0.3">
      <c r="A97" s="33"/>
    </row>
  </sheetData>
  <mergeCells count="7">
    <mergeCell ref="I54:J54"/>
    <mergeCell ref="A2:A9"/>
    <mergeCell ref="A10:A21"/>
    <mergeCell ref="A22:A33"/>
    <mergeCell ref="A34:A45"/>
    <mergeCell ref="D54:E54"/>
    <mergeCell ref="G54:H5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10.33203125" customWidth="1"/>
  </cols>
  <sheetData>
    <row r="1" spans="1:11" x14ac:dyDescent="0.3">
      <c r="A1" s="32"/>
      <c r="B1" s="11" t="s">
        <v>28</v>
      </c>
      <c r="C1" s="11" t="s">
        <v>29</v>
      </c>
      <c r="D1" s="32">
        <v>110</v>
      </c>
      <c r="E1" s="11">
        <v>115</v>
      </c>
      <c r="F1" s="11">
        <v>130</v>
      </c>
      <c r="G1" s="11">
        <v>140</v>
      </c>
      <c r="H1" s="11">
        <v>150</v>
      </c>
      <c r="I1" s="11">
        <v>160</v>
      </c>
      <c r="J1" s="11">
        <v>180</v>
      </c>
      <c r="K1" s="11">
        <v>200</v>
      </c>
    </row>
    <row r="2" spans="1:11" ht="15" customHeight="1" x14ac:dyDescent="0.3">
      <c r="A2" s="193" t="s">
        <v>7</v>
      </c>
      <c r="B2" s="32">
        <v>10</v>
      </c>
      <c r="C2" s="36">
        <v>2</v>
      </c>
      <c r="D2" s="32">
        <v>-31.4</v>
      </c>
      <c r="E2" s="32">
        <v>-34.299999999999997</v>
      </c>
      <c r="F2" s="32">
        <v>-43.8</v>
      </c>
      <c r="G2" s="32">
        <v>-50.8</v>
      </c>
      <c r="H2" s="32">
        <v>-58.3</v>
      </c>
      <c r="I2" s="32">
        <v>-66.3</v>
      </c>
      <c r="J2" s="32">
        <v>-84</v>
      </c>
      <c r="K2" s="32">
        <v>-103.7</v>
      </c>
    </row>
    <row r="3" spans="1:11" x14ac:dyDescent="0.3">
      <c r="A3" s="194"/>
      <c r="B3" s="32">
        <v>20</v>
      </c>
      <c r="C3" s="36">
        <v>2</v>
      </c>
      <c r="D3" s="32">
        <v>-30.8</v>
      </c>
      <c r="E3" s="32">
        <v>-33.700000000000003</v>
      </c>
      <c r="F3" s="32">
        <v>-43</v>
      </c>
      <c r="G3" s="32">
        <v>-49.9</v>
      </c>
      <c r="H3" s="32">
        <v>-57.3</v>
      </c>
      <c r="I3" s="32">
        <v>-65.2</v>
      </c>
      <c r="J3" s="32">
        <v>-82.5</v>
      </c>
      <c r="K3" s="32">
        <v>-101.8</v>
      </c>
    </row>
    <row r="4" spans="1:11" x14ac:dyDescent="0.3">
      <c r="A4" s="194"/>
      <c r="B4" s="32">
        <v>50</v>
      </c>
      <c r="C4" s="36">
        <v>2</v>
      </c>
      <c r="D4" s="32">
        <v>-30.1</v>
      </c>
      <c r="E4" s="32">
        <v>-32.9</v>
      </c>
      <c r="F4" s="32">
        <v>-42</v>
      </c>
      <c r="G4" s="32">
        <v>-48.7</v>
      </c>
      <c r="H4" s="32">
        <v>-55.9</v>
      </c>
      <c r="I4" s="32">
        <v>-63.6</v>
      </c>
      <c r="J4" s="32">
        <v>-80.5</v>
      </c>
      <c r="K4" s="32">
        <v>-99.4</v>
      </c>
    </row>
    <row r="5" spans="1:11" x14ac:dyDescent="0.3">
      <c r="A5" s="194"/>
      <c r="B5" s="32">
        <v>100</v>
      </c>
      <c r="C5" s="36">
        <v>2</v>
      </c>
      <c r="D5" s="32">
        <v>-29.5</v>
      </c>
      <c r="E5" s="32">
        <v>-32.299999999999997</v>
      </c>
      <c r="F5" s="32">
        <v>-41.2</v>
      </c>
      <c r="G5" s="32">
        <v>-47.8</v>
      </c>
      <c r="H5" s="32">
        <v>-54.9</v>
      </c>
      <c r="I5" s="32">
        <v>-62.4</v>
      </c>
      <c r="J5" s="32">
        <v>-79</v>
      </c>
      <c r="K5" s="32">
        <v>-97.6</v>
      </c>
    </row>
    <row r="6" spans="1:11" x14ac:dyDescent="0.3">
      <c r="A6" s="194"/>
      <c r="B6" s="32">
        <v>10</v>
      </c>
      <c r="C6" s="36">
        <v>3</v>
      </c>
      <c r="D6" s="32">
        <v>-51.6</v>
      </c>
      <c r="E6" s="32">
        <v>-56.5</v>
      </c>
      <c r="F6" s="32">
        <v>-72.099999999999994</v>
      </c>
      <c r="G6" s="32">
        <v>-83.7</v>
      </c>
      <c r="H6" s="32">
        <v>-96</v>
      </c>
      <c r="I6" s="32">
        <v>-109.3</v>
      </c>
      <c r="J6" s="32">
        <v>-138.30000000000001</v>
      </c>
      <c r="K6" s="32">
        <v>-170.7</v>
      </c>
    </row>
    <row r="7" spans="1:11" x14ac:dyDescent="0.3">
      <c r="A7" s="194"/>
      <c r="B7" s="32">
        <v>20</v>
      </c>
      <c r="C7" s="36">
        <v>3</v>
      </c>
      <c r="D7" s="32">
        <v>-40.5</v>
      </c>
      <c r="E7" s="32">
        <v>-44.3</v>
      </c>
      <c r="F7" s="32">
        <v>-56.6</v>
      </c>
      <c r="G7" s="32">
        <v>-65.7</v>
      </c>
      <c r="H7" s="32">
        <v>-75.400000000000006</v>
      </c>
      <c r="I7" s="32">
        <v>-85.8</v>
      </c>
      <c r="J7" s="32">
        <v>-108.6</v>
      </c>
      <c r="K7" s="32">
        <v>-134</v>
      </c>
    </row>
    <row r="8" spans="1:11" x14ac:dyDescent="0.3">
      <c r="A8" s="194"/>
      <c r="B8" s="32">
        <v>50</v>
      </c>
      <c r="C8" s="36">
        <v>3</v>
      </c>
      <c r="D8" s="32">
        <v>-25.9</v>
      </c>
      <c r="E8" s="32">
        <v>-28.3</v>
      </c>
      <c r="F8" s="32">
        <v>-36.1</v>
      </c>
      <c r="G8" s="32">
        <v>-41.9</v>
      </c>
      <c r="H8" s="32">
        <v>-48.1</v>
      </c>
      <c r="I8" s="32">
        <v>-54.7</v>
      </c>
      <c r="J8" s="32">
        <v>-69.3</v>
      </c>
      <c r="K8" s="32">
        <v>-85.5</v>
      </c>
    </row>
    <row r="9" spans="1:11" x14ac:dyDescent="0.3">
      <c r="A9" s="195"/>
      <c r="B9" s="32">
        <v>100</v>
      </c>
      <c r="C9" s="36">
        <v>3</v>
      </c>
      <c r="D9" s="32">
        <v>-14.8</v>
      </c>
      <c r="E9" s="32">
        <v>-16.100000000000001</v>
      </c>
      <c r="F9" s="32">
        <v>-20.6</v>
      </c>
      <c r="G9" s="32">
        <v>-23.9</v>
      </c>
      <c r="H9" s="32">
        <v>-27.4</v>
      </c>
      <c r="I9" s="32">
        <v>-31.2</v>
      </c>
      <c r="J9" s="32">
        <v>-39.5</v>
      </c>
      <c r="K9" s="32">
        <v>-48.8</v>
      </c>
    </row>
    <row r="10" spans="1:11" ht="15" customHeight="1" x14ac:dyDescent="0.3">
      <c r="A10" s="193" t="s">
        <v>64</v>
      </c>
      <c r="B10" s="32">
        <v>10</v>
      </c>
      <c r="C10" s="36">
        <v>2</v>
      </c>
      <c r="D10" s="32">
        <v>-40.6</v>
      </c>
      <c r="E10" s="38">
        <v>-44.4</v>
      </c>
      <c r="F10" s="32">
        <v>-56.7</v>
      </c>
      <c r="G10" s="32">
        <v>-65.7</v>
      </c>
      <c r="H10" s="32">
        <v>-75.5</v>
      </c>
      <c r="I10" s="32">
        <v>-85.9</v>
      </c>
      <c r="J10" s="32">
        <v>-108.7</v>
      </c>
      <c r="K10" s="32">
        <v>-134.19999999999999</v>
      </c>
    </row>
    <row r="11" spans="1:11" x14ac:dyDescent="0.3">
      <c r="A11" s="194"/>
      <c r="B11" s="32">
        <v>20</v>
      </c>
      <c r="C11" s="36">
        <v>2</v>
      </c>
      <c r="D11" s="32">
        <v>-40.6</v>
      </c>
      <c r="E11" s="32">
        <v>-44.4</v>
      </c>
      <c r="F11" s="32">
        <v>-56.7</v>
      </c>
      <c r="G11" s="32">
        <v>-65.7</v>
      </c>
      <c r="H11" s="32">
        <v>-75.5</v>
      </c>
      <c r="I11" s="32">
        <v>-85.9</v>
      </c>
      <c r="J11" s="32">
        <v>-108.7</v>
      </c>
      <c r="K11" s="32">
        <v>-134.19999999999999</v>
      </c>
    </row>
    <row r="12" spans="1:11" x14ac:dyDescent="0.3">
      <c r="A12" s="194"/>
      <c r="B12" s="32">
        <v>50</v>
      </c>
      <c r="C12" s="36">
        <v>2</v>
      </c>
      <c r="D12" s="32">
        <v>-40.6</v>
      </c>
      <c r="E12" s="32">
        <v>-44.4</v>
      </c>
      <c r="F12" s="32">
        <v>-56.7</v>
      </c>
      <c r="G12" s="32">
        <v>-65.7</v>
      </c>
      <c r="H12" s="32">
        <v>-75.5</v>
      </c>
      <c r="I12" s="32">
        <v>-85.9</v>
      </c>
      <c r="J12" s="32">
        <v>-108.7</v>
      </c>
      <c r="K12" s="32">
        <v>-134.19999999999999</v>
      </c>
    </row>
    <row r="13" spans="1:11" x14ac:dyDescent="0.3">
      <c r="A13" s="194"/>
      <c r="B13" s="32">
        <v>100</v>
      </c>
      <c r="C13" s="36">
        <v>2</v>
      </c>
      <c r="D13" s="32">
        <v>-40.6</v>
      </c>
      <c r="E13" s="32">
        <v>-44.4</v>
      </c>
      <c r="F13" s="32">
        <v>-56.7</v>
      </c>
      <c r="G13" s="32">
        <v>-65.7</v>
      </c>
      <c r="H13" s="32">
        <v>-75.5</v>
      </c>
      <c r="I13" s="32">
        <v>-85.9</v>
      </c>
      <c r="J13" s="32">
        <v>-108.7</v>
      </c>
      <c r="K13" s="32">
        <v>-134.19999999999999</v>
      </c>
    </row>
    <row r="14" spans="1:11" x14ac:dyDescent="0.3">
      <c r="A14" s="194"/>
      <c r="B14" s="32">
        <v>10</v>
      </c>
      <c r="C14" s="36">
        <v>3</v>
      </c>
      <c r="D14" s="32">
        <v>-68.3</v>
      </c>
      <c r="E14" s="32">
        <v>-74.599999999999994</v>
      </c>
      <c r="F14" s="32">
        <v>-95.3</v>
      </c>
      <c r="G14" s="32">
        <v>-110.6</v>
      </c>
      <c r="H14" s="32">
        <v>-126.9</v>
      </c>
      <c r="I14" s="32">
        <v>-144.4</v>
      </c>
      <c r="J14" s="32">
        <v>-182.8</v>
      </c>
      <c r="K14" s="32">
        <v>-225.6</v>
      </c>
    </row>
    <row r="15" spans="1:11" x14ac:dyDescent="0.3">
      <c r="A15" s="194"/>
      <c r="B15" s="32">
        <v>20</v>
      </c>
      <c r="C15" s="36">
        <v>3</v>
      </c>
      <c r="D15" s="32">
        <v>-61.6</v>
      </c>
      <c r="E15" s="32">
        <v>-67.3</v>
      </c>
      <c r="F15" s="32">
        <v>-86</v>
      </c>
      <c r="G15" s="32">
        <v>-99.8</v>
      </c>
      <c r="H15" s="32">
        <v>-114.5</v>
      </c>
      <c r="I15" s="32">
        <v>-130.30000000000001</v>
      </c>
      <c r="J15" s="32">
        <v>-164.9</v>
      </c>
      <c r="K15" s="32">
        <v>-203.6</v>
      </c>
    </row>
    <row r="16" spans="1:11" x14ac:dyDescent="0.3">
      <c r="A16" s="194"/>
      <c r="B16" s="32">
        <v>50</v>
      </c>
      <c r="C16" s="36">
        <v>3</v>
      </c>
      <c r="D16" s="32">
        <v>-52.8</v>
      </c>
      <c r="E16" s="32">
        <v>-57.7</v>
      </c>
      <c r="F16" s="32">
        <v>-73.7</v>
      </c>
      <c r="G16" s="32">
        <v>-85.5</v>
      </c>
      <c r="H16" s="32">
        <v>-98.1</v>
      </c>
      <c r="I16" s="32">
        <v>-111.7</v>
      </c>
      <c r="J16" s="32">
        <v>-141.30000000000001</v>
      </c>
      <c r="K16" s="32">
        <v>-174.5</v>
      </c>
    </row>
    <row r="17" spans="1:11" x14ac:dyDescent="0.3">
      <c r="A17" s="195"/>
      <c r="B17" s="32">
        <v>100</v>
      </c>
      <c r="C17" s="36">
        <v>3</v>
      </c>
      <c r="D17" s="32">
        <v>-46.1</v>
      </c>
      <c r="E17" s="32">
        <v>-50.4</v>
      </c>
      <c r="F17" s="32">
        <v>-64.400000000000006</v>
      </c>
      <c r="G17" s="32">
        <v>-74.7</v>
      </c>
      <c r="H17" s="32">
        <v>-85.8</v>
      </c>
      <c r="I17" s="32">
        <v>-97.6</v>
      </c>
      <c r="J17" s="32">
        <v>-123.5</v>
      </c>
      <c r="K17" s="32">
        <v>-152.4</v>
      </c>
    </row>
    <row r="18" spans="1:11" ht="15" customHeight="1" x14ac:dyDescent="0.3">
      <c r="A18" s="193" t="s">
        <v>10</v>
      </c>
      <c r="B18" s="32">
        <v>10</v>
      </c>
      <c r="C18" s="36">
        <v>2</v>
      </c>
      <c r="D18" s="32">
        <v>-36.9</v>
      </c>
      <c r="E18" s="32">
        <v>-40.299999999999997</v>
      </c>
      <c r="F18" s="32">
        <v>-51.5</v>
      </c>
      <c r="G18" s="32">
        <v>-59.8</v>
      </c>
      <c r="H18" s="32">
        <v>-68.599999999999994</v>
      </c>
      <c r="I18" s="32">
        <v>-78.099999999999994</v>
      </c>
      <c r="J18" s="32">
        <v>-98.8</v>
      </c>
      <c r="K18" s="32">
        <v>-122</v>
      </c>
    </row>
    <row r="19" spans="1:11" x14ac:dyDescent="0.3">
      <c r="A19" s="194"/>
      <c r="B19" s="32">
        <v>20</v>
      </c>
      <c r="C19" s="36">
        <v>2</v>
      </c>
      <c r="D19" s="32">
        <v>-35.799999999999997</v>
      </c>
      <c r="E19" s="32">
        <v>-39.1</v>
      </c>
      <c r="F19" s="32">
        <v>-50</v>
      </c>
      <c r="G19" s="32">
        <v>-58</v>
      </c>
      <c r="H19" s="32">
        <v>-66.5</v>
      </c>
      <c r="I19" s="32">
        <v>-75.7</v>
      </c>
      <c r="J19" s="32">
        <v>-95.8</v>
      </c>
      <c r="K19" s="32">
        <v>-118.3</v>
      </c>
    </row>
    <row r="20" spans="1:11" x14ac:dyDescent="0.3">
      <c r="A20" s="194"/>
      <c r="B20" s="32">
        <v>50</v>
      </c>
      <c r="C20" s="36">
        <v>2</v>
      </c>
      <c r="D20" s="32">
        <v>-34.299999999999997</v>
      </c>
      <c r="E20" s="32">
        <v>-37.5</v>
      </c>
      <c r="F20" s="32">
        <v>-47.9</v>
      </c>
      <c r="G20" s="32">
        <v>-55.6</v>
      </c>
      <c r="H20" s="32">
        <v>-63.8</v>
      </c>
      <c r="I20" s="32">
        <v>-72.599999999999994</v>
      </c>
      <c r="J20" s="32">
        <v>-91.9</v>
      </c>
      <c r="K20" s="32">
        <v>-113.4</v>
      </c>
    </row>
    <row r="21" spans="1:11" x14ac:dyDescent="0.3">
      <c r="A21" s="194"/>
      <c r="B21" s="32">
        <v>100</v>
      </c>
      <c r="C21" s="36">
        <v>2</v>
      </c>
      <c r="D21" s="32">
        <v>-33.200000000000003</v>
      </c>
      <c r="E21" s="32">
        <v>-36.299999999999997</v>
      </c>
      <c r="F21" s="32">
        <v>-46.4</v>
      </c>
      <c r="G21" s="32">
        <v>-53.8</v>
      </c>
      <c r="H21" s="32">
        <v>-61.7</v>
      </c>
      <c r="I21" s="32">
        <v>-70.2</v>
      </c>
      <c r="J21" s="32">
        <v>-88.9</v>
      </c>
      <c r="K21" s="32">
        <v>-109.8</v>
      </c>
    </row>
    <row r="22" spans="1:11" x14ac:dyDescent="0.3">
      <c r="A22" s="194"/>
      <c r="B22" s="32">
        <v>10</v>
      </c>
      <c r="C22" s="36">
        <v>3</v>
      </c>
      <c r="D22" s="32">
        <v>-36.9</v>
      </c>
      <c r="E22" s="32">
        <v>-40.299999999999997</v>
      </c>
      <c r="F22" s="32">
        <v>-51.5</v>
      </c>
      <c r="G22" s="32">
        <v>-59.8</v>
      </c>
      <c r="H22" s="32">
        <v>-68.599999999999994</v>
      </c>
      <c r="I22" s="32">
        <v>-78.099999999999994</v>
      </c>
      <c r="J22" s="32">
        <v>-98.8</v>
      </c>
      <c r="K22" s="32">
        <v>-122</v>
      </c>
    </row>
    <row r="23" spans="1:11" x14ac:dyDescent="0.3">
      <c r="A23" s="194"/>
      <c r="B23" s="32">
        <v>20</v>
      </c>
      <c r="C23" s="36">
        <v>3</v>
      </c>
      <c r="D23" s="32">
        <v>-35.799999999999997</v>
      </c>
      <c r="E23" s="32">
        <v>-39.1</v>
      </c>
      <c r="F23" s="32">
        <v>-50</v>
      </c>
      <c r="G23" s="32">
        <v>-58</v>
      </c>
      <c r="H23" s="32">
        <v>-66.5</v>
      </c>
      <c r="I23" s="32">
        <v>-75.7</v>
      </c>
      <c r="J23" s="32">
        <v>-95.8</v>
      </c>
      <c r="K23" s="32">
        <v>-118.3</v>
      </c>
    </row>
    <row r="24" spans="1:11" x14ac:dyDescent="0.3">
      <c r="A24" s="194"/>
      <c r="B24" s="32">
        <v>50</v>
      </c>
      <c r="C24" s="36">
        <v>3</v>
      </c>
      <c r="D24" s="32">
        <v>-34.299999999999997</v>
      </c>
      <c r="E24" s="32">
        <v>-37.5</v>
      </c>
      <c r="F24" s="32">
        <v>-47.9</v>
      </c>
      <c r="G24" s="32">
        <v>-55.6</v>
      </c>
      <c r="H24" s="32">
        <v>-63.8</v>
      </c>
      <c r="I24" s="32">
        <v>-72.599999999999994</v>
      </c>
      <c r="J24" s="32">
        <v>-91.9</v>
      </c>
      <c r="K24" s="32">
        <v>-113.4</v>
      </c>
    </row>
    <row r="25" spans="1:11" x14ac:dyDescent="0.3">
      <c r="A25" s="195"/>
      <c r="B25" s="32">
        <v>100</v>
      </c>
      <c r="C25" s="36">
        <v>3</v>
      </c>
      <c r="D25" s="32">
        <v>-33.200000000000003</v>
      </c>
      <c r="E25" s="32">
        <v>-36.299999999999997</v>
      </c>
      <c r="F25" s="32">
        <v>-46.4</v>
      </c>
      <c r="G25" s="32">
        <v>-53.8</v>
      </c>
      <c r="H25" s="32">
        <v>-61.7</v>
      </c>
      <c r="I25" s="32">
        <v>-70.2</v>
      </c>
      <c r="J25" s="32">
        <v>-88.9</v>
      </c>
      <c r="K25" s="32">
        <v>-109.8</v>
      </c>
    </row>
    <row r="27" spans="1:11" x14ac:dyDescent="0.3">
      <c r="A27" t="s">
        <v>30</v>
      </c>
      <c r="B27" s="2"/>
      <c r="C27" t="s">
        <v>31</v>
      </c>
    </row>
    <row r="28" spans="1:11" x14ac:dyDescent="0.3">
      <c r="A28">
        <f>'C&amp;C 7-10 Simplified'!E13</f>
        <v>130</v>
      </c>
      <c r="C28">
        <f>'C&amp;C 7-10 Simplified'!E15</f>
        <v>15</v>
      </c>
    </row>
    <row r="30" spans="1:11" x14ac:dyDescent="0.3">
      <c r="I30" s="2"/>
    </row>
    <row r="31" spans="1:11" ht="12.75" customHeight="1" x14ac:dyDescent="0.3">
      <c r="A31" s="2" t="s">
        <v>32</v>
      </c>
      <c r="D31" s="131" t="s">
        <v>65</v>
      </c>
      <c r="E31" s="131"/>
      <c r="G31" s="131" t="s">
        <v>35</v>
      </c>
      <c r="H31" s="131"/>
      <c r="I31" s="1"/>
    </row>
    <row r="32" spans="1:11" x14ac:dyDescent="0.3">
      <c r="A32" s="1">
        <v>2</v>
      </c>
      <c r="B32">
        <f>INDEX(D2:K2,MATCH(A28,D1:K1,0))</f>
        <v>-43.8</v>
      </c>
      <c r="D32" s="1">
        <v>2</v>
      </c>
      <c r="E32">
        <f>INDEX(D10:K10,MATCH(C28,B10,1),MATCH(A28,D1:K1,0))</f>
        <v>-56.7</v>
      </c>
      <c r="G32" s="1">
        <v>2</v>
      </c>
      <c r="H32">
        <f>INDEX(D18:K18,MATCH(C28,B18,1),MATCH(A28,D1:K1,0))</f>
        <v>-51.5</v>
      </c>
    </row>
    <row r="33" spans="1:8" x14ac:dyDescent="0.3">
      <c r="A33" s="1">
        <v>3</v>
      </c>
      <c r="B33">
        <f>INDEX(D6:K6,MATCH(C28,B6,1),MATCH(A28,D1:K1,0))</f>
        <v>-72.099999999999994</v>
      </c>
      <c r="D33" s="1">
        <v>3</v>
      </c>
      <c r="E33">
        <f>INDEX(D14:K14,MATCH(C28,B14,1),MATCH(A28,D1:K1,0))</f>
        <v>-95.3</v>
      </c>
      <c r="G33" s="1">
        <v>3</v>
      </c>
      <c r="H33">
        <f>INDEX(D22:K22,MATCH(C28,B22,1),MATCH(A28,D1:K1,0))</f>
        <v>-51.5</v>
      </c>
    </row>
    <row r="34" spans="1:8" x14ac:dyDescent="0.3">
      <c r="A34" s="33"/>
      <c r="C34" s="1"/>
    </row>
    <row r="35" spans="1:8" ht="15" customHeight="1" x14ac:dyDescent="0.3">
      <c r="C35" s="1"/>
    </row>
    <row r="36" spans="1:8" x14ac:dyDescent="0.3">
      <c r="C36" s="1"/>
    </row>
    <row r="37" spans="1:8" x14ac:dyDescent="0.3">
      <c r="C37" s="1"/>
    </row>
    <row r="38" spans="1:8" x14ac:dyDescent="0.3">
      <c r="C38" s="1"/>
    </row>
    <row r="39" spans="1:8" x14ac:dyDescent="0.3">
      <c r="A39" s="2"/>
      <c r="C39" s="1"/>
    </row>
    <row r="40" spans="1:8" x14ac:dyDescent="0.3">
      <c r="A40" s="1"/>
      <c r="C40" s="1"/>
    </row>
    <row r="41" spans="1:8" x14ac:dyDescent="0.3">
      <c r="A41" s="1"/>
      <c r="C41" s="1"/>
    </row>
    <row r="42" spans="1:8" x14ac:dyDescent="0.3">
      <c r="A42" s="1"/>
      <c r="C42" s="1"/>
    </row>
    <row r="43" spans="1:8" x14ac:dyDescent="0.3">
      <c r="A43" s="33"/>
      <c r="C43" s="1"/>
    </row>
    <row r="44" spans="1:8" x14ac:dyDescent="0.3">
      <c r="A44" s="33"/>
      <c r="C44" s="1"/>
    </row>
    <row r="45" spans="1:8" x14ac:dyDescent="0.3">
      <c r="A45" s="33"/>
      <c r="C45" s="1"/>
    </row>
    <row r="46" spans="1:8" x14ac:dyDescent="0.3">
      <c r="A46" s="33"/>
      <c r="C46" s="1"/>
    </row>
    <row r="47" spans="1:8" x14ac:dyDescent="0.3">
      <c r="A47" s="33"/>
      <c r="C47" s="1"/>
    </row>
    <row r="48" spans="1:8" x14ac:dyDescent="0.3">
      <c r="A48" s="33"/>
      <c r="C48" s="1"/>
    </row>
    <row r="49" spans="1:3" x14ac:dyDescent="0.3">
      <c r="A49" s="33"/>
      <c r="C49" s="1"/>
    </row>
    <row r="50" spans="1:3" x14ac:dyDescent="0.3">
      <c r="A50" s="33"/>
      <c r="C50" s="1"/>
    </row>
    <row r="51" spans="1:3" x14ac:dyDescent="0.3">
      <c r="A51" s="33"/>
      <c r="C51" s="1"/>
    </row>
    <row r="52" spans="1:3" x14ac:dyDescent="0.3">
      <c r="A52" s="33"/>
      <c r="C52" s="1"/>
    </row>
    <row r="53" spans="1:3" x14ac:dyDescent="0.3">
      <c r="A53" s="33"/>
      <c r="C53" s="1"/>
    </row>
    <row r="54" spans="1:3" x14ac:dyDescent="0.3">
      <c r="A54" s="33"/>
      <c r="C54" s="1"/>
    </row>
    <row r="55" spans="1:3" x14ac:dyDescent="0.3">
      <c r="A55" s="33"/>
      <c r="C55" s="1"/>
    </row>
    <row r="56" spans="1:3" x14ac:dyDescent="0.3">
      <c r="A56" s="33"/>
      <c r="C56" s="1"/>
    </row>
    <row r="57" spans="1:3" ht="15" customHeight="1" x14ac:dyDescent="0.3">
      <c r="A57" s="33"/>
      <c r="C57" s="1"/>
    </row>
    <row r="58" spans="1:3" x14ac:dyDescent="0.3">
      <c r="A58" s="33"/>
      <c r="C58" s="1"/>
    </row>
    <row r="59" spans="1:3" x14ac:dyDescent="0.3">
      <c r="A59" s="33"/>
      <c r="C59" s="1"/>
    </row>
    <row r="60" spans="1:3" x14ac:dyDescent="0.3">
      <c r="A60" s="33"/>
      <c r="C60" s="1"/>
    </row>
    <row r="61" spans="1:3" x14ac:dyDescent="0.3">
      <c r="A61" s="33"/>
      <c r="C61" s="1"/>
    </row>
    <row r="62" spans="1:3" x14ac:dyDescent="0.3">
      <c r="A62" s="33"/>
      <c r="C62" s="1"/>
    </row>
    <row r="63" spans="1:3" x14ac:dyDescent="0.3">
      <c r="A63" s="33"/>
      <c r="C63" s="1"/>
    </row>
    <row r="64" spans="1:3" x14ac:dyDescent="0.3">
      <c r="A64" s="33"/>
      <c r="C64" s="1"/>
    </row>
    <row r="65" spans="1:1" x14ac:dyDescent="0.3">
      <c r="A65" s="33"/>
    </row>
    <row r="66" spans="1:1" x14ac:dyDescent="0.3">
      <c r="A66" s="33"/>
    </row>
    <row r="67" spans="1:1" x14ac:dyDescent="0.3">
      <c r="A67" s="33"/>
    </row>
    <row r="68" spans="1:1" x14ac:dyDescent="0.3">
      <c r="A68" s="33"/>
    </row>
    <row r="69" spans="1:1" x14ac:dyDescent="0.3">
      <c r="A69" s="33"/>
    </row>
    <row r="70" spans="1:1" x14ac:dyDescent="0.3">
      <c r="A70" s="33"/>
    </row>
    <row r="71" spans="1:1" x14ac:dyDescent="0.3">
      <c r="A71" s="33"/>
    </row>
    <row r="72" spans="1:1" x14ac:dyDescent="0.3">
      <c r="A72" s="33"/>
    </row>
    <row r="73" spans="1:1" x14ac:dyDescent="0.3">
      <c r="A73" s="33"/>
    </row>
    <row r="74" spans="1:1" x14ac:dyDescent="0.3">
      <c r="A74" s="33"/>
    </row>
    <row r="75" spans="1:1" x14ac:dyDescent="0.3">
      <c r="A75" s="33"/>
    </row>
    <row r="76" spans="1:1" x14ac:dyDescent="0.3">
      <c r="A76" s="33"/>
    </row>
    <row r="77" spans="1:1" x14ac:dyDescent="0.3">
      <c r="A77" s="33"/>
    </row>
    <row r="78" spans="1:1" x14ac:dyDescent="0.3">
      <c r="A78" s="33"/>
    </row>
    <row r="79" spans="1:1" x14ac:dyDescent="0.3">
      <c r="A79" s="33"/>
    </row>
    <row r="80" spans="1:1" x14ac:dyDescent="0.3">
      <c r="A80" s="33"/>
    </row>
  </sheetData>
  <mergeCells count="5">
    <mergeCell ref="A2:A9"/>
    <mergeCell ref="A10:A17"/>
    <mergeCell ref="A18:A25"/>
    <mergeCell ref="D31:E31"/>
    <mergeCell ref="G31:H3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97"/>
  <sheetViews>
    <sheetView workbookViewId="0">
      <pane ySplit="1" topLeftCell="A2" activePane="bottomLeft" state="frozen"/>
      <selection activeCell="C2" sqref="C2"/>
      <selection pane="bottomLeft" activeCell="C2" sqref="C2"/>
    </sheetView>
  </sheetViews>
  <sheetFormatPr defaultRowHeight="14.4" x14ac:dyDescent="0.3"/>
  <cols>
    <col min="2" max="2" width="10.33203125" customWidth="1"/>
  </cols>
  <sheetData>
    <row r="1" spans="1:15" x14ac:dyDescent="0.3">
      <c r="A1" s="32"/>
      <c r="B1" s="11" t="s">
        <v>28</v>
      </c>
      <c r="C1" s="11" t="s">
        <v>29</v>
      </c>
      <c r="D1" s="11">
        <v>85</v>
      </c>
      <c r="E1" s="32">
        <v>90</v>
      </c>
      <c r="F1" s="11">
        <v>100</v>
      </c>
      <c r="G1" s="11">
        <v>105</v>
      </c>
      <c r="H1" s="11">
        <v>110</v>
      </c>
      <c r="I1" s="11">
        <v>120</v>
      </c>
      <c r="J1" s="11">
        <v>125</v>
      </c>
      <c r="K1" s="11">
        <v>130</v>
      </c>
      <c r="L1" s="11">
        <v>140</v>
      </c>
      <c r="M1" s="11">
        <v>145</v>
      </c>
      <c r="N1" s="11">
        <v>150</v>
      </c>
      <c r="O1" s="11">
        <v>170</v>
      </c>
    </row>
    <row r="2" spans="1:15" x14ac:dyDescent="0.3">
      <c r="A2" s="189" t="s">
        <v>6</v>
      </c>
      <c r="B2" s="32">
        <v>10</v>
      </c>
      <c r="C2" s="36">
        <v>4</v>
      </c>
      <c r="D2" s="32">
        <v>13</v>
      </c>
      <c r="E2" s="32">
        <v>14.6</v>
      </c>
      <c r="F2" s="32">
        <v>18</v>
      </c>
      <c r="G2" s="32">
        <v>19.8</v>
      </c>
      <c r="H2" s="32">
        <v>21.8</v>
      </c>
      <c r="I2" s="32">
        <v>25.9</v>
      </c>
      <c r="J2" s="32">
        <v>28.1</v>
      </c>
      <c r="K2" s="32">
        <v>30.4</v>
      </c>
      <c r="L2" s="32">
        <v>35.299999999999997</v>
      </c>
      <c r="M2" s="32">
        <v>37.799999999999997</v>
      </c>
      <c r="N2" s="32">
        <v>40.5</v>
      </c>
      <c r="O2" s="32">
        <v>52</v>
      </c>
    </row>
    <row r="3" spans="1:15" x14ac:dyDescent="0.3">
      <c r="A3" s="189"/>
      <c r="B3" s="32">
        <v>20</v>
      </c>
      <c r="C3" s="36">
        <v>4</v>
      </c>
      <c r="D3" s="32">
        <v>12.4</v>
      </c>
      <c r="E3" s="32">
        <v>13.9</v>
      </c>
      <c r="F3" s="32">
        <v>17.2</v>
      </c>
      <c r="G3" s="32">
        <v>18.899999999999999</v>
      </c>
      <c r="H3" s="32">
        <v>20.8</v>
      </c>
      <c r="I3" s="32">
        <v>24.7</v>
      </c>
      <c r="J3" s="32">
        <v>26.8</v>
      </c>
      <c r="K3" s="32">
        <v>29</v>
      </c>
      <c r="L3" s="32">
        <v>33.700000000000003</v>
      </c>
      <c r="M3" s="32">
        <v>36.1</v>
      </c>
      <c r="N3" s="32">
        <v>38.700000000000003</v>
      </c>
      <c r="O3" s="32">
        <v>49.6</v>
      </c>
    </row>
    <row r="4" spans="1:15" x14ac:dyDescent="0.3">
      <c r="A4" s="189"/>
      <c r="B4" s="32">
        <v>50</v>
      </c>
      <c r="C4" s="36">
        <v>4</v>
      </c>
      <c r="D4" s="32">
        <v>11.6</v>
      </c>
      <c r="E4" s="32">
        <v>13</v>
      </c>
      <c r="F4" s="32">
        <v>16.100000000000001</v>
      </c>
      <c r="G4" s="32">
        <v>17.8</v>
      </c>
      <c r="H4" s="32">
        <v>19.5</v>
      </c>
      <c r="I4" s="32">
        <v>23.2</v>
      </c>
      <c r="J4" s="32">
        <v>25.2</v>
      </c>
      <c r="K4" s="32">
        <v>27.2</v>
      </c>
      <c r="L4" s="32">
        <v>31.6</v>
      </c>
      <c r="M4" s="32">
        <v>33.9</v>
      </c>
      <c r="N4" s="32">
        <v>36.200000000000003</v>
      </c>
      <c r="O4" s="32">
        <v>46.6</v>
      </c>
    </row>
    <row r="5" spans="1:15" x14ac:dyDescent="0.3">
      <c r="A5" s="189"/>
      <c r="B5" s="32">
        <v>100</v>
      </c>
      <c r="C5" s="36">
        <v>4</v>
      </c>
      <c r="D5" s="32">
        <v>11.1</v>
      </c>
      <c r="E5" s="32">
        <v>12.4</v>
      </c>
      <c r="F5" s="32">
        <v>15.3</v>
      </c>
      <c r="G5" s="32">
        <v>16.899999999999999</v>
      </c>
      <c r="H5" s="32">
        <v>18.5</v>
      </c>
      <c r="I5" s="32">
        <v>22</v>
      </c>
      <c r="J5" s="32">
        <v>23.9</v>
      </c>
      <c r="K5" s="32">
        <v>25.9</v>
      </c>
      <c r="L5" s="32">
        <v>30</v>
      </c>
      <c r="M5" s="32">
        <v>32.200000000000003</v>
      </c>
      <c r="N5" s="32">
        <v>34.4</v>
      </c>
      <c r="O5" s="32">
        <v>44.2</v>
      </c>
    </row>
    <row r="6" spans="1:15" x14ac:dyDescent="0.3">
      <c r="A6" s="189"/>
      <c r="B6" s="32">
        <v>10</v>
      </c>
      <c r="C6" s="36">
        <v>5</v>
      </c>
      <c r="D6" s="32">
        <v>13</v>
      </c>
      <c r="E6" s="32">
        <v>14.6</v>
      </c>
      <c r="F6" s="32">
        <v>18</v>
      </c>
      <c r="G6" s="32">
        <v>19.8</v>
      </c>
      <c r="H6" s="32">
        <v>21.8</v>
      </c>
      <c r="I6" s="32">
        <v>25.9</v>
      </c>
      <c r="J6" s="32">
        <v>28.1</v>
      </c>
      <c r="K6" s="32">
        <v>30.4</v>
      </c>
      <c r="L6" s="32">
        <v>35.299999999999997</v>
      </c>
      <c r="M6" s="32">
        <v>37.799999999999997</v>
      </c>
      <c r="N6" s="32">
        <v>40.5</v>
      </c>
      <c r="O6" s="32">
        <v>52</v>
      </c>
    </row>
    <row r="7" spans="1:15" x14ac:dyDescent="0.3">
      <c r="A7" s="189"/>
      <c r="B7" s="32">
        <v>20</v>
      </c>
      <c r="C7" s="36">
        <v>5</v>
      </c>
      <c r="D7" s="32">
        <v>12.4</v>
      </c>
      <c r="E7" s="32">
        <v>13.9</v>
      </c>
      <c r="F7" s="32">
        <v>17.2</v>
      </c>
      <c r="G7" s="32">
        <v>18.899999999999999</v>
      </c>
      <c r="H7" s="32">
        <v>20.8</v>
      </c>
      <c r="I7" s="32">
        <v>24.7</v>
      </c>
      <c r="J7" s="32">
        <v>26.8</v>
      </c>
      <c r="K7" s="32">
        <v>29</v>
      </c>
      <c r="L7" s="32">
        <v>33.700000000000003</v>
      </c>
      <c r="M7" s="32">
        <v>36.1</v>
      </c>
      <c r="N7" s="32">
        <v>38.700000000000003</v>
      </c>
      <c r="O7" s="32">
        <v>49.6</v>
      </c>
    </row>
    <row r="8" spans="1:15" x14ac:dyDescent="0.3">
      <c r="A8" s="189"/>
      <c r="B8" s="32">
        <v>50</v>
      </c>
      <c r="C8" s="36">
        <v>5</v>
      </c>
      <c r="D8" s="32">
        <v>11.6</v>
      </c>
      <c r="E8" s="32">
        <v>13</v>
      </c>
      <c r="F8" s="32">
        <v>16.100000000000001</v>
      </c>
      <c r="G8" s="32">
        <v>17.8</v>
      </c>
      <c r="H8" s="32">
        <v>19.5</v>
      </c>
      <c r="I8" s="32">
        <v>23.2</v>
      </c>
      <c r="J8" s="32">
        <v>25.2</v>
      </c>
      <c r="K8" s="32">
        <v>27.2</v>
      </c>
      <c r="L8" s="32">
        <v>31.6</v>
      </c>
      <c r="M8" s="32">
        <v>33.9</v>
      </c>
      <c r="N8" s="32">
        <v>36.200000000000003</v>
      </c>
      <c r="O8" s="32">
        <v>46.6</v>
      </c>
    </row>
    <row r="9" spans="1:15" x14ac:dyDescent="0.3">
      <c r="A9" s="189"/>
      <c r="B9" s="32">
        <v>100</v>
      </c>
      <c r="C9" s="36">
        <v>5</v>
      </c>
      <c r="D9" s="32">
        <v>11.1</v>
      </c>
      <c r="E9" s="32">
        <v>12.4</v>
      </c>
      <c r="F9" s="32">
        <v>15.3</v>
      </c>
      <c r="G9" s="32">
        <v>16.899999999999999</v>
      </c>
      <c r="H9" s="32">
        <v>18.5</v>
      </c>
      <c r="I9" s="32">
        <v>22</v>
      </c>
      <c r="J9" s="32">
        <v>23.9</v>
      </c>
      <c r="K9" s="32">
        <v>25.9</v>
      </c>
      <c r="L9" s="32">
        <v>30</v>
      </c>
      <c r="M9" s="32">
        <v>32.200000000000003</v>
      </c>
      <c r="N9" s="32">
        <v>34.4</v>
      </c>
      <c r="O9" s="32">
        <v>44.2</v>
      </c>
    </row>
    <row r="10" spans="1:15" ht="15" customHeight="1" x14ac:dyDescent="0.3">
      <c r="A10" s="192" t="s">
        <v>7</v>
      </c>
      <c r="B10" s="32">
        <v>10</v>
      </c>
      <c r="C10" s="36">
        <v>1</v>
      </c>
      <c r="D10" s="32">
        <v>5.3</v>
      </c>
      <c r="E10" s="32">
        <v>8.4</v>
      </c>
      <c r="F10" s="32">
        <v>7.3</v>
      </c>
      <c r="G10" s="32">
        <v>8.1</v>
      </c>
      <c r="H10" s="32">
        <v>8.9</v>
      </c>
      <c r="I10" s="32">
        <v>10.5</v>
      </c>
      <c r="J10" s="32">
        <v>11.4</v>
      </c>
      <c r="K10" s="32">
        <v>12.4</v>
      </c>
      <c r="L10" s="32">
        <v>14.3</v>
      </c>
      <c r="M10" s="32">
        <v>15.4</v>
      </c>
      <c r="N10" s="32">
        <v>16.5</v>
      </c>
      <c r="O10" s="32">
        <v>21.1</v>
      </c>
    </row>
    <row r="11" spans="1:15" x14ac:dyDescent="0.3">
      <c r="A11" s="192"/>
      <c r="B11" s="32">
        <v>20</v>
      </c>
      <c r="C11" s="36">
        <v>1</v>
      </c>
      <c r="D11" s="32">
        <v>5</v>
      </c>
      <c r="E11" s="32">
        <v>7.7</v>
      </c>
      <c r="F11" s="32">
        <v>6.9</v>
      </c>
      <c r="G11" s="32">
        <v>7.6</v>
      </c>
      <c r="H11" s="32">
        <v>8.3000000000000007</v>
      </c>
      <c r="I11" s="32">
        <v>9.9</v>
      </c>
      <c r="J11" s="32">
        <v>10.7</v>
      </c>
      <c r="K11" s="32">
        <v>11.6</v>
      </c>
      <c r="L11" s="32">
        <v>13.4</v>
      </c>
      <c r="M11" s="32">
        <v>14.4</v>
      </c>
      <c r="N11" s="32">
        <v>15.4</v>
      </c>
      <c r="O11" s="32">
        <v>19.8</v>
      </c>
    </row>
    <row r="12" spans="1:15" x14ac:dyDescent="0.3">
      <c r="A12" s="192"/>
      <c r="B12" s="32">
        <v>50</v>
      </c>
      <c r="C12" s="36">
        <v>1</v>
      </c>
      <c r="D12" s="32">
        <v>4.5</v>
      </c>
      <c r="E12" s="32">
        <v>6.7</v>
      </c>
      <c r="F12" s="32">
        <v>6.3</v>
      </c>
      <c r="G12" s="32">
        <v>6.9</v>
      </c>
      <c r="H12" s="32">
        <v>7.6</v>
      </c>
      <c r="I12" s="32">
        <v>9</v>
      </c>
      <c r="J12" s="32">
        <v>9.8000000000000007</v>
      </c>
      <c r="K12" s="32">
        <v>10.6</v>
      </c>
      <c r="L12" s="32">
        <v>12.3</v>
      </c>
      <c r="M12" s="32">
        <v>13.1</v>
      </c>
      <c r="N12" s="32">
        <v>14.1</v>
      </c>
      <c r="O12" s="32">
        <v>18.100000000000001</v>
      </c>
    </row>
    <row r="13" spans="1:15" x14ac:dyDescent="0.3">
      <c r="A13" s="192"/>
      <c r="B13" s="32">
        <v>100</v>
      </c>
      <c r="C13" s="36">
        <v>1</v>
      </c>
      <c r="D13" s="32">
        <v>4.2</v>
      </c>
      <c r="E13" s="32">
        <v>5.9</v>
      </c>
      <c r="F13" s="32">
        <v>5.8</v>
      </c>
      <c r="G13" s="32">
        <v>6.4</v>
      </c>
      <c r="H13" s="32">
        <v>7</v>
      </c>
      <c r="I13" s="32">
        <v>8.3000000000000007</v>
      </c>
      <c r="J13" s="32">
        <v>9.1</v>
      </c>
      <c r="K13" s="32">
        <v>9.3800000000000008</v>
      </c>
      <c r="L13" s="32">
        <v>11.4</v>
      </c>
      <c r="M13" s="32">
        <v>12.2</v>
      </c>
      <c r="N13" s="32">
        <v>13</v>
      </c>
      <c r="O13" s="32">
        <v>16.7</v>
      </c>
    </row>
    <row r="14" spans="1:15" x14ac:dyDescent="0.3">
      <c r="A14" s="192"/>
      <c r="B14" s="32">
        <v>10</v>
      </c>
      <c r="C14" s="36">
        <v>2</v>
      </c>
      <c r="D14" s="32">
        <v>5.3</v>
      </c>
      <c r="E14" s="32">
        <v>8.4</v>
      </c>
      <c r="F14" s="32">
        <v>7.3</v>
      </c>
      <c r="G14" s="32">
        <v>8.1</v>
      </c>
      <c r="H14" s="32">
        <v>8.9</v>
      </c>
      <c r="I14" s="32">
        <v>10.5</v>
      </c>
      <c r="J14" s="32">
        <v>11.4</v>
      </c>
      <c r="K14" s="32">
        <v>12.4</v>
      </c>
      <c r="L14" s="32">
        <v>14.3</v>
      </c>
      <c r="M14" s="32">
        <v>15.4</v>
      </c>
      <c r="N14" s="32">
        <v>16.5</v>
      </c>
      <c r="O14" s="32">
        <v>21.1</v>
      </c>
    </row>
    <row r="15" spans="1:15" x14ac:dyDescent="0.3">
      <c r="A15" s="192"/>
      <c r="B15" s="32">
        <v>20</v>
      </c>
      <c r="C15" s="36">
        <v>2</v>
      </c>
      <c r="D15" s="32">
        <v>5</v>
      </c>
      <c r="E15" s="32">
        <v>7.7</v>
      </c>
      <c r="F15" s="32">
        <v>6.9</v>
      </c>
      <c r="G15" s="32">
        <v>7.6</v>
      </c>
      <c r="H15" s="32">
        <v>8.3000000000000007</v>
      </c>
      <c r="I15" s="32">
        <v>9.9</v>
      </c>
      <c r="J15" s="32">
        <v>10.7</v>
      </c>
      <c r="K15" s="32">
        <v>11.6</v>
      </c>
      <c r="L15" s="32">
        <v>13.4</v>
      </c>
      <c r="M15" s="32">
        <v>14.4</v>
      </c>
      <c r="N15" s="32">
        <v>15.4</v>
      </c>
      <c r="O15" s="32">
        <v>19.8</v>
      </c>
    </row>
    <row r="16" spans="1:15" x14ac:dyDescent="0.3">
      <c r="A16" s="192"/>
      <c r="B16" s="32">
        <v>50</v>
      </c>
      <c r="C16" s="36">
        <v>2</v>
      </c>
      <c r="D16" s="32">
        <v>4.5</v>
      </c>
      <c r="E16" s="32">
        <v>6.7</v>
      </c>
      <c r="F16" s="32">
        <v>6.3</v>
      </c>
      <c r="G16" s="32">
        <v>6.9</v>
      </c>
      <c r="H16" s="32">
        <v>7.6</v>
      </c>
      <c r="I16" s="32">
        <v>9</v>
      </c>
      <c r="J16" s="32">
        <v>9.8000000000000007</v>
      </c>
      <c r="K16" s="32">
        <v>10.6</v>
      </c>
      <c r="L16" s="32">
        <v>12.3</v>
      </c>
      <c r="M16" s="32">
        <v>13.1</v>
      </c>
      <c r="N16" s="32">
        <v>14.1</v>
      </c>
      <c r="O16" s="32">
        <v>18.100000000000001</v>
      </c>
    </row>
    <row r="17" spans="1:15" x14ac:dyDescent="0.3">
      <c r="A17" s="192"/>
      <c r="B17" s="32">
        <v>100</v>
      </c>
      <c r="C17" s="36">
        <v>2</v>
      </c>
      <c r="D17" s="32">
        <v>4.2</v>
      </c>
      <c r="E17" s="32">
        <v>5.9</v>
      </c>
      <c r="F17" s="32">
        <v>5.8</v>
      </c>
      <c r="G17" s="32">
        <v>6.4</v>
      </c>
      <c r="H17" s="32">
        <v>7</v>
      </c>
      <c r="I17" s="32">
        <v>8.3000000000000007</v>
      </c>
      <c r="J17" s="32">
        <v>9.1</v>
      </c>
      <c r="K17" s="32">
        <v>9.3800000000000008</v>
      </c>
      <c r="L17" s="32">
        <v>11.4</v>
      </c>
      <c r="M17" s="32">
        <v>12.2</v>
      </c>
      <c r="N17" s="32">
        <v>13</v>
      </c>
      <c r="O17" s="32">
        <v>16.7</v>
      </c>
    </row>
    <row r="18" spans="1:15" x14ac:dyDescent="0.3">
      <c r="A18" s="192"/>
      <c r="B18" s="32">
        <v>10</v>
      </c>
      <c r="C18" s="36">
        <v>3</v>
      </c>
      <c r="D18" s="32">
        <v>5.3</v>
      </c>
      <c r="E18" s="32">
        <v>8.4</v>
      </c>
      <c r="F18" s="32">
        <v>7.3</v>
      </c>
      <c r="G18" s="32">
        <v>8.1</v>
      </c>
      <c r="H18" s="32">
        <v>8.9</v>
      </c>
      <c r="I18" s="32">
        <v>10.5</v>
      </c>
      <c r="J18" s="32">
        <v>11.4</v>
      </c>
      <c r="K18" s="32">
        <v>12.4</v>
      </c>
      <c r="L18" s="32">
        <v>14.3</v>
      </c>
      <c r="M18" s="32">
        <v>15.4</v>
      </c>
      <c r="N18" s="32">
        <v>16.5</v>
      </c>
      <c r="O18" s="32">
        <v>21.1</v>
      </c>
    </row>
    <row r="19" spans="1:15" x14ac:dyDescent="0.3">
      <c r="A19" s="192"/>
      <c r="B19" s="32">
        <v>20</v>
      </c>
      <c r="C19" s="36">
        <v>3</v>
      </c>
      <c r="D19" s="32">
        <v>5</v>
      </c>
      <c r="E19" s="32">
        <v>7.7</v>
      </c>
      <c r="F19" s="32">
        <v>6.9</v>
      </c>
      <c r="G19" s="32">
        <v>7.6</v>
      </c>
      <c r="H19" s="32">
        <v>8.3000000000000007</v>
      </c>
      <c r="I19" s="32">
        <v>9.9</v>
      </c>
      <c r="J19" s="32">
        <v>10.7</v>
      </c>
      <c r="K19" s="32">
        <v>11.6</v>
      </c>
      <c r="L19" s="32">
        <v>13.4</v>
      </c>
      <c r="M19" s="32">
        <v>14.4</v>
      </c>
      <c r="N19" s="32">
        <v>15.4</v>
      </c>
      <c r="O19" s="32">
        <v>19.8</v>
      </c>
    </row>
    <row r="20" spans="1:15" x14ac:dyDescent="0.3">
      <c r="A20" s="192"/>
      <c r="B20" s="32">
        <v>50</v>
      </c>
      <c r="C20" s="36">
        <v>3</v>
      </c>
      <c r="D20" s="32">
        <v>4.5</v>
      </c>
      <c r="E20" s="32">
        <v>6.7</v>
      </c>
      <c r="F20" s="32">
        <v>6.3</v>
      </c>
      <c r="G20" s="32">
        <v>6.9</v>
      </c>
      <c r="H20" s="32">
        <v>7.6</v>
      </c>
      <c r="I20" s="32">
        <v>9</v>
      </c>
      <c r="J20" s="32">
        <v>9.8000000000000007</v>
      </c>
      <c r="K20" s="32">
        <v>10.6</v>
      </c>
      <c r="L20" s="32">
        <v>12.3</v>
      </c>
      <c r="M20" s="32">
        <v>13.1</v>
      </c>
      <c r="N20" s="32">
        <v>14.1</v>
      </c>
      <c r="O20" s="32">
        <v>18.100000000000001</v>
      </c>
    </row>
    <row r="21" spans="1:15" x14ac:dyDescent="0.3">
      <c r="A21" s="192"/>
      <c r="B21" s="32">
        <v>100</v>
      </c>
      <c r="C21" s="36">
        <v>3</v>
      </c>
      <c r="D21" s="32">
        <v>4.2</v>
      </c>
      <c r="E21" s="32">
        <v>5.9</v>
      </c>
      <c r="F21" s="32">
        <v>5.8</v>
      </c>
      <c r="G21" s="32">
        <v>6.4</v>
      </c>
      <c r="H21" s="32">
        <v>7</v>
      </c>
      <c r="I21" s="32">
        <v>8.3000000000000007</v>
      </c>
      <c r="J21" s="32">
        <v>9.1</v>
      </c>
      <c r="K21" s="32">
        <v>9.3800000000000008</v>
      </c>
      <c r="L21" s="32">
        <v>11.4</v>
      </c>
      <c r="M21" s="32">
        <v>12.2</v>
      </c>
      <c r="N21" s="32">
        <v>13</v>
      </c>
      <c r="O21" s="32">
        <v>16.7</v>
      </c>
    </row>
    <row r="22" spans="1:15" x14ac:dyDescent="0.3">
      <c r="A22" s="192" t="s">
        <v>64</v>
      </c>
      <c r="B22" s="32">
        <v>10</v>
      </c>
      <c r="C22" s="36">
        <v>1</v>
      </c>
      <c r="D22" s="32">
        <v>7.5</v>
      </c>
      <c r="E22" s="32">
        <v>8.4</v>
      </c>
      <c r="F22" s="32">
        <v>10.4</v>
      </c>
      <c r="G22" s="32">
        <v>11.4</v>
      </c>
      <c r="H22" s="32">
        <v>12.5</v>
      </c>
      <c r="I22" s="32">
        <v>14.9</v>
      </c>
      <c r="J22" s="32">
        <v>16.2</v>
      </c>
      <c r="K22" s="32">
        <v>17.5</v>
      </c>
      <c r="L22" s="32">
        <v>20.3</v>
      </c>
      <c r="M22" s="32">
        <v>21.8</v>
      </c>
      <c r="N22" s="32">
        <v>23.3</v>
      </c>
      <c r="O22" s="32">
        <v>30</v>
      </c>
    </row>
    <row r="23" spans="1:15" x14ac:dyDescent="0.3">
      <c r="A23" s="192"/>
      <c r="B23" s="32">
        <v>20</v>
      </c>
      <c r="C23" s="36">
        <v>1</v>
      </c>
      <c r="D23" s="32">
        <v>6.8</v>
      </c>
      <c r="E23" s="32">
        <v>7.7</v>
      </c>
      <c r="F23" s="32">
        <v>9.4</v>
      </c>
      <c r="G23" s="32">
        <v>10.4</v>
      </c>
      <c r="H23" s="32">
        <v>11.4</v>
      </c>
      <c r="I23" s="32">
        <v>13.6</v>
      </c>
      <c r="J23" s="32">
        <v>14.8</v>
      </c>
      <c r="K23" s="32">
        <v>16</v>
      </c>
      <c r="L23" s="32">
        <v>18.5</v>
      </c>
      <c r="M23" s="32">
        <v>19.899999999999999</v>
      </c>
      <c r="N23" s="32">
        <v>21.3</v>
      </c>
      <c r="O23" s="32">
        <v>27.3</v>
      </c>
    </row>
    <row r="24" spans="1:15" x14ac:dyDescent="0.3">
      <c r="A24" s="192"/>
      <c r="B24" s="32">
        <v>50</v>
      </c>
      <c r="C24" s="36">
        <v>1</v>
      </c>
      <c r="D24" s="32">
        <v>6</v>
      </c>
      <c r="E24" s="32">
        <v>6.7</v>
      </c>
      <c r="F24" s="32">
        <v>8.1999999999999993</v>
      </c>
      <c r="G24" s="32">
        <v>9.1</v>
      </c>
      <c r="H24" s="32">
        <v>10</v>
      </c>
      <c r="I24" s="32">
        <v>11.9</v>
      </c>
      <c r="J24" s="32">
        <v>12.9</v>
      </c>
      <c r="K24" s="32">
        <v>13.9</v>
      </c>
      <c r="L24" s="32">
        <v>16.100000000000001</v>
      </c>
      <c r="M24" s="32">
        <v>17.3</v>
      </c>
      <c r="N24" s="32">
        <v>18.5</v>
      </c>
      <c r="O24" s="32">
        <v>23.8</v>
      </c>
    </row>
    <row r="25" spans="1:15" x14ac:dyDescent="0.3">
      <c r="A25" s="192"/>
      <c r="B25" s="32">
        <v>100</v>
      </c>
      <c r="C25" s="36">
        <v>1</v>
      </c>
      <c r="D25" s="32">
        <v>5.3</v>
      </c>
      <c r="E25" s="32">
        <v>5.9</v>
      </c>
      <c r="F25" s="32">
        <v>7.3</v>
      </c>
      <c r="G25" s="32">
        <v>8.1</v>
      </c>
      <c r="H25" s="32">
        <v>8.9</v>
      </c>
      <c r="I25" s="32">
        <v>10.5</v>
      </c>
      <c r="J25" s="32">
        <v>11.4</v>
      </c>
      <c r="K25" s="32">
        <v>12.4</v>
      </c>
      <c r="L25" s="32">
        <v>14.3</v>
      </c>
      <c r="M25" s="32">
        <v>15.4</v>
      </c>
      <c r="N25" s="32">
        <v>16.5</v>
      </c>
      <c r="O25" s="32">
        <v>21.1</v>
      </c>
    </row>
    <row r="26" spans="1:15" ht="15" customHeight="1" x14ac:dyDescent="0.3">
      <c r="A26" s="192"/>
      <c r="B26" s="32">
        <v>10</v>
      </c>
      <c r="C26" s="36">
        <v>2</v>
      </c>
      <c r="D26" s="32">
        <v>7.5</v>
      </c>
      <c r="E26" s="32">
        <v>8.4</v>
      </c>
      <c r="F26" s="32">
        <v>10.4</v>
      </c>
      <c r="G26" s="32">
        <v>11.4</v>
      </c>
      <c r="H26" s="32">
        <v>12.5</v>
      </c>
      <c r="I26" s="32">
        <v>14.9</v>
      </c>
      <c r="J26" s="32">
        <v>16.2</v>
      </c>
      <c r="K26" s="32">
        <v>17.5</v>
      </c>
      <c r="L26" s="32">
        <v>20.3</v>
      </c>
      <c r="M26" s="32">
        <v>21.8</v>
      </c>
      <c r="N26" s="32">
        <v>23.3</v>
      </c>
      <c r="O26" s="32">
        <v>30</v>
      </c>
    </row>
    <row r="27" spans="1:15" x14ac:dyDescent="0.3">
      <c r="A27" s="192"/>
      <c r="B27" s="32">
        <v>20</v>
      </c>
      <c r="C27" s="36">
        <v>2</v>
      </c>
      <c r="D27" s="32">
        <v>6.8</v>
      </c>
      <c r="E27" s="32">
        <v>7.7</v>
      </c>
      <c r="F27" s="32">
        <v>9.4</v>
      </c>
      <c r="G27" s="32">
        <v>10.4</v>
      </c>
      <c r="H27" s="32">
        <v>11.4</v>
      </c>
      <c r="I27" s="32">
        <v>13.6</v>
      </c>
      <c r="J27" s="32">
        <v>14.8</v>
      </c>
      <c r="K27" s="32">
        <v>16</v>
      </c>
      <c r="L27" s="32">
        <v>18.5</v>
      </c>
      <c r="M27" s="32">
        <v>19.899999999999999</v>
      </c>
      <c r="N27" s="32">
        <v>21.3</v>
      </c>
      <c r="O27" s="32">
        <v>27.3</v>
      </c>
    </row>
    <row r="28" spans="1:15" x14ac:dyDescent="0.3">
      <c r="A28" s="192"/>
      <c r="B28" s="32">
        <v>50</v>
      </c>
      <c r="C28" s="36">
        <v>2</v>
      </c>
      <c r="D28" s="32">
        <v>6</v>
      </c>
      <c r="E28" s="32">
        <v>6.7</v>
      </c>
      <c r="F28" s="32">
        <v>8.1999999999999993</v>
      </c>
      <c r="G28" s="32">
        <v>9.1</v>
      </c>
      <c r="H28" s="32">
        <v>10</v>
      </c>
      <c r="I28" s="32">
        <v>11.9</v>
      </c>
      <c r="J28" s="32">
        <v>12.9</v>
      </c>
      <c r="K28" s="32">
        <v>13.9</v>
      </c>
      <c r="L28" s="32">
        <v>16.100000000000001</v>
      </c>
      <c r="M28" s="32">
        <v>17.3</v>
      </c>
      <c r="N28" s="32">
        <v>18.5</v>
      </c>
      <c r="O28" s="32">
        <v>23.8</v>
      </c>
    </row>
    <row r="29" spans="1:15" x14ac:dyDescent="0.3">
      <c r="A29" s="192"/>
      <c r="B29" s="32">
        <v>100</v>
      </c>
      <c r="C29" s="36">
        <v>2</v>
      </c>
      <c r="D29" s="32">
        <v>5.3</v>
      </c>
      <c r="E29" s="32">
        <v>5.9</v>
      </c>
      <c r="F29" s="32">
        <v>7.3</v>
      </c>
      <c r="G29" s="32">
        <v>8.1</v>
      </c>
      <c r="H29" s="32">
        <v>8.9</v>
      </c>
      <c r="I29" s="32">
        <v>10.5</v>
      </c>
      <c r="J29" s="32">
        <v>11.4</v>
      </c>
      <c r="K29" s="32">
        <v>12.4</v>
      </c>
      <c r="L29" s="32">
        <v>14.3</v>
      </c>
      <c r="M29" s="32">
        <v>15.4</v>
      </c>
      <c r="N29" s="32">
        <v>16.5</v>
      </c>
      <c r="O29" s="32">
        <v>21.1</v>
      </c>
    </row>
    <row r="30" spans="1:15" x14ac:dyDescent="0.3">
      <c r="A30" s="192"/>
      <c r="B30" s="32">
        <v>10</v>
      </c>
      <c r="C30" s="36">
        <v>3</v>
      </c>
      <c r="D30" s="32">
        <v>7.5</v>
      </c>
      <c r="E30" s="32">
        <v>8.4</v>
      </c>
      <c r="F30" s="32">
        <v>10.4</v>
      </c>
      <c r="G30" s="32">
        <v>11.4</v>
      </c>
      <c r="H30" s="32">
        <v>12.5</v>
      </c>
      <c r="I30" s="32">
        <v>14.9</v>
      </c>
      <c r="J30" s="32">
        <v>16.2</v>
      </c>
      <c r="K30" s="32">
        <v>17.5</v>
      </c>
      <c r="L30" s="32">
        <v>20.3</v>
      </c>
      <c r="M30" s="32">
        <v>21.8</v>
      </c>
      <c r="N30" s="32">
        <v>23.3</v>
      </c>
      <c r="O30" s="32">
        <v>30</v>
      </c>
    </row>
    <row r="31" spans="1:15" x14ac:dyDescent="0.3">
      <c r="A31" s="192"/>
      <c r="B31" s="32">
        <v>20</v>
      </c>
      <c r="C31" s="36">
        <v>3</v>
      </c>
      <c r="D31" s="32">
        <v>6.8</v>
      </c>
      <c r="E31" s="32">
        <v>7.7</v>
      </c>
      <c r="F31" s="32">
        <v>9.4</v>
      </c>
      <c r="G31" s="32">
        <v>10.4</v>
      </c>
      <c r="H31" s="32">
        <v>11.4</v>
      </c>
      <c r="I31" s="32">
        <v>13.6</v>
      </c>
      <c r="J31" s="32">
        <v>14.8</v>
      </c>
      <c r="K31" s="32">
        <v>16</v>
      </c>
      <c r="L31" s="32">
        <v>18.5</v>
      </c>
      <c r="M31" s="32">
        <v>19.899999999999999</v>
      </c>
      <c r="N31" s="32">
        <v>21.3</v>
      </c>
      <c r="O31" s="32">
        <v>27.3</v>
      </c>
    </row>
    <row r="32" spans="1:15" x14ac:dyDescent="0.3">
      <c r="A32" s="192"/>
      <c r="B32" s="32">
        <v>50</v>
      </c>
      <c r="C32" s="36">
        <v>3</v>
      </c>
      <c r="D32" s="32">
        <v>6</v>
      </c>
      <c r="E32" s="32">
        <v>6.7</v>
      </c>
      <c r="F32" s="32">
        <v>8.1999999999999993</v>
      </c>
      <c r="G32" s="32">
        <v>9.1</v>
      </c>
      <c r="H32" s="32">
        <v>10</v>
      </c>
      <c r="I32" s="32">
        <v>11.9</v>
      </c>
      <c r="J32" s="32">
        <v>12.9</v>
      </c>
      <c r="K32" s="32">
        <v>13.9</v>
      </c>
      <c r="L32" s="32">
        <v>16.100000000000001</v>
      </c>
      <c r="M32" s="32">
        <v>17.3</v>
      </c>
      <c r="N32" s="32">
        <v>18.5</v>
      </c>
      <c r="O32" s="32">
        <v>23.8</v>
      </c>
    </row>
    <row r="33" spans="1:15" x14ac:dyDescent="0.3">
      <c r="A33" s="192"/>
      <c r="B33" s="32">
        <v>100</v>
      </c>
      <c r="C33" s="36">
        <v>3</v>
      </c>
      <c r="D33" s="32">
        <v>5.3</v>
      </c>
      <c r="E33" s="32">
        <v>5.9</v>
      </c>
      <c r="F33" s="32">
        <v>7.3</v>
      </c>
      <c r="G33" s="32">
        <v>8.1</v>
      </c>
      <c r="H33" s="32">
        <v>8.9</v>
      </c>
      <c r="I33" s="32">
        <v>10.5</v>
      </c>
      <c r="J33" s="32">
        <v>11.4</v>
      </c>
      <c r="K33" s="32">
        <v>12.4</v>
      </c>
      <c r="L33" s="32">
        <v>14.3</v>
      </c>
      <c r="M33" s="32">
        <v>15.4</v>
      </c>
      <c r="N33" s="32">
        <v>16.5</v>
      </c>
      <c r="O33" s="32">
        <v>21.1</v>
      </c>
    </row>
    <row r="34" spans="1:15" x14ac:dyDescent="0.3">
      <c r="A34" s="192" t="s">
        <v>10</v>
      </c>
      <c r="B34" s="32">
        <v>10</v>
      </c>
      <c r="C34" s="36">
        <v>1</v>
      </c>
      <c r="D34" s="32">
        <v>11.9</v>
      </c>
      <c r="E34" s="32">
        <v>13.3</v>
      </c>
      <c r="F34" s="32">
        <v>16.5</v>
      </c>
      <c r="G34" s="32">
        <v>18.2</v>
      </c>
      <c r="H34" s="32">
        <v>19.899999999999999</v>
      </c>
      <c r="I34" s="32">
        <v>23.7</v>
      </c>
      <c r="J34" s="32">
        <v>25.7</v>
      </c>
      <c r="K34" s="32">
        <v>27.8</v>
      </c>
      <c r="L34" s="32">
        <v>32.299999999999997</v>
      </c>
      <c r="M34" s="32">
        <v>34.6</v>
      </c>
      <c r="N34" s="32">
        <v>37</v>
      </c>
      <c r="O34" s="32">
        <v>47.6</v>
      </c>
    </row>
    <row r="35" spans="1:15" x14ac:dyDescent="0.3">
      <c r="A35" s="192"/>
      <c r="B35" s="32">
        <v>20</v>
      </c>
      <c r="C35" s="36">
        <v>1</v>
      </c>
      <c r="D35" s="32">
        <v>11.6</v>
      </c>
      <c r="E35" s="32">
        <v>13</v>
      </c>
      <c r="F35" s="32">
        <v>16</v>
      </c>
      <c r="G35" s="32">
        <v>17.600000000000001</v>
      </c>
      <c r="H35" s="32">
        <v>19.399999999999999</v>
      </c>
      <c r="I35" s="32">
        <v>23</v>
      </c>
      <c r="J35" s="32">
        <v>25</v>
      </c>
      <c r="K35" s="32">
        <v>27</v>
      </c>
      <c r="L35" s="32">
        <v>31.4</v>
      </c>
      <c r="M35" s="32">
        <v>33.700000000000003</v>
      </c>
      <c r="N35" s="32">
        <v>36</v>
      </c>
      <c r="O35" s="32">
        <v>46.3</v>
      </c>
    </row>
    <row r="36" spans="1:15" x14ac:dyDescent="0.3">
      <c r="A36" s="192"/>
      <c r="B36" s="32">
        <v>50</v>
      </c>
      <c r="C36" s="36">
        <v>1</v>
      </c>
      <c r="D36" s="32">
        <v>11.1</v>
      </c>
      <c r="E36" s="32">
        <v>12.5</v>
      </c>
      <c r="F36" s="32">
        <v>15.4</v>
      </c>
      <c r="G36" s="32">
        <v>17</v>
      </c>
      <c r="H36" s="32">
        <v>18.600000000000001</v>
      </c>
      <c r="I36" s="32">
        <v>22.2</v>
      </c>
      <c r="J36" s="32">
        <v>24.1</v>
      </c>
      <c r="K36" s="32">
        <v>26</v>
      </c>
      <c r="L36" s="32">
        <v>30.2</v>
      </c>
      <c r="M36" s="32">
        <v>32.4</v>
      </c>
      <c r="N36" s="32">
        <v>34.6</v>
      </c>
      <c r="O36" s="32">
        <v>44.5</v>
      </c>
    </row>
    <row r="37" spans="1:15" x14ac:dyDescent="0.3">
      <c r="A37" s="192"/>
      <c r="B37" s="32">
        <v>100</v>
      </c>
      <c r="C37" s="36">
        <v>1</v>
      </c>
      <c r="D37" s="32">
        <v>10.8</v>
      </c>
      <c r="E37" s="32">
        <v>21.1</v>
      </c>
      <c r="F37" s="32">
        <v>14.9</v>
      </c>
      <c r="G37" s="32">
        <v>16.5</v>
      </c>
      <c r="H37" s="32">
        <v>18.100000000000001</v>
      </c>
      <c r="I37" s="32">
        <v>21.5</v>
      </c>
      <c r="J37" s="32">
        <v>23.3</v>
      </c>
      <c r="K37" s="32">
        <v>25.2</v>
      </c>
      <c r="L37" s="32">
        <v>29.3</v>
      </c>
      <c r="M37" s="32">
        <v>31.4</v>
      </c>
      <c r="N37" s="32">
        <v>33.6</v>
      </c>
      <c r="O37" s="32">
        <v>43.2</v>
      </c>
    </row>
    <row r="38" spans="1:15" x14ac:dyDescent="0.3">
      <c r="A38" s="192"/>
      <c r="B38" s="32">
        <v>10</v>
      </c>
      <c r="C38" s="36">
        <v>2</v>
      </c>
      <c r="D38" s="32">
        <v>11.9</v>
      </c>
      <c r="E38" s="32">
        <v>13.3</v>
      </c>
      <c r="F38" s="32">
        <v>16.5</v>
      </c>
      <c r="G38" s="32">
        <v>18.2</v>
      </c>
      <c r="H38" s="32">
        <v>19.899999999999999</v>
      </c>
      <c r="I38" s="32">
        <v>23.7</v>
      </c>
      <c r="J38" s="32">
        <v>25.7</v>
      </c>
      <c r="K38" s="32">
        <v>27.8</v>
      </c>
      <c r="L38" s="32">
        <v>32.299999999999997</v>
      </c>
      <c r="M38" s="32">
        <v>34.6</v>
      </c>
      <c r="N38" s="32">
        <v>37</v>
      </c>
      <c r="O38" s="32">
        <v>47.6</v>
      </c>
    </row>
    <row r="39" spans="1:15" x14ac:dyDescent="0.3">
      <c r="A39" s="192"/>
      <c r="B39" s="32">
        <v>20</v>
      </c>
      <c r="C39" s="36">
        <v>2</v>
      </c>
      <c r="D39" s="32">
        <v>11.6</v>
      </c>
      <c r="E39" s="32">
        <v>13</v>
      </c>
      <c r="F39" s="32">
        <v>16</v>
      </c>
      <c r="G39" s="32">
        <v>17.600000000000001</v>
      </c>
      <c r="H39" s="32">
        <v>19.399999999999999</v>
      </c>
      <c r="I39" s="32">
        <v>23</v>
      </c>
      <c r="J39" s="32">
        <v>25</v>
      </c>
      <c r="K39" s="32">
        <v>27</v>
      </c>
      <c r="L39" s="32">
        <v>31.4</v>
      </c>
      <c r="M39" s="32">
        <v>33.700000000000003</v>
      </c>
      <c r="N39" s="32">
        <v>36</v>
      </c>
      <c r="O39" s="32">
        <v>46.3</v>
      </c>
    </row>
    <row r="40" spans="1:15" x14ac:dyDescent="0.3">
      <c r="A40" s="192"/>
      <c r="B40" s="32">
        <v>50</v>
      </c>
      <c r="C40" s="36">
        <v>2</v>
      </c>
      <c r="D40" s="32">
        <v>11.1</v>
      </c>
      <c r="E40" s="32">
        <v>12.5</v>
      </c>
      <c r="F40" s="32">
        <v>15.4</v>
      </c>
      <c r="G40" s="32">
        <v>17</v>
      </c>
      <c r="H40" s="32">
        <v>18.600000000000001</v>
      </c>
      <c r="I40" s="32">
        <v>22.2</v>
      </c>
      <c r="J40" s="32">
        <v>24.1</v>
      </c>
      <c r="K40" s="32">
        <v>26</v>
      </c>
      <c r="L40" s="32">
        <v>30.2</v>
      </c>
      <c r="M40" s="32">
        <v>32.4</v>
      </c>
      <c r="N40" s="32">
        <v>34.6</v>
      </c>
      <c r="O40" s="32">
        <v>44.5</v>
      </c>
    </row>
    <row r="41" spans="1:15" x14ac:dyDescent="0.3">
      <c r="A41" s="192"/>
      <c r="B41" s="32">
        <v>100</v>
      </c>
      <c r="C41" s="36">
        <v>2</v>
      </c>
      <c r="D41" s="32">
        <v>10.8</v>
      </c>
      <c r="E41" s="32">
        <v>21.1</v>
      </c>
      <c r="F41" s="32">
        <v>14.9</v>
      </c>
      <c r="G41" s="32">
        <v>16.5</v>
      </c>
      <c r="H41" s="32">
        <v>18.100000000000001</v>
      </c>
      <c r="I41" s="32">
        <v>21.5</v>
      </c>
      <c r="J41" s="32">
        <v>23.3</v>
      </c>
      <c r="K41" s="32">
        <v>25.2</v>
      </c>
      <c r="L41" s="32">
        <v>29.3</v>
      </c>
      <c r="M41" s="32">
        <v>31.4</v>
      </c>
      <c r="N41" s="32">
        <v>33.6</v>
      </c>
      <c r="O41" s="32">
        <v>43.2</v>
      </c>
    </row>
    <row r="42" spans="1:15" x14ac:dyDescent="0.3">
      <c r="A42" s="192"/>
      <c r="B42" s="32">
        <v>10</v>
      </c>
      <c r="C42" s="36">
        <v>3</v>
      </c>
      <c r="D42" s="32">
        <v>11.9</v>
      </c>
      <c r="E42" s="32">
        <v>13.3</v>
      </c>
      <c r="F42" s="32">
        <v>16.5</v>
      </c>
      <c r="G42" s="32">
        <v>18.2</v>
      </c>
      <c r="H42" s="32">
        <v>19.899999999999999</v>
      </c>
      <c r="I42" s="32">
        <v>23.7</v>
      </c>
      <c r="J42" s="32">
        <v>25.7</v>
      </c>
      <c r="K42" s="32">
        <v>27.8</v>
      </c>
      <c r="L42" s="32">
        <v>32.299999999999997</v>
      </c>
      <c r="M42" s="32">
        <v>34.6</v>
      </c>
      <c r="N42" s="32">
        <v>37</v>
      </c>
      <c r="O42" s="32">
        <v>47.6</v>
      </c>
    </row>
    <row r="43" spans="1:15" x14ac:dyDescent="0.3">
      <c r="A43" s="192"/>
      <c r="B43" s="32">
        <v>20</v>
      </c>
      <c r="C43" s="36">
        <v>3</v>
      </c>
      <c r="D43" s="32">
        <v>11.6</v>
      </c>
      <c r="E43" s="32">
        <v>13</v>
      </c>
      <c r="F43" s="32">
        <v>16</v>
      </c>
      <c r="G43" s="32">
        <v>17.600000000000001</v>
      </c>
      <c r="H43" s="32">
        <v>19.399999999999999</v>
      </c>
      <c r="I43" s="32">
        <v>23</v>
      </c>
      <c r="J43" s="32">
        <v>25</v>
      </c>
      <c r="K43" s="32">
        <v>27</v>
      </c>
      <c r="L43" s="32">
        <v>31.4</v>
      </c>
      <c r="M43" s="32">
        <v>33.700000000000003</v>
      </c>
      <c r="N43" s="32">
        <v>36</v>
      </c>
      <c r="O43" s="32">
        <v>46.3</v>
      </c>
    </row>
    <row r="44" spans="1:15" x14ac:dyDescent="0.3">
      <c r="A44" s="192"/>
      <c r="B44" s="32">
        <v>50</v>
      </c>
      <c r="C44" s="36">
        <v>3</v>
      </c>
      <c r="D44" s="32">
        <v>11.1</v>
      </c>
      <c r="E44" s="32">
        <v>12.5</v>
      </c>
      <c r="F44" s="32">
        <v>15.4</v>
      </c>
      <c r="G44" s="32">
        <v>17</v>
      </c>
      <c r="H44" s="32">
        <v>18.600000000000001</v>
      </c>
      <c r="I44" s="32">
        <v>22.2</v>
      </c>
      <c r="J44" s="32">
        <v>24.1</v>
      </c>
      <c r="K44" s="32">
        <v>26</v>
      </c>
      <c r="L44" s="32">
        <v>30.2</v>
      </c>
      <c r="M44" s="32">
        <v>32.4</v>
      </c>
      <c r="N44" s="32">
        <v>34.6</v>
      </c>
      <c r="O44" s="32">
        <v>44.5</v>
      </c>
    </row>
    <row r="45" spans="1:15" x14ac:dyDescent="0.3">
      <c r="A45" s="192"/>
      <c r="B45" s="32">
        <v>100</v>
      </c>
      <c r="C45" s="36">
        <v>3</v>
      </c>
      <c r="D45" s="32">
        <v>10.8</v>
      </c>
      <c r="E45" s="32">
        <v>21.1</v>
      </c>
      <c r="F45" s="32">
        <v>14.9</v>
      </c>
      <c r="G45" s="32">
        <v>16.5</v>
      </c>
      <c r="H45" s="32">
        <v>18.100000000000001</v>
      </c>
      <c r="I45" s="32">
        <v>21.5</v>
      </c>
      <c r="J45" s="32">
        <v>23.3</v>
      </c>
      <c r="K45" s="32">
        <v>25.2</v>
      </c>
      <c r="L45" s="32">
        <v>29.3</v>
      </c>
      <c r="M45" s="32">
        <v>31.4</v>
      </c>
      <c r="N45" s="32">
        <v>33.6</v>
      </c>
      <c r="O45" s="32">
        <v>43.2</v>
      </c>
    </row>
    <row r="46" spans="1:15" x14ac:dyDescent="0.3">
      <c r="A46" s="33"/>
      <c r="C46" s="1"/>
    </row>
    <row r="47" spans="1:15" x14ac:dyDescent="0.3">
      <c r="A47" s="33"/>
      <c r="C47" s="1"/>
    </row>
    <row r="48" spans="1:15" x14ac:dyDescent="0.3">
      <c r="A48" s="33"/>
      <c r="C48" s="1"/>
    </row>
    <row r="49" spans="1:10" x14ac:dyDescent="0.3">
      <c r="A49" s="33"/>
      <c r="C49" s="1"/>
    </row>
    <row r="50" spans="1:10" ht="15" customHeight="1" x14ac:dyDescent="0.3">
      <c r="A50" t="s">
        <v>30</v>
      </c>
      <c r="B50" s="2"/>
      <c r="C50" t="s">
        <v>31</v>
      </c>
    </row>
    <row r="51" spans="1:10" x14ac:dyDescent="0.3">
      <c r="A51">
        <f>'C&amp;C 7-05 Simplified'!E13</f>
        <v>130</v>
      </c>
      <c r="C51">
        <f>'C&amp;C 7-05 Simplified'!E15</f>
        <v>15</v>
      </c>
    </row>
    <row r="54" spans="1:10" x14ac:dyDescent="0.3">
      <c r="A54" s="2" t="s">
        <v>32</v>
      </c>
      <c r="D54" s="131" t="s">
        <v>65</v>
      </c>
      <c r="E54" s="131"/>
      <c r="G54" s="131" t="s">
        <v>35</v>
      </c>
      <c r="H54" s="131"/>
      <c r="I54" s="131"/>
      <c r="J54" s="131"/>
    </row>
    <row r="55" spans="1:10" x14ac:dyDescent="0.3">
      <c r="A55" s="1">
        <v>4</v>
      </c>
      <c r="B55">
        <f>INDEX(D2:O2,MATCH(C51,B2,1),MATCH(A51,D1:O1,0))</f>
        <v>30.4</v>
      </c>
      <c r="D55" s="1">
        <v>4</v>
      </c>
      <c r="E55">
        <f>INDEX(D2:O2,MATCH(C51,B2,1),MATCH(A51,D1:O1,0))</f>
        <v>30.4</v>
      </c>
      <c r="G55" s="1">
        <v>4</v>
      </c>
      <c r="H55">
        <f>INDEX(D2:O2,MATCH(C51,B2,1),MATCH(A51,D1:O1,0))</f>
        <v>30.4</v>
      </c>
      <c r="I55" s="1"/>
    </row>
    <row r="56" spans="1:10" x14ac:dyDescent="0.3">
      <c r="A56" s="1">
        <v>5</v>
      </c>
      <c r="B56">
        <f>INDEX(D6:O6,MATCH(C51,B6,1),MATCH(A51,D1:O1,0))</f>
        <v>30.4</v>
      </c>
      <c r="D56" s="1">
        <v>5</v>
      </c>
      <c r="E56">
        <f>INDEX(D6:O6,MATCH(C51,B6,1),MATCH(A51,D1:O1,0))</f>
        <v>30.4</v>
      </c>
      <c r="G56" s="1">
        <v>5</v>
      </c>
      <c r="H56">
        <f>INDEX(D6:O6,MATCH(C51,B6,1),MATCH(A51,D1:O1,0))</f>
        <v>30.4</v>
      </c>
      <c r="I56" s="1"/>
    </row>
    <row r="57" spans="1:10" x14ac:dyDescent="0.3">
      <c r="A57" s="1">
        <v>1</v>
      </c>
      <c r="B57">
        <f>INDEX(D10:O10,MATCH(C51,B10,1),MATCH(A51,D1:O1,0))</f>
        <v>12.4</v>
      </c>
      <c r="D57" s="1">
        <v>1</v>
      </c>
      <c r="E57">
        <f>INDEX(D22:O22,MATCH(C51,B22,1),MATCH(A51,D1:O1,0))</f>
        <v>17.5</v>
      </c>
      <c r="G57" s="1">
        <v>1</v>
      </c>
      <c r="H57">
        <f>INDEX(D34:O34,MATCH(C51,B34,1),MATCH(A51,D1:O1,0))</f>
        <v>27.8</v>
      </c>
      <c r="I57" s="1"/>
    </row>
    <row r="58" spans="1:10" x14ac:dyDescent="0.3">
      <c r="A58" s="1">
        <v>2</v>
      </c>
      <c r="B58">
        <f>INDEX(D14:O14,MATCH(C51,B14,1),MATCH(A51,D1:O1,0))</f>
        <v>12.4</v>
      </c>
      <c r="D58" s="1">
        <v>2</v>
      </c>
      <c r="E58">
        <f>INDEX(D26:O26,MATCH(C51,B26,1),MATCH(A51,D1:O1,0))</f>
        <v>17.5</v>
      </c>
      <c r="G58" s="1">
        <v>2</v>
      </c>
      <c r="H58">
        <f>INDEX(D38:O38,MATCH(C51,B38,1),MATCH(A51,D1:O1,0))</f>
        <v>27.8</v>
      </c>
      <c r="I58" s="1"/>
    </row>
    <row r="59" spans="1:10" x14ac:dyDescent="0.3">
      <c r="A59" s="1">
        <v>3</v>
      </c>
      <c r="B59">
        <f>INDEX(D18:O18,MATCH(C51,B18,1),MATCH(A51,D1:O1,0))</f>
        <v>12.4</v>
      </c>
      <c r="D59" s="1">
        <v>3</v>
      </c>
      <c r="E59">
        <f>INDEX(D30:O30,MATCH(C51,B30,1),MATCH(A51,D1:O1,0))</f>
        <v>17.5</v>
      </c>
      <c r="G59" s="1">
        <v>3</v>
      </c>
      <c r="H59">
        <f>INDEX(D42:O42,MATCH(C51,B42,1),MATCH(A51,D1:O1,0))</f>
        <v>27.8</v>
      </c>
      <c r="I59" s="1"/>
    </row>
    <row r="60" spans="1:10" x14ac:dyDescent="0.3">
      <c r="A60" s="33"/>
    </row>
    <row r="61" spans="1:10" x14ac:dyDescent="0.3">
      <c r="A61" s="33"/>
    </row>
    <row r="62" spans="1:10" x14ac:dyDescent="0.3">
      <c r="A62" s="33"/>
      <c r="C62" s="1"/>
    </row>
    <row r="63" spans="1:10" x14ac:dyDescent="0.3">
      <c r="A63" s="33"/>
      <c r="C63" s="1"/>
    </row>
    <row r="64" spans="1:10" x14ac:dyDescent="0.3">
      <c r="A64" s="33"/>
      <c r="C64" s="1"/>
    </row>
    <row r="65" spans="1:3" x14ac:dyDescent="0.3">
      <c r="A65" s="33"/>
      <c r="C65" s="1"/>
    </row>
    <row r="66" spans="1:3" x14ac:dyDescent="0.3">
      <c r="A66" s="33"/>
      <c r="C66" s="1"/>
    </row>
    <row r="67" spans="1:3" x14ac:dyDescent="0.3">
      <c r="A67" s="33"/>
      <c r="C67" s="1"/>
    </row>
    <row r="68" spans="1:3" x14ac:dyDescent="0.3">
      <c r="A68" s="33"/>
      <c r="C68" s="1"/>
    </row>
    <row r="69" spans="1:3" x14ac:dyDescent="0.3">
      <c r="A69" s="33"/>
      <c r="C69" s="1"/>
    </row>
    <row r="70" spans="1:3" x14ac:dyDescent="0.3">
      <c r="A70" s="33"/>
      <c r="C70" s="1"/>
    </row>
    <row r="71" spans="1:3" x14ac:dyDescent="0.3">
      <c r="A71" s="33"/>
      <c r="C71" s="1"/>
    </row>
    <row r="72" spans="1:3" x14ac:dyDescent="0.3">
      <c r="A72" s="33"/>
      <c r="C72" s="1"/>
    </row>
    <row r="73" spans="1:3" x14ac:dyDescent="0.3">
      <c r="A73" s="33"/>
      <c r="C73" s="1"/>
    </row>
    <row r="74" spans="1:3" ht="15" customHeight="1" x14ac:dyDescent="0.3">
      <c r="A74" s="33"/>
      <c r="C74" s="1"/>
    </row>
    <row r="75" spans="1:3" x14ac:dyDescent="0.3">
      <c r="A75" s="33"/>
      <c r="C75" s="1"/>
    </row>
    <row r="76" spans="1:3" x14ac:dyDescent="0.3">
      <c r="A76" s="33"/>
      <c r="C76" s="1"/>
    </row>
    <row r="77" spans="1:3" x14ac:dyDescent="0.3">
      <c r="A77" s="33"/>
      <c r="C77" s="1"/>
    </row>
    <row r="78" spans="1:3" x14ac:dyDescent="0.3">
      <c r="A78" s="33"/>
      <c r="C78" s="1"/>
    </row>
    <row r="79" spans="1:3" x14ac:dyDescent="0.3">
      <c r="A79" s="33"/>
      <c r="C79" s="1"/>
    </row>
    <row r="80" spans="1:3" x14ac:dyDescent="0.3">
      <c r="A80" s="33"/>
      <c r="C80" s="1"/>
    </row>
    <row r="81" spans="1:3" x14ac:dyDescent="0.3">
      <c r="A81" s="33"/>
      <c r="C81" s="1"/>
    </row>
    <row r="82" spans="1:3" x14ac:dyDescent="0.3">
      <c r="A82" s="33"/>
      <c r="C82" s="1"/>
    </row>
    <row r="83" spans="1:3" x14ac:dyDescent="0.3">
      <c r="A83" s="33"/>
      <c r="C83" s="1"/>
    </row>
    <row r="84" spans="1:3" x14ac:dyDescent="0.3">
      <c r="A84" s="33"/>
      <c r="C84" s="1"/>
    </row>
    <row r="85" spans="1:3" x14ac:dyDescent="0.3">
      <c r="A85" s="33"/>
      <c r="C85" s="1"/>
    </row>
    <row r="86" spans="1:3" x14ac:dyDescent="0.3">
      <c r="A86" s="33"/>
      <c r="C86" s="1"/>
    </row>
    <row r="87" spans="1:3" x14ac:dyDescent="0.3">
      <c r="A87" s="33"/>
      <c r="C87" s="1"/>
    </row>
    <row r="88" spans="1:3" x14ac:dyDescent="0.3">
      <c r="A88" s="33"/>
      <c r="C88" s="1"/>
    </row>
    <row r="89" spans="1:3" x14ac:dyDescent="0.3">
      <c r="A89" s="33"/>
      <c r="C89" s="1"/>
    </row>
    <row r="90" spans="1:3" x14ac:dyDescent="0.3">
      <c r="A90" s="33"/>
      <c r="C90" s="1"/>
    </row>
    <row r="91" spans="1:3" x14ac:dyDescent="0.3">
      <c r="A91" s="33"/>
      <c r="C91" s="1"/>
    </row>
    <row r="92" spans="1:3" x14ac:dyDescent="0.3">
      <c r="A92" s="33"/>
      <c r="C92" s="1"/>
    </row>
    <row r="93" spans="1:3" x14ac:dyDescent="0.3">
      <c r="A93" s="33"/>
      <c r="C93" s="1"/>
    </row>
    <row r="94" spans="1:3" x14ac:dyDescent="0.3">
      <c r="A94" s="33"/>
    </row>
    <row r="95" spans="1:3" x14ac:dyDescent="0.3">
      <c r="A95" s="33"/>
    </row>
    <row r="96" spans="1:3" x14ac:dyDescent="0.3">
      <c r="A96" s="33"/>
    </row>
    <row r="97" spans="1:1" x14ac:dyDescent="0.3">
      <c r="A97" s="33"/>
    </row>
  </sheetData>
  <mergeCells count="7">
    <mergeCell ref="A2:A9"/>
    <mergeCell ref="D54:E54"/>
    <mergeCell ref="G54:H54"/>
    <mergeCell ref="I54:J54"/>
    <mergeCell ref="A10:A21"/>
    <mergeCell ref="A22:A33"/>
    <mergeCell ref="A34:A4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97"/>
  <sheetViews>
    <sheetView workbookViewId="0">
      <pane ySplit="1" topLeftCell="A2" activePane="bottomLeft" state="frozen"/>
      <selection activeCell="C2" sqref="C2"/>
      <selection pane="bottomLeft" activeCell="C2" sqref="C2"/>
    </sheetView>
  </sheetViews>
  <sheetFormatPr defaultRowHeight="14.4" x14ac:dyDescent="0.3"/>
  <cols>
    <col min="2" max="2" width="10.33203125" customWidth="1"/>
  </cols>
  <sheetData>
    <row r="1" spans="1:15" x14ac:dyDescent="0.3">
      <c r="A1" s="32"/>
      <c r="B1" s="11" t="s">
        <v>28</v>
      </c>
      <c r="C1" s="11" t="s">
        <v>29</v>
      </c>
      <c r="D1" s="11">
        <v>85</v>
      </c>
      <c r="E1" s="32">
        <v>90</v>
      </c>
      <c r="F1" s="11">
        <v>100</v>
      </c>
      <c r="G1" s="11">
        <v>105</v>
      </c>
      <c r="H1" s="11">
        <v>110</v>
      </c>
      <c r="I1" s="11">
        <v>120</v>
      </c>
      <c r="J1" s="11">
        <v>125</v>
      </c>
      <c r="K1" s="11">
        <v>130</v>
      </c>
      <c r="L1" s="11">
        <v>140</v>
      </c>
      <c r="M1" s="11">
        <v>145</v>
      </c>
      <c r="N1" s="11">
        <v>150</v>
      </c>
      <c r="O1" s="11">
        <v>170</v>
      </c>
    </row>
    <row r="2" spans="1:15" x14ac:dyDescent="0.3">
      <c r="A2" s="189" t="s">
        <v>6</v>
      </c>
      <c r="B2" s="32">
        <v>10</v>
      </c>
      <c r="C2" s="36">
        <v>4</v>
      </c>
      <c r="D2" s="32">
        <v>-14.1</v>
      </c>
      <c r="E2" s="32">
        <v>-15.8</v>
      </c>
      <c r="F2" s="32">
        <v>-19.5</v>
      </c>
      <c r="G2" s="32">
        <v>-21.5</v>
      </c>
      <c r="H2" s="32">
        <v>-23.6</v>
      </c>
      <c r="I2" s="32">
        <v>-28.1</v>
      </c>
      <c r="J2" s="32">
        <v>-30.5</v>
      </c>
      <c r="K2" s="32">
        <v>-33</v>
      </c>
      <c r="L2" s="32">
        <v>-38.200000000000003</v>
      </c>
      <c r="M2" s="32">
        <v>-41</v>
      </c>
      <c r="N2" s="32">
        <v>-43.9</v>
      </c>
      <c r="O2" s="32">
        <v>-56.4</v>
      </c>
    </row>
    <row r="3" spans="1:15" x14ac:dyDescent="0.3">
      <c r="A3" s="189"/>
      <c r="B3" s="32">
        <v>20</v>
      </c>
      <c r="C3" s="36">
        <v>4</v>
      </c>
      <c r="D3" s="32">
        <v>-13.5</v>
      </c>
      <c r="E3" s="32">
        <v>-15.1</v>
      </c>
      <c r="F3" s="32">
        <v>-18.7</v>
      </c>
      <c r="G3" s="32">
        <v>-20.6</v>
      </c>
      <c r="H3" s="32">
        <v>-22.6</v>
      </c>
      <c r="I3" s="32">
        <v>-26.9</v>
      </c>
      <c r="J3" s="32">
        <v>-29.2</v>
      </c>
      <c r="K3" s="32">
        <v>-31.6</v>
      </c>
      <c r="L3" s="32">
        <v>-36.700000000000003</v>
      </c>
      <c r="M3" s="32">
        <v>-39.299999999999997</v>
      </c>
      <c r="N3" s="32">
        <v>-42.1</v>
      </c>
      <c r="O3" s="32">
        <v>-54.1</v>
      </c>
    </row>
    <row r="4" spans="1:15" x14ac:dyDescent="0.3">
      <c r="A4" s="189"/>
      <c r="B4" s="32">
        <v>50</v>
      </c>
      <c r="C4" s="36">
        <v>4</v>
      </c>
      <c r="D4" s="32">
        <v>-12.7</v>
      </c>
      <c r="E4" s="32">
        <v>-14.3</v>
      </c>
      <c r="F4" s="32">
        <v>-17.600000000000001</v>
      </c>
      <c r="G4" s="32">
        <v>-19.399999999999999</v>
      </c>
      <c r="H4" s="32">
        <v>-21.3</v>
      </c>
      <c r="I4" s="32">
        <v>-25.4</v>
      </c>
      <c r="J4" s="32">
        <v>-27.5</v>
      </c>
      <c r="K4" s="32">
        <v>-29.8</v>
      </c>
      <c r="L4" s="32">
        <v>-34.6</v>
      </c>
      <c r="M4" s="32">
        <v>-37.1</v>
      </c>
      <c r="N4" s="32">
        <v>-39.700000000000003</v>
      </c>
      <c r="O4" s="32">
        <v>-51</v>
      </c>
    </row>
    <row r="5" spans="1:15" x14ac:dyDescent="0.3">
      <c r="A5" s="189"/>
      <c r="B5" s="32">
        <v>100</v>
      </c>
      <c r="C5" s="36">
        <v>4</v>
      </c>
      <c r="D5" s="32">
        <v>-12.2</v>
      </c>
      <c r="E5" s="32">
        <v>-13.6</v>
      </c>
      <c r="F5" s="32">
        <v>-16.8</v>
      </c>
      <c r="G5" s="32">
        <v>-18.5</v>
      </c>
      <c r="H5" s="32">
        <v>-20.399999999999999</v>
      </c>
      <c r="I5" s="32">
        <v>-24.2</v>
      </c>
      <c r="J5" s="32">
        <v>-26.3</v>
      </c>
      <c r="K5" s="32">
        <v>-28.4</v>
      </c>
      <c r="L5" s="32">
        <v>-33</v>
      </c>
      <c r="M5" s="32">
        <v>-35.4</v>
      </c>
      <c r="N5" s="32">
        <v>-37.799999999999997</v>
      </c>
      <c r="O5" s="32">
        <v>-48.6</v>
      </c>
    </row>
    <row r="6" spans="1:15" x14ac:dyDescent="0.3">
      <c r="A6" s="189"/>
      <c r="B6" s="32">
        <v>10</v>
      </c>
      <c r="C6" s="36">
        <v>5</v>
      </c>
      <c r="D6" s="32">
        <v>-17.399999999999999</v>
      </c>
      <c r="E6" s="32">
        <v>-19.5</v>
      </c>
      <c r="F6" s="32">
        <v>-24.1</v>
      </c>
      <c r="G6" s="32">
        <v>-26.6</v>
      </c>
      <c r="H6" s="32">
        <v>-29.1</v>
      </c>
      <c r="I6" s="32">
        <v>-34.700000000000003</v>
      </c>
      <c r="J6" s="32">
        <v>-37.6</v>
      </c>
      <c r="K6" s="32">
        <v>-40.700000000000003</v>
      </c>
      <c r="L6" s="32">
        <v>-47.2</v>
      </c>
      <c r="M6" s="32">
        <v>-50.6</v>
      </c>
      <c r="N6" s="32">
        <v>-54.2</v>
      </c>
      <c r="O6" s="32">
        <v>-69.599999999999994</v>
      </c>
    </row>
    <row r="7" spans="1:15" x14ac:dyDescent="0.3">
      <c r="A7" s="189"/>
      <c r="B7" s="32">
        <v>20</v>
      </c>
      <c r="C7" s="36">
        <v>5</v>
      </c>
      <c r="D7" s="32">
        <v>-16.2</v>
      </c>
      <c r="E7" s="32">
        <v>-18.2</v>
      </c>
      <c r="F7" s="32">
        <v>-22.5</v>
      </c>
      <c r="G7" s="32">
        <v>-24.8</v>
      </c>
      <c r="H7" s="32">
        <v>-27.2</v>
      </c>
      <c r="I7" s="32">
        <v>-32.4</v>
      </c>
      <c r="J7" s="32">
        <v>-35.1</v>
      </c>
      <c r="K7" s="32">
        <v>-38</v>
      </c>
      <c r="L7" s="32">
        <v>-44</v>
      </c>
      <c r="M7" s="32">
        <v>-47.2</v>
      </c>
      <c r="N7" s="32">
        <v>-50.5</v>
      </c>
      <c r="O7" s="32">
        <v>-64.900000000000006</v>
      </c>
    </row>
    <row r="8" spans="1:15" x14ac:dyDescent="0.3">
      <c r="A8" s="189"/>
      <c r="B8" s="32">
        <v>50</v>
      </c>
      <c r="C8" s="36">
        <v>5</v>
      </c>
      <c r="D8" s="32">
        <v>-14.7</v>
      </c>
      <c r="E8" s="32">
        <v>-16.5</v>
      </c>
      <c r="F8" s="32">
        <v>-20.3</v>
      </c>
      <c r="G8" s="32">
        <v>-22.4</v>
      </c>
      <c r="H8" s="32">
        <v>-24.6</v>
      </c>
      <c r="I8" s="32">
        <v>-29.3</v>
      </c>
      <c r="J8" s="32">
        <v>-31.8</v>
      </c>
      <c r="K8" s="32">
        <v>-34.299999999999997</v>
      </c>
      <c r="L8" s="32">
        <v>-39.799999999999997</v>
      </c>
      <c r="M8" s="32">
        <v>-42.7</v>
      </c>
      <c r="N8" s="32">
        <v>-45.7</v>
      </c>
      <c r="O8" s="32">
        <v>-58.7</v>
      </c>
    </row>
    <row r="9" spans="1:15" x14ac:dyDescent="0.3">
      <c r="A9" s="189"/>
      <c r="B9" s="32">
        <v>100</v>
      </c>
      <c r="C9" s="36">
        <v>5</v>
      </c>
      <c r="D9" s="32">
        <v>-13.5</v>
      </c>
      <c r="E9" s="32">
        <v>-15.1</v>
      </c>
      <c r="F9" s="32">
        <v>-18.7</v>
      </c>
      <c r="G9" s="32">
        <v>-20.6</v>
      </c>
      <c r="H9" s="32">
        <v>-22.6</v>
      </c>
      <c r="I9" s="32">
        <v>-26.9</v>
      </c>
      <c r="J9" s="32">
        <v>-29.2</v>
      </c>
      <c r="K9" s="32">
        <v>-31.6</v>
      </c>
      <c r="L9" s="32">
        <v>-36.700000000000003</v>
      </c>
      <c r="M9" s="32">
        <v>-39.299999999999997</v>
      </c>
      <c r="N9" s="32">
        <v>-42.1</v>
      </c>
      <c r="O9" s="32">
        <v>-54.1</v>
      </c>
    </row>
    <row r="10" spans="1:15" ht="15" customHeight="1" x14ac:dyDescent="0.3">
      <c r="A10" s="192" t="s">
        <v>7</v>
      </c>
      <c r="B10" s="32">
        <v>10</v>
      </c>
      <c r="C10" s="36">
        <v>1</v>
      </c>
      <c r="D10" s="32">
        <v>-13</v>
      </c>
      <c r="E10" s="32">
        <v>-14.6</v>
      </c>
      <c r="F10" s="32">
        <v>-18</v>
      </c>
      <c r="G10" s="32">
        <v>-19.8</v>
      </c>
      <c r="H10" s="32">
        <v>-21.8</v>
      </c>
      <c r="I10" s="32">
        <v>-25.9</v>
      </c>
      <c r="J10" s="32">
        <v>-28.1</v>
      </c>
      <c r="K10" s="32">
        <v>-30.4</v>
      </c>
      <c r="L10" s="32">
        <v>-35.299999999999997</v>
      </c>
      <c r="M10" s="32">
        <v>-37.799999999999997</v>
      </c>
      <c r="N10" s="32">
        <v>-40.5</v>
      </c>
      <c r="O10" s="32">
        <v>-52</v>
      </c>
    </row>
    <row r="11" spans="1:15" x14ac:dyDescent="0.3">
      <c r="A11" s="192"/>
      <c r="B11" s="32">
        <v>20</v>
      </c>
      <c r="C11" s="36">
        <v>1</v>
      </c>
      <c r="D11" s="32">
        <v>-12.7</v>
      </c>
      <c r="E11" s="32">
        <v>-14.2</v>
      </c>
      <c r="F11" s="32">
        <v>-17.5</v>
      </c>
      <c r="G11" s="32">
        <v>-19.3</v>
      </c>
      <c r="H11" s="32">
        <v>-21.2</v>
      </c>
      <c r="I11" s="32">
        <v>-25.2</v>
      </c>
      <c r="J11" s="32">
        <v>-27.4</v>
      </c>
      <c r="K11" s="32">
        <v>-29.6</v>
      </c>
      <c r="L11" s="32">
        <v>-34.4</v>
      </c>
      <c r="M11" s="32">
        <v>-36.9</v>
      </c>
      <c r="N11" s="32">
        <v>-39.4</v>
      </c>
      <c r="O11" s="32">
        <v>-50.7</v>
      </c>
    </row>
    <row r="12" spans="1:15" x14ac:dyDescent="0.3">
      <c r="A12" s="192"/>
      <c r="B12" s="32">
        <v>50</v>
      </c>
      <c r="C12" s="36">
        <v>1</v>
      </c>
      <c r="D12" s="32">
        <v>-12.2</v>
      </c>
      <c r="E12" s="32">
        <v>-13.7</v>
      </c>
      <c r="F12" s="32">
        <v>-16.899999999999999</v>
      </c>
      <c r="G12" s="32">
        <v>-18.7</v>
      </c>
      <c r="H12" s="32">
        <v>-20.5</v>
      </c>
      <c r="I12" s="32">
        <v>-24.4</v>
      </c>
      <c r="J12" s="32">
        <v>-26.4</v>
      </c>
      <c r="K12" s="32">
        <v>-28.6</v>
      </c>
      <c r="L12" s="32">
        <v>-33.200000000000003</v>
      </c>
      <c r="M12" s="32">
        <v>-35.6</v>
      </c>
      <c r="N12" s="32">
        <v>-38.1</v>
      </c>
      <c r="O12" s="32">
        <v>-48.9</v>
      </c>
    </row>
    <row r="13" spans="1:15" x14ac:dyDescent="0.3">
      <c r="A13" s="192"/>
      <c r="B13" s="32">
        <v>100</v>
      </c>
      <c r="C13" s="36">
        <v>1</v>
      </c>
      <c r="D13" s="32">
        <v>-11.9</v>
      </c>
      <c r="E13" s="32">
        <v>-13.3</v>
      </c>
      <c r="F13" s="32">
        <v>-16.5</v>
      </c>
      <c r="G13" s="32">
        <v>-18.2</v>
      </c>
      <c r="H13" s="32">
        <v>-19.899999999999999</v>
      </c>
      <c r="I13" s="32">
        <v>-23.7</v>
      </c>
      <c r="J13" s="32">
        <v>-25.7</v>
      </c>
      <c r="K13" s="32">
        <v>-27.8</v>
      </c>
      <c r="L13" s="32">
        <v>-32.299999999999997</v>
      </c>
      <c r="M13" s="32">
        <v>-34.6</v>
      </c>
      <c r="N13" s="32">
        <v>-37</v>
      </c>
      <c r="O13" s="32">
        <v>-47.6</v>
      </c>
    </row>
    <row r="14" spans="1:15" x14ac:dyDescent="0.3">
      <c r="A14" s="192"/>
      <c r="B14" s="32">
        <v>10</v>
      </c>
      <c r="C14" s="36">
        <v>2</v>
      </c>
      <c r="D14" s="32">
        <v>-21.8</v>
      </c>
      <c r="E14" s="32">
        <v>-24.4</v>
      </c>
      <c r="F14" s="32">
        <v>-30.2</v>
      </c>
      <c r="G14" s="32">
        <v>-33.299999999999997</v>
      </c>
      <c r="H14" s="32">
        <v>-36.5</v>
      </c>
      <c r="I14" s="32">
        <v>-43.5</v>
      </c>
      <c r="J14" s="32">
        <v>-47.2</v>
      </c>
      <c r="K14" s="32">
        <v>-51</v>
      </c>
      <c r="L14" s="32">
        <v>-59.2</v>
      </c>
      <c r="M14" s="32">
        <v>-63.5</v>
      </c>
      <c r="N14" s="32">
        <v>-67.900000000000006</v>
      </c>
      <c r="O14" s="32">
        <v>-87.2</v>
      </c>
    </row>
    <row r="15" spans="1:15" x14ac:dyDescent="0.3">
      <c r="A15" s="192"/>
      <c r="B15" s="32">
        <v>20</v>
      </c>
      <c r="C15" s="36">
        <v>2</v>
      </c>
      <c r="D15" s="32">
        <v>-19.5</v>
      </c>
      <c r="E15" s="32">
        <v>-21.8</v>
      </c>
      <c r="F15" s="32">
        <v>-27</v>
      </c>
      <c r="G15" s="32">
        <v>-29.7</v>
      </c>
      <c r="H15" s="32">
        <v>-32.6</v>
      </c>
      <c r="I15" s="32">
        <v>-38.799999999999997</v>
      </c>
      <c r="J15" s="32">
        <v>-42.1</v>
      </c>
      <c r="K15" s="32">
        <v>-45.6</v>
      </c>
      <c r="L15" s="32">
        <v>-52.9</v>
      </c>
      <c r="M15" s="32">
        <v>-56.7</v>
      </c>
      <c r="N15" s="32">
        <v>-60.7</v>
      </c>
      <c r="O15" s="32">
        <v>-78</v>
      </c>
    </row>
    <row r="16" spans="1:15" x14ac:dyDescent="0.3">
      <c r="A16" s="192"/>
      <c r="B16" s="32">
        <v>50</v>
      </c>
      <c r="C16" s="36">
        <v>2</v>
      </c>
      <c r="D16" s="32">
        <v>-16.399999999999999</v>
      </c>
      <c r="E16" s="32">
        <v>-18.399999999999999</v>
      </c>
      <c r="F16" s="32">
        <v>-22.7</v>
      </c>
      <c r="G16" s="32">
        <v>-25.1</v>
      </c>
      <c r="H16" s="32">
        <v>-27.5</v>
      </c>
      <c r="I16" s="32">
        <v>-32.700000000000003</v>
      </c>
      <c r="J16" s="32">
        <v>-35.5</v>
      </c>
      <c r="K16" s="32">
        <v>-38.4</v>
      </c>
      <c r="L16" s="32">
        <v>-44.5</v>
      </c>
      <c r="M16" s="32">
        <v>-47.8</v>
      </c>
      <c r="N16" s="32">
        <v>-51.1</v>
      </c>
      <c r="O16" s="32">
        <v>-65.7</v>
      </c>
    </row>
    <row r="17" spans="1:15" x14ac:dyDescent="0.3">
      <c r="A17" s="192"/>
      <c r="B17" s="32">
        <v>100</v>
      </c>
      <c r="C17" s="36">
        <v>2</v>
      </c>
      <c r="D17" s="32">
        <v>-14.1</v>
      </c>
      <c r="E17" s="32">
        <v>-15.8</v>
      </c>
      <c r="F17" s="32">
        <v>-19.5</v>
      </c>
      <c r="G17" s="32">
        <v>-21.5</v>
      </c>
      <c r="H17" s="32">
        <v>-23.6</v>
      </c>
      <c r="I17" s="32">
        <v>-28.1</v>
      </c>
      <c r="J17" s="32">
        <v>-30.5</v>
      </c>
      <c r="K17" s="32">
        <v>-33</v>
      </c>
      <c r="L17" s="32">
        <v>-38.200000000000003</v>
      </c>
      <c r="M17" s="32">
        <v>-41</v>
      </c>
      <c r="N17" s="32">
        <v>-43.9</v>
      </c>
      <c r="O17" s="32">
        <v>-56.4</v>
      </c>
    </row>
    <row r="18" spans="1:15" x14ac:dyDescent="0.3">
      <c r="A18" s="192"/>
      <c r="B18" s="32">
        <v>10</v>
      </c>
      <c r="C18" s="36">
        <v>3</v>
      </c>
      <c r="D18" s="32">
        <v>-32.799999999999997</v>
      </c>
      <c r="E18" s="32">
        <v>-36.799999999999997</v>
      </c>
      <c r="F18" s="32">
        <v>-45.4</v>
      </c>
      <c r="G18" s="32">
        <v>-50.1</v>
      </c>
      <c r="H18" s="32">
        <v>-55</v>
      </c>
      <c r="I18" s="32">
        <v>-64.400000000000006</v>
      </c>
      <c r="J18" s="32">
        <v>-71</v>
      </c>
      <c r="K18" s="32">
        <v>-76.8</v>
      </c>
      <c r="L18" s="32">
        <v>-89</v>
      </c>
      <c r="M18" s="32">
        <v>-95.5</v>
      </c>
      <c r="N18" s="32">
        <v>-102.2</v>
      </c>
      <c r="O18" s="32">
        <v>-131.30000000000001</v>
      </c>
    </row>
    <row r="19" spans="1:15" x14ac:dyDescent="0.3">
      <c r="A19" s="192"/>
      <c r="B19" s="32">
        <v>20</v>
      </c>
      <c r="C19" s="36">
        <v>3</v>
      </c>
      <c r="D19" s="32">
        <v>-27.2</v>
      </c>
      <c r="E19" s="32">
        <v>-30.5</v>
      </c>
      <c r="F19" s="32">
        <v>-37.6</v>
      </c>
      <c r="G19" s="32">
        <v>-41.5</v>
      </c>
      <c r="H19" s="32">
        <v>-45.5</v>
      </c>
      <c r="I19" s="32">
        <v>-54.2</v>
      </c>
      <c r="J19" s="32">
        <v>-58.5</v>
      </c>
      <c r="K19" s="32">
        <v>-63.6</v>
      </c>
      <c r="L19" s="32">
        <v>-73.8</v>
      </c>
      <c r="M19" s="32">
        <v>-79.099999999999994</v>
      </c>
      <c r="N19" s="32">
        <v>-84.7</v>
      </c>
      <c r="O19" s="32">
        <v>-108.7</v>
      </c>
    </row>
    <row r="20" spans="1:15" x14ac:dyDescent="0.3">
      <c r="A20" s="192"/>
      <c r="B20" s="32">
        <v>50</v>
      </c>
      <c r="C20" s="36">
        <v>3</v>
      </c>
      <c r="D20" s="32">
        <v>-19.7</v>
      </c>
      <c r="E20" s="32">
        <v>-22.1</v>
      </c>
      <c r="F20" s="32">
        <v>-27.3</v>
      </c>
      <c r="G20" s="32">
        <v>-30.1</v>
      </c>
      <c r="H20" s="32">
        <v>-33.1</v>
      </c>
      <c r="I20" s="32">
        <v>-39.299999999999997</v>
      </c>
      <c r="J20" s="32">
        <v>-42.7</v>
      </c>
      <c r="K20" s="32">
        <v>-46.2</v>
      </c>
      <c r="L20" s="32">
        <v>-53.5</v>
      </c>
      <c r="M20" s="32">
        <v>-57.4</v>
      </c>
      <c r="N20" s="32">
        <v>-61.5</v>
      </c>
      <c r="O20" s="32">
        <v>-78.900000000000006</v>
      </c>
    </row>
    <row r="21" spans="1:15" x14ac:dyDescent="0.3">
      <c r="A21" s="192"/>
      <c r="B21" s="32">
        <v>100</v>
      </c>
      <c r="C21" s="36">
        <v>3</v>
      </c>
      <c r="D21" s="32">
        <v>-14.1</v>
      </c>
      <c r="E21" s="32">
        <v>-15.8</v>
      </c>
      <c r="F21" s="32">
        <v>-19.5</v>
      </c>
      <c r="G21" s="32">
        <v>-21.5</v>
      </c>
      <c r="H21" s="32">
        <v>-23.6</v>
      </c>
      <c r="I21" s="32">
        <v>-28.1</v>
      </c>
      <c r="J21" s="32">
        <v>-30.5</v>
      </c>
      <c r="K21" s="32">
        <v>-33</v>
      </c>
      <c r="L21" s="32">
        <v>-38.200000000000003</v>
      </c>
      <c r="M21" s="32">
        <v>-41</v>
      </c>
      <c r="N21" s="32">
        <v>-43.9</v>
      </c>
      <c r="O21" s="32">
        <v>-56.4</v>
      </c>
    </row>
    <row r="22" spans="1:15" x14ac:dyDescent="0.3">
      <c r="A22" s="192" t="s">
        <v>64</v>
      </c>
      <c r="B22" s="32">
        <v>10</v>
      </c>
      <c r="C22" s="36">
        <v>1</v>
      </c>
      <c r="D22" s="32">
        <v>-11.9</v>
      </c>
      <c r="E22" s="32">
        <v>-13.3</v>
      </c>
      <c r="F22" s="32">
        <v>-16.5</v>
      </c>
      <c r="G22" s="32">
        <v>-18.2</v>
      </c>
      <c r="H22" s="32">
        <v>-19.899999999999999</v>
      </c>
      <c r="I22" s="32">
        <v>-23.7</v>
      </c>
      <c r="J22" s="32">
        <v>-25.7</v>
      </c>
      <c r="K22" s="32">
        <v>-27.8</v>
      </c>
      <c r="L22" s="32">
        <v>-32.299999999999997</v>
      </c>
      <c r="M22" s="32">
        <v>-34.6</v>
      </c>
      <c r="N22" s="32">
        <v>-37</v>
      </c>
      <c r="O22" s="32">
        <v>-47.6</v>
      </c>
    </row>
    <row r="23" spans="1:15" x14ac:dyDescent="0.3">
      <c r="A23" s="192"/>
      <c r="B23" s="32">
        <v>20</v>
      </c>
      <c r="C23" s="36">
        <v>1</v>
      </c>
      <c r="D23" s="32">
        <v>-11.6</v>
      </c>
      <c r="E23" s="32">
        <v>-13</v>
      </c>
      <c r="F23" s="32">
        <v>-16</v>
      </c>
      <c r="G23" s="32">
        <v>-17.600000000000001</v>
      </c>
      <c r="H23" s="32">
        <v>-19.399999999999999</v>
      </c>
      <c r="I23" s="32">
        <v>-23</v>
      </c>
      <c r="J23" s="32">
        <v>-25</v>
      </c>
      <c r="K23" s="32">
        <v>-27</v>
      </c>
      <c r="L23" s="32">
        <v>-31.4</v>
      </c>
      <c r="M23" s="32">
        <v>-33.700000000000003</v>
      </c>
      <c r="N23" s="32">
        <v>-36</v>
      </c>
      <c r="O23" s="32">
        <v>-46.6</v>
      </c>
    </row>
    <row r="24" spans="1:15" x14ac:dyDescent="0.3">
      <c r="A24" s="192"/>
      <c r="B24" s="32">
        <v>50</v>
      </c>
      <c r="C24" s="36">
        <v>1</v>
      </c>
      <c r="D24" s="32">
        <v>-11.1</v>
      </c>
      <c r="E24" s="32">
        <v>-12.5</v>
      </c>
      <c r="F24" s="32">
        <v>-15.4</v>
      </c>
      <c r="G24" s="32">
        <v>-17</v>
      </c>
      <c r="H24" s="32">
        <v>-18.600000000000001</v>
      </c>
      <c r="I24" s="32">
        <v>-22.2</v>
      </c>
      <c r="J24" s="32">
        <v>-24.1</v>
      </c>
      <c r="K24" s="32">
        <v>-26</v>
      </c>
      <c r="L24" s="32">
        <v>-30.2</v>
      </c>
      <c r="M24" s="32">
        <v>-32.4</v>
      </c>
      <c r="N24" s="32">
        <v>-34.6</v>
      </c>
      <c r="O24" s="32">
        <v>-44.5</v>
      </c>
    </row>
    <row r="25" spans="1:15" x14ac:dyDescent="0.3">
      <c r="A25" s="192"/>
      <c r="B25" s="32">
        <v>100</v>
      </c>
      <c r="C25" s="36">
        <v>1</v>
      </c>
      <c r="D25" s="32">
        <v>-10.8</v>
      </c>
      <c r="E25" s="32">
        <v>-12.1</v>
      </c>
      <c r="F25" s="32">
        <v>-14.9</v>
      </c>
      <c r="G25" s="32">
        <v>-16.5</v>
      </c>
      <c r="H25" s="32">
        <v>-18.100000000000001</v>
      </c>
      <c r="I25" s="32">
        <v>-21.5</v>
      </c>
      <c r="J25" s="32">
        <v>-23.2</v>
      </c>
      <c r="K25" s="32">
        <v>-25.2</v>
      </c>
      <c r="L25" s="32">
        <v>-29.3</v>
      </c>
      <c r="M25" s="32">
        <v>-31.4</v>
      </c>
      <c r="N25" s="32">
        <v>-33.6</v>
      </c>
      <c r="O25" s="32">
        <v>-43.2</v>
      </c>
    </row>
    <row r="26" spans="1:15" ht="15" customHeight="1" x14ac:dyDescent="0.3">
      <c r="A26" s="192"/>
      <c r="B26" s="32">
        <v>10</v>
      </c>
      <c r="C26" s="36">
        <v>2</v>
      </c>
      <c r="D26" s="32">
        <v>-20.7</v>
      </c>
      <c r="E26" s="32">
        <v>-23.2</v>
      </c>
      <c r="F26" s="32">
        <v>-28.7</v>
      </c>
      <c r="G26" s="32">
        <v>-31.6</v>
      </c>
      <c r="H26" s="32">
        <v>-34.700000000000003</v>
      </c>
      <c r="I26" s="32">
        <v>-41.3</v>
      </c>
      <c r="J26" s="32">
        <v>-44.8</v>
      </c>
      <c r="K26" s="32">
        <v>-48.4</v>
      </c>
      <c r="L26" s="32">
        <v>-56.2</v>
      </c>
      <c r="M26" s="32">
        <v>-60.3</v>
      </c>
      <c r="N26" s="32">
        <v>-64.5</v>
      </c>
      <c r="O26" s="32">
        <v>-82.8</v>
      </c>
    </row>
    <row r="27" spans="1:15" x14ac:dyDescent="0.3">
      <c r="A27" s="192"/>
      <c r="B27" s="32">
        <v>20</v>
      </c>
      <c r="C27" s="36">
        <v>2</v>
      </c>
      <c r="D27" s="32">
        <v>-19</v>
      </c>
      <c r="E27" s="32">
        <v>-21.4</v>
      </c>
      <c r="F27" s="32">
        <v>-26.4</v>
      </c>
      <c r="G27" s="32">
        <v>-29.1</v>
      </c>
      <c r="H27" s="32">
        <v>-31.9</v>
      </c>
      <c r="I27" s="32">
        <v>-38</v>
      </c>
      <c r="J27" s="32">
        <v>-41.2</v>
      </c>
      <c r="K27" s="32">
        <v>-44.6</v>
      </c>
      <c r="L27" s="32">
        <v>-51.7</v>
      </c>
      <c r="M27" s="32">
        <v>-55.4</v>
      </c>
      <c r="N27" s="32">
        <v>-59.3</v>
      </c>
      <c r="O27" s="32">
        <v>-76.2</v>
      </c>
    </row>
    <row r="28" spans="1:15" x14ac:dyDescent="0.3">
      <c r="A28" s="192"/>
      <c r="B28" s="32">
        <v>50</v>
      </c>
      <c r="C28" s="36">
        <v>2</v>
      </c>
      <c r="D28" s="32">
        <v>-16.899999999999999</v>
      </c>
      <c r="E28" s="32">
        <v>-18.899999999999999</v>
      </c>
      <c r="F28" s="32">
        <v>-23.3</v>
      </c>
      <c r="G28" s="32">
        <v>-25.7</v>
      </c>
      <c r="H28" s="32">
        <v>-28.2</v>
      </c>
      <c r="I28" s="32">
        <v>-33.6</v>
      </c>
      <c r="J28" s="32">
        <v>-36.5</v>
      </c>
      <c r="K28" s="32">
        <v>-39.4</v>
      </c>
      <c r="L28" s="32">
        <v>-45.7</v>
      </c>
      <c r="M28" s="32">
        <v>-49.1</v>
      </c>
      <c r="N28" s="32">
        <v>-52.5</v>
      </c>
      <c r="O28" s="32">
        <v>-67.400000000000006</v>
      </c>
    </row>
    <row r="29" spans="1:15" x14ac:dyDescent="0.3">
      <c r="A29" s="192"/>
      <c r="B29" s="32">
        <v>100</v>
      </c>
      <c r="C29" s="36">
        <v>2</v>
      </c>
      <c r="D29" s="32">
        <v>-15.2</v>
      </c>
      <c r="E29" s="32">
        <v>-17</v>
      </c>
      <c r="F29" s="32">
        <v>-21</v>
      </c>
      <c r="G29" s="32">
        <v>-23.2</v>
      </c>
      <c r="H29" s="32">
        <v>-25.5</v>
      </c>
      <c r="I29" s="32">
        <v>-30.3</v>
      </c>
      <c r="J29" s="32">
        <v>-32.9</v>
      </c>
      <c r="K29" s="32">
        <v>-35.6</v>
      </c>
      <c r="L29" s="32">
        <v>-41.2</v>
      </c>
      <c r="M29" s="32">
        <v>-44.2</v>
      </c>
      <c r="N29" s="32">
        <v>-47.3</v>
      </c>
      <c r="O29" s="32">
        <v>-60.8</v>
      </c>
    </row>
    <row r="30" spans="1:15" x14ac:dyDescent="0.3">
      <c r="A30" s="192"/>
      <c r="B30" s="32">
        <v>10</v>
      </c>
      <c r="C30" s="36">
        <v>3</v>
      </c>
      <c r="D30" s="32">
        <v>-30.6</v>
      </c>
      <c r="E30" s="32">
        <v>-34.299999999999997</v>
      </c>
      <c r="F30" s="32">
        <v>-42.4</v>
      </c>
      <c r="G30" s="32">
        <v>-46.7</v>
      </c>
      <c r="H30" s="32">
        <v>-51.3</v>
      </c>
      <c r="I30" s="32">
        <v>-61</v>
      </c>
      <c r="J30" s="32">
        <v>-66.2</v>
      </c>
      <c r="K30" s="32">
        <v>-71.599999999999994</v>
      </c>
      <c r="L30" s="32">
        <v>-83.1</v>
      </c>
      <c r="M30" s="32">
        <v>-89.1</v>
      </c>
      <c r="N30" s="32">
        <v>-95.4</v>
      </c>
      <c r="O30" s="32">
        <v>-122.5</v>
      </c>
    </row>
    <row r="31" spans="1:15" x14ac:dyDescent="0.3">
      <c r="A31" s="192"/>
      <c r="B31" s="32">
        <v>20</v>
      </c>
      <c r="C31" s="36">
        <v>3</v>
      </c>
      <c r="D31" s="32">
        <v>-28.6</v>
      </c>
      <c r="E31" s="32">
        <v>-32.1</v>
      </c>
      <c r="F31" s="32">
        <v>-39.6</v>
      </c>
      <c r="G31" s="32">
        <v>-43.7</v>
      </c>
      <c r="H31" s="32">
        <v>-47.9</v>
      </c>
      <c r="I31" s="32">
        <v>-57.1</v>
      </c>
      <c r="J31" s="32">
        <v>-61.9</v>
      </c>
      <c r="K31" s="32">
        <v>-67</v>
      </c>
      <c r="L31" s="32">
        <v>-77.7</v>
      </c>
      <c r="M31" s="32">
        <v>-83.3</v>
      </c>
      <c r="N31" s="32">
        <v>-89.2</v>
      </c>
      <c r="O31" s="32">
        <v>-114.5</v>
      </c>
    </row>
    <row r="32" spans="1:15" x14ac:dyDescent="0.3">
      <c r="A32" s="192"/>
      <c r="B32" s="32">
        <v>50</v>
      </c>
      <c r="C32" s="36">
        <v>3</v>
      </c>
      <c r="D32" s="32">
        <v>-26</v>
      </c>
      <c r="E32" s="32">
        <v>-29.1</v>
      </c>
      <c r="F32" s="32">
        <v>-36</v>
      </c>
      <c r="G32" s="32">
        <v>-39.700000000000003</v>
      </c>
      <c r="H32" s="32">
        <v>-43.5</v>
      </c>
      <c r="I32" s="32">
        <v>-51.8</v>
      </c>
      <c r="J32" s="32">
        <v>-56.2</v>
      </c>
      <c r="K32" s="32">
        <v>-60.8</v>
      </c>
      <c r="L32" s="32">
        <v>-70.5</v>
      </c>
      <c r="M32" s="32">
        <v>-75.7</v>
      </c>
      <c r="N32" s="32">
        <v>-81</v>
      </c>
      <c r="O32" s="32">
        <v>-104</v>
      </c>
    </row>
    <row r="33" spans="1:15" x14ac:dyDescent="0.3">
      <c r="A33" s="192"/>
      <c r="B33" s="32">
        <v>100</v>
      </c>
      <c r="C33" s="36">
        <v>3</v>
      </c>
      <c r="D33" s="32">
        <v>-24</v>
      </c>
      <c r="E33" s="32">
        <v>-26.9</v>
      </c>
      <c r="F33" s="32">
        <v>-33.200000000000003</v>
      </c>
      <c r="G33" s="32">
        <v>-36.6</v>
      </c>
      <c r="H33" s="32">
        <v>-40.200000000000003</v>
      </c>
      <c r="I33" s="32">
        <v>-47.9</v>
      </c>
      <c r="J33" s="32">
        <v>-51.9</v>
      </c>
      <c r="K33" s="32">
        <v>-56.2</v>
      </c>
      <c r="L33" s="32">
        <v>-65.099999999999994</v>
      </c>
      <c r="M33" s="32">
        <v>-69.900000000000006</v>
      </c>
      <c r="N33" s="32">
        <v>-74.8</v>
      </c>
      <c r="O33" s="32">
        <v>-96</v>
      </c>
    </row>
    <row r="34" spans="1:15" x14ac:dyDescent="0.3">
      <c r="A34" s="192" t="s">
        <v>10</v>
      </c>
      <c r="B34" s="32">
        <v>10</v>
      </c>
      <c r="C34" s="36">
        <v>1</v>
      </c>
      <c r="D34" s="32">
        <v>-13</v>
      </c>
      <c r="E34" s="32">
        <v>-14.6</v>
      </c>
      <c r="F34" s="32">
        <v>-18</v>
      </c>
      <c r="G34" s="32">
        <v>-19.8</v>
      </c>
      <c r="H34" s="32">
        <v>-21.8</v>
      </c>
      <c r="I34" s="32">
        <v>-25.9</v>
      </c>
      <c r="J34" s="32">
        <v>-28.1</v>
      </c>
      <c r="K34" s="32">
        <v>-30.4</v>
      </c>
      <c r="L34" s="32">
        <v>-35.299999999999997</v>
      </c>
      <c r="M34" s="32">
        <v>-37.799999999999997</v>
      </c>
      <c r="N34" s="32">
        <v>-40.5</v>
      </c>
      <c r="O34" s="32">
        <v>-52</v>
      </c>
    </row>
    <row r="35" spans="1:15" x14ac:dyDescent="0.3">
      <c r="A35" s="192"/>
      <c r="B35" s="32">
        <v>20</v>
      </c>
      <c r="C35" s="36">
        <v>1</v>
      </c>
      <c r="D35" s="32">
        <v>-12.3</v>
      </c>
      <c r="E35" s="32">
        <v>-13.8</v>
      </c>
      <c r="F35" s="32">
        <v>-17.100000000000001</v>
      </c>
      <c r="G35" s="32">
        <v>-18.8</v>
      </c>
      <c r="H35" s="32">
        <v>-20.7</v>
      </c>
      <c r="I35" s="32">
        <v>-24.6</v>
      </c>
      <c r="J35" s="32">
        <v>-26.7</v>
      </c>
      <c r="K35" s="32">
        <v>-28.9</v>
      </c>
      <c r="L35" s="32">
        <v>-33.5</v>
      </c>
      <c r="M35" s="32">
        <v>-35.9</v>
      </c>
      <c r="N35" s="32">
        <v>-38.4</v>
      </c>
      <c r="O35" s="32">
        <v>-49.3</v>
      </c>
    </row>
    <row r="36" spans="1:15" x14ac:dyDescent="0.3">
      <c r="A36" s="192"/>
      <c r="B36" s="32">
        <v>50</v>
      </c>
      <c r="C36" s="36">
        <v>1</v>
      </c>
      <c r="D36" s="32">
        <v>-11.5</v>
      </c>
      <c r="E36" s="32">
        <v>-12.8</v>
      </c>
      <c r="F36" s="32">
        <v>-15.9</v>
      </c>
      <c r="G36" s="32">
        <v>-17.5</v>
      </c>
      <c r="H36" s="32">
        <v>-19.2</v>
      </c>
      <c r="I36" s="32">
        <v>-22.8</v>
      </c>
      <c r="J36" s="32">
        <v>-24.8</v>
      </c>
      <c r="K36" s="32">
        <v>-26.8</v>
      </c>
      <c r="L36" s="32">
        <v>-31.1</v>
      </c>
      <c r="M36" s="32">
        <v>-33.299999999999997</v>
      </c>
      <c r="N36" s="32">
        <v>-35.700000000000003</v>
      </c>
      <c r="O36" s="32">
        <v>-45.8</v>
      </c>
    </row>
    <row r="37" spans="1:15" x14ac:dyDescent="0.3">
      <c r="A37" s="192"/>
      <c r="B37" s="32">
        <v>100</v>
      </c>
      <c r="C37" s="36">
        <v>1</v>
      </c>
      <c r="D37" s="32">
        <v>-10.8</v>
      </c>
      <c r="E37" s="32">
        <v>-12.1</v>
      </c>
      <c r="F37" s="32">
        <v>-14.9</v>
      </c>
      <c r="G37" s="32">
        <v>-16.5</v>
      </c>
      <c r="H37" s="32">
        <v>-18.100000000000001</v>
      </c>
      <c r="I37" s="32">
        <v>-21.5</v>
      </c>
      <c r="J37" s="32">
        <v>-23.3</v>
      </c>
      <c r="K37" s="32">
        <v>-25.2</v>
      </c>
      <c r="L37" s="32">
        <v>-29.3</v>
      </c>
      <c r="M37" s="32">
        <v>-31.4</v>
      </c>
      <c r="N37" s="32">
        <v>-33.6</v>
      </c>
      <c r="O37" s="32">
        <v>-43.2</v>
      </c>
    </row>
    <row r="38" spans="1:15" x14ac:dyDescent="0.3">
      <c r="A38" s="192"/>
      <c r="B38" s="32">
        <v>10</v>
      </c>
      <c r="C38" s="36">
        <v>2</v>
      </c>
      <c r="D38" s="32">
        <v>-15.2</v>
      </c>
      <c r="E38" s="32">
        <v>-17</v>
      </c>
      <c r="F38" s="32">
        <v>-21</v>
      </c>
      <c r="G38" s="32">
        <v>-23.2</v>
      </c>
      <c r="H38" s="32">
        <v>-25.5</v>
      </c>
      <c r="I38" s="32">
        <v>-30.3</v>
      </c>
      <c r="J38" s="32">
        <v>-32.9</v>
      </c>
      <c r="K38" s="32">
        <v>-35.6</v>
      </c>
      <c r="L38" s="32">
        <v>-41.2</v>
      </c>
      <c r="M38" s="32">
        <v>-44.2</v>
      </c>
      <c r="N38" s="32">
        <v>-47.3</v>
      </c>
      <c r="O38" s="32">
        <v>-60.8</v>
      </c>
    </row>
    <row r="39" spans="1:15" x14ac:dyDescent="0.3">
      <c r="A39" s="192"/>
      <c r="B39" s="32">
        <v>20</v>
      </c>
      <c r="C39" s="36">
        <v>2</v>
      </c>
      <c r="D39" s="32">
        <v>-14.5</v>
      </c>
      <c r="E39" s="32">
        <v>-16.3</v>
      </c>
      <c r="F39" s="32">
        <v>-20.100000000000001</v>
      </c>
      <c r="G39" s="32">
        <v>-22.2</v>
      </c>
      <c r="H39" s="32">
        <v>-24.3</v>
      </c>
      <c r="I39" s="32">
        <v>-29</v>
      </c>
      <c r="J39" s="32">
        <v>-31.4</v>
      </c>
      <c r="K39" s="32">
        <v>-34</v>
      </c>
      <c r="L39" s="32">
        <v>-39.4</v>
      </c>
      <c r="M39" s="32">
        <v>-42.3</v>
      </c>
      <c r="N39" s="32">
        <v>-45.3</v>
      </c>
      <c r="O39" s="32">
        <v>-58.1</v>
      </c>
    </row>
    <row r="40" spans="1:15" x14ac:dyDescent="0.3">
      <c r="A40" s="192"/>
      <c r="B40" s="32">
        <v>50</v>
      </c>
      <c r="C40" s="36">
        <v>2</v>
      </c>
      <c r="D40" s="32">
        <v>-13.7</v>
      </c>
      <c r="E40" s="32">
        <v>-15.3</v>
      </c>
      <c r="F40" s="32">
        <v>-18.899999999999999</v>
      </c>
      <c r="G40" s="32">
        <v>-20.8</v>
      </c>
      <c r="H40" s="32">
        <v>-22.9</v>
      </c>
      <c r="I40" s="32">
        <v>-27.2</v>
      </c>
      <c r="J40" s="32">
        <v>-29.5</v>
      </c>
      <c r="K40" s="32">
        <v>-32</v>
      </c>
      <c r="L40" s="32">
        <v>-37.1</v>
      </c>
      <c r="M40" s="32">
        <v>-39.799999999999997</v>
      </c>
      <c r="N40" s="32">
        <v>-42.5</v>
      </c>
      <c r="O40" s="32">
        <v>-54.6</v>
      </c>
    </row>
    <row r="41" spans="1:15" x14ac:dyDescent="0.3">
      <c r="A41" s="192"/>
      <c r="B41" s="32">
        <v>100</v>
      </c>
      <c r="C41" s="36">
        <v>2</v>
      </c>
      <c r="D41" s="32">
        <v>-13</v>
      </c>
      <c r="E41" s="32">
        <v>-14.6</v>
      </c>
      <c r="F41" s="32">
        <v>-18</v>
      </c>
      <c r="G41" s="32">
        <v>-19.8</v>
      </c>
      <c r="H41" s="32">
        <v>-21.8</v>
      </c>
      <c r="I41" s="32">
        <v>-25.9</v>
      </c>
      <c r="J41" s="32">
        <v>-28.1</v>
      </c>
      <c r="K41" s="32">
        <v>-30.4</v>
      </c>
      <c r="L41" s="32">
        <v>-35.299999999999997</v>
      </c>
      <c r="M41" s="32">
        <v>-37.799999999999997</v>
      </c>
      <c r="N41" s="32">
        <v>-40.5</v>
      </c>
      <c r="O41" s="32">
        <v>-52</v>
      </c>
    </row>
    <row r="42" spans="1:15" x14ac:dyDescent="0.3">
      <c r="A42" s="192"/>
      <c r="B42" s="32">
        <v>10</v>
      </c>
      <c r="C42" s="36">
        <v>3</v>
      </c>
      <c r="D42" s="32">
        <v>-15.2</v>
      </c>
      <c r="E42" s="32">
        <v>-17</v>
      </c>
      <c r="F42" s="32">
        <v>-21</v>
      </c>
      <c r="G42" s="32">
        <v>-23.2</v>
      </c>
      <c r="H42" s="32">
        <v>-25.5</v>
      </c>
      <c r="I42" s="32">
        <v>-30.3</v>
      </c>
      <c r="J42" s="32">
        <v>-32.9</v>
      </c>
      <c r="K42" s="32">
        <v>-35.6</v>
      </c>
      <c r="L42" s="32">
        <v>-41.2</v>
      </c>
      <c r="M42" s="32">
        <v>-44.2</v>
      </c>
      <c r="N42" s="32">
        <v>-47.3</v>
      </c>
      <c r="O42" s="32">
        <v>-60.8</v>
      </c>
    </row>
    <row r="43" spans="1:15" x14ac:dyDescent="0.3">
      <c r="A43" s="192"/>
      <c r="B43" s="32">
        <v>20</v>
      </c>
      <c r="C43" s="36">
        <v>3</v>
      </c>
      <c r="D43" s="32">
        <v>-14.5</v>
      </c>
      <c r="E43" s="32">
        <v>-16.3</v>
      </c>
      <c r="F43" s="32">
        <v>-20.100000000000001</v>
      </c>
      <c r="G43" s="32">
        <v>-22.2</v>
      </c>
      <c r="H43" s="32">
        <v>-24.3</v>
      </c>
      <c r="I43" s="32">
        <v>-29</v>
      </c>
      <c r="J43" s="32">
        <v>-31.4</v>
      </c>
      <c r="K43" s="32">
        <v>-34</v>
      </c>
      <c r="L43" s="32">
        <v>-39.4</v>
      </c>
      <c r="M43" s="32">
        <v>-42.3</v>
      </c>
      <c r="N43" s="32">
        <v>-45.3</v>
      </c>
      <c r="O43" s="32">
        <v>-58.1</v>
      </c>
    </row>
    <row r="44" spans="1:15" x14ac:dyDescent="0.3">
      <c r="A44" s="192"/>
      <c r="B44" s="32">
        <v>50</v>
      </c>
      <c r="C44" s="36">
        <v>3</v>
      </c>
      <c r="D44" s="32">
        <v>-13.7</v>
      </c>
      <c r="E44" s="32">
        <v>-15.3</v>
      </c>
      <c r="F44" s="32">
        <v>-18.899999999999999</v>
      </c>
      <c r="G44" s="32">
        <v>-20.8</v>
      </c>
      <c r="H44" s="32">
        <v>-22.9</v>
      </c>
      <c r="I44" s="32">
        <v>-27.2</v>
      </c>
      <c r="J44" s="32">
        <v>-29.5</v>
      </c>
      <c r="K44" s="32">
        <v>-32</v>
      </c>
      <c r="L44" s="32">
        <v>-37.1</v>
      </c>
      <c r="M44" s="32">
        <v>-39.799999999999997</v>
      </c>
      <c r="N44" s="32">
        <v>-42.5</v>
      </c>
      <c r="O44" s="32">
        <v>-54.6</v>
      </c>
    </row>
    <row r="45" spans="1:15" x14ac:dyDescent="0.3">
      <c r="A45" s="192"/>
      <c r="B45" s="32">
        <v>100</v>
      </c>
      <c r="C45" s="36">
        <v>3</v>
      </c>
      <c r="D45" s="32">
        <v>-13</v>
      </c>
      <c r="E45" s="32">
        <v>-14.6</v>
      </c>
      <c r="F45" s="32">
        <v>-18</v>
      </c>
      <c r="G45" s="32">
        <v>-19.8</v>
      </c>
      <c r="H45" s="32">
        <v>-21.8</v>
      </c>
      <c r="I45" s="32">
        <v>-25.9</v>
      </c>
      <c r="J45" s="32">
        <v>-28.1</v>
      </c>
      <c r="K45" s="32">
        <v>-30.4</v>
      </c>
      <c r="L45" s="32">
        <v>-35.299999999999997</v>
      </c>
      <c r="M45" s="32">
        <v>-37.799999999999997</v>
      </c>
      <c r="N45" s="32">
        <v>-40.5</v>
      </c>
      <c r="O45" s="32">
        <v>-52</v>
      </c>
    </row>
    <row r="46" spans="1:15" x14ac:dyDescent="0.3">
      <c r="A46" s="33"/>
      <c r="C46" s="1"/>
    </row>
    <row r="47" spans="1:15" x14ac:dyDescent="0.3">
      <c r="A47" s="33"/>
      <c r="C47" s="1"/>
    </row>
    <row r="48" spans="1:15" x14ac:dyDescent="0.3">
      <c r="A48" s="33"/>
      <c r="C48" s="1"/>
    </row>
    <row r="49" spans="1:10" x14ac:dyDescent="0.3">
      <c r="A49" s="33"/>
      <c r="C49" s="1"/>
    </row>
    <row r="50" spans="1:10" ht="15" customHeight="1" x14ac:dyDescent="0.3">
      <c r="A50" t="s">
        <v>30</v>
      </c>
      <c r="B50" s="2"/>
      <c r="C50" t="s">
        <v>31</v>
      </c>
    </row>
    <row r="51" spans="1:10" x14ac:dyDescent="0.3">
      <c r="A51">
        <f>'C&amp;C 7-05 Simplified'!E13</f>
        <v>130</v>
      </c>
      <c r="C51" s="40">
        <f>'C&amp;C 7-05 Simplified'!E16</f>
        <v>15</v>
      </c>
    </row>
    <row r="54" spans="1:10" x14ac:dyDescent="0.3">
      <c r="A54" s="2" t="s">
        <v>32</v>
      </c>
      <c r="D54" s="131" t="s">
        <v>65</v>
      </c>
      <c r="E54" s="131"/>
      <c r="G54" s="131" t="s">
        <v>35</v>
      </c>
      <c r="H54" s="131"/>
      <c r="I54" s="131"/>
      <c r="J54" s="131"/>
    </row>
    <row r="55" spans="1:10" x14ac:dyDescent="0.3">
      <c r="A55" s="1">
        <v>4</v>
      </c>
      <c r="B55">
        <f>INDEX(D2:O2,MATCH(C51,B2,1),MATCH(A51,D1:O1,0))</f>
        <v>-33</v>
      </c>
      <c r="D55" s="1">
        <v>4</v>
      </c>
      <c r="E55">
        <f>INDEX(D2:O2,MATCH(C51,B2,1),MATCH(A51,D1:O1,0))</f>
        <v>-33</v>
      </c>
      <c r="G55" s="1">
        <v>4</v>
      </c>
      <c r="H55">
        <f>INDEX(D2:O2,MATCH(C51,B2,1),MATCH(A51,D1:O1,0))</f>
        <v>-33</v>
      </c>
      <c r="I55" s="1"/>
    </row>
    <row r="56" spans="1:10" x14ac:dyDescent="0.3">
      <c r="A56" s="1">
        <v>5</v>
      </c>
      <c r="B56">
        <f>INDEX(D6:O6,MATCH(C51,B6,1),MATCH(A51,D1:O1,0))</f>
        <v>-40.700000000000003</v>
      </c>
      <c r="D56" s="1">
        <v>5</v>
      </c>
      <c r="E56">
        <f>INDEX(D6:O6,MATCH(C51,B6,1),MATCH(A51,D1:O1,0))</f>
        <v>-40.700000000000003</v>
      </c>
      <c r="G56" s="1">
        <v>5</v>
      </c>
      <c r="H56">
        <f>INDEX(D6:O6,MATCH(C51,B6,1),MATCH(A51,D1:O1,0))</f>
        <v>-40.700000000000003</v>
      </c>
      <c r="I56" s="1"/>
    </row>
    <row r="57" spans="1:10" x14ac:dyDescent="0.3">
      <c r="A57" s="1">
        <v>1</v>
      </c>
      <c r="B57">
        <f>INDEX(D10:O10,MATCH(C51,B10,1),MATCH(A51,D1:O1,0))</f>
        <v>-30.4</v>
      </c>
      <c r="D57" s="1">
        <v>1</v>
      </c>
      <c r="E57">
        <f>INDEX(D22:O22,MATCH(C51,B22,1),MATCH(A51,D1:O1,0))</f>
        <v>-27.8</v>
      </c>
      <c r="G57" s="1">
        <v>1</v>
      </c>
      <c r="H57">
        <f>INDEX(D34:O34,MATCH(C51,B34,1),MATCH(A51,D1:O1,0))</f>
        <v>-30.4</v>
      </c>
      <c r="I57" s="1"/>
    </row>
    <row r="58" spans="1:10" x14ac:dyDescent="0.3">
      <c r="A58" s="1">
        <v>2</v>
      </c>
      <c r="B58">
        <f>INDEX(D14:O14,MATCH(C51,B14,1),MATCH(A51,D1:O1,0))</f>
        <v>-51</v>
      </c>
      <c r="D58" s="1">
        <v>2</v>
      </c>
      <c r="E58">
        <f>INDEX(D26:O26,MATCH(C51,B26,1),MATCH(A51,D1:O1,0))</f>
        <v>-48.4</v>
      </c>
      <c r="G58" s="1">
        <v>2</v>
      </c>
      <c r="H58">
        <f>INDEX(D38:O38,MATCH(C51,B38,1),MATCH(A51,D1:O1,0))</f>
        <v>-35.6</v>
      </c>
      <c r="I58" s="1"/>
    </row>
    <row r="59" spans="1:10" x14ac:dyDescent="0.3">
      <c r="A59" s="1">
        <v>3</v>
      </c>
      <c r="B59">
        <f>INDEX(D18:O18,MATCH(C51,B18,1),MATCH(A51,D1:O1,0))</f>
        <v>-76.8</v>
      </c>
      <c r="D59" s="1">
        <v>3</v>
      </c>
      <c r="E59">
        <f>INDEX(D30:O30,MATCH(C51,B30,1),MATCH(A51,D1:O1,0))</f>
        <v>-71.599999999999994</v>
      </c>
      <c r="G59" s="1">
        <v>3</v>
      </c>
      <c r="H59">
        <f>INDEX(D42:O42,MATCH(C51,B42,1),MATCH(A51,D1:O1,0))</f>
        <v>-35.6</v>
      </c>
      <c r="I59" s="1"/>
    </row>
    <row r="60" spans="1:10" x14ac:dyDescent="0.3">
      <c r="A60" s="33"/>
    </row>
    <row r="61" spans="1:10" x14ac:dyDescent="0.3">
      <c r="A61" s="33"/>
    </row>
    <row r="62" spans="1:10" x14ac:dyDescent="0.3">
      <c r="A62" s="33"/>
      <c r="C62" s="1"/>
    </row>
    <row r="63" spans="1:10" x14ac:dyDescent="0.3">
      <c r="A63" s="33"/>
      <c r="C63" s="1"/>
    </row>
    <row r="64" spans="1:10" x14ac:dyDescent="0.3">
      <c r="A64" s="33"/>
      <c r="C64" s="1"/>
    </row>
    <row r="65" spans="1:3" x14ac:dyDescent="0.3">
      <c r="A65" s="33"/>
      <c r="C65" s="1"/>
    </row>
    <row r="66" spans="1:3" x14ac:dyDescent="0.3">
      <c r="A66" s="33"/>
      <c r="C66" s="1"/>
    </row>
    <row r="67" spans="1:3" x14ac:dyDescent="0.3">
      <c r="A67" s="33"/>
      <c r="C67" s="1"/>
    </row>
    <row r="68" spans="1:3" x14ac:dyDescent="0.3">
      <c r="A68" s="33"/>
      <c r="C68" s="1"/>
    </row>
    <row r="69" spans="1:3" x14ac:dyDescent="0.3">
      <c r="A69" s="33"/>
      <c r="C69" s="1"/>
    </row>
    <row r="70" spans="1:3" x14ac:dyDescent="0.3">
      <c r="A70" s="33"/>
      <c r="C70" s="1"/>
    </row>
    <row r="71" spans="1:3" x14ac:dyDescent="0.3">
      <c r="A71" s="33"/>
      <c r="C71" s="1"/>
    </row>
    <row r="72" spans="1:3" x14ac:dyDescent="0.3">
      <c r="A72" s="33"/>
      <c r="C72" s="1"/>
    </row>
    <row r="73" spans="1:3" x14ac:dyDescent="0.3">
      <c r="A73" s="33"/>
      <c r="C73" s="1"/>
    </row>
    <row r="74" spans="1:3" ht="15" customHeight="1" x14ac:dyDescent="0.3">
      <c r="A74" s="33"/>
      <c r="C74" s="1"/>
    </row>
    <row r="75" spans="1:3" x14ac:dyDescent="0.3">
      <c r="A75" s="33"/>
      <c r="C75" s="1"/>
    </row>
    <row r="76" spans="1:3" x14ac:dyDescent="0.3">
      <c r="A76" s="33"/>
      <c r="C76" s="1"/>
    </row>
    <row r="77" spans="1:3" x14ac:dyDescent="0.3">
      <c r="A77" s="33"/>
      <c r="C77" s="1"/>
    </row>
    <row r="78" spans="1:3" x14ac:dyDescent="0.3">
      <c r="A78" s="33"/>
      <c r="C78" s="1"/>
    </row>
    <row r="79" spans="1:3" x14ac:dyDescent="0.3">
      <c r="A79" s="33"/>
      <c r="C79" s="1"/>
    </row>
    <row r="80" spans="1:3" x14ac:dyDescent="0.3">
      <c r="A80" s="33"/>
      <c r="C80" s="1"/>
    </row>
    <row r="81" spans="1:3" x14ac:dyDescent="0.3">
      <c r="A81" s="33"/>
      <c r="C81" s="1"/>
    </row>
    <row r="82" spans="1:3" x14ac:dyDescent="0.3">
      <c r="A82" s="33"/>
      <c r="C82" s="1"/>
    </row>
    <row r="83" spans="1:3" x14ac:dyDescent="0.3">
      <c r="A83" s="33"/>
      <c r="C83" s="1"/>
    </row>
    <row r="84" spans="1:3" x14ac:dyDescent="0.3">
      <c r="A84" s="33"/>
      <c r="C84" s="1"/>
    </row>
    <row r="85" spans="1:3" x14ac:dyDescent="0.3">
      <c r="A85" s="33"/>
      <c r="C85" s="1"/>
    </row>
    <row r="86" spans="1:3" x14ac:dyDescent="0.3">
      <c r="A86" s="33"/>
      <c r="C86" s="1"/>
    </row>
    <row r="87" spans="1:3" x14ac:dyDescent="0.3">
      <c r="A87" s="33"/>
      <c r="C87" s="1"/>
    </row>
    <row r="88" spans="1:3" x14ac:dyDescent="0.3">
      <c r="A88" s="33"/>
      <c r="C88" s="1"/>
    </row>
    <row r="89" spans="1:3" x14ac:dyDescent="0.3">
      <c r="A89" s="33"/>
      <c r="C89" s="1"/>
    </row>
    <row r="90" spans="1:3" x14ac:dyDescent="0.3">
      <c r="A90" s="33"/>
      <c r="C90" s="1"/>
    </row>
    <row r="91" spans="1:3" x14ac:dyDescent="0.3">
      <c r="A91" s="33"/>
      <c r="C91" s="1"/>
    </row>
    <row r="92" spans="1:3" x14ac:dyDescent="0.3">
      <c r="A92" s="33"/>
      <c r="C92" s="1"/>
    </row>
    <row r="93" spans="1:3" x14ac:dyDescent="0.3">
      <c r="A93" s="33"/>
      <c r="C93" s="1"/>
    </row>
    <row r="94" spans="1:3" x14ac:dyDescent="0.3">
      <c r="A94" s="33"/>
    </row>
    <row r="95" spans="1:3" x14ac:dyDescent="0.3">
      <c r="A95" s="33"/>
    </row>
    <row r="96" spans="1:3" x14ac:dyDescent="0.3">
      <c r="A96" s="33"/>
    </row>
    <row r="97" spans="1:1" x14ac:dyDescent="0.3">
      <c r="A97" s="33"/>
    </row>
  </sheetData>
  <mergeCells count="7">
    <mergeCell ref="I54:J54"/>
    <mergeCell ref="A2:A9"/>
    <mergeCell ref="A10:A21"/>
    <mergeCell ref="A22:A33"/>
    <mergeCell ref="A34:A45"/>
    <mergeCell ref="D54:E54"/>
    <mergeCell ref="G54:H5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0"/>
  <sheetViews>
    <sheetView workbookViewId="0">
      <pane ySplit="1" topLeftCell="A2" activePane="bottomLeft" state="frozen"/>
      <selection activeCell="C2" sqref="C2"/>
      <selection pane="bottomLeft" activeCell="C2" sqref="C2"/>
    </sheetView>
  </sheetViews>
  <sheetFormatPr defaultRowHeight="14.4" x14ac:dyDescent="0.3"/>
  <cols>
    <col min="2" max="2" width="10.33203125" customWidth="1"/>
  </cols>
  <sheetData>
    <row r="1" spans="1:11" x14ac:dyDescent="0.3">
      <c r="A1" s="32"/>
      <c r="B1" s="11" t="s">
        <v>28</v>
      </c>
      <c r="C1" s="11" t="s">
        <v>29</v>
      </c>
      <c r="D1" s="32">
        <v>90</v>
      </c>
      <c r="E1" s="11">
        <v>100</v>
      </c>
      <c r="F1" s="11">
        <v>110</v>
      </c>
      <c r="G1" s="11">
        <v>120</v>
      </c>
      <c r="H1" s="11">
        <v>130</v>
      </c>
      <c r="I1" s="11">
        <v>140</v>
      </c>
      <c r="J1" s="11">
        <v>150</v>
      </c>
      <c r="K1" s="11">
        <v>170</v>
      </c>
    </row>
    <row r="2" spans="1:11" ht="15" customHeight="1" x14ac:dyDescent="0.3">
      <c r="A2" s="193" t="s">
        <v>7</v>
      </c>
      <c r="B2" s="32">
        <v>10</v>
      </c>
      <c r="C2" s="36">
        <v>2</v>
      </c>
      <c r="D2" s="32">
        <v>-21</v>
      </c>
      <c r="E2" s="32">
        <v>-25.9</v>
      </c>
      <c r="F2" s="32">
        <v>-31.4</v>
      </c>
      <c r="G2" s="32">
        <v>-37.299999999999997</v>
      </c>
      <c r="H2" s="32">
        <v>-43.8</v>
      </c>
      <c r="I2" s="32">
        <v>-50.8</v>
      </c>
      <c r="J2" s="32">
        <v>-58.3</v>
      </c>
      <c r="K2" s="32">
        <v>-74.900000000000006</v>
      </c>
    </row>
    <row r="3" spans="1:11" x14ac:dyDescent="0.3">
      <c r="A3" s="194"/>
      <c r="B3" s="32">
        <v>20</v>
      </c>
      <c r="C3" s="36">
        <v>2</v>
      </c>
      <c r="D3" s="32">
        <v>-20.6</v>
      </c>
      <c r="E3" s="32">
        <v>-25.5</v>
      </c>
      <c r="F3" s="32">
        <v>-30.8</v>
      </c>
      <c r="G3" s="32">
        <v>-36.700000000000003</v>
      </c>
      <c r="H3" s="32">
        <v>-43</v>
      </c>
      <c r="I3" s="32">
        <v>-49.9</v>
      </c>
      <c r="J3" s="32">
        <v>-57.3</v>
      </c>
      <c r="K3" s="32">
        <v>-73.599999999999994</v>
      </c>
    </row>
    <row r="4" spans="1:11" x14ac:dyDescent="0.3">
      <c r="A4" s="194"/>
      <c r="B4" s="32">
        <v>50</v>
      </c>
      <c r="C4" s="36">
        <v>2</v>
      </c>
      <c r="D4" s="32">
        <v>-20.100000000000001</v>
      </c>
      <c r="E4" s="32">
        <v>-24.9</v>
      </c>
      <c r="F4" s="32">
        <v>-30.1</v>
      </c>
      <c r="G4" s="32">
        <v>-35.799999999999997</v>
      </c>
      <c r="H4" s="32">
        <v>-42</v>
      </c>
      <c r="I4" s="32">
        <v>-48.7</v>
      </c>
      <c r="J4" s="32">
        <v>-55.9</v>
      </c>
      <c r="K4" s="32">
        <v>-71.8</v>
      </c>
    </row>
    <row r="5" spans="1:11" x14ac:dyDescent="0.3">
      <c r="A5" s="194"/>
      <c r="B5" s="32">
        <v>100</v>
      </c>
      <c r="C5" s="36">
        <v>2</v>
      </c>
      <c r="D5" s="32">
        <v>-19.8</v>
      </c>
      <c r="E5" s="32">
        <v>-24.4</v>
      </c>
      <c r="F5" s="32">
        <v>-29.5</v>
      </c>
      <c r="G5" s="32">
        <v>-35.1</v>
      </c>
      <c r="H5" s="32">
        <v>-41.2</v>
      </c>
      <c r="I5" s="32">
        <v>-47.8</v>
      </c>
      <c r="J5" s="32">
        <v>-54.9</v>
      </c>
      <c r="K5" s="32">
        <v>-70.5</v>
      </c>
    </row>
    <row r="6" spans="1:11" x14ac:dyDescent="0.3">
      <c r="A6" s="194"/>
      <c r="B6" s="32">
        <v>10</v>
      </c>
      <c r="C6" s="36">
        <v>3</v>
      </c>
      <c r="D6" s="32">
        <v>-34.6</v>
      </c>
      <c r="E6" s="32">
        <v>-42.7</v>
      </c>
      <c r="F6" s="32">
        <v>-51.6</v>
      </c>
      <c r="G6" s="32">
        <v>-61.5</v>
      </c>
      <c r="H6" s="32">
        <v>-72.099999999999994</v>
      </c>
      <c r="I6" s="32">
        <v>-83.7</v>
      </c>
      <c r="J6" s="32">
        <v>-96</v>
      </c>
      <c r="K6" s="32">
        <v>-123.4</v>
      </c>
    </row>
    <row r="7" spans="1:11" x14ac:dyDescent="0.3">
      <c r="A7" s="194"/>
      <c r="B7" s="32">
        <v>20</v>
      </c>
      <c r="C7" s="36">
        <v>3</v>
      </c>
      <c r="D7" s="32">
        <v>-27.1</v>
      </c>
      <c r="E7" s="32">
        <v>-33.5</v>
      </c>
      <c r="F7" s="32">
        <v>-40.5</v>
      </c>
      <c r="G7" s="32">
        <v>-48.3</v>
      </c>
      <c r="H7" s="32">
        <v>-56.6</v>
      </c>
      <c r="I7" s="32">
        <v>-65.7</v>
      </c>
      <c r="J7" s="32">
        <v>-75.400000000000006</v>
      </c>
      <c r="K7" s="32">
        <v>-96.8</v>
      </c>
    </row>
    <row r="8" spans="1:11" x14ac:dyDescent="0.3">
      <c r="A8" s="194"/>
      <c r="B8" s="32">
        <v>50</v>
      </c>
      <c r="C8" s="36">
        <v>3</v>
      </c>
      <c r="D8" s="32">
        <v>-17.3</v>
      </c>
      <c r="E8" s="32">
        <v>-21.4</v>
      </c>
      <c r="F8" s="32">
        <v>-25.9</v>
      </c>
      <c r="G8" s="32">
        <v>-30.8</v>
      </c>
      <c r="H8" s="32">
        <v>-36.1</v>
      </c>
      <c r="I8" s="32">
        <v>-41.9</v>
      </c>
      <c r="J8" s="32">
        <v>-48.1</v>
      </c>
      <c r="K8" s="32">
        <v>-61.8</v>
      </c>
    </row>
    <row r="9" spans="1:11" x14ac:dyDescent="0.3">
      <c r="A9" s="195"/>
      <c r="B9" s="32">
        <v>100</v>
      </c>
      <c r="C9" s="36">
        <v>3</v>
      </c>
      <c r="D9" s="32">
        <v>-10</v>
      </c>
      <c r="E9" s="32">
        <v>-12.2</v>
      </c>
      <c r="F9" s="32">
        <v>-14.8</v>
      </c>
      <c r="G9" s="32">
        <v>-17.600000000000001</v>
      </c>
      <c r="H9" s="32">
        <v>-20.6</v>
      </c>
      <c r="I9" s="32">
        <v>-23.9</v>
      </c>
      <c r="J9" s="32">
        <v>-27.4</v>
      </c>
      <c r="K9" s="32">
        <v>-35.200000000000003</v>
      </c>
    </row>
    <row r="10" spans="1:11" ht="15" customHeight="1" x14ac:dyDescent="0.3">
      <c r="A10" s="193" t="s">
        <v>64</v>
      </c>
      <c r="B10" s="32">
        <v>10</v>
      </c>
      <c r="C10" s="36">
        <v>2</v>
      </c>
      <c r="D10" s="32">
        <v>-27.2</v>
      </c>
      <c r="E10" s="32">
        <v>-33.5</v>
      </c>
      <c r="F10" s="32">
        <v>-40.6</v>
      </c>
      <c r="G10" s="32">
        <v>-48.3</v>
      </c>
      <c r="H10" s="32">
        <v>-56.7</v>
      </c>
      <c r="I10" s="32">
        <v>-65.7</v>
      </c>
      <c r="J10" s="32">
        <v>-75.5</v>
      </c>
      <c r="K10" s="32">
        <v>-96.9</v>
      </c>
    </row>
    <row r="11" spans="1:11" x14ac:dyDescent="0.3">
      <c r="A11" s="194"/>
      <c r="B11" s="32">
        <v>20</v>
      </c>
      <c r="C11" s="36">
        <v>2</v>
      </c>
      <c r="D11" s="32">
        <v>-27.2</v>
      </c>
      <c r="E11" s="32">
        <v>-33.5</v>
      </c>
      <c r="F11" s="32">
        <v>-40.6</v>
      </c>
      <c r="G11" s="32">
        <v>-48.3</v>
      </c>
      <c r="H11" s="32">
        <v>-56.7</v>
      </c>
      <c r="I11" s="32">
        <v>-65.7</v>
      </c>
      <c r="J11" s="32">
        <v>-75.5</v>
      </c>
      <c r="K11" s="32">
        <v>-96.9</v>
      </c>
    </row>
    <row r="12" spans="1:11" x14ac:dyDescent="0.3">
      <c r="A12" s="194"/>
      <c r="B12" s="32">
        <v>50</v>
      </c>
      <c r="C12" s="36">
        <v>2</v>
      </c>
      <c r="D12" s="32">
        <v>-27.2</v>
      </c>
      <c r="E12" s="32">
        <v>-33.5</v>
      </c>
      <c r="F12" s="32">
        <v>-40.6</v>
      </c>
      <c r="G12" s="32">
        <v>-48.3</v>
      </c>
      <c r="H12" s="32">
        <v>-56.7</v>
      </c>
      <c r="I12" s="32">
        <v>-65.7</v>
      </c>
      <c r="J12" s="32">
        <v>-75.5</v>
      </c>
      <c r="K12" s="32">
        <v>-96.9</v>
      </c>
    </row>
    <row r="13" spans="1:11" x14ac:dyDescent="0.3">
      <c r="A13" s="194"/>
      <c r="B13" s="32">
        <v>100</v>
      </c>
      <c r="C13" s="36">
        <v>2</v>
      </c>
      <c r="D13" s="32">
        <v>-27.2</v>
      </c>
      <c r="E13" s="32">
        <v>-33.5</v>
      </c>
      <c r="F13" s="32">
        <v>-40.6</v>
      </c>
      <c r="G13" s="32">
        <v>-48.3</v>
      </c>
      <c r="H13" s="32">
        <v>-56.7</v>
      </c>
      <c r="I13" s="32">
        <v>-65.7</v>
      </c>
      <c r="J13" s="32">
        <v>-75.5</v>
      </c>
      <c r="K13" s="32">
        <v>-96.9</v>
      </c>
    </row>
    <row r="14" spans="1:11" x14ac:dyDescent="0.3">
      <c r="A14" s="194"/>
      <c r="B14" s="32">
        <v>10</v>
      </c>
      <c r="C14" s="36">
        <v>3</v>
      </c>
      <c r="D14" s="32">
        <v>-45.7</v>
      </c>
      <c r="E14" s="32">
        <v>-56.4</v>
      </c>
      <c r="F14" s="32">
        <v>-68.3</v>
      </c>
      <c r="G14" s="32">
        <v>-81.2</v>
      </c>
      <c r="H14" s="32">
        <v>-95.3</v>
      </c>
      <c r="I14" s="32">
        <v>-110.6</v>
      </c>
      <c r="J14" s="32">
        <v>-126.9</v>
      </c>
      <c r="K14" s="32">
        <v>-163</v>
      </c>
    </row>
    <row r="15" spans="1:11" x14ac:dyDescent="0.3">
      <c r="A15" s="194"/>
      <c r="B15" s="32">
        <v>20</v>
      </c>
      <c r="C15" s="36">
        <v>3</v>
      </c>
      <c r="D15" s="32">
        <v>-41.2</v>
      </c>
      <c r="E15" s="32">
        <v>-50.9</v>
      </c>
      <c r="F15" s="32">
        <v>-61.6</v>
      </c>
      <c r="G15" s="32">
        <v>-73.3</v>
      </c>
      <c r="H15" s="32">
        <v>-86</v>
      </c>
      <c r="I15" s="32">
        <v>-99.8</v>
      </c>
      <c r="J15" s="32">
        <v>-114.5</v>
      </c>
      <c r="K15" s="32">
        <v>-147.1</v>
      </c>
    </row>
    <row r="16" spans="1:11" x14ac:dyDescent="0.3">
      <c r="A16" s="194"/>
      <c r="B16" s="32">
        <v>50</v>
      </c>
      <c r="C16" s="36">
        <v>3</v>
      </c>
      <c r="D16" s="32">
        <v>-35.299999999999997</v>
      </c>
      <c r="E16" s="32">
        <v>-43.6</v>
      </c>
      <c r="F16" s="32">
        <v>-52.8</v>
      </c>
      <c r="G16" s="32">
        <v>-61.8</v>
      </c>
      <c r="H16" s="32">
        <v>-73.7</v>
      </c>
      <c r="I16" s="32">
        <v>-85.5</v>
      </c>
      <c r="J16" s="32">
        <v>-98.1</v>
      </c>
      <c r="K16" s="32">
        <v>-126.1</v>
      </c>
    </row>
    <row r="17" spans="1:11" x14ac:dyDescent="0.3">
      <c r="A17" s="195"/>
      <c r="B17" s="32">
        <v>100</v>
      </c>
      <c r="C17" s="36">
        <v>3</v>
      </c>
      <c r="D17" s="32">
        <v>-30.9</v>
      </c>
      <c r="E17" s="32">
        <v>-38.1</v>
      </c>
      <c r="F17" s="32">
        <v>-46.1</v>
      </c>
      <c r="G17" s="32">
        <v>-54.9</v>
      </c>
      <c r="H17" s="32">
        <v>-64.400000000000006</v>
      </c>
      <c r="I17" s="32">
        <v>-74.7</v>
      </c>
      <c r="J17" s="32">
        <v>-85.8</v>
      </c>
      <c r="K17" s="32">
        <v>-110.1</v>
      </c>
    </row>
    <row r="18" spans="1:11" ht="15" customHeight="1" x14ac:dyDescent="0.3">
      <c r="A18" s="193" t="s">
        <v>10</v>
      </c>
      <c r="B18" s="32">
        <v>10</v>
      </c>
      <c r="C18" s="36">
        <v>2</v>
      </c>
      <c r="D18" s="32">
        <v>-24.7</v>
      </c>
      <c r="E18" s="32">
        <v>-30.5</v>
      </c>
      <c r="F18" s="32">
        <v>-36.9</v>
      </c>
      <c r="G18" s="32">
        <v>-43.9</v>
      </c>
      <c r="H18" s="32">
        <v>-51.5</v>
      </c>
      <c r="I18" s="32">
        <v>-59.8</v>
      </c>
      <c r="J18" s="32">
        <v>-68.599999999999994</v>
      </c>
      <c r="K18" s="32">
        <v>-88.1</v>
      </c>
    </row>
    <row r="19" spans="1:11" x14ac:dyDescent="0.3">
      <c r="A19" s="194"/>
      <c r="B19" s="32">
        <v>20</v>
      </c>
      <c r="C19" s="36">
        <v>2</v>
      </c>
      <c r="D19" s="32">
        <v>-24</v>
      </c>
      <c r="E19" s="32">
        <v>-29.6</v>
      </c>
      <c r="F19" s="32">
        <v>-35.799999999999997</v>
      </c>
      <c r="G19" s="32">
        <v>-42.6</v>
      </c>
      <c r="H19" s="32">
        <v>-50</v>
      </c>
      <c r="I19" s="32">
        <v>-58</v>
      </c>
      <c r="J19" s="32">
        <v>-66.5</v>
      </c>
      <c r="K19" s="32">
        <v>-85.5</v>
      </c>
    </row>
    <row r="20" spans="1:11" x14ac:dyDescent="0.3">
      <c r="A20" s="194"/>
      <c r="B20" s="32">
        <v>50</v>
      </c>
      <c r="C20" s="36">
        <v>2</v>
      </c>
      <c r="D20" s="32">
        <v>-23</v>
      </c>
      <c r="E20" s="32">
        <v>-28.4</v>
      </c>
      <c r="F20" s="32">
        <v>-34.299999999999997</v>
      </c>
      <c r="G20" s="32">
        <v>-40.799999999999997</v>
      </c>
      <c r="H20" s="32">
        <v>-47.9</v>
      </c>
      <c r="I20" s="32">
        <v>-55.6</v>
      </c>
      <c r="J20" s="32">
        <v>-63.8</v>
      </c>
      <c r="K20" s="32">
        <v>-82</v>
      </c>
    </row>
    <row r="21" spans="1:11" x14ac:dyDescent="0.3">
      <c r="A21" s="194"/>
      <c r="B21" s="32">
        <v>100</v>
      </c>
      <c r="C21" s="36">
        <v>2</v>
      </c>
      <c r="D21" s="32">
        <v>-22.2</v>
      </c>
      <c r="E21" s="32">
        <v>-27.4</v>
      </c>
      <c r="F21" s="32">
        <v>-33.200000000000003</v>
      </c>
      <c r="G21" s="32">
        <v>-39.5</v>
      </c>
      <c r="H21" s="32">
        <v>-46.4</v>
      </c>
      <c r="I21" s="32">
        <v>-53.8</v>
      </c>
      <c r="J21" s="32">
        <v>-61.7</v>
      </c>
      <c r="K21" s="32">
        <v>-79.3</v>
      </c>
    </row>
    <row r="22" spans="1:11" x14ac:dyDescent="0.3">
      <c r="A22" s="194"/>
      <c r="B22" s="32">
        <v>10</v>
      </c>
      <c r="C22" s="36">
        <v>3</v>
      </c>
      <c r="D22" s="32">
        <v>-24.7</v>
      </c>
      <c r="E22" s="32">
        <v>-30.5</v>
      </c>
      <c r="F22" s="32">
        <v>-36.9</v>
      </c>
      <c r="G22" s="32">
        <v>-43.9</v>
      </c>
      <c r="H22" s="32">
        <v>-51.5</v>
      </c>
      <c r="I22" s="32">
        <v>-59.8</v>
      </c>
      <c r="J22" s="32">
        <v>-68.599999999999994</v>
      </c>
      <c r="K22" s="32">
        <v>-88.1</v>
      </c>
    </row>
    <row r="23" spans="1:11" x14ac:dyDescent="0.3">
      <c r="A23" s="194"/>
      <c r="B23" s="32">
        <v>20</v>
      </c>
      <c r="C23" s="36">
        <v>3</v>
      </c>
      <c r="D23" s="32">
        <v>-24</v>
      </c>
      <c r="E23" s="32">
        <v>-29.6</v>
      </c>
      <c r="F23" s="32">
        <v>-35.799999999999997</v>
      </c>
      <c r="G23" s="32">
        <v>-42.6</v>
      </c>
      <c r="H23" s="32">
        <v>-50</v>
      </c>
      <c r="I23" s="32">
        <v>-58</v>
      </c>
      <c r="J23" s="32">
        <v>-66.5</v>
      </c>
      <c r="K23" s="32">
        <v>-85.5</v>
      </c>
    </row>
    <row r="24" spans="1:11" x14ac:dyDescent="0.3">
      <c r="A24" s="194"/>
      <c r="B24" s="32">
        <v>50</v>
      </c>
      <c r="C24" s="36">
        <v>3</v>
      </c>
      <c r="D24" s="32">
        <v>-23</v>
      </c>
      <c r="E24" s="32">
        <v>-28.4</v>
      </c>
      <c r="F24" s="32">
        <v>-34.299999999999997</v>
      </c>
      <c r="G24" s="32">
        <v>-40.799999999999997</v>
      </c>
      <c r="H24" s="32">
        <v>-47.9</v>
      </c>
      <c r="I24" s="32">
        <v>-55.6</v>
      </c>
      <c r="J24" s="32">
        <v>-63.8</v>
      </c>
      <c r="K24" s="32">
        <v>-82</v>
      </c>
    </row>
    <row r="25" spans="1:11" x14ac:dyDescent="0.3">
      <c r="A25" s="195"/>
      <c r="B25" s="32">
        <v>100</v>
      </c>
      <c r="C25" s="36">
        <v>3</v>
      </c>
      <c r="D25" s="32">
        <v>-22.2</v>
      </c>
      <c r="E25" s="32">
        <v>-27.4</v>
      </c>
      <c r="F25" s="32">
        <v>-33.299999999999997</v>
      </c>
      <c r="G25" s="32">
        <v>-39.5</v>
      </c>
      <c r="H25" s="32">
        <v>-46.4</v>
      </c>
      <c r="I25" s="32">
        <v>-53.8</v>
      </c>
      <c r="J25" s="32">
        <v>-61.7</v>
      </c>
      <c r="K25" s="32">
        <v>-79.3</v>
      </c>
    </row>
    <row r="27" spans="1:11" x14ac:dyDescent="0.3">
      <c r="A27" t="s">
        <v>30</v>
      </c>
      <c r="B27" s="2"/>
      <c r="C27" t="s">
        <v>31</v>
      </c>
    </row>
    <row r="28" spans="1:11" x14ac:dyDescent="0.3">
      <c r="A28">
        <f>'C&amp;C 7-05 Simplified'!E13</f>
        <v>130</v>
      </c>
      <c r="C28">
        <f>'C&amp;C 7-05 Simplified'!E15</f>
        <v>15</v>
      </c>
    </row>
    <row r="30" spans="1:11" x14ac:dyDescent="0.3">
      <c r="I30" s="2"/>
    </row>
    <row r="31" spans="1:11" ht="12.75" customHeight="1" x14ac:dyDescent="0.3">
      <c r="A31" s="2" t="s">
        <v>32</v>
      </c>
      <c r="D31" s="131" t="s">
        <v>65</v>
      </c>
      <c r="E31" s="131"/>
      <c r="G31" s="131" t="s">
        <v>35</v>
      </c>
      <c r="H31" s="131"/>
      <c r="I31" s="1"/>
    </row>
    <row r="32" spans="1:11" x14ac:dyDescent="0.3">
      <c r="A32" s="1">
        <v>2</v>
      </c>
      <c r="B32">
        <f>INDEX(C2:K2,MATCH(C28,B2,1),MATCH(A28,D1:K1,0))</f>
        <v>-37.299999999999997</v>
      </c>
      <c r="D32" s="1">
        <v>2</v>
      </c>
      <c r="E32">
        <f>INDEX(D10:K10,MATCH(C28,B10,1),MATCH(A28,D1:K1,0))</f>
        <v>-56.7</v>
      </c>
      <c r="G32" s="1">
        <v>2</v>
      </c>
      <c r="H32">
        <f>INDEX(D18:K18,MATCH(C28,B18,1),MATCH(A28,D1:K1,0))</f>
        <v>-51.5</v>
      </c>
    </row>
    <row r="33" spans="1:8" x14ac:dyDescent="0.3">
      <c r="A33" s="1">
        <v>3</v>
      </c>
      <c r="B33">
        <f>INDEX(D6:K6,MATCH(C28,B6,1),MATCH(A28,D1:K1,0))</f>
        <v>-72.099999999999994</v>
      </c>
      <c r="D33" s="1">
        <v>3</v>
      </c>
      <c r="E33">
        <f>INDEX(D14:K14,MATCH(C28,B14,1),MATCH(A28,D1:K1,0))</f>
        <v>-95.3</v>
      </c>
      <c r="G33" s="1">
        <v>3</v>
      </c>
      <c r="H33">
        <f>INDEX(D22:K22,MATCH(C28,B22,1),MATCH(A28,D1:K1,0))</f>
        <v>-51.5</v>
      </c>
    </row>
    <row r="34" spans="1:8" x14ac:dyDescent="0.3">
      <c r="A34" s="33"/>
      <c r="C34" s="1"/>
    </row>
    <row r="35" spans="1:8" ht="15" customHeight="1" x14ac:dyDescent="0.3">
      <c r="C35" s="1"/>
    </row>
    <row r="36" spans="1:8" x14ac:dyDescent="0.3">
      <c r="C36" s="1"/>
    </row>
    <row r="37" spans="1:8" x14ac:dyDescent="0.3">
      <c r="C37" s="1"/>
    </row>
    <row r="38" spans="1:8" x14ac:dyDescent="0.3">
      <c r="C38" s="1"/>
    </row>
    <row r="39" spans="1:8" x14ac:dyDescent="0.3">
      <c r="A39" s="2"/>
      <c r="C39" s="1"/>
    </row>
    <row r="40" spans="1:8" x14ac:dyDescent="0.3">
      <c r="A40" s="1"/>
      <c r="C40" s="1"/>
    </row>
    <row r="41" spans="1:8" x14ac:dyDescent="0.3">
      <c r="A41" s="1"/>
      <c r="C41" s="1"/>
    </row>
    <row r="42" spans="1:8" x14ac:dyDescent="0.3">
      <c r="A42" s="1"/>
      <c r="C42" s="1"/>
    </row>
    <row r="43" spans="1:8" x14ac:dyDescent="0.3">
      <c r="A43" s="33"/>
      <c r="C43" s="1"/>
    </row>
    <row r="44" spans="1:8" x14ac:dyDescent="0.3">
      <c r="A44" s="33"/>
      <c r="C44" s="1"/>
    </row>
    <row r="45" spans="1:8" x14ac:dyDescent="0.3">
      <c r="A45" s="33"/>
      <c r="C45" s="1"/>
    </row>
    <row r="46" spans="1:8" x14ac:dyDescent="0.3">
      <c r="A46" s="33"/>
      <c r="C46" s="1"/>
    </row>
    <row r="47" spans="1:8" x14ac:dyDescent="0.3">
      <c r="A47" s="33"/>
      <c r="C47" s="1"/>
    </row>
    <row r="48" spans="1:8" x14ac:dyDescent="0.3">
      <c r="A48" s="33"/>
      <c r="C48" s="1"/>
    </row>
    <row r="49" spans="1:3" x14ac:dyDescent="0.3">
      <c r="A49" s="33"/>
      <c r="C49" s="1"/>
    </row>
    <row r="50" spans="1:3" x14ac:dyDescent="0.3">
      <c r="A50" s="33"/>
      <c r="C50" s="1"/>
    </row>
    <row r="51" spans="1:3" x14ac:dyDescent="0.3">
      <c r="A51" s="33"/>
      <c r="C51" s="1"/>
    </row>
    <row r="52" spans="1:3" x14ac:dyDescent="0.3">
      <c r="A52" s="33"/>
      <c r="C52" s="1"/>
    </row>
    <row r="53" spans="1:3" x14ac:dyDescent="0.3">
      <c r="A53" s="33"/>
      <c r="C53" s="1"/>
    </row>
    <row r="54" spans="1:3" x14ac:dyDescent="0.3">
      <c r="A54" s="33"/>
      <c r="C54" s="1"/>
    </row>
    <row r="55" spans="1:3" x14ac:dyDescent="0.3">
      <c r="A55" s="33"/>
      <c r="C55" s="1"/>
    </row>
    <row r="56" spans="1:3" x14ac:dyDescent="0.3">
      <c r="A56" s="33"/>
      <c r="C56" s="1"/>
    </row>
    <row r="57" spans="1:3" ht="15" customHeight="1" x14ac:dyDescent="0.3">
      <c r="A57" s="33"/>
      <c r="C57" s="1"/>
    </row>
    <row r="58" spans="1:3" x14ac:dyDescent="0.3">
      <c r="A58" s="33"/>
      <c r="C58" s="1"/>
    </row>
    <row r="59" spans="1:3" x14ac:dyDescent="0.3">
      <c r="A59" s="33"/>
      <c r="C59" s="1"/>
    </row>
    <row r="60" spans="1:3" x14ac:dyDescent="0.3">
      <c r="A60" s="33"/>
      <c r="C60" s="1"/>
    </row>
    <row r="61" spans="1:3" x14ac:dyDescent="0.3">
      <c r="A61" s="33"/>
      <c r="C61" s="1"/>
    </row>
    <row r="62" spans="1:3" x14ac:dyDescent="0.3">
      <c r="A62" s="33"/>
      <c r="C62" s="1"/>
    </row>
    <row r="63" spans="1:3" x14ac:dyDescent="0.3">
      <c r="A63" s="33"/>
      <c r="C63" s="1"/>
    </row>
    <row r="64" spans="1:3" x14ac:dyDescent="0.3">
      <c r="A64" s="33"/>
      <c r="C64" s="1"/>
    </row>
    <row r="65" spans="1:1" x14ac:dyDescent="0.3">
      <c r="A65" s="33"/>
    </row>
    <row r="66" spans="1:1" x14ac:dyDescent="0.3">
      <c r="A66" s="33"/>
    </row>
    <row r="67" spans="1:1" x14ac:dyDescent="0.3">
      <c r="A67" s="33"/>
    </row>
    <row r="68" spans="1:1" x14ac:dyDescent="0.3">
      <c r="A68" s="33"/>
    </row>
    <row r="69" spans="1:1" x14ac:dyDescent="0.3">
      <c r="A69" s="33"/>
    </row>
    <row r="70" spans="1:1" x14ac:dyDescent="0.3">
      <c r="A70" s="33"/>
    </row>
    <row r="71" spans="1:1" x14ac:dyDescent="0.3">
      <c r="A71" s="33"/>
    </row>
    <row r="72" spans="1:1" x14ac:dyDescent="0.3">
      <c r="A72" s="33"/>
    </row>
    <row r="73" spans="1:1" x14ac:dyDescent="0.3">
      <c r="A73" s="33"/>
    </row>
    <row r="74" spans="1:1" x14ac:dyDescent="0.3">
      <c r="A74" s="33"/>
    </row>
    <row r="75" spans="1:1" x14ac:dyDescent="0.3">
      <c r="A75" s="33"/>
    </row>
    <row r="76" spans="1:1" x14ac:dyDescent="0.3">
      <c r="A76" s="33"/>
    </row>
    <row r="77" spans="1:1" x14ac:dyDescent="0.3">
      <c r="A77" s="33"/>
    </row>
    <row r="78" spans="1:1" x14ac:dyDescent="0.3">
      <c r="A78" s="33"/>
    </row>
    <row r="79" spans="1:1" x14ac:dyDescent="0.3">
      <c r="A79" s="33"/>
    </row>
    <row r="80" spans="1:1" x14ac:dyDescent="0.3">
      <c r="A80" s="33"/>
    </row>
  </sheetData>
  <mergeCells count="5">
    <mergeCell ref="A10:A17"/>
    <mergeCell ref="A18:A25"/>
    <mergeCell ref="D31:E31"/>
    <mergeCell ref="G31:H31"/>
    <mergeCell ref="A2:A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</vt:i4>
      </vt:variant>
    </vt:vector>
  </HeadingPairs>
  <TitlesOfParts>
    <vt:vector size="23" baseType="lpstr">
      <vt:lpstr>C&amp;C 7-22</vt:lpstr>
      <vt:lpstr>C&amp;C 7-16 Simplified</vt:lpstr>
      <vt:lpstr>C&amp;C 7-10 Simplified</vt:lpstr>
      <vt:lpstr>C&amp;C 7-05 Simplified</vt:lpstr>
      <vt:lpstr>C&amp;C 7-16 Analytical</vt:lpstr>
      <vt:lpstr>C&amp;C 7-10 Analytical</vt:lpstr>
      <vt:lpstr>C&amp;C 7-05 Analytical</vt:lpstr>
      <vt:lpstr>7-16 Positive</vt:lpstr>
      <vt:lpstr>7-16 Negative</vt:lpstr>
      <vt:lpstr>7-16 Negative Overhang</vt:lpstr>
      <vt:lpstr>7-10 Positive</vt:lpstr>
      <vt:lpstr>7-10 Negative</vt:lpstr>
      <vt:lpstr>7-10 Negative Overhang</vt:lpstr>
      <vt:lpstr>7-05 Positive</vt:lpstr>
      <vt:lpstr>7-05 Negative</vt:lpstr>
      <vt:lpstr>7-05 Negative Overhang</vt:lpstr>
      <vt:lpstr>'C&amp;C 7-05 Analytical'!Print_Area</vt:lpstr>
      <vt:lpstr>'C&amp;C 7-05 Simplified'!Print_Area</vt:lpstr>
      <vt:lpstr>'C&amp;C 7-10 Analytical'!Print_Area</vt:lpstr>
      <vt:lpstr>'C&amp;C 7-10 Simplified'!Print_Area</vt:lpstr>
      <vt:lpstr>'C&amp;C 7-16 Analytical'!Print_Area</vt:lpstr>
      <vt:lpstr>'C&amp;C 7-16 Simplified'!Print_Area</vt:lpstr>
      <vt:lpstr>'C&amp;C 7-22'!Print_Area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Schneider</dc:creator>
  <cp:lastModifiedBy>Michael Schneider</cp:lastModifiedBy>
  <cp:lastPrinted>2024-01-07T16:27:45Z</cp:lastPrinted>
  <dcterms:created xsi:type="dcterms:W3CDTF">2022-06-08T20:38:01Z</dcterms:created>
  <dcterms:modified xsi:type="dcterms:W3CDTF">2025-11-26T12:12:36Z</dcterms:modified>
</cp:coreProperties>
</file>
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Sales Resources\Calculators &amp; Forms\"/>
    </mc:Choice>
  </mc:AlternateContent>
  <xr:revisionPtr revIDLastSave="0" documentId="13_ncr:1_{852EA204-8E13-4151-9BAA-CD1FE2B2A399}" xr6:coauthVersionLast="47" xr6:coauthVersionMax="47" xr10:uidLastSave="{00000000-0000-0000-0000-000000000000}"/>
  <bookViews>
    <workbookView xWindow="-28020" yWindow="780" windowWidth="21600" windowHeight="11385" xr2:uid="{00000000-000D-0000-FFFF-FFFF00000000}"/>
  </bookViews>
  <sheets>
    <sheet name="Fixture Chart" sheetId="17" r:id="rId1"/>
    <sheet name="Supply (IPC)" sheetId="7" r:id="rId2"/>
    <sheet name="Waste (IPC)" sheetId="8" r:id="rId3"/>
    <sheet name="Supply (UPC &amp; CPC)" sheetId="3" r:id="rId4"/>
    <sheet name="Waste (UPC &amp; CPC)" sheetId="4" r:id="rId5"/>
    <sheet name="Supply (248 CMR) (MA)" sheetId="9" state="hidden" r:id="rId6"/>
    <sheet name="Waste (248 CMR) (MA)" sheetId="10" state="hidden" r:id="rId7"/>
    <sheet name="Supply (NSPC) (NJ)" sheetId="11" state="hidden" r:id="rId8"/>
    <sheet name="Waste (NSPC) (NJ)" sheetId="12" state="hidden" r:id="rId9"/>
    <sheet name="Supply (ISPC) (IL)" sheetId="15" state="hidden" r:id="rId10"/>
    <sheet name="Waste (ISPC) (IL)" sheetId="16" state="hidden" r:id="rId11"/>
    <sheet name="Ohio Supply-Waste Demand" sheetId="13" state="hidden" r:id="rId12"/>
  </sheets>
  <definedNames>
    <definedName name="_xlnm.Print_Area" localSheetId="0">'Fixture Chart'!$A$1:$D$13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2" i="17" l="1" a="1"/>
  <c r="I122" i="17" s="1"/>
  <c r="J120" i="17" s="1"/>
  <c r="C122" i="17" a="1"/>
  <c r="C122" i="17" s="1"/>
  <c r="D120" i="17" s="1"/>
  <c r="I119" i="17" a="1"/>
  <c r="I119" i="17" s="1"/>
  <c r="J119" i="17" s="1"/>
  <c r="C119" i="17" a="1"/>
  <c r="I113" i="17"/>
  <c r="H113" i="17"/>
  <c r="G113" i="17"/>
  <c r="F113" i="17"/>
  <c r="E113" i="17"/>
  <c r="D113" i="17"/>
  <c r="C113" i="17"/>
  <c r="I112" i="17"/>
  <c r="H112" i="17"/>
  <c r="G112" i="17"/>
  <c r="F112" i="17"/>
  <c r="E112" i="17"/>
  <c r="D112" i="17"/>
  <c r="C112" i="17"/>
  <c r="L111" i="17"/>
  <c r="K111" i="17"/>
  <c r="J111" i="17"/>
  <c r="I111" i="17"/>
  <c r="E111" i="17"/>
  <c r="D111" i="17"/>
  <c r="C111" i="17"/>
  <c r="L110" i="17"/>
  <c r="K110" i="17"/>
  <c r="J110" i="17"/>
  <c r="I110" i="17"/>
  <c r="E110" i="17"/>
  <c r="D110" i="17"/>
  <c r="C110" i="17"/>
  <c r="L109" i="17"/>
  <c r="K109" i="17"/>
  <c r="J109" i="17"/>
  <c r="I109" i="17"/>
  <c r="H109" i="17"/>
  <c r="G109" i="17"/>
  <c r="F109" i="17"/>
  <c r="E109" i="17"/>
  <c r="K108" i="17"/>
  <c r="J108" i="17"/>
  <c r="I108" i="17"/>
  <c r="H108" i="17"/>
  <c r="G108" i="17"/>
  <c r="F108" i="17"/>
  <c r="E108" i="17"/>
  <c r="B107" i="17"/>
  <c r="L113" i="17" s="1"/>
  <c r="D103" i="17"/>
  <c r="C103" i="17"/>
  <c r="J121" i="17" l="1"/>
  <c r="F110" i="17"/>
  <c r="J112" i="17"/>
  <c r="C119" i="17"/>
  <c r="D119" i="17" s="1"/>
  <c r="D121" i="17" s="1"/>
  <c r="C108" i="17"/>
  <c r="G110" i="17"/>
  <c r="K112" i="17"/>
  <c r="D108" i="17"/>
  <c r="H110" i="17"/>
  <c r="L112" i="17"/>
  <c r="L108" i="17"/>
  <c r="F111" i="17"/>
  <c r="J113" i="17"/>
  <c r="C109" i="17"/>
  <c r="G111" i="17"/>
  <c r="K113" i="17"/>
  <c r="D109" i="17"/>
  <c r="H111" i="17"/>
  <c r="C73" i="17" l="1"/>
  <c r="C74" i="17" s="1"/>
  <c r="C75" i="17" s="1"/>
  <c r="C78" i="17"/>
  <c r="O18" i="8"/>
  <c r="O21" i="7"/>
  <c r="N21" i="7"/>
  <c r="M21" i="7"/>
  <c r="N24" i="3"/>
  <c r="A14" i="17"/>
  <c r="O44" i="8"/>
  <c r="D102" i="17"/>
  <c r="D101" i="17"/>
  <c r="D100" i="17"/>
  <c r="D99" i="17"/>
  <c r="D98" i="17"/>
  <c r="D97" i="17"/>
  <c r="D96" i="17"/>
  <c r="D95" i="17"/>
  <c r="C11" i="17"/>
  <c r="C10" i="17"/>
  <c r="C9" i="17"/>
  <c r="C8" i="17"/>
  <c r="C7" i="17"/>
  <c r="C6" i="17"/>
  <c r="D94" i="17"/>
  <c r="D93" i="17"/>
  <c r="D91" i="17"/>
  <c r="D90" i="17"/>
  <c r="D89" i="17"/>
  <c r="D88" i="17"/>
  <c r="D87" i="17"/>
  <c r="D86" i="17"/>
  <c r="O15" i="7"/>
  <c r="N15" i="7"/>
  <c r="M15" i="7"/>
  <c r="D11" i="17" l="1"/>
  <c r="D10" i="17"/>
  <c r="D9" i="17"/>
  <c r="D8" i="17"/>
  <c r="D7" i="17"/>
  <c r="D6" i="17"/>
  <c r="D5" i="17"/>
  <c r="D4" i="17"/>
  <c r="D3" i="17"/>
  <c r="D2" i="17"/>
  <c r="C93" i="17"/>
  <c r="C102" i="17"/>
  <c r="C101" i="17"/>
  <c r="C100" i="17"/>
  <c r="C99" i="17"/>
  <c r="C98" i="17"/>
  <c r="C97" i="17"/>
  <c r="C96" i="17"/>
  <c r="C95" i="17"/>
  <c r="C94" i="17"/>
  <c r="C91" i="17"/>
  <c r="C90" i="17"/>
  <c r="C89" i="17"/>
  <c r="C88" i="17"/>
  <c r="C87" i="17"/>
  <c r="C86" i="17"/>
  <c r="C5" i="17" l="1"/>
  <c r="C4" i="17"/>
  <c r="C79" i="17"/>
  <c r="C2" i="17" s="1"/>
  <c r="C3" i="17"/>
  <c r="D12" i="17"/>
  <c r="M48" i="16"/>
  <c r="M47" i="16"/>
  <c r="M46" i="16"/>
  <c r="M45" i="16"/>
  <c r="M44" i="16"/>
  <c r="M43" i="16"/>
  <c r="M41" i="16"/>
  <c r="M40" i="16"/>
  <c r="M39" i="16"/>
  <c r="M38" i="16"/>
  <c r="M37" i="16"/>
  <c r="M36" i="16"/>
  <c r="M35" i="16"/>
  <c r="M34" i="16"/>
  <c r="M33" i="16"/>
  <c r="M32" i="16"/>
  <c r="M30" i="16"/>
  <c r="M29" i="16"/>
  <c r="M28" i="16"/>
  <c r="M27" i="16"/>
  <c r="M26" i="16"/>
  <c r="M25" i="16"/>
  <c r="M24" i="16"/>
  <c r="M23" i="16"/>
  <c r="M22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49" i="16" s="1"/>
  <c r="N28" i="15"/>
  <c r="M28" i="15"/>
  <c r="L28" i="15"/>
  <c r="N27" i="15"/>
  <c r="M27" i="15"/>
  <c r="L27" i="15"/>
  <c r="N26" i="15"/>
  <c r="M26" i="15"/>
  <c r="L26" i="15"/>
  <c r="N25" i="15"/>
  <c r="M25" i="15"/>
  <c r="L25" i="15"/>
  <c r="N24" i="15"/>
  <c r="M24" i="15"/>
  <c r="L24" i="15"/>
  <c r="N23" i="15"/>
  <c r="M23" i="15"/>
  <c r="L23" i="15"/>
  <c r="N22" i="15"/>
  <c r="M22" i="15"/>
  <c r="L22" i="15"/>
  <c r="N21" i="15"/>
  <c r="M21" i="15"/>
  <c r="L21" i="15"/>
  <c r="N20" i="15"/>
  <c r="M20" i="15"/>
  <c r="L20" i="15"/>
  <c r="N19" i="15"/>
  <c r="W7" i="15" s="1"/>
  <c r="M19" i="15"/>
  <c r="L19" i="15"/>
  <c r="U7" i="15" s="1"/>
  <c r="N18" i="15"/>
  <c r="M18" i="15"/>
  <c r="L18" i="15"/>
  <c r="N17" i="15"/>
  <c r="M17" i="15"/>
  <c r="L17" i="15"/>
  <c r="N16" i="15"/>
  <c r="M16" i="15"/>
  <c r="L16" i="15"/>
  <c r="N15" i="15"/>
  <c r="M15" i="15"/>
  <c r="L15" i="15"/>
  <c r="N14" i="15"/>
  <c r="M14" i="15"/>
  <c r="L14" i="15"/>
  <c r="N13" i="15"/>
  <c r="M13" i="15"/>
  <c r="L13" i="15"/>
  <c r="N12" i="15"/>
  <c r="M12" i="15"/>
  <c r="L12" i="15"/>
  <c r="N11" i="15"/>
  <c r="M11" i="15"/>
  <c r="L11" i="15"/>
  <c r="N10" i="15"/>
  <c r="M10" i="15"/>
  <c r="L10" i="15"/>
  <c r="N9" i="15"/>
  <c r="M9" i="15"/>
  <c r="L9" i="15"/>
  <c r="B103" i="17" l="1"/>
  <c r="A103" i="17"/>
  <c r="G103" i="17"/>
  <c r="F103" i="17"/>
  <c r="G102" i="17"/>
  <c r="G101" i="17"/>
  <c r="G93" i="17"/>
  <c r="G98" i="17"/>
  <c r="G94" i="17"/>
  <c r="G95" i="17"/>
  <c r="G100" i="17"/>
  <c r="G99" i="17"/>
  <c r="G97" i="17"/>
  <c r="G96" i="17"/>
  <c r="A98" i="17"/>
  <c r="A97" i="17"/>
  <c r="A96" i="17"/>
  <c r="A95" i="17"/>
  <c r="A93" i="17"/>
  <c r="A94" i="17"/>
  <c r="A102" i="17"/>
  <c r="A101" i="17"/>
  <c r="A100" i="17"/>
  <c r="A99" i="17"/>
  <c r="C12" i="17"/>
  <c r="M50" i="16"/>
  <c r="M51" i="16"/>
  <c r="M52" i="16"/>
  <c r="U4" i="15"/>
  <c r="V4" i="15"/>
  <c r="W4" i="15"/>
  <c r="L29" i="15"/>
  <c r="U10" i="15" s="1"/>
  <c r="A36" i="15" s="1"/>
  <c r="A43" i="15"/>
  <c r="U4" i="11"/>
  <c r="A46" i="13"/>
  <c r="D46" i="13" s="1"/>
  <c r="A44" i="13"/>
  <c r="D44" i="13" s="1"/>
  <c r="A43" i="13"/>
  <c r="D43" i="13" s="1"/>
  <c r="A41" i="13"/>
  <c r="D41" i="13" s="1"/>
  <c r="A40" i="13"/>
  <c r="D40" i="13" s="1"/>
  <c r="A39" i="13"/>
  <c r="D39" i="13" s="1"/>
  <c r="A37" i="13"/>
  <c r="D37" i="13" s="1"/>
  <c r="A36" i="13"/>
  <c r="D36" i="13" s="1"/>
  <c r="A35" i="13"/>
  <c r="D35" i="13" s="1"/>
  <c r="A34" i="13"/>
  <c r="D34" i="13" s="1"/>
  <c r="A33" i="13"/>
  <c r="D33" i="13" s="1"/>
  <c r="A32" i="13"/>
  <c r="D32" i="13" s="1"/>
  <c r="A31" i="13"/>
  <c r="D31" i="13" s="1"/>
  <c r="A30" i="13"/>
  <c r="D30" i="13" s="1"/>
  <c r="A29" i="13"/>
  <c r="D29" i="13" s="1"/>
  <c r="A28" i="13"/>
  <c r="D28" i="13" s="1"/>
  <c r="A20" i="13"/>
  <c r="P20" i="13" s="1"/>
  <c r="A19" i="13"/>
  <c r="R19" i="13" s="1"/>
  <c r="A18" i="13"/>
  <c r="R18" i="13" s="1"/>
  <c r="A17" i="13"/>
  <c r="R17" i="13" s="1"/>
  <c r="A16" i="13"/>
  <c r="N16" i="13" s="1"/>
  <c r="A15" i="13"/>
  <c r="R15" i="13" s="1"/>
  <c r="A14" i="13"/>
  <c r="R14" i="13" s="1"/>
  <c r="A13" i="13"/>
  <c r="R13" i="13" s="1"/>
  <c r="A12" i="13"/>
  <c r="R12" i="13" s="1"/>
  <c r="A11" i="13"/>
  <c r="R11" i="13" s="1"/>
  <c r="A10" i="13"/>
  <c r="Q10" i="13" s="1"/>
  <c r="A9" i="13"/>
  <c r="R9" i="13" s="1"/>
  <c r="A8" i="13"/>
  <c r="R8" i="13" s="1"/>
  <c r="A7" i="13"/>
  <c r="N7" i="13" s="1"/>
  <c r="A6" i="13"/>
  <c r="N6" i="13" s="1"/>
  <c r="A5" i="13"/>
  <c r="P5" i="13" s="1"/>
  <c r="A4" i="13"/>
  <c r="A3" i="13"/>
  <c r="D14" i="13"/>
  <c r="O14" i="13" s="1"/>
  <c r="D11" i="13"/>
  <c r="D8" i="13"/>
  <c r="D7" i="13"/>
  <c r="D4" i="13"/>
  <c r="D3" i="13"/>
  <c r="D10" i="13"/>
  <c r="D9" i="13"/>
  <c r="D13" i="13"/>
  <c r="D12" i="13"/>
  <c r="Q18" i="13"/>
  <c r="P18" i="13"/>
  <c r="O18" i="13"/>
  <c r="N18" i="13"/>
  <c r="Q13" i="13"/>
  <c r="N11" i="13"/>
  <c r="R10" i="13"/>
  <c r="P10" i="13"/>
  <c r="P6" i="13"/>
  <c r="O6" i="13"/>
  <c r="R5" i="13"/>
  <c r="N5" i="13"/>
  <c r="E114" i="17" l="1"/>
  <c r="I114" i="17"/>
  <c r="F114" i="17"/>
  <c r="J114" i="17"/>
  <c r="H114" i="17"/>
  <c r="L114" i="17"/>
  <c r="K114" i="17"/>
  <c r="G114" i="17"/>
  <c r="D114" i="17"/>
  <c r="C114" i="17"/>
  <c r="D13" i="17"/>
  <c r="P11" i="13"/>
  <c r="Q11" i="13"/>
  <c r="N12" i="13"/>
  <c r="O9" i="13"/>
  <c r="O10" i="13"/>
  <c r="Q12" i="13"/>
  <c r="O11" i="13"/>
  <c r="N14" i="13"/>
  <c r="Q5" i="13"/>
  <c r="Q6" i="13"/>
  <c r="N20" i="13"/>
  <c r="R6" i="13"/>
  <c r="O15" i="13"/>
  <c r="Q20" i="13"/>
  <c r="Q15" i="13"/>
  <c r="P7" i="13"/>
  <c r="R16" i="13"/>
  <c r="Q7" i="13"/>
  <c r="N17" i="13"/>
  <c r="R7" i="13"/>
  <c r="O17" i="13"/>
  <c r="R20" i="13"/>
  <c r="P16" i="13"/>
  <c r="P17" i="13"/>
  <c r="O20" i="13"/>
  <c r="Q17" i="13"/>
  <c r="O7" i="13"/>
  <c r="M30" i="15"/>
  <c r="N29" i="15"/>
  <c r="W10" i="15" s="1"/>
  <c r="A42" i="15" s="1"/>
  <c r="M29" i="15"/>
  <c r="V10" i="15" s="1"/>
  <c r="E36" i="15" s="1"/>
  <c r="D47" i="13"/>
  <c r="N19" i="13"/>
  <c r="P19" i="13"/>
  <c r="O19" i="13"/>
  <c r="Q19" i="13"/>
  <c r="Q16" i="13"/>
  <c r="O16" i="13"/>
  <c r="N15" i="13"/>
  <c r="P15" i="13"/>
  <c r="P25" i="13" s="1"/>
  <c r="P14" i="13"/>
  <c r="Q14" i="13"/>
  <c r="N13" i="13"/>
  <c r="P13" i="13"/>
  <c r="O13" i="13"/>
  <c r="P12" i="13"/>
  <c r="O12" i="13"/>
  <c r="N10" i="13"/>
  <c r="N9" i="13"/>
  <c r="P9" i="13"/>
  <c r="Q9" i="13"/>
  <c r="N8" i="13"/>
  <c r="O8" i="13"/>
  <c r="P8" i="13"/>
  <c r="Q8" i="13"/>
  <c r="O5" i="13"/>
  <c r="P4" i="13"/>
  <c r="Q4" i="13"/>
  <c r="R4" i="13"/>
  <c r="N4" i="13"/>
  <c r="O4" i="13"/>
  <c r="Q3" i="13"/>
  <c r="P3" i="13"/>
  <c r="N3" i="13"/>
  <c r="R3" i="13"/>
  <c r="O3" i="13"/>
  <c r="O46" i="10"/>
  <c r="O48" i="10"/>
  <c r="I58" i="12"/>
  <c r="I57" i="12"/>
  <c r="I56" i="12"/>
  <c r="I55" i="12"/>
  <c r="I54" i="12"/>
  <c r="I53" i="12"/>
  <c r="O40" i="12"/>
  <c r="O39" i="12"/>
  <c r="O38" i="12"/>
  <c r="O37" i="12"/>
  <c r="O36" i="12"/>
  <c r="H34" i="12"/>
  <c r="H33" i="12"/>
  <c r="O32" i="12"/>
  <c r="O31" i="12"/>
  <c r="O30" i="12"/>
  <c r="H29" i="12"/>
  <c r="O29" i="12" s="1"/>
  <c r="H28" i="12"/>
  <c r="O28" i="12" s="1"/>
  <c r="O27" i="12"/>
  <c r="O26" i="12"/>
  <c r="O25" i="12"/>
  <c r="M24" i="12"/>
  <c r="K24" i="12"/>
  <c r="H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C13" i="17" l="1"/>
  <c r="L30" i="15"/>
  <c r="B36" i="15" s="1"/>
  <c r="N30" i="15"/>
  <c r="F36" i="15"/>
  <c r="R21" i="13"/>
  <c r="G21" i="13" s="1"/>
  <c r="N21" i="13"/>
  <c r="C21" i="13" s="1"/>
  <c r="O21" i="13"/>
  <c r="D21" i="13" s="1"/>
  <c r="O25" i="13"/>
  <c r="E22" i="13" s="1"/>
  <c r="Q21" i="13"/>
  <c r="F21" i="13" s="1"/>
  <c r="P21" i="13"/>
  <c r="E21" i="13" s="1"/>
  <c r="Q25" i="13"/>
  <c r="F22" i="13" s="1"/>
  <c r="I59" i="12"/>
  <c r="O41" i="12"/>
  <c r="O43" i="12"/>
  <c r="D52" i="12" s="1"/>
  <c r="I52" i="12" s="1"/>
  <c r="L59" i="12" s="1"/>
  <c r="K59" i="12" s="1"/>
  <c r="O59" i="12" s="1"/>
  <c r="O42" i="12"/>
  <c r="B42" i="15" l="1"/>
  <c r="E40" i="11"/>
  <c r="A50" i="11"/>
  <c r="H29" i="11"/>
  <c r="N29" i="11" s="1"/>
  <c r="F29" i="11"/>
  <c r="L29" i="11" s="1"/>
  <c r="H28" i="11"/>
  <c r="N28" i="11" s="1"/>
  <c r="F28" i="11"/>
  <c r="L28" i="11" s="1"/>
  <c r="H27" i="11"/>
  <c r="N27" i="11" s="1"/>
  <c r="F27" i="11"/>
  <c r="L27" i="11" s="1"/>
  <c r="H24" i="11"/>
  <c r="N24" i="11" s="1"/>
  <c r="F24" i="11"/>
  <c r="L24" i="11" s="1"/>
  <c r="H23" i="11"/>
  <c r="N23" i="11" s="1"/>
  <c r="F23" i="11"/>
  <c r="L23" i="11" s="1"/>
  <c r="H19" i="11"/>
  <c r="N19" i="11" s="1"/>
  <c r="G19" i="11"/>
  <c r="M19" i="11" s="1"/>
  <c r="F19" i="11"/>
  <c r="L19" i="11" s="1"/>
  <c r="H18" i="11"/>
  <c r="N18" i="11" s="1"/>
  <c r="G18" i="11"/>
  <c r="M18" i="11" s="1"/>
  <c r="F18" i="11"/>
  <c r="L18" i="11" s="1"/>
  <c r="H17" i="11"/>
  <c r="N17" i="11" s="1"/>
  <c r="G17" i="11"/>
  <c r="M17" i="11" s="1"/>
  <c r="F17" i="11"/>
  <c r="L17" i="11" s="1"/>
  <c r="H14" i="11"/>
  <c r="N14" i="11" s="1"/>
  <c r="F14" i="11"/>
  <c r="L14" i="11" s="1"/>
  <c r="H13" i="11"/>
  <c r="N13" i="11" s="1"/>
  <c r="G13" i="11"/>
  <c r="M13" i="11" s="1"/>
  <c r="H12" i="11"/>
  <c r="N12" i="11" s="1"/>
  <c r="F12" i="11"/>
  <c r="L12" i="11" s="1"/>
  <c r="G12" i="11"/>
  <c r="M12" i="11" s="1"/>
  <c r="H11" i="11"/>
  <c r="N11" i="11" s="1"/>
  <c r="G11" i="11"/>
  <c r="M11" i="11" s="1"/>
  <c r="F11" i="11"/>
  <c r="L11" i="11" s="1"/>
  <c r="N33" i="11"/>
  <c r="M33" i="11"/>
  <c r="L33" i="11"/>
  <c r="N32" i="11"/>
  <c r="M32" i="11"/>
  <c r="L32" i="11"/>
  <c r="N31" i="11"/>
  <c r="M31" i="11"/>
  <c r="L31" i="11"/>
  <c r="N30" i="11"/>
  <c r="M30" i="11"/>
  <c r="L30" i="11"/>
  <c r="M29" i="11"/>
  <c r="M28" i="11"/>
  <c r="M27" i="11"/>
  <c r="N26" i="11"/>
  <c r="M26" i="11"/>
  <c r="L26" i="11"/>
  <c r="N25" i="11"/>
  <c r="M25" i="11"/>
  <c r="L25" i="11"/>
  <c r="M24" i="11"/>
  <c r="M23" i="11"/>
  <c r="N22" i="11"/>
  <c r="M22" i="11"/>
  <c r="L22" i="11"/>
  <c r="N21" i="11"/>
  <c r="M21" i="11"/>
  <c r="L21" i="11"/>
  <c r="N20" i="11"/>
  <c r="M20" i="11"/>
  <c r="L20" i="11"/>
  <c r="N16" i="11"/>
  <c r="M16" i="11"/>
  <c r="L16" i="11"/>
  <c r="N15" i="11"/>
  <c r="M15" i="11"/>
  <c r="L15" i="11"/>
  <c r="M14" i="11"/>
  <c r="L13" i="11"/>
  <c r="H10" i="11"/>
  <c r="N10" i="11" s="1"/>
  <c r="G10" i="11"/>
  <c r="M10" i="11" s="1"/>
  <c r="F10" i="11"/>
  <c r="L10" i="11" s="1"/>
  <c r="H9" i="11"/>
  <c r="N9" i="11" s="1"/>
  <c r="G9" i="11"/>
  <c r="M9" i="11" s="1"/>
  <c r="F9" i="11"/>
  <c r="L9" i="11" s="1"/>
  <c r="V4" i="11" l="1"/>
  <c r="W4" i="11"/>
  <c r="W7" i="11"/>
  <c r="A46" i="11" s="1"/>
  <c r="U7" i="11"/>
  <c r="A40" i="11" s="1"/>
  <c r="N36" i="11"/>
  <c r="L36" i="11"/>
  <c r="M36" i="11"/>
  <c r="O45" i="10"/>
  <c r="D63" i="10"/>
  <c r="L37" i="11" l="1"/>
  <c r="M37" i="11"/>
  <c r="N37" i="11"/>
  <c r="B49" i="11" s="1"/>
  <c r="B43" i="11" l="1"/>
  <c r="AR86" i="11"/>
  <c r="F43" i="11"/>
  <c r="AS75" i="11"/>
  <c r="AS79" i="11" s="1"/>
  <c r="AS59" i="11"/>
  <c r="AS63" i="11" s="1"/>
  <c r="AX43" i="11"/>
  <c r="AX47" i="11" s="1"/>
  <c r="AS86" i="11"/>
  <c r="AY11" i="11"/>
  <c r="AY43" i="11"/>
  <c r="AT59" i="11"/>
  <c r="AT86" i="11"/>
  <c r="AT75" i="11"/>
  <c r="AY39" i="11"/>
  <c r="AT71" i="11"/>
  <c r="AW11" i="11"/>
  <c r="AR75" i="11"/>
  <c r="AW43" i="11"/>
  <c r="AR59" i="11"/>
  <c r="AY7" i="11"/>
  <c r="AY23" i="11"/>
  <c r="AT55" i="11"/>
  <c r="AW39" i="11"/>
  <c r="AR71" i="11"/>
  <c r="AW7" i="11"/>
  <c r="AW23" i="11"/>
  <c r="AR55" i="11"/>
  <c r="AX27" i="11"/>
  <c r="AX31" i="11" s="1"/>
  <c r="E43" i="11" s="1"/>
  <c r="AX11" i="11"/>
  <c r="AX15" i="11" s="1"/>
  <c r="AY27" i="11"/>
  <c r="AW27" i="11"/>
  <c r="AW31" i="11" s="1"/>
  <c r="O23" i="10"/>
  <c r="O22" i="10"/>
  <c r="O21" i="10"/>
  <c r="O20" i="10"/>
  <c r="O19" i="10"/>
  <c r="O18" i="10"/>
  <c r="O17" i="10"/>
  <c r="O36" i="10"/>
  <c r="O35" i="10"/>
  <c r="O29" i="10"/>
  <c r="O28" i="10"/>
  <c r="O27" i="10"/>
  <c r="O44" i="10"/>
  <c r="O42" i="10"/>
  <c r="O41" i="10"/>
  <c r="O40" i="10"/>
  <c r="O39" i="10"/>
  <c r="O38" i="10"/>
  <c r="O34" i="10"/>
  <c r="O33" i="10"/>
  <c r="O32" i="10"/>
  <c r="O31" i="10"/>
  <c r="O26" i="10"/>
  <c r="O25" i="10"/>
  <c r="O24" i="10"/>
  <c r="O16" i="10"/>
  <c r="O15" i="10"/>
  <c r="O14" i="10"/>
  <c r="O13" i="10"/>
  <c r="O12" i="10"/>
  <c r="O11" i="10"/>
  <c r="O10" i="10"/>
  <c r="O9" i="10"/>
  <c r="O8" i="10"/>
  <c r="S7" i="9"/>
  <c r="AR63" i="11" l="1"/>
  <c r="A43" i="11" s="1"/>
  <c r="AW47" i="11"/>
  <c r="AR79" i="11"/>
  <c r="AW15" i="11"/>
  <c r="AT79" i="11"/>
  <c r="AT63" i="11"/>
  <c r="AY47" i="11"/>
  <c r="AY31" i="11"/>
  <c r="AY15" i="11"/>
  <c r="O47" i="10"/>
  <c r="F63" i="10" s="1"/>
  <c r="N32" i="9"/>
  <c r="M32" i="9"/>
  <c r="N31" i="9"/>
  <c r="M31" i="9"/>
  <c r="O31" i="9" s="1"/>
  <c r="N30" i="9"/>
  <c r="M30" i="9"/>
  <c r="N29" i="9"/>
  <c r="M29" i="9"/>
  <c r="N28" i="9"/>
  <c r="M28" i="9"/>
  <c r="N27" i="9"/>
  <c r="M27" i="9"/>
  <c r="O27" i="9" s="1"/>
  <c r="N26" i="9"/>
  <c r="M26" i="9"/>
  <c r="O26" i="9" s="1"/>
  <c r="N25" i="9"/>
  <c r="M25" i="9"/>
  <c r="N24" i="9"/>
  <c r="M24" i="9"/>
  <c r="N23" i="9"/>
  <c r="M23" i="9"/>
  <c r="O23" i="9" s="1"/>
  <c r="N22" i="9"/>
  <c r="M22" i="9"/>
  <c r="N21" i="9"/>
  <c r="M21" i="9"/>
  <c r="O21" i="9" s="1"/>
  <c r="N20" i="9"/>
  <c r="M20" i="9"/>
  <c r="N19" i="9"/>
  <c r="M19" i="9"/>
  <c r="O19" i="9" s="1"/>
  <c r="N18" i="9"/>
  <c r="M18" i="9"/>
  <c r="O18" i="9" s="1"/>
  <c r="N17" i="9"/>
  <c r="M17" i="9"/>
  <c r="N16" i="9"/>
  <c r="M16" i="9"/>
  <c r="N15" i="9"/>
  <c r="M15" i="9"/>
  <c r="O15" i="9" s="1"/>
  <c r="N14" i="9"/>
  <c r="M14" i="9"/>
  <c r="N13" i="9"/>
  <c r="M13" i="9"/>
  <c r="O13" i="9" s="1"/>
  <c r="N12" i="9"/>
  <c r="M12" i="9"/>
  <c r="N11" i="9"/>
  <c r="M11" i="9"/>
  <c r="O11" i="9" s="1"/>
  <c r="N10" i="9"/>
  <c r="M10" i="9"/>
  <c r="O10" i="9" s="1"/>
  <c r="N9" i="9"/>
  <c r="M9" i="9"/>
  <c r="O26" i="8"/>
  <c r="O24" i="8"/>
  <c r="O23" i="8"/>
  <c r="O25" i="8"/>
  <c r="O22" i="8"/>
  <c r="O28" i="8"/>
  <c r="O27" i="8"/>
  <c r="O29" i="8"/>
  <c r="O17" i="8"/>
  <c r="O16" i="8"/>
  <c r="O15" i="8"/>
  <c r="O19" i="8"/>
  <c r="O41" i="8"/>
  <c r="O39" i="8"/>
  <c r="O38" i="8"/>
  <c r="O36" i="8"/>
  <c r="O35" i="8"/>
  <c r="O33" i="8"/>
  <c r="O31" i="8"/>
  <c r="O32" i="8"/>
  <c r="O20" i="8"/>
  <c r="O21" i="8"/>
  <c r="O14" i="8"/>
  <c r="O13" i="8"/>
  <c r="O12" i="8"/>
  <c r="O11" i="8"/>
  <c r="O10" i="8"/>
  <c r="O9" i="8"/>
  <c r="O8" i="8"/>
  <c r="I58" i="4"/>
  <c r="I52" i="4"/>
  <c r="I53" i="4"/>
  <c r="I54" i="4"/>
  <c r="I55" i="4"/>
  <c r="I56" i="4"/>
  <c r="I57" i="4"/>
  <c r="O43" i="4"/>
  <c r="D51" i="4" s="1"/>
  <c r="I51" i="4" s="1"/>
  <c r="L58" i="4" s="1"/>
  <c r="O39" i="4"/>
  <c r="O40" i="4"/>
  <c r="O35" i="4"/>
  <c r="O36" i="4"/>
  <c r="O29" i="4"/>
  <c r="O30" i="4"/>
  <c r="O31" i="4"/>
  <c r="O32" i="4"/>
  <c r="O22" i="4"/>
  <c r="O23" i="4"/>
  <c r="O24" i="4"/>
  <c r="O25" i="4"/>
  <c r="O26" i="4"/>
  <c r="O9" i="4"/>
  <c r="O10" i="4"/>
  <c r="O11" i="4"/>
  <c r="O12" i="4"/>
  <c r="O13" i="4"/>
  <c r="O14" i="4"/>
  <c r="O15" i="4"/>
  <c r="O16" i="4"/>
  <c r="O17" i="4"/>
  <c r="O18" i="4"/>
  <c r="O19" i="4"/>
  <c r="O8" i="4"/>
  <c r="O38" i="4"/>
  <c r="O21" i="4"/>
  <c r="M10" i="7"/>
  <c r="N10" i="7"/>
  <c r="O10" i="7"/>
  <c r="M11" i="7"/>
  <c r="N11" i="7"/>
  <c r="O11" i="7"/>
  <c r="M12" i="7"/>
  <c r="N12" i="7"/>
  <c r="O12" i="7"/>
  <c r="M13" i="7"/>
  <c r="N13" i="7"/>
  <c r="O13" i="7"/>
  <c r="M14" i="7"/>
  <c r="N14" i="7"/>
  <c r="O14" i="7"/>
  <c r="M16" i="7"/>
  <c r="N16" i="7"/>
  <c r="O16" i="7"/>
  <c r="M17" i="7"/>
  <c r="N17" i="7"/>
  <c r="O17" i="7"/>
  <c r="M18" i="7"/>
  <c r="N18" i="7"/>
  <c r="O18" i="7"/>
  <c r="M19" i="7"/>
  <c r="N19" i="7"/>
  <c r="O19" i="7"/>
  <c r="M20" i="7"/>
  <c r="N20" i="7"/>
  <c r="O20" i="7"/>
  <c r="M22" i="7"/>
  <c r="N22" i="7"/>
  <c r="O22" i="7"/>
  <c r="M23" i="7"/>
  <c r="N23" i="7"/>
  <c r="O23" i="7"/>
  <c r="M24" i="7"/>
  <c r="N24" i="7"/>
  <c r="O24" i="7"/>
  <c r="M25" i="7"/>
  <c r="N25" i="7"/>
  <c r="O25" i="7"/>
  <c r="M26" i="7"/>
  <c r="N26" i="7"/>
  <c r="O26" i="7"/>
  <c r="M27" i="7"/>
  <c r="N27" i="7"/>
  <c r="O27" i="7"/>
  <c r="M28" i="7"/>
  <c r="N28" i="7"/>
  <c r="O28" i="7"/>
  <c r="M29" i="7"/>
  <c r="N29" i="7"/>
  <c r="O29" i="7"/>
  <c r="M30" i="7"/>
  <c r="N30" i="7"/>
  <c r="O30" i="7"/>
  <c r="M31" i="7"/>
  <c r="N31" i="7"/>
  <c r="O31" i="7"/>
  <c r="M32" i="7"/>
  <c r="N32" i="7"/>
  <c r="O32" i="7"/>
  <c r="M33" i="7"/>
  <c r="N33" i="7"/>
  <c r="O33" i="7"/>
  <c r="M34" i="7"/>
  <c r="N34" i="7"/>
  <c r="O34" i="7"/>
  <c r="O9" i="7"/>
  <c r="N9" i="7"/>
  <c r="M9" i="7"/>
  <c r="N3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5" i="3"/>
  <c r="N26" i="3"/>
  <c r="N27" i="3"/>
  <c r="N28" i="3"/>
  <c r="N29" i="3"/>
  <c r="N30" i="3"/>
  <c r="N31" i="3"/>
  <c r="N32" i="3"/>
  <c r="N33" i="3"/>
  <c r="N34" i="3"/>
  <c r="N9" i="3"/>
  <c r="O34" i="4"/>
  <c r="O28" i="4"/>
  <c r="N35" i="7"/>
  <c r="E75" i="7" s="1"/>
  <c r="O42" i="8" l="1"/>
  <c r="O43" i="8" s="1"/>
  <c r="N36" i="3"/>
  <c r="M35" i="7"/>
  <c r="A75" i="7" s="1"/>
  <c r="O35" i="7"/>
  <c r="J75" i="7" s="1"/>
  <c r="H78" i="7"/>
  <c r="A49" i="11"/>
  <c r="O41" i="4"/>
  <c r="O42" i="4" s="1"/>
  <c r="E63" i="10"/>
  <c r="G63" i="10" s="1"/>
  <c r="O29" i="9"/>
  <c r="O12" i="9"/>
  <c r="O20" i="9"/>
  <c r="O16" i="9"/>
  <c r="O24" i="9"/>
  <c r="O32" i="9"/>
  <c r="O17" i="9"/>
  <c r="O14" i="9"/>
  <c r="O22" i="9"/>
  <c r="O30" i="9"/>
  <c r="O9" i="9"/>
  <c r="O25" i="9"/>
  <c r="O28" i="9"/>
  <c r="O33" i="9"/>
  <c r="H44" i="9" s="1"/>
  <c r="G44" i="9" s="1"/>
  <c r="M33" i="9"/>
  <c r="H38" i="9" s="1"/>
  <c r="G38" i="9" s="1"/>
  <c r="N33" i="9"/>
  <c r="L38" i="9" s="1"/>
  <c r="K38" i="9" s="1"/>
  <c r="B75" i="7"/>
  <c r="C78" i="7"/>
  <c r="C75" i="7"/>
  <c r="A76" i="7"/>
  <c r="D75" i="7"/>
  <c r="B77" i="7"/>
  <c r="D77" i="7"/>
  <c r="A77" i="7"/>
  <c r="B79" i="7"/>
  <c r="D79" i="7"/>
  <c r="D78" i="7"/>
  <c r="D76" i="7"/>
  <c r="C77" i="7"/>
  <c r="A78" i="7"/>
  <c r="L78" i="7"/>
  <c r="I78" i="7"/>
  <c r="J78" i="7"/>
  <c r="J79" i="7"/>
  <c r="I75" i="7"/>
  <c r="J76" i="7"/>
  <c r="L79" i="7"/>
  <c r="K79" i="7"/>
  <c r="G70" i="3"/>
  <c r="G71" i="3"/>
  <c r="H70" i="3"/>
  <c r="F70" i="3"/>
  <c r="F68" i="3"/>
  <c r="H69" i="3"/>
  <c r="G68" i="3"/>
  <c r="F67" i="3"/>
  <c r="H67" i="3"/>
  <c r="H71" i="3"/>
  <c r="G69" i="3"/>
  <c r="F69" i="3"/>
  <c r="F71" i="3"/>
  <c r="H68" i="3"/>
  <c r="G67" i="3"/>
  <c r="K58" i="4"/>
  <c r="O58" i="4" s="1"/>
  <c r="G75" i="7"/>
  <c r="G79" i="7"/>
  <c r="F77" i="7"/>
  <c r="H77" i="7"/>
  <c r="F78" i="7"/>
  <c r="E77" i="7"/>
  <c r="E78" i="7"/>
  <c r="F75" i="7"/>
  <c r="H79" i="7"/>
  <c r="F79" i="7"/>
  <c r="H75" i="7"/>
  <c r="E79" i="7"/>
  <c r="G78" i="7"/>
  <c r="H76" i="7"/>
  <c r="G76" i="7"/>
  <c r="F76" i="7"/>
  <c r="E76" i="7"/>
  <c r="G77" i="7"/>
  <c r="B78" i="7" l="1"/>
  <c r="C79" i="7"/>
  <c r="K75" i="7"/>
  <c r="I77" i="7"/>
  <c r="J77" i="7"/>
  <c r="K76" i="7"/>
  <c r="L75" i="7"/>
  <c r="I79" i="7"/>
  <c r="I76" i="7"/>
  <c r="K78" i="7"/>
  <c r="A79" i="7"/>
  <c r="L77" i="7"/>
  <c r="B76" i="7"/>
  <c r="C76" i="7"/>
  <c r="K77" i="7"/>
  <c r="L76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<sst xmlns="http://schemas.openxmlformats.org/spreadsheetml/2006/main" count="2081" uniqueCount="491">
  <si>
    <t>=</t>
  </si>
  <si>
    <t>60' RUNS</t>
  </si>
  <si>
    <t>80' RUNS</t>
  </si>
  <si>
    <t>100' RUNS</t>
  </si>
  <si>
    <t>1/2" PIPE</t>
  </si>
  <si>
    <t>3/4" PIPE</t>
  </si>
  <si>
    <t>1" PIPE</t>
  </si>
  <si>
    <t>1 1/4" PIPE</t>
  </si>
  <si>
    <t>1 1/2" PIPE</t>
  </si>
  <si>
    <t>2" PIPE</t>
  </si>
  <si>
    <t>2 1/2" PIPE</t>
  </si>
  <si>
    <t>FOR 60' RUNS</t>
  </si>
  <si>
    <t>FOR 80' RUNS</t>
  </si>
  <si>
    <t>FOR 100' RUNS</t>
  </si>
  <si>
    <t>Total Fixture Units</t>
  </si>
  <si>
    <t>150' RUNS</t>
  </si>
  <si>
    <t>FOR 150' RUNS</t>
  </si>
  <si>
    <t>Drinking Fountain</t>
  </si>
  <si>
    <t>Kitchen Sink(Private)</t>
  </si>
  <si>
    <t>Kitchen Sink(Hotel/Resta)</t>
  </si>
  <si>
    <t>Lavatory(Private)</t>
  </si>
  <si>
    <t>Lavatory(Public)</t>
  </si>
  <si>
    <t>Service Sink</t>
  </si>
  <si>
    <t>Shower Head(Private)</t>
  </si>
  <si>
    <t>Shower Head(Public)</t>
  </si>
  <si>
    <t>Urinal(1" valve)</t>
  </si>
  <si>
    <t>Washing Machine(Private)</t>
  </si>
  <si>
    <t>Water Closet(FV-Private)</t>
  </si>
  <si>
    <t>Water Closet(FV-Public)</t>
  </si>
  <si>
    <t>Water Closet(Tank-Priv.)</t>
  </si>
  <si>
    <t>Water Closet(Tank-Pub.)</t>
  </si>
  <si>
    <t>Floor Drain</t>
  </si>
  <si>
    <t>Total</t>
  </si>
  <si>
    <t>Water F.U.</t>
  </si>
  <si>
    <t>Total Overall</t>
  </si>
  <si>
    <t>Hot</t>
  </si>
  <si>
    <t>Cold</t>
  </si>
  <si>
    <t>Fixture Units</t>
  </si>
  <si>
    <t>Description</t>
  </si>
  <si>
    <t>Quantity</t>
  </si>
  <si>
    <t>Bar Sink</t>
  </si>
  <si>
    <t>Bathtub</t>
  </si>
  <si>
    <t>Dish Washer</t>
  </si>
  <si>
    <t>Hose Bib</t>
  </si>
  <si>
    <t>Inlet Pipe Size</t>
  </si>
  <si>
    <t>Urinal(Waterless)</t>
  </si>
  <si>
    <t>Floor sink</t>
  </si>
  <si>
    <t>Kitchen Sink</t>
  </si>
  <si>
    <t>Lavatory</t>
  </si>
  <si>
    <t>*Minimum size of any building drain serving a water closet shall be 3"</t>
  </si>
  <si>
    <t>**4 or more water closets/urinals require a minimum of 4"</t>
  </si>
  <si>
    <t>Misc(Fill-in)</t>
  </si>
  <si>
    <t>Minimum Pipe Size</t>
  </si>
  <si>
    <t>1/2"</t>
  </si>
  <si>
    <t>3/8"</t>
  </si>
  <si>
    <t>1"</t>
  </si>
  <si>
    <t>3/4"</t>
  </si>
  <si>
    <t>Urinal(3/4" valve)</t>
  </si>
  <si>
    <t>Table 604.5 of the IPC</t>
  </si>
  <si>
    <t>Shower Head</t>
  </si>
  <si>
    <t>1st Urinal</t>
  </si>
  <si>
    <t>2nd Urinal</t>
  </si>
  <si>
    <t>3rd Urinal</t>
  </si>
  <si>
    <t>4th Urinal</t>
  </si>
  <si>
    <t>5th Urinal +</t>
  </si>
  <si>
    <t>1st Water Closet FV</t>
  </si>
  <si>
    <t>2nd Water Closet FV</t>
  </si>
  <si>
    <t>3rd Water Closet FV</t>
  </si>
  <si>
    <t>4th Water Closet FV</t>
  </si>
  <si>
    <t>5th Water Closet FV +</t>
  </si>
  <si>
    <t>Water Closet (Tank)</t>
  </si>
  <si>
    <t>Drain</t>
  </si>
  <si>
    <t>2"</t>
  </si>
  <si>
    <t>1.5"</t>
  </si>
  <si>
    <t>Shower</t>
  </si>
  <si>
    <t>3"</t>
  </si>
  <si>
    <t>SERIAL NUMBER:</t>
  </si>
  <si>
    <t>Area of Vent 1</t>
  </si>
  <si>
    <t>Area of Vent 2</t>
  </si>
  <si>
    <t>Area of Vent 3</t>
  </si>
  <si>
    <t>Area of Vent 4</t>
  </si>
  <si>
    <t>Area of Vent 5</t>
  </si>
  <si>
    <t>Area of Vent 6</t>
  </si>
  <si>
    <t>Sum</t>
  </si>
  <si>
    <t>300' RUNS</t>
  </si>
  <si>
    <t>*Based on Table 610.4 of the 2016 CPC (Pg. #151)</t>
  </si>
  <si>
    <t>30 to 45 PSI</t>
  </si>
  <si>
    <t>46 to 60 PSI</t>
  </si>
  <si>
    <t>OVER 60 PSI</t>
  </si>
  <si>
    <t>FOR 300' RUNS</t>
  </si>
  <si>
    <t>30 to 45</t>
  </si>
  <si>
    <t>46 to 60</t>
  </si>
  <si>
    <t>&gt; 60</t>
  </si>
  <si>
    <t>PSI</t>
  </si>
  <si>
    <t>30 to 39 PSI</t>
  </si>
  <si>
    <t>40 to 49 PSI</t>
  </si>
  <si>
    <t>50 to 59 PSI</t>
  </si>
  <si>
    <t>2009 (Pg #141), 2012 (Pg #143) &amp; 2015 (Pg X)</t>
  </si>
  <si>
    <t>*Based on Table E201.1 of the IPC</t>
  </si>
  <si>
    <t>*Based on Table E103.3(2) IPC</t>
  </si>
  <si>
    <t>Washing Machine(Pub 8#)</t>
  </si>
  <si>
    <t>Washing Machine(Pub 15#)</t>
  </si>
  <si>
    <t>Bathtub (Private)</t>
  </si>
  <si>
    <t>Bathtub (Public)</t>
  </si>
  <si>
    <t>Floor Drain (Assumed)</t>
  </si>
  <si>
    <t>Hose Bib (Assumed)</t>
  </si>
  <si>
    <t>30 to 39</t>
  </si>
  <si>
    <t>40 to 49</t>
  </si>
  <si>
    <t>50 to 59</t>
  </si>
  <si>
    <t>INLET PIPE SIZING CHART (IPC)</t>
  </si>
  <si>
    <t>INLET PIPE SIZING CHART (CPC &amp; UPC)</t>
  </si>
  <si>
    <t>*Based on Table 610.4 of the 2012 UPC (Pg. #106)</t>
  </si>
  <si>
    <t>Min. Trap  Size</t>
  </si>
  <si>
    <t>Min. Drain Size</t>
  </si>
  <si>
    <t>Clothes Washer</t>
  </si>
  <si>
    <t>Bathtub or Bath/Shower</t>
  </si>
  <si>
    <t>1.25"</t>
  </si>
  <si>
    <t>Drinking Fountain (Public)</t>
  </si>
  <si>
    <t>Drinking Fountain (Assembly)</t>
  </si>
  <si>
    <t>Sinks</t>
  </si>
  <si>
    <t>Bar</t>
  </si>
  <si>
    <t>Commercial w/ Food Waste</t>
  </si>
  <si>
    <t>Urinals</t>
  </si>
  <si>
    <t>Clinical</t>
  </si>
  <si>
    <t>Exam Room</t>
  </si>
  <si>
    <t>Service Or Mop Sink (2" Drain)</t>
  </si>
  <si>
    <t>Service Or Mop Sink (3" Drain)</t>
  </si>
  <si>
    <t>Urinal (1.0 GPF) Assembly</t>
  </si>
  <si>
    <t>Urinal (1.0 GPF) Private/Public</t>
  </si>
  <si>
    <t>Urinal (&gt; 1.0 GPF) Private/Public</t>
  </si>
  <si>
    <t>Urinal (&gt; 1.0 GPF) Assembly</t>
  </si>
  <si>
    <t>Integral</t>
  </si>
  <si>
    <t>Water Closets (1.6 GPF) Gravity Tank, Flushometer Tank &amp; Flushometer Valve</t>
  </si>
  <si>
    <t>Private</t>
  </si>
  <si>
    <t>Public</t>
  </si>
  <si>
    <t>Assembly</t>
  </si>
  <si>
    <t>Water Closets (&gt;1.6 GPF) Gravity Tank, Flushometer Tank &amp; Flushometer Valve</t>
  </si>
  <si>
    <t>Main Trunk Size (in)</t>
  </si>
  <si>
    <t>in</t>
  </si>
  <si>
    <t>Sq. In.</t>
  </si>
  <si>
    <t>Diameter of Vent 1</t>
  </si>
  <si>
    <t>Diameter of Vent 2</t>
  </si>
  <si>
    <t>Diameter of Vent 3</t>
  </si>
  <si>
    <t>Diameter of Vent 4</t>
  </si>
  <si>
    <t>Diameter of Vent 5</t>
  </si>
  <si>
    <t>Diameter of Vent 6</t>
  </si>
  <si>
    <t>Total area of the Vents thru the roof must be grater than or equal to the Main Trunk Size.</t>
  </si>
  <si>
    <t>Min. Vent Size (in)</t>
  </si>
  <si>
    <t>Diameter of Main Trunk</t>
  </si>
  <si>
    <t>Area of Main Trunk</t>
  </si>
  <si>
    <t>Sq. In., therefore</t>
  </si>
  <si>
    <t>Shower (5.7 gpm or less)</t>
  </si>
  <si>
    <t>Shower (&gt; 5.7 to = 12.3 gpm)</t>
  </si>
  <si>
    <t>Shower (&gt; 12.3 to = 25.8 gpm)</t>
  </si>
  <si>
    <t>Shower (&gt; 25.8 to = 55.6 gpm)</t>
  </si>
  <si>
    <t>4"</t>
  </si>
  <si>
    <t>Urinal (&lt;=1.0 GPF)</t>
  </si>
  <si>
    <t>Urinal (&gt; 1.0 GPF)</t>
  </si>
  <si>
    <t>Water Closets Flushometer Tank</t>
  </si>
  <si>
    <t>Private / Public</t>
  </si>
  <si>
    <t>Water Closets (1.6 GPF) Gravity Tank</t>
  </si>
  <si>
    <t>Water Closets (&gt;1.6 GPF) Gravity Tank</t>
  </si>
  <si>
    <t>INLET PIPE SIZING CHART (Massachusetts)</t>
  </si>
  <si>
    <t>*Based on 248 CMR 10:14</t>
  </si>
  <si>
    <t>Bathtub (with or without single shower head)</t>
  </si>
  <si>
    <t>Bidet</t>
  </si>
  <si>
    <t>Drinking Water Station</t>
  </si>
  <si>
    <t>Dishwasher (Domestic)</t>
  </si>
  <si>
    <t>Dishwasher (Commercial)</t>
  </si>
  <si>
    <t xml:space="preserve">Kitchen sink, Residential </t>
  </si>
  <si>
    <t>Kitchen sink, Commercial (Pot and Scullery)</t>
  </si>
  <si>
    <t>Vegatable Prep or Bar Sink (Residential)</t>
  </si>
  <si>
    <t>Hand Wash Sinks</t>
  </si>
  <si>
    <t>Shampoo Sinks</t>
  </si>
  <si>
    <t>Utility Laundry Sinks, 1, 2, or 3 compartments</t>
  </si>
  <si>
    <t>Shower Valve (Single head)</t>
  </si>
  <si>
    <t>Shower Valve (Multi-head)</t>
  </si>
  <si>
    <t>Sinks (service, slop)</t>
  </si>
  <si>
    <t>Sinks flushing rim</t>
  </si>
  <si>
    <t>Laundry Valve</t>
  </si>
  <si>
    <t>Urinal (flush valve)</t>
  </si>
  <si>
    <t>Water Closet (Flush valve)</t>
  </si>
  <si>
    <t>Hose Connections/Sillcocks/Wall Hydrants</t>
  </si>
  <si>
    <t>Table 1</t>
  </si>
  <si>
    <t>One or Two Family Dwelling</t>
  </si>
  <si>
    <t>Multi-residential</t>
  </si>
  <si>
    <t>Hotel</t>
  </si>
  <si>
    <t>Residential:</t>
  </si>
  <si>
    <t>School:</t>
  </si>
  <si>
    <t>General</t>
  </si>
  <si>
    <t>Shower Room</t>
  </si>
  <si>
    <t>Institutional:</t>
  </si>
  <si>
    <t>Assembly:</t>
  </si>
  <si>
    <t>Restaurant, Café</t>
  </si>
  <si>
    <t>Club House</t>
  </si>
  <si>
    <t>Business and Mercantile</t>
  </si>
  <si>
    <t>Industrial:</t>
  </si>
  <si>
    <t>Business and Mercantile:</t>
  </si>
  <si>
    <t>Industrial</t>
  </si>
  <si>
    <t>Laundry</t>
  </si>
  <si>
    <t>Industrial, Exclusive of Process Piping</t>
  </si>
  <si>
    <t>Building Type:</t>
  </si>
  <si>
    <t>Use:</t>
  </si>
  <si>
    <t>INLET</t>
  </si>
  <si>
    <t>Size</t>
  </si>
  <si>
    <t>F.U. W/ Demand Factor</t>
  </si>
  <si>
    <t>*248 CMR, Table 3</t>
  </si>
  <si>
    <t>248 CMR Page - 159</t>
  </si>
  <si>
    <t>to</t>
  </si>
  <si>
    <t>3" PIPE</t>
  </si>
  <si>
    <t>3-1/2" PIPE</t>
  </si>
  <si>
    <t>4" PIPE</t>
  </si>
  <si>
    <t>5" PIPE</t>
  </si>
  <si>
    <t>6" PIPE</t>
  </si>
  <si>
    <t>Capacity Value</t>
  </si>
  <si>
    <t>Nom. Pipe Size</t>
  </si>
  <si>
    <t>Demand Factor (Table 2):</t>
  </si>
  <si>
    <t xml:space="preserve">SERIAL NUMBER: </t>
  </si>
  <si>
    <t>Dental Chair unit or Cuspidor</t>
  </si>
  <si>
    <t>Dental Lavatory</t>
  </si>
  <si>
    <t>Drinking Fountain / Water Station</t>
  </si>
  <si>
    <t>*248 CMR Table 1</t>
  </si>
  <si>
    <t>Dishwasher (Residential)</t>
  </si>
  <si>
    <t>1-1/4"</t>
  </si>
  <si>
    <t>1-1/2"</t>
  </si>
  <si>
    <t>Floor / Trench drain (2")</t>
  </si>
  <si>
    <t>Floor / Trench drain (3")</t>
  </si>
  <si>
    <t>Floor / Trench drain (4")</t>
  </si>
  <si>
    <t>Kitchen sink (Residential)</t>
  </si>
  <si>
    <t>Laundry Connection (Residential)</t>
  </si>
  <si>
    <t>Laundry / Utility Sink</t>
  </si>
  <si>
    <t>Shower stall (Residential)</t>
  </si>
  <si>
    <r>
      <t xml:space="preserve">Showers (group) </t>
    </r>
    <r>
      <rPr>
        <i/>
        <sz val="12"/>
        <rFont val="Baskerville Old Face"/>
        <family val="1"/>
      </rPr>
      <t>per head</t>
    </r>
  </si>
  <si>
    <t>Misc (1-1/4" or less)</t>
  </si>
  <si>
    <t>Misc (4")</t>
  </si>
  <si>
    <t>Misc (3")</t>
  </si>
  <si>
    <t>Misc (2-1/2")</t>
  </si>
  <si>
    <t>Misc (2")</t>
  </si>
  <si>
    <t>Misc (1-1/2")</t>
  </si>
  <si>
    <t>2-1/2"</t>
  </si>
  <si>
    <t>Surgeons</t>
  </si>
  <si>
    <t>Flushing rim (with valve)</t>
  </si>
  <si>
    <t>Service sink with Trap Standard</t>
  </si>
  <si>
    <t>Service sink with P-Trap</t>
  </si>
  <si>
    <t>Commercial Pot, Scullery, etc</t>
  </si>
  <si>
    <t>Shampoo</t>
  </si>
  <si>
    <t>Urinals and Water Closets</t>
  </si>
  <si>
    <t>Toilet (Tank type)</t>
  </si>
  <si>
    <t>Toilet (Flush Valve)</t>
  </si>
  <si>
    <t>Urinal (Floor Mtd)</t>
  </si>
  <si>
    <t>Urinal (Wall Mtd)</t>
  </si>
  <si>
    <t>Wash Sink</t>
  </si>
  <si>
    <t>Circular or Multiple (ea. 20" of usable length)</t>
  </si>
  <si>
    <t>See Equipment</t>
  </si>
  <si>
    <t>See 10.16(2) - At least one full size main stack vent shall be 3" (Use chart below)</t>
  </si>
  <si>
    <t>WASTE MAIN TRUNK SIZE (Massachusetts)</t>
  </si>
  <si>
    <t>Main Trunk Size</t>
  </si>
  <si>
    <t>Min. Vent Size thru Roof (in)</t>
  </si>
  <si>
    <t>Min. Vent Size @ Branch</t>
  </si>
  <si>
    <t>*Based on Table 709.1 (Drain) Table 906.1 (Vent) of the IPC</t>
  </si>
  <si>
    <t>*Based on Table 610.3 (Drain &amp; Vents)</t>
  </si>
  <si>
    <t>*Based on Table 702.1 of the UPC and CPC</t>
  </si>
  <si>
    <t>INLET PIPE SIZING CHART (National Plumbing Code Standard)</t>
  </si>
  <si>
    <t>Bathtub or Combo Bath/Shower</t>
  </si>
  <si>
    <t>Clothes Washer (Domestic)</t>
  </si>
  <si>
    <t>1/2'</t>
  </si>
  <si>
    <t>Drinking Fountian or Water Cooler</t>
  </si>
  <si>
    <t>Hose Bib (First)</t>
  </si>
  <si>
    <t>Other than Dwelling Units</t>
  </si>
  <si>
    <t>Hose Bib (Each additional)</t>
  </si>
  <si>
    <t>Kitchen Sink (Domestic)</t>
  </si>
  <si>
    <t>Laundry Sink</t>
  </si>
  <si>
    <t>Service Sink or Mop Basin</t>
  </si>
  <si>
    <t>Shower (Continuous Use)</t>
  </si>
  <si>
    <t>Urinal (1.0 GPF)</t>
  </si>
  <si>
    <t>Urinal (Greater than 1.0 GPF)</t>
  </si>
  <si>
    <t>Wash Fountian (Per rated user)</t>
  </si>
  <si>
    <t>See Fixture Specs</t>
  </si>
  <si>
    <t>Wash Sink (1 or 2 faucets, per faucet)</t>
  </si>
  <si>
    <t>Water Closet (Gravity Tank)</t>
  </si>
  <si>
    <t>Water Closet (Flush Tank)</t>
  </si>
  <si>
    <t>Water Closet (Flush Valve)</t>
  </si>
  <si>
    <t>Whirlpool Bath or Combo Bath/Shower</t>
  </si>
  <si>
    <t>Building Use:</t>
  </si>
  <si>
    <t>WASTE MAIN TRUNK SIZE (IPC)</t>
  </si>
  <si>
    <t>WASTE MAIN TRUNK SIZE (UPC &amp; CPC)</t>
  </si>
  <si>
    <t>Fixture Units (WSFU)</t>
  </si>
  <si>
    <t>Total Fixture Units (WSFU)</t>
  </si>
  <si>
    <t>WSFU</t>
  </si>
  <si>
    <t>GPM (Tanks)</t>
  </si>
  <si>
    <t>GPM (Valve)</t>
  </si>
  <si>
    <t>Gallons per Minute (GPM)</t>
  </si>
  <si>
    <t>Type of Pipe Used:</t>
  </si>
  <si>
    <t>*LIMITED TO 1,000 WSFU (See Appendix K for greater than 1,000 WSFU)</t>
  </si>
  <si>
    <t>TANK TYPE (GPM)</t>
  </si>
  <si>
    <t>FLUSH VALVE (GPM)</t>
  </si>
  <si>
    <t>PIPE SIZE</t>
  </si>
  <si>
    <t>WSFU (TANK)</t>
  </si>
  <si>
    <t>FLOW (GPM)</t>
  </si>
  <si>
    <t>PSI/100FT</t>
  </si>
  <si>
    <t>5"</t>
  </si>
  <si>
    <t>6"</t>
  </si>
  <si>
    <t>4 FPS VELOCITY</t>
  </si>
  <si>
    <t>8 FPS VELOCITY</t>
  </si>
  <si>
    <t>WSFU (VALVE)</t>
  </si>
  <si>
    <t>TABLE B.7.3.B - TYPE K COPPER</t>
  </si>
  <si>
    <t>TABLE B.7.3.C - TYPE L COPPER</t>
  </si>
  <si>
    <t>TABLE B.7.3.D - TYPE M COPPER</t>
  </si>
  <si>
    <t>TABLE B.7.3.E - CPVC, PVC, ABS, SCHEDULE 40</t>
  </si>
  <si>
    <t>TABLE B.7.3.F - CPVC, PVC, ABS, SCHEDULE 80</t>
  </si>
  <si>
    <t>TABLE B.7.3.H - PEX PLASTIC TUBING</t>
  </si>
  <si>
    <t>5 FPS VELOCITY (Hot Water)</t>
  </si>
  <si>
    <t>Note: Hot water copper piping must be taken at 5 feet per second (Section 10.14.1 &amp; B.7.3)</t>
  </si>
  <si>
    <t>COLD</t>
  </si>
  <si>
    <t>HOT</t>
  </si>
  <si>
    <t>TOTAL</t>
  </si>
  <si>
    <t>TOTALS (HIGHER VALUE)</t>
  </si>
  <si>
    <t>5 / 8 FPS (PER GPM)</t>
  </si>
  <si>
    <t>4 FPS (F.V.) (PER GPM)</t>
  </si>
  <si>
    <t>*FPS = Feet Per Second (See Tables B.7.3.A thru I)</t>
  </si>
  <si>
    <t>CPVC/PVC/ABS/Plastic Schedule 40</t>
  </si>
  <si>
    <t>*Based on 10.14, Appendix B, and Appendix K</t>
  </si>
  <si>
    <t>WASTE MAIN TRUNK SIZE (National Plumbing Code Standard)</t>
  </si>
  <si>
    <t>Table 11.4.1 (FU), Table 11.5.1B, Table 11.5.7, Table 12.16.4, Table 12.16.6, Section 12.16.8(b)</t>
  </si>
  <si>
    <t>Drinking Fountain / Water Cooler</t>
  </si>
  <si>
    <t>Varies</t>
  </si>
  <si>
    <t>Food Waste Disposer</t>
  </si>
  <si>
    <t>Kitchen Sink (Domestic with Disposer)</t>
  </si>
  <si>
    <t>Kitchen Sink (Domestic with Dishwasher)</t>
  </si>
  <si>
    <t>Kitchen Sink (Domestic with Dishwasher &amp; Disposer)</t>
  </si>
  <si>
    <t>Laundry Sink (1 or 2 Compartment)</t>
  </si>
  <si>
    <t>Laundry Sink with discharge from Clothes Washer</t>
  </si>
  <si>
    <t>Mop Basin</t>
  </si>
  <si>
    <t>Shower (Single)</t>
  </si>
  <si>
    <r>
      <t>Shower (Multiple Heads)</t>
    </r>
    <r>
      <rPr>
        <sz val="12"/>
        <color rgb="FFFF0000"/>
        <rFont val="Baskerville Old Face"/>
        <family val="1"/>
      </rPr>
      <t xml:space="preserve"> - Enter # of Heads</t>
    </r>
  </si>
  <si>
    <t>Sink (1-1/2" Trap)</t>
  </si>
  <si>
    <t>Sink (2" Trap)</t>
  </si>
  <si>
    <t>Sink (3" Trap)</t>
  </si>
  <si>
    <t>Urinal (greater than 1.0 GPF)</t>
  </si>
  <si>
    <t>Wash Fountain (1-1/2" Trap)</t>
  </si>
  <si>
    <t>Wash Fountain (2" Trap)</t>
  </si>
  <si>
    <t>Wash Sink (1-1/2" Trap)</t>
  </si>
  <si>
    <t>Toilet (Tank or Gravity type)</t>
  </si>
  <si>
    <t>Whirlpool Bath or Comb. Bath / Shower</t>
  </si>
  <si>
    <t>No</t>
  </si>
  <si>
    <t>&lt;-- Is total deveoped length of vent pipe greater than 40?:</t>
  </si>
  <si>
    <t>QTY</t>
  </si>
  <si>
    <t>GPM / GPF (COLD)</t>
  </si>
  <si>
    <t>GPM (HOT)</t>
  </si>
  <si>
    <t>WSFU (COLD)</t>
  </si>
  <si>
    <t>WSFU (HOT)</t>
  </si>
  <si>
    <t>WSFU (TOTAL)</t>
  </si>
  <si>
    <t>SUPPLY WATER DEMAND CALCULATION</t>
  </si>
  <si>
    <t>Urinal (3/4" valve)</t>
  </si>
  <si>
    <t>TOTAL:</t>
  </si>
  <si>
    <t>GPM (COLD)</t>
  </si>
  <si>
    <t>TOTALS</t>
  </si>
  <si>
    <t>TABLE E103.3(3) TABLE FOR ESTIMATING DEMAND</t>
  </si>
  <si>
    <t>GPM</t>
  </si>
  <si>
    <t>TANK</t>
  </si>
  <si>
    <t>FLUSH VALVE</t>
  </si>
  <si>
    <t>-</t>
  </si>
  <si>
    <t>TABLE E103.3(3) CONVERSION</t>
  </si>
  <si>
    <t>COLD TANK</t>
  </si>
  <si>
    <t>COLDVALVE</t>
  </si>
  <si>
    <t>WATER SERVICE MAIN DEMAND (GPM):</t>
  </si>
  <si>
    <t>FIXTURE TYPE</t>
  </si>
  <si>
    <t>DFU</t>
  </si>
  <si>
    <t>Service Or Mop Sink</t>
  </si>
  <si>
    <t>DFU (TOTAL)</t>
  </si>
  <si>
    <t>WASTE DEMAND CALCULATION</t>
  </si>
  <si>
    <t>Water Closets (1.6 GPF)  Tank</t>
  </si>
  <si>
    <t>TOTAL DFU:</t>
  </si>
  <si>
    <t>&lt;&lt;&lt;---COPY AND "PASTESPEC" IN CAD</t>
  </si>
  <si>
    <r>
      <t>MIN. INLET SIZE IS 3/4" (</t>
    </r>
    <r>
      <rPr>
        <b/>
        <sz val="12"/>
        <color rgb="FF7030A0"/>
        <rFont val="Baskerville Old Face"/>
        <family val="1"/>
      </rPr>
      <t>IPC, SECTION(S) 603.1 &amp; E104.1</t>
    </r>
    <r>
      <rPr>
        <b/>
        <sz val="12"/>
        <color rgb="FFFF0000"/>
        <rFont val="Baskerville Old Face"/>
        <family val="1"/>
      </rPr>
      <t>)</t>
    </r>
  </si>
  <si>
    <r>
      <t>MIN. INLET SIZE IS 3/4" (</t>
    </r>
    <r>
      <rPr>
        <b/>
        <sz val="12"/>
        <color rgb="FF7030A0"/>
        <rFont val="Baskerville Old Face"/>
        <family val="1"/>
      </rPr>
      <t>UPC, TABLE 610.4, FOOTNOTE 2</t>
    </r>
    <r>
      <rPr>
        <b/>
        <sz val="12"/>
        <color rgb="FFFF0000"/>
        <rFont val="Baskerville Old Face"/>
        <family val="1"/>
      </rPr>
      <t>)</t>
    </r>
  </si>
  <si>
    <t>*Based on Section 890.APPENDIX A, Tables M, N, and O</t>
  </si>
  <si>
    <t>Washing Machine(Private 8#)</t>
  </si>
  <si>
    <t>Water Closet(FV-Public / Private)</t>
  </si>
  <si>
    <t>Water Closet (Tank-Public / Private)</t>
  </si>
  <si>
    <t>Water Closet (Tank-Pub.)</t>
  </si>
  <si>
    <t>Water Closet (FV-Private)</t>
  </si>
  <si>
    <t>Water Closet (FV-Public)</t>
  </si>
  <si>
    <t>Water Closet (Tank-Priv.)</t>
  </si>
  <si>
    <t>Kitchen Sink (Private)</t>
  </si>
  <si>
    <t>Kitchen Sink (Hotel/Resta)</t>
  </si>
  <si>
    <t>Pipe Size</t>
  </si>
  <si>
    <t>6'</t>
  </si>
  <si>
    <t>SIZE</t>
  </si>
  <si>
    <t>*LIMITED TO 2,000 WSFU</t>
  </si>
  <si>
    <t>INLET PIPE SIZING CHART (Illinois State Plumbing Code)</t>
  </si>
  <si>
    <t>WASTE MAIN TRUNK SIZE (Illinois State Plumbing Code)</t>
  </si>
  <si>
    <t>Section 890 Appendix A, Tables E, F, and K</t>
  </si>
  <si>
    <t>Bathroom: 1 WC (tank), 1 Lavy, 1 Bath/Shower</t>
  </si>
  <si>
    <t>Bathroom: 1 WC (Valve), 1 Lavy, 1 Bath/Shower</t>
  </si>
  <si>
    <t>Bathtub (with or w/o overhead shower)</t>
  </si>
  <si>
    <t>Clothes washer, automatic</t>
  </si>
  <si>
    <t>Dental unit or cuspidor</t>
  </si>
  <si>
    <t>Drinking fountain</t>
  </si>
  <si>
    <t>1/2</t>
  </si>
  <si>
    <t>Dishwasher, domestic</t>
  </si>
  <si>
    <t>Floor Drains (2")</t>
  </si>
  <si>
    <t>Floor Drains (3")</t>
  </si>
  <si>
    <t>Showers (group) per head</t>
  </si>
  <si>
    <t>Lavatories</t>
  </si>
  <si>
    <t>Lavatory (Private)</t>
  </si>
  <si>
    <t>Lavatory (Public)</t>
  </si>
  <si>
    <t>Lavatory, barber, beauty parlor</t>
  </si>
  <si>
    <t>Combination sink and tray</t>
  </si>
  <si>
    <t>Combination sink and tray w/ food-disposal unit</t>
  </si>
  <si>
    <t>Kitchen sink, domestic</t>
  </si>
  <si>
    <t>Kitchen sink, domestic w/ disposal</t>
  </si>
  <si>
    <t>Pot, scullery, etc.</t>
  </si>
  <si>
    <t>Service (P-Trap)</t>
  </si>
  <si>
    <t>Surgeon's</t>
  </si>
  <si>
    <t>Wash sink (circular or multiple) each set</t>
  </si>
  <si>
    <t>Urinal, pedestal, siphon jet, blowout</t>
  </si>
  <si>
    <t>Urinal stall</t>
  </si>
  <si>
    <t>Urinal wall integral trap</t>
  </si>
  <si>
    <r>
      <t>MIN. INLET SIZE IS 3/4" (</t>
    </r>
    <r>
      <rPr>
        <b/>
        <sz val="12"/>
        <color rgb="FF7030A0"/>
        <rFont val="Baskerville Old Face"/>
        <family val="1"/>
      </rPr>
      <t>SECTION 890.1200, FOOTNOTE A</t>
    </r>
    <r>
      <rPr>
        <b/>
        <sz val="12"/>
        <color rgb="FFFF0000"/>
        <rFont val="Baskerville Old Face"/>
        <family val="1"/>
      </rPr>
      <t>)</t>
    </r>
  </si>
  <si>
    <t>Quantity:</t>
  </si>
  <si>
    <t>Fixture:</t>
  </si>
  <si>
    <t>WSFU:</t>
  </si>
  <si>
    <t>DFU:</t>
  </si>
  <si>
    <t>Code:</t>
  </si>
  <si>
    <t>Fixtures (IPC)</t>
  </si>
  <si>
    <t>Water Closet (Tank-Public)</t>
  </si>
  <si>
    <t>Pressure Range:</t>
  </si>
  <si>
    <t>Fixtures (UPC)</t>
  </si>
  <si>
    <t>urnial</t>
  </si>
  <si>
    <t>wc</t>
  </si>
  <si>
    <t>N/A</t>
  </si>
  <si>
    <t>FINAL FORMULA</t>
  </si>
  <si>
    <t>Total Fixture Units:</t>
  </si>
  <si>
    <t>Developed Pipe Length:</t>
  </si>
  <si>
    <t>Urinal (Public)</t>
  </si>
  <si>
    <t>Water Closet (Tank-Assembly)</t>
  </si>
  <si>
    <t>Urinal (Assembly)</t>
  </si>
  <si>
    <t>COMBINED</t>
  </si>
  <si>
    <t>SINGLE</t>
  </si>
  <si>
    <t>Bathtub / Shower</t>
  </si>
  <si>
    <t>Pressure Range (IPC)</t>
  </si>
  <si>
    <t>30-39</t>
  </si>
  <si>
    <t>40-49</t>
  </si>
  <si>
    <t>50-60</t>
  </si>
  <si>
    <t>Pressure Range (UPC)</t>
  </si>
  <si>
    <t>30-45</t>
  </si>
  <si>
    <t>46-60</t>
  </si>
  <si>
    <t>Developed Length</t>
  </si>
  <si>
    <t>FT.</t>
  </si>
  <si>
    <t>IPC</t>
  </si>
  <si>
    <t>Water Closet (Tank-Private)</t>
  </si>
  <si>
    <t>Shower Head (Public)</t>
  </si>
  <si>
    <t>Shower Head (Private)</t>
  </si>
  <si>
    <t>Clinical Faucet</t>
  </si>
  <si>
    <t>Service / Mop Sink</t>
  </si>
  <si>
    <t>Kitchen / Bar Sink</t>
  </si>
  <si>
    <t>Service / Mop Sink (Public)</t>
  </si>
  <si>
    <t>Service / Mop Sink (Assembly)</t>
  </si>
  <si>
    <t>Commercial with food waste</t>
  </si>
  <si>
    <t>Washing Machine</t>
  </si>
  <si>
    <t>Water Closet (FV-Assembly)</t>
  </si>
  <si>
    <t>UPC WASTE</t>
  </si>
  <si>
    <t>IPC WASTE</t>
  </si>
  <si>
    <t>Inlet Size &amp; Main Waste Trunk Size:</t>
  </si>
  <si>
    <t>Table E201.1</t>
  </si>
  <si>
    <t>IPC Supply table</t>
  </si>
  <si>
    <t>UPC supply Table</t>
  </si>
  <si>
    <t>Table 610.4</t>
  </si>
  <si>
    <t>IPC Waste table</t>
  </si>
  <si>
    <t>UPC waste table</t>
  </si>
  <si>
    <t>Table 703.2</t>
  </si>
  <si>
    <t>Table 710.1(1)</t>
  </si>
  <si>
    <t>DO NOT "PASTESPEC" THE ABOVE ON DRAWINGS</t>
  </si>
  <si>
    <t>Clothes Washer (Comm)</t>
  </si>
  <si>
    <t>Dish Washer, domestic</t>
  </si>
  <si>
    <t>Eye Wash Station</t>
  </si>
  <si>
    <t>See Cut-Sheet (Typ 1-1/4")</t>
  </si>
  <si>
    <t>IF(AND(AND(B2=B71,G2="upc"),A2=1),20,IF(AND(AND(B2=B71,G2="upc"),A2=2),35,IF(AND(AND(B2=B71,G2="upc"),A2=3),45,IF(AND(AND(B2=B71,G2="upc"),A2=4),53,IF(AND(AND(B2=B71,G2="upc"),A2&gt;=5),(53+((A2-4)*5)),IF(AND(AND(B3=B71,G2="upc"),A3=1),20,IF(AND(AND(B3=B71,G2="upc"),A3=2),35,IF(AND(AND(B3=B71,G2="upc"),A3=3),45,IF(AND(AND(B3=B71,G2="upc"),A3=4),53,IF(AND(AND(B3=B71,G2="upc"),A3&gt;=5),(53+((A3-4)*5)),IF(AND(AND(B4=B71,G2="upc"),A4=1),20,IF(AND(AND(B4=B71,G2="upc"),A4=2),35,IF(AND(AND(B4=B71,G2="upc"),A4=3),45,IF(AND(AND(B4=B71,G2="upc"),A4=4),53,IF(AND(AND(B4=B71,G2="upc"),A4&gt;=5),(53+((A4-4)*5)),IF(AND(AND(B5=B71,G2="upc"),A5=1),20,IF(AND(AND(B5=B71,G2="upc"),A5=2),35,IF(AND(AND(B5=B71,G2="upc"),A5=3),45,IF(AND(AND(B5=B71,G2="upc"),A5=4),53,IF(AND(AND(B5=B71,G2="upc"),A5&gt;=5),(53+((A5-4)*5)),IF(AND(AND(B6=B71,G2="upc"),A6=1),20,IF(AND(AND(B6=B71,G2="upc"),A6=2),35,IF(AND(AND(B6=B71,G2="upc"),A6=3),45,IF(AND(AND(B6=B71,G2="upc"),A6=4),53,IF(AND(AND(B6=B71,G2="upc"),A6&gt;=5),(53+((A6-4)*5)),IF(AND(AND(B7=B71,G2="upc"),A7=1),20,IF(AND(AND(B7=B71,G2="upc"),A7=2),35,IF(AND(AND(B7=B71,G2="upc"),A7=3),45,IF(AND(AND(B7=B71,G2="upc"),A7=4),53,IF(AND(AND(B7=B71,G2="upc"),A7&gt;=5),(53+((A7-4)*5)),IF(AND(AND(B8=B71,G2="upc"),A8=1),20,IF(AND(AND(B8=B71,G2="upc"),A8=2),35,IF(AND(AND((B8=B71,G2="upc"),A8=3),45,IF(AND(AND(B8=B71,G2="upc"),A8=4),53,IF(AND(AND(B8=B71,G2="upc"),A8&gt;=5),(53+((A8-4)*5)),IF(AND(AND(B9=B71,G2="upc"),A9=1),20,IF(AND(AND(B9=B71,G2="upc"),A9=2),35,IF(AND(AND(B9=B71,G2="upc"),A9=3),45,IF(AND(AND(B9=B71,G2="upc"),A9=4),53,IF(AND(AND(B9=B71,G2="upc"),A9&gt;=5),(53+((A9-4)*5)),IF(AND(AND(B10=B71,G2="upc"),A10=1),20,IF(AND(AND(B10=B71,G2="upc"),A10=2),35,IF(AND(AND(B10=B71,G2="upc"),A10=3),45,IF(AND(AND((B10=B71,G2="upc"),A10=4),53,IF(AND(AND(B10=B71,G2="upc"),A10&gt;=5),(53+((A10-4)*5)),IF(AND(AND(B11=B71,G2="upc"),A11=1),20,IF(AND(AND(B11=B71,G2="upc"),A11=2),35,IF(AND(AND(B11=B71,G2="upc"),A11=3),45,IF(AND(AND(B11=B71,G2="upc"),A11=4),53,IF(AND(AND(B11=B71,G2="upc"),A11&gt;=5),(53+((A11-4)*5)),0))))))))))))))))))))))))))))))))))))))))))))))))))))</t>
  </si>
  <si>
    <t>Urinal (Waterless)</t>
  </si>
  <si>
    <t>Ice Maker</t>
  </si>
  <si>
    <t>Washing Machine (Private)</t>
  </si>
  <si>
    <t>Washing Machine (Pub 8#)</t>
  </si>
  <si>
    <t>Washing Machine (Pub 15#)</t>
  </si>
  <si>
    <t>Urinal (3/4" valve) &gt;=1 GPF</t>
  </si>
  <si>
    <t>Urinal (3/4" valve) &lt;1 GPF</t>
  </si>
  <si>
    <t>UPC</t>
  </si>
  <si>
    <t>&lt;--Adds spilled formula for UPC Urinals</t>
  </si>
  <si>
    <t>&lt;--Adds spilled formula for IPC Urinals</t>
  </si>
  <si>
    <t>&lt;--Adds spilled formula for UPC Water Closets</t>
  </si>
  <si>
    <t>&lt;--Total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</si>
</sst>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</font>
    <font>
      <sz val="24"/>
      <name val="Albertus Extra Bold"/>
      <family val="2"/>
    </font>
    <font>
      <sz val="8"/>
      <name val="Arial"/>
      <family val="2"/>
    </font>
    <font>
      <sz val="12"/>
      <name val="Baskerville Old Face"/>
      <family val="1"/>
    </font>
    <font>
      <b/>
      <sz val="12"/>
      <name val="Baskerville Old Face"/>
      <family val="1"/>
    </font>
    <font>
      <b/>
      <sz val="11"/>
      <name val="Baskerville Old Face"/>
      <family val="1"/>
    </font>
    <font>
      <sz val="10"/>
      <name val="Baskerville Old Face"/>
      <family val="1"/>
    </font>
    <font>
      <sz val="14"/>
      <name val="Arial"/>
      <family val="2"/>
    </font>
    <font>
      <sz val="10"/>
      <name val="Arial"/>
      <family val="2"/>
    </font>
    <font>
      <sz val="10"/>
      <name val="Albertus Extra Bold"/>
      <family val="2"/>
    </font>
    <font>
      <sz val="24"/>
      <name val="Baskerville Old Face"/>
      <family val="1"/>
    </font>
    <font>
      <sz val="14"/>
      <name val="Baskerville Old Face"/>
      <family val="1"/>
    </font>
    <font>
      <sz val="12"/>
      <color indexed="17"/>
      <name val="Baskerville Old Face"/>
      <family val="1"/>
    </font>
    <font>
      <b/>
      <sz val="12"/>
      <color indexed="36"/>
      <name val="Baskerville Old Face"/>
      <family val="1"/>
    </font>
    <font>
      <b/>
      <sz val="12"/>
      <color indexed="20"/>
      <name val="Baskerville Old Face"/>
      <family val="1"/>
    </font>
    <font>
      <sz val="12"/>
      <color indexed="36"/>
      <name val="Baskerville Old Face"/>
      <family val="1"/>
    </font>
    <font>
      <sz val="12"/>
      <color indexed="20"/>
      <name val="Baskerville Old Face"/>
      <family val="1"/>
    </font>
    <font>
      <b/>
      <sz val="11"/>
      <color indexed="9"/>
      <name val="Baskerville Old Face"/>
      <family val="1"/>
    </font>
    <font>
      <sz val="12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2"/>
      <name val="Baskerville Old Face"/>
      <family val="1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2"/>
      <color rgb="FFFF0000"/>
      <name val="Baskerville Old Face"/>
      <family val="1"/>
    </font>
    <font>
      <b/>
      <sz val="12"/>
      <color rgb="FFFF0000"/>
      <name val="Baskerville Old Face"/>
      <family val="1"/>
    </font>
    <font>
      <b/>
      <sz val="12"/>
      <color rgb="FF7030A0"/>
      <name val="Baskerville Old Face"/>
      <family val="1"/>
    </font>
    <font>
      <sz val="10"/>
      <color rgb="FFFF0000"/>
      <name val="Albertus Extra Bold"/>
      <family val="2"/>
    </font>
  </fonts>
  <fills count="1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B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9" fillId="7" borderId="0" applyNumberFormat="0" applyBorder="0" applyAlignment="0" applyProtection="0"/>
    <xf numFmtId="0" fontId="20" fillId="8" borderId="96" applyNumberFormat="0" applyAlignment="0" applyProtection="0"/>
    <xf numFmtId="0" fontId="21" fillId="9" borderId="0" applyNumberFormat="0" applyBorder="0" applyAlignment="0" applyProtection="0"/>
  </cellStyleXfs>
  <cellXfs count="52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2" fillId="9" borderId="1" xfId="3" applyFont="1" applyBorder="1" applyAlignment="1">
      <alignment horizontal="center"/>
    </xf>
    <xf numFmtId="0" fontId="7" fillId="0" borderId="0" xfId="0" applyFont="1"/>
    <xf numFmtId="0" fontId="3" fillId="2" borderId="3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4" fillId="7" borderId="1" xfId="1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6" fillId="7" borderId="1" xfId="1" applyFont="1" applyBorder="1" applyAlignment="1">
      <alignment horizontal="center"/>
    </xf>
    <xf numFmtId="0" fontId="18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12" fillId="9" borderId="22" xfId="3" applyFont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6" fillId="7" borderId="6" xfId="1" applyFont="1" applyBorder="1" applyAlignment="1">
      <alignment horizontal="center"/>
    </xf>
    <xf numFmtId="0" fontId="12" fillId="9" borderId="6" xfId="3" applyFont="1" applyBorder="1" applyAlignment="1">
      <alignment horizontal="center"/>
    </xf>
    <xf numFmtId="0" fontId="12" fillId="9" borderId="23" xfId="3" applyFont="1" applyBorder="1" applyAlignment="1">
      <alignment horizontal="center"/>
    </xf>
    <xf numFmtId="0" fontId="3" fillId="0" borderId="24" xfId="0" applyFont="1" applyBorder="1"/>
    <xf numFmtId="0" fontId="0" fillId="0" borderId="24" xfId="0" applyBorder="1"/>
    <xf numFmtId="0" fontId="0" fillId="0" borderId="25" xfId="0" applyBorder="1"/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6" fillId="4" borderId="31" xfId="0" applyFont="1" applyFill="1" applyBorder="1" applyAlignment="1">
      <alignment horizontal="center"/>
    </xf>
    <xf numFmtId="0" fontId="6" fillId="4" borderId="32" xfId="0" applyFont="1" applyFill="1" applyBorder="1" applyAlignment="1">
      <alignment horizontal="center"/>
    </xf>
    <xf numFmtId="0" fontId="6" fillId="4" borderId="33" xfId="0" applyFont="1" applyFill="1" applyBorder="1" applyAlignment="1">
      <alignment horizontal="center"/>
    </xf>
    <xf numFmtId="0" fontId="6" fillId="4" borderId="34" xfId="0" applyFont="1" applyFill="1" applyBorder="1" applyAlignment="1">
      <alignment horizontal="center"/>
    </xf>
    <xf numFmtId="0" fontId="6" fillId="4" borderId="35" xfId="0" applyFont="1" applyFill="1" applyBorder="1" applyAlignment="1">
      <alignment horizontal="center"/>
    </xf>
    <xf numFmtId="0" fontId="6" fillId="4" borderId="36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/>
    </xf>
    <xf numFmtId="0" fontId="3" fillId="10" borderId="37" xfId="0" applyFont="1" applyFill="1" applyBorder="1" applyAlignment="1">
      <alignment horizontal="center"/>
    </xf>
    <xf numFmtId="0" fontId="6" fillId="10" borderId="31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4" fillId="0" borderId="32" xfId="0" applyFont="1" applyBorder="1"/>
    <xf numFmtId="0" fontId="5" fillId="0" borderId="33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0" borderId="0" xfId="0" applyFont="1"/>
    <xf numFmtId="0" fontId="3" fillId="0" borderId="40" xfId="0" applyFont="1" applyBorder="1"/>
    <xf numFmtId="0" fontId="3" fillId="0" borderId="41" xfId="0" applyFont="1" applyBorder="1"/>
    <xf numFmtId="0" fontId="3" fillId="0" borderId="4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42" xfId="0" applyFont="1" applyBorder="1"/>
    <xf numFmtId="0" fontId="18" fillId="0" borderId="43" xfId="0" applyFont="1" applyBorder="1"/>
    <xf numFmtId="0" fontId="18" fillId="0" borderId="44" xfId="0" applyFont="1" applyBorder="1"/>
    <xf numFmtId="0" fontId="0" fillId="0" borderId="43" xfId="0" applyBorder="1"/>
    <xf numFmtId="0" fontId="0" fillId="0" borderId="43" xfId="0" applyBorder="1" applyAlignment="1">
      <alignment horizontal="center"/>
    </xf>
    <xf numFmtId="0" fontId="18" fillId="0" borderId="45" xfId="0" applyFont="1" applyBorder="1"/>
    <xf numFmtId="0" fontId="18" fillId="0" borderId="46" xfId="0" applyFont="1" applyBorder="1"/>
    <xf numFmtId="0" fontId="0" fillId="0" borderId="46" xfId="0" applyBorder="1"/>
    <xf numFmtId="0" fontId="18" fillId="0" borderId="47" xfId="0" applyFont="1" applyBorder="1"/>
    <xf numFmtId="0" fontId="18" fillId="0" borderId="48" xfId="0" applyFont="1" applyBorder="1"/>
    <xf numFmtId="0" fontId="3" fillId="5" borderId="32" xfId="0" applyFont="1" applyFill="1" applyBorder="1" applyAlignment="1">
      <alignment horizontal="center"/>
    </xf>
    <xf numFmtId="0" fontId="18" fillId="0" borderId="49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20" xfId="0" applyFont="1" applyBorder="1"/>
    <xf numFmtId="0" fontId="0" fillId="0" borderId="50" xfId="0" applyBorder="1" applyAlignment="1">
      <alignment horizontal="center"/>
    </xf>
    <xf numFmtId="0" fontId="18" fillId="0" borderId="51" xfId="0" applyFont="1" applyBorder="1"/>
    <xf numFmtId="0" fontId="18" fillId="0" borderId="52" xfId="0" applyFont="1" applyBorder="1"/>
    <xf numFmtId="0" fontId="18" fillId="0" borderId="53" xfId="0" applyFont="1" applyBorder="1"/>
    <xf numFmtId="0" fontId="18" fillId="0" borderId="53" xfId="0" applyFont="1" applyBorder="1" applyAlignment="1">
      <alignment horizontal="center" vertical="center"/>
    </xf>
    <xf numFmtId="0" fontId="0" fillId="0" borderId="53" xfId="0" applyBorder="1"/>
    <xf numFmtId="0" fontId="3" fillId="5" borderId="54" xfId="0" applyFont="1" applyFill="1" applyBorder="1" applyAlignment="1">
      <alignment horizontal="center"/>
    </xf>
    <xf numFmtId="0" fontId="3" fillId="5" borderId="55" xfId="0" applyFont="1" applyFill="1" applyBorder="1" applyAlignment="1">
      <alignment horizontal="center"/>
    </xf>
    <xf numFmtId="0" fontId="18" fillId="0" borderId="56" xfId="0" applyFont="1" applyBorder="1"/>
    <xf numFmtId="0" fontId="3" fillId="5" borderId="57" xfId="0" applyFont="1" applyFill="1" applyBorder="1" applyAlignment="1">
      <alignment horizontal="center"/>
    </xf>
    <xf numFmtId="0" fontId="18" fillId="0" borderId="58" xfId="0" applyFont="1" applyBorder="1"/>
    <xf numFmtId="0" fontId="18" fillId="11" borderId="59" xfId="0" applyFont="1" applyFill="1" applyBorder="1"/>
    <xf numFmtId="0" fontId="18" fillId="0" borderId="2" xfId="0" applyFont="1" applyBorder="1"/>
    <xf numFmtId="0" fontId="18" fillId="11" borderId="60" xfId="0" applyFont="1" applyFill="1" applyBorder="1"/>
    <xf numFmtId="0" fontId="18" fillId="0" borderId="8" xfId="0" applyFont="1" applyBorder="1"/>
    <xf numFmtId="0" fontId="3" fillId="0" borderId="75" xfId="0" applyFont="1" applyBorder="1" applyAlignment="1">
      <alignment horizontal="center"/>
    </xf>
    <xf numFmtId="0" fontId="0" fillId="13" borderId="21" xfId="0" applyFill="1" applyBorder="1" applyAlignment="1">
      <alignment horizontal="left" vertical="center"/>
    </xf>
    <xf numFmtId="0" fontId="3" fillId="0" borderId="1" xfId="0" applyFont="1" applyBorder="1"/>
    <xf numFmtId="0" fontId="3" fillId="0" borderId="10" xfId="0" applyFont="1" applyBorder="1"/>
    <xf numFmtId="0" fontId="9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5" xfId="0" applyFont="1" applyBorder="1"/>
    <xf numFmtId="0" fontId="6" fillId="10" borderId="3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3" fillId="0" borderId="0" xfId="0" applyFont="1"/>
    <xf numFmtId="0" fontId="18" fillId="0" borderId="65" xfId="0" applyFont="1" applyBorder="1"/>
    <xf numFmtId="0" fontId="3" fillId="5" borderId="35" xfId="0" applyFont="1" applyFill="1" applyBorder="1" applyAlignment="1">
      <alignment horizontal="center"/>
    </xf>
    <xf numFmtId="0" fontId="18" fillId="0" borderId="94" xfId="0" applyFont="1" applyBorder="1"/>
    <xf numFmtId="0" fontId="18" fillId="0" borderId="95" xfId="0" applyFont="1" applyBorder="1"/>
    <xf numFmtId="0" fontId="18" fillId="0" borderId="112" xfId="0" applyFont="1" applyBorder="1"/>
    <xf numFmtId="0" fontId="18" fillId="0" borderId="61" xfId="0" applyFont="1" applyBorder="1"/>
    <xf numFmtId="0" fontId="0" fillId="0" borderId="101" xfId="0" applyBorder="1"/>
    <xf numFmtId="0" fontId="3" fillId="0" borderId="42" xfId="0" applyFont="1" applyBorder="1"/>
    <xf numFmtId="0" fontId="3" fillId="0" borderId="43" xfId="0" applyFont="1" applyBorder="1"/>
    <xf numFmtId="0" fontId="3" fillId="0" borderId="2" xfId="0" applyFont="1" applyBorder="1"/>
    <xf numFmtId="0" fontId="0" fillId="0" borderId="0" xfId="0" applyAlignment="1">
      <alignment horizontal="center" vertical="center"/>
    </xf>
    <xf numFmtId="0" fontId="15" fillId="3" borderId="32" xfId="0" applyFont="1" applyFill="1" applyBorder="1" applyAlignment="1">
      <alignment horizontal="center"/>
    </xf>
    <xf numFmtId="0" fontId="16" fillId="7" borderId="32" xfId="1" applyFont="1" applyBorder="1" applyAlignment="1">
      <alignment horizontal="center"/>
    </xf>
    <xf numFmtId="0" fontId="12" fillId="9" borderId="33" xfId="3" applyFont="1" applyBorder="1" applyAlignment="1">
      <alignment horizontal="center"/>
    </xf>
    <xf numFmtId="0" fontId="24" fillId="0" borderId="0" xfId="0" applyFont="1" applyAlignment="1">
      <alignment horizontal="right" vertical="center"/>
    </xf>
    <xf numFmtId="0" fontId="24" fillId="0" borderId="0" xfId="0" applyFont="1"/>
    <xf numFmtId="0" fontId="0" fillId="13" borderId="21" xfId="0" applyFill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/>
    <xf numFmtId="0" fontId="0" fillId="0" borderId="1" xfId="0" applyBorder="1" applyAlignment="1">
      <alignment horizontal="center" vertical="center"/>
    </xf>
    <xf numFmtId="0" fontId="8" fillId="0" borderId="67" xfId="0" applyFont="1" applyBorder="1"/>
    <xf numFmtId="0" fontId="8" fillId="0" borderId="3" xfId="0" applyFont="1" applyBorder="1"/>
    <xf numFmtId="0" fontId="0" fillId="0" borderId="67" xfId="0" applyBorder="1"/>
    <xf numFmtId="0" fontId="8" fillId="0" borderId="87" xfId="0" applyFont="1" applyBorder="1"/>
    <xf numFmtId="0" fontId="0" fillId="0" borderId="85" xfId="0" applyBorder="1"/>
    <xf numFmtId="0" fontId="8" fillId="0" borderId="85" xfId="0" applyFont="1" applyBorder="1"/>
    <xf numFmtId="0" fontId="8" fillId="0" borderId="86" xfId="0" applyFont="1" applyBorder="1"/>
    <xf numFmtId="0" fontId="8" fillId="0" borderId="59" xfId="0" applyFont="1" applyBorder="1"/>
    <xf numFmtId="0" fontId="0" fillId="0" borderId="59" xfId="0" applyBorder="1"/>
    <xf numFmtId="0" fontId="0" fillId="0" borderId="99" xfId="0" applyBorder="1"/>
    <xf numFmtId="0" fontId="3" fillId="0" borderId="0" xfId="0" applyFont="1" applyAlignment="1">
      <alignment horizontal="center"/>
    </xf>
    <xf numFmtId="0" fontId="12" fillId="0" borderId="0" xfId="3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13" borderId="21" xfId="0" applyFill="1" applyBorder="1"/>
    <xf numFmtId="0" fontId="2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8" fillId="0" borderId="43" xfId="0" applyFont="1" applyBorder="1"/>
    <xf numFmtId="0" fontId="0" fillId="0" borderId="3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" fillId="0" borderId="48" xfId="0" applyFont="1" applyBorder="1"/>
    <xf numFmtId="0" fontId="8" fillId="0" borderId="118" xfId="0" applyFont="1" applyBorder="1"/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118" xfId="0" applyFont="1" applyBorder="1" applyAlignment="1">
      <alignment horizontal="center"/>
    </xf>
    <xf numFmtId="0" fontId="8" fillId="0" borderId="84" xfId="3" applyFont="1" applyFill="1" applyBorder="1" applyAlignment="1">
      <alignment horizontal="center"/>
    </xf>
    <xf numFmtId="0" fontId="8" fillId="0" borderId="119" xfId="3" applyFont="1" applyFill="1" applyBorder="1" applyAlignment="1">
      <alignment horizontal="center"/>
    </xf>
    <xf numFmtId="0" fontId="8" fillId="0" borderId="100" xfId="3" applyFont="1" applyFill="1" applyBorder="1" applyAlignment="1">
      <alignment horizontal="center"/>
    </xf>
    <xf numFmtId="0" fontId="8" fillId="0" borderId="15" xfId="1" applyFont="1" applyFill="1" applyBorder="1" applyAlignment="1">
      <alignment horizontal="center"/>
    </xf>
    <xf numFmtId="0" fontId="8" fillId="0" borderId="13" xfId="1" applyFont="1" applyFill="1" applyBorder="1" applyAlignment="1">
      <alignment horizontal="center"/>
    </xf>
    <xf numFmtId="0" fontId="8" fillId="0" borderId="117" xfId="1" applyFont="1" applyFill="1" applyBorder="1" applyAlignment="1">
      <alignment horizontal="center"/>
    </xf>
    <xf numFmtId="0" fontId="0" fillId="0" borderId="67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0" fillId="0" borderId="0" xfId="0" applyNumberFormat="1"/>
    <xf numFmtId="164" fontId="24" fillId="0" borderId="21" xfId="0" applyNumberFormat="1" applyFont="1" applyBorder="1" applyAlignment="1">
      <alignment horizontal="center" vertical="center"/>
    </xf>
    <xf numFmtId="164" fontId="8" fillId="15" borderId="21" xfId="0" applyNumberFormat="1" applyFont="1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117" xfId="0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0" borderId="70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 wrapText="1"/>
    </xf>
    <xf numFmtId="0" fontId="8" fillId="0" borderId="120" xfId="0" applyFont="1" applyBorder="1" applyAlignment="1">
      <alignment horizontal="center" vertical="center"/>
    </xf>
    <xf numFmtId="0" fontId="8" fillId="0" borderId="43" xfId="0" applyFont="1" applyBorder="1" applyAlignment="1">
      <alignment vertical="center"/>
    </xf>
    <xf numFmtId="0" fontId="8" fillId="0" borderId="119" xfId="0" applyFont="1" applyBorder="1" applyAlignment="1">
      <alignment horizontal="center" vertical="center"/>
    </xf>
    <xf numFmtId="0" fontId="8" fillId="0" borderId="118" xfId="0" applyFont="1" applyBorder="1" applyAlignment="1">
      <alignment vertical="center"/>
    </xf>
    <xf numFmtId="0" fontId="8" fillId="0" borderId="100" xfId="0" applyFont="1" applyBorder="1" applyAlignment="1">
      <alignment horizontal="center" vertical="center"/>
    </xf>
    <xf numFmtId="0" fontId="8" fillId="0" borderId="48" xfId="0" applyFont="1" applyBorder="1" applyAlignment="1">
      <alignment vertical="center"/>
    </xf>
    <xf numFmtId="0" fontId="8" fillId="0" borderId="84" xfId="0" applyFont="1" applyBorder="1" applyAlignment="1">
      <alignment horizontal="center" vertical="center"/>
    </xf>
    <xf numFmtId="0" fontId="8" fillId="0" borderId="50" xfId="0" applyFont="1" applyBorder="1" applyAlignment="1">
      <alignment vertical="center"/>
    </xf>
    <xf numFmtId="0" fontId="8" fillId="0" borderId="83" xfId="0" applyFont="1" applyBorder="1" applyAlignment="1">
      <alignment horizontal="center" vertical="center"/>
    </xf>
    <xf numFmtId="0" fontId="8" fillId="0" borderId="63" xfId="0" applyFont="1" applyBorder="1" applyAlignment="1">
      <alignment vertical="center"/>
    </xf>
    <xf numFmtId="0" fontId="8" fillId="0" borderId="10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8" fillId="13" borderId="117" xfId="0" applyFont="1" applyFill="1" applyBorder="1" applyAlignment="1">
      <alignment horizontal="center" vertical="center"/>
    </xf>
    <xf numFmtId="0" fontId="8" fillId="13" borderId="120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center" vertical="center"/>
    </xf>
    <xf numFmtId="0" fontId="3" fillId="16" borderId="21" xfId="0" applyFont="1" applyFill="1" applyBorder="1" applyAlignment="1">
      <alignment horizontal="center"/>
    </xf>
    <xf numFmtId="0" fontId="3" fillId="17" borderId="39" xfId="0" applyFont="1" applyFill="1" applyBorder="1" applyAlignment="1">
      <alignment horizontal="center"/>
    </xf>
    <xf numFmtId="0" fontId="18" fillId="17" borderId="22" xfId="0" applyFont="1" applyFill="1" applyBorder="1" applyAlignment="1">
      <alignment horizontal="center"/>
    </xf>
    <xf numFmtId="0" fontId="3" fillId="17" borderId="23" xfId="0" applyFont="1" applyFill="1" applyBorder="1" applyAlignment="1">
      <alignment horizontal="center"/>
    </xf>
    <xf numFmtId="0" fontId="3" fillId="17" borderId="21" xfId="0" applyFont="1" applyFill="1" applyBorder="1" applyAlignment="1">
      <alignment horizontal="center"/>
    </xf>
    <xf numFmtId="0" fontId="3" fillId="17" borderId="33" xfId="0" applyFont="1" applyFill="1" applyBorder="1" applyAlignment="1">
      <alignment horizontal="center"/>
    </xf>
    <xf numFmtId="0" fontId="18" fillId="17" borderId="33" xfId="0" applyFont="1" applyFill="1" applyBorder="1" applyAlignment="1">
      <alignment horizontal="center"/>
    </xf>
    <xf numFmtId="0" fontId="18" fillId="13" borderId="9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/>
    </xf>
    <xf numFmtId="0" fontId="18" fillId="13" borderId="1" xfId="0" applyFont="1" applyFill="1" applyBorder="1"/>
    <xf numFmtId="0" fontId="18" fillId="13" borderId="6" xfId="0" applyFont="1" applyFill="1" applyBorder="1"/>
    <xf numFmtId="0" fontId="27" fillId="0" borderId="0" xfId="0" applyFont="1"/>
    <xf numFmtId="0" fontId="24" fillId="0" borderId="0" xfId="0" applyFont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164" fontId="3" fillId="17" borderId="21" xfId="0" applyNumberFormat="1" applyFont="1" applyFill="1" applyBorder="1" applyAlignment="1">
      <alignment horizontal="center" vertical="center"/>
    </xf>
    <xf numFmtId="2" fontId="3" fillId="17" borderId="21" xfId="0" applyNumberFormat="1" applyFont="1" applyFill="1" applyBorder="1" applyAlignment="1">
      <alignment horizontal="center" vertical="center"/>
    </xf>
    <xf numFmtId="0" fontId="24" fillId="0" borderId="66" xfId="0" applyFont="1" applyBorder="1"/>
    <xf numFmtId="0" fontId="10" fillId="0" borderId="4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40" xfId="0" applyFont="1" applyBorder="1"/>
    <xf numFmtId="0" fontId="29" fillId="0" borderId="0" xfId="0" applyFont="1"/>
    <xf numFmtId="0" fontId="9" fillId="6" borderId="62" xfId="0" applyFont="1" applyFill="1" applyBorder="1"/>
    <xf numFmtId="0" fontId="0" fillId="0" borderId="21" xfId="0" applyBorder="1"/>
    <xf numFmtId="0" fontId="3" fillId="0" borderId="59" xfId="0" applyFont="1" applyBorder="1"/>
    <xf numFmtId="0" fontId="3" fillId="0" borderId="1" xfId="3" applyFont="1" applyFill="1" applyBorder="1" applyAlignment="1">
      <alignment horizontal="center"/>
    </xf>
    <xf numFmtId="0" fontId="15" fillId="0" borderId="0" xfId="0" applyFont="1"/>
    <xf numFmtId="0" fontId="0" fillId="13" borderId="1" xfId="0" applyFill="1" applyBorder="1" applyAlignment="1">
      <alignment horizontal="center" vertical="center"/>
    </xf>
    <xf numFmtId="0" fontId="0" fillId="13" borderId="80" xfId="0" applyFill="1" applyBorder="1" applyAlignment="1">
      <alignment horizontal="center" vertical="center"/>
    </xf>
    <xf numFmtId="0" fontId="8" fillId="0" borderId="21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87" xfId="0" applyFill="1" applyBorder="1" applyAlignment="1">
      <alignment horizontal="center" vertical="center"/>
    </xf>
    <xf numFmtId="0" fontId="0" fillId="13" borderId="85" xfId="0" applyFill="1" applyBorder="1" applyAlignment="1">
      <alignment horizontal="center" vertical="center"/>
    </xf>
    <xf numFmtId="0" fontId="0" fillId="13" borderId="77" xfId="0" applyFill="1" applyBorder="1" applyAlignment="1">
      <alignment horizontal="center" vertical="center"/>
    </xf>
    <xf numFmtId="0" fontId="8" fillId="13" borderId="32" xfId="0" applyFont="1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0" fillId="11" borderId="0" xfId="0" applyFill="1"/>
    <xf numFmtId="0" fontId="0" fillId="0" borderId="1" xfId="0" applyBorder="1" applyAlignment="1">
      <alignment horizontal="center" vertical="center"/>
    </xf>
    <xf numFmtId="0" fontId="24" fillId="10" borderId="102" xfId="0" applyFont="1" applyFill="1" applyBorder="1" applyAlignment="1">
      <alignment horizontal="center" wrapText="1"/>
    </xf>
    <xf numFmtId="0" fontId="24" fillId="10" borderId="104" xfId="0" applyFont="1" applyFill="1" applyBorder="1" applyAlignment="1">
      <alignment horizontal="center" wrapText="1"/>
    </xf>
    <xf numFmtId="0" fontId="24" fillId="10" borderId="105" xfId="0" applyFont="1" applyFill="1" applyBorder="1" applyAlignment="1">
      <alignment horizontal="center" wrapText="1"/>
    </xf>
    <xf numFmtId="0" fontId="24" fillId="10" borderId="106" xfId="0" applyFont="1" applyFill="1" applyBorder="1" applyAlignment="1">
      <alignment horizontal="center" wrapText="1"/>
    </xf>
    <xf numFmtId="0" fontId="8" fillId="0" borderId="81" xfId="0" applyFont="1" applyBorder="1" applyAlignment="1">
      <alignment horizontal="right" vertical="center"/>
    </xf>
    <xf numFmtId="0" fontId="0" fillId="0" borderId="82" xfId="0" applyBorder="1" applyAlignment="1">
      <alignment horizontal="right" vertical="center"/>
    </xf>
    <xf numFmtId="0" fontId="8" fillId="0" borderId="87" xfId="0" applyFont="1" applyBorder="1" applyAlignment="1">
      <alignment horizontal="right" vertical="center"/>
    </xf>
    <xf numFmtId="0" fontId="0" fillId="0" borderId="86" xfId="0" applyBorder="1" applyAlignment="1">
      <alignment horizontal="right" vertical="center"/>
    </xf>
    <xf numFmtId="0" fontId="8" fillId="0" borderId="1" xfId="0" applyFont="1" applyBorder="1" applyAlignment="1">
      <alignment horizontal="center"/>
    </xf>
    <xf numFmtId="0" fontId="0" fillId="0" borderId="102" xfId="0" applyBorder="1" applyAlignment="1">
      <alignment horizontal="left" vertical="center" wrapText="1"/>
    </xf>
    <xf numFmtId="0" fontId="0" fillId="0" borderId="103" xfId="0" applyBorder="1" applyAlignment="1">
      <alignment horizontal="left" vertical="center" wrapText="1"/>
    </xf>
    <xf numFmtId="0" fontId="0" fillId="0" borderId="104" xfId="0" applyBorder="1" applyAlignment="1">
      <alignment horizontal="left" vertical="center" wrapText="1"/>
    </xf>
    <xf numFmtId="0" fontId="0" fillId="0" borderId="12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22" xfId="0" applyBorder="1" applyAlignment="1">
      <alignment horizontal="left" vertical="center" wrapText="1"/>
    </xf>
    <xf numFmtId="0" fontId="0" fillId="0" borderId="105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106" xfId="0" applyBorder="1" applyAlignment="1">
      <alignment horizontal="left" vertical="center" wrapText="1"/>
    </xf>
    <xf numFmtId="0" fontId="4" fillId="0" borderId="57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6" borderId="90" xfId="0" applyFont="1" applyFill="1" applyBorder="1" applyAlignment="1">
      <alignment horizontal="center"/>
    </xf>
    <xf numFmtId="0" fontId="1" fillId="6" borderId="91" xfId="0" applyFont="1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76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7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3" fillId="13" borderId="4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/>
    </xf>
    <xf numFmtId="0" fontId="16" fillId="0" borderId="59" xfId="1" applyFont="1" applyFill="1" applyBorder="1" applyAlignment="1">
      <alignment horizontal="center"/>
    </xf>
    <xf numFmtId="0" fontId="16" fillId="0" borderId="43" xfId="1" applyFont="1" applyFill="1" applyBorder="1" applyAlignment="1">
      <alignment horizontal="center"/>
    </xf>
    <xf numFmtId="0" fontId="16" fillId="0" borderId="2" xfId="1" applyFont="1" applyFill="1" applyBorder="1" applyAlignment="1">
      <alignment horizontal="center"/>
    </xf>
    <xf numFmtId="0" fontId="3" fillId="0" borderId="59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7" fillId="8" borderId="96" xfId="2" applyFont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16" fillId="0" borderId="6" xfId="1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9" fillId="6" borderId="69" xfId="0" applyFont="1" applyFill="1" applyBorder="1" applyAlignment="1">
      <alignment horizontal="center"/>
    </xf>
    <xf numFmtId="0" fontId="9" fillId="6" borderId="70" xfId="0" applyFont="1" applyFill="1" applyBorder="1" applyAlignment="1">
      <alignment horizontal="center"/>
    </xf>
    <xf numFmtId="0" fontId="9" fillId="6" borderId="7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67" xfId="0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72" xfId="0" applyFont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73" xfId="0" applyFont="1" applyFill="1" applyBorder="1" applyAlignment="1">
      <alignment horizontal="left"/>
    </xf>
    <xf numFmtId="0" fontId="3" fillId="0" borderId="7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42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10" borderId="42" xfId="0" applyFont="1" applyFill="1" applyBorder="1" applyAlignment="1">
      <alignment horizontal="left"/>
    </xf>
    <xf numFmtId="0" fontId="3" fillId="10" borderId="43" xfId="0" applyFont="1" applyFill="1" applyBorder="1" applyAlignment="1">
      <alignment horizontal="left"/>
    </xf>
    <xf numFmtId="0" fontId="3" fillId="10" borderId="44" xfId="0" applyFont="1" applyFill="1" applyBorder="1" applyAlignment="1">
      <alignment horizontal="left"/>
    </xf>
    <xf numFmtId="0" fontId="3" fillId="0" borderId="16" xfId="0" applyFont="1" applyBorder="1"/>
    <xf numFmtId="0" fontId="3" fillId="0" borderId="17" xfId="0" applyFont="1" applyBorder="1"/>
    <xf numFmtId="0" fontId="3" fillId="0" borderId="20" xfId="0" applyFont="1" applyBorder="1"/>
    <xf numFmtId="0" fontId="3" fillId="0" borderId="45" xfId="0" applyFont="1" applyBorder="1" applyAlignment="1">
      <alignment horizontal="left"/>
    </xf>
    <xf numFmtId="0" fontId="3" fillId="0" borderId="46" xfId="0" applyFont="1" applyBorder="1" applyAlignment="1">
      <alignment horizontal="left"/>
    </xf>
    <xf numFmtId="0" fontId="3" fillId="0" borderId="61" xfId="0" applyFont="1" applyBorder="1" applyAlignment="1">
      <alignment horizontal="left"/>
    </xf>
    <xf numFmtId="0" fontId="9" fillId="6" borderId="62" xfId="0" applyFont="1" applyFill="1" applyBorder="1" applyAlignment="1">
      <alignment horizontal="center"/>
    </xf>
    <xf numFmtId="0" fontId="9" fillId="6" borderId="63" xfId="0" applyFont="1" applyFill="1" applyBorder="1" applyAlignment="1">
      <alignment horizontal="center"/>
    </xf>
    <xf numFmtId="0" fontId="9" fillId="6" borderId="64" xfId="0" applyFont="1" applyFill="1" applyBorder="1" applyAlignment="1">
      <alignment horizontal="center"/>
    </xf>
    <xf numFmtId="0" fontId="3" fillId="0" borderId="60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2" fillId="9" borderId="88" xfId="3" applyFont="1" applyBorder="1" applyAlignment="1">
      <alignment horizontal="center"/>
    </xf>
    <xf numFmtId="0" fontId="12" fillId="9" borderId="24" xfId="3" applyFont="1" applyBorder="1" applyAlignment="1">
      <alignment horizontal="center"/>
    </xf>
    <xf numFmtId="0" fontId="12" fillId="9" borderId="25" xfId="3" applyFont="1" applyBorder="1" applyAlignment="1">
      <alignment horizontal="center"/>
    </xf>
    <xf numFmtId="0" fontId="3" fillId="0" borderId="92" xfId="0" applyFont="1" applyBorder="1" applyAlignment="1">
      <alignment horizontal="left"/>
    </xf>
    <xf numFmtId="0" fontId="3" fillId="0" borderId="89" xfId="0" applyFont="1" applyBorder="1" applyAlignment="1">
      <alignment horizontal="left"/>
    </xf>
    <xf numFmtId="0" fontId="3" fillId="0" borderId="93" xfId="0" applyFont="1" applyBorder="1" applyAlignment="1">
      <alignment horizontal="left"/>
    </xf>
    <xf numFmtId="0" fontId="9" fillId="6" borderId="88" xfId="0" applyFont="1" applyFill="1" applyBorder="1" applyAlignment="1">
      <alignment horizontal="center"/>
    </xf>
    <xf numFmtId="0" fontId="9" fillId="6" borderId="24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74" xfId="0" applyFont="1" applyBorder="1" applyAlignment="1">
      <alignment horizontal="center"/>
    </xf>
    <xf numFmtId="0" fontId="3" fillId="2" borderId="77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78" xfId="0" applyFont="1" applyFill="1" applyBorder="1" applyAlignment="1">
      <alignment horizontal="center"/>
    </xf>
    <xf numFmtId="0" fontId="13" fillId="3" borderId="52" xfId="0" applyFont="1" applyFill="1" applyBorder="1" applyAlignment="1">
      <alignment horizontal="center"/>
    </xf>
    <xf numFmtId="0" fontId="13" fillId="3" borderId="53" xfId="0" applyFont="1" applyFill="1" applyBorder="1" applyAlignment="1">
      <alignment horizontal="center"/>
    </xf>
    <xf numFmtId="0" fontId="14" fillId="12" borderId="88" xfId="1" applyFont="1" applyFill="1" applyBorder="1" applyAlignment="1">
      <alignment horizontal="center"/>
    </xf>
    <xf numFmtId="0" fontId="14" fillId="12" borderId="24" xfId="1" applyFont="1" applyFill="1" applyBorder="1" applyAlignment="1">
      <alignment horizontal="center"/>
    </xf>
    <xf numFmtId="0" fontId="14" fillId="12" borderId="25" xfId="1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2" borderId="68" xfId="0" applyFont="1" applyFill="1" applyBorder="1" applyAlignment="1">
      <alignment horizontal="left"/>
    </xf>
    <xf numFmtId="0" fontId="3" fillId="0" borderId="75" xfId="0" applyFont="1" applyBorder="1" applyAlignment="1">
      <alignment horizontal="center"/>
    </xf>
    <xf numFmtId="0" fontId="3" fillId="0" borderId="79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" fillId="13" borderId="4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5" xfId="0" applyFont="1" applyBorder="1"/>
    <xf numFmtId="0" fontId="3" fillId="0" borderId="46" xfId="0" applyFont="1" applyBorder="1"/>
    <xf numFmtId="0" fontId="3" fillId="0" borderId="8" xfId="0" applyFont="1" applyBorder="1"/>
    <xf numFmtId="0" fontId="11" fillId="0" borderId="0" xfId="0" applyFont="1" applyAlignment="1">
      <alignment horizontal="center" vertical="center"/>
    </xf>
    <xf numFmtId="0" fontId="3" fillId="13" borderId="45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94" xfId="0" applyFont="1" applyBorder="1"/>
    <xf numFmtId="0" fontId="3" fillId="0" borderId="95" xfId="0" applyFont="1" applyBorder="1"/>
    <xf numFmtId="0" fontId="3" fillId="0" borderId="38" xfId="0" applyFont="1" applyBorder="1"/>
    <xf numFmtId="0" fontId="10" fillId="6" borderId="90" xfId="0" applyFont="1" applyFill="1" applyBorder="1" applyAlignment="1">
      <alignment horizontal="center" vertical="center"/>
    </xf>
    <xf numFmtId="0" fontId="10" fillId="6" borderId="91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0" fontId="9" fillId="6" borderId="42" xfId="0" applyFont="1" applyFill="1" applyBorder="1" applyAlignment="1">
      <alignment horizontal="center"/>
    </xf>
    <xf numFmtId="0" fontId="9" fillId="6" borderId="43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4" fillId="0" borderId="4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12" fillId="9" borderId="40" xfId="3" applyFont="1" applyBorder="1" applyAlignment="1">
      <alignment horizontal="center" vertical="center"/>
    </xf>
    <xf numFmtId="0" fontId="12" fillId="9" borderId="0" xfId="3" applyFont="1" applyBorder="1" applyAlignment="1">
      <alignment horizontal="center" vertical="center"/>
    </xf>
    <xf numFmtId="0" fontId="12" fillId="9" borderId="65" xfId="3" applyFont="1" applyBorder="1" applyAlignment="1">
      <alignment horizontal="center" vertical="center"/>
    </xf>
    <xf numFmtId="0" fontId="12" fillId="9" borderId="66" xfId="3" applyFont="1" applyBorder="1" applyAlignment="1">
      <alignment horizontal="center" vertical="center"/>
    </xf>
    <xf numFmtId="0" fontId="3" fillId="0" borderId="48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3" fillId="0" borderId="78" xfId="0" applyFont="1" applyBorder="1" applyAlignment="1">
      <alignment horizontal="center"/>
    </xf>
    <xf numFmtId="0" fontId="3" fillId="17" borderId="79" xfId="0" applyFont="1" applyFill="1" applyBorder="1" applyAlignment="1">
      <alignment horizontal="center"/>
    </xf>
    <xf numFmtId="0" fontId="3" fillId="17" borderId="80" xfId="0" applyFont="1" applyFill="1" applyBorder="1" applyAlignment="1">
      <alignment horizontal="center"/>
    </xf>
    <xf numFmtId="0" fontId="15" fillId="3" borderId="72" xfId="0" applyFont="1" applyFill="1" applyBorder="1" applyAlignment="1">
      <alignment horizontal="center"/>
    </xf>
    <xf numFmtId="0" fontId="15" fillId="3" borderId="50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15" fillId="3" borderId="59" xfId="0" applyFont="1" applyFill="1" applyBorder="1" applyAlignment="1">
      <alignment horizontal="center"/>
    </xf>
    <xf numFmtId="0" fontId="15" fillId="3" borderId="4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3" fillId="13" borderId="11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16" fillId="0" borderId="10" xfId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16" fontId="16" fillId="0" borderId="1" xfId="1" applyNumberFormat="1" applyFont="1" applyFill="1" applyBorder="1" applyAlignment="1">
      <alignment horizontal="center"/>
    </xf>
    <xf numFmtId="0" fontId="1" fillId="6" borderId="81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6" borderId="8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7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3" fillId="13" borderId="87" xfId="0" applyFont="1" applyFill="1" applyBorder="1" applyAlignment="1">
      <alignment horizontal="center" vertical="center"/>
    </xf>
    <xf numFmtId="0" fontId="3" fillId="13" borderId="85" xfId="0" applyFont="1" applyFill="1" applyBorder="1" applyAlignment="1">
      <alignment horizontal="center" vertical="center"/>
    </xf>
    <xf numFmtId="0" fontId="3" fillId="0" borderId="85" xfId="0" applyFont="1" applyBorder="1" applyAlignment="1">
      <alignment horizontal="left"/>
    </xf>
    <xf numFmtId="0" fontId="15" fillId="3" borderId="85" xfId="0" applyFont="1" applyFill="1" applyBorder="1" applyAlignment="1">
      <alignment horizontal="center"/>
    </xf>
    <xf numFmtId="0" fontId="16" fillId="0" borderId="85" xfId="1" applyFont="1" applyFill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8" fillId="13" borderId="97" xfId="0" applyFont="1" applyFill="1" applyBorder="1" applyAlignment="1">
      <alignment horizontal="left" vertical="center"/>
    </xf>
    <xf numFmtId="0" fontId="0" fillId="13" borderId="98" xfId="0" applyFill="1" applyBorder="1" applyAlignment="1">
      <alignment horizontal="left" vertical="center"/>
    </xf>
    <xf numFmtId="0" fontId="3" fillId="0" borderId="73" xfId="0" applyFont="1" applyBorder="1" applyAlignment="1">
      <alignment horizontal="left"/>
    </xf>
    <xf numFmtId="0" fontId="9" fillId="6" borderId="79" xfId="0" applyFont="1" applyFill="1" applyBorder="1" applyAlignment="1">
      <alignment horizontal="center"/>
    </xf>
    <xf numFmtId="0" fontId="9" fillId="6" borderId="80" xfId="0" applyFont="1" applyFill="1" applyBorder="1" applyAlignment="1">
      <alignment horizontal="center"/>
    </xf>
    <xf numFmtId="0" fontId="9" fillId="6" borderId="102" xfId="0" applyFont="1" applyFill="1" applyBorder="1" applyAlignment="1">
      <alignment horizontal="center"/>
    </xf>
    <xf numFmtId="0" fontId="9" fillId="6" borderId="103" xfId="0" applyFont="1" applyFill="1" applyBorder="1" applyAlignment="1">
      <alignment horizontal="center"/>
    </xf>
    <xf numFmtId="0" fontId="9" fillId="6" borderId="104" xfId="0" applyFont="1" applyFill="1" applyBorder="1" applyAlignment="1">
      <alignment horizontal="center"/>
    </xf>
    <xf numFmtId="0" fontId="9" fillId="6" borderId="105" xfId="0" applyFont="1" applyFill="1" applyBorder="1" applyAlignment="1">
      <alignment horizontal="center"/>
    </xf>
    <xf numFmtId="0" fontId="9" fillId="6" borderId="106" xfId="0" applyFont="1" applyFill="1" applyBorder="1" applyAlignment="1">
      <alignment horizontal="center"/>
    </xf>
    <xf numFmtId="0" fontId="13" fillId="3" borderId="101" xfId="0" applyFont="1" applyFill="1" applyBorder="1" applyAlignment="1">
      <alignment horizontal="center"/>
    </xf>
    <xf numFmtId="0" fontId="6" fillId="4" borderId="107" xfId="0" applyFont="1" applyFill="1" applyBorder="1" applyAlignment="1">
      <alignment horizontal="center"/>
    </xf>
    <xf numFmtId="0" fontId="6" fillId="4" borderId="108" xfId="0" applyFont="1" applyFill="1" applyBorder="1" applyAlignment="1">
      <alignment horizontal="center"/>
    </xf>
    <xf numFmtId="0" fontId="6" fillId="4" borderId="109" xfId="0" applyFont="1" applyFill="1" applyBorder="1" applyAlignment="1">
      <alignment horizontal="center"/>
    </xf>
    <xf numFmtId="0" fontId="3" fillId="0" borderId="67" xfId="0" applyFont="1" applyBorder="1" applyAlignment="1">
      <alignment horizontal="left"/>
    </xf>
    <xf numFmtId="0" fontId="3" fillId="0" borderId="99" xfId="0" applyFont="1" applyBorder="1" applyAlignment="1">
      <alignment horizontal="left"/>
    </xf>
    <xf numFmtId="0" fontId="3" fillId="0" borderId="100" xfId="0" applyFont="1" applyBorder="1" applyAlignment="1">
      <alignment horizontal="left"/>
    </xf>
    <xf numFmtId="0" fontId="3" fillId="0" borderId="5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7" xfId="0" applyFont="1" applyBorder="1"/>
    <xf numFmtId="0" fontId="3" fillId="0" borderId="48" xfId="0" applyFont="1" applyBorder="1"/>
    <xf numFmtId="0" fontId="3" fillId="0" borderId="75" xfId="0" applyFont="1" applyBorder="1"/>
    <xf numFmtId="0" fontId="8" fillId="14" borderId="40" xfId="0" applyFont="1" applyFill="1" applyBorder="1" applyAlignment="1">
      <alignment horizontal="left" vertical="center"/>
    </xf>
    <xf numFmtId="0" fontId="8" fillId="14" borderId="0" xfId="0" applyFont="1" applyFill="1" applyAlignment="1">
      <alignment horizontal="left" vertic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24" xfId="0" applyFont="1" applyBorder="1" applyAlignment="1">
      <alignment horizontal="center"/>
    </xf>
    <xf numFmtId="0" fontId="24" fillId="0" borderId="66" xfId="0" applyFont="1" applyBorder="1" applyAlignment="1">
      <alignment horizontal="center"/>
    </xf>
    <xf numFmtId="0" fontId="3" fillId="0" borderId="105" xfId="0" applyFont="1" applyBorder="1" applyAlignment="1">
      <alignment horizontal="right" vertical="center"/>
    </xf>
    <xf numFmtId="0" fontId="3" fillId="0" borderId="63" xfId="0" applyFont="1" applyBorder="1" applyAlignment="1">
      <alignment horizontal="right" vertical="center"/>
    </xf>
    <xf numFmtId="0" fontId="8" fillId="0" borderId="7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8" xfId="0" applyBorder="1" applyAlignment="1">
      <alignment horizontal="center"/>
    </xf>
    <xf numFmtId="0" fontId="8" fillId="0" borderId="7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13" borderId="97" xfId="0" applyFont="1" applyFill="1" applyBorder="1" applyAlignment="1">
      <alignment horizontal="center" vertical="center"/>
    </xf>
    <xf numFmtId="0" fontId="8" fillId="13" borderId="98" xfId="0" applyFont="1" applyFill="1" applyBorder="1" applyAlignment="1">
      <alignment horizontal="center" vertical="center"/>
    </xf>
    <xf numFmtId="0" fontId="1" fillId="6" borderId="111" xfId="0" applyFont="1" applyFill="1" applyBorder="1" applyAlignment="1">
      <alignment horizontal="center" vertical="center"/>
    </xf>
    <xf numFmtId="0" fontId="1" fillId="6" borderId="89" xfId="0" applyFont="1" applyFill="1" applyBorder="1" applyAlignment="1">
      <alignment horizontal="center" vertical="center"/>
    </xf>
    <xf numFmtId="0" fontId="1" fillId="6" borderId="93" xfId="0" applyFont="1" applyFill="1" applyBorder="1" applyAlignment="1">
      <alignment horizontal="center" vertical="center"/>
    </xf>
    <xf numFmtId="0" fontId="9" fillId="6" borderId="110" xfId="0" applyFont="1" applyFill="1" applyBorder="1" applyAlignment="1">
      <alignment horizontal="center"/>
    </xf>
    <xf numFmtId="0" fontId="9" fillId="6" borderId="113" xfId="0" applyFont="1" applyFill="1" applyBorder="1" applyAlignment="1">
      <alignment horizontal="center"/>
    </xf>
    <xf numFmtId="0" fontId="9" fillId="6" borderId="50" xfId="0" applyFont="1" applyFill="1" applyBorder="1" applyAlignment="1">
      <alignment horizontal="center"/>
    </xf>
    <xf numFmtId="0" fontId="9" fillId="6" borderId="51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164" fontId="6" fillId="4" borderId="107" xfId="0" applyNumberFormat="1" applyFont="1" applyFill="1" applyBorder="1" applyAlignment="1">
      <alignment horizontal="center"/>
    </xf>
    <xf numFmtId="164" fontId="6" fillId="4" borderId="108" xfId="0" applyNumberFormat="1" applyFont="1" applyFill="1" applyBorder="1" applyAlignment="1">
      <alignment horizontal="center"/>
    </xf>
    <xf numFmtId="164" fontId="6" fillId="4" borderId="109" xfId="0" applyNumberFormat="1" applyFont="1" applyFill="1" applyBorder="1" applyAlignment="1">
      <alignment horizontal="center"/>
    </xf>
    <xf numFmtId="0" fontId="3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16" fontId="3" fillId="0" borderId="1" xfId="0" quotePrefix="1" applyNumberFormat="1" applyFont="1" applyBorder="1" applyAlignment="1">
      <alignment horizontal="center"/>
    </xf>
    <xf numFmtId="0" fontId="10" fillId="6" borderId="94" xfId="0" applyFont="1" applyFill="1" applyBorder="1" applyAlignment="1">
      <alignment horizontal="center" vertical="center"/>
    </xf>
    <xf numFmtId="0" fontId="10" fillId="6" borderId="95" xfId="0" applyFont="1" applyFill="1" applyBorder="1" applyAlignment="1">
      <alignment horizontal="center" vertical="center"/>
    </xf>
    <xf numFmtId="0" fontId="9" fillId="6" borderId="118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79" xfId="0" applyFont="1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8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4" fillId="0" borderId="79" xfId="0" applyFont="1" applyBorder="1" applyAlignment="1">
      <alignment horizontal="right" vertical="center"/>
    </xf>
    <xf numFmtId="0" fontId="24" fillId="0" borderId="70" xfId="0" applyFont="1" applyBorder="1" applyAlignment="1">
      <alignment horizontal="right" vertical="center"/>
    </xf>
    <xf numFmtId="0" fontId="18" fillId="0" borderId="114" xfId="0" applyFont="1" applyBorder="1" applyAlignment="1">
      <alignment horizontal="center" vertical="center"/>
    </xf>
    <xf numFmtId="0" fontId="18" fillId="0" borderId="115" xfId="0" applyFont="1" applyBorder="1" applyAlignment="1">
      <alignment horizontal="center" vertical="center"/>
    </xf>
    <xf numFmtId="0" fontId="18" fillId="0" borderId="116" xfId="0" applyFont="1" applyBorder="1" applyAlignment="1">
      <alignment horizontal="center" vertical="center"/>
    </xf>
    <xf numFmtId="0" fontId="8" fillId="0" borderId="79" xfId="0" applyFont="1" applyBorder="1" applyAlignment="1">
      <alignment horizontal="right" vertical="center"/>
    </xf>
    <xf numFmtId="0" fontId="0" fillId="0" borderId="70" xfId="0" applyBorder="1" applyAlignment="1">
      <alignment horizontal="right" vertical="center"/>
    </xf>
    <xf numFmtId="0" fontId="0" fillId="0" borderId="80" xfId="0" applyBorder="1" applyAlignment="1">
      <alignment horizontal="right" vertical="center"/>
    </xf>
    <xf numFmtId="0" fontId="8" fillId="14" borderId="102" xfId="0" applyFont="1" applyFill="1" applyBorder="1" applyAlignment="1">
      <alignment horizontal="center" vertical="center"/>
    </xf>
    <xf numFmtId="0" fontId="0" fillId="14" borderId="103" xfId="0" applyFill="1" applyBorder="1" applyAlignment="1">
      <alignment horizontal="center" vertical="center"/>
    </xf>
    <xf numFmtId="0" fontId="0" fillId="14" borderId="104" xfId="0" applyFill="1" applyBorder="1" applyAlignment="1">
      <alignment horizontal="center" vertical="center"/>
    </xf>
    <xf numFmtId="0" fontId="0" fillId="14" borderId="121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122" xfId="0" applyFill="1" applyBorder="1" applyAlignment="1">
      <alignment horizontal="center" vertical="center"/>
    </xf>
    <xf numFmtId="0" fontId="0" fillId="14" borderId="105" xfId="0" applyFill="1" applyBorder="1" applyAlignment="1">
      <alignment horizontal="center" vertical="center"/>
    </xf>
    <xf numFmtId="0" fontId="0" fillId="14" borderId="63" xfId="0" applyFill="1" applyBorder="1" applyAlignment="1">
      <alignment horizontal="center" vertical="center"/>
    </xf>
    <xf numFmtId="0" fontId="0" fillId="14" borderId="106" xfId="0" applyFill="1" applyBorder="1" applyAlignment="1">
      <alignment horizontal="center" vertical="center"/>
    </xf>
    <xf numFmtId="0" fontId="8" fillId="14" borderId="102" xfId="0" applyFont="1" applyFill="1" applyBorder="1" applyAlignment="1">
      <alignment horizontal="left" vertical="center" wrapText="1"/>
    </xf>
    <xf numFmtId="0" fontId="8" fillId="14" borderId="103" xfId="0" applyFont="1" applyFill="1" applyBorder="1" applyAlignment="1">
      <alignment horizontal="left" vertical="center" wrapText="1"/>
    </xf>
    <xf numFmtId="0" fontId="8" fillId="14" borderId="104" xfId="0" applyFont="1" applyFill="1" applyBorder="1" applyAlignment="1">
      <alignment horizontal="left" vertical="center" wrapText="1"/>
    </xf>
    <xf numFmtId="0" fontId="8" fillId="14" borderId="121" xfId="0" applyFont="1" applyFill="1" applyBorder="1" applyAlignment="1">
      <alignment horizontal="left" vertical="center" wrapText="1"/>
    </xf>
    <xf numFmtId="0" fontId="8" fillId="14" borderId="0" xfId="0" applyFont="1" applyFill="1" applyAlignment="1">
      <alignment horizontal="left" vertical="center" wrapText="1"/>
    </xf>
    <xf numFmtId="0" fontId="8" fillId="14" borderId="122" xfId="0" applyFont="1" applyFill="1" applyBorder="1" applyAlignment="1">
      <alignment horizontal="left" vertical="center" wrapText="1"/>
    </xf>
    <xf numFmtId="0" fontId="8" fillId="14" borderId="105" xfId="0" applyFont="1" applyFill="1" applyBorder="1" applyAlignment="1">
      <alignment horizontal="left" vertical="center" wrapText="1"/>
    </xf>
    <xf numFmtId="0" fontId="8" fillId="14" borderId="63" xfId="0" applyFont="1" applyFill="1" applyBorder="1" applyAlignment="1">
      <alignment horizontal="left" vertical="center" wrapText="1"/>
    </xf>
    <xf numFmtId="0" fontId="8" fillId="14" borderId="106" xfId="0" applyFont="1" applyFill="1" applyBorder="1" applyAlignment="1">
      <alignment horizontal="left" vertical="center" wrapText="1"/>
    </xf>
    <xf numFmtId="0" fontId="18" fillId="0" borderId="79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/>
    </xf>
    <xf numFmtId="0" fontId="18" fillId="0" borderId="80" xfId="0" applyFont="1" applyBorder="1" applyAlignment="1">
      <alignment horizontal="center" vertical="center"/>
    </xf>
    <xf numFmtId="0" fontId="8" fillId="0" borderId="79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80" xfId="0" applyFont="1" applyBorder="1" applyAlignment="1">
      <alignment horizontal="left" vertical="center"/>
    </xf>
    <xf numFmtId="0" fontId="8" fillId="0" borderId="114" xfId="0" applyFont="1" applyBorder="1" applyAlignment="1">
      <alignment horizontal="right" vertical="center"/>
    </xf>
    <xf numFmtId="0" fontId="0" fillId="0" borderId="116" xfId="0" applyBorder="1" applyAlignment="1">
      <alignment horizontal="right" vertical="center"/>
    </xf>
  </cellXfs>
  <cellStyles count="4">
    <cellStyle name="Bad" xfId="1" builtinId="27"/>
    <cellStyle name="Check Cell" xfId="2" builtinId="23"/>
    <cellStyle name="Good" xfId="3" builtinId="26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F3B8-08F0-49AE-A8DD-0CD8800F68F1}">
  <dimension ref="A1:X126"/>
  <sheetViews>
    <sheetView tabSelected="1" workbookViewId="0">
      <selection activeCell="K3" sqref="J3:K3"/>
    </sheetView>
  </sheetViews>
  <sheetFormatPr defaultRowHeight="12.75" x14ac:dyDescent="0.2"/>
  <cols>
    <col min="1" max="1" width="8.28515625" customWidth="1"/>
    <col min="2" max="2" width="28.42578125" customWidth="1"/>
    <col min="6" max="6" width="20.5703125" customWidth="1"/>
    <col min="12" max="12" width="9.28515625" customWidth="1"/>
    <col min="18" max="18" width="26.7109375" customWidth="1"/>
    <col min="20" max="20" width="30.140625" customWidth="1"/>
  </cols>
  <sheetData>
    <row r="1" spans="1:24" ht="13.5" thickBot="1" x14ac:dyDescent="0.25">
      <c r="A1" s="200" t="s">
        <v>420</v>
      </c>
      <c r="B1" s="200" t="s">
        <v>421</v>
      </c>
      <c r="C1" s="200" t="s">
        <v>422</v>
      </c>
      <c r="D1" s="200" t="s">
        <v>423</v>
      </c>
    </row>
    <row r="2" spans="1:24" ht="16.5" thickBot="1" x14ac:dyDescent="0.3">
      <c r="A2" s="241">
        <v>0</v>
      </c>
      <c r="B2" s="242" t="s">
        <v>406</v>
      </c>
      <c r="C2" s="133">
        <f>IF(AND(OR(B2=B78,B2=B73,B2=B74,B2=B79),G2="UPC"),INDEX(C58:C83,MATCH(B2,B58:B83,0)),IF(G2="ipc",INDEX(C28:C55,MATCH(B2,B28:B55,0))*A2,IF(G2="Upc",INDEX(C58:C83,MATCH(B2,B58:B83,0))*A2)))</f>
        <v>0</v>
      </c>
      <c r="D2" s="177">
        <f>IF(G2="ipc",INDEX(D28:D55,MATCH(B2,B28:B523,0)),IF(G2="Upc",INDEX(D58:D83,MATCH(B2,B58:B83,0))))*A2</f>
        <v>0</v>
      </c>
      <c r="F2" s="236" t="s">
        <v>424</v>
      </c>
      <c r="G2" s="235" t="s">
        <v>450</v>
      </c>
      <c r="M2" s="1"/>
      <c r="N2" s="1"/>
      <c r="O2" s="1"/>
      <c r="V2" s="1"/>
      <c r="W2" s="1"/>
      <c r="X2" s="1"/>
    </row>
    <row r="3" spans="1:24" ht="16.5" thickBot="1" x14ac:dyDescent="0.3">
      <c r="A3" s="238">
        <v>0</v>
      </c>
      <c r="B3" s="234" t="s">
        <v>382</v>
      </c>
      <c r="C3" s="133">
        <f>IF(AND(OR(B3=B78,B3=B73,B3=B74,B3=B79),G2="UPC"),INDEX(C58:C83,MATCH(B3,B58:B83,0)),IF(G2="ipc",INDEX(C28:C55,MATCH(B3,B28:B55,0))*A3,IF(G2="Upc",INDEX(C58:C83,MATCH(B3,B58:B83,0))*A3)))</f>
        <v>0</v>
      </c>
      <c r="D3" s="174">
        <f>IF(G2="ipc",INDEX(D28:D55,MATCH(B3,B28:B55,0)),IF(G2="Upc",INDEX(D58:D83,MATCH(B3,B58:B83,0))))*A3</f>
        <v>0</v>
      </c>
      <c r="F3" s="236" t="s">
        <v>427</v>
      </c>
      <c r="G3" s="235" t="s">
        <v>442</v>
      </c>
      <c r="H3" s="66" t="s">
        <v>93</v>
      </c>
      <c r="M3" s="1"/>
      <c r="N3" s="1"/>
      <c r="O3" s="1"/>
      <c r="V3" s="1"/>
      <c r="W3" s="1"/>
      <c r="X3" s="1"/>
    </row>
    <row r="4" spans="1:24" ht="16.5" thickBot="1" x14ac:dyDescent="0.3">
      <c r="A4" s="238">
        <v>0</v>
      </c>
      <c r="B4" s="234" t="s">
        <v>431</v>
      </c>
      <c r="C4" s="133">
        <f>IF(AND(OR(B4=B78,B4=B73,B4=B74,B4=B79),G2="UPC"),INDEX(C58:C83,MATCH(B4,B58:B83,0)),IF(G2="ipc",INDEX(C28:C55,MATCH(B4,B28:B55,0))*A4,IF(G2="Upc",INDEX(C58:C83,MATCH(B4,B58:B83,0))*A4)))</f>
        <v>0</v>
      </c>
      <c r="D4" s="174">
        <f>IF(G2="ipc",INDEX(D28:D55,MATCH(B4,B28:B55,0)),IF(G2="Upc",INDEX(D58:D83,MATCH(B4,B58:B83,0))))*A4</f>
        <v>0</v>
      </c>
      <c r="F4" s="236" t="s">
        <v>434</v>
      </c>
      <c r="G4" s="235">
        <v>100</v>
      </c>
      <c r="H4" s="66" t="s">
        <v>449</v>
      </c>
      <c r="M4" s="1"/>
      <c r="N4" s="1"/>
      <c r="O4" s="1"/>
      <c r="V4" s="1"/>
      <c r="W4" s="1"/>
      <c r="X4" s="1"/>
    </row>
    <row r="5" spans="1:24" ht="15.75" x14ac:dyDescent="0.25">
      <c r="A5" s="238">
        <v>0</v>
      </c>
      <c r="B5" s="234" t="s">
        <v>431</v>
      </c>
      <c r="C5" s="133">
        <f>IF(AND(OR(B5=B78,B5=B73,B5=B74,B5=B79),G2="UPC"),INDEX(C58:C83,MATCH(B5,B58:B83,0)),IF(G2="ipc",INDEX(C28:C55,MATCH(B5,B28:B55,0))*A5,IF(G2="Upc",INDEX(C58:C83,MATCH(B5,B58:B83,0))*A5)))</f>
        <v>0</v>
      </c>
      <c r="D5" s="174">
        <f>IF(G2="ipc",INDEX(D28:D55,MATCH(B5,B28:B55,0)),IF(G2="Upc",INDEX(D58:D83,MATCH(B5,B58:B83,0))))*A5</f>
        <v>0</v>
      </c>
      <c r="F5" s="248" t="s">
        <v>473</v>
      </c>
      <c r="G5" s="249"/>
      <c r="M5" s="1"/>
      <c r="N5" s="1"/>
      <c r="O5" s="1"/>
      <c r="V5" s="1"/>
      <c r="W5" s="1"/>
      <c r="X5" s="1"/>
    </row>
    <row r="6" spans="1:24" ht="16.5" thickBot="1" x14ac:dyDescent="0.3">
      <c r="A6" s="238">
        <v>0</v>
      </c>
      <c r="B6" s="234" t="s">
        <v>431</v>
      </c>
      <c r="C6" s="133">
        <f>IF(AND(OR(B6=B78,B6=B73,B6=B74,B6=B79),G2="UPC"),INDEX(C58:C83,MATCH(B6,B58:B83,0)),IF(G2="ipc",INDEX(C28:C55,MATCH(B6,B28:B55,0))*A6,IF(G2="Upc",INDEX(C58:C83,MATCH(B6,B58:B83,0))*A6)))</f>
        <v>0</v>
      </c>
      <c r="D6" s="174">
        <f>IF(G2="ipc",INDEX(D28:D55,MATCH(B6,B28:B55,0)),IF(G2="Upc",INDEX(D58:D83,MATCH(B6,B58:B83,0))))*A6</f>
        <v>0</v>
      </c>
      <c r="F6" s="250"/>
      <c r="G6" s="251"/>
      <c r="M6" s="1"/>
      <c r="N6" s="1"/>
      <c r="O6" s="1"/>
      <c r="V6" s="1"/>
      <c r="W6" s="1"/>
      <c r="X6" s="1"/>
    </row>
    <row r="7" spans="1:24" ht="15.75" x14ac:dyDescent="0.25">
      <c r="A7" s="238">
        <v>0</v>
      </c>
      <c r="B7" s="234" t="s">
        <v>431</v>
      </c>
      <c r="C7" s="133">
        <f>IF(AND(OR(B7=B78,B7=B73,B7=B74,B7=B79),G2="UPC"),INDEX(C58:C83,MATCH(B7,B58:B83,0)),IF(G2="ipc",INDEX(C28:C55,MATCH(B7,B28:B55,0))*A7,IF(G2="Upc",INDEX(C58:C83,MATCH(B7,B58:B83,0))*A7)))</f>
        <v>0</v>
      </c>
      <c r="D7" s="174">
        <f>IF(G2="ipc",INDEX(D28:D55,MATCH(B7,B28:B55,0)),IF(G2="Upc",INDEX(D58:D83,MATCH(B7,B58:B83,0))))*A7</f>
        <v>0</v>
      </c>
      <c r="F7" s="129"/>
      <c r="G7" s="129"/>
      <c r="M7" s="1"/>
      <c r="N7" s="1"/>
      <c r="O7" s="1"/>
      <c r="V7" s="1"/>
      <c r="W7" s="1"/>
      <c r="X7" s="1"/>
    </row>
    <row r="8" spans="1:24" ht="15.75" x14ac:dyDescent="0.25">
      <c r="A8" s="238">
        <v>0</v>
      </c>
      <c r="B8" s="234" t="s">
        <v>431</v>
      </c>
      <c r="C8" s="133">
        <f>IF(AND(OR(B8=B78,B8=B73,B8=B74,B8=B79),G2="UPC"),INDEX(C58:C83,MATCH(B8,B58:B83,0)),IF(G2="ipc",INDEX(C28:C55,MATCH(B8,B28:B55,0))*A8,IF(G2="Upc",INDEX(C58:C83,MATCH(B8,B58:B83,0))*A8)))</f>
        <v>0</v>
      </c>
      <c r="D8" s="174">
        <f>IF(G2="ipc",INDEX(D28:D55,MATCH(B8,B28:B55,0)),IF(G2="Upc",INDEX(D58:D83,MATCH(B8,B58:B83,0))))*A8</f>
        <v>0</v>
      </c>
      <c r="F8" s="129"/>
      <c r="G8" s="129"/>
      <c r="H8" s="66"/>
      <c r="M8" s="1"/>
      <c r="N8" s="1"/>
      <c r="O8" s="1"/>
      <c r="V8" s="1"/>
      <c r="W8" s="1"/>
      <c r="X8" s="1"/>
    </row>
    <row r="9" spans="1:24" ht="15.75" x14ac:dyDescent="0.25">
      <c r="A9" s="238">
        <v>0</v>
      </c>
      <c r="B9" s="234" t="s">
        <v>431</v>
      </c>
      <c r="C9" s="133">
        <f>IF(AND(OR(B9=B78,B9=B73,B9=B74,B9=B79),G2="UPC"),INDEX(C58:C83,MATCH(B9,B58:B83,0)),IF(G2="ipc",INDEX(C28:C55,MATCH(B9,B28:B55,0))*A9,IF(G2="Upc",INDEX(C58:C83,MATCH(B9,B58:B83,0))*A9)))</f>
        <v>0</v>
      </c>
      <c r="D9" s="174">
        <f>IF(G2="ipc",INDEX(D28:D55,MATCH(B9,B28:B55,0)),IF(G2="Upc",INDEX(D58:D83,MATCH(B9,B58:B83,0))))*A9</f>
        <v>0</v>
      </c>
      <c r="M9" s="1"/>
      <c r="N9" s="1"/>
      <c r="O9" s="1"/>
      <c r="V9" s="1"/>
      <c r="W9" s="1"/>
      <c r="X9" s="1"/>
    </row>
    <row r="10" spans="1:24" ht="15.75" x14ac:dyDescent="0.25">
      <c r="A10" s="238">
        <v>0</v>
      </c>
      <c r="B10" s="234" t="s">
        <v>431</v>
      </c>
      <c r="C10" s="133">
        <f>IF(AND(OR(B10=B78,B10=B73,B10=B74,B10=B79),G2="UPC"),INDEX(C58:C83,MATCH(B10,B58:B83,0)),IF(G2="ipc",INDEX(C28:C55,MATCH(B10,B28:B55,0))*A10,IF(G2="Upc",INDEX(C58:C83,MATCH(B10,B58:B83,0))*A10)))</f>
        <v>0</v>
      </c>
      <c r="D10" s="174">
        <f>IF(G2="ipc",INDEX(D28:D55,MATCH(B10,B28:B55,0)),IF(G2="Upc",INDEX(D58:D83,MATCH(B10,B58:B83,0))))*A10</f>
        <v>0</v>
      </c>
      <c r="M10" s="1"/>
      <c r="N10" s="1"/>
      <c r="O10" s="1"/>
      <c r="V10" s="1"/>
      <c r="W10" s="1"/>
      <c r="X10" s="1"/>
    </row>
    <row r="11" spans="1:24" ht="16.5" thickBot="1" x14ac:dyDescent="0.3">
      <c r="A11" s="239">
        <v>0</v>
      </c>
      <c r="B11" s="240" t="s">
        <v>431</v>
      </c>
      <c r="C11" s="152">
        <f>IF(AND(OR(B11=B78,B11=B73,B11=B74,B11=B79),G2="UPC"),INDEX(C58:C83,MATCH(B11,B58:B83,0)),IF(G2="ipc",INDEX(C28:C55,MATCH(B11,B28:B55,0))*A11,IF(G2="Upc",INDEX(C58:C83,MATCH(B11,B58:B83,0))*A11)))</f>
        <v>0</v>
      </c>
      <c r="D11" s="153">
        <f>IF(G2="ipc",INDEX(D28:D55,MATCH(B11,B28:B55,0)),IF(G2="Upc",INDEX(D58:D83,MATCH(B11,B58:B83,0))))*A11</f>
        <v>0</v>
      </c>
      <c r="M11" s="1"/>
      <c r="N11" s="1"/>
      <c r="O11" s="1"/>
      <c r="V11" s="1"/>
      <c r="W11" s="1"/>
      <c r="X11" s="1"/>
    </row>
    <row r="12" spans="1:24" ht="15.75" x14ac:dyDescent="0.25">
      <c r="A12" s="252" t="s">
        <v>433</v>
      </c>
      <c r="B12" s="253"/>
      <c r="C12" s="243">
        <f>SUM(C2:C11)</f>
        <v>0</v>
      </c>
      <c r="D12" s="177">
        <f>SUM(D2:D11)</f>
        <v>0</v>
      </c>
      <c r="M12" s="1"/>
      <c r="N12" s="1"/>
      <c r="O12" s="1"/>
      <c r="V12" s="1"/>
      <c r="W12" s="1"/>
      <c r="X12" s="1"/>
    </row>
    <row r="13" spans="1:24" ht="16.5" thickBot="1" x14ac:dyDescent="0.3">
      <c r="A13" s="254" t="s">
        <v>464</v>
      </c>
      <c r="B13" s="255"/>
      <c r="C13" s="244">
        <f>IF(C12=0,0,INDEX(C114:L114,MATCH(G4,C107:L107,0)))</f>
        <v>0</v>
      </c>
      <c r="D13" s="153">
        <f>IF(G2="IPC",B103,A103)</f>
        <v>0</v>
      </c>
      <c r="M13" s="1"/>
      <c r="N13" s="1"/>
      <c r="O13" s="1"/>
      <c r="V13" s="1"/>
      <c r="W13" s="1"/>
      <c r="X13" s="1"/>
    </row>
    <row r="14" spans="1:24" ht="15.75" x14ac:dyDescent="0.25">
      <c r="A14" s="257" t="str">
        <f>IF(G2="ipc","Inlet and Main Waste are based on "&amp;F41&amp;" and "&amp;F44&amp;" with a total developed pipe length of "&amp;G4&amp;" feet and PSI rating of "&amp;G3&amp;".",IF(G2="upc","Inlet and Main Waste are based on "&amp;G41&amp;" and "&amp;G44&amp;" with a total developed pipe length of "&amp;G4&amp;" feet and a PSI rating of "&amp;G3&amp;".",""))</f>
        <v>Inlet and Main Waste are based on Table E201.1 and Table 710.1(1) with a total developed pipe length of 100 feet and PSI rating of 30-39.</v>
      </c>
      <c r="B14" s="258"/>
      <c r="C14" s="258"/>
      <c r="D14" s="259"/>
      <c r="M14" s="1"/>
      <c r="N14" s="1"/>
      <c r="O14" s="1"/>
      <c r="V14" s="1"/>
      <c r="W14" s="1"/>
      <c r="X14" s="1"/>
    </row>
    <row r="15" spans="1:24" ht="15.75" x14ac:dyDescent="0.25">
      <c r="A15" s="260"/>
      <c r="B15" s="261"/>
      <c r="C15" s="261"/>
      <c r="D15" s="262"/>
      <c r="M15" s="1"/>
      <c r="N15" s="1"/>
      <c r="O15" s="1"/>
      <c r="V15" s="1"/>
      <c r="W15" s="1"/>
      <c r="X15" s="1"/>
    </row>
    <row r="16" spans="1:24" ht="16.5" thickBot="1" x14ac:dyDescent="0.3">
      <c r="A16" s="263"/>
      <c r="B16" s="264"/>
      <c r="C16" s="264"/>
      <c r="D16" s="265"/>
      <c r="M16" s="1"/>
      <c r="N16" s="1"/>
      <c r="O16" s="1"/>
      <c r="V16" s="1"/>
      <c r="W16" s="1"/>
      <c r="X16" s="1"/>
    </row>
    <row r="17" spans="2:24" ht="15.75" x14ac:dyDescent="0.25">
      <c r="M17" s="1"/>
      <c r="N17" s="1"/>
      <c r="O17" s="1"/>
      <c r="V17" s="1"/>
      <c r="W17" s="1"/>
      <c r="X17" s="1"/>
    </row>
    <row r="18" spans="2:24" ht="15.75" x14ac:dyDescent="0.25">
      <c r="M18" s="1"/>
      <c r="N18" s="1"/>
      <c r="O18" s="1"/>
      <c r="V18" s="1"/>
      <c r="W18" s="1"/>
      <c r="X18" s="1"/>
    </row>
    <row r="19" spans="2:24" ht="15.75" x14ac:dyDescent="0.25">
      <c r="M19" s="1"/>
      <c r="N19" s="1"/>
      <c r="O19" s="1"/>
      <c r="V19" s="1"/>
      <c r="W19" s="1"/>
      <c r="X19" s="1"/>
    </row>
    <row r="20" spans="2:24" ht="15.75" x14ac:dyDescent="0.25">
      <c r="M20" s="1"/>
      <c r="N20" s="1"/>
      <c r="O20" s="1"/>
      <c r="V20" s="1"/>
      <c r="W20" s="1"/>
      <c r="X20" s="1"/>
    </row>
    <row r="21" spans="2:24" ht="15.75" x14ac:dyDescent="0.25">
      <c r="M21" s="1"/>
      <c r="N21" s="1"/>
      <c r="O21" s="1"/>
    </row>
    <row r="22" spans="2:24" ht="15.75" x14ac:dyDescent="0.25">
      <c r="M22" s="1"/>
      <c r="N22" s="1"/>
      <c r="O22" s="1"/>
    </row>
    <row r="23" spans="2:24" ht="15.75" x14ac:dyDescent="0.25">
      <c r="M23" s="1"/>
      <c r="N23" s="1"/>
      <c r="O23" s="1"/>
    </row>
    <row r="24" spans="2:24" ht="15.75" x14ac:dyDescent="0.25">
      <c r="M24" s="1"/>
      <c r="N24" s="1"/>
      <c r="O24" s="1"/>
    </row>
    <row r="25" spans="2:24" ht="15.75" x14ac:dyDescent="0.25">
      <c r="M25" s="1"/>
      <c r="N25" s="1"/>
      <c r="O25" s="1"/>
    </row>
    <row r="27" spans="2:24" hidden="1" x14ac:dyDescent="0.2">
      <c r="B27" s="256" t="s">
        <v>425</v>
      </c>
      <c r="C27" s="256"/>
      <c r="D27" s="256"/>
      <c r="F27" s="66" t="s">
        <v>441</v>
      </c>
      <c r="G27" s="66" t="s">
        <v>445</v>
      </c>
      <c r="J27" s="66" t="s">
        <v>448</v>
      </c>
    </row>
    <row r="28" spans="2:24" ht="15.75" hidden="1" x14ac:dyDescent="0.25">
      <c r="B28" s="103" t="s">
        <v>431</v>
      </c>
      <c r="C28" s="232">
        <v>0</v>
      </c>
      <c r="D28" s="131">
        <v>0</v>
      </c>
      <c r="F28" s="66" t="s">
        <v>442</v>
      </c>
      <c r="G28" s="66" t="s">
        <v>446</v>
      </c>
      <c r="J28">
        <v>40</v>
      </c>
    </row>
    <row r="29" spans="2:24" ht="15.75" hidden="1" x14ac:dyDescent="0.25">
      <c r="B29" s="103" t="s">
        <v>102</v>
      </c>
      <c r="C29" s="232">
        <v>1.4</v>
      </c>
      <c r="D29" s="131">
        <v>2</v>
      </c>
      <c r="F29" s="66" t="s">
        <v>443</v>
      </c>
      <c r="G29" s="66" t="s">
        <v>447</v>
      </c>
      <c r="J29">
        <v>60</v>
      </c>
    </row>
    <row r="30" spans="2:24" ht="15.75" hidden="1" x14ac:dyDescent="0.25">
      <c r="B30" s="103" t="s">
        <v>103</v>
      </c>
      <c r="C30" s="232">
        <v>4</v>
      </c>
      <c r="D30" s="131">
        <v>2</v>
      </c>
      <c r="F30" s="66" t="s">
        <v>444</v>
      </c>
      <c r="J30">
        <v>80</v>
      </c>
    </row>
    <row r="31" spans="2:24" ht="15.75" hidden="1" x14ac:dyDescent="0.25">
      <c r="B31" s="103" t="s">
        <v>114</v>
      </c>
      <c r="C31" s="232">
        <v>4</v>
      </c>
      <c r="D31" s="131">
        <v>3</v>
      </c>
      <c r="J31">
        <v>100</v>
      </c>
    </row>
    <row r="32" spans="2:24" ht="15.75" hidden="1" x14ac:dyDescent="0.25">
      <c r="B32" s="103" t="s">
        <v>42</v>
      </c>
      <c r="C32" s="232">
        <v>1.4</v>
      </c>
      <c r="D32" s="131">
        <v>2</v>
      </c>
      <c r="J32">
        <v>150</v>
      </c>
    </row>
    <row r="33" spans="2:10" ht="15.75" hidden="1" x14ac:dyDescent="0.25">
      <c r="B33" s="103" t="s">
        <v>17</v>
      </c>
      <c r="C33" s="232">
        <v>0.25</v>
      </c>
      <c r="D33" s="131">
        <v>0.5</v>
      </c>
      <c r="J33">
        <v>200</v>
      </c>
    </row>
    <row r="34" spans="2:10" ht="15.75" hidden="1" x14ac:dyDescent="0.25">
      <c r="B34" s="103" t="s">
        <v>384</v>
      </c>
      <c r="C34" s="232">
        <v>1.4</v>
      </c>
      <c r="D34" s="131">
        <v>2</v>
      </c>
      <c r="J34">
        <v>250</v>
      </c>
    </row>
    <row r="35" spans="2:10" ht="15.75" hidden="1" x14ac:dyDescent="0.25">
      <c r="B35" s="103" t="s">
        <v>456</v>
      </c>
      <c r="C35" s="232">
        <v>4</v>
      </c>
      <c r="D35" s="131">
        <v>2</v>
      </c>
      <c r="J35">
        <v>300</v>
      </c>
    </row>
    <row r="36" spans="2:10" ht="15.75" hidden="1" x14ac:dyDescent="0.25">
      <c r="B36" s="103" t="s">
        <v>385</v>
      </c>
      <c r="C36" s="232">
        <v>4</v>
      </c>
      <c r="D36" s="131">
        <v>2</v>
      </c>
      <c r="J36">
        <v>400</v>
      </c>
    </row>
    <row r="37" spans="2:10" ht="15.75" hidden="1" x14ac:dyDescent="0.25">
      <c r="B37" s="103" t="s">
        <v>405</v>
      </c>
      <c r="C37" s="232">
        <v>0.7</v>
      </c>
      <c r="D37" s="131">
        <v>1</v>
      </c>
      <c r="J37">
        <v>500</v>
      </c>
    </row>
    <row r="38" spans="2:10" ht="15.75" hidden="1" x14ac:dyDescent="0.25">
      <c r="B38" s="103" t="s">
        <v>406</v>
      </c>
      <c r="C38" s="232">
        <v>2</v>
      </c>
      <c r="D38" s="131">
        <v>1</v>
      </c>
    </row>
    <row r="39" spans="2:10" ht="15.75" hidden="1" x14ac:dyDescent="0.25">
      <c r="B39" s="103" t="s">
        <v>455</v>
      </c>
      <c r="C39" s="232">
        <v>3</v>
      </c>
      <c r="D39" s="131">
        <v>2</v>
      </c>
    </row>
    <row r="40" spans="2:10" ht="15.75" hidden="1" x14ac:dyDescent="0.25">
      <c r="B40" s="103" t="s">
        <v>452</v>
      </c>
      <c r="C40" s="232">
        <v>4</v>
      </c>
      <c r="D40" s="131">
        <v>2</v>
      </c>
      <c r="F40" t="s">
        <v>466</v>
      </c>
      <c r="G40" t="s">
        <v>467</v>
      </c>
    </row>
    <row r="41" spans="2:10" ht="15.75" hidden="1" x14ac:dyDescent="0.25">
      <c r="B41" s="103" t="s">
        <v>453</v>
      </c>
      <c r="C41" s="232">
        <v>1.4</v>
      </c>
      <c r="D41" s="131">
        <v>2</v>
      </c>
      <c r="F41" t="s">
        <v>465</v>
      </c>
      <c r="G41" t="s">
        <v>468</v>
      </c>
    </row>
    <row r="42" spans="2:10" ht="15.75" hidden="1" x14ac:dyDescent="0.25">
      <c r="B42" s="103" t="s">
        <v>476</v>
      </c>
      <c r="C42" s="232">
        <v>4</v>
      </c>
      <c r="D42" s="131">
        <v>2</v>
      </c>
    </row>
    <row r="43" spans="2:10" ht="15.75" hidden="1" x14ac:dyDescent="0.25">
      <c r="B43" s="103" t="s">
        <v>484</v>
      </c>
      <c r="C43" s="232">
        <v>5</v>
      </c>
      <c r="D43" s="131">
        <v>4</v>
      </c>
      <c r="F43" t="s">
        <v>469</v>
      </c>
      <c r="G43" t="s">
        <v>470</v>
      </c>
    </row>
    <row r="44" spans="2:10" ht="15.75" hidden="1" x14ac:dyDescent="0.25">
      <c r="B44" s="103" t="s">
        <v>485</v>
      </c>
      <c r="C44" s="232">
        <v>5</v>
      </c>
      <c r="D44" s="131">
        <v>2</v>
      </c>
      <c r="F44" t="s">
        <v>472</v>
      </c>
      <c r="G44" t="s">
        <v>471</v>
      </c>
    </row>
    <row r="45" spans="2:10" ht="15.75" hidden="1" x14ac:dyDescent="0.25">
      <c r="B45" s="103" t="s">
        <v>479</v>
      </c>
      <c r="C45" s="232">
        <v>0</v>
      </c>
      <c r="D45" s="131">
        <v>2</v>
      </c>
    </row>
    <row r="46" spans="2:10" ht="15.75" hidden="1" x14ac:dyDescent="0.25">
      <c r="B46" s="103" t="s">
        <v>481</v>
      </c>
      <c r="C46" s="232">
        <v>1.4</v>
      </c>
      <c r="D46" s="131">
        <v>3</v>
      </c>
    </row>
    <row r="47" spans="2:10" ht="15.75" hidden="1" x14ac:dyDescent="0.25">
      <c r="B47" s="103" t="s">
        <v>482</v>
      </c>
      <c r="C47" s="232">
        <v>3</v>
      </c>
      <c r="D47" s="131">
        <v>3</v>
      </c>
    </row>
    <row r="48" spans="2:10" ht="15.75" hidden="1" x14ac:dyDescent="0.25">
      <c r="B48" s="103" t="s">
        <v>483</v>
      </c>
      <c r="C48" s="232">
        <v>4</v>
      </c>
      <c r="D48" s="131">
        <v>3</v>
      </c>
    </row>
    <row r="49" spans="2:5" ht="15.75" hidden="1" x14ac:dyDescent="0.25">
      <c r="B49" s="103" t="s">
        <v>381</v>
      </c>
      <c r="C49" s="232">
        <v>6</v>
      </c>
      <c r="D49" s="131">
        <v>4</v>
      </c>
    </row>
    <row r="50" spans="2:5" ht="15.75" hidden="1" x14ac:dyDescent="0.25">
      <c r="B50" s="7" t="s">
        <v>382</v>
      </c>
      <c r="C50" s="232">
        <v>10</v>
      </c>
      <c r="D50" s="131">
        <v>4</v>
      </c>
    </row>
    <row r="51" spans="2:5" ht="15.75" hidden="1" x14ac:dyDescent="0.25">
      <c r="B51" s="103" t="s">
        <v>451</v>
      </c>
      <c r="C51" s="232">
        <v>2.2000000000000002</v>
      </c>
      <c r="D51" s="131">
        <v>3</v>
      </c>
    </row>
    <row r="52" spans="2:5" ht="15.75" hidden="1" x14ac:dyDescent="0.25">
      <c r="B52" s="231" t="s">
        <v>426</v>
      </c>
      <c r="C52" s="232">
        <v>5</v>
      </c>
      <c r="D52" s="131">
        <v>4</v>
      </c>
    </row>
    <row r="53" spans="2:5" ht="15.75" hidden="1" x14ac:dyDescent="0.25">
      <c r="B53" s="103" t="s">
        <v>31</v>
      </c>
      <c r="C53" s="232">
        <v>0.25</v>
      </c>
      <c r="D53" s="131">
        <v>2</v>
      </c>
    </row>
    <row r="54" spans="2:5" ht="15.75" hidden="1" x14ac:dyDescent="0.25">
      <c r="B54" s="103" t="s">
        <v>480</v>
      </c>
      <c r="C54" s="232">
        <v>0.25</v>
      </c>
      <c r="D54" s="131">
        <v>2</v>
      </c>
    </row>
    <row r="55" spans="2:5" ht="15.75" hidden="1" x14ac:dyDescent="0.25">
      <c r="B55" s="103" t="s">
        <v>105</v>
      </c>
      <c r="C55" s="232">
        <v>5</v>
      </c>
      <c r="D55" s="131">
        <v>0</v>
      </c>
    </row>
    <row r="56" spans="2:5" hidden="1" x14ac:dyDescent="0.2"/>
    <row r="57" spans="2:5" ht="15.75" hidden="1" x14ac:dyDescent="0.25">
      <c r="B57" s="256" t="s">
        <v>428</v>
      </c>
      <c r="C57" s="256"/>
      <c r="D57" s="256"/>
      <c r="E57" s="233"/>
    </row>
    <row r="58" spans="2:5" ht="15.75" hidden="1" x14ac:dyDescent="0.25">
      <c r="B58" s="103" t="s">
        <v>431</v>
      </c>
      <c r="C58" s="103">
        <v>0</v>
      </c>
      <c r="D58" s="103">
        <v>0</v>
      </c>
      <c r="E58" s="233"/>
    </row>
    <row r="59" spans="2:5" ht="15.75" hidden="1" x14ac:dyDescent="0.25">
      <c r="B59" s="103" t="s">
        <v>40</v>
      </c>
      <c r="C59" s="103">
        <v>2</v>
      </c>
      <c r="D59" s="103">
        <v>2</v>
      </c>
      <c r="E59" s="233"/>
    </row>
    <row r="60" spans="2:5" ht="15.75" hidden="1" x14ac:dyDescent="0.25">
      <c r="B60" s="103" t="s">
        <v>440</v>
      </c>
      <c r="C60" s="103">
        <v>4</v>
      </c>
      <c r="D60" s="103">
        <v>2</v>
      </c>
      <c r="E60" s="233"/>
    </row>
    <row r="61" spans="2:5" ht="15.75" hidden="1" x14ac:dyDescent="0.25">
      <c r="B61" s="103" t="s">
        <v>475</v>
      </c>
      <c r="C61" s="103">
        <v>1.5</v>
      </c>
      <c r="D61" s="103">
        <v>2</v>
      </c>
      <c r="E61" s="233"/>
    </row>
    <row r="62" spans="2:5" ht="15.75" hidden="1" x14ac:dyDescent="0.25">
      <c r="B62" s="103" t="s">
        <v>117</v>
      </c>
      <c r="C62" s="103">
        <v>0.5</v>
      </c>
      <c r="D62" s="103">
        <v>0.5</v>
      </c>
      <c r="E62" s="233"/>
    </row>
    <row r="63" spans="2:5" ht="15.75" hidden="1" x14ac:dyDescent="0.25">
      <c r="B63" s="103" t="s">
        <v>118</v>
      </c>
      <c r="C63" s="103">
        <v>0.75</v>
      </c>
      <c r="D63" s="103">
        <v>1</v>
      </c>
      <c r="E63" s="233"/>
    </row>
    <row r="64" spans="2:5" ht="15.75" hidden="1" x14ac:dyDescent="0.25">
      <c r="B64" s="103" t="s">
        <v>47</v>
      </c>
      <c r="C64" s="103">
        <v>1.5</v>
      </c>
      <c r="D64" s="103">
        <v>2</v>
      </c>
      <c r="E64" s="233"/>
    </row>
    <row r="65" spans="2:6" ht="15.75" hidden="1" x14ac:dyDescent="0.25">
      <c r="B65" s="103" t="s">
        <v>405</v>
      </c>
      <c r="C65" s="103">
        <v>1</v>
      </c>
      <c r="D65" s="103">
        <v>1</v>
      </c>
      <c r="E65" s="233"/>
    </row>
    <row r="66" spans="2:6" ht="15.75" hidden="1" x14ac:dyDescent="0.25">
      <c r="B66" s="103" t="s">
        <v>406</v>
      </c>
      <c r="C66" s="103">
        <v>1</v>
      </c>
      <c r="D66" s="103">
        <v>1</v>
      </c>
      <c r="E66" s="233"/>
    </row>
    <row r="67" spans="2:6" ht="15.75" hidden="1" x14ac:dyDescent="0.25">
      <c r="B67" s="103" t="s">
        <v>457</v>
      </c>
      <c r="C67" s="103">
        <v>3</v>
      </c>
      <c r="D67" s="103">
        <v>3</v>
      </c>
      <c r="E67" s="233"/>
    </row>
    <row r="68" spans="2:6" ht="15.75" hidden="1" x14ac:dyDescent="0.25">
      <c r="B68" s="103" t="s">
        <v>458</v>
      </c>
      <c r="C68" s="103">
        <v>3</v>
      </c>
      <c r="D68" s="103">
        <v>3</v>
      </c>
      <c r="E68" s="233"/>
    </row>
    <row r="69" spans="2:6" ht="15.75" hidden="1" x14ac:dyDescent="0.25">
      <c r="B69" s="103" t="s">
        <v>454</v>
      </c>
      <c r="C69" s="103">
        <v>3</v>
      </c>
      <c r="D69" s="103">
        <v>2</v>
      </c>
      <c r="E69" s="233"/>
    </row>
    <row r="70" spans="2:6" ht="15.75" hidden="1" x14ac:dyDescent="0.25">
      <c r="B70" s="103" t="s">
        <v>459</v>
      </c>
      <c r="C70" s="103">
        <v>3</v>
      </c>
      <c r="D70" s="103">
        <v>3</v>
      </c>
      <c r="E70" s="233"/>
    </row>
    <row r="71" spans="2:6" ht="15.75" hidden="1" x14ac:dyDescent="0.25">
      <c r="B71" s="103" t="s">
        <v>474</v>
      </c>
      <c r="C71" s="103">
        <v>4</v>
      </c>
      <c r="D71" s="103">
        <v>4</v>
      </c>
      <c r="E71" s="233"/>
    </row>
    <row r="72" spans="2:6" ht="15.75" hidden="1" x14ac:dyDescent="0.25">
      <c r="B72" s="103" t="s">
        <v>452</v>
      </c>
      <c r="C72" s="103">
        <v>2</v>
      </c>
      <c r="D72" s="103">
        <v>2</v>
      </c>
      <c r="E72" s="233"/>
    </row>
    <row r="73" spans="2:6" ht="15.75" hidden="1" x14ac:dyDescent="0.25">
      <c r="B73" s="103" t="s">
        <v>435</v>
      </c>
      <c r="C73" s="132">
        <f>IF(AND(AND(B2=B73,G2="upc"),A2=1),20,IF(AND(AND(B2=B73,G2="upc"),A2=2),35,IF(AND(AND(B2=B73,G2="upc"),A2=3),45,IF(AND(AND(B2=B73,G2="upc"),A2=4),53,IF(AND(AND(B2=B73,G2="upc"),A2&gt;=5),(53+((A2-4)*5)),IF(AND(AND(B3=B73,G2="upc"),A3=1),20,IF(AND(AND(B3=B73,G2="upc"),A3=2),35,IF(AND(AND(B3=B73,G2="upc"),A3=3),45,IF(AND(AND(B3=B73,G2="upc"),A3=4),53,IF(AND(AND(B3=B73,G2="upc"),A3&gt;=5),(53+((A3-4)*5)),IF(AND(AND(B4=B73,G2="upc"),A4=1),20,IF(AND(AND(B4=B73,G2="upc"),A4=2),35,IF(AND(AND(B4=B73,G2="upc"),A4=3),45,IF(AND(AND(B4=B73,G2="upc"),A4=4),53,IF(AND(AND(B4=B73,G2="upc"),A4&gt;=5),(53+((A4-4)*5)),IF(AND(AND(B5=B73,G2="upc"),A5=1),20,IF(AND(AND(B5=B73,G2="upc"),A5=2),35,IF(AND(AND(B5=B73,G2="upc"),A5=3),45,IF(AND(AND(B5=B73,G2="upc"),A5=4),53,IF(AND(AND(B5=B73,G2="upc"),A5&gt;=5),(53+((A5-4)*5)),IF(AND(AND(B6=B73,G2="upc"),A6=1),20,IF(AND(AND(B6=B73,G2="upc"),A6=2),35,IF(AND(AND(B6=B73,G2="upc"),A6=3),45,IF(AND(AND(B6=B73,G2="upc"),A6=4),53,IF(AND(AND(B6=B73,G2="upc"),A6&gt;=5),(53+((A6-4)*5)),IF(AND(AND(B7=B73,G2="upc"),A7=1),20,IF(AND(AND(B7=B73,G2="upc"),A7=2),35,IF(AND(AND(B7=B73,G2="upc"),A7=3),45,IF(AND(AND(B7=B73,G2="upc"),A7=4),53,IF(AND(AND(B7=B73,G2="upc"),A7&gt;=5),(53+((A7-4)*5)),IF(AND(AND(B8=B73,G2="upc"),A8=1),20,IF(AND(AND(B8=B73,G2="upc"),A8=2),35,IF(AND(AND(B8=B73,G2="upc"),A8=3),45,IF(AND(AND(B8=B73,G2="upc"),A8=4),53,IF(AND(AND(B8=B73,G2="upc"),A8&gt;=5),(53+((A8-4)*5)),IF(AND(AND(B9=B73,G2="upc"),A9=1),20,IF(AND(AND(B9=B73,G2="upc"),A9=2),35,IF(AND(AND(B9=B73,G2="upc"),A9=3),45,IF(AND(AND(B9=B73,G2="upc"),A9=4),53,IF(AND(AND(B9=B73,G2="upc"),A9&gt;=5),(53+((A9-4)*5)),IF(AND(AND(B10=B73,G2="upc"),A10=1),20,IF(AND(AND(B10=B73,G2="upc"),A10=2),35,IF(AND(AND(B10=B73,G2="upc"),A10=3),45,IF(AND(AND(B10=B73,G2="upc"),A10=4),53,IF(AND(AND(B10=B73,G2="upc"),A10&gt;=5),(53+((A10-4)*5)),IF(AND(AND(B11=B73,G2="upc"),A11=1),20,IF(AND(AND(B11=B73,G2="upc"),A11=2),35,IF(AND(AND(B11=B73,G2="upc"),A11=3),45,IF(AND(AND(B11=B73,G2="upc"),A11=4),53,IF(AND(AND(B11=B73,G2="upc"),A11&gt;=5),(53+((A11-4)*5)),0))))))))))))))))))))))))))))))))))))))))))))))))))</f>
        <v>0</v>
      </c>
      <c r="D73" s="103">
        <v>2</v>
      </c>
      <c r="E73" s="233"/>
      <c r="F73" t="s">
        <v>478</v>
      </c>
    </row>
    <row r="74" spans="2:6" ht="15.75" hidden="1" x14ac:dyDescent="0.25">
      <c r="B74" s="103" t="s">
        <v>437</v>
      </c>
      <c r="C74" s="132">
        <f>IF(C73&gt;0,0,IF(AND(AND(B2=B74,G2="upc"),A2=1),20,IF(AND(AND(B2=B74,G2="upc"),A2=2),35,IF(AND(AND(B2=B74,G2="upc"),A2=3),45,IF(AND(AND(B2=B74,G2="upc"),A2=4),53,IF(AND(AND(B2=B74,G2="upc"),A2&gt;=5),(53+((A2-4)*5)),IF(AND(AND(B3=B74,G2="upc"),A3=1),20,IF(AND(AND(B3=B74,G2="upc"),A3=2),35,IF(AND(AND(B3=B74,G2="upc"),A3=3),45,IF(AND(AND(B3=B74,G2="upc"),A3=4),53,IF(AND(AND(B3=B74,G2="upc"),A3&gt;=5),(53+((A3-4)*5)),IF(AND(AND(B4=B74,G2="upc"),A4=1),20,IF(AND(AND(B4=B74,G2="upc"),A4=2),35,IF(AND(AND(B4=B74,G2="upc"),A4=3),45,IF(AND(AND(B4=B74,G2="upc"),A4=4),53,IF(AND(AND(B4=B74,G2="upc"),A4&gt;=5),(53+((A4-4)*5)),IF(AND(AND(B5=B74,G2="upc"),A5=1),20,IF(AND(AND(B5=B74,G2="upc"),A5=2),35,IF(AND(AND(B5=B74,G2="upc"),A5=3),45,IF(AND(AND(B5=B74,G2="upc"),A5=4),53,IF(AND(AND(B5=B74,G2="upc"),A5&gt;=5),(53+((A5-4)*5)),IF(AND(AND(B6=B74,G2="upc"),A6=1),20,IF(AND(AND(B6=B74,G2="upc"),A6=2),35,IF(AND(AND(B6=B74,G2="upc"),A6=3),45,IF(AND(AND(B6=B74,G2="upc"),A6=4),53,IF(AND(AND(B6=B74,G2="upc"),A6&gt;=5),(53+((A6-4)*5)),IF(AND(AND(B7=B74,G2="upc"),A7=1),20,IF(AND(AND(B7=B74,G2="upc"),A7=2),35,IF(AND(AND(B7=B74,G2="upc"),A7=3),45,IF(AND(AND(B7=B74,G2="upc"),A7=4),53,IF(AND(AND(B7=B74,G2="upc"),A7&gt;=5),(53+((A7-4)*5)),IF(AND(AND(B8=B74,G2="upc"),A8=1),20,IF(AND(AND(B8=B74,G2="upc"),A8=2),35,IF(AND(AND(B8=B74,G2="upc"),A8=3),45,IF(AND(AND(B8=B74,G2="upc"),A8=4),53,IF(AND(AND(B8=B74,G2="upc"),A8&gt;=5),(53+((A8-4)*5)),IF(AND(AND(B9=B74,G2="upc"),A9=1),20,IF(AND(AND(B9=B74,G2="upc"),A9=2),35,IF(AND(AND(B9=B74,G2="upc"),A9=3),45,IF(AND(AND(B9=B74,G2="upc"),A9=4),53,IF(AND(AND(B9=B74,G2="upc"),A9&gt;=5),(53+((A9-4)*5)),IF(AND(AND(B10=B74,G2="upc"),A10=1),20,IF(AND(AND(B10=B74,G2="upc"),A10=2),35,IF(AND(AND(B10=B74,G2="upc"),A10=3),45,IF(AND(AND(B10=B74,G2="upc"),A10=4),53,IF(AND(AND(B10=B74,G2="upc"),A10&gt;=5),(53+((A10-4)*5)),IF(AND(AND(B11=B74,G2="upc"),A11=1),20,IF(AND(AND(B11=B74,G2="upc"),A11=2),35,IF(AND(AND(B11=B74,G2="upc"),A11=3),45,IF(AND(AND(B11=B74,G2="upc"),A11=4),53,IF(AND(AND(B11=B74,G2="upc"),A11&gt;=5),(53+((A11-4)*5)),0)))))))))))))))))))))))))))))))))))))))))))))))))))</f>
        <v>0</v>
      </c>
      <c r="D74" s="103">
        <v>5</v>
      </c>
      <c r="E74" s="233"/>
    </row>
    <row r="75" spans="2:6" ht="15.75" hidden="1" x14ac:dyDescent="0.25">
      <c r="B75" s="103" t="s">
        <v>479</v>
      </c>
      <c r="C75" s="132">
        <f>IF(C74&gt;0,0,IF(AND(AND(B3=B75,G3="upc"),A3=1),20,IF(AND(AND(B3=B75,G3="upc"),A3=2),35,IF(AND(AND(B3=B75,G3="upc"),A3=3),45,IF(AND(AND(B3=B75,G3="upc"),A3=4),53,IF(AND(AND(B3=B75,G3="upc"),A3&gt;=5),(53+((A3-4)*5)),IF(AND(AND(B4=B75,G3="upc"),A4=1),20,IF(AND(AND(B4=B75,G3="upc"),A4=2),35,IF(AND(AND(B4=B75,G3="upc"),A4=3),45,IF(AND(AND(B4=B75,G3="upc"),A4=4),53,IF(AND(AND(B4=B75,G3="upc"),A4&gt;=5),(53+((A4-4)*5)),IF(AND(AND(B5=B75,G3="upc"),A5=1),20,IF(AND(AND(B5=B75,G3="upc"),A5=2),35,IF(AND(AND(B5=B75,G3="upc"),A5=3),45,IF(AND(AND(B5=B75,G3="upc"),A5=4),53,IF(AND(AND(B5=B75,G3="upc"),A5&gt;=5),(53+((A5-4)*5)),IF(AND(AND(B6=B75,G3="upc"),A6=1),20,IF(AND(AND(B6=B75,G3="upc"),A6=2),35,IF(AND(AND(B6=B75,G3="upc"),A6=3),45,IF(AND(AND(B6=B75,G3="upc"),A6=4),53,IF(AND(AND(B6=B75,G3="upc"),A6&gt;=5),(53+((A6-4)*5)),IF(AND(AND(B7=B75,G3="upc"),A7=1),20,IF(AND(AND(B7=B75,G3="upc"),A7=2),35,IF(AND(AND(B7=B75,G3="upc"),A7=3),45,IF(AND(AND(B7=B75,G3="upc"),A7=4),53,IF(AND(AND(B7=B75,G3="upc"),A7&gt;=5),(53+((A7-4)*5)),IF(AND(AND(B8=B75,G3="upc"),A8=1),20,IF(AND(AND(B8=B75,G3="upc"),A8=2),35,IF(AND(AND(B8=B75,G3="upc"),A8=3),45,IF(AND(AND(B8=B75,G3="upc"),A8=4),53,IF(AND(AND(B8=B75,G3="upc"),A8&gt;=5),(53+((A8-4)*5)),IF(AND(AND(B9=B75,G3="upc"),A9=1),20,IF(AND(AND(B9=B75,G3="upc"),A9=2),35,IF(AND(AND(B9=B75,G3="upc"),A9=3),45,IF(AND(AND(B9=B75,G3="upc"),A9=4),53,IF(AND(AND(B9=B75,G3="upc"),A9&gt;=5),(53+((A9-4)*5)),IF(AND(AND(B10=B75,G3="upc"),A10=1),20,IF(AND(AND(B10=B75,G3="upc"),A10=2),35,IF(AND(AND(B10=B75,G3="upc"),A10=3),45,IF(AND(AND(B10=B75,G3="upc"),A10=4),53,IF(AND(AND(B10=B75,G3="upc"),A10&gt;=5),(53+((A10-4)*5)),IF(AND(AND(B11=B75,G3="upc"),A11=1),20,IF(AND(AND(B11=B75,G3="upc"),A11=2),35,IF(AND(AND(B11=B75,G3="upc"),A11=3),45,IF(AND(AND(B11=B75,G3="upc"),A11=4),53,IF(AND(AND(B11=B75,G3="upc"),A11&gt;=5),(53+((A11-4)*5)),IF(AND(AND(B12=B75,G3="upc"),A12=1),20,IF(AND(AND(B12=B75,G3="upc"),A12=2),35,IF(AND(AND(B12=B75,G3="upc"),A12=3),45,IF(AND(AND(B12=B75,G3="upc"),A12=4),53,IF(AND(AND(B12=B75,G3="upc"),A12&gt;=5),(53+((A12-4)*5)),0)))))))))))))))))))))))))))))))))))))))))))))))))))</f>
        <v>0</v>
      </c>
      <c r="D75" s="103">
        <v>5</v>
      </c>
      <c r="E75" s="233"/>
    </row>
    <row r="76" spans="2:6" ht="15.75" hidden="1" x14ac:dyDescent="0.25">
      <c r="B76" s="103" t="s">
        <v>43</v>
      </c>
      <c r="C76" s="103">
        <v>2.5</v>
      </c>
      <c r="D76" s="103">
        <v>0</v>
      </c>
      <c r="E76" s="233"/>
    </row>
    <row r="77" spans="2:6" ht="15.75" hidden="1" x14ac:dyDescent="0.25">
      <c r="B77" s="7" t="s">
        <v>460</v>
      </c>
      <c r="C77" s="103">
        <v>3</v>
      </c>
      <c r="D77" s="103">
        <v>3</v>
      </c>
      <c r="E77" s="233"/>
    </row>
    <row r="78" spans="2:6" ht="15.75" hidden="1" x14ac:dyDescent="0.25">
      <c r="B78" s="7" t="s">
        <v>382</v>
      </c>
      <c r="C78" s="132">
        <f>IF(AND(AND(G2="upc"),B2=B78,A2=1),40,IF(AND(AND(G2="upc"),B2=B78,A2=2),70,IF(AND(AND(G2="upc"),B2=B78,A2=3),90,IF(AND(AND(G2="upc"),B2=B78,A2=4),105,IF(AND(AND(G2="upc"),B2=B78,A2&gt;=5),(105+((A2-4)*10)),IF(AND(AND(G2="upc"),B3=B78,A3=1),40,IF(AND(AND(G2="upc"),B3=B78,A3=2),70,IF(AND(AND(G2="upc"),B3=B78,A3=3),90,IF(AND(AND(G2="upc"),B3=B78,A3=4),105,IF(AND(AND(G2="upc"),B3=B78,A3&gt;=5),(105+((A3-4)*10)),IF(AND(AND(G2="upc"),B4=B78,A4=1),40,IF(AND(AND(G2="upc"),B4=B78,A4=2),70,IF(AND(AND(G2="upc"),B4=B78,A4=3),90,IF(AND(AND(G2="upc"),B4=B78,A4=4),105,IF(AND(AND(G2="upc"),B4=B78,A4&gt;=5),(105+((A4-4)*10)),IF(AND(AND(G2="upc"),B5=B78,A5=1),40,IF(AND(AND(G2="upc"),B5=B78,A5=2),70,IF(AND(AND(G2="upc"),B5=B78,A5=3),90,IF(AND(AND(G2="upc"),B5=B78,A5=4),105,IF(AND(AND(G2="upc"),B5=B78,A5&gt;=5),(105+((A5-4)*10)),IF(AND(AND(G2="upc"),B6=B78,A6=1),40,IF(AND(AND(G2="upc"),B6=B78,A6=2),70,IF(AND(AND(G2="upc"),B6="water closet (fv)",A6=3),90,IF(AND(AND(G2="upc"),B6="water closet (fv)",A6=4),105,IF(AND(AND(G2="upc"),B6=B78,A6&gt;=5),(105+((A6-4)*10)),IF(AND(AND(G2="upc"),B7="water closet (fv)",A7=1),40,IF(AND(AND(G2="upc"),B7="water closet (fv)",A7=2),70,IF(AND(AND(G2="upc"),B7="water closet (fv)",A7=3),90,IF(AND(AND(G2="upc"),B7="water closet (fv)",A7=4),105,IF(AND(AND(G2="upc"),B7="water closet (fv)",A7&gt;=5),(105+((A7-4)*10)),IF(AND(AND(G2="upc"),B8="water closet (fv)",A8=1),40,IF(AND(AND(G2="upc"),B8="water closet (fv)",A8=2),70,IF(AND(AND(G2="upc"),B8="water closet (fv)",A8=3),90,IF(AND(AND(G2="upc"),B8="water closet (fv)",A8=4),105,IF(AND(AND(G2="upc"),B8="water closet (fv)",A8&gt;=5),(105+((A8-4)*10)),IF(AND(AND(G2="upc"),B9=B78,A9=1),40,IF(AND(AND(G2="upc"),B9=B78,A9=2),70,IF(AND(AND(G2="upc"),B9=B78,A9=3),90,IF(AND(AND(G2="upc"),B9=B78,A9=4),105,IF(AND(AND(G2="upc"),B9=B78,A9&gt;=5),(105+((A9-4)*10)),IF(AND(AND(G2="upc"),B10=B78,A10=1),40,IF(AND(AND(G2="upc"),B10=B78,A10=2),70,IF(AND(AND(G2="upc"),B10=B78,A10=3),90,IF(AND(AND(G2="upc"),B10=B78,A10=4),105,IF(AND(AND(G2="upc"),B10=B78,A10&gt;=5),(105+((A10-4)*10)),IF(AND(AND(G2="upc"),B11=B78,A11=1),40,IF(AND(AND(G2="upc"),B11=B78,A11=2),70,IF(AND(AND(G2="upc"),B11=B78,A11=3),90,IF(AND(AND(G2="upc"),B11=B78,A11=4),105,IF(AND(AND(G2="upc"),B11=B78,A11&gt;=5),(105+((A11-4)*10)),0))))))))))))))))))))))))))))))))))))))))))))))))))</f>
        <v>0</v>
      </c>
      <c r="D78" s="103">
        <v>4</v>
      </c>
      <c r="E78" s="233"/>
    </row>
    <row r="79" spans="2:6" ht="15.75" hidden="1" x14ac:dyDescent="0.25">
      <c r="B79" s="7" t="s">
        <v>461</v>
      </c>
      <c r="C79" s="132" t="b">
        <f>IF(C78&gt;0,0)</f>
        <v>0</v>
      </c>
      <c r="D79" s="103">
        <v>6</v>
      </c>
      <c r="E79" s="233"/>
    </row>
    <row r="80" spans="2:6" ht="15.75" hidden="1" x14ac:dyDescent="0.25">
      <c r="B80" s="231" t="s">
        <v>426</v>
      </c>
      <c r="C80" s="103">
        <v>2.5</v>
      </c>
      <c r="D80" s="103">
        <v>4</v>
      </c>
      <c r="E80" s="233"/>
    </row>
    <row r="81" spans="1:7" ht="15.75" hidden="1" x14ac:dyDescent="0.25">
      <c r="B81" s="231" t="s">
        <v>436</v>
      </c>
      <c r="C81" s="103">
        <v>2.5</v>
      </c>
      <c r="D81" s="103">
        <v>6</v>
      </c>
      <c r="E81" s="233"/>
    </row>
    <row r="82" spans="1:7" ht="15.75" hidden="1" x14ac:dyDescent="0.25">
      <c r="B82" s="231" t="s">
        <v>480</v>
      </c>
      <c r="C82" s="103">
        <v>0.25</v>
      </c>
      <c r="D82" s="103">
        <v>2</v>
      </c>
      <c r="E82" s="233"/>
    </row>
    <row r="83" spans="1:7" ht="15.75" hidden="1" x14ac:dyDescent="0.25">
      <c r="B83" s="103" t="s">
        <v>71</v>
      </c>
      <c r="C83" s="103">
        <v>1</v>
      </c>
      <c r="D83" s="103">
        <v>2</v>
      </c>
      <c r="E83" s="233"/>
    </row>
    <row r="84" spans="1:7" ht="15.75" hidden="1" x14ac:dyDescent="0.25">
      <c r="D84" s="233"/>
      <c r="E84" s="233"/>
    </row>
    <row r="85" spans="1:7" ht="15.75" hidden="1" x14ac:dyDescent="0.25">
      <c r="C85" s="66" t="s">
        <v>429</v>
      </c>
      <c r="D85" s="66" t="s">
        <v>430</v>
      </c>
      <c r="E85" s="233"/>
    </row>
    <row r="86" spans="1:7" hidden="1" x14ac:dyDescent="0.2">
      <c r="C86" s="66">
        <f>IF(AND(AND(OR(B2="urinal (public)",B2="urinal (assembly)"),G2="upc"),A2=1),20,0)</f>
        <v>0</v>
      </c>
      <c r="D86">
        <f>IF(AND(AND(OR(B2="water closet (fv-public)",B2="water closet (fv-assembly)"),G2="upc"),A2=1),40,0)</f>
        <v>0</v>
      </c>
      <c r="E86" s="66" t="s">
        <v>439</v>
      </c>
    </row>
    <row r="87" spans="1:7" hidden="1" x14ac:dyDescent="0.2">
      <c r="C87">
        <f>IF(AND(AND(OR(B2="urinal (public)",B2="urinal (assembly)"),G2="upc"),A2=2),35,0)</f>
        <v>0</v>
      </c>
      <c r="D87">
        <f>IF(AND(AND(OR(B2="water closet (fv-public)",B2="water closet (fv-assembly)"),G2="upc"),A2=2),70,0)</f>
        <v>0</v>
      </c>
    </row>
    <row r="88" spans="1:7" hidden="1" x14ac:dyDescent="0.2">
      <c r="C88">
        <f>IF(AND(AND(OR(B2="urinal (public)",B2="urinal (assembly)"),G2="upc"),A2=3),45,0)</f>
        <v>0</v>
      </c>
      <c r="D88">
        <f>IF(AND(AND(OR(B2="water closet (fv-public)",B2="water closet (fv-assembly)"),G2="upc"),A2=3),90,0)</f>
        <v>0</v>
      </c>
    </row>
    <row r="89" spans="1:7" hidden="1" x14ac:dyDescent="0.2">
      <c r="C89">
        <f>IF(AND(AND(OR(B2="urinal (public)",B2="urinal (assembly)"),G2="upc"),A2=4),53,0)</f>
        <v>0</v>
      </c>
      <c r="D89">
        <f>IF(AND(AND(OR(B2="water closet (fv-public)",B2="water closet (fv-assembly)"),G2="upc"),A2=43),105,0)</f>
        <v>0</v>
      </c>
    </row>
    <row r="90" spans="1:7" hidden="1" x14ac:dyDescent="0.2">
      <c r="C90">
        <f>IF(AND(AND(OR(B2="urinal (public)",B2="urinal (assembly)"),G2="upc"),A2=5),(53+((A2-4)*5)),0)</f>
        <v>0</v>
      </c>
      <c r="D90">
        <f>IF(AND(AND(OR(B2="water closet (fv-public)",B2="water closet (fv-assembly)"),G2="upc"),A2=5),(105+((A2-4)*10)),0)</f>
        <v>0</v>
      </c>
    </row>
    <row r="91" spans="1:7" hidden="1" x14ac:dyDescent="0.2">
      <c r="C91">
        <f>IF(AND(AND(OR(B2="urinal (public)",B2="urinal (assembly)"),G2="upc"),A2=1),20,IF(AND(AND(OR(B2="urinal (public)",B2="urinal (assembly)"),G2="upc"),A2=2),35,IF(AND(AND(OR(B2="urinal (public)",B2="urinal (assembly)"),G2="upc"),A2=3),45,IF(AND(AND(OR(B2="urinal (public)",B2="urinal (assembly)"),G2="upc"),A2=4),53,IF(AND(AND(OR(B2="urinal (public)",B2="urinal (assembly)"),G2="upc"),A2&gt;=5),(53+((A2-4)*5)),0)))))</f>
        <v>0</v>
      </c>
      <c r="D91">
        <f>IF(AND(AND(OR(B2="water closet (fv-public)",B2="water closet (fv-assembly)"),G2="upc"),A2=1),40,IF(AND(AND(OR(B2="water closet (fv-public)",B2="water closet (fv-assembly)"),G2="upc"),A2=2),70,IF(AND(AND(OR(B2="water closet (fv-public)",B2="water closet (fv-assembly)"),G2="upc"),A2=3),90,IF(AND(AND(OR(B2="water closet (fv-public)",B2="water closet (fv-assembly)"),G2="upc"),A2=43),105,IF(AND(AND(OR(B2="water closet (fv-public)",B2="water closet (fv-assembly)"),G2="upc"),A2=5),(105+((A2-4)*10)),0)))))</f>
        <v>0</v>
      </c>
      <c r="E91" s="66" t="s">
        <v>432</v>
      </c>
    </row>
    <row r="92" spans="1:7" hidden="1" x14ac:dyDescent="0.2">
      <c r="A92" t="s">
        <v>462</v>
      </c>
      <c r="B92" t="s">
        <v>463</v>
      </c>
    </row>
    <row r="93" spans="1:7" hidden="1" x14ac:dyDescent="0.2">
      <c r="A93">
        <f>IF(D12=0,0,IF(AND(AND(OR(B2=B73,B2=B74,B2=B78,B2=B79,B2=B80,B2=B81),A2&gt;=4),D12&lt;=216),"4""",IF(D12&lt;=8,"2""",IF(D12&lt;=35,"3""",IF(D12&lt;=216,"4""",IF(D12&lt;=428,"5""",IF(D12&lt;=720,"6""",0)))))))</f>
        <v>0</v>
      </c>
      <c r="B93" s="66"/>
      <c r="C93">
        <f>IF(AND(AND(OR(B2="urinal (public)",B2="urinal (assembly)"),G2="upc"),A2=1),20,IF(AND(AND(OR(B2="urinal (public)",B2="urinal (assembly)"),G2="upc"),A2=2),35,IF(AND(AND(OR(B2="urinal (public)",B2="urinal (assembly)"),G2="upc"),A2=3),45,IF(AND(AND(OR(B2="urinal (public)",B2="urinal (assembly)"),G2="upc"),A2=4),53,IF(AND(AND(OR(B2="urinal (public)",B2="urinal (assembly)"),G2="upc"),A2&gt;=5),(53+((A2-4)*5)),0)))))</f>
        <v>0</v>
      </c>
      <c r="D93">
        <f>IF(AND(AND(OR(B2="water closet (fv-public)",B2="water closet (fv-assembly)"),G2="upc"),A2=1),40,IF(AND(AND(OR(B2="water closet (fv-public)",B2="water closet (fv-assembly)"),G2="upc"),A2=2),70,IF(AND(AND(OR(B2="water closet (fv-public)",B2="water closet (fv-assembly)"),G2="upc"),A2=3),90,IF(AND(AND(OR(B2="water closet (fv-public)",B2="water closet (fv-assembly)"),G2="upc"),A2=43),105,IF(AND(AND(OR(B2="water closet (fv-public)",B2="water closet (fv-assembly)"),G2="upc"),A2=5),(105+((A2-4)*10)),0)))))</f>
        <v>0</v>
      </c>
      <c r="E93" s="66" t="s">
        <v>438</v>
      </c>
      <c r="G93" s="246">
        <f>IF(AND(AND(AND(OR(B2=B49,B2=B50,B2=B51,B2=B52),D12&lt;=21),A2&gt;0),A2&lt;4),"3""",0)</f>
        <v>0</v>
      </c>
    </row>
    <row r="94" spans="1:7" hidden="1" x14ac:dyDescent="0.2">
      <c r="A94" s="245">
        <f>IF(D12=0,0,IF(AND(AND(OR(B3=B73,B3=B74,B3=B78,B3=B79,B3=B80,B3=B81),A3&gt;=4),D12&lt;=216),"4""",0))</f>
        <v>0</v>
      </c>
      <c r="C94">
        <f>IF(AND(AND(OR(B3="urinal (public)",B3="urinal (assembly)"),G2="upc"),A3=1),20,IF(AND(AND(OR(B3="urinal (public)",B3="urinal (assembly)"),G2="upc"),A3=2),35,IF(AND(AND(OR(B3="urinal (public)",B3="urinal (assembly)"),G2="upc"),A3=3),45,IF(AND(AND(OR(B3="urinal (public)",B3="urinal (assembly)"),G2="upc"),A3=4),53,IF(AND(AND(OR(B3="urinal (public)",B3="urinal (assembly)"),G2="upc"),A3&gt;=5),(53+((A3-4)*5)),0)))))</f>
        <v>0</v>
      </c>
      <c r="D94">
        <f>IF(AND(AND(OR(B3="water closet (fv-public)",B3="water closet (fv-assembly)"),G2="upc"),A3=1),40,IF(AND(AND(OR(B3="water closet (fv-public)",B3="water closet (fv-assembly)"),G2="upc"),A3=2),70,IF(AND(AND(OR(B3="water closet (fv-public)",B3="water closet (fv-assembly)"),G2="upc"),A3=3),90,IF(AND(AND(OR(B3="water closet (fv-public)",B3="water closet (fv-assembly)"),G2="upc"),A3=43),105,IF(AND(AND(OR(B3="water closet (fv-public)",B3="water closet (fv-assembly)"),G2="upc"),A3=5),(105+((A3-4)*10)),0)))))</f>
        <v>0</v>
      </c>
      <c r="G94" s="246">
        <f>IF(AND(AND(AND(OR(B3=B49,B3=B50,B3=B51,B3=B52),D12&lt;=21),A3&gt;0),A3&lt;4),"3""",0)</f>
        <v>0</v>
      </c>
    </row>
    <row r="95" spans="1:7" hidden="1" x14ac:dyDescent="0.2">
      <c r="A95">
        <f>IF(D12=0,0,IF(AND(AND(OR(B4=B73,B4=B74,B4=B78,B4=B79,B4=B80,B4=B81),A4&gt;=4),D12&lt;=216),"4""",0))</f>
        <v>0</v>
      </c>
      <c r="C95">
        <f>IF(AND(AND(OR(B4="urinal (public)",B4="urinal (assembly)"),G2="upc"),A4=1),20,IF(AND(AND(OR(B4="urinal (public)",B4="urinal (assembly)"),G2="upc"),A4=2),35,IF(AND(AND(OR(B4="urinal (public)",B4="urinal (assembly)"),G2="upc"),A4=3),45,IF(AND(AND(OR(B4="urinal (public)",B4="urinal (assembly)"),G2="upc"),A4=4),53,IF(AND(AND(OR(B4="urinal (public)",B4="urinal (assembly)"),G2="upc"),A4&gt;=5),(53+((A4-4)*5)),0)))))</f>
        <v>0</v>
      </c>
      <c r="D95">
        <f>IF(AND(AND(OR(B4="water closet (fv-public)",B4="water closet (fv-assembly)"),G2="upc"),A4=1),40,IF(AND(AND(OR(B4="water closet (fv-public)",B4="water closet (fv-assembly)"),G2="upc"),A4=2),70,IF(AND(AND(OR(B4="water closet (fv-public)",B4="water closet (fv-assembly)"),G2="upc"),A4=3),90,IF(AND(AND(OR(B4="water closet (fv-public)",B4="water closet (fv-assembly)"),G2="upc"),A4=43),105,IF(AND(AND(OR(B4="water closet (fv-public)",B4="water closet (fv-assembly)"),G2="upc"),A4=5),(105+((A4-4)*10)),0)))))</f>
        <v>0</v>
      </c>
      <c r="G95" s="246">
        <f>IF(AND(AND(AND(OR(B4=B49,B4=B50,B4=B51,B4=B52),D12&lt;=21),A4&gt;0),A4&lt;4),"3""",0)</f>
        <v>0</v>
      </c>
    </row>
    <row r="96" spans="1:7" hidden="1" x14ac:dyDescent="0.2">
      <c r="A96">
        <f>IF(D12=0,0,IF(AND(AND(OR(B5=B73,B5=B74,B5=B78,B5=B79,B5=B80,B5=B81),A5&gt;=4),D12&lt;=216),"4""",0))</f>
        <v>0</v>
      </c>
      <c r="C96">
        <f>IF(AND(AND(OR(B5="urinal (public)",B5="urinal (assembly)"),G2="upc"),A5=1),20,IF(AND(AND(OR(B5="urinal (public)",B5="urinal (assembly)"),G2="upc"),A5=2),35,IF(AND(AND(OR(B5="urinal (public)",B5="urinal (assembly)"),G2="upc"),A5=3),45,IF(AND(AND(OR(B5="urinal (public)",B5="urinal (assembly)"),G2="upc"),A5=4),53,IF(AND(AND(OR(B5="urinal (public)",B5="urinal (assembly)"),G2="upc"),A5&gt;=5),(53+((A5-4)*5)),0)))))</f>
        <v>0</v>
      </c>
      <c r="D96">
        <f>IF(AND(AND(OR(B5="water closet (fv-public)",B5="water closet (fv-assembly)"),G2="upc"),A5=1),40,IF(AND(AND(OR(B5="water closet (fv-public)",B5="water closet (fv-assembly)"),G2="upc"),A5=2),70,IF(AND(AND(OR(B5="water closet (fv-public)",B5="water closet (fv-assembly)"),G2="upc"),A5=3),90,IF(AND(AND(OR(B5="water closet (fv-public)",B5="water closet (fv-assembly)"),G2="upc"),A5=43),105,IF(AND(AND(OR(B5="water closet (fv-public)",B5="water closet (fv-assembly)"),G2="upc"),A5=5),(105+((A5-4)*10)),0)))))</f>
        <v>0</v>
      </c>
      <c r="G96" s="246">
        <f>IF(AND(AND(AND(OR(B5=B49,B5=B50,B5=B51,B5=B52),D12&lt;=21),A5&gt;0),A5&lt;4),"3""",0)</f>
        <v>0</v>
      </c>
    </row>
    <row r="97" spans="1:12" hidden="1" x14ac:dyDescent="0.2">
      <c r="A97">
        <f>IF(D12=0,0,IF(AND(AND(OR(B6=B73,B6=B74,B6=B78,B6=B79,B6=B80,B6=B81),A6&gt;=4),D12&lt;=216),"4""",0))</f>
        <v>0</v>
      </c>
      <c r="C97">
        <f>IF(AND(AND(OR(B6="urinal (public)",B6="urinal (assembly)"),G2="upc"),A6=1),20,IF(AND(AND(OR(B6="urinal (public)",B6="urinal (assembly)"),G2="upc"),A6=2),35,IF(AND(AND(OR(B6="urinal (public)",B6="urinal (assembly)"),G2="upc"),A6=3),45,IF(AND(AND(OR(B6="urinal (public)",B6="urinal (assembly)"),G2="upc"),A6=4),53,IF(AND(AND(OR(B6="urinal (public)",B6="urinal (assembly)"),G2="upc"),A6&gt;=5),(53+((A6-4)*5)),0)))))</f>
        <v>0</v>
      </c>
      <c r="D97">
        <f>IF(AND(AND(OR(B6="water closet (fv-public)",B6="water closet (fv-assembly)"),G2="upc"),A6=1),40,IF(AND(AND(OR(B6="water closet (fv-public)",B6="water closet (fv-assembly)"),G2="upc"),A6=2),70,IF(AND(AND(OR(B6="water closet (fv-public)",B6="water closet (fv-assembly)"),G2="upc"),A6=3),90,IF(AND(AND(OR(B6="water closet (fv-public)",B6="water closet (fv-assembly)"),G2="upc"),A6=43),105,IF(AND(AND(OR(B6="water closet (fv-public)",B6="water closet (fv-assembly)"),G2="upc"),A6=5),(105+((A6-4)*10)),0)))))</f>
        <v>0</v>
      </c>
      <c r="G97" s="246">
        <f>IF(AND(AND(AND(OR(B6=B49,B6=B50,B6=B51,B6=B52),D12&lt;=21),A6&gt;0),A6&lt;4),"3""",0)</f>
        <v>0</v>
      </c>
    </row>
    <row r="98" spans="1:12" hidden="1" x14ac:dyDescent="0.2">
      <c r="A98">
        <f>IF(D12=0,0,IF(AND(AND(OR(B7=B73,B7=B74,B7=B78,B7=B79,B7=B80,B7=B81),A7&gt;=4),D12&lt;=216),"4""",0))</f>
        <v>0</v>
      </c>
      <c r="C98">
        <f>IF(AND(AND(OR(B7="urinal (public)",B7="urinal (assembly)"),G2="upc"),A7=1),20,IF(AND(AND(OR(B7="urinal (public)",B7="urinal (assembly)"),G2="upc"),A7=2),35,IF(AND(AND(OR(B7="urinal (public)",B7="urinal (assembly)"),G2="upc"),A7=3),45,IF(AND(AND(OR(B7="urinal (public)",B7="urinal (assembly)"),G2="upc"),A7=4),53,IF(AND(AND(OR(B7="urinal (public)",B7="urinal (assembly)"),G2="upc"),A7&gt;=5),(53+((A7-4)*5)),0)))))</f>
        <v>0</v>
      </c>
      <c r="D98">
        <f>IF(AND(AND(OR(B7="water closet (fv-public)",B7="water closet (fv-assembly)"),G2="upc"),A7=1),40,IF(AND(AND(OR(B7="water closet (fv-public)",B7="water closet (fv-assembly)"),G2="upc"),A7=2),70,IF(AND(AND(OR(B7="water closet (fv-public)",B7="water closet (fv-assembly)"),G2="upc"),A7=3),90,IF(AND(AND(OR(B7="water closet (fv-public)",B7="water closet (fv-assembly)"),G2="upc"),A7=43),105,IF(AND(AND(OR(B7="water closet (fv-public)",B7="water closet (fv-assembly)"),G2="upc"),A7=5),(105+((A7-4)*10)),0)))))</f>
        <v>0</v>
      </c>
      <c r="G98" s="246">
        <f>IF(AND(AND(AND(OR(B7=B49,B7=B50,B7=B51,B7=B52),D12&lt;=21),A7&gt;0),A7&lt;4),"3""",0)</f>
        <v>0</v>
      </c>
    </row>
    <row r="99" spans="1:12" hidden="1" x14ac:dyDescent="0.2">
      <c r="A99">
        <f>IF(D12=0,0,IF(AND(AND(OR(B8=B73,B8=B74,B8=B78,B8=B79,B8=B80,B8=B81),A8&gt;=4),D12&lt;=216),"4""",0))</f>
        <v>0</v>
      </c>
      <c r="C99">
        <f>IF(AND(AND(OR(B8="urinal (public)",B8="urinal (assembly)"),G2="upc"),A8=1),20,IF(AND(AND(OR(B8="urinal (public)",B8="urinal (assembly)"),G2="upc"),A8=2),35,IF(AND(AND(OR(B8="urinal (public)",B8="urinal (assembly)"),G2="upc"),A8=3),45,IF(AND(AND(OR(B8="urinal (public)",B8="urinal (assembly)"),G2="upc"),A8=4),53,IF(AND(AND(OR(B8="urinal (public)",B8="urinal (assembly)"),G2="upc"),A8&gt;=5),(53+((A8-4)*5)),0)))))</f>
        <v>0</v>
      </c>
      <c r="D99">
        <f>IF(AND(AND(OR(B8="water closet (fv-public)",B8="water closet (fv-assembly)"),G2="upc"),A8=1),40,IF(AND(AND(OR(B8="water closet (fv-public)",B8="water closet (fv-assembly)"),G2="upc"),A8=2),70,IF(AND(AND(OR(B8="water closet (fv-public)",B8="water closet (fv-assembly)"),G2="upc"),A8=3),90,IF(AND(AND(OR(B8="water closet (fv-public)",B8="water closet (fv-assembly)"),G2="upc"),A8=43),105,IF(AND(AND(OR(B8="water closet (fv-public)",B8="water closet (fv-assembly)"),G2="upc"),A8=5),(105+((A8-4)*10)),0)))))</f>
        <v>0</v>
      </c>
      <c r="G99" s="246">
        <f>IF(AND(AND(AND(OR(B8=B49,B8=B50,B8=B51,B8=B52),D12&lt;=21),A8&gt;0),A8&lt;4),"3""",0)</f>
        <v>0</v>
      </c>
    </row>
    <row r="100" spans="1:12" hidden="1" x14ac:dyDescent="0.2">
      <c r="A100">
        <f>IF(D12=0,0,IF(AND(AND(OR(B9=B73,B9=B74,B9=B78,B9=B79,B9=B80,B9=B81),A9&gt;=4),D12&lt;=216),"4""",0))</f>
        <v>0</v>
      </c>
      <c r="C100">
        <f>IF(AND(AND(OR(B9="urinal (public)",B9="urinal (assembly)"),G2="upc"),A9=1),20,IF(AND(AND(OR(B9="urinal (public)",B9="urinal (assembly)"),G2="upc"),A9=2),35,IF(AND(AND(OR(B9="urinal (public)",B9="urinal (assembly)"),G2="upc"),A9=3),45,IF(AND(AND(OR(B9="urinal (public)",B9="urinal (assembly)"),G2="upc"),A9=4),53,IF(AND(AND(OR(B9="urinal (public)",B9="urinal (assembly)"),G2="upc"),A9&gt;=5),(53+((A9-4)*5)),0)))))</f>
        <v>0</v>
      </c>
      <c r="D100">
        <f>IF(AND(AND(OR(B9="water closet (fv-public)",B9="water closet (fv-assembly)"),G2="upc"),A9=1),40,IF(AND(AND(OR(B9="water closet (fv-public)",B9="water closet (fv-assembly)"),G2="upc"),A9=2),70,IF(AND(AND(OR(B9="water closet (fv-public)",B9="water closet (fv-assembly)"),G2="upc"),A9=3),90,IF(AND(AND(OR(B9="water closet (fv-public)",B9="water closet (fv-assembly)"),G2="upc"),A9=43),105,IF(AND(AND(OR(B9="water closet (fv-public)",B9="water closet (fv-assembly)"),G2="upc"),A9=5),(105+((A9-4)*10)),0)))))</f>
        <v>0</v>
      </c>
      <c r="G100" s="246">
        <f>IF(AND(AND(AND(OR(B9=B49,B9=B50,B9=B51,B9=B52),D12&lt;=21),A9&gt;0),A9&lt;4),"3""",0)</f>
        <v>0</v>
      </c>
    </row>
    <row r="101" spans="1:12" hidden="1" x14ac:dyDescent="0.2">
      <c r="A101">
        <f>IF(D12=0,0,IF(AND(AND(OR(B10=B73,B10=B74,B10=B78,B10=B79,B10=B80,B10=B81),A10&gt;=4),D12&lt;=216),"4""",0))</f>
        <v>0</v>
      </c>
      <c r="C101">
        <f>IF(AND(AND(OR(B10="urinal (public)",B10="urinal (assembly)"),G2="upc"),A10=1),20,IF(AND(AND(OR(B10="urinal (public)",B10="urinal (assembly)"),G2="upc"),A10=2),35,IF(AND(AND(OR(B10="urinal (public)",B10="urinal (assembly)"),G2="upc"),A10=3),45,IF(AND(AND(OR(B10="urinal (public)",B10="urinal (assembly)"),G2="upc"),A10=4),53,IF(AND(AND(OR(B10="urinal (public)",B10="urinal (assembly)"),G2="upc"),A10&gt;=5),(53+((A10-4)*5)),0)))))</f>
        <v>0</v>
      </c>
      <c r="D101">
        <f>IF(AND(AND(OR(B10="water closet (fv-public)",B10="water closet (fv-assembly)"),G2="upc"),A10=1),40,IF(AND(AND(OR(B10="water closet (fv-public)",B10="water closet (fv-assembly)"),G2="upc"),A10=2),70,IF(AND(AND(OR(B10="water closet (fv-public)",B10="water closet (fv-assembly)"),G2="upc"),A10=3),90,IF(AND(AND(OR(B10="water closet (fv-public)",B10="water closet (fv-assembly)"),G2="upc"),A10=43),105,IF(AND(AND(OR(B10="water closet (fv-public)",B10="water closet (fv-assembly)"),G2="upc"),A10=5),(105+((A10-4)*10)),0)))))</f>
        <v>0</v>
      </c>
      <c r="G101" s="246">
        <f>IF(AND(AND(AND(OR(B10=B49,B10=B50,B10=B51,B10=B52),D12&lt;=21),A10&gt;0),A10&lt;4),"3""",0)</f>
        <v>0</v>
      </c>
    </row>
    <row r="102" spans="1:12" hidden="1" x14ac:dyDescent="0.2">
      <c r="A102">
        <f>IF(D12=0,0,IF(AND(AND(OR(B11=B73,B11=B74,B11=B78,B11=B79,B11=B80,B11=B81),A11&gt;=4),D12&lt;=216),"4""",0))</f>
        <v>0</v>
      </c>
      <c r="C102">
        <f>IF(AND(AND(OR(B11="urinal (public)",B11="urinal (assembly)"),G2="upc"),A11=1),20,IF(AND(AND(OR(B11="urinal (public)",B11="urinal (assembly)"),G2="upc"),A11=2),35,IF(AND(AND(OR(B11="urinal (public)",B11="urinal (assembly)"),G2="upc"),A11=3),45,IF(AND(AND(OR(B11="urinal (public)",B11="urinal (assembly)"),G2="upc"),A11=4),53,IF(AND(AND(OR(B11="urinal (public)",B11="urinal (assembly)"),G2="upc"),A11&gt;=5),(53+((A11-4)*5)),0)))))</f>
        <v>0</v>
      </c>
      <c r="D102">
        <f>IF(AND(AND(OR(B11="water closet (fv-public)",B11="water closet (fv-assembly)"),G2="upc"),A11=1),40,IF(AND(AND(OR(B11="water closet (fv-public)",B11="water closet (fv-assembly)"),G2="upc"),A11=2),70,IF(AND(AND(OR(B11="water closet (fv-public)",B11="water closet (fv-assembly)"),G2="upc"),A11=3),90,IF(AND(AND(OR(B11="water closet (fv-public)",B11="water closet (fv-assembly)"),G2="upc"),A11=43),105,IF(AND(AND(OR(B11="water closet (fv-public)",B11="water closet (fv-assembly)"),G2="upc"),A11=5),(105+((A11-4)*10)),0)))))</f>
        <v>0</v>
      </c>
      <c r="G102" s="246">
        <f>IF(AND(AND(AND(OR(B11=B49,B11=B50,B11=B51,B11=B52),D12&lt;=21),A11&gt;0),A11&lt;4),"3""",0)</f>
        <v>0</v>
      </c>
    </row>
    <row r="103" spans="1:12" hidden="1" x14ac:dyDescent="0.2">
      <c r="A103">
        <f>IF(D12=0,0,IF(AND(D121&gt;=4,D12&lt;=216),"4""",IF(AND(AND(AND(OR(B2=B78,B2=B79,B2=B80,B2=B81),D12&lt;=8),A2&gt;0),A2&lt;4),"3""",IF(AND(AND(AND(OR(B3=B78,B3=B79,B3=B80,B3=B81),D12&lt;=8),A3&gt;0),A3&lt;4),"3""",IF(AND(AND(AND(OR(B4=B78,B4=B79,B4=B80,B4=B81),D12&lt;=8),A4&gt;0),A4&lt;4),"3""",IF(AND(AND(AND(OR(B5=B78,B5=B79,B5=B80,B5=B81),D12&lt;=8),A5&gt;0),A5&lt;4),"3""",IF(AND(AND(AND(OR(B6=B78,B6=B79,B6=B80,B6=B81),D12&lt;=8),A6&gt;0),A6&lt;4),"3""",IF(AND(AND(AND(OR(B7=B78,B7=B79,B7=B80,B7=B81),D12&lt;=8),A7&gt;0),A7&lt;4),"3""",IF(AND(AND(AND(OR(B8=B78,B8=B79,B8=B80,B8=B81),D12&lt;=8),A8&gt;0),A8&lt;4),"3""",IF(AND(AND(AND(OR(B9=B78,B9=B79,B9=B80,B9=B81),D12&lt;=8),A9&gt;0),A9&lt;4),"3""",IF(AND(AND(AND(OR(B9=B78,B9=B79,B9=B80,B9=B81),D12&lt;=8),A9&gt;0),A9&lt;4),"3""",IF(AND(AND(AND(OR(B10=B78,B10=B79,B10=B80,B10=B81),D12&lt;=8),A10&gt;0),A10&lt;4),"3""",IF(AND(AND(AND(OR(B11=B78,B11=B79,B11=B80,B11=B81),D12&lt;=8),A11&gt;0),A11&lt;4),"3""",IF(D12&lt;=8,"2""",IF(D12&lt;=35,"3""",IF(D12&lt;=216,"4""",IF(D12&lt;=428,"5""",IF(D12&lt;=720,"6""",0))))))))))))))))))</f>
        <v>0</v>
      </c>
      <c r="B103" s="66">
        <f>IF(D12=0,0,IF(AND(J121&gt;=4,D12&lt;=216),"4""",IF(AND(AND(AND(OR(B2=B49,B2=B50,B2=B51,B2=B52),D12&lt;=21),A2&gt;0),A2&lt;4),"3""",IF(AND(AND(AND(OR(B3=B49,B3=B50,B3=B51,B3=B52),D12&lt;=21),A3&gt;0),A3&lt;4),"3""",IF(AND(AND(AND(OR(B4=B49,B4=B50,B4=B51,B4=B52),D12&lt;=21),A4&gt;0),A4&lt;4),"3""",IF(AND(AND(AND(OR(B5=B49,B5=B50,B5=B51,B5=B52),D12&lt;=21),A5&gt;0),A5&lt;4),"3""",IF(AND(AND(AND(OR(B6=B49,B6=B50,B6=B51,B6=B52),D12&lt;=21),A6&gt;0),A6&lt;4),"3""",IF(AND(AND(AND(OR(B7=B49,B7=B50,B7=B51,B7=B52),D12&lt;=21),A7&gt;0),A7&lt;4),"3""",IF(AND(AND(AND(OR(B8=B49,B8=B50,B8=B51,B8=B52),D12&lt;=21),A8&gt;0),A8&lt;4),"3""",IF(AND(AND(AND(OR(B9=B49,B9=B50,B9=B51,B9=B52),D12&lt;=21),A9&gt;0),A9&lt;4),"3""",IF(AND(AND(AND(OR(B9=B49,B9=B50,B9=B51,B9=B52),D12&lt;=21),A9&gt;0),A9&lt;4),"3""",IF(AND(AND(AND(OR(B10=B49,B10=B50,B10=B51,B10=B52),D12&lt;=21),A10&gt;0),A10&lt;4),"3""",IF(AND(AND(AND(OR(B11=B49,B11=B50,B11=B51,B11=B52),D12&lt;=21),A11&gt;0),A11&lt;4),"3""",IF(D12&lt;=21,"2""",IF(D12&lt;=42,"3""",IF(D12&lt;=216,"4""",IF(D12&lt;=480,"5""",IF(D12&lt;=840,"6""",0))))))))))))))))))</f>
        <v>0</v>
      </c>
      <c r="C103">
        <f>IF(AND(AND(OR(B2="urinal (public)",B2="urinal (assembly)"),G2="upc"),A2=1),20,IF(AND(AND(OR(B2="urinal (public)",B2="urinal (assembly)"),G2="upc"),A2=2),35,IF(AND(AND(OR(B2="urinal (public)",B2="urinal (assembly)"),G2="upc"),A2=3),45,IF(AND(AND(OR(B2="urinal (public)",B2="urinal (assembly)"),G2="upc"),A2=4),53,IF(AND(AND(OR(B2="urinal (public)",B2="urinal (assembly)"),G2="upc"),A2&gt;=5),(53+((A2-4)*5)),IF(AND(AND(OR(B3="urinal (public)",B3="urinal (assembly)"),G2="upc"),A3=1),20,IF(AND(AND(OR(B3="urinal (public)",B3="urinal (assembly)"),G2="upc"),A3=2),35,IF(AND(AND(OR(B3="urinal (public)",B3="urinal (assembly)"),G2="upc"),A3=3),45,IF(AND(AND(OR(B3="urinal (public)",B3="urinal (assembly)"),G2="upc"),A3=4),53,IF(AND(AND(OR(B3="urinal (public)",B3="urinal (assembly)"),G2="upc"),A3&gt;=5),(53+((A3-4)*5)),IF(AND(AND(OR(B4="urinal (public)",B4="urinal (assembly)"),G2="upc"),A4=1),20,IF(AND(AND(OR(B4="urinal (public)",B4="urinal (assembly)"),G2="upc"),A4=2),35,IF(AND(AND(OR(B4="urinal (public)",B4="urinal (assembly)"),G2="upc"),A4=3),45,IF(AND(AND(OR(B4="urinal (public)",B4="urinal (assembly)"),G2="upc"),A4=4),53,IF(AND(AND(OR(B4="urinal (public)",B4="urinal (assembly)"),G2="upc"),A4&gt;=5),(53+((A4-4)*5)),IF(AND(AND(OR(B5="urinal (public)",B5="urinal (assembly)"),G2="upc"),A5=1),20,IF(AND(AND(OR(B5="urinal (public)",B5="urinal (assembly)"),G2="upc"),A5=2),35,IF(AND(AND(OR(B5="urinal (public)",B5="urinal (assembly)"),G2="upc"),A5=3),45,IF(AND(AND(OR(B5="urinal (public)",B5="urinal (assembly)"),G2="upc"),A5=4),53,IF(AND(AND(OR(B5="urinal (public)",B5="urinal (assembly)"),G2="upc"),A5&gt;=5),(53+((A5-4)*5)),IF(AND(AND(OR(B6="urinal (public)",B6="urinal (assembly)"),G2="upc"),A6=1),20,IF(AND(AND(OR(B6="urinal (public)",B6="urinal (assembly)"),G2="upc"),A6=2),35,IF(AND(AND(OR(B6="urinal (public)",B6="urinal (assembly)"),G2="upc"),A6=3),45,IF(AND(AND(OR(B6="urinal (public)",B6="urinal (assembly)"),G2="upc"),A6=4),53,IF(AND(AND(OR(B6="urinal (public)",B6="urinal (assembly)"),G2="upc"),A6&gt;=5),(53+((A6-4)*5)),IF(AND(AND(OR(B7="urinal (public)",B7="urinal (assembly)"),G2="upc"),A7=1),20,IF(AND(AND(OR(B7="urinal (public)",B7="urinal (assembly)"),G2="upc"),A7=2),35,IF(AND(AND(OR(B7="urinal (public)",B7="urinal (assembly)"),G2="upc"),A7=3),45,IF(AND(AND(OR(B7="urinal (public)",B7="urinal (assembly)"),G2="upc"),A7=4),53,IF(AND(AND(OR(B7="urinal (public)",B7="urinal (assembly)"),G2="upc"),A7&gt;=5),(53+((A7-4)*5)),IF(AND(AND(OR(B8="urinal (public)",B8="urinal (assembly)"),G2="upc"),A8=1),20,IF(AND(AND(OR(B8="urinal (public)",B8="urinal (assembly)"),G2="upc"),A8=2),35,IF(AND(AND(OR(B8="urinal (public)",B8="urinal (assembly)"),G2="upc"),A8=3),45,IF(AND(AND(OR(B8="urinal (public)",B8="urinal (assembly)"),G2="upc"),A8=4),53,IF(AND(AND(OR(B8="urinal (public)",B8="urinal (assembly)"),G2="upc"),A8&gt;=5),(53+((A8-4)*5)),IF(AND(AND(OR(B9="urinal (public)",B9="urinal (assembly)"),G2="upc"),A9=1),20,IF(AND(AND(OR(B9="urinal (public)",B9="urinal (assembly)"),G2="upc"),A9=2),35,IF(AND(AND(OR(B9="urinal (public)",B9="urinal (assembly)"),G2="upc"),A9=3),45,IF(AND(AND(OR(B9="urinal (public)",B9="urinal (assembly)"),G2="upc"),A9=4),53,IF(AND(AND(OR(B9="urinal (public)",B9="urinal (assembly)"),G2="upc"),A9&gt;=5),(53+((A9-4)*5)),IF(AND(AND(OR(B10="urinal (public)",B10="urinal (assembly)"),G2="upc"),A10=1),20,IF(AND(AND(OR(B10="urinal (public)",B10="urinal (assembly)"),G2="upc"),A10=2),35,IF(AND(AND(OR(B10="urinal (public)",B10="urinal (assembly)"),G2="upc"),A10=3),45,IF(AND(AND(OR(B10="urinal (public)",B10="urinal (assembly)"),G2="upc"),A10=4),53,IF(AND(AND(OR(B10="urinal (public)",B10="urinal (assembly)"),G2="upc"),A10&gt;=5),(53+((A10-4)*5)),IF(AND(AND(OR(B11="urinal (public)",B11="urinal (assembly)"),G2="upc"),A11=1),20,IF(AND(AND(OR(B11="urinal (public)",B11="urinal (assembly)"),G2="upc"),A11=2),35,IF(AND(AND(OR(B11="urinal (public)",B11="urinal (assembly)"),G2="upc"),A11=3),45,IF(AND(AND(OR(B11="urinal (public)",B11="urinal (assembly)"),G2="upc"),A11=4),53,IF(AND(AND(OR(B11="urinal (public)",B11="urinal (assembly)"),G2="upc"),A11&gt;=5),(53+((A11-4)*5)),0))))))))))))))))))))))))))))))))))))))))))))))))))</f>
        <v>0</v>
      </c>
      <c r="D103">
        <f>IF(AND(AND(OR(B2="water closet (fv-public)",B2="water closet (fv-assembly)"),G2="upc"),A2=1),40,IF(AND(AND(OR(B2="water closet (fv-public)",B2="water closet (fv-assembly)"),G2="upc"),A2=2),70,IF(AND(AND(OR(B2="water closet (fv-public)",B2="water closet (fv-assembly)"),G2="upc"),A2=3),90,IF(AND(AND(OR(B2="water closet (fv-public)",B2="water closet (fv-assembly)"),G2="upc"),A2=43),105,IF(AND(AND(OR(B2="water closet (fv-public)",B2="water closet (fv-assembly)"),G2="upc"),A2=5),(105+((A2-4)*10)),IF(AND(AND(OR(B3="water closet (fv-public)",B3="water closet (fv-assembly)"),G2="upc"),A3=1),40,IF(AND(AND(OR(B3="water closet (fv-public)",B3="water closet (fv-assembly)"),G2="upc"),A3=2),70,IF(AND(AND(OR(B3="water closet (fv-public)",B3="water closet (fv-assembly)"),G2="upc"),A3=3),90,IF(AND(AND(OR(B3="water closet (fv-public)",B3="water closet (fv-assembly)"),G2="upc"),A3=43),105,IF(AND(AND(OR(B3="water closet (fv-public)",B3="water closet (fv-assembly)"),G2="upc"),A3=5),(105+((A3-4)*10)),IF(AND(AND(OR(B4="water closet (fv-public)",B4="water closet (fv-assembly)"),G2="upc"),A4=1),40,IF(AND(AND(OR(B4="water closet (fv-public)",B4="water closet (fv-assembly)"),G2="upc"),A4=2),70,IF(AND(AND(OR(B4="water closet (fv-public)",B4="water closet (fv-assembly)"),G2="upc"),A4=3),90,IF(AND(AND(OR(B4="water closet (fv-public)",B4="water closet (fv-assembly)"),G2="upc"),A4=43),105,IF(AND(AND(OR(B4="water closet (fv-public)",B4="water closet (fv-assembly)"),G2="upc"),A4=5),(105+((A4-4)*10)),IF(AND(AND(OR(B5="water closet (fv-public)",B5="water closet (fv-assembly)"),G2="upc"),A5=1),40,IF(AND(AND(OR(B5="water closet (fv-public)",B5="water closet (fv-assembly)"),G2="upc"),A5=2),70,IF(AND(AND(OR(B5="water closet (fv-public)",B5="water closet (fv-assembly)"),G2="upc"),A5=3),90,IF(AND(AND(OR(B5="water closet (fv-public)",B5="water closet (fv-assembly)"),G2="upc"),A5=43),105,IF(AND(AND(OR(B5="water closet (fv-public)",B5="water closet (fv-assembly)"),G2="upc"),A5=5),(105+((A5-4)*10)),IF(AND(AND(OR(B6="water closet (fv-public)",B6="water closet (fv-assembly)"),G2="upc"),A6=1),40,IF(AND(AND(OR(B6="water closet (fv-public)",B6="water closet (fv-assembly)"),G2="upc"),A6=2),70,IF(AND(AND(OR(B6="water closet (fv-public)",B6="water closet (fv-assembly)"),G2="upc"),A6=3),90,IF(AND(AND(OR(B6="water closet (fv-public)",B6="water closet (fv-assembly)"),G2="upc"),A6=43),105,IF(AND(AND(OR(B6="water closet (fv-public)",B6="water closet (fv-assembly)"),G2="upc"),A6=5),(105+((A6-4)*10)),IF(AND(AND(OR(B7="water closet (fv-public)",B7="water closet (fv-assembly)"),G2="upc"),A7=1),40,IF(AND(AND(OR(B7="water closet (fv-public)",B7="water closet (fv-assembly)"),G2="upc"),A7=2),70,IF(AND(AND(OR(B7="water closet (fv-public)",B7="water closet (fv-assembly)"),G2="upc"),A7=3),90,IF(AND(AND(OR(B7="water closet (fv-public)",B7="water closet (fv-assembly)"),G2="upc"),A7=43),105,IF(AND(AND(OR(B7="water closet (fv-public)",B7="water closet (fv-assembly)"),G2="upc"),A7=5),(105+((A7-4)*10)),IF(AND(AND(OR(B8="water closet (fv-public)",B8="water closet (fv-assembly)"),G2="upc"),A8=1),40,IF(AND(AND(OR(B8="water closet (fv-public)",B8="water closet (fv-assembly)"),G2="upc"),A8=2),70,IF(AND(AND(OR(B8="water closet (fv-public)",B8="water closet (fv-assembly)"),G2="upc"),A8=3),90,IF(AND(AND(OR(B8="water closet (fv-public)",B8="water closet (fv-assembly)"),G2="upc"),A8=43),105,IF(AND(AND(OR(B8="water closet (fv-public)",B8="water closet (fv-assembly)"),G2="upc"),A8=5),(105+((A8-4)*10)),IF(AND(AND(OR(B9="water closet (fv-public)",B9="water closet (fv-assembly)"),G2="upc"),A9=1),40,IF(AND(AND(OR(B9="water closet (fv-public)",B9="water closet (fv-assembly)"),G2="upc"),A9=2),70,IF(AND(AND(OR(B9="water closet (fv-public)",B9="water closet (fv-assembly)"),G2="upc"),A9=3),90,IF(AND(AND(OR(B9="water closet (fv-public)",B9="water closet (fv-assembly)"),G2="upc"),A9=43),105,IF(AND(AND(OR(B9="water closet (fv-public)",B9="water closet (fv-assembly)"),G2="upc"),A9=5),(105+((A9-4)*10)),IF(AND(AND(OR(B10="water closet (fv-public)",B10="water closet (fv-assembly)"),G2="upc"),A10=1),40,IF(AND(AND(OR(B10="water closet (fv-public)",B10="water closet (fv-assembly)"),G2="upc"),A10=2),70,IF(AND(AND(OR(B10="water closet (fv-public)",B10="water closet (fv-assembly)"),G2="upc"),A10=3),90,IF(AND(AND(OR(B10="water closet (fv-public)",B10="water closet (fv-assembly)"),G2="upc"),A10=43),105,IF(AND(AND(OR(B10="water closet (fv-public)",B10="water closet (fv-assembly)"),G2="upc"),A10=5),(105+((A10-4)*10)),IF(AND(AND(OR(B11="water closet (fv-public)",B11="water closet (fv-assembly)"),G2="upc"),A11=1),40,IF(AND(AND(OR(B11="water closet (fv-public)",B11="water closet (fv-assembly)"),G2="upc"),A11=2),70,IF(AND(AND(OR(B11="water closet (fv-public)",B11="water closet (fv-assembly)"),G2="upc"),A11=3),90,IF(AND(AND(OR(B11="water closet (fv-public)",B11="water closet (fv-assembly)"),G2="upc"),A11=43),105,IF(AND(AND(OR(B11="water closet (fv-public)",B11="water closet (fv-assembly)"),G2="upc"),A11=5),(105+((A11-4)*10)),0))))))))))))))))))))))))))))))))))))))))))))))))))</f>
        <v>0</v>
      </c>
      <c r="E103" s="66" t="s">
        <v>432</v>
      </c>
      <c r="F103">
        <f>IF(AND(AND(AND(OR(B2=B78,B2=B79,B2=B80,B2=B81),D12&lt;=8),A2&gt;0),A2&lt;4),"3""",IF(AND(AND(AND(OR(B3=B78,B3=B79,B3=B80,B3=B81),D12&lt;=8),A3&gt;0),A3&lt;4),"3""",IF(AND(AND(AND(OR(B4=B78,B4=B79,B4=B80,B4=B81),D12&lt;=8),A4&gt;0),A4&lt;4),"3""",IF(AND(AND(AND(OR(B5=B78,B5=B79,B5=B80,B5=B81),D12&lt;=8),A5&gt;0),A5&lt;4),"3""",IF(AND(AND(AND(OR(B6=B78,B6=B79,B6=B80,B6=B81),D12&lt;=8),A6&gt;0),A6&lt;4),"3""",IF(AND(AND(AND(OR(B7=B78,B7=B79,B7=B80,B7=B81),D12&lt;=8),A7&gt;0),A7&lt;4),"3""",IF(AND(AND(AND(OR(B8=B78,B8=B79,B8=B80,B8=B81),D12&lt;=8),A8&gt;0),A8&lt;4),"3""",IF(AND(AND(AND(OR(B9=B78,B9=B79,B9=B80,B9=B81),D12&lt;=8),A9&gt;0),A9&lt;4),"3""",IF(AND(AND(AND(OR(B9=B78,B9=B79,B9=B80,B9=B81),D12&lt;=8),A9&gt;0),A9&lt;4),"3""",IF(AND(AND(AND(OR(B10=B78,B10=B79,B10=B80,B10=B81),D12&lt;=8),A10&gt;0),A10&lt;4),"3""",IF(AND(AND(AND(OR(B11=B78,B11=B79,B11=B80,B11=B81),D12&lt;=8),A11&gt;0),A11&lt;4),"3""",0)))))))))))</f>
        <v>0</v>
      </c>
      <c r="G103">
        <f>IF(AND(AND(AND(OR(B2=B49,B2=B50,B2=B51,B2=B52),D12&lt;=21),A2&gt;0),A2&lt;4),"3""",IF(AND(AND(AND(OR(B3=B49,B3=B50,B3=B51,B3=B52),D12&lt;=21),A3&gt;0),A3&lt;4),"3""",IF(AND(AND(AND(OR(B4=B49,B4=B50,B4=B51,B4=B52),D12&lt;=21),A4&gt;0),A4&lt;4),"3""",IF(AND(AND(AND(OR(B5=B49,B5=B50,B5=B51,B5=B52),D12&lt;=21),A5&gt;0),A5&lt;4),"3""",IF(AND(AND(AND(OR(B6=B49,B6=B50,B6=B51,B6=B52),D12&lt;=21),A6&gt;0),A6&lt;4),"3""",IF(AND(AND(AND(OR(B7=B49,B7=B50,B7=B51,B7=B52),D12&lt;=21),A7&gt;0),A7&lt;4),"3""",IF(AND(AND(AND(OR(B8=B49,B8=B50,B8=B51,B8=B52),D12&lt;=21),A8&gt;0),A8&lt;4),"3""",IF(AND(AND(AND(OR(B9=B49,B9=B50,B9=B51,B9=B52),D12&lt;=21),A9&gt;0),A9&lt;4),"3""",IF(AND(AND(AND(OR(B9=B49,B9=B50,B9=B51,B9=B52),D12&lt;=21),A9&gt;0),A9&lt;4),"3""",IF(AND(AND(AND(OR(B10=B49,B10=B50,B10=B51,B10=B52),D12&lt;=21),A10&gt;0),A10&lt;4),"3""",IF(AND(AND(AND(OR(B11=B49,B11=B50,B11=B51,B11=B52),D12&lt;=21),A11&gt;0),A11&lt;4),"3""",0)))))))))))</f>
        <v>0</v>
      </c>
    </row>
    <row r="104" spans="1:12" hidden="1" x14ac:dyDescent="0.2"/>
    <row r="105" spans="1:12" hidden="1" x14ac:dyDescent="0.2"/>
    <row r="106" spans="1:12" hidden="1" x14ac:dyDescent="0.2"/>
    <row r="107" spans="1:12" hidden="1" x14ac:dyDescent="0.2">
      <c r="B107" s="237" t="str">
        <f>G3</f>
        <v>30-39</v>
      </c>
      <c r="C107" s="124">
        <v>40</v>
      </c>
      <c r="D107" s="124">
        <v>60</v>
      </c>
      <c r="E107" s="124">
        <v>80</v>
      </c>
      <c r="F107" s="124">
        <v>100</v>
      </c>
      <c r="G107" s="124">
        <v>150</v>
      </c>
      <c r="H107" s="124">
        <v>200</v>
      </c>
      <c r="I107" s="124">
        <v>250</v>
      </c>
      <c r="J107" s="124">
        <v>300</v>
      </c>
      <c r="K107" s="124">
        <v>400</v>
      </c>
      <c r="L107" s="124">
        <v>500</v>
      </c>
    </row>
    <row r="108" spans="1:12" hidden="1" x14ac:dyDescent="0.2">
      <c r="B108" s="237" t="s">
        <v>56</v>
      </c>
      <c r="C108" s="124">
        <f>IF(AND(AND(G2="IPC"),B107="30-39",G4=C107),9.5,IF(AND(AND(G2="IPC"),B107="40-49",G4=C107),9.5,IF(AND(AND(G2="IPC"),B107="50-60",G4=C107),9.5,IF(AND(AND(G2="UPC"),B107="30-45",G4=C107),16,IF(AND(AND(G2="UPC"),B107="46-60",G4=C107),20,0)))))</f>
        <v>0</v>
      </c>
      <c r="D108" s="124">
        <f>IF(AND(AND(G2="IPC"),B107="30-39",G4=D107),7.5,IF(AND(AND(G2="IPC"),B107="40-49",G4=D107),9.5,IF(AND(AND(G2="IPC"),B107="50-60",G4=D107),9.5,IF(AND(AND(G2="UPC"),B107="30-45",G4=D107),16,IF(AND(AND(G2="UPC"),B107="46-60",G4=D107),20,0)))))</f>
        <v>0</v>
      </c>
      <c r="E108" s="124">
        <f>IF(AND(AND(G2="IPC"),B107="30-39",G4=E107),6,IF(AND(AND(G2="IPC"),B107="40-49",G4=E107),8.5,IF(AND(AND(G2="IPC"),B107="50-60",G4=E107),9.5,IF(AND(AND(G2="UPC"),B107="30-45",G4=E107),14,IF(AND(AND(G2="UPC"),B107="46-60",G4=E107),19,0)))))</f>
        <v>0</v>
      </c>
      <c r="F108" s="124">
        <f>IF(AND(AND(G2="IPC"),B107="30-39",G4=F107),5.5,IF(AND(AND(G2="IPC"),B107="40-49",G4=F107),7,IF(AND(AND(G2="IPC"),B107="50-60",G4=F107),8.5,IF(AND(AND(G2="UPC"),B107="30-45",G4=F107),12,IF(AND(AND(G2="UPC"),B107="46-60",G4=F107),17,0)))))</f>
        <v>5.5</v>
      </c>
      <c r="G108" s="124">
        <f>IF(AND(AND(G2="IPC"),B107="30-39",G4=G107),4,IF(AND(AND(G2="IPC"),B107="40-49",G4=G107),5.5,IF(AND(AND(G2="IPC"),B107="50-60",G4=G107),6.5,IF(AND(AND(G2="UPC"),B107="30-45",G4=G107),9,IF(AND(AND(G2="UPC"),B107="46-60",G4=G107),14,0)))))</f>
        <v>0</v>
      </c>
      <c r="H108" s="124">
        <f>IF(AND(AND(G2="IPC"),B107="30-39",G4=H107),3.5,IF(AND(AND(G2="IPC"),B107="40-49",G4=H107),4.5,IF(AND(AND(G2="IPC"),B107="50-60",G4=H107),5,IF(AND(AND(G2="UPC"),B107="30-45",G4=H107),6,IF(AND(AND(G2="UPC"),B107="46-60",G4=H107),11,0)))))</f>
        <v>0</v>
      </c>
      <c r="I108" s="124">
        <f>IF(AND(AND(G2="IPC"),B107="30-39",G4=I107),3,IF(AND(AND(G2="IPC"),B107="40-49",G4=I107),3.5,IF(AND(AND(G2="IPC"),B107="50-60",G4=I107),4.5,IF(AND(AND(G2="UPC"),B107="30-45",G4=I107),5,IF(AND(AND(G2="UPC"),B107="46-60",G4=I107),9,0)))))</f>
        <v>0</v>
      </c>
      <c r="J108" s="124">
        <f>IF(AND(AND(G2="IPC"),B107="30-39",G4=J107),2.5,IF(AND(AND(G2="IPC"),B107="40-49",G4=J107),3,IF(AND(AND(G2="IPC"),B107="50-60",G4=J107),4,IF(AND(AND(G2="UPC"),B107="30-45",G4=J107),5,IF(AND(AND(G2="UPC"),B107="46-60",G4=J107),8,0)))))</f>
        <v>0</v>
      </c>
      <c r="K108" s="124">
        <f>IF(AND(AND(G2="IPC"),B107="30-39",G4=K107),2,IF(AND(AND(G2="IPC"),B107="40-49",G4=K107),2.5,IF(AND(AND(G2="IPC"),B107="50-60",G4=K107),3,IF(AND(AND(G2="UPC"),B107="30-45",G4=K107),4,IF(AND(AND(G2="UPC"),B107="46-60",G4=K107),6,0)))))</f>
        <v>0</v>
      </c>
      <c r="L108" s="124">
        <f>IF(AND(AND(G2="IPC"),B107="30-39",G4=L107),1.5,IF(AND(AND(G2="IPC"),B107="40-49",G4=L107),2,IF(AND(AND(G2="IPC"),B107="50-60",G4=L107),2.5,IF(AND(AND(G2="UPC"),B107="30-45",G4=L107),4,IF(AND(AND(G2="UPC"),B107="46-60",G4=L107),5,0)))))</f>
        <v>0</v>
      </c>
    </row>
    <row r="109" spans="1:12" hidden="1" x14ac:dyDescent="0.2">
      <c r="B109" s="237" t="s">
        <v>55</v>
      </c>
      <c r="C109" s="124">
        <f>IF(AND(AND(G2="IPC"),B107="30-39",G4=C107),32,IF(AND(AND(G2="IPC"),B107="40-49",G4=C107),32,IF(AND(AND(G2="IPC"),B107="50-60",G4=C107),32,IF(AND(AND(G2="uPC"),B107="30-45",G4=C107),36,IF(AND(AND(G2="UPC"),B107="46-60",G4=C107),390,0)))))</f>
        <v>0</v>
      </c>
      <c r="D109" s="124">
        <f>IF(AND(AND(G2="IPC"),B107="30-39",G4=D107),32,IF(AND(AND(G2="IPC"),B107="40-49",G4=D107),32,IF(AND(AND(G2="IPC"),B107="50-60",G4=D107),32,IF(AND(AND(G2="UPC"),B107="30-45",G4=D107),31,IF(AND(AND(G2="UPC"),B107="46-60",G4=D107),39,0)))))</f>
        <v>0</v>
      </c>
      <c r="E109" s="124">
        <f>IF(AND(AND(G2="IPC"),B107="30-39",G4=E107),27,IF(AND(AND(G2="IPC"),B107="40-49",G4=E107),32,IF(AND(AND(G2="IPC"),B107="50-60",G4=E107),32,IF(AND(AND(G2="UPC"),B107="30-45",G4=E107),27,IF(AND(AND(G2="UPC"),B107="46-60",G4=E107),39,0)))))</f>
        <v>0</v>
      </c>
      <c r="F109" s="124">
        <f>IF(AND(AND(G2="IPC"),B107="30-39",G4=F107),21,IF(AND(AND(G2="IPC"),B107="40-49",G4=F107),32,IF(AND(AND(G2="IPC"),B107="50-60",G4=F107),32,IF(AND(AND(G2="UPC"),B107="30-45",G4=F107),25,IF(AND(AND(G2="UPC"),B107="46-60",G4=F107),36,0)))))</f>
        <v>21</v>
      </c>
      <c r="G109" s="124">
        <f>IF(AND(AND(G2="IPC"),B107="30-39",G4=G107),13.5,IF(AND(AND(G2="IPC"),B107="40-49",G4=G107),21,IF(AND(AND(G2="IPC"),B107="50-60",G4=G107),30,IF(AND(AND(G2="UPC"),B107="30-45",G4=G107),20,IF(AND(AND(G2="UPC"),B107="46-60",G4=G107),30,0)))))</f>
        <v>0</v>
      </c>
      <c r="H109" s="124">
        <f>IF(AND(AND(G2="IPC"),B107="30-39",G4=H107),10,IF(AND(AND(G2="IPC"),B107="40-49",G4=H107),15,IF(AND(AND(G2="IPC"),B107="50-60",G4=H107),22,IF(AND(AND(G2="UPC"),B107="30-45",G4=H107),17,IF(AND(AND(G2="UPC"),B107="46-60",G4=H107),25,0)))))</f>
        <v>0</v>
      </c>
      <c r="I109" s="124">
        <f>IF(AND(AND(G2="IPC"),B107="30-39",G4=I107),8,IF(AND(AND(G2="IPC"),B107="40-49",G4=I107),11.5,IF(AND(AND(G2="IPC"),B107="50-60",G4=I107),16.5,IF(AND(AND(G2="UPC"),B107="30-45",G4=I107),15,IF(AND(AND(G2="UPC"),B107="46-60",G4=I107),23,0)))))</f>
        <v>0</v>
      </c>
      <c r="J109" s="124">
        <f>IF(AND(AND(G2="IPC"),B107="30-39",G4=J107),7,IF(AND(AND(G2="IPC"),B107="40-49",G4=J107),9.5,IF(AND(AND(G2="IPC"),B107="50-60",G4=J107),13,IF(AND(AND(G2="UPC"),B107="30-45",G4=J107),13,IF(AND(AND(G2="UPC"),B107="46-60",G4=J107),20,0)))))</f>
        <v>0</v>
      </c>
      <c r="K109" s="124">
        <f>IF(AND(AND(G2="IPC"),B107="30-39",G4=K107),5.5,IF(AND(AND(G2="IPC"),B107="40-49",G4=K107),7.5,IF(AND(AND(G2="IPC"),B107="50-60",G4=K107),10,IF(AND(AND(G2="UPC"),B107="30-45",G4=K107),12,IF(AND(AND(G2="UPC"),B107="46-60",G4=K107),18,0)))))</f>
        <v>0</v>
      </c>
      <c r="L109" s="124">
        <f>IF(AND(AND(G2="IPC"),B107="30-39",G4=L107),5,IF(AND(AND(G2="IPC"),B107="40-49",G4=L107),6.5,IF(AND(AND(G2="IPC"),B107="50-60",G4=L107),8,IF(AND(AND(G2="UPC"),B107="30-45",G4=L107),10,IF(AND(AND(G2="UPC"),B107="46-60",G4=L107),15,0)))))</f>
        <v>0</v>
      </c>
    </row>
    <row r="110" spans="1:12" hidden="1" x14ac:dyDescent="0.2">
      <c r="B110" s="237" t="s">
        <v>223</v>
      </c>
      <c r="C110" s="124">
        <f>IF(AND(AND(G2="IPC"),B107="30-39",G4=C107),80,IF(AND(AND(G2="IPC"),B107="40-49",G4=C107),80,IF(AND(AND(G2="IPC"),B107="50-60",G4=C107),80,IF(AND(AND(G2="uPC"),B107="30-45",G4=C107),78,IF(AND(AND(G2="UPC"),B107="46-60",G4=C107),78,0)))))</f>
        <v>0</v>
      </c>
      <c r="D110" s="124">
        <f>IF(AND(AND(G2="IPC"),B107="30-39",G4=D107),80,IF(AND(AND(G2="IPC"),B107="40-49",G4=D107),80,IF(AND(AND(G2="IPC"),B107="50-60",G4=D107),80,IF(AND(AND(G2="UPC"),B107="30-45",G4=D107),68,IF(AND(AND(G2="UPC"),B107="46-60",G4=D107),78,0)))))</f>
        <v>0</v>
      </c>
      <c r="E110" s="124">
        <f>IF(AND(AND(G2="IPC"),B107="30-39",G4=E107),80,IF(AND(AND(G2="IPC"),B107="40-49",G4=E107),80,IF(AND(AND(G2="IPC"),B107="50-60",G4=E107),80,IF(AND(AND(G2="UPC"),B107="30-45",G4=E107),57,IF(AND(AND(G2="UPC"),B107="46-60",G4=E107),78,0)))))</f>
        <v>0</v>
      </c>
      <c r="F110" s="124">
        <f>IF(AND(AND(G2="IPC"),B107="30-39",G4=F107),75,IF(AND(AND(G2="IPC"),B107="40-49",G4=F107),80,IF(AND(AND(G2="IPC"),B107="50-60",G4=F107),80,IF(AND(AND(G2="UPC"),B107="30-45",G4=F107),48,IF(AND(AND(G2="UPC"),B107="46-60",G4=F107),78,0)))))</f>
        <v>75</v>
      </c>
      <c r="G110" s="124">
        <f>IF(AND(AND(G2="IPC"),B107="30-39",G4=G107),54,IF(AND(AND(G2="IPC"),B107="40-49",G4=G107),75,IF(AND(AND(G2="IPC"),B107="50-60",G4=G107),80,IF(AND(AND(G2="UPC"),B107="30-45",G4=G107),38,IF(AND(AND(G2="UPC"),B107="46-60",G4=G107),66,0)))))</f>
        <v>0</v>
      </c>
      <c r="H110" s="124">
        <f>IF(AND(AND(G2="IPC"),B107="30-39",G4=H107),40,IF(AND(AND(G2="IPC"),B107="40-49",G4=H107),59,IF(AND(AND(G2="IPC"),B107="50-60",G4=H107),75,IF(AND(AND(G2="UPC"),B107="30-45",G4=H107),32,IF(AND(AND(G2="UPC"),B107="46-60",G4=H107),52,0)))))</f>
        <v>0</v>
      </c>
      <c r="I110" s="124">
        <f>IF(AND(AND(G2="IPC"),B107="30-39",G4=I107),31,IF(AND(AND(G2="IPC"),B107="40-49",G4=I107),48,IF(AND(AND(G2="IPC"),B107="50-60",G4=I107),63,IF(AND(AND(G2="UPC"),B107="30-45",G4=I107),28,IF(AND(AND(G2="UPC"),B107="46-60",G4=I107),44,0)))))</f>
        <v>0</v>
      </c>
      <c r="J110" s="124">
        <f>IF(AND(AND(G2="IPC"),B107="30-39",G4=J107),25,IF(AND(AND(G2="IPC"),B107="40-49",G4=J107),39,IF(AND(AND(G2="IPC"),B107="50-60",G4=J107),53,IF(AND(AND(G2="UPC"),B107="30-45",G4=J107),25,IF(AND(AND(G2="UPC"),B107="46-60",G4=J107),39,0)))))</f>
        <v>0</v>
      </c>
      <c r="K110" s="124">
        <f>IF(AND(AND(G2="IPC"),B107="30-39",G4=K107),17.5,IF(AND(AND(G2="IPC"),B107="40-49",G4=K107),28,IF(AND(AND(G2="IPC"),B107="50-60",G4=K107),39,IF(AND(AND(G2="UPC"),B107="30-45",G4=K107),21,IF(AND(AND(G2="UPC"),B107="46-60",G4=K107),33,0)))))</f>
        <v>0</v>
      </c>
      <c r="L110" s="124">
        <f>IF(AND(AND(G2="IPC"),B107="30-39",G4=L107),13,IF(AND(AND(G2="IPC"),B107="40-49",G4=L107),21,IF(AND(AND(G2="IPC"),B107="50-60",G4=L107),29,IF(AND(AND(G2="UPC"),B107="30-45",G4=L107),18,IF(AND(AND(G2="UPC"),B107="46-60",G4=L107),29,0)))))</f>
        <v>0</v>
      </c>
    </row>
    <row r="111" spans="1:12" hidden="1" x14ac:dyDescent="0.2">
      <c r="B111" s="237" t="s">
        <v>224</v>
      </c>
      <c r="C111" s="124">
        <f>IF(AND(AND(G2="IPC"),B107="30-39",G4=C107),151,IF(AND(AND(G2="IPC"),B107="40-49",G4=C107),151,IF(AND(AND(G2="IPC"),B107="50-60",G4=C107),151,IF(AND(AND(G2="uPC"),B107="30-45",G4=C107),151,IF(AND(AND(G2="UPC"),B107="46-60",G4=C107),151,0)))))</f>
        <v>0</v>
      </c>
      <c r="D111" s="124">
        <f>IF(AND(AND(G2="IPC"),B107="30-39",G4=D107),151,IF(AND(AND(G2="IPC"),B107="40-49",G4=D107),151,IF(AND(AND(G2="IPC"),B107="50-60",G4=D107),151,IF(AND(AND(G2="UPC"),B107="30-45",G4=D107),129,IF(AND(AND(G2="UPC"),B107="46-60",G4=D107),151,0)))))</f>
        <v>0</v>
      </c>
      <c r="E111" s="124">
        <f>IF(AND(AND(G2="IPC"),B107="30-39",G4=E107),151,IF(AND(AND(G2="IPC"),B107="40-49",G4=E107),151,IF(AND(AND(G2="IPC"),B107="50-60",G4=E107),151,IF(AND(AND(G2="UPC"),B107="30-45",G4=E107),129,IF(AND(AND(G2="UPC"),B107="46-60",G4=E107),151,0)))))</f>
        <v>0</v>
      </c>
      <c r="F111" s="124">
        <f>IF(AND(AND(G2="IPC"),B107="30-39",G4=F107),151,IF(AND(AND(G2="IPC"),B107="40-49",G4=F107),151,IF(AND(AND(G2="IPC"),B107="50-60",G4=F107),151,IF(AND(AND(G2="UPC"),B107="30-45",G4=F107),110,IF(AND(AND(G2="UPC"),B107="46-60",G4=F107),151,0)))))</f>
        <v>151</v>
      </c>
      <c r="G111" s="124">
        <f>IF(AND(AND(G2="IPC"),B107="30-39",G4=G107),128,IF(AND(AND(G2="IPC"),B107="40-49",G4=G107),151,IF(AND(AND(G2="IPC"),B107="50-60",G4=G107),151,IF(AND(AND(G2="UPC"),B107="30-45",G4=G107),80,IF(AND(AND(G2="UPC"),B107="46-60",G4=G107),150,0)))))</f>
        <v>0</v>
      </c>
      <c r="H111" s="124">
        <f>IF(AND(AND(G2="IPC"),B107="30-39",G4=H107),99,IF(AND(AND(G2="IPC"),B107="40-49",G4=H107),139,IF(AND(AND(G2="IPC"),B107="50-60",G4=H107),151,IF(AND(AND(G2="UPC"),B107="30-45",G4=H107),64,IF(AND(AND(G2="UPC"),B107="46-60",G4=H107),117,0)))))</f>
        <v>0</v>
      </c>
      <c r="I111" s="124">
        <f>IF(AND(AND(G2="IPC"),B107="30-39",G4=I107),83,IF(AND(AND(G2="IPC"),B107="40-49",G4=I107),115,IF(AND(AND(G2="IPC"),B107="50-60",G4=I107),146,IF(AND(AND(G2="UPC"),B107="30-45",G4=I107),53,IF(AND(AND(G2="UPC"),B107="46-60",G4=I107),98,0)))))</f>
        <v>0</v>
      </c>
      <c r="J111" s="124">
        <f>IF(AND(AND(G2="IPC"),B107="30-39",G4=J107),72,IF(AND(AND(G2="IPC"),B107="40-49",G4=J107),98,IF(AND(AND(G2="IPC"),B107="50-60",G4=J107),126,IF(AND(AND(G2="UPC"),B107="30-45",G4=J107),46,IF(AND(AND(G2="UPC"),B107="46-60",G4=J107),84,0)))))</f>
        <v>0</v>
      </c>
      <c r="K111" s="124">
        <f>IF(AND(AND(G2="IPC"),B107="30-39",G4=K107),56,IF(AND(AND(G2="IPC"),B107="40-49",G4=K107),77,IF(AND(AND(G2="IPC"),B107="50-60",G4=K107),97,IF(AND(AND(G2="UPC"),B107="30-45",G4=K107),38,IF(AND(AND(G2="UPC"),B107="46-60",G4=K107),67,0)))))</f>
        <v>0</v>
      </c>
      <c r="L111" s="124">
        <f>IF(AND(AND(G2="IPC"),B107="30-39",G4=L107),45,IF(AND(AND(G2="IPC"),B107="40-49",G4=L107),64,IF(AND(AND(G2="IPC"),B107="50-60",G4=L107),81,IF(AND(AND(G2="UPC"),B107="30-45",G4=L107),32,IF(AND(AND(G2="UPC"),B107="46-60",G4=L107),55,0)))))</f>
        <v>0</v>
      </c>
    </row>
    <row r="112" spans="1:12" hidden="1" x14ac:dyDescent="0.2">
      <c r="B112" s="237" t="s">
        <v>72</v>
      </c>
      <c r="C112" s="124">
        <f>IF(AND(AND(G2="IPC"),B107="30-39",G4=C107),365,IF(AND(AND(G2="IPC"),B107="40-49",G4=C107),365,IF(AND(AND(G2="IPC"),B107="50-60",G4=C107),365,IF(AND(AND(G2="uPC"),B107="30-45",G4=C107),370,IF(AND(AND(G2="UPC"),B107="46-60",G4=C107),370,0)))))</f>
        <v>0</v>
      </c>
      <c r="D112" s="124">
        <f>IF(AND(AND(G2="IPC"),B107="30-39",G4=D107),365,IF(AND(AND(G2="IPC"),B107="40-49",G4=D107),365,IF(AND(AND(G2="IPC"),B107="50-60",G4=D107),365,IF(AND(AND(G2="UPC"),B107="30-45",G4=D107),327,IF(AND(AND(G2="UPC"),B107="46-60",G4=D107),370,0)))))</f>
        <v>0</v>
      </c>
      <c r="E112" s="124">
        <f>IF(AND(AND(G2="IPC"),B107="30-39",G4=E107),365,IF(AND(AND(G2="IPC"),B107="40-49",G4=E107),365,IF(AND(AND(G2="IPC"),B107="50-60",G4=E107),365,IF(AND(AND(G2="UPC"),B107="30-45",G4=E107),292,IF(AND(AND(G2="UPC"),B107="46-60",G4=E107),370,0)))))</f>
        <v>0</v>
      </c>
      <c r="F112" s="124">
        <f>IF(AND(AND(G2="IPC"),B107="30-39",G4=F107),365,IF(AND(AND(G2="IPC"),B107="40-49",G4=F107),365,IF(AND(AND(G2="IPC"),B107="50-60",G4=F107),365,IF(AND(AND(G2="UPC"),B107="30-45",G4=F107),265,IF(AND(AND(G2="UPC"),B107="46-60",G4=F107),370,0)))))</f>
        <v>365</v>
      </c>
      <c r="G112" s="124">
        <f>IF(AND(AND(G2="IPC"),B107="30-39",G4=G107),318,IF(AND(AND(G2="IPC"),B107="40-49",G4=G107),365,IF(AND(AND(G2="IPC"),B107="50-60",G4=G107),365,IF(AND(AND(G2="UPC"),B107="30-45",G4=G107),217,IF(AND(AND(G2="UPC"),B107="46-60",G4=G107),368,0)))))</f>
        <v>0</v>
      </c>
      <c r="H112" s="124">
        <f>IF(AND(AND(G2="IPC"),B107="30-39",G4=H107),266,IF(AND(AND(G2="IPC"),B107="40-49",G4=H107),349,IF(AND(AND(G2="IPC"),B107="50-60",G4=H107),365,IF(AND(AND(G2="UPC"),B107="30-45",G4=H107),185,IF(AND(AND(G2="UPC"),B107="46-60",G4=H107),318,0)))))</f>
        <v>0</v>
      </c>
      <c r="I112" s="124">
        <f>IF(AND(AND(G2="IPC"),B107="30-39",G4=I107),229,IF(AND(AND(G2="IPC"),B107="40-49",G4=I107),304,IF(AND(AND(G2="IPC"),B107="50-60",G4=I107),365,IF(AND(AND(G2="UPC"),B107="30-45",G4=I107),164,IF(AND(AND(G2="UPC"),B107="46-60",G4=I107),280,0)))))</f>
        <v>0</v>
      </c>
      <c r="J112" s="124">
        <f>IF(AND(AND(G2="IPC"),B107="30-39",G4=J107),201,IF(AND(AND(G2="IPC"),B107="40-49",G4=J107),270,IF(AND(AND(G2="IPC"),B107="50-60",G4=J107),329,IF(AND(AND(G2="UPC"),B107="30-45",G4=J107),147,IF(AND(AND(G2="UPC"),B107="46-60",G4=J107),250,0)))))</f>
        <v>0</v>
      </c>
      <c r="K112" s="124">
        <f>IF(AND(AND(G2="IPC"),B107="30-39",G4=K107),160,IF(AND(AND(G2="IPC"),B107="40-49",G4=K107),220,IF(AND(AND(G2="IPC"),B107="50-60",G4=K107),272,IF(AND(AND(G2="UPC"),B107="30-45",G4=K107),124,IF(AND(AND(G2="UPC"),B107="46-60",G4=K107),205,0)))))</f>
        <v>0</v>
      </c>
      <c r="L112" s="124">
        <f>IF(AND(AND(G2="IPC"),B107="30-39",G4=L107),134,IF(AND(AND(G2="IPC"),B107="40-49",G4=L107),185,IF(AND(AND(G2="IPC"),B107="50-60",G4=L107),232,IF(AND(AND(G2="UPC"),B107="30-45",G4=L107),96,IF(AND(AND(G2="UPC"),B107="46-60",G4=L107),165,0)))))</f>
        <v>0</v>
      </c>
    </row>
    <row r="113" spans="2:12" hidden="1" x14ac:dyDescent="0.2">
      <c r="B113" s="237" t="s">
        <v>239</v>
      </c>
      <c r="C113" s="124">
        <f>IF(AND(AND(G2="IPC"),B107="30-39",G4=C107),533,IF(AND(AND(G2="IPC"),B107="40-49",G4=C107),533,IF(AND(AND(G2="IPC"),B107="50-60",G4=C107),533,IF(AND(AND(G2="uPC"),B107="30-45",G4=C107),445,IF(AND(AND(G2="UPC"),B107="46-60",G4=C107),654,0)))))</f>
        <v>0</v>
      </c>
      <c r="D113" s="124">
        <f>IF(AND(AND(G2="IPC"),B107="30-39",G4=D107),533,IF(AND(AND(G2="IPC"),B107="40-49",G4=D107),533,IF(AND(AND(G2="IPC"),B107="50-60",G4=D107),533,IF(AND(AND(G2="UPC"),B107="30-45",G4=D107),418,IF(AND(AND(G2="UPC"),B107="46-60",G4=D107),640,0)))))</f>
        <v>0</v>
      </c>
      <c r="E113" s="124">
        <f>IF(AND(AND(G2="IPC"),B107="30-39",G4=E107),533,IF(AND(AND(G2="IPC"),B107="40-49",G4=E107),533,IF(AND(AND(G2="IPC"),B107="50-60",G4=E107),533,IF(AND(AND(G2="UPC"),B107="30-45",G4=E107),390,IF(AND(AND(G2="UPC"),B107="46-60",G4=E107),610,0)))))</f>
        <v>0</v>
      </c>
      <c r="F113" s="124">
        <f>IF(AND(AND(G2="IPC"),B107="30-39",G4=F107),533,IF(AND(AND(G2="IPC"),B107="40-49",G4=F107),533,IF(AND(AND(G2="IPC"),B107="50-60",G4=F107),533,IF(AND(AND(G2="UPC"),B107="30-45",G4=F107),370,IF(AND(AND(G2="UPC"),B107="46-60",G4=F107),580,0)))))</f>
        <v>533</v>
      </c>
      <c r="G113" s="124">
        <f>IF(AND(AND(G2="IPC"),B107="30-39",G4=G107),533,IF(AND(AND(G2="IPC"),B107="40-49",G4=G107),533,IF(AND(AND(G2="IPC"),B107="50-60",G4=G107),533,IF(AND(AND(G2="UPC"),B107="30-45",G4=G107),330,IF(AND(AND(G2="UPC"),B107="46-60",G4=G107),535,0)))))</f>
        <v>0</v>
      </c>
      <c r="H113" s="124">
        <f>IF(AND(AND(G2="IPC"),B107="30-39",G4=H107),495,IF(AND(AND(G2="IPC"),B107="40-49",G4=H107),533,IF(AND(AND(G2="IPC"),B107="50-60",G4=H107),533,IF(AND(AND(G2="UPC"),B107="30-45",G4=H107),300,IF(AND(AND(G2="UPC"),B107="46-60",G4=H107),500,0)))))</f>
        <v>0</v>
      </c>
      <c r="I113" s="124">
        <f>IF(AND(AND(G2="IPC"),B107="30-39",G4=I107),448,IF(AND(AND(G2="IPC"),B107="40-49",G4=I107),533,IF(AND(AND(G2="IPC"),B107="50-60",G4=I107),533,IF(AND(AND(G2="UPC"),B107="30-45",G4=I107),280,IF(AND(AND(G2="UPC"),B107="46-60",G4=I107),470,0)))))</f>
        <v>0</v>
      </c>
      <c r="J113" s="124">
        <f>IF(AND(AND(G2="IPC"),B107="30-39",G4=J107),409,IF(AND(AND(G2="IPC"),B107="40-49",G4=J107),528,IF(AND(AND(G2="IPC"),B107="50-60",G4=J107),533,IF(AND(AND(G2="UPC"),B107="30-45",G4=J107),265,IF(AND(AND(G2="UPC"),B107="46-60",G4=J107),440,0)))))</f>
        <v>0</v>
      </c>
      <c r="K113" s="124">
        <f>IF(AND(AND(G2="IPC"),B107="30-39",G4=K107),353,IF(AND(AND(G2="IPC"),B107="40-49",G4=K107),456,IF(AND(AND(G2="IPC"),B107="50-60",G4=K107),533,IF(AND(AND(G2="UPC"),B107="30-45",G4=K107),240,IF(AND(AND(G2="UPC"),B107="46-60",G4=K107),400,0)))))</f>
        <v>0</v>
      </c>
      <c r="L113" s="124">
        <f>IF(AND(AND(G2="IPC"),B107="30-39",G4=L107),311,IF(AND(AND(G2="IPC"),B107="40-49",G4=L107),403,IF(AND(AND(G2="IPC"),B107="50-60",G4=L107),486,IF(AND(AND(G2="UPC"),B107="30-45",G4=L107),220,IF(AND(AND(G2="UPC"),B107="46-60",G4=L107),365,0)))))</f>
        <v>0</v>
      </c>
    </row>
    <row r="114" spans="2:12" hidden="1" x14ac:dyDescent="0.2">
      <c r="B114" s="237" t="s">
        <v>356</v>
      </c>
      <c r="C114" s="124" t="str">
        <f>IF(C12&lt;=C108,B108,IF(C12&lt;=C109,B109,IF(C12&lt;=C110,B110,IF(C12&lt;=C111,B111,IF(C12&lt;=C112,B112,IF(C12&lt;=C113,B113,"3"""))))))</f>
        <v>3/4"</v>
      </c>
      <c r="D114" s="124" t="str">
        <f>IF(C12&lt;=D108,B108,IF(C12&lt;=D109,B109,IF(C12&lt;=D110,B110,IF(C12&lt;=D111,B111,IF(C12&lt;=D112,B112,IF(C12&lt;=D113,B113,"3"""))))))</f>
        <v>3/4"</v>
      </c>
      <c r="E114" s="124" t="str">
        <f>IF(C12&lt;=E108,B108,IF(C12&lt;=E109,B109,IF(C12&lt;=E110,B110,IF(C12&lt;=E111,B111,IF(C12&lt;=E112,B112,IF(C12&lt;=E113,B113,"3"""))))))</f>
        <v>3/4"</v>
      </c>
      <c r="F114" s="124" t="str">
        <f>IF(C12&lt;=F108,B108,IF(C12&lt;=F109,B109,IF(C12&lt;=F110,B110,IF(C12&lt;=F111,B111,IF(C12&lt;=F112,B112,IF(C12&lt;=F113,B113,"3"""))))))</f>
        <v>3/4"</v>
      </c>
      <c r="G114" s="124" t="str">
        <f>IF(C12&lt;=G108,B108,IF(C12&lt;=G109,B109,IF(C12&lt;=G110,B110,IF(C12&lt;=G111,B111,IF(C12&lt;=G112,B112,IF(C12&lt;=G113,B113,"3"""))))))</f>
        <v>3/4"</v>
      </c>
      <c r="H114" s="124" t="str">
        <f>IF(C12&lt;=H108,B108,IF(C12&lt;=H109,B109,IF(C12&lt;=H110,B110,IF(C12&lt;=H111,B111,IF(C12&lt;=H112,B112,IF(C12&lt;=H113,B113,"3"""))))))</f>
        <v>3/4"</v>
      </c>
      <c r="I114" s="124" t="str">
        <f>IF(C12&lt;=I108,B108,IF(C12&lt;=I109,B109,IF(C12&lt;=I110,B110,IF(C12&lt;=I111,B111,IF(C12&lt;=I112,B112,IF(C12&lt;=I113,B113,"3"""))))))</f>
        <v>3/4"</v>
      </c>
      <c r="J114" s="124" t="str">
        <f>IF(C12&lt;=J108,B108,IF(C12&lt;=J109,B109,IF(C12&lt;=J110,B110,IF(C12&lt;=J111,B111,IF(C12&lt;=J112,B112,IF(C12&lt;=J113,B113,"3"""))))))</f>
        <v>3/4"</v>
      </c>
      <c r="K114" s="124" t="str">
        <f>IF(C12&lt;=K108,B108,IF(C12&lt;=K109,B109,IF(C12&lt;=K110,B110,IF(C12&lt;=K111,B111,IF(C12&lt;=K112,B112,IF(C12&lt;=K113,B113,"3"""))))))</f>
        <v>3/4"</v>
      </c>
      <c r="L114" s="124" t="str">
        <f>IF(C12&lt;=L108,B108,IF(C12&lt;=L109,B109,IF(C12&lt;=L110,B110,IF(C12&lt;=L111,B111,IF(C12&lt;=L112,B112,IF(C12&lt;=L113,B113,"3"""))))))</f>
        <v>3/4"</v>
      </c>
    </row>
    <row r="115" spans="2:12" hidden="1" x14ac:dyDescent="0.2"/>
    <row r="116" spans="2:12" hidden="1" x14ac:dyDescent="0.2"/>
    <row r="117" spans="2:12" hidden="1" x14ac:dyDescent="0.2"/>
    <row r="118" spans="2:12" hidden="1" x14ac:dyDescent="0.2">
      <c r="C118" s="247" t="s">
        <v>486</v>
      </c>
      <c r="D118" s="247"/>
    </row>
    <row r="119" spans="2:12" ht="15.75" hidden="1" x14ac:dyDescent="0.25">
      <c r="C119" s="131" t="e" cm="1">
        <f t="array" ref="C119:C121">INDEX(A2:A11,MATCH(B73:B75,B2:B11,0))</f>
        <v>#N/A</v>
      </c>
      <c r="D119" s="103">
        <f>SUMIF(_xlfn.ANCHORARRAY(C119),"&lt;&gt;#n/a")</f>
        <v>0</v>
      </c>
      <c r="E119" t="s">
        <v>487</v>
      </c>
      <c r="I119" t="e" cm="1">
        <f t="array" ref="I119:I121">INDEX(A2:A11,MATCH(B43:B45,B2:B11,0))</f>
        <v>#N/A</v>
      </c>
      <c r="J119">
        <f>SUMIF(_xlfn.ANCHORARRAY(I119),"&lt;&gt;#n/a")</f>
        <v>0</v>
      </c>
      <c r="K119" t="s">
        <v>488</v>
      </c>
    </row>
    <row r="120" spans="2:12" hidden="1" x14ac:dyDescent="0.2">
      <c r="C120" s="131" t="e">
        <v>#N/A</v>
      </c>
      <c r="D120" s="131">
        <f>SUMIF(_xlfn.ANCHORARRAY(C122),"&lt;&gt;#n/a")</f>
        <v>0</v>
      </c>
      <c r="E120" t="s">
        <v>489</v>
      </c>
      <c r="I120" t="e">
        <v>#N/A</v>
      </c>
      <c r="J120">
        <f>SUMIF(_xlfn.ANCHORARRAY(I122),"&lt;&gt;#n/a")</f>
        <v>0</v>
      </c>
      <c r="K120" t="s">
        <v>489</v>
      </c>
    </row>
    <row r="121" spans="2:12" ht="15.75" hidden="1" x14ac:dyDescent="0.25">
      <c r="C121" s="131" t="e">
        <v>#N/A</v>
      </c>
      <c r="D121" s="103">
        <f>SUM(D119:D120)</f>
        <v>0</v>
      </c>
      <c r="E121" t="s">
        <v>490</v>
      </c>
      <c r="I121" t="e">
        <v>#N/A</v>
      </c>
      <c r="J121">
        <f>SUM(J119:J120)</f>
        <v>0</v>
      </c>
      <c r="K121" t="s">
        <v>490</v>
      </c>
    </row>
    <row r="122" spans="2:12" ht="15.75" hidden="1" x14ac:dyDescent="0.25">
      <c r="C122" s="131" cm="1">
        <f t="array" ref="C122:C125">INDEX(A2:A11,MATCH(B78:B81,B2:B11,0))</f>
        <v>0</v>
      </c>
      <c r="D122" s="103"/>
      <c r="I122" t="e" cm="1">
        <f t="array" ref="I122:I125">INDEX(A2:A11,MATCH(B49:B52,B2:B11,0))</f>
        <v>#N/A</v>
      </c>
    </row>
    <row r="123" spans="2:12" ht="15.75" hidden="1" x14ac:dyDescent="0.25">
      <c r="C123" s="131" t="e">
        <v>#N/A</v>
      </c>
      <c r="D123" s="103"/>
      <c r="I123">
        <v>0</v>
      </c>
    </row>
    <row r="124" spans="2:12" ht="15.75" hidden="1" x14ac:dyDescent="0.25">
      <c r="C124" s="131" t="e">
        <v>#N/A</v>
      </c>
      <c r="D124" s="103"/>
      <c r="I124" t="e">
        <v>#N/A</v>
      </c>
    </row>
    <row r="125" spans="2:12" ht="15.75" hidden="1" x14ac:dyDescent="0.25">
      <c r="C125" s="131" t="e">
        <v>#N/A</v>
      </c>
      <c r="D125" s="103"/>
      <c r="I125" t="e">
        <v>#N/A</v>
      </c>
    </row>
    <row r="126" spans="2:12" ht="15.75" hidden="1" x14ac:dyDescent="0.25">
      <c r="C126" s="131"/>
      <c r="D126" s="103"/>
    </row>
  </sheetData>
  <mergeCells count="7">
    <mergeCell ref="C118:D118"/>
    <mergeCell ref="F5:G6"/>
    <mergeCell ref="A12:B12"/>
    <mergeCell ref="A13:B13"/>
    <mergeCell ref="B27:D27"/>
    <mergeCell ref="B57:D57"/>
    <mergeCell ref="A14:D16"/>
  </mergeCells>
  <dataValidations count="13">
    <dataValidation type="list" allowBlank="1" showInputMessage="1" showErrorMessage="1" sqref="G2" xr:uid="{98496991-0A1C-4ABE-96F3-9D6C7A9306BF}">
      <formula1>"IPC,UPC"</formula1>
    </dataValidation>
    <dataValidation type="list" allowBlank="1" showInputMessage="1" showErrorMessage="1" sqref="G4" xr:uid="{DAED87EE-8E9C-403C-8EFF-58DB465A246D}">
      <formula1>$J$28:$J$37</formula1>
    </dataValidation>
    <dataValidation type="list" allowBlank="1" showInputMessage="1" showErrorMessage="1" sqref="G3" xr:uid="{0D9CE17A-7554-4F70-A21D-C40722317E7F}">
      <formula1>IF($G$2="ipc",$F$28:$F$30,IF($G$2="upc",$G$28:$G$29))</formula1>
    </dataValidation>
    <dataValidation type="list" allowBlank="1" showInputMessage="1" showErrorMessage="1" sqref="B2" xr:uid="{47C3117B-A7D5-4DA8-A25C-465EA0C5A157}">
      <formula1>IF(G2="ipc",B28:B55,IF(G2="upc",B58:B83))</formula1>
    </dataValidation>
    <dataValidation type="list" allowBlank="1" showInputMessage="1" showErrorMessage="1" sqref="B3" xr:uid="{AB2DE422-3DA3-4112-AA9D-ACF7582335E6}">
      <formula1>IF(G2="ipc",B28:B55,IF(G2="upc",B58:B83))</formula1>
    </dataValidation>
    <dataValidation type="list" allowBlank="1" showInputMessage="1" showErrorMessage="1" sqref="B4" xr:uid="{F15189D0-6A12-497D-AD10-5AA2B1E545A9}">
      <formula1>IF(G2="ipc",B28:B55,IF(G2="upc",B58:B83))</formula1>
    </dataValidation>
    <dataValidation type="list" allowBlank="1" showInputMessage="1" showErrorMessage="1" sqref="B5" xr:uid="{C748DB25-7268-43B9-9618-724E24D9C34C}">
      <formula1>IF(G2="ipc",B28:B55,IF(G2="upc",B58:B83))</formula1>
    </dataValidation>
    <dataValidation type="list" allowBlank="1" showInputMessage="1" showErrorMessage="1" sqref="B6" xr:uid="{5B652A70-EDDC-4397-A691-F761EAEA32B9}">
      <formula1>IF(G2="ipc",B28:B55,IF(G2="upc",B58:B83))</formula1>
    </dataValidation>
    <dataValidation type="list" allowBlank="1" showInputMessage="1" showErrorMessage="1" sqref="B7" xr:uid="{62378D4A-B256-49D2-AE03-0E34D4D41C36}">
      <formula1>IF(G2="ipc",B28:B55,IF(G2="upc",B58:B83))</formula1>
    </dataValidation>
    <dataValidation type="list" allowBlank="1" showInputMessage="1" showErrorMessage="1" sqref="B8" xr:uid="{ABEFE0AE-8553-4F84-9BC6-8F9B8069136F}">
      <formula1>IF(G2="ipc",B28:B55,IF(G2="upc",B58:B83))</formula1>
    </dataValidation>
    <dataValidation type="list" allowBlank="1" showInputMessage="1" showErrorMessage="1" sqref="B9" xr:uid="{63610295-FBC0-4110-ACC6-7554AAAA6669}">
      <formula1>IF(G2="ipc",B28:B55,IF(G2="upc",B58:B83))</formula1>
    </dataValidation>
    <dataValidation type="list" allowBlank="1" showInputMessage="1" showErrorMessage="1" sqref="B10" xr:uid="{0BA52669-F85F-49D2-B34F-AEABD5DFBBA0}">
      <formula1>IF(G2="ipc",B28:B55,IF(G2="upc",B58:B83))</formula1>
    </dataValidation>
    <dataValidation type="list" allowBlank="1" showInputMessage="1" showErrorMessage="1" sqref="B11" xr:uid="{E2952E4D-DED6-4E42-8B22-A9FED6DE8EF5}">
      <formula1>IF(G2="ipc",B28:B55,IF(G2="upc",B58:B83))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25"/>
  <sheetViews>
    <sheetView zoomScaleNormal="100" workbookViewId="0">
      <selection activeCell="A9" sqref="A9:B9"/>
    </sheetView>
  </sheetViews>
  <sheetFormatPr defaultRowHeight="12.75" x14ac:dyDescent="0.2"/>
  <cols>
    <col min="1" max="15" width="8.7109375" customWidth="1"/>
  </cols>
  <sheetData>
    <row r="1" spans="1:15" ht="17.25" thickTop="1" thickBot="1" x14ac:dyDescent="0.3">
      <c r="D1" s="298" t="s">
        <v>76</v>
      </c>
      <c r="E1" s="298"/>
      <c r="F1" s="298"/>
      <c r="G1" s="298"/>
      <c r="H1" s="298"/>
      <c r="I1" s="298"/>
      <c r="J1" s="298"/>
      <c r="K1" s="298"/>
      <c r="L1" s="298"/>
      <c r="M1" s="1"/>
    </row>
    <row r="2" spans="1:15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</row>
    <row r="3" spans="1:15" ht="17.25" thickTop="1" thickBot="1" x14ac:dyDescent="0.3">
      <c r="M3" s="1"/>
    </row>
    <row r="4" spans="1:15" ht="31.5" thickTop="1" x14ac:dyDescent="0.45">
      <c r="A4" s="272" t="s">
        <v>109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4"/>
    </row>
    <row r="5" spans="1:15" x14ac:dyDescent="0.2">
      <c r="A5" s="275" t="s">
        <v>99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7"/>
    </row>
    <row r="6" spans="1:15" ht="15" customHeight="1" thickBot="1" x14ac:dyDescent="0.25">
      <c r="A6" s="329"/>
      <c r="B6" s="33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1"/>
    </row>
    <row r="7" spans="1:15" ht="15.75" x14ac:dyDescent="0.25">
      <c r="A7" s="278" t="s">
        <v>39</v>
      </c>
      <c r="B7" s="279"/>
      <c r="C7" s="266" t="s">
        <v>38</v>
      </c>
      <c r="D7" s="267"/>
      <c r="E7" s="267"/>
      <c r="F7" s="268"/>
      <c r="G7" s="280" t="s">
        <v>37</v>
      </c>
      <c r="H7" s="280"/>
      <c r="I7" s="280"/>
      <c r="J7" s="281" t="s">
        <v>52</v>
      </c>
      <c r="K7" s="282"/>
      <c r="L7" s="283"/>
      <c r="M7" s="287" t="s">
        <v>37</v>
      </c>
      <c r="N7" s="287"/>
      <c r="O7" s="288"/>
    </row>
    <row r="8" spans="1:15" ht="15.75" x14ac:dyDescent="0.25">
      <c r="A8" s="278"/>
      <c r="B8" s="279"/>
      <c r="C8" s="269"/>
      <c r="D8" s="270"/>
      <c r="E8" s="270"/>
      <c r="F8" s="271"/>
      <c r="G8" s="14" t="s">
        <v>36</v>
      </c>
      <c r="H8" s="15" t="s">
        <v>35</v>
      </c>
      <c r="I8" s="8" t="s">
        <v>32</v>
      </c>
      <c r="J8" s="284" t="s">
        <v>58</v>
      </c>
      <c r="K8" s="285"/>
      <c r="L8" s="286"/>
      <c r="M8" s="14" t="s">
        <v>36</v>
      </c>
      <c r="N8" s="15" t="s">
        <v>35</v>
      </c>
      <c r="O8" s="36" t="s">
        <v>32</v>
      </c>
    </row>
    <row r="9" spans="1:15" ht="15.75" x14ac:dyDescent="0.25">
      <c r="A9" s="289">
        <v>0</v>
      </c>
      <c r="B9" s="290"/>
      <c r="C9" s="295" t="s">
        <v>102</v>
      </c>
      <c r="D9" s="296"/>
      <c r="E9" s="296"/>
      <c r="F9" s="297"/>
      <c r="G9" s="16">
        <v>1</v>
      </c>
      <c r="H9" s="17">
        <v>1</v>
      </c>
      <c r="I9" s="8">
        <v>1.4</v>
      </c>
      <c r="J9" s="291" t="s">
        <v>53</v>
      </c>
      <c r="K9" s="291"/>
      <c r="L9" s="291"/>
      <c r="M9" s="16">
        <f>$A9*G9</f>
        <v>0</v>
      </c>
      <c r="N9" s="17">
        <f>$A9*H9</f>
        <v>0</v>
      </c>
      <c r="O9" s="36">
        <f>$A9*I9</f>
        <v>0</v>
      </c>
    </row>
    <row r="10" spans="1:15" ht="15.75" x14ac:dyDescent="0.25">
      <c r="A10" s="289">
        <v>0</v>
      </c>
      <c r="B10" s="290"/>
      <c r="C10" s="295" t="s">
        <v>103</v>
      </c>
      <c r="D10" s="296"/>
      <c r="E10" s="296"/>
      <c r="F10" s="297"/>
      <c r="G10" s="16">
        <v>3</v>
      </c>
      <c r="H10" s="17">
        <v>3</v>
      </c>
      <c r="I10" s="8">
        <v>4</v>
      </c>
      <c r="J10" s="291" t="s">
        <v>53</v>
      </c>
      <c r="K10" s="291"/>
      <c r="L10" s="291"/>
      <c r="M10" s="16">
        <f t="shared" ref="M10:M34" si="0">$A10*G10</f>
        <v>0</v>
      </c>
      <c r="N10" s="17">
        <f t="shared" ref="N10:N34" si="1">$A10*H10</f>
        <v>0</v>
      </c>
      <c r="O10" s="36">
        <f t="shared" ref="O10:O34" si="2">$A10*I10</f>
        <v>0</v>
      </c>
    </row>
    <row r="11" spans="1:15" ht="15.75" x14ac:dyDescent="0.25">
      <c r="A11" s="289">
        <v>0</v>
      </c>
      <c r="B11" s="290"/>
      <c r="C11" s="295" t="s">
        <v>42</v>
      </c>
      <c r="D11" s="296"/>
      <c r="E11" s="296"/>
      <c r="F11" s="297"/>
      <c r="G11" s="16">
        <v>0</v>
      </c>
      <c r="H11" s="17">
        <v>1.4</v>
      </c>
      <c r="I11" s="8">
        <v>1.4</v>
      </c>
      <c r="J11" s="291" t="s">
        <v>53</v>
      </c>
      <c r="K11" s="291"/>
      <c r="L11" s="291"/>
      <c r="M11" s="16">
        <f t="shared" si="0"/>
        <v>0</v>
      </c>
      <c r="N11" s="17">
        <f t="shared" si="1"/>
        <v>0</v>
      </c>
      <c r="O11" s="36">
        <f t="shared" si="2"/>
        <v>0</v>
      </c>
    </row>
    <row r="12" spans="1:15" ht="15.75" x14ac:dyDescent="0.25">
      <c r="A12" s="289">
        <v>0</v>
      </c>
      <c r="B12" s="290"/>
      <c r="C12" s="295" t="s">
        <v>17</v>
      </c>
      <c r="D12" s="296"/>
      <c r="E12" s="296"/>
      <c r="F12" s="297"/>
      <c r="G12" s="16">
        <v>0.25</v>
      </c>
      <c r="H12" s="17">
        <v>0</v>
      </c>
      <c r="I12" s="8">
        <v>0.25</v>
      </c>
      <c r="J12" s="291" t="s">
        <v>54</v>
      </c>
      <c r="K12" s="291"/>
      <c r="L12" s="291"/>
      <c r="M12" s="16">
        <f t="shared" si="0"/>
        <v>0</v>
      </c>
      <c r="N12" s="17">
        <f t="shared" si="1"/>
        <v>0</v>
      </c>
      <c r="O12" s="36">
        <f t="shared" si="2"/>
        <v>0</v>
      </c>
    </row>
    <row r="13" spans="1:15" ht="15.75" x14ac:dyDescent="0.25">
      <c r="A13" s="289">
        <v>0</v>
      </c>
      <c r="B13" s="290"/>
      <c r="C13" s="295" t="s">
        <v>384</v>
      </c>
      <c r="D13" s="296"/>
      <c r="E13" s="296"/>
      <c r="F13" s="297"/>
      <c r="G13" s="16">
        <v>1</v>
      </c>
      <c r="H13" s="17">
        <v>1</v>
      </c>
      <c r="I13" s="8">
        <v>1.4</v>
      </c>
      <c r="J13" s="291" t="s">
        <v>53</v>
      </c>
      <c r="K13" s="291"/>
      <c r="L13" s="291"/>
      <c r="M13" s="16">
        <f t="shared" si="0"/>
        <v>0</v>
      </c>
      <c r="N13" s="17">
        <f t="shared" si="1"/>
        <v>0</v>
      </c>
      <c r="O13" s="36">
        <f t="shared" si="2"/>
        <v>0</v>
      </c>
    </row>
    <row r="14" spans="1:15" ht="15.75" x14ac:dyDescent="0.25">
      <c r="A14" s="289">
        <v>0</v>
      </c>
      <c r="B14" s="290"/>
      <c r="C14" s="295" t="s">
        <v>385</v>
      </c>
      <c r="D14" s="296"/>
      <c r="E14" s="296"/>
      <c r="F14" s="297"/>
      <c r="G14" s="16">
        <v>3</v>
      </c>
      <c r="H14" s="17">
        <v>3</v>
      </c>
      <c r="I14" s="8">
        <v>4</v>
      </c>
      <c r="J14" s="291" t="s">
        <v>53</v>
      </c>
      <c r="K14" s="291"/>
      <c r="L14" s="291"/>
      <c r="M14" s="16">
        <f t="shared" si="0"/>
        <v>0</v>
      </c>
      <c r="N14" s="17">
        <f t="shared" si="1"/>
        <v>0</v>
      </c>
      <c r="O14" s="36">
        <f t="shared" si="2"/>
        <v>0</v>
      </c>
    </row>
    <row r="15" spans="1:15" ht="15.75" x14ac:dyDescent="0.25">
      <c r="A15" s="289">
        <v>0</v>
      </c>
      <c r="B15" s="290"/>
      <c r="C15" s="295" t="s">
        <v>456</v>
      </c>
      <c r="D15" s="296"/>
      <c r="E15" s="296"/>
      <c r="F15" s="297"/>
      <c r="G15" s="16">
        <v>3</v>
      </c>
      <c r="H15" s="17">
        <v>3</v>
      </c>
      <c r="I15" s="8">
        <v>4</v>
      </c>
      <c r="J15" s="291" t="s">
        <v>53</v>
      </c>
      <c r="K15" s="291"/>
      <c r="L15" s="291"/>
      <c r="M15" s="16">
        <f t="shared" ref="M15" si="3">$A15*G15</f>
        <v>0</v>
      </c>
      <c r="N15" s="17">
        <f t="shared" ref="N15" si="4">$A15*H15</f>
        <v>0</v>
      </c>
      <c r="O15" s="36">
        <f t="shared" ref="O15" si="5">$A15*I15</f>
        <v>0</v>
      </c>
    </row>
    <row r="16" spans="1:15" ht="15.75" x14ac:dyDescent="0.25">
      <c r="A16" s="289">
        <v>0</v>
      </c>
      <c r="B16" s="290"/>
      <c r="C16" s="295" t="s">
        <v>20</v>
      </c>
      <c r="D16" s="296"/>
      <c r="E16" s="296"/>
      <c r="F16" s="297"/>
      <c r="G16" s="16">
        <v>0.5</v>
      </c>
      <c r="H16" s="17">
        <v>0.5</v>
      </c>
      <c r="I16" s="8">
        <v>0.7</v>
      </c>
      <c r="J16" s="291" t="s">
        <v>54</v>
      </c>
      <c r="K16" s="291"/>
      <c r="L16" s="291"/>
      <c r="M16" s="16">
        <f t="shared" si="0"/>
        <v>0</v>
      </c>
      <c r="N16" s="17">
        <f t="shared" si="1"/>
        <v>0</v>
      </c>
      <c r="O16" s="36">
        <f t="shared" si="2"/>
        <v>0</v>
      </c>
    </row>
    <row r="17" spans="1:15" ht="15.75" x14ac:dyDescent="0.25">
      <c r="A17" s="289">
        <v>0</v>
      </c>
      <c r="B17" s="290"/>
      <c r="C17" s="295" t="s">
        <v>21</v>
      </c>
      <c r="D17" s="296"/>
      <c r="E17" s="296"/>
      <c r="F17" s="297"/>
      <c r="G17" s="16">
        <v>1.5</v>
      </c>
      <c r="H17" s="17">
        <v>1.5</v>
      </c>
      <c r="I17" s="8">
        <v>2</v>
      </c>
      <c r="J17" s="291" t="s">
        <v>54</v>
      </c>
      <c r="K17" s="291"/>
      <c r="L17" s="291"/>
      <c r="M17" s="16">
        <f t="shared" si="0"/>
        <v>0</v>
      </c>
      <c r="N17" s="17">
        <f t="shared" si="1"/>
        <v>0</v>
      </c>
      <c r="O17" s="36">
        <f t="shared" si="2"/>
        <v>0</v>
      </c>
    </row>
    <row r="18" spans="1:15" ht="15.75" x14ac:dyDescent="0.25">
      <c r="A18" s="289">
        <v>0</v>
      </c>
      <c r="B18" s="290"/>
      <c r="C18" s="295" t="s">
        <v>22</v>
      </c>
      <c r="D18" s="296"/>
      <c r="E18" s="296"/>
      <c r="F18" s="297"/>
      <c r="G18" s="16">
        <v>2.25</v>
      </c>
      <c r="H18" s="17">
        <v>2.25</v>
      </c>
      <c r="I18" s="8">
        <v>3</v>
      </c>
      <c r="J18" s="291" t="s">
        <v>53</v>
      </c>
      <c r="K18" s="291"/>
      <c r="L18" s="291"/>
      <c r="M18" s="16">
        <f t="shared" si="0"/>
        <v>0</v>
      </c>
      <c r="N18" s="17">
        <f t="shared" si="1"/>
        <v>0</v>
      </c>
      <c r="O18" s="36">
        <f t="shared" si="2"/>
        <v>0</v>
      </c>
    </row>
    <row r="19" spans="1:15" ht="15.75" x14ac:dyDescent="0.25">
      <c r="A19" s="289">
        <v>0</v>
      </c>
      <c r="B19" s="290"/>
      <c r="C19" s="295" t="s">
        <v>24</v>
      </c>
      <c r="D19" s="296"/>
      <c r="E19" s="296"/>
      <c r="F19" s="297"/>
      <c r="G19" s="16">
        <v>3</v>
      </c>
      <c r="H19" s="17">
        <v>3</v>
      </c>
      <c r="I19" s="8">
        <v>4</v>
      </c>
      <c r="J19" s="291" t="s">
        <v>53</v>
      </c>
      <c r="K19" s="291"/>
      <c r="L19" s="291"/>
      <c r="M19" s="16">
        <f t="shared" si="0"/>
        <v>0</v>
      </c>
      <c r="N19" s="17">
        <f t="shared" si="1"/>
        <v>0</v>
      </c>
      <c r="O19" s="36">
        <f t="shared" si="2"/>
        <v>0</v>
      </c>
    </row>
    <row r="20" spans="1:15" ht="15.75" x14ac:dyDescent="0.25">
      <c r="A20" s="289">
        <v>0</v>
      </c>
      <c r="B20" s="290"/>
      <c r="C20" s="295" t="s">
        <v>23</v>
      </c>
      <c r="D20" s="296"/>
      <c r="E20" s="296"/>
      <c r="F20" s="297"/>
      <c r="G20" s="16">
        <v>1</v>
      </c>
      <c r="H20" s="17">
        <v>1</v>
      </c>
      <c r="I20" s="8">
        <v>1.4</v>
      </c>
      <c r="J20" s="291" t="s">
        <v>53</v>
      </c>
      <c r="K20" s="291"/>
      <c r="L20" s="291"/>
      <c r="M20" s="16">
        <f t="shared" si="0"/>
        <v>0</v>
      </c>
      <c r="N20" s="17">
        <f t="shared" si="1"/>
        <v>0</v>
      </c>
      <c r="O20" s="36">
        <f t="shared" si="2"/>
        <v>0</v>
      </c>
    </row>
    <row r="21" spans="1:15" ht="15.75" x14ac:dyDescent="0.25">
      <c r="A21" s="289">
        <v>0</v>
      </c>
      <c r="B21" s="290"/>
      <c r="C21" s="295" t="s">
        <v>476</v>
      </c>
      <c r="D21" s="296"/>
      <c r="E21" s="296"/>
      <c r="F21" s="297"/>
      <c r="G21" s="16">
        <v>3</v>
      </c>
      <c r="H21" s="17">
        <v>3</v>
      </c>
      <c r="I21" s="8">
        <v>4</v>
      </c>
      <c r="J21" s="291" t="s">
        <v>477</v>
      </c>
      <c r="K21" s="291"/>
      <c r="L21" s="291"/>
      <c r="M21" s="16">
        <f t="shared" ref="M21" si="6">$A21*G21</f>
        <v>0</v>
      </c>
      <c r="N21" s="17">
        <f t="shared" ref="N21" si="7">$A21*H21</f>
        <v>0</v>
      </c>
      <c r="O21" s="36">
        <f t="shared" ref="O21" si="8">$A21*I21</f>
        <v>0</v>
      </c>
    </row>
    <row r="22" spans="1:15" ht="15.75" x14ac:dyDescent="0.25">
      <c r="A22" s="289">
        <v>0</v>
      </c>
      <c r="B22" s="290"/>
      <c r="C22" s="295" t="s">
        <v>57</v>
      </c>
      <c r="D22" s="296"/>
      <c r="E22" s="296"/>
      <c r="F22" s="297"/>
      <c r="G22" s="16">
        <v>5</v>
      </c>
      <c r="H22" s="17">
        <v>0</v>
      </c>
      <c r="I22" s="8">
        <v>5</v>
      </c>
      <c r="J22" s="291" t="s">
        <v>56</v>
      </c>
      <c r="K22" s="291"/>
      <c r="L22" s="291"/>
      <c r="M22" s="16">
        <f t="shared" si="0"/>
        <v>0</v>
      </c>
      <c r="N22" s="17">
        <f t="shared" si="1"/>
        <v>0</v>
      </c>
      <c r="O22" s="36">
        <f t="shared" si="2"/>
        <v>0</v>
      </c>
    </row>
    <row r="23" spans="1:15" ht="15.75" x14ac:dyDescent="0.25">
      <c r="A23" s="289">
        <v>0</v>
      </c>
      <c r="B23" s="290"/>
      <c r="C23" s="295" t="s">
        <v>25</v>
      </c>
      <c r="D23" s="296"/>
      <c r="E23" s="296"/>
      <c r="F23" s="297"/>
      <c r="G23" s="16">
        <v>10</v>
      </c>
      <c r="H23" s="17">
        <v>0</v>
      </c>
      <c r="I23" s="8">
        <v>10</v>
      </c>
      <c r="J23" s="291" t="s">
        <v>55</v>
      </c>
      <c r="K23" s="291"/>
      <c r="L23" s="291"/>
      <c r="M23" s="16">
        <f t="shared" si="0"/>
        <v>0</v>
      </c>
      <c r="N23" s="17">
        <f t="shared" si="1"/>
        <v>0</v>
      </c>
      <c r="O23" s="36">
        <f t="shared" si="2"/>
        <v>0</v>
      </c>
    </row>
    <row r="24" spans="1:15" ht="15.75" x14ac:dyDescent="0.25">
      <c r="A24" s="289">
        <v>0</v>
      </c>
      <c r="B24" s="290"/>
      <c r="C24" s="295" t="s">
        <v>26</v>
      </c>
      <c r="D24" s="296"/>
      <c r="E24" s="296"/>
      <c r="F24" s="297"/>
      <c r="G24" s="16">
        <v>1</v>
      </c>
      <c r="H24" s="17">
        <v>1</v>
      </c>
      <c r="I24" s="8">
        <v>1.4</v>
      </c>
      <c r="J24" s="292" t="s">
        <v>53</v>
      </c>
      <c r="K24" s="293"/>
      <c r="L24" s="294"/>
      <c r="M24" s="16">
        <f t="shared" si="0"/>
        <v>0</v>
      </c>
      <c r="N24" s="17">
        <f t="shared" si="1"/>
        <v>0</v>
      </c>
      <c r="O24" s="36">
        <f t="shared" si="2"/>
        <v>0</v>
      </c>
    </row>
    <row r="25" spans="1:15" ht="15.75" x14ac:dyDescent="0.25">
      <c r="A25" s="289">
        <v>0</v>
      </c>
      <c r="B25" s="290"/>
      <c r="C25" s="295" t="s">
        <v>100</v>
      </c>
      <c r="D25" s="296"/>
      <c r="E25" s="296"/>
      <c r="F25" s="297"/>
      <c r="G25" s="16">
        <v>2.25</v>
      </c>
      <c r="H25" s="17">
        <v>2.25</v>
      </c>
      <c r="I25" s="8">
        <v>3</v>
      </c>
      <c r="J25" s="292" t="s">
        <v>53</v>
      </c>
      <c r="K25" s="293"/>
      <c r="L25" s="294"/>
      <c r="M25" s="16">
        <f t="shared" si="0"/>
        <v>0</v>
      </c>
      <c r="N25" s="17">
        <f t="shared" si="1"/>
        <v>0</v>
      </c>
      <c r="O25" s="36">
        <f t="shared" si="2"/>
        <v>0</v>
      </c>
    </row>
    <row r="26" spans="1:15" ht="15.75" x14ac:dyDescent="0.25">
      <c r="A26" s="289">
        <v>0</v>
      </c>
      <c r="B26" s="290"/>
      <c r="C26" s="295" t="s">
        <v>101</v>
      </c>
      <c r="D26" s="296"/>
      <c r="E26" s="296"/>
      <c r="F26" s="297"/>
      <c r="G26" s="16">
        <v>3</v>
      </c>
      <c r="H26" s="17">
        <v>3</v>
      </c>
      <c r="I26" s="8">
        <v>4</v>
      </c>
      <c r="J26" s="292" t="s">
        <v>53</v>
      </c>
      <c r="K26" s="293"/>
      <c r="L26" s="294"/>
      <c r="M26" s="16">
        <f t="shared" si="0"/>
        <v>0</v>
      </c>
      <c r="N26" s="17">
        <f t="shared" si="1"/>
        <v>0</v>
      </c>
      <c r="O26" s="36">
        <f t="shared" si="2"/>
        <v>0</v>
      </c>
    </row>
    <row r="27" spans="1:15" ht="15.75" x14ac:dyDescent="0.25">
      <c r="A27" s="289">
        <v>0</v>
      </c>
      <c r="B27" s="290"/>
      <c r="C27" s="295" t="s">
        <v>381</v>
      </c>
      <c r="D27" s="296"/>
      <c r="E27" s="296"/>
      <c r="F27" s="297"/>
      <c r="G27" s="16">
        <v>6</v>
      </c>
      <c r="H27" s="17">
        <v>0</v>
      </c>
      <c r="I27" s="8">
        <v>6</v>
      </c>
      <c r="J27" s="292" t="s">
        <v>55</v>
      </c>
      <c r="K27" s="293"/>
      <c r="L27" s="294"/>
      <c r="M27" s="16">
        <f t="shared" si="0"/>
        <v>0</v>
      </c>
      <c r="N27" s="17">
        <f t="shared" si="1"/>
        <v>0</v>
      </c>
      <c r="O27" s="36">
        <f t="shared" si="2"/>
        <v>0</v>
      </c>
    </row>
    <row r="28" spans="1:15" ht="15.75" x14ac:dyDescent="0.25">
      <c r="A28" s="289">
        <v>0</v>
      </c>
      <c r="B28" s="290"/>
      <c r="C28" s="295" t="s">
        <v>382</v>
      </c>
      <c r="D28" s="296"/>
      <c r="E28" s="296"/>
      <c r="F28" s="297"/>
      <c r="G28" s="16">
        <v>10</v>
      </c>
      <c r="H28" s="17">
        <v>0</v>
      </c>
      <c r="I28" s="8">
        <v>10</v>
      </c>
      <c r="J28" s="292" t="s">
        <v>55</v>
      </c>
      <c r="K28" s="293"/>
      <c r="L28" s="294"/>
      <c r="M28" s="16">
        <f t="shared" si="0"/>
        <v>0</v>
      </c>
      <c r="N28" s="17">
        <f t="shared" si="1"/>
        <v>0</v>
      </c>
      <c r="O28" s="36">
        <f t="shared" si="2"/>
        <v>0</v>
      </c>
    </row>
    <row r="29" spans="1:15" ht="15.75" x14ac:dyDescent="0.25">
      <c r="A29" s="289">
        <v>0</v>
      </c>
      <c r="B29" s="290"/>
      <c r="C29" s="295" t="s">
        <v>383</v>
      </c>
      <c r="D29" s="296"/>
      <c r="E29" s="296"/>
      <c r="F29" s="297"/>
      <c r="G29" s="16">
        <v>2.2000000000000002</v>
      </c>
      <c r="H29" s="17">
        <v>0</v>
      </c>
      <c r="I29" s="8">
        <v>2.2000000000000002</v>
      </c>
      <c r="J29" s="292" t="s">
        <v>54</v>
      </c>
      <c r="K29" s="293"/>
      <c r="L29" s="294"/>
      <c r="M29" s="16">
        <f t="shared" si="0"/>
        <v>0</v>
      </c>
      <c r="N29" s="17">
        <f t="shared" si="1"/>
        <v>0</v>
      </c>
      <c r="O29" s="36">
        <f t="shared" si="2"/>
        <v>0</v>
      </c>
    </row>
    <row r="30" spans="1:15" ht="15.75" x14ac:dyDescent="0.25">
      <c r="A30" s="289">
        <v>0</v>
      </c>
      <c r="B30" s="290"/>
      <c r="C30" s="295" t="s">
        <v>380</v>
      </c>
      <c r="D30" s="296"/>
      <c r="E30" s="296"/>
      <c r="F30" s="297"/>
      <c r="G30" s="16">
        <v>5</v>
      </c>
      <c r="H30" s="17">
        <v>0</v>
      </c>
      <c r="I30" s="8">
        <v>5</v>
      </c>
      <c r="J30" s="292" t="s">
        <v>54</v>
      </c>
      <c r="K30" s="293"/>
      <c r="L30" s="294"/>
      <c r="M30" s="16">
        <f t="shared" si="0"/>
        <v>0</v>
      </c>
      <c r="N30" s="17">
        <f t="shared" si="1"/>
        <v>0</v>
      </c>
      <c r="O30" s="36">
        <f t="shared" si="2"/>
        <v>0</v>
      </c>
    </row>
    <row r="31" spans="1:15" ht="15.75" x14ac:dyDescent="0.25">
      <c r="A31" s="289">
        <v>0</v>
      </c>
      <c r="B31" s="290"/>
      <c r="C31" s="295" t="s">
        <v>104</v>
      </c>
      <c r="D31" s="296"/>
      <c r="E31" s="296"/>
      <c r="F31" s="297"/>
      <c r="G31" s="16">
        <v>0.25</v>
      </c>
      <c r="H31" s="17">
        <v>0</v>
      </c>
      <c r="I31" s="8">
        <v>0.25</v>
      </c>
      <c r="J31" s="292" t="s">
        <v>54</v>
      </c>
      <c r="K31" s="293"/>
      <c r="L31" s="294"/>
      <c r="M31" s="16">
        <f t="shared" si="0"/>
        <v>0</v>
      </c>
      <c r="N31" s="17">
        <f t="shared" si="1"/>
        <v>0</v>
      </c>
      <c r="O31" s="36">
        <f t="shared" si="2"/>
        <v>0</v>
      </c>
    </row>
    <row r="32" spans="1:15" ht="15.75" x14ac:dyDescent="0.25">
      <c r="A32" s="289">
        <v>0</v>
      </c>
      <c r="B32" s="290"/>
      <c r="C32" s="295" t="s">
        <v>105</v>
      </c>
      <c r="D32" s="296"/>
      <c r="E32" s="296"/>
      <c r="F32" s="297"/>
      <c r="G32" s="16">
        <v>5</v>
      </c>
      <c r="H32" s="17">
        <v>0</v>
      </c>
      <c r="I32" s="8">
        <v>5</v>
      </c>
      <c r="J32" s="291" t="s">
        <v>53</v>
      </c>
      <c r="K32" s="291"/>
      <c r="L32" s="291"/>
      <c r="M32" s="16">
        <f t="shared" si="0"/>
        <v>0</v>
      </c>
      <c r="N32" s="17">
        <f t="shared" si="1"/>
        <v>0</v>
      </c>
      <c r="O32" s="36">
        <f t="shared" si="2"/>
        <v>0</v>
      </c>
    </row>
    <row r="33" spans="1:25" ht="15.75" x14ac:dyDescent="0.25">
      <c r="A33" s="289">
        <v>0</v>
      </c>
      <c r="B33" s="290"/>
      <c r="C33" s="295" t="s">
        <v>51</v>
      </c>
      <c r="D33" s="296"/>
      <c r="E33" s="296"/>
      <c r="F33" s="297"/>
      <c r="G33" s="16">
        <v>0</v>
      </c>
      <c r="H33" s="17">
        <v>0</v>
      </c>
      <c r="I33" s="8">
        <v>0</v>
      </c>
      <c r="J33" s="291"/>
      <c r="K33" s="291"/>
      <c r="L33" s="291"/>
      <c r="M33" s="16">
        <f t="shared" si="0"/>
        <v>0</v>
      </c>
      <c r="N33" s="17">
        <f t="shared" si="1"/>
        <v>0</v>
      </c>
      <c r="O33" s="36">
        <f t="shared" si="2"/>
        <v>0</v>
      </c>
    </row>
    <row r="34" spans="1:25" ht="16.5" thickBot="1" x14ac:dyDescent="0.3">
      <c r="A34" s="299">
        <v>0</v>
      </c>
      <c r="B34" s="300"/>
      <c r="C34" s="332" t="s">
        <v>51</v>
      </c>
      <c r="D34" s="327"/>
      <c r="E34" s="327"/>
      <c r="F34" s="333"/>
      <c r="G34" s="37">
        <v>0</v>
      </c>
      <c r="H34" s="38">
        <v>0</v>
      </c>
      <c r="I34" s="39">
        <v>0</v>
      </c>
      <c r="J34" s="301"/>
      <c r="K34" s="301"/>
      <c r="L34" s="301"/>
      <c r="M34" s="37">
        <f t="shared" si="0"/>
        <v>0</v>
      </c>
      <c r="N34" s="38">
        <f t="shared" si="1"/>
        <v>0</v>
      </c>
      <c r="O34" s="40">
        <f t="shared" si="2"/>
        <v>0</v>
      </c>
    </row>
    <row r="35" spans="1:25" ht="17.25" thickTop="1" thickBot="1" x14ac:dyDescent="0.3">
      <c r="A35" s="1"/>
      <c r="B35" s="1"/>
      <c r="I35" s="1"/>
      <c r="J35" s="356" t="s">
        <v>14</v>
      </c>
      <c r="K35" s="357"/>
      <c r="L35" s="357"/>
      <c r="M35" s="205">
        <f>SUM(M9:M34)</f>
        <v>0</v>
      </c>
      <c r="N35" s="205">
        <f>SUM(N9:N34)</f>
        <v>0</v>
      </c>
      <c r="O35" s="205">
        <f>SUM(O9:O34)</f>
        <v>0</v>
      </c>
    </row>
    <row r="36" spans="1:25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25" ht="15" customHeight="1" thickTop="1" x14ac:dyDescent="0.2">
      <c r="A37" s="340" t="s">
        <v>98</v>
      </c>
      <c r="B37" s="341"/>
      <c r="C37" s="341"/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2"/>
    </row>
    <row r="38" spans="1:25" ht="15" customHeight="1" thickBot="1" x14ac:dyDescent="0.25">
      <c r="A38" s="329" t="s">
        <v>97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1"/>
    </row>
    <row r="39" spans="1:25" ht="15" customHeight="1" thickBot="1" x14ac:dyDescent="0.3">
      <c r="A39" s="343" t="s">
        <v>1</v>
      </c>
      <c r="B39" s="302"/>
      <c r="C39" s="302"/>
      <c r="D39" s="302" t="s">
        <v>2</v>
      </c>
      <c r="E39" s="302"/>
      <c r="F39" s="344"/>
      <c r="G39" s="345" t="s">
        <v>3</v>
      </c>
      <c r="H39" s="346"/>
      <c r="I39" s="347"/>
      <c r="J39" s="355" t="s">
        <v>15</v>
      </c>
      <c r="K39" s="302"/>
      <c r="L39" s="302"/>
      <c r="M39" s="302" t="s">
        <v>84</v>
      </c>
      <c r="N39" s="302"/>
      <c r="O39" s="303"/>
      <c r="Y39" s="1"/>
    </row>
    <row r="40" spans="1:25" ht="15" customHeight="1" thickBot="1" x14ac:dyDescent="0.3">
      <c r="A40" s="306" t="s">
        <v>94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8"/>
      <c r="Y40" s="1"/>
    </row>
    <row r="41" spans="1:25" ht="15" customHeight="1" x14ac:dyDescent="0.25">
      <c r="A41" s="19">
        <v>2</v>
      </c>
      <c r="B41" s="304" t="s">
        <v>4</v>
      </c>
      <c r="C41" s="304"/>
      <c r="D41" s="2">
        <v>1.5</v>
      </c>
      <c r="E41" s="304" t="s">
        <v>4</v>
      </c>
      <c r="F41" s="295"/>
      <c r="G41" s="10">
        <v>1.5</v>
      </c>
      <c r="H41" s="309" t="s">
        <v>4</v>
      </c>
      <c r="I41" s="310"/>
      <c r="J41" s="4">
        <v>1</v>
      </c>
      <c r="K41" s="304" t="s">
        <v>4</v>
      </c>
      <c r="L41" s="304"/>
      <c r="M41" s="2">
        <v>0.5</v>
      </c>
      <c r="N41" s="304" t="s">
        <v>4</v>
      </c>
      <c r="O41" s="305"/>
      <c r="Y41" s="1"/>
    </row>
    <row r="42" spans="1:25" ht="15" customHeight="1" x14ac:dyDescent="0.25">
      <c r="A42" s="19">
        <v>7.5</v>
      </c>
      <c r="B42" s="304" t="s">
        <v>5</v>
      </c>
      <c r="C42" s="304"/>
      <c r="D42" s="2">
        <v>6</v>
      </c>
      <c r="E42" s="304" t="s">
        <v>5</v>
      </c>
      <c r="F42" s="295"/>
      <c r="G42" s="10">
        <v>5.5</v>
      </c>
      <c r="H42" s="309" t="s">
        <v>5</v>
      </c>
      <c r="I42" s="310"/>
      <c r="J42" s="4">
        <v>4</v>
      </c>
      <c r="K42" s="304" t="s">
        <v>5</v>
      </c>
      <c r="L42" s="304"/>
      <c r="M42" s="2">
        <v>2.5</v>
      </c>
      <c r="N42" s="304" t="s">
        <v>5</v>
      </c>
      <c r="O42" s="305"/>
      <c r="Y42" s="1"/>
    </row>
    <row r="43" spans="1:25" ht="15" customHeight="1" x14ac:dyDescent="0.25">
      <c r="A43" s="19">
        <v>32</v>
      </c>
      <c r="B43" s="304" t="s">
        <v>6</v>
      </c>
      <c r="C43" s="304"/>
      <c r="D43" s="2">
        <v>27</v>
      </c>
      <c r="E43" s="304" t="s">
        <v>6</v>
      </c>
      <c r="F43" s="295"/>
      <c r="G43" s="10">
        <v>21</v>
      </c>
      <c r="H43" s="309" t="s">
        <v>6</v>
      </c>
      <c r="I43" s="310"/>
      <c r="J43" s="4">
        <v>13.5</v>
      </c>
      <c r="K43" s="304" t="s">
        <v>6</v>
      </c>
      <c r="L43" s="304"/>
      <c r="M43" s="2">
        <v>7</v>
      </c>
      <c r="N43" s="304" t="s">
        <v>6</v>
      </c>
      <c r="O43" s="305"/>
      <c r="Y43" s="1"/>
    </row>
    <row r="44" spans="1:25" ht="15" customHeight="1" x14ac:dyDescent="0.25">
      <c r="A44" s="19">
        <v>80</v>
      </c>
      <c r="B44" s="304" t="s">
        <v>7</v>
      </c>
      <c r="C44" s="304"/>
      <c r="D44" s="2">
        <v>80</v>
      </c>
      <c r="E44" s="304" t="s">
        <v>7</v>
      </c>
      <c r="F44" s="295"/>
      <c r="G44" s="10">
        <v>75</v>
      </c>
      <c r="H44" s="309" t="s">
        <v>7</v>
      </c>
      <c r="I44" s="310"/>
      <c r="J44" s="4">
        <v>54</v>
      </c>
      <c r="K44" s="304" t="s">
        <v>7</v>
      </c>
      <c r="L44" s="304"/>
      <c r="M44" s="2">
        <v>25</v>
      </c>
      <c r="N44" s="304" t="s">
        <v>7</v>
      </c>
      <c r="O44" s="305"/>
    </row>
    <row r="45" spans="1:25" ht="15" customHeight="1" x14ac:dyDescent="0.25">
      <c r="A45" s="19">
        <v>151</v>
      </c>
      <c r="B45" s="304" t="s">
        <v>8</v>
      </c>
      <c r="C45" s="304"/>
      <c r="D45" s="2">
        <v>151</v>
      </c>
      <c r="E45" s="304" t="s">
        <v>8</v>
      </c>
      <c r="F45" s="295"/>
      <c r="G45" s="10">
        <v>151</v>
      </c>
      <c r="H45" s="309" t="s">
        <v>8</v>
      </c>
      <c r="I45" s="310"/>
      <c r="J45" s="4">
        <v>128</v>
      </c>
      <c r="K45" s="304" t="s">
        <v>8</v>
      </c>
      <c r="L45" s="304"/>
      <c r="M45" s="2">
        <v>72</v>
      </c>
      <c r="N45" s="304" t="s">
        <v>8</v>
      </c>
      <c r="O45" s="305"/>
    </row>
    <row r="46" spans="1:25" ht="15" customHeight="1" x14ac:dyDescent="0.25">
      <c r="A46" s="19">
        <v>365</v>
      </c>
      <c r="B46" s="304" t="s">
        <v>9</v>
      </c>
      <c r="C46" s="304"/>
      <c r="D46" s="2">
        <v>365</v>
      </c>
      <c r="E46" s="304" t="s">
        <v>9</v>
      </c>
      <c r="F46" s="295"/>
      <c r="G46" s="10">
        <v>365</v>
      </c>
      <c r="H46" s="309" t="s">
        <v>9</v>
      </c>
      <c r="I46" s="310"/>
      <c r="J46" s="4">
        <v>318</v>
      </c>
      <c r="K46" s="304" t="s">
        <v>9</v>
      </c>
      <c r="L46" s="304"/>
      <c r="M46" s="2">
        <v>201</v>
      </c>
      <c r="N46" s="304" t="s">
        <v>9</v>
      </c>
      <c r="O46" s="305"/>
    </row>
    <row r="47" spans="1:25" ht="15" customHeight="1" thickBot="1" x14ac:dyDescent="0.3">
      <c r="A47" s="24">
        <v>533</v>
      </c>
      <c r="B47" s="311" t="s">
        <v>10</v>
      </c>
      <c r="C47" s="311"/>
      <c r="D47" s="25">
        <v>533</v>
      </c>
      <c r="E47" s="311" t="s">
        <v>10</v>
      </c>
      <c r="F47" s="312"/>
      <c r="G47" s="26">
        <v>533</v>
      </c>
      <c r="H47" s="313" t="s">
        <v>10</v>
      </c>
      <c r="I47" s="314"/>
      <c r="J47" s="27">
        <v>533</v>
      </c>
      <c r="K47" s="311" t="s">
        <v>10</v>
      </c>
      <c r="L47" s="311"/>
      <c r="M47" s="25">
        <v>409</v>
      </c>
      <c r="N47" s="311" t="s">
        <v>10</v>
      </c>
      <c r="O47" s="315"/>
    </row>
    <row r="48" spans="1:25" ht="15" customHeight="1" thickBot="1" x14ac:dyDescent="0.25">
      <c r="A48" s="306" t="s">
        <v>95</v>
      </c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8"/>
    </row>
    <row r="49" spans="1:15" ht="15" customHeight="1" x14ac:dyDescent="0.25">
      <c r="A49" s="19">
        <v>2.5</v>
      </c>
      <c r="B49" s="304" t="s">
        <v>4</v>
      </c>
      <c r="C49" s="304"/>
      <c r="D49" s="2">
        <v>2</v>
      </c>
      <c r="E49" s="304" t="s">
        <v>4</v>
      </c>
      <c r="F49" s="295"/>
      <c r="G49" s="10">
        <v>1.5</v>
      </c>
      <c r="H49" s="309" t="s">
        <v>4</v>
      </c>
      <c r="I49" s="310"/>
      <c r="J49" s="4">
        <v>1.5</v>
      </c>
      <c r="K49" s="304" t="s">
        <v>4</v>
      </c>
      <c r="L49" s="304"/>
      <c r="M49" s="2">
        <v>0.5</v>
      </c>
      <c r="N49" s="304" t="s">
        <v>4</v>
      </c>
      <c r="O49" s="305"/>
    </row>
    <row r="50" spans="1:15" ht="15" customHeight="1" x14ac:dyDescent="0.25">
      <c r="A50" s="19">
        <v>9.5</v>
      </c>
      <c r="B50" s="304" t="s">
        <v>5</v>
      </c>
      <c r="C50" s="304"/>
      <c r="D50" s="2">
        <v>8.5</v>
      </c>
      <c r="E50" s="304" t="s">
        <v>5</v>
      </c>
      <c r="F50" s="295"/>
      <c r="G50" s="10">
        <v>7</v>
      </c>
      <c r="H50" s="309" t="s">
        <v>5</v>
      </c>
      <c r="I50" s="310"/>
      <c r="J50" s="4">
        <v>5.5</v>
      </c>
      <c r="K50" s="304" t="s">
        <v>5</v>
      </c>
      <c r="L50" s="304"/>
      <c r="M50" s="2">
        <v>3</v>
      </c>
      <c r="N50" s="304" t="s">
        <v>5</v>
      </c>
      <c r="O50" s="305"/>
    </row>
    <row r="51" spans="1:15" ht="15" customHeight="1" x14ac:dyDescent="0.25">
      <c r="A51" s="19">
        <v>32</v>
      </c>
      <c r="B51" s="304" t="s">
        <v>6</v>
      </c>
      <c r="C51" s="304"/>
      <c r="D51" s="2">
        <v>32</v>
      </c>
      <c r="E51" s="304" t="s">
        <v>6</v>
      </c>
      <c r="F51" s="295"/>
      <c r="G51" s="10">
        <v>32</v>
      </c>
      <c r="H51" s="309" t="s">
        <v>6</v>
      </c>
      <c r="I51" s="310"/>
      <c r="J51" s="4">
        <v>21</v>
      </c>
      <c r="K51" s="304" t="s">
        <v>6</v>
      </c>
      <c r="L51" s="304"/>
      <c r="M51" s="2">
        <v>9.5</v>
      </c>
      <c r="N51" s="304" t="s">
        <v>6</v>
      </c>
      <c r="O51" s="305"/>
    </row>
    <row r="52" spans="1:15" ht="15" customHeight="1" x14ac:dyDescent="0.25">
      <c r="A52" s="19">
        <v>80</v>
      </c>
      <c r="B52" s="304" t="s">
        <v>7</v>
      </c>
      <c r="C52" s="304"/>
      <c r="D52" s="2">
        <v>80</v>
      </c>
      <c r="E52" s="304" t="s">
        <v>7</v>
      </c>
      <c r="F52" s="295"/>
      <c r="G52" s="10">
        <v>80</v>
      </c>
      <c r="H52" s="309" t="s">
        <v>7</v>
      </c>
      <c r="I52" s="310"/>
      <c r="J52" s="4">
        <v>75</v>
      </c>
      <c r="K52" s="304" t="s">
        <v>7</v>
      </c>
      <c r="L52" s="304"/>
      <c r="M52" s="2">
        <v>39</v>
      </c>
      <c r="N52" s="304" t="s">
        <v>7</v>
      </c>
      <c r="O52" s="305"/>
    </row>
    <row r="53" spans="1:15" ht="15" customHeight="1" x14ac:dyDescent="0.25">
      <c r="A53" s="19">
        <v>151</v>
      </c>
      <c r="B53" s="304" t="s">
        <v>8</v>
      </c>
      <c r="C53" s="304"/>
      <c r="D53" s="2">
        <v>151</v>
      </c>
      <c r="E53" s="304" t="s">
        <v>8</v>
      </c>
      <c r="F53" s="295"/>
      <c r="G53" s="10">
        <v>151</v>
      </c>
      <c r="H53" s="309" t="s">
        <v>8</v>
      </c>
      <c r="I53" s="310"/>
      <c r="J53" s="4">
        <v>151</v>
      </c>
      <c r="K53" s="304" t="s">
        <v>8</v>
      </c>
      <c r="L53" s="304"/>
      <c r="M53" s="2">
        <v>98</v>
      </c>
      <c r="N53" s="304" t="s">
        <v>8</v>
      </c>
      <c r="O53" s="305"/>
    </row>
    <row r="54" spans="1:15" ht="15" customHeight="1" x14ac:dyDescent="0.25">
      <c r="A54" s="19">
        <v>365</v>
      </c>
      <c r="B54" s="304" t="s">
        <v>9</v>
      </c>
      <c r="C54" s="304"/>
      <c r="D54" s="2">
        <v>365</v>
      </c>
      <c r="E54" s="304" t="s">
        <v>9</v>
      </c>
      <c r="F54" s="295"/>
      <c r="G54" s="10">
        <v>365</v>
      </c>
      <c r="H54" s="309" t="s">
        <v>9</v>
      </c>
      <c r="I54" s="310"/>
      <c r="J54" s="4">
        <v>365</v>
      </c>
      <c r="K54" s="304" t="s">
        <v>9</v>
      </c>
      <c r="L54" s="304"/>
      <c r="M54" s="2">
        <v>270</v>
      </c>
      <c r="N54" s="304" t="s">
        <v>9</v>
      </c>
      <c r="O54" s="305"/>
    </row>
    <row r="55" spans="1:15" ht="15" customHeight="1" thickBot="1" x14ac:dyDescent="0.3">
      <c r="A55" s="24">
        <v>533</v>
      </c>
      <c r="B55" s="311" t="s">
        <v>10</v>
      </c>
      <c r="C55" s="311"/>
      <c r="D55" s="25">
        <v>533</v>
      </c>
      <c r="E55" s="311" t="s">
        <v>10</v>
      </c>
      <c r="F55" s="312"/>
      <c r="G55" s="26">
        <v>533</v>
      </c>
      <c r="H55" s="313" t="s">
        <v>10</v>
      </c>
      <c r="I55" s="314"/>
      <c r="J55" s="27">
        <v>533</v>
      </c>
      <c r="K55" s="311" t="s">
        <v>10</v>
      </c>
      <c r="L55" s="311"/>
      <c r="M55" s="25">
        <v>528</v>
      </c>
      <c r="N55" s="311" t="s">
        <v>10</v>
      </c>
      <c r="O55" s="315"/>
    </row>
    <row r="56" spans="1:15" ht="15" customHeight="1" thickBot="1" x14ac:dyDescent="0.25">
      <c r="A56" s="306" t="s">
        <v>96</v>
      </c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8"/>
    </row>
    <row r="57" spans="1:15" ht="15" customHeight="1" x14ac:dyDescent="0.25">
      <c r="A57" s="19">
        <v>3</v>
      </c>
      <c r="B57" s="304" t="s">
        <v>4</v>
      </c>
      <c r="C57" s="304"/>
      <c r="D57" s="2">
        <v>2.5</v>
      </c>
      <c r="E57" s="304" t="s">
        <v>4</v>
      </c>
      <c r="F57" s="295"/>
      <c r="G57" s="10">
        <v>2</v>
      </c>
      <c r="H57" s="309" t="s">
        <v>4</v>
      </c>
      <c r="I57" s="310"/>
      <c r="J57" s="4">
        <v>1.5</v>
      </c>
      <c r="K57" s="304" t="s">
        <v>4</v>
      </c>
      <c r="L57" s="304"/>
      <c r="M57" s="2">
        <v>1</v>
      </c>
      <c r="N57" s="304" t="s">
        <v>4</v>
      </c>
      <c r="O57" s="305"/>
    </row>
    <row r="58" spans="1:15" ht="15" customHeight="1" x14ac:dyDescent="0.25">
      <c r="A58" s="19">
        <v>9.5</v>
      </c>
      <c r="B58" s="304" t="s">
        <v>5</v>
      </c>
      <c r="C58" s="304"/>
      <c r="D58" s="2">
        <v>9.5</v>
      </c>
      <c r="E58" s="304" t="s">
        <v>5</v>
      </c>
      <c r="F58" s="295"/>
      <c r="G58" s="10">
        <v>8.5</v>
      </c>
      <c r="H58" s="309" t="s">
        <v>5</v>
      </c>
      <c r="I58" s="310"/>
      <c r="J58" s="4">
        <v>6.5</v>
      </c>
      <c r="K58" s="304" t="s">
        <v>5</v>
      </c>
      <c r="L58" s="304"/>
      <c r="M58" s="2">
        <v>4</v>
      </c>
      <c r="N58" s="304" t="s">
        <v>5</v>
      </c>
      <c r="O58" s="305"/>
    </row>
    <row r="59" spans="1:15" ht="15" customHeight="1" x14ac:dyDescent="0.25">
      <c r="A59" s="19">
        <v>32</v>
      </c>
      <c r="B59" s="304" t="s">
        <v>6</v>
      </c>
      <c r="C59" s="304"/>
      <c r="D59" s="2">
        <v>32</v>
      </c>
      <c r="E59" s="304" t="s">
        <v>6</v>
      </c>
      <c r="F59" s="295"/>
      <c r="G59" s="10">
        <v>32</v>
      </c>
      <c r="H59" s="309" t="s">
        <v>6</v>
      </c>
      <c r="I59" s="310"/>
      <c r="J59" s="4">
        <v>30</v>
      </c>
      <c r="K59" s="304" t="s">
        <v>6</v>
      </c>
      <c r="L59" s="304"/>
      <c r="M59" s="2">
        <v>13</v>
      </c>
      <c r="N59" s="304" t="s">
        <v>6</v>
      </c>
      <c r="O59" s="305"/>
    </row>
    <row r="60" spans="1:15" ht="15" customHeight="1" x14ac:dyDescent="0.25">
      <c r="A60" s="19">
        <v>80</v>
      </c>
      <c r="B60" s="304" t="s">
        <v>7</v>
      </c>
      <c r="C60" s="304"/>
      <c r="D60" s="2">
        <v>80</v>
      </c>
      <c r="E60" s="304" t="s">
        <v>7</v>
      </c>
      <c r="F60" s="295"/>
      <c r="G60" s="10">
        <v>80</v>
      </c>
      <c r="H60" s="309" t="s">
        <v>7</v>
      </c>
      <c r="I60" s="310"/>
      <c r="J60" s="4">
        <v>80</v>
      </c>
      <c r="K60" s="304" t="s">
        <v>7</v>
      </c>
      <c r="L60" s="304"/>
      <c r="M60" s="2">
        <v>53</v>
      </c>
      <c r="N60" s="304" t="s">
        <v>7</v>
      </c>
      <c r="O60" s="305"/>
    </row>
    <row r="61" spans="1:15" ht="15" customHeight="1" x14ac:dyDescent="0.25">
      <c r="A61" s="19">
        <v>151</v>
      </c>
      <c r="B61" s="304" t="s">
        <v>8</v>
      </c>
      <c r="C61" s="304"/>
      <c r="D61" s="2">
        <v>151</v>
      </c>
      <c r="E61" s="304" t="s">
        <v>8</v>
      </c>
      <c r="F61" s="295"/>
      <c r="G61" s="10">
        <v>151</v>
      </c>
      <c r="H61" s="309" t="s">
        <v>8</v>
      </c>
      <c r="I61" s="310"/>
      <c r="J61" s="4">
        <v>151</v>
      </c>
      <c r="K61" s="304" t="s">
        <v>8</v>
      </c>
      <c r="L61" s="304"/>
      <c r="M61" s="2">
        <v>126</v>
      </c>
      <c r="N61" s="304" t="s">
        <v>8</v>
      </c>
      <c r="O61" s="305"/>
    </row>
    <row r="62" spans="1:15" ht="15" customHeight="1" x14ac:dyDescent="0.25">
      <c r="A62" s="19">
        <v>365</v>
      </c>
      <c r="B62" s="304" t="s">
        <v>9</v>
      </c>
      <c r="C62" s="304"/>
      <c r="D62" s="2">
        <v>365</v>
      </c>
      <c r="E62" s="304" t="s">
        <v>9</v>
      </c>
      <c r="F62" s="295"/>
      <c r="G62" s="10">
        <v>365</v>
      </c>
      <c r="H62" s="309" t="s">
        <v>9</v>
      </c>
      <c r="I62" s="310"/>
      <c r="J62" s="4">
        <v>365</v>
      </c>
      <c r="K62" s="304" t="s">
        <v>9</v>
      </c>
      <c r="L62" s="304"/>
      <c r="M62" s="2">
        <v>329</v>
      </c>
      <c r="N62" s="304" t="s">
        <v>9</v>
      </c>
      <c r="O62" s="305"/>
    </row>
    <row r="63" spans="1:15" ht="15" customHeight="1" thickBot="1" x14ac:dyDescent="0.3">
      <c r="A63" s="24">
        <v>533</v>
      </c>
      <c r="B63" s="311" t="s">
        <v>10</v>
      </c>
      <c r="C63" s="311"/>
      <c r="D63" s="25">
        <v>533</v>
      </c>
      <c r="E63" s="311" t="s">
        <v>10</v>
      </c>
      <c r="F63" s="312"/>
      <c r="G63" s="26">
        <v>533</v>
      </c>
      <c r="H63" s="313" t="s">
        <v>10</v>
      </c>
      <c r="I63" s="314"/>
      <c r="J63" s="27">
        <v>533</v>
      </c>
      <c r="K63" s="311" t="s">
        <v>10</v>
      </c>
      <c r="L63" s="311"/>
      <c r="M63" s="25">
        <v>533</v>
      </c>
      <c r="N63" s="311" t="s">
        <v>10</v>
      </c>
      <c r="O63" s="315"/>
    </row>
    <row r="64" spans="1:15" ht="15" customHeight="1" thickBot="1" x14ac:dyDescent="0.25">
      <c r="A64" s="306" t="s">
        <v>88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8"/>
    </row>
    <row r="65" spans="1:15" ht="15" customHeight="1" x14ac:dyDescent="0.25">
      <c r="A65" s="19">
        <v>3</v>
      </c>
      <c r="B65" s="304" t="s">
        <v>4</v>
      </c>
      <c r="C65" s="304"/>
      <c r="D65" s="2">
        <v>3</v>
      </c>
      <c r="E65" s="304" t="s">
        <v>4</v>
      </c>
      <c r="F65" s="295"/>
      <c r="G65" s="10">
        <v>2.5</v>
      </c>
      <c r="H65" s="309" t="s">
        <v>4</v>
      </c>
      <c r="I65" s="310"/>
      <c r="J65" s="4">
        <v>2</v>
      </c>
      <c r="K65" s="304" t="s">
        <v>4</v>
      </c>
      <c r="L65" s="304"/>
      <c r="M65" s="2">
        <v>1</v>
      </c>
      <c r="N65" s="304" t="s">
        <v>4</v>
      </c>
      <c r="O65" s="305"/>
    </row>
    <row r="66" spans="1:15" ht="15" customHeight="1" x14ac:dyDescent="0.25">
      <c r="A66" s="19">
        <v>9.5</v>
      </c>
      <c r="B66" s="304" t="s">
        <v>5</v>
      </c>
      <c r="C66" s="304"/>
      <c r="D66" s="2">
        <v>9.5</v>
      </c>
      <c r="E66" s="304" t="s">
        <v>5</v>
      </c>
      <c r="F66" s="295"/>
      <c r="G66" s="10">
        <v>9.5</v>
      </c>
      <c r="H66" s="309" t="s">
        <v>5</v>
      </c>
      <c r="I66" s="310"/>
      <c r="J66" s="4">
        <v>7.5</v>
      </c>
      <c r="K66" s="304" t="s">
        <v>5</v>
      </c>
      <c r="L66" s="304"/>
      <c r="M66" s="2">
        <v>4.5</v>
      </c>
      <c r="N66" s="304" t="s">
        <v>5</v>
      </c>
      <c r="O66" s="305"/>
    </row>
    <row r="67" spans="1:15" ht="15" customHeight="1" x14ac:dyDescent="0.25">
      <c r="A67" s="19">
        <v>32</v>
      </c>
      <c r="B67" s="304" t="s">
        <v>6</v>
      </c>
      <c r="C67" s="304"/>
      <c r="D67" s="2">
        <v>32</v>
      </c>
      <c r="E67" s="304" t="s">
        <v>6</v>
      </c>
      <c r="F67" s="295"/>
      <c r="G67" s="10">
        <v>32</v>
      </c>
      <c r="H67" s="309" t="s">
        <v>6</v>
      </c>
      <c r="I67" s="310"/>
      <c r="J67" s="4">
        <v>32</v>
      </c>
      <c r="K67" s="304" t="s">
        <v>6</v>
      </c>
      <c r="L67" s="304"/>
      <c r="M67" s="2">
        <v>17</v>
      </c>
      <c r="N67" s="304" t="s">
        <v>6</v>
      </c>
      <c r="O67" s="305"/>
    </row>
    <row r="68" spans="1:15" ht="15" customHeight="1" x14ac:dyDescent="0.25">
      <c r="A68" s="19">
        <v>80</v>
      </c>
      <c r="B68" s="304" t="s">
        <v>7</v>
      </c>
      <c r="C68" s="304"/>
      <c r="D68" s="2">
        <v>80</v>
      </c>
      <c r="E68" s="304" t="s">
        <v>7</v>
      </c>
      <c r="F68" s="295"/>
      <c r="G68" s="10">
        <v>80</v>
      </c>
      <c r="H68" s="309" t="s">
        <v>7</v>
      </c>
      <c r="I68" s="310"/>
      <c r="J68" s="4">
        <v>80</v>
      </c>
      <c r="K68" s="304" t="s">
        <v>7</v>
      </c>
      <c r="L68" s="304"/>
      <c r="M68" s="2">
        <v>65</v>
      </c>
      <c r="N68" s="304" t="s">
        <v>7</v>
      </c>
      <c r="O68" s="305"/>
    </row>
    <row r="69" spans="1:15" ht="15" customHeight="1" x14ac:dyDescent="0.25">
      <c r="A69" s="19">
        <v>151</v>
      </c>
      <c r="B69" s="304" t="s">
        <v>8</v>
      </c>
      <c r="C69" s="304"/>
      <c r="D69" s="2">
        <v>151</v>
      </c>
      <c r="E69" s="304" t="s">
        <v>8</v>
      </c>
      <c r="F69" s="295"/>
      <c r="G69" s="10">
        <v>151</v>
      </c>
      <c r="H69" s="309" t="s">
        <v>8</v>
      </c>
      <c r="I69" s="310"/>
      <c r="J69" s="4">
        <v>151</v>
      </c>
      <c r="K69" s="304" t="s">
        <v>8</v>
      </c>
      <c r="L69" s="304"/>
      <c r="M69" s="2">
        <v>151</v>
      </c>
      <c r="N69" s="304" t="s">
        <v>8</v>
      </c>
      <c r="O69" s="305"/>
    </row>
    <row r="70" spans="1:15" ht="15" customHeight="1" x14ac:dyDescent="0.25">
      <c r="A70" s="19">
        <v>368</v>
      </c>
      <c r="B70" s="304" t="s">
        <v>9</v>
      </c>
      <c r="C70" s="304"/>
      <c r="D70" s="2">
        <v>368</v>
      </c>
      <c r="E70" s="304" t="s">
        <v>9</v>
      </c>
      <c r="F70" s="295"/>
      <c r="G70" s="10">
        <v>368</v>
      </c>
      <c r="H70" s="309" t="s">
        <v>9</v>
      </c>
      <c r="I70" s="310"/>
      <c r="J70" s="4">
        <v>368</v>
      </c>
      <c r="K70" s="304" t="s">
        <v>9</v>
      </c>
      <c r="L70" s="304"/>
      <c r="M70" s="2">
        <v>368</v>
      </c>
      <c r="N70" s="304" t="s">
        <v>9</v>
      </c>
      <c r="O70" s="305"/>
    </row>
    <row r="71" spans="1:15" ht="15" customHeight="1" thickBot="1" x14ac:dyDescent="0.3">
      <c r="A71" s="20">
        <v>533</v>
      </c>
      <c r="B71" s="316" t="s">
        <v>10</v>
      </c>
      <c r="C71" s="316"/>
      <c r="D71" s="21">
        <v>533</v>
      </c>
      <c r="E71" s="316" t="s">
        <v>10</v>
      </c>
      <c r="F71" s="332"/>
      <c r="G71" s="22">
        <v>533</v>
      </c>
      <c r="H71" s="353" t="s">
        <v>10</v>
      </c>
      <c r="I71" s="354"/>
      <c r="J71" s="23">
        <v>533</v>
      </c>
      <c r="K71" s="316" t="s">
        <v>10</v>
      </c>
      <c r="L71" s="316"/>
      <c r="M71" s="21">
        <v>533</v>
      </c>
      <c r="N71" s="316" t="s">
        <v>10</v>
      </c>
      <c r="O71" s="317"/>
    </row>
    <row r="72" spans="1:15" ht="17.25" thickTop="1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5" ht="17.25" thickTop="1" thickBot="1" x14ac:dyDescent="0.3">
      <c r="A73" s="348" t="s">
        <v>36</v>
      </c>
      <c r="B73" s="349"/>
      <c r="C73" s="349"/>
      <c r="D73" s="349"/>
      <c r="E73" s="350" t="s">
        <v>35</v>
      </c>
      <c r="F73" s="351"/>
      <c r="G73" s="351"/>
      <c r="H73" s="352"/>
      <c r="I73" s="334" t="s">
        <v>32</v>
      </c>
      <c r="J73" s="335"/>
      <c r="K73" s="335"/>
      <c r="L73" s="336"/>
      <c r="M73" s="41"/>
      <c r="N73" s="42"/>
      <c r="O73" s="43"/>
    </row>
    <row r="74" spans="1:15" ht="17.25" thickTop="1" thickBot="1" x14ac:dyDescent="0.3">
      <c r="A74" s="57" t="s">
        <v>106</v>
      </c>
      <c r="B74" s="33" t="s">
        <v>107</v>
      </c>
      <c r="C74" s="33" t="s">
        <v>108</v>
      </c>
      <c r="D74" s="44" t="s">
        <v>92</v>
      </c>
      <c r="E74" s="57" t="s">
        <v>106</v>
      </c>
      <c r="F74" s="33" t="s">
        <v>107</v>
      </c>
      <c r="G74" s="33" t="s">
        <v>108</v>
      </c>
      <c r="H74" s="44" t="s">
        <v>92</v>
      </c>
      <c r="I74" s="57" t="s">
        <v>106</v>
      </c>
      <c r="J74" s="33" t="s">
        <v>107</v>
      </c>
      <c r="K74" s="33" t="s">
        <v>108</v>
      </c>
      <c r="L74" s="45" t="s">
        <v>92</v>
      </c>
      <c r="M74" s="323" t="s">
        <v>93</v>
      </c>
      <c r="N74" s="324"/>
      <c r="O74" s="325"/>
    </row>
    <row r="75" spans="1:15" ht="15.75" x14ac:dyDescent="0.25">
      <c r="A75" s="46" t="str">
        <f>IF($M$35&lt;=A41,"1/2",IF($M$35&lt;=A42,"3/4",IF($M$35&lt;=A43,"1",IF($M$35&lt;=A44,"1 1/4",IF($M$35&lt;=A45,"1 1/2",IF($M$35&lt;=A46,"2",IF($M$35&lt;=A47,"2 1/2")))))))</f>
        <v>1/2</v>
      </c>
      <c r="B75" s="47" t="str">
        <f>IF($M$35&lt;=A49,"1/2",IF($M$35&lt;=A50,"3/4",IF($M$35&lt;=A51,"1",IF($M$35&lt;=A52,"1 1/4",IF($M$35&lt;=A53,"1 1/2",IF($M$35&lt;=A54,"2",IF($M$35&lt;=A55,"2 1/2")))))))</f>
        <v>1/2</v>
      </c>
      <c r="C75" s="47" t="str">
        <f>IF($M$35&lt;=A57,"1/2",IF($M$35&lt;=A58,"3/4",IF($M$35&lt;=A59,"1",IF($M$35&lt;=A60,"1 1/4",IF($M$35&lt;=A61,"1 1/2",IF($M$35&lt;=A62,"2",IF($M$35&lt;=A63,"2 1/2")))))))</f>
        <v>1/2</v>
      </c>
      <c r="D75" s="48" t="str">
        <f>IF($M$35&lt;=A65,"1/2",IF($M$35&lt;=A66,"3/4",IF($M$35&lt;=A67,"1",IF($M$35&lt;=A68,"1 1/4",IF($M$35&lt;=A69,"1 1/2",IF($M$35&lt;=A70,"2",IF($M$35&lt;=A71,"2 1/2")))))))</f>
        <v>1/2</v>
      </c>
      <c r="E75" s="46" t="str">
        <f>IF($N$35&lt;=A41,"1/2",IF($N$35&lt;=A42,"3/4",IF($N$35&lt;=A43,"1",IF($N$35&lt;=A44,"1 1/4",IF($N$35&lt;=A45,"1 1/2",IF($N$35&lt;=A46,"2",IF($N$35&lt;=A47,"2 1/2")))))))</f>
        <v>1/2</v>
      </c>
      <c r="F75" s="47" t="str">
        <f>IF($N$35&lt;=A49,"1/2",IF($N$35&lt;=A50,"3/4",IF($N$35&lt;=A51,"1",IF($N$35&lt;=A52,"1 1/4",IF($N$35&lt;=A53,"1 1/2",IF($N$35&lt;=A54,"2",IF($N$35&lt;=A55,"2 1/2")))))))</f>
        <v>1/2</v>
      </c>
      <c r="G75" s="47" t="str">
        <f>IF($N$35&lt;=A57,"1/2",IF($N$35&lt;=A58,"3/4",IF($N$35&lt;=A59,"1",IF($N$35&lt;=A60,"1 1/4",IF($N$35&lt;=A61,"1 1/2",IF($N$35&lt;=A62,"2",IF($N$35&lt;=A63,"2 1/2")))))))</f>
        <v>1/2</v>
      </c>
      <c r="H75" s="48" t="str">
        <f>IF($N$35&lt;=A65,"1/2",IF($N$35&lt;=A66,"3/4",IF($N$35&lt;=A67,"1",IF($N$35&lt;=A68,"1 1/4",IF($N$35&lt;=A69,"1 1/2",IF($N$35&lt;=A70,"2",IF($N$35&lt;=A71,"2 1/2")))))))</f>
        <v>1/2</v>
      </c>
      <c r="I75" s="46" t="str">
        <f>IF($O$35&lt;=A42,"3/4",IF($O$35&lt;=A43,"1",IF($O$35&lt;=A44,"1 1/4",IF($O$35&lt;=A45,"1 1/2",IF($O$35&lt;=A46,"2",IF($O$35&lt;=A47,"2 1/2"))))))</f>
        <v>3/4</v>
      </c>
      <c r="J75" s="47" t="str">
        <f>IF($O$35&lt;=A50,"3/4",IF($O$35&lt;=A51,"1",IF($O$35&lt;=A52,"1 1/4",IF($O$35&lt;=A53,"1 1/2",IF($O$35&lt;=A54,"2",IF($O$35&lt;=A55,"2 1/2"))))))</f>
        <v>3/4</v>
      </c>
      <c r="K75" s="47" t="str">
        <f>IF($O$35&lt;=A58,"3/4",IF($O$35&lt;=A59,"1",IF($O$35&lt;=A60,"1 1/4",IF($O$35&lt;=A61,"1 1/2",IF($O$35&lt;=A62,"2",IF($O$35&lt;=A63,"2 1/2"))))))</f>
        <v>3/4</v>
      </c>
      <c r="L75" s="48" t="str">
        <f>IF($O$35&lt;=A66,"3/4",IF($O$35&lt;=A67,"1",IF($O$35&lt;=A68,"1 1/4",IF($O$35&lt;=A69,"1 1/2",IF($O$35&lt;=A70,"2",IF($O$35&lt;=A71,"2 1/2"))))))</f>
        <v>3/4</v>
      </c>
      <c r="M75" s="337" t="s">
        <v>11</v>
      </c>
      <c r="N75" s="338"/>
      <c r="O75" s="339"/>
    </row>
    <row r="76" spans="1:15" ht="15.75" x14ac:dyDescent="0.25">
      <c r="A76" s="49" t="str">
        <f>IF($M$35&lt;=D41,"1/2",IF($M$35&lt;=D42,"3/4",IF($M$35&lt;=D43,"1",IF($M$35&lt;=D44,"1 1/4",IF($M$35&lt;=D45,"1 1/2",IF($M$35&lt;=D46,"2",IF($M$35&lt;=D47,"2 1/2")))))))</f>
        <v>1/2</v>
      </c>
      <c r="B76" s="50" t="str">
        <f>IF($M$35&lt;=D49,"1/2",IF($M$35&lt;=D50,"3/4",IF($M$35&lt;=D51,"1",IF($M$35&lt;=D52,"1 1/4",IF($M$35&lt;=D53,"1 1/2",IF($M$35&lt;=D54,"2",IF($M$35&lt;=D55,"2 1/2")))))))</f>
        <v>1/2</v>
      </c>
      <c r="C76" s="50" t="str">
        <f>IF($M$35&lt;=D57,"1/2",IF($M$35&lt;=D58,"3/4",IF($M$35&lt;=D59,"1",IF($M$35&lt;=D60,"1 1/4",IF($M$35&lt;=D61,"1 1/2",IF($M$35&lt;=D62,"2",IF($M$35&lt;=D63,"2 1/2")))))))</f>
        <v>1/2</v>
      </c>
      <c r="D76" s="51" t="str">
        <f>IF($M$35&lt;=D65,"1/2",IF($M$35&lt;=D66,"3/4",IF($M$35&lt;=D67,"1",IF($M$35&lt;=D68,"1 1/4",IF($M$35&lt;=D69,"1 1/2",IF($M$35&lt;=D70,"2",IF($M$35&lt;=D71,"2 1/2")))))))</f>
        <v>1/2</v>
      </c>
      <c r="E76" s="49" t="str">
        <f>IF($N$35&lt;=D41,"1/2",IF($N$35&lt;=D42,"3/4",IF($N$35&lt;=D43,"1",IF($N$35&lt;=D44,"1 1/4",IF($N$35&lt;=D45,"1 1/2",IF($N$35&lt;=D46,"2",IF($N$35&lt;=D47,"2 1/2")))))))</f>
        <v>1/2</v>
      </c>
      <c r="F76" s="50" t="str">
        <f>IF($N$35&lt;=D49,"1/2",IF($N$35&lt;=D50,"3/4",IF($N$35&lt;=D51,"1",IF($N$35&lt;=D52,"1 1/4",IF($N$35&lt;=D53,"1 1/2",IF($N$35&lt;=D54,"2",IF($N$35&lt;=D55,"2 1/2")))))))</f>
        <v>1/2</v>
      </c>
      <c r="G76" s="50" t="str">
        <f>IF($N$35&lt;=D57,"1/2",IF($N$35&lt;=D58,"3/4",IF($N$35&lt;=D59,"1",IF($N$35&lt;=D60,"1 1/4",IF($N$35&lt;=D61,"1 1/2",IF($N$35&lt;=D62,"2",IF($N$35&lt;=D63,"2 1/2")))))))</f>
        <v>1/2</v>
      </c>
      <c r="H76" s="51" t="str">
        <f>IF($N$35&lt;=D65,"1/2",IF($N$35&lt;=D66,"3/4",IF($N$35&lt;=D67,"1",IF($N$35&lt;=D68,"1 1/4",IF($N$35&lt;=D69,"1 1/2",IF($N$35&lt;=D70,"2",IF($N$35&lt;=D71,"2 1/2")))))))</f>
        <v>1/2</v>
      </c>
      <c r="I76" s="49" t="str">
        <f>IF($O$35&lt;=D42,"3/4",IF($O$35&lt;=D43,"1",IF($O$35&lt;=D44,"1 1/4",IF($O$35&lt;=D45,"1 1/2",IF($O$35&lt;=D46,"2",IF($O$35&lt;=D47,"2 1/2"))))))</f>
        <v>3/4</v>
      </c>
      <c r="J76" s="50" t="str">
        <f>IF($O$35&lt;=D50,"3/4",IF($O$35&lt;=D51,"1",IF($O$35&lt;=D52,"1 1/4",IF($O$35&lt;=D53,"1 1/2",IF($O$35&lt;=D54,"2",IF($O$35&lt;=D55,"2 1/2"))))))</f>
        <v>3/4</v>
      </c>
      <c r="K76" s="50" t="str">
        <f>IF($O$35&lt;=D58,"3/4",IF($O$35&lt;=D59,"1",IF($O$35&lt;=D60,"1 1/4",IF($O$35&lt;=D61,"1 1/2",IF($O$35&lt;=D62,"2",IF($O$35&lt;=D63,"2 1/2"))))))</f>
        <v>3/4</v>
      </c>
      <c r="L76" s="51" t="str">
        <f>IF($O$35&lt;=D66,"3/4",IF($O$35&lt;=D67,"1",IF($O$35&lt;=D68,"1 1/4",IF($O$35&lt;=D69,"1 1/2",IF($O$35&lt;=D70,"2",IF($O$35&lt;=D71,"2 1/2"))))))</f>
        <v>3/4</v>
      </c>
      <c r="M76" s="318" t="s">
        <v>12</v>
      </c>
      <c r="N76" s="296"/>
      <c r="O76" s="319"/>
    </row>
    <row r="77" spans="1:15" ht="15.75" x14ac:dyDescent="0.25">
      <c r="A77" s="58" t="str">
        <f>IF($M$35&lt;=G41,"1/2",IF($M$35&lt;=G42,"3/4",IF($M$35&lt;=G43,"1",IF($M$35&lt;=G44,"1 1/4",IF($M$35&lt;=G45,"1 1/2",IF($M$35&lt;=G46,"2",IF($M$35&lt;=G47,"2 1/2")))))))</f>
        <v>1/2</v>
      </c>
      <c r="B77" s="50" t="str">
        <f>IF($M$35&lt;=G49,"1/2",IF($M$35&lt;=G50,"3/4",IF($M$35&lt;=G51,"1",IF($M$35&lt;=G52,"1 1/4",IF($M$35&lt;=G53,"1 1/2",IF($M$35&lt;=G54,"2",IF($M$35&lt;=G55,"2 1/2")))))))</f>
        <v>1/2</v>
      </c>
      <c r="C77" s="50" t="str">
        <f>IF($M$35&lt;=G57,"1/2",IF($M$35&lt;=G58,"3/4",IF($M$35&lt;=G59,"1",IF($M$35&lt;=G60,"1 1/4",IF($M$35&lt;=G61,"1 1/2",IF($M$35&lt;=G62,"2",IF($M$35&lt;=G63,"2 1/2")))))))</f>
        <v>1/2</v>
      </c>
      <c r="D77" s="51" t="str">
        <f>IF($M$35&lt;=G65,"1/2",IF($M$35&lt;=G66,"3/4",IF($M$35&lt;=G67,"1",IF($M$35&lt;=G68,"1 1/4",IF($M$35&lt;=G69,"1 1/2",IF($M$35&lt;=G70,"2",IF($M$35&lt;=G71,"2 1/2")))))))</f>
        <v>1/2</v>
      </c>
      <c r="E77" s="58" t="str">
        <f>IF($N$35&lt;=G41,"1/2",IF($N$35&lt;=G42,"3/4",IF($N$35&lt;=G43,"1",IF($N$35&lt;=G44,"1 1/4",IF($N$35&lt;=G45,"1 1/2",IF($N$35&lt;=G46,"2",IF($N$35&lt;=G47,"2 1/2")))))))</f>
        <v>1/2</v>
      </c>
      <c r="F77" s="50" t="str">
        <f>IF($N$35&lt;=G49,"1/2",IF($N$35&lt;=G50,"3/4",IF($N$35&lt;=G51,"1",IF($N$35&lt;=G52,"1 1/4",IF($N$35&lt;=G53,"1 1/2",IF($N$35&lt;=G54,"2",IF($N$35&lt;=G55,"2 1/2")))))))</f>
        <v>1/2</v>
      </c>
      <c r="G77" s="50" t="str">
        <f>IF($N$35&lt;=G57,"1/2",IF($N$35&lt;=G58,"3/4",IF($N$35&lt;=G59,"1",IF($N$35&lt;=G60,"1 1/4",IF($N$35&lt;=G61,"1 1/2",IF($N$35&lt;=G62,"2",IF($N$35&lt;=G63,"2 1/2")))))))</f>
        <v>1/2</v>
      </c>
      <c r="H77" s="51" t="str">
        <f>IF($N$35&lt;=G65,"1/2",IF($N$35&lt;=G66,"3/4",IF($N$35&lt;=G67,"1",IF($N$35&lt;=G68,"1 1/4",IF($N$35&lt;=G69,"1 1/2",IF($N$35&lt;=G70,"2",IF($N$35&lt;=G71,"2 1/2")))))))</f>
        <v>1/2</v>
      </c>
      <c r="I77" s="58" t="str">
        <f>IF($O$35&lt;=G42,"3/4",IF($O$35&lt;=G43,"1",IF($O$35&lt;=G44,"1 1/4",IF($O$35&lt;=G45,"1 1/2",IF($O$35&lt;=G46,"2",IF($O$35&lt;=G47,"2 1/2"))))))</f>
        <v>3/4</v>
      </c>
      <c r="J77" s="50" t="str">
        <f>IF($O$35&lt;=G50,"3/4",IF($O$35&lt;=G51,"1",IF($O$35&lt;=G52,"1 1/4",IF($O$35&lt;=G53,"1 1/2",IF($O$35&lt;=G54,"2",IF($O$35&lt;=G55,"2 1/2"))))))</f>
        <v>3/4</v>
      </c>
      <c r="K77" s="50" t="str">
        <f>IF($O$35&lt;=G58,"3/4",IF($O$35&lt;=G59,"1",IF($O$35&lt;=G60,"1 1/4",IF($O$35&lt;=G61,"1 1/2",IF($O$35&lt;=G62,"2",IF($O$35&lt;=G63,"2 1/2"))))))</f>
        <v>3/4</v>
      </c>
      <c r="L77" s="51" t="str">
        <f>IF($O$35&lt;=G66,"3/4",IF($O$35&lt;=G67,"1",IF($O$35&lt;=G68,"1 1/4",IF($O$35&lt;=G69,"1 1/2",IF($O$35&lt;=G70,"2",IF($O$35&lt;=G71,"2 1/2"))))))</f>
        <v>3/4</v>
      </c>
      <c r="M77" s="320" t="s">
        <v>13</v>
      </c>
      <c r="N77" s="321"/>
      <c r="O77" s="322"/>
    </row>
    <row r="78" spans="1:15" ht="15.75" x14ac:dyDescent="0.25">
      <c r="A78" s="49" t="str">
        <f>IF($M$35&lt;=J41,"1/2",IF($M$35&lt;=J42,"3/4",IF($M$35&lt;=J43,"1",IF($M$35&lt;=J44,"1 1/4",IF($M$35&lt;=J45,"1 1/2",IF($M$35&lt;=J46,"2",IF($M$35&lt;=J47,"2 1/2")))))))</f>
        <v>1/2</v>
      </c>
      <c r="B78" s="50" t="str">
        <f>IF($M$35&lt;=J49,"1/2",IF($M$35&lt;=J50,"3/4",IF($M$35&lt;=J51,"1",IF($M$35&lt;=J52,"1 1/4",IF($M$35&lt;=J53,"1 1/2",IF($M$35&lt;=J54,"2",IF($M$35&lt;=J55,"2 1/2")))))))</f>
        <v>1/2</v>
      </c>
      <c r="C78" s="50" t="str">
        <f>IF($M$35&lt;=J57,"1/2",IF($M$35&lt;=J58,"3/4",IF($M$35&lt;=J59,"1",IF($M$35&lt;=J60,"1 1/4",IF($M$35&lt;=J61,"1 1/2",IF($M$35&lt;=J62,"2",IF($M$35&lt;=J63,"2 1/2")))))))</f>
        <v>1/2</v>
      </c>
      <c r="D78" s="51" t="str">
        <f>IF($M$35&lt;=J65,"1/2",IF($M$35&lt;=J66,"3/4",IF($M$35&lt;=J67,"1",IF($M$35&lt;=J68,"1 1/4",IF($M$35&lt;=J69,"1 1/2",IF($M$35&lt;=J70,"2",IF($M$35&lt;=J71,"2 1/2")))))))</f>
        <v>1/2</v>
      </c>
      <c r="E78" s="49" t="str">
        <f>IF($N$35&lt;=J41,"1/2",IF($N$35&lt;=J42,"3/4",IF($N$35&lt;=J43,"1",IF($N$35&lt;=J44,"1 1/4",IF($N$35&lt;=J45,"1 1/2",IF($N$35&lt;=J46,"2",IF($N$35&lt;=J47,"2 1/2")))))))</f>
        <v>1/2</v>
      </c>
      <c r="F78" s="50" t="str">
        <f>IF($N$35&lt;=J49,"1/2",IF($N$35&lt;=J50,"3/4",IF($N$35&lt;=J51,"1",IF($N$35&lt;=J52,"1 1/4",IF($N$35&lt;=J53,"1 1/2",IF($N$35&lt;=J54,"2",IF($N$35&lt;=J55,"2 1/2")))))))</f>
        <v>1/2</v>
      </c>
      <c r="G78" s="50" t="str">
        <f>IF($N$35&lt;=J57,"1/2",IF($N$35&lt;=J58,"3/4",IF($N$35&lt;=J59,"1",IF($N$35&lt;=J60,"1 1/4",IF($N$35&lt;=J61,"1 1/2",IF($N$35&lt;=J62,"2",IF($N$35&lt;=J63,"2 1/2")))))))</f>
        <v>1/2</v>
      </c>
      <c r="H78" s="51" t="str">
        <f>IF($N$35&lt;=J65,"1/2",IF($N$35&lt;=J66,"3/4",IF($N$35&lt;=J67,"1",IF($N$35&lt;=J68,"1 1/4",IF($N$35&lt;=J69,"1 1/2",IF($N$35&lt;=J70,"2",IF($N$35&lt;=J71,"2 1/2")))))))</f>
        <v>1/2</v>
      </c>
      <c r="I78" s="49" t="str">
        <f>IF($O$35&lt;=J42,"3/4",IF($O$35&lt;=J43,"1",IF($O$35&lt;=J44,"1 1/4",IF($O$35&lt;=J45,"1 1/2",IF($O$35&lt;=J46,"2",IF($O$35&lt;=J47,"2 1/2"))))))</f>
        <v>3/4</v>
      </c>
      <c r="J78" s="50" t="str">
        <f>IF($O$35&lt;=J50,"3/4",IF($O$35&lt;=J51,"1",IF($O$35&lt;=J52,"1 1/4",IF($O$35&lt;=J53,"1 1/2",IF($O$35&lt;=J54,"2",IF($O$35&lt;=J55,"2 1/2"))))))</f>
        <v>3/4</v>
      </c>
      <c r="K78" s="50" t="str">
        <f>IF($O$35&lt;=J58,"3/4",IF($O$35&lt;=J59,"1",IF($O$35&lt;=J60,"1 1/4",IF($O$35&lt;=J61,"1 1/2",IF($O$35&lt;=J62,"2",IF($O$35&lt;=J63,"2 1/2"))))))</f>
        <v>3/4</v>
      </c>
      <c r="L78" s="51" t="str">
        <f>IF($O$35&lt;=J66,"3/4",IF($O$35&lt;=J67,"1",IF($O$35&lt;=J68,"1 1/4",IF($O$35&lt;=J69,"1 1/2",IF($O$35&lt;=J70,"2",IF($O$35&lt;=J71,"2 1/2"))))))</f>
        <v>3/4</v>
      </c>
      <c r="M78" s="318" t="s">
        <v>16</v>
      </c>
      <c r="N78" s="296"/>
      <c r="O78" s="319"/>
    </row>
    <row r="79" spans="1:15" ht="16.5" thickBot="1" x14ac:dyDescent="0.3">
      <c r="A79" s="52" t="str">
        <f>IF($M$35&lt;=M41,"1/2",IF($M$35&lt;=M42,"3/4",IF($M$35&lt;=M43,"1",IF($M$35&lt;=M44,"1 1/4",IF($M$35&lt;=M45,"1 1/2",IF($M$35&lt;=M46,"2",IF($M$35&lt;=M47,"2 1/2")))))))</f>
        <v>1/2</v>
      </c>
      <c r="B79" s="53" t="str">
        <f>IF($M$35&lt;=M49,"1/2",IF($M$35&lt;=M50,"3/4",IF($M$35&lt;=M51,"1",IF($M$35&lt;=M52,"1 1/4",IF($M$35&lt;=M53,"1 1/2",IF($M$35&lt;=M54,"2",IF($M$35&lt;=M55,"2 1/2")))))))</f>
        <v>1/2</v>
      </c>
      <c r="C79" s="53" t="str">
        <f>IF($M$35&lt;=M57,"1/2",IF($M$35&lt;=M58,"3/4",IF($M$35&lt;=M59,"1",IF($M$35&lt;=M60,"1 1/4",IF($M$35&lt;=M61,"1 1/2",IF($M$35&lt;=M62,"2",IF($M$35&lt;=M63,"2 1/2")))))))</f>
        <v>1/2</v>
      </c>
      <c r="D79" s="54" t="str">
        <f>IF($M$35&lt;=M65,"1/2",IF($M$35&lt;=M66,"3/4",IF($M$35&lt;=M67,"1",IF($M$35&lt;=M68,"1 1/4",IF($M$35&lt;=M69,"1 1/2",IF($M$35&lt;=M70,"2",IF($M$35&lt;=M71,"2 1/2")))))))</f>
        <v>1/2</v>
      </c>
      <c r="E79" s="52" t="str">
        <f>IF($N$35&lt;=M41,"1/2",IF($N$35&lt;=M42,"3/4",IF($N$35&lt;=M43,"1",IF($N$35&lt;=M44,"1 1/4",IF($N$35&lt;=M45,"1 1/2",IF($N$35&lt;=M46,"2",IF($N$35&lt;=M47,"2 1/2")))))))</f>
        <v>1/2</v>
      </c>
      <c r="F79" s="53" t="str">
        <f>IF($N$35&lt;=M49,"1/2",IF($N$35&lt;=M50,"3/4",IF($N$35&lt;=M51,"1",IF($N$35&lt;=M52,"1 1/4",IF($N$35&lt;=M53,"1 1/2",IF($N$35&lt;=M54,"2",IF($N$35&lt;=M55,"2 1/2")))))))</f>
        <v>1/2</v>
      </c>
      <c r="G79" s="53" t="str">
        <f>IF($N$35&lt;=M57,"1/2",IF($N$35&lt;=M58,"3/4",IF($N$35&lt;=M59,"1",IF($N$35&lt;=M60,"1 1/4",IF($N$35&lt;=M61,"1 1/2",IF($N$35&lt;=M62,"2",IF($N$35&lt;=M63,"2 1/2")))))))</f>
        <v>1/2</v>
      </c>
      <c r="H79" s="54" t="str">
        <f>IF($N$35&lt;=M65,"1/2",IF($N$35&lt;=M66,"3/4",IF($N$35&lt;=M67,"1",IF($N$35&lt;=M68,"1 1/4",IF($N$35&lt;=M69,"1 1/2",IF($N$35&lt;=M70,"2",IF($N$35&lt;=M71,"2 1/2")))))))</f>
        <v>1/2</v>
      </c>
      <c r="I79" s="52" t="str">
        <f>IF($O$35&lt;=M42,"3/4",IF($O$35&lt;=M43,"1",IF($O$35&lt;=M44,"1 1/4",IF($O$35&lt;=M45,"1 1/2",IF($O$35&lt;=M46,"2",IF($O$35&lt;=M47,"2 1/2"))))))</f>
        <v>3/4</v>
      </c>
      <c r="J79" s="53" t="str">
        <f>IF($O$35&lt;=M50,"3/4",IF($O$35&lt;=M51,"1",IF($O$35&lt;=M52,"1 1/4",IF($O$35&lt;=M53,"1 1/2",IF($O$35&lt;=M54,"2",IF($O$35&lt;=M55,"2 1/2"))))))</f>
        <v>3/4</v>
      </c>
      <c r="K79" s="53" t="str">
        <f>IF($O$35&lt;=M58,"3/4",IF($O$35&lt;=M59,"1",IF($O$35&lt;=M60,"1 1/4",IF($O$35&lt;=M61,"1 1/2",IF($O$35&lt;=M62,"2",IF($O$35&lt;=M63,"2 1/2"))))))</f>
        <v>3/4</v>
      </c>
      <c r="L79" s="54" t="str">
        <f>IF($O$35&lt;=M66,"3/4",IF($O$35&lt;=M67,"1",IF($O$35&lt;=M68,"1 1/4",IF($O$35&lt;=M69,"1 1/2",IF($O$35&lt;=M70,"2",IF($O$35&lt;=M71,"2 1/2"))))))</f>
        <v>3/4</v>
      </c>
      <c r="M79" s="326" t="s">
        <v>89</v>
      </c>
      <c r="N79" s="327"/>
      <c r="O79" s="328"/>
    </row>
    <row r="80" spans="1:15" ht="16.5" thickTop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219" t="s">
        <v>374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</sheetData>
  <mergeCells count="249">
    <mergeCell ref="A37:O37"/>
    <mergeCell ref="A38:O38"/>
    <mergeCell ref="A39:C39"/>
    <mergeCell ref="D39:F39"/>
    <mergeCell ref="G39:I39"/>
    <mergeCell ref="A21:B21"/>
    <mergeCell ref="C21:F21"/>
    <mergeCell ref="J21:L21"/>
    <mergeCell ref="A73:D73"/>
    <mergeCell ref="E73:H73"/>
    <mergeCell ref="H71:I71"/>
    <mergeCell ref="C25:F25"/>
    <mergeCell ref="B62:C62"/>
    <mergeCell ref="C24:F24"/>
    <mergeCell ref="K71:L71"/>
    <mergeCell ref="K67:L67"/>
    <mergeCell ref="K62:L62"/>
    <mergeCell ref="K58:L58"/>
    <mergeCell ref="K54:L54"/>
    <mergeCell ref="K50:L50"/>
    <mergeCell ref="K46:L46"/>
    <mergeCell ref="J39:L39"/>
    <mergeCell ref="J35:L35"/>
    <mergeCell ref="A23:B23"/>
    <mergeCell ref="M76:O76"/>
    <mergeCell ref="M77:O77"/>
    <mergeCell ref="M78:O78"/>
    <mergeCell ref="M74:O74"/>
    <mergeCell ref="M79:O79"/>
    <mergeCell ref="A6:O6"/>
    <mergeCell ref="A26:B26"/>
    <mergeCell ref="J26:L26"/>
    <mergeCell ref="B70:C70"/>
    <mergeCell ref="E70:F70"/>
    <mergeCell ref="N70:O70"/>
    <mergeCell ref="N65:O65"/>
    <mergeCell ref="A56:O56"/>
    <mergeCell ref="C34:F34"/>
    <mergeCell ref="I73:L73"/>
    <mergeCell ref="M75:O75"/>
    <mergeCell ref="H70:I70"/>
    <mergeCell ref="K70:L70"/>
    <mergeCell ref="B71:C71"/>
    <mergeCell ref="E71:F71"/>
    <mergeCell ref="C33:F33"/>
    <mergeCell ref="C19:F19"/>
    <mergeCell ref="C20:F20"/>
    <mergeCell ref="C22:F22"/>
    <mergeCell ref="N71:O71"/>
    <mergeCell ref="B68:C68"/>
    <mergeCell ref="E68:F68"/>
    <mergeCell ref="H68:I68"/>
    <mergeCell ref="K68:L68"/>
    <mergeCell ref="N68:O68"/>
    <mergeCell ref="B69:C69"/>
    <mergeCell ref="E69:F69"/>
    <mergeCell ref="H69:I69"/>
    <mergeCell ref="N67:O67"/>
    <mergeCell ref="A64:O64"/>
    <mergeCell ref="B65:C65"/>
    <mergeCell ref="E65:F65"/>
    <mergeCell ref="H65:I65"/>
    <mergeCell ref="K65:L65"/>
    <mergeCell ref="K69:L69"/>
    <mergeCell ref="N69:O69"/>
    <mergeCell ref="B66:C66"/>
    <mergeCell ref="E66:F66"/>
    <mergeCell ref="H66:I66"/>
    <mergeCell ref="K66:L66"/>
    <mergeCell ref="N66:O66"/>
    <mergeCell ref="B67:C67"/>
    <mergeCell ref="E67:F67"/>
    <mergeCell ref="H67:I67"/>
    <mergeCell ref="N62:O62"/>
    <mergeCell ref="B63:C63"/>
    <mergeCell ref="E63:F63"/>
    <mergeCell ref="H63:I63"/>
    <mergeCell ref="K63:L63"/>
    <mergeCell ref="N63:O63"/>
    <mergeCell ref="B60:C60"/>
    <mergeCell ref="E60:F60"/>
    <mergeCell ref="H60:I60"/>
    <mergeCell ref="K60:L60"/>
    <mergeCell ref="N60:O60"/>
    <mergeCell ref="B61:C61"/>
    <mergeCell ref="E61:F61"/>
    <mergeCell ref="H61:I61"/>
    <mergeCell ref="K61:L61"/>
    <mergeCell ref="N61:O61"/>
    <mergeCell ref="E62:F62"/>
    <mergeCell ref="H62:I62"/>
    <mergeCell ref="N58:O58"/>
    <mergeCell ref="B59:C59"/>
    <mergeCell ref="E59:F59"/>
    <mergeCell ref="H59:I59"/>
    <mergeCell ref="K59:L59"/>
    <mergeCell ref="N59:O59"/>
    <mergeCell ref="B57:C57"/>
    <mergeCell ref="E57:F57"/>
    <mergeCell ref="H57:I57"/>
    <mergeCell ref="K57:L57"/>
    <mergeCell ref="N57:O57"/>
    <mergeCell ref="B58:C58"/>
    <mergeCell ref="E58:F58"/>
    <mergeCell ref="H58:I58"/>
    <mergeCell ref="N54:O54"/>
    <mergeCell ref="B55:C55"/>
    <mergeCell ref="E55:F55"/>
    <mergeCell ref="H55:I55"/>
    <mergeCell ref="K55:L55"/>
    <mergeCell ref="N55:O55"/>
    <mergeCell ref="B52:C52"/>
    <mergeCell ref="E52:F52"/>
    <mergeCell ref="H52:I52"/>
    <mergeCell ref="K52:L52"/>
    <mergeCell ref="N52:O52"/>
    <mergeCell ref="B53:C53"/>
    <mergeCell ref="E53:F53"/>
    <mergeCell ref="H53:I53"/>
    <mergeCell ref="K53:L53"/>
    <mergeCell ref="N53:O53"/>
    <mergeCell ref="B54:C54"/>
    <mergeCell ref="E54:F54"/>
    <mergeCell ref="H54:I54"/>
    <mergeCell ref="N50:O50"/>
    <mergeCell ref="B51:C51"/>
    <mergeCell ref="E51:F51"/>
    <mergeCell ref="H51:I51"/>
    <mergeCell ref="K51:L51"/>
    <mergeCell ref="N51:O51"/>
    <mergeCell ref="A48:O48"/>
    <mergeCell ref="B49:C49"/>
    <mergeCell ref="E49:F49"/>
    <mergeCell ref="H49:I49"/>
    <mergeCell ref="K49:L49"/>
    <mergeCell ref="N49:O49"/>
    <mergeCell ref="B50:C50"/>
    <mergeCell ref="E50:F50"/>
    <mergeCell ref="H50:I50"/>
    <mergeCell ref="N46:O46"/>
    <mergeCell ref="B47:C47"/>
    <mergeCell ref="E47:F47"/>
    <mergeCell ref="H47:I47"/>
    <mergeCell ref="K47:L47"/>
    <mergeCell ref="N47:O47"/>
    <mergeCell ref="B44:C44"/>
    <mergeCell ref="E44:F44"/>
    <mergeCell ref="H44:I44"/>
    <mergeCell ref="K44:L44"/>
    <mergeCell ref="N44:O44"/>
    <mergeCell ref="B45:C45"/>
    <mergeCell ref="E45:F45"/>
    <mergeCell ref="H45:I45"/>
    <mergeCell ref="K45:L45"/>
    <mergeCell ref="N45:O45"/>
    <mergeCell ref="B46:C46"/>
    <mergeCell ref="E46:F46"/>
    <mergeCell ref="H46:I46"/>
    <mergeCell ref="M39:O39"/>
    <mergeCell ref="N43:O43"/>
    <mergeCell ref="A40:O40"/>
    <mergeCell ref="B41:C41"/>
    <mergeCell ref="E41:F41"/>
    <mergeCell ref="H41:I41"/>
    <mergeCell ref="K41:L41"/>
    <mergeCell ref="N41:O41"/>
    <mergeCell ref="B42:C42"/>
    <mergeCell ref="E42:F42"/>
    <mergeCell ref="H42:I42"/>
    <mergeCell ref="K42:L42"/>
    <mergeCell ref="N42:O42"/>
    <mergeCell ref="B43:C43"/>
    <mergeCell ref="E43:F43"/>
    <mergeCell ref="H43:I43"/>
    <mergeCell ref="K43:L43"/>
    <mergeCell ref="A33:B33"/>
    <mergeCell ref="J33:L33"/>
    <mergeCell ref="A34:B34"/>
    <mergeCell ref="J34:L34"/>
    <mergeCell ref="A30:B30"/>
    <mergeCell ref="J30:L30"/>
    <mergeCell ref="A31:B31"/>
    <mergeCell ref="J31:L31"/>
    <mergeCell ref="C23:F23"/>
    <mergeCell ref="A32:B32"/>
    <mergeCell ref="J32:L32"/>
    <mergeCell ref="A24:B24"/>
    <mergeCell ref="J24:L24"/>
    <mergeCell ref="C30:F30"/>
    <mergeCell ref="C31:F31"/>
    <mergeCell ref="C32:F32"/>
    <mergeCell ref="J23:L23"/>
    <mergeCell ref="A28:B28"/>
    <mergeCell ref="J28:L28"/>
    <mergeCell ref="A29:B29"/>
    <mergeCell ref="J29:L29"/>
    <mergeCell ref="A27:B27"/>
    <mergeCell ref="J27:L27"/>
    <mergeCell ref="C26:F26"/>
    <mergeCell ref="C27:F27"/>
    <mergeCell ref="C28:F28"/>
    <mergeCell ref="C29:F29"/>
    <mergeCell ref="A16:B16"/>
    <mergeCell ref="J16:L16"/>
    <mergeCell ref="D1:L2"/>
    <mergeCell ref="A20:B20"/>
    <mergeCell ref="J20:L20"/>
    <mergeCell ref="A17:B17"/>
    <mergeCell ref="J17:L17"/>
    <mergeCell ref="A18:B18"/>
    <mergeCell ref="J18:L18"/>
    <mergeCell ref="C17:F17"/>
    <mergeCell ref="C18:F18"/>
    <mergeCell ref="A22:B22"/>
    <mergeCell ref="J22:L22"/>
    <mergeCell ref="C13:F13"/>
    <mergeCell ref="C14:F14"/>
    <mergeCell ref="C16:F16"/>
    <mergeCell ref="C12:F12"/>
    <mergeCell ref="A19:B19"/>
    <mergeCell ref="J19:L19"/>
    <mergeCell ref="A15:B15"/>
    <mergeCell ref="C15:F15"/>
    <mergeCell ref="J15:L15"/>
    <mergeCell ref="A25:B25"/>
    <mergeCell ref="J25:L25"/>
    <mergeCell ref="A11:B11"/>
    <mergeCell ref="J11:L11"/>
    <mergeCell ref="A9:B9"/>
    <mergeCell ref="J9:L9"/>
    <mergeCell ref="C9:F9"/>
    <mergeCell ref="C10:F10"/>
    <mergeCell ref="C11:F11"/>
    <mergeCell ref="A14:B14"/>
    <mergeCell ref="J14:L14"/>
    <mergeCell ref="A12:B12"/>
    <mergeCell ref="J12:L12"/>
    <mergeCell ref="A13:B13"/>
    <mergeCell ref="J13:L13"/>
    <mergeCell ref="C7:F8"/>
    <mergeCell ref="A4:O4"/>
    <mergeCell ref="A5:O5"/>
    <mergeCell ref="A7:B8"/>
    <mergeCell ref="G7:I7"/>
    <mergeCell ref="J7:L7"/>
    <mergeCell ref="J8:L8"/>
    <mergeCell ref="M7:O7"/>
    <mergeCell ref="A10:B10"/>
    <mergeCell ref="J10:L10"/>
  </mergeCells>
  <printOptions horizontalCentered="1"/>
  <pageMargins left="0.25" right="0.25" top="0.25" bottom="0.25" header="0" footer="0"/>
  <pageSetup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52"/>
  <sheetViews>
    <sheetView zoomScaleNormal="100" workbookViewId="0">
      <selection activeCell="A8" sqref="A8:B8"/>
    </sheetView>
  </sheetViews>
  <sheetFormatPr defaultRowHeight="15.75" customHeight="1" x14ac:dyDescent="0.2"/>
  <cols>
    <col min="1" max="14" width="8.7109375" customWidth="1"/>
    <col min="15" max="15" width="8.7109375" style="13" customWidth="1"/>
    <col min="16" max="31" width="8.7109375" customWidth="1"/>
  </cols>
  <sheetData>
    <row r="1" spans="1:15" ht="17.25" thickTop="1" thickBot="1" x14ac:dyDescent="0.3">
      <c r="D1" s="298" t="s">
        <v>76</v>
      </c>
      <c r="E1" s="298"/>
      <c r="F1" s="298"/>
      <c r="G1" s="298"/>
      <c r="H1" s="298"/>
      <c r="I1" s="298"/>
      <c r="J1" s="298"/>
      <c r="K1" s="298"/>
      <c r="L1" s="298"/>
      <c r="M1" s="1"/>
      <c r="O1"/>
    </row>
    <row r="2" spans="1:15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  <c r="O2"/>
    </row>
    <row r="3" spans="1:15" ht="17.25" thickTop="1" thickBot="1" x14ac:dyDescent="0.3">
      <c r="M3" s="1"/>
      <c r="O3"/>
    </row>
    <row r="4" spans="1:15" ht="30" customHeight="1" thickTop="1" x14ac:dyDescent="0.2">
      <c r="A4" s="371" t="s">
        <v>284</v>
      </c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3"/>
    </row>
    <row r="5" spans="1:15" ht="15.75" customHeight="1" x14ac:dyDescent="0.2">
      <c r="A5" s="374" t="s">
        <v>259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6"/>
    </row>
    <row r="6" spans="1:15" ht="15.75" customHeight="1" thickBot="1" x14ac:dyDescent="0.25">
      <c r="A6" s="329"/>
      <c r="B6" s="33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1"/>
    </row>
    <row r="7" spans="1:15" ht="15.75" customHeight="1" x14ac:dyDescent="0.25">
      <c r="A7" s="377" t="s">
        <v>39</v>
      </c>
      <c r="B7" s="286"/>
      <c r="C7" s="378" t="s">
        <v>38</v>
      </c>
      <c r="D7" s="378"/>
      <c r="E7" s="378"/>
      <c r="F7" s="378"/>
      <c r="G7" s="378"/>
      <c r="H7" s="378" t="s">
        <v>37</v>
      </c>
      <c r="I7" s="378"/>
      <c r="J7" s="62"/>
      <c r="K7" s="378" t="s">
        <v>112</v>
      </c>
      <c r="L7" s="378"/>
      <c r="M7" s="378" t="s">
        <v>113</v>
      </c>
      <c r="N7" s="378"/>
      <c r="O7" s="63" t="s">
        <v>32</v>
      </c>
    </row>
    <row r="8" spans="1:15" ht="15.75" customHeight="1" x14ac:dyDescent="0.25">
      <c r="A8" s="358">
        <v>0</v>
      </c>
      <c r="B8" s="359"/>
      <c r="C8" s="304" t="s">
        <v>115</v>
      </c>
      <c r="D8" s="304"/>
      <c r="E8" s="304"/>
      <c r="F8" s="304"/>
      <c r="G8" s="304"/>
      <c r="H8" s="360">
        <v>2</v>
      </c>
      <c r="I8" s="360"/>
      <c r="J8" s="3" t="s">
        <v>0</v>
      </c>
      <c r="K8" s="360" t="s">
        <v>73</v>
      </c>
      <c r="L8" s="360"/>
      <c r="M8" s="360" t="s">
        <v>73</v>
      </c>
      <c r="N8" s="360"/>
      <c r="O8" s="59">
        <f>H8*A8</f>
        <v>0</v>
      </c>
    </row>
    <row r="9" spans="1:15" ht="15.75" customHeight="1" x14ac:dyDescent="0.25">
      <c r="A9" s="358">
        <v>0</v>
      </c>
      <c r="B9" s="359"/>
      <c r="C9" s="304" t="s">
        <v>114</v>
      </c>
      <c r="D9" s="304"/>
      <c r="E9" s="304"/>
      <c r="F9" s="304"/>
      <c r="G9" s="304"/>
      <c r="H9" s="360">
        <v>3</v>
      </c>
      <c r="I9" s="360"/>
      <c r="J9" s="3" t="s">
        <v>0</v>
      </c>
      <c r="K9" s="360" t="s">
        <v>72</v>
      </c>
      <c r="L9" s="360"/>
      <c r="M9" s="360" t="s">
        <v>72</v>
      </c>
      <c r="N9" s="360"/>
      <c r="O9" s="59">
        <f t="shared" ref="O9:O14" si="0">H9*A9</f>
        <v>0</v>
      </c>
    </row>
    <row r="10" spans="1:15" ht="15.75" customHeight="1" x14ac:dyDescent="0.25">
      <c r="A10" s="358">
        <v>0</v>
      </c>
      <c r="B10" s="359"/>
      <c r="C10" s="304" t="s">
        <v>42</v>
      </c>
      <c r="D10" s="304"/>
      <c r="E10" s="304"/>
      <c r="F10" s="304"/>
      <c r="G10" s="304"/>
      <c r="H10" s="360">
        <v>2</v>
      </c>
      <c r="I10" s="360"/>
      <c r="J10" s="3" t="s">
        <v>0</v>
      </c>
      <c r="K10" s="360" t="s">
        <v>73</v>
      </c>
      <c r="L10" s="360"/>
      <c r="M10" s="360" t="s">
        <v>72</v>
      </c>
      <c r="N10" s="360"/>
      <c r="O10" s="59">
        <f t="shared" si="0"/>
        <v>0</v>
      </c>
    </row>
    <row r="11" spans="1:15" ht="15.75" customHeight="1" x14ac:dyDescent="0.25">
      <c r="A11" s="358">
        <v>0</v>
      </c>
      <c r="B11" s="359"/>
      <c r="C11" s="304" t="s">
        <v>17</v>
      </c>
      <c r="D11" s="304"/>
      <c r="E11" s="304"/>
      <c r="F11" s="304"/>
      <c r="G11" s="304"/>
      <c r="H11" s="360">
        <v>0.5</v>
      </c>
      <c r="I11" s="360"/>
      <c r="J11" s="3" t="s">
        <v>0</v>
      </c>
      <c r="K11" s="360" t="s">
        <v>116</v>
      </c>
      <c r="L11" s="360"/>
      <c r="M11" s="360" t="s">
        <v>116</v>
      </c>
      <c r="N11" s="360"/>
      <c r="O11" s="59">
        <f t="shared" si="0"/>
        <v>0</v>
      </c>
    </row>
    <row r="12" spans="1:15" ht="15.75" customHeight="1" x14ac:dyDescent="0.25">
      <c r="A12" s="358">
        <v>0</v>
      </c>
      <c r="B12" s="359"/>
      <c r="C12" s="304" t="s">
        <v>31</v>
      </c>
      <c r="D12" s="304"/>
      <c r="E12" s="304"/>
      <c r="F12" s="304"/>
      <c r="G12" s="304"/>
      <c r="H12" s="360">
        <v>2</v>
      </c>
      <c r="I12" s="360"/>
      <c r="J12" s="3" t="s">
        <v>0</v>
      </c>
      <c r="K12" s="360" t="s">
        <v>72</v>
      </c>
      <c r="L12" s="360"/>
      <c r="M12" s="360" t="s">
        <v>72</v>
      </c>
      <c r="N12" s="360"/>
      <c r="O12" s="59">
        <f t="shared" si="0"/>
        <v>0</v>
      </c>
    </row>
    <row r="13" spans="1:15" ht="15.75" customHeight="1" x14ac:dyDescent="0.25">
      <c r="A13" s="358">
        <v>0</v>
      </c>
      <c r="B13" s="359"/>
      <c r="C13" s="304" t="s">
        <v>46</v>
      </c>
      <c r="D13" s="304"/>
      <c r="E13" s="304"/>
      <c r="F13" s="304"/>
      <c r="G13" s="304"/>
      <c r="H13" s="360">
        <v>2</v>
      </c>
      <c r="I13" s="360"/>
      <c r="J13" s="3" t="s">
        <v>0</v>
      </c>
      <c r="K13" s="360" t="s">
        <v>72</v>
      </c>
      <c r="L13" s="360"/>
      <c r="M13" s="360" t="s">
        <v>72</v>
      </c>
      <c r="N13" s="360"/>
      <c r="O13" s="59">
        <f t="shared" si="0"/>
        <v>0</v>
      </c>
    </row>
    <row r="14" spans="1:15" ht="15.75" customHeight="1" x14ac:dyDescent="0.25">
      <c r="A14" s="358">
        <v>0</v>
      </c>
      <c r="B14" s="359"/>
      <c r="C14" s="295" t="s">
        <v>151</v>
      </c>
      <c r="D14" s="296"/>
      <c r="E14" s="296"/>
      <c r="F14" s="296"/>
      <c r="G14" s="297"/>
      <c r="H14" s="360">
        <v>2</v>
      </c>
      <c r="I14" s="360"/>
      <c r="J14" s="3" t="s">
        <v>0</v>
      </c>
      <c r="K14" s="360" t="s">
        <v>73</v>
      </c>
      <c r="L14" s="360"/>
      <c r="M14" s="360" t="s">
        <v>72</v>
      </c>
      <c r="N14" s="360"/>
      <c r="O14" s="59">
        <f t="shared" si="0"/>
        <v>0</v>
      </c>
    </row>
    <row r="15" spans="1:15" ht="15.75" customHeight="1" x14ac:dyDescent="0.25">
      <c r="A15" s="358">
        <v>0</v>
      </c>
      <c r="B15" s="359"/>
      <c r="C15" s="295" t="s">
        <v>152</v>
      </c>
      <c r="D15" s="296"/>
      <c r="E15" s="296"/>
      <c r="F15" s="296"/>
      <c r="G15" s="297"/>
      <c r="H15" s="360">
        <v>3</v>
      </c>
      <c r="I15" s="360"/>
      <c r="J15" s="3" t="s">
        <v>0</v>
      </c>
      <c r="K15" s="360" t="s">
        <v>72</v>
      </c>
      <c r="L15" s="360"/>
      <c r="M15" s="360" t="s">
        <v>72</v>
      </c>
      <c r="N15" s="360"/>
      <c r="O15" s="59">
        <f t="shared" ref="O15:O29" si="1">H15*A15</f>
        <v>0</v>
      </c>
    </row>
    <row r="16" spans="1:15" ht="15.75" customHeight="1" x14ac:dyDescent="0.25">
      <c r="A16" s="358">
        <v>0</v>
      </c>
      <c r="B16" s="359"/>
      <c r="C16" s="295" t="s">
        <v>153</v>
      </c>
      <c r="D16" s="296"/>
      <c r="E16" s="296"/>
      <c r="F16" s="296"/>
      <c r="G16" s="297"/>
      <c r="H16" s="360">
        <v>5</v>
      </c>
      <c r="I16" s="360"/>
      <c r="J16" s="3" t="s">
        <v>0</v>
      </c>
      <c r="K16" s="360" t="s">
        <v>75</v>
      </c>
      <c r="L16" s="360"/>
      <c r="M16" s="360" t="s">
        <v>75</v>
      </c>
      <c r="N16" s="360"/>
      <c r="O16" s="59">
        <f t="shared" si="1"/>
        <v>0</v>
      </c>
    </row>
    <row r="17" spans="1:15" ht="15.75" customHeight="1" x14ac:dyDescent="0.25">
      <c r="A17" s="358">
        <v>0</v>
      </c>
      <c r="B17" s="359"/>
      <c r="C17" s="295" t="s">
        <v>154</v>
      </c>
      <c r="D17" s="296"/>
      <c r="E17" s="296"/>
      <c r="F17" s="296"/>
      <c r="G17" s="297"/>
      <c r="H17" s="360">
        <v>6</v>
      </c>
      <c r="I17" s="360"/>
      <c r="J17" s="3" t="s">
        <v>0</v>
      </c>
      <c r="K17" s="360" t="s">
        <v>155</v>
      </c>
      <c r="L17" s="360"/>
      <c r="M17" s="360" t="s">
        <v>155</v>
      </c>
      <c r="N17" s="360"/>
      <c r="O17" s="59">
        <f t="shared" si="1"/>
        <v>0</v>
      </c>
    </row>
    <row r="18" spans="1:15" ht="15.75" customHeight="1" x14ac:dyDescent="0.25">
      <c r="A18" s="358">
        <v>0</v>
      </c>
      <c r="B18" s="359"/>
      <c r="C18" s="295" t="s">
        <v>476</v>
      </c>
      <c r="D18" s="296"/>
      <c r="E18" s="296"/>
      <c r="F18" s="296"/>
      <c r="G18" s="297"/>
      <c r="H18" s="360">
        <v>2</v>
      </c>
      <c r="I18" s="360"/>
      <c r="J18" s="3" t="s">
        <v>0</v>
      </c>
      <c r="K18" s="360" t="s">
        <v>72</v>
      </c>
      <c r="L18" s="360"/>
      <c r="M18" s="360" t="s">
        <v>72</v>
      </c>
      <c r="N18" s="360"/>
      <c r="O18" s="59">
        <f t="shared" ref="O18" si="2">H18*A18</f>
        <v>0</v>
      </c>
    </row>
    <row r="19" spans="1:15" ht="15.75" customHeight="1" x14ac:dyDescent="0.25">
      <c r="A19" s="358">
        <v>0</v>
      </c>
      <c r="B19" s="359"/>
      <c r="C19" s="304" t="s">
        <v>48</v>
      </c>
      <c r="D19" s="304"/>
      <c r="E19" s="304"/>
      <c r="F19" s="304"/>
      <c r="G19" s="304"/>
      <c r="H19" s="360">
        <v>1</v>
      </c>
      <c r="I19" s="360"/>
      <c r="J19" s="3" t="s">
        <v>0</v>
      </c>
      <c r="K19" s="360" t="s">
        <v>116</v>
      </c>
      <c r="L19" s="360"/>
      <c r="M19" s="360" t="s">
        <v>73</v>
      </c>
      <c r="N19" s="360"/>
      <c r="O19" s="59">
        <f t="shared" si="1"/>
        <v>0</v>
      </c>
    </row>
    <row r="20" spans="1:15" ht="15.75" customHeight="1" x14ac:dyDescent="0.25">
      <c r="A20" s="358">
        <v>0</v>
      </c>
      <c r="B20" s="359"/>
      <c r="C20" s="304" t="s">
        <v>368</v>
      </c>
      <c r="D20" s="304"/>
      <c r="E20" s="304"/>
      <c r="F20" s="304"/>
      <c r="G20" s="304"/>
      <c r="H20" s="360">
        <v>2</v>
      </c>
      <c r="I20" s="360"/>
      <c r="J20" s="3" t="s">
        <v>0</v>
      </c>
      <c r="K20" s="360" t="s">
        <v>73</v>
      </c>
      <c r="L20" s="360"/>
      <c r="M20" s="360" t="s">
        <v>73</v>
      </c>
      <c r="N20" s="360"/>
      <c r="O20" s="59">
        <f t="shared" si="1"/>
        <v>0</v>
      </c>
    </row>
    <row r="21" spans="1:15" ht="15.75" customHeight="1" x14ac:dyDescent="0.25">
      <c r="A21" s="358">
        <v>0</v>
      </c>
      <c r="B21" s="359"/>
      <c r="C21" s="304" t="s">
        <v>120</v>
      </c>
      <c r="D21" s="304"/>
      <c r="E21" s="304"/>
      <c r="F21" s="304"/>
      <c r="G21" s="304"/>
      <c r="H21" s="360">
        <v>2</v>
      </c>
      <c r="I21" s="360"/>
      <c r="J21" s="3" t="s">
        <v>0</v>
      </c>
      <c r="K21" s="360" t="s">
        <v>73</v>
      </c>
      <c r="L21" s="360"/>
      <c r="M21" s="360" t="s">
        <v>72</v>
      </c>
      <c r="N21" s="360"/>
      <c r="O21" s="59">
        <f t="shared" si="1"/>
        <v>0</v>
      </c>
    </row>
    <row r="22" spans="1:15" ht="15.75" customHeight="1" x14ac:dyDescent="0.25">
      <c r="A22" s="358">
        <v>0</v>
      </c>
      <c r="B22" s="359"/>
      <c r="C22" s="304" t="s">
        <v>51</v>
      </c>
      <c r="D22" s="304"/>
      <c r="E22" s="304"/>
      <c r="F22" s="304"/>
      <c r="G22" s="304"/>
      <c r="H22" s="360"/>
      <c r="I22" s="360"/>
      <c r="J22" s="3" t="s">
        <v>0</v>
      </c>
      <c r="K22" s="360"/>
      <c r="L22" s="360"/>
      <c r="M22" s="360"/>
      <c r="N22" s="360"/>
      <c r="O22" s="59">
        <f t="shared" si="1"/>
        <v>0</v>
      </c>
    </row>
    <row r="23" spans="1:15" ht="15.75" customHeight="1" x14ac:dyDescent="0.25">
      <c r="A23" s="358">
        <v>0</v>
      </c>
      <c r="B23" s="359"/>
      <c r="C23" s="304" t="s">
        <v>51</v>
      </c>
      <c r="D23" s="304"/>
      <c r="E23" s="304"/>
      <c r="F23" s="304"/>
      <c r="G23" s="304"/>
      <c r="H23" s="360"/>
      <c r="I23" s="360"/>
      <c r="J23" s="3" t="s">
        <v>0</v>
      </c>
      <c r="K23" s="360"/>
      <c r="L23" s="360"/>
      <c r="M23" s="360"/>
      <c r="N23" s="360"/>
      <c r="O23" s="59">
        <f t="shared" si="1"/>
        <v>0</v>
      </c>
    </row>
    <row r="24" spans="1:15" ht="15.75" customHeight="1" x14ac:dyDescent="0.25">
      <c r="A24" s="358">
        <v>0</v>
      </c>
      <c r="B24" s="359"/>
      <c r="C24" s="304" t="s">
        <v>51</v>
      </c>
      <c r="D24" s="304"/>
      <c r="E24" s="304"/>
      <c r="F24" s="304"/>
      <c r="G24" s="304"/>
      <c r="H24" s="360"/>
      <c r="I24" s="360"/>
      <c r="J24" s="3" t="s">
        <v>0</v>
      </c>
      <c r="K24" s="360"/>
      <c r="L24" s="360"/>
      <c r="M24" s="360"/>
      <c r="N24" s="360"/>
      <c r="O24" s="59">
        <f t="shared" si="1"/>
        <v>0</v>
      </c>
    </row>
    <row r="25" spans="1:15" ht="15.75" customHeight="1" x14ac:dyDescent="0.25">
      <c r="A25" s="358">
        <v>0</v>
      </c>
      <c r="B25" s="359"/>
      <c r="C25" s="304" t="s">
        <v>51</v>
      </c>
      <c r="D25" s="304"/>
      <c r="E25" s="304"/>
      <c r="F25" s="304"/>
      <c r="G25" s="304"/>
      <c r="H25" s="360"/>
      <c r="I25" s="360"/>
      <c r="J25" s="3" t="s">
        <v>0</v>
      </c>
      <c r="K25" s="360"/>
      <c r="L25" s="360"/>
      <c r="M25" s="360"/>
      <c r="N25" s="360"/>
      <c r="O25" s="59">
        <f t="shared" si="1"/>
        <v>0</v>
      </c>
    </row>
    <row r="26" spans="1:15" ht="15.75" customHeight="1" x14ac:dyDescent="0.25">
      <c r="A26" s="358">
        <v>0</v>
      </c>
      <c r="B26" s="359"/>
      <c r="C26" s="304" t="s">
        <v>51</v>
      </c>
      <c r="D26" s="304"/>
      <c r="E26" s="304"/>
      <c r="F26" s="304"/>
      <c r="G26" s="304"/>
      <c r="H26" s="360"/>
      <c r="I26" s="360"/>
      <c r="J26" s="3" t="s">
        <v>0</v>
      </c>
      <c r="K26" s="360"/>
      <c r="L26" s="360"/>
      <c r="M26" s="360"/>
      <c r="N26" s="360"/>
      <c r="O26" s="59">
        <f t="shared" si="1"/>
        <v>0</v>
      </c>
    </row>
    <row r="27" spans="1:15" ht="15.75" customHeight="1" x14ac:dyDescent="0.25">
      <c r="A27" s="358">
        <v>0</v>
      </c>
      <c r="B27" s="359"/>
      <c r="C27" s="304" t="s">
        <v>51</v>
      </c>
      <c r="D27" s="304"/>
      <c r="E27" s="304"/>
      <c r="F27" s="304"/>
      <c r="G27" s="304"/>
      <c r="H27" s="360"/>
      <c r="I27" s="360"/>
      <c r="J27" s="3" t="s">
        <v>0</v>
      </c>
      <c r="K27" s="360"/>
      <c r="L27" s="360"/>
      <c r="M27" s="360"/>
      <c r="N27" s="360"/>
      <c r="O27" s="59">
        <f t="shared" si="1"/>
        <v>0</v>
      </c>
    </row>
    <row r="28" spans="1:15" ht="15.75" customHeight="1" x14ac:dyDescent="0.25">
      <c r="A28" s="358">
        <v>0</v>
      </c>
      <c r="B28" s="359"/>
      <c r="C28" s="304" t="s">
        <v>51</v>
      </c>
      <c r="D28" s="304"/>
      <c r="E28" s="304"/>
      <c r="F28" s="304"/>
      <c r="G28" s="304"/>
      <c r="H28" s="360"/>
      <c r="I28" s="360"/>
      <c r="J28" s="3" t="s">
        <v>0</v>
      </c>
      <c r="K28" s="360"/>
      <c r="L28" s="360"/>
      <c r="M28" s="360"/>
      <c r="N28" s="360"/>
      <c r="O28" s="59">
        <f t="shared" si="1"/>
        <v>0</v>
      </c>
    </row>
    <row r="29" spans="1:15" ht="15.75" customHeight="1" x14ac:dyDescent="0.25">
      <c r="A29" s="358">
        <v>0</v>
      </c>
      <c r="B29" s="359"/>
      <c r="C29" s="304" t="s">
        <v>51</v>
      </c>
      <c r="D29" s="304"/>
      <c r="E29" s="304"/>
      <c r="F29" s="304"/>
      <c r="G29" s="304"/>
      <c r="H29" s="360"/>
      <c r="I29" s="360"/>
      <c r="J29" s="3" t="s">
        <v>0</v>
      </c>
      <c r="K29" s="360"/>
      <c r="L29" s="360"/>
      <c r="M29" s="360"/>
      <c r="N29" s="360"/>
      <c r="O29" s="59">
        <f t="shared" si="1"/>
        <v>0</v>
      </c>
    </row>
    <row r="30" spans="1:15" ht="15.75" customHeight="1" x14ac:dyDescent="0.25">
      <c r="A30" s="318" t="s">
        <v>122</v>
      </c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19"/>
    </row>
    <row r="31" spans="1:15" ht="15.75" customHeight="1" x14ac:dyDescent="0.25">
      <c r="A31" s="358">
        <v>0</v>
      </c>
      <c r="B31" s="359"/>
      <c r="C31" s="304" t="s">
        <v>157</v>
      </c>
      <c r="D31" s="304"/>
      <c r="E31" s="304"/>
      <c r="F31" s="304"/>
      <c r="G31" s="304"/>
      <c r="H31" s="360">
        <v>4</v>
      </c>
      <c r="I31" s="360"/>
      <c r="J31" s="3" t="s">
        <v>0</v>
      </c>
      <c r="K31" s="360" t="s">
        <v>131</v>
      </c>
      <c r="L31" s="360"/>
      <c r="M31" s="360" t="s">
        <v>72</v>
      </c>
      <c r="N31" s="360"/>
      <c r="O31" s="59">
        <f>H31*A31</f>
        <v>0</v>
      </c>
    </row>
    <row r="32" spans="1:15" ht="15.75" customHeight="1" x14ac:dyDescent="0.25">
      <c r="A32" s="358">
        <v>0</v>
      </c>
      <c r="B32" s="359"/>
      <c r="C32" s="304" t="s">
        <v>156</v>
      </c>
      <c r="D32" s="304"/>
      <c r="E32" s="304"/>
      <c r="F32" s="304"/>
      <c r="G32" s="304"/>
      <c r="H32" s="360">
        <v>2</v>
      </c>
      <c r="I32" s="360"/>
      <c r="J32" s="3" t="s">
        <v>0</v>
      </c>
      <c r="K32" s="360" t="s">
        <v>131</v>
      </c>
      <c r="L32" s="360"/>
      <c r="M32" s="360" t="s">
        <v>72</v>
      </c>
      <c r="N32" s="360"/>
      <c r="O32" s="59">
        <f>H32*A32</f>
        <v>0</v>
      </c>
    </row>
    <row r="33" spans="1:16" ht="15.75" customHeight="1" x14ac:dyDescent="0.25">
      <c r="A33" s="358">
        <v>0</v>
      </c>
      <c r="B33" s="359"/>
      <c r="C33" s="304" t="s">
        <v>45</v>
      </c>
      <c r="D33" s="304"/>
      <c r="E33" s="304"/>
      <c r="F33" s="304"/>
      <c r="G33" s="304"/>
      <c r="H33" s="360">
        <v>0.5</v>
      </c>
      <c r="I33" s="360"/>
      <c r="J33" s="3" t="s">
        <v>0</v>
      </c>
      <c r="K33" s="360" t="s">
        <v>131</v>
      </c>
      <c r="L33" s="360"/>
      <c r="M33" s="360" t="s">
        <v>72</v>
      </c>
      <c r="N33" s="360"/>
      <c r="O33" s="59">
        <f>H33*A33</f>
        <v>0</v>
      </c>
    </row>
    <row r="34" spans="1:16" ht="15.75" customHeight="1" x14ac:dyDescent="0.25">
      <c r="A34" s="318" t="s">
        <v>160</v>
      </c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319"/>
    </row>
    <row r="35" spans="1:16" ht="15.75" customHeight="1" x14ac:dyDescent="0.25">
      <c r="A35" s="358">
        <v>0</v>
      </c>
      <c r="B35" s="359"/>
      <c r="C35" s="304" t="s">
        <v>133</v>
      </c>
      <c r="D35" s="304"/>
      <c r="E35" s="304"/>
      <c r="F35" s="304"/>
      <c r="G35" s="304"/>
      <c r="H35" s="360">
        <v>3</v>
      </c>
      <c r="I35" s="360"/>
      <c r="J35" s="3" t="s">
        <v>0</v>
      </c>
      <c r="K35" s="360" t="s">
        <v>131</v>
      </c>
      <c r="L35" s="360"/>
      <c r="M35" s="360" t="s">
        <v>75</v>
      </c>
      <c r="N35" s="360"/>
      <c r="O35" s="59">
        <f>H35*A35</f>
        <v>0</v>
      </c>
    </row>
    <row r="36" spans="1:16" ht="15.75" customHeight="1" x14ac:dyDescent="0.25">
      <c r="A36" s="358">
        <v>0</v>
      </c>
      <c r="B36" s="359"/>
      <c r="C36" s="304" t="s">
        <v>134</v>
      </c>
      <c r="D36" s="304"/>
      <c r="E36" s="304"/>
      <c r="F36" s="304"/>
      <c r="G36" s="304"/>
      <c r="H36" s="360">
        <v>4</v>
      </c>
      <c r="I36" s="360"/>
      <c r="J36" s="3" t="s">
        <v>0</v>
      </c>
      <c r="K36" s="360" t="s">
        <v>131</v>
      </c>
      <c r="L36" s="360"/>
      <c r="M36" s="360" t="s">
        <v>75</v>
      </c>
      <c r="N36" s="360"/>
      <c r="O36" s="59">
        <f>H36*A36</f>
        <v>0</v>
      </c>
    </row>
    <row r="37" spans="1:16" ht="15.75" customHeight="1" x14ac:dyDescent="0.25">
      <c r="A37" s="318" t="s">
        <v>161</v>
      </c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19"/>
    </row>
    <row r="38" spans="1:16" ht="15.75" customHeight="1" x14ac:dyDescent="0.25">
      <c r="A38" s="358">
        <v>0</v>
      </c>
      <c r="B38" s="359"/>
      <c r="C38" s="304" t="s">
        <v>133</v>
      </c>
      <c r="D38" s="304"/>
      <c r="E38" s="304"/>
      <c r="F38" s="304"/>
      <c r="G38" s="304"/>
      <c r="H38" s="360">
        <v>4</v>
      </c>
      <c r="I38" s="360"/>
      <c r="J38" s="3" t="s">
        <v>0</v>
      </c>
      <c r="K38" s="360" t="s">
        <v>131</v>
      </c>
      <c r="L38" s="360"/>
      <c r="M38" s="360" t="s">
        <v>75</v>
      </c>
      <c r="N38" s="360"/>
      <c r="O38" s="59">
        <f>H38*A38</f>
        <v>0</v>
      </c>
    </row>
    <row r="39" spans="1:16" ht="15.75" customHeight="1" x14ac:dyDescent="0.25">
      <c r="A39" s="358">
        <v>0</v>
      </c>
      <c r="B39" s="359"/>
      <c r="C39" s="304" t="s">
        <v>134</v>
      </c>
      <c r="D39" s="304"/>
      <c r="E39" s="304"/>
      <c r="F39" s="304"/>
      <c r="G39" s="304"/>
      <c r="H39" s="360">
        <v>6</v>
      </c>
      <c r="I39" s="360"/>
      <c r="J39" s="3" t="s">
        <v>0</v>
      </c>
      <c r="K39" s="360" t="s">
        <v>131</v>
      </c>
      <c r="L39" s="360"/>
      <c r="M39" s="360" t="s">
        <v>75</v>
      </c>
      <c r="N39" s="360"/>
      <c r="O39" s="59">
        <f>H39*A39</f>
        <v>0</v>
      </c>
    </row>
    <row r="40" spans="1:16" ht="15.75" customHeight="1" x14ac:dyDescent="0.25">
      <c r="A40" s="318" t="s">
        <v>158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319"/>
    </row>
    <row r="41" spans="1:16" ht="15.75" customHeight="1" thickBot="1" x14ac:dyDescent="0.3">
      <c r="A41" s="365">
        <v>0</v>
      </c>
      <c r="B41" s="366"/>
      <c r="C41" s="316" t="s">
        <v>159</v>
      </c>
      <c r="D41" s="316"/>
      <c r="E41" s="316"/>
      <c r="F41" s="316"/>
      <c r="G41" s="316"/>
      <c r="H41" s="367">
        <v>4</v>
      </c>
      <c r="I41" s="367"/>
      <c r="J41" s="60" t="s">
        <v>0</v>
      </c>
      <c r="K41" s="367" t="s">
        <v>131</v>
      </c>
      <c r="L41" s="367"/>
      <c r="M41" s="367" t="s">
        <v>75</v>
      </c>
      <c r="N41" s="367"/>
      <c r="O41" s="61">
        <f>H41*A41</f>
        <v>0</v>
      </c>
    </row>
    <row r="42" spans="1:16" ht="15.75" customHeight="1" thickTop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368" t="s">
        <v>14</v>
      </c>
      <c r="L42" s="369"/>
      <c r="M42" s="370"/>
      <c r="N42" s="64" t="s">
        <v>0</v>
      </c>
      <c r="O42" s="206">
        <f>SUM(O8:O19,O21:O29,O32:O33,O35:O36,O38:O41)</f>
        <v>0</v>
      </c>
    </row>
    <row r="43" spans="1:1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67" t="s">
        <v>147</v>
      </c>
      <c r="L43" s="1"/>
      <c r="M43" s="68"/>
      <c r="N43" s="69" t="s">
        <v>0</v>
      </c>
      <c r="O43" s="207" t="str">
        <f>IF(O42&lt;=2,"1-1/4",(IF(O42&lt;=10,"1-1/2",(IF(O42&lt;=20,"2",(IF(O42&lt;=102,"3",IF(O42&lt;=320,"4"))))))))</f>
        <v>1-1/4</v>
      </c>
    </row>
    <row r="44" spans="1:16" ht="15.75" customHeight="1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361" t="s">
        <v>137</v>
      </c>
      <c r="L44" s="362"/>
      <c r="M44" s="363"/>
      <c r="N44" s="65" t="s">
        <v>0</v>
      </c>
      <c r="O44" s="208" t="str">
        <f>IF((SUM(A32:B33,A35:B36,A38:B41))=0,"2",IF((SUM(A32:B33,A35:B36,A38:B41))&lt;=3,"3",IF((SUM(A32:B33,A35:B36,A38:B41))&gt;=4,"4",IF(O42&lt;=21,"2",IF(O42&lt;=42,"3",IF(O42&lt;=216,"4"))))))</f>
        <v>2</v>
      </c>
    </row>
    <row r="45" spans="1:16" ht="15.75" customHeight="1" thickTop="1" x14ac:dyDescent="0.2"/>
    <row r="46" spans="1:16" ht="15.75" customHeight="1" x14ac:dyDescent="0.2">
      <c r="A46" s="364" t="s">
        <v>49</v>
      </c>
      <c r="B46" s="364"/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</row>
    <row r="47" spans="1:16" ht="15.75" customHeight="1" x14ac:dyDescent="0.2">
      <c r="A47" s="364"/>
      <c r="B47" s="364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</row>
    <row r="48" spans="1:16" ht="15.75" customHeight="1" x14ac:dyDescent="0.25">
      <c r="A48" s="364" t="s">
        <v>50</v>
      </c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4"/>
      <c r="P48" s="9"/>
    </row>
    <row r="49" spans="1:16" ht="15.75" customHeight="1" x14ac:dyDescent="0.25">
      <c r="A49" s="364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4"/>
      <c r="P49" s="9"/>
    </row>
    <row r="50" spans="1:16" ht="15.7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2"/>
    </row>
    <row r="51" spans="1:16" s="18" customFormat="1" ht="15.75" customHeight="1" x14ac:dyDescent="0.2">
      <c r="A51" s="66"/>
      <c r="B51" s="66"/>
      <c r="C51" s="66"/>
      <c r="D51" s="66"/>
      <c r="E51" s="66"/>
      <c r="F51" s="66"/>
      <c r="G51" s="66"/>
      <c r="H51" s="66"/>
      <c r="I51" s="66"/>
      <c r="J51"/>
      <c r="K51"/>
      <c r="L51"/>
      <c r="M51"/>
      <c r="N51"/>
      <c r="O51"/>
    </row>
    <row r="52" spans="1:16" s="18" customFormat="1" ht="15.75" customHeigh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 s="13"/>
    </row>
  </sheetData>
  <mergeCells count="167">
    <mergeCell ref="A8:B8"/>
    <mergeCell ref="K8:L8"/>
    <mergeCell ref="M8:N8"/>
    <mergeCell ref="K28:L28"/>
    <mergeCell ref="M28:N28"/>
    <mergeCell ref="K10:L10"/>
    <mergeCell ref="M10:N10"/>
    <mergeCell ref="K14:L14"/>
    <mergeCell ref="M14:N14"/>
    <mergeCell ref="A12:B12"/>
    <mergeCell ref="C12:G12"/>
    <mergeCell ref="H12:I12"/>
    <mergeCell ref="C14:G14"/>
    <mergeCell ref="K12:L12"/>
    <mergeCell ref="M12:N12"/>
    <mergeCell ref="K17:L17"/>
    <mergeCell ref="M17:N17"/>
    <mergeCell ref="A13:B13"/>
    <mergeCell ref="C13:G13"/>
    <mergeCell ref="H13:I13"/>
    <mergeCell ref="K13:L13"/>
    <mergeCell ref="M13:N13"/>
    <mergeCell ref="A14:B14"/>
    <mergeCell ref="H14:I14"/>
    <mergeCell ref="D1:L2"/>
    <mergeCell ref="A4:O4"/>
    <mergeCell ref="A5:O5"/>
    <mergeCell ref="A6:O6"/>
    <mergeCell ref="A7:B7"/>
    <mergeCell ref="A11:B11"/>
    <mergeCell ref="C11:G11"/>
    <mergeCell ref="H11:I11"/>
    <mergeCell ref="K11:L11"/>
    <mergeCell ref="M11:N11"/>
    <mergeCell ref="C7:G7"/>
    <mergeCell ref="H7:I7"/>
    <mergeCell ref="K7:L7"/>
    <mergeCell ref="M7:N7"/>
    <mergeCell ref="A9:B9"/>
    <mergeCell ref="C9:G9"/>
    <mergeCell ref="A10:B10"/>
    <mergeCell ref="C10:G10"/>
    <mergeCell ref="H10:I10"/>
    <mergeCell ref="C8:G8"/>
    <mergeCell ref="H8:I8"/>
    <mergeCell ref="H9:I9"/>
    <mergeCell ref="K9:L9"/>
    <mergeCell ref="M9:N9"/>
    <mergeCell ref="K19:L19"/>
    <mergeCell ref="M19:N19"/>
    <mergeCell ref="A15:B15"/>
    <mergeCell ref="C15:G15"/>
    <mergeCell ref="H15:I15"/>
    <mergeCell ref="K15:L15"/>
    <mergeCell ref="M15:N15"/>
    <mergeCell ref="A17:B17"/>
    <mergeCell ref="C17:G17"/>
    <mergeCell ref="A18:B18"/>
    <mergeCell ref="C18:G18"/>
    <mergeCell ref="H18:I18"/>
    <mergeCell ref="K18:L18"/>
    <mergeCell ref="M18:N18"/>
    <mergeCell ref="A26:B26"/>
    <mergeCell ref="C26:G26"/>
    <mergeCell ref="H26:I26"/>
    <mergeCell ref="K26:L26"/>
    <mergeCell ref="M26:N26"/>
    <mergeCell ref="A24:B24"/>
    <mergeCell ref="C24:G24"/>
    <mergeCell ref="H17:I17"/>
    <mergeCell ref="A28:B28"/>
    <mergeCell ref="C28:G28"/>
    <mergeCell ref="H28:I28"/>
    <mergeCell ref="A19:B19"/>
    <mergeCell ref="C19:G19"/>
    <mergeCell ref="H19:I19"/>
    <mergeCell ref="A21:B21"/>
    <mergeCell ref="C21:G21"/>
    <mergeCell ref="H21:I21"/>
    <mergeCell ref="A22:B22"/>
    <mergeCell ref="C22:G22"/>
    <mergeCell ref="H22:I22"/>
    <mergeCell ref="A20:B20"/>
    <mergeCell ref="C20:G20"/>
    <mergeCell ref="H20:I20"/>
    <mergeCell ref="K20:L20"/>
    <mergeCell ref="M20:N20"/>
    <mergeCell ref="C23:G23"/>
    <mergeCell ref="H23:I23"/>
    <mergeCell ref="K21:L21"/>
    <mergeCell ref="M21:N21"/>
    <mergeCell ref="A33:B33"/>
    <mergeCell ref="C33:G33"/>
    <mergeCell ref="H33:I33"/>
    <mergeCell ref="K33:L33"/>
    <mergeCell ref="A30:O30"/>
    <mergeCell ref="A27:B27"/>
    <mergeCell ref="C27:G27"/>
    <mergeCell ref="H27:I27"/>
    <mergeCell ref="K27:L27"/>
    <mergeCell ref="A31:B31"/>
    <mergeCell ref="C31:G31"/>
    <mergeCell ref="H31:I31"/>
    <mergeCell ref="K31:L31"/>
    <mergeCell ref="M31:N31"/>
    <mergeCell ref="M27:N27"/>
    <mergeCell ref="H29:I29"/>
    <mergeCell ref="K29:L29"/>
    <mergeCell ref="M29:N29"/>
    <mergeCell ref="A32:B32"/>
    <mergeCell ref="A46:O47"/>
    <mergeCell ref="A48:O49"/>
    <mergeCell ref="A16:B16"/>
    <mergeCell ref="C16:G16"/>
    <mergeCell ref="H16:I16"/>
    <mergeCell ref="K16:L16"/>
    <mergeCell ref="M16:N16"/>
    <mergeCell ref="A29:B29"/>
    <mergeCell ref="C29:G29"/>
    <mergeCell ref="A41:B41"/>
    <mergeCell ref="C41:G41"/>
    <mergeCell ref="H41:I41"/>
    <mergeCell ref="K41:L41"/>
    <mergeCell ref="M41:N41"/>
    <mergeCell ref="K42:M42"/>
    <mergeCell ref="H36:I36"/>
    <mergeCell ref="K36:L36"/>
    <mergeCell ref="M38:N38"/>
    <mergeCell ref="A39:B39"/>
    <mergeCell ref="C39:G39"/>
    <mergeCell ref="H39:I39"/>
    <mergeCell ref="K39:L39"/>
    <mergeCell ref="M39:N39"/>
    <mergeCell ref="M33:N33"/>
    <mergeCell ref="A40:O40"/>
    <mergeCell ref="A38:B38"/>
    <mergeCell ref="C38:G38"/>
    <mergeCell ref="H38:I38"/>
    <mergeCell ref="K38:L38"/>
    <mergeCell ref="K44:M44"/>
    <mergeCell ref="A34:O34"/>
    <mergeCell ref="A37:O37"/>
    <mergeCell ref="A35:B35"/>
    <mergeCell ref="C35:G35"/>
    <mergeCell ref="H35:I35"/>
    <mergeCell ref="K35:L35"/>
    <mergeCell ref="M35:N35"/>
    <mergeCell ref="A36:B36"/>
    <mergeCell ref="C36:G36"/>
    <mergeCell ref="C32:G32"/>
    <mergeCell ref="H32:I32"/>
    <mergeCell ref="K32:L32"/>
    <mergeCell ref="M32:N32"/>
    <mergeCell ref="M36:N36"/>
    <mergeCell ref="K23:L23"/>
    <mergeCell ref="M23:N23"/>
    <mergeCell ref="K22:L22"/>
    <mergeCell ref="M22:N22"/>
    <mergeCell ref="A25:B25"/>
    <mergeCell ref="C25:G25"/>
    <mergeCell ref="H25:I25"/>
    <mergeCell ref="K25:L25"/>
    <mergeCell ref="M25:N25"/>
    <mergeCell ref="A23:B23"/>
    <mergeCell ref="H24:I24"/>
    <mergeCell ref="K24:L24"/>
    <mergeCell ref="M24:N24"/>
  </mergeCells>
  <printOptions horizontalCentered="1"/>
  <pageMargins left="0.25" right="0.25" top="0.25" bottom="0.25" header="0" footer="0"/>
  <pageSetup scale="79" orientation="portrait" r:id="rId1"/>
  <headerFooter alignWithMargins="0"/>
  <ignoredErrors>
    <ignoredError sqref="O43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59"/>
  <sheetViews>
    <sheetView zoomScaleNormal="100" workbookViewId="0">
      <selection activeCell="A9" sqref="A9:B9"/>
    </sheetView>
  </sheetViews>
  <sheetFormatPr defaultRowHeight="12.75" x14ac:dyDescent="0.2"/>
  <cols>
    <col min="1" max="15" width="8.7109375" customWidth="1"/>
  </cols>
  <sheetData>
    <row r="1" spans="1:15" ht="17.25" thickTop="1" thickBot="1" x14ac:dyDescent="0.3">
      <c r="D1" s="298" t="s">
        <v>217</v>
      </c>
      <c r="E1" s="298"/>
      <c r="F1" s="298"/>
      <c r="G1" s="298"/>
      <c r="H1" s="298"/>
      <c r="I1" s="298"/>
      <c r="J1" s="298"/>
      <c r="K1" s="298"/>
      <c r="L1" s="298"/>
      <c r="M1" s="1"/>
    </row>
    <row r="2" spans="1:15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</row>
    <row r="3" spans="1:15" ht="17.25" thickTop="1" thickBot="1" x14ac:dyDescent="0.3">
      <c r="M3" s="1"/>
    </row>
    <row r="4" spans="1:15" ht="30.75" x14ac:dyDescent="0.45">
      <c r="A4" s="401" t="s">
        <v>110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3"/>
    </row>
    <row r="5" spans="1:15" ht="15.75" customHeight="1" x14ac:dyDescent="0.2">
      <c r="A5" s="404" t="s">
        <v>260</v>
      </c>
      <c r="B5" s="405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276"/>
      <c r="O5" s="406"/>
    </row>
    <row r="6" spans="1:15" ht="15.75" customHeight="1" x14ac:dyDescent="0.2">
      <c r="A6" s="404"/>
      <c r="B6" s="405"/>
      <c r="C6" s="405"/>
      <c r="D6" s="405"/>
      <c r="E6" s="405"/>
      <c r="F6" s="405"/>
      <c r="G6" s="405"/>
      <c r="H6" s="405"/>
      <c r="I6" s="405"/>
      <c r="J6" s="405"/>
      <c r="K6" s="405"/>
      <c r="L6" s="405"/>
      <c r="M6" s="405"/>
      <c r="N6" s="276"/>
      <c r="O6" s="406"/>
    </row>
    <row r="7" spans="1:15" ht="15.75" x14ac:dyDescent="0.2">
      <c r="A7" s="407" t="s">
        <v>39</v>
      </c>
      <c r="B7" s="279"/>
      <c r="C7" s="279" t="s">
        <v>38</v>
      </c>
      <c r="D7" s="279"/>
      <c r="E7" s="279"/>
      <c r="F7" s="281" t="s">
        <v>37</v>
      </c>
      <c r="G7" s="282"/>
      <c r="H7" s="283"/>
      <c r="I7" s="281" t="s">
        <v>52</v>
      </c>
      <c r="J7" s="282"/>
      <c r="K7" s="283"/>
      <c r="L7" s="408"/>
      <c r="M7" s="408"/>
      <c r="N7" s="281" t="s">
        <v>34</v>
      </c>
      <c r="O7" s="409"/>
    </row>
    <row r="8" spans="1:15" ht="15.75" x14ac:dyDescent="0.2">
      <c r="A8" s="407"/>
      <c r="B8" s="279"/>
      <c r="C8" s="279"/>
      <c r="D8" s="279"/>
      <c r="E8" s="279"/>
      <c r="F8" s="284"/>
      <c r="G8" s="285"/>
      <c r="H8" s="286"/>
      <c r="I8" s="284"/>
      <c r="J8" s="285"/>
      <c r="K8" s="286"/>
      <c r="L8" s="284"/>
      <c r="M8" s="286"/>
      <c r="N8" s="284" t="s">
        <v>33</v>
      </c>
      <c r="O8" s="410"/>
    </row>
    <row r="9" spans="1:15" ht="15.75" x14ac:dyDescent="0.25">
      <c r="A9" s="391">
        <v>0</v>
      </c>
      <c r="B9" s="290"/>
      <c r="C9" s="304" t="s">
        <v>40</v>
      </c>
      <c r="D9" s="304"/>
      <c r="E9" s="304"/>
      <c r="F9" s="393">
        <v>2</v>
      </c>
      <c r="G9" s="394"/>
      <c r="H9" s="395"/>
      <c r="I9" s="291" t="s">
        <v>53</v>
      </c>
      <c r="J9" s="291"/>
      <c r="K9" s="291"/>
      <c r="L9" s="302"/>
      <c r="M9" s="302"/>
      <c r="N9" s="302">
        <f>A9*F9</f>
        <v>0</v>
      </c>
      <c r="O9" s="385"/>
    </row>
    <row r="10" spans="1:15" ht="15.75" x14ac:dyDescent="0.25">
      <c r="A10" s="391">
        <v>0</v>
      </c>
      <c r="B10" s="290"/>
      <c r="C10" s="304" t="s">
        <v>41</v>
      </c>
      <c r="D10" s="304"/>
      <c r="E10" s="304"/>
      <c r="F10" s="393">
        <v>4</v>
      </c>
      <c r="G10" s="394"/>
      <c r="H10" s="395"/>
      <c r="I10" s="291" t="s">
        <v>53</v>
      </c>
      <c r="J10" s="291"/>
      <c r="K10" s="291"/>
      <c r="L10" s="360"/>
      <c r="M10" s="360"/>
      <c r="N10" s="302">
        <f t="shared" ref="N10:N34" si="0">A10*F10</f>
        <v>0</v>
      </c>
      <c r="O10" s="385"/>
    </row>
    <row r="11" spans="1:15" ht="15.75" x14ac:dyDescent="0.25">
      <c r="A11" s="391">
        <v>0</v>
      </c>
      <c r="B11" s="290"/>
      <c r="C11" s="304" t="s">
        <v>42</v>
      </c>
      <c r="D11" s="304"/>
      <c r="E11" s="304"/>
      <c r="F11" s="393">
        <v>1.5</v>
      </c>
      <c r="G11" s="394"/>
      <c r="H11" s="395"/>
      <c r="I11" s="291" t="s">
        <v>53</v>
      </c>
      <c r="J11" s="291"/>
      <c r="K11" s="291"/>
      <c r="L11" s="360"/>
      <c r="M11" s="360"/>
      <c r="N11" s="302">
        <f t="shared" si="0"/>
        <v>0</v>
      </c>
      <c r="O11" s="385"/>
    </row>
    <row r="12" spans="1:15" ht="15.75" x14ac:dyDescent="0.25">
      <c r="A12" s="391">
        <v>0</v>
      </c>
      <c r="B12" s="290"/>
      <c r="C12" s="304" t="s">
        <v>17</v>
      </c>
      <c r="D12" s="304"/>
      <c r="E12" s="304"/>
      <c r="F12" s="393">
        <v>0.5</v>
      </c>
      <c r="G12" s="394"/>
      <c r="H12" s="395"/>
      <c r="I12" s="291" t="s">
        <v>53</v>
      </c>
      <c r="J12" s="291"/>
      <c r="K12" s="291"/>
      <c r="L12" s="360"/>
      <c r="M12" s="360"/>
      <c r="N12" s="302">
        <f t="shared" si="0"/>
        <v>0</v>
      </c>
      <c r="O12" s="385"/>
    </row>
    <row r="13" spans="1:15" ht="15.75" x14ac:dyDescent="0.25">
      <c r="A13" s="391">
        <v>0</v>
      </c>
      <c r="B13" s="290"/>
      <c r="C13" s="304" t="s">
        <v>47</v>
      </c>
      <c r="D13" s="304"/>
      <c r="E13" s="304"/>
      <c r="F13" s="393">
        <v>1.5</v>
      </c>
      <c r="G13" s="394"/>
      <c r="H13" s="395"/>
      <c r="I13" s="291" t="s">
        <v>53</v>
      </c>
      <c r="J13" s="291"/>
      <c r="K13" s="291"/>
      <c r="L13" s="360"/>
      <c r="M13" s="360"/>
      <c r="N13" s="302">
        <f t="shared" si="0"/>
        <v>0</v>
      </c>
      <c r="O13" s="385"/>
    </row>
    <row r="14" spans="1:15" ht="15.75" x14ac:dyDescent="0.25">
      <c r="A14" s="391">
        <v>0</v>
      </c>
      <c r="B14" s="290"/>
      <c r="C14" s="304" t="s">
        <v>48</v>
      </c>
      <c r="D14" s="304"/>
      <c r="E14" s="304"/>
      <c r="F14" s="393">
        <v>1</v>
      </c>
      <c r="G14" s="394"/>
      <c r="H14" s="395"/>
      <c r="I14" s="291" t="s">
        <v>53</v>
      </c>
      <c r="J14" s="291"/>
      <c r="K14" s="291"/>
      <c r="L14" s="360"/>
      <c r="M14" s="360"/>
      <c r="N14" s="302">
        <f t="shared" si="0"/>
        <v>0</v>
      </c>
      <c r="O14" s="385"/>
    </row>
    <row r="15" spans="1:15" ht="15.75" x14ac:dyDescent="0.25">
      <c r="A15" s="391">
        <v>0</v>
      </c>
      <c r="B15" s="290"/>
      <c r="C15" s="304" t="s">
        <v>22</v>
      </c>
      <c r="D15" s="304"/>
      <c r="E15" s="304"/>
      <c r="F15" s="393">
        <v>3</v>
      </c>
      <c r="G15" s="394"/>
      <c r="H15" s="395"/>
      <c r="I15" s="291" t="s">
        <v>53</v>
      </c>
      <c r="J15" s="291"/>
      <c r="K15" s="291"/>
      <c r="L15" s="360"/>
      <c r="M15" s="360"/>
      <c r="N15" s="302">
        <f t="shared" si="0"/>
        <v>0</v>
      </c>
      <c r="O15" s="385"/>
    </row>
    <row r="16" spans="1:15" ht="15.75" x14ac:dyDescent="0.25">
      <c r="A16" s="391">
        <v>0</v>
      </c>
      <c r="B16" s="290"/>
      <c r="C16" s="304" t="s">
        <v>59</v>
      </c>
      <c r="D16" s="304"/>
      <c r="E16" s="304"/>
      <c r="F16" s="393">
        <v>2</v>
      </c>
      <c r="G16" s="394"/>
      <c r="H16" s="395"/>
      <c r="I16" s="291" t="s">
        <v>53</v>
      </c>
      <c r="J16" s="291"/>
      <c r="K16" s="291"/>
      <c r="L16" s="360"/>
      <c r="M16" s="360"/>
      <c r="N16" s="302">
        <f t="shared" si="0"/>
        <v>0</v>
      </c>
      <c r="O16" s="385"/>
    </row>
    <row r="17" spans="1:15" ht="15.75" x14ac:dyDescent="0.25">
      <c r="A17" s="391">
        <v>0</v>
      </c>
      <c r="B17" s="290"/>
      <c r="C17" s="304" t="s">
        <v>60</v>
      </c>
      <c r="D17" s="304"/>
      <c r="E17" s="304"/>
      <c r="F17" s="393">
        <v>20</v>
      </c>
      <c r="G17" s="394"/>
      <c r="H17" s="395"/>
      <c r="I17" s="291" t="s">
        <v>56</v>
      </c>
      <c r="J17" s="291"/>
      <c r="K17" s="291"/>
      <c r="L17" s="360"/>
      <c r="M17" s="360"/>
      <c r="N17" s="302">
        <f t="shared" si="0"/>
        <v>0</v>
      </c>
      <c r="O17" s="385"/>
    </row>
    <row r="18" spans="1:15" ht="15.75" x14ac:dyDescent="0.25">
      <c r="A18" s="391">
        <v>0</v>
      </c>
      <c r="B18" s="290"/>
      <c r="C18" s="304" t="s">
        <v>61</v>
      </c>
      <c r="D18" s="304"/>
      <c r="E18" s="304"/>
      <c r="F18" s="393">
        <v>15</v>
      </c>
      <c r="G18" s="394"/>
      <c r="H18" s="395"/>
      <c r="I18" s="291" t="s">
        <v>56</v>
      </c>
      <c r="J18" s="291"/>
      <c r="K18" s="291"/>
      <c r="L18" s="360"/>
      <c r="M18" s="360"/>
      <c r="N18" s="302">
        <f t="shared" si="0"/>
        <v>0</v>
      </c>
      <c r="O18" s="385"/>
    </row>
    <row r="19" spans="1:15" ht="15.75" x14ac:dyDescent="0.25">
      <c r="A19" s="391">
        <v>0</v>
      </c>
      <c r="B19" s="290"/>
      <c r="C19" s="304" t="s">
        <v>62</v>
      </c>
      <c r="D19" s="304"/>
      <c r="E19" s="304"/>
      <c r="F19" s="393">
        <v>10</v>
      </c>
      <c r="G19" s="394"/>
      <c r="H19" s="395"/>
      <c r="I19" s="291" t="s">
        <v>56</v>
      </c>
      <c r="J19" s="291"/>
      <c r="K19" s="291"/>
      <c r="L19" s="360"/>
      <c r="M19" s="360"/>
      <c r="N19" s="302">
        <f t="shared" si="0"/>
        <v>0</v>
      </c>
      <c r="O19" s="385"/>
    </row>
    <row r="20" spans="1:15" ht="15.75" x14ac:dyDescent="0.25">
      <c r="A20" s="391">
        <v>0</v>
      </c>
      <c r="B20" s="290"/>
      <c r="C20" s="304" t="s">
        <v>63</v>
      </c>
      <c r="D20" s="304"/>
      <c r="E20" s="304"/>
      <c r="F20" s="393">
        <v>8</v>
      </c>
      <c r="G20" s="394"/>
      <c r="H20" s="395"/>
      <c r="I20" s="291" t="s">
        <v>56</v>
      </c>
      <c r="J20" s="291"/>
      <c r="K20" s="291"/>
      <c r="L20" s="360"/>
      <c r="M20" s="360"/>
      <c r="N20" s="302">
        <f t="shared" si="0"/>
        <v>0</v>
      </c>
      <c r="O20" s="385"/>
    </row>
    <row r="21" spans="1:15" ht="15.75" x14ac:dyDescent="0.25">
      <c r="A21" s="391">
        <v>0</v>
      </c>
      <c r="B21" s="290"/>
      <c r="C21" s="304" t="s">
        <v>64</v>
      </c>
      <c r="D21" s="304"/>
      <c r="E21" s="304"/>
      <c r="F21" s="393">
        <v>5</v>
      </c>
      <c r="G21" s="394"/>
      <c r="H21" s="395"/>
      <c r="I21" s="291" t="s">
        <v>56</v>
      </c>
      <c r="J21" s="291"/>
      <c r="K21" s="291"/>
      <c r="L21" s="360"/>
      <c r="M21" s="360"/>
      <c r="N21" s="302">
        <f t="shared" si="0"/>
        <v>0</v>
      </c>
      <c r="O21" s="385"/>
    </row>
    <row r="22" spans="1:15" ht="15.75" x14ac:dyDescent="0.25">
      <c r="A22" s="391">
        <v>0</v>
      </c>
      <c r="B22" s="290"/>
      <c r="C22" s="304" t="s">
        <v>43</v>
      </c>
      <c r="D22" s="304"/>
      <c r="E22" s="304"/>
      <c r="F22" s="393">
        <v>2.5</v>
      </c>
      <c r="G22" s="394"/>
      <c r="H22" s="395"/>
      <c r="I22" s="291" t="s">
        <v>53</v>
      </c>
      <c r="J22" s="291"/>
      <c r="K22" s="291"/>
      <c r="L22" s="360"/>
      <c r="M22" s="360"/>
      <c r="N22" s="302">
        <f t="shared" si="0"/>
        <v>0</v>
      </c>
      <c r="O22" s="385"/>
    </row>
    <row r="23" spans="1:15" ht="15.75" x14ac:dyDescent="0.25">
      <c r="A23" s="391">
        <v>0</v>
      </c>
      <c r="B23" s="290"/>
      <c r="C23" s="7" t="s">
        <v>26</v>
      </c>
      <c r="D23" s="7"/>
      <c r="E23" s="7"/>
      <c r="F23" s="393">
        <v>1</v>
      </c>
      <c r="G23" s="394"/>
      <c r="H23" s="395"/>
      <c r="I23" s="292" t="s">
        <v>53</v>
      </c>
      <c r="J23" s="293"/>
      <c r="K23" s="294"/>
      <c r="L23" s="360"/>
      <c r="M23" s="360"/>
      <c r="N23" s="302">
        <f t="shared" si="0"/>
        <v>0</v>
      </c>
      <c r="O23" s="385"/>
    </row>
    <row r="24" spans="1:15" ht="15.75" x14ac:dyDescent="0.25">
      <c r="A24" s="391">
        <v>0</v>
      </c>
      <c r="B24" s="290"/>
      <c r="C24" s="7" t="s">
        <v>474</v>
      </c>
      <c r="D24" s="7"/>
      <c r="E24" s="7"/>
      <c r="F24" s="393">
        <v>4</v>
      </c>
      <c r="G24" s="394"/>
      <c r="H24" s="395"/>
      <c r="I24" s="292" t="s">
        <v>56</v>
      </c>
      <c r="J24" s="293"/>
      <c r="K24" s="294"/>
      <c r="L24" s="360"/>
      <c r="M24" s="360"/>
      <c r="N24" s="302">
        <f t="shared" ref="N24" si="1">A24*F24</f>
        <v>0</v>
      </c>
      <c r="O24" s="385"/>
    </row>
    <row r="25" spans="1:15" ht="15.75" x14ac:dyDescent="0.25">
      <c r="A25" s="391">
        <v>0</v>
      </c>
      <c r="B25" s="290"/>
      <c r="C25" s="7" t="s">
        <v>65</v>
      </c>
      <c r="D25" s="7"/>
      <c r="E25" s="7"/>
      <c r="F25" s="393">
        <v>40</v>
      </c>
      <c r="G25" s="394"/>
      <c r="H25" s="395"/>
      <c r="I25" s="292" t="s">
        <v>55</v>
      </c>
      <c r="J25" s="293"/>
      <c r="K25" s="294"/>
      <c r="L25" s="360"/>
      <c r="M25" s="360"/>
      <c r="N25" s="302">
        <f t="shared" si="0"/>
        <v>0</v>
      </c>
      <c r="O25" s="385"/>
    </row>
    <row r="26" spans="1:15" ht="15.75" x14ac:dyDescent="0.25">
      <c r="A26" s="391">
        <v>0</v>
      </c>
      <c r="B26" s="290"/>
      <c r="C26" s="7" t="s">
        <v>66</v>
      </c>
      <c r="D26" s="7"/>
      <c r="E26" s="7"/>
      <c r="F26" s="393">
        <v>30</v>
      </c>
      <c r="G26" s="394"/>
      <c r="H26" s="395"/>
      <c r="I26" s="292" t="s">
        <v>55</v>
      </c>
      <c r="J26" s="293"/>
      <c r="K26" s="294"/>
      <c r="L26" s="360"/>
      <c r="M26" s="360"/>
      <c r="N26" s="302">
        <f t="shared" si="0"/>
        <v>0</v>
      </c>
      <c r="O26" s="385"/>
    </row>
    <row r="27" spans="1:15" ht="15.75" x14ac:dyDescent="0.25">
      <c r="A27" s="391">
        <v>0</v>
      </c>
      <c r="B27" s="290"/>
      <c r="C27" s="7" t="s">
        <v>67</v>
      </c>
      <c r="D27" s="7"/>
      <c r="E27" s="7"/>
      <c r="F27" s="393">
        <v>20</v>
      </c>
      <c r="G27" s="394"/>
      <c r="H27" s="395"/>
      <c r="I27" s="292" t="s">
        <v>55</v>
      </c>
      <c r="J27" s="293"/>
      <c r="K27" s="294"/>
      <c r="L27" s="360"/>
      <c r="M27" s="360"/>
      <c r="N27" s="302">
        <f t="shared" si="0"/>
        <v>0</v>
      </c>
      <c r="O27" s="385"/>
    </row>
    <row r="28" spans="1:15" ht="15.75" x14ac:dyDescent="0.25">
      <c r="A28" s="391">
        <v>0</v>
      </c>
      <c r="B28" s="290"/>
      <c r="C28" s="7" t="s">
        <v>68</v>
      </c>
      <c r="D28" s="7"/>
      <c r="E28" s="7"/>
      <c r="F28" s="393">
        <v>15</v>
      </c>
      <c r="G28" s="394"/>
      <c r="H28" s="395"/>
      <c r="I28" s="292">
        <v>1</v>
      </c>
      <c r="J28" s="293"/>
      <c r="K28" s="294"/>
      <c r="L28" s="360"/>
      <c r="M28" s="360"/>
      <c r="N28" s="302">
        <f t="shared" si="0"/>
        <v>0</v>
      </c>
      <c r="O28" s="385"/>
    </row>
    <row r="29" spans="1:15" ht="15.75" x14ac:dyDescent="0.25">
      <c r="A29" s="391">
        <v>0</v>
      </c>
      <c r="B29" s="290"/>
      <c r="C29" s="7" t="s">
        <v>69</v>
      </c>
      <c r="D29" s="7"/>
      <c r="E29" s="7"/>
      <c r="F29" s="393">
        <v>10</v>
      </c>
      <c r="G29" s="394"/>
      <c r="H29" s="395"/>
      <c r="I29" s="292" t="s">
        <v>55</v>
      </c>
      <c r="J29" s="293"/>
      <c r="K29" s="294"/>
      <c r="L29" s="360"/>
      <c r="M29" s="360"/>
      <c r="N29" s="302">
        <f t="shared" si="0"/>
        <v>0</v>
      </c>
      <c r="O29" s="385"/>
    </row>
    <row r="30" spans="1:15" ht="15.75" x14ac:dyDescent="0.25">
      <c r="A30" s="391">
        <v>0</v>
      </c>
      <c r="B30" s="290"/>
      <c r="C30" s="295" t="s">
        <v>70</v>
      </c>
      <c r="D30" s="296"/>
      <c r="E30" s="297"/>
      <c r="F30" s="393">
        <v>2.5</v>
      </c>
      <c r="G30" s="394"/>
      <c r="H30" s="395"/>
      <c r="I30" s="292" t="s">
        <v>53</v>
      </c>
      <c r="J30" s="293"/>
      <c r="K30" s="294"/>
      <c r="L30" s="360"/>
      <c r="M30" s="360"/>
      <c r="N30" s="302">
        <f t="shared" si="0"/>
        <v>0</v>
      </c>
      <c r="O30" s="385"/>
    </row>
    <row r="31" spans="1:15" ht="15.75" x14ac:dyDescent="0.25">
      <c r="A31" s="391">
        <v>0</v>
      </c>
      <c r="B31" s="290"/>
      <c r="C31" s="304" t="s">
        <v>71</v>
      </c>
      <c r="D31" s="304"/>
      <c r="E31" s="304"/>
      <c r="F31" s="393">
        <v>1</v>
      </c>
      <c r="G31" s="394"/>
      <c r="H31" s="395"/>
      <c r="I31" s="400" t="s">
        <v>54</v>
      </c>
      <c r="J31" s="291"/>
      <c r="K31" s="291"/>
      <c r="L31" s="360"/>
      <c r="M31" s="360"/>
      <c r="N31" s="302">
        <f t="shared" si="0"/>
        <v>0</v>
      </c>
      <c r="O31" s="385"/>
    </row>
    <row r="32" spans="1:15" ht="15.75" x14ac:dyDescent="0.25">
      <c r="A32" s="396">
        <v>0</v>
      </c>
      <c r="B32" s="397"/>
      <c r="C32" s="311" t="s">
        <v>51</v>
      </c>
      <c r="D32" s="311"/>
      <c r="E32" s="311"/>
      <c r="F32" s="388"/>
      <c r="G32" s="389"/>
      <c r="H32" s="390"/>
      <c r="I32" s="398"/>
      <c r="J32" s="398"/>
      <c r="K32" s="398"/>
      <c r="L32" s="399"/>
      <c r="M32" s="399"/>
      <c r="N32" s="302">
        <f t="shared" si="0"/>
        <v>0</v>
      </c>
      <c r="O32" s="385"/>
    </row>
    <row r="33" spans="1:25" ht="15.75" x14ac:dyDescent="0.25">
      <c r="A33" s="391">
        <v>0</v>
      </c>
      <c r="B33" s="290"/>
      <c r="C33" s="304" t="s">
        <v>51</v>
      </c>
      <c r="D33" s="304"/>
      <c r="E33" s="304"/>
      <c r="F33" s="392"/>
      <c r="G33" s="392"/>
      <c r="H33" s="392"/>
      <c r="I33" s="291"/>
      <c r="J33" s="291"/>
      <c r="K33" s="291"/>
      <c r="L33" s="360"/>
      <c r="M33" s="360"/>
      <c r="N33" s="302">
        <f t="shared" si="0"/>
        <v>0</v>
      </c>
      <c r="O33" s="385"/>
    </row>
    <row r="34" spans="1:25" ht="15.75" x14ac:dyDescent="0.25">
      <c r="A34" s="391">
        <v>0</v>
      </c>
      <c r="B34" s="290"/>
      <c r="C34" s="304" t="s">
        <v>51</v>
      </c>
      <c r="D34" s="304"/>
      <c r="E34" s="304"/>
      <c r="F34" s="392"/>
      <c r="G34" s="392"/>
      <c r="H34" s="392"/>
      <c r="I34" s="291"/>
      <c r="J34" s="291"/>
      <c r="K34" s="291"/>
      <c r="L34" s="360"/>
      <c r="M34" s="360"/>
      <c r="N34" s="302">
        <f t="shared" si="0"/>
        <v>0</v>
      </c>
      <c r="O34" s="385"/>
    </row>
    <row r="35" spans="1:25" ht="16.5" thickBot="1" x14ac:dyDescent="0.3">
      <c r="A35" s="413">
        <v>0</v>
      </c>
      <c r="B35" s="414"/>
      <c r="C35" s="415" t="s">
        <v>51</v>
      </c>
      <c r="D35" s="415"/>
      <c r="E35" s="415"/>
      <c r="F35" s="416"/>
      <c r="G35" s="416"/>
      <c r="H35" s="416"/>
      <c r="I35" s="417"/>
      <c r="J35" s="417"/>
      <c r="K35" s="417"/>
      <c r="L35" s="411"/>
      <c r="M35" s="411"/>
      <c r="N35" s="411">
        <f>A35*F35</f>
        <v>0</v>
      </c>
      <c r="O35" s="412"/>
    </row>
    <row r="36" spans="1:25" ht="16.5" thickBot="1" x14ac:dyDescent="0.3">
      <c r="A36" s="1"/>
      <c r="B36" s="1"/>
      <c r="C36" s="1"/>
      <c r="D36" s="1"/>
      <c r="E36" s="1"/>
      <c r="F36" s="1"/>
      <c r="G36" s="1"/>
      <c r="H36" s="1"/>
      <c r="K36" s="356" t="s">
        <v>14</v>
      </c>
      <c r="L36" s="357"/>
      <c r="M36" s="357"/>
      <c r="N36" s="386">
        <f>N9+N10+N11+N12+N13+N14+N15+N16+N17+N18+N19+N20+N21+N22+N23+N25+N26+N27+N28+N29+N30+N31+N32+N33+N34+N35</f>
        <v>0</v>
      </c>
      <c r="O36" s="387"/>
    </row>
    <row r="37" spans="1:25" ht="16.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25" ht="15" customHeight="1" thickTop="1" x14ac:dyDescent="0.25">
      <c r="A38" s="340" t="s">
        <v>111</v>
      </c>
      <c r="B38" s="341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2"/>
      <c r="Y38" s="1"/>
    </row>
    <row r="39" spans="1:25" ht="15" customHeight="1" thickBot="1" x14ac:dyDescent="0.3">
      <c r="A39" s="329" t="s">
        <v>85</v>
      </c>
      <c r="B39" s="330"/>
      <c r="C39" s="330"/>
      <c r="D39" s="330"/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31"/>
      <c r="Y39" s="1"/>
    </row>
    <row r="40" spans="1:25" ht="15" customHeight="1" thickBot="1" x14ac:dyDescent="0.3">
      <c r="A40" s="343" t="s">
        <v>1</v>
      </c>
      <c r="B40" s="302"/>
      <c r="C40" s="302"/>
      <c r="D40" s="302" t="s">
        <v>2</v>
      </c>
      <c r="E40" s="302"/>
      <c r="F40" s="344"/>
      <c r="G40" s="345" t="s">
        <v>3</v>
      </c>
      <c r="H40" s="346"/>
      <c r="I40" s="347"/>
      <c r="J40" s="355" t="s">
        <v>15</v>
      </c>
      <c r="K40" s="302"/>
      <c r="L40" s="302"/>
      <c r="M40" s="302" t="s">
        <v>84</v>
      </c>
      <c r="N40" s="302"/>
      <c r="O40" s="303"/>
      <c r="Y40" s="1"/>
    </row>
    <row r="41" spans="1:25" ht="15" customHeight="1" thickBot="1" x14ac:dyDescent="0.3">
      <c r="A41" s="306" t="s">
        <v>86</v>
      </c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8"/>
      <c r="Y41" s="1"/>
    </row>
    <row r="42" spans="1:25" ht="15" customHeight="1" x14ac:dyDescent="0.25">
      <c r="A42" s="19">
        <v>5</v>
      </c>
      <c r="B42" s="304" t="s">
        <v>4</v>
      </c>
      <c r="C42" s="304"/>
      <c r="D42" s="2">
        <v>4</v>
      </c>
      <c r="E42" s="304" t="s">
        <v>4</v>
      </c>
      <c r="F42" s="295"/>
      <c r="G42" s="10">
        <v>3</v>
      </c>
      <c r="H42" s="309" t="s">
        <v>4</v>
      </c>
      <c r="I42" s="310"/>
      <c r="J42" s="4">
        <v>2</v>
      </c>
      <c r="K42" s="304" t="s">
        <v>4</v>
      </c>
      <c r="L42" s="304"/>
      <c r="M42" s="2">
        <v>1</v>
      </c>
      <c r="N42" s="304" t="s">
        <v>4</v>
      </c>
      <c r="O42" s="305"/>
      <c r="Y42" s="1"/>
    </row>
    <row r="43" spans="1:25" ht="15" customHeight="1" x14ac:dyDescent="0.25">
      <c r="A43" s="19">
        <v>16</v>
      </c>
      <c r="B43" s="304" t="s">
        <v>5</v>
      </c>
      <c r="C43" s="304"/>
      <c r="D43" s="2">
        <v>14</v>
      </c>
      <c r="E43" s="304" t="s">
        <v>5</v>
      </c>
      <c r="F43" s="295"/>
      <c r="G43" s="10">
        <v>12</v>
      </c>
      <c r="H43" s="309" t="s">
        <v>5</v>
      </c>
      <c r="I43" s="310"/>
      <c r="J43" s="4">
        <v>9</v>
      </c>
      <c r="K43" s="304" t="s">
        <v>5</v>
      </c>
      <c r="L43" s="304"/>
      <c r="M43" s="2">
        <v>5</v>
      </c>
      <c r="N43" s="304" t="s">
        <v>5</v>
      </c>
      <c r="O43" s="305"/>
      <c r="Y43" s="1"/>
    </row>
    <row r="44" spans="1:25" ht="15" customHeight="1" x14ac:dyDescent="0.25">
      <c r="A44" s="19">
        <v>31</v>
      </c>
      <c r="B44" s="304" t="s">
        <v>6</v>
      </c>
      <c r="C44" s="304"/>
      <c r="D44" s="2">
        <v>27</v>
      </c>
      <c r="E44" s="304" t="s">
        <v>6</v>
      </c>
      <c r="F44" s="295"/>
      <c r="G44" s="10">
        <v>25</v>
      </c>
      <c r="H44" s="309" t="s">
        <v>6</v>
      </c>
      <c r="I44" s="310"/>
      <c r="J44" s="4">
        <v>20</v>
      </c>
      <c r="K44" s="304" t="s">
        <v>6</v>
      </c>
      <c r="L44" s="304"/>
      <c r="M44" s="2">
        <v>13</v>
      </c>
      <c r="N44" s="304" t="s">
        <v>6</v>
      </c>
      <c r="O44" s="305"/>
      <c r="Y44" s="1"/>
    </row>
    <row r="45" spans="1:25" ht="15" customHeight="1" x14ac:dyDescent="0.25">
      <c r="A45" s="19">
        <v>68</v>
      </c>
      <c r="B45" s="304" t="s">
        <v>7</v>
      </c>
      <c r="C45" s="304"/>
      <c r="D45" s="2">
        <v>57</v>
      </c>
      <c r="E45" s="304" t="s">
        <v>7</v>
      </c>
      <c r="F45" s="295"/>
      <c r="G45" s="10">
        <v>48</v>
      </c>
      <c r="H45" s="309" t="s">
        <v>7</v>
      </c>
      <c r="I45" s="310"/>
      <c r="J45" s="4">
        <v>38</v>
      </c>
      <c r="K45" s="304" t="s">
        <v>7</v>
      </c>
      <c r="L45" s="304"/>
      <c r="M45" s="2">
        <v>25</v>
      </c>
      <c r="N45" s="304" t="s">
        <v>7</v>
      </c>
      <c r="O45" s="305"/>
    </row>
    <row r="46" spans="1:25" ht="15" customHeight="1" x14ac:dyDescent="0.25">
      <c r="A46" s="19">
        <v>151</v>
      </c>
      <c r="B46" s="304" t="s">
        <v>8</v>
      </c>
      <c r="C46" s="304"/>
      <c r="D46" s="2">
        <v>129</v>
      </c>
      <c r="E46" s="304" t="s">
        <v>8</v>
      </c>
      <c r="F46" s="295"/>
      <c r="G46" s="10">
        <v>110</v>
      </c>
      <c r="H46" s="309" t="s">
        <v>8</v>
      </c>
      <c r="I46" s="310"/>
      <c r="J46" s="4">
        <v>80</v>
      </c>
      <c r="K46" s="304" t="s">
        <v>8</v>
      </c>
      <c r="L46" s="304"/>
      <c r="M46" s="2">
        <v>46</v>
      </c>
      <c r="N46" s="304" t="s">
        <v>8</v>
      </c>
      <c r="O46" s="305"/>
    </row>
    <row r="47" spans="1:25" ht="15" customHeight="1" x14ac:dyDescent="0.25">
      <c r="A47" s="19">
        <v>370</v>
      </c>
      <c r="B47" s="304" t="s">
        <v>9</v>
      </c>
      <c r="C47" s="304"/>
      <c r="D47" s="2">
        <v>292</v>
      </c>
      <c r="E47" s="304" t="s">
        <v>9</v>
      </c>
      <c r="F47" s="295"/>
      <c r="G47" s="10">
        <v>265</v>
      </c>
      <c r="H47" s="309" t="s">
        <v>9</v>
      </c>
      <c r="I47" s="310"/>
      <c r="J47" s="4">
        <v>217</v>
      </c>
      <c r="K47" s="304" t="s">
        <v>9</v>
      </c>
      <c r="L47" s="304"/>
      <c r="M47" s="2">
        <v>147</v>
      </c>
      <c r="N47" s="304" t="s">
        <v>9</v>
      </c>
      <c r="O47" s="305"/>
    </row>
    <row r="48" spans="1:25" ht="15" customHeight="1" thickBot="1" x14ac:dyDescent="0.3">
      <c r="A48" s="24">
        <v>445</v>
      </c>
      <c r="B48" s="311" t="s">
        <v>10</v>
      </c>
      <c r="C48" s="311"/>
      <c r="D48" s="25">
        <v>390</v>
      </c>
      <c r="E48" s="311" t="s">
        <v>10</v>
      </c>
      <c r="F48" s="312"/>
      <c r="G48" s="26">
        <v>370</v>
      </c>
      <c r="H48" s="313" t="s">
        <v>10</v>
      </c>
      <c r="I48" s="314"/>
      <c r="J48" s="27">
        <v>330</v>
      </c>
      <c r="K48" s="311" t="s">
        <v>10</v>
      </c>
      <c r="L48" s="311"/>
      <c r="M48" s="25">
        <v>265</v>
      </c>
      <c r="N48" s="311" t="s">
        <v>10</v>
      </c>
      <c r="O48" s="315"/>
    </row>
    <row r="49" spans="1:15" ht="15" customHeight="1" thickBot="1" x14ac:dyDescent="0.25">
      <c r="A49" s="306" t="s">
        <v>87</v>
      </c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8"/>
    </row>
    <row r="50" spans="1:15" ht="15" customHeight="1" x14ac:dyDescent="0.25">
      <c r="A50" s="19">
        <v>7</v>
      </c>
      <c r="B50" s="304" t="s">
        <v>4</v>
      </c>
      <c r="C50" s="304"/>
      <c r="D50" s="2">
        <v>6</v>
      </c>
      <c r="E50" s="304" t="s">
        <v>4</v>
      </c>
      <c r="F50" s="295"/>
      <c r="G50" s="10">
        <v>5</v>
      </c>
      <c r="H50" s="309" t="s">
        <v>4</v>
      </c>
      <c r="I50" s="310"/>
      <c r="J50" s="4">
        <v>4</v>
      </c>
      <c r="K50" s="304" t="s">
        <v>4</v>
      </c>
      <c r="L50" s="304"/>
      <c r="M50" s="2">
        <v>2</v>
      </c>
      <c r="N50" s="304" t="s">
        <v>4</v>
      </c>
      <c r="O50" s="305"/>
    </row>
    <row r="51" spans="1:15" ht="15" customHeight="1" x14ac:dyDescent="0.25">
      <c r="A51" s="19">
        <v>20</v>
      </c>
      <c r="B51" s="304" t="s">
        <v>5</v>
      </c>
      <c r="C51" s="304"/>
      <c r="D51" s="2">
        <v>19</v>
      </c>
      <c r="E51" s="304" t="s">
        <v>5</v>
      </c>
      <c r="F51" s="295"/>
      <c r="G51" s="10">
        <v>17</v>
      </c>
      <c r="H51" s="309" t="s">
        <v>5</v>
      </c>
      <c r="I51" s="310"/>
      <c r="J51" s="4">
        <v>14</v>
      </c>
      <c r="K51" s="304" t="s">
        <v>5</v>
      </c>
      <c r="L51" s="304"/>
      <c r="M51" s="2">
        <v>8</v>
      </c>
      <c r="N51" s="304" t="s">
        <v>5</v>
      </c>
      <c r="O51" s="305"/>
    </row>
    <row r="52" spans="1:15" ht="15" customHeight="1" x14ac:dyDescent="0.25">
      <c r="A52" s="19">
        <v>39</v>
      </c>
      <c r="B52" s="304" t="s">
        <v>6</v>
      </c>
      <c r="C52" s="304"/>
      <c r="D52" s="2">
        <v>39</v>
      </c>
      <c r="E52" s="304" t="s">
        <v>6</v>
      </c>
      <c r="F52" s="295"/>
      <c r="G52" s="10">
        <v>36</v>
      </c>
      <c r="H52" s="309" t="s">
        <v>6</v>
      </c>
      <c r="I52" s="310"/>
      <c r="J52" s="4">
        <v>30</v>
      </c>
      <c r="K52" s="304" t="s">
        <v>6</v>
      </c>
      <c r="L52" s="304"/>
      <c r="M52" s="2">
        <v>20</v>
      </c>
      <c r="N52" s="304" t="s">
        <v>6</v>
      </c>
      <c r="O52" s="305"/>
    </row>
    <row r="53" spans="1:15" ht="15" customHeight="1" x14ac:dyDescent="0.25">
      <c r="A53" s="19">
        <v>78</v>
      </c>
      <c r="B53" s="304" t="s">
        <v>7</v>
      </c>
      <c r="C53" s="304"/>
      <c r="D53" s="2">
        <v>78</v>
      </c>
      <c r="E53" s="304" t="s">
        <v>7</v>
      </c>
      <c r="F53" s="295"/>
      <c r="G53" s="10">
        <v>78</v>
      </c>
      <c r="H53" s="309" t="s">
        <v>7</v>
      </c>
      <c r="I53" s="310"/>
      <c r="J53" s="4">
        <v>66</v>
      </c>
      <c r="K53" s="304" t="s">
        <v>7</v>
      </c>
      <c r="L53" s="304"/>
      <c r="M53" s="2">
        <v>39</v>
      </c>
      <c r="N53" s="304" t="s">
        <v>7</v>
      </c>
      <c r="O53" s="305"/>
    </row>
    <row r="54" spans="1:15" ht="15" customHeight="1" x14ac:dyDescent="0.25">
      <c r="A54" s="19">
        <v>151</v>
      </c>
      <c r="B54" s="304" t="s">
        <v>8</v>
      </c>
      <c r="C54" s="304"/>
      <c r="D54" s="2">
        <v>151</v>
      </c>
      <c r="E54" s="304" t="s">
        <v>8</v>
      </c>
      <c r="F54" s="295"/>
      <c r="G54" s="10">
        <v>151</v>
      </c>
      <c r="H54" s="309" t="s">
        <v>8</v>
      </c>
      <c r="I54" s="310"/>
      <c r="J54" s="4">
        <v>150</v>
      </c>
      <c r="K54" s="304" t="s">
        <v>8</v>
      </c>
      <c r="L54" s="304"/>
      <c r="M54" s="2">
        <v>84</v>
      </c>
      <c r="N54" s="304" t="s">
        <v>8</v>
      </c>
      <c r="O54" s="305"/>
    </row>
    <row r="55" spans="1:15" ht="15" customHeight="1" x14ac:dyDescent="0.25">
      <c r="A55" s="19">
        <v>370</v>
      </c>
      <c r="B55" s="304" t="s">
        <v>9</v>
      </c>
      <c r="C55" s="304"/>
      <c r="D55" s="2">
        <v>370</v>
      </c>
      <c r="E55" s="304" t="s">
        <v>9</v>
      </c>
      <c r="F55" s="295"/>
      <c r="G55" s="10">
        <v>370</v>
      </c>
      <c r="H55" s="309" t="s">
        <v>9</v>
      </c>
      <c r="I55" s="310"/>
      <c r="J55" s="4">
        <v>368</v>
      </c>
      <c r="K55" s="304" t="s">
        <v>9</v>
      </c>
      <c r="L55" s="304"/>
      <c r="M55" s="2">
        <v>250</v>
      </c>
      <c r="N55" s="304" t="s">
        <v>9</v>
      </c>
      <c r="O55" s="305"/>
    </row>
    <row r="56" spans="1:15" ht="15" customHeight="1" thickBot="1" x14ac:dyDescent="0.3">
      <c r="A56" s="24">
        <v>640</v>
      </c>
      <c r="B56" s="311" t="s">
        <v>10</v>
      </c>
      <c r="C56" s="311"/>
      <c r="D56" s="25">
        <v>610</v>
      </c>
      <c r="E56" s="311" t="s">
        <v>10</v>
      </c>
      <c r="F56" s="312"/>
      <c r="G56" s="26">
        <v>580</v>
      </c>
      <c r="H56" s="313" t="s">
        <v>10</v>
      </c>
      <c r="I56" s="314"/>
      <c r="J56" s="27">
        <v>535</v>
      </c>
      <c r="K56" s="311" t="s">
        <v>10</v>
      </c>
      <c r="L56" s="311"/>
      <c r="M56" s="25">
        <v>440</v>
      </c>
      <c r="N56" s="311" t="s">
        <v>10</v>
      </c>
      <c r="O56" s="315"/>
    </row>
    <row r="57" spans="1:15" ht="15" customHeight="1" thickBot="1" x14ac:dyDescent="0.25">
      <c r="A57" s="306" t="s">
        <v>88</v>
      </c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8"/>
    </row>
    <row r="58" spans="1:15" ht="15" customHeight="1" x14ac:dyDescent="0.25">
      <c r="A58" s="19">
        <v>7</v>
      </c>
      <c r="B58" s="304" t="s">
        <v>4</v>
      </c>
      <c r="C58" s="304"/>
      <c r="D58" s="2">
        <v>7</v>
      </c>
      <c r="E58" s="304" t="s">
        <v>4</v>
      </c>
      <c r="F58" s="295"/>
      <c r="G58" s="10">
        <v>6</v>
      </c>
      <c r="H58" s="309" t="s">
        <v>4</v>
      </c>
      <c r="I58" s="310"/>
      <c r="J58" s="4">
        <v>5</v>
      </c>
      <c r="K58" s="304" t="s">
        <v>4</v>
      </c>
      <c r="L58" s="304"/>
      <c r="M58" s="2">
        <v>3</v>
      </c>
      <c r="N58" s="304" t="s">
        <v>4</v>
      </c>
      <c r="O58" s="305"/>
    </row>
    <row r="59" spans="1:15" ht="15" customHeight="1" x14ac:dyDescent="0.25">
      <c r="A59" s="19">
        <v>20</v>
      </c>
      <c r="B59" s="304" t="s">
        <v>5</v>
      </c>
      <c r="C59" s="304"/>
      <c r="D59" s="2">
        <v>20</v>
      </c>
      <c r="E59" s="304" t="s">
        <v>5</v>
      </c>
      <c r="F59" s="295"/>
      <c r="G59" s="10">
        <v>20</v>
      </c>
      <c r="H59" s="309" t="s">
        <v>5</v>
      </c>
      <c r="I59" s="310"/>
      <c r="J59" s="4">
        <v>17</v>
      </c>
      <c r="K59" s="304" t="s">
        <v>5</v>
      </c>
      <c r="L59" s="304"/>
      <c r="M59" s="2">
        <v>10</v>
      </c>
      <c r="N59" s="304" t="s">
        <v>5</v>
      </c>
      <c r="O59" s="305"/>
    </row>
    <row r="60" spans="1:15" ht="15" customHeight="1" x14ac:dyDescent="0.25">
      <c r="A60" s="19">
        <v>39</v>
      </c>
      <c r="B60" s="304" t="s">
        <v>6</v>
      </c>
      <c r="C60" s="304"/>
      <c r="D60" s="2">
        <v>39</v>
      </c>
      <c r="E60" s="304" t="s">
        <v>6</v>
      </c>
      <c r="F60" s="295"/>
      <c r="G60" s="10">
        <v>39</v>
      </c>
      <c r="H60" s="309" t="s">
        <v>6</v>
      </c>
      <c r="I60" s="310"/>
      <c r="J60" s="4">
        <v>38</v>
      </c>
      <c r="K60" s="304" t="s">
        <v>6</v>
      </c>
      <c r="L60" s="304"/>
      <c r="M60" s="2">
        <v>26</v>
      </c>
      <c r="N60" s="304" t="s">
        <v>6</v>
      </c>
      <c r="O60" s="305"/>
    </row>
    <row r="61" spans="1:15" ht="15" customHeight="1" x14ac:dyDescent="0.25">
      <c r="A61" s="19">
        <v>78</v>
      </c>
      <c r="B61" s="304" t="s">
        <v>7</v>
      </c>
      <c r="C61" s="304"/>
      <c r="D61" s="2">
        <v>78</v>
      </c>
      <c r="E61" s="304" t="s">
        <v>7</v>
      </c>
      <c r="F61" s="295"/>
      <c r="G61" s="10">
        <v>78</v>
      </c>
      <c r="H61" s="309" t="s">
        <v>7</v>
      </c>
      <c r="I61" s="310"/>
      <c r="J61" s="4">
        <v>78</v>
      </c>
      <c r="K61" s="304" t="s">
        <v>7</v>
      </c>
      <c r="L61" s="304"/>
      <c r="M61" s="2">
        <v>54</v>
      </c>
      <c r="N61" s="304" t="s">
        <v>7</v>
      </c>
      <c r="O61" s="305"/>
    </row>
    <row r="62" spans="1:15" ht="15" customHeight="1" x14ac:dyDescent="0.25">
      <c r="A62" s="19">
        <v>151</v>
      </c>
      <c r="B62" s="304" t="s">
        <v>8</v>
      </c>
      <c r="C62" s="304"/>
      <c r="D62" s="2">
        <v>151</v>
      </c>
      <c r="E62" s="304" t="s">
        <v>8</v>
      </c>
      <c r="F62" s="295"/>
      <c r="G62" s="10">
        <v>151</v>
      </c>
      <c r="H62" s="309" t="s">
        <v>8</v>
      </c>
      <c r="I62" s="310"/>
      <c r="J62" s="4">
        <v>151</v>
      </c>
      <c r="K62" s="304" t="s">
        <v>8</v>
      </c>
      <c r="L62" s="304"/>
      <c r="M62" s="2">
        <v>122</v>
      </c>
      <c r="N62" s="304" t="s">
        <v>8</v>
      </c>
      <c r="O62" s="305"/>
    </row>
    <row r="63" spans="1:15" ht="15" customHeight="1" x14ac:dyDescent="0.25">
      <c r="A63" s="19">
        <v>370</v>
      </c>
      <c r="B63" s="304" t="s">
        <v>9</v>
      </c>
      <c r="C63" s="304"/>
      <c r="D63" s="2">
        <v>370</v>
      </c>
      <c r="E63" s="304" t="s">
        <v>9</v>
      </c>
      <c r="F63" s="295"/>
      <c r="G63" s="10">
        <v>370</v>
      </c>
      <c r="H63" s="309" t="s">
        <v>9</v>
      </c>
      <c r="I63" s="310"/>
      <c r="J63" s="4">
        <v>370</v>
      </c>
      <c r="K63" s="304" t="s">
        <v>9</v>
      </c>
      <c r="L63" s="304"/>
      <c r="M63" s="2">
        <v>340</v>
      </c>
      <c r="N63" s="304" t="s">
        <v>9</v>
      </c>
      <c r="O63" s="305"/>
    </row>
    <row r="64" spans="1:15" ht="15" customHeight="1" thickBot="1" x14ac:dyDescent="0.3">
      <c r="A64" s="20">
        <v>654</v>
      </c>
      <c r="B64" s="316" t="s">
        <v>10</v>
      </c>
      <c r="C64" s="316"/>
      <c r="D64" s="21">
        <v>654</v>
      </c>
      <c r="E64" s="316" t="s">
        <v>10</v>
      </c>
      <c r="F64" s="332"/>
      <c r="G64" s="22">
        <v>654</v>
      </c>
      <c r="H64" s="353" t="s">
        <v>10</v>
      </c>
      <c r="I64" s="354"/>
      <c r="J64" s="23">
        <v>654</v>
      </c>
      <c r="K64" s="316" t="s">
        <v>10</v>
      </c>
      <c r="L64" s="316"/>
      <c r="M64" s="21">
        <v>570</v>
      </c>
      <c r="N64" s="316" t="s">
        <v>10</v>
      </c>
      <c r="O64" s="317"/>
    </row>
    <row r="65" spans="1:15" ht="15" customHeight="1" thickTop="1" thickBot="1" x14ac:dyDescent="0.3">
      <c r="A65" s="6"/>
      <c r="B65" s="5"/>
      <c r="C65" s="5"/>
      <c r="D65" s="6"/>
      <c r="E65" s="5"/>
      <c r="F65" s="5"/>
      <c r="G65" s="6"/>
      <c r="H65" s="5"/>
      <c r="I65" s="5"/>
      <c r="J65" s="6"/>
      <c r="K65" s="5"/>
      <c r="L65" s="5"/>
      <c r="M65" s="6"/>
      <c r="N65" s="5"/>
      <c r="O65" s="5"/>
    </row>
    <row r="66" spans="1:15" ht="17.25" thickTop="1" thickBot="1" x14ac:dyDescent="0.3">
      <c r="A66" s="1"/>
      <c r="B66" s="1"/>
      <c r="C66" s="1"/>
      <c r="D66" s="31"/>
      <c r="E66" s="32"/>
      <c r="F66" s="55" t="s">
        <v>90</v>
      </c>
      <c r="G66" s="33" t="s">
        <v>91</v>
      </c>
      <c r="H66" s="33" t="s">
        <v>92</v>
      </c>
      <c r="I66" s="34" t="s">
        <v>93</v>
      </c>
      <c r="J66" s="32"/>
      <c r="K66" s="32"/>
      <c r="L66" s="35"/>
      <c r="M66" s="1"/>
    </row>
    <row r="67" spans="1:15" ht="15.75" x14ac:dyDescent="0.25">
      <c r="D67" s="379" t="s">
        <v>44</v>
      </c>
      <c r="E67" s="380"/>
      <c r="F67" s="30" t="str">
        <f>IF(N36&lt;=A43,"3/4",IF(N36&lt;=A44,"1",IF(N36&lt;=A45,"1 1/4",IF(N36&lt;=A46,"1 1/2",IF(N36&lt;=A47,"2",IF(N36&lt;=A48,"2 1/2"))))))</f>
        <v>3/4</v>
      </c>
      <c r="G67" s="30" t="str">
        <f>IF(N36&lt;=A51,"3/4",IF(N36&lt;=A52,"1",IF(N36&lt;=A53,"1 1/4",IF(N36&lt;=A54,"1 1/2",IF(N36&lt;=A55,"2",IF(N36&lt;=A56,"2 1/2"))))))</f>
        <v>3/4</v>
      </c>
      <c r="H67" s="30" t="str">
        <f>IF(N36&lt;=A59,"3/4",IF(N36&lt;=A60,"1",IF(N36&lt;=A61,"1 1/4",IF(N36&lt;=A62,"1 1/2",IF(N36&lt;=A63,"2",IF(N36&lt;=A64,"2 1/2"))))))</f>
        <v>3/4</v>
      </c>
      <c r="I67" s="383" t="s">
        <v>11</v>
      </c>
      <c r="J67" s="383"/>
      <c r="K67" s="383"/>
      <c r="L67" s="384"/>
    </row>
    <row r="68" spans="1:15" ht="15.75" x14ac:dyDescent="0.25">
      <c r="A68" s="1"/>
      <c r="D68" s="379"/>
      <c r="E68" s="380"/>
      <c r="F68" s="28" t="str">
        <f>IF(N36&lt;=D43,"3/4",IF(N36&lt;=D44,"1",IF(N36&lt;=D45,"1 1/4",IF(N36&lt;=D46,"1 1/2",IF(N36&lt;=D47,"2",IF(#REF!&lt;=D48,"2 1/2"))))))</f>
        <v>3/4</v>
      </c>
      <c r="G68" s="28" t="str">
        <f>IF(N36&lt;=D51,"3/4",IF(N36&lt;=D52,"1",IF(N36&lt;=D53,"1 1/4",IF(N36&lt;=D54,"1 1/2",IF(N36&lt;=D55,"2",IF(N36&lt;=D56,"2 1/2"))))))</f>
        <v>3/4</v>
      </c>
      <c r="H68" s="28" t="str">
        <f>IF(N36&lt;=D59,"3/4",IF(N36&lt;=D60,"1",IF(N36&lt;=D61,"1 1/4",IF(N36&lt;=D62,"1 1/2",IF(N36&lt;=D63,"2",IF(N36&lt;=D64,"2 1/2"))))))</f>
        <v>3/4</v>
      </c>
      <c r="I68" s="296" t="s">
        <v>12</v>
      </c>
      <c r="J68" s="296"/>
      <c r="K68" s="296"/>
      <c r="L68" s="319"/>
    </row>
    <row r="69" spans="1:15" ht="15.75" x14ac:dyDescent="0.25">
      <c r="A69" s="1"/>
      <c r="D69" s="379"/>
      <c r="E69" s="380"/>
      <c r="F69" s="56" t="str">
        <f>IF(N36&lt;=G43,"3/4",IF(N36&lt;=G44,"1",IF(N36&lt;=G45,"1 1/4",IF(N36&lt;=G46,"1 1/2",IF(N36&lt;=G47,"2",IF(N36&lt;=G48,"2 1/2"))))))</f>
        <v>3/4</v>
      </c>
      <c r="G69" s="28" t="str">
        <f>IF(N36&lt;=G51,"3/4",IF(N36&lt;=G52,"1",IF(N36&lt;=G53,"1 1/4",IF(N36&lt;=G54,"1 1/2",IF(N36&lt;=G55,"2",IF(N36&lt;=G56,"2 1/2"))))))</f>
        <v>3/4</v>
      </c>
      <c r="H69" s="28" t="str">
        <f>IF(N36&lt;=G59,"3/4",IF(N36&lt;=G60,"1",IF(N36&lt;=G61,"1 1/4",IF(N36&lt;=G62,"1 1/2",IF(N36&lt;=G63,"2",IF(N36&lt;=G64,"2 1/2"))))))</f>
        <v>3/4</v>
      </c>
      <c r="I69" s="321" t="s">
        <v>13</v>
      </c>
      <c r="J69" s="321"/>
      <c r="K69" s="321"/>
      <c r="L69" s="322"/>
    </row>
    <row r="70" spans="1:15" ht="15.75" x14ac:dyDescent="0.25">
      <c r="A70" s="1"/>
      <c r="D70" s="379"/>
      <c r="E70" s="380"/>
      <c r="F70" s="28" t="str">
        <f>IF(N36&lt;=J43,"3/4",IF(N36&lt;=J44,"1",IF(N36&lt;=J45,"1 1/4",IF(N36&lt;=J46,"1 1/2",IF(N36&lt;=J47,"2",IF(N36&lt;=J48,"2 1/2"))))))</f>
        <v>3/4</v>
      </c>
      <c r="G70" s="28" t="str">
        <f>IF(N36&lt;=J51,"3/4",IF(N36&lt;=J52,"1",IF(N36&lt;=J53,"1 1/4",IF(N36&lt;=J54,"1 1/2",IF(N36&lt;=J55,"2",IF(N36&lt;=J56,"2 1/2"))))))</f>
        <v>3/4</v>
      </c>
      <c r="H70" s="28" t="str">
        <f>IF(N36&lt;=J59,"3/4",IF(N36&lt;=J60,"1",IF(N36&lt;=J61,"1 1/4",IF(N36&lt;=J62,"1 1/2",IF(N36&lt;=J63,"2",IF(N36&lt;=J64,"2 1/2"))))))</f>
        <v>3/4</v>
      </c>
      <c r="I70" s="296" t="s">
        <v>16</v>
      </c>
      <c r="J70" s="296"/>
      <c r="K70" s="296"/>
      <c r="L70" s="319"/>
    </row>
    <row r="71" spans="1:15" ht="16.5" thickBot="1" x14ac:dyDescent="0.3">
      <c r="A71" s="1"/>
      <c r="D71" s="381"/>
      <c r="E71" s="382"/>
      <c r="F71" s="29" t="str">
        <f>IF(N36&lt;=M43,"3/4",IF(N36&lt;=M44,"1",IF(N36&lt;=M45,"1 1/4",IF(N36&lt;=M46,"1 1/2",IF(N36&lt;=M47,"2",IF(N36&lt;=M48,"2 1/2"))))))</f>
        <v>3/4</v>
      </c>
      <c r="G71" s="29" t="str">
        <f>IF(N36&lt;=M51,"3/4",IF(N36&lt;=M52,"1",IF(N36&lt;=M53,"1 1/4",IF(N36&lt;=M54,"1 1/2",IF(N36&lt;=M55,"2",IF(N36&lt;=M56,"2 1/2"))))))</f>
        <v>3/4</v>
      </c>
      <c r="H71" s="29" t="str">
        <f>IF(N36&lt;=M59,"3/4",IF(N36&lt;=M60,"1",IF(N36&lt;=M61,"1 1/4",IF(N36&lt;=M62,"1 1/2",IF(N36&lt;=M63,"2",IF(N36&lt;=M64,"2 1/2"))))))</f>
        <v>3/4</v>
      </c>
      <c r="I71" s="327" t="s">
        <v>89</v>
      </c>
      <c r="J71" s="327"/>
      <c r="K71" s="327"/>
      <c r="L71" s="328"/>
    </row>
    <row r="72" spans="1:15" ht="15" customHeight="1" thickTop="1" x14ac:dyDescent="0.25">
      <c r="M72" s="1"/>
    </row>
    <row r="73" spans="1:15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5" ht="15.75" x14ac:dyDescent="0.25">
      <c r="A74" s="219" t="s">
        <v>375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5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5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5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5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5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5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</sheetData>
  <mergeCells count="290">
    <mergeCell ref="A38:O38"/>
    <mergeCell ref="A5:O5"/>
    <mergeCell ref="K36:M36"/>
    <mergeCell ref="L35:M35"/>
    <mergeCell ref="L33:M33"/>
    <mergeCell ref="I33:K33"/>
    <mergeCell ref="L23:M23"/>
    <mergeCell ref="L26:M26"/>
    <mergeCell ref="I29:K29"/>
    <mergeCell ref="L29:M29"/>
    <mergeCell ref="L34:M34"/>
    <mergeCell ref="N34:O34"/>
    <mergeCell ref="A33:B33"/>
    <mergeCell ref="C33:E33"/>
    <mergeCell ref="F33:H33"/>
    <mergeCell ref="N35:O35"/>
    <mergeCell ref="A35:B35"/>
    <mergeCell ref="C35:E35"/>
    <mergeCell ref="F35:H35"/>
    <mergeCell ref="I35:K35"/>
    <mergeCell ref="N9:O9"/>
    <mergeCell ref="A10:B10"/>
    <mergeCell ref="C10:E10"/>
    <mergeCell ref="I10:K10"/>
    <mergeCell ref="A4:O4"/>
    <mergeCell ref="A6:O6"/>
    <mergeCell ref="A7:B8"/>
    <mergeCell ref="C7:E8"/>
    <mergeCell ref="L7:M7"/>
    <mergeCell ref="N7:O7"/>
    <mergeCell ref="L8:M8"/>
    <mergeCell ref="N8:O8"/>
    <mergeCell ref="I7:K8"/>
    <mergeCell ref="F7:H8"/>
    <mergeCell ref="L10:M10"/>
    <mergeCell ref="N10:O10"/>
    <mergeCell ref="A9:B9"/>
    <mergeCell ref="C9:E9"/>
    <mergeCell ref="I9:K9"/>
    <mergeCell ref="L9:M9"/>
    <mergeCell ref="N11:O11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F9:H9"/>
    <mergeCell ref="F10:H10"/>
    <mergeCell ref="F11:H11"/>
    <mergeCell ref="F12:H12"/>
    <mergeCell ref="N13:O13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F13:H13"/>
    <mergeCell ref="F14:H14"/>
    <mergeCell ref="N15:O15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F15:H15"/>
    <mergeCell ref="F16:H16"/>
    <mergeCell ref="N17:O17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F17:H17"/>
    <mergeCell ref="F18:H18"/>
    <mergeCell ref="N19:O19"/>
    <mergeCell ref="A20:B20"/>
    <mergeCell ref="C20:E20"/>
    <mergeCell ref="I20:K20"/>
    <mergeCell ref="L20:M20"/>
    <mergeCell ref="N20:O20"/>
    <mergeCell ref="A19:B19"/>
    <mergeCell ref="C19:E19"/>
    <mergeCell ref="I19:K19"/>
    <mergeCell ref="L19:M19"/>
    <mergeCell ref="F19:H19"/>
    <mergeCell ref="F20:H20"/>
    <mergeCell ref="N21:O21"/>
    <mergeCell ref="A22:B22"/>
    <mergeCell ref="C22:E22"/>
    <mergeCell ref="I22:K22"/>
    <mergeCell ref="L22:M22"/>
    <mergeCell ref="N22:O22"/>
    <mergeCell ref="A21:B21"/>
    <mergeCell ref="C21:E21"/>
    <mergeCell ref="I21:K21"/>
    <mergeCell ref="L21:M21"/>
    <mergeCell ref="F21:H21"/>
    <mergeCell ref="F22:H22"/>
    <mergeCell ref="N23:O23"/>
    <mergeCell ref="F23:H23"/>
    <mergeCell ref="A25:B25"/>
    <mergeCell ref="I25:K25"/>
    <mergeCell ref="L25:M25"/>
    <mergeCell ref="N25:O25"/>
    <mergeCell ref="F25:H25"/>
    <mergeCell ref="A23:B23"/>
    <mergeCell ref="I23:K23"/>
    <mergeCell ref="A24:B24"/>
    <mergeCell ref="F24:H24"/>
    <mergeCell ref="I24:K24"/>
    <mergeCell ref="L24:M24"/>
    <mergeCell ref="N24:O24"/>
    <mergeCell ref="A26:B26"/>
    <mergeCell ref="I26:K26"/>
    <mergeCell ref="N26:O26"/>
    <mergeCell ref="N27:O27"/>
    <mergeCell ref="A28:B28"/>
    <mergeCell ref="I28:K28"/>
    <mergeCell ref="L28:M28"/>
    <mergeCell ref="N28:O28"/>
    <mergeCell ref="F27:H27"/>
    <mergeCell ref="F28:H28"/>
    <mergeCell ref="F26:H26"/>
    <mergeCell ref="I31:K31"/>
    <mergeCell ref="L31:M31"/>
    <mergeCell ref="N30:O30"/>
    <mergeCell ref="F29:H29"/>
    <mergeCell ref="A27:B27"/>
    <mergeCell ref="I27:K27"/>
    <mergeCell ref="L27:M27"/>
    <mergeCell ref="A30:B30"/>
    <mergeCell ref="C30:E30"/>
    <mergeCell ref="I30:K30"/>
    <mergeCell ref="L30:M30"/>
    <mergeCell ref="A29:B29"/>
    <mergeCell ref="F30:H30"/>
    <mergeCell ref="A41:O41"/>
    <mergeCell ref="A40:C40"/>
    <mergeCell ref="D40:F40"/>
    <mergeCell ref="G40:I40"/>
    <mergeCell ref="J40:L40"/>
    <mergeCell ref="M40:O40"/>
    <mergeCell ref="N32:O32"/>
    <mergeCell ref="N36:O36"/>
    <mergeCell ref="D1:L2"/>
    <mergeCell ref="F32:H32"/>
    <mergeCell ref="N33:O33"/>
    <mergeCell ref="A34:B34"/>
    <mergeCell ref="C34:E34"/>
    <mergeCell ref="F34:H34"/>
    <mergeCell ref="I34:K34"/>
    <mergeCell ref="F31:H31"/>
    <mergeCell ref="N29:O29"/>
    <mergeCell ref="N31:O31"/>
    <mergeCell ref="A32:B32"/>
    <mergeCell ref="C32:E32"/>
    <mergeCell ref="I32:K32"/>
    <mergeCell ref="L32:M32"/>
    <mergeCell ref="A31:B31"/>
    <mergeCell ref="C31:E31"/>
    <mergeCell ref="B46:C46"/>
    <mergeCell ref="E46:F46"/>
    <mergeCell ref="B42:C42"/>
    <mergeCell ref="E42:F42"/>
    <mergeCell ref="H42:I42"/>
    <mergeCell ref="K42:L42"/>
    <mergeCell ref="N42:O42"/>
    <mergeCell ref="B43:C43"/>
    <mergeCell ref="E43:F43"/>
    <mergeCell ref="H43:I43"/>
    <mergeCell ref="K43:L43"/>
    <mergeCell ref="N43:O43"/>
    <mergeCell ref="B44:C44"/>
    <mergeCell ref="E44:F44"/>
    <mergeCell ref="H44:I44"/>
    <mergeCell ref="K44:L44"/>
    <mergeCell ref="N44:O44"/>
    <mergeCell ref="B45:C45"/>
    <mergeCell ref="E45:F45"/>
    <mergeCell ref="H45:I45"/>
    <mergeCell ref="K45:L45"/>
    <mergeCell ref="N45:O45"/>
    <mergeCell ref="B50:C50"/>
    <mergeCell ref="E50:F50"/>
    <mergeCell ref="H50:I50"/>
    <mergeCell ref="K50:L50"/>
    <mergeCell ref="N50:O50"/>
    <mergeCell ref="B48:C48"/>
    <mergeCell ref="E48:F48"/>
    <mergeCell ref="H48:I48"/>
    <mergeCell ref="K48:L48"/>
    <mergeCell ref="A49:O49"/>
    <mergeCell ref="N48:O48"/>
    <mergeCell ref="K51:L51"/>
    <mergeCell ref="N51:O51"/>
    <mergeCell ref="N52:O52"/>
    <mergeCell ref="B53:C53"/>
    <mergeCell ref="E53:F53"/>
    <mergeCell ref="H53:I53"/>
    <mergeCell ref="K53:L53"/>
    <mergeCell ref="N53:O53"/>
    <mergeCell ref="K55:L55"/>
    <mergeCell ref="B60:C60"/>
    <mergeCell ref="E60:F60"/>
    <mergeCell ref="H60:I60"/>
    <mergeCell ref="K60:L60"/>
    <mergeCell ref="N60:O60"/>
    <mergeCell ref="B58:C58"/>
    <mergeCell ref="E58:F58"/>
    <mergeCell ref="H58:I58"/>
    <mergeCell ref="H46:I46"/>
    <mergeCell ref="K46:L46"/>
    <mergeCell ref="N46:O46"/>
    <mergeCell ref="B47:C47"/>
    <mergeCell ref="E47:F47"/>
    <mergeCell ref="H47:I47"/>
    <mergeCell ref="K47:L47"/>
    <mergeCell ref="N47:O47"/>
    <mergeCell ref="N55:O55"/>
    <mergeCell ref="B54:C54"/>
    <mergeCell ref="E54:F54"/>
    <mergeCell ref="H54:I54"/>
    <mergeCell ref="K54:L54"/>
    <mergeCell ref="B51:C51"/>
    <mergeCell ref="E51:F51"/>
    <mergeCell ref="H51:I51"/>
    <mergeCell ref="N58:O58"/>
    <mergeCell ref="A57:O57"/>
    <mergeCell ref="B56:C56"/>
    <mergeCell ref="E56:F56"/>
    <mergeCell ref="H56:I56"/>
    <mergeCell ref="K56:L56"/>
    <mergeCell ref="N56:O56"/>
    <mergeCell ref="I71:L71"/>
    <mergeCell ref="B52:C52"/>
    <mergeCell ref="E52:F52"/>
    <mergeCell ref="H52:I52"/>
    <mergeCell ref="K52:L52"/>
    <mergeCell ref="N54:O54"/>
    <mergeCell ref="B55:C55"/>
    <mergeCell ref="E55:F55"/>
    <mergeCell ref="H55:I55"/>
    <mergeCell ref="H62:I62"/>
    <mergeCell ref="K62:L62"/>
    <mergeCell ref="N62:O62"/>
    <mergeCell ref="B59:C59"/>
    <mergeCell ref="E59:F59"/>
    <mergeCell ref="H59:I59"/>
    <mergeCell ref="K59:L59"/>
    <mergeCell ref="N59:O59"/>
    <mergeCell ref="A39:O39"/>
    <mergeCell ref="D67:E71"/>
    <mergeCell ref="I67:L67"/>
    <mergeCell ref="I68:L68"/>
    <mergeCell ref="I69:L69"/>
    <mergeCell ref="I70:L70"/>
    <mergeCell ref="B63:C63"/>
    <mergeCell ref="E63:F63"/>
    <mergeCell ref="H63:I63"/>
    <mergeCell ref="K63:L63"/>
    <mergeCell ref="N63:O63"/>
    <mergeCell ref="B64:C64"/>
    <mergeCell ref="E64:F64"/>
    <mergeCell ref="H64:I64"/>
    <mergeCell ref="K64:L64"/>
    <mergeCell ref="N64:O64"/>
    <mergeCell ref="B61:C61"/>
    <mergeCell ref="E61:F61"/>
    <mergeCell ref="H61:I61"/>
    <mergeCell ref="K61:L61"/>
    <mergeCell ref="N61:O61"/>
    <mergeCell ref="B62:C62"/>
    <mergeCell ref="E62:F62"/>
    <mergeCell ref="K58:L58"/>
  </mergeCells>
  <phoneticPr fontId="2" type="noConversion"/>
  <printOptions horizontalCentered="1"/>
  <pageMargins left="0.25" right="0.25" top="0.25" bottom="0.25" header="0" footer="0"/>
  <pageSetup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59"/>
  <sheetViews>
    <sheetView zoomScaleNormal="100" workbookViewId="0">
      <selection activeCell="A8" sqref="A8:B8"/>
    </sheetView>
  </sheetViews>
  <sheetFormatPr defaultRowHeight="15.75" customHeight="1" x14ac:dyDescent="0.2"/>
  <cols>
    <col min="1" max="14" width="8.7109375" customWidth="1"/>
    <col min="15" max="15" width="8.7109375" style="13" customWidth="1"/>
    <col min="16" max="31" width="8.7109375" customWidth="1"/>
  </cols>
  <sheetData>
    <row r="1" spans="1:15" ht="17.25" thickTop="1" thickBot="1" x14ac:dyDescent="0.3">
      <c r="D1" s="298" t="s">
        <v>217</v>
      </c>
      <c r="E1" s="298"/>
      <c r="F1" s="298"/>
      <c r="G1" s="298"/>
      <c r="H1" s="298"/>
      <c r="I1" s="298"/>
      <c r="J1" s="298"/>
      <c r="K1" s="298"/>
      <c r="L1" s="298"/>
      <c r="M1" s="1"/>
      <c r="O1"/>
    </row>
    <row r="2" spans="1:15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  <c r="O2"/>
    </row>
    <row r="3" spans="1:15" ht="17.25" thickTop="1" thickBot="1" x14ac:dyDescent="0.3">
      <c r="M3" s="1"/>
      <c r="O3"/>
    </row>
    <row r="4" spans="1:15" ht="30" customHeight="1" thickTop="1" x14ac:dyDescent="0.2">
      <c r="A4" s="371" t="s">
        <v>285</v>
      </c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3"/>
    </row>
    <row r="5" spans="1:15" ht="15.75" customHeight="1" x14ac:dyDescent="0.2">
      <c r="A5" s="374" t="s">
        <v>261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6"/>
    </row>
    <row r="6" spans="1:15" ht="15.75" customHeight="1" thickBot="1" x14ac:dyDescent="0.25">
      <c r="A6" s="329"/>
      <c r="B6" s="33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1"/>
    </row>
    <row r="7" spans="1:15" ht="15.75" customHeight="1" x14ac:dyDescent="0.25">
      <c r="A7" s="377" t="s">
        <v>39</v>
      </c>
      <c r="B7" s="286"/>
      <c r="C7" s="378" t="s">
        <v>38</v>
      </c>
      <c r="D7" s="378"/>
      <c r="E7" s="378"/>
      <c r="F7" s="378"/>
      <c r="G7" s="378"/>
      <c r="H7" s="378" t="s">
        <v>37</v>
      </c>
      <c r="I7" s="378"/>
      <c r="J7" s="62"/>
      <c r="K7" s="378" t="s">
        <v>112</v>
      </c>
      <c r="L7" s="378"/>
      <c r="M7" s="378" t="s">
        <v>113</v>
      </c>
      <c r="N7" s="378"/>
      <c r="O7" s="63" t="s">
        <v>32</v>
      </c>
    </row>
    <row r="8" spans="1:15" ht="15.75" customHeight="1" x14ac:dyDescent="0.25">
      <c r="A8" s="358">
        <v>0</v>
      </c>
      <c r="B8" s="359"/>
      <c r="C8" s="304" t="s">
        <v>115</v>
      </c>
      <c r="D8" s="304"/>
      <c r="E8" s="304"/>
      <c r="F8" s="304"/>
      <c r="G8" s="304"/>
      <c r="H8" s="360">
        <v>2</v>
      </c>
      <c r="I8" s="360"/>
      <c r="J8" s="3" t="s">
        <v>0</v>
      </c>
      <c r="K8" s="360" t="s">
        <v>73</v>
      </c>
      <c r="L8" s="360"/>
      <c r="M8" s="360" t="s">
        <v>73</v>
      </c>
      <c r="N8" s="360"/>
      <c r="O8" s="59">
        <f>H8*A8</f>
        <v>0</v>
      </c>
    </row>
    <row r="9" spans="1:15" ht="15.75" customHeight="1" x14ac:dyDescent="0.25">
      <c r="A9" s="358">
        <v>0</v>
      </c>
      <c r="B9" s="359"/>
      <c r="C9" s="304" t="s">
        <v>114</v>
      </c>
      <c r="D9" s="304"/>
      <c r="E9" s="304"/>
      <c r="F9" s="304"/>
      <c r="G9" s="304"/>
      <c r="H9" s="360">
        <v>3</v>
      </c>
      <c r="I9" s="360"/>
      <c r="J9" s="3" t="s">
        <v>0</v>
      </c>
      <c r="K9" s="360" t="s">
        <v>72</v>
      </c>
      <c r="L9" s="360"/>
      <c r="M9" s="360" t="s">
        <v>72</v>
      </c>
      <c r="N9" s="360"/>
      <c r="O9" s="59">
        <f t="shared" ref="O9:O19" si="0">H9*A9</f>
        <v>0</v>
      </c>
    </row>
    <row r="10" spans="1:15" ht="15.75" customHeight="1" x14ac:dyDescent="0.25">
      <c r="A10" s="358">
        <v>0</v>
      </c>
      <c r="B10" s="359"/>
      <c r="C10" s="304" t="s">
        <v>42</v>
      </c>
      <c r="D10" s="304"/>
      <c r="E10" s="304"/>
      <c r="F10" s="304"/>
      <c r="G10" s="304"/>
      <c r="H10" s="360">
        <v>2</v>
      </c>
      <c r="I10" s="360"/>
      <c r="J10" s="3" t="s">
        <v>0</v>
      </c>
      <c r="K10" s="360" t="s">
        <v>73</v>
      </c>
      <c r="L10" s="360"/>
      <c r="M10" s="360" t="s">
        <v>72</v>
      </c>
      <c r="N10" s="360"/>
      <c r="O10" s="59">
        <f t="shared" si="0"/>
        <v>0</v>
      </c>
    </row>
    <row r="11" spans="1:15" ht="15.75" customHeight="1" x14ac:dyDescent="0.25">
      <c r="A11" s="358">
        <v>0</v>
      </c>
      <c r="B11" s="359"/>
      <c r="C11" s="304" t="s">
        <v>117</v>
      </c>
      <c r="D11" s="304"/>
      <c r="E11" s="304"/>
      <c r="F11" s="304"/>
      <c r="G11" s="304"/>
      <c r="H11" s="360">
        <v>0.5</v>
      </c>
      <c r="I11" s="360"/>
      <c r="J11" s="3" t="s">
        <v>0</v>
      </c>
      <c r="K11" s="360" t="s">
        <v>116</v>
      </c>
      <c r="L11" s="360"/>
      <c r="M11" s="360" t="s">
        <v>116</v>
      </c>
      <c r="N11" s="360"/>
      <c r="O11" s="59">
        <f t="shared" si="0"/>
        <v>0</v>
      </c>
    </row>
    <row r="12" spans="1:15" ht="15.75" customHeight="1" x14ac:dyDescent="0.25">
      <c r="A12" s="358">
        <v>0</v>
      </c>
      <c r="B12" s="359"/>
      <c r="C12" s="304" t="s">
        <v>118</v>
      </c>
      <c r="D12" s="304"/>
      <c r="E12" s="304"/>
      <c r="F12" s="304"/>
      <c r="G12" s="304"/>
      <c r="H12" s="360">
        <v>1</v>
      </c>
      <c r="I12" s="360"/>
      <c r="J12" s="3" t="s">
        <v>0</v>
      </c>
      <c r="K12" s="360" t="s">
        <v>116</v>
      </c>
      <c r="L12" s="360"/>
      <c r="M12" s="360" t="s">
        <v>116</v>
      </c>
      <c r="N12" s="360"/>
      <c r="O12" s="59">
        <f t="shared" si="0"/>
        <v>0</v>
      </c>
    </row>
    <row r="13" spans="1:15" ht="15.75" customHeight="1" x14ac:dyDescent="0.25">
      <c r="A13" s="358">
        <v>0</v>
      </c>
      <c r="B13" s="359"/>
      <c r="C13" s="304" t="s">
        <v>31</v>
      </c>
      <c r="D13" s="304"/>
      <c r="E13" s="304"/>
      <c r="F13" s="304"/>
      <c r="G13" s="304"/>
      <c r="H13" s="360">
        <v>2</v>
      </c>
      <c r="I13" s="360"/>
      <c r="J13" s="3" t="s">
        <v>0</v>
      </c>
      <c r="K13" s="360" t="s">
        <v>72</v>
      </c>
      <c r="L13" s="360"/>
      <c r="M13" s="360" t="s">
        <v>72</v>
      </c>
      <c r="N13" s="360"/>
      <c r="O13" s="59">
        <f t="shared" si="0"/>
        <v>0</v>
      </c>
    </row>
    <row r="14" spans="1:15" ht="15.75" customHeight="1" x14ac:dyDescent="0.25">
      <c r="A14" s="358">
        <v>0</v>
      </c>
      <c r="B14" s="359"/>
      <c r="C14" s="304" t="s">
        <v>46</v>
      </c>
      <c r="D14" s="304"/>
      <c r="E14" s="304"/>
      <c r="F14" s="304"/>
      <c r="G14" s="304"/>
      <c r="H14" s="360">
        <v>2</v>
      </c>
      <c r="I14" s="360"/>
      <c r="J14" s="3" t="s">
        <v>0</v>
      </c>
      <c r="K14" s="360" t="s">
        <v>72</v>
      </c>
      <c r="L14" s="360"/>
      <c r="M14" s="360" t="s">
        <v>72</v>
      </c>
      <c r="N14" s="360"/>
      <c r="O14" s="59">
        <f t="shared" si="0"/>
        <v>0</v>
      </c>
    </row>
    <row r="15" spans="1:15" ht="15.75" customHeight="1" x14ac:dyDescent="0.25">
      <c r="A15" s="358">
        <v>0</v>
      </c>
      <c r="B15" s="359"/>
      <c r="C15" s="295" t="s">
        <v>74</v>
      </c>
      <c r="D15" s="296"/>
      <c r="E15" s="296"/>
      <c r="F15" s="296"/>
      <c r="G15" s="297"/>
      <c r="H15" s="360">
        <v>2</v>
      </c>
      <c r="I15" s="360"/>
      <c r="J15" s="3" t="s">
        <v>0</v>
      </c>
      <c r="K15" s="360" t="s">
        <v>72</v>
      </c>
      <c r="L15" s="360"/>
      <c r="M15" s="360" t="s">
        <v>72</v>
      </c>
      <c r="N15" s="360"/>
      <c r="O15" s="59">
        <f t="shared" si="0"/>
        <v>0</v>
      </c>
    </row>
    <row r="16" spans="1:15" ht="15.75" customHeight="1" x14ac:dyDescent="0.25">
      <c r="A16" s="358">
        <v>0</v>
      </c>
      <c r="B16" s="359"/>
      <c r="C16" s="304" t="s">
        <v>48</v>
      </c>
      <c r="D16" s="304"/>
      <c r="E16" s="304"/>
      <c r="F16" s="304"/>
      <c r="G16" s="304"/>
      <c r="H16" s="360">
        <v>1</v>
      </c>
      <c r="I16" s="360"/>
      <c r="J16" s="3" t="s">
        <v>0</v>
      </c>
      <c r="K16" s="360" t="s">
        <v>116</v>
      </c>
      <c r="L16" s="360"/>
      <c r="M16" s="360" t="s">
        <v>73</v>
      </c>
      <c r="N16" s="360"/>
      <c r="O16" s="59">
        <f t="shared" si="0"/>
        <v>0</v>
      </c>
    </row>
    <row r="17" spans="1:15" ht="15.75" customHeight="1" x14ac:dyDescent="0.25">
      <c r="A17" s="358">
        <v>0</v>
      </c>
      <c r="B17" s="359"/>
      <c r="C17" s="304" t="s">
        <v>51</v>
      </c>
      <c r="D17" s="304"/>
      <c r="E17" s="304"/>
      <c r="F17" s="304"/>
      <c r="G17" s="304"/>
      <c r="H17" s="360"/>
      <c r="I17" s="360"/>
      <c r="J17" s="3" t="s">
        <v>0</v>
      </c>
      <c r="K17" s="360"/>
      <c r="L17" s="360"/>
      <c r="M17" s="360"/>
      <c r="N17" s="360"/>
      <c r="O17" s="59">
        <f t="shared" si="0"/>
        <v>0</v>
      </c>
    </row>
    <row r="18" spans="1:15" ht="15.75" customHeight="1" x14ac:dyDescent="0.25">
      <c r="A18" s="358">
        <v>0</v>
      </c>
      <c r="B18" s="359"/>
      <c r="C18" s="304" t="s">
        <v>51</v>
      </c>
      <c r="D18" s="304"/>
      <c r="E18" s="304"/>
      <c r="F18" s="304"/>
      <c r="G18" s="304"/>
      <c r="H18" s="360"/>
      <c r="I18" s="360"/>
      <c r="J18" s="3" t="s">
        <v>0</v>
      </c>
      <c r="K18" s="360"/>
      <c r="L18" s="360"/>
      <c r="M18" s="360"/>
      <c r="N18" s="360"/>
      <c r="O18" s="59">
        <f t="shared" si="0"/>
        <v>0</v>
      </c>
    </row>
    <row r="19" spans="1:15" ht="15.75" customHeight="1" x14ac:dyDescent="0.25">
      <c r="A19" s="358">
        <v>0</v>
      </c>
      <c r="B19" s="359"/>
      <c r="C19" s="304" t="s">
        <v>51</v>
      </c>
      <c r="D19" s="304"/>
      <c r="E19" s="304"/>
      <c r="F19" s="304"/>
      <c r="G19" s="304"/>
      <c r="H19" s="360"/>
      <c r="I19" s="360"/>
      <c r="J19" s="3" t="s">
        <v>0</v>
      </c>
      <c r="K19" s="360"/>
      <c r="L19" s="360"/>
      <c r="M19" s="360"/>
      <c r="N19" s="360"/>
      <c r="O19" s="59">
        <f t="shared" si="0"/>
        <v>0</v>
      </c>
    </row>
    <row r="20" spans="1:15" ht="15.75" customHeight="1" x14ac:dyDescent="0.25">
      <c r="A20" s="318" t="s">
        <v>119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319"/>
    </row>
    <row r="21" spans="1:15" ht="15.75" customHeight="1" x14ac:dyDescent="0.25">
      <c r="A21" s="358">
        <v>0</v>
      </c>
      <c r="B21" s="359"/>
      <c r="C21" s="304" t="s">
        <v>120</v>
      </c>
      <c r="D21" s="304"/>
      <c r="E21" s="304"/>
      <c r="F21" s="304"/>
      <c r="G21" s="304"/>
      <c r="H21" s="360">
        <v>2</v>
      </c>
      <c r="I21" s="360"/>
      <c r="J21" s="3" t="s">
        <v>0</v>
      </c>
      <c r="K21" s="360" t="s">
        <v>73</v>
      </c>
      <c r="L21" s="360"/>
      <c r="M21" s="360" t="s">
        <v>72</v>
      </c>
      <c r="N21" s="360"/>
      <c r="O21" s="59">
        <f t="shared" ref="O21:O26" si="1">H21*A21</f>
        <v>0</v>
      </c>
    </row>
    <row r="22" spans="1:15" ht="15.75" customHeight="1" x14ac:dyDescent="0.25">
      <c r="A22" s="358">
        <v>0</v>
      </c>
      <c r="B22" s="359"/>
      <c r="C22" s="304" t="s">
        <v>123</v>
      </c>
      <c r="D22" s="304"/>
      <c r="E22" s="304"/>
      <c r="F22" s="304"/>
      <c r="G22" s="304"/>
      <c r="H22" s="360">
        <v>6</v>
      </c>
      <c r="I22" s="360"/>
      <c r="J22" s="3" t="s">
        <v>0</v>
      </c>
      <c r="K22" s="360" t="s">
        <v>75</v>
      </c>
      <c r="L22" s="360"/>
      <c r="M22" s="360" t="s">
        <v>75</v>
      </c>
      <c r="N22" s="360"/>
      <c r="O22" s="59">
        <f t="shared" si="1"/>
        <v>0</v>
      </c>
    </row>
    <row r="23" spans="1:15" ht="15.75" customHeight="1" x14ac:dyDescent="0.25">
      <c r="A23" s="358">
        <v>0</v>
      </c>
      <c r="B23" s="359"/>
      <c r="C23" s="304" t="s">
        <v>121</v>
      </c>
      <c r="D23" s="304"/>
      <c r="E23" s="304"/>
      <c r="F23" s="304"/>
      <c r="G23" s="304"/>
      <c r="H23" s="360">
        <v>3</v>
      </c>
      <c r="I23" s="360"/>
      <c r="J23" s="3" t="s">
        <v>0</v>
      </c>
      <c r="K23" s="360" t="s">
        <v>73</v>
      </c>
      <c r="L23" s="360"/>
      <c r="M23" s="360" t="s">
        <v>72</v>
      </c>
      <c r="N23" s="360"/>
      <c r="O23" s="59">
        <f t="shared" si="1"/>
        <v>0</v>
      </c>
    </row>
    <row r="24" spans="1:15" ht="15.75" customHeight="1" x14ac:dyDescent="0.25">
      <c r="A24" s="358">
        <v>0</v>
      </c>
      <c r="B24" s="359"/>
      <c r="C24" s="304" t="s">
        <v>124</v>
      </c>
      <c r="D24" s="304"/>
      <c r="E24" s="304"/>
      <c r="F24" s="304"/>
      <c r="G24" s="304"/>
      <c r="H24" s="360">
        <v>1</v>
      </c>
      <c r="I24" s="360"/>
      <c r="J24" s="3" t="s">
        <v>0</v>
      </c>
      <c r="K24" s="360" t="s">
        <v>73</v>
      </c>
      <c r="L24" s="360"/>
      <c r="M24" s="360" t="s">
        <v>73</v>
      </c>
      <c r="N24" s="360"/>
      <c r="O24" s="59">
        <f t="shared" si="1"/>
        <v>0</v>
      </c>
    </row>
    <row r="25" spans="1:15" ht="15.75" customHeight="1" x14ac:dyDescent="0.25">
      <c r="A25" s="358">
        <v>0</v>
      </c>
      <c r="B25" s="359"/>
      <c r="C25" s="304" t="s">
        <v>125</v>
      </c>
      <c r="D25" s="304"/>
      <c r="E25" s="304"/>
      <c r="F25" s="304"/>
      <c r="G25" s="304"/>
      <c r="H25" s="360">
        <v>3</v>
      </c>
      <c r="I25" s="360"/>
      <c r="J25" s="3" t="s">
        <v>0</v>
      </c>
      <c r="K25" s="360" t="s">
        <v>72</v>
      </c>
      <c r="L25" s="360"/>
      <c r="M25" s="360" t="s">
        <v>72</v>
      </c>
      <c r="N25" s="360"/>
      <c r="O25" s="59">
        <f t="shared" si="1"/>
        <v>0</v>
      </c>
    </row>
    <row r="26" spans="1:15" ht="15.75" customHeight="1" x14ac:dyDescent="0.25">
      <c r="A26" s="358">
        <v>0</v>
      </c>
      <c r="B26" s="359"/>
      <c r="C26" s="304" t="s">
        <v>126</v>
      </c>
      <c r="D26" s="304"/>
      <c r="E26" s="304"/>
      <c r="F26" s="304"/>
      <c r="G26" s="304"/>
      <c r="H26" s="360">
        <v>3</v>
      </c>
      <c r="I26" s="360"/>
      <c r="J26" s="3" t="s">
        <v>0</v>
      </c>
      <c r="K26" s="360" t="s">
        <v>75</v>
      </c>
      <c r="L26" s="360"/>
      <c r="M26" s="360" t="s">
        <v>75</v>
      </c>
      <c r="N26" s="360"/>
      <c r="O26" s="59">
        <f t="shared" si="1"/>
        <v>0</v>
      </c>
    </row>
    <row r="27" spans="1:15" ht="15.75" customHeight="1" x14ac:dyDescent="0.25">
      <c r="A27" s="318" t="s">
        <v>122</v>
      </c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319"/>
    </row>
    <row r="28" spans="1:15" ht="15.75" customHeight="1" x14ac:dyDescent="0.25">
      <c r="A28" s="358">
        <v>0</v>
      </c>
      <c r="B28" s="359"/>
      <c r="C28" s="304" t="s">
        <v>128</v>
      </c>
      <c r="D28" s="304"/>
      <c r="E28" s="304"/>
      <c r="F28" s="304"/>
      <c r="G28" s="304"/>
      <c r="H28" s="360">
        <v>2</v>
      </c>
      <c r="I28" s="360"/>
      <c r="J28" s="3" t="s">
        <v>0</v>
      </c>
      <c r="K28" s="360" t="s">
        <v>131</v>
      </c>
      <c r="L28" s="360"/>
      <c r="M28" s="360" t="s">
        <v>72</v>
      </c>
      <c r="N28" s="360"/>
      <c r="O28" s="59">
        <f>H28*A28</f>
        <v>0</v>
      </c>
    </row>
    <row r="29" spans="1:15" ht="15.75" customHeight="1" x14ac:dyDescent="0.25">
      <c r="A29" s="358">
        <v>0</v>
      </c>
      <c r="B29" s="359"/>
      <c r="C29" s="304" t="s">
        <v>127</v>
      </c>
      <c r="D29" s="304"/>
      <c r="E29" s="304"/>
      <c r="F29" s="304"/>
      <c r="G29" s="304"/>
      <c r="H29" s="360">
        <v>5</v>
      </c>
      <c r="I29" s="360"/>
      <c r="J29" s="3" t="s">
        <v>0</v>
      </c>
      <c r="K29" s="360" t="s">
        <v>131</v>
      </c>
      <c r="L29" s="360"/>
      <c r="M29" s="360" t="s">
        <v>72</v>
      </c>
      <c r="N29" s="360"/>
      <c r="O29" s="59">
        <f>H29*A29</f>
        <v>0</v>
      </c>
    </row>
    <row r="30" spans="1:15" ht="15.75" customHeight="1" x14ac:dyDescent="0.25">
      <c r="A30" s="358">
        <v>0</v>
      </c>
      <c r="B30" s="359"/>
      <c r="C30" s="304" t="s">
        <v>129</v>
      </c>
      <c r="D30" s="304"/>
      <c r="E30" s="304"/>
      <c r="F30" s="304"/>
      <c r="G30" s="304"/>
      <c r="H30" s="360">
        <v>2</v>
      </c>
      <c r="I30" s="360"/>
      <c r="J30" s="3" t="s">
        <v>0</v>
      </c>
      <c r="K30" s="360" t="s">
        <v>131</v>
      </c>
      <c r="L30" s="360"/>
      <c r="M30" s="360" t="s">
        <v>72</v>
      </c>
      <c r="N30" s="360"/>
      <c r="O30" s="59">
        <f>H30*A30</f>
        <v>0</v>
      </c>
    </row>
    <row r="31" spans="1:15" ht="15.75" customHeight="1" x14ac:dyDescent="0.25">
      <c r="A31" s="358">
        <v>0</v>
      </c>
      <c r="B31" s="359"/>
      <c r="C31" s="304" t="s">
        <v>130</v>
      </c>
      <c r="D31" s="304"/>
      <c r="E31" s="304"/>
      <c r="F31" s="304"/>
      <c r="G31" s="304"/>
      <c r="H31" s="360">
        <v>6</v>
      </c>
      <c r="I31" s="360"/>
      <c r="J31" s="3" t="s">
        <v>0</v>
      </c>
      <c r="K31" s="360" t="s">
        <v>131</v>
      </c>
      <c r="L31" s="360"/>
      <c r="M31" s="360" t="s">
        <v>72</v>
      </c>
      <c r="N31" s="360"/>
      <c r="O31" s="59">
        <f>H31*A31</f>
        <v>0</v>
      </c>
    </row>
    <row r="32" spans="1:15" ht="15.75" customHeight="1" x14ac:dyDescent="0.25">
      <c r="A32" s="358">
        <v>0</v>
      </c>
      <c r="B32" s="359"/>
      <c r="C32" s="304" t="s">
        <v>45</v>
      </c>
      <c r="D32" s="304"/>
      <c r="E32" s="304"/>
      <c r="F32" s="304"/>
      <c r="G32" s="304"/>
      <c r="H32" s="360">
        <v>0</v>
      </c>
      <c r="I32" s="360"/>
      <c r="J32" s="3" t="s">
        <v>0</v>
      </c>
      <c r="K32" s="360" t="s">
        <v>131</v>
      </c>
      <c r="L32" s="360"/>
      <c r="M32" s="360" t="s">
        <v>72</v>
      </c>
      <c r="N32" s="360"/>
      <c r="O32" s="59">
        <f>H32*A32</f>
        <v>0</v>
      </c>
    </row>
    <row r="33" spans="1:16" ht="15.75" customHeight="1" x14ac:dyDescent="0.25">
      <c r="A33" s="318" t="s">
        <v>132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319"/>
    </row>
    <row r="34" spans="1:16" ht="15.75" customHeight="1" x14ac:dyDescent="0.25">
      <c r="A34" s="358">
        <v>0</v>
      </c>
      <c r="B34" s="359"/>
      <c r="C34" s="304" t="s">
        <v>133</v>
      </c>
      <c r="D34" s="304"/>
      <c r="E34" s="304"/>
      <c r="F34" s="304"/>
      <c r="G34" s="304"/>
      <c r="H34" s="360">
        <v>3</v>
      </c>
      <c r="I34" s="360"/>
      <c r="J34" s="3" t="s">
        <v>0</v>
      </c>
      <c r="K34" s="360" t="s">
        <v>131</v>
      </c>
      <c r="L34" s="360"/>
      <c r="M34" s="360" t="s">
        <v>75</v>
      </c>
      <c r="N34" s="360"/>
      <c r="O34" s="59">
        <f>H34*A34</f>
        <v>0</v>
      </c>
    </row>
    <row r="35" spans="1:16" ht="15.75" customHeight="1" x14ac:dyDescent="0.25">
      <c r="A35" s="358">
        <v>0</v>
      </c>
      <c r="B35" s="359"/>
      <c r="C35" s="304" t="s">
        <v>134</v>
      </c>
      <c r="D35" s="304"/>
      <c r="E35" s="304"/>
      <c r="F35" s="304"/>
      <c r="G35" s="304"/>
      <c r="H35" s="360">
        <v>4</v>
      </c>
      <c r="I35" s="360"/>
      <c r="J35" s="3" t="s">
        <v>0</v>
      </c>
      <c r="K35" s="360" t="s">
        <v>131</v>
      </c>
      <c r="L35" s="360"/>
      <c r="M35" s="360" t="s">
        <v>75</v>
      </c>
      <c r="N35" s="360"/>
      <c r="O35" s="59">
        <f>H35*A35</f>
        <v>0</v>
      </c>
    </row>
    <row r="36" spans="1:16" ht="15.75" customHeight="1" x14ac:dyDescent="0.25">
      <c r="A36" s="358">
        <v>0</v>
      </c>
      <c r="B36" s="359"/>
      <c r="C36" s="304" t="s">
        <v>135</v>
      </c>
      <c r="D36" s="304"/>
      <c r="E36" s="304"/>
      <c r="F36" s="304"/>
      <c r="G36" s="304"/>
      <c r="H36" s="360">
        <v>6</v>
      </c>
      <c r="I36" s="360"/>
      <c r="J36" s="3" t="s">
        <v>0</v>
      </c>
      <c r="K36" s="360" t="s">
        <v>131</v>
      </c>
      <c r="L36" s="360"/>
      <c r="M36" s="360" t="s">
        <v>75</v>
      </c>
      <c r="N36" s="360"/>
      <c r="O36" s="59">
        <f>H36*A36</f>
        <v>0</v>
      </c>
    </row>
    <row r="37" spans="1:16" ht="15.75" customHeight="1" x14ac:dyDescent="0.25">
      <c r="A37" s="318" t="s">
        <v>136</v>
      </c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19"/>
    </row>
    <row r="38" spans="1:16" ht="15.75" customHeight="1" x14ac:dyDescent="0.25">
      <c r="A38" s="358">
        <v>0</v>
      </c>
      <c r="B38" s="359"/>
      <c r="C38" s="304" t="s">
        <v>133</v>
      </c>
      <c r="D38" s="304"/>
      <c r="E38" s="304"/>
      <c r="F38" s="304"/>
      <c r="G38" s="304"/>
      <c r="H38" s="360">
        <v>4</v>
      </c>
      <c r="I38" s="360"/>
      <c r="J38" s="3" t="s">
        <v>0</v>
      </c>
      <c r="K38" s="360" t="s">
        <v>131</v>
      </c>
      <c r="L38" s="360"/>
      <c r="M38" s="360" t="s">
        <v>75</v>
      </c>
      <c r="N38" s="360"/>
      <c r="O38" s="59">
        <f>H38*A38</f>
        <v>0</v>
      </c>
    </row>
    <row r="39" spans="1:16" ht="15.75" customHeight="1" x14ac:dyDescent="0.25">
      <c r="A39" s="358">
        <v>0</v>
      </c>
      <c r="B39" s="359"/>
      <c r="C39" s="304" t="s">
        <v>134</v>
      </c>
      <c r="D39" s="304"/>
      <c r="E39" s="304"/>
      <c r="F39" s="304"/>
      <c r="G39" s="304"/>
      <c r="H39" s="360">
        <v>6</v>
      </c>
      <c r="I39" s="360"/>
      <c r="J39" s="3" t="s">
        <v>0</v>
      </c>
      <c r="K39" s="360" t="s">
        <v>131</v>
      </c>
      <c r="L39" s="360"/>
      <c r="M39" s="360" t="s">
        <v>75</v>
      </c>
      <c r="N39" s="360"/>
      <c r="O39" s="59">
        <f>H39*A39</f>
        <v>0</v>
      </c>
    </row>
    <row r="40" spans="1:16" ht="15.75" customHeight="1" thickBot="1" x14ac:dyDescent="0.3">
      <c r="A40" s="365">
        <v>0</v>
      </c>
      <c r="B40" s="366"/>
      <c r="C40" s="316" t="s">
        <v>135</v>
      </c>
      <c r="D40" s="316"/>
      <c r="E40" s="316"/>
      <c r="F40" s="316"/>
      <c r="G40" s="316"/>
      <c r="H40" s="367">
        <v>8</v>
      </c>
      <c r="I40" s="367"/>
      <c r="J40" s="60" t="s">
        <v>0</v>
      </c>
      <c r="K40" s="367" t="s">
        <v>131</v>
      </c>
      <c r="L40" s="367"/>
      <c r="M40" s="367" t="s">
        <v>75</v>
      </c>
      <c r="N40" s="367"/>
      <c r="O40" s="61">
        <f>H40*A40</f>
        <v>0</v>
      </c>
    </row>
    <row r="41" spans="1:16" ht="15.75" customHeight="1" thickTop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368" t="s">
        <v>14</v>
      </c>
      <c r="L41" s="369"/>
      <c r="M41" s="370"/>
      <c r="N41" s="64" t="s">
        <v>0</v>
      </c>
      <c r="O41" s="206">
        <f>SUM(O8:O19,O21:O26,O28:O32,O34:O36,O38:O40)</f>
        <v>0</v>
      </c>
    </row>
    <row r="42" spans="1:1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67" t="s">
        <v>147</v>
      </c>
      <c r="L42" s="1"/>
      <c r="M42" s="68"/>
      <c r="N42" s="69" t="s">
        <v>0</v>
      </c>
      <c r="O42" s="207" t="str">
        <f>IF(O41&lt;=1,"1-1/4",(IF(O41&lt;=8,"1-1/2",(IF(O41&lt;=24,"2",(IF(O41&lt;=84,"3",IF(O41&lt;=256,"4"))))))))</f>
        <v>1-1/4</v>
      </c>
    </row>
    <row r="43" spans="1:16" ht="15.75" customHeight="1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361" t="s">
        <v>137</v>
      </c>
      <c r="L43" s="362"/>
      <c r="M43" s="363"/>
      <c r="N43" s="65" t="s">
        <v>0</v>
      </c>
      <c r="O43" s="208" t="str">
        <f>IF((SUM(A28:B32,A34:B36,A38:B40))=0,"2",IF((SUM(A28:B32,A34:B36,A38:B40))&lt;=3,"3",IF((SUM(A28:B32,A34:B36,A38:B40))&gt;=4,"4",IF(O41&lt;=21,"2",IF(O41&lt;=42,"3",IF(O41&lt;=216,"4"))))))</f>
        <v>2</v>
      </c>
    </row>
    <row r="44" spans="1:16" ht="15.75" customHeight="1" thickTop="1" x14ac:dyDescent="0.2"/>
    <row r="45" spans="1:16" ht="15.75" customHeight="1" x14ac:dyDescent="0.2">
      <c r="A45" s="364" t="s">
        <v>49</v>
      </c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64"/>
      <c r="N45" s="364"/>
      <c r="O45" s="364"/>
    </row>
    <row r="46" spans="1:16" ht="15.75" customHeight="1" x14ac:dyDescent="0.2">
      <c r="A46" s="364"/>
      <c r="B46" s="364"/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</row>
    <row r="47" spans="1:16" ht="15.75" customHeight="1" x14ac:dyDescent="0.25">
      <c r="A47" s="364" t="s">
        <v>50</v>
      </c>
      <c r="B47" s="364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9"/>
    </row>
    <row r="48" spans="1:16" ht="15.75" customHeight="1" x14ac:dyDescent="0.25">
      <c r="A48" s="364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4"/>
      <c r="P48" s="9"/>
    </row>
    <row r="49" spans="1:15" ht="15.75" customHeight="1" thickBo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/>
    </row>
    <row r="50" spans="1:15" s="18" customFormat="1" ht="15.75" customHeight="1" thickTop="1" thickBot="1" x14ac:dyDescent="0.25">
      <c r="A50" s="83" t="s">
        <v>146</v>
      </c>
      <c r="B50" s="84"/>
      <c r="C50" s="84"/>
      <c r="D50" s="84"/>
      <c r="E50" s="84"/>
      <c r="F50" s="84"/>
      <c r="G50" s="84"/>
      <c r="H50" s="84"/>
      <c r="I50" s="84"/>
      <c r="J50" s="85"/>
      <c r="O50" s="70"/>
    </row>
    <row r="51" spans="1:15" s="18" customFormat="1" ht="15.75" customHeight="1" x14ac:dyDescent="0.25">
      <c r="A51" s="79" t="s">
        <v>148</v>
      </c>
      <c r="B51" s="80"/>
      <c r="C51" s="80"/>
      <c r="D51" s="95" t="str">
        <f>O43</f>
        <v>2</v>
      </c>
      <c r="E51" s="96" t="s">
        <v>138</v>
      </c>
      <c r="F51" s="80" t="s">
        <v>149</v>
      </c>
      <c r="G51" s="80"/>
      <c r="H51" s="80"/>
      <c r="I51" s="81">
        <f>((D51^2)*(PI()))/4</f>
        <v>3.1415926535897931</v>
      </c>
      <c r="J51" s="82" t="s">
        <v>139</v>
      </c>
      <c r="O51" s="70"/>
    </row>
    <row r="52" spans="1:15" ht="15.75" customHeight="1" x14ac:dyDescent="0.25">
      <c r="A52" s="71" t="s">
        <v>140</v>
      </c>
      <c r="B52" s="72"/>
      <c r="C52" s="72"/>
      <c r="D52" s="97"/>
      <c r="E52" s="98" t="s">
        <v>138</v>
      </c>
      <c r="F52" s="72" t="s">
        <v>77</v>
      </c>
      <c r="G52" s="74"/>
      <c r="H52" s="75"/>
      <c r="I52" s="81">
        <f t="shared" ref="I52:I57" si="2">((D52^2)*(PI()))/4</f>
        <v>0</v>
      </c>
      <c r="J52" s="73" t="s">
        <v>139</v>
      </c>
      <c r="K52" s="18"/>
      <c r="L52" s="18"/>
      <c r="M52" s="18"/>
      <c r="N52" s="66"/>
      <c r="O52"/>
    </row>
    <row r="53" spans="1:15" ht="15.75" customHeight="1" x14ac:dyDescent="0.25">
      <c r="A53" s="71" t="s">
        <v>141</v>
      </c>
      <c r="B53" s="72"/>
      <c r="C53" s="72"/>
      <c r="D53" s="97"/>
      <c r="E53" s="98" t="s">
        <v>138</v>
      </c>
      <c r="F53" s="72" t="s">
        <v>78</v>
      </c>
      <c r="G53" s="74"/>
      <c r="H53" s="75"/>
      <c r="I53" s="81">
        <f t="shared" si="2"/>
        <v>0</v>
      </c>
      <c r="J53" s="73" t="s">
        <v>139</v>
      </c>
      <c r="K53" s="18"/>
      <c r="L53" s="18"/>
      <c r="M53" s="18"/>
      <c r="N53" s="66"/>
      <c r="O53"/>
    </row>
    <row r="54" spans="1:15" ht="15.75" customHeight="1" x14ac:dyDescent="0.25">
      <c r="A54" s="71" t="s">
        <v>142</v>
      </c>
      <c r="B54" s="72"/>
      <c r="C54" s="72"/>
      <c r="D54" s="97"/>
      <c r="E54" s="98" t="s">
        <v>138</v>
      </c>
      <c r="F54" s="72" t="s">
        <v>79</v>
      </c>
      <c r="G54" s="74"/>
      <c r="H54" s="75"/>
      <c r="I54" s="81">
        <f t="shared" si="2"/>
        <v>0</v>
      </c>
      <c r="J54" s="73" t="s">
        <v>139</v>
      </c>
      <c r="K54" s="18"/>
      <c r="L54" s="18"/>
      <c r="M54" s="18"/>
      <c r="N54" s="66"/>
      <c r="O54"/>
    </row>
    <row r="55" spans="1:15" ht="15.75" customHeight="1" x14ac:dyDescent="0.25">
      <c r="A55" s="71" t="s">
        <v>143</v>
      </c>
      <c r="B55" s="72"/>
      <c r="C55" s="72"/>
      <c r="D55" s="97"/>
      <c r="E55" s="98" t="s">
        <v>138</v>
      </c>
      <c r="F55" s="72" t="s">
        <v>80</v>
      </c>
      <c r="G55" s="74"/>
      <c r="H55" s="75"/>
      <c r="I55" s="81">
        <f t="shared" si="2"/>
        <v>0</v>
      </c>
      <c r="J55" s="73" t="s">
        <v>139</v>
      </c>
      <c r="K55" s="18"/>
      <c r="L55" s="18"/>
      <c r="M55" s="18"/>
      <c r="N55" s="66"/>
      <c r="O55"/>
    </row>
    <row r="56" spans="1:15" ht="15.75" customHeight="1" x14ac:dyDescent="0.25">
      <c r="A56" s="71" t="s">
        <v>144</v>
      </c>
      <c r="B56" s="72"/>
      <c r="C56" s="72"/>
      <c r="D56" s="97"/>
      <c r="E56" s="98" t="s">
        <v>138</v>
      </c>
      <c r="F56" s="72" t="s">
        <v>81</v>
      </c>
      <c r="G56" s="74"/>
      <c r="H56" s="75"/>
      <c r="I56" s="81">
        <f t="shared" si="2"/>
        <v>0</v>
      </c>
      <c r="J56" s="73" t="s">
        <v>139</v>
      </c>
      <c r="K56" s="18"/>
      <c r="L56" s="18"/>
      <c r="M56" s="18"/>
      <c r="N56" s="66"/>
      <c r="O56"/>
    </row>
    <row r="57" spans="1:15" ht="15.75" customHeight="1" thickBot="1" x14ac:dyDescent="0.3">
      <c r="A57" s="76" t="s">
        <v>145</v>
      </c>
      <c r="B57" s="77"/>
      <c r="C57" s="77"/>
      <c r="D57" s="99"/>
      <c r="E57" s="100" t="s">
        <v>138</v>
      </c>
      <c r="F57" s="77" t="s">
        <v>82</v>
      </c>
      <c r="G57" s="78"/>
      <c r="H57" s="86"/>
      <c r="I57" s="93">
        <f t="shared" si="2"/>
        <v>0</v>
      </c>
      <c r="J57" s="87" t="s">
        <v>139</v>
      </c>
      <c r="K57" s="18"/>
      <c r="L57" s="18"/>
      <c r="M57" s="18"/>
      <c r="N57" s="66"/>
      <c r="O57"/>
    </row>
    <row r="58" spans="1:15" ht="15.75" customHeight="1" thickTop="1" thickBot="1" x14ac:dyDescent="0.3">
      <c r="B58" s="18"/>
      <c r="C58" s="18"/>
      <c r="D58" s="18"/>
      <c r="E58" s="18"/>
      <c r="H58" s="88" t="s">
        <v>83</v>
      </c>
      <c r="I58" s="92">
        <f>SUM(I52:I57)</f>
        <v>0</v>
      </c>
      <c r="J58" s="89" t="s">
        <v>139</v>
      </c>
      <c r="K58" s="90" t="str">
        <f>IF(I58=L58,"=",(IF(I58&gt;L58,"&gt;","&lt;")))</f>
        <v>&lt;</v>
      </c>
      <c r="L58" s="92">
        <f>I51</f>
        <v>3.1415926535897931</v>
      </c>
      <c r="M58" s="89" t="s">
        <v>150</v>
      </c>
      <c r="N58" s="91"/>
      <c r="O58" s="94" t="str">
        <f>IF(K58="&lt;","FAIL","OK")</f>
        <v>FAIL</v>
      </c>
    </row>
    <row r="59" spans="1:15" ht="15.75" customHeight="1" thickTop="1" x14ac:dyDescent="0.2">
      <c r="A59" s="66"/>
      <c r="B59" s="66"/>
      <c r="C59" s="66"/>
      <c r="D59" s="66"/>
      <c r="E59" s="66"/>
      <c r="F59" s="66"/>
      <c r="G59" s="66"/>
      <c r="H59" s="66"/>
      <c r="I59" s="66"/>
      <c r="O59"/>
    </row>
  </sheetData>
  <mergeCells count="162">
    <mergeCell ref="C22:G22"/>
    <mergeCell ref="H22:I22"/>
    <mergeCell ref="K22:L22"/>
    <mergeCell ref="M22:N22"/>
    <mergeCell ref="C24:G24"/>
    <mergeCell ref="H24:I24"/>
    <mergeCell ref="K24:L24"/>
    <mergeCell ref="H15:I15"/>
    <mergeCell ref="K16:L16"/>
    <mergeCell ref="K15:L15"/>
    <mergeCell ref="M16:N16"/>
    <mergeCell ref="M15:N15"/>
    <mergeCell ref="C17:G17"/>
    <mergeCell ref="H17:I17"/>
    <mergeCell ref="K19:L19"/>
    <mergeCell ref="A45:O46"/>
    <mergeCell ref="A47:O48"/>
    <mergeCell ref="C18:G18"/>
    <mergeCell ref="H18:I18"/>
    <mergeCell ref="C34:G34"/>
    <mergeCell ref="H34:I34"/>
    <mergeCell ref="K21:L21"/>
    <mergeCell ref="H28:I28"/>
    <mergeCell ref="K26:L26"/>
    <mergeCell ref="K28:L28"/>
    <mergeCell ref="A20:O20"/>
    <mergeCell ref="C21:G21"/>
    <mergeCell ref="C19:G19"/>
    <mergeCell ref="H19:I19"/>
    <mergeCell ref="H21:I21"/>
    <mergeCell ref="M21:N21"/>
    <mergeCell ref="A27:O27"/>
    <mergeCell ref="M24:N24"/>
    <mergeCell ref="C23:G23"/>
    <mergeCell ref="H23:I23"/>
    <mergeCell ref="K23:L23"/>
    <mergeCell ref="M23:N23"/>
    <mergeCell ref="C26:G26"/>
    <mergeCell ref="H26:I26"/>
    <mergeCell ref="C25:G25"/>
    <mergeCell ref="H25:I25"/>
    <mergeCell ref="K25:L25"/>
    <mergeCell ref="M25:N25"/>
    <mergeCell ref="M26:N26"/>
    <mergeCell ref="M28:N28"/>
    <mergeCell ref="C30:G30"/>
    <mergeCell ref="H30:I30"/>
    <mergeCell ref="K30:L30"/>
    <mergeCell ref="M30:N30"/>
    <mergeCell ref="C28:G28"/>
    <mergeCell ref="C31:G31"/>
    <mergeCell ref="H31:I31"/>
    <mergeCell ref="K31:L31"/>
    <mergeCell ref="M31:N31"/>
    <mergeCell ref="A33:O33"/>
    <mergeCell ref="K34:L34"/>
    <mergeCell ref="C32:G32"/>
    <mergeCell ref="H32:I32"/>
    <mergeCell ref="C29:G29"/>
    <mergeCell ref="H29:I29"/>
    <mergeCell ref="K29:L29"/>
    <mergeCell ref="M29:N29"/>
    <mergeCell ref="M32:N32"/>
    <mergeCell ref="M34:N34"/>
    <mergeCell ref="K32:L32"/>
    <mergeCell ref="A31:B31"/>
    <mergeCell ref="A32:B32"/>
    <mergeCell ref="M9:N9"/>
    <mergeCell ref="M8:N8"/>
    <mergeCell ref="M10:N10"/>
    <mergeCell ref="M11:N11"/>
    <mergeCell ref="A4:O4"/>
    <mergeCell ref="C7:G7"/>
    <mergeCell ref="H7:I7"/>
    <mergeCell ref="C9:G9"/>
    <mergeCell ref="H9:I9"/>
    <mergeCell ref="A6:O6"/>
    <mergeCell ref="K7:L7"/>
    <mergeCell ref="K9:L9"/>
    <mergeCell ref="C8:G8"/>
    <mergeCell ref="H8:I8"/>
    <mergeCell ref="C10:G10"/>
    <mergeCell ref="H10:I10"/>
    <mergeCell ref="K8:L8"/>
    <mergeCell ref="K10:L10"/>
    <mergeCell ref="A8:B8"/>
    <mergeCell ref="A9:B9"/>
    <mergeCell ref="A10:B10"/>
    <mergeCell ref="C11:G11"/>
    <mergeCell ref="A7:B7"/>
    <mergeCell ref="D1:L2"/>
    <mergeCell ref="A5:O5"/>
    <mergeCell ref="C12:G12"/>
    <mergeCell ref="H12:I12"/>
    <mergeCell ref="K12:L12"/>
    <mergeCell ref="M12:N12"/>
    <mergeCell ref="M17:N17"/>
    <mergeCell ref="M18:N18"/>
    <mergeCell ref="K17:L17"/>
    <mergeCell ref="K18:L18"/>
    <mergeCell ref="H11:I11"/>
    <mergeCell ref="C13:G13"/>
    <mergeCell ref="H13:I13"/>
    <mergeCell ref="K11:L11"/>
    <mergeCell ref="K13:L13"/>
    <mergeCell ref="M13:N13"/>
    <mergeCell ref="C14:G14"/>
    <mergeCell ref="H14:I14"/>
    <mergeCell ref="K14:L14"/>
    <mergeCell ref="M14:N14"/>
    <mergeCell ref="C16:G16"/>
    <mergeCell ref="H16:I16"/>
    <mergeCell ref="C15:G15"/>
    <mergeCell ref="M7:N7"/>
    <mergeCell ref="A37:O37"/>
    <mergeCell ref="C38:G38"/>
    <mergeCell ref="H38:I38"/>
    <mergeCell ref="K38:L38"/>
    <mergeCell ref="M38:N38"/>
    <mergeCell ref="A11:B11"/>
    <mergeCell ref="A12:B12"/>
    <mergeCell ref="A13:B13"/>
    <mergeCell ref="A14:B14"/>
    <mergeCell ref="A15:B15"/>
    <mergeCell ref="A16:B16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A17:B17"/>
    <mergeCell ref="A18:B18"/>
    <mergeCell ref="A19:B19"/>
    <mergeCell ref="M19:N19"/>
    <mergeCell ref="C39:G39"/>
    <mergeCell ref="A38:B38"/>
    <mergeCell ref="A39:B39"/>
    <mergeCell ref="H39:I39"/>
    <mergeCell ref="K39:L39"/>
    <mergeCell ref="K41:M41"/>
    <mergeCell ref="K43:M43"/>
    <mergeCell ref="A40:B40"/>
    <mergeCell ref="A34:B34"/>
    <mergeCell ref="A35:B35"/>
    <mergeCell ref="A36:B36"/>
    <mergeCell ref="K35:L35"/>
    <mergeCell ref="M35:N35"/>
    <mergeCell ref="C36:G36"/>
    <mergeCell ref="H36:I36"/>
    <mergeCell ref="K36:L36"/>
    <mergeCell ref="M36:N36"/>
    <mergeCell ref="C35:G35"/>
    <mergeCell ref="H35:I35"/>
    <mergeCell ref="M39:N39"/>
    <mergeCell ref="C40:G40"/>
    <mergeCell ref="H40:I40"/>
    <mergeCell ref="K40:L40"/>
    <mergeCell ref="M40:N40"/>
  </mergeCells>
  <phoneticPr fontId="2" type="noConversion"/>
  <printOptions horizontalCentered="1"/>
  <pageMargins left="0.25" right="0.25" top="0.25" bottom="0.25" header="0" footer="0"/>
  <pageSetup scale="79" orientation="portrait" r:id="rId1"/>
  <headerFooter alignWithMargins="0"/>
  <ignoredErrors>
    <ignoredError sqref="O42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8"/>
  <sheetViews>
    <sheetView workbookViewId="0">
      <selection activeCell="S4" sqref="S4"/>
    </sheetView>
  </sheetViews>
  <sheetFormatPr defaultRowHeight="12.75" x14ac:dyDescent="0.2"/>
  <cols>
    <col min="18" max="18" width="12.5703125" customWidth="1"/>
    <col min="19" max="19" width="23.5703125" customWidth="1"/>
    <col min="33" max="34" width="0" hidden="1" customWidth="1"/>
    <col min="35" max="35" width="26.42578125" hidden="1" customWidth="1"/>
    <col min="36" max="36" width="0" hidden="1" customWidth="1"/>
  </cols>
  <sheetData>
    <row r="1" spans="1:36" ht="17.25" thickTop="1" thickBot="1" x14ac:dyDescent="0.3">
      <c r="D1" s="298" t="s">
        <v>76</v>
      </c>
      <c r="E1" s="298"/>
      <c r="F1" s="298"/>
      <c r="G1" s="298"/>
      <c r="H1" s="298"/>
      <c r="I1" s="298"/>
      <c r="J1" s="298"/>
      <c r="K1" s="298"/>
      <c r="L1" s="298"/>
      <c r="M1" s="1"/>
    </row>
    <row r="2" spans="1:36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</row>
    <row r="3" spans="1:36" ht="17.25" thickTop="1" thickBot="1" x14ac:dyDescent="0.3">
      <c r="M3" s="1"/>
    </row>
    <row r="4" spans="1:36" ht="32.25" thickTop="1" thickBot="1" x14ac:dyDescent="0.5">
      <c r="A4" s="272" t="s">
        <v>162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4"/>
      <c r="R4" s="128" t="s">
        <v>201</v>
      </c>
      <c r="S4" s="102" t="s">
        <v>197</v>
      </c>
      <c r="AI4" t="s">
        <v>187</v>
      </c>
    </row>
    <row r="5" spans="1:36" x14ac:dyDescent="0.2">
      <c r="A5" s="275" t="s">
        <v>163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7"/>
      <c r="R5" s="421" t="s">
        <v>202</v>
      </c>
      <c r="S5" s="422" t="s">
        <v>189</v>
      </c>
      <c r="AG5" t="s">
        <v>187</v>
      </c>
      <c r="AI5" t="s">
        <v>184</v>
      </c>
      <c r="AJ5">
        <v>0.5</v>
      </c>
    </row>
    <row r="6" spans="1:36" ht="13.5" thickBot="1" x14ac:dyDescent="0.25">
      <c r="A6" s="329"/>
      <c r="B6" s="33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1"/>
      <c r="R6" s="421"/>
      <c r="S6" s="423"/>
      <c r="AG6" t="s">
        <v>188</v>
      </c>
      <c r="AI6" t="s">
        <v>185</v>
      </c>
      <c r="AJ6">
        <v>0.35</v>
      </c>
    </row>
    <row r="7" spans="1:36" ht="16.5" thickBot="1" x14ac:dyDescent="0.3">
      <c r="A7" s="278" t="s">
        <v>39</v>
      </c>
      <c r="B7" s="279"/>
      <c r="C7" s="266" t="s">
        <v>38</v>
      </c>
      <c r="D7" s="267"/>
      <c r="E7" s="267"/>
      <c r="F7" s="268"/>
      <c r="G7" s="280" t="s">
        <v>37</v>
      </c>
      <c r="H7" s="280"/>
      <c r="I7" s="280"/>
      <c r="J7" s="281" t="s">
        <v>52</v>
      </c>
      <c r="K7" s="282"/>
      <c r="L7" s="283"/>
      <c r="M7" s="287" t="s">
        <v>37</v>
      </c>
      <c r="N7" s="287"/>
      <c r="O7" s="288"/>
      <c r="R7" s="128" t="s">
        <v>216</v>
      </c>
      <c r="S7" s="130">
        <f>IF(S4=AG5,INDEX(AJ5:AJ7,MATCH(S5,AI5:AI7,0)),IF(S4=AG6,INDEX(AJ9:AJ10,MATCH(S5,AI9:AI10,0)),IF(S4=AG7,INDEX(AJ12,MATCH(S5,AI12,0)),IF(S4=AG8,INDEX(AJ14:AJ16,MATCH(S5,AI14:AI16,0)),IF(S4=AG9,INDEX(AJ18:AJ20,MATCH(S5,AI18:AI20,0)),IF(S4=AG10,INDEX(AJ21,MATCH(S5,AI21,0)),0))))))</f>
        <v>1</v>
      </c>
      <c r="AG7" t="s">
        <v>191</v>
      </c>
      <c r="AI7" t="s">
        <v>186</v>
      </c>
      <c r="AJ7">
        <v>0.7</v>
      </c>
    </row>
    <row r="8" spans="1:36" ht="15.75" x14ac:dyDescent="0.25">
      <c r="A8" s="278"/>
      <c r="B8" s="279"/>
      <c r="C8" s="269"/>
      <c r="D8" s="270"/>
      <c r="E8" s="270"/>
      <c r="F8" s="271"/>
      <c r="G8" s="14" t="s">
        <v>36</v>
      </c>
      <c r="H8" s="15" t="s">
        <v>35</v>
      </c>
      <c r="I8" s="8" t="s">
        <v>32</v>
      </c>
      <c r="J8" s="284" t="s">
        <v>183</v>
      </c>
      <c r="K8" s="285"/>
      <c r="L8" s="286"/>
      <c r="M8" s="14" t="s">
        <v>36</v>
      </c>
      <c r="N8" s="15" t="s">
        <v>35</v>
      </c>
      <c r="O8" s="36" t="s">
        <v>32</v>
      </c>
      <c r="AG8" t="s">
        <v>192</v>
      </c>
      <c r="AI8" t="s">
        <v>188</v>
      </c>
    </row>
    <row r="9" spans="1:36" ht="15.75" x14ac:dyDescent="0.25">
      <c r="A9" s="289">
        <v>0</v>
      </c>
      <c r="B9" s="290"/>
      <c r="C9" s="295" t="s">
        <v>164</v>
      </c>
      <c r="D9" s="296"/>
      <c r="E9" s="296"/>
      <c r="F9" s="297"/>
      <c r="G9" s="16">
        <v>2</v>
      </c>
      <c r="H9" s="17">
        <v>2</v>
      </c>
      <c r="I9" s="8">
        <v>2</v>
      </c>
      <c r="J9" s="291" t="s">
        <v>53</v>
      </c>
      <c r="K9" s="291"/>
      <c r="L9" s="291"/>
      <c r="M9" s="16">
        <f>$A9*G9</f>
        <v>0</v>
      </c>
      <c r="N9" s="17">
        <f>$A9*H9</f>
        <v>0</v>
      </c>
      <c r="O9" s="36">
        <f t="shared" ref="O9:O32" si="0">M9+N9</f>
        <v>0</v>
      </c>
      <c r="AG9" t="s">
        <v>197</v>
      </c>
      <c r="AI9" t="s">
        <v>189</v>
      </c>
      <c r="AJ9">
        <v>0.75</v>
      </c>
    </row>
    <row r="10" spans="1:36" ht="15.75" x14ac:dyDescent="0.25">
      <c r="A10" s="289">
        <v>0</v>
      </c>
      <c r="B10" s="290"/>
      <c r="C10" s="295" t="s">
        <v>165</v>
      </c>
      <c r="D10" s="296"/>
      <c r="E10" s="296"/>
      <c r="F10" s="297"/>
      <c r="G10" s="16">
        <v>1</v>
      </c>
      <c r="H10" s="17">
        <v>0</v>
      </c>
      <c r="I10" s="8">
        <v>1</v>
      </c>
      <c r="J10" s="291" t="s">
        <v>54</v>
      </c>
      <c r="K10" s="291"/>
      <c r="L10" s="291"/>
      <c r="M10" s="16">
        <f t="shared" ref="M10:N32" si="1">$A10*G10</f>
        <v>0</v>
      </c>
      <c r="N10" s="17">
        <f t="shared" si="1"/>
        <v>0</v>
      </c>
      <c r="O10" s="36">
        <f t="shared" si="0"/>
        <v>0</v>
      </c>
      <c r="AG10" t="s">
        <v>196</v>
      </c>
      <c r="AI10" t="s">
        <v>190</v>
      </c>
      <c r="AJ10">
        <v>1</v>
      </c>
    </row>
    <row r="11" spans="1:36" ht="15.75" x14ac:dyDescent="0.25">
      <c r="A11" s="289">
        <v>0</v>
      </c>
      <c r="B11" s="290"/>
      <c r="C11" s="295" t="s">
        <v>166</v>
      </c>
      <c r="D11" s="296"/>
      <c r="E11" s="296"/>
      <c r="F11" s="297"/>
      <c r="G11" s="16">
        <v>1</v>
      </c>
      <c r="H11" s="17">
        <v>0</v>
      </c>
      <c r="I11" s="8">
        <v>1</v>
      </c>
      <c r="J11" s="291" t="s">
        <v>54</v>
      </c>
      <c r="K11" s="291"/>
      <c r="L11" s="291"/>
      <c r="M11" s="16">
        <f t="shared" si="1"/>
        <v>0</v>
      </c>
      <c r="N11" s="17">
        <f t="shared" si="1"/>
        <v>0</v>
      </c>
      <c r="O11" s="36">
        <f t="shared" si="0"/>
        <v>0</v>
      </c>
      <c r="AI11" t="s">
        <v>191</v>
      </c>
    </row>
    <row r="12" spans="1:36" ht="15.75" x14ac:dyDescent="0.25">
      <c r="A12" s="289">
        <v>0</v>
      </c>
      <c r="B12" s="290"/>
      <c r="C12" s="295" t="s">
        <v>167</v>
      </c>
      <c r="D12" s="296"/>
      <c r="E12" s="296"/>
      <c r="F12" s="297"/>
      <c r="G12" s="16">
        <v>0</v>
      </c>
      <c r="H12" s="17">
        <v>2</v>
      </c>
      <c r="I12" s="8">
        <v>2</v>
      </c>
      <c r="J12" s="291" t="s">
        <v>53</v>
      </c>
      <c r="K12" s="291"/>
      <c r="L12" s="291"/>
      <c r="M12" s="16">
        <f t="shared" si="1"/>
        <v>0</v>
      </c>
      <c r="N12" s="17">
        <f t="shared" si="1"/>
        <v>0</v>
      </c>
      <c r="O12" s="36">
        <f t="shared" si="0"/>
        <v>0</v>
      </c>
      <c r="AI12" t="s">
        <v>189</v>
      </c>
      <c r="AJ12">
        <v>0.45</v>
      </c>
    </row>
    <row r="13" spans="1:36" ht="15.75" x14ac:dyDescent="0.25">
      <c r="A13" s="289">
        <v>0</v>
      </c>
      <c r="B13" s="290"/>
      <c r="C13" s="295" t="s">
        <v>168</v>
      </c>
      <c r="D13" s="296"/>
      <c r="E13" s="296"/>
      <c r="F13" s="297"/>
      <c r="G13" s="16">
        <v>0</v>
      </c>
      <c r="H13" s="17">
        <v>6</v>
      </c>
      <c r="I13" s="8">
        <v>6</v>
      </c>
      <c r="J13" s="291" t="s">
        <v>56</v>
      </c>
      <c r="K13" s="291"/>
      <c r="L13" s="291"/>
      <c r="M13" s="16">
        <f t="shared" si="1"/>
        <v>0</v>
      </c>
      <c r="N13" s="17">
        <f t="shared" si="1"/>
        <v>0</v>
      </c>
      <c r="O13" s="36">
        <f t="shared" si="0"/>
        <v>0</v>
      </c>
      <c r="AI13" t="s">
        <v>192</v>
      </c>
    </row>
    <row r="14" spans="1:36" ht="15.75" x14ac:dyDescent="0.25">
      <c r="A14" s="289">
        <v>0</v>
      </c>
      <c r="B14" s="290"/>
      <c r="C14" s="295" t="s">
        <v>169</v>
      </c>
      <c r="D14" s="296"/>
      <c r="E14" s="296"/>
      <c r="F14" s="297"/>
      <c r="G14" s="16">
        <v>2</v>
      </c>
      <c r="H14" s="17">
        <v>2</v>
      </c>
      <c r="I14" s="8">
        <v>2</v>
      </c>
      <c r="J14" s="291" t="s">
        <v>53</v>
      </c>
      <c r="K14" s="291"/>
      <c r="L14" s="291"/>
      <c r="M14" s="16">
        <f t="shared" si="1"/>
        <v>0</v>
      </c>
      <c r="N14" s="17">
        <f t="shared" si="1"/>
        <v>0</v>
      </c>
      <c r="O14" s="36">
        <f t="shared" si="0"/>
        <v>0</v>
      </c>
      <c r="AI14" t="s">
        <v>189</v>
      </c>
      <c r="AJ14">
        <v>0.25</v>
      </c>
    </row>
    <row r="15" spans="1:36" ht="15.75" x14ac:dyDescent="0.25">
      <c r="A15" s="289">
        <v>0</v>
      </c>
      <c r="B15" s="290"/>
      <c r="C15" s="295" t="s">
        <v>170</v>
      </c>
      <c r="D15" s="296"/>
      <c r="E15" s="296"/>
      <c r="F15" s="297"/>
      <c r="G15" s="16">
        <v>6</v>
      </c>
      <c r="H15" s="17">
        <v>6</v>
      </c>
      <c r="I15" s="8">
        <v>6</v>
      </c>
      <c r="J15" s="291" t="s">
        <v>56</v>
      </c>
      <c r="K15" s="291"/>
      <c r="L15" s="291"/>
      <c r="M15" s="16">
        <f t="shared" si="1"/>
        <v>0</v>
      </c>
      <c r="N15" s="17">
        <f t="shared" si="1"/>
        <v>0</v>
      </c>
      <c r="O15" s="36">
        <f t="shared" si="0"/>
        <v>0</v>
      </c>
      <c r="AI15" t="s">
        <v>193</v>
      </c>
      <c r="AJ15">
        <v>0.7</v>
      </c>
    </row>
    <row r="16" spans="1:36" ht="15.75" x14ac:dyDescent="0.25">
      <c r="A16" s="289">
        <v>0</v>
      </c>
      <c r="B16" s="290"/>
      <c r="C16" s="295" t="s">
        <v>171</v>
      </c>
      <c r="D16" s="296"/>
      <c r="E16" s="296"/>
      <c r="F16" s="297"/>
      <c r="G16" s="16">
        <v>2</v>
      </c>
      <c r="H16" s="17">
        <v>2</v>
      </c>
      <c r="I16" s="8">
        <v>2</v>
      </c>
      <c r="J16" s="291" t="s">
        <v>53</v>
      </c>
      <c r="K16" s="291"/>
      <c r="L16" s="291"/>
      <c r="M16" s="16">
        <f t="shared" si="1"/>
        <v>0</v>
      </c>
      <c r="N16" s="17">
        <f t="shared" si="1"/>
        <v>0</v>
      </c>
      <c r="O16" s="36">
        <f t="shared" si="0"/>
        <v>0</v>
      </c>
      <c r="AI16" t="s">
        <v>194</v>
      </c>
      <c r="AJ16">
        <v>0.6</v>
      </c>
    </row>
    <row r="17" spans="1:36" ht="15.75" x14ac:dyDescent="0.25">
      <c r="A17" s="289">
        <v>0</v>
      </c>
      <c r="B17" s="290"/>
      <c r="C17" s="295" t="s">
        <v>172</v>
      </c>
      <c r="D17" s="296"/>
      <c r="E17" s="296"/>
      <c r="F17" s="297"/>
      <c r="G17" s="16">
        <v>1</v>
      </c>
      <c r="H17" s="17">
        <v>1</v>
      </c>
      <c r="I17" s="8">
        <v>1</v>
      </c>
      <c r="J17" s="291" t="s">
        <v>54</v>
      </c>
      <c r="K17" s="291"/>
      <c r="L17" s="291"/>
      <c r="M17" s="16">
        <f t="shared" si="1"/>
        <v>0</v>
      </c>
      <c r="N17" s="17">
        <f t="shared" si="1"/>
        <v>0</v>
      </c>
      <c r="O17" s="36">
        <f t="shared" si="0"/>
        <v>0</v>
      </c>
      <c r="AI17" t="s">
        <v>195</v>
      </c>
    </row>
    <row r="18" spans="1:36" ht="15.75" x14ac:dyDescent="0.25">
      <c r="A18" s="289">
        <v>0</v>
      </c>
      <c r="B18" s="290"/>
      <c r="C18" s="295" t="s">
        <v>173</v>
      </c>
      <c r="D18" s="296"/>
      <c r="E18" s="296"/>
      <c r="F18" s="297"/>
      <c r="G18" s="16">
        <v>1</v>
      </c>
      <c r="H18" s="17">
        <v>1</v>
      </c>
      <c r="I18" s="8">
        <v>1</v>
      </c>
      <c r="J18" s="291" t="s">
        <v>54</v>
      </c>
      <c r="K18" s="291"/>
      <c r="L18" s="291"/>
      <c r="M18" s="16">
        <f t="shared" si="1"/>
        <v>0</v>
      </c>
      <c r="N18" s="17">
        <f t="shared" si="1"/>
        <v>0</v>
      </c>
      <c r="O18" s="36">
        <f t="shared" si="0"/>
        <v>0</v>
      </c>
      <c r="AI18" t="s">
        <v>189</v>
      </c>
      <c r="AJ18">
        <v>1</v>
      </c>
    </row>
    <row r="19" spans="1:36" ht="15.75" x14ac:dyDescent="0.25">
      <c r="A19" s="289">
        <v>0</v>
      </c>
      <c r="B19" s="290"/>
      <c r="C19" s="295" t="s">
        <v>48</v>
      </c>
      <c r="D19" s="296"/>
      <c r="E19" s="296"/>
      <c r="F19" s="297"/>
      <c r="G19" s="16">
        <v>1</v>
      </c>
      <c r="H19" s="17">
        <v>1</v>
      </c>
      <c r="I19" s="8">
        <v>1</v>
      </c>
      <c r="J19" s="291" t="s">
        <v>54</v>
      </c>
      <c r="K19" s="291"/>
      <c r="L19" s="291"/>
      <c r="M19" s="16">
        <f t="shared" si="1"/>
        <v>0</v>
      </c>
      <c r="N19" s="17">
        <f t="shared" si="1"/>
        <v>0</v>
      </c>
      <c r="O19" s="36">
        <f t="shared" si="0"/>
        <v>0</v>
      </c>
      <c r="AI19" t="s">
        <v>198</v>
      </c>
      <c r="AJ19">
        <v>0.25</v>
      </c>
    </row>
    <row r="20" spans="1:36" ht="15.75" x14ac:dyDescent="0.25">
      <c r="A20" s="289">
        <v>0</v>
      </c>
      <c r="B20" s="290"/>
      <c r="C20" s="295" t="s">
        <v>174</v>
      </c>
      <c r="D20" s="296"/>
      <c r="E20" s="296"/>
      <c r="F20" s="297"/>
      <c r="G20" s="16">
        <v>2</v>
      </c>
      <c r="H20" s="17">
        <v>2</v>
      </c>
      <c r="I20" s="8">
        <v>2</v>
      </c>
      <c r="J20" s="291" t="s">
        <v>53</v>
      </c>
      <c r="K20" s="291"/>
      <c r="L20" s="291"/>
      <c r="M20" s="16">
        <f t="shared" si="1"/>
        <v>0</v>
      </c>
      <c r="N20" s="17">
        <f t="shared" si="1"/>
        <v>0</v>
      </c>
      <c r="O20" s="36">
        <f t="shared" si="0"/>
        <v>0</v>
      </c>
      <c r="AI20" t="s">
        <v>199</v>
      </c>
      <c r="AJ20">
        <v>1</v>
      </c>
    </row>
    <row r="21" spans="1:36" ht="15.75" x14ac:dyDescent="0.25">
      <c r="A21" s="289">
        <v>0</v>
      </c>
      <c r="B21" s="290"/>
      <c r="C21" s="295" t="s">
        <v>175</v>
      </c>
      <c r="D21" s="296"/>
      <c r="E21" s="296"/>
      <c r="F21" s="297"/>
      <c r="G21" s="16">
        <v>2</v>
      </c>
      <c r="H21" s="17">
        <v>2</v>
      </c>
      <c r="I21" s="8">
        <v>2</v>
      </c>
      <c r="J21" s="291" t="s">
        <v>53</v>
      </c>
      <c r="K21" s="291"/>
      <c r="L21" s="291"/>
      <c r="M21" s="16">
        <f t="shared" si="1"/>
        <v>0</v>
      </c>
      <c r="N21" s="17">
        <f t="shared" si="1"/>
        <v>0</v>
      </c>
      <c r="O21" s="36">
        <f t="shared" si="0"/>
        <v>0</v>
      </c>
      <c r="AI21" t="s">
        <v>200</v>
      </c>
      <c r="AJ21">
        <v>0.9</v>
      </c>
    </row>
    <row r="22" spans="1:36" ht="15.75" x14ac:dyDescent="0.25">
      <c r="A22" s="289">
        <v>0</v>
      </c>
      <c r="B22" s="290"/>
      <c r="C22" s="295" t="s">
        <v>176</v>
      </c>
      <c r="D22" s="296"/>
      <c r="E22" s="296"/>
      <c r="F22" s="297"/>
      <c r="G22" s="16">
        <v>6</v>
      </c>
      <c r="H22" s="17">
        <v>6</v>
      </c>
      <c r="I22" s="8">
        <v>6</v>
      </c>
      <c r="J22" s="292" t="s">
        <v>56</v>
      </c>
      <c r="K22" s="293"/>
      <c r="L22" s="294"/>
      <c r="M22" s="16">
        <f t="shared" si="1"/>
        <v>0</v>
      </c>
      <c r="N22" s="17">
        <f t="shared" si="1"/>
        <v>0</v>
      </c>
      <c r="O22" s="36">
        <f t="shared" si="0"/>
        <v>0</v>
      </c>
    </row>
    <row r="23" spans="1:36" ht="15.75" x14ac:dyDescent="0.25">
      <c r="A23" s="289">
        <v>0</v>
      </c>
      <c r="B23" s="290"/>
      <c r="C23" s="295" t="s">
        <v>177</v>
      </c>
      <c r="D23" s="296"/>
      <c r="E23" s="296"/>
      <c r="F23" s="297"/>
      <c r="G23" s="16">
        <v>2</v>
      </c>
      <c r="H23" s="17">
        <v>2</v>
      </c>
      <c r="I23" s="8">
        <v>2</v>
      </c>
      <c r="J23" s="292" t="s">
        <v>53</v>
      </c>
      <c r="K23" s="293"/>
      <c r="L23" s="294"/>
      <c r="M23" s="16">
        <f t="shared" si="1"/>
        <v>0</v>
      </c>
      <c r="N23" s="17">
        <f t="shared" si="1"/>
        <v>0</v>
      </c>
      <c r="O23" s="36">
        <f t="shared" si="0"/>
        <v>0</v>
      </c>
    </row>
    <row r="24" spans="1:36" ht="15.75" x14ac:dyDescent="0.25">
      <c r="A24" s="289">
        <v>0</v>
      </c>
      <c r="B24" s="290"/>
      <c r="C24" s="295" t="s">
        <v>178</v>
      </c>
      <c r="D24" s="296"/>
      <c r="E24" s="296"/>
      <c r="F24" s="297"/>
      <c r="G24" s="16">
        <v>6</v>
      </c>
      <c r="H24" s="17">
        <v>0</v>
      </c>
      <c r="I24" s="8">
        <v>6</v>
      </c>
      <c r="J24" s="292" t="s">
        <v>56</v>
      </c>
      <c r="K24" s="293"/>
      <c r="L24" s="294"/>
      <c r="M24" s="16">
        <f t="shared" si="1"/>
        <v>0</v>
      </c>
      <c r="N24" s="17">
        <f t="shared" si="1"/>
        <v>0</v>
      </c>
      <c r="O24" s="36">
        <f t="shared" si="0"/>
        <v>0</v>
      </c>
    </row>
    <row r="25" spans="1:36" ht="15.75" x14ac:dyDescent="0.25">
      <c r="A25" s="289">
        <v>0</v>
      </c>
      <c r="B25" s="290"/>
      <c r="C25" s="295" t="s">
        <v>179</v>
      </c>
      <c r="D25" s="296"/>
      <c r="E25" s="296"/>
      <c r="F25" s="297"/>
      <c r="G25" s="16">
        <v>2</v>
      </c>
      <c r="H25" s="17">
        <v>2</v>
      </c>
      <c r="I25" s="8">
        <v>2</v>
      </c>
      <c r="J25" s="292" t="s">
        <v>53</v>
      </c>
      <c r="K25" s="293"/>
      <c r="L25" s="294"/>
      <c r="M25" s="16">
        <f t="shared" si="1"/>
        <v>0</v>
      </c>
      <c r="N25" s="17">
        <f t="shared" si="1"/>
        <v>0</v>
      </c>
      <c r="O25" s="36">
        <f t="shared" si="0"/>
        <v>0</v>
      </c>
    </row>
    <row r="26" spans="1:36" ht="15.75" x14ac:dyDescent="0.25">
      <c r="A26" s="289">
        <v>0</v>
      </c>
      <c r="B26" s="290"/>
      <c r="C26" s="295" t="s">
        <v>180</v>
      </c>
      <c r="D26" s="296"/>
      <c r="E26" s="296"/>
      <c r="F26" s="297"/>
      <c r="G26" s="16">
        <v>6</v>
      </c>
      <c r="H26" s="17">
        <v>0</v>
      </c>
      <c r="I26" s="8">
        <v>6</v>
      </c>
      <c r="J26" s="292" t="s">
        <v>56</v>
      </c>
      <c r="K26" s="293"/>
      <c r="L26" s="294"/>
      <c r="M26" s="16">
        <f t="shared" si="1"/>
        <v>0</v>
      </c>
      <c r="N26" s="17">
        <f t="shared" si="1"/>
        <v>0</v>
      </c>
      <c r="O26" s="36">
        <f t="shared" si="0"/>
        <v>0</v>
      </c>
    </row>
    <row r="27" spans="1:36" ht="15.75" x14ac:dyDescent="0.25">
      <c r="A27" s="289">
        <v>0</v>
      </c>
      <c r="B27" s="290"/>
      <c r="C27" s="295" t="s">
        <v>70</v>
      </c>
      <c r="D27" s="296"/>
      <c r="E27" s="296"/>
      <c r="F27" s="297"/>
      <c r="G27" s="16">
        <v>1</v>
      </c>
      <c r="H27" s="17">
        <v>0</v>
      </c>
      <c r="I27" s="8">
        <v>1</v>
      </c>
      <c r="J27" s="292" t="s">
        <v>54</v>
      </c>
      <c r="K27" s="293"/>
      <c r="L27" s="294"/>
      <c r="M27" s="16">
        <f t="shared" si="1"/>
        <v>0</v>
      </c>
      <c r="N27" s="17">
        <f t="shared" si="1"/>
        <v>0</v>
      </c>
      <c r="O27" s="36">
        <f t="shared" si="0"/>
        <v>0</v>
      </c>
    </row>
    <row r="28" spans="1:36" ht="15.75" x14ac:dyDescent="0.25">
      <c r="A28" s="289">
        <v>0</v>
      </c>
      <c r="B28" s="290"/>
      <c r="C28" s="295" t="s">
        <v>181</v>
      </c>
      <c r="D28" s="296"/>
      <c r="E28" s="296"/>
      <c r="F28" s="297"/>
      <c r="G28" s="16">
        <v>12</v>
      </c>
      <c r="H28" s="17">
        <v>0</v>
      </c>
      <c r="I28" s="8">
        <v>12</v>
      </c>
      <c r="J28" s="292" t="s">
        <v>55</v>
      </c>
      <c r="K28" s="293"/>
      <c r="L28" s="294"/>
      <c r="M28" s="16">
        <f t="shared" si="1"/>
        <v>0</v>
      </c>
      <c r="N28" s="17">
        <f t="shared" si="1"/>
        <v>0</v>
      </c>
      <c r="O28" s="36">
        <f t="shared" si="0"/>
        <v>0</v>
      </c>
    </row>
    <row r="29" spans="1:36" ht="15.75" x14ac:dyDescent="0.25">
      <c r="A29" s="289">
        <v>0</v>
      </c>
      <c r="B29" s="290"/>
      <c r="C29" s="295" t="s">
        <v>182</v>
      </c>
      <c r="D29" s="296"/>
      <c r="E29" s="296"/>
      <c r="F29" s="297"/>
      <c r="G29" s="16">
        <v>2</v>
      </c>
      <c r="H29" s="17">
        <v>0</v>
      </c>
      <c r="I29" s="8">
        <v>2</v>
      </c>
      <c r="J29" s="292" t="s">
        <v>53</v>
      </c>
      <c r="K29" s="293"/>
      <c r="L29" s="294"/>
      <c r="M29" s="16">
        <f t="shared" si="1"/>
        <v>0</v>
      </c>
      <c r="N29" s="17">
        <f t="shared" si="1"/>
        <v>0</v>
      </c>
      <c r="O29" s="36">
        <f t="shared" si="0"/>
        <v>0</v>
      </c>
    </row>
    <row r="30" spans="1:36" ht="15.75" x14ac:dyDescent="0.25">
      <c r="A30" s="289">
        <v>0</v>
      </c>
      <c r="B30" s="290"/>
      <c r="C30" s="295" t="s">
        <v>51</v>
      </c>
      <c r="D30" s="296"/>
      <c r="E30" s="296"/>
      <c r="F30" s="297"/>
      <c r="G30" s="16"/>
      <c r="H30" s="17"/>
      <c r="I30" s="8"/>
      <c r="J30" s="291"/>
      <c r="K30" s="291"/>
      <c r="L30" s="291"/>
      <c r="M30" s="16">
        <f t="shared" si="1"/>
        <v>0</v>
      </c>
      <c r="N30" s="17">
        <f t="shared" si="1"/>
        <v>0</v>
      </c>
      <c r="O30" s="36">
        <f t="shared" si="0"/>
        <v>0</v>
      </c>
    </row>
    <row r="31" spans="1:36" ht="15.75" x14ac:dyDescent="0.25">
      <c r="A31" s="289">
        <v>0</v>
      </c>
      <c r="B31" s="290"/>
      <c r="C31" s="295" t="s">
        <v>51</v>
      </c>
      <c r="D31" s="296"/>
      <c r="E31" s="296"/>
      <c r="F31" s="297"/>
      <c r="G31" s="16"/>
      <c r="H31" s="17"/>
      <c r="I31" s="8"/>
      <c r="J31" s="291"/>
      <c r="K31" s="291"/>
      <c r="L31" s="291"/>
      <c r="M31" s="16">
        <f t="shared" si="1"/>
        <v>0</v>
      </c>
      <c r="N31" s="17">
        <f t="shared" si="1"/>
        <v>0</v>
      </c>
      <c r="O31" s="36">
        <f t="shared" si="0"/>
        <v>0</v>
      </c>
    </row>
    <row r="32" spans="1:36" ht="16.5" thickBot="1" x14ac:dyDescent="0.3">
      <c r="A32" s="299">
        <v>0</v>
      </c>
      <c r="B32" s="300"/>
      <c r="C32" s="332" t="s">
        <v>51</v>
      </c>
      <c r="D32" s="327"/>
      <c r="E32" s="327"/>
      <c r="F32" s="333"/>
      <c r="G32" s="37"/>
      <c r="H32" s="38"/>
      <c r="I32" s="39"/>
      <c r="J32" s="301"/>
      <c r="K32" s="301"/>
      <c r="L32" s="301"/>
      <c r="M32" s="37">
        <f t="shared" si="1"/>
        <v>0</v>
      </c>
      <c r="N32" s="38">
        <f t="shared" si="1"/>
        <v>0</v>
      </c>
      <c r="O32" s="40">
        <f t="shared" si="0"/>
        <v>0</v>
      </c>
    </row>
    <row r="33" spans="1:15" ht="17.25" thickTop="1" thickBot="1" x14ac:dyDescent="0.3">
      <c r="A33" s="1"/>
      <c r="B33" s="1"/>
      <c r="I33" s="1"/>
      <c r="J33" s="356" t="s">
        <v>14</v>
      </c>
      <c r="K33" s="357"/>
      <c r="L33" s="357"/>
      <c r="M33" s="209">
        <f>SUM(M9:M32)</f>
        <v>0</v>
      </c>
      <c r="N33" s="209">
        <f>SUM(N9:N32)</f>
        <v>0</v>
      </c>
      <c r="O33" s="209">
        <f>SUM(O9:O32)</f>
        <v>0</v>
      </c>
    </row>
    <row r="34" spans="1:15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5" ht="13.5" thickBot="1" x14ac:dyDescent="0.25"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1:15" ht="17.25" thickTop="1" thickBot="1" x14ac:dyDescent="0.3">
      <c r="A36" s="427" t="s">
        <v>206</v>
      </c>
      <c r="B36" s="428"/>
      <c r="C36" s="428"/>
      <c r="D36" s="428"/>
      <c r="E36" s="429"/>
      <c r="F36" s="105"/>
      <c r="G36" s="348" t="s">
        <v>36</v>
      </c>
      <c r="H36" s="349"/>
      <c r="I36" s="349"/>
      <c r="J36" s="432"/>
      <c r="K36" s="350" t="s">
        <v>35</v>
      </c>
      <c r="L36" s="351"/>
      <c r="M36" s="351"/>
      <c r="N36" s="352"/>
      <c r="O36" s="105"/>
    </row>
    <row r="37" spans="1:15" ht="16.5" customHeight="1" thickTop="1" thickBot="1" x14ac:dyDescent="0.3">
      <c r="A37" s="430" t="s">
        <v>207</v>
      </c>
      <c r="B37" s="330"/>
      <c r="C37" s="330"/>
      <c r="D37" s="330"/>
      <c r="E37" s="431"/>
      <c r="G37" s="57" t="s">
        <v>204</v>
      </c>
      <c r="H37" s="418" t="s">
        <v>205</v>
      </c>
      <c r="I37" s="419"/>
      <c r="J37" s="420"/>
      <c r="K37" s="57" t="s">
        <v>204</v>
      </c>
      <c r="L37" s="418" t="s">
        <v>205</v>
      </c>
      <c r="M37" s="419"/>
      <c r="N37" s="420"/>
    </row>
    <row r="38" spans="1:15" ht="13.5" thickBot="1" x14ac:dyDescent="0.25">
      <c r="A38" s="425" t="s">
        <v>214</v>
      </c>
      <c r="B38" s="307"/>
      <c r="C38" s="426"/>
      <c r="D38" s="425" t="s">
        <v>215</v>
      </c>
      <c r="E38" s="426"/>
      <c r="G38" s="111">
        <f>IF(H38=0,0,IF(H38&lt;=C39,"1/2""",IF(H38&lt;=C40,"3/4""",IF(H38&lt;=C41,"1""",IF(H38&lt;=C42,"1-1/4""",IF(H38&lt;=C43,"1-1/2""",IF(H38&lt;=C44,"2""",IF(H38&lt;=C45,"2-1/2""",IF(H38&lt;=C46,"3""",IF(H38&lt;=C47,"3-1/2""",IF(H38&lt;=C48,"4""",IF(H38&lt;=C49,"5""",IF(H38&lt;=C50,"6""",0)))))))))))))</f>
        <v>0</v>
      </c>
      <c r="H38" s="433">
        <f>SUM(M33*S7)</f>
        <v>0</v>
      </c>
      <c r="I38" s="434"/>
      <c r="J38" s="435"/>
      <c r="K38" s="111">
        <f>IF(L38=0,0,IF(L38&lt;=C39,"1/2""",IF(L38&lt;=C40,"3/4""",IF(L38&lt;=C41,"1""",IF(L38&lt;=C42,"1-1/4""",IF(L38&lt;=C43,"1-1/2""",IF(L38&lt;=C44,"2""",IF(L38&lt;=C45,"2-1/2""",IF(L38&lt;=C46,"3""",IF(L38&lt;=C47,"3-1/2""",IF(L38&lt;=C48,"4""",IF(L38&lt;=C49,"5""",IF(L38&lt;=C50,"6""",0)))))))))))))</f>
        <v>0</v>
      </c>
      <c r="L38" s="433">
        <f>SUM(N33*S7)</f>
        <v>0</v>
      </c>
      <c r="M38" s="434"/>
      <c r="N38" s="435"/>
    </row>
    <row r="39" spans="1:15" ht="15.75" x14ac:dyDescent="0.25">
      <c r="A39" s="106">
        <v>1</v>
      </c>
      <c r="B39" s="2" t="s">
        <v>208</v>
      </c>
      <c r="C39" s="103">
        <v>4</v>
      </c>
      <c r="D39" s="304" t="s">
        <v>4</v>
      </c>
      <c r="E39" s="436"/>
    </row>
    <row r="40" spans="1:15" ht="15.75" x14ac:dyDescent="0.25">
      <c r="A40" s="106">
        <v>4.0999999999999996</v>
      </c>
      <c r="B40" s="2" t="s">
        <v>208</v>
      </c>
      <c r="C40" s="103">
        <v>9</v>
      </c>
      <c r="D40" s="304" t="s">
        <v>5</v>
      </c>
      <c r="E40" s="436"/>
    </row>
    <row r="41" spans="1:15" ht="16.5" thickBot="1" x14ac:dyDescent="0.3">
      <c r="A41" s="106">
        <v>9.1</v>
      </c>
      <c r="B41" s="2" t="s">
        <v>208</v>
      </c>
      <c r="C41" s="103">
        <v>16.5</v>
      </c>
      <c r="D41" s="304" t="s">
        <v>6</v>
      </c>
      <c r="E41" s="436"/>
    </row>
    <row r="42" spans="1:15" ht="17.25" thickTop="1" thickBot="1" x14ac:dyDescent="0.3">
      <c r="A42" s="106">
        <v>16.600000000000001</v>
      </c>
      <c r="B42" s="2" t="s">
        <v>208</v>
      </c>
      <c r="C42" s="103">
        <v>28</v>
      </c>
      <c r="D42" s="304" t="s">
        <v>7</v>
      </c>
      <c r="E42" s="436"/>
      <c r="G42" s="334" t="s">
        <v>203</v>
      </c>
      <c r="H42" s="335"/>
      <c r="I42" s="335"/>
      <c r="J42" s="336"/>
    </row>
    <row r="43" spans="1:15" ht="17.25" thickTop="1" thickBot="1" x14ac:dyDescent="0.3">
      <c r="A43" s="106">
        <v>28.1</v>
      </c>
      <c r="B43" s="2" t="s">
        <v>208</v>
      </c>
      <c r="C43" s="103">
        <v>55</v>
      </c>
      <c r="D43" s="304" t="s">
        <v>8</v>
      </c>
      <c r="E43" s="436"/>
      <c r="G43" s="57" t="s">
        <v>204</v>
      </c>
      <c r="H43" s="418" t="s">
        <v>205</v>
      </c>
      <c r="I43" s="419"/>
      <c r="J43" s="420"/>
    </row>
    <row r="44" spans="1:15" ht="16.5" thickBot="1" x14ac:dyDescent="0.3">
      <c r="A44" s="106">
        <v>55.1</v>
      </c>
      <c r="B44" s="2" t="s">
        <v>208</v>
      </c>
      <c r="C44" s="103">
        <v>107.5</v>
      </c>
      <c r="D44" s="304" t="s">
        <v>9</v>
      </c>
      <c r="E44" s="436"/>
      <c r="G44" s="111">
        <f>IF(H44=0,0,IF(H44&lt;=C39,"1/2""",IF(H44&lt;=C40,"3/4""",IF(H44&lt;=C41,"1""",IF(H44&lt;=C42,"1-1/4""",IF(H44&lt;=C43,"1-1/2""",IF(H44&lt;=C44,"2""",IF(H44&lt;=C45,"2-1/2""",IF(H44&lt;=C46,"3""",IF(H44&lt;=C47,"3-1/2""",IF(H44&lt;=C48,"4""",IF(H44&lt;=C49,"5""",IF(H44&lt;=C50,"6""",0)))))))))))))</f>
        <v>0</v>
      </c>
      <c r="H44" s="433">
        <f>SUM(O33*S7)</f>
        <v>0</v>
      </c>
      <c r="I44" s="434"/>
      <c r="J44" s="435"/>
    </row>
    <row r="45" spans="1:15" ht="16.5" thickTop="1" x14ac:dyDescent="0.25">
      <c r="A45" s="107">
        <v>107.6</v>
      </c>
      <c r="B45" s="2" t="s">
        <v>208</v>
      </c>
      <c r="C45" s="104">
        <v>182.5</v>
      </c>
      <c r="D45" s="311" t="s">
        <v>10</v>
      </c>
      <c r="E45" s="424"/>
    </row>
    <row r="46" spans="1:15" ht="15.75" x14ac:dyDescent="0.25">
      <c r="A46" s="107">
        <v>182.6</v>
      </c>
      <c r="B46" s="2" t="s">
        <v>208</v>
      </c>
      <c r="C46" s="104">
        <v>287.5</v>
      </c>
      <c r="D46" s="311" t="s">
        <v>209</v>
      </c>
      <c r="E46" s="424"/>
    </row>
    <row r="47" spans="1:15" ht="15.75" x14ac:dyDescent="0.25">
      <c r="A47" s="107">
        <v>287.60000000000002</v>
      </c>
      <c r="B47" s="2" t="s">
        <v>208</v>
      </c>
      <c r="C47" s="104">
        <v>425</v>
      </c>
      <c r="D47" s="304" t="s">
        <v>210</v>
      </c>
      <c r="E47" s="436"/>
    </row>
    <row r="48" spans="1:15" ht="15.75" x14ac:dyDescent="0.25">
      <c r="A48" s="107">
        <v>425.1</v>
      </c>
      <c r="B48" s="2" t="s">
        <v>208</v>
      </c>
      <c r="C48" s="104">
        <v>700</v>
      </c>
      <c r="D48" s="304" t="s">
        <v>211</v>
      </c>
      <c r="E48" s="436"/>
      <c r="G48" s="66"/>
    </row>
    <row r="49" spans="1:17" ht="15.75" x14ac:dyDescent="0.25">
      <c r="A49" s="107">
        <v>700.1</v>
      </c>
      <c r="B49" s="2" t="s">
        <v>208</v>
      </c>
      <c r="C49" s="104">
        <v>1100</v>
      </c>
      <c r="D49" s="304" t="s">
        <v>212</v>
      </c>
      <c r="E49" s="436"/>
    </row>
    <row r="50" spans="1:17" ht="16.5" thickBot="1" x14ac:dyDescent="0.3">
      <c r="A50" s="108">
        <v>1100.0999999999999</v>
      </c>
      <c r="B50" s="109" t="s">
        <v>208</v>
      </c>
      <c r="C50" s="110">
        <v>1300</v>
      </c>
      <c r="D50" s="437" t="s">
        <v>213</v>
      </c>
      <c r="E50" s="438"/>
    </row>
    <row r="51" spans="1:17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7" ht="15.75" x14ac:dyDescent="0.25">
      <c r="M52" s="1"/>
    </row>
    <row r="53" spans="1:17" ht="15.75" x14ac:dyDescent="0.25">
      <c r="M53" s="1"/>
      <c r="N53" s="1"/>
      <c r="O53" s="1"/>
    </row>
    <row r="54" spans="1:17" ht="15.75" x14ac:dyDescent="0.25">
      <c r="E54" s="12"/>
      <c r="F54" s="12"/>
      <c r="G54" s="12"/>
      <c r="H54" s="12"/>
      <c r="I54" s="12"/>
      <c r="J54" s="12"/>
      <c r="K54" s="12"/>
      <c r="L54" s="12"/>
      <c r="M54" s="1"/>
      <c r="N54" s="1"/>
      <c r="O54" s="1"/>
      <c r="Q54" s="66"/>
    </row>
    <row r="55" spans="1:17" ht="15.7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"/>
      <c r="N55" s="1"/>
      <c r="O55" s="1"/>
    </row>
    <row r="56" spans="1:17" ht="15.75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"/>
      <c r="N56" s="1"/>
      <c r="O56" s="1"/>
    </row>
    <row r="57" spans="1:17" ht="15.7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"/>
      <c r="N57" s="1"/>
      <c r="O57" s="1"/>
    </row>
    <row r="58" spans="1:17" ht="15.7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"/>
      <c r="N58" s="1"/>
      <c r="O58" s="1"/>
    </row>
  </sheetData>
  <mergeCells count="110">
    <mergeCell ref="A9:B9"/>
    <mergeCell ref="C9:F9"/>
    <mergeCell ref="J9:L9"/>
    <mergeCell ref="A10:B10"/>
    <mergeCell ref="C10:F10"/>
    <mergeCell ref="J10:L10"/>
    <mergeCell ref="D1:L2"/>
    <mergeCell ref="A4:O4"/>
    <mergeCell ref="A5:O5"/>
    <mergeCell ref="A6:O6"/>
    <mergeCell ref="A7:B8"/>
    <mergeCell ref="C7:F8"/>
    <mergeCell ref="G7:I7"/>
    <mergeCell ref="J7:L7"/>
    <mergeCell ref="M7:O7"/>
    <mergeCell ref="J8:L8"/>
    <mergeCell ref="A13:B13"/>
    <mergeCell ref="C13:F13"/>
    <mergeCell ref="J13:L13"/>
    <mergeCell ref="A14:B14"/>
    <mergeCell ref="C14:F14"/>
    <mergeCell ref="J14:L14"/>
    <mergeCell ref="A11:B11"/>
    <mergeCell ref="C11:F11"/>
    <mergeCell ref="J11:L11"/>
    <mergeCell ref="A12:B12"/>
    <mergeCell ref="C12:F12"/>
    <mergeCell ref="J12:L12"/>
    <mergeCell ref="A17:B17"/>
    <mergeCell ref="C17:F17"/>
    <mergeCell ref="J17:L17"/>
    <mergeCell ref="A18:B18"/>
    <mergeCell ref="C18:F18"/>
    <mergeCell ref="J18:L18"/>
    <mergeCell ref="A15:B15"/>
    <mergeCell ref="C15:F15"/>
    <mergeCell ref="J15:L15"/>
    <mergeCell ref="A16:B16"/>
    <mergeCell ref="C16:F16"/>
    <mergeCell ref="J16:L16"/>
    <mergeCell ref="A21:B21"/>
    <mergeCell ref="C21:F21"/>
    <mergeCell ref="J21:L21"/>
    <mergeCell ref="A22:B22"/>
    <mergeCell ref="C22:F22"/>
    <mergeCell ref="J22:L22"/>
    <mergeCell ref="A19:B19"/>
    <mergeCell ref="C19:F19"/>
    <mergeCell ref="J19:L19"/>
    <mergeCell ref="A20:B20"/>
    <mergeCell ref="C20:F20"/>
    <mergeCell ref="J20:L20"/>
    <mergeCell ref="A25:B25"/>
    <mergeCell ref="C25:F25"/>
    <mergeCell ref="J25:L25"/>
    <mergeCell ref="A26:B26"/>
    <mergeCell ref="C26:F26"/>
    <mergeCell ref="J26:L26"/>
    <mergeCell ref="A23:B23"/>
    <mergeCell ref="C23:F23"/>
    <mergeCell ref="J23:L23"/>
    <mergeCell ref="A24:B24"/>
    <mergeCell ref="C24:F24"/>
    <mergeCell ref="J24:L24"/>
    <mergeCell ref="A29:B29"/>
    <mergeCell ref="C29:F29"/>
    <mergeCell ref="J29:L29"/>
    <mergeCell ref="A30:B30"/>
    <mergeCell ref="C30:F30"/>
    <mergeCell ref="J30:L30"/>
    <mergeCell ref="A27:B27"/>
    <mergeCell ref="C27:F27"/>
    <mergeCell ref="J27:L27"/>
    <mergeCell ref="A28:B28"/>
    <mergeCell ref="C28:F28"/>
    <mergeCell ref="J28:L28"/>
    <mergeCell ref="D50:E50"/>
    <mergeCell ref="D48:E48"/>
    <mergeCell ref="D49:E49"/>
    <mergeCell ref="D47:E47"/>
    <mergeCell ref="D44:E44"/>
    <mergeCell ref="D45:E45"/>
    <mergeCell ref="D42:E42"/>
    <mergeCell ref="D43:E43"/>
    <mergeCell ref="D40:E40"/>
    <mergeCell ref="D41:E41"/>
    <mergeCell ref="L37:N37"/>
    <mergeCell ref="H43:J43"/>
    <mergeCell ref="R5:R6"/>
    <mergeCell ref="S5:S6"/>
    <mergeCell ref="D46:E46"/>
    <mergeCell ref="D38:E38"/>
    <mergeCell ref="A36:E36"/>
    <mergeCell ref="A37:E37"/>
    <mergeCell ref="G36:J36"/>
    <mergeCell ref="K36:N36"/>
    <mergeCell ref="G42:J42"/>
    <mergeCell ref="H37:J37"/>
    <mergeCell ref="H38:J38"/>
    <mergeCell ref="L38:N38"/>
    <mergeCell ref="H44:J44"/>
    <mergeCell ref="D39:E39"/>
    <mergeCell ref="A38:C38"/>
    <mergeCell ref="J33:L33"/>
    <mergeCell ref="A31:B31"/>
    <mergeCell ref="C31:F31"/>
    <mergeCell ref="J31:L31"/>
    <mergeCell ref="A32:B32"/>
    <mergeCell ref="C32:F32"/>
    <mergeCell ref="J32:L32"/>
  </mergeCells>
  <dataValidations count="3">
    <dataValidation type="list" allowBlank="1" showInputMessage="1" showErrorMessage="1" sqref="S4" xr:uid="{DF05E5B5-A4DD-4F89-9584-0D32D7E417CB}">
      <formula1>$AG$5:$AG$10</formula1>
    </dataValidation>
    <dataValidation type="list" allowBlank="1" showInputMessage="1" showErrorMessage="1" sqref="S6" xr:uid="{0E77B422-E8FF-47D2-ACF4-62B65FAD4E10}">
      <formula1>IF(S5=AG6,AI6:AI8,IF(S5=AG7,AI10:AI11,IF(S5=AG8,AI13,IF(S5=AG9,AI15:AI17,IF(S5=AG10,AI19:AI21,IF(S5=AD12,AI22,0))))))</formula1>
    </dataValidation>
    <dataValidation type="list" allowBlank="1" showInputMessage="1" showErrorMessage="1" sqref="S5" xr:uid="{EA4AE91A-1EDA-45BB-A8F8-E6843B366486}">
      <formula1>IF(S4=AG5,AI5:AI7,IF(S4=AG6,AI9:AI10,IF(S4=AG7,AI12,IF(S4=AG8,AI14:AI16,IF(S4=AG9,AI18:AI20,IF(S4=AG10,AI21,0))))))</formula1>
    </dataValidation>
  </dataValidation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8180-B5FE-4057-B48D-E05091DD88B4}">
  <sheetPr>
    <pageSetUpPr fitToPage="1"/>
  </sheetPr>
  <dimension ref="A1:W71"/>
  <sheetViews>
    <sheetView zoomScaleNormal="100" workbookViewId="0">
      <selection activeCell="A8" sqref="A8:B8"/>
    </sheetView>
  </sheetViews>
  <sheetFormatPr defaultRowHeight="15.75" customHeight="1" x14ac:dyDescent="0.2"/>
  <cols>
    <col min="1" max="12" width="8.7109375" customWidth="1"/>
    <col min="13" max="13" width="9.42578125" customWidth="1"/>
    <col min="14" max="14" width="8.7109375" customWidth="1"/>
    <col min="15" max="15" width="8.7109375" style="13" customWidth="1"/>
    <col min="16" max="31" width="8.7109375" customWidth="1"/>
  </cols>
  <sheetData>
    <row r="1" spans="1:16" ht="17.25" thickTop="1" thickBot="1" x14ac:dyDescent="0.3">
      <c r="D1" s="298" t="s">
        <v>217</v>
      </c>
      <c r="E1" s="298"/>
      <c r="F1" s="298"/>
      <c r="G1" s="298"/>
      <c r="H1" s="298"/>
      <c r="I1" s="298"/>
      <c r="J1" s="298"/>
      <c r="K1" s="298"/>
      <c r="L1" s="298"/>
      <c r="M1" s="1"/>
      <c r="O1"/>
    </row>
    <row r="2" spans="1:16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  <c r="O2"/>
    </row>
    <row r="3" spans="1:16" ht="17.25" thickTop="1" thickBot="1" x14ac:dyDescent="0.3">
      <c r="M3" s="1"/>
      <c r="O3"/>
    </row>
    <row r="4" spans="1:16" ht="30" customHeight="1" thickTop="1" x14ac:dyDescent="0.2">
      <c r="A4" s="371" t="s">
        <v>255</v>
      </c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3"/>
    </row>
    <row r="5" spans="1:16" ht="15.75" customHeight="1" x14ac:dyDescent="0.2">
      <c r="A5" s="374" t="s">
        <v>221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6"/>
    </row>
    <row r="6" spans="1:16" ht="15.75" customHeight="1" thickBot="1" x14ac:dyDescent="0.25">
      <c r="A6" s="329"/>
      <c r="B6" s="33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1"/>
      <c r="P6" s="113"/>
    </row>
    <row r="7" spans="1:16" ht="15.75" customHeight="1" x14ac:dyDescent="0.25">
      <c r="A7" s="377" t="s">
        <v>39</v>
      </c>
      <c r="B7" s="286"/>
      <c r="C7" s="378" t="s">
        <v>38</v>
      </c>
      <c r="D7" s="378"/>
      <c r="E7" s="378"/>
      <c r="F7" s="378"/>
      <c r="G7" s="378"/>
      <c r="H7" s="378" t="s">
        <v>37</v>
      </c>
      <c r="I7" s="378"/>
      <c r="J7" s="62"/>
      <c r="K7" s="378" t="s">
        <v>112</v>
      </c>
      <c r="L7" s="378"/>
      <c r="M7" s="378" t="s">
        <v>113</v>
      </c>
      <c r="N7" s="378"/>
      <c r="O7" s="63" t="s">
        <v>32</v>
      </c>
    </row>
    <row r="8" spans="1:16" ht="15.75" customHeight="1" x14ac:dyDescent="0.25">
      <c r="A8" s="358">
        <v>0</v>
      </c>
      <c r="B8" s="359"/>
      <c r="C8" s="304" t="s">
        <v>115</v>
      </c>
      <c r="D8" s="304"/>
      <c r="E8" s="304"/>
      <c r="F8" s="304"/>
      <c r="G8" s="304"/>
      <c r="H8" s="360">
        <v>2</v>
      </c>
      <c r="I8" s="360"/>
      <c r="J8" s="3" t="s">
        <v>0</v>
      </c>
      <c r="K8" s="360" t="s">
        <v>224</v>
      </c>
      <c r="L8" s="360"/>
      <c r="M8" s="360" t="s">
        <v>224</v>
      </c>
      <c r="N8" s="360"/>
      <c r="O8" s="59">
        <f>H8*A8</f>
        <v>0</v>
      </c>
    </row>
    <row r="9" spans="1:16" ht="15.75" customHeight="1" x14ac:dyDescent="0.25">
      <c r="A9" s="358">
        <v>0</v>
      </c>
      <c r="B9" s="359"/>
      <c r="C9" s="304" t="s">
        <v>165</v>
      </c>
      <c r="D9" s="304"/>
      <c r="E9" s="304"/>
      <c r="F9" s="304"/>
      <c r="G9" s="304"/>
      <c r="H9" s="360">
        <v>2</v>
      </c>
      <c r="I9" s="360"/>
      <c r="J9" s="3" t="s">
        <v>0</v>
      </c>
      <c r="K9" s="360" t="s">
        <v>223</v>
      </c>
      <c r="L9" s="360"/>
      <c r="M9" s="360" t="s">
        <v>223</v>
      </c>
      <c r="N9" s="360"/>
      <c r="O9" s="59">
        <f t="shared" ref="O9:O26" si="0">H9*A9</f>
        <v>0</v>
      </c>
    </row>
    <row r="10" spans="1:16" ht="15.75" customHeight="1" x14ac:dyDescent="0.25">
      <c r="A10" s="358">
        <v>0</v>
      </c>
      <c r="B10" s="359"/>
      <c r="C10" s="304" t="s">
        <v>218</v>
      </c>
      <c r="D10" s="304"/>
      <c r="E10" s="304"/>
      <c r="F10" s="304"/>
      <c r="G10" s="304"/>
      <c r="H10" s="360">
        <v>1</v>
      </c>
      <c r="I10" s="360"/>
      <c r="J10" s="3" t="s">
        <v>0</v>
      </c>
      <c r="K10" s="360" t="s">
        <v>224</v>
      </c>
      <c r="L10" s="360"/>
      <c r="M10" s="360" t="s">
        <v>224</v>
      </c>
      <c r="N10" s="360"/>
      <c r="O10" s="59">
        <f t="shared" si="0"/>
        <v>0</v>
      </c>
    </row>
    <row r="11" spans="1:16" ht="15.75" customHeight="1" x14ac:dyDescent="0.25">
      <c r="A11" s="358">
        <v>0</v>
      </c>
      <c r="B11" s="359"/>
      <c r="C11" s="304" t="s">
        <v>219</v>
      </c>
      <c r="D11" s="304"/>
      <c r="E11" s="304"/>
      <c r="F11" s="304"/>
      <c r="G11" s="304"/>
      <c r="H11" s="360">
        <v>1</v>
      </c>
      <c r="I11" s="360"/>
      <c r="J11" s="3" t="s">
        <v>0</v>
      </c>
      <c r="K11" s="360" t="s">
        <v>223</v>
      </c>
      <c r="L11" s="360"/>
      <c r="M11" s="360" t="s">
        <v>223</v>
      </c>
      <c r="N11" s="360"/>
      <c r="O11" s="59">
        <f t="shared" si="0"/>
        <v>0</v>
      </c>
    </row>
    <row r="12" spans="1:16" ht="15.75" customHeight="1" x14ac:dyDescent="0.25">
      <c r="A12" s="358">
        <v>0</v>
      </c>
      <c r="B12" s="359"/>
      <c r="C12" s="304" t="s">
        <v>220</v>
      </c>
      <c r="D12" s="304"/>
      <c r="E12" s="304"/>
      <c r="F12" s="304"/>
      <c r="G12" s="304"/>
      <c r="H12" s="360">
        <v>1</v>
      </c>
      <c r="I12" s="360"/>
      <c r="J12" s="3" t="s">
        <v>0</v>
      </c>
      <c r="K12" s="360" t="s">
        <v>223</v>
      </c>
      <c r="L12" s="360"/>
      <c r="M12" s="360" t="s">
        <v>223</v>
      </c>
      <c r="N12" s="360"/>
      <c r="O12" s="59">
        <f t="shared" si="0"/>
        <v>0</v>
      </c>
    </row>
    <row r="13" spans="1:16" ht="15.75" customHeight="1" x14ac:dyDescent="0.25">
      <c r="A13" s="358">
        <v>0</v>
      </c>
      <c r="B13" s="359"/>
      <c r="C13" s="304" t="s">
        <v>168</v>
      </c>
      <c r="D13" s="304"/>
      <c r="E13" s="304"/>
      <c r="F13" s="304"/>
      <c r="G13" s="304"/>
      <c r="H13" s="360">
        <v>6</v>
      </c>
      <c r="I13" s="360"/>
      <c r="J13" s="3" t="s">
        <v>0</v>
      </c>
      <c r="K13" s="360" t="s">
        <v>253</v>
      </c>
      <c r="L13" s="360"/>
      <c r="M13" s="360" t="s">
        <v>253</v>
      </c>
      <c r="N13" s="360"/>
      <c r="O13" s="59">
        <f t="shared" si="0"/>
        <v>0</v>
      </c>
    </row>
    <row r="14" spans="1:16" ht="15.75" customHeight="1" x14ac:dyDescent="0.25">
      <c r="A14" s="358">
        <v>0</v>
      </c>
      <c r="B14" s="359"/>
      <c r="C14" s="304" t="s">
        <v>222</v>
      </c>
      <c r="D14" s="304"/>
      <c r="E14" s="304"/>
      <c r="F14" s="304"/>
      <c r="G14" s="304"/>
      <c r="H14" s="360">
        <v>1</v>
      </c>
      <c r="I14" s="360"/>
      <c r="J14" s="3" t="s">
        <v>0</v>
      </c>
      <c r="K14" s="360" t="s">
        <v>223</v>
      </c>
      <c r="L14" s="360"/>
      <c r="M14" s="360" t="s">
        <v>223</v>
      </c>
      <c r="N14" s="360"/>
      <c r="O14" s="59">
        <f t="shared" si="0"/>
        <v>0</v>
      </c>
    </row>
    <row r="15" spans="1:16" ht="15.75" customHeight="1" x14ac:dyDescent="0.25">
      <c r="A15" s="358">
        <v>0</v>
      </c>
      <c r="B15" s="359"/>
      <c r="C15" s="295" t="s">
        <v>225</v>
      </c>
      <c r="D15" s="296"/>
      <c r="E15" s="296"/>
      <c r="F15" s="296"/>
      <c r="G15" s="297"/>
      <c r="H15" s="360">
        <v>4</v>
      </c>
      <c r="I15" s="360"/>
      <c r="J15" s="3" t="s">
        <v>0</v>
      </c>
      <c r="K15" s="360" t="s">
        <v>72</v>
      </c>
      <c r="L15" s="360"/>
      <c r="M15" s="360" t="s">
        <v>72</v>
      </c>
      <c r="N15" s="360"/>
      <c r="O15" s="59">
        <f t="shared" si="0"/>
        <v>0</v>
      </c>
    </row>
    <row r="16" spans="1:16" ht="15.75" customHeight="1" x14ac:dyDescent="0.25">
      <c r="A16" s="358">
        <v>0</v>
      </c>
      <c r="B16" s="359"/>
      <c r="C16" s="295" t="s">
        <v>226</v>
      </c>
      <c r="D16" s="296"/>
      <c r="E16" s="296"/>
      <c r="F16" s="296"/>
      <c r="G16" s="297"/>
      <c r="H16" s="360">
        <v>5</v>
      </c>
      <c r="I16" s="360"/>
      <c r="J16" s="3" t="s">
        <v>0</v>
      </c>
      <c r="K16" s="360" t="s">
        <v>75</v>
      </c>
      <c r="L16" s="360"/>
      <c r="M16" s="360" t="s">
        <v>75</v>
      </c>
      <c r="N16" s="360"/>
      <c r="O16" s="59">
        <f t="shared" si="0"/>
        <v>0</v>
      </c>
    </row>
    <row r="17" spans="1:15" ht="15.75" customHeight="1" x14ac:dyDescent="0.25">
      <c r="A17" s="358">
        <v>0</v>
      </c>
      <c r="B17" s="359"/>
      <c r="C17" s="295" t="s">
        <v>227</v>
      </c>
      <c r="D17" s="296"/>
      <c r="E17" s="296"/>
      <c r="F17" s="296"/>
      <c r="G17" s="297"/>
      <c r="H17" s="360">
        <v>6</v>
      </c>
      <c r="I17" s="360"/>
      <c r="J17" s="3" t="s">
        <v>0</v>
      </c>
      <c r="K17" s="360" t="s">
        <v>155</v>
      </c>
      <c r="L17" s="360"/>
      <c r="M17" s="360" t="s">
        <v>155</v>
      </c>
      <c r="N17" s="360"/>
      <c r="O17" s="59">
        <f t="shared" si="0"/>
        <v>0</v>
      </c>
    </row>
    <row r="18" spans="1:15" ht="15.75" customHeight="1" x14ac:dyDescent="0.25">
      <c r="A18" s="358">
        <v>0</v>
      </c>
      <c r="B18" s="359"/>
      <c r="C18" s="295" t="s">
        <v>228</v>
      </c>
      <c r="D18" s="296"/>
      <c r="E18" s="296"/>
      <c r="F18" s="296"/>
      <c r="G18" s="297"/>
      <c r="H18" s="360">
        <v>2</v>
      </c>
      <c r="I18" s="360"/>
      <c r="J18" s="3" t="s">
        <v>0</v>
      </c>
      <c r="K18" s="360" t="s">
        <v>223</v>
      </c>
      <c r="L18" s="360"/>
      <c r="M18" s="360" t="s">
        <v>223</v>
      </c>
      <c r="N18" s="360"/>
      <c r="O18" s="59">
        <f t="shared" si="0"/>
        <v>0</v>
      </c>
    </row>
    <row r="19" spans="1:15" ht="15.75" customHeight="1" x14ac:dyDescent="0.25">
      <c r="A19" s="358">
        <v>0</v>
      </c>
      <c r="B19" s="359"/>
      <c r="C19" s="295" t="s">
        <v>48</v>
      </c>
      <c r="D19" s="296"/>
      <c r="E19" s="296"/>
      <c r="F19" s="296"/>
      <c r="G19" s="297"/>
      <c r="H19" s="360">
        <v>1</v>
      </c>
      <c r="I19" s="360"/>
      <c r="J19" s="3" t="s">
        <v>0</v>
      </c>
      <c r="K19" s="360" t="s">
        <v>223</v>
      </c>
      <c r="L19" s="360"/>
      <c r="M19" s="360" t="s">
        <v>223</v>
      </c>
      <c r="N19" s="360"/>
      <c r="O19" s="59">
        <f t="shared" si="0"/>
        <v>0</v>
      </c>
    </row>
    <row r="20" spans="1:15" ht="15.75" customHeight="1" x14ac:dyDescent="0.25">
      <c r="A20" s="358">
        <v>0</v>
      </c>
      <c r="B20" s="359"/>
      <c r="C20" s="295" t="s">
        <v>229</v>
      </c>
      <c r="D20" s="296"/>
      <c r="E20" s="296"/>
      <c r="F20" s="296"/>
      <c r="G20" s="297"/>
      <c r="H20" s="360">
        <v>3</v>
      </c>
      <c r="I20" s="360"/>
      <c r="J20" s="3" t="s">
        <v>0</v>
      </c>
      <c r="K20" s="360" t="s">
        <v>72</v>
      </c>
      <c r="L20" s="360"/>
      <c r="M20" s="360" t="s">
        <v>72</v>
      </c>
      <c r="N20" s="360"/>
      <c r="O20" s="59">
        <f t="shared" si="0"/>
        <v>0</v>
      </c>
    </row>
    <row r="21" spans="1:15" ht="15.75" customHeight="1" x14ac:dyDescent="0.25">
      <c r="A21" s="358">
        <v>0</v>
      </c>
      <c r="B21" s="359"/>
      <c r="C21" s="295" t="s">
        <v>230</v>
      </c>
      <c r="D21" s="296"/>
      <c r="E21" s="296"/>
      <c r="F21" s="296"/>
      <c r="G21" s="297"/>
      <c r="H21" s="360">
        <v>2</v>
      </c>
      <c r="I21" s="360"/>
      <c r="J21" s="3" t="s">
        <v>0</v>
      </c>
      <c r="K21" s="360" t="s">
        <v>72</v>
      </c>
      <c r="L21" s="360"/>
      <c r="M21" s="360" t="s">
        <v>72</v>
      </c>
      <c r="N21" s="360"/>
      <c r="O21" s="59">
        <f t="shared" si="0"/>
        <v>0</v>
      </c>
    </row>
    <row r="22" spans="1:15" ht="15.75" customHeight="1" x14ac:dyDescent="0.25">
      <c r="A22" s="358">
        <v>0</v>
      </c>
      <c r="B22" s="359"/>
      <c r="C22" s="295" t="s">
        <v>231</v>
      </c>
      <c r="D22" s="296"/>
      <c r="E22" s="296"/>
      <c r="F22" s="296"/>
      <c r="G22" s="297"/>
      <c r="H22" s="360">
        <v>2</v>
      </c>
      <c r="I22" s="360"/>
      <c r="J22" s="3" t="s">
        <v>0</v>
      </c>
      <c r="K22" s="360" t="s">
        <v>72</v>
      </c>
      <c r="L22" s="360"/>
      <c r="M22" s="360" t="s">
        <v>72</v>
      </c>
      <c r="N22" s="360"/>
      <c r="O22" s="59">
        <f t="shared" si="0"/>
        <v>0</v>
      </c>
    </row>
    <row r="23" spans="1:15" ht="15.75" customHeight="1" x14ac:dyDescent="0.25">
      <c r="A23" s="358">
        <v>0</v>
      </c>
      <c r="B23" s="359"/>
      <c r="C23" s="295" t="s">
        <v>232</v>
      </c>
      <c r="D23" s="296"/>
      <c r="E23" s="296"/>
      <c r="F23" s="296"/>
      <c r="G23" s="297"/>
      <c r="H23" s="360">
        <v>2</v>
      </c>
      <c r="I23" s="360"/>
      <c r="J23" s="3" t="s">
        <v>0</v>
      </c>
      <c r="K23" s="360" t="s">
        <v>75</v>
      </c>
      <c r="L23" s="360"/>
      <c r="M23" s="360" t="s">
        <v>75</v>
      </c>
      <c r="N23" s="360"/>
      <c r="O23" s="59">
        <f t="shared" si="0"/>
        <v>0</v>
      </c>
    </row>
    <row r="24" spans="1:15" ht="15.75" customHeight="1" x14ac:dyDescent="0.25">
      <c r="A24" s="358">
        <v>0</v>
      </c>
      <c r="B24" s="359"/>
      <c r="C24" s="304" t="s">
        <v>233</v>
      </c>
      <c r="D24" s="304"/>
      <c r="E24" s="304"/>
      <c r="F24" s="304"/>
      <c r="G24" s="304"/>
      <c r="H24" s="360">
        <v>1</v>
      </c>
      <c r="I24" s="360"/>
      <c r="J24" s="3" t="s">
        <v>0</v>
      </c>
      <c r="K24" s="360" t="s">
        <v>223</v>
      </c>
      <c r="L24" s="360"/>
      <c r="M24" s="360" t="s">
        <v>223</v>
      </c>
      <c r="N24" s="360"/>
      <c r="O24" s="59">
        <f t="shared" si="0"/>
        <v>0</v>
      </c>
    </row>
    <row r="25" spans="1:15" ht="15.75" customHeight="1" x14ac:dyDescent="0.25">
      <c r="A25" s="358">
        <v>0</v>
      </c>
      <c r="B25" s="359"/>
      <c r="C25" s="304" t="s">
        <v>238</v>
      </c>
      <c r="D25" s="304"/>
      <c r="E25" s="304"/>
      <c r="F25" s="304"/>
      <c r="G25" s="304"/>
      <c r="H25" s="360">
        <v>2</v>
      </c>
      <c r="I25" s="360"/>
      <c r="J25" s="3" t="s">
        <v>0</v>
      </c>
      <c r="K25" s="360" t="s">
        <v>224</v>
      </c>
      <c r="L25" s="360"/>
      <c r="M25" s="360" t="s">
        <v>224</v>
      </c>
      <c r="N25" s="360"/>
      <c r="O25" s="59">
        <f t="shared" si="0"/>
        <v>0</v>
      </c>
    </row>
    <row r="26" spans="1:15" ht="15.75" customHeight="1" x14ac:dyDescent="0.25">
      <c r="A26" s="358">
        <v>0</v>
      </c>
      <c r="B26" s="359"/>
      <c r="C26" s="304" t="s">
        <v>237</v>
      </c>
      <c r="D26" s="304"/>
      <c r="E26" s="304"/>
      <c r="F26" s="304"/>
      <c r="G26" s="304"/>
      <c r="H26" s="360">
        <v>3</v>
      </c>
      <c r="I26" s="360"/>
      <c r="J26" s="3" t="s">
        <v>0</v>
      </c>
      <c r="K26" s="360" t="s">
        <v>72</v>
      </c>
      <c r="L26" s="360"/>
      <c r="M26" s="360" t="s">
        <v>72</v>
      </c>
      <c r="N26" s="360"/>
      <c r="O26" s="59">
        <f t="shared" si="0"/>
        <v>0</v>
      </c>
    </row>
    <row r="27" spans="1:15" ht="15.75" customHeight="1" x14ac:dyDescent="0.25">
      <c r="A27" s="358">
        <v>0</v>
      </c>
      <c r="B27" s="359"/>
      <c r="C27" s="304" t="s">
        <v>236</v>
      </c>
      <c r="D27" s="304"/>
      <c r="E27" s="304"/>
      <c r="F27" s="304"/>
      <c r="G27" s="304"/>
      <c r="H27" s="360">
        <v>4</v>
      </c>
      <c r="I27" s="360"/>
      <c r="J27" s="3" t="s">
        <v>0</v>
      </c>
      <c r="K27" s="360" t="s">
        <v>239</v>
      </c>
      <c r="L27" s="360"/>
      <c r="M27" s="360" t="s">
        <v>239</v>
      </c>
      <c r="N27" s="360"/>
      <c r="O27" s="59">
        <f t="shared" ref="O27:O29" si="1">H27*A27</f>
        <v>0</v>
      </c>
    </row>
    <row r="28" spans="1:15" ht="15.75" customHeight="1" x14ac:dyDescent="0.25">
      <c r="A28" s="358">
        <v>0</v>
      </c>
      <c r="B28" s="359"/>
      <c r="C28" s="304" t="s">
        <v>235</v>
      </c>
      <c r="D28" s="304"/>
      <c r="E28" s="304"/>
      <c r="F28" s="304"/>
      <c r="G28" s="304"/>
      <c r="H28" s="360">
        <v>5</v>
      </c>
      <c r="I28" s="360"/>
      <c r="J28" s="3" t="s">
        <v>0</v>
      </c>
      <c r="K28" s="360" t="s">
        <v>75</v>
      </c>
      <c r="L28" s="360"/>
      <c r="M28" s="360" t="s">
        <v>75</v>
      </c>
      <c r="N28" s="360"/>
      <c r="O28" s="59">
        <f t="shared" si="1"/>
        <v>0</v>
      </c>
    </row>
    <row r="29" spans="1:15" ht="15.75" customHeight="1" x14ac:dyDescent="0.25">
      <c r="A29" s="358">
        <v>0</v>
      </c>
      <c r="B29" s="359"/>
      <c r="C29" s="304" t="s">
        <v>234</v>
      </c>
      <c r="D29" s="304"/>
      <c r="E29" s="304"/>
      <c r="F29" s="304"/>
      <c r="G29" s="304"/>
      <c r="H29" s="360">
        <v>6</v>
      </c>
      <c r="I29" s="360"/>
      <c r="J29" s="3" t="s">
        <v>0</v>
      </c>
      <c r="K29" s="360" t="s">
        <v>155</v>
      </c>
      <c r="L29" s="360"/>
      <c r="M29" s="360" t="s">
        <v>155</v>
      </c>
      <c r="N29" s="360"/>
      <c r="O29" s="59">
        <f t="shared" si="1"/>
        <v>0</v>
      </c>
    </row>
    <row r="30" spans="1:15" ht="15.75" customHeight="1" x14ac:dyDescent="0.25">
      <c r="A30" s="318" t="s">
        <v>119</v>
      </c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19"/>
    </row>
    <row r="31" spans="1:15" ht="15.75" customHeight="1" x14ac:dyDescent="0.25">
      <c r="A31" s="358">
        <v>0</v>
      </c>
      <c r="B31" s="359"/>
      <c r="C31" s="304" t="s">
        <v>240</v>
      </c>
      <c r="D31" s="304"/>
      <c r="E31" s="304"/>
      <c r="F31" s="304"/>
      <c r="G31" s="304"/>
      <c r="H31" s="360">
        <v>3</v>
      </c>
      <c r="I31" s="360"/>
      <c r="J31" s="3" t="s">
        <v>0</v>
      </c>
      <c r="K31" s="360" t="s">
        <v>75</v>
      </c>
      <c r="L31" s="360"/>
      <c r="M31" s="360" t="s">
        <v>75</v>
      </c>
      <c r="N31" s="360"/>
      <c r="O31" s="59">
        <f t="shared" ref="O31:O36" si="2">H31*A31</f>
        <v>0</v>
      </c>
    </row>
    <row r="32" spans="1:15" ht="15.75" customHeight="1" x14ac:dyDescent="0.25">
      <c r="A32" s="358">
        <v>0</v>
      </c>
      <c r="B32" s="359"/>
      <c r="C32" s="304" t="s">
        <v>241</v>
      </c>
      <c r="D32" s="304"/>
      <c r="E32" s="304"/>
      <c r="F32" s="304"/>
      <c r="G32" s="304"/>
      <c r="H32" s="360">
        <v>6</v>
      </c>
      <c r="I32" s="360"/>
      <c r="J32" s="3" t="s">
        <v>0</v>
      </c>
      <c r="K32" s="360" t="s">
        <v>239</v>
      </c>
      <c r="L32" s="360"/>
      <c r="M32" s="360" t="s">
        <v>239</v>
      </c>
      <c r="N32" s="360"/>
      <c r="O32" s="59">
        <f t="shared" si="2"/>
        <v>0</v>
      </c>
    </row>
    <row r="33" spans="1:23" ht="15.75" customHeight="1" x14ac:dyDescent="0.25">
      <c r="A33" s="358">
        <v>0</v>
      </c>
      <c r="B33" s="359"/>
      <c r="C33" s="304" t="s">
        <v>242</v>
      </c>
      <c r="D33" s="304"/>
      <c r="E33" s="304"/>
      <c r="F33" s="304"/>
      <c r="G33" s="304"/>
      <c r="H33" s="360">
        <v>3</v>
      </c>
      <c r="I33" s="360"/>
      <c r="J33" s="3" t="s">
        <v>0</v>
      </c>
      <c r="K33" s="360" t="s">
        <v>75</v>
      </c>
      <c r="L33" s="360"/>
      <c r="M33" s="360" t="s">
        <v>75</v>
      </c>
      <c r="N33" s="360"/>
      <c r="O33" s="59">
        <f t="shared" si="2"/>
        <v>0</v>
      </c>
    </row>
    <row r="34" spans="1:23" ht="15.75" customHeight="1" x14ac:dyDescent="0.25">
      <c r="A34" s="358">
        <v>0</v>
      </c>
      <c r="B34" s="359"/>
      <c r="C34" s="304" t="s">
        <v>243</v>
      </c>
      <c r="D34" s="304"/>
      <c r="E34" s="304"/>
      <c r="F34" s="304"/>
      <c r="G34" s="304"/>
      <c r="H34" s="360">
        <v>2</v>
      </c>
      <c r="I34" s="360"/>
      <c r="J34" s="3" t="s">
        <v>0</v>
      </c>
      <c r="K34" s="360" t="s">
        <v>72</v>
      </c>
      <c r="L34" s="360"/>
      <c r="M34" s="360" t="s">
        <v>72</v>
      </c>
      <c r="N34" s="360"/>
      <c r="O34" s="59">
        <f t="shared" si="2"/>
        <v>0</v>
      </c>
    </row>
    <row r="35" spans="1:23" ht="15.75" customHeight="1" x14ac:dyDescent="0.25">
      <c r="A35" s="358">
        <v>0</v>
      </c>
      <c r="B35" s="358"/>
      <c r="C35" s="295" t="s">
        <v>244</v>
      </c>
      <c r="D35" s="295"/>
      <c r="E35" s="295"/>
      <c r="F35" s="295"/>
      <c r="G35" s="295"/>
      <c r="H35" s="439">
        <v>4</v>
      </c>
      <c r="I35" s="439"/>
      <c r="J35" s="3" t="s">
        <v>0</v>
      </c>
      <c r="K35" s="439" t="s">
        <v>75</v>
      </c>
      <c r="L35" s="439"/>
      <c r="M35" s="439" t="s">
        <v>75</v>
      </c>
      <c r="N35" s="439"/>
      <c r="O35" s="59">
        <f t="shared" si="2"/>
        <v>0</v>
      </c>
    </row>
    <row r="36" spans="1:23" ht="15.75" customHeight="1" x14ac:dyDescent="0.25">
      <c r="A36" s="358">
        <v>0</v>
      </c>
      <c r="B36" s="359"/>
      <c r="C36" s="295" t="s">
        <v>245</v>
      </c>
      <c r="D36" s="296"/>
      <c r="E36" s="296"/>
      <c r="F36" s="296"/>
      <c r="G36" s="297"/>
      <c r="H36" s="439">
        <v>2</v>
      </c>
      <c r="I36" s="440"/>
      <c r="J36" s="3" t="s">
        <v>0</v>
      </c>
      <c r="K36" s="439" t="s">
        <v>224</v>
      </c>
      <c r="L36" s="440"/>
      <c r="M36" s="439" t="s">
        <v>224</v>
      </c>
      <c r="N36" s="440"/>
      <c r="O36" s="59">
        <f t="shared" si="2"/>
        <v>0</v>
      </c>
    </row>
    <row r="37" spans="1:23" ht="15.75" customHeight="1" x14ac:dyDescent="0.25">
      <c r="A37" s="318" t="s">
        <v>246</v>
      </c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19"/>
    </row>
    <row r="38" spans="1:23" ht="15.75" customHeight="1" x14ac:dyDescent="0.25">
      <c r="A38" s="358">
        <v>0</v>
      </c>
      <c r="B38" s="359"/>
      <c r="C38" s="304" t="s">
        <v>247</v>
      </c>
      <c r="D38" s="304"/>
      <c r="E38" s="304"/>
      <c r="F38" s="304"/>
      <c r="G38" s="304"/>
      <c r="H38" s="360">
        <v>4</v>
      </c>
      <c r="I38" s="360"/>
      <c r="J38" s="3" t="s">
        <v>0</v>
      </c>
      <c r="K38" s="360" t="s">
        <v>131</v>
      </c>
      <c r="L38" s="360"/>
      <c r="M38" s="360" t="s">
        <v>75</v>
      </c>
      <c r="N38" s="360"/>
      <c r="O38" s="59">
        <f>H38*A38</f>
        <v>0</v>
      </c>
    </row>
    <row r="39" spans="1:23" ht="15.75" customHeight="1" x14ac:dyDescent="0.25">
      <c r="A39" s="358">
        <v>0</v>
      </c>
      <c r="B39" s="359"/>
      <c r="C39" s="304" t="s">
        <v>248</v>
      </c>
      <c r="D39" s="304"/>
      <c r="E39" s="304"/>
      <c r="F39" s="304"/>
      <c r="G39" s="304"/>
      <c r="H39" s="360">
        <v>6</v>
      </c>
      <c r="I39" s="360"/>
      <c r="J39" s="3" t="s">
        <v>0</v>
      </c>
      <c r="K39" s="360" t="s">
        <v>131</v>
      </c>
      <c r="L39" s="360"/>
      <c r="M39" s="360" t="s">
        <v>75</v>
      </c>
      <c r="N39" s="360"/>
      <c r="O39" s="59">
        <f>H39*A39</f>
        <v>0</v>
      </c>
    </row>
    <row r="40" spans="1:23" ht="15.75" customHeight="1" x14ac:dyDescent="0.25">
      <c r="A40" s="358">
        <v>0</v>
      </c>
      <c r="B40" s="359"/>
      <c r="C40" s="304" t="s">
        <v>249</v>
      </c>
      <c r="D40" s="304"/>
      <c r="E40" s="304"/>
      <c r="F40" s="304"/>
      <c r="G40" s="304"/>
      <c r="H40" s="360">
        <v>6</v>
      </c>
      <c r="I40" s="360"/>
      <c r="J40" s="3" t="s">
        <v>0</v>
      </c>
      <c r="K40" s="360" t="s">
        <v>131</v>
      </c>
      <c r="L40" s="360"/>
      <c r="M40" s="360" t="s">
        <v>72</v>
      </c>
      <c r="N40" s="360"/>
      <c r="O40" s="59">
        <f>H40*A40</f>
        <v>0</v>
      </c>
    </row>
    <row r="41" spans="1:23" ht="15.75" customHeight="1" x14ac:dyDescent="0.25">
      <c r="A41" s="358">
        <v>0</v>
      </c>
      <c r="B41" s="359"/>
      <c r="C41" s="304" t="s">
        <v>250</v>
      </c>
      <c r="D41" s="304"/>
      <c r="E41" s="304"/>
      <c r="F41" s="304"/>
      <c r="G41" s="304"/>
      <c r="H41" s="360">
        <v>4</v>
      </c>
      <c r="I41" s="360"/>
      <c r="J41" s="3" t="s">
        <v>0</v>
      </c>
      <c r="K41" s="360" t="s">
        <v>131</v>
      </c>
      <c r="L41" s="360"/>
      <c r="M41" s="360" t="s">
        <v>72</v>
      </c>
      <c r="N41" s="360"/>
      <c r="O41" s="59">
        <f>H41*A41</f>
        <v>0</v>
      </c>
    </row>
    <row r="42" spans="1:23" ht="15.75" customHeight="1" x14ac:dyDescent="0.25">
      <c r="A42" s="358">
        <v>0</v>
      </c>
      <c r="B42" s="359"/>
      <c r="C42" s="304" t="s">
        <v>45</v>
      </c>
      <c r="D42" s="304"/>
      <c r="E42" s="304"/>
      <c r="F42" s="304"/>
      <c r="G42" s="304"/>
      <c r="H42" s="360">
        <v>1</v>
      </c>
      <c r="I42" s="360"/>
      <c r="J42" s="3" t="s">
        <v>0</v>
      </c>
      <c r="K42" s="360" t="s">
        <v>131</v>
      </c>
      <c r="L42" s="360"/>
      <c r="M42" s="360" t="s">
        <v>72</v>
      </c>
      <c r="N42" s="360"/>
      <c r="O42" s="59">
        <f>H42*A42</f>
        <v>0</v>
      </c>
    </row>
    <row r="43" spans="1:23" ht="15.75" customHeight="1" x14ac:dyDescent="0.25">
      <c r="A43" s="318" t="s">
        <v>251</v>
      </c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319"/>
    </row>
    <row r="44" spans="1:23" ht="15.75" customHeight="1" thickBot="1" x14ac:dyDescent="0.3">
      <c r="A44" s="365">
        <v>0</v>
      </c>
      <c r="B44" s="366"/>
      <c r="C44" s="316" t="s">
        <v>252</v>
      </c>
      <c r="D44" s="316"/>
      <c r="E44" s="316"/>
      <c r="F44" s="316"/>
      <c r="G44" s="316"/>
      <c r="H44" s="367">
        <v>1</v>
      </c>
      <c r="I44" s="367"/>
      <c r="J44" s="60" t="s">
        <v>0</v>
      </c>
      <c r="K44" s="367" t="s">
        <v>131</v>
      </c>
      <c r="L44" s="367"/>
      <c r="M44" s="367" t="s">
        <v>224</v>
      </c>
      <c r="N44" s="367"/>
      <c r="O44" s="61">
        <f>H44*A44</f>
        <v>0</v>
      </c>
    </row>
    <row r="45" spans="1:23" ht="15.75" customHeight="1" thickTop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441" t="s">
        <v>14</v>
      </c>
      <c r="L45" s="442"/>
      <c r="M45" s="443"/>
      <c r="N45" s="101" t="s">
        <v>0</v>
      </c>
      <c r="O45" s="210">
        <f>SUM(O8:O29,O31:O36,O38:O42,O44)</f>
        <v>0</v>
      </c>
    </row>
    <row r="46" spans="1:23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21" t="s">
        <v>258</v>
      </c>
      <c r="L46" s="122"/>
      <c r="M46" s="123"/>
      <c r="N46" s="112" t="s">
        <v>0</v>
      </c>
      <c r="O46" s="207" t="str">
        <f>IF(O45&lt;=1,"1-1/4""",IF(O45&lt;=4,"1-1/2""",IF(O45&lt;=10,"2""",IF(O45&lt;=28,"2-1/2""",IF(O45&lt;=102,"3""",IF(O45&lt;=320,"4"""))))))</f>
        <v>1-1/4"</v>
      </c>
    </row>
    <row r="47" spans="1:23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67" t="s">
        <v>257</v>
      </c>
      <c r="L47" s="1"/>
      <c r="M47" s="68"/>
      <c r="N47" s="69" t="s">
        <v>0</v>
      </c>
      <c r="O47" s="211">
        <f>IF(O45&gt;102,4,3)</f>
        <v>3</v>
      </c>
      <c r="P47" s="444" t="s">
        <v>254</v>
      </c>
      <c r="Q47" s="445"/>
      <c r="R47" s="445"/>
      <c r="S47" s="445"/>
      <c r="T47" s="445"/>
      <c r="U47" s="445"/>
      <c r="V47" s="445"/>
      <c r="W47" s="445"/>
    </row>
    <row r="48" spans="1:23" ht="15.75" customHeight="1" thickBot="1" x14ac:dyDescent="0.3">
      <c r="K48" s="361" t="s">
        <v>256</v>
      </c>
      <c r="L48" s="362"/>
      <c r="M48" s="363"/>
      <c r="N48" s="65" t="s">
        <v>0</v>
      </c>
      <c r="O48" s="208" t="str">
        <f>IF(SUM(A38:B42)&gt;=4,"4""",IF(O45&lt;=3,"1-1/2""",IF(O45&lt;=6,"2""",IF(O45&lt;=12,"2-1/2""",IF(O45&lt;=34,"3""",IF(O45&lt;=160,"4""",IF(O45&lt;=360,"5""",IF(O45&lt;=620,"6""",IF(O45&lt;=1400,"8""",IF(O45&lt;=2500,"10""",IF(O45&lt;=3900,"12""",IF(O45&lt;=7000,"15"""))))))))))))</f>
        <v>1-1/2"</v>
      </c>
    </row>
    <row r="49" spans="1:16" ht="15.75" customHeight="1" thickTop="1" x14ac:dyDescent="0.2"/>
    <row r="51" spans="1:16" ht="15.75" customHeight="1" x14ac:dyDescent="0.25">
      <c r="A51" s="364" t="s">
        <v>49</v>
      </c>
      <c r="B51" s="364"/>
      <c r="C51" s="364"/>
      <c r="D51" s="364"/>
      <c r="E51" s="364"/>
      <c r="F51" s="364"/>
      <c r="G51" s="364"/>
      <c r="H51" s="364"/>
      <c r="I51" s="364"/>
      <c r="J51" s="364"/>
      <c r="K51" s="364"/>
      <c r="L51" s="364"/>
      <c r="M51" s="364"/>
      <c r="N51" s="364"/>
      <c r="O51" s="364"/>
      <c r="P51" s="9"/>
    </row>
    <row r="52" spans="1:16" ht="15.75" customHeight="1" x14ac:dyDescent="0.25">
      <c r="A52" s="364"/>
      <c r="B52" s="364"/>
      <c r="C52" s="364"/>
      <c r="D52" s="364"/>
      <c r="E52" s="364"/>
      <c r="F52" s="364"/>
      <c r="G52" s="364"/>
      <c r="H52" s="364"/>
      <c r="I52" s="364"/>
      <c r="J52" s="364"/>
      <c r="K52" s="364"/>
      <c r="L52" s="364"/>
      <c r="M52" s="364"/>
      <c r="N52" s="364"/>
      <c r="O52" s="364"/>
      <c r="P52" s="9"/>
    </row>
    <row r="53" spans="1:16" ht="15.75" customHeight="1" x14ac:dyDescent="0.2">
      <c r="A53" s="364" t="s">
        <v>50</v>
      </c>
      <c r="B53" s="364"/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</row>
    <row r="54" spans="1:16" s="18" customFormat="1" ht="15.75" customHeight="1" x14ac:dyDescent="0.2">
      <c r="A54" s="364"/>
      <c r="B54" s="36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4"/>
    </row>
    <row r="55" spans="1:16" s="18" customFormat="1" ht="15.75" customHeight="1" x14ac:dyDescent="0.2"/>
    <row r="56" spans="1:16" ht="15.75" customHeight="1" thickBot="1" x14ac:dyDescent="0.25"/>
    <row r="57" spans="1:16" ht="15.75" customHeight="1" thickTop="1" x14ac:dyDescent="0.2">
      <c r="A57" s="116" t="s">
        <v>140</v>
      </c>
      <c r="B57" s="117"/>
      <c r="C57" s="117"/>
      <c r="D57" s="212">
        <v>0</v>
      </c>
      <c r="E57" s="118" t="s">
        <v>138</v>
      </c>
      <c r="F57" s="18"/>
      <c r="G57" s="18"/>
      <c r="H57" s="18"/>
    </row>
    <row r="58" spans="1:16" ht="15.75" customHeight="1" x14ac:dyDescent="0.2">
      <c r="A58" s="71" t="s">
        <v>141</v>
      </c>
      <c r="B58" s="72"/>
      <c r="C58" s="72"/>
      <c r="D58" s="213">
        <v>0</v>
      </c>
      <c r="E58" s="73" t="s">
        <v>138</v>
      </c>
      <c r="F58" s="18"/>
      <c r="G58" s="18"/>
      <c r="H58" s="18"/>
    </row>
    <row r="59" spans="1:16" ht="15.75" customHeight="1" x14ac:dyDescent="0.2">
      <c r="A59" s="71" t="s">
        <v>142</v>
      </c>
      <c r="B59" s="72"/>
      <c r="C59" s="72"/>
      <c r="D59" s="213">
        <v>0</v>
      </c>
      <c r="E59" s="73" t="s">
        <v>138</v>
      </c>
      <c r="F59" s="18"/>
      <c r="G59" s="18"/>
      <c r="H59" s="18"/>
    </row>
    <row r="60" spans="1:16" ht="15.75" customHeight="1" x14ac:dyDescent="0.2">
      <c r="A60" s="71" t="s">
        <v>143</v>
      </c>
      <c r="B60" s="72"/>
      <c r="C60" s="72"/>
      <c r="D60" s="213">
        <v>0</v>
      </c>
      <c r="E60" s="73" t="s">
        <v>138</v>
      </c>
      <c r="F60" s="18"/>
      <c r="G60" s="18"/>
      <c r="H60" s="18"/>
    </row>
    <row r="61" spans="1:16" ht="15.75" customHeight="1" x14ac:dyDescent="0.2">
      <c r="A61" s="71" t="s">
        <v>144</v>
      </c>
      <c r="B61" s="72"/>
      <c r="C61" s="72"/>
      <c r="D61" s="213">
        <v>0</v>
      </c>
      <c r="E61" s="73" t="s">
        <v>138</v>
      </c>
      <c r="F61" s="18"/>
      <c r="G61" s="18"/>
      <c r="H61" s="18"/>
    </row>
    <row r="62" spans="1:16" ht="15.75" customHeight="1" thickBot="1" x14ac:dyDescent="0.25">
      <c r="A62" s="76" t="s">
        <v>145</v>
      </c>
      <c r="B62" s="77"/>
      <c r="C62" s="77"/>
      <c r="D62" s="214">
        <v>0</v>
      </c>
      <c r="E62" s="119" t="s">
        <v>138</v>
      </c>
      <c r="F62" s="18"/>
      <c r="G62" s="18"/>
      <c r="H62" s="18"/>
    </row>
    <row r="63" spans="1:16" ht="15.75" customHeight="1" thickTop="1" thickBot="1" x14ac:dyDescent="0.3">
      <c r="B63" s="18"/>
      <c r="C63" s="114" t="s">
        <v>83</v>
      </c>
      <c r="D63" s="115">
        <f>SUM(D57+D58+D59+D60+D61+D62)</f>
        <v>0</v>
      </c>
      <c r="E63" s="90" t="str">
        <f>IF(D63=O47,"=",(IF(D63&gt;O47,"&gt;","&lt;")))</f>
        <v>&lt;</v>
      </c>
      <c r="F63" s="92">
        <f>O47</f>
        <v>3</v>
      </c>
      <c r="G63" s="89" t="str">
        <f>IF(E63="&lt;","therefore FAIL","therefore OK")</f>
        <v>therefore FAIL</v>
      </c>
      <c r="H63" s="120"/>
      <c r="I63" s="66"/>
      <c r="O63"/>
    </row>
    <row r="64" spans="1:16" ht="15.75" customHeight="1" thickTop="1" x14ac:dyDescent="0.2">
      <c r="I64" s="18"/>
      <c r="J64" s="70"/>
      <c r="O64"/>
    </row>
    <row r="65" spans="9:15" ht="15.75" customHeight="1" x14ac:dyDescent="0.2">
      <c r="I65" s="18"/>
      <c r="J65" s="70"/>
      <c r="O65"/>
    </row>
    <row r="66" spans="9:15" ht="15.75" customHeight="1" x14ac:dyDescent="0.2">
      <c r="I66" s="66"/>
      <c r="O66"/>
    </row>
    <row r="67" spans="9:15" ht="15.75" customHeight="1" x14ac:dyDescent="0.2">
      <c r="I67" s="66"/>
      <c r="O67"/>
    </row>
    <row r="68" spans="9:15" ht="15.75" customHeight="1" x14ac:dyDescent="0.2">
      <c r="I68" s="66"/>
      <c r="O68"/>
    </row>
    <row r="69" spans="9:15" ht="15.75" customHeight="1" x14ac:dyDescent="0.2">
      <c r="I69" s="66"/>
      <c r="O69"/>
    </row>
    <row r="70" spans="9:15" ht="15.75" customHeight="1" x14ac:dyDescent="0.2">
      <c r="N70" s="13"/>
      <c r="O70"/>
    </row>
    <row r="71" spans="9:15" ht="15.75" customHeight="1" x14ac:dyDescent="0.2">
      <c r="N71" s="13"/>
      <c r="O71"/>
    </row>
  </sheetData>
  <mergeCells count="187">
    <mergeCell ref="H23:I23"/>
    <mergeCell ref="K23:L23"/>
    <mergeCell ref="M23:N23"/>
    <mergeCell ref="H22:I22"/>
    <mergeCell ref="K22:L22"/>
    <mergeCell ref="M22:N22"/>
    <mergeCell ref="A29:B29"/>
    <mergeCell ref="P47:W47"/>
    <mergeCell ref="A35:B35"/>
    <mergeCell ref="C28:G28"/>
    <mergeCell ref="H28:I28"/>
    <mergeCell ref="K28:L28"/>
    <mergeCell ref="M28:N28"/>
    <mergeCell ref="C29:G29"/>
    <mergeCell ref="H29:I29"/>
    <mergeCell ref="K29:L29"/>
    <mergeCell ref="M29:N29"/>
    <mergeCell ref="C23:G23"/>
    <mergeCell ref="H40:I40"/>
    <mergeCell ref="K40:L40"/>
    <mergeCell ref="M40:N40"/>
    <mergeCell ref="A41:B41"/>
    <mergeCell ref="C41:G41"/>
    <mergeCell ref="H41:I41"/>
    <mergeCell ref="A17:B17"/>
    <mergeCell ref="A18:B18"/>
    <mergeCell ref="A19:B19"/>
    <mergeCell ref="A20:B20"/>
    <mergeCell ref="A21:B21"/>
    <mergeCell ref="A22:B22"/>
    <mergeCell ref="A23:B23"/>
    <mergeCell ref="A27:B27"/>
    <mergeCell ref="A28:B28"/>
    <mergeCell ref="K48:M48"/>
    <mergeCell ref="A51:O52"/>
    <mergeCell ref="A53:O54"/>
    <mergeCell ref="C17:G17"/>
    <mergeCell ref="H17:I17"/>
    <mergeCell ref="K17:L17"/>
    <mergeCell ref="M17:N17"/>
    <mergeCell ref="C18:G18"/>
    <mergeCell ref="H18:I18"/>
    <mergeCell ref="K18:L18"/>
    <mergeCell ref="K45:M45"/>
    <mergeCell ref="A44:B44"/>
    <mergeCell ref="C44:G44"/>
    <mergeCell ref="H44:I44"/>
    <mergeCell ref="K44:L44"/>
    <mergeCell ref="M44:N44"/>
    <mergeCell ref="A42:B42"/>
    <mergeCell ref="C42:G42"/>
    <mergeCell ref="H42:I42"/>
    <mergeCell ref="K42:L42"/>
    <mergeCell ref="M42:N42"/>
    <mergeCell ref="A43:O43"/>
    <mergeCell ref="A40:B40"/>
    <mergeCell ref="C40:G40"/>
    <mergeCell ref="K41:L41"/>
    <mergeCell ref="M41:N41"/>
    <mergeCell ref="A38:B38"/>
    <mergeCell ref="C38:G38"/>
    <mergeCell ref="H38:I38"/>
    <mergeCell ref="K38:L38"/>
    <mergeCell ref="M38:N38"/>
    <mergeCell ref="A39:B39"/>
    <mergeCell ref="C39:G39"/>
    <mergeCell ref="H39:I39"/>
    <mergeCell ref="K39:L39"/>
    <mergeCell ref="M39:N39"/>
    <mergeCell ref="A36:B36"/>
    <mergeCell ref="C36:G36"/>
    <mergeCell ref="H36:I36"/>
    <mergeCell ref="K36:L36"/>
    <mergeCell ref="M36:N36"/>
    <mergeCell ref="A37:O37"/>
    <mergeCell ref="M35:N35"/>
    <mergeCell ref="K35:L35"/>
    <mergeCell ref="H35:I35"/>
    <mergeCell ref="C35:G35"/>
    <mergeCell ref="A34:B34"/>
    <mergeCell ref="C34:G34"/>
    <mergeCell ref="H34:I34"/>
    <mergeCell ref="K34:L34"/>
    <mergeCell ref="M34:N34"/>
    <mergeCell ref="A32:B32"/>
    <mergeCell ref="C32:G32"/>
    <mergeCell ref="H32:I32"/>
    <mergeCell ref="K32:L32"/>
    <mergeCell ref="M32:N32"/>
    <mergeCell ref="A33:B33"/>
    <mergeCell ref="C33:G33"/>
    <mergeCell ref="H33:I33"/>
    <mergeCell ref="K33:L33"/>
    <mergeCell ref="M33:N33"/>
    <mergeCell ref="A30:O30"/>
    <mergeCell ref="A31:B31"/>
    <mergeCell ref="C31:G31"/>
    <mergeCell ref="H31:I31"/>
    <mergeCell ref="K31:L31"/>
    <mergeCell ref="M31:N31"/>
    <mergeCell ref="A25:B25"/>
    <mergeCell ref="C25:G25"/>
    <mergeCell ref="H25:I25"/>
    <mergeCell ref="K25:L25"/>
    <mergeCell ref="M25:N25"/>
    <mergeCell ref="A26:B26"/>
    <mergeCell ref="C26:G26"/>
    <mergeCell ref="H26:I26"/>
    <mergeCell ref="K26:L26"/>
    <mergeCell ref="M26:N26"/>
    <mergeCell ref="C27:G27"/>
    <mergeCell ref="H27:I27"/>
    <mergeCell ref="K27:L27"/>
    <mergeCell ref="M27:N27"/>
    <mergeCell ref="A16:B16"/>
    <mergeCell ref="C16:G16"/>
    <mergeCell ref="H16:I16"/>
    <mergeCell ref="K16:L16"/>
    <mergeCell ref="M16:N16"/>
    <mergeCell ref="A24:B24"/>
    <mergeCell ref="C24:G24"/>
    <mergeCell ref="H24:I24"/>
    <mergeCell ref="K24:L24"/>
    <mergeCell ref="M24:N24"/>
    <mergeCell ref="M18:N18"/>
    <mergeCell ref="C19:G19"/>
    <mergeCell ref="H19:I19"/>
    <mergeCell ref="K19:L19"/>
    <mergeCell ref="M19:N19"/>
    <mergeCell ref="C20:G20"/>
    <mergeCell ref="H20:I20"/>
    <mergeCell ref="K20:L20"/>
    <mergeCell ref="M20:N20"/>
    <mergeCell ref="C21:G21"/>
    <mergeCell ref="H21:I21"/>
    <mergeCell ref="K21:L21"/>
    <mergeCell ref="M21:N21"/>
    <mergeCell ref="C22:G22"/>
    <mergeCell ref="A14:B14"/>
    <mergeCell ref="C14:G14"/>
    <mergeCell ref="H14:I14"/>
    <mergeCell ref="K14:L14"/>
    <mergeCell ref="M14:N14"/>
    <mergeCell ref="A15:B15"/>
    <mergeCell ref="C15:G15"/>
    <mergeCell ref="H15:I15"/>
    <mergeCell ref="K15:L15"/>
    <mergeCell ref="M15:N15"/>
    <mergeCell ref="A12:B12"/>
    <mergeCell ref="C12:G12"/>
    <mergeCell ref="H12:I12"/>
    <mergeCell ref="K12:L12"/>
    <mergeCell ref="M12:N12"/>
    <mergeCell ref="A13:B13"/>
    <mergeCell ref="C13:G13"/>
    <mergeCell ref="H13:I13"/>
    <mergeCell ref="K13:L13"/>
    <mergeCell ref="M13:N13"/>
    <mergeCell ref="A10:B10"/>
    <mergeCell ref="C10:G10"/>
    <mergeCell ref="H10:I10"/>
    <mergeCell ref="K10:L10"/>
    <mergeCell ref="M10:N10"/>
    <mergeCell ref="A11:B11"/>
    <mergeCell ref="C11:G11"/>
    <mergeCell ref="H11:I11"/>
    <mergeCell ref="K11:L11"/>
    <mergeCell ref="M11:N11"/>
    <mergeCell ref="A8:B8"/>
    <mergeCell ref="C8:G8"/>
    <mergeCell ref="H8:I8"/>
    <mergeCell ref="K8:L8"/>
    <mergeCell ref="M8:N8"/>
    <mergeCell ref="A9:B9"/>
    <mergeCell ref="C9:G9"/>
    <mergeCell ref="H9:I9"/>
    <mergeCell ref="K9:L9"/>
    <mergeCell ref="M9:N9"/>
    <mergeCell ref="D1:L2"/>
    <mergeCell ref="A4:O4"/>
    <mergeCell ref="A5:O5"/>
    <mergeCell ref="A6:O6"/>
    <mergeCell ref="A7:B7"/>
    <mergeCell ref="C7:G7"/>
    <mergeCell ref="H7:I7"/>
    <mergeCell ref="K7:L7"/>
    <mergeCell ref="M7:N7"/>
  </mergeCells>
  <conditionalFormatting sqref="G63">
    <cfRule type="containsText" dxfId="0" priority="1" operator="containsText" text="fail">
      <formula>NOT(ISERROR(SEARCH("fail",G63)))</formula>
    </cfRule>
  </conditionalFormatting>
  <printOptions horizontalCentered="1"/>
  <pageMargins left="0.25" right="0.25" top="0.25" bottom="0.25" header="0" footer="0"/>
  <pageSetup scale="7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47EE-F058-4205-B850-8E053268BCD0}">
  <sheetPr>
    <pageSetUpPr fitToPage="1"/>
  </sheetPr>
  <dimension ref="A1:AY263"/>
  <sheetViews>
    <sheetView zoomScaleNormal="100" workbookViewId="0">
      <selection activeCell="Q6" sqref="Q6:Q7"/>
    </sheetView>
  </sheetViews>
  <sheetFormatPr defaultRowHeight="12.75" x14ac:dyDescent="0.2"/>
  <cols>
    <col min="1" max="4" width="8.7109375" customWidth="1"/>
    <col min="5" max="5" width="22.140625" customWidth="1"/>
    <col min="6" max="13" width="8.7109375" customWidth="1"/>
    <col min="14" max="14" width="16.28515625" customWidth="1"/>
    <col min="15" max="15" width="8.7109375" customWidth="1"/>
    <col min="16" max="16" width="21.5703125" customWidth="1"/>
    <col min="17" max="17" width="31.7109375" customWidth="1"/>
    <col min="18" max="18" width="8.85546875" customWidth="1"/>
    <col min="21" max="25" width="9.140625" hidden="1" customWidth="1"/>
    <col min="26" max="26" width="12.85546875" hidden="1" customWidth="1"/>
    <col min="27" max="28" width="9.140625" hidden="1" customWidth="1"/>
    <col min="29" max="29" width="11.7109375" hidden="1" customWidth="1"/>
    <col min="30" max="32" width="9.140625" hidden="1" customWidth="1"/>
    <col min="33" max="33" width="11.42578125" hidden="1" customWidth="1"/>
    <col min="34" max="34" width="13.42578125" hidden="1" customWidth="1"/>
    <col min="35" max="35" width="14.42578125" hidden="1" customWidth="1"/>
    <col min="36" max="36" width="13.140625" hidden="1" customWidth="1"/>
    <col min="37" max="37" width="9.140625" hidden="1" customWidth="1"/>
    <col min="38" max="38" width="10.42578125" hidden="1" customWidth="1"/>
    <col min="39" max="39" width="13.7109375" hidden="1" customWidth="1"/>
    <col min="40" max="40" width="15.5703125" hidden="1" customWidth="1"/>
    <col min="41" max="41" width="12.5703125" hidden="1" customWidth="1"/>
    <col min="42" max="43" width="9.140625" hidden="1" customWidth="1"/>
    <col min="44" max="44" width="14.140625" hidden="1" customWidth="1"/>
    <col min="45" max="45" width="14.42578125" hidden="1" customWidth="1"/>
    <col min="46" max="46" width="12.28515625" hidden="1" customWidth="1"/>
    <col min="47" max="51" width="9.140625" hidden="1" customWidth="1"/>
  </cols>
  <sheetData>
    <row r="1" spans="1:51" ht="17.25" thickTop="1" thickBot="1" x14ac:dyDescent="0.3">
      <c r="D1" s="298" t="s">
        <v>217</v>
      </c>
      <c r="E1" s="298"/>
      <c r="F1" s="298"/>
      <c r="G1" s="298"/>
      <c r="H1" s="298"/>
      <c r="I1" s="298"/>
      <c r="J1" s="298"/>
      <c r="K1" s="298"/>
      <c r="L1" s="298"/>
      <c r="M1" s="1"/>
    </row>
    <row r="2" spans="1:51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  <c r="U2" s="462" t="s">
        <v>294</v>
      </c>
      <c r="V2" s="247"/>
      <c r="W2" s="247"/>
    </row>
    <row r="3" spans="1:51" ht="17.25" thickTop="1" thickBot="1" x14ac:dyDescent="0.3">
      <c r="M3" s="1"/>
      <c r="U3" s="133" t="s">
        <v>36</v>
      </c>
      <c r="V3" s="133" t="s">
        <v>35</v>
      </c>
      <c r="W3" s="133" t="s">
        <v>32</v>
      </c>
      <c r="Y3" s="132" t="s">
        <v>288</v>
      </c>
      <c r="Z3" s="132" t="s">
        <v>289</v>
      </c>
      <c r="AB3" s="132" t="s">
        <v>288</v>
      </c>
      <c r="AC3" s="132" t="s">
        <v>290</v>
      </c>
      <c r="AG3" s="113" t="s">
        <v>312</v>
      </c>
    </row>
    <row r="4" spans="1:51" ht="31.5" thickBot="1" x14ac:dyDescent="0.25">
      <c r="A4" s="465" t="s">
        <v>262</v>
      </c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  <c r="N4" s="467"/>
      <c r="U4" s="133">
        <f>IF(SUM(L9+L10+L11+L12+L13+L14+L15+L16+L17+L18+L19+L20+L21+L22+L25+L26+L27+L28+L30+L31+L32+L33+L34+L35)=0,0,ROUNDUP(INDEX(Z4:Z263,MATCH(SUM(L9+L10+L11+L12+L13+L14+L15+L16+L17+L18+L19+L20+L21+L22+L25+L26+L27+L28+L30+L31+L32+L33+L34+L35),Y4:Y263,1)),1))</f>
        <v>7.5</v>
      </c>
      <c r="V4" s="133">
        <f>IF(SUM(M9+M10+M11+M12+M13+M14+M15+M16+M17+M18+M19+M20+M21+M22+M25+M26+M27+M28+M30+M31+M32+M33+M34+M35)=0,0,ROUNDUP(INDEX(Z4:Z263,MATCH(SUM(M9+M10+M11+M12+M13+M14+M15+M16+M17+M18+M19+M20+M21+M22+M25+M26+M27+M28+M30+M31+M32+M33+M34+M35),Y4:Y263,1)),1))</f>
        <v>1</v>
      </c>
      <c r="W4" s="133">
        <f>IF(SUM(N9+N10+N11+N12+N13+N14+N15+N16+N17+N18+N19+N20+N21+N22+N25+N26+N27+N28+N30+N31+N32+N33+N34+N35)=0,0,ROUNDUP(INDEX(Z4:Z263,MATCH(SUM(N9+N10+N11+N12+N13+N14+N15+N16+N17+N18+N19+N20+N21+N22+N25+N26+N27+N28+N30+N31+N32+N33+N34+N35),Y4:Y263,1)),1))</f>
        <v>7.5</v>
      </c>
      <c r="Y4" s="131">
        <v>1</v>
      </c>
      <c r="Z4" s="131">
        <v>1</v>
      </c>
      <c r="AB4" s="131"/>
      <c r="AC4" s="131"/>
      <c r="AG4" s="459" t="s">
        <v>305</v>
      </c>
      <c r="AH4" s="460"/>
      <c r="AI4" s="460"/>
      <c r="AJ4" s="460"/>
      <c r="AK4" s="460"/>
      <c r="AL4" s="460"/>
      <c r="AM4" s="460"/>
      <c r="AN4" s="460"/>
      <c r="AO4" s="460"/>
      <c r="AP4" s="460"/>
      <c r="AQ4" s="460"/>
      <c r="AR4" s="460"/>
      <c r="AS4" s="460"/>
      <c r="AT4" s="460"/>
      <c r="AU4" s="461"/>
    </row>
    <row r="5" spans="1:51" ht="13.5" thickBot="1" x14ac:dyDescent="0.25">
      <c r="A5" s="468" t="s">
        <v>321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6"/>
      <c r="U5" s="124"/>
      <c r="V5" s="124"/>
      <c r="W5" s="124"/>
      <c r="Y5" s="131">
        <v>2</v>
      </c>
      <c r="Z5" s="131">
        <v>2</v>
      </c>
      <c r="AB5" s="131"/>
      <c r="AC5" s="131"/>
      <c r="AG5" s="453" t="s">
        <v>296</v>
      </c>
      <c r="AH5" s="455" t="s">
        <v>302</v>
      </c>
      <c r="AI5" s="455"/>
      <c r="AJ5" s="456"/>
      <c r="AK5" s="457"/>
      <c r="AL5" s="453" t="s">
        <v>296</v>
      </c>
      <c r="AM5" s="455" t="s">
        <v>311</v>
      </c>
      <c r="AN5" s="455"/>
      <c r="AO5" s="456"/>
      <c r="AP5" s="458"/>
      <c r="AQ5" s="453" t="s">
        <v>296</v>
      </c>
      <c r="AR5" s="455" t="s">
        <v>303</v>
      </c>
      <c r="AS5" s="455"/>
      <c r="AT5" s="456"/>
      <c r="AU5" s="458"/>
      <c r="AW5" s="256" t="s">
        <v>318</v>
      </c>
      <c r="AX5" s="446"/>
      <c r="AY5" s="446"/>
    </row>
    <row r="6" spans="1:51" ht="15" customHeight="1" thickBot="1" x14ac:dyDescent="0.25">
      <c r="A6" s="469"/>
      <c r="B6" s="470"/>
      <c r="C6" s="470"/>
      <c r="D6" s="470"/>
      <c r="E6" s="470"/>
      <c r="F6" s="470"/>
      <c r="G6" s="470"/>
      <c r="H6" s="470"/>
      <c r="I6" s="470"/>
      <c r="J6" s="470"/>
      <c r="K6" s="470"/>
      <c r="L6" s="470"/>
      <c r="M6" s="470"/>
      <c r="N6" s="471"/>
      <c r="P6" s="128" t="s">
        <v>283</v>
      </c>
      <c r="Q6" s="463" t="s">
        <v>268</v>
      </c>
      <c r="U6" s="462" t="s">
        <v>295</v>
      </c>
      <c r="V6" s="247"/>
      <c r="W6" s="247"/>
      <c r="Y6" s="131">
        <v>3</v>
      </c>
      <c r="Z6" s="131">
        <v>3</v>
      </c>
      <c r="AB6" s="131"/>
      <c r="AC6" s="131"/>
      <c r="AG6" s="454"/>
      <c r="AH6" s="132" t="s">
        <v>297</v>
      </c>
      <c r="AI6" s="132" t="s">
        <v>304</v>
      </c>
      <c r="AJ6" s="132" t="s">
        <v>298</v>
      </c>
      <c r="AK6" s="141" t="s">
        <v>299</v>
      </c>
      <c r="AL6" s="454"/>
      <c r="AM6" s="132" t="s">
        <v>297</v>
      </c>
      <c r="AN6" s="132" t="s">
        <v>304</v>
      </c>
      <c r="AO6" s="132" t="s">
        <v>298</v>
      </c>
      <c r="AP6" s="134" t="s">
        <v>299</v>
      </c>
      <c r="AQ6" s="454"/>
      <c r="AR6" s="132" t="s">
        <v>297</v>
      </c>
      <c r="AS6" s="132" t="s">
        <v>304</v>
      </c>
      <c r="AT6" s="132" t="s">
        <v>298</v>
      </c>
      <c r="AU6" s="134" t="s">
        <v>299</v>
      </c>
      <c r="AW6" s="132" t="s">
        <v>313</v>
      </c>
      <c r="AX6" s="132"/>
      <c r="AY6" s="132" t="s">
        <v>315</v>
      </c>
    </row>
    <row r="7" spans="1:51" ht="16.5" thickBot="1" x14ac:dyDescent="0.3">
      <c r="A7" s="407" t="s">
        <v>39</v>
      </c>
      <c r="B7" s="279"/>
      <c r="C7" s="279" t="s">
        <v>38</v>
      </c>
      <c r="D7" s="279"/>
      <c r="E7" s="279"/>
      <c r="F7" s="280" t="s">
        <v>286</v>
      </c>
      <c r="G7" s="280"/>
      <c r="H7" s="280"/>
      <c r="I7" s="281" t="s">
        <v>52</v>
      </c>
      <c r="J7" s="282"/>
      <c r="K7" s="283"/>
      <c r="L7" s="287" t="s">
        <v>286</v>
      </c>
      <c r="M7" s="287"/>
      <c r="N7" s="288"/>
      <c r="Q7" s="464"/>
      <c r="U7" s="133">
        <f>IF(SUM(L23+L24+L29)=0,0,ROUNDUP(INDEX(AC8:AC263,MATCH(SUM(L23+L24+L29),AB8:AB263,1)),1))</f>
        <v>22</v>
      </c>
      <c r="V7" s="133">
        <v>0</v>
      </c>
      <c r="W7" s="133">
        <f>IF(SUM(L23+L24+L29)=0,0,ROUNDUP(INDEX(AC8:AC263,MATCH(SUM(N23+N24+N29),AB8:AB263,1)),1))</f>
        <v>22</v>
      </c>
      <c r="Y7" s="131">
        <v>4</v>
      </c>
      <c r="Z7" s="131">
        <v>4</v>
      </c>
      <c r="AB7" s="131"/>
      <c r="AC7" s="131"/>
      <c r="AG7" s="135" t="s">
        <v>54</v>
      </c>
      <c r="AH7" s="131"/>
      <c r="AI7" s="131"/>
      <c r="AJ7" s="131">
        <v>1.6</v>
      </c>
      <c r="AK7" s="142">
        <v>8.4</v>
      </c>
      <c r="AL7" s="135" t="s">
        <v>54</v>
      </c>
      <c r="AM7" s="131"/>
      <c r="AN7" s="131"/>
      <c r="AO7" s="132">
        <v>2</v>
      </c>
      <c r="AP7" s="134">
        <v>12.7</v>
      </c>
      <c r="AQ7" s="135" t="s">
        <v>54</v>
      </c>
      <c r="AR7" s="131">
        <v>3</v>
      </c>
      <c r="AS7" s="131"/>
      <c r="AT7" s="132">
        <v>3.2</v>
      </c>
      <c r="AU7" s="134">
        <v>30.4</v>
      </c>
      <c r="AW7" s="131" t="str">
        <f>IF(U7=0,0,IF(L37=0,0,IF(L37&lt;=AJ8,"1/2""",IF(L37&lt;=AJ9,"3/4""",IF(L37&lt;=AJ10,"1""",IF(L37&lt;=AJ11,"1-1/4""",IF(L37&lt;=AJ12,"1-1/2""",IF(L37&lt;=AJ13,"2""",IF(L36&lt;=AJ14,"2-1/2""",IF(L37&lt;=AJ15,"3""",IF(L37&lt;=AJ16,"4""",IF(L37&lt;=AJ17,"5""",IF(L37&lt;=AJ18,"6""",0)))))))))))))</f>
        <v>2"</v>
      </c>
      <c r="AX7" s="131"/>
      <c r="AY7" s="131" t="str">
        <f>IF(W7=0,0,IF(N37=0,0,IF(N37&lt;=AJ8,"1/2""",IF(N37&lt;=AJ9,"3/4""",IF(N37&lt;=AJ10,"1""",IF(N37&lt;=AJ11,"1-1/4""",IF(N37&lt;=AJ12,"1-1/2""",IF(N37&lt;=AJ13,"2""",IF(N37&lt;=AJ14,"2-1/2""",IF(N37&lt;=AJ15,"3""",IF(N37&lt;=AJ16,"4""",IF(N37&lt;=AJ17,"5""",IF(N37&lt;=AJ18,"6""",0)))))))))))))</f>
        <v>2"</v>
      </c>
    </row>
    <row r="8" spans="1:51" ht="16.5" thickBot="1" x14ac:dyDescent="0.3">
      <c r="A8" s="407"/>
      <c r="B8" s="279"/>
      <c r="C8" s="279"/>
      <c r="D8" s="279"/>
      <c r="E8" s="279"/>
      <c r="F8" s="14" t="s">
        <v>36</v>
      </c>
      <c r="G8" s="15" t="s">
        <v>35</v>
      </c>
      <c r="H8" s="8" t="s">
        <v>32</v>
      </c>
      <c r="I8" s="284"/>
      <c r="J8" s="285"/>
      <c r="K8" s="286"/>
      <c r="L8" s="14" t="s">
        <v>36</v>
      </c>
      <c r="M8" s="15" t="s">
        <v>35</v>
      </c>
      <c r="N8" s="36" t="s">
        <v>32</v>
      </c>
      <c r="Y8" s="131">
        <v>5</v>
      </c>
      <c r="Z8" s="131">
        <v>4.5</v>
      </c>
      <c r="AB8" s="131">
        <v>5</v>
      </c>
      <c r="AC8" s="131">
        <v>22</v>
      </c>
      <c r="AG8" s="135" t="s">
        <v>53</v>
      </c>
      <c r="AH8" s="131"/>
      <c r="AI8" s="131"/>
      <c r="AJ8" s="131">
        <v>2.7</v>
      </c>
      <c r="AK8" s="142">
        <v>6.1</v>
      </c>
      <c r="AL8" s="135" t="s">
        <v>53</v>
      </c>
      <c r="AM8" s="131">
        <v>3</v>
      </c>
      <c r="AN8" s="131"/>
      <c r="AO8" s="131">
        <v>3.4</v>
      </c>
      <c r="AP8" s="136">
        <v>9.3000000000000007</v>
      </c>
      <c r="AQ8" s="135" t="s">
        <v>53</v>
      </c>
      <c r="AR8" s="131">
        <v>6</v>
      </c>
      <c r="AS8" s="131"/>
      <c r="AT8" s="131">
        <v>5.4</v>
      </c>
      <c r="AU8" s="136">
        <v>22.1</v>
      </c>
    </row>
    <row r="9" spans="1:51" ht="16.5" thickBot="1" x14ac:dyDescent="0.3">
      <c r="A9" s="391">
        <v>0</v>
      </c>
      <c r="B9" s="290"/>
      <c r="C9" s="304" t="s">
        <v>40</v>
      </c>
      <c r="D9" s="304"/>
      <c r="E9" s="304"/>
      <c r="F9" s="16">
        <f>IF(Q6="Serving 3 or more dwelling units",0.4,0.8)</f>
        <v>0.8</v>
      </c>
      <c r="G9" s="17">
        <f>IF(Q6="Serving 3 or more dwelling units",0.4,0.8)</f>
        <v>0.8</v>
      </c>
      <c r="H9" s="8">
        <f>IF(Q6="Serving 3 or more dwelling units",0.5,1)</f>
        <v>1</v>
      </c>
      <c r="I9" s="291" t="s">
        <v>54</v>
      </c>
      <c r="J9" s="291"/>
      <c r="K9" s="291"/>
      <c r="L9" s="16">
        <f>$A9*F9</f>
        <v>0</v>
      </c>
      <c r="M9" s="17">
        <f>$A9*G9</f>
        <v>0</v>
      </c>
      <c r="N9" s="36">
        <f>$A9*H9</f>
        <v>0</v>
      </c>
      <c r="P9" s="128" t="s">
        <v>292</v>
      </c>
      <c r="Q9" s="130" t="s">
        <v>320</v>
      </c>
      <c r="Y9" s="131">
        <v>6</v>
      </c>
      <c r="Z9" s="131">
        <v>5</v>
      </c>
      <c r="AB9" s="131">
        <v>6</v>
      </c>
      <c r="AC9" s="131">
        <v>23</v>
      </c>
      <c r="AG9" s="135" t="s">
        <v>56</v>
      </c>
      <c r="AH9" s="131">
        <v>6</v>
      </c>
      <c r="AI9" s="131"/>
      <c r="AJ9" s="131">
        <v>5.4</v>
      </c>
      <c r="AK9" s="142">
        <v>4.0999999999999996</v>
      </c>
      <c r="AL9" s="135" t="s">
        <v>56</v>
      </c>
      <c r="AM9" s="131">
        <v>8</v>
      </c>
      <c r="AN9" s="131"/>
      <c r="AO9" s="131">
        <v>6.8</v>
      </c>
      <c r="AP9" s="136">
        <v>6.2</v>
      </c>
      <c r="AQ9" s="135" t="s">
        <v>56</v>
      </c>
      <c r="AR9" s="131">
        <v>15</v>
      </c>
      <c r="AS9" s="131"/>
      <c r="AT9" s="131">
        <v>10.9</v>
      </c>
      <c r="AU9" s="136">
        <v>14.8</v>
      </c>
      <c r="AW9" s="256" t="s">
        <v>317</v>
      </c>
      <c r="AX9" s="446"/>
      <c r="AY9" s="446"/>
    </row>
    <row r="10" spans="1:51" ht="15.75" x14ac:dyDescent="0.25">
      <c r="A10" s="391">
        <v>0</v>
      </c>
      <c r="B10" s="290"/>
      <c r="C10" s="304" t="s">
        <v>263</v>
      </c>
      <c r="D10" s="304"/>
      <c r="E10" s="304"/>
      <c r="F10" s="16">
        <f>IF(Q6="Serving 3 or more dwelling units",2.6,3)</f>
        <v>3</v>
      </c>
      <c r="G10" s="17">
        <f>IF(Q6="Serving 3 or more dwelling units",2.6,3)</f>
        <v>3</v>
      </c>
      <c r="H10" s="8">
        <f>IF(Q6="Serving 3 or more dwelling units",3.5,4)</f>
        <v>4</v>
      </c>
      <c r="I10" s="291" t="s">
        <v>53</v>
      </c>
      <c r="J10" s="291"/>
      <c r="K10" s="291"/>
      <c r="L10" s="16">
        <f t="shared" ref="L10:N33" si="0">$A10*F10</f>
        <v>0</v>
      </c>
      <c r="M10" s="17">
        <f t="shared" si="0"/>
        <v>0</v>
      </c>
      <c r="N10" s="36">
        <f t="shared" si="0"/>
        <v>0</v>
      </c>
      <c r="Y10" s="131">
        <v>7</v>
      </c>
      <c r="Z10" s="131">
        <v>6</v>
      </c>
      <c r="AB10" s="131">
        <v>7</v>
      </c>
      <c r="AC10" s="131">
        <v>24</v>
      </c>
      <c r="AG10" s="135" t="s">
        <v>55</v>
      </c>
      <c r="AH10" s="131">
        <v>13</v>
      </c>
      <c r="AI10" s="131"/>
      <c r="AJ10" s="131">
        <v>9.6999999999999993</v>
      </c>
      <c r="AK10" s="142">
        <v>2.9</v>
      </c>
      <c r="AL10" s="135" t="s">
        <v>55</v>
      </c>
      <c r="AM10" s="131">
        <v>16</v>
      </c>
      <c r="AN10" s="131"/>
      <c r="AO10" s="131">
        <v>12.1</v>
      </c>
      <c r="AP10" s="136">
        <v>4.4000000000000004</v>
      </c>
      <c r="AQ10" s="135" t="s">
        <v>55</v>
      </c>
      <c r="AR10" s="131">
        <v>29</v>
      </c>
      <c r="AS10" s="131"/>
      <c r="AT10" s="131">
        <v>19.399999999999999</v>
      </c>
      <c r="AU10" s="136">
        <v>10.6</v>
      </c>
      <c r="AW10" s="132" t="s">
        <v>313</v>
      </c>
      <c r="AX10" s="132" t="s">
        <v>314</v>
      </c>
      <c r="AY10" s="132" t="s">
        <v>315</v>
      </c>
    </row>
    <row r="11" spans="1:51" ht="15.75" x14ac:dyDescent="0.25">
      <c r="A11" s="391">
        <v>0</v>
      </c>
      <c r="B11" s="290"/>
      <c r="C11" s="304" t="s">
        <v>165</v>
      </c>
      <c r="D11" s="304"/>
      <c r="E11" s="304"/>
      <c r="F11" s="16">
        <f>IF(Q6="Serving 3 or more dwelling units",0.4,0.8)</f>
        <v>0.8</v>
      </c>
      <c r="G11" s="17">
        <f>IF(Q6="Serving 3 or more dwelling units",0.4,0.8)</f>
        <v>0.8</v>
      </c>
      <c r="H11" s="8">
        <f>IF(Q6="Serving 3 or more dwelling units",0.5,1)</f>
        <v>1</v>
      </c>
      <c r="I11" s="291" t="s">
        <v>53</v>
      </c>
      <c r="J11" s="291"/>
      <c r="K11" s="291"/>
      <c r="L11" s="16">
        <f t="shared" ref="L11" si="1">$A11*F11</f>
        <v>0</v>
      </c>
      <c r="M11" s="17">
        <f t="shared" ref="M11" si="2">$A11*G11</f>
        <v>0</v>
      </c>
      <c r="N11" s="36">
        <f t="shared" ref="N11" si="3">$A11*H11</f>
        <v>0</v>
      </c>
      <c r="Y11" s="131">
        <v>8</v>
      </c>
      <c r="Z11" s="131">
        <v>7</v>
      </c>
      <c r="AB11" s="131">
        <v>8</v>
      </c>
      <c r="AC11" s="131">
        <v>25</v>
      </c>
      <c r="AG11" s="135" t="s">
        <v>223</v>
      </c>
      <c r="AH11" s="131">
        <v>22</v>
      </c>
      <c r="AI11" s="131"/>
      <c r="AJ11" s="131">
        <v>15.2</v>
      </c>
      <c r="AK11" s="142">
        <v>2.2999999999999998</v>
      </c>
      <c r="AL11" s="135" t="s">
        <v>223</v>
      </c>
      <c r="AM11" s="131">
        <v>28</v>
      </c>
      <c r="AN11" s="131"/>
      <c r="AO11" s="131">
        <v>19</v>
      </c>
      <c r="AP11" s="136">
        <v>3.4</v>
      </c>
      <c r="AQ11" s="135" t="s">
        <v>223</v>
      </c>
      <c r="AR11" s="131">
        <v>53</v>
      </c>
      <c r="AS11" s="131">
        <v>14</v>
      </c>
      <c r="AT11" s="131">
        <v>30.4</v>
      </c>
      <c r="AU11" s="136">
        <v>8.1</v>
      </c>
      <c r="AW11" s="131" t="str">
        <f>IF(L37=0,0,IF(L37&lt;=AT8,"1/2""",IF(L37&lt;=AT9,"3/4""",IF(L37&lt;=AT10,"1""",IF(L37&lt;=AT11,"1-1/4""",IF(L37&lt;=AT12,"1-1/2""",IF(L37&lt;=AT13,"2""",IF(L37&lt;=AT14,"2-1/2""",IF(L37&lt;=AT15,"3""",IF(L37&lt;=AT16,"4""",IF(L37&lt;=AT17,"5""",IF(L37&lt;=AT18,"6""",0))))))))))))</f>
        <v>1-1/4"</v>
      </c>
      <c r="AX11" s="131" t="str">
        <f>IF(M37=0,0,IF(M37&lt;=AO8,"1/2""",IF(M37&lt;=AO9,"3/4""",IF(M37&lt;=AO10,"1""",IF(M37&lt;=AO11,"1-1/4""",IF(M37&lt;=AO12,"1-1/2""",IF(M37&lt;=AO13,"2""",IF(M37&lt;=AO14,"2-1/2""",IF(M37&lt;=AO15,"3""",IF(M37&lt;=AO16,"4""",IF(M37&lt;=AO17,"5""",IF(M37&lt;=AO18,"6""",0))))))))))))</f>
        <v>1/2"</v>
      </c>
      <c r="AY11" s="131" t="str">
        <f>IF(N37=0,0,IF(N37&lt;=AT8,"1/2""",IF(N37&lt;=AT9,"3/4""",IF(N37&lt;=AT10,"1""",IF(N37&lt;=AT11,"1-1/4""",IF(N37&lt;=AT12,"1-1/2""",IF(N37&lt;=AT13,"2""",IF(N37&lt;=AT14,"2-1/2""",IF(N37&lt;=AT15,"3""",IF(N37&lt;=AT16,"4""",IF(N37&lt;=AT17,"5""",IF(N37&lt;=AT18,"6""",0))))))))))))</f>
        <v>1-1/4"</v>
      </c>
    </row>
    <row r="12" spans="1:51" ht="15.75" x14ac:dyDescent="0.25">
      <c r="A12" s="391">
        <v>0</v>
      </c>
      <c r="B12" s="290"/>
      <c r="C12" s="304" t="s">
        <v>264</v>
      </c>
      <c r="D12" s="304"/>
      <c r="E12" s="304"/>
      <c r="F12" s="16">
        <f>IF(Q6="Serving 3 or more dwelling units",1.9,3)</f>
        <v>3</v>
      </c>
      <c r="G12" s="17">
        <f>IF(Q6="Serving 3 or more dwelling units",1.9,3)</f>
        <v>3</v>
      </c>
      <c r="H12" s="8">
        <f>IF(Q6="Serving 3 or more dwelling units",2.5,4)</f>
        <v>4</v>
      </c>
      <c r="I12" s="291" t="s">
        <v>53</v>
      </c>
      <c r="J12" s="291"/>
      <c r="K12" s="291"/>
      <c r="L12" s="16">
        <f t="shared" si="0"/>
        <v>0</v>
      </c>
      <c r="M12" s="17">
        <f t="shared" si="0"/>
        <v>0</v>
      </c>
      <c r="N12" s="36">
        <f t="shared" si="0"/>
        <v>0</v>
      </c>
      <c r="Y12" s="131">
        <v>9</v>
      </c>
      <c r="Z12" s="131">
        <v>7.5</v>
      </c>
      <c r="AB12" s="131">
        <v>9</v>
      </c>
      <c r="AC12" s="131">
        <v>26</v>
      </c>
      <c r="AG12" s="135" t="s">
        <v>224</v>
      </c>
      <c r="AH12" s="131">
        <v>33</v>
      </c>
      <c r="AI12" s="131">
        <v>5</v>
      </c>
      <c r="AJ12" s="131">
        <v>21.5</v>
      </c>
      <c r="AK12" s="142">
        <v>1.8</v>
      </c>
      <c r="AL12" s="135" t="s">
        <v>224</v>
      </c>
      <c r="AM12" s="132">
        <v>45</v>
      </c>
      <c r="AN12" s="132">
        <v>10</v>
      </c>
      <c r="AO12" s="132">
        <v>26.9</v>
      </c>
      <c r="AP12" s="134">
        <v>2.8</v>
      </c>
      <c r="AQ12" s="135" t="s">
        <v>224</v>
      </c>
      <c r="AR12" s="132">
        <v>96</v>
      </c>
      <c r="AS12" s="132">
        <v>33</v>
      </c>
      <c r="AT12" s="132">
        <v>43</v>
      </c>
      <c r="AU12" s="134">
        <v>6.7</v>
      </c>
    </row>
    <row r="13" spans="1:51" ht="15.75" x14ac:dyDescent="0.25">
      <c r="A13" s="391">
        <v>0</v>
      </c>
      <c r="B13" s="290"/>
      <c r="C13" s="304" t="s">
        <v>167</v>
      </c>
      <c r="D13" s="304"/>
      <c r="E13" s="304"/>
      <c r="F13" s="16">
        <v>0</v>
      </c>
      <c r="G13" s="17">
        <f>IF(Q6="Serving 3 or more dwelling units",1,1.5)</f>
        <v>1.5</v>
      </c>
      <c r="H13" s="8">
        <f>IF(Q6="Serving 3 or more dwelling units",1,1.5)</f>
        <v>1.5</v>
      </c>
      <c r="I13" s="291" t="s">
        <v>265</v>
      </c>
      <c r="J13" s="291"/>
      <c r="K13" s="291"/>
      <c r="L13" s="16">
        <f t="shared" si="0"/>
        <v>0</v>
      </c>
      <c r="M13" s="17">
        <f t="shared" si="0"/>
        <v>0</v>
      </c>
      <c r="N13" s="36">
        <f t="shared" si="0"/>
        <v>0</v>
      </c>
      <c r="Y13" s="131">
        <v>10</v>
      </c>
      <c r="Z13" s="131">
        <v>8</v>
      </c>
      <c r="AB13" s="131">
        <v>10</v>
      </c>
      <c r="AC13" s="131">
        <v>27</v>
      </c>
      <c r="AG13" s="135" t="s">
        <v>72</v>
      </c>
      <c r="AH13" s="131">
        <v>75</v>
      </c>
      <c r="AI13" s="131">
        <v>24</v>
      </c>
      <c r="AJ13" s="131">
        <v>37.6</v>
      </c>
      <c r="AK13" s="142">
        <v>1.3</v>
      </c>
      <c r="AL13" s="135" t="s">
        <v>72</v>
      </c>
      <c r="AM13" s="132">
        <v>112</v>
      </c>
      <c r="AN13" s="132">
        <v>40</v>
      </c>
      <c r="AO13" s="132">
        <v>47</v>
      </c>
      <c r="AP13" s="134">
        <v>2</v>
      </c>
      <c r="AQ13" s="135" t="s">
        <v>72</v>
      </c>
      <c r="AR13" s="132">
        <v>251</v>
      </c>
      <c r="AS13" s="132">
        <v>126</v>
      </c>
      <c r="AT13" s="132">
        <v>75.2</v>
      </c>
      <c r="AU13" s="134">
        <v>4.8</v>
      </c>
      <c r="AW13" s="256" t="s">
        <v>316</v>
      </c>
      <c r="AX13" s="446"/>
      <c r="AY13" s="446"/>
    </row>
    <row r="14" spans="1:51" ht="15.75" x14ac:dyDescent="0.25">
      <c r="A14" s="391">
        <v>0</v>
      </c>
      <c r="B14" s="290"/>
      <c r="C14" s="304" t="s">
        <v>266</v>
      </c>
      <c r="D14" s="304"/>
      <c r="E14" s="304"/>
      <c r="F14" s="16">
        <f>IF(Q6="heavy-use assembly",0.8,0.5)</f>
        <v>0.5</v>
      </c>
      <c r="G14" s="17">
        <v>0</v>
      </c>
      <c r="H14" s="8">
        <f>IF(Q6="heavy-use assembly",0.8,0.5)</f>
        <v>0.5</v>
      </c>
      <c r="I14" s="291" t="s">
        <v>54</v>
      </c>
      <c r="J14" s="291"/>
      <c r="K14" s="291"/>
      <c r="L14" s="16">
        <f t="shared" si="0"/>
        <v>0</v>
      </c>
      <c r="M14" s="17">
        <f t="shared" si="0"/>
        <v>0</v>
      </c>
      <c r="N14" s="36">
        <f t="shared" si="0"/>
        <v>0</v>
      </c>
      <c r="Y14" s="131">
        <v>11</v>
      </c>
      <c r="Z14" s="131">
        <v>8.5</v>
      </c>
      <c r="AB14" s="131">
        <v>11</v>
      </c>
      <c r="AC14" s="131">
        <v>28</v>
      </c>
      <c r="AG14" s="135" t="s">
        <v>239</v>
      </c>
      <c r="AH14" s="131">
        <v>165</v>
      </c>
      <c r="AI14" s="131">
        <v>69</v>
      </c>
      <c r="AJ14" s="131">
        <v>58.1</v>
      </c>
      <c r="AK14" s="142">
        <v>1</v>
      </c>
      <c r="AL14" s="135" t="s">
        <v>239</v>
      </c>
      <c r="AM14" s="132">
        <v>238</v>
      </c>
      <c r="AN14" s="132">
        <v>115</v>
      </c>
      <c r="AO14" s="132">
        <v>72.599999999999994</v>
      </c>
      <c r="AP14" s="134">
        <v>1.6</v>
      </c>
      <c r="AQ14" s="135" t="s">
        <v>239</v>
      </c>
      <c r="AR14" s="132">
        <v>456</v>
      </c>
      <c r="AS14" s="132">
        <v>341</v>
      </c>
      <c r="AT14" s="132">
        <v>116.1</v>
      </c>
      <c r="AU14" s="134">
        <v>3.7</v>
      </c>
      <c r="AW14" s="132" t="s">
        <v>313</v>
      </c>
      <c r="AX14" s="132" t="s">
        <v>314</v>
      </c>
      <c r="AY14" s="132" t="s">
        <v>315</v>
      </c>
    </row>
    <row r="15" spans="1:51" ht="15.75" x14ac:dyDescent="0.25">
      <c r="A15" s="391">
        <v>0</v>
      </c>
      <c r="B15" s="290"/>
      <c r="C15" s="304" t="s">
        <v>267</v>
      </c>
      <c r="D15" s="304"/>
      <c r="E15" s="304"/>
      <c r="F15" s="16">
        <v>2.5</v>
      </c>
      <c r="G15" s="17">
        <v>0</v>
      </c>
      <c r="H15" s="8">
        <v>2.5</v>
      </c>
      <c r="I15" s="291" t="s">
        <v>53</v>
      </c>
      <c r="J15" s="291"/>
      <c r="K15" s="291"/>
      <c r="L15" s="16">
        <f t="shared" si="0"/>
        <v>0</v>
      </c>
      <c r="M15" s="17">
        <f t="shared" si="0"/>
        <v>0</v>
      </c>
      <c r="N15" s="36">
        <f t="shared" si="0"/>
        <v>0</v>
      </c>
      <c r="Y15" s="131">
        <v>12</v>
      </c>
      <c r="Z15" s="131">
        <v>9</v>
      </c>
      <c r="AB15" s="131">
        <v>12</v>
      </c>
      <c r="AC15" s="131">
        <v>29</v>
      </c>
      <c r="AG15" s="135" t="s">
        <v>75</v>
      </c>
      <c r="AH15" s="131">
        <v>289</v>
      </c>
      <c r="AI15" s="131">
        <v>159</v>
      </c>
      <c r="AJ15" s="131">
        <v>82.8</v>
      </c>
      <c r="AK15" s="142">
        <v>0.8</v>
      </c>
      <c r="AL15" s="135" t="s">
        <v>75</v>
      </c>
      <c r="AM15" s="132">
        <v>392</v>
      </c>
      <c r="AN15" s="132">
        <v>267</v>
      </c>
      <c r="AO15" s="132">
        <v>103.4</v>
      </c>
      <c r="AP15" s="134">
        <v>1.3</v>
      </c>
      <c r="AQ15" s="135" t="s">
        <v>75</v>
      </c>
      <c r="AR15" s="132">
        <v>725</v>
      </c>
      <c r="AS15" s="132">
        <v>682</v>
      </c>
      <c r="AT15" s="132">
        <v>165.5</v>
      </c>
      <c r="AU15" s="134">
        <v>3</v>
      </c>
      <c r="AW15" s="131" t="str">
        <f>IF(AW7&gt;0,AW7,AW11)</f>
        <v>2"</v>
      </c>
      <c r="AX15" s="131" t="str">
        <f>AX11</f>
        <v>1/2"</v>
      </c>
      <c r="AY15" s="131" t="str">
        <f>IF(AY7&gt;0,AY7,AY11)</f>
        <v>2"</v>
      </c>
    </row>
    <row r="16" spans="1:51" ht="15.75" x14ac:dyDescent="0.25">
      <c r="A16" s="391">
        <v>0</v>
      </c>
      <c r="B16" s="290"/>
      <c r="C16" s="304" t="s">
        <v>269</v>
      </c>
      <c r="D16" s="304"/>
      <c r="E16" s="304"/>
      <c r="F16" s="16">
        <v>1</v>
      </c>
      <c r="G16" s="17">
        <v>0</v>
      </c>
      <c r="H16" s="8">
        <v>1</v>
      </c>
      <c r="I16" s="291" t="s">
        <v>53</v>
      </c>
      <c r="J16" s="291"/>
      <c r="K16" s="291"/>
      <c r="L16" s="16">
        <f t="shared" si="0"/>
        <v>0</v>
      </c>
      <c r="M16" s="17">
        <f t="shared" si="0"/>
        <v>0</v>
      </c>
      <c r="N16" s="36">
        <f t="shared" si="0"/>
        <v>0</v>
      </c>
      <c r="Y16" s="131">
        <v>13</v>
      </c>
      <c r="Z16" s="131">
        <v>10</v>
      </c>
      <c r="AB16" s="131">
        <v>13</v>
      </c>
      <c r="AC16" s="131">
        <v>29.5</v>
      </c>
      <c r="AG16" s="135" t="s">
        <v>155</v>
      </c>
      <c r="AH16" s="131">
        <v>615</v>
      </c>
      <c r="AI16" s="131">
        <v>541</v>
      </c>
      <c r="AJ16" s="131">
        <v>145.69999999999999</v>
      </c>
      <c r="AK16" s="142">
        <v>0.6</v>
      </c>
      <c r="AL16" s="135" t="s">
        <v>155</v>
      </c>
      <c r="AM16" s="132">
        <v>826</v>
      </c>
      <c r="AN16" s="132">
        <v>801</v>
      </c>
      <c r="AO16" s="132">
        <v>182.1</v>
      </c>
      <c r="AP16" s="134">
        <v>0.9</v>
      </c>
      <c r="AQ16" s="135" t="s">
        <v>155</v>
      </c>
      <c r="AR16" s="132">
        <v>1678</v>
      </c>
      <c r="AS16" s="132">
        <v>1678</v>
      </c>
      <c r="AT16" s="132">
        <v>291.39999999999998</v>
      </c>
      <c r="AU16" s="134">
        <v>2.2000000000000002</v>
      </c>
    </row>
    <row r="17" spans="1:51" ht="15.75" x14ac:dyDescent="0.25">
      <c r="A17" s="391">
        <v>0</v>
      </c>
      <c r="B17" s="290"/>
      <c r="C17" s="304" t="s">
        <v>270</v>
      </c>
      <c r="D17" s="304"/>
      <c r="E17" s="304"/>
      <c r="F17" s="16">
        <f>IF(Q6="Serving 3 or more dwelling units",0.8,1.1)</f>
        <v>1.1000000000000001</v>
      </c>
      <c r="G17" s="17">
        <f>IF(Q6="Serving 3 or more dwelling units",0.8,1.1)</f>
        <v>1.1000000000000001</v>
      </c>
      <c r="H17" s="8">
        <f>IF(Q6="Serving 3 or more dwelling units",1,1.5)</f>
        <v>1.5</v>
      </c>
      <c r="I17" s="291" t="s">
        <v>53</v>
      </c>
      <c r="J17" s="291"/>
      <c r="K17" s="291"/>
      <c r="L17" s="16">
        <f t="shared" si="0"/>
        <v>0</v>
      </c>
      <c r="M17" s="17">
        <f t="shared" si="0"/>
        <v>0</v>
      </c>
      <c r="N17" s="36">
        <f t="shared" si="0"/>
        <v>0</v>
      </c>
      <c r="Y17" s="131">
        <v>14</v>
      </c>
      <c r="Z17" s="131">
        <v>10.5</v>
      </c>
      <c r="AB17" s="131">
        <v>14</v>
      </c>
      <c r="AC17" s="131">
        <v>30</v>
      </c>
      <c r="AG17" s="135" t="s">
        <v>300</v>
      </c>
      <c r="AH17" s="131">
        <v>1134</v>
      </c>
      <c r="AI17" s="131">
        <v>1134</v>
      </c>
      <c r="AJ17" s="131">
        <v>226.1</v>
      </c>
      <c r="AK17" s="142">
        <v>0.5</v>
      </c>
      <c r="AL17" s="135" t="s">
        <v>300</v>
      </c>
      <c r="AM17" s="132">
        <v>1605</v>
      </c>
      <c r="AN17" s="132">
        <v>1605</v>
      </c>
      <c r="AO17" s="132">
        <v>282.60000000000002</v>
      </c>
      <c r="AP17" s="134">
        <v>0.7</v>
      </c>
      <c r="AQ17" s="135" t="s">
        <v>300</v>
      </c>
      <c r="AR17" s="132">
        <v>3191</v>
      </c>
      <c r="AS17" s="132">
        <v>3191</v>
      </c>
      <c r="AT17" s="132">
        <v>452.2</v>
      </c>
      <c r="AU17" s="134">
        <v>1.7</v>
      </c>
    </row>
    <row r="18" spans="1:51" ht="16.5" thickBot="1" x14ac:dyDescent="0.3">
      <c r="A18" s="391">
        <v>0</v>
      </c>
      <c r="B18" s="290"/>
      <c r="C18" s="304" t="s">
        <v>271</v>
      </c>
      <c r="D18" s="304"/>
      <c r="E18" s="304"/>
      <c r="F18" s="16">
        <f>IF(Q6="Serving 3 or more dwelling units",0.8,1.5)</f>
        <v>1.5</v>
      </c>
      <c r="G18" s="17">
        <f>IF(Q6="Serving 3 or more dwelling units",0.8,1.5)</f>
        <v>1.5</v>
      </c>
      <c r="H18" s="8">
        <f>IF(Q6="Serving 3 or more dwelling units",1,2)</f>
        <v>2</v>
      </c>
      <c r="I18" s="291" t="s">
        <v>53</v>
      </c>
      <c r="J18" s="291"/>
      <c r="K18" s="291"/>
      <c r="L18" s="16">
        <f t="shared" si="0"/>
        <v>0</v>
      </c>
      <c r="M18" s="17">
        <f t="shared" si="0"/>
        <v>0</v>
      </c>
      <c r="N18" s="36">
        <f t="shared" si="0"/>
        <v>0</v>
      </c>
      <c r="Y18" s="131">
        <v>15</v>
      </c>
      <c r="Z18" s="131">
        <v>11</v>
      </c>
      <c r="AB18" s="131">
        <v>15</v>
      </c>
      <c r="AC18" s="131">
        <v>31</v>
      </c>
      <c r="AG18" s="137" t="s">
        <v>301</v>
      </c>
      <c r="AH18" s="138">
        <v>1978</v>
      </c>
      <c r="AI18" s="138">
        <v>1978</v>
      </c>
      <c r="AJ18" s="138">
        <v>322.8</v>
      </c>
      <c r="AK18" s="143">
        <v>0.4</v>
      </c>
      <c r="AL18" s="137" t="s">
        <v>301</v>
      </c>
      <c r="AM18" s="139">
        <v>2713</v>
      </c>
      <c r="AN18" s="139">
        <v>2713</v>
      </c>
      <c r="AO18" s="139">
        <v>403.5</v>
      </c>
      <c r="AP18" s="140">
        <v>6</v>
      </c>
      <c r="AQ18" s="137" t="s">
        <v>301</v>
      </c>
      <c r="AR18" s="139">
        <v>5910</v>
      </c>
      <c r="AS18" s="139">
        <v>5910</v>
      </c>
      <c r="AT18" s="139">
        <v>645.5</v>
      </c>
      <c r="AU18" s="140">
        <v>1.4</v>
      </c>
    </row>
    <row r="19" spans="1:51" ht="16.5" thickBot="1" x14ac:dyDescent="0.3">
      <c r="A19" s="391">
        <v>2</v>
      </c>
      <c r="B19" s="290"/>
      <c r="C19" s="304" t="s">
        <v>48</v>
      </c>
      <c r="D19" s="304"/>
      <c r="E19" s="304"/>
      <c r="F19" s="16">
        <f>IF(Q6="Serving 3 or more dwelling units",0.4,0.8)</f>
        <v>0.8</v>
      </c>
      <c r="G19" s="17">
        <f>IF(Q6="Serving 3 or more dwelling units",0.4,0.8)</f>
        <v>0.8</v>
      </c>
      <c r="H19" s="8">
        <f>IF(Q6="Serving 3 or more dwelling units",0.5,1)</f>
        <v>1</v>
      </c>
      <c r="I19" s="291" t="s">
        <v>54</v>
      </c>
      <c r="J19" s="291"/>
      <c r="K19" s="291"/>
      <c r="L19" s="16">
        <f t="shared" si="0"/>
        <v>1.6</v>
      </c>
      <c r="M19" s="17">
        <f t="shared" si="0"/>
        <v>1.6</v>
      </c>
      <c r="N19" s="36">
        <f t="shared" si="0"/>
        <v>2</v>
      </c>
      <c r="Y19" s="131">
        <v>16</v>
      </c>
      <c r="Z19" s="131">
        <v>12</v>
      </c>
      <c r="AB19" s="131">
        <v>16</v>
      </c>
      <c r="AC19" s="131">
        <v>32</v>
      </c>
    </row>
    <row r="20" spans="1:51" ht="16.5" thickBot="1" x14ac:dyDescent="0.3">
      <c r="A20" s="391">
        <v>0</v>
      </c>
      <c r="B20" s="290"/>
      <c r="C20" s="304" t="s">
        <v>272</v>
      </c>
      <c r="D20" s="304"/>
      <c r="E20" s="304"/>
      <c r="F20" s="16">
        <v>2.2999999999999998</v>
      </c>
      <c r="G20" s="17">
        <v>2.2999999999999998</v>
      </c>
      <c r="H20" s="8">
        <v>3</v>
      </c>
      <c r="I20" s="291" t="s">
        <v>53</v>
      </c>
      <c r="J20" s="291"/>
      <c r="K20" s="291"/>
      <c r="L20" s="16">
        <f t="shared" si="0"/>
        <v>0</v>
      </c>
      <c r="M20" s="17">
        <f t="shared" si="0"/>
        <v>0</v>
      </c>
      <c r="N20" s="36">
        <f t="shared" si="0"/>
        <v>0</v>
      </c>
      <c r="Y20" s="131">
        <v>17</v>
      </c>
      <c r="Z20" s="131">
        <v>12.5</v>
      </c>
      <c r="AB20" s="131">
        <v>17</v>
      </c>
      <c r="AC20" s="131">
        <v>33</v>
      </c>
      <c r="AG20" s="459" t="s">
        <v>306</v>
      </c>
      <c r="AH20" s="460"/>
      <c r="AI20" s="460"/>
      <c r="AJ20" s="460"/>
      <c r="AK20" s="460"/>
      <c r="AL20" s="460"/>
      <c r="AM20" s="460"/>
      <c r="AN20" s="460"/>
      <c r="AO20" s="460"/>
      <c r="AP20" s="460"/>
      <c r="AQ20" s="460"/>
      <c r="AR20" s="460"/>
      <c r="AS20" s="460"/>
      <c r="AT20" s="460"/>
      <c r="AU20" s="461"/>
    </row>
    <row r="21" spans="1:51" ht="15.75" x14ac:dyDescent="0.25">
      <c r="A21" s="391">
        <v>0</v>
      </c>
      <c r="B21" s="290"/>
      <c r="C21" s="304" t="s">
        <v>74</v>
      </c>
      <c r="D21" s="304"/>
      <c r="E21" s="304"/>
      <c r="F21" s="16">
        <v>1.5</v>
      </c>
      <c r="G21" s="17">
        <v>1.5</v>
      </c>
      <c r="H21" s="8">
        <v>2</v>
      </c>
      <c r="I21" s="291" t="s">
        <v>53</v>
      </c>
      <c r="J21" s="291"/>
      <c r="K21" s="291"/>
      <c r="L21" s="16">
        <f t="shared" si="0"/>
        <v>0</v>
      </c>
      <c r="M21" s="17">
        <f t="shared" si="0"/>
        <v>0</v>
      </c>
      <c r="N21" s="36">
        <f t="shared" si="0"/>
        <v>0</v>
      </c>
      <c r="Y21" s="131">
        <v>18</v>
      </c>
      <c r="Z21" s="131">
        <v>13</v>
      </c>
      <c r="AB21" s="131">
        <v>18</v>
      </c>
      <c r="AC21" s="131">
        <v>33.5</v>
      </c>
      <c r="AG21" s="453" t="s">
        <v>296</v>
      </c>
      <c r="AH21" s="455" t="s">
        <v>302</v>
      </c>
      <c r="AI21" s="455"/>
      <c r="AJ21" s="456"/>
      <c r="AK21" s="457"/>
      <c r="AL21" s="453" t="s">
        <v>296</v>
      </c>
      <c r="AM21" s="455" t="s">
        <v>311</v>
      </c>
      <c r="AN21" s="455"/>
      <c r="AO21" s="456"/>
      <c r="AP21" s="458"/>
      <c r="AQ21" s="453" t="s">
        <v>296</v>
      </c>
      <c r="AR21" s="455" t="s">
        <v>303</v>
      </c>
      <c r="AS21" s="455"/>
      <c r="AT21" s="456"/>
      <c r="AU21" s="458"/>
      <c r="AW21" s="256" t="s">
        <v>318</v>
      </c>
      <c r="AX21" s="446"/>
      <c r="AY21" s="446"/>
    </row>
    <row r="22" spans="1:51" ht="15.75" x14ac:dyDescent="0.25">
      <c r="A22" s="391">
        <v>0</v>
      </c>
      <c r="B22" s="290"/>
      <c r="C22" s="304" t="s">
        <v>273</v>
      </c>
      <c r="D22" s="304"/>
      <c r="E22" s="304"/>
      <c r="F22" s="16">
        <v>3.8</v>
      </c>
      <c r="G22" s="17">
        <v>3.8</v>
      </c>
      <c r="H22" s="8">
        <v>5</v>
      </c>
      <c r="I22" s="291" t="s">
        <v>56</v>
      </c>
      <c r="J22" s="291"/>
      <c r="K22" s="291"/>
      <c r="L22" s="16">
        <f t="shared" si="0"/>
        <v>0</v>
      </c>
      <c r="M22" s="17">
        <f t="shared" si="0"/>
        <v>0</v>
      </c>
      <c r="N22" s="36">
        <f t="shared" si="0"/>
        <v>0</v>
      </c>
      <c r="Y22" s="131">
        <v>19</v>
      </c>
      <c r="Z22" s="131">
        <v>13.5</v>
      </c>
      <c r="AB22" s="131">
        <v>19</v>
      </c>
      <c r="AC22" s="131">
        <v>34</v>
      </c>
      <c r="AG22" s="454"/>
      <c r="AH22" s="132" t="s">
        <v>297</v>
      </c>
      <c r="AI22" s="132" t="s">
        <v>304</v>
      </c>
      <c r="AJ22" s="132" t="s">
        <v>298</v>
      </c>
      <c r="AK22" s="141" t="s">
        <v>299</v>
      </c>
      <c r="AL22" s="454"/>
      <c r="AM22" s="132" t="s">
        <v>297</v>
      </c>
      <c r="AN22" s="132" t="s">
        <v>304</v>
      </c>
      <c r="AO22" s="132" t="s">
        <v>298</v>
      </c>
      <c r="AP22" s="134" t="s">
        <v>299</v>
      </c>
      <c r="AQ22" s="454"/>
      <c r="AR22" s="132" t="s">
        <v>297</v>
      </c>
      <c r="AS22" s="132" t="s">
        <v>304</v>
      </c>
      <c r="AT22" s="132" t="s">
        <v>298</v>
      </c>
      <c r="AU22" s="134" t="s">
        <v>299</v>
      </c>
      <c r="AW22" s="132" t="s">
        <v>313</v>
      </c>
      <c r="AX22" s="132"/>
      <c r="AY22" s="132" t="s">
        <v>315</v>
      </c>
    </row>
    <row r="23" spans="1:51" ht="15.75" x14ac:dyDescent="0.25">
      <c r="A23" s="391">
        <v>0</v>
      </c>
      <c r="B23" s="290"/>
      <c r="C23" s="304" t="s">
        <v>274</v>
      </c>
      <c r="D23" s="304"/>
      <c r="E23" s="304"/>
      <c r="F23" s="16">
        <f>IF(Q6="heavy-use assembly",5,4)</f>
        <v>4</v>
      </c>
      <c r="G23" s="17">
        <v>0</v>
      </c>
      <c r="H23" s="8">
        <f>IF(Q6="heavy-use assembly",5,4)</f>
        <v>4</v>
      </c>
      <c r="I23" s="291" t="s">
        <v>56</v>
      </c>
      <c r="J23" s="291"/>
      <c r="K23" s="291"/>
      <c r="L23" s="16">
        <f t="shared" si="0"/>
        <v>0</v>
      </c>
      <c r="M23" s="17">
        <f t="shared" si="0"/>
        <v>0</v>
      </c>
      <c r="N23" s="36">
        <f t="shared" si="0"/>
        <v>0</v>
      </c>
      <c r="Y23" s="131">
        <v>20</v>
      </c>
      <c r="Z23" s="131">
        <v>14</v>
      </c>
      <c r="AB23" s="131">
        <v>20</v>
      </c>
      <c r="AC23" s="131">
        <v>35</v>
      </c>
      <c r="AG23" s="135" t="s">
        <v>54</v>
      </c>
      <c r="AH23" s="131"/>
      <c r="AI23" s="131"/>
      <c r="AJ23" s="131">
        <v>1.8</v>
      </c>
      <c r="AK23" s="142">
        <v>7.8</v>
      </c>
      <c r="AL23" s="135" t="s">
        <v>54</v>
      </c>
      <c r="AM23" s="131">
        <v>2</v>
      </c>
      <c r="AN23" s="131"/>
      <c r="AO23" s="132">
        <v>2.2999999999999998</v>
      </c>
      <c r="AP23" s="134">
        <v>11.7</v>
      </c>
      <c r="AQ23" s="135" t="s">
        <v>54</v>
      </c>
      <c r="AR23" s="131">
        <v>4</v>
      </c>
      <c r="AS23" s="131"/>
      <c r="AT23" s="132">
        <v>3.6</v>
      </c>
      <c r="AU23" s="134">
        <v>28</v>
      </c>
      <c r="AW23" s="131" t="str">
        <f>IF(U7=0,0,IF(L37=0,0,IF(L37&lt;=AJ24,"1/2""",IF(L37&lt;=AJ25,"3/4""",IF(L37&lt;=AJ26,"1""",IF(L37&lt;=AJ27,"1-1/4""",IF(L37&lt;=AJ28,"1-1/2""",IF(L37&lt;=AJ29,"2""",IF(L37&lt;=AJ30,"2-1/2""",IF(L37&lt;=AJ31,"3""",IF(L37&lt;=AJ32,"4""",IF(L37&lt;=AJ33,"5""",IF(L37&lt;=AJ34,"6""",0)))))))))))))</f>
        <v>2"</v>
      </c>
      <c r="AX23" s="131">
        <v>0</v>
      </c>
      <c r="AY23" s="131" t="str">
        <f>IF(W7=0,0,IF(N37&lt;=AJ24,"1/2""",IF(N37&lt;=AJ25,"3/4""",IF(N37&lt;=AJ26,"1""",IF(N37&lt;=AJ27,"1-1/4""",IF(N37&lt;=AJ28,"1-1/2""",IF(N37&lt;=AJ29,"2""",IF(N37&lt;=AJ30,"2-1/2""",IF(N37&lt;=AJ31,"3""",IF(N37&lt;=AJ32,"4""",IF(N37&lt;=AJ33,"5""",IF(N37&lt;=AJ34,"6""",0))))))))))))</f>
        <v>2"</v>
      </c>
    </row>
    <row r="24" spans="1:51" ht="15.75" x14ac:dyDescent="0.25">
      <c r="A24" s="391">
        <v>0</v>
      </c>
      <c r="B24" s="290"/>
      <c r="C24" s="7" t="s">
        <v>275</v>
      </c>
      <c r="D24" s="7"/>
      <c r="E24" s="7"/>
      <c r="F24" s="16">
        <f>IF(Q6="heavy-use assembly",6,5)</f>
        <v>5</v>
      </c>
      <c r="G24" s="17">
        <v>0</v>
      </c>
      <c r="H24" s="8">
        <f>IF(Q6="heavy-use assembly",6,5)</f>
        <v>5</v>
      </c>
      <c r="I24" s="292" t="s">
        <v>56</v>
      </c>
      <c r="J24" s="293"/>
      <c r="K24" s="294"/>
      <c r="L24" s="16">
        <f t="shared" si="0"/>
        <v>0</v>
      </c>
      <c r="M24" s="17">
        <f t="shared" si="0"/>
        <v>0</v>
      </c>
      <c r="N24" s="36">
        <f t="shared" si="0"/>
        <v>0</v>
      </c>
      <c r="Y24" s="131">
        <v>21</v>
      </c>
      <c r="Z24" s="131">
        <v>14.6</v>
      </c>
      <c r="AB24" s="131">
        <v>21</v>
      </c>
      <c r="AC24" s="131">
        <v>35.6</v>
      </c>
      <c r="AG24" s="135" t="s">
        <v>53</v>
      </c>
      <c r="AH24" s="131">
        <v>3</v>
      </c>
      <c r="AI24" s="131"/>
      <c r="AJ24" s="131">
        <v>2.9</v>
      </c>
      <c r="AK24" s="142">
        <v>5.9</v>
      </c>
      <c r="AL24" s="135" t="s">
        <v>53</v>
      </c>
      <c r="AM24" s="131">
        <v>4</v>
      </c>
      <c r="AN24" s="131"/>
      <c r="AO24" s="131">
        <v>3.6</v>
      </c>
      <c r="AP24" s="136">
        <v>8.9</v>
      </c>
      <c r="AQ24" s="135" t="s">
        <v>53</v>
      </c>
      <c r="AR24" s="131">
        <v>7</v>
      </c>
      <c r="AS24" s="131"/>
      <c r="AT24" s="131">
        <v>5.8</v>
      </c>
      <c r="AU24" s="136">
        <v>21.3</v>
      </c>
    </row>
    <row r="25" spans="1:51" ht="15.75" x14ac:dyDescent="0.25">
      <c r="A25" s="391">
        <v>0</v>
      </c>
      <c r="B25" s="290"/>
      <c r="C25" s="7" t="s">
        <v>276</v>
      </c>
      <c r="D25" s="7"/>
      <c r="E25" s="7"/>
      <c r="F25" s="16"/>
      <c r="G25" s="17"/>
      <c r="H25" s="8"/>
      <c r="I25" s="292" t="s">
        <v>277</v>
      </c>
      <c r="J25" s="293"/>
      <c r="K25" s="294"/>
      <c r="L25" s="16">
        <f t="shared" si="0"/>
        <v>0</v>
      </c>
      <c r="M25" s="17">
        <f t="shared" si="0"/>
        <v>0</v>
      </c>
      <c r="N25" s="36">
        <f t="shared" si="0"/>
        <v>0</v>
      </c>
      <c r="Y25" s="131">
        <v>22</v>
      </c>
      <c r="Z25" s="131">
        <v>15.2</v>
      </c>
      <c r="AB25" s="131">
        <v>22</v>
      </c>
      <c r="AC25" s="131">
        <v>36.200000000000003</v>
      </c>
      <c r="AG25" s="135" t="s">
        <v>56</v>
      </c>
      <c r="AH25" s="131">
        <v>7</v>
      </c>
      <c r="AI25" s="131"/>
      <c r="AJ25" s="131">
        <v>6</v>
      </c>
      <c r="AK25" s="142">
        <v>3.9</v>
      </c>
      <c r="AL25" s="135" t="s">
        <v>56</v>
      </c>
      <c r="AM25" s="131">
        <v>9</v>
      </c>
      <c r="AN25" s="131"/>
      <c r="AO25" s="131">
        <v>7.5</v>
      </c>
      <c r="AP25" s="136">
        <v>5.8</v>
      </c>
      <c r="AQ25" s="135" t="s">
        <v>56</v>
      </c>
      <c r="AR25" s="131">
        <v>16</v>
      </c>
      <c r="AS25" s="131"/>
      <c r="AT25" s="131">
        <v>12.1</v>
      </c>
      <c r="AU25" s="136">
        <v>13.9</v>
      </c>
      <c r="AW25" s="256" t="s">
        <v>317</v>
      </c>
      <c r="AX25" s="446"/>
      <c r="AY25" s="446"/>
    </row>
    <row r="26" spans="1:51" ht="15.75" x14ac:dyDescent="0.25">
      <c r="A26" s="391">
        <v>0</v>
      </c>
      <c r="B26" s="290"/>
      <c r="C26" s="7" t="s">
        <v>278</v>
      </c>
      <c r="D26" s="7"/>
      <c r="E26" s="7"/>
      <c r="F26" s="16"/>
      <c r="G26" s="17"/>
      <c r="H26" s="8"/>
      <c r="I26" s="292" t="s">
        <v>277</v>
      </c>
      <c r="J26" s="293"/>
      <c r="K26" s="294"/>
      <c r="L26" s="16">
        <f t="shared" si="0"/>
        <v>0</v>
      </c>
      <c r="M26" s="17">
        <f t="shared" si="0"/>
        <v>0</v>
      </c>
      <c r="N26" s="36">
        <f t="shared" si="0"/>
        <v>0</v>
      </c>
      <c r="Y26" s="131">
        <v>23</v>
      </c>
      <c r="Z26" s="131">
        <v>15.8</v>
      </c>
      <c r="AB26" s="131">
        <v>23</v>
      </c>
      <c r="AC26" s="131">
        <v>36.799999999999997</v>
      </c>
      <c r="AG26" s="135" t="s">
        <v>55</v>
      </c>
      <c r="AH26" s="131">
        <v>14</v>
      </c>
      <c r="AI26" s="131"/>
      <c r="AJ26" s="131">
        <v>10.3</v>
      </c>
      <c r="AK26" s="142">
        <v>2.8</v>
      </c>
      <c r="AL26" s="135" t="s">
        <v>55</v>
      </c>
      <c r="AM26" s="131">
        <v>18</v>
      </c>
      <c r="AN26" s="131"/>
      <c r="AO26" s="131">
        <v>12.9</v>
      </c>
      <c r="AP26" s="136">
        <v>4.3</v>
      </c>
      <c r="AQ26" s="135" t="s">
        <v>55</v>
      </c>
      <c r="AR26" s="131">
        <v>31</v>
      </c>
      <c r="AS26" s="131"/>
      <c r="AT26" s="131">
        <v>20.6</v>
      </c>
      <c r="AU26" s="136">
        <v>10.199999999999999</v>
      </c>
      <c r="AW26" s="132" t="s">
        <v>313</v>
      </c>
      <c r="AX26" s="132" t="s">
        <v>314</v>
      </c>
      <c r="AY26" s="132" t="s">
        <v>315</v>
      </c>
    </row>
    <row r="27" spans="1:51" ht="15.75" x14ac:dyDescent="0.25">
      <c r="A27" s="391">
        <v>3</v>
      </c>
      <c r="B27" s="290"/>
      <c r="C27" s="7" t="s">
        <v>279</v>
      </c>
      <c r="D27" s="7"/>
      <c r="E27" s="7"/>
      <c r="F27" s="16">
        <f>IF(Q6="heavy-use assembly",4,2.5)</f>
        <v>2.5</v>
      </c>
      <c r="G27" s="17">
        <v>0</v>
      </c>
      <c r="H27" s="8">
        <f>IF(Q6="heavy-use assembly",4,2.5)</f>
        <v>2.5</v>
      </c>
      <c r="I27" s="292" t="s">
        <v>53</v>
      </c>
      <c r="J27" s="293"/>
      <c r="K27" s="294"/>
      <c r="L27" s="16">
        <f t="shared" si="0"/>
        <v>7.5</v>
      </c>
      <c r="M27" s="17">
        <f t="shared" si="0"/>
        <v>0</v>
      </c>
      <c r="N27" s="36">
        <f t="shared" si="0"/>
        <v>7.5</v>
      </c>
      <c r="Y27" s="131">
        <v>24</v>
      </c>
      <c r="Z27" s="131">
        <v>16.399999999999999</v>
      </c>
      <c r="AB27" s="131">
        <v>24</v>
      </c>
      <c r="AC27" s="131">
        <v>37.4</v>
      </c>
      <c r="AG27" s="135" t="s">
        <v>223</v>
      </c>
      <c r="AH27" s="131">
        <v>23</v>
      </c>
      <c r="AI27" s="131"/>
      <c r="AJ27" s="131">
        <v>15.7</v>
      </c>
      <c r="AK27" s="142">
        <v>2.2000000000000002</v>
      </c>
      <c r="AL27" s="135" t="s">
        <v>223</v>
      </c>
      <c r="AM27" s="131">
        <v>29</v>
      </c>
      <c r="AN27" s="131"/>
      <c r="AO27" s="131">
        <v>19.5</v>
      </c>
      <c r="AP27" s="136">
        <v>3.3</v>
      </c>
      <c r="AQ27" s="135" t="s">
        <v>223</v>
      </c>
      <c r="AR27" s="131">
        <v>56</v>
      </c>
      <c r="AS27" s="131">
        <v>15</v>
      </c>
      <c r="AT27" s="131">
        <v>31.3</v>
      </c>
      <c r="AU27" s="136">
        <v>8</v>
      </c>
      <c r="AW27" t="str">
        <f>IF(L37=0,0,IF(L37&lt;=AT24,"1/2""",IF(L37&lt;=AT25,"3/4""",IF(L37&lt;=AT26,"1""",IF(L37&lt;=AT27,"1-1/4""",IF(L37&lt;=AT28,"1-1/2""",IF(L37&lt;=AT29,"2""",IF(L37&lt;=AT30,"2-1/2""",IF(L37&lt;=AT31,"3""",IF(L37&lt;=AT32,"4""",IF(L37&lt;=AT33,"5""",IF(L37&lt;=AT34,"6""",0))))))))))))</f>
        <v>1-1/4"</v>
      </c>
      <c r="AX27" t="str">
        <f>IF(M37=0,0,IF(M37&lt;=AO24,"1/2""",IF(M37&lt;=AO25,"3/4""",IF(M37&lt;=AO26,"1""",IF(M37&lt;=AO27,"1-1/4""",IF(M37&lt;=AO28,"1-1/2""",IF(M37&lt;=AO29,"2""",IF(M37&lt;=AO30,"2-1/2""",IF(M37&lt;=AO31,"3""",IF(M37&lt;=AO32,"4""",IF(M37&lt;=AO33,"5""",IF(M37&lt;=AO34,"6""",0))))))))))))</f>
        <v>1/2"</v>
      </c>
      <c r="AY27" t="str">
        <f>IF(N37=0,0,IF(N37&lt;=AT24,"1/2""",IF(N37&lt;=AT25,"3/4""",IF(N37&lt;=AT26,"1""",IF(N37&lt;=AT27,"1-1/4""",IF(N37&lt;=AT28,"1-1/2""",IF(N37&lt;=AT29,"2""",IF(N37&lt;=AT30,"2-1/2""",IF(N37&lt;=AT31,"3""",IF(N37&lt;=AT32,"4""",IF(N37&lt;=AT33,"5""",IF(N37&lt;=AT34,"6""",0))))))))))))</f>
        <v>1-1/4"</v>
      </c>
    </row>
    <row r="28" spans="1:51" ht="15.75" x14ac:dyDescent="0.25">
      <c r="A28" s="391">
        <v>0</v>
      </c>
      <c r="B28" s="290"/>
      <c r="C28" s="7" t="s">
        <v>280</v>
      </c>
      <c r="D28" s="7"/>
      <c r="E28" s="7"/>
      <c r="F28" s="16">
        <f>IF(Q6="heavy-use assembly",3.5,2.5)</f>
        <v>2.5</v>
      </c>
      <c r="G28" s="17">
        <v>0</v>
      </c>
      <c r="H28" s="8">
        <f>IF(Q6="heavy-use assembly",3.5,2.5)</f>
        <v>2.5</v>
      </c>
      <c r="I28" s="292" t="s">
        <v>53</v>
      </c>
      <c r="J28" s="293"/>
      <c r="K28" s="294"/>
      <c r="L28" s="16">
        <f t="shared" si="0"/>
        <v>0</v>
      </c>
      <c r="M28" s="17">
        <f t="shared" si="0"/>
        <v>0</v>
      </c>
      <c r="N28" s="36">
        <f t="shared" si="0"/>
        <v>0</v>
      </c>
      <c r="Y28" s="131">
        <v>25</v>
      </c>
      <c r="Z28" s="131">
        <v>17</v>
      </c>
      <c r="AB28" s="131">
        <v>25</v>
      </c>
      <c r="AC28" s="131">
        <v>38</v>
      </c>
      <c r="AG28" s="135" t="s">
        <v>224</v>
      </c>
      <c r="AH28" s="131">
        <v>34</v>
      </c>
      <c r="AI28" s="131">
        <v>5</v>
      </c>
      <c r="AJ28" s="131">
        <v>22.2</v>
      </c>
      <c r="AK28" s="142">
        <v>1.8</v>
      </c>
      <c r="AL28" s="135" t="s">
        <v>224</v>
      </c>
      <c r="AM28" s="132">
        <v>47</v>
      </c>
      <c r="AN28" s="132">
        <v>11</v>
      </c>
      <c r="AO28" s="132">
        <v>27.7</v>
      </c>
      <c r="AP28" s="134">
        <v>2.7</v>
      </c>
      <c r="AQ28" s="135" t="s">
        <v>224</v>
      </c>
      <c r="AR28" s="132">
        <v>101</v>
      </c>
      <c r="AS28" s="132">
        <v>36</v>
      </c>
      <c r="AT28" s="132">
        <v>44.4</v>
      </c>
      <c r="AU28" s="134">
        <v>6.5</v>
      </c>
    </row>
    <row r="29" spans="1:51" ht="15.75" x14ac:dyDescent="0.25">
      <c r="A29" s="391">
        <v>1</v>
      </c>
      <c r="B29" s="290"/>
      <c r="C29" s="7" t="s">
        <v>281</v>
      </c>
      <c r="D29" s="7"/>
      <c r="E29" s="7"/>
      <c r="F29" s="16">
        <f>IF(Q6="heavy-use assembly",8,5)</f>
        <v>5</v>
      </c>
      <c r="G29" s="17">
        <v>0</v>
      </c>
      <c r="H29" s="8">
        <f>IF(Q6="heavy-use assembly",8,5)</f>
        <v>5</v>
      </c>
      <c r="I29" s="292" t="s">
        <v>55</v>
      </c>
      <c r="J29" s="293"/>
      <c r="K29" s="294"/>
      <c r="L29" s="16">
        <f t="shared" si="0"/>
        <v>5</v>
      </c>
      <c r="M29" s="17">
        <f t="shared" si="0"/>
        <v>0</v>
      </c>
      <c r="N29" s="36">
        <f t="shared" si="0"/>
        <v>5</v>
      </c>
      <c r="Y29" s="131">
        <v>26</v>
      </c>
      <c r="Z29" s="131">
        <v>17.600000000000001</v>
      </c>
      <c r="AB29" s="131">
        <v>26</v>
      </c>
      <c r="AC29" s="131">
        <v>38.6</v>
      </c>
      <c r="AG29" s="135" t="s">
        <v>72</v>
      </c>
      <c r="AH29" s="131">
        <v>79</v>
      </c>
      <c r="AI29" s="131">
        <v>26</v>
      </c>
      <c r="AJ29" s="131">
        <v>38.6</v>
      </c>
      <c r="AK29" s="142">
        <v>1.3</v>
      </c>
      <c r="AL29" s="135" t="s">
        <v>72</v>
      </c>
      <c r="AM29" s="132">
        <v>117</v>
      </c>
      <c r="AN29" s="132">
        <v>43</v>
      </c>
      <c r="AO29" s="132">
        <v>48.2</v>
      </c>
      <c r="AP29" s="134">
        <v>2</v>
      </c>
      <c r="AQ29" s="135" t="s">
        <v>72</v>
      </c>
      <c r="AR29" s="132">
        <v>261</v>
      </c>
      <c r="AS29" s="132">
        <v>136</v>
      </c>
      <c r="AT29" s="132">
        <v>77.2</v>
      </c>
      <c r="AU29" s="134">
        <v>4.7</v>
      </c>
      <c r="AW29" s="256" t="s">
        <v>316</v>
      </c>
      <c r="AX29" s="446"/>
      <c r="AY29" s="446"/>
    </row>
    <row r="30" spans="1:51" ht="15.75" x14ac:dyDescent="0.25">
      <c r="A30" s="391">
        <v>0</v>
      </c>
      <c r="B30" s="290"/>
      <c r="C30" s="295" t="s">
        <v>282</v>
      </c>
      <c r="D30" s="296"/>
      <c r="E30" s="297"/>
      <c r="F30" s="16">
        <v>3</v>
      </c>
      <c r="G30" s="17">
        <v>3</v>
      </c>
      <c r="H30" s="8">
        <v>4</v>
      </c>
      <c r="I30" s="292" t="s">
        <v>53</v>
      </c>
      <c r="J30" s="293"/>
      <c r="K30" s="294"/>
      <c r="L30" s="16">
        <f t="shared" si="0"/>
        <v>0</v>
      </c>
      <c r="M30" s="17">
        <f t="shared" si="0"/>
        <v>0</v>
      </c>
      <c r="N30" s="36">
        <f t="shared" si="0"/>
        <v>0</v>
      </c>
      <c r="Y30" s="131">
        <v>27</v>
      </c>
      <c r="Z30" s="131">
        <v>18.2</v>
      </c>
      <c r="AB30" s="131">
        <v>27</v>
      </c>
      <c r="AC30" s="131">
        <v>39.200000000000003</v>
      </c>
      <c r="AG30" s="135" t="s">
        <v>239</v>
      </c>
      <c r="AH30" s="131">
        <v>173</v>
      </c>
      <c r="AI30" s="131">
        <v>73</v>
      </c>
      <c r="AJ30" s="131">
        <v>59.5</v>
      </c>
      <c r="AK30" s="142">
        <v>1</v>
      </c>
      <c r="AL30" s="135" t="s">
        <v>239</v>
      </c>
      <c r="AM30" s="132">
        <v>247</v>
      </c>
      <c r="AN30" s="132">
        <v>120</v>
      </c>
      <c r="AO30" s="132">
        <v>74.400000000000006</v>
      </c>
      <c r="AP30" s="134">
        <v>1.5</v>
      </c>
      <c r="AQ30" s="135" t="s">
        <v>239</v>
      </c>
      <c r="AR30" s="132">
        <v>470</v>
      </c>
      <c r="AS30" s="132">
        <v>360</v>
      </c>
      <c r="AT30" s="132">
        <v>119</v>
      </c>
      <c r="AU30" s="134">
        <v>3.7</v>
      </c>
      <c r="AW30" s="132" t="s">
        <v>313</v>
      </c>
      <c r="AX30" s="132" t="s">
        <v>314</v>
      </c>
      <c r="AY30" s="132" t="s">
        <v>315</v>
      </c>
    </row>
    <row r="31" spans="1:51" ht="15.75" x14ac:dyDescent="0.25">
      <c r="A31" s="396">
        <v>0</v>
      </c>
      <c r="B31" s="397"/>
      <c r="C31" s="311" t="s">
        <v>51</v>
      </c>
      <c r="D31" s="311"/>
      <c r="E31" s="311"/>
      <c r="F31" s="16">
        <v>5</v>
      </c>
      <c r="G31" s="17">
        <v>0</v>
      </c>
      <c r="H31" s="8">
        <v>5</v>
      </c>
      <c r="I31" s="398"/>
      <c r="J31" s="398"/>
      <c r="K31" s="398"/>
      <c r="L31" s="16">
        <f t="shared" si="0"/>
        <v>0</v>
      </c>
      <c r="M31" s="17">
        <f t="shared" si="0"/>
        <v>0</v>
      </c>
      <c r="N31" s="36">
        <f t="shared" si="0"/>
        <v>0</v>
      </c>
      <c r="Y31" s="131">
        <v>28</v>
      </c>
      <c r="Z31" s="131">
        <v>18.8</v>
      </c>
      <c r="AB31" s="131">
        <v>28</v>
      </c>
      <c r="AC31" s="131">
        <v>39.799999999999997</v>
      </c>
      <c r="AG31" s="135" t="s">
        <v>75</v>
      </c>
      <c r="AH31" s="131">
        <v>300</v>
      </c>
      <c r="AI31" s="131">
        <v>170</v>
      </c>
      <c r="AJ31" s="131">
        <v>84.9</v>
      </c>
      <c r="AK31" s="142">
        <v>0.8</v>
      </c>
      <c r="AL31" s="135" t="s">
        <v>75</v>
      </c>
      <c r="AM31" s="132">
        <v>406</v>
      </c>
      <c r="AN31" s="132">
        <v>281</v>
      </c>
      <c r="AO31" s="132">
        <v>106.2</v>
      </c>
      <c r="AP31" s="134">
        <v>1.3</v>
      </c>
      <c r="AQ31" s="135" t="s">
        <v>75</v>
      </c>
      <c r="AR31" s="132">
        <v>749</v>
      </c>
      <c r="AS31" s="132">
        <v>713</v>
      </c>
      <c r="AT31" s="132">
        <v>169.9</v>
      </c>
      <c r="AU31" s="134">
        <v>3</v>
      </c>
      <c r="AW31" s="131" t="str">
        <f>IF(AW23&gt;0,AW23,AW27)</f>
        <v>2"</v>
      </c>
      <c r="AX31" s="131" t="str">
        <f>AX27</f>
        <v>1/2"</v>
      </c>
      <c r="AY31" s="131" t="str">
        <f>IF(AY23&gt;0,AY23,AY27)</f>
        <v>2"</v>
      </c>
    </row>
    <row r="32" spans="1:51" ht="15.75" x14ac:dyDescent="0.25">
      <c r="A32" s="396">
        <v>0</v>
      </c>
      <c r="B32" s="397"/>
      <c r="C32" s="311" t="s">
        <v>51</v>
      </c>
      <c r="D32" s="311"/>
      <c r="E32" s="311"/>
      <c r="F32" s="16">
        <v>0</v>
      </c>
      <c r="G32" s="17">
        <v>0</v>
      </c>
      <c r="H32" s="8">
        <v>0</v>
      </c>
      <c r="I32" s="398"/>
      <c r="J32" s="398"/>
      <c r="K32" s="398"/>
      <c r="L32" s="16">
        <f t="shared" si="0"/>
        <v>0</v>
      </c>
      <c r="M32" s="17">
        <f t="shared" si="0"/>
        <v>0</v>
      </c>
      <c r="N32" s="36">
        <f t="shared" si="0"/>
        <v>0</v>
      </c>
      <c r="Y32" s="131">
        <v>29</v>
      </c>
      <c r="Z32" s="131">
        <v>19.399999999999999</v>
      </c>
      <c r="AB32" s="131">
        <v>29</v>
      </c>
      <c r="AC32" s="131">
        <v>40.4</v>
      </c>
      <c r="AG32" s="135" t="s">
        <v>155</v>
      </c>
      <c r="AH32" s="131">
        <v>635</v>
      </c>
      <c r="AI32" s="131">
        <v>567</v>
      </c>
      <c r="AJ32" s="131">
        <v>149.30000000000001</v>
      </c>
      <c r="AK32" s="142">
        <v>0.6</v>
      </c>
      <c r="AL32" s="135" t="s">
        <v>155</v>
      </c>
      <c r="AM32" s="132">
        <v>854</v>
      </c>
      <c r="AN32" s="132">
        <v>833</v>
      </c>
      <c r="AO32" s="132">
        <v>186.7</v>
      </c>
      <c r="AP32" s="134">
        <v>0.9</v>
      </c>
      <c r="AQ32" s="135" t="s">
        <v>155</v>
      </c>
      <c r="AR32" s="132">
        <v>1739</v>
      </c>
      <c r="AS32" s="132">
        <v>1739</v>
      </c>
      <c r="AT32" s="132">
        <v>298.7</v>
      </c>
      <c r="AU32" s="134">
        <v>2.2000000000000002</v>
      </c>
    </row>
    <row r="33" spans="1:51" ht="15.75" x14ac:dyDescent="0.25">
      <c r="A33" s="391">
        <v>0</v>
      </c>
      <c r="B33" s="290"/>
      <c r="C33" s="304" t="s">
        <v>51</v>
      </c>
      <c r="D33" s="304"/>
      <c r="E33" s="304"/>
      <c r="F33" s="16">
        <v>0</v>
      </c>
      <c r="G33" s="17">
        <v>0</v>
      </c>
      <c r="H33" s="8">
        <v>0</v>
      </c>
      <c r="I33" s="291"/>
      <c r="J33" s="291"/>
      <c r="K33" s="291"/>
      <c r="L33" s="16">
        <f t="shared" si="0"/>
        <v>0</v>
      </c>
      <c r="M33" s="17">
        <f t="shared" si="0"/>
        <v>0</v>
      </c>
      <c r="N33" s="36">
        <f t="shared" si="0"/>
        <v>0</v>
      </c>
      <c r="Y33" s="131">
        <v>30</v>
      </c>
      <c r="Z33" s="131">
        <v>20</v>
      </c>
      <c r="AB33" s="131">
        <v>30</v>
      </c>
      <c r="AC33" s="131">
        <v>41</v>
      </c>
      <c r="AG33" s="135" t="s">
        <v>300</v>
      </c>
      <c r="AH33" s="131">
        <v>1189</v>
      </c>
      <c r="AI33" s="131">
        <v>1189</v>
      </c>
      <c r="AJ33" s="131">
        <v>232.7</v>
      </c>
      <c r="AK33" s="142">
        <v>0.5</v>
      </c>
      <c r="AL33" s="135" t="s">
        <v>300</v>
      </c>
      <c r="AM33" s="132">
        <v>1674</v>
      </c>
      <c r="AN33" s="132">
        <v>1674</v>
      </c>
      <c r="AO33" s="132">
        <v>290.89999999999998</v>
      </c>
      <c r="AP33" s="134">
        <v>0.7</v>
      </c>
      <c r="AQ33" s="135" t="s">
        <v>300</v>
      </c>
      <c r="AR33" s="132">
        <v>3338</v>
      </c>
      <c r="AS33" s="132">
        <v>3338</v>
      </c>
      <c r="AT33" s="132">
        <v>465.5</v>
      </c>
      <c r="AU33" s="134">
        <v>1.7</v>
      </c>
    </row>
    <row r="34" spans="1:51" ht="16.5" thickBot="1" x14ac:dyDescent="0.3">
      <c r="A34" s="391">
        <v>0</v>
      </c>
      <c r="B34" s="290"/>
      <c r="C34" s="304" t="s">
        <v>51</v>
      </c>
      <c r="D34" s="304"/>
      <c r="E34" s="304"/>
      <c r="F34" s="16">
        <v>0</v>
      </c>
      <c r="G34" s="17">
        <v>0</v>
      </c>
      <c r="H34" s="8">
        <v>0</v>
      </c>
      <c r="I34" s="291"/>
      <c r="J34" s="291"/>
      <c r="K34" s="291"/>
      <c r="L34" s="125">
        <v>0</v>
      </c>
      <c r="M34" s="126">
        <v>0</v>
      </c>
      <c r="N34" s="127">
        <v>0</v>
      </c>
      <c r="Y34" s="131">
        <v>31</v>
      </c>
      <c r="Z34" s="131">
        <v>20.5</v>
      </c>
      <c r="AB34" s="131">
        <v>31</v>
      </c>
      <c r="AC34" s="131">
        <v>41.6</v>
      </c>
      <c r="AG34" s="137" t="s">
        <v>301</v>
      </c>
      <c r="AH34" s="138">
        <v>2087</v>
      </c>
      <c r="AI34" s="138">
        <v>2087</v>
      </c>
      <c r="AJ34" s="138">
        <v>334.6</v>
      </c>
      <c r="AK34" s="143">
        <v>0.4</v>
      </c>
      <c r="AL34" s="137" t="s">
        <v>301</v>
      </c>
      <c r="AM34" s="139">
        <v>2847</v>
      </c>
      <c r="AN34" s="139">
        <v>2874</v>
      </c>
      <c r="AO34" s="139">
        <v>418.2</v>
      </c>
      <c r="AP34" s="140">
        <v>0.6</v>
      </c>
      <c r="AQ34" s="137" t="s">
        <v>301</v>
      </c>
      <c r="AR34" s="139">
        <v>6382</v>
      </c>
      <c r="AS34" s="139">
        <v>6382</v>
      </c>
      <c r="AT34" s="139">
        <v>669.1</v>
      </c>
      <c r="AU34" s="140">
        <v>1.4</v>
      </c>
    </row>
    <row r="35" spans="1:51" ht="16.5" thickBot="1" x14ac:dyDescent="0.3">
      <c r="A35" s="472">
        <v>0</v>
      </c>
      <c r="B35" s="300"/>
      <c r="C35" s="316" t="s">
        <v>51</v>
      </c>
      <c r="D35" s="316"/>
      <c r="E35" s="316"/>
      <c r="F35" s="37">
        <v>0</v>
      </c>
      <c r="G35" s="38">
        <v>0</v>
      </c>
      <c r="H35" s="39">
        <v>0</v>
      </c>
      <c r="I35" s="301"/>
      <c r="J35" s="301"/>
      <c r="K35" s="301"/>
      <c r="L35" s="37">
        <v>0</v>
      </c>
      <c r="M35" s="38">
        <v>0</v>
      </c>
      <c r="N35" s="40">
        <v>0</v>
      </c>
      <c r="Y35" s="131">
        <v>32</v>
      </c>
      <c r="Z35" s="131">
        <v>21</v>
      </c>
      <c r="AB35" s="131">
        <v>32</v>
      </c>
      <c r="AC35" s="131">
        <v>42.2</v>
      </c>
    </row>
    <row r="36" spans="1:51" ht="15" customHeight="1" thickTop="1" thickBot="1" x14ac:dyDescent="0.3">
      <c r="A36" s="1"/>
      <c r="B36" s="1"/>
      <c r="C36" s="1"/>
      <c r="D36" s="1"/>
      <c r="E36" s="1"/>
      <c r="F36" s="1"/>
      <c r="G36" s="1"/>
      <c r="H36" s="1"/>
      <c r="I36" s="451" t="s">
        <v>287</v>
      </c>
      <c r="J36" s="452"/>
      <c r="K36" s="452"/>
      <c r="L36" s="215">
        <f>SUM(L9:L35)</f>
        <v>14.1</v>
      </c>
      <c r="M36" s="215">
        <f>SUM(M9:M35)</f>
        <v>1.6</v>
      </c>
      <c r="N36" s="215">
        <f>SUM(N9:N35)</f>
        <v>14.5</v>
      </c>
      <c r="Y36" s="131">
        <v>33</v>
      </c>
      <c r="Z36" s="131">
        <v>21.5</v>
      </c>
      <c r="AB36" s="131">
        <v>33</v>
      </c>
      <c r="AC36" s="131">
        <v>42.8</v>
      </c>
      <c r="AG36" s="459" t="s">
        <v>307</v>
      </c>
      <c r="AH36" s="460"/>
      <c r="AI36" s="460"/>
      <c r="AJ36" s="460"/>
      <c r="AK36" s="460"/>
      <c r="AL36" s="460"/>
      <c r="AM36" s="460"/>
      <c r="AN36" s="460"/>
      <c r="AO36" s="460"/>
      <c r="AP36" s="460"/>
      <c r="AQ36" s="460"/>
      <c r="AR36" s="460"/>
      <c r="AS36" s="460"/>
      <c r="AT36" s="460"/>
      <c r="AU36" s="461"/>
    </row>
    <row r="37" spans="1:51" ht="15" customHeight="1" thickBot="1" x14ac:dyDescent="0.3">
      <c r="A37" s="1"/>
      <c r="B37" s="1"/>
      <c r="C37" s="1"/>
      <c r="D37" s="1"/>
      <c r="E37" s="1"/>
      <c r="F37" s="1"/>
      <c r="G37" s="1"/>
      <c r="H37" s="1"/>
      <c r="I37" s="451" t="s">
        <v>291</v>
      </c>
      <c r="J37" s="452"/>
      <c r="K37" s="452"/>
      <c r="L37" s="215">
        <f>SUM(U4+U7)</f>
        <v>29.5</v>
      </c>
      <c r="M37" s="215">
        <f>SUM(V4+V7)</f>
        <v>1</v>
      </c>
      <c r="N37" s="215">
        <f>SUM(W4+W7)</f>
        <v>29.5</v>
      </c>
      <c r="O37" s="129" t="s">
        <v>293</v>
      </c>
      <c r="P37" s="1"/>
      <c r="Y37" s="131">
        <v>34</v>
      </c>
      <c r="Z37" s="131">
        <v>22</v>
      </c>
      <c r="AB37" s="131">
        <v>34</v>
      </c>
      <c r="AC37" s="131">
        <v>43.4</v>
      </c>
      <c r="AG37" s="453" t="s">
        <v>296</v>
      </c>
      <c r="AH37" s="455" t="s">
        <v>302</v>
      </c>
      <c r="AI37" s="455"/>
      <c r="AJ37" s="456"/>
      <c r="AK37" s="457"/>
      <c r="AL37" s="453" t="s">
        <v>296</v>
      </c>
      <c r="AM37" s="455" t="s">
        <v>311</v>
      </c>
      <c r="AN37" s="455"/>
      <c r="AO37" s="456"/>
      <c r="AP37" s="458"/>
      <c r="AQ37" s="453" t="s">
        <v>296</v>
      </c>
      <c r="AR37" s="455" t="s">
        <v>303</v>
      </c>
      <c r="AS37" s="455"/>
      <c r="AT37" s="456"/>
      <c r="AU37" s="458"/>
      <c r="AW37" s="256" t="s">
        <v>318</v>
      </c>
      <c r="AX37" s="446"/>
      <c r="AY37" s="446"/>
    </row>
    <row r="38" spans="1:51" ht="15" customHeight="1" x14ac:dyDescent="0.25">
      <c r="O38" s="1"/>
      <c r="Y38" s="131">
        <v>35</v>
      </c>
      <c r="Z38" s="131">
        <v>22.5</v>
      </c>
      <c r="AB38" s="131">
        <v>35</v>
      </c>
      <c r="AC38" s="131">
        <v>44</v>
      </c>
      <c r="AG38" s="454"/>
      <c r="AH38" s="132" t="s">
        <v>297</v>
      </c>
      <c r="AI38" s="132" t="s">
        <v>304</v>
      </c>
      <c r="AJ38" s="132" t="s">
        <v>298</v>
      </c>
      <c r="AK38" s="141" t="s">
        <v>299</v>
      </c>
      <c r="AL38" s="454"/>
      <c r="AM38" s="132" t="s">
        <v>297</v>
      </c>
      <c r="AN38" s="132" t="s">
        <v>304</v>
      </c>
      <c r="AO38" s="132" t="s">
        <v>298</v>
      </c>
      <c r="AP38" s="134" t="s">
        <v>299</v>
      </c>
      <c r="AQ38" s="454"/>
      <c r="AR38" s="132" t="s">
        <v>297</v>
      </c>
      <c r="AS38" s="132" t="s">
        <v>304</v>
      </c>
      <c r="AT38" s="132" t="s">
        <v>298</v>
      </c>
      <c r="AU38" s="134" t="s">
        <v>299</v>
      </c>
      <c r="AW38" s="132" t="s">
        <v>313</v>
      </c>
      <c r="AX38" s="132"/>
      <c r="AY38" s="132" t="s">
        <v>315</v>
      </c>
    </row>
    <row r="39" spans="1:51" ht="15" customHeight="1" x14ac:dyDescent="0.2">
      <c r="Y39" s="131">
        <v>36</v>
      </c>
      <c r="Z39" s="131">
        <v>23</v>
      </c>
      <c r="AB39" s="131">
        <v>36</v>
      </c>
      <c r="AC39" s="131">
        <v>44.6</v>
      </c>
      <c r="AG39" s="135" t="s">
        <v>54</v>
      </c>
      <c r="AH39" s="131"/>
      <c r="AI39" s="131"/>
      <c r="AJ39" s="131">
        <v>2</v>
      </c>
      <c r="AK39" s="142">
        <v>7.3</v>
      </c>
      <c r="AL39" s="135" t="s">
        <v>54</v>
      </c>
      <c r="AM39" s="131"/>
      <c r="AN39" s="131"/>
      <c r="AO39" s="132">
        <v>2.5</v>
      </c>
      <c r="AP39" s="134">
        <v>11.1</v>
      </c>
      <c r="AQ39" s="135" t="s">
        <v>54</v>
      </c>
      <c r="AR39" s="131">
        <v>4</v>
      </c>
      <c r="AS39" s="131"/>
      <c r="AT39" s="132">
        <v>4</v>
      </c>
      <c r="AU39" s="134">
        <v>26.6</v>
      </c>
      <c r="AW39" s="131" t="str">
        <f>IF(U7=0,0,IF(L37=0,0,IF(L37&lt;=AJ40,"1/2""",IF(L37&lt;=AJ41,"3/4""",IF(L37&lt;=AJ42,"1""",IF(L37&lt;=AJ43,"1-1/4""",IF(L37&lt;=AJ44,"1-1/2""",IF(L37&lt;=AJ45,"2""",IF(L37&lt;=AJ46,"2-1/2""",IF(L37&lt;=AJ47,"3""",IF(L37&lt;=AJ48,"4""",IF(L37&lt;=AJ49,"5""",IF(L37&lt;=AJ50,"6""",0)))))))))))))</f>
        <v>2"</v>
      </c>
      <c r="AX39" s="131">
        <v>0</v>
      </c>
      <c r="AY39" s="131" t="str">
        <f>IF(W7=0,0,IF(N37&lt;=AJ40,"1/2""",IF(N37&lt;=AJ41,"3/4""",IF(N37&lt;=AJ42,"1""",IF(N37&lt;=AJ43,"1-1/4""",IF(N37&lt;=AJ44,"1-1/2""",IF(N37&lt;=AJ45,"2""",IF(N37&lt;=AJ46,"2-1/2""",IF(N37&lt;=AJ47,"3""",IF(N37&lt;=AJ48,"4""",IF(N37&lt;=AJ49,"5""",IF(N37&lt;=AJ50,"6""",0))))))))))))</f>
        <v>2"</v>
      </c>
    </row>
    <row r="40" spans="1:51" ht="15" customHeight="1" thickBot="1" x14ac:dyDescent="0.25">
      <c r="A40" s="450" t="str">
        <f>IF(U7&gt;0,"Based on 4 FPS Velocity","Based on 8 FPS Velocity")</f>
        <v>Based on 4 FPS Velocity</v>
      </c>
      <c r="B40" s="450"/>
      <c r="C40" s="450"/>
      <c r="D40" s="450"/>
      <c r="E40" s="450" t="str">
        <f>IF(OR(Q9="type k copper",Q9="type l copper",Q9="type m copper"),"Based on 5 FPS Velocity","Based on 8 FPS Velocity")</f>
        <v>Based on 8 FPS Velocity</v>
      </c>
      <c r="F40" s="450"/>
      <c r="G40" s="450"/>
      <c r="H40" s="450"/>
      <c r="Y40" s="131">
        <v>37</v>
      </c>
      <c r="Z40" s="131">
        <v>23.5</v>
      </c>
      <c r="AB40" s="131">
        <v>37</v>
      </c>
      <c r="AC40" s="131">
        <v>45.2</v>
      </c>
      <c r="AG40" s="135" t="s">
        <v>53</v>
      </c>
      <c r="AH40" s="131">
        <v>3</v>
      </c>
      <c r="AI40" s="131"/>
      <c r="AJ40" s="131">
        <v>3.2</v>
      </c>
      <c r="AK40" s="142">
        <v>5.6</v>
      </c>
      <c r="AL40" s="135" t="s">
        <v>53</v>
      </c>
      <c r="AM40" s="131">
        <v>4</v>
      </c>
      <c r="AN40" s="131"/>
      <c r="AO40" s="131">
        <v>4</v>
      </c>
      <c r="AP40" s="136">
        <v>8.5</v>
      </c>
      <c r="AQ40" s="135" t="s">
        <v>53</v>
      </c>
      <c r="AR40" s="131">
        <v>7</v>
      </c>
      <c r="AS40" s="131"/>
      <c r="AT40" s="131">
        <v>6.3</v>
      </c>
      <c r="AU40" s="136">
        <v>20.2</v>
      </c>
    </row>
    <row r="41" spans="1:51" ht="15" customHeight="1" thickTop="1" thickBot="1" x14ac:dyDescent="0.3">
      <c r="A41" s="348" t="s">
        <v>36</v>
      </c>
      <c r="B41" s="349"/>
      <c r="C41" s="349"/>
      <c r="D41" s="432"/>
      <c r="E41" s="350" t="s">
        <v>35</v>
      </c>
      <c r="F41" s="351"/>
      <c r="G41" s="351"/>
      <c r="H41" s="352"/>
      <c r="Y41" s="131">
        <v>38</v>
      </c>
      <c r="Z41" s="131">
        <v>24</v>
      </c>
      <c r="AB41" s="131">
        <v>38</v>
      </c>
      <c r="AC41" s="131">
        <v>45.8</v>
      </c>
      <c r="AG41" s="135" t="s">
        <v>56</v>
      </c>
      <c r="AH41" s="131">
        <v>7</v>
      </c>
      <c r="AI41" s="131"/>
      <c r="AJ41" s="131">
        <v>6.4</v>
      </c>
      <c r="AK41" s="142">
        <v>3.7</v>
      </c>
      <c r="AL41" s="135" t="s">
        <v>56</v>
      </c>
      <c r="AM41" s="131">
        <v>10</v>
      </c>
      <c r="AN41" s="131"/>
      <c r="AO41" s="131">
        <v>8.1</v>
      </c>
      <c r="AP41" s="136">
        <v>5.6</v>
      </c>
      <c r="AQ41" s="135" t="s">
        <v>56</v>
      </c>
      <c r="AR41" s="131">
        <v>18</v>
      </c>
      <c r="AS41" s="131"/>
      <c r="AT41" s="131">
        <v>12.9</v>
      </c>
      <c r="AU41" s="136">
        <v>13.4</v>
      </c>
      <c r="AW41" s="256" t="s">
        <v>317</v>
      </c>
      <c r="AX41" s="446"/>
      <c r="AY41" s="446"/>
    </row>
    <row r="42" spans="1:51" ht="15" customHeight="1" thickTop="1" thickBot="1" x14ac:dyDescent="0.3">
      <c r="A42" s="57" t="s">
        <v>204</v>
      </c>
      <c r="B42" s="418" t="s">
        <v>291</v>
      </c>
      <c r="C42" s="419"/>
      <c r="D42" s="420"/>
      <c r="E42" s="57" t="s">
        <v>204</v>
      </c>
      <c r="F42" s="418" t="s">
        <v>291</v>
      </c>
      <c r="G42" s="419"/>
      <c r="H42" s="420"/>
      <c r="Y42" s="131">
        <v>39</v>
      </c>
      <c r="Z42" s="131">
        <v>24.5</v>
      </c>
      <c r="AB42" s="131">
        <v>39</v>
      </c>
      <c r="AC42" s="131">
        <v>46.4</v>
      </c>
      <c r="AG42" s="135" t="s">
        <v>55</v>
      </c>
      <c r="AH42" s="131">
        <v>15</v>
      </c>
      <c r="AI42" s="131"/>
      <c r="AJ42" s="131">
        <v>10.9</v>
      </c>
      <c r="AK42" s="142">
        <v>2.7</v>
      </c>
      <c r="AL42" s="135" t="s">
        <v>55</v>
      </c>
      <c r="AM42" s="131">
        <v>19</v>
      </c>
      <c r="AN42" s="131"/>
      <c r="AO42" s="131">
        <v>13.6</v>
      </c>
      <c r="AP42" s="136">
        <v>4.0999999999999996</v>
      </c>
      <c r="AQ42" s="135" t="s">
        <v>55</v>
      </c>
      <c r="AR42" s="131">
        <v>34</v>
      </c>
      <c r="AS42" s="131">
        <v>5</v>
      </c>
      <c r="AT42" s="131">
        <v>21.8</v>
      </c>
      <c r="AU42" s="136">
        <v>9.9</v>
      </c>
      <c r="AW42" s="132" t="s">
        <v>313</v>
      </c>
      <c r="AX42" s="132" t="s">
        <v>314</v>
      </c>
      <c r="AY42" s="132" t="s">
        <v>315</v>
      </c>
    </row>
    <row r="43" spans="1:51" ht="15" customHeight="1" thickBot="1" x14ac:dyDescent="0.25">
      <c r="A43" s="111" t="str">
        <f>IF(Q9="type k copper",AW15,IF(Q9="type l copper",AW31,IF(Q9="type m copper",AW47,IF(Q9="CPVC/PVC/ABS/Plastic Schedule 40",AR63,IF(Q9="CPVC/PVC/ABS/Plastic Schedule 80",AR79,IF(Q9="pex",AR86,0))))))</f>
        <v>2"</v>
      </c>
      <c r="B43" s="433">
        <f>L37</f>
        <v>29.5</v>
      </c>
      <c r="C43" s="434"/>
      <c r="D43" s="435"/>
      <c r="E43" s="111" t="str">
        <f>IF(Q9="type k copper",AX15,IF(Q9="type l copper",AX31,IF(Q9="type m copper",AX47,IF(Q9="CPVC/PVC/ABS/Plastic Schedule 40",AS63,IF(Q9="CPVC/PVC/ABS/Plastic Schedule 80",AS79,IF(Q9="pex",AS86,0))))))</f>
        <v>1/2"</v>
      </c>
      <c r="F43" s="433">
        <f>M37</f>
        <v>1</v>
      </c>
      <c r="G43" s="434"/>
      <c r="H43" s="435"/>
      <c r="Y43" s="131">
        <v>40</v>
      </c>
      <c r="Z43" s="131">
        <v>25</v>
      </c>
      <c r="AB43" s="131">
        <v>40</v>
      </c>
      <c r="AC43" s="131">
        <v>47</v>
      </c>
      <c r="AG43" s="135" t="s">
        <v>223</v>
      </c>
      <c r="AH43" s="131">
        <v>24</v>
      </c>
      <c r="AI43" s="131"/>
      <c r="AJ43" s="131">
        <v>16.3</v>
      </c>
      <c r="AK43" s="142">
        <v>2.2000000000000002</v>
      </c>
      <c r="AL43" s="135" t="s">
        <v>223</v>
      </c>
      <c r="AM43" s="131">
        <v>30</v>
      </c>
      <c r="AN43" s="131"/>
      <c r="AO43" s="131">
        <v>20.399999999999999</v>
      </c>
      <c r="AP43" s="136">
        <v>3.3</v>
      </c>
      <c r="AQ43" s="135" t="s">
        <v>223</v>
      </c>
      <c r="AR43" s="131">
        <v>59</v>
      </c>
      <c r="AS43" s="131">
        <v>17</v>
      </c>
      <c r="AT43" s="131">
        <v>32.6</v>
      </c>
      <c r="AU43" s="136">
        <v>7.8</v>
      </c>
      <c r="AW43" s="131" t="str">
        <f>IF(L37=0,0,IF(L37&lt;=AT40,"1/2""",IF(L37&lt;=AT41,"3/4""",IF(L37&lt;=AT42,"1""",IF(L37&lt;=AT43,"1-1/4""",IF(L37&lt;=AT44,"1-1/2""",IF(L37&lt;=AT45,"2""",IF(L37&lt;=AT46,"2-1/2""",IF(L37&lt;=AT47,"3""",IF(L37&lt;=AT48,"4""",IF(L37&lt;=AT49,"5""",IF(L37&lt;=AT50,"6""",0))))))))))))</f>
        <v>1-1/4"</v>
      </c>
      <c r="AX43" s="131" t="str">
        <f>IF(M37=0,0,IF(M37&lt;=AO40,"1/2""",IF(M37&lt;=AO41,"3/4""",IF(M37&lt;=AO42,"1""",IF(M37&lt;=AO43,"1-1/4""",IF(M37&lt;=AO44,"1-1/2""",IF(M37&lt;=AO45,"2""",IF(M37&lt;=AO46,"2-1/2""",IF(M37&lt;=AO47,"3""",IF(M37&lt;=AO48,"4""",IF(M37&lt;=AO49,"5""",IF(M37&lt;=AO50,"6""",0))))))))))))</f>
        <v>1/2"</v>
      </c>
      <c r="AY43" s="131" t="str">
        <f>IF(N37=0,0,IF(N37&lt;=AT40,"1/2""",IF(N37&lt;=AT41,"3/4""",IF(N37&lt;=AT42,"1""",IF(N37&lt;=AT43,"1-1/4""",IF(N37&lt;=AT44,"1-1/2""",IF(N37&lt;=AT45,"2""",IF(N37&lt;=AT46,"2-1/2""",IF(N37&lt;=AT47,"3""",IF(N37&lt;=AT48,"4""",IF(N37&lt;=AT49,"5""",IF(N37&lt;=AT50,"6""",0))))))))))))</f>
        <v>1-1/4"</v>
      </c>
    </row>
    <row r="44" spans="1:51" ht="15" customHeight="1" thickTop="1" x14ac:dyDescent="0.2">
      <c r="Y44" s="131">
        <v>41</v>
      </c>
      <c r="Z44" s="131">
        <v>25.4</v>
      </c>
      <c r="AB44" s="131">
        <v>41</v>
      </c>
      <c r="AC44" s="131">
        <v>47.4</v>
      </c>
      <c r="AG44" s="135" t="s">
        <v>224</v>
      </c>
      <c r="AH44" s="131">
        <v>36</v>
      </c>
      <c r="AI44" s="131">
        <v>6</v>
      </c>
      <c r="AJ44" s="131">
        <v>22.8</v>
      </c>
      <c r="AK44" s="142">
        <v>1.8</v>
      </c>
      <c r="AL44" s="135" t="s">
        <v>224</v>
      </c>
      <c r="AM44" s="132">
        <v>49</v>
      </c>
      <c r="AN44" s="132">
        <v>12</v>
      </c>
      <c r="AO44" s="132">
        <v>28.5</v>
      </c>
      <c r="AP44" s="134">
        <v>2.7</v>
      </c>
      <c r="AQ44" s="135" t="s">
        <v>224</v>
      </c>
      <c r="AR44" s="132">
        <v>107</v>
      </c>
      <c r="AS44" s="132">
        <v>38</v>
      </c>
      <c r="AT44" s="132">
        <v>45.7</v>
      </c>
      <c r="AU44" s="134">
        <v>6.4</v>
      </c>
    </row>
    <row r="45" spans="1:51" ht="15" customHeight="1" x14ac:dyDescent="0.2">
      <c r="Y45" s="131">
        <v>42</v>
      </c>
      <c r="Z45" s="131">
        <v>25.8</v>
      </c>
      <c r="AB45" s="131">
        <v>42</v>
      </c>
      <c r="AC45" s="131">
        <v>47.8</v>
      </c>
      <c r="AG45" s="135" t="s">
        <v>72</v>
      </c>
      <c r="AH45" s="131">
        <v>82</v>
      </c>
      <c r="AI45" s="131">
        <v>28</v>
      </c>
      <c r="AJ45" s="131">
        <v>39.5</v>
      </c>
      <c r="AK45" s="142">
        <v>1.3</v>
      </c>
      <c r="AL45" s="135" t="s">
        <v>72</v>
      </c>
      <c r="AM45" s="132">
        <v>122</v>
      </c>
      <c r="AN45" s="132">
        <v>46</v>
      </c>
      <c r="AO45" s="132">
        <v>49.4</v>
      </c>
      <c r="AP45" s="134">
        <v>2</v>
      </c>
      <c r="AQ45" s="135" t="s">
        <v>72</v>
      </c>
      <c r="AR45" s="132">
        <v>270</v>
      </c>
      <c r="AS45" s="132">
        <v>144</v>
      </c>
      <c r="AT45" s="132">
        <v>79.099999999999994</v>
      </c>
      <c r="AU45" s="134">
        <v>4.7</v>
      </c>
      <c r="AW45" s="256" t="s">
        <v>316</v>
      </c>
      <c r="AX45" s="446"/>
      <c r="AY45" s="446"/>
    </row>
    <row r="46" spans="1:51" ht="15" customHeight="1" thickBot="1" x14ac:dyDescent="0.25">
      <c r="A46" s="450" t="str">
        <f>IF(W7&gt;0,"Based on 4 FPS Velocity","Based on 8 FPS Velocity")</f>
        <v>Based on 4 FPS Velocity</v>
      </c>
      <c r="B46" s="450"/>
      <c r="C46" s="450"/>
      <c r="D46" s="450"/>
      <c r="Y46" s="131">
        <v>43</v>
      </c>
      <c r="Z46" s="131">
        <v>26.2</v>
      </c>
      <c r="AB46" s="131">
        <v>43</v>
      </c>
      <c r="AC46" s="131">
        <v>48.2</v>
      </c>
      <c r="AG46" s="135" t="s">
        <v>239</v>
      </c>
      <c r="AH46" s="131">
        <v>180</v>
      </c>
      <c r="AI46" s="131">
        <v>77</v>
      </c>
      <c r="AJ46" s="131">
        <v>31</v>
      </c>
      <c r="AK46" s="142">
        <v>1</v>
      </c>
      <c r="AL46" s="135" t="s">
        <v>239</v>
      </c>
      <c r="AM46" s="132">
        <v>256</v>
      </c>
      <c r="AN46" s="132">
        <v>131</v>
      </c>
      <c r="AO46" s="132">
        <v>76.2</v>
      </c>
      <c r="AP46" s="134">
        <v>1.5</v>
      </c>
      <c r="AQ46" s="135" t="s">
        <v>239</v>
      </c>
      <c r="AR46" s="132">
        <v>485</v>
      </c>
      <c r="AS46" s="132">
        <v>380</v>
      </c>
      <c r="AT46" s="132">
        <v>121.9</v>
      </c>
      <c r="AU46" s="134">
        <v>3.6</v>
      </c>
      <c r="AW46" s="132" t="s">
        <v>313</v>
      </c>
      <c r="AX46" s="132" t="s">
        <v>314</v>
      </c>
      <c r="AY46" s="132" t="s">
        <v>315</v>
      </c>
    </row>
    <row r="47" spans="1:51" ht="15" customHeight="1" thickTop="1" thickBot="1" x14ac:dyDescent="0.3">
      <c r="A47" s="334" t="s">
        <v>203</v>
      </c>
      <c r="B47" s="335"/>
      <c r="C47" s="335"/>
      <c r="D47" s="336"/>
      <c r="Y47" s="131">
        <v>44</v>
      </c>
      <c r="Z47" s="131">
        <v>26.6</v>
      </c>
      <c r="AB47" s="131">
        <v>44</v>
      </c>
      <c r="AC47" s="131">
        <v>48.6</v>
      </c>
      <c r="AG47" s="135" t="s">
        <v>75</v>
      </c>
      <c r="AH47" s="131">
        <v>310</v>
      </c>
      <c r="AI47" s="131">
        <v>180</v>
      </c>
      <c r="AJ47" s="131">
        <v>87</v>
      </c>
      <c r="AK47" s="142">
        <v>0.8</v>
      </c>
      <c r="AL47" s="135" t="s">
        <v>75</v>
      </c>
      <c r="AM47" s="132">
        <v>419</v>
      </c>
      <c r="AN47" s="132">
        <v>294</v>
      </c>
      <c r="AO47" s="132">
        <v>108.8</v>
      </c>
      <c r="AP47" s="134">
        <v>1.2</v>
      </c>
      <c r="AQ47" s="135" t="s">
        <v>75</v>
      </c>
      <c r="AR47" s="132">
        <v>775</v>
      </c>
      <c r="AS47" s="132">
        <v>743</v>
      </c>
      <c r="AT47" s="132">
        <v>174</v>
      </c>
      <c r="AU47" s="134">
        <v>3</v>
      </c>
      <c r="AW47" s="131" t="str">
        <f>IF(AW39&gt;0,AW39,AW43)</f>
        <v>2"</v>
      </c>
      <c r="AX47" s="131" t="str">
        <f>AX43</f>
        <v>1/2"</v>
      </c>
      <c r="AY47" s="131" t="str">
        <f>IF(AY39&gt;0,AY39,AY43)</f>
        <v>2"</v>
      </c>
    </row>
    <row r="48" spans="1:51" ht="15" customHeight="1" thickTop="1" thickBot="1" x14ac:dyDescent="0.3">
      <c r="A48" s="57" t="s">
        <v>204</v>
      </c>
      <c r="B48" s="418" t="s">
        <v>291</v>
      </c>
      <c r="C48" s="419"/>
      <c r="D48" s="420"/>
      <c r="Y48" s="131">
        <v>45</v>
      </c>
      <c r="Z48" s="131">
        <v>27</v>
      </c>
      <c r="AB48" s="131">
        <v>45</v>
      </c>
      <c r="AC48" s="131">
        <v>49</v>
      </c>
      <c r="AG48" s="135" t="s">
        <v>155</v>
      </c>
      <c r="AH48" s="131">
        <v>648</v>
      </c>
      <c r="AI48" s="131">
        <v>583</v>
      </c>
      <c r="AJ48" s="131">
        <v>151.6</v>
      </c>
      <c r="AK48" s="142">
        <v>0.6</v>
      </c>
      <c r="AL48" s="135" t="s">
        <v>155</v>
      </c>
      <c r="AM48" s="132">
        <v>872</v>
      </c>
      <c r="AN48" s="132">
        <v>854</v>
      </c>
      <c r="AO48" s="132">
        <v>189.5</v>
      </c>
      <c r="AP48" s="134">
        <v>0.9</v>
      </c>
      <c r="AQ48" s="135" t="s">
        <v>155</v>
      </c>
      <c r="AR48" s="132">
        <v>1783</v>
      </c>
      <c r="AS48" s="132">
        <v>1783</v>
      </c>
      <c r="AT48" s="132">
        <v>303.3</v>
      </c>
      <c r="AU48" s="134">
        <v>2.1</v>
      </c>
    </row>
    <row r="49" spans="1:47" ht="15" customHeight="1" thickBot="1" x14ac:dyDescent="0.25">
      <c r="A49" s="111" t="str">
        <f>IF(Q9="type k copper",AY15,IF(Q9="type l copper",AY31,IF(Q9="type m copper",AY47,IF(Q9="CPVC/PVC/ABS/Plastic Schedule 40",AT63,IF(Q9="CPVC/PVC/ABS/Plastic Schedule 80",AT79,IF(Q9="pex",AT86,0))))))</f>
        <v>2"</v>
      </c>
      <c r="B49" s="433">
        <f>N37</f>
        <v>29.5</v>
      </c>
      <c r="C49" s="434"/>
      <c r="D49" s="435"/>
      <c r="Y49" s="131">
        <v>46</v>
      </c>
      <c r="Z49" s="131">
        <v>27.4</v>
      </c>
      <c r="AB49" s="131">
        <v>46</v>
      </c>
      <c r="AC49" s="131">
        <v>49.4</v>
      </c>
      <c r="AG49" s="135" t="s">
        <v>300</v>
      </c>
      <c r="AH49" s="131">
        <v>1215</v>
      </c>
      <c r="AI49" s="131">
        <v>1215</v>
      </c>
      <c r="AJ49" s="131">
        <v>235.8</v>
      </c>
      <c r="AK49" s="142">
        <v>0.5</v>
      </c>
      <c r="AL49" s="135" t="s">
        <v>300</v>
      </c>
      <c r="AM49" s="132">
        <v>1706</v>
      </c>
      <c r="AN49" s="132">
        <v>1706</v>
      </c>
      <c r="AO49" s="132">
        <v>294.8</v>
      </c>
      <c r="AP49" s="134">
        <v>0.7</v>
      </c>
      <c r="AQ49" s="135" t="s">
        <v>300</v>
      </c>
      <c r="AR49" s="132">
        <v>3407</v>
      </c>
      <c r="AS49" s="132">
        <v>3407</v>
      </c>
      <c r="AT49" s="132">
        <v>471.6</v>
      </c>
      <c r="AU49" s="134">
        <v>1.7</v>
      </c>
    </row>
    <row r="50" spans="1:47" ht="15" customHeight="1" thickTop="1" thickBot="1" x14ac:dyDescent="0.25">
      <c r="A50" s="449" t="str">
        <f>IF(Q9="pex","Max GPM is 51.7","")</f>
        <v/>
      </c>
      <c r="B50" s="449"/>
      <c r="C50" s="449"/>
      <c r="D50" s="449"/>
      <c r="Y50" s="131">
        <v>47</v>
      </c>
      <c r="Z50" s="131">
        <v>27.8</v>
      </c>
      <c r="AB50" s="131">
        <v>47</v>
      </c>
      <c r="AC50" s="131">
        <v>49.8</v>
      </c>
      <c r="AG50" s="137" t="s">
        <v>301</v>
      </c>
      <c r="AH50" s="138">
        <v>2125</v>
      </c>
      <c r="AI50" s="138">
        <v>2125</v>
      </c>
      <c r="AJ50" s="138">
        <v>338.7</v>
      </c>
      <c r="AK50" s="143">
        <v>0.4</v>
      </c>
      <c r="AL50" s="137" t="s">
        <v>301</v>
      </c>
      <c r="AM50" s="139">
        <v>2894</v>
      </c>
      <c r="AN50" s="139">
        <v>2894</v>
      </c>
      <c r="AO50" s="139">
        <v>423.4</v>
      </c>
      <c r="AP50" s="140">
        <v>0.6</v>
      </c>
      <c r="AQ50" s="137" t="s">
        <v>301</v>
      </c>
      <c r="AR50" s="139">
        <v>6548</v>
      </c>
      <c r="AS50" s="139">
        <v>6548</v>
      </c>
      <c r="AT50" s="139">
        <v>677.4</v>
      </c>
      <c r="AU50" s="140">
        <v>1.3</v>
      </c>
    </row>
    <row r="51" spans="1:47" ht="15" customHeight="1" thickBot="1" x14ac:dyDescent="0.25">
      <c r="Y51" s="131">
        <v>48</v>
      </c>
      <c r="Z51" s="131">
        <v>28.2</v>
      </c>
      <c r="AB51" s="131">
        <v>48</v>
      </c>
      <c r="AC51" s="131">
        <v>50.2</v>
      </c>
    </row>
    <row r="52" spans="1:47" ht="15" customHeight="1" thickBot="1" x14ac:dyDescent="0.25">
      <c r="A52" s="66" t="s">
        <v>319</v>
      </c>
      <c r="F52" s="66"/>
      <c r="Y52" s="131">
        <v>49</v>
      </c>
      <c r="Z52" s="131">
        <v>28.6</v>
      </c>
      <c r="AB52" s="131">
        <v>49</v>
      </c>
      <c r="AC52" s="131">
        <v>50.6</v>
      </c>
      <c r="AG52" s="473" t="s">
        <v>308</v>
      </c>
      <c r="AH52" s="474"/>
      <c r="AI52" s="474"/>
      <c r="AJ52" s="474"/>
      <c r="AK52" s="474"/>
      <c r="AL52" s="474"/>
      <c r="AM52" s="474"/>
      <c r="AN52" s="474"/>
      <c r="AO52" s="474"/>
      <c r="AP52" s="475"/>
    </row>
    <row r="53" spans="1:47" ht="15" customHeight="1" x14ac:dyDescent="0.2">
      <c r="Y53" s="131">
        <v>50</v>
      </c>
      <c r="Z53" s="131">
        <v>29</v>
      </c>
      <c r="AB53" s="131">
        <v>50</v>
      </c>
      <c r="AC53" s="131">
        <v>51</v>
      </c>
      <c r="AG53" s="453" t="s">
        <v>296</v>
      </c>
      <c r="AH53" s="455" t="s">
        <v>302</v>
      </c>
      <c r="AI53" s="455"/>
      <c r="AJ53" s="456"/>
      <c r="AK53" s="457"/>
      <c r="AL53" s="453" t="s">
        <v>296</v>
      </c>
      <c r="AM53" s="455" t="s">
        <v>303</v>
      </c>
      <c r="AN53" s="455"/>
      <c r="AO53" s="456"/>
      <c r="AP53" s="458"/>
      <c r="AR53" s="256" t="s">
        <v>318</v>
      </c>
      <c r="AS53" s="446"/>
      <c r="AT53" s="446"/>
    </row>
    <row r="54" spans="1:47" ht="15" customHeight="1" x14ac:dyDescent="0.2">
      <c r="Y54" s="131">
        <v>51</v>
      </c>
      <c r="Z54" s="131">
        <v>29.4</v>
      </c>
      <c r="AB54" s="131">
        <v>51</v>
      </c>
      <c r="AC54" s="131">
        <v>51.4</v>
      </c>
      <c r="AG54" s="454"/>
      <c r="AH54" s="132" t="s">
        <v>297</v>
      </c>
      <c r="AI54" s="132" t="s">
        <v>304</v>
      </c>
      <c r="AJ54" s="132" t="s">
        <v>298</v>
      </c>
      <c r="AK54" s="141" t="s">
        <v>299</v>
      </c>
      <c r="AL54" s="454"/>
      <c r="AM54" s="132" t="s">
        <v>297</v>
      </c>
      <c r="AN54" s="132" t="s">
        <v>304</v>
      </c>
      <c r="AO54" s="132" t="s">
        <v>298</v>
      </c>
      <c r="AP54" s="134" t="s">
        <v>299</v>
      </c>
      <c r="AR54" s="132" t="s">
        <v>313</v>
      </c>
      <c r="AS54" s="132"/>
      <c r="AT54" s="132" t="s">
        <v>315</v>
      </c>
    </row>
    <row r="55" spans="1:47" ht="15" customHeight="1" x14ac:dyDescent="0.2">
      <c r="Y55" s="131">
        <v>52</v>
      </c>
      <c r="Z55" s="131">
        <v>29.8</v>
      </c>
      <c r="AB55" s="131">
        <v>52</v>
      </c>
      <c r="AC55" s="131">
        <v>51.8</v>
      </c>
      <c r="AG55" s="135" t="s">
        <v>53</v>
      </c>
      <c r="AH55" s="131">
        <v>4</v>
      </c>
      <c r="AI55" s="131"/>
      <c r="AJ55" s="131">
        <v>3.6</v>
      </c>
      <c r="AK55" s="142">
        <v>5.2</v>
      </c>
      <c r="AL55" s="135" t="s">
        <v>53</v>
      </c>
      <c r="AM55" s="131">
        <v>9</v>
      </c>
      <c r="AN55" s="131"/>
      <c r="AO55" s="131">
        <v>7.3</v>
      </c>
      <c r="AP55" s="136">
        <v>18.7</v>
      </c>
      <c r="AR55" s="131" t="str">
        <f>IF(U7=0,0,IF(L37=0,0,IF(L37&lt;=AJ55,"1/2""",IF(L37&lt;=AJ56,"3/4""",IF(L37&lt;=AJ57,"1""",IF(L37&lt;=AJ58,"1-1/4""",IF(L37&lt;=AJ59,"1-1/2""",IF(L37&lt;=AJ60,"2""",IF(L37&lt;=AJ61,"2-1/2""",IF(L37&lt;=AJ62,"3""",IF(L37&lt;=AJ63,"4""",IF(L37&lt;=AJ64,"5""",IF(L37&lt;=AJ65,"6""",0)))))))))))))</f>
        <v>2"</v>
      </c>
      <c r="AS55" s="131"/>
      <c r="AT55" s="131" t="str">
        <f>IF(W7=0,0,IF(N37&lt;=AJ55,"1/2""",IF(N37&lt;=AJ56,"3/4""",IF(N37&lt;=AJ57,"1""",IF(N37&lt;=AJ58,"1-1/4""",IF(N37&lt;=AJ59,"1-1/2""",IF(N37&lt;=AJ60,"2""",IF(N37&lt;=AJ61,"2-1/2""",IF(N37&lt;=AJ62,"3""",IF(N37&lt;=AJ63,"4""",IF(N37&lt;=AJ64,"5""",IF(N37&lt;=AJ65,"6""",0))))))))))))</f>
        <v>2"</v>
      </c>
    </row>
    <row r="56" spans="1:47" ht="15" customHeight="1" x14ac:dyDescent="0.2">
      <c r="Y56" s="131">
        <v>53</v>
      </c>
      <c r="Z56" s="131">
        <v>30.2</v>
      </c>
      <c r="AB56" s="131">
        <v>53</v>
      </c>
      <c r="AC56" s="131">
        <v>52.2</v>
      </c>
      <c r="AG56" s="135" t="s">
        <v>56</v>
      </c>
      <c r="AH56" s="131">
        <v>7</v>
      </c>
      <c r="AI56" s="131"/>
      <c r="AJ56" s="131">
        <v>6.4</v>
      </c>
      <c r="AK56" s="142">
        <v>3.7</v>
      </c>
      <c r="AL56" s="135" t="s">
        <v>56</v>
      </c>
      <c r="AM56" s="131">
        <v>18</v>
      </c>
      <c r="AN56" s="131"/>
      <c r="AO56" s="131">
        <v>12.9</v>
      </c>
      <c r="AP56" s="136">
        <v>13.4</v>
      </c>
    </row>
    <row r="57" spans="1:47" ht="15" customHeight="1" x14ac:dyDescent="0.2">
      <c r="Y57" s="131">
        <v>54</v>
      </c>
      <c r="Z57" s="131">
        <v>30.6</v>
      </c>
      <c r="AB57" s="131">
        <v>54</v>
      </c>
      <c r="AC57" s="131">
        <v>52.6</v>
      </c>
      <c r="AG57" s="135" t="s">
        <v>55</v>
      </c>
      <c r="AH57" s="131">
        <v>14</v>
      </c>
      <c r="AI57" s="131"/>
      <c r="AJ57" s="131">
        <v>10.5</v>
      </c>
      <c r="AK57" s="142">
        <v>2.8</v>
      </c>
      <c r="AL57" s="135" t="s">
        <v>55</v>
      </c>
      <c r="AM57" s="131">
        <v>32</v>
      </c>
      <c r="AN57" s="131">
        <v>4</v>
      </c>
      <c r="AO57" s="131">
        <v>20.9</v>
      </c>
      <c r="AP57" s="136">
        <v>10.1</v>
      </c>
      <c r="AR57" s="256" t="s">
        <v>317</v>
      </c>
      <c r="AS57" s="446"/>
      <c r="AT57" s="446"/>
    </row>
    <row r="58" spans="1:47" ht="15" customHeight="1" x14ac:dyDescent="0.2">
      <c r="Y58" s="131">
        <v>55</v>
      </c>
      <c r="Z58" s="131">
        <v>31</v>
      </c>
      <c r="AB58" s="131">
        <v>55</v>
      </c>
      <c r="AC58" s="131">
        <v>53</v>
      </c>
      <c r="AG58" s="135" t="s">
        <v>223</v>
      </c>
      <c r="AH58" s="131">
        <v>27</v>
      </c>
      <c r="AI58" s="131"/>
      <c r="AJ58" s="131">
        <v>18.2</v>
      </c>
      <c r="AK58" s="142">
        <v>2</v>
      </c>
      <c r="AL58" s="135" t="s">
        <v>223</v>
      </c>
      <c r="AM58" s="131">
        <v>71</v>
      </c>
      <c r="AN58" s="131">
        <v>22</v>
      </c>
      <c r="AO58" s="131">
        <v>36.4</v>
      </c>
      <c r="AP58" s="136">
        <v>7.3</v>
      </c>
      <c r="AR58" s="132" t="s">
        <v>313</v>
      </c>
      <c r="AS58" s="132" t="s">
        <v>314</v>
      </c>
      <c r="AT58" s="132" t="s">
        <v>315</v>
      </c>
    </row>
    <row r="59" spans="1:47" ht="15" customHeight="1" x14ac:dyDescent="0.2">
      <c r="Y59" s="131">
        <v>56</v>
      </c>
      <c r="Z59" s="131">
        <v>31.4</v>
      </c>
      <c r="AB59" s="131">
        <v>56</v>
      </c>
      <c r="AC59" s="131">
        <v>53.4</v>
      </c>
      <c r="AG59" s="135" t="s">
        <v>224</v>
      </c>
      <c r="AH59" s="131">
        <v>40</v>
      </c>
      <c r="AI59" s="131">
        <v>8</v>
      </c>
      <c r="AJ59" s="131">
        <v>24.9</v>
      </c>
      <c r="AK59" s="142">
        <v>1.7</v>
      </c>
      <c r="AL59" s="135" t="s">
        <v>224</v>
      </c>
      <c r="AM59" s="132">
        <v>124</v>
      </c>
      <c r="AN59" s="132">
        <v>47</v>
      </c>
      <c r="AO59" s="132">
        <v>49.7</v>
      </c>
      <c r="AP59" s="134">
        <v>6.1</v>
      </c>
      <c r="AR59" s="131" t="str">
        <f>IF(L37=0,0,IF(L37&lt;=AO55,"1/2""",IF(L37&lt;=AO56,"3/4""",IF(L37&lt;=AO57,"1""",IF(L37&lt;=AO58,"1-1/4""",IF(L37&lt;=AO59,"1-1/2""",IF(L37&lt;=AO60,"2""",IF(L37&lt;=AO61,"2-1/2""",IF(L37&lt;=AO62,"3""",IF(L37&lt;=AO63,"4""",IF(L37&lt;=AO64,"5""",IF(L37&lt;=AO65,"6""",0))))))))))))</f>
        <v>1-1/4"</v>
      </c>
      <c r="AS59" s="131" t="str">
        <f>IF(M37=0,0,IF(M37&lt;=AO55,"1/2""",IF(M37&lt;=AO56,"3/4""",IF(M37&lt;=AO57,"1""",IF(M37&lt;=AO58,"1-1/4""",IF(M37&lt;=AO59,"1-1/2""",IF(M37&lt;=AO60,"2""",IF(M37&lt;=AO61,"2-1/2""",IF(M37&lt;=AO62,"3""",IF(M37&lt;=AO63,"4""",IF(M37&lt;=AO64,"5""",IF(M37&lt;=AO65,"6""",0))))))))))))</f>
        <v>1/2"</v>
      </c>
      <c r="AT59" s="131" t="str">
        <f>IF(N37=0,0,IF(N37&lt;=AO55,"1/2""",IF(N37&lt;=AO56,"3/4""",IF(N37&lt;=AO57,"1""",IF(N37&lt;=AO58,"1-1/4""",IF(N37&lt;=AO59,"1-1/2""",IF(N37&lt;=AO60,"2""",IF(N37&lt;=AO61,"2-1/2""",IF(N37&lt;=AO62,"3""",IF(N37&lt;=AO63,"4""",IF(N37&lt;=AO64,"5""",IF(N37&lt;=AO65,"6""",0))))))))))))</f>
        <v>1-1/4"</v>
      </c>
    </row>
    <row r="60" spans="1:47" ht="15" customHeight="1" x14ac:dyDescent="0.2">
      <c r="Y60" s="131">
        <v>57</v>
      </c>
      <c r="Z60" s="131">
        <v>31.8</v>
      </c>
      <c r="AB60" s="131">
        <v>57</v>
      </c>
      <c r="AC60" s="131">
        <v>53.8</v>
      </c>
      <c r="AG60" s="135" t="s">
        <v>72</v>
      </c>
      <c r="AH60" s="131">
        <v>89</v>
      </c>
      <c r="AI60" s="131">
        <v>30</v>
      </c>
      <c r="AJ60" s="131">
        <v>41.1</v>
      </c>
      <c r="AK60" s="142">
        <v>1.3</v>
      </c>
      <c r="AL60" s="135" t="s">
        <v>72</v>
      </c>
      <c r="AM60" s="132">
        <v>286</v>
      </c>
      <c r="AN60" s="132">
        <v>157</v>
      </c>
      <c r="AO60" s="132">
        <v>82.2</v>
      </c>
      <c r="AP60" s="134">
        <v>4.5999999999999996</v>
      </c>
    </row>
    <row r="61" spans="1:47" ht="15" customHeight="1" x14ac:dyDescent="0.2">
      <c r="Y61" s="131">
        <v>58</v>
      </c>
      <c r="Z61" s="131">
        <v>32.200000000000003</v>
      </c>
      <c r="AB61" s="131">
        <v>58</v>
      </c>
      <c r="AC61" s="131">
        <v>54.2</v>
      </c>
      <c r="AG61" s="135" t="s">
        <v>239</v>
      </c>
      <c r="AH61" s="131">
        <v>168</v>
      </c>
      <c r="AI61" s="131">
        <v>70</v>
      </c>
      <c r="AJ61" s="131">
        <v>58.5</v>
      </c>
      <c r="AK61" s="142">
        <v>1</v>
      </c>
      <c r="AL61" s="135" t="s">
        <v>239</v>
      </c>
      <c r="AM61" s="132">
        <v>460</v>
      </c>
      <c r="AN61" s="132">
        <v>347</v>
      </c>
      <c r="AO61" s="132">
        <v>117.1</v>
      </c>
      <c r="AP61" s="134">
        <v>3.7</v>
      </c>
      <c r="AR61" s="256" t="s">
        <v>316</v>
      </c>
      <c r="AS61" s="446"/>
      <c r="AT61" s="446"/>
    </row>
    <row r="62" spans="1:47" ht="15" customHeight="1" x14ac:dyDescent="0.2">
      <c r="Y62" s="131">
        <v>59</v>
      </c>
      <c r="Z62" s="131">
        <v>32.6</v>
      </c>
      <c r="AB62" s="131">
        <v>59</v>
      </c>
      <c r="AC62" s="131">
        <v>54.6</v>
      </c>
      <c r="AG62" s="135" t="s">
        <v>75</v>
      </c>
      <c r="AH62" s="131">
        <v>328</v>
      </c>
      <c r="AI62" s="131">
        <v>198</v>
      </c>
      <c r="AJ62" s="131">
        <v>90.6</v>
      </c>
      <c r="AK62" s="142">
        <v>0.8</v>
      </c>
      <c r="AL62" s="135" t="s">
        <v>75</v>
      </c>
      <c r="AM62" s="132">
        <v>820</v>
      </c>
      <c r="AN62" s="132">
        <v>795</v>
      </c>
      <c r="AO62" s="132">
        <v>181.2</v>
      </c>
      <c r="AP62" s="134">
        <v>2.9</v>
      </c>
      <c r="AR62" s="132" t="s">
        <v>313</v>
      </c>
      <c r="AS62" s="132" t="s">
        <v>314</v>
      </c>
      <c r="AT62" s="132" t="s">
        <v>315</v>
      </c>
    </row>
    <row r="63" spans="1:47" ht="15" customHeight="1" x14ac:dyDescent="0.2">
      <c r="Y63" s="131">
        <v>60</v>
      </c>
      <c r="Z63" s="131">
        <v>33</v>
      </c>
      <c r="AB63" s="131">
        <v>60</v>
      </c>
      <c r="AC63" s="131">
        <v>55</v>
      </c>
      <c r="AG63" s="135" t="s">
        <v>155</v>
      </c>
      <c r="AH63" s="131">
        <v>675</v>
      </c>
      <c r="AI63" s="131">
        <v>618</v>
      </c>
      <c r="AJ63" s="131">
        <v>156.5</v>
      </c>
      <c r="AK63" s="142">
        <v>0.6</v>
      </c>
      <c r="AL63" s="135" t="s">
        <v>155</v>
      </c>
      <c r="AM63" s="132">
        <v>1881</v>
      </c>
      <c r="AN63" s="132">
        <v>1881</v>
      </c>
      <c r="AO63" s="132">
        <v>313.10000000000002</v>
      </c>
      <c r="AP63" s="134">
        <v>2.1</v>
      </c>
      <c r="AR63" s="131" t="str">
        <f>IF(AR55&gt;0,AR55,AR59)</f>
        <v>2"</v>
      </c>
      <c r="AS63" s="131" t="str">
        <f>AS59</f>
        <v>1/2"</v>
      </c>
      <c r="AT63" s="131" t="str">
        <f>IF(AT55&gt;0,AT55,AT59)</f>
        <v>2"</v>
      </c>
    </row>
    <row r="64" spans="1:47" ht="15" customHeight="1" x14ac:dyDescent="0.2">
      <c r="Y64" s="131">
        <v>61</v>
      </c>
      <c r="Z64" s="131">
        <v>33.299999999999997</v>
      </c>
      <c r="AB64" s="131">
        <v>61</v>
      </c>
      <c r="AC64" s="131">
        <v>55.4</v>
      </c>
      <c r="AG64" s="135" t="s">
        <v>300</v>
      </c>
      <c r="AH64" s="131">
        <v>1303</v>
      </c>
      <c r="AI64" s="131">
        <v>1303</v>
      </c>
      <c r="AJ64" s="131">
        <v>246.4</v>
      </c>
      <c r="AK64" s="142">
        <v>0.5</v>
      </c>
      <c r="AL64" s="135" t="s">
        <v>300</v>
      </c>
      <c r="AM64" s="132">
        <v>3642</v>
      </c>
      <c r="AN64" s="132">
        <v>3642</v>
      </c>
      <c r="AO64" s="132">
        <v>492.8</v>
      </c>
      <c r="AP64" s="134">
        <v>1.6</v>
      </c>
    </row>
    <row r="65" spans="1:46" ht="15" customHeight="1" thickBot="1" x14ac:dyDescent="0.3">
      <c r="A65" s="6"/>
      <c r="B65" s="5"/>
      <c r="C65" s="5"/>
      <c r="D65" s="6"/>
      <c r="E65" s="5"/>
      <c r="F65" s="5"/>
      <c r="G65" s="6"/>
      <c r="H65" s="5"/>
      <c r="I65" s="5"/>
      <c r="J65" s="6"/>
      <c r="K65" s="5"/>
      <c r="L65" s="5"/>
      <c r="M65" s="6"/>
      <c r="N65" s="5"/>
      <c r="O65" s="5"/>
      <c r="Y65" s="131">
        <v>62</v>
      </c>
      <c r="Z65" s="131">
        <v>33.6</v>
      </c>
      <c r="AB65" s="131">
        <v>62</v>
      </c>
      <c r="AC65" s="131">
        <v>55.7</v>
      </c>
      <c r="AG65" s="137" t="s">
        <v>301</v>
      </c>
      <c r="AH65" s="138">
        <v>2284</v>
      </c>
      <c r="AI65" s="138">
        <v>2284</v>
      </c>
      <c r="AJ65" s="138">
        <v>356.2</v>
      </c>
      <c r="AK65" s="143">
        <v>0.4</v>
      </c>
      <c r="AL65" s="137" t="s">
        <v>301</v>
      </c>
      <c r="AM65" s="139">
        <v>7413</v>
      </c>
      <c r="AN65" s="139">
        <v>7413</v>
      </c>
      <c r="AO65" s="139">
        <v>712.4</v>
      </c>
      <c r="AP65" s="140">
        <v>1.3</v>
      </c>
    </row>
    <row r="66" spans="1:46" ht="15" customHeight="1" thickBot="1" x14ac:dyDescent="0.3">
      <c r="A66" s="1"/>
      <c r="B66" s="1"/>
      <c r="C66" s="1"/>
      <c r="D66" s="1"/>
      <c r="E66" s="1"/>
      <c r="F66" s="144"/>
      <c r="G66" s="144"/>
      <c r="H66" s="144"/>
      <c r="I66" s="1"/>
      <c r="J66" s="1"/>
      <c r="K66" s="1"/>
      <c r="L66" s="1"/>
      <c r="M66" s="1"/>
      <c r="Y66" s="131">
        <v>63</v>
      </c>
      <c r="Z66" s="131">
        <v>33.9</v>
      </c>
      <c r="AB66" s="131">
        <v>63</v>
      </c>
      <c r="AC66" s="131">
        <v>56.1</v>
      </c>
    </row>
    <row r="67" spans="1:46" ht="15" customHeight="1" thickBot="1" x14ac:dyDescent="0.3">
      <c r="D67" s="145"/>
      <c r="E67" s="145"/>
      <c r="F67" s="12"/>
      <c r="G67" s="12"/>
      <c r="H67" s="12"/>
      <c r="I67" s="1"/>
      <c r="J67" s="1"/>
      <c r="K67" s="1"/>
      <c r="L67" s="1"/>
      <c r="Y67" s="131">
        <v>64</v>
      </c>
      <c r="Z67" s="131">
        <v>34.200000000000003</v>
      </c>
      <c r="AB67" s="131">
        <v>64</v>
      </c>
      <c r="AC67" s="131">
        <v>56.4</v>
      </c>
      <c r="AG67" s="473" t="s">
        <v>309</v>
      </c>
      <c r="AH67" s="474"/>
      <c r="AI67" s="474"/>
      <c r="AJ67" s="474"/>
      <c r="AK67" s="474"/>
      <c r="AL67" s="474"/>
      <c r="AM67" s="474"/>
      <c r="AN67" s="474"/>
      <c r="AO67" s="474"/>
      <c r="AP67" s="475"/>
    </row>
    <row r="68" spans="1:46" ht="15" customHeight="1" x14ac:dyDescent="0.25">
      <c r="A68" s="1"/>
      <c r="D68" s="145"/>
      <c r="E68" s="145"/>
      <c r="F68" s="12"/>
      <c r="G68" s="12"/>
      <c r="H68" s="12"/>
      <c r="I68" s="1"/>
      <c r="J68" s="1"/>
      <c r="K68" s="1"/>
      <c r="L68" s="1"/>
      <c r="Y68" s="131">
        <v>65</v>
      </c>
      <c r="Z68" s="131">
        <v>34.5</v>
      </c>
      <c r="AB68" s="131">
        <v>65</v>
      </c>
      <c r="AC68" s="131">
        <v>56.8</v>
      </c>
      <c r="AG68" s="453" t="s">
        <v>296</v>
      </c>
      <c r="AH68" s="455" t="s">
        <v>302</v>
      </c>
      <c r="AI68" s="455"/>
      <c r="AJ68" s="456"/>
      <c r="AK68" s="457"/>
      <c r="AL68" s="453" t="s">
        <v>296</v>
      </c>
      <c r="AM68" s="455" t="s">
        <v>303</v>
      </c>
      <c r="AN68" s="455"/>
      <c r="AO68" s="456"/>
      <c r="AP68" s="458"/>
    </row>
    <row r="69" spans="1:46" ht="15" customHeight="1" x14ac:dyDescent="0.25">
      <c r="A69" s="1"/>
      <c r="D69" s="145"/>
      <c r="E69" s="145"/>
      <c r="F69" s="12"/>
      <c r="G69" s="12"/>
      <c r="H69" s="12"/>
      <c r="I69" s="1"/>
      <c r="J69" s="1"/>
      <c r="K69" s="1"/>
      <c r="L69" s="1"/>
      <c r="Y69" s="131">
        <v>66</v>
      </c>
      <c r="Z69" s="131">
        <v>34.799999999999997</v>
      </c>
      <c r="AB69" s="131">
        <v>66</v>
      </c>
      <c r="AC69" s="131">
        <v>57.1</v>
      </c>
      <c r="AG69" s="454"/>
      <c r="AH69" s="132" t="s">
        <v>297</v>
      </c>
      <c r="AI69" s="132" t="s">
        <v>304</v>
      </c>
      <c r="AJ69" s="132" t="s">
        <v>298</v>
      </c>
      <c r="AK69" s="141" t="s">
        <v>299</v>
      </c>
      <c r="AL69" s="454"/>
      <c r="AM69" s="132" t="s">
        <v>297</v>
      </c>
      <c r="AN69" s="132" t="s">
        <v>304</v>
      </c>
      <c r="AO69" s="132" t="s">
        <v>298</v>
      </c>
      <c r="AP69" s="134" t="s">
        <v>299</v>
      </c>
      <c r="AR69" s="256" t="s">
        <v>318</v>
      </c>
      <c r="AS69" s="446"/>
      <c r="AT69" s="446"/>
    </row>
    <row r="70" spans="1:46" ht="15" customHeight="1" x14ac:dyDescent="0.25">
      <c r="A70" s="1"/>
      <c r="D70" s="145"/>
      <c r="E70" s="145"/>
      <c r="F70" s="12"/>
      <c r="G70" s="12"/>
      <c r="H70" s="12"/>
      <c r="I70" s="1"/>
      <c r="J70" s="1"/>
      <c r="K70" s="1"/>
      <c r="L70" s="1"/>
      <c r="Y70" s="131">
        <v>67</v>
      </c>
      <c r="Z70" s="131">
        <v>35.1</v>
      </c>
      <c r="AB70" s="131">
        <v>67</v>
      </c>
      <c r="AC70" s="131">
        <v>57.5</v>
      </c>
      <c r="AG70" s="135" t="s">
        <v>53</v>
      </c>
      <c r="AH70" s="131">
        <v>3</v>
      </c>
      <c r="AI70" s="131"/>
      <c r="AJ70" s="131">
        <v>2.7</v>
      </c>
      <c r="AK70" s="142">
        <v>6.1</v>
      </c>
      <c r="AL70" s="135" t="s">
        <v>53</v>
      </c>
      <c r="AM70" s="131">
        <v>7</v>
      </c>
      <c r="AN70" s="131"/>
      <c r="AO70" s="131">
        <v>5.5</v>
      </c>
      <c r="AP70" s="136">
        <v>22.1</v>
      </c>
      <c r="AR70" s="132" t="s">
        <v>313</v>
      </c>
      <c r="AS70" s="132"/>
      <c r="AT70" s="132" t="s">
        <v>315</v>
      </c>
    </row>
    <row r="71" spans="1:46" ht="15.75" x14ac:dyDescent="0.25">
      <c r="A71" s="1"/>
      <c r="D71" s="145"/>
      <c r="E71" s="145"/>
      <c r="F71" s="12"/>
      <c r="G71" s="12"/>
      <c r="H71" s="12"/>
      <c r="I71" s="1"/>
      <c r="J71" s="1"/>
      <c r="K71" s="1"/>
      <c r="L71" s="1"/>
      <c r="Y71" s="131">
        <v>68</v>
      </c>
      <c r="Z71" s="131">
        <v>35.4</v>
      </c>
      <c r="AB71" s="131">
        <v>68</v>
      </c>
      <c r="AC71" s="131">
        <v>57.8</v>
      </c>
      <c r="AG71" s="135" t="s">
        <v>56</v>
      </c>
      <c r="AH71" s="131">
        <v>6</v>
      </c>
      <c r="AI71" s="131"/>
      <c r="AJ71" s="131">
        <v>5.0999999999999996</v>
      </c>
      <c r="AK71" s="142">
        <v>4.2</v>
      </c>
      <c r="AL71" s="135" t="s">
        <v>56</v>
      </c>
      <c r="AM71" s="131">
        <v>14</v>
      </c>
      <c r="AN71" s="131"/>
      <c r="AO71" s="131">
        <v>10.3</v>
      </c>
      <c r="AP71" s="136">
        <v>15.3</v>
      </c>
      <c r="AR71" s="131" t="str">
        <f>IF(U7=0,0,IF(L37=0,0,IF(L37&lt;=AJ70,"1/2""",IF(L37&lt;=AJ71,"3/4""",IF(L37&lt;=AJ72,"1""",IF(L37&lt;=AJ73,"1-1/4""",IF(L37&lt;=AJ74,"1-1/2""",IF(L37&lt;=AJ75,"2""",IF(L37&lt;=AJ76,"2-1/2""",IF(L37&lt;=AJ77,"3""",IF(L37&lt;=AJ78,"4""",IF(L37&lt;=AJ79,"5""",IF(L37&lt;=AJ80,"6""",0)))))))))))))</f>
        <v>2"</v>
      </c>
      <c r="AS71" s="131"/>
      <c r="AT71" s="131" t="str">
        <f>IF(W7=0,0,IF(N37&lt;=AJ70,"1/2""",IF(N37&lt;=AJ71,"3/4""",IF(N37&lt;=AJ72,"1""",IF(N37&lt;=AJ73,"1-1/4""",IF(N37&lt;=AJ74,"1-1/2""",IF(N37&lt;=AJ75,"2""",IF(N37&lt;=AJ76,"2-1/2""",IF(N37&lt;=AJ77,"3""",IF(N37&lt;=AJ78,"4""",IF(N37&lt;=AJ79,"5""",IF(N37&lt;=AJ80,"6""",0))))))))))))</f>
        <v>2"</v>
      </c>
    </row>
    <row r="72" spans="1:46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Y72" s="131">
        <v>69</v>
      </c>
      <c r="Z72" s="131">
        <v>35.700000000000003</v>
      </c>
      <c r="AB72" s="131">
        <v>69</v>
      </c>
      <c r="AC72" s="131">
        <v>58.2</v>
      </c>
      <c r="AG72" s="135" t="s">
        <v>55</v>
      </c>
      <c r="AH72" s="131">
        <v>11</v>
      </c>
      <c r="AI72" s="131"/>
      <c r="AJ72" s="131">
        <v>8.6</v>
      </c>
      <c r="AK72" s="142">
        <v>3.1</v>
      </c>
      <c r="AL72" s="135" t="s">
        <v>55</v>
      </c>
      <c r="AM72" s="131">
        <v>25</v>
      </c>
      <c r="AN72" s="131"/>
      <c r="AO72" s="131">
        <v>17.2</v>
      </c>
      <c r="AP72" s="136">
        <v>11.3</v>
      </c>
    </row>
    <row r="73" spans="1:46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Y73" s="131">
        <v>70</v>
      </c>
      <c r="Z73" s="131">
        <v>36</v>
      </c>
      <c r="AB73" s="131">
        <v>70</v>
      </c>
      <c r="AC73" s="131">
        <v>58.5</v>
      </c>
      <c r="AG73" s="135" t="s">
        <v>223</v>
      </c>
      <c r="AH73" s="131">
        <v>22</v>
      </c>
      <c r="AI73" s="131"/>
      <c r="AJ73" s="131">
        <v>15.4</v>
      </c>
      <c r="AK73" s="142">
        <v>2.2000000000000002</v>
      </c>
      <c r="AL73" s="135" t="s">
        <v>223</v>
      </c>
      <c r="AM73" s="131">
        <v>55</v>
      </c>
      <c r="AN73" s="131">
        <v>15</v>
      </c>
      <c r="AO73" s="131">
        <v>30.8</v>
      </c>
      <c r="AP73" s="136">
        <v>8.1</v>
      </c>
      <c r="AR73" s="256" t="s">
        <v>317</v>
      </c>
      <c r="AS73" s="446"/>
      <c r="AT73" s="446"/>
    </row>
    <row r="74" spans="1:46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Y74" s="131">
        <v>71</v>
      </c>
      <c r="Z74" s="131">
        <v>36.299999999999997</v>
      </c>
      <c r="AB74" s="131">
        <v>71</v>
      </c>
      <c r="AC74" s="131">
        <v>58.9</v>
      </c>
      <c r="AG74" s="135" t="s">
        <v>224</v>
      </c>
      <c r="AH74" s="131">
        <v>33</v>
      </c>
      <c r="AI74" s="131">
        <v>4</v>
      </c>
      <c r="AJ74" s="131">
        <v>21.3</v>
      </c>
      <c r="AK74" s="142">
        <v>1.9</v>
      </c>
      <c r="AL74" s="135" t="s">
        <v>224</v>
      </c>
      <c r="AM74" s="132">
        <v>95</v>
      </c>
      <c r="AN74" s="132">
        <v>33</v>
      </c>
      <c r="AO74" s="132">
        <v>42.7</v>
      </c>
      <c r="AP74" s="134">
        <v>6.7</v>
      </c>
      <c r="AR74" s="132" t="s">
        <v>313</v>
      </c>
      <c r="AS74" s="132" t="s">
        <v>314</v>
      </c>
      <c r="AT74" s="132" t="s">
        <v>315</v>
      </c>
    </row>
    <row r="75" spans="1:46" x14ac:dyDescent="0.2">
      <c r="Y75" s="131">
        <v>72</v>
      </c>
      <c r="Z75" s="131">
        <v>36.6</v>
      </c>
      <c r="AB75" s="131">
        <v>72</v>
      </c>
      <c r="AC75" s="131">
        <v>59.2</v>
      </c>
      <c r="AG75" s="135" t="s">
        <v>72</v>
      </c>
      <c r="AH75" s="131">
        <v>70</v>
      </c>
      <c r="AI75" s="131">
        <v>21</v>
      </c>
      <c r="AJ75" s="131">
        <v>35.799999999999997</v>
      </c>
      <c r="AK75" s="142">
        <v>1.4</v>
      </c>
      <c r="AL75" s="135" t="s">
        <v>72</v>
      </c>
      <c r="AM75" s="132">
        <v>233</v>
      </c>
      <c r="AN75" s="132">
        <v>112</v>
      </c>
      <c r="AO75" s="132">
        <v>71.400000000000006</v>
      </c>
      <c r="AP75" s="134">
        <v>4.9000000000000004</v>
      </c>
      <c r="AR75" s="131" t="str">
        <f>IF(L37=0,0,IF(L37&lt;=AO70,"1/2""",IF(L37&lt;=AO71,"3/4""",IF(L37&lt;=AO72,"1""",IF(L37&lt;=AO73,"1-1/4""",IF(L37&lt;=AO74,"1-1/2""",IF(L37&lt;=AO75,"2""",IF(L37&lt;=AO76,"2-1/2""",IF(L37&lt;=AO77,"3""",IF(L37&lt;=AO78,"4""",IF(L37&lt;=AO79,"5""",IF(L37&lt;=AO80,"6""",0))))))))))))</f>
        <v>1-1/4"</v>
      </c>
      <c r="AS75" s="131" t="str">
        <f>IF(M37=0,0,IF(M37&lt;=AO70,"1/2""",IF(M37&lt;=AO71,"3/4""",IF(M37&lt;=AO72,"1""",IF(M37&lt;=AO73,"1-1/4""",IF(M37&lt;=AO74,"1-1/2""",IF(M37&lt;=AO75,"2""",IF(M37&lt;=AO76,"2-1/2""",IF(M37&lt;=AO77,"3""",IF(M37&lt;=AO78,"4""",IF(M37&lt;=AO79,"5""",IF(M37&lt;=AO80,"6""",0))))))))))))</f>
        <v>1/2"</v>
      </c>
      <c r="AT75" s="131" t="str">
        <f>IF(N37=0,0,IF(N37&lt;=AO70,"1/2""",IF(N37&lt;=AO71,"3/4""",IF(N37&lt;=AO72,"1""",IF(N37&lt;=AO73,"1-1/4""",IF(N37&lt;=AO74,"1-1/2""",IF(N37&lt;=AO75,"2""",IF(N37&lt;=AO76,"2-1/2""",IF(N37&lt;=AO77,"3""",IF(N37&lt;=AO78,"4""",IF(N37&lt;=AO79,"5""",IF(N37&lt;=AO80,"6""",0))))))))))))</f>
        <v>1-1/4"</v>
      </c>
    </row>
    <row r="76" spans="1:46" x14ac:dyDescent="0.2">
      <c r="Y76" s="131">
        <v>73</v>
      </c>
      <c r="Z76" s="131">
        <v>36.9</v>
      </c>
      <c r="AB76" s="131">
        <v>73</v>
      </c>
      <c r="AC76" s="131">
        <v>59.6</v>
      </c>
      <c r="AG76" s="135" t="s">
        <v>239</v>
      </c>
      <c r="AH76" s="131">
        <v>132</v>
      </c>
      <c r="AI76" s="131">
        <v>51</v>
      </c>
      <c r="AJ76" s="131">
        <v>51.4</v>
      </c>
      <c r="AK76" s="142">
        <v>1.1000000000000001</v>
      </c>
      <c r="AL76" s="135" t="s">
        <v>239</v>
      </c>
      <c r="AM76" s="132">
        <v>389</v>
      </c>
      <c r="AN76" s="132">
        <v>264</v>
      </c>
      <c r="AO76" s="132">
        <v>102.4</v>
      </c>
      <c r="AP76" s="134">
        <v>4</v>
      </c>
    </row>
    <row r="77" spans="1:46" x14ac:dyDescent="0.2">
      <c r="Y77" s="131">
        <v>74</v>
      </c>
      <c r="Z77" s="131">
        <v>37.200000000000003</v>
      </c>
      <c r="AB77" s="131">
        <v>74</v>
      </c>
      <c r="AC77" s="131">
        <v>59.9</v>
      </c>
      <c r="AG77" s="135" t="s">
        <v>75</v>
      </c>
      <c r="AH77" s="131">
        <v>277</v>
      </c>
      <c r="AI77" s="131">
        <v>149</v>
      </c>
      <c r="AJ77" s="131">
        <v>80.3</v>
      </c>
      <c r="AK77" s="142">
        <v>0.9</v>
      </c>
      <c r="AL77" s="135" t="s">
        <v>75</v>
      </c>
      <c r="AM77" s="132">
        <v>698</v>
      </c>
      <c r="AN77" s="132">
        <v>648</v>
      </c>
      <c r="AO77" s="132">
        <v>160.4</v>
      </c>
      <c r="AP77" s="134">
        <v>3.1</v>
      </c>
      <c r="AR77" s="256" t="s">
        <v>316</v>
      </c>
      <c r="AS77" s="446"/>
      <c r="AT77" s="446"/>
    </row>
    <row r="78" spans="1:46" x14ac:dyDescent="0.2">
      <c r="Y78" s="131">
        <v>75</v>
      </c>
      <c r="Z78" s="131">
        <v>37.5</v>
      </c>
      <c r="AB78" s="131">
        <v>75</v>
      </c>
      <c r="AC78" s="131">
        <v>60.3</v>
      </c>
      <c r="AG78" s="135" t="s">
        <v>155</v>
      </c>
      <c r="AH78" s="131">
        <v>585</v>
      </c>
      <c r="AI78" s="131">
        <v>503</v>
      </c>
      <c r="AJ78" s="131">
        <v>140.4</v>
      </c>
      <c r="AK78" s="142">
        <v>0.6</v>
      </c>
      <c r="AL78" s="135" t="s">
        <v>155</v>
      </c>
      <c r="AM78" s="132">
        <v>1590</v>
      </c>
      <c r="AN78" s="132">
        <v>1590</v>
      </c>
      <c r="AO78" s="132">
        <v>280.39999999999998</v>
      </c>
      <c r="AP78" s="134">
        <v>2.2000000000000002</v>
      </c>
      <c r="AR78" s="132" t="s">
        <v>313</v>
      </c>
      <c r="AS78" s="132" t="s">
        <v>314</v>
      </c>
      <c r="AT78" s="132" t="s">
        <v>315</v>
      </c>
    </row>
    <row r="79" spans="1:46" x14ac:dyDescent="0.2">
      <c r="Y79" s="131">
        <v>76</v>
      </c>
      <c r="Z79" s="131">
        <v>37.799999999999997</v>
      </c>
      <c r="AB79" s="131">
        <v>76</v>
      </c>
      <c r="AC79" s="131">
        <v>60.6</v>
      </c>
      <c r="AG79" s="135" t="s">
        <v>300</v>
      </c>
      <c r="AH79" s="131">
        <v>1105</v>
      </c>
      <c r="AI79" s="131">
        <v>1105</v>
      </c>
      <c r="AJ79" s="131">
        <v>222.6</v>
      </c>
      <c r="AK79" s="142">
        <v>0.5</v>
      </c>
      <c r="AL79" s="135" t="s">
        <v>300</v>
      </c>
      <c r="AM79" s="132">
        <v>3114</v>
      </c>
      <c r="AN79" s="132">
        <v>3114</v>
      </c>
      <c r="AO79" s="132">
        <v>445.3</v>
      </c>
      <c r="AP79" s="134">
        <v>1.7</v>
      </c>
      <c r="AR79" s="131" t="str">
        <f>IF(AR71&gt;0,AR71,AR75)</f>
        <v>2"</v>
      </c>
      <c r="AS79" s="131" t="str">
        <f>AS75</f>
        <v>1/2"</v>
      </c>
      <c r="AT79" s="131" t="str">
        <f>IF(AT71&gt;0,AT71,AT75)</f>
        <v>2"</v>
      </c>
    </row>
    <row r="80" spans="1:46" ht="13.5" thickBot="1" x14ac:dyDescent="0.25">
      <c r="Y80" s="131">
        <v>77</v>
      </c>
      <c r="Z80" s="131">
        <v>38.1</v>
      </c>
      <c r="AB80" s="131">
        <v>77</v>
      </c>
      <c r="AC80" s="131">
        <v>61</v>
      </c>
      <c r="AG80" s="137" t="s">
        <v>301</v>
      </c>
      <c r="AH80" s="138">
        <v>1942</v>
      </c>
      <c r="AI80" s="138">
        <v>1942</v>
      </c>
      <c r="AJ80" s="138">
        <v>319.2</v>
      </c>
      <c r="AK80" s="143">
        <v>0.4</v>
      </c>
      <c r="AL80" s="137" t="s">
        <v>301</v>
      </c>
      <c r="AM80" s="139">
        <v>5767</v>
      </c>
      <c r="AN80" s="139">
        <v>5767</v>
      </c>
      <c r="AO80" s="139">
        <v>638.29999999999995</v>
      </c>
      <c r="AP80" s="140">
        <v>1.4</v>
      </c>
    </row>
    <row r="81" spans="25:46" ht="13.5" thickBot="1" x14ac:dyDescent="0.25">
      <c r="Y81" s="131">
        <v>78</v>
      </c>
      <c r="Z81" s="131">
        <v>38.4</v>
      </c>
      <c r="AB81" s="131">
        <v>78</v>
      </c>
      <c r="AC81" s="131">
        <v>61.3</v>
      </c>
    </row>
    <row r="82" spans="25:46" ht="13.5" thickBot="1" x14ac:dyDescent="0.25">
      <c r="Y82" s="131">
        <v>79</v>
      </c>
      <c r="Z82" s="131">
        <v>38.700000000000003</v>
      </c>
      <c r="AB82" s="131">
        <v>79</v>
      </c>
      <c r="AC82" s="131">
        <v>61.7</v>
      </c>
      <c r="AG82" s="473" t="s">
        <v>310</v>
      </c>
      <c r="AH82" s="474"/>
      <c r="AI82" s="474"/>
      <c r="AJ82" s="474"/>
      <c r="AK82" s="474"/>
      <c r="AL82" s="474"/>
      <c r="AM82" s="474"/>
      <c r="AN82" s="474"/>
      <c r="AO82" s="474"/>
      <c r="AP82" s="475"/>
    </row>
    <row r="83" spans="25:46" x14ac:dyDescent="0.2">
      <c r="Y83" s="131">
        <v>80</v>
      </c>
      <c r="Z83" s="131">
        <v>39</v>
      </c>
      <c r="AB83" s="131">
        <v>80</v>
      </c>
      <c r="AC83" s="131">
        <v>62</v>
      </c>
      <c r="AG83" s="453"/>
      <c r="AH83" s="455"/>
      <c r="AI83" s="455"/>
      <c r="AJ83" s="456"/>
      <c r="AK83" s="457"/>
      <c r="AL83" s="453" t="s">
        <v>296</v>
      </c>
      <c r="AM83" s="455" t="s">
        <v>303</v>
      </c>
      <c r="AN83" s="455"/>
      <c r="AO83" s="456"/>
      <c r="AP83" s="458"/>
    </row>
    <row r="84" spans="25:46" x14ac:dyDescent="0.2">
      <c r="Y84" s="131">
        <v>81</v>
      </c>
      <c r="Z84" s="131">
        <v>39.299999999999997</v>
      </c>
      <c r="AB84" s="131">
        <v>81</v>
      </c>
      <c r="AC84" s="131">
        <v>62.3</v>
      </c>
      <c r="AG84" s="454"/>
      <c r="AH84" s="132"/>
      <c r="AI84" s="132"/>
      <c r="AJ84" s="132"/>
      <c r="AK84" s="141"/>
      <c r="AL84" s="454"/>
      <c r="AM84" s="132" t="s">
        <v>297</v>
      </c>
      <c r="AN84" s="132" t="s">
        <v>304</v>
      </c>
      <c r="AO84" s="132" t="s">
        <v>298</v>
      </c>
      <c r="AP84" s="134" t="s">
        <v>299</v>
      </c>
      <c r="AR84" s="256" t="s">
        <v>317</v>
      </c>
      <c r="AS84" s="446"/>
      <c r="AT84" s="446"/>
    </row>
    <row r="85" spans="25:46" x14ac:dyDescent="0.2">
      <c r="Y85" s="131">
        <v>82</v>
      </c>
      <c r="Z85" s="131">
        <v>36.5</v>
      </c>
      <c r="AB85" s="131">
        <v>82</v>
      </c>
      <c r="AC85" s="131">
        <v>62.6</v>
      </c>
      <c r="AG85" s="135"/>
      <c r="AH85" s="131"/>
      <c r="AI85" s="131"/>
      <c r="AJ85" s="131"/>
      <c r="AK85" s="142"/>
      <c r="AL85" s="135" t="s">
        <v>54</v>
      </c>
      <c r="AM85" s="131">
        <v>1</v>
      </c>
      <c r="AN85" s="131"/>
      <c r="AO85" s="132">
        <v>2.4</v>
      </c>
      <c r="AP85" s="134">
        <v>35.299999999999997</v>
      </c>
      <c r="AR85" s="132" t="s">
        <v>313</v>
      </c>
      <c r="AS85" s="132" t="s">
        <v>314</v>
      </c>
      <c r="AT85" s="132" t="s">
        <v>315</v>
      </c>
    </row>
    <row r="86" spans="25:46" x14ac:dyDescent="0.2">
      <c r="Y86" s="131">
        <v>83</v>
      </c>
      <c r="Z86" s="131">
        <v>36.799999999999997</v>
      </c>
      <c r="AB86" s="131">
        <v>83</v>
      </c>
      <c r="AC86" s="131">
        <v>62.9</v>
      </c>
      <c r="AG86" s="135"/>
      <c r="AH86" s="131"/>
      <c r="AI86" s="131"/>
      <c r="AJ86" s="131"/>
      <c r="AK86" s="142"/>
      <c r="AL86" s="135" t="s">
        <v>53</v>
      </c>
      <c r="AM86" s="131">
        <v>5</v>
      </c>
      <c r="AN86" s="131"/>
      <c r="AO86" s="131">
        <v>4.5</v>
      </c>
      <c r="AP86" s="136">
        <v>24.8</v>
      </c>
      <c r="AR86" s="131" t="str">
        <f>IF(L37=0,0,IF(L37&lt;=AO86,"1/2""",IF(L37&lt;=AO87,"3/4""",IF(L37&lt;=AO88,"1""",IF(L37&lt;=AO89,"1-1/4""",IF(L37&lt;=AO90,"1-1/2""",IF(L37&lt;=AO91,"2""",0)))))))</f>
        <v>1-1/2"</v>
      </c>
      <c r="AS86" s="131" t="str">
        <f>IF(M37=0,0,IF(M37&lt;=AO86,"1/2""",IF(M37&lt;=AO87,"3/4""",IF(M37&lt;=AO88,"1""",IF(M37&lt;=AO89,"1-1/4""",IF(M37&lt;=AO90,"1-1/2""",IF(M37&lt;=AO91,"2""",0)))))))</f>
        <v>1/2"</v>
      </c>
      <c r="AT86" s="131" t="str">
        <f>IF(N37=0,0,IF(N37&lt;=AO86,"1/2""",IF(N37&lt;=AO87,"3/4""",IF(N37&lt;=AO88,"1""",IF(N37&lt;=AO89,"1-1/4""",IF(N37&lt;=AO90,"1-1/2""",IF(N37&lt;=AO91,"2""",0)))))))</f>
        <v>1-1/2"</v>
      </c>
    </row>
    <row r="87" spans="25:46" x14ac:dyDescent="0.2">
      <c r="Y87" s="131">
        <v>84</v>
      </c>
      <c r="Z87" s="131">
        <v>40</v>
      </c>
      <c r="AB87" s="131">
        <v>84</v>
      </c>
      <c r="AC87" s="131">
        <v>63.2</v>
      </c>
      <c r="AG87" s="135"/>
      <c r="AH87" s="131"/>
      <c r="AI87" s="131"/>
      <c r="AJ87" s="131"/>
      <c r="AK87" s="142"/>
      <c r="AL87" s="135" t="s">
        <v>56</v>
      </c>
      <c r="AM87" s="131">
        <v>11</v>
      </c>
      <c r="AN87" s="131"/>
      <c r="AO87" s="131">
        <v>8.8000000000000007</v>
      </c>
      <c r="AP87" s="136">
        <v>16.8</v>
      </c>
    </row>
    <row r="88" spans="25:46" x14ac:dyDescent="0.2">
      <c r="Y88" s="131">
        <v>85</v>
      </c>
      <c r="Z88" s="131">
        <v>40.299999999999997</v>
      </c>
      <c r="AB88" s="131">
        <v>85</v>
      </c>
      <c r="AC88" s="131">
        <v>63.5</v>
      </c>
      <c r="AG88" s="135"/>
      <c r="AH88" s="131"/>
      <c r="AI88" s="131"/>
      <c r="AJ88" s="131"/>
      <c r="AK88" s="142"/>
      <c r="AL88" s="135" t="s">
        <v>55</v>
      </c>
      <c r="AM88" s="131">
        <v>21</v>
      </c>
      <c r="AN88" s="131"/>
      <c r="AO88" s="131">
        <v>14.5</v>
      </c>
      <c r="AP88" s="136">
        <v>12.5</v>
      </c>
      <c r="AR88" s="447"/>
      <c r="AS88" s="448"/>
      <c r="AT88" s="448"/>
    </row>
    <row r="89" spans="25:46" x14ac:dyDescent="0.2">
      <c r="Y89" s="131">
        <v>86</v>
      </c>
      <c r="Z89" s="131">
        <v>40.5</v>
      </c>
      <c r="AB89" s="131">
        <v>86</v>
      </c>
      <c r="AC89" s="131">
        <v>63.8</v>
      </c>
      <c r="AG89" s="135"/>
      <c r="AH89" s="131"/>
      <c r="AI89" s="131"/>
      <c r="AJ89" s="131"/>
      <c r="AK89" s="142"/>
      <c r="AL89" s="135" t="s">
        <v>223</v>
      </c>
      <c r="AM89" s="131">
        <v>33</v>
      </c>
      <c r="AN89" s="131"/>
      <c r="AO89" s="131">
        <v>21.6</v>
      </c>
      <c r="AP89" s="136">
        <v>9.9</v>
      </c>
      <c r="AR89" s="66"/>
      <c r="AS89" s="66"/>
      <c r="AT89" s="66"/>
    </row>
    <row r="90" spans="25:46" x14ac:dyDescent="0.2">
      <c r="Y90" s="131">
        <v>87</v>
      </c>
      <c r="Z90" s="131">
        <v>40.799999999999997</v>
      </c>
      <c r="AB90" s="131">
        <v>87</v>
      </c>
      <c r="AC90" s="131">
        <v>64.099999999999994</v>
      </c>
      <c r="AG90" s="135"/>
      <c r="AH90" s="131"/>
      <c r="AI90" s="131"/>
      <c r="AJ90" s="131"/>
      <c r="AK90" s="142"/>
      <c r="AL90" s="135" t="s">
        <v>224</v>
      </c>
      <c r="AM90" s="132">
        <v>53</v>
      </c>
      <c r="AN90" s="132">
        <v>14</v>
      </c>
      <c r="AO90" s="132">
        <v>30.2</v>
      </c>
      <c r="AP90" s="134">
        <v>8.1999999999999993</v>
      </c>
    </row>
    <row r="91" spans="25:46" ht="13.5" thickBot="1" x14ac:dyDescent="0.25">
      <c r="Y91" s="131">
        <v>88</v>
      </c>
      <c r="Z91" s="131">
        <v>41</v>
      </c>
      <c r="AB91" s="131">
        <v>88</v>
      </c>
      <c r="AC91" s="131">
        <v>64.400000000000006</v>
      </c>
      <c r="AG91" s="137"/>
      <c r="AH91" s="138"/>
      <c r="AI91" s="138"/>
      <c r="AJ91" s="138"/>
      <c r="AK91" s="143"/>
      <c r="AL91" s="137" t="s">
        <v>72</v>
      </c>
      <c r="AM91" s="139">
        <v>134</v>
      </c>
      <c r="AN91" s="139">
        <v>52</v>
      </c>
      <c r="AO91" s="139">
        <v>51.7</v>
      </c>
      <c r="AP91" s="140">
        <v>6</v>
      </c>
    </row>
    <row r="92" spans="25:46" x14ac:dyDescent="0.2">
      <c r="Y92" s="131">
        <v>89</v>
      </c>
      <c r="Z92" s="131">
        <v>41.3</v>
      </c>
      <c r="AB92" s="131">
        <v>89</v>
      </c>
      <c r="AC92" s="131">
        <v>64.7</v>
      </c>
    </row>
    <row r="93" spans="25:46" x14ac:dyDescent="0.2">
      <c r="Y93" s="131">
        <v>90</v>
      </c>
      <c r="Z93" s="131">
        <v>41.5</v>
      </c>
      <c r="AB93" s="131">
        <v>90</v>
      </c>
      <c r="AC93" s="131">
        <v>65</v>
      </c>
    </row>
    <row r="94" spans="25:46" x14ac:dyDescent="0.2">
      <c r="Y94" s="131">
        <v>91</v>
      </c>
      <c r="Z94" s="131">
        <v>41.8</v>
      </c>
      <c r="AB94" s="131">
        <v>91</v>
      </c>
      <c r="AC94" s="131">
        <v>65.3</v>
      </c>
    </row>
    <row r="95" spans="25:46" x14ac:dyDescent="0.2">
      <c r="Y95" s="131">
        <v>92</v>
      </c>
      <c r="Z95" s="131">
        <v>42</v>
      </c>
      <c r="AB95" s="131">
        <v>92</v>
      </c>
      <c r="AC95" s="131">
        <v>65.599999999999994</v>
      </c>
    </row>
    <row r="96" spans="25:46" x14ac:dyDescent="0.2">
      <c r="Y96" s="131">
        <v>93</v>
      </c>
      <c r="Z96" s="131">
        <v>42.3</v>
      </c>
      <c r="AB96" s="131">
        <v>93</v>
      </c>
      <c r="AC96" s="131">
        <v>65.900000000000006</v>
      </c>
    </row>
    <row r="97" spans="1:29" x14ac:dyDescent="0.2">
      <c r="Y97" s="131">
        <v>94</v>
      </c>
      <c r="Z97" s="131">
        <v>42.5</v>
      </c>
      <c r="AB97" s="131">
        <v>94</v>
      </c>
      <c r="AC97" s="131">
        <v>66.2</v>
      </c>
    </row>
    <row r="98" spans="1:29" x14ac:dyDescent="0.2">
      <c r="Y98" s="131">
        <v>95</v>
      </c>
      <c r="Z98" s="131">
        <v>42.8</v>
      </c>
      <c r="AB98" s="131">
        <v>95</v>
      </c>
      <c r="AC98" s="131">
        <v>66.5</v>
      </c>
    </row>
    <row r="99" spans="1:29" x14ac:dyDescent="0.2">
      <c r="Y99" s="131">
        <v>96</v>
      </c>
      <c r="Z99" s="131">
        <v>43</v>
      </c>
      <c r="AB99" s="131">
        <v>96</v>
      </c>
      <c r="AC99" s="131">
        <v>66.8</v>
      </c>
    </row>
    <row r="100" spans="1:29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Y100" s="131">
        <v>97</v>
      </c>
      <c r="Z100" s="131">
        <v>43.3</v>
      </c>
      <c r="AB100" s="131">
        <v>97</v>
      </c>
      <c r="AC100" s="131">
        <v>67.099999999999994</v>
      </c>
    </row>
    <row r="101" spans="1:29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Y101" s="131">
        <v>98</v>
      </c>
      <c r="Z101" s="131">
        <v>43.5</v>
      </c>
      <c r="AB101" s="131">
        <v>98</v>
      </c>
      <c r="AC101" s="131">
        <v>67.400000000000006</v>
      </c>
    </row>
    <row r="102" spans="1:29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Y102" s="131">
        <v>99</v>
      </c>
      <c r="Z102" s="131">
        <v>43.8</v>
      </c>
      <c r="AB102" s="131">
        <v>99</v>
      </c>
      <c r="AC102" s="131">
        <v>67.7</v>
      </c>
    </row>
    <row r="103" spans="1:29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Y103" s="131">
        <v>100</v>
      </c>
      <c r="Z103" s="131">
        <v>44</v>
      </c>
      <c r="AB103" s="131">
        <v>100</v>
      </c>
      <c r="AC103" s="131">
        <v>68</v>
      </c>
    </row>
    <row r="104" spans="1:29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Y104" s="131">
        <v>102</v>
      </c>
      <c r="Z104" s="131">
        <v>44.5</v>
      </c>
      <c r="AB104" s="131">
        <v>102</v>
      </c>
      <c r="AC104" s="131">
        <v>68.599999999999994</v>
      </c>
    </row>
    <row r="105" spans="1:29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Y105" s="131">
        <v>104</v>
      </c>
      <c r="Z105" s="131">
        <v>45</v>
      </c>
      <c r="AB105" s="131">
        <v>104</v>
      </c>
      <c r="AC105" s="131">
        <v>69.2</v>
      </c>
    </row>
    <row r="106" spans="1:29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Y106" s="131">
        <v>106</v>
      </c>
      <c r="Z106" s="131">
        <v>45.5</v>
      </c>
      <c r="AB106" s="131">
        <v>106</v>
      </c>
      <c r="AC106" s="131">
        <v>69.8</v>
      </c>
    </row>
    <row r="107" spans="1:29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Y107" s="131">
        <v>108</v>
      </c>
      <c r="Z107" s="131">
        <v>46</v>
      </c>
      <c r="AB107" s="131">
        <v>108</v>
      </c>
      <c r="AC107" s="131">
        <v>70.400000000000006</v>
      </c>
    </row>
    <row r="108" spans="1:29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Y108" s="131">
        <v>110</v>
      </c>
      <c r="Z108" s="131">
        <v>46.5</v>
      </c>
      <c r="AB108" s="131">
        <v>110</v>
      </c>
      <c r="AC108" s="131">
        <v>71</v>
      </c>
    </row>
    <row r="109" spans="1:29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Y109" s="131">
        <v>112</v>
      </c>
      <c r="Z109" s="131">
        <v>47</v>
      </c>
      <c r="AB109" s="131">
        <v>112</v>
      </c>
      <c r="AC109" s="131">
        <v>71.599999999999994</v>
      </c>
    </row>
    <row r="110" spans="1:29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Y110" s="131">
        <v>114</v>
      </c>
      <c r="Z110" s="131">
        <v>47.5</v>
      </c>
      <c r="AB110" s="131">
        <v>114</v>
      </c>
      <c r="AC110" s="131">
        <v>72.2</v>
      </c>
    </row>
    <row r="111" spans="1:29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Y111" s="131">
        <v>116</v>
      </c>
      <c r="Z111" s="131">
        <v>48</v>
      </c>
      <c r="AB111" s="131">
        <v>116</v>
      </c>
      <c r="AC111" s="131">
        <v>71.8</v>
      </c>
    </row>
    <row r="112" spans="1:29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Y112" s="131">
        <v>118</v>
      </c>
      <c r="Z112" s="131">
        <v>48.5</v>
      </c>
      <c r="AB112" s="131">
        <v>118</v>
      </c>
      <c r="AC112" s="131">
        <v>73.400000000000006</v>
      </c>
    </row>
    <row r="113" spans="1:29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Y113" s="131">
        <v>120</v>
      </c>
      <c r="Z113" s="131">
        <v>49</v>
      </c>
      <c r="AB113" s="131">
        <v>120</v>
      </c>
      <c r="AC113" s="131">
        <v>74</v>
      </c>
    </row>
    <row r="114" spans="1:29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Y114" s="131">
        <v>122</v>
      </c>
      <c r="Z114" s="131">
        <v>49.4</v>
      </c>
      <c r="AB114" s="131">
        <v>122</v>
      </c>
      <c r="AC114" s="131">
        <v>74.400000000000006</v>
      </c>
    </row>
    <row r="115" spans="1:29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Y115" s="131">
        <v>124</v>
      </c>
      <c r="Z115" s="131">
        <v>49.8</v>
      </c>
      <c r="AB115" s="131">
        <v>124</v>
      </c>
      <c r="AC115" s="131">
        <v>74.8</v>
      </c>
    </row>
    <row r="116" spans="1:29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Y116" s="131">
        <v>126</v>
      </c>
      <c r="Z116" s="131">
        <v>50.2</v>
      </c>
      <c r="AB116" s="131">
        <v>126</v>
      </c>
      <c r="AC116" s="131">
        <v>75.2</v>
      </c>
    </row>
    <row r="117" spans="1:29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Y117" s="131">
        <v>128</v>
      </c>
      <c r="Z117" s="131">
        <v>50.6</v>
      </c>
      <c r="AB117" s="131">
        <v>128</v>
      </c>
      <c r="AC117" s="131">
        <v>75.599999999999994</v>
      </c>
    </row>
    <row r="118" spans="1:29" x14ac:dyDescent="0.2">
      <c r="Y118" s="131">
        <v>130</v>
      </c>
      <c r="Z118" s="131">
        <v>51</v>
      </c>
      <c r="AB118" s="131">
        <v>130</v>
      </c>
      <c r="AC118" s="131">
        <v>76</v>
      </c>
    </row>
    <row r="119" spans="1:29" x14ac:dyDescent="0.2">
      <c r="Y119" s="131">
        <v>132</v>
      </c>
      <c r="Z119" s="131">
        <v>51.4</v>
      </c>
      <c r="AB119" s="131">
        <v>132</v>
      </c>
      <c r="AC119" s="131">
        <v>76.400000000000006</v>
      </c>
    </row>
    <row r="120" spans="1:29" x14ac:dyDescent="0.2">
      <c r="Y120" s="131">
        <v>134</v>
      </c>
      <c r="Z120" s="131">
        <v>51.8</v>
      </c>
      <c r="AB120" s="131">
        <v>134</v>
      </c>
      <c r="AC120" s="131">
        <v>76.8</v>
      </c>
    </row>
    <row r="121" spans="1:29" x14ac:dyDescent="0.2">
      <c r="Y121" s="131">
        <v>136</v>
      </c>
      <c r="Z121" s="131">
        <v>52.2</v>
      </c>
      <c r="AB121" s="131">
        <v>136</v>
      </c>
      <c r="AC121" s="131">
        <v>77.2</v>
      </c>
    </row>
    <row r="122" spans="1:29" x14ac:dyDescent="0.2">
      <c r="Y122" s="131">
        <v>138</v>
      </c>
      <c r="Z122" s="131">
        <v>52.6</v>
      </c>
      <c r="AB122" s="131">
        <v>138</v>
      </c>
      <c r="AC122" s="131">
        <v>77.599999999999994</v>
      </c>
    </row>
    <row r="123" spans="1:29" x14ac:dyDescent="0.2">
      <c r="Y123" s="131">
        <v>140</v>
      </c>
      <c r="Z123" s="131">
        <v>53</v>
      </c>
      <c r="AB123" s="131">
        <v>140</v>
      </c>
      <c r="AC123" s="131">
        <v>78</v>
      </c>
    </row>
    <row r="124" spans="1:29" x14ac:dyDescent="0.2">
      <c r="Y124" s="131">
        <v>142</v>
      </c>
      <c r="Z124" s="131">
        <v>53.4</v>
      </c>
      <c r="AB124" s="131">
        <v>142</v>
      </c>
      <c r="AC124" s="131">
        <v>78.5</v>
      </c>
    </row>
    <row r="125" spans="1:29" x14ac:dyDescent="0.2">
      <c r="Y125" s="131">
        <v>144</v>
      </c>
      <c r="Z125" s="131">
        <v>53.8</v>
      </c>
      <c r="AB125" s="131">
        <v>144</v>
      </c>
      <c r="AC125" s="131">
        <v>79</v>
      </c>
    </row>
    <row r="126" spans="1:29" x14ac:dyDescent="0.2">
      <c r="Y126" s="131">
        <v>146</v>
      </c>
      <c r="Z126" s="131">
        <v>53.8</v>
      </c>
      <c r="AB126" s="131">
        <v>146</v>
      </c>
      <c r="AC126" s="131">
        <v>79.5</v>
      </c>
    </row>
    <row r="127" spans="1:29" x14ac:dyDescent="0.2">
      <c r="Y127" s="131">
        <v>148</v>
      </c>
      <c r="Z127" s="131">
        <v>54.6</v>
      </c>
      <c r="AB127" s="131">
        <v>148</v>
      </c>
      <c r="AC127" s="131">
        <v>80</v>
      </c>
    </row>
    <row r="128" spans="1:29" x14ac:dyDescent="0.2">
      <c r="Y128" s="131">
        <v>150</v>
      </c>
      <c r="Z128" s="131">
        <v>55</v>
      </c>
      <c r="AB128" s="131">
        <v>150</v>
      </c>
      <c r="AC128" s="131">
        <v>80.5</v>
      </c>
    </row>
    <row r="129" spans="25:29" x14ac:dyDescent="0.2">
      <c r="Y129" s="131">
        <v>152</v>
      </c>
      <c r="Z129" s="131">
        <v>55.4</v>
      </c>
      <c r="AB129" s="131">
        <v>152</v>
      </c>
      <c r="AC129" s="131">
        <v>81</v>
      </c>
    </row>
    <row r="130" spans="25:29" x14ac:dyDescent="0.2">
      <c r="Y130" s="131">
        <v>154</v>
      </c>
      <c r="Z130" s="131">
        <v>55.8</v>
      </c>
      <c r="AB130" s="131">
        <v>154</v>
      </c>
      <c r="AC130" s="131">
        <v>81.5</v>
      </c>
    </row>
    <row r="131" spans="25:29" x14ac:dyDescent="0.2">
      <c r="Y131" s="131">
        <v>156</v>
      </c>
      <c r="Z131" s="131">
        <v>56.2</v>
      </c>
      <c r="AB131" s="131">
        <v>156</v>
      </c>
      <c r="AC131" s="131">
        <v>82</v>
      </c>
    </row>
    <row r="132" spans="25:29" x14ac:dyDescent="0.2">
      <c r="Y132" s="131">
        <v>158</v>
      </c>
      <c r="Z132" s="131">
        <v>56.6</v>
      </c>
      <c r="AB132" s="131">
        <v>158</v>
      </c>
      <c r="AC132" s="131">
        <v>82.5</v>
      </c>
    </row>
    <row r="133" spans="25:29" x14ac:dyDescent="0.2">
      <c r="Y133" s="131">
        <v>160</v>
      </c>
      <c r="Z133" s="131">
        <v>57</v>
      </c>
      <c r="AB133" s="131">
        <v>160</v>
      </c>
      <c r="AC133" s="131">
        <v>83</v>
      </c>
    </row>
    <row r="134" spans="25:29" x14ac:dyDescent="0.2">
      <c r="Y134" s="131">
        <v>162</v>
      </c>
      <c r="Z134" s="131">
        <v>57.4</v>
      </c>
      <c r="AB134" s="131">
        <v>162</v>
      </c>
      <c r="AC134" s="131">
        <v>83.4</v>
      </c>
    </row>
    <row r="135" spans="25:29" x14ac:dyDescent="0.2">
      <c r="Y135" s="131">
        <v>164</v>
      </c>
      <c r="Z135" s="131">
        <v>57.8</v>
      </c>
      <c r="AB135" s="131">
        <v>164</v>
      </c>
      <c r="AC135" s="131">
        <v>83.8</v>
      </c>
    </row>
    <row r="136" spans="25:29" x14ac:dyDescent="0.2">
      <c r="Y136" s="131">
        <v>166</v>
      </c>
      <c r="Z136" s="131">
        <v>52.2</v>
      </c>
      <c r="AB136" s="131">
        <v>166</v>
      </c>
      <c r="AC136" s="131">
        <v>84.2</v>
      </c>
    </row>
    <row r="137" spans="25:29" x14ac:dyDescent="0.2">
      <c r="Y137" s="131">
        <v>168</v>
      </c>
      <c r="Z137" s="131">
        <v>58.6</v>
      </c>
      <c r="AB137" s="131">
        <v>168</v>
      </c>
      <c r="AC137" s="131">
        <v>84.6</v>
      </c>
    </row>
    <row r="138" spans="25:29" x14ac:dyDescent="0.2">
      <c r="Y138" s="131">
        <v>170</v>
      </c>
      <c r="Z138" s="131">
        <v>59</v>
      </c>
      <c r="AB138" s="131">
        <v>170</v>
      </c>
      <c r="AC138" s="131">
        <v>85</v>
      </c>
    </row>
    <row r="139" spans="25:29" x14ac:dyDescent="0.2">
      <c r="Y139" s="131">
        <v>172</v>
      </c>
      <c r="Z139" s="131">
        <v>59.4</v>
      </c>
      <c r="AB139" s="131">
        <v>172</v>
      </c>
      <c r="AC139" s="131">
        <v>85.4</v>
      </c>
    </row>
    <row r="140" spans="25:29" x14ac:dyDescent="0.2">
      <c r="Y140" s="131">
        <v>174</v>
      </c>
      <c r="Z140" s="131">
        <v>59.8</v>
      </c>
      <c r="AB140" s="131">
        <v>174</v>
      </c>
      <c r="AC140" s="131">
        <v>85.8</v>
      </c>
    </row>
    <row r="141" spans="25:29" x14ac:dyDescent="0.2">
      <c r="Y141" s="131">
        <v>176</v>
      </c>
      <c r="Z141" s="131">
        <v>60.2</v>
      </c>
      <c r="AB141" s="131">
        <v>176</v>
      </c>
      <c r="AC141" s="131">
        <v>86.2</v>
      </c>
    </row>
    <row r="142" spans="25:29" x14ac:dyDescent="0.2">
      <c r="Y142" s="131">
        <v>178</v>
      </c>
      <c r="Z142" s="131">
        <v>60.4</v>
      </c>
      <c r="AB142" s="131">
        <v>178</v>
      </c>
      <c r="AC142" s="131">
        <v>86.6</v>
      </c>
    </row>
    <row r="143" spans="25:29" x14ac:dyDescent="0.2">
      <c r="Y143" s="131">
        <v>180</v>
      </c>
      <c r="Z143" s="131">
        <v>61</v>
      </c>
      <c r="AB143" s="131">
        <v>180</v>
      </c>
      <c r="AC143" s="131">
        <v>87</v>
      </c>
    </row>
    <row r="144" spans="25:29" x14ac:dyDescent="0.2">
      <c r="Y144" s="131">
        <v>182</v>
      </c>
      <c r="Z144" s="131">
        <v>61.4</v>
      </c>
      <c r="AB144" s="131">
        <v>182</v>
      </c>
      <c r="AC144" s="131">
        <v>87.4</v>
      </c>
    </row>
    <row r="145" spans="25:29" x14ac:dyDescent="0.2">
      <c r="Y145" s="131">
        <v>184</v>
      </c>
      <c r="Z145" s="131">
        <v>61.8</v>
      </c>
      <c r="AB145" s="131">
        <v>184</v>
      </c>
      <c r="AC145" s="131">
        <v>87.8</v>
      </c>
    </row>
    <row r="146" spans="25:29" x14ac:dyDescent="0.2">
      <c r="Y146" s="131">
        <v>186</v>
      </c>
      <c r="Z146" s="131">
        <v>62.2</v>
      </c>
      <c r="AB146" s="131">
        <v>186</v>
      </c>
      <c r="AC146" s="131">
        <v>88.2</v>
      </c>
    </row>
    <row r="147" spans="25:29" x14ac:dyDescent="0.2">
      <c r="Y147" s="131">
        <v>188</v>
      </c>
      <c r="Z147" s="131">
        <v>62.6</v>
      </c>
      <c r="AB147" s="131">
        <v>188</v>
      </c>
      <c r="AC147" s="131">
        <v>88.6</v>
      </c>
    </row>
    <row r="148" spans="25:29" x14ac:dyDescent="0.2">
      <c r="Y148" s="131">
        <v>190</v>
      </c>
      <c r="Z148" s="131">
        <v>63</v>
      </c>
      <c r="AB148" s="131">
        <v>190</v>
      </c>
      <c r="AC148" s="131">
        <v>89</v>
      </c>
    </row>
    <row r="149" spans="25:29" x14ac:dyDescent="0.2">
      <c r="Y149" s="131">
        <v>192</v>
      </c>
      <c r="Z149" s="131">
        <v>63.4</v>
      </c>
      <c r="AB149" s="131">
        <v>192</v>
      </c>
      <c r="AC149" s="131">
        <v>89.4</v>
      </c>
    </row>
    <row r="150" spans="25:29" x14ac:dyDescent="0.2">
      <c r="Y150" s="131">
        <v>194</v>
      </c>
      <c r="Z150" s="131">
        <v>63.8</v>
      </c>
      <c r="AB150" s="131">
        <v>194</v>
      </c>
      <c r="AC150" s="131">
        <v>89.8</v>
      </c>
    </row>
    <row r="151" spans="25:29" x14ac:dyDescent="0.2">
      <c r="Y151" s="131">
        <v>196</v>
      </c>
      <c r="Z151" s="131">
        <v>64.2</v>
      </c>
      <c r="AB151" s="131">
        <v>196</v>
      </c>
      <c r="AC151" s="131">
        <v>90.2</v>
      </c>
    </row>
    <row r="152" spans="25:29" x14ac:dyDescent="0.2">
      <c r="Y152" s="131">
        <v>198</v>
      </c>
      <c r="Z152" s="131">
        <v>64.599999999999994</v>
      </c>
      <c r="AB152" s="131">
        <v>198</v>
      </c>
      <c r="AC152" s="131">
        <v>90.6</v>
      </c>
    </row>
    <row r="153" spans="25:29" x14ac:dyDescent="0.2">
      <c r="Y153" s="131">
        <v>200</v>
      </c>
      <c r="Z153" s="131">
        <v>65</v>
      </c>
      <c r="AB153" s="131">
        <v>200</v>
      </c>
      <c r="AC153" s="131">
        <v>91</v>
      </c>
    </row>
    <row r="154" spans="25:29" x14ac:dyDescent="0.2">
      <c r="Y154" s="131">
        <v>205</v>
      </c>
      <c r="Z154" s="131">
        <v>66</v>
      </c>
      <c r="AB154" s="131">
        <v>205</v>
      </c>
      <c r="AC154" s="131">
        <v>91.8</v>
      </c>
    </row>
    <row r="155" spans="25:29" x14ac:dyDescent="0.2">
      <c r="Y155" s="131">
        <v>210</v>
      </c>
      <c r="Z155" s="131">
        <v>67</v>
      </c>
      <c r="AB155" s="131">
        <v>210</v>
      </c>
      <c r="AC155" s="131">
        <v>92.6</v>
      </c>
    </row>
    <row r="156" spans="25:29" x14ac:dyDescent="0.2">
      <c r="Y156" s="131">
        <v>215</v>
      </c>
      <c r="Z156" s="131">
        <v>68</v>
      </c>
      <c r="AB156" s="131">
        <v>215</v>
      </c>
      <c r="AC156" s="131">
        <v>93.4</v>
      </c>
    </row>
    <row r="157" spans="25:29" x14ac:dyDescent="0.2">
      <c r="Y157" s="131">
        <v>220</v>
      </c>
      <c r="Z157" s="131">
        <v>69</v>
      </c>
      <c r="AB157" s="131">
        <v>220</v>
      </c>
      <c r="AC157" s="131">
        <v>94.2</v>
      </c>
    </row>
    <row r="158" spans="25:29" x14ac:dyDescent="0.2">
      <c r="Y158" s="131">
        <v>225</v>
      </c>
      <c r="Z158" s="131">
        <v>70</v>
      </c>
      <c r="AB158" s="131">
        <v>225</v>
      </c>
      <c r="AC158" s="131">
        <v>95</v>
      </c>
    </row>
    <row r="159" spans="25:29" x14ac:dyDescent="0.2">
      <c r="Y159" s="131">
        <v>230</v>
      </c>
      <c r="Z159" s="131">
        <v>71</v>
      </c>
      <c r="AB159" s="131">
        <v>230</v>
      </c>
      <c r="AC159" s="131">
        <v>95.8</v>
      </c>
    </row>
    <row r="160" spans="25:29" x14ac:dyDescent="0.2">
      <c r="Y160" s="131">
        <v>235</v>
      </c>
      <c r="Z160" s="131">
        <v>72</v>
      </c>
      <c r="AB160" s="131">
        <v>235</v>
      </c>
      <c r="AC160" s="131">
        <v>96.6</v>
      </c>
    </row>
    <row r="161" spans="25:29" x14ac:dyDescent="0.2">
      <c r="Y161" s="131">
        <v>240</v>
      </c>
      <c r="Z161" s="131">
        <v>73</v>
      </c>
      <c r="AB161" s="131">
        <v>240</v>
      </c>
      <c r="AC161" s="131">
        <v>67.400000000000006</v>
      </c>
    </row>
    <row r="162" spans="25:29" x14ac:dyDescent="0.2">
      <c r="Y162" s="131">
        <v>245</v>
      </c>
      <c r="Z162" s="131">
        <v>74</v>
      </c>
      <c r="AB162" s="131">
        <v>245</v>
      </c>
      <c r="AC162" s="131">
        <v>98.2</v>
      </c>
    </row>
    <row r="163" spans="25:29" x14ac:dyDescent="0.2">
      <c r="Y163" s="131">
        <v>250</v>
      </c>
      <c r="Z163" s="131">
        <v>75</v>
      </c>
      <c r="AB163" s="131">
        <v>250</v>
      </c>
      <c r="AC163" s="131">
        <v>100</v>
      </c>
    </row>
    <row r="164" spans="25:29" x14ac:dyDescent="0.2">
      <c r="Y164" s="131">
        <v>255</v>
      </c>
      <c r="Z164" s="131">
        <v>76</v>
      </c>
      <c r="AB164" s="131">
        <v>255</v>
      </c>
      <c r="AC164" s="131">
        <v>101</v>
      </c>
    </row>
    <row r="165" spans="25:29" x14ac:dyDescent="0.2">
      <c r="Y165" s="131">
        <v>260</v>
      </c>
      <c r="Z165" s="131">
        <v>77</v>
      </c>
      <c r="AB165" s="131">
        <v>260</v>
      </c>
      <c r="AC165" s="131">
        <v>102</v>
      </c>
    </row>
    <row r="166" spans="25:29" x14ac:dyDescent="0.2">
      <c r="Y166" s="131">
        <v>265</v>
      </c>
      <c r="Z166" s="131">
        <v>78</v>
      </c>
      <c r="AB166" s="131">
        <v>265</v>
      </c>
      <c r="AC166" s="131">
        <v>103</v>
      </c>
    </row>
    <row r="167" spans="25:29" x14ac:dyDescent="0.2">
      <c r="Y167" s="131">
        <v>270</v>
      </c>
      <c r="Z167" s="131">
        <v>79</v>
      </c>
      <c r="AB167" s="131">
        <v>270</v>
      </c>
      <c r="AC167" s="131">
        <v>104</v>
      </c>
    </row>
    <row r="168" spans="25:29" x14ac:dyDescent="0.2">
      <c r="Y168" s="131">
        <v>275</v>
      </c>
      <c r="Z168" s="131">
        <v>80</v>
      </c>
      <c r="AB168" s="131">
        <v>275</v>
      </c>
      <c r="AC168" s="131">
        <v>105</v>
      </c>
    </row>
    <row r="169" spans="25:29" x14ac:dyDescent="0.2">
      <c r="Y169" s="131">
        <v>280</v>
      </c>
      <c r="Z169" s="131">
        <v>81</v>
      </c>
      <c r="AB169" s="131">
        <v>280</v>
      </c>
      <c r="AC169" s="131">
        <v>106</v>
      </c>
    </row>
    <row r="170" spans="25:29" x14ac:dyDescent="0.2">
      <c r="Y170" s="131">
        <v>285</v>
      </c>
      <c r="Z170" s="131">
        <v>82</v>
      </c>
      <c r="AB170" s="131">
        <v>285</v>
      </c>
      <c r="AC170" s="131">
        <v>107</v>
      </c>
    </row>
    <row r="171" spans="25:29" x14ac:dyDescent="0.2">
      <c r="Y171" s="131">
        <v>290</v>
      </c>
      <c r="Z171" s="131">
        <v>83</v>
      </c>
      <c r="AB171" s="131">
        <v>290</v>
      </c>
      <c r="AC171" s="131">
        <v>108</v>
      </c>
    </row>
    <row r="172" spans="25:29" x14ac:dyDescent="0.2">
      <c r="Y172" s="131">
        <v>295</v>
      </c>
      <c r="Z172" s="131">
        <v>84</v>
      </c>
      <c r="AB172" s="131">
        <v>295</v>
      </c>
      <c r="AC172" s="131">
        <v>109</v>
      </c>
    </row>
    <row r="173" spans="25:29" x14ac:dyDescent="0.2">
      <c r="Y173" s="131">
        <v>300</v>
      </c>
      <c r="Z173" s="131">
        <v>85</v>
      </c>
      <c r="AB173" s="131">
        <v>300</v>
      </c>
      <c r="AC173" s="131">
        <v>110</v>
      </c>
    </row>
    <row r="174" spans="25:29" x14ac:dyDescent="0.2">
      <c r="Y174" s="131">
        <v>305</v>
      </c>
      <c r="Z174" s="131">
        <v>86</v>
      </c>
      <c r="AB174" s="131">
        <v>305</v>
      </c>
      <c r="AC174" s="131">
        <v>110.8</v>
      </c>
    </row>
    <row r="175" spans="25:29" x14ac:dyDescent="0.2">
      <c r="Y175" s="131">
        <v>310</v>
      </c>
      <c r="Z175" s="131">
        <v>87</v>
      </c>
      <c r="AB175" s="131">
        <v>310</v>
      </c>
      <c r="AC175" s="131">
        <v>111.5</v>
      </c>
    </row>
    <row r="176" spans="25:29" x14ac:dyDescent="0.2">
      <c r="Y176" s="131">
        <v>315</v>
      </c>
      <c r="Z176" s="131">
        <v>88</v>
      </c>
      <c r="AB176" s="131">
        <v>315</v>
      </c>
      <c r="AC176" s="131">
        <v>112.3</v>
      </c>
    </row>
    <row r="177" spans="25:29" x14ac:dyDescent="0.2">
      <c r="Y177" s="131">
        <v>320</v>
      </c>
      <c r="Z177" s="131">
        <v>89</v>
      </c>
      <c r="AB177" s="131">
        <v>320</v>
      </c>
      <c r="AC177" s="131">
        <v>113</v>
      </c>
    </row>
    <row r="178" spans="25:29" x14ac:dyDescent="0.2">
      <c r="Y178" s="131">
        <v>325</v>
      </c>
      <c r="Z178" s="131">
        <v>90</v>
      </c>
      <c r="AB178" s="131">
        <v>325</v>
      </c>
      <c r="AC178" s="131">
        <v>113.8</v>
      </c>
    </row>
    <row r="179" spans="25:29" x14ac:dyDescent="0.2">
      <c r="Y179" s="131">
        <v>330</v>
      </c>
      <c r="Z179" s="131">
        <v>91</v>
      </c>
      <c r="AB179" s="131">
        <v>330</v>
      </c>
      <c r="AC179" s="131">
        <v>114.5</v>
      </c>
    </row>
    <row r="180" spans="25:29" x14ac:dyDescent="0.2">
      <c r="Y180" s="131">
        <v>335</v>
      </c>
      <c r="Z180" s="131">
        <v>92</v>
      </c>
      <c r="AB180" s="131">
        <v>335</v>
      </c>
      <c r="AC180" s="131">
        <v>115.3</v>
      </c>
    </row>
    <row r="181" spans="25:29" x14ac:dyDescent="0.2">
      <c r="Y181" s="131">
        <v>340</v>
      </c>
      <c r="Z181" s="131">
        <v>93</v>
      </c>
      <c r="AB181" s="131">
        <v>340</v>
      </c>
      <c r="AC181" s="131">
        <v>116</v>
      </c>
    </row>
    <row r="182" spans="25:29" x14ac:dyDescent="0.2">
      <c r="Y182" s="131">
        <v>345</v>
      </c>
      <c r="Z182" s="131">
        <v>94</v>
      </c>
      <c r="AB182" s="131">
        <v>345</v>
      </c>
      <c r="AC182" s="131">
        <v>116.8</v>
      </c>
    </row>
    <row r="183" spans="25:29" x14ac:dyDescent="0.2">
      <c r="Y183" s="131">
        <v>350</v>
      </c>
      <c r="Z183" s="131">
        <v>95</v>
      </c>
      <c r="AB183" s="131">
        <v>350</v>
      </c>
      <c r="AC183" s="131">
        <v>117.5</v>
      </c>
    </row>
    <row r="184" spans="25:29" x14ac:dyDescent="0.2">
      <c r="Y184" s="131">
        <v>355</v>
      </c>
      <c r="Z184" s="131">
        <v>96</v>
      </c>
      <c r="AB184" s="131">
        <v>355</v>
      </c>
      <c r="AC184" s="131">
        <v>118.3</v>
      </c>
    </row>
    <row r="185" spans="25:29" x14ac:dyDescent="0.2">
      <c r="Y185" s="131">
        <v>360</v>
      </c>
      <c r="Z185" s="131">
        <v>97</v>
      </c>
      <c r="AB185" s="131">
        <v>360</v>
      </c>
      <c r="AC185" s="131">
        <v>119</v>
      </c>
    </row>
    <row r="186" spans="25:29" x14ac:dyDescent="0.2">
      <c r="Y186" s="131">
        <v>365</v>
      </c>
      <c r="Z186" s="131">
        <v>98</v>
      </c>
      <c r="AB186" s="131">
        <v>365</v>
      </c>
      <c r="AC186" s="131">
        <v>119.8</v>
      </c>
    </row>
    <row r="187" spans="25:29" x14ac:dyDescent="0.2">
      <c r="Y187" s="131">
        <v>370</v>
      </c>
      <c r="Z187" s="131">
        <v>99</v>
      </c>
      <c r="AB187" s="131">
        <v>370</v>
      </c>
      <c r="AC187" s="131">
        <v>120.5</v>
      </c>
    </row>
    <row r="188" spans="25:29" x14ac:dyDescent="0.2">
      <c r="Y188" s="131">
        <v>375</v>
      </c>
      <c r="Z188" s="131">
        <v>100</v>
      </c>
      <c r="AB188" s="131">
        <v>375</v>
      </c>
      <c r="AC188" s="131">
        <v>121.3</v>
      </c>
    </row>
    <row r="189" spans="25:29" x14ac:dyDescent="0.2">
      <c r="Y189" s="131">
        <v>380</v>
      </c>
      <c r="Z189" s="131">
        <v>101</v>
      </c>
      <c r="AB189" s="131">
        <v>380</v>
      </c>
      <c r="AC189" s="131">
        <v>122</v>
      </c>
    </row>
    <row r="190" spans="25:29" x14ac:dyDescent="0.2">
      <c r="Y190" s="131">
        <v>385</v>
      </c>
      <c r="Z190" s="131">
        <v>102</v>
      </c>
      <c r="AB190" s="131">
        <v>385</v>
      </c>
      <c r="AC190" s="131">
        <v>122.8</v>
      </c>
    </row>
    <row r="191" spans="25:29" x14ac:dyDescent="0.2">
      <c r="Y191" s="131">
        <v>390</v>
      </c>
      <c r="Z191" s="131">
        <v>103</v>
      </c>
      <c r="AB191" s="131">
        <v>390</v>
      </c>
      <c r="AC191" s="131">
        <v>123.5</v>
      </c>
    </row>
    <row r="192" spans="25:29" x14ac:dyDescent="0.2">
      <c r="Y192" s="131">
        <v>395</v>
      </c>
      <c r="Z192" s="131">
        <v>104</v>
      </c>
      <c r="AB192" s="131">
        <v>395</v>
      </c>
      <c r="AC192" s="131">
        <v>124.3</v>
      </c>
    </row>
    <row r="193" spans="25:29" x14ac:dyDescent="0.2">
      <c r="Y193" s="131">
        <v>400</v>
      </c>
      <c r="Z193" s="131">
        <v>105</v>
      </c>
      <c r="AB193" s="131">
        <v>400</v>
      </c>
      <c r="AC193" s="131">
        <v>125</v>
      </c>
    </row>
    <row r="194" spans="25:29" x14ac:dyDescent="0.2">
      <c r="Y194" s="131">
        <v>405</v>
      </c>
      <c r="Z194" s="131">
        <v>106</v>
      </c>
      <c r="AB194" s="131">
        <v>405</v>
      </c>
      <c r="AC194" s="131">
        <v>125.8</v>
      </c>
    </row>
    <row r="195" spans="25:29" x14ac:dyDescent="0.2">
      <c r="Y195" s="131">
        <v>410</v>
      </c>
      <c r="Z195" s="131">
        <v>107</v>
      </c>
      <c r="AB195" s="131">
        <v>410</v>
      </c>
      <c r="AC195" s="131">
        <v>126.5</v>
      </c>
    </row>
    <row r="196" spans="25:29" x14ac:dyDescent="0.2">
      <c r="Y196" s="131">
        <v>415</v>
      </c>
      <c r="Z196" s="131">
        <v>108</v>
      </c>
      <c r="AB196" s="131">
        <v>415</v>
      </c>
      <c r="AC196" s="131">
        <v>127.3</v>
      </c>
    </row>
    <row r="197" spans="25:29" x14ac:dyDescent="0.2">
      <c r="Y197" s="131">
        <v>420</v>
      </c>
      <c r="Z197" s="131">
        <v>109</v>
      </c>
      <c r="AB197" s="131">
        <v>420</v>
      </c>
      <c r="AC197" s="131">
        <v>128</v>
      </c>
    </row>
    <row r="198" spans="25:29" x14ac:dyDescent="0.2">
      <c r="Y198" s="131">
        <v>425</v>
      </c>
      <c r="Z198" s="131">
        <v>110</v>
      </c>
      <c r="AB198" s="131">
        <v>425</v>
      </c>
      <c r="AC198" s="131">
        <v>128.80000000000001</v>
      </c>
    </row>
    <row r="199" spans="25:29" x14ac:dyDescent="0.2">
      <c r="Y199" s="131">
        <v>430</v>
      </c>
      <c r="Z199" s="131">
        <v>111</v>
      </c>
      <c r="AB199" s="131">
        <v>430</v>
      </c>
      <c r="AC199" s="131">
        <v>129.5</v>
      </c>
    </row>
    <row r="200" spans="25:29" x14ac:dyDescent="0.2">
      <c r="Y200" s="131">
        <v>435</v>
      </c>
      <c r="Z200" s="131">
        <v>112</v>
      </c>
      <c r="AB200" s="131">
        <v>435</v>
      </c>
      <c r="AC200" s="131">
        <v>130.30000000000001</v>
      </c>
    </row>
    <row r="201" spans="25:29" x14ac:dyDescent="0.2">
      <c r="Y201" s="131">
        <v>440</v>
      </c>
      <c r="Z201" s="131">
        <v>113</v>
      </c>
      <c r="AB201" s="131">
        <v>440</v>
      </c>
      <c r="AC201" s="131">
        <v>131</v>
      </c>
    </row>
    <row r="202" spans="25:29" x14ac:dyDescent="0.2">
      <c r="Y202" s="131">
        <v>445</v>
      </c>
      <c r="Z202" s="131">
        <v>114</v>
      </c>
      <c r="AB202" s="131">
        <v>445</v>
      </c>
      <c r="AC202" s="131">
        <v>131.80000000000001</v>
      </c>
    </row>
    <row r="203" spans="25:29" x14ac:dyDescent="0.2">
      <c r="Y203" s="131">
        <v>450</v>
      </c>
      <c r="Z203" s="131">
        <v>115</v>
      </c>
      <c r="AB203" s="131">
        <v>450</v>
      </c>
      <c r="AC203" s="131">
        <v>132.5</v>
      </c>
    </row>
    <row r="204" spans="25:29" x14ac:dyDescent="0.2">
      <c r="Y204" s="131">
        <v>455</v>
      </c>
      <c r="Z204" s="131">
        <v>116</v>
      </c>
      <c r="AB204" s="131">
        <v>455</v>
      </c>
      <c r="AC204" s="131">
        <v>133.30000000000001</v>
      </c>
    </row>
    <row r="205" spans="25:29" x14ac:dyDescent="0.2">
      <c r="Y205" s="131">
        <v>460</v>
      </c>
      <c r="Z205" s="131">
        <v>117</v>
      </c>
      <c r="AB205" s="131">
        <v>460</v>
      </c>
      <c r="AC205" s="131">
        <v>134</v>
      </c>
    </row>
    <row r="206" spans="25:29" x14ac:dyDescent="0.2">
      <c r="Y206" s="131">
        <v>465</v>
      </c>
      <c r="Z206" s="131">
        <v>118</v>
      </c>
      <c r="AB206" s="131">
        <v>465</v>
      </c>
      <c r="AC206" s="131">
        <v>134.80000000000001</v>
      </c>
    </row>
    <row r="207" spans="25:29" x14ac:dyDescent="0.2">
      <c r="Y207" s="131">
        <v>470</v>
      </c>
      <c r="Z207" s="131">
        <v>119</v>
      </c>
      <c r="AB207" s="131">
        <v>470</v>
      </c>
      <c r="AC207" s="131">
        <v>135.5</v>
      </c>
    </row>
    <row r="208" spans="25:29" x14ac:dyDescent="0.2">
      <c r="Y208" s="131">
        <v>475</v>
      </c>
      <c r="Z208" s="131">
        <v>120</v>
      </c>
      <c r="AB208" s="131">
        <v>475</v>
      </c>
      <c r="AC208" s="131">
        <v>136.30000000000001</v>
      </c>
    </row>
    <row r="209" spans="25:29" x14ac:dyDescent="0.2">
      <c r="Y209" s="131">
        <v>480</v>
      </c>
      <c r="Z209" s="131">
        <v>121</v>
      </c>
      <c r="AB209" s="131">
        <v>480</v>
      </c>
      <c r="AC209" s="131">
        <v>137</v>
      </c>
    </row>
    <row r="210" spans="25:29" x14ac:dyDescent="0.2">
      <c r="Y210" s="131">
        <v>485</v>
      </c>
      <c r="Z210" s="131">
        <v>122</v>
      </c>
      <c r="AB210" s="131">
        <v>485</v>
      </c>
      <c r="AC210" s="131">
        <v>137.80000000000001</v>
      </c>
    </row>
    <row r="211" spans="25:29" x14ac:dyDescent="0.2">
      <c r="Y211" s="131">
        <v>490</v>
      </c>
      <c r="Z211" s="131">
        <v>123</v>
      </c>
      <c r="AB211" s="131">
        <v>490</v>
      </c>
      <c r="AC211" s="131">
        <v>138.5</v>
      </c>
    </row>
    <row r="212" spans="25:29" x14ac:dyDescent="0.2">
      <c r="Y212" s="131">
        <v>495</v>
      </c>
      <c r="Z212" s="131">
        <v>124</v>
      </c>
      <c r="AB212" s="131">
        <v>495</v>
      </c>
      <c r="AC212" s="131">
        <v>139.30000000000001</v>
      </c>
    </row>
    <row r="213" spans="25:29" x14ac:dyDescent="0.2">
      <c r="Y213" s="131">
        <v>500</v>
      </c>
      <c r="Z213" s="131">
        <v>125</v>
      </c>
      <c r="AB213" s="131">
        <v>500</v>
      </c>
      <c r="AC213" s="131">
        <v>140</v>
      </c>
    </row>
    <row r="214" spans="25:29" x14ac:dyDescent="0.2">
      <c r="Y214" s="131">
        <v>510</v>
      </c>
      <c r="Z214" s="131">
        <v>126.8</v>
      </c>
      <c r="AB214" s="131">
        <v>510</v>
      </c>
      <c r="AC214" s="131">
        <v>141.4</v>
      </c>
    </row>
    <row r="215" spans="25:29" x14ac:dyDescent="0.2">
      <c r="Y215" s="131">
        <v>520</v>
      </c>
      <c r="Z215" s="131">
        <v>18.600000000000001</v>
      </c>
      <c r="AB215" s="131">
        <v>520</v>
      </c>
      <c r="AC215" s="131">
        <v>12.8</v>
      </c>
    </row>
    <row r="216" spans="25:29" x14ac:dyDescent="0.2">
      <c r="Y216" s="131">
        <v>530</v>
      </c>
      <c r="Z216" s="131">
        <v>130.4</v>
      </c>
      <c r="AB216" s="131">
        <v>530</v>
      </c>
      <c r="AC216" s="131">
        <v>114.2</v>
      </c>
    </row>
    <row r="217" spans="25:29" x14ac:dyDescent="0.2">
      <c r="Y217" s="131">
        <v>540</v>
      </c>
      <c r="Z217" s="131">
        <v>132.19999999999999</v>
      </c>
      <c r="AB217" s="131">
        <v>540</v>
      </c>
      <c r="AC217" s="131">
        <v>145.6</v>
      </c>
    </row>
    <row r="218" spans="25:29" x14ac:dyDescent="0.2">
      <c r="Y218" s="131">
        <v>550</v>
      </c>
      <c r="Z218" s="131">
        <v>134</v>
      </c>
      <c r="AB218" s="131">
        <v>550</v>
      </c>
      <c r="AC218" s="131">
        <v>147</v>
      </c>
    </row>
    <row r="219" spans="25:29" x14ac:dyDescent="0.2">
      <c r="Y219" s="131">
        <v>560</v>
      </c>
      <c r="Z219" s="131">
        <v>135.80000000000001</v>
      </c>
      <c r="AB219" s="131">
        <v>560</v>
      </c>
      <c r="AC219" s="131">
        <v>148.4</v>
      </c>
    </row>
    <row r="220" spans="25:29" x14ac:dyDescent="0.2">
      <c r="Y220" s="131">
        <v>570</v>
      </c>
      <c r="Z220" s="131">
        <v>137.6</v>
      </c>
      <c r="AB220" s="131">
        <v>570</v>
      </c>
      <c r="AC220" s="131">
        <v>149.80000000000001</v>
      </c>
    </row>
    <row r="221" spans="25:29" x14ac:dyDescent="0.2">
      <c r="Y221" s="131">
        <v>580</v>
      </c>
      <c r="Z221" s="131">
        <v>139.4</v>
      </c>
      <c r="AB221" s="131">
        <v>580</v>
      </c>
      <c r="AC221" s="131">
        <v>151.19999999999999</v>
      </c>
    </row>
    <row r="222" spans="25:29" x14ac:dyDescent="0.2">
      <c r="Y222" s="131">
        <v>590</v>
      </c>
      <c r="Z222" s="131">
        <v>141.19999999999999</v>
      </c>
      <c r="AB222" s="131">
        <v>590</v>
      </c>
      <c r="AC222" s="131">
        <v>152.6</v>
      </c>
    </row>
    <row r="223" spans="25:29" x14ac:dyDescent="0.2">
      <c r="Y223" s="131">
        <v>600</v>
      </c>
      <c r="Z223" s="131">
        <v>143</v>
      </c>
      <c r="AB223" s="131">
        <v>600</v>
      </c>
      <c r="AC223" s="131">
        <v>154</v>
      </c>
    </row>
    <row r="224" spans="25:29" x14ac:dyDescent="0.2">
      <c r="Y224" s="131">
        <v>610</v>
      </c>
      <c r="Z224" s="131">
        <v>144.80000000000001</v>
      </c>
      <c r="AB224" s="131">
        <v>610</v>
      </c>
      <c r="AC224" s="131">
        <v>155.4</v>
      </c>
    </row>
    <row r="225" spans="25:29" x14ac:dyDescent="0.2">
      <c r="Y225" s="131">
        <v>620</v>
      </c>
      <c r="Z225" s="131">
        <v>146.6</v>
      </c>
      <c r="AB225" s="131">
        <v>620</v>
      </c>
      <c r="AC225" s="131">
        <v>156.80000000000001</v>
      </c>
    </row>
    <row r="226" spans="25:29" x14ac:dyDescent="0.2">
      <c r="Y226" s="131">
        <v>630</v>
      </c>
      <c r="Z226" s="131">
        <v>148.4</v>
      </c>
      <c r="AB226" s="131">
        <v>630</v>
      </c>
      <c r="AC226" s="131">
        <v>158.19999999999999</v>
      </c>
    </row>
    <row r="227" spans="25:29" x14ac:dyDescent="0.2">
      <c r="Y227" s="131">
        <v>640</v>
      </c>
      <c r="Z227" s="131">
        <v>150.19999999999999</v>
      </c>
      <c r="AB227" s="131">
        <v>640</v>
      </c>
      <c r="AC227" s="131">
        <v>159.6</v>
      </c>
    </row>
    <row r="228" spans="25:29" x14ac:dyDescent="0.2">
      <c r="Y228" s="131">
        <v>650</v>
      </c>
      <c r="Z228" s="131">
        <v>152</v>
      </c>
      <c r="AB228" s="131">
        <v>650</v>
      </c>
      <c r="AC228" s="131">
        <v>161</v>
      </c>
    </row>
    <row r="229" spans="25:29" x14ac:dyDescent="0.2">
      <c r="Y229" s="131">
        <v>660</v>
      </c>
      <c r="Z229" s="131">
        <v>153.80000000000001</v>
      </c>
      <c r="AB229" s="131">
        <v>660</v>
      </c>
      <c r="AC229" s="131">
        <v>162.4</v>
      </c>
    </row>
    <row r="230" spans="25:29" x14ac:dyDescent="0.2">
      <c r="Y230" s="131">
        <v>670</v>
      </c>
      <c r="Z230" s="131">
        <v>155.6</v>
      </c>
      <c r="AB230" s="131">
        <v>670</v>
      </c>
      <c r="AC230" s="131">
        <v>163.80000000000001</v>
      </c>
    </row>
    <row r="231" spans="25:29" x14ac:dyDescent="0.2">
      <c r="Y231" s="131">
        <v>680</v>
      </c>
      <c r="Z231" s="131">
        <v>157.4</v>
      </c>
      <c r="AB231" s="131">
        <v>680</v>
      </c>
      <c r="AC231" s="131">
        <v>165.2</v>
      </c>
    </row>
    <row r="232" spans="25:29" x14ac:dyDescent="0.2">
      <c r="Y232" s="131">
        <v>690</v>
      </c>
      <c r="Z232" s="131">
        <v>159.19999999999999</v>
      </c>
      <c r="AB232" s="131">
        <v>690</v>
      </c>
      <c r="AC232" s="131">
        <v>166.6</v>
      </c>
    </row>
    <row r="233" spans="25:29" x14ac:dyDescent="0.2">
      <c r="Y233" s="131">
        <v>700</v>
      </c>
      <c r="Z233" s="131">
        <v>161</v>
      </c>
      <c r="AB233" s="131">
        <v>700</v>
      </c>
      <c r="AC233" s="131">
        <v>168</v>
      </c>
    </row>
    <row r="234" spans="25:29" x14ac:dyDescent="0.2">
      <c r="Y234" s="131">
        <v>710</v>
      </c>
      <c r="Z234" s="131">
        <v>162.80000000000001</v>
      </c>
      <c r="AB234" s="131">
        <v>710</v>
      </c>
      <c r="AC234" s="131">
        <v>169.4</v>
      </c>
    </row>
    <row r="235" spans="25:29" x14ac:dyDescent="0.2">
      <c r="Y235" s="131">
        <v>720</v>
      </c>
      <c r="Z235" s="131">
        <v>164.6</v>
      </c>
      <c r="AB235" s="131">
        <v>720</v>
      </c>
      <c r="AC235" s="131">
        <v>170.8</v>
      </c>
    </row>
    <row r="236" spans="25:29" x14ac:dyDescent="0.2">
      <c r="Y236" s="131">
        <v>730</v>
      </c>
      <c r="Z236" s="131">
        <v>166.4</v>
      </c>
      <c r="AB236" s="131">
        <v>730</v>
      </c>
      <c r="AC236" s="131">
        <v>172.2</v>
      </c>
    </row>
    <row r="237" spans="25:29" x14ac:dyDescent="0.2">
      <c r="Y237" s="131">
        <v>740</v>
      </c>
      <c r="Z237" s="131">
        <v>168.2</v>
      </c>
      <c r="AB237" s="131">
        <v>740</v>
      </c>
      <c r="AC237" s="131">
        <v>173.6</v>
      </c>
    </row>
    <row r="238" spans="25:29" x14ac:dyDescent="0.2">
      <c r="Y238" s="131">
        <v>750</v>
      </c>
      <c r="Z238" s="131">
        <v>170</v>
      </c>
      <c r="AB238" s="131">
        <v>750</v>
      </c>
      <c r="AC238" s="131">
        <v>175</v>
      </c>
    </row>
    <row r="239" spans="25:29" x14ac:dyDescent="0.2">
      <c r="Y239" s="131">
        <v>760</v>
      </c>
      <c r="Z239" s="131">
        <v>171.6</v>
      </c>
      <c r="AB239" s="131">
        <v>760</v>
      </c>
      <c r="AC239" s="131">
        <v>176.4</v>
      </c>
    </row>
    <row r="240" spans="25:29" x14ac:dyDescent="0.2">
      <c r="Y240" s="131">
        <v>770</v>
      </c>
      <c r="Z240" s="131">
        <v>173.2</v>
      </c>
      <c r="AB240" s="131">
        <v>770</v>
      </c>
      <c r="AC240" s="131">
        <v>177.8</v>
      </c>
    </row>
    <row r="241" spans="25:29" x14ac:dyDescent="0.2">
      <c r="Y241" s="131">
        <v>780</v>
      </c>
      <c r="Z241" s="131">
        <v>174.8</v>
      </c>
      <c r="AB241" s="131">
        <v>780</v>
      </c>
      <c r="AC241" s="131">
        <v>179.2</v>
      </c>
    </row>
    <row r="242" spans="25:29" x14ac:dyDescent="0.2">
      <c r="Y242" s="131">
        <v>790</v>
      </c>
      <c r="Z242" s="131">
        <v>176.4</v>
      </c>
      <c r="AB242" s="131">
        <v>790</v>
      </c>
      <c r="AC242" s="131">
        <v>180.6</v>
      </c>
    </row>
    <row r="243" spans="25:29" x14ac:dyDescent="0.2">
      <c r="Y243" s="131">
        <v>800</v>
      </c>
      <c r="Z243" s="131">
        <v>178</v>
      </c>
      <c r="AB243" s="131">
        <v>800</v>
      </c>
      <c r="AC243" s="131">
        <v>182</v>
      </c>
    </row>
    <row r="244" spans="25:29" x14ac:dyDescent="0.2">
      <c r="Y244" s="131">
        <v>810</v>
      </c>
      <c r="Z244" s="131">
        <v>179.6</v>
      </c>
      <c r="AB244" s="131">
        <v>810</v>
      </c>
      <c r="AC244" s="131">
        <v>183.4</v>
      </c>
    </row>
    <row r="245" spans="25:29" x14ac:dyDescent="0.2">
      <c r="Y245" s="131">
        <v>820</v>
      </c>
      <c r="Z245" s="131">
        <v>181.2</v>
      </c>
      <c r="AB245" s="131">
        <v>820</v>
      </c>
      <c r="AC245" s="131">
        <v>184.8</v>
      </c>
    </row>
    <row r="246" spans="25:29" x14ac:dyDescent="0.2">
      <c r="Y246" s="131">
        <v>830</v>
      </c>
      <c r="Z246" s="131">
        <v>182.8</v>
      </c>
      <c r="AB246" s="131">
        <v>830</v>
      </c>
      <c r="AC246" s="131">
        <v>186.2</v>
      </c>
    </row>
    <row r="247" spans="25:29" x14ac:dyDescent="0.2">
      <c r="Y247" s="131">
        <v>840</v>
      </c>
      <c r="Z247" s="131">
        <v>184.4</v>
      </c>
      <c r="AB247" s="131">
        <v>840</v>
      </c>
      <c r="AC247" s="131">
        <v>187.6</v>
      </c>
    </row>
    <row r="248" spans="25:29" x14ac:dyDescent="0.2">
      <c r="Y248" s="131">
        <v>850</v>
      </c>
      <c r="Z248" s="131">
        <v>186</v>
      </c>
      <c r="AB248" s="131">
        <v>850</v>
      </c>
      <c r="AC248" s="131">
        <v>189</v>
      </c>
    </row>
    <row r="249" spans="25:29" x14ac:dyDescent="0.2">
      <c r="Y249" s="131">
        <v>860</v>
      </c>
      <c r="Z249" s="131">
        <v>187.6</v>
      </c>
      <c r="AB249" s="131">
        <v>860</v>
      </c>
      <c r="AC249" s="131">
        <v>190.4</v>
      </c>
    </row>
    <row r="250" spans="25:29" x14ac:dyDescent="0.2">
      <c r="Y250" s="131">
        <v>870</v>
      </c>
      <c r="Z250" s="131">
        <v>189.2</v>
      </c>
      <c r="AB250" s="131">
        <v>870</v>
      </c>
      <c r="AC250" s="131">
        <v>191.8</v>
      </c>
    </row>
    <row r="251" spans="25:29" x14ac:dyDescent="0.2">
      <c r="Y251" s="131">
        <v>880</v>
      </c>
      <c r="Z251" s="131">
        <v>190.8</v>
      </c>
      <c r="AB251" s="131">
        <v>880</v>
      </c>
      <c r="AC251" s="131">
        <v>193.2</v>
      </c>
    </row>
    <row r="252" spans="25:29" x14ac:dyDescent="0.2">
      <c r="Y252" s="131">
        <v>890</v>
      </c>
      <c r="Z252" s="131">
        <v>192.4</v>
      </c>
      <c r="AB252" s="131">
        <v>890</v>
      </c>
      <c r="AC252" s="131">
        <v>194.6</v>
      </c>
    </row>
    <row r="253" spans="25:29" x14ac:dyDescent="0.2">
      <c r="Y253" s="131">
        <v>900</v>
      </c>
      <c r="Z253" s="131">
        <v>194</v>
      </c>
      <c r="AB253" s="131">
        <v>900</v>
      </c>
      <c r="AC253" s="131">
        <v>196</v>
      </c>
    </row>
    <row r="254" spans="25:29" x14ac:dyDescent="0.2">
      <c r="Y254" s="131">
        <v>910</v>
      </c>
      <c r="Z254" s="131">
        <v>195.6</v>
      </c>
      <c r="AB254" s="131">
        <v>910</v>
      </c>
      <c r="AC254" s="131">
        <v>197.4</v>
      </c>
    </row>
    <row r="255" spans="25:29" x14ac:dyDescent="0.2">
      <c r="Y255" s="131">
        <v>920</v>
      </c>
      <c r="Z255" s="131">
        <v>197.2</v>
      </c>
      <c r="AB255" s="131">
        <v>920</v>
      </c>
      <c r="AC255" s="131">
        <v>198.8</v>
      </c>
    </row>
    <row r="256" spans="25:29" x14ac:dyDescent="0.2">
      <c r="Y256" s="131">
        <v>930</v>
      </c>
      <c r="Z256" s="131">
        <v>198.8</v>
      </c>
      <c r="AB256" s="131">
        <v>930</v>
      </c>
      <c r="AC256" s="131">
        <v>200.2</v>
      </c>
    </row>
    <row r="257" spans="25:29" x14ac:dyDescent="0.2">
      <c r="Y257" s="131">
        <v>940</v>
      </c>
      <c r="Z257" s="131">
        <v>200.4</v>
      </c>
      <c r="AB257" s="131">
        <v>940</v>
      </c>
      <c r="AC257" s="131">
        <v>301.60000000000002</v>
      </c>
    </row>
    <row r="258" spans="25:29" x14ac:dyDescent="0.2">
      <c r="Y258" s="131">
        <v>950</v>
      </c>
      <c r="Z258" s="131">
        <v>202</v>
      </c>
      <c r="AB258" s="131">
        <v>950</v>
      </c>
      <c r="AC258" s="131">
        <v>203</v>
      </c>
    </row>
    <row r="259" spans="25:29" x14ac:dyDescent="0.2">
      <c r="Y259" s="131">
        <v>960</v>
      </c>
      <c r="Z259" s="131">
        <v>203.6</v>
      </c>
      <c r="AB259" s="131">
        <v>960</v>
      </c>
      <c r="AC259" s="131">
        <v>204.4</v>
      </c>
    </row>
    <row r="260" spans="25:29" x14ac:dyDescent="0.2">
      <c r="Y260" s="131">
        <v>970</v>
      </c>
      <c r="Z260" s="131">
        <v>205.2</v>
      </c>
      <c r="AB260" s="131">
        <v>970</v>
      </c>
      <c r="AC260" s="131">
        <v>208.8</v>
      </c>
    </row>
    <row r="261" spans="25:29" x14ac:dyDescent="0.2">
      <c r="Y261" s="131">
        <v>980</v>
      </c>
      <c r="Z261" s="131">
        <v>206.8</v>
      </c>
      <c r="AB261" s="131">
        <v>980</v>
      </c>
      <c r="AC261" s="131">
        <v>207.2</v>
      </c>
    </row>
    <row r="262" spans="25:29" x14ac:dyDescent="0.2">
      <c r="Y262" s="131">
        <v>990</v>
      </c>
      <c r="Z262" s="131">
        <v>208.4</v>
      </c>
      <c r="AB262" s="131">
        <v>990</v>
      </c>
      <c r="AC262" s="131">
        <v>208.6</v>
      </c>
    </row>
    <row r="263" spans="25:29" x14ac:dyDescent="0.2">
      <c r="Y263" s="131">
        <v>1000</v>
      </c>
      <c r="Z263" s="131">
        <v>210</v>
      </c>
      <c r="AB263" s="131">
        <v>1000</v>
      </c>
      <c r="AC263" s="131">
        <v>210</v>
      </c>
    </row>
  </sheetData>
  <mergeCells count="155">
    <mergeCell ref="AG21:AG22"/>
    <mergeCell ref="AH21:AK21"/>
    <mergeCell ref="AQ21:AQ22"/>
    <mergeCell ref="AR21:AU21"/>
    <mergeCell ref="AG37:AG38"/>
    <mergeCell ref="AH37:AK37"/>
    <mergeCell ref="AQ37:AQ38"/>
    <mergeCell ref="AR37:AU37"/>
    <mergeCell ref="AG82:AP82"/>
    <mergeCell ref="AG52:AP52"/>
    <mergeCell ref="AG53:AG54"/>
    <mergeCell ref="AH53:AK53"/>
    <mergeCell ref="AL53:AL54"/>
    <mergeCell ref="AR53:AT53"/>
    <mergeCell ref="AR57:AT57"/>
    <mergeCell ref="AR61:AT61"/>
    <mergeCell ref="AR69:AT69"/>
    <mergeCell ref="AR73:AT73"/>
    <mergeCell ref="AR77:AT77"/>
    <mergeCell ref="AM53:AP53"/>
    <mergeCell ref="AG67:AP67"/>
    <mergeCell ref="AG68:AG69"/>
    <mergeCell ref="AH68:AK68"/>
    <mergeCell ref="AL68:AL69"/>
    <mergeCell ref="AR5:AU5"/>
    <mergeCell ref="A11:B11"/>
    <mergeCell ref="C11:E11"/>
    <mergeCell ref="I11:K11"/>
    <mergeCell ref="C10:E10"/>
    <mergeCell ref="I10:K10"/>
    <mergeCell ref="C7:E8"/>
    <mergeCell ref="I7:K8"/>
    <mergeCell ref="A20:B20"/>
    <mergeCell ref="A14:B14"/>
    <mergeCell ref="A15:B15"/>
    <mergeCell ref="A12:B12"/>
    <mergeCell ref="A13:B13"/>
    <mergeCell ref="C12:E12"/>
    <mergeCell ref="I12:K12"/>
    <mergeCell ref="A9:B9"/>
    <mergeCell ref="A10:B10"/>
    <mergeCell ref="C9:E9"/>
    <mergeCell ref="I9:K9"/>
    <mergeCell ref="AL5:AL6"/>
    <mergeCell ref="AM5:AP5"/>
    <mergeCell ref="U2:W2"/>
    <mergeCell ref="U6:W6"/>
    <mergeCell ref="Q6:Q7"/>
    <mergeCell ref="F7:H7"/>
    <mergeCell ref="L7:N7"/>
    <mergeCell ref="A4:N4"/>
    <mergeCell ref="A5:N5"/>
    <mergeCell ref="A6:N6"/>
    <mergeCell ref="I36:K36"/>
    <mergeCell ref="I34:K34"/>
    <mergeCell ref="A35:B35"/>
    <mergeCell ref="C35:E35"/>
    <mergeCell ref="I35:K35"/>
    <mergeCell ref="C33:E33"/>
    <mergeCell ref="I33:K33"/>
    <mergeCell ref="C31:E31"/>
    <mergeCell ref="I31:K31"/>
    <mergeCell ref="I28:K28"/>
    <mergeCell ref="I29:K29"/>
    <mergeCell ref="A34:B34"/>
    <mergeCell ref="C34:E34"/>
    <mergeCell ref="A32:B32"/>
    <mergeCell ref="A33:B33"/>
    <mergeCell ref="I22:K22"/>
    <mergeCell ref="C23:E23"/>
    <mergeCell ref="I23:K23"/>
    <mergeCell ref="A7:B8"/>
    <mergeCell ref="C32:E32"/>
    <mergeCell ref="I32:K32"/>
    <mergeCell ref="A30:B30"/>
    <mergeCell ref="A31:B31"/>
    <mergeCell ref="C30:E30"/>
    <mergeCell ref="I30:K30"/>
    <mergeCell ref="A27:B27"/>
    <mergeCell ref="I27:K27"/>
    <mergeCell ref="A24:B24"/>
    <mergeCell ref="A25:B25"/>
    <mergeCell ref="I24:K24"/>
    <mergeCell ref="AG4:AU4"/>
    <mergeCell ref="AL21:AL22"/>
    <mergeCell ref="AM21:AP21"/>
    <mergeCell ref="AL37:AL38"/>
    <mergeCell ref="AM37:AP37"/>
    <mergeCell ref="AG20:AU20"/>
    <mergeCell ref="AG36:AU36"/>
    <mergeCell ref="A21:B21"/>
    <mergeCell ref="C20:E20"/>
    <mergeCell ref="I20:K20"/>
    <mergeCell ref="A18:B18"/>
    <mergeCell ref="A19:B19"/>
    <mergeCell ref="C18:E18"/>
    <mergeCell ref="I18:K18"/>
    <mergeCell ref="A16:B16"/>
    <mergeCell ref="A17:B17"/>
    <mergeCell ref="C16:E16"/>
    <mergeCell ref="I16:K16"/>
    <mergeCell ref="A28:B28"/>
    <mergeCell ref="A29:B29"/>
    <mergeCell ref="A26:B26"/>
    <mergeCell ref="A22:B22"/>
    <mergeCell ref="A23:B23"/>
    <mergeCell ref="C22:E22"/>
    <mergeCell ref="AW21:AY21"/>
    <mergeCell ref="AW29:AY29"/>
    <mergeCell ref="AW5:AY5"/>
    <mergeCell ref="AW9:AY9"/>
    <mergeCell ref="AW13:AY13"/>
    <mergeCell ref="AW37:AY37"/>
    <mergeCell ref="AW41:AY41"/>
    <mergeCell ref="AW45:AY45"/>
    <mergeCell ref="D1:L2"/>
    <mergeCell ref="C21:E21"/>
    <mergeCell ref="I21:K21"/>
    <mergeCell ref="C19:E19"/>
    <mergeCell ref="I19:K19"/>
    <mergeCell ref="C17:E17"/>
    <mergeCell ref="I17:K17"/>
    <mergeCell ref="C15:E15"/>
    <mergeCell ref="I15:K15"/>
    <mergeCell ref="C13:E13"/>
    <mergeCell ref="I13:K13"/>
    <mergeCell ref="C14:E14"/>
    <mergeCell ref="I14:K14"/>
    <mergeCell ref="AG5:AG6"/>
    <mergeCell ref="AH5:AK5"/>
    <mergeCell ref="AQ5:AQ6"/>
    <mergeCell ref="AR84:AT84"/>
    <mergeCell ref="AR88:AT88"/>
    <mergeCell ref="AW25:AY25"/>
    <mergeCell ref="A50:D50"/>
    <mergeCell ref="A46:D46"/>
    <mergeCell ref="A40:D40"/>
    <mergeCell ref="E40:H40"/>
    <mergeCell ref="A41:D41"/>
    <mergeCell ref="E41:H41"/>
    <mergeCell ref="B42:D42"/>
    <mergeCell ref="F42:H42"/>
    <mergeCell ref="B43:D43"/>
    <mergeCell ref="F43:H43"/>
    <mergeCell ref="A47:D47"/>
    <mergeCell ref="B48:D48"/>
    <mergeCell ref="B49:D49"/>
    <mergeCell ref="I37:K37"/>
    <mergeCell ref="AG83:AG84"/>
    <mergeCell ref="AH83:AK83"/>
    <mergeCell ref="AL83:AL84"/>
    <mergeCell ref="AM83:AP83"/>
    <mergeCell ref="AM68:AP68"/>
    <mergeCell ref="I25:K25"/>
    <mergeCell ref="I26:K26"/>
  </mergeCells>
  <dataValidations count="2">
    <dataValidation type="list" allowBlank="1" showInputMessage="1" showErrorMessage="1" sqref="Q6:Q7" xr:uid="{26C9A2FE-EA9D-448F-A6F0-10671DB718A1}">
      <formula1>"Individual Dwelling Units,Serving 3 or More Dwelling Units,Other than Dwelling Units,Heavy-Use Assembly"</formula1>
    </dataValidation>
    <dataValidation type="list" allowBlank="1" showInputMessage="1" showErrorMessage="1" sqref="Q9" xr:uid="{00DFD57B-281F-43D3-897B-44D0AEE1DFBC}">
      <formula1>"Type K Copper,Type L Copper,Type M Copper,CPVC/PVC/ABS/Plastic Schedule 40,CPVC/PVC/ABS/Plastic Schedule 80,PEX"</formula1>
    </dataValidation>
  </dataValidations>
  <printOptions horizontalCentered="1"/>
  <pageMargins left="0.25" right="0.25" top="0.25" bottom="0.25" header="0" footer="0"/>
  <pageSetup scale="6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E7B0-2888-45F2-BED6-114DA530E9FC}">
  <sheetPr>
    <pageSetUpPr fitToPage="1"/>
  </sheetPr>
  <dimension ref="A1:W71"/>
  <sheetViews>
    <sheetView zoomScaleNormal="100" workbookViewId="0">
      <selection activeCell="R6" sqref="R6:R7"/>
    </sheetView>
  </sheetViews>
  <sheetFormatPr defaultRowHeight="15.75" customHeight="1" x14ac:dyDescent="0.2"/>
  <cols>
    <col min="1" max="6" width="8.7109375" customWidth="1"/>
    <col min="7" max="7" width="13.85546875" bestFit="1" customWidth="1"/>
    <col min="8" max="12" width="8.7109375" customWidth="1"/>
    <col min="13" max="13" width="9.42578125" customWidth="1"/>
    <col min="14" max="14" width="8.7109375" customWidth="1"/>
    <col min="15" max="15" width="8.7109375" style="13" customWidth="1"/>
    <col min="16" max="17" width="8.7109375" customWidth="1"/>
    <col min="18" max="18" width="26.7109375" customWidth="1"/>
    <col min="19" max="31" width="8.7109375" customWidth="1"/>
  </cols>
  <sheetData>
    <row r="1" spans="1:18" ht="17.25" thickTop="1" thickBot="1" x14ac:dyDescent="0.3">
      <c r="D1" s="298" t="s">
        <v>217</v>
      </c>
      <c r="E1" s="298"/>
      <c r="F1" s="298"/>
      <c r="G1" s="298"/>
      <c r="H1" s="298"/>
      <c r="I1" s="298"/>
      <c r="J1" s="298"/>
      <c r="K1" s="298"/>
      <c r="L1" s="298"/>
      <c r="M1" s="1"/>
      <c r="O1"/>
    </row>
    <row r="2" spans="1:18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  <c r="O2"/>
    </row>
    <row r="3" spans="1:18" ht="17.25" thickTop="1" thickBot="1" x14ac:dyDescent="0.3">
      <c r="M3" s="1"/>
      <c r="O3"/>
    </row>
    <row r="4" spans="1:18" ht="30" customHeight="1" thickTop="1" x14ac:dyDescent="0.2">
      <c r="A4" s="371" t="s">
        <v>322</v>
      </c>
      <c r="B4" s="372"/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373"/>
    </row>
    <row r="5" spans="1:18" ht="15.75" customHeight="1" thickBot="1" x14ac:dyDescent="0.25">
      <c r="A5" s="374" t="s">
        <v>323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6"/>
    </row>
    <row r="6" spans="1:18" ht="15.75" customHeight="1" thickBot="1" x14ac:dyDescent="0.25">
      <c r="A6" s="329"/>
      <c r="B6" s="33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1"/>
      <c r="P6" s="113"/>
      <c r="Q6" s="128" t="s">
        <v>283</v>
      </c>
      <c r="R6" s="463" t="s">
        <v>268</v>
      </c>
    </row>
    <row r="7" spans="1:18" ht="15.75" customHeight="1" thickBot="1" x14ac:dyDescent="0.3">
      <c r="A7" s="377" t="s">
        <v>39</v>
      </c>
      <c r="B7" s="286"/>
      <c r="C7" s="378" t="s">
        <v>38</v>
      </c>
      <c r="D7" s="378"/>
      <c r="E7" s="378"/>
      <c r="F7" s="378"/>
      <c r="G7" s="378"/>
      <c r="H7" s="378" t="s">
        <v>37</v>
      </c>
      <c r="I7" s="378"/>
      <c r="J7" s="62"/>
      <c r="K7" s="378" t="s">
        <v>112</v>
      </c>
      <c r="L7" s="378"/>
      <c r="M7" s="378" t="s">
        <v>113</v>
      </c>
      <c r="N7" s="378"/>
      <c r="O7" s="63" t="s">
        <v>32</v>
      </c>
      <c r="R7" s="464"/>
    </row>
    <row r="8" spans="1:18" ht="15.75" customHeight="1" x14ac:dyDescent="0.25">
      <c r="A8" s="358">
        <v>0</v>
      </c>
      <c r="B8" s="359"/>
      <c r="C8" s="304" t="s">
        <v>115</v>
      </c>
      <c r="D8" s="304"/>
      <c r="E8" s="304"/>
      <c r="F8" s="304"/>
      <c r="G8" s="304"/>
      <c r="H8" s="360">
        <v>2</v>
      </c>
      <c r="I8" s="360"/>
      <c r="J8" s="3" t="s">
        <v>0</v>
      </c>
      <c r="K8" s="360" t="s">
        <v>224</v>
      </c>
      <c r="L8" s="360"/>
      <c r="M8" s="360" t="s">
        <v>224</v>
      </c>
      <c r="N8" s="360"/>
      <c r="O8" s="59">
        <f>H8*A8</f>
        <v>0</v>
      </c>
    </row>
    <row r="9" spans="1:18" ht="15.75" customHeight="1" x14ac:dyDescent="0.25">
      <c r="A9" s="358">
        <v>0</v>
      </c>
      <c r="B9" s="359"/>
      <c r="C9" s="304" t="s">
        <v>165</v>
      </c>
      <c r="D9" s="304"/>
      <c r="E9" s="304"/>
      <c r="F9" s="304"/>
      <c r="G9" s="304"/>
      <c r="H9" s="360">
        <v>1</v>
      </c>
      <c r="I9" s="360"/>
      <c r="J9" s="3" t="s">
        <v>0</v>
      </c>
      <c r="K9" s="360" t="s">
        <v>223</v>
      </c>
      <c r="L9" s="360"/>
      <c r="M9" s="360" t="s">
        <v>223</v>
      </c>
      <c r="N9" s="360"/>
      <c r="O9" s="59">
        <f t="shared" ref="O9:O32" si="0">H9*A9</f>
        <v>0</v>
      </c>
    </row>
    <row r="10" spans="1:18" ht="15.75" customHeight="1" x14ac:dyDescent="0.25">
      <c r="A10" s="358">
        <v>0</v>
      </c>
      <c r="B10" s="359"/>
      <c r="C10" s="304" t="s">
        <v>264</v>
      </c>
      <c r="D10" s="304"/>
      <c r="E10" s="304"/>
      <c r="F10" s="304"/>
      <c r="G10" s="304"/>
      <c r="H10" s="360">
        <v>3</v>
      </c>
      <c r="I10" s="360"/>
      <c r="J10" s="3" t="s">
        <v>0</v>
      </c>
      <c r="K10" s="360" t="s">
        <v>72</v>
      </c>
      <c r="L10" s="360"/>
      <c r="M10" s="360" t="s">
        <v>72</v>
      </c>
      <c r="N10" s="360"/>
      <c r="O10" s="59">
        <f t="shared" si="0"/>
        <v>0</v>
      </c>
    </row>
    <row r="11" spans="1:18" ht="15.75" customHeight="1" x14ac:dyDescent="0.25">
      <c r="A11" s="358">
        <v>0</v>
      </c>
      <c r="B11" s="359"/>
      <c r="C11" s="304" t="s">
        <v>324</v>
      </c>
      <c r="D11" s="304"/>
      <c r="E11" s="304"/>
      <c r="F11" s="304"/>
      <c r="G11" s="304"/>
      <c r="H11" s="360">
        <v>0.5</v>
      </c>
      <c r="I11" s="360"/>
      <c r="J11" s="3" t="s">
        <v>0</v>
      </c>
      <c r="K11" s="360" t="s">
        <v>223</v>
      </c>
      <c r="L11" s="360"/>
      <c r="M11" s="360" t="s">
        <v>223</v>
      </c>
      <c r="N11" s="360"/>
      <c r="O11" s="59">
        <f t="shared" si="0"/>
        <v>0</v>
      </c>
    </row>
    <row r="12" spans="1:18" ht="15.75" customHeight="1" x14ac:dyDescent="0.25">
      <c r="A12" s="358">
        <v>0</v>
      </c>
      <c r="B12" s="359"/>
      <c r="C12" s="304" t="s">
        <v>220</v>
      </c>
      <c r="D12" s="304"/>
      <c r="E12" s="304"/>
      <c r="F12" s="304"/>
      <c r="G12" s="304"/>
      <c r="H12" s="360">
        <v>1</v>
      </c>
      <c r="I12" s="360"/>
      <c r="J12" s="3" t="s">
        <v>0</v>
      </c>
      <c r="K12" s="360" t="s">
        <v>223</v>
      </c>
      <c r="L12" s="360"/>
      <c r="M12" s="360" t="s">
        <v>223</v>
      </c>
      <c r="N12" s="360"/>
      <c r="O12" s="59">
        <f t="shared" si="0"/>
        <v>0</v>
      </c>
    </row>
    <row r="13" spans="1:18" ht="15.75" customHeight="1" x14ac:dyDescent="0.25">
      <c r="A13" s="358">
        <v>0</v>
      </c>
      <c r="B13" s="359"/>
      <c r="C13" s="304" t="s">
        <v>31</v>
      </c>
      <c r="D13" s="304"/>
      <c r="E13" s="304"/>
      <c r="F13" s="304"/>
      <c r="G13" s="304"/>
      <c r="H13" s="360">
        <v>0</v>
      </c>
      <c r="I13" s="360"/>
      <c r="J13" s="3" t="s">
        <v>0</v>
      </c>
      <c r="K13" s="360" t="s">
        <v>325</v>
      </c>
      <c r="L13" s="360"/>
      <c r="M13" s="360" t="s">
        <v>325</v>
      </c>
      <c r="N13" s="360"/>
      <c r="O13" s="59">
        <f t="shared" si="0"/>
        <v>0</v>
      </c>
    </row>
    <row r="14" spans="1:18" ht="15.75" customHeight="1" x14ac:dyDescent="0.25">
      <c r="A14" s="358">
        <v>0</v>
      </c>
      <c r="B14" s="359"/>
      <c r="C14" s="304" t="s">
        <v>326</v>
      </c>
      <c r="D14" s="304"/>
      <c r="E14" s="304"/>
      <c r="F14" s="304"/>
      <c r="G14" s="304"/>
      <c r="H14" s="360">
        <v>3</v>
      </c>
      <c r="I14" s="360"/>
      <c r="J14" s="3" t="s">
        <v>0</v>
      </c>
      <c r="K14" s="360" t="s">
        <v>72</v>
      </c>
      <c r="L14" s="360"/>
      <c r="M14" s="360" t="s">
        <v>72</v>
      </c>
      <c r="N14" s="360"/>
      <c r="O14" s="59">
        <f t="shared" si="0"/>
        <v>0</v>
      </c>
    </row>
    <row r="15" spans="1:18" ht="15.75" customHeight="1" x14ac:dyDescent="0.25">
      <c r="A15" s="358">
        <v>0</v>
      </c>
      <c r="B15" s="359"/>
      <c r="C15" s="295" t="s">
        <v>270</v>
      </c>
      <c r="D15" s="296"/>
      <c r="E15" s="296"/>
      <c r="F15" s="296"/>
      <c r="G15" s="297"/>
      <c r="H15" s="360">
        <v>2</v>
      </c>
      <c r="I15" s="360"/>
      <c r="J15" s="3" t="s">
        <v>0</v>
      </c>
      <c r="K15" s="360" t="s">
        <v>224</v>
      </c>
      <c r="L15" s="360"/>
      <c r="M15" s="360" t="s">
        <v>224</v>
      </c>
      <c r="N15" s="360"/>
      <c r="O15" s="59">
        <f t="shared" si="0"/>
        <v>0</v>
      </c>
    </row>
    <row r="16" spans="1:18" ht="15.75" customHeight="1" x14ac:dyDescent="0.25">
      <c r="A16" s="358">
        <v>0</v>
      </c>
      <c r="B16" s="359"/>
      <c r="C16" s="295" t="s">
        <v>327</v>
      </c>
      <c r="D16" s="296"/>
      <c r="E16" s="296"/>
      <c r="F16" s="296"/>
      <c r="G16" s="297"/>
      <c r="H16" s="360">
        <v>2</v>
      </c>
      <c r="I16" s="360"/>
      <c r="J16" s="3" t="s">
        <v>0</v>
      </c>
      <c r="K16" s="360" t="s">
        <v>224</v>
      </c>
      <c r="L16" s="360"/>
      <c r="M16" s="360" t="s">
        <v>224</v>
      </c>
      <c r="N16" s="360"/>
      <c r="O16" s="59">
        <f t="shared" si="0"/>
        <v>0</v>
      </c>
    </row>
    <row r="17" spans="1:15" ht="15.75" customHeight="1" x14ac:dyDescent="0.25">
      <c r="A17" s="358">
        <v>0</v>
      </c>
      <c r="B17" s="359"/>
      <c r="C17" s="295" t="s">
        <v>328</v>
      </c>
      <c r="D17" s="296"/>
      <c r="E17" s="296"/>
      <c r="F17" s="296"/>
      <c r="G17" s="297"/>
      <c r="H17" s="360">
        <v>3</v>
      </c>
      <c r="I17" s="360"/>
      <c r="J17" s="3" t="s">
        <v>0</v>
      </c>
      <c r="K17" s="360" t="s">
        <v>224</v>
      </c>
      <c r="L17" s="360"/>
      <c r="M17" s="360" t="s">
        <v>224</v>
      </c>
      <c r="N17" s="360"/>
      <c r="O17" s="59">
        <f t="shared" si="0"/>
        <v>0</v>
      </c>
    </row>
    <row r="18" spans="1:15" ht="15.75" customHeight="1" x14ac:dyDescent="0.25">
      <c r="A18" s="358">
        <v>0</v>
      </c>
      <c r="B18" s="359"/>
      <c r="C18" s="295" t="s">
        <v>329</v>
      </c>
      <c r="D18" s="296"/>
      <c r="E18" s="296"/>
      <c r="F18" s="296"/>
      <c r="G18" s="297"/>
      <c r="H18" s="360">
        <v>3</v>
      </c>
      <c r="I18" s="360"/>
      <c r="J18" s="3" t="s">
        <v>0</v>
      </c>
      <c r="K18" s="360" t="s">
        <v>224</v>
      </c>
      <c r="L18" s="360"/>
      <c r="M18" s="360" t="s">
        <v>224</v>
      </c>
      <c r="N18" s="360"/>
      <c r="O18" s="59">
        <f t="shared" si="0"/>
        <v>0</v>
      </c>
    </row>
    <row r="19" spans="1:15" ht="15.75" customHeight="1" x14ac:dyDescent="0.25">
      <c r="A19" s="358">
        <v>0</v>
      </c>
      <c r="B19" s="359"/>
      <c r="C19" s="295" t="s">
        <v>330</v>
      </c>
      <c r="D19" s="296"/>
      <c r="E19" s="296"/>
      <c r="F19" s="296"/>
      <c r="G19" s="297"/>
      <c r="H19" s="360">
        <v>2</v>
      </c>
      <c r="I19" s="360"/>
      <c r="J19" s="3" t="s">
        <v>0</v>
      </c>
      <c r="K19" s="360" t="s">
        <v>224</v>
      </c>
      <c r="L19" s="360"/>
      <c r="M19" s="360" t="s">
        <v>224</v>
      </c>
      <c r="N19" s="360"/>
      <c r="O19" s="59">
        <f t="shared" si="0"/>
        <v>0</v>
      </c>
    </row>
    <row r="20" spans="1:15" ht="15.75" customHeight="1" x14ac:dyDescent="0.25">
      <c r="A20" s="358">
        <v>0</v>
      </c>
      <c r="B20" s="359"/>
      <c r="C20" s="295" t="s">
        <v>331</v>
      </c>
      <c r="D20" s="296"/>
      <c r="E20" s="296"/>
      <c r="F20" s="296"/>
      <c r="G20" s="297"/>
      <c r="H20" s="360">
        <v>2</v>
      </c>
      <c r="I20" s="360"/>
      <c r="J20" s="3" t="s">
        <v>0</v>
      </c>
      <c r="K20" s="360" t="s">
        <v>224</v>
      </c>
      <c r="L20" s="360"/>
      <c r="M20" s="360" t="s">
        <v>224</v>
      </c>
      <c r="N20" s="360"/>
      <c r="O20" s="59">
        <f t="shared" si="0"/>
        <v>0</v>
      </c>
    </row>
    <row r="21" spans="1:15" ht="15.75" customHeight="1" x14ac:dyDescent="0.25">
      <c r="A21" s="358">
        <v>0</v>
      </c>
      <c r="B21" s="359"/>
      <c r="C21" s="295" t="s">
        <v>48</v>
      </c>
      <c r="D21" s="296"/>
      <c r="E21" s="296"/>
      <c r="F21" s="296"/>
      <c r="G21" s="297"/>
      <c r="H21" s="360">
        <v>1</v>
      </c>
      <c r="I21" s="360"/>
      <c r="J21" s="3" t="s">
        <v>0</v>
      </c>
      <c r="K21" s="360" t="s">
        <v>223</v>
      </c>
      <c r="L21" s="360"/>
      <c r="M21" s="360" t="s">
        <v>223</v>
      </c>
      <c r="N21" s="360"/>
      <c r="O21" s="59">
        <f t="shared" si="0"/>
        <v>0</v>
      </c>
    </row>
    <row r="22" spans="1:15" ht="15.75" customHeight="1" x14ac:dyDescent="0.25">
      <c r="A22" s="358">
        <v>0</v>
      </c>
      <c r="B22" s="359"/>
      <c r="C22" s="295" t="s">
        <v>332</v>
      </c>
      <c r="D22" s="296"/>
      <c r="E22" s="296"/>
      <c r="F22" s="296"/>
      <c r="G22" s="297"/>
      <c r="H22" s="360">
        <v>3</v>
      </c>
      <c r="I22" s="360"/>
      <c r="J22" s="3" t="s">
        <v>0</v>
      </c>
      <c r="K22" s="360" t="s">
        <v>75</v>
      </c>
      <c r="L22" s="360"/>
      <c r="M22" s="360" t="s">
        <v>75</v>
      </c>
      <c r="N22" s="360"/>
      <c r="O22" s="59">
        <f t="shared" si="0"/>
        <v>0</v>
      </c>
    </row>
    <row r="23" spans="1:15" ht="15.75" customHeight="1" x14ac:dyDescent="0.25">
      <c r="A23" s="358">
        <v>0</v>
      </c>
      <c r="B23" s="359"/>
      <c r="C23" s="295" t="s">
        <v>333</v>
      </c>
      <c r="D23" s="296"/>
      <c r="E23" s="296"/>
      <c r="F23" s="296"/>
      <c r="G23" s="297"/>
      <c r="H23" s="360">
        <v>2</v>
      </c>
      <c r="I23" s="360"/>
      <c r="J23" s="3" t="s">
        <v>0</v>
      </c>
      <c r="K23" s="360" t="s">
        <v>224</v>
      </c>
      <c r="L23" s="360"/>
      <c r="M23" s="360" t="s">
        <v>224</v>
      </c>
      <c r="N23" s="360"/>
      <c r="O23" s="59">
        <f t="shared" si="0"/>
        <v>0</v>
      </c>
    </row>
    <row r="24" spans="1:15" ht="15.75" customHeight="1" x14ac:dyDescent="0.25">
      <c r="A24" s="358">
        <v>0</v>
      </c>
      <c r="B24" s="359"/>
      <c r="C24" s="304" t="s">
        <v>334</v>
      </c>
      <c r="D24" s="304"/>
      <c r="E24" s="304"/>
      <c r="F24" s="304"/>
      <c r="G24" s="304"/>
      <c r="H24" s="360">
        <f>IF(A24=1,2,IF(A24=2,5,IF(A24=3,12,IF(A24=4,18,IF(A24=5,22,IF(A24=6,25,IF(A24=7,30,IF(A24=8,35,0))))))))</f>
        <v>0</v>
      </c>
      <c r="I24" s="360"/>
      <c r="J24" s="3" t="s">
        <v>0</v>
      </c>
      <c r="K24" s="360" t="str">
        <f>IF(A24&lt;=4,"2""","3""")</f>
        <v>2"</v>
      </c>
      <c r="L24" s="360"/>
      <c r="M24" s="360" t="str">
        <f>IF(A24&lt;=4,"2""","3""")</f>
        <v>2"</v>
      </c>
      <c r="N24" s="360"/>
      <c r="O24" s="59"/>
    </row>
    <row r="25" spans="1:15" ht="15.75" customHeight="1" x14ac:dyDescent="0.25">
      <c r="A25" s="358">
        <v>0</v>
      </c>
      <c r="B25" s="359"/>
      <c r="C25" s="304" t="s">
        <v>335</v>
      </c>
      <c r="D25" s="304"/>
      <c r="E25" s="304"/>
      <c r="F25" s="304"/>
      <c r="G25" s="304"/>
      <c r="H25" s="360">
        <v>2</v>
      </c>
      <c r="I25" s="360"/>
      <c r="J25" s="3" t="s">
        <v>0</v>
      </c>
      <c r="K25" s="360" t="s">
        <v>224</v>
      </c>
      <c r="L25" s="360"/>
      <c r="M25" s="360" t="s">
        <v>224</v>
      </c>
      <c r="N25" s="360"/>
      <c r="O25" s="59">
        <f t="shared" si="0"/>
        <v>0</v>
      </c>
    </row>
    <row r="26" spans="1:15" ht="15.75" customHeight="1" x14ac:dyDescent="0.25">
      <c r="A26" s="358">
        <v>0</v>
      </c>
      <c r="B26" s="359"/>
      <c r="C26" s="304" t="s">
        <v>336</v>
      </c>
      <c r="D26" s="304"/>
      <c r="E26" s="304"/>
      <c r="F26" s="304"/>
      <c r="G26" s="304"/>
      <c r="H26" s="360">
        <v>3</v>
      </c>
      <c r="I26" s="360"/>
      <c r="J26" s="3" t="s">
        <v>0</v>
      </c>
      <c r="K26" s="360" t="s">
        <v>72</v>
      </c>
      <c r="L26" s="360"/>
      <c r="M26" s="360" t="s">
        <v>72</v>
      </c>
      <c r="N26" s="360"/>
      <c r="O26" s="59">
        <f t="shared" si="0"/>
        <v>0</v>
      </c>
    </row>
    <row r="27" spans="1:15" ht="15.75" customHeight="1" x14ac:dyDescent="0.25">
      <c r="A27" s="358">
        <v>0</v>
      </c>
      <c r="B27" s="359"/>
      <c r="C27" s="304" t="s">
        <v>337</v>
      </c>
      <c r="D27" s="304"/>
      <c r="E27" s="304"/>
      <c r="F27" s="304"/>
      <c r="G27" s="304"/>
      <c r="H27" s="360">
        <v>5</v>
      </c>
      <c r="I27" s="360"/>
      <c r="J27" s="3" t="s">
        <v>0</v>
      </c>
      <c r="K27" s="360" t="s">
        <v>75</v>
      </c>
      <c r="L27" s="360"/>
      <c r="M27" s="360" t="s">
        <v>75</v>
      </c>
      <c r="N27" s="360"/>
      <c r="O27" s="59">
        <f t="shared" si="0"/>
        <v>0</v>
      </c>
    </row>
    <row r="28" spans="1:15" ht="15.75" customHeight="1" x14ac:dyDescent="0.25">
      <c r="A28" s="358">
        <v>0</v>
      </c>
      <c r="B28" s="359"/>
      <c r="C28" s="304" t="s">
        <v>274</v>
      </c>
      <c r="D28" s="304"/>
      <c r="E28" s="304"/>
      <c r="F28" s="304"/>
      <c r="G28" s="304"/>
      <c r="H28" s="360">
        <f>IF(R6="heavy-use assembly",5,4)</f>
        <v>4</v>
      </c>
      <c r="I28" s="360"/>
      <c r="J28" s="3" t="s">
        <v>0</v>
      </c>
      <c r="K28" s="360" t="s">
        <v>131</v>
      </c>
      <c r="L28" s="360"/>
      <c r="M28" s="360" t="s">
        <v>72</v>
      </c>
      <c r="N28" s="360"/>
      <c r="O28" s="59">
        <f t="shared" si="0"/>
        <v>0</v>
      </c>
    </row>
    <row r="29" spans="1:15" ht="15.75" customHeight="1" x14ac:dyDescent="0.25">
      <c r="A29" s="358">
        <v>0</v>
      </c>
      <c r="B29" s="359"/>
      <c r="C29" s="304" t="s">
        <v>338</v>
      </c>
      <c r="D29" s="304"/>
      <c r="E29" s="304"/>
      <c r="F29" s="304"/>
      <c r="G29" s="304"/>
      <c r="H29" s="360">
        <f>IF(R6="heavy-use assembly",6,5)</f>
        <v>5</v>
      </c>
      <c r="I29" s="360"/>
      <c r="J29" s="3" t="s">
        <v>0</v>
      </c>
      <c r="K29" s="360" t="s">
        <v>131</v>
      </c>
      <c r="L29" s="360"/>
      <c r="M29" s="360" t="s">
        <v>72</v>
      </c>
      <c r="N29" s="360"/>
      <c r="O29" s="59">
        <f t="shared" si="0"/>
        <v>0</v>
      </c>
    </row>
    <row r="30" spans="1:15" ht="15.75" customHeight="1" x14ac:dyDescent="0.25">
      <c r="A30" s="358">
        <v>0</v>
      </c>
      <c r="B30" s="359"/>
      <c r="C30" s="304" t="s">
        <v>339</v>
      </c>
      <c r="D30" s="304"/>
      <c r="E30" s="304"/>
      <c r="F30" s="304"/>
      <c r="G30" s="304"/>
      <c r="H30" s="360">
        <v>2</v>
      </c>
      <c r="I30" s="360"/>
      <c r="J30" s="3" t="s">
        <v>0</v>
      </c>
      <c r="K30" s="360" t="s">
        <v>224</v>
      </c>
      <c r="L30" s="360"/>
      <c r="M30" s="360" t="s">
        <v>224</v>
      </c>
      <c r="N30" s="360"/>
      <c r="O30" s="59">
        <f t="shared" si="0"/>
        <v>0</v>
      </c>
    </row>
    <row r="31" spans="1:15" ht="15.75" customHeight="1" x14ac:dyDescent="0.25">
      <c r="A31" s="358">
        <v>0</v>
      </c>
      <c r="B31" s="359"/>
      <c r="C31" s="304" t="s">
        <v>340</v>
      </c>
      <c r="D31" s="304"/>
      <c r="E31" s="304"/>
      <c r="F31" s="304"/>
      <c r="G31" s="304"/>
      <c r="H31" s="360">
        <v>3</v>
      </c>
      <c r="I31" s="360"/>
      <c r="J31" s="3" t="s">
        <v>0</v>
      </c>
      <c r="K31" s="360" t="s">
        <v>72</v>
      </c>
      <c r="L31" s="360"/>
      <c r="M31" s="360" t="s">
        <v>72</v>
      </c>
      <c r="N31" s="360"/>
      <c r="O31" s="59">
        <f t="shared" si="0"/>
        <v>0</v>
      </c>
    </row>
    <row r="32" spans="1:15" ht="15.75" customHeight="1" x14ac:dyDescent="0.25">
      <c r="A32" s="358">
        <v>0</v>
      </c>
      <c r="B32" s="359"/>
      <c r="C32" s="304" t="s">
        <v>341</v>
      </c>
      <c r="D32" s="304"/>
      <c r="E32" s="304"/>
      <c r="F32" s="304"/>
      <c r="G32" s="304"/>
      <c r="H32" s="360">
        <v>2</v>
      </c>
      <c r="I32" s="360"/>
      <c r="J32" s="3" t="s">
        <v>0</v>
      </c>
      <c r="K32" s="360" t="s">
        <v>224</v>
      </c>
      <c r="L32" s="360"/>
      <c r="M32" s="360" t="s">
        <v>224</v>
      </c>
      <c r="N32" s="360"/>
      <c r="O32" s="59">
        <f t="shared" si="0"/>
        <v>0</v>
      </c>
    </row>
    <row r="33" spans="1:23" ht="15.75" customHeight="1" x14ac:dyDescent="0.25">
      <c r="A33" s="358">
        <v>0</v>
      </c>
      <c r="B33" s="359"/>
      <c r="C33" s="304" t="s">
        <v>342</v>
      </c>
      <c r="D33" s="304"/>
      <c r="E33" s="304"/>
      <c r="F33" s="304"/>
      <c r="G33" s="304"/>
      <c r="H33" s="360">
        <f>IF(OR(R6="Individual Dwelling Units",R6="Serving 3 or More Dwelling Units"),3,IF(R6="heavy-use assembly",6,4))</f>
        <v>4</v>
      </c>
      <c r="I33" s="360"/>
      <c r="J33" s="3" t="s">
        <v>0</v>
      </c>
      <c r="K33" s="360" t="s">
        <v>131</v>
      </c>
      <c r="L33" s="360"/>
      <c r="M33" s="360" t="s">
        <v>75</v>
      </c>
      <c r="N33" s="360"/>
      <c r="O33" s="59"/>
    </row>
    <row r="34" spans="1:23" ht="15.75" customHeight="1" x14ac:dyDescent="0.25">
      <c r="A34" s="358">
        <v>0</v>
      </c>
      <c r="B34" s="359"/>
      <c r="C34" s="304" t="s">
        <v>248</v>
      </c>
      <c r="D34" s="304"/>
      <c r="E34" s="304"/>
      <c r="F34" s="304"/>
      <c r="G34" s="304"/>
      <c r="H34" s="360">
        <f>IF(OR(R6="Individual Dwelling Units",R6="Serving 3 or More Dwelling Units"),3,IF(R6="heavy-use assembly",6,4))</f>
        <v>4</v>
      </c>
      <c r="I34" s="360"/>
      <c r="J34" s="3" t="s">
        <v>0</v>
      </c>
      <c r="K34" s="360" t="s">
        <v>131</v>
      </c>
      <c r="L34" s="360"/>
      <c r="M34" s="360" t="s">
        <v>75</v>
      </c>
      <c r="N34" s="360"/>
      <c r="O34" s="59"/>
    </row>
    <row r="35" spans="1:23" ht="15.75" customHeight="1" x14ac:dyDescent="0.25">
      <c r="A35" s="358">
        <v>0</v>
      </c>
      <c r="B35" s="359"/>
      <c r="C35" s="295" t="s">
        <v>343</v>
      </c>
      <c r="D35" s="296"/>
      <c r="E35" s="296"/>
      <c r="F35" s="296"/>
      <c r="G35" s="297"/>
      <c r="H35" s="439">
        <v>2</v>
      </c>
      <c r="I35" s="440"/>
      <c r="J35" s="3" t="s">
        <v>0</v>
      </c>
      <c r="K35" s="439" t="s">
        <v>224</v>
      </c>
      <c r="L35" s="440"/>
      <c r="M35" s="439" t="s">
        <v>224</v>
      </c>
      <c r="N35" s="440"/>
      <c r="O35" s="59"/>
    </row>
    <row r="36" spans="1:23" ht="15.75" customHeight="1" x14ac:dyDescent="0.25">
      <c r="A36" s="358">
        <v>0</v>
      </c>
      <c r="B36" s="359"/>
      <c r="C36" s="304" t="s">
        <v>233</v>
      </c>
      <c r="D36" s="304"/>
      <c r="E36" s="304"/>
      <c r="F36" s="304"/>
      <c r="G36" s="304"/>
      <c r="H36" s="360">
        <v>1</v>
      </c>
      <c r="I36" s="360"/>
      <c r="J36" s="3" t="s">
        <v>0</v>
      </c>
      <c r="K36" s="360" t="s">
        <v>223</v>
      </c>
      <c r="L36" s="360"/>
      <c r="M36" s="360" t="s">
        <v>223</v>
      </c>
      <c r="N36" s="360"/>
      <c r="O36" s="59">
        <f t="shared" ref="O36:O40" si="1">H36*A36</f>
        <v>0</v>
      </c>
    </row>
    <row r="37" spans="1:23" ht="15.75" customHeight="1" x14ac:dyDescent="0.25">
      <c r="A37" s="358">
        <v>0</v>
      </c>
      <c r="B37" s="359"/>
      <c r="C37" s="304" t="s">
        <v>238</v>
      </c>
      <c r="D37" s="304"/>
      <c r="E37" s="304"/>
      <c r="F37" s="304"/>
      <c r="G37" s="304"/>
      <c r="H37" s="360">
        <v>2</v>
      </c>
      <c r="I37" s="360"/>
      <c r="J37" s="3" t="s">
        <v>0</v>
      </c>
      <c r="K37" s="360" t="s">
        <v>224</v>
      </c>
      <c r="L37" s="360"/>
      <c r="M37" s="360" t="s">
        <v>224</v>
      </c>
      <c r="N37" s="360"/>
      <c r="O37" s="59">
        <f t="shared" si="1"/>
        <v>0</v>
      </c>
    </row>
    <row r="38" spans="1:23" ht="15.75" customHeight="1" x14ac:dyDescent="0.25">
      <c r="A38" s="358">
        <v>0</v>
      </c>
      <c r="B38" s="359"/>
      <c r="C38" s="304" t="s">
        <v>237</v>
      </c>
      <c r="D38" s="304"/>
      <c r="E38" s="304"/>
      <c r="F38" s="304"/>
      <c r="G38" s="304"/>
      <c r="H38" s="360">
        <v>3</v>
      </c>
      <c r="I38" s="360"/>
      <c r="J38" s="3" t="s">
        <v>0</v>
      </c>
      <c r="K38" s="360" t="s">
        <v>72</v>
      </c>
      <c r="L38" s="360"/>
      <c r="M38" s="360" t="s">
        <v>72</v>
      </c>
      <c r="N38" s="360"/>
      <c r="O38" s="59">
        <f t="shared" si="1"/>
        <v>0</v>
      </c>
    </row>
    <row r="39" spans="1:23" ht="15.75" customHeight="1" x14ac:dyDescent="0.25">
      <c r="A39" s="358">
        <v>0</v>
      </c>
      <c r="B39" s="359"/>
      <c r="C39" s="304" t="s">
        <v>235</v>
      </c>
      <c r="D39" s="304"/>
      <c r="E39" s="304"/>
      <c r="F39" s="304"/>
      <c r="G39" s="304"/>
      <c r="H39" s="360">
        <v>5</v>
      </c>
      <c r="I39" s="360"/>
      <c r="J39" s="3" t="s">
        <v>0</v>
      </c>
      <c r="K39" s="360" t="s">
        <v>75</v>
      </c>
      <c r="L39" s="360"/>
      <c r="M39" s="360" t="s">
        <v>75</v>
      </c>
      <c r="N39" s="360"/>
      <c r="O39" s="59">
        <f t="shared" si="1"/>
        <v>0</v>
      </c>
    </row>
    <row r="40" spans="1:23" ht="15.75" customHeight="1" thickBot="1" x14ac:dyDescent="0.3">
      <c r="A40" s="365">
        <v>0</v>
      </c>
      <c r="B40" s="366"/>
      <c r="C40" s="316" t="s">
        <v>234</v>
      </c>
      <c r="D40" s="316"/>
      <c r="E40" s="316"/>
      <c r="F40" s="316"/>
      <c r="G40" s="316"/>
      <c r="H40" s="367">
        <v>6</v>
      </c>
      <c r="I40" s="367"/>
      <c r="J40" s="60" t="s">
        <v>0</v>
      </c>
      <c r="K40" s="367" t="s">
        <v>155</v>
      </c>
      <c r="L40" s="367"/>
      <c r="M40" s="367" t="s">
        <v>155</v>
      </c>
      <c r="N40" s="367"/>
      <c r="O40" s="61">
        <f t="shared" si="1"/>
        <v>0</v>
      </c>
    </row>
    <row r="41" spans="1:23" ht="15.75" customHeight="1" thickTop="1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441" t="s">
        <v>14</v>
      </c>
      <c r="L41" s="442"/>
      <c r="M41" s="443"/>
      <c r="N41" s="101" t="s">
        <v>0</v>
      </c>
      <c r="O41" s="210">
        <f>SUM(O8:O40)</f>
        <v>0</v>
      </c>
    </row>
    <row r="42" spans="1:23" ht="15.75" customHeight="1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21" t="s">
        <v>258</v>
      </c>
      <c r="L42" s="122"/>
      <c r="M42" s="123"/>
      <c r="N42" s="112" t="s">
        <v>0</v>
      </c>
      <c r="O42" s="207">
        <f>IF(O41=0,0,IF(AND(O41&lt;=20,Q42="no"),"1-1/2""",IF(AND(O41&lt;=160,Q42="no"),"2""",IF(AND(O41&lt;=360,Q42="no"),"3""",IF(AND(O41&lt;=1400,Q42="no"),"4""",IF(AND(O41&lt;=2500,Q42="no"),"5""",IF(AND(O41&lt;=3900,Q42="no"),"6""",IF(AND(O41&lt;=7000,Q42="no"),"8""",IF(AND(O41&lt;=6,Q42="yes"),"1-1/2""",IF(AND(O41&lt;=20,Q42="yes"),"2""",IF(AND(O41&lt;=160,Q42="yes"),"3""",IF(AND(O41&lt;=620,Q42="yes"),"4""",IF(AND(O41&lt;=1400,Q42="yes"),"5""",IF(AND(O41&lt;=2500,Q42="yes"),"6""",IF(AND(O41&lt;=3900,Q42="yes"),"8""",IF(AND(O41&lt;=7000,Q42="yes"),"10"""))))))))))))))))</f>
        <v>0</v>
      </c>
      <c r="P42" s="113"/>
      <c r="Q42" s="147" t="s">
        <v>344</v>
      </c>
      <c r="R42" s="66" t="s">
        <v>345</v>
      </c>
    </row>
    <row r="43" spans="1:23" ht="15.75" customHeight="1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48"/>
      <c r="K43" s="361" t="s">
        <v>256</v>
      </c>
      <c r="L43" s="362"/>
      <c r="M43" s="363"/>
      <c r="N43" s="65" t="s">
        <v>0</v>
      </c>
      <c r="O43" s="208">
        <f>IF(SUM(A28+A29+A33+A34&gt;=4),4,IF(O41&lt;=3,1.5,IF(O41&lt;=6,2,IF(O41&lt;=20,3,IF(O41&lt;=160,4,IF(O41&lt;=360,5,IF(O41&lt;=620,6,IF(O41&lt;=1260,8,IF(O41&lt;=2250,10,IF(O41&lt;=3500,12,IF(O41&lt;=6300,15)))))))))))</f>
        <v>1.5</v>
      </c>
    </row>
    <row r="44" spans="1:23" ht="15.75" customHeight="1" thickTop="1" x14ac:dyDescent="0.2"/>
    <row r="47" spans="1:23" ht="15.75" customHeight="1" x14ac:dyDescent="0.2">
      <c r="A47" s="364" t="s">
        <v>49</v>
      </c>
      <c r="B47" s="364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S47" s="149"/>
      <c r="T47" s="149"/>
      <c r="U47" s="149"/>
      <c r="V47" s="149"/>
      <c r="W47" s="149"/>
    </row>
    <row r="48" spans="1:23" ht="15.75" customHeight="1" x14ac:dyDescent="0.2">
      <c r="A48" s="364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4"/>
    </row>
    <row r="49" spans="1:18" ht="15.75" customHeight="1" x14ac:dyDescent="0.2">
      <c r="A49" s="364" t="s">
        <v>50</v>
      </c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4"/>
    </row>
    <row r="50" spans="1:18" ht="15.75" customHeight="1" thickBot="1" x14ac:dyDescent="0.3">
      <c r="A50" s="364"/>
      <c r="B50" s="364"/>
      <c r="C50" s="364"/>
      <c r="D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  <c r="O50" s="364"/>
      <c r="P50" s="9"/>
    </row>
    <row r="51" spans="1:18" ht="15.75" customHeight="1" thickTop="1" thickBot="1" x14ac:dyDescent="0.3">
      <c r="A51" s="83" t="s">
        <v>146</v>
      </c>
      <c r="B51" s="84"/>
      <c r="C51" s="84"/>
      <c r="D51" s="84"/>
      <c r="E51" s="84"/>
      <c r="F51" s="84"/>
      <c r="G51" s="84"/>
      <c r="H51" s="84"/>
      <c r="I51" s="84"/>
      <c r="J51" s="85"/>
      <c r="K51" s="18"/>
      <c r="L51" s="18"/>
      <c r="M51" s="18"/>
      <c r="N51" s="18"/>
      <c r="O51" s="70"/>
      <c r="P51" s="9"/>
    </row>
    <row r="52" spans="1:18" ht="15.75" customHeight="1" x14ac:dyDescent="0.25">
      <c r="A52" s="79" t="s">
        <v>148</v>
      </c>
      <c r="B52" s="80"/>
      <c r="C52" s="80"/>
      <c r="D52" s="216">
        <f>O43</f>
        <v>1.5</v>
      </c>
      <c r="E52" s="96" t="s">
        <v>138</v>
      </c>
      <c r="F52" s="80" t="s">
        <v>149</v>
      </c>
      <c r="G52" s="80"/>
      <c r="H52" s="80"/>
      <c r="I52" s="81">
        <f>((D52^2)*(PI()))/4</f>
        <v>1.7671458676442586</v>
      </c>
      <c r="J52" s="82" t="s">
        <v>139</v>
      </c>
      <c r="K52" s="18"/>
      <c r="L52" s="18"/>
      <c r="M52" s="18"/>
      <c r="N52" s="18"/>
      <c r="O52" s="70"/>
    </row>
    <row r="53" spans="1:18" ht="15.75" customHeight="1" x14ac:dyDescent="0.25">
      <c r="A53" s="71" t="s">
        <v>140</v>
      </c>
      <c r="B53" s="72"/>
      <c r="C53" s="72"/>
      <c r="D53" s="217"/>
      <c r="E53" s="98" t="s">
        <v>138</v>
      </c>
      <c r="F53" s="72" t="s">
        <v>77</v>
      </c>
      <c r="G53" s="74"/>
      <c r="H53" s="75"/>
      <c r="I53" s="81">
        <f t="shared" ref="I53:I58" si="2">((D53^2)*(PI()))/4</f>
        <v>0</v>
      </c>
      <c r="J53" s="73" t="s">
        <v>139</v>
      </c>
      <c r="K53" s="18"/>
      <c r="L53" s="18"/>
      <c r="M53" s="18"/>
      <c r="N53" s="66"/>
      <c r="O53"/>
      <c r="P53" s="18"/>
      <c r="Q53" s="18"/>
      <c r="R53" s="18"/>
    </row>
    <row r="54" spans="1:18" s="18" customFormat="1" ht="15.75" customHeight="1" x14ac:dyDescent="0.25">
      <c r="A54" s="71" t="s">
        <v>141</v>
      </c>
      <c r="B54" s="72"/>
      <c r="C54" s="72"/>
      <c r="D54" s="217"/>
      <c r="E54" s="98" t="s">
        <v>138</v>
      </c>
      <c r="F54" s="72" t="s">
        <v>78</v>
      </c>
      <c r="G54" s="74"/>
      <c r="H54" s="75"/>
      <c r="I54" s="81">
        <f t="shared" si="2"/>
        <v>0</v>
      </c>
      <c r="J54" s="73" t="s">
        <v>139</v>
      </c>
      <c r="N54" s="66"/>
      <c r="O54"/>
    </row>
    <row r="55" spans="1:18" s="18" customFormat="1" ht="15.75" customHeight="1" x14ac:dyDescent="0.25">
      <c r="A55" s="71" t="s">
        <v>142</v>
      </c>
      <c r="B55" s="72"/>
      <c r="C55" s="72"/>
      <c r="D55" s="217"/>
      <c r="E55" s="98" t="s">
        <v>138</v>
      </c>
      <c r="F55" s="72" t="s">
        <v>79</v>
      </c>
      <c r="G55" s="74"/>
      <c r="H55" s="75"/>
      <c r="I55" s="81">
        <f t="shared" si="2"/>
        <v>0</v>
      </c>
      <c r="J55" s="73" t="s">
        <v>139</v>
      </c>
      <c r="N55" s="66"/>
      <c r="O55"/>
      <c r="P55"/>
      <c r="Q55"/>
      <c r="R55"/>
    </row>
    <row r="56" spans="1:18" ht="15.75" customHeight="1" x14ac:dyDescent="0.25">
      <c r="A56" s="71" t="s">
        <v>143</v>
      </c>
      <c r="B56" s="72"/>
      <c r="C56" s="72"/>
      <c r="D56" s="217"/>
      <c r="E56" s="98" t="s">
        <v>138</v>
      </c>
      <c r="F56" s="72" t="s">
        <v>80</v>
      </c>
      <c r="G56" s="74"/>
      <c r="H56" s="75"/>
      <c r="I56" s="81">
        <f t="shared" si="2"/>
        <v>0</v>
      </c>
      <c r="J56" s="73" t="s">
        <v>139</v>
      </c>
      <c r="K56" s="18"/>
      <c r="L56" s="18"/>
      <c r="M56" s="18"/>
      <c r="N56" s="66"/>
      <c r="O56"/>
    </row>
    <row r="57" spans="1:18" ht="15.75" customHeight="1" x14ac:dyDescent="0.25">
      <c r="A57" s="71" t="s">
        <v>144</v>
      </c>
      <c r="B57" s="72"/>
      <c r="C57" s="72"/>
      <c r="D57" s="217"/>
      <c r="E57" s="98" t="s">
        <v>138</v>
      </c>
      <c r="F57" s="72" t="s">
        <v>81</v>
      </c>
      <c r="G57" s="74"/>
      <c r="H57" s="75"/>
      <c r="I57" s="81">
        <f t="shared" si="2"/>
        <v>0</v>
      </c>
      <c r="J57" s="73" t="s">
        <v>139</v>
      </c>
      <c r="K57" s="18"/>
      <c r="L57" s="18"/>
      <c r="M57" s="18"/>
      <c r="N57" s="66"/>
      <c r="O57"/>
    </row>
    <row r="58" spans="1:18" ht="15.75" customHeight="1" thickBot="1" x14ac:dyDescent="0.3">
      <c r="A58" s="76" t="s">
        <v>145</v>
      </c>
      <c r="B58" s="77"/>
      <c r="C58" s="77"/>
      <c r="D58" s="218"/>
      <c r="E58" s="100" t="s">
        <v>138</v>
      </c>
      <c r="F58" s="77" t="s">
        <v>82</v>
      </c>
      <c r="G58" s="78"/>
      <c r="H58" s="86"/>
      <c r="I58" s="93">
        <f t="shared" si="2"/>
        <v>0</v>
      </c>
      <c r="J58" s="87" t="s">
        <v>139</v>
      </c>
      <c r="K58" s="18"/>
      <c r="L58" s="18"/>
      <c r="M58" s="18"/>
      <c r="N58" s="66"/>
      <c r="O58"/>
    </row>
    <row r="59" spans="1:18" ht="15.75" customHeight="1" thickTop="1" thickBot="1" x14ac:dyDescent="0.3">
      <c r="B59" s="18"/>
      <c r="C59" s="18"/>
      <c r="D59" s="18"/>
      <c r="E59" s="18"/>
      <c r="H59" s="88" t="s">
        <v>83</v>
      </c>
      <c r="I59" s="92">
        <f>SUM(I53:I58)</f>
        <v>0</v>
      </c>
      <c r="J59" s="89" t="s">
        <v>139</v>
      </c>
      <c r="K59" s="90" t="str">
        <f>IF(I59=L59,"=",(IF(I59&gt;L59,"&gt;","&lt;")))</f>
        <v>&lt;</v>
      </c>
      <c r="L59" s="92">
        <f>I52</f>
        <v>1.7671458676442586</v>
      </c>
      <c r="M59" s="89" t="s">
        <v>150</v>
      </c>
      <c r="N59" s="91"/>
      <c r="O59" s="94" t="str">
        <f>IF(K59="&lt;","FAIL","OK")</f>
        <v>FAIL</v>
      </c>
    </row>
    <row r="60" spans="1:18" ht="15.75" customHeight="1" thickTop="1" x14ac:dyDescent="0.2"/>
    <row r="63" spans="1:18" ht="15.75" customHeight="1" x14ac:dyDescent="0.2">
      <c r="I63" s="66"/>
      <c r="O63"/>
    </row>
    <row r="64" spans="1:18" ht="15.75" customHeight="1" x14ac:dyDescent="0.2">
      <c r="I64" s="18"/>
      <c r="J64" s="70"/>
      <c r="O64"/>
    </row>
    <row r="65" spans="9:15" ht="15.75" customHeight="1" x14ac:dyDescent="0.2">
      <c r="I65" s="18"/>
      <c r="J65" s="70"/>
      <c r="O65"/>
    </row>
    <row r="66" spans="9:15" ht="15.75" customHeight="1" x14ac:dyDescent="0.2">
      <c r="I66" s="66"/>
      <c r="O66"/>
    </row>
    <row r="67" spans="9:15" ht="15.75" customHeight="1" x14ac:dyDescent="0.2">
      <c r="I67" s="66"/>
      <c r="O67"/>
    </row>
    <row r="68" spans="9:15" ht="15.75" customHeight="1" x14ac:dyDescent="0.2">
      <c r="I68" s="66"/>
      <c r="O68"/>
    </row>
    <row r="69" spans="9:15" ht="15.75" customHeight="1" x14ac:dyDescent="0.2">
      <c r="I69" s="66"/>
      <c r="O69"/>
    </row>
    <row r="70" spans="9:15" ht="15.75" customHeight="1" x14ac:dyDescent="0.2">
      <c r="N70" s="13"/>
      <c r="O70"/>
    </row>
    <row r="71" spans="9:15" ht="15.75" customHeight="1" x14ac:dyDescent="0.2">
      <c r="N71" s="13"/>
      <c r="O71"/>
    </row>
  </sheetData>
  <mergeCells count="179">
    <mergeCell ref="D1:L2"/>
    <mergeCell ref="A4:O4"/>
    <mergeCell ref="A5:O5"/>
    <mergeCell ref="A6:O6"/>
    <mergeCell ref="A7:B7"/>
    <mergeCell ref="C7:G7"/>
    <mergeCell ref="H7:I7"/>
    <mergeCell ref="K7:L7"/>
    <mergeCell ref="M7:N7"/>
    <mergeCell ref="A8:B8"/>
    <mergeCell ref="C8:G8"/>
    <mergeCell ref="H8:I8"/>
    <mergeCell ref="K8:L8"/>
    <mergeCell ref="M8:N8"/>
    <mergeCell ref="A9:B9"/>
    <mergeCell ref="C9:G9"/>
    <mergeCell ref="H9:I9"/>
    <mergeCell ref="K9:L9"/>
    <mergeCell ref="M9:N9"/>
    <mergeCell ref="A10:B10"/>
    <mergeCell ref="C10:G10"/>
    <mergeCell ref="H10:I10"/>
    <mergeCell ref="K10:L10"/>
    <mergeCell ref="M10:N10"/>
    <mergeCell ref="A11:B11"/>
    <mergeCell ref="C11:G11"/>
    <mergeCell ref="H11:I11"/>
    <mergeCell ref="K11:L11"/>
    <mergeCell ref="M11:N11"/>
    <mergeCell ref="A12:B12"/>
    <mergeCell ref="C12:G12"/>
    <mergeCell ref="H12:I12"/>
    <mergeCell ref="K12:L12"/>
    <mergeCell ref="M12:N12"/>
    <mergeCell ref="A13:B13"/>
    <mergeCell ref="C13:G13"/>
    <mergeCell ref="H13:I13"/>
    <mergeCell ref="K13:L13"/>
    <mergeCell ref="M13:N13"/>
    <mergeCell ref="A14:B14"/>
    <mergeCell ref="C14:G14"/>
    <mergeCell ref="H14:I14"/>
    <mergeCell ref="K14:L14"/>
    <mergeCell ref="M14:N14"/>
    <mergeCell ref="A15:B15"/>
    <mergeCell ref="C15:G15"/>
    <mergeCell ref="H15:I15"/>
    <mergeCell ref="K15:L15"/>
    <mergeCell ref="M15:N15"/>
    <mergeCell ref="A16:B16"/>
    <mergeCell ref="C16:G16"/>
    <mergeCell ref="H16:I16"/>
    <mergeCell ref="K16:L16"/>
    <mergeCell ref="M16:N16"/>
    <mergeCell ref="A17:B17"/>
    <mergeCell ref="C17:G17"/>
    <mergeCell ref="H17:I17"/>
    <mergeCell ref="K17:L17"/>
    <mergeCell ref="M17:N17"/>
    <mergeCell ref="A18:B18"/>
    <mergeCell ref="C18:G18"/>
    <mergeCell ref="H18:I18"/>
    <mergeCell ref="K18:L18"/>
    <mergeCell ref="M18:N18"/>
    <mergeCell ref="A19:B19"/>
    <mergeCell ref="C19:G19"/>
    <mergeCell ref="H19:I19"/>
    <mergeCell ref="K19:L19"/>
    <mergeCell ref="M19:N19"/>
    <mergeCell ref="A20:B20"/>
    <mergeCell ref="C20:G20"/>
    <mergeCell ref="H20:I20"/>
    <mergeCell ref="K20:L20"/>
    <mergeCell ref="M20:N20"/>
    <mergeCell ref="A21:B21"/>
    <mergeCell ref="C21:G21"/>
    <mergeCell ref="H21:I21"/>
    <mergeCell ref="K21:L21"/>
    <mergeCell ref="M21:N21"/>
    <mergeCell ref="A22:B22"/>
    <mergeCell ref="C22:G22"/>
    <mergeCell ref="H22:I22"/>
    <mergeCell ref="K22:L22"/>
    <mergeCell ref="M22:N22"/>
    <mergeCell ref="A23:B23"/>
    <mergeCell ref="C23:G23"/>
    <mergeCell ref="H23:I23"/>
    <mergeCell ref="K23:L23"/>
    <mergeCell ref="M23:N23"/>
    <mergeCell ref="A24:B24"/>
    <mergeCell ref="C24:G24"/>
    <mergeCell ref="H24:I24"/>
    <mergeCell ref="K24:L24"/>
    <mergeCell ref="M24:N24"/>
    <mergeCell ref="A25:B25"/>
    <mergeCell ref="C25:G25"/>
    <mergeCell ref="H25:I25"/>
    <mergeCell ref="K25:L25"/>
    <mergeCell ref="M25:N25"/>
    <mergeCell ref="A26:B26"/>
    <mergeCell ref="C26:G26"/>
    <mergeCell ref="H26:I26"/>
    <mergeCell ref="K26:L26"/>
    <mergeCell ref="M26:N26"/>
    <mergeCell ref="A27:B27"/>
    <mergeCell ref="C27:G27"/>
    <mergeCell ref="H27:I27"/>
    <mergeCell ref="K27:L27"/>
    <mergeCell ref="M27:N27"/>
    <mergeCell ref="A31:B31"/>
    <mergeCell ref="C31:G31"/>
    <mergeCell ref="H31:I31"/>
    <mergeCell ref="K31:L31"/>
    <mergeCell ref="M31:N31"/>
    <mergeCell ref="A28:B28"/>
    <mergeCell ref="C28:G28"/>
    <mergeCell ref="H28:I28"/>
    <mergeCell ref="K28:L28"/>
    <mergeCell ref="M28:N28"/>
    <mergeCell ref="A29:B29"/>
    <mergeCell ref="C29:G29"/>
    <mergeCell ref="H29:I29"/>
    <mergeCell ref="K29:L29"/>
    <mergeCell ref="M29:N29"/>
    <mergeCell ref="A32:B32"/>
    <mergeCell ref="C32:G32"/>
    <mergeCell ref="H32:I32"/>
    <mergeCell ref="K32:L32"/>
    <mergeCell ref="M32:N32"/>
    <mergeCell ref="A33:B33"/>
    <mergeCell ref="C33:G33"/>
    <mergeCell ref="H33:I33"/>
    <mergeCell ref="K33:L33"/>
    <mergeCell ref="M33:N33"/>
    <mergeCell ref="A34:B34"/>
    <mergeCell ref="C34:G34"/>
    <mergeCell ref="H34:I34"/>
    <mergeCell ref="K34:L34"/>
    <mergeCell ref="M34:N34"/>
    <mergeCell ref="A35:B35"/>
    <mergeCell ref="C35:G35"/>
    <mergeCell ref="H35:I35"/>
    <mergeCell ref="K35:L35"/>
    <mergeCell ref="M35:N35"/>
    <mergeCell ref="M39:N39"/>
    <mergeCell ref="A36:B36"/>
    <mergeCell ref="C36:G36"/>
    <mergeCell ref="H36:I36"/>
    <mergeCell ref="K36:L36"/>
    <mergeCell ref="M36:N36"/>
    <mergeCell ref="A37:B37"/>
    <mergeCell ref="C37:G37"/>
    <mergeCell ref="H37:I37"/>
    <mergeCell ref="K37:L37"/>
    <mergeCell ref="M37:N37"/>
    <mergeCell ref="K41:M41"/>
    <mergeCell ref="K43:M43"/>
    <mergeCell ref="A47:O48"/>
    <mergeCell ref="A49:O50"/>
    <mergeCell ref="R6:R7"/>
    <mergeCell ref="A30:B30"/>
    <mergeCell ref="C30:G30"/>
    <mergeCell ref="H30:I30"/>
    <mergeCell ref="K30:L30"/>
    <mergeCell ref="M30:N30"/>
    <mergeCell ref="A40:B40"/>
    <mergeCell ref="C40:G40"/>
    <mergeCell ref="H40:I40"/>
    <mergeCell ref="K40:L40"/>
    <mergeCell ref="M40:N40"/>
    <mergeCell ref="A38:B38"/>
    <mergeCell ref="C38:G38"/>
    <mergeCell ref="H38:I38"/>
    <mergeCell ref="K38:L38"/>
    <mergeCell ref="M38:N38"/>
    <mergeCell ref="A39:B39"/>
    <mergeCell ref="C39:G39"/>
    <mergeCell ref="H39:I39"/>
    <mergeCell ref="K39:L39"/>
  </mergeCells>
  <dataValidations count="2">
    <dataValidation type="list" allowBlank="1" showInputMessage="1" showErrorMessage="1" sqref="Q42" xr:uid="{3691043B-B1DE-4966-8FF5-1932BD0A50A7}">
      <formula1>"Yes,No"</formula1>
    </dataValidation>
    <dataValidation type="list" allowBlank="1" showInputMessage="1" showErrorMessage="1" sqref="R6:R7" xr:uid="{42FF8100-8334-459C-9A33-BA9907210AEC}">
      <formula1>"Individual Dwelling Units,Serving 3 or More Dwelling Units,Other than Dwelling Units,Heavy-Use Assembly"</formula1>
    </dataValidation>
  </dataValidations>
  <printOptions horizontalCentered="1"/>
  <pageMargins left="0.25" right="0.25" top="0.25" bottom="0.25" header="0" footer="0"/>
  <pageSetup scale="7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3FB0-B2B5-4AFA-A1E4-32B87A21B02A}">
  <sheetPr>
    <pageSetUpPr fitToPage="1"/>
  </sheetPr>
  <dimension ref="A1:AE110"/>
  <sheetViews>
    <sheetView zoomScaleNormal="100" workbookViewId="0">
      <selection activeCell="A9" sqref="A9:B9"/>
    </sheetView>
  </sheetViews>
  <sheetFormatPr defaultRowHeight="12.75" x14ac:dyDescent="0.2"/>
  <cols>
    <col min="1" max="4" width="8.7109375" customWidth="1"/>
    <col min="5" max="5" width="22.140625" customWidth="1"/>
    <col min="6" max="13" width="8.7109375" customWidth="1"/>
    <col min="14" max="14" width="16.28515625" customWidth="1"/>
    <col min="15" max="15" width="8.7109375" customWidth="1"/>
    <col min="16" max="16" width="21.5703125" customWidth="1"/>
    <col min="17" max="17" width="31.7109375" customWidth="1"/>
    <col min="18" max="18" width="8.85546875" customWidth="1"/>
    <col min="21" max="25" width="9.140625" hidden="1" customWidth="1"/>
    <col min="26" max="27" width="12.85546875" hidden="1" customWidth="1"/>
    <col min="28" max="29" width="9.140625" hidden="1" customWidth="1"/>
    <col min="30" max="30" width="11.7109375" hidden="1" customWidth="1"/>
    <col min="31" max="31" width="9.140625" hidden="1" customWidth="1"/>
    <col min="32" max="33" width="9.140625" customWidth="1"/>
  </cols>
  <sheetData>
    <row r="1" spans="1:31" ht="17.25" thickTop="1" thickBot="1" x14ac:dyDescent="0.3">
      <c r="D1" s="298" t="s">
        <v>217</v>
      </c>
      <c r="E1" s="298"/>
      <c r="F1" s="298"/>
      <c r="G1" s="298"/>
      <c r="H1" s="298"/>
      <c r="I1" s="298"/>
      <c r="J1" s="298"/>
      <c r="K1" s="298"/>
      <c r="L1" s="298"/>
      <c r="M1" s="1"/>
    </row>
    <row r="2" spans="1:31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  <c r="U2" s="462" t="s">
        <v>294</v>
      </c>
      <c r="V2" s="247"/>
      <c r="W2" s="247"/>
    </row>
    <row r="3" spans="1:31" ht="17.25" thickTop="1" thickBot="1" x14ac:dyDescent="0.3">
      <c r="M3" s="1"/>
      <c r="U3" s="133" t="s">
        <v>36</v>
      </c>
      <c r="V3" s="133" t="s">
        <v>35</v>
      </c>
      <c r="W3" s="133" t="s">
        <v>32</v>
      </c>
      <c r="Y3" s="132" t="s">
        <v>288</v>
      </c>
      <c r="Z3" s="132" t="s">
        <v>289</v>
      </c>
      <c r="AA3" s="132" t="s">
        <v>386</v>
      </c>
      <c r="AC3" s="132" t="s">
        <v>288</v>
      </c>
      <c r="AD3" s="132" t="s">
        <v>290</v>
      </c>
      <c r="AE3" s="132" t="s">
        <v>386</v>
      </c>
    </row>
    <row r="4" spans="1:31" ht="30.75" x14ac:dyDescent="0.2">
      <c r="A4" s="465" t="s">
        <v>390</v>
      </c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  <c r="N4" s="467"/>
      <c r="U4" s="221">
        <f>IF(SUM(L9+L10+L11+L12+L13+L14+L15+L16+L17+L18+L21+L22+L24+L25+L26+L27+L28)=0,0,IF(SUM(L9+L10+L11+L12+L13+L14+L15+L16+L17+L18+L21+L22+L24+L25+L26+L27+L28)&lt;=2,2,ROUNDUP(INDEX(Z4:Z43,MATCH(SUM(L9+L10+L11+L12+L13+L14+L15+L16+L17+L18+L21+L22+L24+L25+L26+L27+L28),Y4:Y43,1)),1)))</f>
        <v>2</v>
      </c>
      <c r="V4" s="221">
        <f>IF(SUM(M9+M10+M11+M12+M13+M14+M15+M16+M17+M18+M21+M22+M24+M25+M26+M27+M28)=0,0,IF(SUM(M9+M10+M11+M12+M13+M14+M15+M16+M17+M18+M21+M22+M24+M25+M26+M27+M28)&lt;=2,2,ROUNDUP(INDEX(Z4:Z43,MATCH(SUM(M9+M10+M11+M12+M13+M14+M15+M16+M17+M18+M21+M22+M24+M25+M26+M27+M28),Y4:Y43,1)),1)))</f>
        <v>2</v>
      </c>
      <c r="W4" s="221">
        <f>IF(SUM(N9+N10+N11+N12+N13+N14+N15+N16+N17+N18+N21+N22+N24+N25+N26+N27+N28)=0,0,IF(SUM(N9+N10+N11+N12+N13+N14+N15+N16+N17+N18+N21+N22+N24+N25+N26+N27+N28)&lt;=2,2,ROUNDUP(INDEX(Z4:Z43,MATCH(SUM(N9+N10+N11+N12+N13+N14+N15+N16+N17+N18+N21+N22+N24+N25+N26+N27+N28),Y4:Y43,1)),1)))</f>
        <v>2</v>
      </c>
      <c r="Y4" s="131">
        <v>2</v>
      </c>
      <c r="Z4" s="131">
        <v>2</v>
      </c>
      <c r="AA4" s="131" t="s">
        <v>53</v>
      </c>
      <c r="AC4" s="131"/>
      <c r="AD4" s="131"/>
      <c r="AE4" s="131"/>
    </row>
    <row r="5" spans="1:31" x14ac:dyDescent="0.2">
      <c r="A5" s="275" t="s">
        <v>376</v>
      </c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7"/>
      <c r="U5" s="124"/>
      <c r="V5" s="124"/>
      <c r="W5" s="124"/>
      <c r="Y5" s="131">
        <v>4</v>
      </c>
      <c r="Z5" s="131">
        <v>3</v>
      </c>
      <c r="AA5" s="131" t="s">
        <v>53</v>
      </c>
      <c r="AC5" s="131"/>
      <c r="AD5" s="131"/>
      <c r="AE5" s="131"/>
    </row>
    <row r="6" spans="1:31" ht="15" customHeight="1" thickBot="1" x14ac:dyDescent="0.25">
      <c r="A6" s="469"/>
      <c r="B6" s="470"/>
      <c r="C6" s="470"/>
      <c r="D6" s="470"/>
      <c r="E6" s="470"/>
      <c r="F6" s="470"/>
      <c r="G6" s="470"/>
      <c r="H6" s="470"/>
      <c r="I6" s="470"/>
      <c r="J6" s="470"/>
      <c r="K6" s="470"/>
      <c r="L6" s="470"/>
      <c r="M6" s="470"/>
      <c r="N6" s="471"/>
      <c r="P6" s="220"/>
      <c r="Q6" s="220"/>
      <c r="U6" s="462" t="s">
        <v>295</v>
      </c>
      <c r="V6" s="247"/>
      <c r="W6" s="247"/>
      <c r="Y6" s="131">
        <v>6</v>
      </c>
      <c r="Z6" s="131">
        <v>5</v>
      </c>
      <c r="AA6" s="131" t="s">
        <v>53</v>
      </c>
      <c r="AC6" s="131"/>
      <c r="AD6" s="131"/>
      <c r="AE6" s="131"/>
    </row>
    <row r="7" spans="1:31" ht="15.75" x14ac:dyDescent="0.25">
      <c r="A7" s="407" t="s">
        <v>39</v>
      </c>
      <c r="B7" s="279"/>
      <c r="C7" s="279" t="s">
        <v>38</v>
      </c>
      <c r="D7" s="279"/>
      <c r="E7" s="279"/>
      <c r="F7" s="280" t="s">
        <v>286</v>
      </c>
      <c r="G7" s="280"/>
      <c r="H7" s="280"/>
      <c r="I7" s="281" t="s">
        <v>52</v>
      </c>
      <c r="J7" s="282"/>
      <c r="K7" s="283"/>
      <c r="L7" s="287" t="s">
        <v>286</v>
      </c>
      <c r="M7" s="287"/>
      <c r="N7" s="288"/>
      <c r="P7" s="220"/>
      <c r="Q7" s="220"/>
      <c r="U7" s="221">
        <f>IF(SUM(L19+L20+L23)=0,0,ROUNDUP(INDEX(AD7:AD43,MATCH(SUM(L19+L20+L23),AC7:AC43,1)),1))</f>
        <v>0</v>
      </c>
      <c r="V7" s="221">
        <v>0</v>
      </c>
      <c r="W7" s="221">
        <f>IF(SUM(N19+N20+N23)=0,0,ROUNDUP(INDEX(AD7:AD43,MATCH(SUM(N19+N20+N23),AC7:AC43,1)),1))</f>
        <v>0</v>
      </c>
      <c r="Y7" s="131">
        <v>8</v>
      </c>
      <c r="Z7" s="131">
        <v>6.5</v>
      </c>
      <c r="AA7" s="131" t="s">
        <v>56</v>
      </c>
      <c r="AC7" s="131">
        <v>5</v>
      </c>
      <c r="AD7" s="131">
        <v>24</v>
      </c>
      <c r="AE7" s="131" t="s">
        <v>55</v>
      </c>
    </row>
    <row r="8" spans="1:31" ht="15.75" x14ac:dyDescent="0.25">
      <c r="A8" s="407"/>
      <c r="B8" s="279"/>
      <c r="C8" s="279"/>
      <c r="D8" s="279"/>
      <c r="E8" s="279"/>
      <c r="F8" s="14" t="s">
        <v>36</v>
      </c>
      <c r="G8" s="15" t="s">
        <v>35</v>
      </c>
      <c r="H8" s="8" t="s">
        <v>32</v>
      </c>
      <c r="I8" s="284"/>
      <c r="J8" s="285"/>
      <c r="K8" s="286"/>
      <c r="L8" s="14" t="s">
        <v>36</v>
      </c>
      <c r="M8" s="15" t="s">
        <v>35</v>
      </c>
      <c r="N8" s="36" t="s">
        <v>32</v>
      </c>
      <c r="P8" s="220"/>
      <c r="Q8" s="220"/>
      <c r="Y8" s="131">
        <v>10</v>
      </c>
      <c r="Z8" s="131">
        <v>8</v>
      </c>
      <c r="AA8" s="131" t="s">
        <v>56</v>
      </c>
      <c r="AC8" s="131">
        <v>10</v>
      </c>
      <c r="AD8" s="131">
        <v>27</v>
      </c>
      <c r="AE8" s="131" t="s">
        <v>223</v>
      </c>
    </row>
    <row r="9" spans="1:31" ht="15.75" x14ac:dyDescent="0.25">
      <c r="A9" s="289">
        <v>0</v>
      </c>
      <c r="B9" s="290"/>
      <c r="C9" s="295" t="s">
        <v>102</v>
      </c>
      <c r="D9" s="296"/>
      <c r="E9" s="296"/>
      <c r="F9" s="16">
        <v>1.5</v>
      </c>
      <c r="G9" s="17">
        <v>1.5</v>
      </c>
      <c r="H9" s="8">
        <v>2</v>
      </c>
      <c r="I9" s="291" t="s">
        <v>53</v>
      </c>
      <c r="J9" s="291"/>
      <c r="K9" s="291"/>
      <c r="L9" s="16">
        <f>$A9*F9</f>
        <v>0</v>
      </c>
      <c r="M9" s="17">
        <f>$A9*G9</f>
        <v>0</v>
      </c>
      <c r="N9" s="36">
        <f>$A9*H9</f>
        <v>0</v>
      </c>
      <c r="P9" s="220"/>
      <c r="Q9" s="220"/>
      <c r="U9" s="462" t="s">
        <v>388</v>
      </c>
      <c r="V9" s="247"/>
      <c r="W9" s="247"/>
      <c r="Y9" s="131">
        <v>12</v>
      </c>
      <c r="Z9" s="131">
        <v>9.1999999999999993</v>
      </c>
      <c r="AA9" s="131" t="s">
        <v>56</v>
      </c>
      <c r="AC9" s="131">
        <v>12</v>
      </c>
      <c r="AD9" s="131">
        <v>28.6</v>
      </c>
      <c r="AE9" s="131" t="s">
        <v>223</v>
      </c>
    </row>
    <row r="10" spans="1:31" ht="15.75" x14ac:dyDescent="0.25">
      <c r="A10" s="289">
        <v>0</v>
      </c>
      <c r="B10" s="290"/>
      <c r="C10" s="295" t="s">
        <v>103</v>
      </c>
      <c r="D10" s="296"/>
      <c r="E10" s="296"/>
      <c r="F10" s="16">
        <v>3</v>
      </c>
      <c r="G10" s="17">
        <v>3</v>
      </c>
      <c r="H10" s="8">
        <v>4</v>
      </c>
      <c r="I10" s="291" t="s">
        <v>53</v>
      </c>
      <c r="J10" s="291"/>
      <c r="K10" s="291"/>
      <c r="L10" s="16">
        <f t="shared" ref="L10:N28" si="0">$A10*F10</f>
        <v>0</v>
      </c>
      <c r="M10" s="17">
        <f t="shared" si="0"/>
        <v>0</v>
      </c>
      <c r="N10" s="36">
        <f t="shared" si="0"/>
        <v>0</v>
      </c>
      <c r="U10" s="131" t="str">
        <f>IF(AND(U7&gt;=5,L29&lt;=AC11),AE11,IF(AND(U7&gt;=5,L29&lt;=AC15),AE15,IF(AND(U7&gt;=5,L29&lt;=AC25),AE25,IF(AND(U7&gt;=5,L29&lt;=AC32),AE32,IF(AND(U7&gt;=5,L29&lt;=AC38),AE38,IF(AND(U7&gt;=5,L29&lt;=AC42),AE42,IF(AND(U7&gt;=5,L29&lt;=AC43),AE43,IF(L29&lt;=Y6,AA6,IF(L29&lt;=Y11,AA11,IF(L29&lt;=Y14,AA14,IF(L29&lt;=Y18,AA18,IF(L29&lt;=Y23,AA23,IF(L29&lt;=Y30,AA30,IF(L29&lt;=Y35,AA35,IF(L29&lt;=Y38,AA38,IF(L29&lt;=Y42,AA42,IF(L29&lt;=Y43,AA43,0)))))))))))))))))</f>
        <v>1/2"</v>
      </c>
      <c r="V10" s="133" t="str">
        <f>IF(AND(U7&gt;=5,M29&lt;=AC11),AE11,IF(AND(U7&gt;=5,M29&lt;=AC15),AE15,IF(AND(U7&gt;=5,M29&lt;=AC25),AE25,IF(AND(U7&gt;=5,M29&lt;=AC32),AE32,IF(AND(U7&gt;=5,M29&lt;=AC38),AE38,IF(AND(U7&gt;=5,M29&lt;=AC42),AE42,IF(AND(U7&gt;=5,M29&lt;=AC43),AE43,IF(M29&lt;=Y6,AA6,IF(M29&lt;=Y11,AA11,IF(M29&lt;=Y14,AA14,IF(M29&lt;=Y18,AA18,IF(M29&lt;=Y23,AA23,IF(M29&lt;=Y30,AA30,IF(M29&lt;=Y35,AA35,IF(M29&lt;=Y38,AA38,IF(M29&lt;=Y42,AA42,IF(M29&lt;=Y43,AA43,0)))))))))))))))))</f>
        <v>1/2"</v>
      </c>
      <c r="W10" s="133" t="str">
        <f>IF(AND(U7&gt;=5,N29&lt;=AC11),AE11,IF(AND(U7&gt;=5,N29&lt;=AC15),AE15,IF(AND(U7&gt;=5,N29&lt;=AC25),AE25,IF(AND(U7&gt;=5,N29&lt;=AC32),AE32,IF(AND(U7&gt;=5,N29&lt;=AC38),AE38,IF(AND(U7&gt;=5,N29&lt;=AC42),AE42,IF(AND(U7&gt;=5,N29&lt;=AC43),AE43,IF(N29&lt;=Y11,AA11,IF(N29&lt;=Y14,AA14,IF(N29&lt;=Y18,AA18,IF(N29&lt;=Y23,AA23,IF(N29&lt;=Y30,AA30,IF(N29&lt;=Y35,AA35,IF(N29&lt;=Y38,AA38,IF(N29&lt;=Y42,AA42,IF(N29&lt;=Y43,AA43,0))))))))))))))))</f>
        <v>3/4"</v>
      </c>
      <c r="Y10" s="131">
        <v>14</v>
      </c>
      <c r="Z10" s="131">
        <v>10.4</v>
      </c>
      <c r="AA10" s="131" t="s">
        <v>56</v>
      </c>
      <c r="AC10" s="131">
        <v>14</v>
      </c>
      <c r="AD10" s="131">
        <v>30.2</v>
      </c>
      <c r="AE10" s="131" t="s">
        <v>223</v>
      </c>
    </row>
    <row r="11" spans="1:31" ht="15.75" x14ac:dyDescent="0.25">
      <c r="A11" s="289">
        <v>0</v>
      </c>
      <c r="B11" s="290"/>
      <c r="C11" s="295" t="s">
        <v>42</v>
      </c>
      <c r="D11" s="296"/>
      <c r="E11" s="296"/>
      <c r="F11" s="16">
        <v>0</v>
      </c>
      <c r="G11" s="17">
        <v>1.4</v>
      </c>
      <c r="H11" s="8">
        <v>1.4</v>
      </c>
      <c r="I11" s="291" t="s">
        <v>53</v>
      </c>
      <c r="J11" s="291"/>
      <c r="K11" s="291"/>
      <c r="L11" s="16">
        <f t="shared" si="0"/>
        <v>0</v>
      </c>
      <c r="M11" s="17">
        <f t="shared" si="0"/>
        <v>0</v>
      </c>
      <c r="N11" s="36">
        <f t="shared" si="0"/>
        <v>0</v>
      </c>
      <c r="Y11" s="131">
        <v>16</v>
      </c>
      <c r="Z11" s="131">
        <v>11.6</v>
      </c>
      <c r="AA11" s="131" t="s">
        <v>56</v>
      </c>
      <c r="AC11" s="131">
        <v>16</v>
      </c>
      <c r="AD11" s="131">
        <v>31.8</v>
      </c>
      <c r="AE11" s="131" t="s">
        <v>223</v>
      </c>
    </row>
    <row r="12" spans="1:31" ht="15.75" x14ac:dyDescent="0.25">
      <c r="A12" s="289">
        <v>0</v>
      </c>
      <c r="B12" s="290"/>
      <c r="C12" s="295" t="s">
        <v>17</v>
      </c>
      <c r="D12" s="296"/>
      <c r="E12" s="296"/>
      <c r="F12" s="16">
        <v>0.25</v>
      </c>
      <c r="G12" s="17">
        <v>0</v>
      </c>
      <c r="H12" s="8">
        <v>0.25</v>
      </c>
      <c r="I12" s="291" t="s">
        <v>54</v>
      </c>
      <c r="J12" s="291"/>
      <c r="K12" s="291"/>
      <c r="L12" s="16">
        <f t="shared" si="0"/>
        <v>0</v>
      </c>
      <c r="M12" s="17">
        <f t="shared" si="0"/>
        <v>0</v>
      </c>
      <c r="N12" s="36">
        <f t="shared" si="0"/>
        <v>0</v>
      </c>
      <c r="Y12" s="131">
        <v>20</v>
      </c>
      <c r="Z12" s="131">
        <v>14</v>
      </c>
      <c r="AA12" s="131" t="s">
        <v>55</v>
      </c>
      <c r="AC12" s="131">
        <v>20</v>
      </c>
      <c r="AD12" s="131">
        <v>35</v>
      </c>
      <c r="AE12" s="131" t="s">
        <v>224</v>
      </c>
    </row>
    <row r="13" spans="1:31" ht="15.75" x14ac:dyDescent="0.25">
      <c r="A13" s="289">
        <v>0</v>
      </c>
      <c r="B13" s="290"/>
      <c r="C13" s="295" t="s">
        <v>18</v>
      </c>
      <c r="D13" s="296"/>
      <c r="E13" s="296"/>
      <c r="F13" s="16">
        <v>1.5</v>
      </c>
      <c r="G13" s="17">
        <v>1.5</v>
      </c>
      <c r="H13" s="8">
        <v>2</v>
      </c>
      <c r="I13" s="291" t="s">
        <v>53</v>
      </c>
      <c r="J13" s="291"/>
      <c r="K13" s="291"/>
      <c r="L13" s="16">
        <f t="shared" si="0"/>
        <v>0</v>
      </c>
      <c r="M13" s="17">
        <f t="shared" si="0"/>
        <v>0</v>
      </c>
      <c r="N13" s="36">
        <f t="shared" si="0"/>
        <v>0</v>
      </c>
      <c r="Y13" s="131">
        <v>25</v>
      </c>
      <c r="Z13" s="131">
        <v>17</v>
      </c>
      <c r="AA13" s="131" t="s">
        <v>55</v>
      </c>
      <c r="AC13" s="131">
        <v>25</v>
      </c>
      <c r="AD13" s="131">
        <v>38</v>
      </c>
      <c r="AE13" s="131" t="s">
        <v>224</v>
      </c>
    </row>
    <row r="14" spans="1:31" ht="15.75" x14ac:dyDescent="0.25">
      <c r="A14" s="289">
        <v>0</v>
      </c>
      <c r="B14" s="290"/>
      <c r="C14" s="295" t="s">
        <v>19</v>
      </c>
      <c r="D14" s="296"/>
      <c r="E14" s="296"/>
      <c r="F14" s="16">
        <v>3</v>
      </c>
      <c r="G14" s="17">
        <v>3</v>
      </c>
      <c r="H14" s="8">
        <v>4</v>
      </c>
      <c r="I14" s="291" t="s">
        <v>53</v>
      </c>
      <c r="J14" s="291"/>
      <c r="K14" s="291"/>
      <c r="L14" s="16">
        <f t="shared" si="0"/>
        <v>0</v>
      </c>
      <c r="M14" s="17">
        <f t="shared" si="0"/>
        <v>0</v>
      </c>
      <c r="N14" s="36">
        <f t="shared" si="0"/>
        <v>0</v>
      </c>
      <c r="Y14" s="131">
        <v>30</v>
      </c>
      <c r="Z14" s="131">
        <v>20</v>
      </c>
      <c r="AA14" s="131" t="s">
        <v>55</v>
      </c>
      <c r="AC14" s="131">
        <v>30</v>
      </c>
      <c r="AD14" s="131">
        <v>41</v>
      </c>
      <c r="AE14" s="131" t="s">
        <v>224</v>
      </c>
    </row>
    <row r="15" spans="1:31" ht="15.75" x14ac:dyDescent="0.25">
      <c r="A15" s="289">
        <v>1</v>
      </c>
      <c r="B15" s="290"/>
      <c r="C15" s="295" t="s">
        <v>20</v>
      </c>
      <c r="D15" s="296"/>
      <c r="E15" s="296"/>
      <c r="F15" s="16">
        <v>0.75</v>
      </c>
      <c r="G15" s="17">
        <v>0.75</v>
      </c>
      <c r="H15" s="8">
        <v>1</v>
      </c>
      <c r="I15" s="291" t="s">
        <v>54</v>
      </c>
      <c r="J15" s="291"/>
      <c r="K15" s="291"/>
      <c r="L15" s="16">
        <f t="shared" si="0"/>
        <v>0.75</v>
      </c>
      <c r="M15" s="17">
        <f t="shared" si="0"/>
        <v>0.75</v>
      </c>
      <c r="N15" s="36">
        <f t="shared" si="0"/>
        <v>1</v>
      </c>
      <c r="Y15" s="131">
        <v>35</v>
      </c>
      <c r="Z15" s="131">
        <v>22.5</v>
      </c>
      <c r="AA15" s="131" t="s">
        <v>223</v>
      </c>
      <c r="AC15" s="131">
        <v>35</v>
      </c>
      <c r="AD15" s="131">
        <v>43.8</v>
      </c>
      <c r="AE15" s="131" t="s">
        <v>224</v>
      </c>
    </row>
    <row r="16" spans="1:31" ht="15.75" x14ac:dyDescent="0.25">
      <c r="A16" s="289">
        <v>0</v>
      </c>
      <c r="B16" s="290"/>
      <c r="C16" s="295" t="s">
        <v>21</v>
      </c>
      <c r="D16" s="296"/>
      <c r="E16" s="296"/>
      <c r="F16" s="16">
        <v>1</v>
      </c>
      <c r="G16" s="17">
        <v>1</v>
      </c>
      <c r="H16" s="8">
        <v>2</v>
      </c>
      <c r="I16" s="291" t="s">
        <v>54</v>
      </c>
      <c r="J16" s="291"/>
      <c r="K16" s="291"/>
      <c r="L16" s="16">
        <f t="shared" si="0"/>
        <v>0</v>
      </c>
      <c r="M16" s="17">
        <f t="shared" si="0"/>
        <v>0</v>
      </c>
      <c r="N16" s="36">
        <f t="shared" si="0"/>
        <v>0</v>
      </c>
      <c r="Y16" s="131">
        <v>40</v>
      </c>
      <c r="Z16" s="131">
        <v>25</v>
      </c>
      <c r="AA16" s="131" t="s">
        <v>223</v>
      </c>
      <c r="AC16" s="131">
        <v>40</v>
      </c>
      <c r="AD16" s="131">
        <v>46.5</v>
      </c>
      <c r="AE16" s="131" t="s">
        <v>72</v>
      </c>
    </row>
    <row r="17" spans="1:31" ht="15.75" x14ac:dyDescent="0.25">
      <c r="A17" s="289">
        <v>0</v>
      </c>
      <c r="B17" s="290"/>
      <c r="C17" s="295" t="s">
        <v>22</v>
      </c>
      <c r="D17" s="296"/>
      <c r="E17" s="296"/>
      <c r="F17" s="16">
        <v>2</v>
      </c>
      <c r="G17" s="17">
        <v>2</v>
      </c>
      <c r="H17" s="8">
        <v>3</v>
      </c>
      <c r="I17" s="291" t="s">
        <v>53</v>
      </c>
      <c r="J17" s="291"/>
      <c r="K17" s="291"/>
      <c r="L17" s="16">
        <f t="shared" si="0"/>
        <v>0</v>
      </c>
      <c r="M17" s="17">
        <f t="shared" si="0"/>
        <v>0</v>
      </c>
      <c r="N17" s="36">
        <f t="shared" si="0"/>
        <v>0</v>
      </c>
      <c r="Y17" s="131">
        <v>45</v>
      </c>
      <c r="Z17" s="131">
        <v>27</v>
      </c>
      <c r="AA17" s="131" t="s">
        <v>223</v>
      </c>
      <c r="AC17" s="131">
        <v>45</v>
      </c>
      <c r="AD17" s="131">
        <v>49</v>
      </c>
      <c r="AE17" s="131" t="s">
        <v>72</v>
      </c>
    </row>
    <row r="18" spans="1:31" ht="15.75" x14ac:dyDescent="0.25">
      <c r="A18" s="289">
        <v>0</v>
      </c>
      <c r="B18" s="290"/>
      <c r="C18" s="295" t="s">
        <v>24</v>
      </c>
      <c r="D18" s="296"/>
      <c r="E18" s="296"/>
      <c r="F18" s="16">
        <v>2</v>
      </c>
      <c r="G18" s="17">
        <v>2</v>
      </c>
      <c r="H18" s="8">
        <v>3</v>
      </c>
      <c r="I18" s="291" t="s">
        <v>53</v>
      </c>
      <c r="J18" s="291"/>
      <c r="K18" s="291"/>
      <c r="L18" s="16">
        <f t="shared" si="0"/>
        <v>0</v>
      </c>
      <c r="M18" s="17">
        <f t="shared" si="0"/>
        <v>0</v>
      </c>
      <c r="N18" s="36">
        <f t="shared" si="0"/>
        <v>0</v>
      </c>
      <c r="Y18" s="131">
        <v>50</v>
      </c>
      <c r="Z18" s="131">
        <v>29</v>
      </c>
      <c r="AA18" s="131" t="s">
        <v>223</v>
      </c>
      <c r="AC18" s="131">
        <v>50</v>
      </c>
      <c r="AD18" s="131">
        <v>51.5</v>
      </c>
      <c r="AE18" s="131" t="s">
        <v>72</v>
      </c>
    </row>
    <row r="19" spans="1:31" ht="15.75" x14ac:dyDescent="0.25">
      <c r="A19" s="289">
        <v>0</v>
      </c>
      <c r="B19" s="290"/>
      <c r="C19" s="295" t="s">
        <v>57</v>
      </c>
      <c r="D19" s="296"/>
      <c r="E19" s="296"/>
      <c r="F19" s="16">
        <v>5</v>
      </c>
      <c r="G19" s="17">
        <v>0</v>
      </c>
      <c r="H19" s="8">
        <v>5</v>
      </c>
      <c r="I19" s="291" t="s">
        <v>56</v>
      </c>
      <c r="J19" s="291"/>
      <c r="K19" s="291"/>
      <c r="L19" s="16">
        <f t="shared" si="0"/>
        <v>0</v>
      </c>
      <c r="M19" s="17">
        <f t="shared" si="0"/>
        <v>0</v>
      </c>
      <c r="N19" s="36">
        <f t="shared" si="0"/>
        <v>0</v>
      </c>
      <c r="O19" s="66"/>
      <c r="Y19" s="131">
        <v>60</v>
      </c>
      <c r="Z19" s="131">
        <v>32</v>
      </c>
      <c r="AA19" s="131" t="s">
        <v>224</v>
      </c>
      <c r="AC19" s="131">
        <v>60</v>
      </c>
      <c r="AD19" s="131">
        <v>55</v>
      </c>
      <c r="AE19" s="131" t="s">
        <v>72</v>
      </c>
    </row>
    <row r="20" spans="1:31" ht="15.75" x14ac:dyDescent="0.25">
      <c r="A20" s="289">
        <v>0</v>
      </c>
      <c r="B20" s="290"/>
      <c r="C20" s="295" t="s">
        <v>25</v>
      </c>
      <c r="D20" s="296"/>
      <c r="E20" s="296"/>
      <c r="F20" s="16">
        <v>10</v>
      </c>
      <c r="G20" s="17">
        <v>0</v>
      </c>
      <c r="H20" s="8">
        <v>10</v>
      </c>
      <c r="I20" s="291" t="s">
        <v>55</v>
      </c>
      <c r="J20" s="291"/>
      <c r="K20" s="291"/>
      <c r="L20" s="16">
        <f t="shared" si="0"/>
        <v>0</v>
      </c>
      <c r="M20" s="17">
        <f t="shared" si="0"/>
        <v>0</v>
      </c>
      <c r="N20" s="36">
        <f t="shared" si="0"/>
        <v>0</v>
      </c>
      <c r="Y20" s="131">
        <v>70</v>
      </c>
      <c r="Z20" s="131">
        <v>35</v>
      </c>
      <c r="AA20" s="131" t="s">
        <v>224</v>
      </c>
      <c r="AC20" s="131">
        <v>70</v>
      </c>
      <c r="AD20" s="131">
        <v>58.5</v>
      </c>
      <c r="AE20" s="131" t="s">
        <v>72</v>
      </c>
    </row>
    <row r="21" spans="1:31" ht="15.75" x14ac:dyDescent="0.25">
      <c r="A21" s="289">
        <v>0</v>
      </c>
      <c r="B21" s="290"/>
      <c r="C21" s="295" t="s">
        <v>377</v>
      </c>
      <c r="D21" s="296"/>
      <c r="E21" s="296"/>
      <c r="F21" s="16">
        <v>1.5</v>
      </c>
      <c r="G21" s="17">
        <v>1.5</v>
      </c>
      <c r="H21" s="8">
        <v>2</v>
      </c>
      <c r="I21" s="292" t="s">
        <v>53</v>
      </c>
      <c r="J21" s="293"/>
      <c r="K21" s="294"/>
      <c r="L21" s="16">
        <f t="shared" si="0"/>
        <v>0</v>
      </c>
      <c r="M21" s="17">
        <f t="shared" si="0"/>
        <v>0</v>
      </c>
      <c r="N21" s="36">
        <f t="shared" si="0"/>
        <v>0</v>
      </c>
      <c r="Y21" s="131">
        <v>80</v>
      </c>
      <c r="Z21" s="131">
        <v>38</v>
      </c>
      <c r="AA21" s="131" t="s">
        <v>224</v>
      </c>
      <c r="AC21" s="131">
        <v>80</v>
      </c>
      <c r="AD21" s="131">
        <v>62</v>
      </c>
      <c r="AE21" s="131" t="s">
        <v>72</v>
      </c>
    </row>
    <row r="22" spans="1:31" ht="15.75" x14ac:dyDescent="0.25">
      <c r="A22" s="289">
        <v>0</v>
      </c>
      <c r="B22" s="290"/>
      <c r="C22" s="295" t="s">
        <v>101</v>
      </c>
      <c r="D22" s="296"/>
      <c r="E22" s="296"/>
      <c r="F22" s="16">
        <v>3</v>
      </c>
      <c r="G22" s="17">
        <v>3</v>
      </c>
      <c r="H22" s="8">
        <v>4</v>
      </c>
      <c r="I22" s="292" t="s">
        <v>53</v>
      </c>
      <c r="J22" s="293"/>
      <c r="K22" s="294"/>
      <c r="L22" s="16">
        <f t="shared" si="0"/>
        <v>0</v>
      </c>
      <c r="M22" s="17">
        <f t="shared" si="0"/>
        <v>0</v>
      </c>
      <c r="N22" s="36">
        <f t="shared" si="0"/>
        <v>0</v>
      </c>
      <c r="Y22" s="131">
        <v>90</v>
      </c>
      <c r="Z22" s="131">
        <v>41</v>
      </c>
      <c r="AA22" s="131" t="s">
        <v>224</v>
      </c>
      <c r="AC22" s="131">
        <v>90</v>
      </c>
      <c r="AD22" s="131">
        <v>64.8</v>
      </c>
      <c r="AE22" s="131" t="s">
        <v>72</v>
      </c>
    </row>
    <row r="23" spans="1:31" ht="15.75" x14ac:dyDescent="0.25">
      <c r="A23" s="289">
        <v>0</v>
      </c>
      <c r="B23" s="290"/>
      <c r="C23" s="295" t="s">
        <v>378</v>
      </c>
      <c r="D23" s="296"/>
      <c r="E23" s="296"/>
      <c r="F23" s="16">
        <v>10</v>
      </c>
      <c r="G23" s="17">
        <v>0</v>
      </c>
      <c r="H23" s="8">
        <v>10</v>
      </c>
      <c r="I23" s="292" t="s">
        <v>55</v>
      </c>
      <c r="J23" s="293"/>
      <c r="K23" s="294"/>
      <c r="L23" s="16">
        <f t="shared" si="0"/>
        <v>0</v>
      </c>
      <c r="M23" s="17">
        <f t="shared" si="0"/>
        <v>0</v>
      </c>
      <c r="N23" s="36">
        <f t="shared" si="0"/>
        <v>0</v>
      </c>
      <c r="Y23" s="131">
        <v>100</v>
      </c>
      <c r="Z23" s="131">
        <v>43.5</v>
      </c>
      <c r="AA23" s="131" t="s">
        <v>224</v>
      </c>
      <c r="AC23" s="131">
        <v>100</v>
      </c>
      <c r="AD23" s="131">
        <v>67.5</v>
      </c>
      <c r="AE23" s="131" t="s">
        <v>72</v>
      </c>
    </row>
    <row r="24" spans="1:31" ht="15.75" x14ac:dyDescent="0.25">
      <c r="A24" s="289">
        <v>0</v>
      </c>
      <c r="B24" s="290"/>
      <c r="C24" s="295" t="s">
        <v>379</v>
      </c>
      <c r="D24" s="296"/>
      <c r="E24" s="296"/>
      <c r="F24" s="16">
        <v>3</v>
      </c>
      <c r="G24" s="17">
        <v>0</v>
      </c>
      <c r="H24" s="8">
        <v>3</v>
      </c>
      <c r="I24" s="292" t="s">
        <v>54</v>
      </c>
      <c r="J24" s="293"/>
      <c r="K24" s="294"/>
      <c r="L24" s="16">
        <f t="shared" si="0"/>
        <v>0</v>
      </c>
      <c r="M24" s="17">
        <f t="shared" si="0"/>
        <v>0</v>
      </c>
      <c r="N24" s="36">
        <f t="shared" si="0"/>
        <v>0</v>
      </c>
      <c r="Y24" s="131">
        <v>120</v>
      </c>
      <c r="Z24" s="131">
        <v>48</v>
      </c>
      <c r="AA24" s="131" t="s">
        <v>72</v>
      </c>
      <c r="AC24" s="131">
        <v>120</v>
      </c>
      <c r="AD24" s="131">
        <v>72.5</v>
      </c>
      <c r="AE24" s="131" t="s">
        <v>72</v>
      </c>
    </row>
    <row r="25" spans="1:31" ht="15.75" x14ac:dyDescent="0.25">
      <c r="A25" s="289">
        <v>0</v>
      </c>
      <c r="B25" s="290"/>
      <c r="C25" s="295" t="s">
        <v>104</v>
      </c>
      <c r="D25" s="296"/>
      <c r="E25" s="296"/>
      <c r="F25" s="16">
        <v>0.25</v>
      </c>
      <c r="G25" s="17">
        <v>0</v>
      </c>
      <c r="H25" s="8">
        <v>0.25</v>
      </c>
      <c r="I25" s="292" t="s">
        <v>54</v>
      </c>
      <c r="J25" s="293"/>
      <c r="K25" s="294"/>
      <c r="L25" s="16">
        <f t="shared" si="0"/>
        <v>0</v>
      </c>
      <c r="M25" s="17">
        <f t="shared" si="0"/>
        <v>0</v>
      </c>
      <c r="N25" s="36">
        <f t="shared" si="0"/>
        <v>0</v>
      </c>
      <c r="Y25" s="131">
        <v>140</v>
      </c>
      <c r="Z25" s="131">
        <v>52.5</v>
      </c>
      <c r="AA25" s="131" t="s">
        <v>72</v>
      </c>
      <c r="AC25" s="131">
        <v>140</v>
      </c>
      <c r="AD25" s="131">
        <v>77.5</v>
      </c>
      <c r="AE25" s="131" t="s">
        <v>72</v>
      </c>
    </row>
    <row r="26" spans="1:31" ht="15.75" x14ac:dyDescent="0.25">
      <c r="A26" s="289">
        <v>0</v>
      </c>
      <c r="B26" s="290"/>
      <c r="C26" s="295" t="s">
        <v>105</v>
      </c>
      <c r="D26" s="296"/>
      <c r="E26" s="296"/>
      <c r="F26" s="16">
        <v>3</v>
      </c>
      <c r="G26" s="17">
        <v>0</v>
      </c>
      <c r="H26" s="8">
        <v>4</v>
      </c>
      <c r="I26" s="291" t="s">
        <v>53</v>
      </c>
      <c r="J26" s="291"/>
      <c r="K26" s="291"/>
      <c r="L26" s="16">
        <f t="shared" si="0"/>
        <v>0</v>
      </c>
      <c r="M26" s="17">
        <f t="shared" si="0"/>
        <v>0</v>
      </c>
      <c r="N26" s="36">
        <f t="shared" si="0"/>
        <v>0</v>
      </c>
      <c r="Y26" s="131">
        <v>160</v>
      </c>
      <c r="Z26" s="131">
        <v>57</v>
      </c>
      <c r="AA26" s="131" t="s">
        <v>72</v>
      </c>
      <c r="AC26" s="131">
        <v>160</v>
      </c>
      <c r="AD26" s="131">
        <v>82.5</v>
      </c>
      <c r="AE26" s="131" t="s">
        <v>239</v>
      </c>
    </row>
    <row r="27" spans="1:31" ht="15.75" x14ac:dyDescent="0.25">
      <c r="A27" s="289">
        <v>0</v>
      </c>
      <c r="B27" s="290"/>
      <c r="C27" s="295" t="s">
        <v>51</v>
      </c>
      <c r="D27" s="296"/>
      <c r="E27" s="296"/>
      <c r="F27" s="16">
        <v>0</v>
      </c>
      <c r="G27" s="17">
        <v>0</v>
      </c>
      <c r="H27" s="8">
        <v>0</v>
      </c>
      <c r="I27" s="291"/>
      <c r="J27" s="291"/>
      <c r="K27" s="291"/>
      <c r="L27" s="16">
        <f t="shared" si="0"/>
        <v>0</v>
      </c>
      <c r="M27" s="17">
        <f t="shared" si="0"/>
        <v>0</v>
      </c>
      <c r="N27" s="36">
        <f t="shared" si="0"/>
        <v>0</v>
      </c>
      <c r="Y27" s="131">
        <v>180</v>
      </c>
      <c r="Z27" s="131">
        <v>61</v>
      </c>
      <c r="AA27" s="131" t="s">
        <v>72</v>
      </c>
      <c r="AC27" s="131">
        <v>180</v>
      </c>
      <c r="AD27" s="131">
        <v>87</v>
      </c>
      <c r="AE27" s="131" t="s">
        <v>239</v>
      </c>
    </row>
    <row r="28" spans="1:31" ht="16.5" thickBot="1" x14ac:dyDescent="0.3">
      <c r="A28" s="299">
        <v>0</v>
      </c>
      <c r="B28" s="300"/>
      <c r="C28" s="332" t="s">
        <v>51</v>
      </c>
      <c r="D28" s="327"/>
      <c r="E28" s="327"/>
      <c r="F28" s="37">
        <v>0</v>
      </c>
      <c r="G28" s="38">
        <v>0</v>
      </c>
      <c r="H28" s="39">
        <v>0</v>
      </c>
      <c r="I28" s="301"/>
      <c r="J28" s="301"/>
      <c r="K28" s="301"/>
      <c r="L28" s="37">
        <f t="shared" si="0"/>
        <v>0</v>
      </c>
      <c r="M28" s="38">
        <f t="shared" si="0"/>
        <v>0</v>
      </c>
      <c r="N28" s="40">
        <f t="shared" si="0"/>
        <v>0</v>
      </c>
      <c r="O28" s="129" t="s">
        <v>389</v>
      </c>
      <c r="Y28" s="131">
        <v>200</v>
      </c>
      <c r="Z28" s="131">
        <v>65</v>
      </c>
      <c r="AA28" s="131" t="s">
        <v>72</v>
      </c>
      <c r="AC28" s="131">
        <v>200</v>
      </c>
      <c r="AD28" s="131">
        <v>91.5</v>
      </c>
      <c r="AE28" s="131" t="s">
        <v>239</v>
      </c>
    </row>
    <row r="29" spans="1:31" ht="17.25" thickTop="1" thickBot="1" x14ac:dyDescent="0.3">
      <c r="A29" s="1"/>
      <c r="B29" s="1"/>
      <c r="C29" s="1"/>
      <c r="D29" s="1"/>
      <c r="E29" s="1"/>
      <c r="F29" s="1"/>
      <c r="G29" s="1"/>
      <c r="H29" s="1"/>
      <c r="I29" s="451" t="s">
        <v>287</v>
      </c>
      <c r="J29" s="452"/>
      <c r="K29" s="452"/>
      <c r="L29" s="223">
        <f>SUM(L9:L28)</f>
        <v>0.75</v>
      </c>
      <c r="M29" s="223">
        <f>SUM(M9:M28)</f>
        <v>0.75</v>
      </c>
      <c r="N29" s="223">
        <f>SUM(N9:N28)</f>
        <v>1</v>
      </c>
      <c r="Y29" s="131">
        <v>225</v>
      </c>
      <c r="Z29" s="131">
        <v>70</v>
      </c>
      <c r="AA29" s="131" t="s">
        <v>72</v>
      </c>
      <c r="AC29" s="131">
        <v>225</v>
      </c>
      <c r="AD29" s="131">
        <v>97</v>
      </c>
      <c r="AE29" s="131" t="s">
        <v>239</v>
      </c>
    </row>
    <row r="30" spans="1:31" ht="16.5" thickBot="1" x14ac:dyDescent="0.3">
      <c r="A30" s="1"/>
      <c r="B30" s="1"/>
      <c r="C30" s="1"/>
      <c r="D30" s="1"/>
      <c r="E30" s="1"/>
      <c r="F30" s="1"/>
      <c r="G30" s="1"/>
      <c r="H30" s="1"/>
      <c r="I30" s="451" t="s">
        <v>291</v>
      </c>
      <c r="J30" s="452"/>
      <c r="K30" s="452"/>
      <c r="L30" s="222">
        <f>SUM(U4+U7)</f>
        <v>2</v>
      </c>
      <c r="M30" s="222">
        <f>SUM(V4+V7)</f>
        <v>2</v>
      </c>
      <c r="N30" s="222">
        <f>SUM(W4+W7)</f>
        <v>2</v>
      </c>
      <c r="Y30" s="131">
        <v>250</v>
      </c>
      <c r="Z30" s="131">
        <v>75</v>
      </c>
      <c r="AA30" s="131" t="s">
        <v>72</v>
      </c>
      <c r="AC30" s="131">
        <v>250</v>
      </c>
      <c r="AD30" s="131">
        <v>101</v>
      </c>
      <c r="AE30" s="131" t="s">
        <v>239</v>
      </c>
    </row>
    <row r="31" spans="1:31" x14ac:dyDescent="0.2">
      <c r="Y31" s="131">
        <v>275</v>
      </c>
      <c r="Z31" s="131">
        <v>80</v>
      </c>
      <c r="AA31" s="131" t="s">
        <v>239</v>
      </c>
      <c r="AC31" s="131">
        <v>275</v>
      </c>
      <c r="AD31" s="131">
        <v>106</v>
      </c>
      <c r="AE31" s="131" t="s">
        <v>239</v>
      </c>
    </row>
    <row r="32" spans="1:31" x14ac:dyDescent="0.2">
      <c r="Y32" s="131">
        <v>300</v>
      </c>
      <c r="Z32" s="131">
        <v>85</v>
      </c>
      <c r="AA32" s="131" t="s">
        <v>239</v>
      </c>
      <c r="AC32" s="131">
        <v>300</v>
      </c>
      <c r="AD32" s="131">
        <v>110</v>
      </c>
      <c r="AE32" s="131" t="s">
        <v>239</v>
      </c>
    </row>
    <row r="33" spans="1:31" ht="13.5" thickBot="1" x14ac:dyDescent="0.25">
      <c r="A33" s="224"/>
      <c r="B33" s="224"/>
      <c r="C33" s="224"/>
      <c r="D33" s="224"/>
      <c r="E33" s="224"/>
      <c r="F33" s="224"/>
      <c r="G33" s="224"/>
      <c r="H33" s="224"/>
      <c r="Y33" s="131">
        <v>350</v>
      </c>
      <c r="Z33" s="131">
        <v>95</v>
      </c>
      <c r="AA33" s="131" t="s">
        <v>239</v>
      </c>
      <c r="AC33" s="131">
        <v>350</v>
      </c>
      <c r="AD33" s="131">
        <v>119</v>
      </c>
      <c r="AE33" s="131" t="s">
        <v>75</v>
      </c>
    </row>
    <row r="34" spans="1:31" ht="17.25" thickTop="1" thickBot="1" x14ac:dyDescent="0.3">
      <c r="A34" s="348" t="s">
        <v>36</v>
      </c>
      <c r="B34" s="349"/>
      <c r="C34" s="349"/>
      <c r="D34" s="432"/>
      <c r="E34" s="350" t="s">
        <v>35</v>
      </c>
      <c r="F34" s="351"/>
      <c r="G34" s="351"/>
      <c r="H34" s="352"/>
      <c r="Y34" s="131">
        <v>400</v>
      </c>
      <c r="Z34" s="131">
        <v>105</v>
      </c>
      <c r="AA34" s="131" t="s">
        <v>239</v>
      </c>
      <c r="AC34" s="131">
        <v>400</v>
      </c>
      <c r="AD34" s="131">
        <v>126</v>
      </c>
      <c r="AE34" s="131" t="s">
        <v>75</v>
      </c>
    </row>
    <row r="35" spans="1:31" ht="17.25" thickTop="1" thickBot="1" x14ac:dyDescent="0.3">
      <c r="A35" s="57" t="s">
        <v>204</v>
      </c>
      <c r="B35" s="418" t="s">
        <v>291</v>
      </c>
      <c r="C35" s="419"/>
      <c r="D35" s="420"/>
      <c r="E35" s="57" t="s">
        <v>204</v>
      </c>
      <c r="F35" s="418" t="s">
        <v>291</v>
      </c>
      <c r="G35" s="419"/>
      <c r="H35" s="420"/>
      <c r="Y35" s="131">
        <v>450</v>
      </c>
      <c r="Z35" s="131">
        <v>115</v>
      </c>
      <c r="AA35" s="131" t="s">
        <v>239</v>
      </c>
      <c r="AC35" s="131">
        <v>450</v>
      </c>
      <c r="AD35" s="131">
        <v>138</v>
      </c>
      <c r="AE35" s="131" t="s">
        <v>75</v>
      </c>
    </row>
    <row r="36" spans="1:31" ht="15" customHeight="1" thickBot="1" x14ac:dyDescent="0.25">
      <c r="A36" s="111" t="str">
        <f>U10</f>
        <v>1/2"</v>
      </c>
      <c r="B36" s="476">
        <f>L30</f>
        <v>2</v>
      </c>
      <c r="C36" s="434"/>
      <c r="D36" s="435"/>
      <c r="E36" s="111" t="str">
        <f>V10</f>
        <v>1/2"</v>
      </c>
      <c r="F36" s="476">
        <f>M30</f>
        <v>2</v>
      </c>
      <c r="G36" s="477"/>
      <c r="H36" s="478"/>
      <c r="Y36" s="131">
        <v>500</v>
      </c>
      <c r="Z36" s="131">
        <v>125</v>
      </c>
      <c r="AA36" s="131" t="s">
        <v>75</v>
      </c>
      <c r="AC36" s="131">
        <v>500</v>
      </c>
      <c r="AD36" s="131">
        <v>145</v>
      </c>
      <c r="AE36" s="131" t="s">
        <v>75</v>
      </c>
    </row>
    <row r="37" spans="1:31" ht="15" customHeight="1" thickTop="1" x14ac:dyDescent="0.25">
      <c r="P37" s="1"/>
      <c r="Y37" s="131">
        <v>600</v>
      </c>
      <c r="Z37" s="131">
        <v>145</v>
      </c>
      <c r="AA37" s="131" t="s">
        <v>75</v>
      </c>
      <c r="AC37" s="131">
        <v>600</v>
      </c>
      <c r="AD37" s="131">
        <v>160</v>
      </c>
      <c r="AE37" s="131" t="s">
        <v>75</v>
      </c>
    </row>
    <row r="38" spans="1:31" ht="15" customHeight="1" x14ac:dyDescent="0.25">
      <c r="O38" s="1"/>
      <c r="Y38" s="131">
        <v>750</v>
      </c>
      <c r="Z38" s="131">
        <v>170</v>
      </c>
      <c r="AA38" s="131" t="s">
        <v>75</v>
      </c>
      <c r="AC38" s="131">
        <v>750</v>
      </c>
      <c r="AD38" s="131">
        <v>178</v>
      </c>
      <c r="AE38" s="131" t="s">
        <v>75</v>
      </c>
    </row>
    <row r="39" spans="1:31" ht="15" customHeight="1" thickBot="1" x14ac:dyDescent="0.25">
      <c r="A39" s="224"/>
      <c r="B39" s="224"/>
      <c r="C39" s="224"/>
      <c r="D39" s="224"/>
      <c r="Y39" s="131">
        <v>1000</v>
      </c>
      <c r="Z39" s="131">
        <v>208</v>
      </c>
      <c r="AA39" s="131" t="s">
        <v>155</v>
      </c>
      <c r="AC39" s="131">
        <v>1000</v>
      </c>
      <c r="AD39" s="131">
        <v>208</v>
      </c>
      <c r="AE39" s="131" t="s">
        <v>155</v>
      </c>
    </row>
    <row r="40" spans="1:31" ht="15" customHeight="1" thickTop="1" thickBot="1" x14ac:dyDescent="0.3">
      <c r="A40" s="334" t="s">
        <v>203</v>
      </c>
      <c r="B40" s="335"/>
      <c r="C40" s="335"/>
      <c r="D40" s="336"/>
      <c r="Y40" s="131">
        <v>1250</v>
      </c>
      <c r="Z40" s="131">
        <v>240</v>
      </c>
      <c r="AA40" s="131" t="s">
        <v>155</v>
      </c>
      <c r="AC40" s="131">
        <v>1250</v>
      </c>
      <c r="AD40" s="131">
        <v>240</v>
      </c>
      <c r="AE40" s="131" t="s">
        <v>155</v>
      </c>
    </row>
    <row r="41" spans="1:31" ht="15" customHeight="1" thickTop="1" thickBot="1" x14ac:dyDescent="0.3">
      <c r="A41" s="57" t="s">
        <v>204</v>
      </c>
      <c r="B41" s="418" t="s">
        <v>291</v>
      </c>
      <c r="C41" s="419"/>
      <c r="D41" s="420"/>
      <c r="Y41" s="131">
        <v>1500</v>
      </c>
      <c r="Z41" s="131">
        <v>267</v>
      </c>
      <c r="AA41" s="131" t="s">
        <v>155</v>
      </c>
      <c r="AC41" s="131">
        <v>1500</v>
      </c>
      <c r="AD41" s="131">
        <v>267</v>
      </c>
      <c r="AE41" s="131" t="s">
        <v>155</v>
      </c>
    </row>
    <row r="42" spans="1:31" ht="15" customHeight="1" thickBot="1" x14ac:dyDescent="0.25">
      <c r="A42" s="111" t="str">
        <f>W10</f>
        <v>3/4"</v>
      </c>
      <c r="B42" s="476">
        <f>N30</f>
        <v>2</v>
      </c>
      <c r="C42" s="477"/>
      <c r="D42" s="478"/>
      <c r="Y42" s="131">
        <v>1750</v>
      </c>
      <c r="Z42" s="131">
        <v>294</v>
      </c>
      <c r="AA42" s="131" t="s">
        <v>155</v>
      </c>
      <c r="AC42" s="131">
        <v>1750</v>
      </c>
      <c r="AD42" s="131">
        <v>294</v>
      </c>
      <c r="AE42" s="131" t="s">
        <v>155</v>
      </c>
    </row>
    <row r="43" spans="1:31" ht="15" customHeight="1" thickTop="1" x14ac:dyDescent="0.2">
      <c r="A43" s="449" t="str">
        <f>IF(Q9="pex","Max GPM is 51.7","")</f>
        <v/>
      </c>
      <c r="B43" s="449"/>
      <c r="C43" s="449"/>
      <c r="D43" s="449"/>
      <c r="Y43" s="131">
        <v>2000</v>
      </c>
      <c r="Z43" s="131">
        <v>320</v>
      </c>
      <c r="AA43" s="131" t="s">
        <v>387</v>
      </c>
      <c r="AC43" s="131">
        <v>2000</v>
      </c>
      <c r="AD43" s="131">
        <v>321</v>
      </c>
      <c r="AE43" s="131" t="s">
        <v>301</v>
      </c>
    </row>
    <row r="44" spans="1:31" ht="15" customHeight="1" x14ac:dyDescent="0.2"/>
    <row r="45" spans="1:31" ht="15" customHeight="1" x14ac:dyDescent="0.25">
      <c r="A45" s="219" t="s">
        <v>419</v>
      </c>
      <c r="F45" s="66"/>
    </row>
    <row r="46" spans="1:31" ht="15" customHeight="1" x14ac:dyDescent="0.2"/>
    <row r="47" spans="1:31" ht="15" customHeight="1" x14ac:dyDescent="0.2"/>
    <row r="48" spans="1:31" ht="15" customHeight="1" x14ac:dyDescent="0.2"/>
    <row r="49" spans="1:14" ht="15" customHeight="1" x14ac:dyDescent="0.2"/>
    <row r="50" spans="1:14" ht="15" customHeight="1" x14ac:dyDescent="0.2"/>
    <row r="51" spans="1:14" ht="15" customHeight="1" x14ac:dyDescent="0.2"/>
    <row r="52" spans="1:14" ht="15" customHeight="1" x14ac:dyDescent="0.2"/>
    <row r="53" spans="1:14" ht="15" customHeight="1" x14ac:dyDescent="0.2"/>
    <row r="54" spans="1:14" ht="15" customHeight="1" x14ac:dyDescent="0.2"/>
    <row r="55" spans="1:14" ht="15" customHeight="1" x14ac:dyDescent="0.2"/>
    <row r="56" spans="1:14" ht="15" customHeight="1" x14ac:dyDescent="0.2"/>
    <row r="57" spans="1:14" ht="15" customHeight="1" x14ac:dyDescent="0.2"/>
    <row r="58" spans="1:14" ht="15" customHeight="1" x14ac:dyDescent="0.25">
      <c r="A58" s="6"/>
      <c r="B58" s="5"/>
      <c r="C58" s="5"/>
      <c r="D58" s="6"/>
      <c r="E58" s="5"/>
      <c r="F58" s="5"/>
      <c r="G58" s="6"/>
      <c r="H58" s="5"/>
      <c r="I58" s="5"/>
      <c r="J58" s="6"/>
      <c r="K58" s="5"/>
      <c r="L58" s="5"/>
      <c r="M58" s="6"/>
      <c r="N58" s="5"/>
    </row>
    <row r="59" spans="1:14" ht="15" customHeight="1" x14ac:dyDescent="0.25">
      <c r="A59" s="1"/>
      <c r="B59" s="1"/>
      <c r="C59" s="1"/>
      <c r="D59" s="1"/>
      <c r="E59" s="1"/>
      <c r="F59" s="144"/>
      <c r="G59" s="144"/>
      <c r="H59" s="144"/>
      <c r="I59" s="1"/>
      <c r="J59" s="1"/>
      <c r="K59" s="1"/>
      <c r="L59" s="1"/>
      <c r="M59" s="1"/>
    </row>
    <row r="60" spans="1:14" ht="15" customHeight="1" x14ac:dyDescent="0.25">
      <c r="D60" s="145"/>
      <c r="E60" s="145"/>
      <c r="F60" s="12"/>
      <c r="G60" s="12"/>
      <c r="H60" s="12"/>
      <c r="I60" s="1"/>
      <c r="J60" s="1"/>
      <c r="K60" s="1"/>
      <c r="L60" s="1"/>
    </row>
    <row r="61" spans="1:14" ht="15" customHeight="1" x14ac:dyDescent="0.25">
      <c r="A61" s="1"/>
      <c r="D61" s="145"/>
      <c r="E61" s="145"/>
      <c r="F61" s="12"/>
      <c r="G61" s="12"/>
      <c r="H61" s="12"/>
      <c r="I61" s="1"/>
      <c r="J61" s="1"/>
      <c r="K61" s="1"/>
      <c r="L61" s="1"/>
    </row>
    <row r="62" spans="1:14" ht="15" customHeight="1" x14ac:dyDescent="0.25">
      <c r="A62" s="1"/>
      <c r="D62" s="145"/>
      <c r="E62" s="145"/>
      <c r="F62" s="12"/>
      <c r="G62" s="12"/>
      <c r="H62" s="12"/>
      <c r="I62" s="1"/>
      <c r="J62" s="1"/>
      <c r="K62" s="1"/>
      <c r="L62" s="1"/>
    </row>
    <row r="63" spans="1:14" ht="15" customHeight="1" x14ac:dyDescent="0.25">
      <c r="A63" s="1"/>
      <c r="D63" s="145"/>
      <c r="E63" s="145"/>
      <c r="F63" s="12"/>
      <c r="G63" s="12"/>
      <c r="H63" s="12"/>
      <c r="I63" s="1"/>
      <c r="J63" s="1"/>
      <c r="K63" s="1"/>
      <c r="L63" s="1"/>
    </row>
    <row r="64" spans="1:14" ht="15" customHeight="1" x14ac:dyDescent="0.25">
      <c r="A64" s="1"/>
      <c r="D64" s="145"/>
      <c r="E64" s="145"/>
      <c r="F64" s="12"/>
      <c r="G64" s="12"/>
      <c r="H64" s="12"/>
      <c r="I64" s="1"/>
      <c r="J64" s="1"/>
      <c r="K64" s="1"/>
      <c r="L64" s="1"/>
    </row>
    <row r="65" spans="1:15" ht="1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5"/>
    </row>
    <row r="66" spans="1:15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5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5" ht="15" customHeight="1" x14ac:dyDescent="0.2"/>
    <row r="69" spans="1:15" ht="15" customHeight="1" x14ac:dyDescent="0.2"/>
    <row r="70" spans="1:15" ht="15" customHeight="1" x14ac:dyDescent="0.2"/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</sheetData>
  <mergeCells count="84">
    <mergeCell ref="D1:L2"/>
    <mergeCell ref="U2:W2"/>
    <mergeCell ref="A4:N4"/>
    <mergeCell ref="A5:N5"/>
    <mergeCell ref="A6:N6"/>
    <mergeCell ref="U6:W6"/>
    <mergeCell ref="A7:B8"/>
    <mergeCell ref="C7:E8"/>
    <mergeCell ref="F7:H7"/>
    <mergeCell ref="I7:K8"/>
    <mergeCell ref="L7:N7"/>
    <mergeCell ref="A9:B9"/>
    <mergeCell ref="C9:E9"/>
    <mergeCell ref="I9:K9"/>
    <mergeCell ref="A10:B10"/>
    <mergeCell ref="C10:E10"/>
    <mergeCell ref="I10:K10"/>
    <mergeCell ref="A11:B11"/>
    <mergeCell ref="C11:E11"/>
    <mergeCell ref="I11:K11"/>
    <mergeCell ref="A12:B12"/>
    <mergeCell ref="C12:E12"/>
    <mergeCell ref="I12:K12"/>
    <mergeCell ref="A13:B13"/>
    <mergeCell ref="C13:E13"/>
    <mergeCell ref="I13:K13"/>
    <mergeCell ref="A14:B14"/>
    <mergeCell ref="C14:E14"/>
    <mergeCell ref="I14:K14"/>
    <mergeCell ref="A15:B15"/>
    <mergeCell ref="C15:E15"/>
    <mergeCell ref="I15:K15"/>
    <mergeCell ref="A16:B16"/>
    <mergeCell ref="C16:E16"/>
    <mergeCell ref="I16:K16"/>
    <mergeCell ref="A17:B17"/>
    <mergeCell ref="C17:E17"/>
    <mergeCell ref="I17:K17"/>
    <mergeCell ref="A18:B18"/>
    <mergeCell ref="C18:E18"/>
    <mergeCell ref="I18:K18"/>
    <mergeCell ref="A21:B21"/>
    <mergeCell ref="C21:E21"/>
    <mergeCell ref="I21:K21"/>
    <mergeCell ref="A19:B19"/>
    <mergeCell ref="C19:E19"/>
    <mergeCell ref="I19:K19"/>
    <mergeCell ref="A20:B20"/>
    <mergeCell ref="C20:E20"/>
    <mergeCell ref="I20:K20"/>
    <mergeCell ref="A22:B22"/>
    <mergeCell ref="C22:E22"/>
    <mergeCell ref="I22:K22"/>
    <mergeCell ref="A23:B23"/>
    <mergeCell ref="C23:E23"/>
    <mergeCell ref="I23:K23"/>
    <mergeCell ref="I28:K28"/>
    <mergeCell ref="C27:E27"/>
    <mergeCell ref="C28:E28"/>
    <mergeCell ref="A24:B24"/>
    <mergeCell ref="I24:K24"/>
    <mergeCell ref="A25:B25"/>
    <mergeCell ref="I25:K25"/>
    <mergeCell ref="A26:B26"/>
    <mergeCell ref="I26:K26"/>
    <mergeCell ref="C26:E26"/>
    <mergeCell ref="C24:E24"/>
    <mergeCell ref="C25:E25"/>
    <mergeCell ref="U9:W9"/>
    <mergeCell ref="A40:D40"/>
    <mergeCell ref="B41:D41"/>
    <mergeCell ref="B42:D42"/>
    <mergeCell ref="A43:D43"/>
    <mergeCell ref="B35:D35"/>
    <mergeCell ref="F35:H35"/>
    <mergeCell ref="B36:D36"/>
    <mergeCell ref="F36:H36"/>
    <mergeCell ref="A34:D34"/>
    <mergeCell ref="E34:H34"/>
    <mergeCell ref="I29:K29"/>
    <mergeCell ref="I30:K30"/>
    <mergeCell ref="A27:B27"/>
    <mergeCell ref="I27:K27"/>
    <mergeCell ref="A28:B28"/>
  </mergeCells>
  <printOptions horizontalCentered="1"/>
  <pageMargins left="0.25" right="0.25" top="0.25" bottom="0.25" header="0" footer="0"/>
  <pageSetup scale="64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8BAC-B4DE-4541-A4E1-1A0FC5B5D55D}">
  <sheetPr>
    <pageSetUpPr fitToPage="1"/>
  </sheetPr>
  <dimension ref="A1:W71"/>
  <sheetViews>
    <sheetView zoomScaleNormal="100" workbookViewId="0">
      <selection activeCell="A8" sqref="A8:B8"/>
    </sheetView>
  </sheetViews>
  <sheetFormatPr defaultRowHeight="15.75" customHeight="1" x14ac:dyDescent="0.2"/>
  <cols>
    <col min="1" max="6" width="8.7109375" customWidth="1"/>
    <col min="7" max="7" width="13.85546875" bestFit="1" customWidth="1"/>
    <col min="8" max="12" width="8.7109375" customWidth="1"/>
    <col min="13" max="13" width="9.42578125" customWidth="1"/>
    <col min="14" max="14" width="8.7109375" customWidth="1"/>
    <col min="15" max="15" width="8.7109375" style="13" customWidth="1"/>
    <col min="16" max="17" width="8.7109375" customWidth="1"/>
    <col min="18" max="18" width="26.7109375" customWidth="1"/>
    <col min="19" max="31" width="8.7109375" customWidth="1"/>
  </cols>
  <sheetData>
    <row r="1" spans="1:18" ht="17.25" thickTop="1" thickBot="1" x14ac:dyDescent="0.3">
      <c r="D1" s="298" t="s">
        <v>217</v>
      </c>
      <c r="E1" s="298"/>
      <c r="F1" s="298"/>
      <c r="G1" s="298"/>
      <c r="H1" s="298"/>
      <c r="I1" s="298"/>
      <c r="J1" s="298"/>
      <c r="K1" s="298"/>
      <c r="L1" s="298"/>
      <c r="M1" s="1"/>
      <c r="O1"/>
    </row>
    <row r="2" spans="1:18" ht="17.25" thickTop="1" thickBot="1" x14ac:dyDescent="0.3">
      <c r="D2" s="298"/>
      <c r="E2" s="298"/>
      <c r="F2" s="298"/>
      <c r="G2" s="298"/>
      <c r="H2" s="298"/>
      <c r="I2" s="298"/>
      <c r="J2" s="298"/>
      <c r="K2" s="298"/>
      <c r="L2" s="298"/>
      <c r="M2" s="1"/>
      <c r="O2"/>
    </row>
    <row r="3" spans="1:18" ht="17.25" thickTop="1" thickBot="1" x14ac:dyDescent="0.3">
      <c r="M3" s="1"/>
      <c r="O3"/>
    </row>
    <row r="4" spans="1:18" ht="30" customHeight="1" thickTop="1" x14ac:dyDescent="0.2">
      <c r="A4" s="483" t="s">
        <v>391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225"/>
      <c r="O4" s="226"/>
    </row>
    <row r="5" spans="1:18" ht="15.75" customHeight="1" x14ac:dyDescent="0.2">
      <c r="A5" s="374" t="s">
        <v>392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227"/>
      <c r="O5" s="228"/>
    </row>
    <row r="6" spans="1:18" ht="15.75" customHeight="1" thickBot="1" x14ac:dyDescent="0.25">
      <c r="A6" s="229"/>
      <c r="B6" s="485"/>
      <c r="C6" s="485"/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227"/>
      <c r="O6" s="228"/>
      <c r="P6" s="113"/>
      <c r="Q6" s="128"/>
      <c r="R6" s="149"/>
    </row>
    <row r="7" spans="1:18" ht="15.75" customHeight="1" x14ac:dyDescent="0.25">
      <c r="A7" s="377" t="s">
        <v>39</v>
      </c>
      <c r="B7" s="286"/>
      <c r="C7" s="378" t="s">
        <v>38</v>
      </c>
      <c r="D7" s="378"/>
      <c r="E7" s="378"/>
      <c r="F7" s="378"/>
      <c r="G7" s="378"/>
      <c r="H7" s="378" t="s">
        <v>37</v>
      </c>
      <c r="I7" s="378"/>
      <c r="J7" s="62"/>
      <c r="K7" s="378" t="s">
        <v>112</v>
      </c>
      <c r="L7" s="378"/>
      <c r="M7" s="63" t="s">
        <v>32</v>
      </c>
      <c r="O7"/>
      <c r="R7" s="149"/>
    </row>
    <row r="8" spans="1:18" ht="15.75" customHeight="1" x14ac:dyDescent="0.25">
      <c r="A8" s="358">
        <v>0</v>
      </c>
      <c r="B8" s="359"/>
      <c r="C8" s="304" t="s">
        <v>393</v>
      </c>
      <c r="D8" s="304"/>
      <c r="E8" s="304"/>
      <c r="F8" s="304"/>
      <c r="G8" s="304"/>
      <c r="H8" s="360">
        <v>7</v>
      </c>
      <c r="I8" s="360"/>
      <c r="J8" s="3" t="s">
        <v>0</v>
      </c>
      <c r="K8" s="360" t="s">
        <v>223</v>
      </c>
      <c r="L8" s="360"/>
      <c r="M8" s="59">
        <f>H8*A8</f>
        <v>0</v>
      </c>
      <c r="O8"/>
    </row>
    <row r="9" spans="1:18" ht="15.75" customHeight="1" x14ac:dyDescent="0.25">
      <c r="A9" s="358">
        <v>0</v>
      </c>
      <c r="B9" s="359"/>
      <c r="C9" s="304" t="s">
        <v>394</v>
      </c>
      <c r="D9" s="304"/>
      <c r="E9" s="304"/>
      <c r="F9" s="304"/>
      <c r="G9" s="304"/>
      <c r="H9" s="360">
        <v>11</v>
      </c>
      <c r="I9" s="360"/>
      <c r="J9" s="3" t="s">
        <v>0</v>
      </c>
      <c r="K9" s="360" t="s">
        <v>223</v>
      </c>
      <c r="L9" s="360"/>
      <c r="M9" s="59">
        <f t="shared" ref="M9:M30" si="0">H9*A9</f>
        <v>0</v>
      </c>
      <c r="O9"/>
    </row>
    <row r="10" spans="1:18" ht="15.75" customHeight="1" x14ac:dyDescent="0.25">
      <c r="A10" s="358">
        <v>0</v>
      </c>
      <c r="B10" s="359"/>
      <c r="C10" s="304" t="s">
        <v>395</v>
      </c>
      <c r="D10" s="304"/>
      <c r="E10" s="304"/>
      <c r="F10" s="304"/>
      <c r="G10" s="304"/>
      <c r="H10" s="360">
        <v>2</v>
      </c>
      <c r="I10" s="360"/>
      <c r="J10" s="3" t="s">
        <v>0</v>
      </c>
      <c r="K10" s="439" t="s">
        <v>224</v>
      </c>
      <c r="L10" s="440"/>
      <c r="M10" s="59">
        <f t="shared" si="0"/>
        <v>0</v>
      </c>
      <c r="O10"/>
    </row>
    <row r="11" spans="1:18" ht="15.75" customHeight="1" x14ac:dyDescent="0.25">
      <c r="A11" s="358">
        <v>0</v>
      </c>
      <c r="B11" s="359"/>
      <c r="C11" s="304" t="s">
        <v>41</v>
      </c>
      <c r="D11" s="304"/>
      <c r="E11" s="304"/>
      <c r="F11" s="304"/>
      <c r="G11" s="304"/>
      <c r="H11" s="360">
        <v>3</v>
      </c>
      <c r="I11" s="360"/>
      <c r="J11" s="3" t="s">
        <v>0</v>
      </c>
      <c r="K11" s="439" t="s">
        <v>72</v>
      </c>
      <c r="L11" s="440"/>
      <c r="M11" s="59">
        <f t="shared" si="0"/>
        <v>0</v>
      </c>
      <c r="O11"/>
    </row>
    <row r="12" spans="1:18" ht="15.75" customHeight="1" x14ac:dyDescent="0.25">
      <c r="A12" s="358">
        <v>0</v>
      </c>
      <c r="B12" s="359"/>
      <c r="C12" s="304" t="s">
        <v>165</v>
      </c>
      <c r="D12" s="304"/>
      <c r="E12" s="304"/>
      <c r="F12" s="304"/>
      <c r="G12" s="304"/>
      <c r="H12" s="360">
        <v>2</v>
      </c>
      <c r="I12" s="360"/>
      <c r="J12" s="3" t="s">
        <v>0</v>
      </c>
      <c r="K12" s="439" t="s">
        <v>224</v>
      </c>
      <c r="L12" s="440"/>
      <c r="M12" s="59">
        <f t="shared" si="0"/>
        <v>0</v>
      </c>
      <c r="O12"/>
    </row>
    <row r="13" spans="1:18" ht="15.75" customHeight="1" x14ac:dyDescent="0.25">
      <c r="A13" s="358">
        <v>0</v>
      </c>
      <c r="B13" s="359"/>
      <c r="C13" s="304" t="s">
        <v>396</v>
      </c>
      <c r="D13" s="304"/>
      <c r="E13" s="304"/>
      <c r="F13" s="304"/>
      <c r="G13" s="304"/>
      <c r="H13" s="360">
        <v>3</v>
      </c>
      <c r="I13" s="360"/>
      <c r="J13" s="3" t="s">
        <v>0</v>
      </c>
      <c r="K13" s="439" t="s">
        <v>72</v>
      </c>
      <c r="L13" s="440"/>
      <c r="M13" s="59">
        <f t="shared" si="0"/>
        <v>0</v>
      </c>
      <c r="O13"/>
    </row>
    <row r="14" spans="1:18" ht="15.75" customHeight="1" x14ac:dyDescent="0.25">
      <c r="A14" s="358">
        <v>0</v>
      </c>
      <c r="B14" s="359"/>
      <c r="C14" s="304" t="s">
        <v>397</v>
      </c>
      <c r="D14" s="304"/>
      <c r="E14" s="304"/>
      <c r="F14" s="304"/>
      <c r="G14" s="304"/>
      <c r="H14" s="360">
        <v>1</v>
      </c>
      <c r="I14" s="360"/>
      <c r="J14" s="3" t="s">
        <v>0</v>
      </c>
      <c r="K14" s="439" t="s">
        <v>223</v>
      </c>
      <c r="L14" s="440"/>
      <c r="M14" s="59">
        <f t="shared" si="0"/>
        <v>0</v>
      </c>
      <c r="O14"/>
    </row>
    <row r="15" spans="1:18" ht="15.75" customHeight="1" x14ac:dyDescent="0.25">
      <c r="A15" s="358">
        <v>0</v>
      </c>
      <c r="B15" s="359"/>
      <c r="C15" s="304" t="s">
        <v>398</v>
      </c>
      <c r="D15" s="304"/>
      <c r="E15" s="304"/>
      <c r="F15" s="304"/>
      <c r="G15" s="304"/>
      <c r="H15" s="482" t="s">
        <v>399</v>
      </c>
      <c r="I15" s="360"/>
      <c r="J15" s="3" t="s">
        <v>0</v>
      </c>
      <c r="K15" s="360" t="s">
        <v>55</v>
      </c>
      <c r="L15" s="440"/>
      <c r="M15" s="59">
        <f t="shared" si="0"/>
        <v>0</v>
      </c>
      <c r="O15"/>
    </row>
    <row r="16" spans="1:18" ht="15.75" customHeight="1" x14ac:dyDescent="0.25">
      <c r="A16" s="358">
        <v>0</v>
      </c>
      <c r="B16" s="359"/>
      <c r="C16" s="295" t="s">
        <v>400</v>
      </c>
      <c r="D16" s="296"/>
      <c r="E16" s="296"/>
      <c r="F16" s="296"/>
      <c r="G16" s="297"/>
      <c r="H16" s="360">
        <v>2</v>
      </c>
      <c r="I16" s="360"/>
      <c r="J16" s="3" t="s">
        <v>0</v>
      </c>
      <c r="K16" s="439" t="s">
        <v>224</v>
      </c>
      <c r="L16" s="440"/>
      <c r="M16" s="59">
        <f t="shared" si="0"/>
        <v>0</v>
      </c>
      <c r="O16"/>
    </row>
    <row r="17" spans="1:15" ht="15.75" customHeight="1" x14ac:dyDescent="0.25">
      <c r="A17" s="358">
        <v>0</v>
      </c>
      <c r="B17" s="359"/>
      <c r="C17" s="295" t="s">
        <v>401</v>
      </c>
      <c r="D17" s="296"/>
      <c r="E17" s="296"/>
      <c r="F17" s="296"/>
      <c r="G17" s="297"/>
      <c r="H17" s="360">
        <v>2</v>
      </c>
      <c r="I17" s="360"/>
      <c r="J17" s="3" t="s">
        <v>0</v>
      </c>
      <c r="K17" s="360" t="s">
        <v>72</v>
      </c>
      <c r="L17" s="360"/>
      <c r="M17" s="59">
        <f t="shared" si="0"/>
        <v>0</v>
      </c>
      <c r="O17"/>
    </row>
    <row r="18" spans="1:15" ht="15.75" customHeight="1" x14ac:dyDescent="0.25">
      <c r="A18" s="358">
        <v>0</v>
      </c>
      <c r="B18" s="359"/>
      <c r="C18" s="295" t="s">
        <v>402</v>
      </c>
      <c r="D18" s="296"/>
      <c r="E18" s="296"/>
      <c r="F18" s="296"/>
      <c r="G18" s="297"/>
      <c r="H18" s="360">
        <v>3</v>
      </c>
      <c r="I18" s="360"/>
      <c r="J18" s="3" t="s">
        <v>0</v>
      </c>
      <c r="K18" s="360" t="s">
        <v>72</v>
      </c>
      <c r="L18" s="360"/>
      <c r="M18" s="59">
        <f t="shared" si="0"/>
        <v>0</v>
      </c>
      <c r="O18"/>
    </row>
    <row r="19" spans="1:15" ht="15.75" customHeight="1" x14ac:dyDescent="0.25">
      <c r="A19" s="358">
        <v>0</v>
      </c>
      <c r="B19" s="359"/>
      <c r="C19" s="295" t="s">
        <v>231</v>
      </c>
      <c r="D19" s="296"/>
      <c r="E19" s="296"/>
      <c r="F19" s="296"/>
      <c r="G19" s="297"/>
      <c r="H19" s="360">
        <v>3</v>
      </c>
      <c r="I19" s="360"/>
      <c r="J19" s="3" t="s">
        <v>0</v>
      </c>
      <c r="K19" s="360" t="s">
        <v>72</v>
      </c>
      <c r="L19" s="360"/>
      <c r="M19" s="59">
        <f t="shared" si="0"/>
        <v>0</v>
      </c>
      <c r="O19"/>
    </row>
    <row r="20" spans="1:15" ht="15.75" customHeight="1" x14ac:dyDescent="0.25">
      <c r="A20" s="358">
        <v>0</v>
      </c>
      <c r="B20" s="359"/>
      <c r="C20" s="295" t="s">
        <v>403</v>
      </c>
      <c r="D20" s="296"/>
      <c r="E20" s="296"/>
      <c r="F20" s="296"/>
      <c r="G20" s="297"/>
      <c r="H20" s="360">
        <v>3</v>
      </c>
      <c r="I20" s="360"/>
      <c r="J20" s="3" t="s">
        <v>0</v>
      </c>
      <c r="K20" s="360" t="s">
        <v>72</v>
      </c>
      <c r="L20" s="360"/>
      <c r="M20" s="59">
        <f t="shared" si="0"/>
        <v>0</v>
      </c>
      <c r="O20"/>
    </row>
    <row r="21" spans="1:15" ht="15.75" customHeight="1" x14ac:dyDescent="0.2">
      <c r="A21" s="479" t="s">
        <v>404</v>
      </c>
      <c r="B21" s="480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1"/>
      <c r="O21"/>
    </row>
    <row r="22" spans="1:15" ht="15.75" customHeight="1" x14ac:dyDescent="0.25">
      <c r="A22" s="358">
        <v>0</v>
      </c>
      <c r="B22" s="359"/>
      <c r="C22" s="295" t="s">
        <v>405</v>
      </c>
      <c r="D22" s="296"/>
      <c r="E22" s="296"/>
      <c r="F22" s="296"/>
      <c r="G22" s="297"/>
      <c r="H22" s="360">
        <v>1</v>
      </c>
      <c r="I22" s="360"/>
      <c r="J22" s="3" t="s">
        <v>0</v>
      </c>
      <c r="K22" s="360" t="s">
        <v>223</v>
      </c>
      <c r="L22" s="360"/>
      <c r="M22" s="59">
        <f t="shared" si="0"/>
        <v>0</v>
      </c>
      <c r="O22"/>
    </row>
    <row r="23" spans="1:15" ht="15.75" customHeight="1" x14ac:dyDescent="0.25">
      <c r="A23" s="358">
        <v>0</v>
      </c>
      <c r="B23" s="359"/>
      <c r="C23" s="295" t="s">
        <v>406</v>
      </c>
      <c r="D23" s="296"/>
      <c r="E23" s="296"/>
      <c r="F23" s="296"/>
      <c r="G23" s="297"/>
      <c r="H23" s="360">
        <v>2</v>
      </c>
      <c r="I23" s="360"/>
      <c r="J23" s="3" t="s">
        <v>0</v>
      </c>
      <c r="K23" s="360" t="s">
        <v>224</v>
      </c>
      <c r="L23" s="360"/>
      <c r="M23" s="59">
        <f t="shared" si="0"/>
        <v>0</v>
      </c>
      <c r="O23"/>
    </row>
    <row r="24" spans="1:15" ht="15.75" customHeight="1" x14ac:dyDescent="0.25">
      <c r="A24" s="358">
        <v>0</v>
      </c>
      <c r="B24" s="359"/>
      <c r="C24" s="295" t="s">
        <v>407</v>
      </c>
      <c r="D24" s="296"/>
      <c r="E24" s="296"/>
      <c r="F24" s="296"/>
      <c r="G24" s="297"/>
      <c r="H24" s="360">
        <v>2</v>
      </c>
      <c r="I24" s="360"/>
      <c r="J24" s="3" t="s">
        <v>0</v>
      </c>
      <c r="K24" s="360" t="s">
        <v>224</v>
      </c>
      <c r="L24" s="360"/>
      <c r="M24" s="59">
        <f t="shared" si="0"/>
        <v>0</v>
      </c>
      <c r="O24"/>
    </row>
    <row r="25" spans="1:15" ht="15.75" customHeight="1" x14ac:dyDescent="0.25">
      <c r="A25" s="358">
        <v>0</v>
      </c>
      <c r="B25" s="359"/>
      <c r="C25" s="304" t="s">
        <v>233</v>
      </c>
      <c r="D25" s="304"/>
      <c r="E25" s="304"/>
      <c r="F25" s="304"/>
      <c r="G25" s="304"/>
      <c r="H25" s="360">
        <v>1</v>
      </c>
      <c r="I25" s="360"/>
      <c r="J25" s="3" t="s">
        <v>0</v>
      </c>
      <c r="K25" s="360" t="s">
        <v>223</v>
      </c>
      <c r="L25" s="360"/>
      <c r="M25" s="59">
        <f t="shared" si="0"/>
        <v>0</v>
      </c>
      <c r="O25"/>
    </row>
    <row r="26" spans="1:15" ht="15.75" customHeight="1" x14ac:dyDescent="0.25">
      <c r="A26" s="358">
        <v>0</v>
      </c>
      <c r="B26" s="359"/>
      <c r="C26" s="304" t="s">
        <v>238</v>
      </c>
      <c r="D26" s="304"/>
      <c r="E26" s="304"/>
      <c r="F26" s="304"/>
      <c r="G26" s="304"/>
      <c r="H26" s="360">
        <v>2</v>
      </c>
      <c r="I26" s="360"/>
      <c r="J26" s="3" t="s">
        <v>0</v>
      </c>
      <c r="K26" s="360" t="s">
        <v>224</v>
      </c>
      <c r="L26" s="360"/>
      <c r="M26" s="59">
        <f t="shared" si="0"/>
        <v>0</v>
      </c>
      <c r="O26"/>
    </row>
    <row r="27" spans="1:15" ht="15.75" customHeight="1" x14ac:dyDescent="0.25">
      <c r="A27" s="358">
        <v>0</v>
      </c>
      <c r="B27" s="359"/>
      <c r="C27" s="304" t="s">
        <v>237</v>
      </c>
      <c r="D27" s="304"/>
      <c r="E27" s="304"/>
      <c r="F27" s="304"/>
      <c r="G27" s="304"/>
      <c r="H27" s="360">
        <v>3</v>
      </c>
      <c r="I27" s="360"/>
      <c r="J27" s="3" t="s">
        <v>0</v>
      </c>
      <c r="K27" s="360" t="s">
        <v>72</v>
      </c>
      <c r="L27" s="360"/>
      <c r="M27" s="59">
        <f t="shared" si="0"/>
        <v>0</v>
      </c>
      <c r="O27"/>
    </row>
    <row r="28" spans="1:15" ht="15.75" customHeight="1" x14ac:dyDescent="0.25">
      <c r="A28" s="358">
        <v>0</v>
      </c>
      <c r="B28" s="359"/>
      <c r="C28" s="304" t="s">
        <v>236</v>
      </c>
      <c r="D28" s="304"/>
      <c r="E28" s="304"/>
      <c r="F28" s="304"/>
      <c r="G28" s="304"/>
      <c r="H28" s="360">
        <v>4</v>
      </c>
      <c r="I28" s="360"/>
      <c r="J28" s="3" t="s">
        <v>0</v>
      </c>
      <c r="K28" s="360" t="s">
        <v>239</v>
      </c>
      <c r="L28" s="360"/>
      <c r="M28" s="59">
        <f t="shared" si="0"/>
        <v>0</v>
      </c>
      <c r="O28"/>
    </row>
    <row r="29" spans="1:15" ht="15.75" customHeight="1" x14ac:dyDescent="0.25">
      <c r="A29" s="358">
        <v>0</v>
      </c>
      <c r="B29" s="359"/>
      <c r="C29" s="304" t="s">
        <v>235</v>
      </c>
      <c r="D29" s="304"/>
      <c r="E29" s="304"/>
      <c r="F29" s="304"/>
      <c r="G29" s="304"/>
      <c r="H29" s="360">
        <v>5</v>
      </c>
      <c r="I29" s="360"/>
      <c r="J29" s="3" t="s">
        <v>0</v>
      </c>
      <c r="K29" s="360" t="s">
        <v>75</v>
      </c>
      <c r="L29" s="360"/>
      <c r="M29" s="59">
        <f t="shared" si="0"/>
        <v>0</v>
      </c>
      <c r="O29"/>
    </row>
    <row r="30" spans="1:15" ht="15.75" customHeight="1" x14ac:dyDescent="0.25">
      <c r="A30" s="358">
        <v>0</v>
      </c>
      <c r="B30" s="359"/>
      <c r="C30" s="304" t="s">
        <v>234</v>
      </c>
      <c r="D30" s="304"/>
      <c r="E30" s="304"/>
      <c r="F30" s="304"/>
      <c r="G30" s="304"/>
      <c r="H30" s="360">
        <v>6</v>
      </c>
      <c r="I30" s="360"/>
      <c r="J30" s="3" t="s">
        <v>0</v>
      </c>
      <c r="K30" s="360" t="s">
        <v>155</v>
      </c>
      <c r="L30" s="360"/>
      <c r="M30" s="59">
        <f t="shared" si="0"/>
        <v>0</v>
      </c>
      <c r="O30"/>
    </row>
    <row r="31" spans="1:15" ht="15.75" customHeight="1" x14ac:dyDescent="0.2">
      <c r="A31" s="479" t="s">
        <v>119</v>
      </c>
      <c r="B31" s="48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1"/>
      <c r="O31"/>
    </row>
    <row r="32" spans="1:15" ht="15.75" customHeight="1" x14ac:dyDescent="0.25">
      <c r="A32" s="358">
        <v>0</v>
      </c>
      <c r="B32" s="359"/>
      <c r="C32" s="304" t="s">
        <v>408</v>
      </c>
      <c r="D32" s="304"/>
      <c r="E32" s="304"/>
      <c r="F32" s="304"/>
      <c r="G32" s="304"/>
      <c r="H32" s="360">
        <v>3</v>
      </c>
      <c r="I32" s="360"/>
      <c r="J32" s="3" t="s">
        <v>0</v>
      </c>
      <c r="K32" s="360" t="s">
        <v>224</v>
      </c>
      <c r="L32" s="360"/>
      <c r="M32" s="59">
        <f t="shared" ref="M32:M41" si="1">H32*A32</f>
        <v>0</v>
      </c>
      <c r="O32"/>
    </row>
    <row r="33" spans="1:23" ht="15.75" customHeight="1" x14ac:dyDescent="0.25">
      <c r="A33" s="358">
        <v>0</v>
      </c>
      <c r="B33" s="359"/>
      <c r="C33" s="304" t="s">
        <v>409</v>
      </c>
      <c r="D33" s="304"/>
      <c r="E33" s="304"/>
      <c r="F33" s="304"/>
      <c r="G33" s="304"/>
      <c r="H33" s="360">
        <v>4</v>
      </c>
      <c r="I33" s="360"/>
      <c r="J33" s="3" t="s">
        <v>0</v>
      </c>
      <c r="K33" s="360" t="s">
        <v>224</v>
      </c>
      <c r="L33" s="360"/>
      <c r="M33" s="59">
        <f t="shared" si="1"/>
        <v>0</v>
      </c>
      <c r="O33"/>
    </row>
    <row r="34" spans="1:23" ht="15.75" customHeight="1" x14ac:dyDescent="0.25">
      <c r="A34" s="358">
        <v>0</v>
      </c>
      <c r="B34" s="359"/>
      <c r="C34" s="304" t="s">
        <v>241</v>
      </c>
      <c r="D34" s="304"/>
      <c r="E34" s="304"/>
      <c r="F34" s="304"/>
      <c r="G34" s="304"/>
      <c r="H34" s="360">
        <v>8</v>
      </c>
      <c r="I34" s="360"/>
      <c r="J34" s="3" t="s">
        <v>0</v>
      </c>
      <c r="K34" s="360" t="s">
        <v>75</v>
      </c>
      <c r="L34" s="360"/>
      <c r="M34" s="59">
        <f t="shared" si="1"/>
        <v>0</v>
      </c>
      <c r="O34"/>
    </row>
    <row r="35" spans="1:23" ht="15.75" customHeight="1" x14ac:dyDescent="0.25">
      <c r="A35" s="358">
        <v>0</v>
      </c>
      <c r="B35" s="359"/>
      <c r="C35" s="304" t="s">
        <v>410</v>
      </c>
      <c r="D35" s="304"/>
      <c r="E35" s="304"/>
      <c r="F35" s="304"/>
      <c r="G35" s="304"/>
      <c r="H35" s="360">
        <v>2</v>
      </c>
      <c r="I35" s="360"/>
      <c r="J35" s="3" t="s">
        <v>0</v>
      </c>
      <c r="K35" s="360" t="s">
        <v>224</v>
      </c>
      <c r="L35" s="360"/>
      <c r="M35" s="59">
        <f t="shared" si="1"/>
        <v>0</v>
      </c>
      <c r="O35"/>
    </row>
    <row r="36" spans="1:23" ht="15.75" customHeight="1" x14ac:dyDescent="0.25">
      <c r="A36" s="358">
        <v>0</v>
      </c>
      <c r="B36" s="358"/>
      <c r="C36" s="295" t="s">
        <v>411</v>
      </c>
      <c r="D36" s="295"/>
      <c r="E36" s="295"/>
      <c r="F36" s="295"/>
      <c r="G36" s="295"/>
      <c r="H36" s="439">
        <v>3</v>
      </c>
      <c r="I36" s="439"/>
      <c r="J36" s="3" t="s">
        <v>0</v>
      </c>
      <c r="K36" s="360" t="s">
        <v>224</v>
      </c>
      <c r="L36" s="360"/>
      <c r="M36" s="59">
        <f t="shared" si="1"/>
        <v>0</v>
      </c>
      <c r="O36"/>
    </row>
    <row r="37" spans="1:23" ht="15.75" customHeight="1" x14ac:dyDescent="0.25">
      <c r="A37" s="358">
        <v>0</v>
      </c>
      <c r="B37" s="359"/>
      <c r="C37" s="295" t="s">
        <v>412</v>
      </c>
      <c r="D37" s="296"/>
      <c r="E37" s="296"/>
      <c r="F37" s="296"/>
      <c r="G37" s="297"/>
      <c r="H37" s="439">
        <v>4</v>
      </c>
      <c r="I37" s="440"/>
      <c r="J37" s="3" t="s">
        <v>0</v>
      </c>
      <c r="K37" s="439" t="s">
        <v>224</v>
      </c>
      <c r="L37" s="440"/>
      <c r="M37" s="59">
        <f t="shared" si="1"/>
        <v>0</v>
      </c>
      <c r="O37"/>
    </row>
    <row r="38" spans="1:23" ht="15.75" customHeight="1" x14ac:dyDescent="0.25">
      <c r="A38" s="358">
        <v>0</v>
      </c>
      <c r="B38" s="359"/>
      <c r="C38" s="295" t="s">
        <v>413</v>
      </c>
      <c r="D38" s="296"/>
      <c r="E38" s="296"/>
      <c r="F38" s="296"/>
      <c r="G38" s="297"/>
      <c r="H38" s="439">
        <v>3</v>
      </c>
      <c r="I38" s="440"/>
      <c r="J38" s="3" t="s">
        <v>0</v>
      </c>
      <c r="K38" s="439" t="s">
        <v>75</v>
      </c>
      <c r="L38" s="440"/>
      <c r="M38" s="59">
        <f t="shared" si="1"/>
        <v>0</v>
      </c>
      <c r="O38"/>
    </row>
    <row r="39" spans="1:23" ht="15.75" customHeight="1" x14ac:dyDescent="0.25">
      <c r="A39" s="358">
        <v>0</v>
      </c>
      <c r="B39" s="359"/>
      <c r="C39" s="295" t="s">
        <v>413</v>
      </c>
      <c r="D39" s="296"/>
      <c r="E39" s="296"/>
      <c r="F39" s="296"/>
      <c r="G39" s="297"/>
      <c r="H39" s="439">
        <v>2</v>
      </c>
      <c r="I39" s="440"/>
      <c r="J39" s="3" t="s">
        <v>0</v>
      </c>
      <c r="K39" s="439" t="s">
        <v>72</v>
      </c>
      <c r="L39" s="440"/>
      <c r="M39" s="59">
        <f t="shared" si="1"/>
        <v>0</v>
      </c>
      <c r="O39"/>
    </row>
    <row r="40" spans="1:23" ht="15.75" customHeight="1" x14ac:dyDescent="0.25">
      <c r="A40" s="358">
        <v>0</v>
      </c>
      <c r="B40" s="359"/>
      <c r="C40" s="295" t="s">
        <v>414</v>
      </c>
      <c r="D40" s="296"/>
      <c r="E40" s="296"/>
      <c r="F40" s="296"/>
      <c r="G40" s="297"/>
      <c r="H40" s="439">
        <v>3</v>
      </c>
      <c r="I40" s="440"/>
      <c r="J40" s="3" t="s">
        <v>0</v>
      </c>
      <c r="K40" s="439" t="s">
        <v>224</v>
      </c>
      <c r="L40" s="440"/>
      <c r="M40" s="59">
        <f t="shared" si="1"/>
        <v>0</v>
      </c>
      <c r="O40"/>
    </row>
    <row r="41" spans="1:23" ht="15.75" customHeight="1" thickBot="1" x14ac:dyDescent="0.3">
      <c r="A41" s="358">
        <v>0</v>
      </c>
      <c r="B41" s="359"/>
      <c r="C41" s="295" t="s">
        <v>415</v>
      </c>
      <c r="D41" s="296"/>
      <c r="E41" s="296"/>
      <c r="F41" s="296"/>
      <c r="G41" s="297"/>
      <c r="H41" s="439">
        <v>2</v>
      </c>
      <c r="I41" s="440"/>
      <c r="J41" s="3" t="s">
        <v>0</v>
      </c>
      <c r="K41" s="439" t="s">
        <v>224</v>
      </c>
      <c r="L41" s="440"/>
      <c r="M41" s="59">
        <f t="shared" si="1"/>
        <v>0</v>
      </c>
      <c r="O41"/>
    </row>
    <row r="42" spans="1:23" ht="15.75" customHeight="1" thickBot="1" x14ac:dyDescent="0.25">
      <c r="A42" s="479" t="s">
        <v>246</v>
      </c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1"/>
      <c r="O42"/>
      <c r="P42" s="113"/>
      <c r="Q42" s="230"/>
      <c r="R42" s="66"/>
    </row>
    <row r="43" spans="1:23" ht="15.75" customHeight="1" x14ac:dyDescent="0.25">
      <c r="A43" s="358">
        <v>0</v>
      </c>
      <c r="B43" s="359"/>
      <c r="C43" s="304" t="s">
        <v>247</v>
      </c>
      <c r="D43" s="304"/>
      <c r="E43" s="304"/>
      <c r="F43" s="304"/>
      <c r="G43" s="304"/>
      <c r="H43" s="360">
        <v>4</v>
      </c>
      <c r="I43" s="360"/>
      <c r="J43" s="3" t="s">
        <v>0</v>
      </c>
      <c r="K43" s="360" t="s">
        <v>75</v>
      </c>
      <c r="L43" s="360"/>
      <c r="M43" s="59">
        <f t="shared" ref="M43:M48" si="2">H43*A43</f>
        <v>0</v>
      </c>
      <c r="O43"/>
    </row>
    <row r="44" spans="1:23" ht="15.75" customHeight="1" x14ac:dyDescent="0.25">
      <c r="A44" s="358">
        <v>0</v>
      </c>
      <c r="B44" s="359"/>
      <c r="C44" s="304" t="s">
        <v>248</v>
      </c>
      <c r="D44" s="304"/>
      <c r="E44" s="304"/>
      <c r="F44" s="304"/>
      <c r="G44" s="304"/>
      <c r="H44" s="360">
        <v>8</v>
      </c>
      <c r="I44" s="360"/>
      <c r="J44" s="3" t="s">
        <v>0</v>
      </c>
      <c r="K44" s="360" t="s">
        <v>75</v>
      </c>
      <c r="L44" s="360"/>
      <c r="M44" s="59">
        <f t="shared" si="2"/>
        <v>0</v>
      </c>
      <c r="O44"/>
    </row>
    <row r="45" spans="1:23" ht="15.75" customHeight="1" x14ac:dyDescent="0.25">
      <c r="A45" s="358">
        <v>0</v>
      </c>
      <c r="B45" s="359"/>
      <c r="C45" s="304" t="s">
        <v>416</v>
      </c>
      <c r="D45" s="304"/>
      <c r="E45" s="304"/>
      <c r="F45" s="304"/>
      <c r="G45" s="304"/>
      <c r="H45" s="360">
        <v>8</v>
      </c>
      <c r="I45" s="360"/>
      <c r="J45" s="3" t="s">
        <v>0</v>
      </c>
      <c r="K45" s="360" t="s">
        <v>72</v>
      </c>
      <c r="L45" s="360"/>
      <c r="M45" s="59">
        <f t="shared" si="2"/>
        <v>0</v>
      </c>
    </row>
    <row r="46" spans="1:23" ht="15.75" customHeight="1" x14ac:dyDescent="0.25">
      <c r="A46" s="358">
        <v>0</v>
      </c>
      <c r="B46" s="359"/>
      <c r="C46" s="304" t="s">
        <v>417</v>
      </c>
      <c r="D46" s="304"/>
      <c r="E46" s="304"/>
      <c r="F46" s="304"/>
      <c r="G46" s="304"/>
      <c r="H46" s="360">
        <v>3</v>
      </c>
      <c r="I46" s="360"/>
      <c r="J46" s="3" t="s">
        <v>0</v>
      </c>
      <c r="K46" s="360" t="s">
        <v>72</v>
      </c>
      <c r="L46" s="360"/>
      <c r="M46" s="59">
        <f t="shared" si="2"/>
        <v>0</v>
      </c>
    </row>
    <row r="47" spans="1:23" ht="15.75" customHeight="1" x14ac:dyDescent="0.25">
      <c r="A47" s="358">
        <v>0</v>
      </c>
      <c r="B47" s="359"/>
      <c r="C47" s="304" t="s">
        <v>418</v>
      </c>
      <c r="D47" s="304"/>
      <c r="E47" s="304"/>
      <c r="F47" s="304"/>
      <c r="G47" s="304"/>
      <c r="H47" s="360">
        <v>3</v>
      </c>
      <c r="I47" s="360"/>
      <c r="J47" s="3" t="s">
        <v>0</v>
      </c>
      <c r="K47" s="360" t="s">
        <v>72</v>
      </c>
      <c r="L47" s="360"/>
      <c r="M47" s="59">
        <f t="shared" si="2"/>
        <v>0</v>
      </c>
      <c r="S47" s="149"/>
      <c r="T47" s="149"/>
      <c r="U47" s="149"/>
      <c r="V47" s="149"/>
      <c r="W47" s="149"/>
    </row>
    <row r="48" spans="1:23" ht="15.75" customHeight="1" thickBot="1" x14ac:dyDescent="0.3">
      <c r="A48" s="365">
        <v>0</v>
      </c>
      <c r="B48" s="366"/>
      <c r="C48" s="316" t="s">
        <v>418</v>
      </c>
      <c r="D48" s="316"/>
      <c r="E48" s="316"/>
      <c r="F48" s="316"/>
      <c r="G48" s="316"/>
      <c r="H48" s="367">
        <v>2</v>
      </c>
      <c r="I48" s="367"/>
      <c r="J48" s="60" t="s">
        <v>0</v>
      </c>
      <c r="K48" s="367" t="s">
        <v>224</v>
      </c>
      <c r="L48" s="367"/>
      <c r="M48" s="61">
        <f t="shared" si="2"/>
        <v>0</v>
      </c>
    </row>
    <row r="49" spans="1:18" ht="15.75" customHeight="1" thickTop="1" x14ac:dyDescent="0.25">
      <c r="A49" s="486"/>
      <c r="B49" s="486"/>
      <c r="H49" s="1"/>
      <c r="I49" s="441" t="s">
        <v>14</v>
      </c>
      <c r="J49" s="442"/>
      <c r="K49" s="443"/>
      <c r="L49" s="101" t="s">
        <v>0</v>
      </c>
      <c r="M49" s="210">
        <f>SUM(M8:M30,M32:M41,M43:M48)</f>
        <v>0</v>
      </c>
      <c r="O49"/>
    </row>
    <row r="50" spans="1:18" ht="15.75" customHeight="1" x14ac:dyDescent="0.25">
      <c r="A50" s="1"/>
      <c r="B50" s="1"/>
      <c r="H50" s="1"/>
      <c r="I50" s="121" t="s">
        <v>258</v>
      </c>
      <c r="J50" s="122"/>
      <c r="K50" s="123"/>
      <c r="L50" s="112" t="s">
        <v>0</v>
      </c>
      <c r="M50" s="207" t="str">
        <f>IF(M49&lt;=1,"1-1/4""",IF(M49&lt;=10,"1-1/2""",IF(M49&lt;=30,"2""",IF(M49&lt;=42,"2-1/2""",IF(M49&lt;=102,"3""",IF(M49&lt;=320,"4"""))))))</f>
        <v>1-1/4"</v>
      </c>
      <c r="P50" s="9"/>
    </row>
    <row r="51" spans="1:18" ht="15.75" customHeight="1" x14ac:dyDescent="0.25">
      <c r="A51" s="1"/>
      <c r="B51" s="1"/>
      <c r="H51" s="1"/>
      <c r="I51" s="67" t="s">
        <v>257</v>
      </c>
      <c r="J51" s="1"/>
      <c r="K51" s="68"/>
      <c r="L51" s="69" t="s">
        <v>0</v>
      </c>
      <c r="M51" s="211">
        <f>IF(M49&gt;102,4,3)</f>
        <v>3</v>
      </c>
      <c r="P51" s="9"/>
    </row>
    <row r="52" spans="1:18" ht="15.75" customHeight="1" thickBot="1" x14ac:dyDescent="0.3">
      <c r="A52" s="1"/>
      <c r="B52" s="1"/>
      <c r="H52" s="1"/>
      <c r="I52" s="361" t="s">
        <v>256</v>
      </c>
      <c r="J52" s="362"/>
      <c r="K52" s="363"/>
      <c r="L52" s="65" t="s">
        <v>0</v>
      </c>
      <c r="M52" s="208" t="str">
        <f>IF(SUM(A43:B48)&gt;=4,"4""",IF(M49&lt;=3,"1-1/2""",IF(M49&lt;=6,"2""",IF(M49&lt;=12,"2-1/2""",IF(M49&lt;=34,"3""",IF(M49&lt;=160,"4""",IF(M49&lt;=360,"5""",IF(M49&lt;=620,"6""",IF(M49&lt;=1400,"8""",IF(M49&lt;=2500,"10""",IF(M49&lt;=3900,"12""",IF(M49&lt;=7000,"15"""))))))))))))</f>
        <v>1-1/2"</v>
      </c>
    </row>
    <row r="53" spans="1:18" ht="15.75" customHeight="1" thickTop="1" x14ac:dyDescent="0.2">
      <c r="P53" s="18"/>
      <c r="Q53" s="18"/>
      <c r="R53" s="18"/>
    </row>
    <row r="54" spans="1:18" s="18" customFormat="1" ht="15.75" customHeigh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 s="13"/>
    </row>
    <row r="55" spans="1:18" s="18" customFormat="1" ht="15.75" customHeigh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 s="13"/>
      <c r="P55"/>
      <c r="Q55"/>
      <c r="R55"/>
    </row>
    <row r="56" spans="1:18" ht="15.75" customHeight="1" x14ac:dyDescent="0.2">
      <c r="A56" s="364" t="s">
        <v>49</v>
      </c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</row>
    <row r="57" spans="1:18" ht="15.75" customHeight="1" x14ac:dyDescent="0.2">
      <c r="A57" s="364"/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</row>
    <row r="58" spans="1:18" ht="15.75" customHeight="1" x14ac:dyDescent="0.2">
      <c r="A58" s="364" t="s">
        <v>50</v>
      </c>
      <c r="B58" s="364"/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4"/>
    </row>
    <row r="59" spans="1:18" ht="15.75" customHeight="1" x14ac:dyDescent="0.2">
      <c r="A59" s="364"/>
      <c r="B59" s="364"/>
      <c r="C59" s="364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</row>
    <row r="63" spans="1:18" ht="15.75" customHeight="1" x14ac:dyDescent="0.2">
      <c r="I63" s="66"/>
      <c r="O63"/>
    </row>
    <row r="64" spans="1:18" ht="15.75" customHeight="1" x14ac:dyDescent="0.2">
      <c r="I64" s="18"/>
      <c r="J64" s="70"/>
      <c r="O64"/>
    </row>
    <row r="65" spans="9:15" ht="15.75" customHeight="1" x14ac:dyDescent="0.2">
      <c r="I65" s="18"/>
      <c r="J65" s="70"/>
      <c r="O65"/>
    </row>
    <row r="66" spans="9:15" ht="15.75" customHeight="1" x14ac:dyDescent="0.2">
      <c r="I66" s="66"/>
      <c r="O66"/>
    </row>
    <row r="67" spans="9:15" ht="15.75" customHeight="1" x14ac:dyDescent="0.2">
      <c r="I67" s="66"/>
      <c r="O67"/>
    </row>
    <row r="68" spans="9:15" ht="15.75" customHeight="1" x14ac:dyDescent="0.2">
      <c r="I68" s="66"/>
      <c r="O68"/>
    </row>
    <row r="69" spans="9:15" ht="15.75" customHeight="1" x14ac:dyDescent="0.2">
      <c r="I69" s="66"/>
      <c r="O69"/>
    </row>
    <row r="70" spans="9:15" ht="15.75" customHeight="1" x14ac:dyDescent="0.2">
      <c r="N70" s="13"/>
      <c r="O70"/>
    </row>
    <row r="71" spans="9:15" ht="15.75" customHeight="1" x14ac:dyDescent="0.2">
      <c r="N71" s="13"/>
      <c r="O71"/>
    </row>
  </sheetData>
  <mergeCells count="168">
    <mergeCell ref="A48:B48"/>
    <mergeCell ref="C48:G48"/>
    <mergeCell ref="H48:I48"/>
    <mergeCell ref="K48:L48"/>
    <mergeCell ref="A49:B49"/>
    <mergeCell ref="I49:K49"/>
    <mergeCell ref="I52:K52"/>
    <mergeCell ref="A56:O57"/>
    <mergeCell ref="A58:O59"/>
    <mergeCell ref="H45:I45"/>
    <mergeCell ref="K45:L45"/>
    <mergeCell ref="A46:B46"/>
    <mergeCell ref="C46:G46"/>
    <mergeCell ref="H46:I46"/>
    <mergeCell ref="K46:L46"/>
    <mergeCell ref="A47:B47"/>
    <mergeCell ref="C47:G47"/>
    <mergeCell ref="H47:I47"/>
    <mergeCell ref="K47:L47"/>
    <mergeCell ref="A45:B45"/>
    <mergeCell ref="C45:G45"/>
    <mergeCell ref="D1:L2"/>
    <mergeCell ref="A7:B7"/>
    <mergeCell ref="C7:G7"/>
    <mergeCell ref="H7:I7"/>
    <mergeCell ref="K7:L7"/>
    <mergeCell ref="A4:M4"/>
    <mergeCell ref="A5:M5"/>
    <mergeCell ref="B6:M6"/>
    <mergeCell ref="A8:B8"/>
    <mergeCell ref="C8:G8"/>
    <mergeCell ref="H8:I8"/>
    <mergeCell ref="K8:L8"/>
    <mergeCell ref="A9:B9"/>
    <mergeCell ref="C9:G9"/>
    <mergeCell ref="H9:I9"/>
    <mergeCell ref="K9:L9"/>
    <mergeCell ref="A10:B10"/>
    <mergeCell ref="C10:G10"/>
    <mergeCell ref="H10:I10"/>
    <mergeCell ref="K10:L10"/>
    <mergeCell ref="A11:B11"/>
    <mergeCell ref="C11:G11"/>
    <mergeCell ref="H11:I11"/>
    <mergeCell ref="K11:L11"/>
    <mergeCell ref="A12:B12"/>
    <mergeCell ref="C12:G12"/>
    <mergeCell ref="H12:I12"/>
    <mergeCell ref="K12:L12"/>
    <mergeCell ref="A13:B13"/>
    <mergeCell ref="C13:G13"/>
    <mergeCell ref="H13:I13"/>
    <mergeCell ref="K13:L13"/>
    <mergeCell ref="A14:B14"/>
    <mergeCell ref="C14:G14"/>
    <mergeCell ref="H14:I14"/>
    <mergeCell ref="K14:L14"/>
    <mergeCell ref="A15:B15"/>
    <mergeCell ref="C15:G15"/>
    <mergeCell ref="H15:I15"/>
    <mergeCell ref="K15:L15"/>
    <mergeCell ref="A16:B16"/>
    <mergeCell ref="C16:G16"/>
    <mergeCell ref="H16:I16"/>
    <mergeCell ref="K16:L16"/>
    <mergeCell ref="A17:B17"/>
    <mergeCell ref="C17:G17"/>
    <mergeCell ref="H17:I17"/>
    <mergeCell ref="K17:L17"/>
    <mergeCell ref="A18:B18"/>
    <mergeCell ref="C18:G18"/>
    <mergeCell ref="H18:I18"/>
    <mergeCell ref="K18:L18"/>
    <mergeCell ref="A19:B19"/>
    <mergeCell ref="C19:G19"/>
    <mergeCell ref="H19:I19"/>
    <mergeCell ref="K19:L19"/>
    <mergeCell ref="A20:B20"/>
    <mergeCell ref="C20:G20"/>
    <mergeCell ref="H20:I20"/>
    <mergeCell ref="K20:L20"/>
    <mergeCell ref="A21:M21"/>
    <mergeCell ref="A22:B22"/>
    <mergeCell ref="C22:G22"/>
    <mergeCell ref="H22:I22"/>
    <mergeCell ref="K22:L22"/>
    <mergeCell ref="A23:B23"/>
    <mergeCell ref="C23:G23"/>
    <mergeCell ref="H23:I23"/>
    <mergeCell ref="K23:L23"/>
    <mergeCell ref="A24:B24"/>
    <mergeCell ref="C24:G24"/>
    <mergeCell ref="H24:I24"/>
    <mergeCell ref="K24:L24"/>
    <mergeCell ref="A25:B25"/>
    <mergeCell ref="C25:G25"/>
    <mergeCell ref="H25:I25"/>
    <mergeCell ref="K25:L25"/>
    <mergeCell ref="A26:B26"/>
    <mergeCell ref="C26:G26"/>
    <mergeCell ref="H26:I26"/>
    <mergeCell ref="K26:L26"/>
    <mergeCell ref="A27:B27"/>
    <mergeCell ref="C27:G27"/>
    <mergeCell ref="H27:I27"/>
    <mergeCell ref="K27:L27"/>
    <mergeCell ref="A28:B28"/>
    <mergeCell ref="C28:G28"/>
    <mergeCell ref="H28:I28"/>
    <mergeCell ref="K28:L28"/>
    <mergeCell ref="A29:B29"/>
    <mergeCell ref="C29:G29"/>
    <mergeCell ref="H29:I29"/>
    <mergeCell ref="K29:L29"/>
    <mergeCell ref="A30:B30"/>
    <mergeCell ref="C30:G30"/>
    <mergeCell ref="H30:I30"/>
    <mergeCell ref="K30:L30"/>
    <mergeCell ref="A31:M31"/>
    <mergeCell ref="A32:B32"/>
    <mergeCell ref="C32:G32"/>
    <mergeCell ref="H32:I32"/>
    <mergeCell ref="K32:L32"/>
    <mergeCell ref="A33:B33"/>
    <mergeCell ref="C33:G33"/>
    <mergeCell ref="H33:I33"/>
    <mergeCell ref="K33:L33"/>
    <mergeCell ref="A34:B34"/>
    <mergeCell ref="C34:G34"/>
    <mergeCell ref="H34:I34"/>
    <mergeCell ref="K34:L34"/>
    <mergeCell ref="A35:B35"/>
    <mergeCell ref="C35:G35"/>
    <mergeCell ref="H35:I35"/>
    <mergeCell ref="K35:L35"/>
    <mergeCell ref="A36:B36"/>
    <mergeCell ref="C36:G36"/>
    <mergeCell ref="H36:I36"/>
    <mergeCell ref="K36:L36"/>
    <mergeCell ref="A37:B37"/>
    <mergeCell ref="C37:G37"/>
    <mergeCell ref="H37:I37"/>
    <mergeCell ref="K37:L37"/>
    <mergeCell ref="A38:B38"/>
    <mergeCell ref="C38:G38"/>
    <mergeCell ref="H38:I38"/>
    <mergeCell ref="K38:L38"/>
    <mergeCell ref="A39:B39"/>
    <mergeCell ref="C39:G39"/>
    <mergeCell ref="H39:I39"/>
    <mergeCell ref="K39:L39"/>
    <mergeCell ref="A40:B40"/>
    <mergeCell ref="C40:G40"/>
    <mergeCell ref="H40:I40"/>
    <mergeCell ref="K40:L40"/>
    <mergeCell ref="A41:B41"/>
    <mergeCell ref="C41:G41"/>
    <mergeCell ref="H41:I41"/>
    <mergeCell ref="K41:L41"/>
    <mergeCell ref="A42:M42"/>
    <mergeCell ref="A43:B43"/>
    <mergeCell ref="C43:G43"/>
    <mergeCell ref="H43:I43"/>
    <mergeCell ref="K43:L43"/>
    <mergeCell ref="A44:B44"/>
    <mergeCell ref="C44:G44"/>
    <mergeCell ref="H44:I44"/>
    <mergeCell ref="K44:L44"/>
  </mergeCells>
  <printOptions horizontalCentered="1"/>
  <pageMargins left="0.25" right="0.25" top="0.25" bottom="0.25" header="0" footer="0"/>
  <pageSetup scale="7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4B62-1D6C-49E1-AB9A-30B7292DCA03}">
  <dimension ref="A1:X107"/>
  <sheetViews>
    <sheetView workbookViewId="0">
      <selection activeCell="A3" sqref="A3"/>
    </sheetView>
  </sheetViews>
  <sheetFormatPr defaultRowHeight="12.75" x14ac:dyDescent="0.2"/>
  <cols>
    <col min="1" max="1" width="4.7109375" customWidth="1"/>
    <col min="2" max="2" width="22.7109375" customWidth="1"/>
    <col min="3" max="4" width="10.7109375" customWidth="1"/>
    <col min="5" max="7" width="8.7109375" customWidth="1"/>
    <col min="14" max="14" width="9.140625" hidden="1" customWidth="1"/>
    <col min="15" max="16" width="12.7109375" hidden="1" customWidth="1"/>
    <col min="17" max="24" width="9.140625" hidden="1" customWidth="1"/>
  </cols>
  <sheetData>
    <row r="1" spans="1:24" ht="15.75" thickBot="1" x14ac:dyDescent="0.25">
      <c r="A1" s="493" t="s">
        <v>352</v>
      </c>
      <c r="B1" s="494"/>
      <c r="C1" s="494"/>
      <c r="D1" s="494"/>
      <c r="E1" s="494"/>
      <c r="F1" s="494"/>
      <c r="G1" s="495"/>
      <c r="H1" s="499" t="s">
        <v>373</v>
      </c>
      <c r="I1" s="500"/>
      <c r="J1" s="500"/>
      <c r="K1" s="501"/>
      <c r="N1" s="487" t="s">
        <v>356</v>
      </c>
      <c r="O1" s="488"/>
      <c r="P1" s="488"/>
      <c r="Q1" s="488"/>
      <c r="R1" s="489"/>
      <c r="U1" s="66" t="s">
        <v>357</v>
      </c>
    </row>
    <row r="2" spans="1:24" ht="30" customHeight="1" thickBot="1" x14ac:dyDescent="0.25">
      <c r="A2" s="157" t="s">
        <v>346</v>
      </c>
      <c r="B2" s="186" t="s">
        <v>366</v>
      </c>
      <c r="C2" s="157" t="s">
        <v>347</v>
      </c>
      <c r="D2" s="157" t="s">
        <v>348</v>
      </c>
      <c r="E2" s="159" t="s">
        <v>349</v>
      </c>
      <c r="F2" s="157" t="s">
        <v>350</v>
      </c>
      <c r="G2" s="158" t="s">
        <v>351</v>
      </c>
      <c r="H2" s="502"/>
      <c r="I2" s="503"/>
      <c r="J2" s="503"/>
      <c r="K2" s="504"/>
      <c r="N2" s="175" t="s">
        <v>355</v>
      </c>
      <c r="O2" s="175" t="s">
        <v>348</v>
      </c>
      <c r="P2" s="175" t="s">
        <v>349</v>
      </c>
      <c r="Q2" s="175" t="s">
        <v>350</v>
      </c>
      <c r="R2" s="175" t="s">
        <v>351</v>
      </c>
      <c r="U2" s="490" t="s">
        <v>359</v>
      </c>
      <c r="V2" s="490"/>
      <c r="W2" s="462" t="s">
        <v>360</v>
      </c>
      <c r="X2" s="462"/>
    </row>
    <row r="3" spans="1:24" x14ac:dyDescent="0.2">
      <c r="A3" s="182">
        <f>'Supply (IPC)'!A9</f>
        <v>0</v>
      </c>
      <c r="B3" s="160" t="s">
        <v>102</v>
      </c>
      <c r="C3" s="162">
        <v>4</v>
      </c>
      <c r="D3" s="162">
        <f>C3</f>
        <v>4</v>
      </c>
      <c r="E3" s="165">
        <v>1</v>
      </c>
      <c r="F3" s="171">
        <v>1</v>
      </c>
      <c r="G3" s="168">
        <v>1.4</v>
      </c>
      <c r="H3" s="502"/>
      <c r="I3" s="503"/>
      <c r="J3" s="503"/>
      <c r="K3" s="504"/>
      <c r="N3" s="156">
        <f t="shared" ref="N3:N20" si="0">SUM(A3*C3)</f>
        <v>0</v>
      </c>
      <c r="O3" s="176">
        <f t="shared" ref="O3:O20" si="1">SUM(A3*D3)</f>
        <v>0</v>
      </c>
      <c r="P3" s="176">
        <f t="shared" ref="P3:P20" si="2">SUM(A3*E3)</f>
        <v>0</v>
      </c>
      <c r="Q3" s="176">
        <f t="shared" ref="Q3:Q20" si="3">SUM(A3*F3)</f>
        <v>0</v>
      </c>
      <c r="R3" s="177">
        <f t="shared" ref="R3:R20" si="4">SUM(A3*G3)</f>
        <v>0</v>
      </c>
      <c r="U3" s="178" t="s">
        <v>288</v>
      </c>
      <c r="V3" s="178" t="s">
        <v>358</v>
      </c>
      <c r="W3" s="178" t="s">
        <v>288</v>
      </c>
      <c r="X3" s="178" t="s">
        <v>358</v>
      </c>
    </row>
    <row r="4" spans="1:24" x14ac:dyDescent="0.2">
      <c r="A4" s="183">
        <f>'Supply (IPC)'!A10</f>
        <v>0</v>
      </c>
      <c r="B4" s="150" t="s">
        <v>103</v>
      </c>
      <c r="C4" s="163">
        <v>2.5</v>
      </c>
      <c r="D4" s="163">
        <f>C4</f>
        <v>2.5</v>
      </c>
      <c r="E4" s="166">
        <v>3</v>
      </c>
      <c r="F4" s="172">
        <v>3</v>
      </c>
      <c r="G4" s="169">
        <v>4</v>
      </c>
      <c r="H4" s="502"/>
      <c r="I4" s="503"/>
      <c r="J4" s="503"/>
      <c r="K4" s="504"/>
      <c r="N4" s="151">
        <f t="shared" si="0"/>
        <v>0</v>
      </c>
      <c r="O4" s="133">
        <f t="shared" si="1"/>
        <v>0</v>
      </c>
      <c r="P4" s="133">
        <f t="shared" si="2"/>
        <v>0</v>
      </c>
      <c r="Q4" s="133">
        <f t="shared" si="3"/>
        <v>0</v>
      </c>
      <c r="R4" s="174">
        <f t="shared" si="4"/>
        <v>0</v>
      </c>
      <c r="U4" s="133">
        <v>1</v>
      </c>
      <c r="V4" s="133">
        <v>3</v>
      </c>
      <c r="W4" s="146" t="s">
        <v>361</v>
      </c>
      <c r="X4" s="146" t="s">
        <v>361</v>
      </c>
    </row>
    <row r="5" spans="1:24" x14ac:dyDescent="0.2">
      <c r="A5" s="183">
        <f>'Supply (IPC)'!A11</f>
        <v>0</v>
      </c>
      <c r="B5" s="150" t="s">
        <v>42</v>
      </c>
      <c r="C5" s="163">
        <v>0</v>
      </c>
      <c r="D5" s="163">
        <v>2.75</v>
      </c>
      <c r="E5" s="166">
        <v>0</v>
      </c>
      <c r="F5" s="172">
        <v>1.4</v>
      </c>
      <c r="G5" s="169">
        <v>1.4</v>
      </c>
      <c r="H5" s="502"/>
      <c r="I5" s="503"/>
      <c r="J5" s="503"/>
      <c r="K5" s="504"/>
      <c r="N5" s="151">
        <f t="shared" si="0"/>
        <v>0</v>
      </c>
      <c r="O5" s="133">
        <f t="shared" si="1"/>
        <v>0</v>
      </c>
      <c r="P5" s="133">
        <f t="shared" si="2"/>
        <v>0</v>
      </c>
      <c r="Q5" s="133">
        <f t="shared" si="3"/>
        <v>0</v>
      </c>
      <c r="R5" s="174">
        <f t="shared" si="4"/>
        <v>0</v>
      </c>
      <c r="U5" s="133">
        <v>2</v>
      </c>
      <c r="V5" s="133">
        <v>5</v>
      </c>
      <c r="W5" s="146" t="s">
        <v>361</v>
      </c>
      <c r="X5" s="146" t="s">
        <v>361</v>
      </c>
    </row>
    <row r="6" spans="1:24" x14ac:dyDescent="0.2">
      <c r="A6" s="183">
        <f>'Supply (IPC)'!A12</f>
        <v>0</v>
      </c>
      <c r="B6" s="150" t="s">
        <v>17</v>
      </c>
      <c r="C6" s="163">
        <v>0.75</v>
      </c>
      <c r="D6" s="163">
        <v>0</v>
      </c>
      <c r="E6" s="166">
        <v>0.25</v>
      </c>
      <c r="F6" s="172">
        <v>0</v>
      </c>
      <c r="G6" s="169">
        <v>0.25</v>
      </c>
      <c r="H6" s="502"/>
      <c r="I6" s="503"/>
      <c r="J6" s="503"/>
      <c r="K6" s="504"/>
      <c r="N6" s="151">
        <f t="shared" si="0"/>
        <v>0</v>
      </c>
      <c r="O6" s="133">
        <f t="shared" si="1"/>
        <v>0</v>
      </c>
      <c r="P6" s="133">
        <f t="shared" si="2"/>
        <v>0</v>
      </c>
      <c r="Q6" s="133">
        <f t="shared" si="3"/>
        <v>0</v>
      </c>
      <c r="R6" s="174">
        <f t="shared" si="4"/>
        <v>0</v>
      </c>
      <c r="U6" s="133">
        <v>3</v>
      </c>
      <c r="V6" s="133">
        <v>6.5</v>
      </c>
      <c r="W6" s="146" t="s">
        <v>361</v>
      </c>
      <c r="X6" s="146" t="s">
        <v>361</v>
      </c>
    </row>
    <row r="7" spans="1:24" x14ac:dyDescent="0.2">
      <c r="A7" s="183">
        <f>'Supply (IPC)'!A13</f>
        <v>0</v>
      </c>
      <c r="B7" s="150" t="s">
        <v>18</v>
      </c>
      <c r="C7" s="163">
        <v>2.2000000000000002</v>
      </c>
      <c r="D7" s="163">
        <f t="shared" ref="D7:D14" si="5">C7</f>
        <v>2.2000000000000002</v>
      </c>
      <c r="E7" s="166">
        <v>1</v>
      </c>
      <c r="F7" s="172">
        <v>1</v>
      </c>
      <c r="G7" s="169">
        <v>1.4</v>
      </c>
      <c r="H7" s="502"/>
      <c r="I7" s="503"/>
      <c r="J7" s="503"/>
      <c r="K7" s="504"/>
      <c r="N7" s="151">
        <f t="shared" si="0"/>
        <v>0</v>
      </c>
      <c r="O7" s="133">
        <f t="shared" si="1"/>
        <v>0</v>
      </c>
      <c r="P7" s="133">
        <f t="shared" si="2"/>
        <v>0</v>
      </c>
      <c r="Q7" s="133">
        <f t="shared" si="3"/>
        <v>0</v>
      </c>
      <c r="R7" s="174">
        <f t="shared" si="4"/>
        <v>0</v>
      </c>
      <c r="U7" s="133">
        <v>4</v>
      </c>
      <c r="V7" s="133">
        <v>8</v>
      </c>
      <c r="W7" s="146" t="s">
        <v>361</v>
      </c>
      <c r="X7" s="146" t="s">
        <v>361</v>
      </c>
    </row>
    <row r="8" spans="1:24" x14ac:dyDescent="0.2">
      <c r="A8" s="183">
        <f>'Supply (IPC)'!A14</f>
        <v>0</v>
      </c>
      <c r="B8" s="150" t="s">
        <v>19</v>
      </c>
      <c r="C8" s="163">
        <v>2.2000000000000002</v>
      </c>
      <c r="D8" s="163">
        <f t="shared" si="5"/>
        <v>2.2000000000000002</v>
      </c>
      <c r="E8" s="166">
        <v>3</v>
      </c>
      <c r="F8" s="172">
        <v>3</v>
      </c>
      <c r="G8" s="169">
        <v>4</v>
      </c>
      <c r="H8" s="502"/>
      <c r="I8" s="503"/>
      <c r="J8" s="503"/>
      <c r="K8" s="504"/>
      <c r="N8" s="151">
        <f t="shared" si="0"/>
        <v>0</v>
      </c>
      <c r="O8" s="133">
        <f t="shared" si="1"/>
        <v>0</v>
      </c>
      <c r="P8" s="133">
        <f t="shared" si="2"/>
        <v>0</v>
      </c>
      <c r="Q8" s="133">
        <f t="shared" si="3"/>
        <v>0</v>
      </c>
      <c r="R8" s="174">
        <f t="shared" si="4"/>
        <v>0</v>
      </c>
      <c r="U8" s="133">
        <v>5</v>
      </c>
      <c r="V8" s="133">
        <v>9.4</v>
      </c>
      <c r="W8" s="133">
        <v>5</v>
      </c>
      <c r="X8" s="133">
        <v>15</v>
      </c>
    </row>
    <row r="9" spans="1:24" x14ac:dyDescent="0.2">
      <c r="A9" s="183">
        <f>'Supply (IPC)'!A16</f>
        <v>0</v>
      </c>
      <c r="B9" s="150" t="s">
        <v>20</v>
      </c>
      <c r="C9" s="185">
        <v>0.5</v>
      </c>
      <c r="D9" s="163">
        <f t="shared" si="5"/>
        <v>0.5</v>
      </c>
      <c r="E9" s="166">
        <v>0.5</v>
      </c>
      <c r="F9" s="172">
        <v>0.5</v>
      </c>
      <c r="G9" s="169">
        <v>0.7</v>
      </c>
      <c r="H9" s="502"/>
      <c r="I9" s="503"/>
      <c r="J9" s="503"/>
      <c r="K9" s="504"/>
      <c r="N9" s="151">
        <f t="shared" si="0"/>
        <v>0</v>
      </c>
      <c r="O9" s="133">
        <f t="shared" si="1"/>
        <v>0</v>
      </c>
      <c r="P9" s="133">
        <f t="shared" si="2"/>
        <v>0</v>
      </c>
      <c r="Q9" s="133">
        <f t="shared" si="3"/>
        <v>0</v>
      </c>
      <c r="R9" s="174">
        <f t="shared" si="4"/>
        <v>0</v>
      </c>
      <c r="U9" s="133">
        <v>6</v>
      </c>
      <c r="V9" s="133">
        <v>10.7</v>
      </c>
      <c r="W9" s="133">
        <v>6</v>
      </c>
      <c r="X9" s="133">
        <v>17.399999999999999</v>
      </c>
    </row>
    <row r="10" spans="1:24" x14ac:dyDescent="0.2">
      <c r="A10" s="183">
        <f>'Supply (IPC)'!A17</f>
        <v>0</v>
      </c>
      <c r="B10" s="150" t="s">
        <v>21</v>
      </c>
      <c r="C10" s="185">
        <v>0.5</v>
      </c>
      <c r="D10" s="163">
        <f t="shared" si="5"/>
        <v>0.5</v>
      </c>
      <c r="E10" s="166">
        <v>1.5</v>
      </c>
      <c r="F10" s="172">
        <v>1.5</v>
      </c>
      <c r="G10" s="169">
        <v>2</v>
      </c>
      <c r="H10" s="502"/>
      <c r="I10" s="503"/>
      <c r="J10" s="503"/>
      <c r="K10" s="504"/>
      <c r="N10" s="151">
        <f t="shared" si="0"/>
        <v>0</v>
      </c>
      <c r="O10" s="133">
        <f t="shared" si="1"/>
        <v>0</v>
      </c>
      <c r="P10" s="133">
        <f t="shared" si="2"/>
        <v>0</v>
      </c>
      <c r="Q10" s="133">
        <f t="shared" si="3"/>
        <v>0</v>
      </c>
      <c r="R10" s="174">
        <f t="shared" si="4"/>
        <v>0</v>
      </c>
      <c r="U10" s="133">
        <v>7</v>
      </c>
      <c r="V10" s="133">
        <v>11.8</v>
      </c>
      <c r="W10" s="133">
        <v>7</v>
      </c>
      <c r="X10" s="133">
        <v>19.8</v>
      </c>
    </row>
    <row r="11" spans="1:24" x14ac:dyDescent="0.2">
      <c r="A11" s="183">
        <f>'Supply (IPC)'!A18</f>
        <v>0</v>
      </c>
      <c r="B11" s="150" t="s">
        <v>22</v>
      </c>
      <c r="C11" s="163">
        <v>12</v>
      </c>
      <c r="D11" s="163">
        <f t="shared" si="5"/>
        <v>12</v>
      </c>
      <c r="E11" s="166">
        <v>2.25</v>
      </c>
      <c r="F11" s="172">
        <v>2.25</v>
      </c>
      <c r="G11" s="169">
        <v>3</v>
      </c>
      <c r="H11" s="502"/>
      <c r="I11" s="503"/>
      <c r="J11" s="503"/>
      <c r="K11" s="504"/>
      <c r="N11" s="151">
        <f t="shared" si="0"/>
        <v>0</v>
      </c>
      <c r="O11" s="133">
        <f t="shared" si="1"/>
        <v>0</v>
      </c>
      <c r="P11" s="133">
        <f t="shared" si="2"/>
        <v>0</v>
      </c>
      <c r="Q11" s="133">
        <f t="shared" si="3"/>
        <v>0</v>
      </c>
      <c r="R11" s="174">
        <f t="shared" si="4"/>
        <v>0</v>
      </c>
      <c r="U11" s="133">
        <v>8</v>
      </c>
      <c r="V11" s="133">
        <v>12.8</v>
      </c>
      <c r="W11" s="133">
        <v>8</v>
      </c>
      <c r="X11" s="133">
        <v>22.2</v>
      </c>
    </row>
    <row r="12" spans="1:24" x14ac:dyDescent="0.2">
      <c r="A12" s="183">
        <f>'Supply (IPC)'!A19</f>
        <v>0</v>
      </c>
      <c r="B12" s="150" t="s">
        <v>24</v>
      </c>
      <c r="C12" s="185">
        <v>2.5</v>
      </c>
      <c r="D12" s="163">
        <f t="shared" si="5"/>
        <v>2.5</v>
      </c>
      <c r="E12" s="166">
        <v>3</v>
      </c>
      <c r="F12" s="172">
        <v>3</v>
      </c>
      <c r="G12" s="169">
        <v>4</v>
      </c>
      <c r="H12" s="502"/>
      <c r="I12" s="503"/>
      <c r="J12" s="503"/>
      <c r="K12" s="504"/>
      <c r="N12" s="151">
        <f t="shared" si="0"/>
        <v>0</v>
      </c>
      <c r="O12" s="133">
        <f t="shared" si="1"/>
        <v>0</v>
      </c>
      <c r="P12" s="133">
        <f t="shared" si="2"/>
        <v>0</v>
      </c>
      <c r="Q12" s="133">
        <f t="shared" si="3"/>
        <v>0</v>
      </c>
      <c r="R12" s="174">
        <f t="shared" si="4"/>
        <v>0</v>
      </c>
      <c r="U12" s="133">
        <v>9</v>
      </c>
      <c r="V12" s="133">
        <v>13.7</v>
      </c>
      <c r="W12" s="133">
        <v>9</v>
      </c>
      <c r="X12" s="133">
        <v>24.6</v>
      </c>
    </row>
    <row r="13" spans="1:24" x14ac:dyDescent="0.2">
      <c r="A13" s="183">
        <f>'Supply (IPC)'!A20</f>
        <v>0</v>
      </c>
      <c r="B13" s="150" t="s">
        <v>23</v>
      </c>
      <c r="C13" s="185">
        <v>2.5</v>
      </c>
      <c r="D13" s="163">
        <f t="shared" si="5"/>
        <v>2.5</v>
      </c>
      <c r="E13" s="166">
        <v>1</v>
      </c>
      <c r="F13" s="172">
        <v>1</v>
      </c>
      <c r="G13" s="169">
        <v>1.4</v>
      </c>
      <c r="H13" s="502"/>
      <c r="I13" s="503"/>
      <c r="J13" s="503"/>
      <c r="K13" s="504"/>
      <c r="N13" s="151">
        <f t="shared" si="0"/>
        <v>0</v>
      </c>
      <c r="O13" s="133">
        <f t="shared" si="1"/>
        <v>0</v>
      </c>
      <c r="P13" s="133">
        <f t="shared" si="2"/>
        <v>0</v>
      </c>
      <c r="Q13" s="133">
        <f t="shared" si="3"/>
        <v>0</v>
      </c>
      <c r="R13" s="174">
        <f t="shared" si="4"/>
        <v>0</v>
      </c>
      <c r="U13" s="133">
        <v>10</v>
      </c>
      <c r="V13" s="133">
        <v>14.6</v>
      </c>
      <c r="W13" s="133">
        <v>10</v>
      </c>
      <c r="X13" s="133">
        <v>27</v>
      </c>
    </row>
    <row r="14" spans="1:24" x14ac:dyDescent="0.2">
      <c r="A14" s="183">
        <f>'Supply (IPC)'!A24</f>
        <v>0</v>
      </c>
      <c r="B14" s="150" t="s">
        <v>26</v>
      </c>
      <c r="C14" s="163">
        <v>4</v>
      </c>
      <c r="D14" s="163">
        <f t="shared" si="5"/>
        <v>4</v>
      </c>
      <c r="E14" s="166">
        <v>1</v>
      </c>
      <c r="F14" s="172">
        <v>1</v>
      </c>
      <c r="G14" s="169">
        <v>1.4</v>
      </c>
      <c r="H14" s="502"/>
      <c r="I14" s="503"/>
      <c r="J14" s="503"/>
      <c r="K14" s="504"/>
      <c r="N14" s="151">
        <f t="shared" si="0"/>
        <v>0</v>
      </c>
      <c r="O14" s="133">
        <f t="shared" si="1"/>
        <v>0</v>
      </c>
      <c r="P14" s="133">
        <f t="shared" si="2"/>
        <v>0</v>
      </c>
      <c r="Q14" s="133">
        <f t="shared" si="3"/>
        <v>0</v>
      </c>
      <c r="R14" s="174">
        <f t="shared" si="4"/>
        <v>0</v>
      </c>
      <c r="U14" s="133">
        <v>11</v>
      </c>
      <c r="V14" s="133">
        <v>15.4</v>
      </c>
      <c r="W14" s="133">
        <v>11</v>
      </c>
      <c r="X14" s="133">
        <v>27.8</v>
      </c>
    </row>
    <row r="15" spans="1:24" x14ac:dyDescent="0.2">
      <c r="A15" s="183">
        <f>'Supply (IPC)'!A22</f>
        <v>0</v>
      </c>
      <c r="B15" s="150" t="s">
        <v>353</v>
      </c>
      <c r="C15" s="185">
        <v>1</v>
      </c>
      <c r="D15" s="163">
        <v>0</v>
      </c>
      <c r="E15" s="166">
        <v>5</v>
      </c>
      <c r="F15" s="172">
        <v>0</v>
      </c>
      <c r="G15" s="169">
        <v>5</v>
      </c>
      <c r="H15" s="502"/>
      <c r="I15" s="503"/>
      <c r="J15" s="503"/>
      <c r="K15" s="504"/>
      <c r="N15" s="151">
        <f t="shared" si="0"/>
        <v>0</v>
      </c>
      <c r="O15" s="133">
        <f t="shared" si="1"/>
        <v>0</v>
      </c>
      <c r="P15" s="133">
        <f t="shared" si="2"/>
        <v>0</v>
      </c>
      <c r="Q15" s="133">
        <f t="shared" si="3"/>
        <v>0</v>
      </c>
      <c r="R15" s="174">
        <f t="shared" si="4"/>
        <v>0</v>
      </c>
      <c r="U15" s="133">
        <v>12</v>
      </c>
      <c r="V15" s="133">
        <v>16</v>
      </c>
      <c r="W15" s="133">
        <v>12</v>
      </c>
      <c r="X15" s="133">
        <v>28.6</v>
      </c>
    </row>
    <row r="16" spans="1:24" x14ac:dyDescent="0.2">
      <c r="A16" s="183">
        <f>'Supply (IPC)'!A27</f>
        <v>0</v>
      </c>
      <c r="B16" s="150" t="s">
        <v>27</v>
      </c>
      <c r="C16" s="185">
        <v>1.6</v>
      </c>
      <c r="D16" s="163">
        <v>0</v>
      </c>
      <c r="E16" s="166">
        <v>6</v>
      </c>
      <c r="F16" s="172">
        <v>0</v>
      </c>
      <c r="G16" s="169">
        <v>6</v>
      </c>
      <c r="H16" s="502"/>
      <c r="I16" s="503"/>
      <c r="J16" s="503"/>
      <c r="K16" s="504"/>
      <c r="N16" s="151">
        <f t="shared" si="0"/>
        <v>0</v>
      </c>
      <c r="O16" s="133">
        <f t="shared" si="1"/>
        <v>0</v>
      </c>
      <c r="P16" s="133">
        <f t="shared" si="2"/>
        <v>0</v>
      </c>
      <c r="Q16" s="133">
        <f t="shared" si="3"/>
        <v>0</v>
      </c>
      <c r="R16" s="174">
        <f t="shared" si="4"/>
        <v>0</v>
      </c>
      <c r="U16" s="133">
        <v>13</v>
      </c>
      <c r="V16" s="133">
        <v>16.5</v>
      </c>
      <c r="W16" s="133">
        <v>13</v>
      </c>
      <c r="X16" s="133">
        <v>29.4</v>
      </c>
    </row>
    <row r="17" spans="1:24" x14ac:dyDescent="0.2">
      <c r="A17" s="183">
        <f>'Supply (IPC)'!A28</f>
        <v>0</v>
      </c>
      <c r="B17" s="150" t="s">
        <v>28</v>
      </c>
      <c r="C17" s="185">
        <v>1.6</v>
      </c>
      <c r="D17" s="163">
        <v>0</v>
      </c>
      <c r="E17" s="166">
        <v>10</v>
      </c>
      <c r="F17" s="172">
        <v>0</v>
      </c>
      <c r="G17" s="169">
        <v>10</v>
      </c>
      <c r="H17" s="502"/>
      <c r="I17" s="503"/>
      <c r="J17" s="503"/>
      <c r="K17" s="504"/>
      <c r="N17" s="151">
        <f t="shared" si="0"/>
        <v>0</v>
      </c>
      <c r="O17" s="133">
        <f t="shared" si="1"/>
        <v>0</v>
      </c>
      <c r="P17" s="133">
        <f t="shared" si="2"/>
        <v>0</v>
      </c>
      <c r="Q17" s="133">
        <f t="shared" si="3"/>
        <v>0</v>
      </c>
      <c r="R17" s="174">
        <f t="shared" si="4"/>
        <v>0</v>
      </c>
      <c r="U17" s="133">
        <v>14</v>
      </c>
      <c r="V17" s="133">
        <v>17</v>
      </c>
      <c r="W17" s="133">
        <v>14</v>
      </c>
      <c r="X17" s="133">
        <v>30.2</v>
      </c>
    </row>
    <row r="18" spans="1:24" x14ac:dyDescent="0.2">
      <c r="A18" s="183">
        <f>'Supply (IPC)'!A29</f>
        <v>0</v>
      </c>
      <c r="B18" s="150" t="s">
        <v>29</v>
      </c>
      <c r="C18" s="185">
        <v>1.6</v>
      </c>
      <c r="D18" s="163">
        <v>0</v>
      </c>
      <c r="E18" s="166">
        <v>2.2000000000000002</v>
      </c>
      <c r="F18" s="172">
        <v>0</v>
      </c>
      <c r="G18" s="169">
        <v>2.2000000000000002</v>
      </c>
      <c r="H18" s="502"/>
      <c r="I18" s="503"/>
      <c r="J18" s="503"/>
      <c r="K18" s="504"/>
      <c r="N18" s="151">
        <f t="shared" si="0"/>
        <v>0</v>
      </c>
      <c r="O18" s="133">
        <f t="shared" si="1"/>
        <v>0</v>
      </c>
      <c r="P18" s="133">
        <f t="shared" si="2"/>
        <v>0</v>
      </c>
      <c r="Q18" s="133">
        <f t="shared" si="3"/>
        <v>0</v>
      </c>
      <c r="R18" s="174">
        <f t="shared" si="4"/>
        <v>0</v>
      </c>
      <c r="U18" s="133">
        <v>15</v>
      </c>
      <c r="V18" s="133">
        <v>17.5</v>
      </c>
      <c r="W18" s="133">
        <v>15</v>
      </c>
      <c r="X18" s="133">
        <v>31</v>
      </c>
    </row>
    <row r="19" spans="1:24" x14ac:dyDescent="0.2">
      <c r="A19" s="183">
        <f>'Supply (IPC)'!A30</f>
        <v>0</v>
      </c>
      <c r="B19" s="150" t="s">
        <v>30</v>
      </c>
      <c r="C19" s="185">
        <v>1.6</v>
      </c>
      <c r="D19" s="163">
        <v>0</v>
      </c>
      <c r="E19" s="166">
        <v>5</v>
      </c>
      <c r="F19" s="172">
        <v>0</v>
      </c>
      <c r="G19" s="169">
        <v>5</v>
      </c>
      <c r="H19" s="502"/>
      <c r="I19" s="503"/>
      <c r="J19" s="503"/>
      <c r="K19" s="504"/>
      <c r="N19" s="151">
        <f t="shared" si="0"/>
        <v>0</v>
      </c>
      <c r="O19" s="133">
        <f t="shared" si="1"/>
        <v>0</v>
      </c>
      <c r="P19" s="133">
        <f t="shared" si="2"/>
        <v>0</v>
      </c>
      <c r="Q19" s="133">
        <f t="shared" si="3"/>
        <v>0</v>
      </c>
      <c r="R19" s="174">
        <f t="shared" si="4"/>
        <v>0</v>
      </c>
      <c r="U19" s="133">
        <v>16</v>
      </c>
      <c r="V19" s="133">
        <v>18</v>
      </c>
      <c r="W19" s="133">
        <v>16</v>
      </c>
      <c r="X19" s="133">
        <v>31.8</v>
      </c>
    </row>
    <row r="20" spans="1:24" ht="13.5" thickBot="1" x14ac:dyDescent="0.25">
      <c r="A20" s="184">
        <f>'Supply (IPC)'!A32</f>
        <v>0</v>
      </c>
      <c r="B20" s="161" t="s">
        <v>43</v>
      </c>
      <c r="C20" s="164">
        <v>8</v>
      </c>
      <c r="D20" s="164">
        <v>0</v>
      </c>
      <c r="E20" s="167">
        <v>5</v>
      </c>
      <c r="F20" s="173">
        <v>0</v>
      </c>
      <c r="G20" s="170">
        <v>5</v>
      </c>
      <c r="H20" s="502"/>
      <c r="I20" s="503"/>
      <c r="J20" s="503"/>
      <c r="K20" s="504"/>
      <c r="N20" s="151">
        <f t="shared" si="0"/>
        <v>0</v>
      </c>
      <c r="O20" s="133">
        <f t="shared" si="1"/>
        <v>0</v>
      </c>
      <c r="P20" s="133">
        <f t="shared" si="2"/>
        <v>0</v>
      </c>
      <c r="Q20" s="133">
        <f t="shared" si="3"/>
        <v>0</v>
      </c>
      <c r="R20" s="174">
        <f t="shared" si="4"/>
        <v>0</v>
      </c>
      <c r="U20" s="133">
        <v>17</v>
      </c>
      <c r="V20" s="133">
        <v>18.399999999999999</v>
      </c>
      <c r="W20" s="133">
        <v>17</v>
      </c>
      <c r="X20" s="133">
        <v>32.6</v>
      </c>
    </row>
    <row r="21" spans="1:24" ht="13.5" thickBot="1" x14ac:dyDescent="0.25">
      <c r="A21" s="523" t="s">
        <v>354</v>
      </c>
      <c r="B21" s="524"/>
      <c r="C21" s="155">
        <f>N21</f>
        <v>0</v>
      </c>
      <c r="D21" s="155">
        <f>O21</f>
        <v>0</v>
      </c>
      <c r="E21" s="155">
        <f>P21</f>
        <v>0</v>
      </c>
      <c r="F21" s="155">
        <f>Q21</f>
        <v>0</v>
      </c>
      <c r="G21" s="155">
        <f>R21</f>
        <v>0</v>
      </c>
      <c r="H21" s="502"/>
      <c r="I21" s="503"/>
      <c r="J21" s="503"/>
      <c r="K21" s="504"/>
      <c r="N21" s="154">
        <f>SUM(N3:N20)</f>
        <v>0</v>
      </c>
      <c r="O21" s="152">
        <f>SUM(O3:O20)</f>
        <v>0</v>
      </c>
      <c r="P21" s="152">
        <f>SUM(P3:P20)</f>
        <v>0</v>
      </c>
      <c r="Q21" s="152">
        <f>SUM(Q3:Q20)</f>
        <v>0</v>
      </c>
      <c r="R21" s="153">
        <f>SUM(R3:R20)</f>
        <v>0</v>
      </c>
      <c r="U21" s="133">
        <v>18</v>
      </c>
      <c r="V21" s="133">
        <v>18.8</v>
      </c>
      <c r="W21" s="133">
        <v>18</v>
      </c>
      <c r="X21" s="133">
        <v>33.4</v>
      </c>
    </row>
    <row r="22" spans="1:24" ht="13.5" thickBot="1" x14ac:dyDescent="0.25">
      <c r="A22" s="491" t="s">
        <v>365</v>
      </c>
      <c r="B22" s="492"/>
      <c r="C22" s="492"/>
      <c r="D22" s="492"/>
      <c r="E22" s="180">
        <f>SUM(O25+P25)</f>
        <v>0</v>
      </c>
      <c r="F22" s="180">
        <f>SUM(Q25)</f>
        <v>0</v>
      </c>
      <c r="G22" s="181"/>
      <c r="H22" s="505"/>
      <c r="I22" s="506"/>
      <c r="J22" s="506"/>
      <c r="K22" s="507"/>
      <c r="U22" s="133">
        <v>19</v>
      </c>
      <c r="V22" s="133">
        <v>19.2</v>
      </c>
      <c r="W22" s="133">
        <v>19</v>
      </c>
      <c r="X22" s="133">
        <v>34.200000000000003</v>
      </c>
    </row>
    <row r="23" spans="1:24" x14ac:dyDescent="0.2">
      <c r="A23" s="124"/>
      <c r="B23" s="124"/>
      <c r="C23" s="124"/>
      <c r="D23" s="124"/>
      <c r="E23" s="124"/>
      <c r="F23" s="124"/>
      <c r="G23" s="124"/>
      <c r="O23" s="66" t="s">
        <v>362</v>
      </c>
      <c r="U23" s="133">
        <v>20</v>
      </c>
      <c r="V23" s="133">
        <v>19.600000000000001</v>
      </c>
      <c r="W23" s="133">
        <v>20</v>
      </c>
      <c r="X23" s="133">
        <v>35</v>
      </c>
    </row>
    <row r="24" spans="1:24" x14ac:dyDescent="0.2">
      <c r="A24" s="124"/>
      <c r="B24" s="124"/>
      <c r="C24" s="124"/>
      <c r="D24" s="124"/>
      <c r="E24" s="124"/>
      <c r="F24" s="124"/>
      <c r="G24" s="124"/>
      <c r="O24" s="66" t="s">
        <v>363</v>
      </c>
      <c r="P24" s="66" t="s">
        <v>364</v>
      </c>
      <c r="Q24" s="66" t="s">
        <v>314</v>
      </c>
      <c r="R24" s="66"/>
      <c r="U24" s="133">
        <v>25</v>
      </c>
      <c r="V24" s="133">
        <v>21.5</v>
      </c>
      <c r="W24" s="133">
        <v>25</v>
      </c>
      <c r="X24" s="133">
        <v>38</v>
      </c>
    </row>
    <row r="25" spans="1:24" ht="13.5" thickBot="1" x14ac:dyDescent="0.25">
      <c r="A25" s="124"/>
      <c r="B25" s="124"/>
      <c r="C25" s="124"/>
      <c r="D25" s="124"/>
      <c r="E25" s="124"/>
      <c r="F25" s="124"/>
      <c r="G25" s="124"/>
      <c r="O25" s="179">
        <f>IF(SUM(P3+P4+P5+P6+P7+P8+P9+P10+P11+P12+P13+P14+P16+P19+P20)=0,0,ROUNDUP(INDEX(V4:V249,MATCH(SUM(P3+P4+P5+P6+P7+P8+P9+P10+P11+P12+P13+P14+P16+P19+P20),U4:U249,1)),1))</f>
        <v>0</v>
      </c>
      <c r="P25" s="179">
        <f>IF(SUM(P15+P17+P18)=0,0,ROUNDUP(INDEX(X8:X249,MATCH(SUM(P15+P17+P18),W8:W249,1)),1))</f>
        <v>0</v>
      </c>
      <c r="Q25" s="179">
        <f>IF(SUM(P3+P4+P5+P7+P8+P9+P10+P11+P12+P13+P14)=0,0,ROUNDUP(INDEX(V4:V249,MATCH(SUM(P3+P4+P5+P7+P8+P9+P10+P11+P12+P13+P14),U4:U249,1)),1))</f>
        <v>0</v>
      </c>
      <c r="U25" s="133">
        <v>30</v>
      </c>
      <c r="V25" s="133">
        <v>23.3</v>
      </c>
      <c r="W25" s="133">
        <v>30</v>
      </c>
      <c r="X25" s="133">
        <v>42</v>
      </c>
    </row>
    <row r="26" spans="1:24" ht="15.75" customHeight="1" thickBot="1" x14ac:dyDescent="0.25">
      <c r="A26" s="517" t="s">
        <v>370</v>
      </c>
      <c r="B26" s="518"/>
      <c r="C26" s="518"/>
      <c r="D26" s="519"/>
      <c r="E26" s="508" t="s">
        <v>373</v>
      </c>
      <c r="F26" s="509"/>
      <c r="G26" s="509"/>
      <c r="H26" s="509"/>
      <c r="I26" s="510"/>
      <c r="U26" s="133">
        <v>35</v>
      </c>
      <c r="V26" s="133">
        <v>24.9</v>
      </c>
      <c r="W26" s="133">
        <v>35</v>
      </c>
      <c r="X26" s="133">
        <v>44</v>
      </c>
    </row>
    <row r="27" spans="1:24" ht="26.25" thickBot="1" x14ac:dyDescent="0.25">
      <c r="A27" s="157" t="s">
        <v>346</v>
      </c>
      <c r="B27" s="187" t="s">
        <v>366</v>
      </c>
      <c r="C27" s="188" t="s">
        <v>367</v>
      </c>
      <c r="D27" s="188" t="s">
        <v>369</v>
      </c>
      <c r="E27" s="511"/>
      <c r="F27" s="512"/>
      <c r="G27" s="512"/>
      <c r="H27" s="512"/>
      <c r="I27" s="513"/>
      <c r="U27" s="133">
        <v>40</v>
      </c>
      <c r="V27" s="133">
        <v>26.3</v>
      </c>
      <c r="W27" s="133">
        <v>40</v>
      </c>
      <c r="X27" s="133">
        <v>46</v>
      </c>
    </row>
    <row r="28" spans="1:24" x14ac:dyDescent="0.2">
      <c r="A28" s="185">
        <f>'Waste (IPC)'!A8</f>
        <v>0</v>
      </c>
      <c r="B28" s="190" t="s">
        <v>115</v>
      </c>
      <c r="C28" s="189">
        <v>2</v>
      </c>
      <c r="D28" s="191">
        <f t="shared" ref="D28:D37" si="6">C28*A28</f>
        <v>0</v>
      </c>
      <c r="E28" s="511"/>
      <c r="F28" s="512"/>
      <c r="G28" s="512"/>
      <c r="H28" s="512"/>
      <c r="I28" s="513"/>
      <c r="U28" s="133">
        <v>45</v>
      </c>
      <c r="V28" s="133">
        <v>27.7</v>
      </c>
      <c r="W28" s="133">
        <v>45</v>
      </c>
      <c r="X28" s="133">
        <v>48</v>
      </c>
    </row>
    <row r="29" spans="1:24" x14ac:dyDescent="0.2">
      <c r="A29" s="185">
        <f>'Waste (IPC)'!A9</f>
        <v>0</v>
      </c>
      <c r="B29" s="190" t="s">
        <v>114</v>
      </c>
      <c r="C29" s="163">
        <v>3</v>
      </c>
      <c r="D29" s="191">
        <f t="shared" si="6"/>
        <v>0</v>
      </c>
      <c r="E29" s="511"/>
      <c r="F29" s="512"/>
      <c r="G29" s="512"/>
      <c r="H29" s="512"/>
      <c r="I29" s="513"/>
      <c r="U29" s="133">
        <v>50</v>
      </c>
      <c r="V29" s="133">
        <v>29.1</v>
      </c>
      <c r="W29" s="133">
        <v>50</v>
      </c>
      <c r="X29" s="133">
        <v>50</v>
      </c>
    </row>
    <row r="30" spans="1:24" x14ac:dyDescent="0.2">
      <c r="A30" s="185">
        <f>'Waste (IPC)'!A10</f>
        <v>0</v>
      </c>
      <c r="B30" s="190" t="s">
        <v>42</v>
      </c>
      <c r="C30" s="163">
        <v>2</v>
      </c>
      <c r="D30" s="191">
        <f t="shared" si="6"/>
        <v>0</v>
      </c>
      <c r="E30" s="511"/>
      <c r="F30" s="512"/>
      <c r="G30" s="512"/>
      <c r="H30" s="512"/>
      <c r="I30" s="513"/>
      <c r="U30" s="133">
        <v>60</v>
      </c>
      <c r="V30" s="133">
        <v>32</v>
      </c>
      <c r="W30" s="133">
        <v>60</v>
      </c>
      <c r="X30" s="133">
        <v>54</v>
      </c>
    </row>
    <row r="31" spans="1:24" x14ac:dyDescent="0.2">
      <c r="A31" s="185">
        <f>'Waste (IPC)'!A11</f>
        <v>0</v>
      </c>
      <c r="B31" s="190" t="s">
        <v>17</v>
      </c>
      <c r="C31" s="163">
        <v>0.5</v>
      </c>
      <c r="D31" s="191">
        <f t="shared" si="6"/>
        <v>0</v>
      </c>
      <c r="E31" s="511"/>
      <c r="F31" s="512"/>
      <c r="G31" s="512"/>
      <c r="H31" s="512"/>
      <c r="I31" s="513"/>
      <c r="U31" s="133">
        <v>70</v>
      </c>
      <c r="V31" s="133">
        <v>25</v>
      </c>
      <c r="W31" s="133">
        <v>70</v>
      </c>
      <c r="X31" s="133">
        <v>58</v>
      </c>
    </row>
    <row r="32" spans="1:24" x14ac:dyDescent="0.2">
      <c r="A32" s="185">
        <f>'Waste (IPC)'!A12</f>
        <v>0</v>
      </c>
      <c r="B32" s="190" t="s">
        <v>31</v>
      </c>
      <c r="C32" s="163">
        <v>2</v>
      </c>
      <c r="D32" s="191">
        <f t="shared" si="6"/>
        <v>0</v>
      </c>
      <c r="E32" s="511"/>
      <c r="F32" s="512"/>
      <c r="G32" s="512"/>
      <c r="H32" s="512"/>
      <c r="I32" s="513"/>
      <c r="U32" s="133">
        <v>80</v>
      </c>
      <c r="V32" s="133">
        <v>28</v>
      </c>
      <c r="W32" s="133">
        <v>80</v>
      </c>
      <c r="X32" s="133">
        <v>61.2</v>
      </c>
    </row>
    <row r="33" spans="1:24" x14ac:dyDescent="0.2">
      <c r="A33" s="185">
        <f>'Waste (IPC)'!A13</f>
        <v>0</v>
      </c>
      <c r="B33" s="190" t="s">
        <v>46</v>
      </c>
      <c r="C33" s="163">
        <v>2</v>
      </c>
      <c r="D33" s="191">
        <f t="shared" si="6"/>
        <v>0</v>
      </c>
      <c r="E33" s="511"/>
      <c r="F33" s="512"/>
      <c r="G33" s="512"/>
      <c r="H33" s="512"/>
      <c r="I33" s="513"/>
      <c r="U33" s="133">
        <v>90</v>
      </c>
      <c r="V33" s="133">
        <v>41</v>
      </c>
      <c r="W33" s="133">
        <v>90</v>
      </c>
      <c r="X33" s="133">
        <v>64.3</v>
      </c>
    </row>
    <row r="34" spans="1:24" x14ac:dyDescent="0.2">
      <c r="A34" s="185">
        <f>'Waste (IPC)'!A14</f>
        <v>0</v>
      </c>
      <c r="B34" s="190" t="s">
        <v>151</v>
      </c>
      <c r="C34" s="163">
        <v>2</v>
      </c>
      <c r="D34" s="191">
        <f t="shared" si="6"/>
        <v>0</v>
      </c>
      <c r="E34" s="511"/>
      <c r="F34" s="512"/>
      <c r="G34" s="512"/>
      <c r="H34" s="512"/>
      <c r="I34" s="513"/>
      <c r="U34" s="133">
        <v>100</v>
      </c>
      <c r="V34" s="133">
        <v>43.5</v>
      </c>
      <c r="W34" s="133">
        <v>100</v>
      </c>
      <c r="X34" s="133">
        <v>67.5</v>
      </c>
    </row>
    <row r="35" spans="1:24" x14ac:dyDescent="0.2">
      <c r="A35" s="185">
        <f>'Waste (IPC)'!A19</f>
        <v>0</v>
      </c>
      <c r="B35" s="190" t="s">
        <v>48</v>
      </c>
      <c r="C35" s="163">
        <v>1</v>
      </c>
      <c r="D35" s="191">
        <f t="shared" si="6"/>
        <v>0</v>
      </c>
      <c r="E35" s="511"/>
      <c r="F35" s="512"/>
      <c r="G35" s="512"/>
      <c r="H35" s="512"/>
      <c r="I35" s="513"/>
      <c r="U35" s="133">
        <v>180</v>
      </c>
      <c r="V35" s="133">
        <v>61</v>
      </c>
      <c r="W35" s="133">
        <v>180</v>
      </c>
      <c r="X35" s="133">
        <v>85.5</v>
      </c>
    </row>
    <row r="36" spans="1:24" x14ac:dyDescent="0.2">
      <c r="A36" s="185">
        <f>'Waste (IPC)'!A20</f>
        <v>0</v>
      </c>
      <c r="B36" s="190" t="s">
        <v>368</v>
      </c>
      <c r="C36" s="163">
        <v>3</v>
      </c>
      <c r="D36" s="191">
        <f t="shared" si="6"/>
        <v>0</v>
      </c>
      <c r="E36" s="511"/>
      <c r="F36" s="512"/>
      <c r="G36" s="512"/>
      <c r="H36" s="512"/>
      <c r="I36" s="513"/>
      <c r="U36" s="133">
        <v>200</v>
      </c>
      <c r="V36" s="133">
        <v>65</v>
      </c>
      <c r="W36" s="133">
        <v>200</v>
      </c>
      <c r="X36" s="133">
        <v>90</v>
      </c>
    </row>
    <row r="37" spans="1:24" ht="13.5" thickBot="1" x14ac:dyDescent="0.25">
      <c r="A37" s="202">
        <f>'Waste (IPC)'!A21</f>
        <v>0</v>
      </c>
      <c r="B37" s="192" t="s">
        <v>120</v>
      </c>
      <c r="C37" s="164">
        <v>2</v>
      </c>
      <c r="D37" s="193">
        <f t="shared" si="6"/>
        <v>0</v>
      </c>
      <c r="E37" s="511"/>
      <c r="F37" s="512"/>
      <c r="G37" s="512"/>
      <c r="H37" s="512"/>
      <c r="I37" s="513"/>
      <c r="U37" s="133">
        <v>225</v>
      </c>
      <c r="V37" s="133">
        <v>70</v>
      </c>
      <c r="W37" s="133">
        <v>225</v>
      </c>
      <c r="X37" s="133">
        <v>95.5</v>
      </c>
    </row>
    <row r="38" spans="1:24" ht="13.5" thickBot="1" x14ac:dyDescent="0.25">
      <c r="A38" s="520" t="s">
        <v>122</v>
      </c>
      <c r="B38" s="521"/>
      <c r="C38" s="521"/>
      <c r="D38" s="522"/>
      <c r="E38" s="511"/>
      <c r="F38" s="512"/>
      <c r="G38" s="512"/>
      <c r="H38" s="512"/>
      <c r="I38" s="513"/>
      <c r="U38" s="133">
        <v>1500</v>
      </c>
      <c r="V38" s="133">
        <v>269</v>
      </c>
      <c r="W38" s="133">
        <v>1500</v>
      </c>
      <c r="X38" s="133">
        <v>269</v>
      </c>
    </row>
    <row r="39" spans="1:24" x14ac:dyDescent="0.2">
      <c r="A39" s="203">
        <f>'Waste (IPC)'!A31</f>
        <v>0</v>
      </c>
      <c r="B39" s="194" t="s">
        <v>157</v>
      </c>
      <c r="C39" s="189">
        <v>4</v>
      </c>
      <c r="D39" s="195">
        <f>C39*A39</f>
        <v>0</v>
      </c>
      <c r="E39" s="511"/>
      <c r="F39" s="512"/>
      <c r="G39" s="512"/>
      <c r="H39" s="512"/>
      <c r="I39" s="513"/>
      <c r="U39" s="133">
        <v>1750</v>
      </c>
      <c r="V39" s="133">
        <v>297</v>
      </c>
      <c r="W39" s="133">
        <v>1750</v>
      </c>
      <c r="X39" s="133">
        <v>297</v>
      </c>
    </row>
    <row r="40" spans="1:24" x14ac:dyDescent="0.2">
      <c r="A40" s="185">
        <f>'Waste (IPC)'!A32</f>
        <v>0</v>
      </c>
      <c r="B40" s="190" t="s">
        <v>156</v>
      </c>
      <c r="C40" s="163">
        <v>2</v>
      </c>
      <c r="D40" s="191">
        <f>C40*A40</f>
        <v>0</v>
      </c>
      <c r="E40" s="511"/>
      <c r="F40" s="512"/>
      <c r="G40" s="512"/>
      <c r="H40" s="512"/>
      <c r="I40" s="513"/>
      <c r="U40" s="133">
        <v>2000</v>
      </c>
      <c r="V40" s="133">
        <v>325</v>
      </c>
      <c r="W40" s="133">
        <v>2000</v>
      </c>
      <c r="X40" s="133">
        <v>325</v>
      </c>
    </row>
    <row r="41" spans="1:24" ht="13.5" thickBot="1" x14ac:dyDescent="0.25">
      <c r="A41" s="202">
        <f>'Waste (IPC)'!A33</f>
        <v>0</v>
      </c>
      <c r="B41" s="196" t="s">
        <v>45</v>
      </c>
      <c r="C41" s="164">
        <v>0.5</v>
      </c>
      <c r="D41" s="197">
        <f>C41*A41</f>
        <v>0</v>
      </c>
      <c r="E41" s="511"/>
      <c r="F41" s="512"/>
      <c r="G41" s="512"/>
      <c r="H41" s="512"/>
      <c r="I41" s="513"/>
      <c r="U41" s="133">
        <v>2500</v>
      </c>
      <c r="V41" s="133">
        <v>380</v>
      </c>
      <c r="W41" s="133">
        <v>2500</v>
      </c>
      <c r="X41" s="133">
        <v>380</v>
      </c>
    </row>
    <row r="42" spans="1:24" ht="13.5" thickBot="1" x14ac:dyDescent="0.25">
      <c r="A42" s="520" t="s">
        <v>371</v>
      </c>
      <c r="B42" s="521"/>
      <c r="C42" s="521"/>
      <c r="D42" s="522"/>
      <c r="E42" s="511"/>
      <c r="F42" s="512"/>
      <c r="G42" s="512"/>
      <c r="H42" s="512"/>
      <c r="I42" s="513"/>
      <c r="U42" s="133">
        <v>3000</v>
      </c>
      <c r="V42" s="133">
        <v>433</v>
      </c>
      <c r="W42" s="133">
        <v>3000</v>
      </c>
      <c r="X42" s="133">
        <v>433</v>
      </c>
    </row>
    <row r="43" spans="1:24" x14ac:dyDescent="0.2">
      <c r="A43" s="203">
        <f>'Waste (IPC)'!A35</f>
        <v>0</v>
      </c>
      <c r="B43" s="194" t="s">
        <v>133</v>
      </c>
      <c r="C43" s="189">
        <v>3</v>
      </c>
      <c r="D43" s="189">
        <f>C43*A43</f>
        <v>0</v>
      </c>
      <c r="E43" s="511"/>
      <c r="F43" s="512"/>
      <c r="G43" s="512"/>
      <c r="H43" s="512"/>
      <c r="I43" s="513"/>
      <c r="U43" s="133">
        <v>4000</v>
      </c>
      <c r="V43" s="133">
        <v>525</v>
      </c>
      <c r="W43" s="133">
        <v>4000</v>
      </c>
      <c r="X43" s="133">
        <v>525</v>
      </c>
    </row>
    <row r="44" spans="1:24" ht="13.5" thickBot="1" x14ac:dyDescent="0.25">
      <c r="A44" s="202">
        <f>'Waste (IPC)'!A36</f>
        <v>0</v>
      </c>
      <c r="B44" s="196" t="s">
        <v>134</v>
      </c>
      <c r="C44" s="164">
        <v>4</v>
      </c>
      <c r="D44" s="164">
        <f>C44*A44</f>
        <v>0</v>
      </c>
      <c r="E44" s="511"/>
      <c r="F44" s="512"/>
      <c r="G44" s="512"/>
      <c r="H44" s="512"/>
      <c r="I44" s="513"/>
      <c r="U44" s="133">
        <v>5000</v>
      </c>
      <c r="V44" s="133">
        <v>593</v>
      </c>
      <c r="W44" s="133">
        <v>5000</v>
      </c>
      <c r="X44" s="133">
        <v>593</v>
      </c>
    </row>
    <row r="45" spans="1:24" ht="13.5" thickBot="1" x14ac:dyDescent="0.25">
      <c r="A45" s="520" t="s">
        <v>158</v>
      </c>
      <c r="B45" s="521"/>
      <c r="C45" s="521"/>
      <c r="D45" s="522"/>
      <c r="E45" s="511"/>
      <c r="F45" s="512"/>
      <c r="G45" s="512"/>
      <c r="H45" s="512"/>
      <c r="I45" s="513"/>
    </row>
    <row r="46" spans="1:24" ht="13.5" thickBot="1" x14ac:dyDescent="0.25">
      <c r="A46" s="204">
        <f>'Waste (IPC)'!A41</f>
        <v>0</v>
      </c>
      <c r="B46" s="198" t="s">
        <v>159</v>
      </c>
      <c r="C46" s="200">
        <v>4</v>
      </c>
      <c r="D46" s="199">
        <f>C46*A46</f>
        <v>0</v>
      </c>
      <c r="E46" s="511"/>
      <c r="F46" s="512"/>
      <c r="G46" s="512"/>
      <c r="H46" s="512"/>
      <c r="I46" s="513"/>
    </row>
    <row r="47" spans="1:24" ht="13.5" thickBot="1" x14ac:dyDescent="0.25">
      <c r="A47" s="496" t="s">
        <v>372</v>
      </c>
      <c r="B47" s="497"/>
      <c r="C47" s="498"/>
      <c r="D47" s="201">
        <f>SUM(D28+D29+D30+D31+D32+D33+D34+D35+D36+D37+D39+D40+D41+D43+D44+D46)</f>
        <v>0</v>
      </c>
      <c r="E47" s="514"/>
      <c r="F47" s="515"/>
      <c r="G47" s="515"/>
      <c r="H47" s="515"/>
      <c r="I47" s="516"/>
    </row>
    <row r="48" spans="1:24" x14ac:dyDescent="0.2">
      <c r="A48" s="124"/>
      <c r="B48" s="124"/>
      <c r="C48" s="124"/>
      <c r="D48" s="124"/>
      <c r="E48" s="124"/>
      <c r="F48" s="124"/>
      <c r="G48" s="124"/>
    </row>
    <row r="49" spans="1:7" x14ac:dyDescent="0.2">
      <c r="A49" s="124"/>
      <c r="B49" s="124"/>
      <c r="C49" s="124"/>
      <c r="D49" s="124"/>
      <c r="E49" s="124"/>
      <c r="F49" s="124"/>
      <c r="G49" s="124"/>
    </row>
    <row r="50" spans="1:7" x14ac:dyDescent="0.2">
      <c r="A50" s="124"/>
      <c r="B50" s="124"/>
      <c r="C50" s="124"/>
      <c r="D50" s="124"/>
      <c r="E50" s="124"/>
      <c r="F50" s="124"/>
      <c r="G50" s="124"/>
    </row>
    <row r="51" spans="1:7" x14ac:dyDescent="0.2">
      <c r="A51" s="124"/>
      <c r="B51" s="124"/>
      <c r="C51" s="124"/>
      <c r="D51" s="124"/>
      <c r="E51" s="124"/>
      <c r="F51" s="124"/>
      <c r="G51" s="124"/>
    </row>
    <row r="52" spans="1:7" x14ac:dyDescent="0.2">
      <c r="A52" s="124"/>
      <c r="B52" s="124"/>
      <c r="C52" s="124"/>
      <c r="D52" s="124"/>
      <c r="E52" s="124"/>
      <c r="F52" s="124"/>
      <c r="G52" s="124"/>
    </row>
    <row r="53" spans="1:7" x14ac:dyDescent="0.2">
      <c r="A53" s="124"/>
      <c r="B53" s="124"/>
      <c r="C53" s="124"/>
      <c r="D53" s="124"/>
      <c r="E53" s="124"/>
      <c r="F53" s="124"/>
      <c r="G53" s="124"/>
    </row>
    <row r="54" spans="1:7" x14ac:dyDescent="0.2">
      <c r="A54" s="124"/>
      <c r="B54" s="124"/>
      <c r="C54" s="124"/>
      <c r="D54" s="124"/>
      <c r="E54" s="124"/>
      <c r="F54" s="124"/>
      <c r="G54" s="124"/>
    </row>
    <row r="55" spans="1:7" x14ac:dyDescent="0.2">
      <c r="A55" s="124"/>
      <c r="B55" s="124"/>
      <c r="C55" s="124"/>
      <c r="D55" s="124"/>
      <c r="E55" s="124"/>
      <c r="F55" s="124"/>
      <c r="G55" s="124"/>
    </row>
    <row r="56" spans="1:7" x14ac:dyDescent="0.2">
      <c r="A56" s="124"/>
      <c r="B56" s="124"/>
      <c r="C56" s="124"/>
      <c r="D56" s="124"/>
      <c r="E56" s="124"/>
      <c r="F56" s="124"/>
      <c r="G56" s="124"/>
    </row>
    <row r="57" spans="1:7" x14ac:dyDescent="0.2">
      <c r="A57" s="124"/>
      <c r="B57" s="124"/>
      <c r="C57" s="124"/>
      <c r="D57" s="124"/>
      <c r="E57" s="124"/>
      <c r="F57" s="124"/>
      <c r="G57" s="124"/>
    </row>
    <row r="58" spans="1:7" x14ac:dyDescent="0.2">
      <c r="A58" s="124"/>
      <c r="B58" s="124"/>
      <c r="C58" s="124"/>
      <c r="D58" s="124"/>
      <c r="E58" s="124"/>
      <c r="F58" s="124"/>
      <c r="G58" s="124"/>
    </row>
    <row r="59" spans="1:7" x14ac:dyDescent="0.2">
      <c r="A59" s="124"/>
      <c r="B59" s="124"/>
      <c r="C59" s="124"/>
      <c r="D59" s="124"/>
      <c r="E59" s="124"/>
      <c r="F59" s="124"/>
      <c r="G59" s="124"/>
    </row>
    <row r="60" spans="1:7" x14ac:dyDescent="0.2">
      <c r="A60" s="124"/>
      <c r="B60" s="124"/>
      <c r="C60" s="124"/>
      <c r="D60" s="124"/>
      <c r="E60" s="124"/>
      <c r="F60" s="124"/>
      <c r="G60" s="124"/>
    </row>
    <row r="61" spans="1:7" x14ac:dyDescent="0.2">
      <c r="A61" s="124"/>
      <c r="B61" s="124"/>
      <c r="C61" s="124"/>
      <c r="D61" s="124"/>
      <c r="E61" s="124"/>
      <c r="F61" s="124"/>
      <c r="G61" s="124"/>
    </row>
    <row r="62" spans="1:7" x14ac:dyDescent="0.2">
      <c r="A62" s="124"/>
      <c r="B62" s="124"/>
      <c r="C62" s="124"/>
      <c r="D62" s="124"/>
      <c r="E62" s="124"/>
      <c r="F62" s="124"/>
      <c r="G62" s="124"/>
    </row>
    <row r="63" spans="1:7" x14ac:dyDescent="0.2">
      <c r="A63" s="124"/>
      <c r="B63" s="124"/>
      <c r="C63" s="124"/>
      <c r="D63" s="124"/>
      <c r="E63" s="124"/>
      <c r="F63" s="124"/>
      <c r="G63" s="124"/>
    </row>
    <row r="64" spans="1:7" x14ac:dyDescent="0.2">
      <c r="A64" s="124"/>
      <c r="B64" s="124"/>
      <c r="C64" s="124"/>
      <c r="D64" s="124"/>
      <c r="E64" s="124"/>
      <c r="F64" s="124"/>
      <c r="G64" s="124"/>
    </row>
    <row r="65" spans="1:7" x14ac:dyDescent="0.2">
      <c r="A65" s="124"/>
      <c r="B65" s="124"/>
      <c r="C65" s="124"/>
      <c r="D65" s="124"/>
      <c r="E65" s="124"/>
      <c r="F65" s="124"/>
      <c r="G65" s="124"/>
    </row>
    <row r="66" spans="1:7" x14ac:dyDescent="0.2">
      <c r="A66" s="124"/>
      <c r="B66" s="124"/>
      <c r="C66" s="124"/>
      <c r="D66" s="124"/>
      <c r="E66" s="124"/>
      <c r="F66" s="124"/>
      <c r="G66" s="124"/>
    </row>
    <row r="67" spans="1:7" x14ac:dyDescent="0.2">
      <c r="A67" s="124"/>
      <c r="B67" s="124"/>
      <c r="C67" s="124"/>
      <c r="D67" s="124"/>
      <c r="E67" s="124"/>
      <c r="F67" s="124"/>
      <c r="G67" s="124"/>
    </row>
    <row r="68" spans="1:7" x14ac:dyDescent="0.2">
      <c r="A68" s="124"/>
      <c r="B68" s="124"/>
      <c r="C68" s="124"/>
      <c r="D68" s="124"/>
      <c r="E68" s="124"/>
      <c r="F68" s="124"/>
      <c r="G68" s="124"/>
    </row>
    <row r="69" spans="1:7" x14ac:dyDescent="0.2">
      <c r="A69" s="124"/>
      <c r="B69" s="124"/>
      <c r="C69" s="124"/>
      <c r="D69" s="124"/>
      <c r="E69" s="124"/>
      <c r="F69" s="124"/>
      <c r="G69" s="124"/>
    </row>
    <row r="70" spans="1:7" x14ac:dyDescent="0.2">
      <c r="A70" s="124"/>
      <c r="B70" s="124"/>
      <c r="C70" s="124"/>
      <c r="D70" s="124"/>
      <c r="E70" s="124"/>
      <c r="F70" s="124"/>
      <c r="G70" s="124"/>
    </row>
    <row r="71" spans="1:7" x14ac:dyDescent="0.2">
      <c r="A71" s="124"/>
      <c r="B71" s="124"/>
      <c r="C71" s="124"/>
      <c r="D71" s="124"/>
      <c r="E71" s="124"/>
      <c r="F71" s="124"/>
      <c r="G71" s="124"/>
    </row>
    <row r="72" spans="1:7" x14ac:dyDescent="0.2">
      <c r="A72" s="124"/>
      <c r="B72" s="124"/>
      <c r="C72" s="124"/>
      <c r="D72" s="124"/>
      <c r="E72" s="124"/>
      <c r="F72" s="124"/>
      <c r="G72" s="124"/>
    </row>
    <row r="73" spans="1:7" x14ac:dyDescent="0.2">
      <c r="A73" s="124"/>
      <c r="B73" s="124"/>
      <c r="C73" s="124"/>
      <c r="D73" s="124"/>
      <c r="E73" s="124"/>
      <c r="F73" s="124"/>
      <c r="G73" s="124"/>
    </row>
    <row r="74" spans="1:7" x14ac:dyDescent="0.2">
      <c r="A74" s="124"/>
      <c r="B74" s="124"/>
      <c r="C74" s="124"/>
      <c r="D74" s="124"/>
      <c r="E74" s="124"/>
      <c r="F74" s="124"/>
      <c r="G74" s="124"/>
    </row>
    <row r="75" spans="1:7" x14ac:dyDescent="0.2">
      <c r="A75" s="124"/>
      <c r="B75" s="124"/>
      <c r="C75" s="124"/>
      <c r="D75" s="124"/>
      <c r="E75" s="124"/>
      <c r="F75" s="124"/>
      <c r="G75" s="124"/>
    </row>
    <row r="76" spans="1:7" x14ac:dyDescent="0.2">
      <c r="A76" s="124"/>
      <c r="B76" s="124"/>
      <c r="C76" s="124"/>
      <c r="D76" s="124"/>
      <c r="E76" s="124"/>
      <c r="F76" s="124"/>
      <c r="G76" s="124"/>
    </row>
    <row r="77" spans="1:7" x14ac:dyDescent="0.2">
      <c r="A77" s="124"/>
      <c r="B77" s="124"/>
      <c r="C77" s="124"/>
      <c r="D77" s="124"/>
      <c r="E77" s="124"/>
      <c r="F77" s="124"/>
      <c r="G77" s="124"/>
    </row>
    <row r="78" spans="1:7" x14ac:dyDescent="0.2">
      <c r="A78" s="124"/>
      <c r="B78" s="124"/>
      <c r="C78" s="124"/>
      <c r="D78" s="124"/>
      <c r="E78" s="124"/>
      <c r="F78" s="124"/>
      <c r="G78" s="124"/>
    </row>
    <row r="79" spans="1:7" x14ac:dyDescent="0.2">
      <c r="A79" s="124"/>
      <c r="B79" s="124"/>
      <c r="C79" s="124"/>
      <c r="D79" s="124"/>
      <c r="E79" s="124"/>
      <c r="F79" s="124"/>
      <c r="G79" s="124"/>
    </row>
    <row r="80" spans="1:7" x14ac:dyDescent="0.2">
      <c r="A80" s="124"/>
      <c r="B80" s="124"/>
      <c r="C80" s="124"/>
      <c r="D80" s="124"/>
      <c r="E80" s="124"/>
      <c r="F80" s="124"/>
      <c r="G80" s="124"/>
    </row>
    <row r="81" spans="1:7" x14ac:dyDescent="0.2">
      <c r="A81" s="124"/>
      <c r="B81" s="124"/>
      <c r="C81" s="124"/>
      <c r="D81" s="124"/>
      <c r="E81" s="124"/>
      <c r="F81" s="124"/>
      <c r="G81" s="124"/>
    </row>
    <row r="82" spans="1:7" x14ac:dyDescent="0.2">
      <c r="A82" s="124"/>
      <c r="B82" s="124"/>
      <c r="C82" s="124"/>
      <c r="D82" s="124"/>
      <c r="E82" s="124"/>
      <c r="F82" s="124"/>
      <c r="G82" s="124"/>
    </row>
    <row r="83" spans="1:7" x14ac:dyDescent="0.2">
      <c r="A83" s="124"/>
      <c r="B83" s="124"/>
      <c r="C83" s="124"/>
      <c r="D83" s="124"/>
      <c r="E83" s="124"/>
      <c r="F83" s="124"/>
      <c r="G83" s="124"/>
    </row>
    <row r="84" spans="1:7" x14ac:dyDescent="0.2">
      <c r="A84" s="124"/>
      <c r="B84" s="124"/>
      <c r="C84" s="124"/>
      <c r="D84" s="124"/>
      <c r="E84" s="124"/>
      <c r="F84" s="124"/>
      <c r="G84" s="124"/>
    </row>
    <row r="85" spans="1:7" x14ac:dyDescent="0.2">
      <c r="A85" s="124"/>
      <c r="B85" s="124"/>
      <c r="C85" s="124"/>
      <c r="D85" s="124"/>
      <c r="E85" s="124"/>
      <c r="F85" s="124"/>
      <c r="G85" s="124"/>
    </row>
    <row r="86" spans="1:7" x14ac:dyDescent="0.2">
      <c r="A86" s="124"/>
      <c r="B86" s="124"/>
      <c r="C86" s="124"/>
      <c r="D86" s="124"/>
      <c r="E86" s="124"/>
      <c r="F86" s="124"/>
      <c r="G86" s="124"/>
    </row>
    <row r="87" spans="1:7" x14ac:dyDescent="0.2">
      <c r="A87" s="124"/>
      <c r="B87" s="124"/>
      <c r="C87" s="124"/>
      <c r="D87" s="124"/>
      <c r="E87" s="124"/>
      <c r="F87" s="124"/>
      <c r="G87" s="124"/>
    </row>
    <row r="88" spans="1:7" x14ac:dyDescent="0.2">
      <c r="A88" s="124"/>
      <c r="B88" s="124"/>
      <c r="C88" s="124"/>
      <c r="D88" s="124"/>
      <c r="E88" s="124"/>
      <c r="F88" s="124"/>
      <c r="G88" s="124"/>
    </row>
    <row r="89" spans="1:7" x14ac:dyDescent="0.2">
      <c r="A89" s="124"/>
      <c r="B89" s="124"/>
      <c r="C89" s="124"/>
      <c r="D89" s="124"/>
      <c r="E89" s="124"/>
      <c r="F89" s="124"/>
      <c r="G89" s="124"/>
    </row>
    <row r="90" spans="1:7" x14ac:dyDescent="0.2">
      <c r="A90" s="124"/>
      <c r="B90" s="124"/>
      <c r="C90" s="124"/>
      <c r="D90" s="124"/>
      <c r="E90" s="124"/>
      <c r="F90" s="124"/>
      <c r="G90" s="124"/>
    </row>
    <row r="91" spans="1:7" x14ac:dyDescent="0.2">
      <c r="A91" s="124"/>
      <c r="B91" s="124"/>
      <c r="C91" s="124"/>
      <c r="D91" s="124"/>
      <c r="E91" s="124"/>
      <c r="F91" s="124"/>
      <c r="G91" s="124"/>
    </row>
    <row r="92" spans="1:7" x14ac:dyDescent="0.2">
      <c r="A92" s="124"/>
      <c r="B92" s="124"/>
      <c r="C92" s="124"/>
      <c r="D92" s="124"/>
      <c r="E92" s="124"/>
      <c r="F92" s="124"/>
      <c r="G92" s="124"/>
    </row>
    <row r="93" spans="1:7" x14ac:dyDescent="0.2">
      <c r="A93" s="124"/>
      <c r="B93" s="124"/>
      <c r="C93" s="124"/>
      <c r="D93" s="124"/>
      <c r="E93" s="124"/>
      <c r="F93" s="124"/>
      <c r="G93" s="124"/>
    </row>
    <row r="94" spans="1:7" x14ac:dyDescent="0.2">
      <c r="A94" s="124"/>
      <c r="B94" s="124"/>
      <c r="C94" s="124"/>
      <c r="D94" s="124"/>
      <c r="E94" s="124"/>
      <c r="F94" s="124"/>
      <c r="G94" s="124"/>
    </row>
    <row r="95" spans="1:7" x14ac:dyDescent="0.2">
      <c r="A95" s="124"/>
      <c r="B95" s="124"/>
      <c r="C95" s="124"/>
      <c r="D95" s="124"/>
      <c r="E95" s="124"/>
      <c r="F95" s="124"/>
      <c r="G95" s="124"/>
    </row>
    <row r="96" spans="1:7" x14ac:dyDescent="0.2">
      <c r="A96" s="124"/>
      <c r="B96" s="124"/>
      <c r="C96" s="124"/>
      <c r="D96" s="124"/>
      <c r="E96" s="124"/>
      <c r="F96" s="124"/>
      <c r="G96" s="124"/>
    </row>
    <row r="97" spans="1:7" x14ac:dyDescent="0.2">
      <c r="A97" s="124"/>
      <c r="B97" s="124"/>
      <c r="C97" s="124"/>
      <c r="D97" s="124"/>
      <c r="E97" s="124"/>
      <c r="F97" s="124"/>
      <c r="G97" s="124"/>
    </row>
    <row r="98" spans="1:7" x14ac:dyDescent="0.2">
      <c r="A98" s="124"/>
      <c r="B98" s="124"/>
      <c r="C98" s="124"/>
      <c r="D98" s="124"/>
      <c r="E98" s="124"/>
      <c r="F98" s="124"/>
      <c r="G98" s="124"/>
    </row>
    <row r="99" spans="1:7" x14ac:dyDescent="0.2">
      <c r="A99" s="124"/>
      <c r="B99" s="124"/>
      <c r="C99" s="124"/>
      <c r="D99" s="124"/>
      <c r="E99" s="124"/>
      <c r="F99" s="124"/>
      <c r="G99" s="124"/>
    </row>
    <row r="100" spans="1:7" x14ac:dyDescent="0.2">
      <c r="A100" s="124"/>
      <c r="B100" s="124"/>
      <c r="C100" s="124"/>
      <c r="D100" s="124"/>
      <c r="E100" s="124"/>
      <c r="F100" s="124"/>
      <c r="G100" s="124"/>
    </row>
    <row r="101" spans="1:7" x14ac:dyDescent="0.2">
      <c r="A101" s="124"/>
      <c r="B101" s="124"/>
      <c r="C101" s="124"/>
      <c r="D101" s="124"/>
      <c r="E101" s="124"/>
      <c r="F101" s="124"/>
      <c r="G101" s="124"/>
    </row>
    <row r="102" spans="1:7" x14ac:dyDescent="0.2">
      <c r="A102" s="124"/>
      <c r="B102" s="124"/>
      <c r="C102" s="124"/>
      <c r="D102" s="124"/>
      <c r="E102" s="124"/>
      <c r="F102" s="124"/>
      <c r="G102" s="124"/>
    </row>
    <row r="103" spans="1:7" x14ac:dyDescent="0.2">
      <c r="A103" s="124"/>
      <c r="B103" s="124"/>
      <c r="C103" s="124"/>
      <c r="D103" s="124"/>
      <c r="E103" s="124"/>
      <c r="F103" s="124"/>
      <c r="G103" s="124"/>
    </row>
    <row r="104" spans="1:7" x14ac:dyDescent="0.2">
      <c r="A104" s="124"/>
      <c r="B104" s="124"/>
      <c r="C104" s="124"/>
      <c r="D104" s="124"/>
      <c r="E104" s="124"/>
      <c r="F104" s="124"/>
      <c r="G104" s="124"/>
    </row>
    <row r="105" spans="1:7" x14ac:dyDescent="0.2">
      <c r="A105" s="124"/>
      <c r="B105" s="124"/>
      <c r="C105" s="124"/>
      <c r="D105" s="124"/>
      <c r="E105" s="124"/>
      <c r="F105" s="124"/>
      <c r="G105" s="124"/>
    </row>
    <row r="106" spans="1:7" x14ac:dyDescent="0.2">
      <c r="A106" s="124"/>
      <c r="B106" s="124"/>
      <c r="C106" s="124"/>
      <c r="D106" s="124"/>
      <c r="E106" s="124"/>
      <c r="F106" s="124"/>
      <c r="G106" s="124"/>
    </row>
    <row r="107" spans="1:7" x14ac:dyDescent="0.2">
      <c r="A107" s="124"/>
      <c r="B107" s="124"/>
      <c r="C107" s="124"/>
      <c r="D107" s="124"/>
      <c r="E107" s="124"/>
      <c r="F107" s="124"/>
      <c r="G107" s="124"/>
    </row>
  </sheetData>
  <mergeCells count="13">
    <mergeCell ref="A47:C47"/>
    <mergeCell ref="H1:K22"/>
    <mergeCell ref="E26:I47"/>
    <mergeCell ref="A26:D26"/>
    <mergeCell ref="A38:D38"/>
    <mergeCell ref="A42:D42"/>
    <mergeCell ref="A45:D45"/>
    <mergeCell ref="A21:B21"/>
    <mergeCell ref="N1:R1"/>
    <mergeCell ref="U2:V2"/>
    <mergeCell ref="W2:X2"/>
    <mergeCell ref="A22:D22"/>
    <mergeCell ref="A1:G1"/>
  </mergeCells>
  <dataValidations disablePrompts="1" count="4">
    <dataValidation type="list" allowBlank="1" showInputMessage="1" showErrorMessage="1" sqref="C16:C19" xr:uid="{DAE5F5FE-8463-42AE-A945-F981D77C7B88}">
      <formula1>"1.6,1.0,0"</formula1>
    </dataValidation>
    <dataValidation type="list" allowBlank="1" showInputMessage="1" showErrorMessage="1" sqref="C12:C13" xr:uid="{F1E62965-C71B-4F73-9ECD-E583CF690182}">
      <formula1>"2.5,2.2,2"</formula1>
    </dataValidation>
    <dataValidation type="list" allowBlank="1" showInputMessage="1" showErrorMessage="1" sqref="C15" xr:uid="{C26FE71B-3A33-4B1F-B11E-0CC85CBE68C9}">
      <formula1>"1,0"</formula1>
    </dataValidation>
    <dataValidation type="list" allowBlank="1" showInputMessage="1" showErrorMessage="1" sqref="C9:C10" xr:uid="{8A4DEAA9-37EB-48D4-84A9-8A6E4F215B8D}">
      <formula1>".5,.25"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Fixture Chart</vt:lpstr>
      <vt:lpstr>Supply (IPC)</vt:lpstr>
      <vt:lpstr>Waste (IPC)</vt:lpstr>
      <vt:lpstr>Supply (UPC &amp; CPC)</vt:lpstr>
      <vt:lpstr>Waste (UPC &amp; CPC)</vt:lpstr>
      <vt:lpstr>Supply (248 CMR) (MA)</vt:lpstr>
      <vt:lpstr>Waste (248 CMR) (MA)</vt:lpstr>
      <vt:lpstr>Supply (NSPC) (NJ)</vt:lpstr>
      <vt:lpstr>Waste (NSPC) (NJ)</vt:lpstr>
      <vt:lpstr>Supply (ISPC) (IL)</vt:lpstr>
      <vt:lpstr>Waste (ISPC) (IL)</vt:lpstr>
      <vt:lpstr>Ohio Supply-Waste Demand</vt:lpstr>
      <vt:lpstr>'Fixture Chart'!Print_Area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</dc:creator>
  <cp:lastModifiedBy>Mitch Quintana</cp:lastModifiedBy>
  <cp:lastPrinted>2018-09-27T22:53:01Z</cp:lastPrinted>
  <dcterms:created xsi:type="dcterms:W3CDTF">2006-01-24T15:25:29Z</dcterms:created>
  <dcterms:modified xsi:type="dcterms:W3CDTF">2025-11-18T13:55:27Z</dcterms:modified>
</cp:coreProperties>
</file>
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S:\Sales Resources\! SUNBELT\Calculators\"/>
    </mc:Choice>
  </mc:AlternateContent>
  <xr:revisionPtr revIDLastSave="0" documentId="13_ncr:1_{86376F9A-69AB-4159-B302-05BA621C119C}" xr6:coauthVersionLast="47" xr6:coauthVersionMax="47" xr10:uidLastSave="{00000000-0000-0000-0000-000000000000}"/>
  <bookViews>
    <workbookView xWindow="29970" yWindow="780" windowWidth="26220" windowHeight="15420" xr2:uid="{C9B661F1-D8FB-4B3B-B26D-8F6D7532EC4F}"/>
  </bookViews>
  <sheets>
    <sheet name="Steel Stud " sheetId="4" r:id="rId1"/>
    <sheet name="Sheet5" sheetId="5" r:id="rId2"/>
  </sheets>
  <definedNames>
    <definedName name="_xlnm.Print_Area" localSheetId="0">'Steel Stud '!$A$1:$I$44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42" i="4" l="1"/>
  <c r="U43" i="4"/>
  <c r="U44" i="4"/>
  <c r="G17" i="4" l="1"/>
  <c r="I9" i="5"/>
  <c r="G8" i="4"/>
  <c r="G11" i="4"/>
  <c r="K7" i="4"/>
  <c r="G10" i="4" s="1"/>
  <c r="G28" i="4"/>
  <c r="H29" i="4"/>
  <c r="H28" i="4"/>
  <c r="G23" i="4"/>
  <c r="H23" i="4"/>
  <c r="H21" i="4"/>
  <c r="I21" i="4" s="1"/>
  <c r="H17" i="4"/>
  <c r="H14" i="4"/>
  <c r="H13" i="4"/>
  <c r="H11" i="4"/>
  <c r="H10" i="4"/>
  <c r="H19" i="4"/>
  <c r="H15" i="4"/>
  <c r="G19" i="4"/>
  <c r="H8" i="4"/>
  <c r="H7" i="4"/>
  <c r="F16" i="5"/>
  <c r="F15" i="5"/>
  <c r="F14" i="5"/>
  <c r="F9" i="5"/>
  <c r="F22" i="5"/>
  <c r="F21" i="5"/>
  <c r="F20" i="5"/>
  <c r="F19" i="5"/>
  <c r="F18" i="5"/>
  <c r="F17" i="5"/>
  <c r="F8" i="5"/>
  <c r="F7" i="5"/>
  <c r="G14" i="5"/>
  <c r="I14" i="5" s="1"/>
  <c r="H15" i="5"/>
  <c r="H14" i="5"/>
  <c r="H8" i="5"/>
  <c r="H7" i="5"/>
  <c r="P27" i="5" s="1"/>
  <c r="G7" i="5"/>
  <c r="J8" i="5" s="1"/>
  <c r="G8" i="5" s="1"/>
  <c r="H22" i="5"/>
  <c r="H21" i="5"/>
  <c r="H20" i="5"/>
  <c r="H19" i="5"/>
  <c r="H18" i="5"/>
  <c r="H17" i="5"/>
  <c r="I17" i="5" s="1"/>
  <c r="H16" i="5"/>
  <c r="H13" i="5"/>
  <c r="H12" i="5"/>
  <c r="I23" i="5"/>
  <c r="I18" i="5"/>
  <c r="D5" i="5"/>
  <c r="C5" i="5"/>
  <c r="E4" i="5"/>
  <c r="I30" i="4"/>
  <c r="H27" i="4"/>
  <c r="H25" i="4"/>
  <c r="H22" i="4"/>
  <c r="G22" i="4"/>
  <c r="H18" i="4"/>
  <c r="G18" i="4"/>
  <c r="D5" i="4"/>
  <c r="C5" i="4"/>
  <c r="E4" i="4"/>
  <c r="I28" i="4" l="1"/>
  <c r="G29" i="4"/>
  <c r="I29" i="4" s="1"/>
  <c r="E5" i="5"/>
  <c r="J15" i="5"/>
  <c r="G15" i="5" s="1"/>
  <c r="I15" i="5" s="1"/>
  <c r="G7" i="4"/>
  <c r="I7" i="4" s="1"/>
  <c r="I19" i="4"/>
  <c r="I23" i="4"/>
  <c r="I18" i="4"/>
  <c r="I11" i="4"/>
  <c r="I17" i="4"/>
  <c r="E5" i="4"/>
  <c r="G13" i="4" s="1"/>
  <c r="I13" i="4" s="1"/>
  <c r="I11" i="5"/>
  <c r="I19" i="5"/>
  <c r="I10" i="5"/>
  <c r="I8" i="5"/>
  <c r="I16" i="5"/>
  <c r="I7" i="5"/>
  <c r="I22" i="5"/>
  <c r="I13" i="5"/>
  <c r="I21" i="5"/>
  <c r="I20" i="5"/>
  <c r="I22" i="4"/>
  <c r="I10" i="4"/>
  <c r="I8" i="4"/>
  <c r="H12" i="4" l="1"/>
  <c r="I12" i="4" s="1"/>
  <c r="H9" i="4"/>
  <c r="I9" i="4" s="1"/>
  <c r="G15" i="4"/>
  <c r="I15" i="4" s="1"/>
  <c r="P9" i="4"/>
  <c r="G26" i="4" s="1"/>
  <c r="I26" i="4" s="1"/>
  <c r="H24" i="4"/>
  <c r="I24" i="4" s="1"/>
  <c r="H20" i="4"/>
  <c r="I20" i="4" s="1"/>
  <c r="P10" i="4"/>
  <c r="G27" i="4" s="1"/>
  <c r="I27" i="4" s="1"/>
  <c r="G14" i="4"/>
  <c r="I14" i="4" s="1"/>
  <c r="I24" i="5"/>
  <c r="O21" i="5" s="1"/>
  <c r="I28" i="5" s="1"/>
  <c r="I31" i="5" s="1"/>
  <c r="I32" i="5" s="1"/>
  <c r="H16" i="4" l="1"/>
  <c r="I16" i="4" s="1"/>
  <c r="P8" i="4"/>
  <c r="G25" i="4" s="1"/>
  <c r="I25" i="4" s="1"/>
  <c r="I31" i="4" l="1"/>
  <c r="O26" i="4" s="1"/>
  <c r="I35" i="4" s="1"/>
  <c r="I38" i="4" s="1"/>
  <c r="I39" i="4" s="1"/>
  <c r="G41" i="4" s="1"/>
</calcChain>
</file>

<file path=xl/sharedStrings.xml><?xml version="1.0" encoding="utf-8"?>
<sst xmlns="http://schemas.openxmlformats.org/spreadsheetml/2006/main" count="172" uniqueCount="99">
  <si>
    <t>MATERIAL DESCRIPTION</t>
  </si>
  <si>
    <t>SPECIFICATION</t>
  </si>
  <si>
    <t xml:space="preserve">UNIT </t>
  </si>
  <si>
    <t xml:space="preserve">QTY </t>
  </si>
  <si>
    <t xml:space="preserve">PRICE </t>
  </si>
  <si>
    <t>EXTENSION</t>
  </si>
  <si>
    <t>EA</t>
  </si>
  <si>
    <t>Jason King</t>
  </si>
  <si>
    <t>TOTAL</t>
  </si>
  <si>
    <t>MISC</t>
  </si>
  <si>
    <t>SQ Price</t>
  </si>
  <si>
    <t>SF</t>
  </si>
  <si>
    <t>LF</t>
  </si>
  <si>
    <t>WINDOW</t>
  </si>
  <si>
    <t>TRACK</t>
  </si>
  <si>
    <t>Floor (JOIST)</t>
  </si>
  <si>
    <t>ROOF (RAFTERS)</t>
  </si>
  <si>
    <t xml:space="preserve">EA </t>
  </si>
  <si>
    <t>WALLS (STUD) EXTERIOR</t>
  </si>
  <si>
    <t>WALL (STUD) INTERIOR</t>
  </si>
  <si>
    <t>INTERIOR WALL</t>
  </si>
  <si>
    <t>BOX</t>
  </si>
  <si>
    <t>FASTNERS(5M PER BOX)</t>
  </si>
  <si>
    <t>SUB TOTAL</t>
  </si>
  <si>
    <t xml:space="preserve">MATERIAL </t>
  </si>
  <si>
    <t xml:space="preserve">BOM </t>
  </si>
  <si>
    <t>FACTORED COST</t>
  </si>
  <si>
    <t>FACTOR</t>
  </si>
  <si>
    <t>STEEL STUD WORK UP</t>
  </si>
  <si>
    <t>PLUMBING WALL(STUD)</t>
  </si>
  <si>
    <t xml:space="preserve">FLOORS </t>
  </si>
  <si>
    <t xml:space="preserve">Work up Blank </t>
  </si>
  <si>
    <t>DOORS</t>
  </si>
  <si>
    <t>TRACK 2X4X10'</t>
  </si>
  <si>
    <t>2X6X12'</t>
  </si>
  <si>
    <t>TRACK 2X6X10'</t>
  </si>
  <si>
    <t>2x4x12'</t>
  </si>
  <si>
    <t>TRACK 2X10X10'</t>
  </si>
  <si>
    <t>3 5/8"X1 5/8"X12'</t>
  </si>
  <si>
    <t>TRACK 2X4</t>
  </si>
  <si>
    <t>6"X 1-5/8"X12'</t>
  </si>
  <si>
    <t>TRACK 2X6</t>
  </si>
  <si>
    <t>8"X 1-5/8"X12'</t>
  </si>
  <si>
    <t>TRACK 2X8</t>
  </si>
  <si>
    <t>10"X1-5/8"X12'</t>
  </si>
  <si>
    <t xml:space="preserve">TRACK 2X10 </t>
  </si>
  <si>
    <t>#10X3/4 WAFER HEAD</t>
  </si>
  <si>
    <t>#6X1-5/8" DRYWALL SDS</t>
  </si>
  <si>
    <t>#6X2" DRYWALL SDS</t>
  </si>
  <si>
    <t>#6X1-5/8 DRYWALL SDS</t>
  </si>
  <si>
    <t>#6X2 DRYWALL SDS</t>
  </si>
  <si>
    <t>Based on 12'x60' Floors, 12" OC. 18 ga. Track is 10', Joist, Stud,Rafters,12'.</t>
  </si>
  <si>
    <t>SPACING</t>
  </si>
  <si>
    <t xml:space="preserve">26 GA GALVANZIED W/ R-6 WRAP. </t>
  </si>
  <si>
    <t>26GA GALVANIZED DUCT    7/12/21</t>
  </si>
  <si>
    <t xml:space="preserve">26GA GAL DUCT </t>
  </si>
  <si>
    <t>DUCT WRAP R-6</t>
  </si>
  <si>
    <t>RL</t>
  </si>
  <si>
    <t>26 GA BARE DUCT</t>
  </si>
  <si>
    <t>NO</t>
  </si>
  <si>
    <t>PLEASE CHECK PRICES(T:27-T:32) GREEN/BLUE BOXES ARE ALL ADJUSTABLE NUMBERS  10% ADDED AT SUBTOTAL FOR EXTRA LABOR.(OPTIONAL)</t>
  </si>
  <si>
    <t xml:space="preserve">DUCT SUPPLY </t>
  </si>
  <si>
    <t xml:space="preserve">RETURN DUCT </t>
  </si>
  <si>
    <t>10"X1-5/8"X14'</t>
  </si>
  <si>
    <t>GA</t>
  </si>
  <si>
    <t>2X8X12'</t>
  </si>
  <si>
    <t>FIRE BLOCK</t>
  </si>
  <si>
    <t>FIRE BLOCKS</t>
  </si>
  <si>
    <t>Based on 12'x60' Floors, 12" OC. 16 ga. Track is 10', Joist, Stud,Rafters,12'.</t>
  </si>
  <si>
    <t>PLENUM WALL</t>
  </si>
  <si>
    <t>PMI Steel Stud Pricing/Work up</t>
  </si>
  <si>
    <t xml:space="preserve">Not updated. </t>
  </si>
  <si>
    <t>Not updated</t>
  </si>
  <si>
    <t>TRACK 2X8X10'</t>
  </si>
  <si>
    <t>20 GA STEEL  PRICES  7/10/2023 FBM</t>
  </si>
  <si>
    <t xml:space="preserve">20 ga </t>
  </si>
  <si>
    <t>20 GA</t>
  </si>
  <si>
    <t xml:space="preserve"> 6"X 1-5/8"X12'</t>
  </si>
  <si>
    <t xml:space="preserve"> TRACK 2X6</t>
  </si>
  <si>
    <t xml:space="preserve"> 3 5/8"X1 5/8"X12'</t>
  </si>
  <si>
    <t xml:space="preserve"> TRACK 2X4</t>
  </si>
  <si>
    <t xml:space="preserve"> 8"X 1-5/8"X12'</t>
  </si>
  <si>
    <t xml:space="preserve"> TRACK 2X8</t>
  </si>
  <si>
    <t xml:space="preserve"> 10"X1-5/8"X12'</t>
  </si>
  <si>
    <t xml:space="preserve"> TRACK 2X10 </t>
  </si>
  <si>
    <t xml:space="preserve">  2X8x14' </t>
  </si>
  <si>
    <t>18 GA STEEL PRICES 7/10/2023 fbm</t>
  </si>
  <si>
    <t>18 GA</t>
  </si>
  <si>
    <t>TOTAL WITHOUT MARK UP</t>
  </si>
  <si>
    <t>FLOOR SF $</t>
  </si>
  <si>
    <t>ROOF SF $</t>
  </si>
  <si>
    <t>WALL EX. LF $</t>
  </si>
  <si>
    <t>INT WALL LF $</t>
  </si>
  <si>
    <t>PLUMBING WALL LF $</t>
  </si>
  <si>
    <t xml:space="preserve"> OPTION PRICING BELOW</t>
  </si>
  <si>
    <t>ADDITIONAL FRAMING ECT.</t>
  </si>
  <si>
    <t>BOM/OPTION MATERIALS</t>
  </si>
  <si>
    <t>FILL OUT FACTOR "A3"</t>
  </si>
  <si>
    <t xml:space="preserve">PLEASE CHECK PRICES(T:27-T:32) GREEN/BLUE BOXES ARE ALL ADJUSTABLE NUMBERS.          10% SCRAP FACTOR ALREADY CALCULATED INTO ALL BUILDING MATERIALS.                              10% ADDED AT SUBTOTAL FOR EXTRA LABOR.(OPTIONAL) Jay D. sudjested 12"o/c on all buildings.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</si>
</sst>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1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8"/>
      <name val="Arial"/>
      <family val="2"/>
    </font>
    <font>
      <sz val="11"/>
      <color rgb="FF006100"/>
      <name val="Arial"/>
      <family val="2"/>
    </font>
    <font>
      <u/>
      <sz val="10"/>
      <name val="Arial"/>
      <family val="2"/>
    </font>
    <font>
      <sz val="11"/>
      <color theme="1"/>
      <name val="Arial"/>
      <family val="2"/>
    </font>
    <font>
      <sz val="10"/>
      <color rgb="FF00610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b/>
      <sz val="11"/>
      <color rgb="FF9C5700"/>
      <name val="Arial"/>
      <family val="2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0"/>
      <color theme="4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theme="8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44" fontId="4" fillId="0" borderId="0" applyFont="0" applyFill="0" applyBorder="0" applyAlignment="0" applyProtection="0"/>
    <xf numFmtId="0" fontId="5" fillId="2" borderId="0" applyNumberFormat="0" applyBorder="0" applyAlignment="0" applyProtection="0"/>
    <xf numFmtId="0" fontId="14" fillId="4" borderId="0" applyNumberFormat="0" applyBorder="0" applyAlignment="0" applyProtection="0"/>
    <xf numFmtId="0" fontId="15" fillId="3" borderId="0" applyNumberFormat="0" applyBorder="0" applyAlignment="0" applyProtection="0"/>
    <xf numFmtId="0" fontId="16" fillId="5" borderId="24" applyNumberFormat="0" applyAlignment="0" applyProtection="0"/>
    <xf numFmtId="0" fontId="17" fillId="6" borderId="0" applyNumberFormat="0" applyBorder="0" applyAlignment="0" applyProtection="0"/>
    <xf numFmtId="0" fontId="19" fillId="7" borderId="25" applyNumberFormat="0" applyAlignment="0" applyProtection="0"/>
  </cellStyleXfs>
  <cellXfs count="147">
    <xf numFmtId="0" fontId="0" fillId="0" borderId="0" xfId="0"/>
    <xf numFmtId="0" fontId="0" fillId="0" borderId="11" xfId="0" applyBorder="1"/>
    <xf numFmtId="0" fontId="1" fillId="0" borderId="14" xfId="0" applyFont="1" applyBorder="1" applyAlignment="1">
      <alignment horizontal="center" vertical="top"/>
    </xf>
    <xf numFmtId="0" fontId="1" fillId="0" borderId="14" xfId="0" applyFont="1" applyBorder="1"/>
    <xf numFmtId="2" fontId="1" fillId="0" borderId="14" xfId="0" applyNumberFormat="1" applyFont="1" applyBorder="1"/>
    <xf numFmtId="0" fontId="5" fillId="2" borderId="11" xfId="2" applyBorder="1"/>
    <xf numFmtId="44" fontId="1" fillId="0" borderId="14" xfId="1" applyFont="1" applyBorder="1"/>
    <xf numFmtId="44" fontId="1" fillId="0" borderId="14" xfId="1" applyFont="1" applyBorder="1" applyAlignment="1"/>
    <xf numFmtId="0" fontId="10" fillId="2" borderId="14" xfId="2" applyFont="1" applyBorder="1"/>
    <xf numFmtId="44" fontId="7" fillId="2" borderId="14" xfId="1" applyFont="1" applyFill="1" applyBorder="1"/>
    <xf numFmtId="44" fontId="13" fillId="3" borderId="14" xfId="1" applyFont="1" applyFill="1" applyBorder="1"/>
    <xf numFmtId="0" fontId="0" fillId="0" borderId="3" xfId="0" applyBorder="1"/>
    <xf numFmtId="0" fontId="0" fillId="0" borderId="12" xfId="0" applyBorder="1"/>
    <xf numFmtId="0" fontId="0" fillId="0" borderId="6" xfId="0" applyBorder="1"/>
    <xf numFmtId="0" fontId="14" fillId="4" borderId="1" xfId="3" applyBorder="1"/>
    <xf numFmtId="0" fontId="14" fillId="4" borderId="7" xfId="3" applyBorder="1"/>
    <xf numFmtId="0" fontId="14" fillId="4" borderId="0" xfId="3" applyBorder="1"/>
    <xf numFmtId="0" fontId="14" fillId="4" borderId="4" xfId="3" applyBorder="1"/>
    <xf numFmtId="44" fontId="17" fillId="6" borderId="2" xfId="6" applyNumberFormat="1" applyBorder="1"/>
    <xf numFmtId="44" fontId="17" fillId="6" borderId="0" xfId="6" applyNumberFormat="1" applyBorder="1"/>
    <xf numFmtId="44" fontId="17" fillId="6" borderId="5" xfId="6" applyNumberFormat="1" applyBorder="1"/>
    <xf numFmtId="44" fontId="1" fillId="0" borderId="14" xfId="1" applyFont="1" applyBorder="1" applyProtection="1">
      <protection hidden="1"/>
    </xf>
    <xf numFmtId="44" fontId="1" fillId="0" borderId="14" xfId="1" applyFont="1" applyBorder="1" applyAlignment="1" applyProtection="1">
      <protection hidden="1"/>
    </xf>
    <xf numFmtId="44" fontId="9" fillId="0" borderId="14" xfId="1" applyFont="1" applyBorder="1" applyProtection="1">
      <protection hidden="1"/>
    </xf>
    <xf numFmtId="0" fontId="5" fillId="2" borderId="14" xfId="2" applyBorder="1"/>
    <xf numFmtId="0" fontId="5" fillId="2" borderId="14" xfId="2" applyBorder="1" applyAlignment="1">
      <alignment horizontal="center" vertical="top"/>
    </xf>
    <xf numFmtId="0" fontId="1" fillId="0" borderId="14" xfId="0" applyFont="1" applyBorder="1" applyAlignment="1">
      <alignment horizontal="center"/>
    </xf>
    <xf numFmtId="0" fontId="3" fillId="0" borderId="14" xfId="0" applyFont="1" applyBorder="1"/>
    <xf numFmtId="0" fontId="8" fillId="0" borderId="14" xfId="0" applyFont="1" applyBorder="1"/>
    <xf numFmtId="0" fontId="1" fillId="0" borderId="26" xfId="0" applyFont="1" applyBorder="1" applyAlignment="1">
      <alignment horizontal="center"/>
    </xf>
    <xf numFmtId="0" fontId="15" fillId="3" borderId="14" xfId="4" applyBorder="1"/>
    <xf numFmtId="0" fontId="1" fillId="0" borderId="13" xfId="0" applyFont="1" applyBorder="1" applyAlignment="1">
      <alignment horizontal="center"/>
    </xf>
    <xf numFmtId="0" fontId="7" fillId="2" borderId="8" xfId="2" applyFont="1" applyBorder="1"/>
    <xf numFmtId="0" fontId="7" fillId="2" borderId="6" xfId="2" applyFont="1" applyBorder="1"/>
    <xf numFmtId="0" fontId="0" fillId="0" borderId="14" xfId="0" applyBorder="1"/>
    <xf numFmtId="0" fontId="19" fillId="7" borderId="28" xfId="7" applyBorder="1"/>
    <xf numFmtId="0" fontId="7" fillId="2" borderId="4" xfId="2" applyFont="1" applyBorder="1"/>
    <xf numFmtId="0" fontId="19" fillId="7" borderId="29" xfId="7" applyBorder="1"/>
    <xf numFmtId="1" fontId="0" fillId="0" borderId="14" xfId="0" applyNumberFormat="1" applyBorder="1"/>
    <xf numFmtId="0" fontId="15" fillId="3" borderId="14" xfId="4" applyBorder="1" applyAlignment="1"/>
    <xf numFmtId="0" fontId="5" fillId="2" borderId="14" xfId="2" applyBorder="1" applyAlignment="1"/>
    <xf numFmtId="44" fontId="17" fillId="6" borderId="14" xfId="6" applyNumberFormat="1" applyBorder="1"/>
    <xf numFmtId="44" fontId="17" fillId="6" borderId="4" xfId="1" applyFont="1" applyFill="1" applyBorder="1"/>
    <xf numFmtId="44" fontId="14" fillId="4" borderId="30" xfId="1" applyFont="1" applyFill="1" applyBorder="1"/>
    <xf numFmtId="44" fontId="14" fillId="4" borderId="31" xfId="1" applyFont="1" applyFill="1" applyBorder="1"/>
    <xf numFmtId="44" fontId="14" fillId="4" borderId="32" xfId="1" applyFont="1" applyFill="1" applyBorder="1"/>
    <xf numFmtId="44" fontId="14" fillId="4" borderId="15" xfId="1" applyFont="1" applyFill="1" applyBorder="1"/>
    <xf numFmtId="0" fontId="5" fillId="2" borderId="0" xfId="2" applyBorder="1"/>
    <xf numFmtId="44" fontId="15" fillId="3" borderId="14" xfId="4" applyNumberFormat="1" applyBorder="1" applyProtection="1">
      <protection hidden="1"/>
    </xf>
    <xf numFmtId="44" fontId="15" fillId="3" borderId="14" xfId="4" applyNumberFormat="1" applyBorder="1" applyAlignment="1" applyProtection="1">
      <protection hidden="1"/>
    </xf>
    <xf numFmtId="0" fontId="7" fillId="2" borderId="14" xfId="2" applyFont="1" applyBorder="1"/>
    <xf numFmtId="0" fontId="19" fillId="7" borderId="14" xfId="7" applyBorder="1"/>
    <xf numFmtId="1" fontId="16" fillId="5" borderId="14" xfId="5" applyNumberFormat="1" applyBorder="1"/>
    <xf numFmtId="0" fontId="0" fillId="0" borderId="34" xfId="0" applyBorder="1"/>
    <xf numFmtId="0" fontId="5" fillId="2" borderId="33" xfId="2" applyBorder="1"/>
    <xf numFmtId="0" fontId="1" fillId="0" borderId="34" xfId="0" applyFont="1" applyBorder="1" applyAlignment="1">
      <alignment horizontal="center"/>
    </xf>
    <xf numFmtId="44" fontId="1" fillId="0" borderId="34" xfId="1" applyFont="1" applyBorder="1"/>
    <xf numFmtId="44" fontId="7" fillId="2" borderId="34" xfId="1" applyFont="1" applyFill="1" applyBorder="1"/>
    <xf numFmtId="44" fontId="13" fillId="3" borderId="34" xfId="1" applyFont="1" applyFill="1" applyBorder="1"/>
    <xf numFmtId="0" fontId="1" fillId="0" borderId="34" xfId="0" applyFont="1" applyBorder="1"/>
    <xf numFmtId="0" fontId="7" fillId="2" borderId="36" xfId="2" applyFont="1" applyBorder="1"/>
    <xf numFmtId="0" fontId="0" fillId="0" borderId="27" xfId="0" applyBorder="1"/>
    <xf numFmtId="0" fontId="7" fillId="2" borderId="27" xfId="2" applyFont="1" applyBorder="1"/>
    <xf numFmtId="0" fontId="0" fillId="0" borderId="37" xfId="0" applyBorder="1"/>
    <xf numFmtId="44" fontId="14" fillId="8" borderId="30" xfId="1" applyFont="1" applyFill="1" applyBorder="1"/>
    <xf numFmtId="44" fontId="14" fillId="8" borderId="31" xfId="1" applyFont="1" applyFill="1" applyBorder="1"/>
    <xf numFmtId="44" fontId="14" fillId="8" borderId="32" xfId="1" applyFont="1" applyFill="1" applyBorder="1"/>
    <xf numFmtId="44" fontId="14" fillId="8" borderId="15" xfId="1" applyFont="1" applyFill="1" applyBorder="1"/>
    <xf numFmtId="44" fontId="1" fillId="9" borderId="34" xfId="1" applyFont="1" applyFill="1" applyBorder="1"/>
    <xf numFmtId="0" fontId="0" fillId="9" borderId="0" xfId="0" applyFill="1"/>
    <xf numFmtId="44" fontId="1" fillId="9" borderId="34" xfId="1" applyFont="1" applyFill="1" applyBorder="1" applyAlignment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2" xfId="0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2" xfId="0" applyFont="1" applyBorder="1" applyAlignment="1">
      <alignment horizontal="center" wrapText="1"/>
    </xf>
    <xf numFmtId="0" fontId="18" fillId="0" borderId="4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0" xfId="0" applyFont="1" applyAlignment="1">
      <alignment horizontal="center" wrapText="1"/>
    </xf>
    <xf numFmtId="0" fontId="5" fillId="2" borderId="14" xfId="2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20" fillId="0" borderId="33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0" fillId="0" borderId="14" xfId="0" applyBorder="1"/>
    <xf numFmtId="9" fontId="20" fillId="0" borderId="33" xfId="0" applyNumberFormat="1" applyFont="1" applyBorder="1" applyAlignment="1">
      <alignment horizontal="center"/>
    </xf>
    <xf numFmtId="9" fontId="20" fillId="0" borderId="14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15" fillId="3" borderId="1" xfId="4" applyBorder="1" applyAlignment="1">
      <alignment horizontal="center" vertical="top" wrapText="1"/>
    </xf>
    <xf numFmtId="0" fontId="15" fillId="3" borderId="2" xfId="4" applyBorder="1" applyAlignment="1">
      <alignment horizontal="center" vertical="top" wrapText="1"/>
    </xf>
    <xf numFmtId="0" fontId="15" fillId="3" borderId="3" xfId="4" applyBorder="1" applyAlignment="1">
      <alignment horizontal="center" vertical="top" wrapText="1"/>
    </xf>
    <xf numFmtId="0" fontId="15" fillId="3" borderId="7" xfId="4" applyBorder="1" applyAlignment="1">
      <alignment horizontal="center" vertical="top" wrapText="1"/>
    </xf>
    <xf numFmtId="0" fontId="15" fillId="3" borderId="0" xfId="4" applyBorder="1" applyAlignment="1">
      <alignment horizontal="center" vertical="top" wrapText="1"/>
    </xf>
    <xf numFmtId="0" fontId="15" fillId="3" borderId="12" xfId="4" applyBorder="1" applyAlignment="1">
      <alignment horizontal="center" vertical="top" wrapText="1"/>
    </xf>
    <xf numFmtId="0" fontId="15" fillId="3" borderId="4" xfId="4" applyBorder="1" applyAlignment="1">
      <alignment horizontal="center" vertical="top" wrapText="1"/>
    </xf>
    <xf numFmtId="0" fontId="15" fillId="3" borderId="5" xfId="4" applyBorder="1" applyAlignment="1">
      <alignment horizontal="center" vertical="top" wrapText="1"/>
    </xf>
    <xf numFmtId="0" fontId="15" fillId="3" borderId="6" xfId="4" applyBorder="1" applyAlignment="1">
      <alignment horizontal="center" vertical="top" wrapText="1"/>
    </xf>
    <xf numFmtId="0" fontId="0" fillId="0" borderId="27" xfId="0" applyBorder="1" applyAlignment="1">
      <alignment horizontal="center" vertical="center"/>
    </xf>
    <xf numFmtId="0" fontId="5" fillId="2" borderId="8" xfId="2" applyBorder="1" applyAlignment="1">
      <alignment horizontal="center"/>
    </xf>
    <xf numFmtId="0" fontId="5" fillId="2" borderId="10" xfId="2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12" xfId="0" applyFont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9" fontId="1" fillId="0" borderId="14" xfId="0" applyNumberFormat="1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4" fillId="4" borderId="8" xfId="3" applyBorder="1" applyAlignment="1">
      <alignment horizontal="center"/>
    </xf>
    <xf numFmtId="0" fontId="14" fillId="4" borderId="10" xfId="3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</cellXfs>
  <cellStyles count="8">
    <cellStyle name="Accent5" xfId="6" builtinId="45"/>
    <cellStyle name="Bad" xfId="3" builtinId="27"/>
    <cellStyle name="Calculation" xfId="7" builtinId="22"/>
    <cellStyle name="Check Cell" xfId="5" builtinId="23"/>
    <cellStyle name="Currency" xfId="1" builtinId="4"/>
    <cellStyle name="Good" xfId="2" builtinId="26"/>
    <cellStyle name="Neutral" xfId="4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3CAAA-34E8-4933-ABE9-7FEC21638586}">
  <sheetPr>
    <pageSetUpPr fitToPage="1"/>
  </sheetPr>
  <dimension ref="A1:U45"/>
  <sheetViews>
    <sheetView tabSelected="1" topLeftCell="A18" workbookViewId="0">
      <selection activeCell="M9" sqref="M9"/>
    </sheetView>
  </sheetViews>
  <sheetFormatPr defaultRowHeight="15" x14ac:dyDescent="0.25"/>
  <cols>
    <col min="8" max="8" width="12.85546875" customWidth="1"/>
    <col min="9" max="9" width="15" customWidth="1"/>
    <col min="11" max="11" width="9.7109375" customWidth="1"/>
    <col min="15" max="15" width="12.42578125" customWidth="1"/>
    <col min="17" max="17" width="17.42578125" customWidth="1"/>
    <col min="19" max="19" width="10.7109375" customWidth="1"/>
    <col min="21" max="21" width="12.28515625" customWidth="1"/>
  </cols>
  <sheetData>
    <row r="1" spans="1:17" x14ac:dyDescent="0.25">
      <c r="A1" s="106" t="s">
        <v>70</v>
      </c>
      <c r="B1" s="107"/>
      <c r="C1" s="107"/>
      <c r="D1" s="107"/>
      <c r="E1" s="107"/>
      <c r="F1" s="107"/>
      <c r="G1" s="107"/>
      <c r="H1" s="107"/>
      <c r="I1" s="108"/>
      <c r="K1" s="112" t="s">
        <v>98</v>
      </c>
      <c r="L1" s="113"/>
      <c r="M1" s="113"/>
      <c r="N1" s="113"/>
      <c r="O1" s="113"/>
      <c r="P1" s="113"/>
      <c r="Q1" s="114"/>
    </row>
    <row r="2" spans="1:17" ht="15.75" thickBot="1" x14ac:dyDescent="0.3">
      <c r="A2" s="109"/>
      <c r="B2" s="110"/>
      <c r="C2" s="110"/>
      <c r="D2" s="110"/>
      <c r="E2" s="110"/>
      <c r="F2" s="110"/>
      <c r="G2" s="110"/>
      <c r="H2" s="110"/>
      <c r="I2" s="111"/>
      <c r="K2" s="115"/>
      <c r="L2" s="116"/>
      <c r="M2" s="116"/>
      <c r="N2" s="116"/>
      <c r="O2" s="116"/>
      <c r="P2" s="116"/>
      <c r="Q2" s="117"/>
    </row>
    <row r="3" spans="1:17" x14ac:dyDescent="0.25">
      <c r="A3" s="60">
        <v>0</v>
      </c>
      <c r="B3" s="61" t="s">
        <v>27</v>
      </c>
      <c r="C3" s="121" t="s">
        <v>28</v>
      </c>
      <c r="D3" s="121"/>
      <c r="E3" s="121"/>
      <c r="F3" s="121"/>
      <c r="G3" s="121"/>
      <c r="H3" s="62">
        <v>12</v>
      </c>
      <c r="I3" s="63" t="s">
        <v>20</v>
      </c>
      <c r="K3" s="115"/>
      <c r="L3" s="116"/>
      <c r="M3" s="116"/>
      <c r="N3" s="116"/>
      <c r="O3" s="116"/>
      <c r="P3" s="116"/>
      <c r="Q3" s="117"/>
    </row>
    <row r="4" spans="1:17" ht="15.75" thickBot="1" x14ac:dyDescent="0.3">
      <c r="A4" s="54">
        <v>1</v>
      </c>
      <c r="B4" s="34" t="s">
        <v>32</v>
      </c>
      <c r="C4" s="50">
        <v>12</v>
      </c>
      <c r="D4" s="50">
        <v>60</v>
      </c>
      <c r="E4" s="28">
        <f>PRODUCT(C4,D4)</f>
        <v>720</v>
      </c>
      <c r="F4" s="34" t="s">
        <v>11</v>
      </c>
      <c r="G4" s="28"/>
      <c r="H4" s="24">
        <v>12</v>
      </c>
      <c r="I4" s="53" t="s">
        <v>52</v>
      </c>
      <c r="K4" s="118"/>
      <c r="L4" s="119"/>
      <c r="M4" s="119"/>
      <c r="N4" s="119"/>
      <c r="O4" s="119"/>
      <c r="P4" s="119"/>
      <c r="Q4" s="120"/>
    </row>
    <row r="5" spans="1:17" x14ac:dyDescent="0.25">
      <c r="A5" s="54">
        <v>0</v>
      </c>
      <c r="B5" s="34" t="s">
        <v>13</v>
      </c>
      <c r="C5" s="51">
        <f>C4*2</f>
        <v>24</v>
      </c>
      <c r="D5" s="51">
        <f>D4*2</f>
        <v>120</v>
      </c>
      <c r="E5" s="27">
        <f>SUM(C5+D5)</f>
        <v>144</v>
      </c>
      <c r="F5" s="34" t="s">
        <v>12</v>
      </c>
      <c r="G5" s="27"/>
      <c r="H5" s="27"/>
      <c r="I5" s="53" t="s">
        <v>7</v>
      </c>
    </row>
    <row r="6" spans="1:17" x14ac:dyDescent="0.25">
      <c r="A6" s="81" t="s">
        <v>0</v>
      </c>
      <c r="B6" s="82"/>
      <c r="C6" s="82"/>
      <c r="D6" s="82" t="s">
        <v>1</v>
      </c>
      <c r="E6" s="82"/>
      <c r="F6" s="26" t="s">
        <v>2</v>
      </c>
      <c r="G6" s="26" t="s">
        <v>3</v>
      </c>
      <c r="H6" s="26" t="s">
        <v>4</v>
      </c>
      <c r="I6" s="55" t="s">
        <v>5</v>
      </c>
    </row>
    <row r="7" spans="1:17" x14ac:dyDescent="0.25">
      <c r="A7" s="101" t="s">
        <v>15</v>
      </c>
      <c r="B7" s="102"/>
      <c r="C7" s="39" t="s">
        <v>64</v>
      </c>
      <c r="D7" s="99" t="s">
        <v>65</v>
      </c>
      <c r="E7" s="99"/>
      <c r="F7" s="2" t="s">
        <v>6</v>
      </c>
      <c r="G7" s="52">
        <f>K7</f>
        <v>726</v>
      </c>
      <c r="H7" s="21">
        <f>IF(D7="2X4X12'",P36,IF(D7="TRACK 2X4X10'",P37,IF(D7="2X6X12'",P38,IF(D7="TRACK 2X6X10'",P39,IF(D7="2X8X12'",P40,IF(D7="TRACK 2X8X10'",P41,IF(D7="2X10X12'",P42,IF(D7="TRACK 2X10X10'",P43,IF(D7="#10X3/4 WAFER HEAD",T42,IF(D7="#6X1-5/8 DRYWALL SDS",T43,IF(D7="#6X2 DRYWALL SDS",T44,IF(D7="10X1-5/8X14'",T45,IF(D7="2X8X14'",P44,0)))))))))))))</f>
        <v>25.08</v>
      </c>
      <c r="I7" s="56">
        <f>PRODUCT(G7,H7)</f>
        <v>18208.079999999998</v>
      </c>
      <c r="K7">
        <f>(D4*1.1)*M14</f>
        <v>726</v>
      </c>
    </row>
    <row r="8" spans="1:17" x14ac:dyDescent="0.25">
      <c r="A8" s="104" t="s">
        <v>14</v>
      </c>
      <c r="B8" s="105"/>
      <c r="C8" s="40" t="s">
        <v>87</v>
      </c>
      <c r="D8" s="99" t="s">
        <v>37</v>
      </c>
      <c r="E8" s="99"/>
      <c r="F8" s="2" t="s">
        <v>6</v>
      </c>
      <c r="G8" s="52">
        <f>(D4/10)*2*1.1*M14</f>
        <v>145.20000000000002</v>
      </c>
      <c r="H8" s="21">
        <f>IF(D8="2X4X12'",P36,IF(D8="TRACK 2X4X10'",P37,IF(D8="2X6X12'",P38,IF(D8="TRACK 2X6X10'",P39,IF(D8="2X8X12'",P40,IF(D8="TRACK 2X8X10'",P41,IF(D8="2X10X12'",P42,IF(D8="TRACK 2X10X10'",P43,IF(D8="#10X3/4 WAFER HEAD",T42,IF(D8="#6X1-5/8 DRYWALL SDS",T43,IF(D8="#6X2 DRYWALL SDS",T44,IF(D8="10X1-5/8X14'",T45,IF(D8="2X8X14'",P44,0)))))))))))))</f>
        <v>29.8</v>
      </c>
      <c r="I8" s="56">
        <f>G8*H8</f>
        <v>4326.9600000000009</v>
      </c>
      <c r="P8">
        <f>(G7*4/5000)+(G10*4/5000)+(G13*4/5000)+(G17*4/5000)</f>
        <v>1.3091199999999998</v>
      </c>
    </row>
    <row r="9" spans="1:17" x14ac:dyDescent="0.25">
      <c r="A9" s="81"/>
      <c r="B9" s="82"/>
      <c r="C9" s="82"/>
      <c r="D9" s="103"/>
      <c r="E9" s="103"/>
      <c r="F9" s="3"/>
      <c r="G9" s="30" t="s">
        <v>8</v>
      </c>
      <c r="H9" s="49">
        <f>I7+I8</f>
        <v>22535.040000000001</v>
      </c>
      <c r="I9" s="70">
        <f>H9/E4</f>
        <v>31.298666666666669</v>
      </c>
      <c r="J9" s="69" t="s">
        <v>89</v>
      </c>
      <c r="K9" s="69"/>
      <c r="P9">
        <f>(H3/4*64)+(E5/4*88)</f>
        <v>3360</v>
      </c>
    </row>
    <row r="10" spans="1:17" ht="15" customHeight="1" x14ac:dyDescent="0.25">
      <c r="A10" s="101" t="s">
        <v>16</v>
      </c>
      <c r="B10" s="102"/>
      <c r="C10" s="39" t="s">
        <v>64</v>
      </c>
      <c r="D10" s="99" t="s">
        <v>65</v>
      </c>
      <c r="E10" s="99"/>
      <c r="F10" s="2" t="s">
        <v>6</v>
      </c>
      <c r="G10" s="52">
        <f>K7</f>
        <v>726</v>
      </c>
      <c r="H10" s="23">
        <f>IF(D10="2X4X12'",P36,IF(D10="TRACK 2X4X10'",P37,IF(D10="2X6X12'",P38,IF(D10="TRACK 2X6X10'",P39,IF(D10="2X8X12'",P40,IF(D10="TRACK 2X8X10'",P41,IF(D10="2X10X12'",P42,IF(D10="TRACK 2X10X10'",P43,IF(D10="#10X3/4 WAFER HEAD",T42,IF(D10="#6X1-5/8 DRYWALL SDS",T43,IF(D10="#6X2 DRYWALL SDS",T44,IF(D10="10X1-5/8X14'",T45,IF(D10="2X8X14'",P44,0)))))))))))))</f>
        <v>25.08</v>
      </c>
      <c r="I10" s="56">
        <f>PRODUCT(G10,H10)</f>
        <v>18208.079999999998</v>
      </c>
      <c r="P10">
        <f>E5/4*88</f>
        <v>3168</v>
      </c>
    </row>
    <row r="11" spans="1:17" x14ac:dyDescent="0.25">
      <c r="A11" s="101" t="s">
        <v>14</v>
      </c>
      <c r="B11" s="102"/>
      <c r="C11" s="40" t="s">
        <v>87</v>
      </c>
      <c r="D11" s="99" t="s">
        <v>73</v>
      </c>
      <c r="E11" s="99"/>
      <c r="F11" s="2" t="s">
        <v>17</v>
      </c>
      <c r="G11" s="52">
        <f>(D4/10)*2*1.1*M14</f>
        <v>145.20000000000002</v>
      </c>
      <c r="H11" s="21">
        <f>IF(D11="2X4X12'",P36,IF(D11="TRACK 2X4X10'",P37,IF(D11="2X6X12'",P38,IF(D11="TRACK 2X6X10'",P39,IF(D11="2X8X12'",P40,IF(D11="TRACK 2X8X10'",P41,IF(D11="2X10X12'",P42,IF(D11="TRACK 2X10X10'",P43,IF(D11="#10X3/4 WAFER HEAD",T42,IF(D11="#6X1-5/8 DRYWALL SDS",T43,IF(D11="#6X2 DRYWALL SDS",T44,IF(D11="10X1-5/8X14'",T45,IF(D11="2X8X14'",P44,0)))))))))))))</f>
        <v>24.7</v>
      </c>
      <c r="I11" s="56">
        <f>G11*H11</f>
        <v>3586.4400000000005</v>
      </c>
    </row>
    <row r="12" spans="1:17" x14ac:dyDescent="0.25">
      <c r="A12" s="81"/>
      <c r="B12" s="82"/>
      <c r="C12" s="82"/>
      <c r="D12" s="103"/>
      <c r="E12" s="103"/>
      <c r="F12" s="3"/>
      <c r="G12" s="30" t="s">
        <v>8</v>
      </c>
      <c r="H12" s="49">
        <f>I10+I11</f>
        <v>21794.519999999997</v>
      </c>
      <c r="I12" s="70">
        <f>H12/E4</f>
        <v>30.270166666666661</v>
      </c>
      <c r="J12" s="69" t="s">
        <v>90</v>
      </c>
      <c r="K12" s="69"/>
    </row>
    <row r="13" spans="1:17" ht="15.75" thickBot="1" x14ac:dyDescent="0.3">
      <c r="A13" s="101" t="s">
        <v>18</v>
      </c>
      <c r="B13" s="102"/>
      <c r="C13" s="102"/>
      <c r="D13" s="99" t="s">
        <v>34</v>
      </c>
      <c r="E13" s="99"/>
      <c r="F13" s="2" t="s">
        <v>6</v>
      </c>
      <c r="G13" s="52">
        <f>(E5*1.15)+(A4*2)+(A5*2+3)</f>
        <v>170.6</v>
      </c>
      <c r="H13" s="21">
        <f>IF(D13="2X4X12'",P36,IF(D13="TRACK 2X4X10'",P37,IF(D13="2X6X12'",P38,IF(D13="TRACK 2X6X10'",P39,IF(D13="2X8X12'",P40,IF(D13="TRACK 2X8X10'",P41,IF(D13="2X10X12'",P42,IF(D13="TRACK 2X10X10'",P43,IF(D13="#10X3/4 WAFER HEAD",T42,IF(D13="#6X1-5/8 DRYWALL SDS",T43,IF(D13="#6X2 DRYWALL SDS",T44,IF(D13="10X1-5/8X14'",T45,IF(D13="2X8X14'",P44,0)))))))))))))</f>
        <v>27.12</v>
      </c>
      <c r="I13" s="56">
        <f>G13*H13</f>
        <v>4626.6719999999996</v>
      </c>
    </row>
    <row r="14" spans="1:17" ht="15.75" thickBot="1" x14ac:dyDescent="0.3">
      <c r="A14" s="101" t="s">
        <v>14</v>
      </c>
      <c r="B14" s="102"/>
      <c r="C14" s="102"/>
      <c r="D14" s="99" t="s">
        <v>35</v>
      </c>
      <c r="E14" s="99"/>
      <c r="F14" s="2" t="s">
        <v>6</v>
      </c>
      <c r="G14" s="52">
        <f>(E5*3/10)+(A4*0.5)+(A5)</f>
        <v>43.7</v>
      </c>
      <c r="H14" s="21">
        <f>IF(D14="2X4X12'",P36,IF(D14="TRACK 2X4X10'",P37,IF(D14="2X6X12'",P38,IF(D14="TRACK 2X6X10'",P39,IF(D14="2X8X12'",P40,IF(D14="TRACK 2X8X10'",P41,IF(D14="2X10X12'",P42,IF(D14="TRACK 2X10X10'",P43,IF(D14="#10X3/4 WAFER HEAD",T42,IF(D14="#6X1-5/8 DRYWALL SDS",T43,IF(D14="#6X2 DRYWALL SDS",T44,IF(D14="10X1-5/8X14'",T45,IF(D14="2X8X14'",P44,0)))))))))))))</f>
        <v>19.899999999999999</v>
      </c>
      <c r="I14" s="56">
        <f>PRODUCT(G14,H14)</f>
        <v>869.63</v>
      </c>
      <c r="L14" s="1" t="s">
        <v>30</v>
      </c>
      <c r="M14" s="5">
        <v>11</v>
      </c>
    </row>
    <row r="15" spans="1:17" x14ac:dyDescent="0.25">
      <c r="A15" s="81" t="s">
        <v>67</v>
      </c>
      <c r="B15" s="82"/>
      <c r="C15" s="82"/>
      <c r="D15" s="99" t="s">
        <v>67</v>
      </c>
      <c r="E15" s="99"/>
      <c r="F15" s="2" t="s">
        <v>6</v>
      </c>
      <c r="G15" s="52">
        <f>(E5)+4</f>
        <v>148</v>
      </c>
      <c r="H15" s="21">
        <f>IF(D15="FIRE BLOCKS",P45,0)</f>
        <v>2.6</v>
      </c>
      <c r="I15" s="56">
        <f>H15*G15</f>
        <v>384.8</v>
      </c>
      <c r="M15" s="47"/>
    </row>
    <row r="16" spans="1:17" x14ac:dyDescent="0.25">
      <c r="A16" s="81"/>
      <c r="B16" s="82"/>
      <c r="C16" s="82"/>
      <c r="D16" s="103"/>
      <c r="E16" s="103"/>
      <c r="F16" s="3"/>
      <c r="G16" s="30" t="s">
        <v>8</v>
      </c>
      <c r="H16" s="49">
        <f>I13+I14+I15</f>
        <v>5881.1019999999999</v>
      </c>
      <c r="I16" s="70">
        <f>H16/E5</f>
        <v>40.840986111111107</v>
      </c>
      <c r="J16" s="69" t="s">
        <v>91</v>
      </c>
      <c r="K16" s="69"/>
    </row>
    <row r="17" spans="1:21" x14ac:dyDescent="0.25">
      <c r="A17" s="101" t="s">
        <v>19</v>
      </c>
      <c r="B17" s="102"/>
      <c r="C17" s="102"/>
      <c r="D17" s="99" t="s">
        <v>36</v>
      </c>
      <c r="E17" s="99"/>
      <c r="F17" s="2" t="s">
        <v>6</v>
      </c>
      <c r="G17" s="52">
        <f>(H3*0.15)+H3</f>
        <v>13.8</v>
      </c>
      <c r="H17" s="21">
        <f>IF(D17="2X4X12'",T34,IF(D17="TRACK 2X4X10'",T35,IF(D17="2X6X12'",T36,IF(D17="TRACK 2X6X10'",T37,IF(D17="2X8X12'",T38,IF(D17="TRACK 2X8X10'",T39,IF(D17="2X10X12'",T40,IF(D17="TRACK 2X10X10'",T41,IF(D17="#10X3/4 WAFER HEAD",T42,IF(D17="#6X1-5/8 DRYWALL SDS",T43,IF(D17="#6X2 DRYWALL SDS",T44,0)))))))))))</f>
        <v>8.52</v>
      </c>
      <c r="I17" s="56">
        <f>PRODUCT(G17,H17)</f>
        <v>117.57599999999999</v>
      </c>
    </row>
    <row r="18" spans="1:21" x14ac:dyDescent="0.25">
      <c r="A18" s="101" t="s">
        <v>14</v>
      </c>
      <c r="B18" s="102"/>
      <c r="C18" s="102"/>
      <c r="D18" s="99" t="s">
        <v>33</v>
      </c>
      <c r="E18" s="99"/>
      <c r="F18" s="2" t="s">
        <v>17</v>
      </c>
      <c r="G18" s="52">
        <f>H3*2/10</f>
        <v>2.4</v>
      </c>
      <c r="H18" s="21">
        <f>IF(D18="2X4X12'",T34,IF(D18="TRACK 2X4X10'",T35,IF(D18="2X6X12'",T36,IF(D18="TRACK 2X6X10'",T37,IF(D18="2X8X12'",T38,IF(D18="TRACK 2X8X10'",T39,IF(D18="2X10X12'",T40,IF(D18="TRACK 2X10X10'",T41,IF(D18="#10X3/4 WAFER HEAD",T42,IF(D18="#6X1-5/8 DRYWALL SDS",T43,IF(D18="#6X2 DRYWALL SDS",T44,0)))))))))))</f>
        <v>6.5</v>
      </c>
      <c r="I18" s="56">
        <f>G18*H18</f>
        <v>15.6</v>
      </c>
    </row>
    <row r="19" spans="1:21" x14ac:dyDescent="0.25">
      <c r="A19" s="81" t="s">
        <v>67</v>
      </c>
      <c r="B19" s="82"/>
      <c r="C19" s="82"/>
      <c r="D19" s="99" t="s">
        <v>67</v>
      </c>
      <c r="E19" s="99"/>
      <c r="F19" s="2" t="s">
        <v>6</v>
      </c>
      <c r="G19" s="52">
        <f>(H3)+4</f>
        <v>16</v>
      </c>
      <c r="H19" s="21">
        <f>IF(D19="FIRE BLOCKS",P45,0)</f>
        <v>2.6</v>
      </c>
      <c r="I19" s="56">
        <f>G19*H19</f>
        <v>41.6</v>
      </c>
    </row>
    <row r="20" spans="1:21" x14ac:dyDescent="0.25">
      <c r="A20" s="81"/>
      <c r="B20" s="82"/>
      <c r="C20" s="82"/>
      <c r="D20" s="103"/>
      <c r="E20" s="103"/>
      <c r="F20" s="2"/>
      <c r="G20" s="30" t="s">
        <v>8</v>
      </c>
      <c r="H20" s="48">
        <f>I17+I18+I19</f>
        <v>174.77599999999998</v>
      </c>
      <c r="I20" s="68">
        <f>H20/H3</f>
        <v>14.564666666666666</v>
      </c>
      <c r="J20" s="69" t="s">
        <v>92</v>
      </c>
      <c r="K20" s="69"/>
    </row>
    <row r="21" spans="1:21" x14ac:dyDescent="0.25">
      <c r="A21" s="101" t="s">
        <v>29</v>
      </c>
      <c r="B21" s="102"/>
      <c r="C21" s="102"/>
      <c r="D21" s="99" t="s">
        <v>34</v>
      </c>
      <c r="E21" s="99"/>
      <c r="F21" s="2" t="s">
        <v>6</v>
      </c>
      <c r="G21" s="8">
        <v>1</v>
      </c>
      <c r="H21" s="21">
        <f>IF(D21="2X4X12'",T34,IF(D21="TRACK 2X4X10'",T35,IF(D21="2X6X12'",T36,IF(D21="TRACK 2X6X10'",T37,IF(D21="2X8X12'",T38,IF(D21="TRACK 2X8X10'",T39,IF(D21="2X10X12'",T40,IF(D21="TRACK 2X10X10'",T41,IF(D21="#10X3/4 WAFER HEAD",T42,IF(D21="#6X1-5/8 DRYWALL SDS",T43,IF(D21="#6X2 DRYWALL SDS",T44,0)))))))))))</f>
        <v>12.12</v>
      </c>
      <c r="I21" s="56">
        <f>G21*H21</f>
        <v>12.12</v>
      </c>
    </row>
    <row r="22" spans="1:21" x14ac:dyDescent="0.25">
      <c r="A22" s="101" t="s">
        <v>14</v>
      </c>
      <c r="B22" s="102"/>
      <c r="C22" s="102"/>
      <c r="D22" s="99" t="s">
        <v>35</v>
      </c>
      <c r="E22" s="99"/>
      <c r="F22" s="2" t="s">
        <v>6</v>
      </c>
      <c r="G22" s="52">
        <f>G21*2/10</f>
        <v>0.2</v>
      </c>
      <c r="H22" s="21">
        <f>IF(D22="2X4X12'",T34,IF(D22="TRACK 2X4X10'",T35,IF(D22="2X6X12'",T36,IF(D22="TRACK 2X6X10'",T37,IF(D22="2X8X12'",T38,IF(D22="TRACK 2X8X10'",T39,IF(D22="2X10X12'",T40,IF(D22="TRACK 2X10X10'",T41,IF(D22="#10X3/4 WAFER HEAD",T42,IF(D22="#6X1-5/8 DRYWALL SDS",T43,IF(D22="#6X2 DRYWALL SDS",T44,0)))))))))))</f>
        <v>8.9</v>
      </c>
      <c r="I22" s="56">
        <f>H22*G22</f>
        <v>1.7800000000000002</v>
      </c>
    </row>
    <row r="23" spans="1:21" x14ac:dyDescent="0.25">
      <c r="A23" s="81" t="s">
        <v>67</v>
      </c>
      <c r="B23" s="82"/>
      <c r="C23" s="82"/>
      <c r="D23" s="99" t="s">
        <v>67</v>
      </c>
      <c r="E23" s="99"/>
      <c r="F23" s="2" t="s">
        <v>6</v>
      </c>
      <c r="G23" s="52">
        <f>(G21)+4</f>
        <v>5</v>
      </c>
      <c r="H23" s="21">
        <f>IF(D23="FIRE BLOCKS",P45,0)</f>
        <v>2.6</v>
      </c>
      <c r="I23" s="56">
        <f>G23*H23</f>
        <v>13</v>
      </c>
    </row>
    <row r="24" spans="1:21" x14ac:dyDescent="0.25">
      <c r="A24" s="81"/>
      <c r="B24" s="82"/>
      <c r="C24" s="82"/>
      <c r="D24" s="103"/>
      <c r="E24" s="103"/>
      <c r="F24" s="2"/>
      <c r="G24" s="30" t="s">
        <v>8</v>
      </c>
      <c r="H24" s="48">
        <f>I21+I22+I23</f>
        <v>26.9</v>
      </c>
      <c r="I24" s="68">
        <f>H24/G21</f>
        <v>26.9</v>
      </c>
      <c r="J24" s="69" t="s">
        <v>93</v>
      </c>
      <c r="K24" s="69"/>
    </row>
    <row r="25" spans="1:21" x14ac:dyDescent="0.25">
      <c r="A25" s="81" t="s">
        <v>22</v>
      </c>
      <c r="B25" s="82"/>
      <c r="C25" s="82"/>
      <c r="D25" s="99" t="s">
        <v>46</v>
      </c>
      <c r="E25" s="99"/>
      <c r="F25" s="2" t="s">
        <v>21</v>
      </c>
      <c r="G25" s="52">
        <f>ROUNDUP(P8,0)</f>
        <v>2</v>
      </c>
      <c r="H25" s="21">
        <f>IF(D25="2X4X12'",T34,IF(D25="TRACK 2X4X10'",T35,IF(D25="2X6X12'",T36,IF(D25="TRACK 2X6X10'",T37,IF(D25="2X8X12'",T38,IF(D25="TRACK 2X8X10'",T39,IF(D25="2X10X12'",T40,IF(D25="TRACK 2X10X10'",T41,IF(D25="#10X3/4 WAFER HEAD",T42,IF(D25="#6X1-5/8 DRYWALL SDS",T43,IF(D25="#6X2 DRYWALL SDS",T44,0)))))))))))</f>
        <v>92.7</v>
      </c>
      <c r="I25" s="56">
        <f>G25*H25</f>
        <v>185.4</v>
      </c>
    </row>
    <row r="26" spans="1:21" x14ac:dyDescent="0.25">
      <c r="A26" s="81" t="s">
        <v>22</v>
      </c>
      <c r="B26" s="82"/>
      <c r="C26" s="82"/>
      <c r="D26" s="99" t="s">
        <v>49</v>
      </c>
      <c r="E26" s="99"/>
      <c r="F26" s="2" t="s">
        <v>21</v>
      </c>
      <c r="G26" s="52">
        <f>P9/5000</f>
        <v>0.67200000000000004</v>
      </c>
      <c r="H26" s="21">
        <v>47.25</v>
      </c>
      <c r="I26" s="56">
        <f>PRODUCT(G26,H26)</f>
        <v>31.752000000000002</v>
      </c>
      <c r="O26">
        <f>IF(F31="YES",I31*0.1,IF(F31="NO",I31,0))</f>
        <v>50764.267599999992</v>
      </c>
    </row>
    <row r="27" spans="1:21" x14ac:dyDescent="0.25">
      <c r="A27" s="81" t="s">
        <v>22</v>
      </c>
      <c r="B27" s="82"/>
      <c r="C27" s="82"/>
      <c r="D27" s="99" t="s">
        <v>50</v>
      </c>
      <c r="E27" s="99"/>
      <c r="F27" s="2" t="s">
        <v>21</v>
      </c>
      <c r="G27" s="52">
        <f>P10/5000</f>
        <v>0.63360000000000005</v>
      </c>
      <c r="H27" s="21">
        <f>IF(D26="2X4X12'",T34,IF(D26="TRACK 2X4X10'",T35,IF(D26="2X6X12'",T36,IF(D26="TRACK 2X6X10'",T37,IF(D26="2X8X12'",T38,IF(D26="TRACK 2X8X10'",T39,IF(D26="2X10X12'",T40,IF(D26="TRACK 2X10X10'",T41,IF(D26="#10X3/4 WAFER HEAD",T42,IF(D26="#6X1-5/8 DRYWALL SDS",T43,IF(D26="#6X2 DRYWALL SDS",T44,0)))))))))))</f>
        <v>47.25</v>
      </c>
      <c r="I27" s="56">
        <f>G27*H27</f>
        <v>29.937600000000003</v>
      </c>
    </row>
    <row r="28" spans="1:21" x14ac:dyDescent="0.25">
      <c r="A28" s="101" t="s">
        <v>69</v>
      </c>
      <c r="B28" s="102"/>
      <c r="C28" s="102"/>
      <c r="D28" s="99" t="s">
        <v>36</v>
      </c>
      <c r="E28" s="99"/>
      <c r="F28" s="2" t="s">
        <v>6</v>
      </c>
      <c r="G28" s="24">
        <f>C4</f>
        <v>12</v>
      </c>
      <c r="H28" s="21">
        <f>IF(D28="2x4x12'",T34,0)</f>
        <v>8.52</v>
      </c>
      <c r="I28" s="56">
        <f>H28*G28</f>
        <v>102.24</v>
      </c>
    </row>
    <row r="29" spans="1:21" x14ac:dyDescent="0.25">
      <c r="A29" s="81"/>
      <c r="B29" s="82"/>
      <c r="C29" s="82"/>
      <c r="D29" s="99" t="s">
        <v>33</v>
      </c>
      <c r="E29" s="99"/>
      <c r="F29" s="2" t="s">
        <v>6</v>
      </c>
      <c r="G29" s="52">
        <f>(G28/10)*2</f>
        <v>2.4</v>
      </c>
      <c r="H29" s="21">
        <f>IF(D29="TRACK 2X4X10'",T35,0)</f>
        <v>6.5</v>
      </c>
      <c r="I29" s="56">
        <f>H29*G29</f>
        <v>15.6</v>
      </c>
    </row>
    <row r="30" spans="1:21" x14ac:dyDescent="0.25">
      <c r="A30" s="81" t="s">
        <v>95</v>
      </c>
      <c r="B30" s="82"/>
      <c r="C30" s="82"/>
      <c r="D30" s="100" t="s">
        <v>9</v>
      </c>
      <c r="E30" s="82"/>
      <c r="F30" s="2" t="s">
        <v>6</v>
      </c>
      <c r="G30" s="24">
        <v>0</v>
      </c>
      <c r="H30" s="6">
        <v>500</v>
      </c>
      <c r="I30" s="56">
        <f>G30*H30</f>
        <v>0</v>
      </c>
    </row>
    <row r="31" spans="1:21" ht="15.75" thickBot="1" x14ac:dyDescent="0.3">
      <c r="A31" s="81"/>
      <c r="B31" s="82"/>
      <c r="C31" s="82"/>
      <c r="D31" s="82" t="s">
        <v>23</v>
      </c>
      <c r="E31" s="82"/>
      <c r="F31" s="25" t="s">
        <v>59</v>
      </c>
      <c r="G31" s="3"/>
      <c r="H31" s="3"/>
      <c r="I31" s="56">
        <f>SUM(I7+I8+I11+I10+I13+I14+I15+I17+I18+I19+I21+I22+I25+I26+I27+I30+I28+I29)</f>
        <v>50764.267599999992</v>
      </c>
    </row>
    <row r="32" spans="1:21" ht="15" customHeight="1" x14ac:dyDescent="0.25">
      <c r="A32" s="81"/>
      <c r="B32" s="82"/>
      <c r="C32" s="82"/>
      <c r="D32" s="82"/>
      <c r="E32" s="82"/>
      <c r="F32" s="2"/>
      <c r="G32" s="4"/>
      <c r="H32" s="3"/>
      <c r="I32" s="56"/>
      <c r="N32" s="94" t="s">
        <v>86</v>
      </c>
      <c r="O32" s="95"/>
      <c r="P32" s="95"/>
      <c r="Q32" s="95"/>
      <c r="R32" s="87" t="s">
        <v>74</v>
      </c>
      <c r="S32" s="88"/>
      <c r="T32" s="88"/>
      <c r="U32" s="89"/>
    </row>
    <row r="33" spans="1:21" ht="15.75" thickBot="1" x14ac:dyDescent="0.3">
      <c r="A33" s="81"/>
      <c r="B33" s="82"/>
      <c r="C33" s="82"/>
      <c r="D33" s="83"/>
      <c r="E33" s="82"/>
      <c r="F33" s="2"/>
      <c r="G33" s="3"/>
      <c r="H33" s="3"/>
      <c r="I33" s="56"/>
      <c r="K33">
        <v>72</v>
      </c>
      <c r="N33" s="96"/>
      <c r="O33" s="97"/>
      <c r="P33" s="97"/>
      <c r="Q33" s="98"/>
      <c r="R33" s="90"/>
      <c r="S33" s="91"/>
      <c r="T33" s="92"/>
      <c r="U33" s="93"/>
    </row>
    <row r="34" spans="1:21" ht="15.75" thickBot="1" x14ac:dyDescent="0.3">
      <c r="A34" s="81"/>
      <c r="B34" s="82"/>
      <c r="C34" s="82"/>
      <c r="D34" s="82"/>
      <c r="E34" s="82"/>
      <c r="F34" s="2"/>
      <c r="G34" s="3"/>
      <c r="H34" s="3"/>
      <c r="I34" s="56"/>
      <c r="M34" s="64"/>
      <c r="N34" s="79" t="s">
        <v>77</v>
      </c>
      <c r="O34" s="72"/>
      <c r="P34" s="43">
        <v>27.12</v>
      </c>
      <c r="Q34" s="34"/>
      <c r="R34" s="71" t="s">
        <v>38</v>
      </c>
      <c r="S34" s="71"/>
      <c r="T34" s="41">
        <v>8.52</v>
      </c>
      <c r="U34" s="34" t="s">
        <v>75</v>
      </c>
    </row>
    <row r="35" spans="1:21" ht="15.75" thickBot="1" x14ac:dyDescent="0.3">
      <c r="A35" s="81"/>
      <c r="B35" s="82"/>
      <c r="C35" s="82"/>
      <c r="D35" s="84" t="s">
        <v>88</v>
      </c>
      <c r="E35" s="85"/>
      <c r="F35" s="86"/>
      <c r="G35" s="3"/>
      <c r="H35" s="3"/>
      <c r="I35" s="56">
        <f>IF(F31="YES",I31+O26,IF(F31="NO",I31,0))</f>
        <v>50764.267599999992</v>
      </c>
      <c r="M35" s="65"/>
      <c r="N35" s="79" t="s">
        <v>78</v>
      </c>
      <c r="O35" s="72"/>
      <c r="P35" s="44">
        <v>19.899999999999999</v>
      </c>
      <c r="Q35" s="34"/>
      <c r="R35" s="71" t="s">
        <v>39</v>
      </c>
      <c r="S35" s="71"/>
      <c r="T35" s="41">
        <v>6.5</v>
      </c>
      <c r="U35" s="34" t="s">
        <v>75</v>
      </c>
    </row>
    <row r="36" spans="1:21" ht="15.75" thickBot="1" x14ac:dyDescent="0.3">
      <c r="A36" s="81"/>
      <c r="B36" s="82"/>
      <c r="C36" s="82"/>
      <c r="D36" s="83"/>
      <c r="E36" s="82"/>
      <c r="F36" s="2"/>
      <c r="G36" s="3"/>
      <c r="H36" s="3"/>
      <c r="I36" s="56"/>
      <c r="M36" s="65"/>
      <c r="N36" s="79" t="s">
        <v>79</v>
      </c>
      <c r="O36" s="72"/>
      <c r="P36" s="44">
        <v>20.52</v>
      </c>
      <c r="Q36" s="34"/>
      <c r="R36" s="71" t="s">
        <v>40</v>
      </c>
      <c r="S36" s="71"/>
      <c r="T36" s="41">
        <v>12.12</v>
      </c>
      <c r="U36" s="34" t="s">
        <v>76</v>
      </c>
    </row>
    <row r="37" spans="1:21" ht="15.75" thickBot="1" x14ac:dyDescent="0.3">
      <c r="A37" s="81" t="s">
        <v>96</v>
      </c>
      <c r="B37" s="82"/>
      <c r="C37" s="82"/>
      <c r="D37" s="82" t="s">
        <v>24</v>
      </c>
      <c r="E37" s="82"/>
      <c r="F37" s="2" t="s">
        <v>6</v>
      </c>
      <c r="G37" s="3"/>
      <c r="H37" s="3"/>
      <c r="I37" s="57">
        <v>0</v>
      </c>
      <c r="J37" t="s">
        <v>94</v>
      </c>
      <c r="M37" s="65"/>
      <c r="N37" s="79" t="s">
        <v>80</v>
      </c>
      <c r="O37" s="72"/>
      <c r="P37" s="44">
        <v>14.2</v>
      </c>
      <c r="Q37" s="34"/>
      <c r="R37" s="71" t="s">
        <v>41</v>
      </c>
      <c r="S37" s="71"/>
      <c r="T37" s="41">
        <v>8.9</v>
      </c>
      <c r="U37" s="34" t="s">
        <v>76</v>
      </c>
    </row>
    <row r="38" spans="1:21" ht="15.75" thickBot="1" x14ac:dyDescent="0.3">
      <c r="A38" s="81"/>
      <c r="B38" s="82"/>
      <c r="C38" s="82"/>
      <c r="D38" s="82"/>
      <c r="E38" s="82"/>
      <c r="F38" s="2"/>
      <c r="G38" s="3"/>
      <c r="H38" s="3"/>
      <c r="I38" s="56">
        <f>I35+I37</f>
        <v>50764.267599999992</v>
      </c>
      <c r="M38" s="65"/>
      <c r="N38" s="79" t="s">
        <v>77</v>
      </c>
      <c r="O38" s="72"/>
      <c r="P38" s="44">
        <v>27.12</v>
      </c>
      <c r="Q38" s="34"/>
      <c r="R38" s="71" t="s">
        <v>42</v>
      </c>
      <c r="S38" s="71"/>
      <c r="T38" s="41">
        <v>25.08</v>
      </c>
      <c r="U38" s="34"/>
    </row>
    <row r="39" spans="1:21" ht="15.75" thickBot="1" x14ac:dyDescent="0.3">
      <c r="A39" s="81" t="s">
        <v>97</v>
      </c>
      <c r="B39" s="82"/>
      <c r="C39" s="82"/>
      <c r="D39" s="82" t="s">
        <v>26</v>
      </c>
      <c r="E39" s="82"/>
      <c r="F39" s="2"/>
      <c r="G39" s="3"/>
      <c r="H39" s="3"/>
      <c r="I39" s="58" t="e">
        <f>I38*1.02/A3</f>
        <v>#DIV/0!</v>
      </c>
      <c r="M39" s="65"/>
      <c r="N39" s="79" t="s">
        <v>78</v>
      </c>
      <c r="O39" s="72"/>
      <c r="P39" s="44">
        <v>19.899999999999999</v>
      </c>
      <c r="Q39" s="34"/>
      <c r="R39" s="71" t="s">
        <v>43</v>
      </c>
      <c r="S39" s="71"/>
      <c r="T39" s="41">
        <v>19.3</v>
      </c>
      <c r="U39" s="34"/>
    </row>
    <row r="40" spans="1:21" ht="15.75" thickBot="1" x14ac:dyDescent="0.3">
      <c r="A40" s="81"/>
      <c r="B40" s="82"/>
      <c r="C40" s="82"/>
      <c r="D40" s="82"/>
      <c r="E40" s="82"/>
      <c r="F40" s="2"/>
      <c r="G40" s="3"/>
      <c r="H40" s="3"/>
      <c r="I40" s="59"/>
      <c r="M40" s="65"/>
      <c r="N40" s="79" t="s">
        <v>81</v>
      </c>
      <c r="O40" s="72"/>
      <c r="P40" s="44">
        <v>25.08</v>
      </c>
      <c r="Q40" s="34"/>
      <c r="R40" s="71" t="s">
        <v>44</v>
      </c>
      <c r="S40" s="71"/>
      <c r="T40" s="41">
        <v>29.6</v>
      </c>
      <c r="U40" s="34"/>
    </row>
    <row r="41" spans="1:21" ht="15.75" thickBot="1" x14ac:dyDescent="0.3">
      <c r="A41" s="81"/>
      <c r="B41" s="82"/>
      <c r="C41" s="82"/>
      <c r="D41" s="82" t="s">
        <v>10</v>
      </c>
      <c r="E41" s="82"/>
      <c r="F41" s="2" t="s">
        <v>11</v>
      </c>
      <c r="G41" s="4" t="e">
        <f>SUM(I39/E4)</f>
        <v>#DIV/0!</v>
      </c>
      <c r="H41" s="3"/>
      <c r="I41" s="59"/>
      <c r="M41" s="65"/>
      <c r="N41" s="79" t="s">
        <v>82</v>
      </c>
      <c r="O41" s="72"/>
      <c r="P41" s="44">
        <v>24.7</v>
      </c>
      <c r="Q41" s="34"/>
      <c r="R41" s="71" t="s">
        <v>45</v>
      </c>
      <c r="S41" s="71"/>
      <c r="T41" s="41">
        <v>23.2</v>
      </c>
      <c r="U41" s="34"/>
    </row>
    <row r="42" spans="1:21" ht="15.75" thickBot="1" x14ac:dyDescent="0.3">
      <c r="A42" s="81"/>
      <c r="B42" s="82"/>
      <c r="C42" s="82"/>
      <c r="D42" s="82"/>
      <c r="E42" s="82"/>
      <c r="F42" s="2"/>
      <c r="G42" s="3"/>
      <c r="H42" s="3"/>
      <c r="I42" s="59"/>
      <c r="M42" s="65"/>
      <c r="N42" s="79" t="s">
        <v>83</v>
      </c>
      <c r="O42" s="72"/>
      <c r="P42" s="44">
        <v>38.520000000000003</v>
      </c>
      <c r="Q42" s="34"/>
      <c r="R42" s="80" t="s">
        <v>46</v>
      </c>
      <c r="S42" s="71"/>
      <c r="T42" s="41">
        <v>92.7</v>
      </c>
      <c r="U42" s="34" t="str">
        <f t="shared" ref="U42:U44" si="0">$U$45</f>
        <v>Not updated</v>
      </c>
    </row>
    <row r="43" spans="1:21" ht="15.75" thickBot="1" x14ac:dyDescent="0.3">
      <c r="A43" s="73" t="s">
        <v>68</v>
      </c>
      <c r="B43" s="74"/>
      <c r="C43" s="74"/>
      <c r="D43" s="74"/>
      <c r="E43" s="74"/>
      <c r="F43" s="74"/>
      <c r="G43" s="74"/>
      <c r="H43" s="74"/>
      <c r="I43" s="75"/>
      <c r="M43" s="65"/>
      <c r="N43" s="79" t="s">
        <v>84</v>
      </c>
      <c r="O43" s="72"/>
      <c r="P43" s="44">
        <v>29.8</v>
      </c>
      <c r="Q43" s="34"/>
      <c r="R43" s="80" t="s">
        <v>47</v>
      </c>
      <c r="S43" s="71"/>
      <c r="T43" s="41">
        <v>47.25</v>
      </c>
      <c r="U43" s="34" t="str">
        <f t="shared" si="0"/>
        <v>Not updated</v>
      </c>
    </row>
    <row r="44" spans="1:21" ht="15.75" thickBot="1" x14ac:dyDescent="0.3">
      <c r="A44" s="76"/>
      <c r="B44" s="77"/>
      <c r="C44" s="77"/>
      <c r="D44" s="77"/>
      <c r="E44" s="77"/>
      <c r="F44" s="77"/>
      <c r="G44" s="77"/>
      <c r="H44" s="77"/>
      <c r="I44" s="78"/>
      <c r="M44" s="66"/>
      <c r="N44" s="79" t="s">
        <v>85</v>
      </c>
      <c r="O44" s="72"/>
      <c r="P44" s="45">
        <v>74.48</v>
      </c>
      <c r="Q44" s="34" t="s">
        <v>71</v>
      </c>
      <c r="R44" s="71" t="s">
        <v>48</v>
      </c>
      <c r="S44" s="71"/>
      <c r="T44" s="41">
        <v>47.25</v>
      </c>
      <c r="U44" s="34" t="str">
        <f t="shared" si="0"/>
        <v>Not updated</v>
      </c>
    </row>
    <row r="45" spans="1:21" ht="15.75" thickBot="1" x14ac:dyDescent="0.3">
      <c r="M45" s="67"/>
      <c r="N45" s="79" t="s">
        <v>66</v>
      </c>
      <c r="O45" s="71"/>
      <c r="P45" s="46">
        <v>2.6</v>
      </c>
      <c r="Q45" s="34" t="s">
        <v>71</v>
      </c>
      <c r="R45" s="71" t="s">
        <v>63</v>
      </c>
      <c r="S45" s="72"/>
      <c r="T45" s="42">
        <v>87.85</v>
      </c>
      <c r="U45" s="34" t="s">
        <v>72</v>
      </c>
    </row>
  </sheetData>
  <mergeCells count="104">
    <mergeCell ref="D8:E8"/>
    <mergeCell ref="A9:C9"/>
    <mergeCell ref="D9:E9"/>
    <mergeCell ref="D10:E10"/>
    <mergeCell ref="A8:B8"/>
    <mergeCell ref="A10:B10"/>
    <mergeCell ref="A1:I2"/>
    <mergeCell ref="K1:Q4"/>
    <mergeCell ref="A6:C6"/>
    <mergeCell ref="D6:E6"/>
    <mergeCell ref="D7:E7"/>
    <mergeCell ref="C3:G3"/>
    <mergeCell ref="A7:B7"/>
    <mergeCell ref="D14:E14"/>
    <mergeCell ref="A16:C16"/>
    <mergeCell ref="D16:E16"/>
    <mergeCell ref="A17:C17"/>
    <mergeCell ref="D17:E17"/>
    <mergeCell ref="A15:C15"/>
    <mergeCell ref="D15:E15"/>
    <mergeCell ref="A14:C14"/>
    <mergeCell ref="D11:E11"/>
    <mergeCell ref="A12:C12"/>
    <mergeCell ref="D12:E12"/>
    <mergeCell ref="A13:C13"/>
    <mergeCell ref="D13:E13"/>
    <mergeCell ref="A11:B11"/>
    <mergeCell ref="D18:E18"/>
    <mergeCell ref="A21:C21"/>
    <mergeCell ref="D21:E21"/>
    <mergeCell ref="D22:E22"/>
    <mergeCell ref="A25:C25"/>
    <mergeCell ref="D25:E25"/>
    <mergeCell ref="A18:C18"/>
    <mergeCell ref="A22:C22"/>
    <mergeCell ref="A19:C19"/>
    <mergeCell ref="D19:E19"/>
    <mergeCell ref="A20:C20"/>
    <mergeCell ref="D20:E20"/>
    <mergeCell ref="A23:C23"/>
    <mergeCell ref="D23:E23"/>
    <mergeCell ref="A24:C24"/>
    <mergeCell ref="D24:E24"/>
    <mergeCell ref="A26:C26"/>
    <mergeCell ref="D26:E26"/>
    <mergeCell ref="A27:C27"/>
    <mergeCell ref="D27:E27"/>
    <mergeCell ref="A30:C30"/>
    <mergeCell ref="D30:E30"/>
    <mergeCell ref="A28:C28"/>
    <mergeCell ref="A29:C29"/>
    <mergeCell ref="D28:E28"/>
    <mergeCell ref="D29:E29"/>
    <mergeCell ref="A34:C34"/>
    <mergeCell ref="D34:E34"/>
    <mergeCell ref="N34:O34"/>
    <mergeCell ref="R34:S34"/>
    <mergeCell ref="R32:U33"/>
    <mergeCell ref="N32:Q33"/>
    <mergeCell ref="A31:C31"/>
    <mergeCell ref="D31:E31"/>
    <mergeCell ref="A32:C32"/>
    <mergeCell ref="D32:E32"/>
    <mergeCell ref="A33:C33"/>
    <mergeCell ref="D33:E33"/>
    <mergeCell ref="D40:E40"/>
    <mergeCell ref="N40:O40"/>
    <mergeCell ref="R40:S40"/>
    <mergeCell ref="A41:C41"/>
    <mergeCell ref="D41:E41"/>
    <mergeCell ref="N41:O41"/>
    <mergeCell ref="R41:S41"/>
    <mergeCell ref="R35:S35"/>
    <mergeCell ref="A36:C36"/>
    <mergeCell ref="D36:E36"/>
    <mergeCell ref="N36:O36"/>
    <mergeCell ref="R36:S36"/>
    <mergeCell ref="A35:C35"/>
    <mergeCell ref="N35:O35"/>
    <mergeCell ref="D35:F35"/>
    <mergeCell ref="R45:S45"/>
    <mergeCell ref="A43:I44"/>
    <mergeCell ref="N43:O43"/>
    <mergeCell ref="R43:S43"/>
    <mergeCell ref="N44:O44"/>
    <mergeCell ref="R44:S44"/>
    <mergeCell ref="N45:O45"/>
    <mergeCell ref="A37:C37"/>
    <mergeCell ref="D37:E37"/>
    <mergeCell ref="N37:O37"/>
    <mergeCell ref="R37:S37"/>
    <mergeCell ref="A38:C38"/>
    <mergeCell ref="D38:E38"/>
    <mergeCell ref="N38:O38"/>
    <mergeCell ref="R38:S38"/>
    <mergeCell ref="A42:C42"/>
    <mergeCell ref="D42:E42"/>
    <mergeCell ref="N42:O42"/>
    <mergeCell ref="R42:S42"/>
    <mergeCell ref="A39:C39"/>
    <mergeCell ref="D39:E39"/>
    <mergeCell ref="N39:O39"/>
    <mergeCell ref="R39:S39"/>
    <mergeCell ref="A40:C40"/>
  </mergeCells>
  <dataValidations count="9">
    <dataValidation type="list" allowBlank="1" showInputMessage="1" showErrorMessage="1" sqref="F31" xr:uid="{730969E7-3DB7-455D-ACA6-F809A94E29F7}">
      <formula1>"YES,NO,"</formula1>
    </dataValidation>
    <dataValidation type="list" allowBlank="1" showInputMessage="1" showErrorMessage="1" sqref="D8:E14 D16:E18 D21:D29 E21:E22 E25:E27" xr:uid="{3075B527-B977-4A54-A306-F70B350191F3}">
      <formula1>"2x4x12',TRACK 2X4X10',2X6X12',TRACK 2X6X10',2X8X12',TRACK 2X8X10',2X10X12',TRACK 2X10X10',10X1-5/8X14',#10X3/4 WAFER HEAD,#6X1-5/8 DRYWALL SDS,#6X2 DRYWALL SDS,"</formula1>
    </dataValidation>
    <dataValidation type="list" allowBlank="1" showInputMessage="1" showErrorMessage="1" sqref="M15" xr:uid="{3585F7E9-A60C-4FC9-BB2E-7297312CA16A}">
      <formula1>"1,2,3,4,5,6,7,8,9,10,11,12"</formula1>
    </dataValidation>
    <dataValidation type="list" allowBlank="1" showInputMessage="1" showErrorMessage="1" sqref="H4" xr:uid="{829B6FBA-00F8-4BC5-BCCC-72BD22ABADC9}">
      <formula1>"12,16,"</formula1>
    </dataValidation>
    <dataValidation type="list" allowBlank="1" showInputMessage="1" showErrorMessage="1" sqref="I5" xr:uid="{73E37986-3B6F-4906-BBBD-EFDB0B5EE6F3}">
      <formula1>"JASON KING, "</formula1>
    </dataValidation>
    <dataValidation type="list" allowBlank="1" showInputMessage="1" showErrorMessage="1" sqref="C8 C11" xr:uid="{D39129BE-ED72-495F-8D0B-B776880D46E4}">
      <formula1>"14 GA, 18 GA,16 GA ,,"</formula1>
    </dataValidation>
    <dataValidation type="list" allowBlank="1" showInputMessage="1" showErrorMessage="1" sqref="D7:E7" xr:uid="{BB36753D-E9FA-4BE2-92C5-5273EB6BBE09}">
      <formula1>"2x4x12',TRACK 2X4X10',2X6X12',TRACK 2X6X10',2X8X12',TRACK 2X8X10',2X10X12',TRACK 2X10X10',10X1-5/8X14',#10X3/4 WAFER HEAD,#6X1-5/8 DRYWALL SDS,#6X2 DRYWALL SDS,2X8X14',"</formula1>
    </dataValidation>
    <dataValidation type="list" allowBlank="1" showInputMessage="1" showErrorMessage="1" sqref="D15:E15 D19:D20 E19" xr:uid="{7C68B56F-BCDB-4E13-B946-AACD03E8F64C}">
      <formula1>", FIRE BLOCKS,"</formula1>
    </dataValidation>
    <dataValidation type="list" allowBlank="1" showInputMessage="1" showErrorMessage="1" sqref="M14" xr:uid="{C2D78C7E-F35F-4373-8404-2D51FDCFB6DF}">
      <formula1>"1,2,3,4,5,6,7,8,9,10,11,12,16"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62967-C06B-4466-8A5B-ABD69A3CE6B8}">
  <dimension ref="A1:U37"/>
  <sheetViews>
    <sheetView topLeftCell="A12" workbookViewId="0">
      <selection activeCell="F8" sqref="F8"/>
    </sheetView>
  </sheetViews>
  <sheetFormatPr defaultRowHeight="15" x14ac:dyDescent="0.25"/>
  <cols>
    <col min="9" max="9" width="14.5703125" customWidth="1"/>
  </cols>
  <sheetData>
    <row r="1" spans="1:17" x14ac:dyDescent="0.25">
      <c r="A1" s="106" t="s">
        <v>31</v>
      </c>
      <c r="B1" s="107"/>
      <c r="C1" s="107"/>
      <c r="D1" s="107"/>
      <c r="E1" s="107"/>
      <c r="F1" s="107"/>
      <c r="G1" s="107"/>
      <c r="H1" s="107"/>
      <c r="I1" s="108"/>
      <c r="K1" s="112" t="s">
        <v>60</v>
      </c>
      <c r="L1" s="113"/>
      <c r="M1" s="113"/>
      <c r="N1" s="113"/>
      <c r="O1" s="113"/>
      <c r="P1" s="113"/>
      <c r="Q1" s="114"/>
    </row>
    <row r="2" spans="1:17" ht="15.75" thickBot="1" x14ac:dyDescent="0.3">
      <c r="A2" s="109"/>
      <c r="B2" s="124"/>
      <c r="C2" s="124"/>
      <c r="D2" s="124"/>
      <c r="E2" s="124"/>
      <c r="F2" s="124"/>
      <c r="G2" s="124"/>
      <c r="H2" s="124"/>
      <c r="I2" s="125"/>
      <c r="K2" s="115"/>
      <c r="L2" s="116"/>
      <c r="M2" s="116"/>
      <c r="N2" s="116"/>
      <c r="O2" s="116"/>
      <c r="P2" s="116"/>
      <c r="Q2" s="117"/>
    </row>
    <row r="3" spans="1:17" ht="15.75" thickBot="1" x14ac:dyDescent="0.3">
      <c r="A3" s="32">
        <v>0.56999999999999995</v>
      </c>
      <c r="B3" s="34" t="s">
        <v>27</v>
      </c>
      <c r="C3" s="126" t="s">
        <v>53</v>
      </c>
      <c r="D3" s="126"/>
      <c r="E3" s="126"/>
      <c r="F3" s="126"/>
      <c r="G3" s="126"/>
      <c r="H3" s="34"/>
      <c r="I3" s="34"/>
      <c r="K3" s="115"/>
      <c r="L3" s="116"/>
      <c r="M3" s="116"/>
      <c r="N3" s="116"/>
      <c r="O3" s="116"/>
      <c r="P3" s="116"/>
      <c r="Q3" s="117"/>
    </row>
    <row r="4" spans="1:17" ht="15.75" thickBot="1" x14ac:dyDescent="0.3">
      <c r="A4" s="5">
        <v>2</v>
      </c>
      <c r="B4" s="1" t="s">
        <v>30</v>
      </c>
      <c r="C4" s="33">
        <v>12</v>
      </c>
      <c r="D4" s="36">
        <v>55</v>
      </c>
      <c r="E4" s="28">
        <f>PRODUCT(C4,D4)</f>
        <v>660</v>
      </c>
      <c r="F4" s="34" t="s">
        <v>11</v>
      </c>
      <c r="G4" s="28"/>
      <c r="H4" s="34"/>
      <c r="I4" s="34"/>
      <c r="K4" s="118"/>
      <c r="L4" s="119"/>
      <c r="M4" s="119"/>
      <c r="N4" s="119"/>
      <c r="O4" s="119"/>
      <c r="P4" s="119"/>
      <c r="Q4" s="120"/>
    </row>
    <row r="5" spans="1:17" ht="15.75" thickBot="1" x14ac:dyDescent="0.3">
      <c r="A5" s="5"/>
      <c r="B5" s="34"/>
      <c r="C5" s="35">
        <f>C4*2</f>
        <v>24</v>
      </c>
      <c r="D5" s="37">
        <f>D4*2</f>
        <v>110</v>
      </c>
      <c r="E5" s="27">
        <f>SUM(C5+D5)</f>
        <v>134</v>
      </c>
      <c r="F5" s="34" t="s">
        <v>12</v>
      </c>
      <c r="G5" s="27"/>
      <c r="H5" s="27"/>
      <c r="I5" s="34" t="s">
        <v>7</v>
      </c>
    </row>
    <row r="6" spans="1:17" ht="15.75" thickBot="1" x14ac:dyDescent="0.3">
      <c r="A6" s="127" t="s">
        <v>0</v>
      </c>
      <c r="B6" s="128"/>
      <c r="C6" s="129"/>
      <c r="D6" s="130" t="s">
        <v>1</v>
      </c>
      <c r="E6" s="131"/>
      <c r="F6" s="31" t="s">
        <v>2</v>
      </c>
      <c r="G6" s="31" t="s">
        <v>3</v>
      </c>
      <c r="H6" s="31" t="s">
        <v>4</v>
      </c>
      <c r="I6" s="29" t="s">
        <v>5</v>
      </c>
    </row>
    <row r="7" spans="1:17" ht="15.75" thickBot="1" x14ac:dyDescent="0.3">
      <c r="A7" s="82" t="s">
        <v>61</v>
      </c>
      <c r="B7" s="82"/>
      <c r="C7" s="82"/>
      <c r="D7" s="122" t="s">
        <v>58</v>
      </c>
      <c r="E7" s="123"/>
      <c r="F7" s="2" t="str">
        <f>IF(D7="26 GA BARE DUCT", U27,IF(D7="DUCT WRAP R-6",U28,IF(D7="MISC",U29,0)))</f>
        <v>LF</v>
      </c>
      <c r="G7" s="34">
        <f>IF(A4=1,(D4-5)*A4,IF(A4=2,(D4-5)*A4,IF(A4=3,(D4-5)*A4,IF(A4=4,(D4-5)*A4,IF(A4=5,(D4-5)*A4,IF(A4=6,(D4-5)*A4,IF(A4=7,(D4-5)*A4,IF(A4=8,(D4-5)*A4,0))))))))</f>
        <v>100</v>
      </c>
      <c r="H7" s="21">
        <f>IF(D7="26 GA BARE DUCT",T27,IF(D8="DUCT WRAP R-6",T28,0))</f>
        <v>37</v>
      </c>
      <c r="I7" s="6">
        <f>PRODUCT(G7,H7)</f>
        <v>3700</v>
      </c>
    </row>
    <row r="8" spans="1:17" ht="15.75" thickBot="1" x14ac:dyDescent="0.3">
      <c r="A8" s="132"/>
      <c r="B8" s="82"/>
      <c r="C8" s="82"/>
      <c r="D8" s="122" t="s">
        <v>56</v>
      </c>
      <c r="E8" s="123"/>
      <c r="F8" s="2" t="str">
        <f t="shared" ref="F8:F22" si="0">IF(D8="26 GA BARE DUCT", U28,IF(D8="DUCT WRAP R-6",U29,IF(D8="MISC",U30,0)))</f>
        <v>EA</v>
      </c>
      <c r="G8" s="38">
        <f>ROUNDUP(J8,0)</f>
        <v>3</v>
      </c>
      <c r="H8" s="21">
        <f>IF(D8="26 GA BARE DUCT",T27,IF(D8="DUCT WRAP R-6",T28,0))</f>
        <v>154.82</v>
      </c>
      <c r="I8" s="6">
        <f>G8*H8</f>
        <v>464.46</v>
      </c>
      <c r="J8">
        <f>G7/75*2</f>
        <v>2.6666666666666665</v>
      </c>
    </row>
    <row r="9" spans="1:17" ht="15.75" thickBot="1" x14ac:dyDescent="0.3">
      <c r="A9" s="82"/>
      <c r="B9" s="82"/>
      <c r="C9" s="82"/>
      <c r="D9" s="122" t="s">
        <v>9</v>
      </c>
      <c r="E9" s="123"/>
      <c r="F9" s="26" t="str">
        <f>IF(D9="26 GA BARE DUCT", U27,IF(D9="DUCT WRAP R-6",U28,IF(D9="MISC",U29,0)))</f>
        <v>EA</v>
      </c>
      <c r="G9" s="34">
        <v>2</v>
      </c>
      <c r="H9" s="22">
        <v>200</v>
      </c>
      <c r="I9" s="7">
        <f>H9*G9</f>
        <v>400</v>
      </c>
    </row>
    <row r="10" spans="1:17" ht="15.75" thickBot="1" x14ac:dyDescent="0.3">
      <c r="A10" s="82"/>
      <c r="B10" s="82"/>
      <c r="C10" s="82"/>
      <c r="D10" s="122"/>
      <c r="E10" s="123"/>
      <c r="F10" s="2"/>
      <c r="G10" s="34"/>
      <c r="H10" s="23"/>
      <c r="I10" s="6">
        <f>PRODUCT(G10,H10)</f>
        <v>0</v>
      </c>
    </row>
    <row r="11" spans="1:17" ht="15.75" thickBot="1" x14ac:dyDescent="0.3">
      <c r="A11" s="82"/>
      <c r="B11" s="82"/>
      <c r="C11" s="82"/>
      <c r="D11" s="122"/>
      <c r="E11" s="123"/>
      <c r="F11" s="2"/>
      <c r="G11" s="38"/>
      <c r="H11" s="21"/>
      <c r="I11" s="6">
        <f>G11*H11</f>
        <v>0</v>
      </c>
    </row>
    <row r="12" spans="1:17" ht="15.75" thickBot="1" x14ac:dyDescent="0.3">
      <c r="A12" s="82"/>
      <c r="B12" s="82"/>
      <c r="C12" s="82"/>
      <c r="D12" s="122"/>
      <c r="E12" s="123"/>
      <c r="F12" s="3"/>
      <c r="G12" s="34"/>
      <c r="H12" s="22">
        <f t="shared" ref="H12:H22" si="1">IF(D12="26 GA BARE DUCT",T32,IF(D13="DUCT WRAP R-6",T33,0))</f>
        <v>0</v>
      </c>
      <c r="I12" s="7"/>
    </row>
    <row r="13" spans="1:17" ht="15.75" thickBot="1" x14ac:dyDescent="0.3">
      <c r="A13" s="82"/>
      <c r="B13" s="82"/>
      <c r="C13" s="82"/>
      <c r="D13" s="122"/>
      <c r="E13" s="123"/>
      <c r="F13" s="2"/>
      <c r="G13" s="34"/>
      <c r="H13" s="21">
        <f t="shared" si="1"/>
        <v>0</v>
      </c>
      <c r="I13" s="6">
        <f>G13*H13</f>
        <v>0</v>
      </c>
    </row>
    <row r="14" spans="1:17" ht="15.75" thickBot="1" x14ac:dyDescent="0.3">
      <c r="A14" s="82" t="s">
        <v>62</v>
      </c>
      <c r="B14" s="82"/>
      <c r="C14" s="82"/>
      <c r="D14" s="122" t="s">
        <v>58</v>
      </c>
      <c r="E14" s="123"/>
      <c r="F14" s="2" t="str">
        <f>IF(D14="26 GA BARE DUCT",U27,IF(D14="DUCT WRAP R-6",U28,IF(D14="MISC",U29,0)))</f>
        <v>LF</v>
      </c>
      <c r="G14" s="34">
        <f>IF(A4=1,(D4-5)*A4,IF(A4=2,(D4-5)*A4,IF(A4=3,(D4-5)*A4,IF(A4=4,(D4-5)*A4,IF(A4=5,(D4-5)*A4,IF(A4=6,(D4-5)*A4,IF(A4=7,(D4-5)*A4,IF(A4=8,(D4-5)*A4,0))))))))</f>
        <v>100</v>
      </c>
      <c r="H14" s="23">
        <f>IF(D14="26 GA BARE DUCT",T31,IF(D14="DUCT WRAP R-6",T32,0))</f>
        <v>0</v>
      </c>
      <c r="I14" s="6">
        <f>PRODUCT(G14,H14)</f>
        <v>0</v>
      </c>
      <c r="L14" s="1"/>
      <c r="M14" s="5"/>
    </row>
    <row r="15" spans="1:17" ht="15.75" thickBot="1" x14ac:dyDescent="0.3">
      <c r="A15" s="82"/>
      <c r="B15" s="82"/>
      <c r="C15" s="82"/>
      <c r="D15" s="122" t="s">
        <v>56</v>
      </c>
      <c r="E15" s="123"/>
      <c r="F15" s="2" t="str">
        <f>IF(D15="26 GA BARE DUCT",U27,IF(D15="DUCT WRAP R-6",U28,IF(D15="MISC",U29,0)))</f>
        <v>RL</v>
      </c>
      <c r="G15" s="38">
        <f>ROUNDUP(J15,0)</f>
        <v>3</v>
      </c>
      <c r="H15" s="21">
        <f>IF(D15="26 GA BARE DUCT",T31,IF(D15="DUCT WRAP R-6",T32,0))</f>
        <v>0</v>
      </c>
      <c r="I15" s="6">
        <f>G15*H15</f>
        <v>0</v>
      </c>
      <c r="J15">
        <f>G14/75*2</f>
        <v>2.6666666666666665</v>
      </c>
    </row>
    <row r="16" spans="1:17" ht="15.75" thickBot="1" x14ac:dyDescent="0.3">
      <c r="A16" s="82"/>
      <c r="B16" s="82"/>
      <c r="C16" s="82"/>
      <c r="D16" s="122" t="s">
        <v>9</v>
      </c>
      <c r="E16" s="123"/>
      <c r="F16" s="2" t="str">
        <f>IF(D16="26 GA BARE DUCT", U27,IF(D16="DUCT WRAP R-6",U28,IF(D16="MISC",U29,0)))</f>
        <v>EA</v>
      </c>
      <c r="G16" s="38"/>
      <c r="H16" s="21">
        <f t="shared" si="1"/>
        <v>0</v>
      </c>
      <c r="I16" s="6">
        <f>PRODUCT(G16,H16)</f>
        <v>0</v>
      </c>
    </row>
    <row r="17" spans="1:21" ht="15.75" thickBot="1" x14ac:dyDescent="0.3">
      <c r="A17" s="82"/>
      <c r="B17" s="82"/>
      <c r="C17" s="82"/>
      <c r="D17" s="122"/>
      <c r="E17" s="123"/>
      <c r="F17" s="2">
        <f t="shared" si="0"/>
        <v>0</v>
      </c>
      <c r="G17" s="34"/>
      <c r="H17" s="21">
        <f t="shared" si="1"/>
        <v>0</v>
      </c>
      <c r="I17" s="6">
        <f>G17*H17</f>
        <v>0</v>
      </c>
    </row>
    <row r="18" spans="1:21" ht="15.75" thickBot="1" x14ac:dyDescent="0.3">
      <c r="A18" s="82"/>
      <c r="B18" s="82"/>
      <c r="C18" s="82"/>
      <c r="D18" s="122"/>
      <c r="E18" s="123"/>
      <c r="F18" s="2">
        <f t="shared" si="0"/>
        <v>0</v>
      </c>
      <c r="G18" s="34"/>
      <c r="H18" s="21">
        <f t="shared" si="1"/>
        <v>0</v>
      </c>
      <c r="I18" s="6">
        <f>G18*H18</f>
        <v>0</v>
      </c>
    </row>
    <row r="19" spans="1:21" ht="15.75" thickBot="1" x14ac:dyDescent="0.3">
      <c r="A19" s="84"/>
      <c r="B19" s="85"/>
      <c r="C19" s="86"/>
      <c r="D19" s="122"/>
      <c r="E19" s="123"/>
      <c r="F19" s="2">
        <f t="shared" si="0"/>
        <v>0</v>
      </c>
      <c r="G19" s="34"/>
      <c r="H19" s="21">
        <f t="shared" si="1"/>
        <v>0</v>
      </c>
      <c r="I19" s="6">
        <f>H19*G19</f>
        <v>0</v>
      </c>
    </row>
    <row r="20" spans="1:21" ht="15.75" thickBot="1" x14ac:dyDescent="0.3">
      <c r="A20" s="82"/>
      <c r="B20" s="82"/>
      <c r="C20" s="82"/>
      <c r="D20" s="122"/>
      <c r="E20" s="123"/>
      <c r="F20" s="2">
        <f t="shared" si="0"/>
        <v>0</v>
      </c>
      <c r="G20" s="34"/>
      <c r="H20" s="21">
        <f t="shared" si="1"/>
        <v>0</v>
      </c>
      <c r="I20" s="6">
        <f>G20*H20</f>
        <v>0</v>
      </c>
    </row>
    <row r="21" spans="1:21" ht="15.75" thickBot="1" x14ac:dyDescent="0.3">
      <c r="A21" s="82"/>
      <c r="B21" s="82"/>
      <c r="C21" s="82"/>
      <c r="D21" s="122"/>
      <c r="E21" s="123"/>
      <c r="F21" s="2">
        <f t="shared" si="0"/>
        <v>0</v>
      </c>
      <c r="G21" s="34"/>
      <c r="H21" s="21">
        <f t="shared" si="1"/>
        <v>0</v>
      </c>
      <c r="I21" s="6">
        <f>PRODUCT(G21,H21)</f>
        <v>0</v>
      </c>
      <c r="O21">
        <f>IF(F24="YES",I24*0.1,IF(F24="NO",I24,0))</f>
        <v>4564.46</v>
      </c>
    </row>
    <row r="22" spans="1:21" ht="15.75" thickBot="1" x14ac:dyDescent="0.3">
      <c r="A22" s="82"/>
      <c r="B22" s="82"/>
      <c r="C22" s="82"/>
      <c r="D22" s="122"/>
      <c r="E22" s="123"/>
      <c r="F22" s="2">
        <f t="shared" si="0"/>
        <v>0</v>
      </c>
      <c r="G22" s="34"/>
      <c r="H22" s="21">
        <f t="shared" si="1"/>
        <v>0</v>
      </c>
      <c r="I22" s="6">
        <f>G22*H22</f>
        <v>0</v>
      </c>
    </row>
    <row r="23" spans="1:21" x14ac:dyDescent="0.25">
      <c r="A23" s="82"/>
      <c r="B23" s="82"/>
      <c r="C23" s="82"/>
      <c r="D23" s="100" t="s">
        <v>9</v>
      </c>
      <c r="E23" s="82"/>
      <c r="F23" s="2" t="s">
        <v>6</v>
      </c>
      <c r="G23" s="24">
        <v>0</v>
      </c>
      <c r="H23" s="6">
        <v>500</v>
      </c>
      <c r="I23" s="6">
        <f>G23*H23</f>
        <v>0</v>
      </c>
    </row>
    <row r="24" spans="1:21" ht="15.75" thickBot="1" x14ac:dyDescent="0.3">
      <c r="A24" s="82"/>
      <c r="B24" s="82"/>
      <c r="C24" s="82"/>
      <c r="D24" s="82" t="s">
        <v>23</v>
      </c>
      <c r="E24" s="82"/>
      <c r="F24" s="25" t="s">
        <v>59</v>
      </c>
      <c r="G24" s="3"/>
      <c r="H24" s="3"/>
      <c r="I24" s="6">
        <f>SUM(I7:I23)</f>
        <v>4564.46</v>
      </c>
    </row>
    <row r="25" spans="1:21" x14ac:dyDescent="0.25">
      <c r="A25" s="82"/>
      <c r="B25" s="82"/>
      <c r="C25" s="82"/>
      <c r="D25" s="82"/>
      <c r="E25" s="82"/>
      <c r="F25" s="2"/>
      <c r="G25" s="4"/>
      <c r="H25" s="3"/>
      <c r="I25" s="6"/>
      <c r="N25" s="133" t="s">
        <v>54</v>
      </c>
      <c r="O25" s="134"/>
      <c r="P25" s="134"/>
      <c r="Q25" s="134"/>
      <c r="R25" s="134"/>
      <c r="S25" s="134"/>
      <c r="T25" s="134"/>
      <c r="U25" s="135"/>
    </row>
    <row r="26" spans="1:21" ht="15.75" thickBot="1" x14ac:dyDescent="0.3">
      <c r="A26" s="82"/>
      <c r="B26" s="82"/>
      <c r="C26" s="82"/>
      <c r="D26" s="83"/>
      <c r="E26" s="82"/>
      <c r="F26" s="2"/>
      <c r="G26" s="3"/>
      <c r="H26" s="3"/>
      <c r="I26" s="6"/>
      <c r="N26" s="136"/>
      <c r="O26" s="137"/>
      <c r="P26" s="137"/>
      <c r="Q26" s="137"/>
      <c r="R26" s="137"/>
      <c r="S26" s="137"/>
      <c r="T26" s="137"/>
      <c r="U26" s="138"/>
    </row>
    <row r="27" spans="1:21" ht="15.75" thickBot="1" x14ac:dyDescent="0.3">
      <c r="A27" s="82"/>
      <c r="B27" s="82"/>
      <c r="C27" s="82"/>
      <c r="D27" s="82"/>
      <c r="E27" s="82"/>
      <c r="F27" s="2"/>
      <c r="G27" s="3"/>
      <c r="H27" s="3"/>
      <c r="I27" s="6"/>
      <c r="N27" s="139"/>
      <c r="O27" s="140"/>
      <c r="P27" s="14" t="b">
        <f>H7=IF(N27="2X4X12'",T27,IF(N27="TRACK 2X4X10'",T28,IF(N27="2X6X12'",T29,IF(N27="TRACK 2X6X10'",T30,IF(N27="2X8X12'",T31,IF(N27="TRACK 2X8X10'",T32,IF(N27="2X10X12'",T33,IF(N27="TRACK 2X10X10'",T34,IF(N27="#10X3/4 WAFER HEAD",T35,IF(N27="#6X1-5/8 DRYWALL SDS",T36,IF(N27="#6X2 DRYWALL SDS",T37,0)))))))))))</f>
        <v>0</v>
      </c>
      <c r="Q27" s="11"/>
      <c r="R27" s="71" t="s">
        <v>55</v>
      </c>
      <c r="S27" s="72"/>
      <c r="T27" s="18">
        <v>37</v>
      </c>
      <c r="U27" s="11" t="s">
        <v>12</v>
      </c>
    </row>
    <row r="28" spans="1:21" ht="15.75" thickBot="1" x14ac:dyDescent="0.3">
      <c r="A28" s="82"/>
      <c r="B28" s="82"/>
      <c r="C28" s="82"/>
      <c r="D28" s="82" t="s">
        <v>8</v>
      </c>
      <c r="E28" s="82"/>
      <c r="F28" s="2"/>
      <c r="G28" s="3"/>
      <c r="H28" s="3"/>
      <c r="I28" s="6">
        <f>IF(F24="YES",I24+O21,IF(F24="NO",I24,0))</f>
        <v>4564.46</v>
      </c>
      <c r="N28" s="139"/>
      <c r="O28" s="140"/>
      <c r="P28" s="15"/>
      <c r="Q28" s="12"/>
      <c r="R28" s="71" t="s">
        <v>56</v>
      </c>
      <c r="S28" s="72"/>
      <c r="T28" s="19">
        <v>154.82</v>
      </c>
      <c r="U28" s="12" t="s">
        <v>57</v>
      </c>
    </row>
    <row r="29" spans="1:21" ht="15.75" thickBot="1" x14ac:dyDescent="0.3">
      <c r="A29" s="82"/>
      <c r="B29" s="82"/>
      <c r="C29" s="82"/>
      <c r="D29" s="83"/>
      <c r="E29" s="82"/>
      <c r="F29" s="2"/>
      <c r="G29" s="3"/>
      <c r="H29" s="3"/>
      <c r="I29" s="6"/>
      <c r="N29" s="139"/>
      <c r="O29" s="140"/>
      <c r="P29" s="15"/>
      <c r="Q29" s="12"/>
      <c r="R29" s="71" t="s">
        <v>9</v>
      </c>
      <c r="S29" s="72"/>
      <c r="T29" s="19">
        <v>500</v>
      </c>
      <c r="U29" s="12" t="s">
        <v>6</v>
      </c>
    </row>
    <row r="30" spans="1:21" ht="15.75" thickBot="1" x14ac:dyDescent="0.3">
      <c r="A30" s="82" t="s">
        <v>25</v>
      </c>
      <c r="B30" s="82"/>
      <c r="C30" s="82"/>
      <c r="D30" s="82" t="s">
        <v>24</v>
      </c>
      <c r="E30" s="82"/>
      <c r="F30" s="2" t="s">
        <v>6</v>
      </c>
      <c r="G30" s="3"/>
      <c r="H30" s="3"/>
      <c r="I30" s="9"/>
      <c r="N30" s="139"/>
      <c r="O30" s="140"/>
      <c r="P30" s="15"/>
      <c r="Q30" s="12"/>
      <c r="R30" s="71"/>
      <c r="S30" s="72"/>
      <c r="T30" s="19"/>
      <c r="U30" s="12"/>
    </row>
    <row r="31" spans="1:21" ht="15.75" thickBot="1" x14ac:dyDescent="0.3">
      <c r="A31" s="82"/>
      <c r="B31" s="82"/>
      <c r="C31" s="82"/>
      <c r="D31" s="82"/>
      <c r="E31" s="82"/>
      <c r="F31" s="2"/>
      <c r="G31" s="3"/>
      <c r="H31" s="3"/>
      <c r="I31" s="6">
        <f>I28+I30</f>
        <v>4564.46</v>
      </c>
      <c r="N31" s="139"/>
      <c r="O31" s="140"/>
      <c r="P31" s="15"/>
      <c r="Q31" s="12"/>
      <c r="R31" s="71"/>
      <c r="S31" s="72"/>
      <c r="T31" s="19"/>
      <c r="U31" s="12"/>
    </row>
    <row r="32" spans="1:21" ht="15.75" thickBot="1" x14ac:dyDescent="0.3">
      <c r="A32" s="82"/>
      <c r="B32" s="82"/>
      <c r="C32" s="82"/>
      <c r="D32" s="82" t="s">
        <v>26</v>
      </c>
      <c r="E32" s="82"/>
      <c r="F32" s="2"/>
      <c r="G32" s="3"/>
      <c r="H32" s="3"/>
      <c r="I32" s="10">
        <f>I31*1.02/A3</f>
        <v>8167.9810526315796</v>
      </c>
      <c r="N32" s="139"/>
      <c r="O32" s="140"/>
      <c r="P32" s="15"/>
      <c r="Q32" s="12"/>
      <c r="R32" s="71"/>
      <c r="S32" s="72"/>
      <c r="T32" s="19"/>
      <c r="U32" s="12"/>
    </row>
    <row r="33" spans="1:21" ht="15.75" thickBot="1" x14ac:dyDescent="0.3">
      <c r="A33" s="82"/>
      <c r="B33" s="82"/>
      <c r="C33" s="82"/>
      <c r="D33" s="82"/>
      <c r="E33" s="82"/>
      <c r="F33" s="2"/>
      <c r="G33" s="3"/>
      <c r="H33" s="3"/>
      <c r="I33" s="3"/>
      <c r="N33" s="139"/>
      <c r="O33" s="140"/>
      <c r="P33" s="15"/>
      <c r="Q33" s="12"/>
      <c r="R33" s="71"/>
      <c r="S33" s="72"/>
      <c r="T33" s="19"/>
      <c r="U33" s="12"/>
    </row>
    <row r="34" spans="1:21" ht="15.75" thickBot="1" x14ac:dyDescent="0.3">
      <c r="A34" s="82"/>
      <c r="B34" s="82"/>
      <c r="C34" s="82"/>
      <c r="D34" s="82"/>
      <c r="E34" s="82"/>
      <c r="F34" s="2"/>
      <c r="G34" s="4"/>
      <c r="H34" s="3"/>
      <c r="I34" s="3"/>
      <c r="N34" s="139"/>
      <c r="O34" s="140"/>
      <c r="P34" s="15"/>
      <c r="Q34" s="12"/>
      <c r="R34" s="71"/>
      <c r="S34" s="72"/>
      <c r="T34" s="19"/>
      <c r="U34" s="12"/>
    </row>
    <row r="35" spans="1:21" ht="15.75" thickBot="1" x14ac:dyDescent="0.3">
      <c r="A35" s="82"/>
      <c r="B35" s="82"/>
      <c r="C35" s="82"/>
      <c r="D35" s="82"/>
      <c r="E35" s="82"/>
      <c r="F35" s="2"/>
      <c r="G35" s="3"/>
      <c r="H35" s="3"/>
      <c r="I35" s="3"/>
      <c r="N35" s="139"/>
      <c r="O35" s="140"/>
      <c r="P35" s="15"/>
      <c r="R35" s="141"/>
      <c r="S35" s="72"/>
      <c r="T35" s="19"/>
      <c r="U35" s="12"/>
    </row>
    <row r="36" spans="1:21" ht="15.75" thickBot="1" x14ac:dyDescent="0.3">
      <c r="A36" s="142" t="s">
        <v>51</v>
      </c>
      <c r="B36" s="74"/>
      <c r="C36" s="74"/>
      <c r="D36" s="74"/>
      <c r="E36" s="74"/>
      <c r="F36" s="74"/>
      <c r="G36" s="74"/>
      <c r="H36" s="74"/>
      <c r="I36" s="143"/>
      <c r="N36" s="139"/>
      <c r="O36" s="140"/>
      <c r="P36" s="16"/>
      <c r="Q36" s="12"/>
      <c r="R36" s="141"/>
      <c r="S36" s="72"/>
      <c r="T36" s="19"/>
      <c r="U36" s="12"/>
    </row>
    <row r="37" spans="1:21" ht="15.75" thickBot="1" x14ac:dyDescent="0.3">
      <c r="A37" s="144"/>
      <c r="B37" s="145"/>
      <c r="C37" s="145"/>
      <c r="D37" s="145"/>
      <c r="E37" s="145"/>
      <c r="F37" s="145"/>
      <c r="G37" s="145"/>
      <c r="H37" s="145"/>
      <c r="I37" s="146"/>
      <c r="N37" s="139"/>
      <c r="O37" s="140"/>
      <c r="P37" s="17"/>
      <c r="Q37" s="13"/>
      <c r="R37" s="79"/>
      <c r="S37" s="72"/>
      <c r="T37" s="20"/>
      <c r="U37" s="13"/>
    </row>
  </sheetData>
  <mergeCells count="87">
    <mergeCell ref="A36:I37"/>
    <mergeCell ref="N36:O36"/>
    <mergeCell ref="R36:S36"/>
    <mergeCell ref="N37:O37"/>
    <mergeCell ref="R37:S37"/>
    <mergeCell ref="A34:C34"/>
    <mergeCell ref="D34:E34"/>
    <mergeCell ref="N34:O34"/>
    <mergeCell ref="R34:S34"/>
    <mergeCell ref="A35:C35"/>
    <mergeCell ref="D35:E35"/>
    <mergeCell ref="N35:O35"/>
    <mergeCell ref="R35:S35"/>
    <mergeCell ref="A32:C32"/>
    <mergeCell ref="D32:E32"/>
    <mergeCell ref="N32:O32"/>
    <mergeCell ref="R32:S32"/>
    <mergeCell ref="A33:C33"/>
    <mergeCell ref="D33:E33"/>
    <mergeCell ref="N33:O33"/>
    <mergeCell ref="R33:S33"/>
    <mergeCell ref="A30:C30"/>
    <mergeCell ref="D30:E30"/>
    <mergeCell ref="N30:O30"/>
    <mergeCell ref="R30:S30"/>
    <mergeCell ref="A31:C31"/>
    <mergeCell ref="D31:E31"/>
    <mergeCell ref="N31:O31"/>
    <mergeCell ref="R31:S31"/>
    <mergeCell ref="A28:C28"/>
    <mergeCell ref="D28:E28"/>
    <mergeCell ref="N28:O28"/>
    <mergeCell ref="R28:S28"/>
    <mergeCell ref="A29:C29"/>
    <mergeCell ref="D29:E29"/>
    <mergeCell ref="N29:O29"/>
    <mergeCell ref="R29:S29"/>
    <mergeCell ref="N25:U26"/>
    <mergeCell ref="A26:C26"/>
    <mergeCell ref="D26:E26"/>
    <mergeCell ref="A27:C27"/>
    <mergeCell ref="D27:E27"/>
    <mergeCell ref="N27:O27"/>
    <mergeCell ref="R27:S27"/>
    <mergeCell ref="A23:C23"/>
    <mergeCell ref="D23:E23"/>
    <mergeCell ref="A24:C24"/>
    <mergeCell ref="D24:E24"/>
    <mergeCell ref="A25:C25"/>
    <mergeCell ref="D25:E25"/>
    <mergeCell ref="A20:C20"/>
    <mergeCell ref="D20:E20"/>
    <mergeCell ref="A21:C21"/>
    <mergeCell ref="D21:E21"/>
    <mergeCell ref="A22:C22"/>
    <mergeCell ref="D22:E22"/>
    <mergeCell ref="A17:C17"/>
    <mergeCell ref="D17:E17"/>
    <mergeCell ref="A18:C18"/>
    <mergeCell ref="D18:E18"/>
    <mergeCell ref="A19:C19"/>
    <mergeCell ref="D19:E19"/>
    <mergeCell ref="A14:C14"/>
    <mergeCell ref="D14:E14"/>
    <mergeCell ref="A15:C15"/>
    <mergeCell ref="D15:E15"/>
    <mergeCell ref="A16:C16"/>
    <mergeCell ref="D16:E16"/>
    <mergeCell ref="A11:C11"/>
    <mergeCell ref="D11:E11"/>
    <mergeCell ref="A12:C12"/>
    <mergeCell ref="D12:E12"/>
    <mergeCell ref="A13:C13"/>
    <mergeCell ref="D13:E13"/>
    <mergeCell ref="A8:C8"/>
    <mergeCell ref="D8:E8"/>
    <mergeCell ref="A9:C9"/>
    <mergeCell ref="D9:E9"/>
    <mergeCell ref="A10:C10"/>
    <mergeCell ref="D10:E10"/>
    <mergeCell ref="A7:C7"/>
    <mergeCell ref="D7:E7"/>
    <mergeCell ref="A1:I2"/>
    <mergeCell ref="K1:Q4"/>
    <mergeCell ref="C3:G3"/>
    <mergeCell ref="A6:C6"/>
    <mergeCell ref="D6:E6"/>
  </mergeCells>
  <dataValidations count="6">
    <dataValidation type="list" allowBlank="1" showInputMessage="1" showErrorMessage="1" sqref="I5" xr:uid="{A67DDA28-CAA7-42C1-B13E-5F44CD5E6E55}">
      <formula1>"JASON KING, "</formula1>
    </dataValidation>
    <dataValidation type="list" allowBlank="1" showInputMessage="1" showErrorMessage="1" sqref="M14 A4:A5" xr:uid="{838EC9A0-1864-4997-91BA-C6EA1AC4DADD}">
      <formula1>"1,2,3,4,5,6,7,8,9,10,11,12"</formula1>
    </dataValidation>
    <dataValidation type="list" allowBlank="1" showInputMessage="1" showErrorMessage="1" sqref="N28:O37" xr:uid="{FE4B18DF-C251-47D9-887A-DE95B240E77A}">
      <formula1>"2x4x12',TRACK 2X4X10',2X6X12',TRACK 2X6X12,2X8X12,TRACK 2X8X10',2X10X12',TRACK 2X10X10',"</formula1>
    </dataValidation>
    <dataValidation type="list" allowBlank="1" showInputMessage="1" showErrorMessage="1" sqref="N27:O27" xr:uid="{67115F9B-8374-4949-A81A-F8FEB9CFBE34}">
      <formula1>"2x4x12',TRACK 2X4X10',2X6X12',TRACK 2X6X10',2X8X12',TRACK 2X8X10',2X10X12',TRACK 2X10X10',#10X3/4 WAFER HEAD,#6X1-5/8 DRYWALL SDS,#6X2 DRYWALL SDS,"</formula1>
    </dataValidation>
    <dataValidation type="list" allowBlank="1" showInputMessage="1" showErrorMessage="1" sqref="F24" xr:uid="{E45AEE50-AD38-4C04-A420-46A256DCDA87}">
      <formula1>"YES,NO,"</formula1>
    </dataValidation>
    <dataValidation type="list" allowBlank="1" showInputMessage="1" showErrorMessage="1" sqref="D7:E22" xr:uid="{E60937EF-3CDE-4168-B6DB-A7A43662712C}">
      <formula1>"26 GA BARE DUCT, DUCT WRAP R-6,MISC,"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Steel Stud </vt:lpstr>
      <vt:lpstr>Sheet5</vt:lpstr>
      <vt:lpstr>'Steel Stud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King</dc:creator>
  <cp:lastModifiedBy>Mitch Quintana</cp:lastModifiedBy>
  <cp:lastPrinted>2022-08-24T15:20:31Z</cp:lastPrinted>
  <dcterms:created xsi:type="dcterms:W3CDTF">2021-01-11T17:34:45Z</dcterms:created>
  <dcterms:modified xsi:type="dcterms:W3CDTF">2024-10-16T20:51:14Z</dcterms:modified>
</cp:coreProperties>
</file>
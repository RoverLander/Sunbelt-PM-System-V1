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Q:\ENG\Calculations\"/>
    </mc:Choice>
  </mc:AlternateContent>
  <xr:revisionPtr revIDLastSave="0" documentId="13_ncr:1_{5A635A43-AC4E-4A91-AFF7-4C0A9D1DF558}" xr6:coauthVersionLast="47" xr6:coauthVersionMax="47" xr10:uidLastSave="{00000000-0000-0000-0000-000000000000}"/>
  <bookViews>
    <workbookView xWindow="-28920" yWindow="-135" windowWidth="29040" windowHeight="15720" xr2:uid="{45D96F16-532F-4072-9117-54E74065DD97}"/>
  </bookViews>
  <sheets>
    <sheet name="Snow Load Conversion" sheetId="1" r:id="rId1"/>
    <sheet name="Risk Cat. - Exposure" sheetId="16" r:id="rId2"/>
    <sheet name="Sheet1" sheetId="15" state="hidden" r:id="rId3"/>
    <sheet name="AK Ground - Snow Loads" sheetId="4" r:id="rId4"/>
    <sheet name="CO Ground - Snow Loads" sheetId="7" r:id="rId5"/>
    <sheet name="ID Ground - Snow Loads" sheetId="8" r:id="rId6"/>
    <sheet name="MD Ground - Snow Loads" sheetId="6" r:id="rId7"/>
    <sheet name="MT Ground - Snow Loads" sheetId="9" r:id="rId8"/>
    <sheet name="NH Ground - Snow Loads" sheetId="14" r:id="rId9"/>
    <sheet name="NM Ground - Snow Loads" sheetId="11" r:id="rId10"/>
    <sheet name="OR Ground - Snow Loads" sheetId="12" r:id="rId11"/>
    <sheet name="UT Ground - Snow Loads" sheetId="2" r:id="rId12"/>
    <sheet name="WA Ground - Snow Loads" sheetId="10" r:id="rId13"/>
  </sheets>
  <definedNames>
    <definedName name="_xlnm.Print_Area" localSheetId="3">'AK Ground - Snow Loads'!$A$1:$D$63</definedName>
    <definedName name="_xlnm.Print_Area" localSheetId="4">'CO Ground - Snow Loads'!$A$1:$E$42</definedName>
    <definedName name="_xlnm.Print_Area" localSheetId="5">'ID Ground - Snow Loads'!$A$1:$E$42</definedName>
    <definedName name="_xlnm.Print_Area" localSheetId="6">'MD Ground - Snow Loads'!$A$1:$D$38</definedName>
    <definedName name="_xlnm.Print_Area" localSheetId="7">'MT Ground - Snow Loads'!$A$1:$E$43</definedName>
    <definedName name="_xlnm.Print_Area" localSheetId="8">'NH Ground - Snow Loads'!$A$1:$E$43</definedName>
    <definedName name="_xlnm.Print_Area" localSheetId="9">'NM Ground - Snow Loads'!$A$1:$E$42</definedName>
    <definedName name="_xlnm.Print_Area" localSheetId="10">'OR Ground - Snow Loads'!$A$1:$E$42</definedName>
    <definedName name="_xlnm.Print_Area" localSheetId="11">'UT Ground - Snow Loads'!$A$1:$E$42</definedName>
    <definedName name="_xlnm.Print_Area" localSheetId="12">'WA Ground - Snow Loads'!$A$1:$E$42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1" l="1"/>
  <c r="B5" i="4" l="1"/>
  <c r="P31" i="1" l="1"/>
  <c r="D7" i="1" s="1"/>
  <c r="P20" i="1" l="1"/>
  <c r="P19" i="1"/>
  <c r="Q17" i="1"/>
  <c r="Q16" i="1"/>
  <c r="Q15" i="1"/>
  <c r="Q14" i="1"/>
  <c r="D8" i="15"/>
  <c r="D7" i="15"/>
  <c r="Q19" i="1" l="1"/>
  <c r="R19" i="1" s="1"/>
  <c r="X20" i="1"/>
  <c r="S20" i="1"/>
  <c r="R20" i="1"/>
  <c r="W20" i="1"/>
  <c r="D11" i="1"/>
  <c r="D3" i="15"/>
  <c r="W19" i="1" l="1"/>
  <c r="V20" i="1" s="1"/>
  <c r="X19" i="1"/>
  <c r="T19" i="1"/>
  <c r="S19" i="1"/>
  <c r="U19" i="1"/>
  <c r="U20" i="1" s="1"/>
  <c r="V19" i="1"/>
  <c r="Y19" i="1"/>
  <c r="T20" i="1"/>
  <c r="B25" i="4"/>
  <c r="B4" i="4"/>
  <c r="K2" i="4"/>
  <c r="K1" i="4"/>
  <c r="B41" i="4"/>
  <c r="B40" i="4"/>
  <c r="B36" i="4"/>
  <c r="B31" i="4"/>
  <c r="B30" i="4"/>
  <c r="B28" i="4"/>
  <c r="B26" i="4"/>
  <c r="B24" i="4"/>
  <c r="B23" i="4"/>
  <c r="B21" i="4"/>
  <c r="B20" i="4"/>
  <c r="B16" i="4"/>
  <c r="B15" i="4"/>
  <c r="B14" i="4"/>
  <c r="B13" i="4"/>
  <c r="B10" i="4"/>
  <c r="B56" i="4"/>
  <c r="B54" i="4"/>
  <c r="B53" i="4"/>
  <c r="B52" i="4"/>
  <c r="B51" i="4"/>
  <c r="B50" i="4"/>
  <c r="B49" i="4"/>
  <c r="B48" i="4"/>
  <c r="B47" i="4"/>
  <c r="B46" i="4"/>
  <c r="B45" i="4"/>
  <c r="B43" i="4"/>
  <c r="A42" i="4"/>
  <c r="B42" i="4"/>
  <c r="B39" i="4"/>
  <c r="B38" i="4"/>
  <c r="B37" i="4"/>
  <c r="B35" i="4"/>
  <c r="B34" i="4"/>
  <c r="B33" i="4"/>
  <c r="B32" i="4"/>
  <c r="B29" i="4"/>
  <c r="B27" i="4"/>
  <c r="B19" i="4"/>
  <c r="B18" i="4"/>
  <c r="B17" i="4"/>
  <c r="B6" i="4"/>
  <c r="B12" i="4"/>
  <c r="B9" i="4"/>
  <c r="B11" i="4"/>
  <c r="A9" i="4"/>
  <c r="B8" i="4"/>
  <c r="A5" i="4"/>
  <c r="B3" i="4"/>
  <c r="L40" i="4" l="1"/>
  <c r="L37" i="4"/>
  <c r="L41" i="4"/>
  <c r="L31" i="4"/>
  <c r="L3" i="4"/>
  <c r="L38" i="4"/>
  <c r="L10" i="4"/>
  <c r="L52" i="4"/>
  <c r="L36" i="4"/>
  <c r="L8" i="4"/>
  <c r="L39" i="4"/>
  <c r="L11" i="4"/>
  <c r="L42" i="4"/>
  <c r="L4" i="4"/>
  <c r="L25" i="4"/>
  <c r="L9" i="4"/>
  <c r="L12" i="4"/>
  <c r="L16" i="4"/>
  <c r="L6" i="4"/>
  <c r="L45" i="4"/>
  <c r="L20" i="4"/>
  <c r="L15" i="4"/>
  <c r="L43" i="4"/>
  <c r="L51" i="4"/>
  <c r="L47" i="4"/>
  <c r="L19" i="4"/>
  <c r="L48" i="4"/>
  <c r="L24" i="4"/>
  <c r="L18" i="4"/>
  <c r="L30" i="4"/>
  <c r="L27" i="4"/>
  <c r="L49" i="4"/>
  <c r="L26" i="4"/>
  <c r="L29" i="4"/>
  <c r="L50" i="4"/>
  <c r="P21" i="1"/>
  <c r="S8" i="1" s="1"/>
  <c r="D13" i="1"/>
  <c r="L56" i="4" s="1"/>
  <c r="L32" i="4" l="1"/>
  <c r="L23" i="4"/>
  <c r="L14" i="4"/>
  <c r="S7" i="1"/>
  <c r="D15" i="1" s="1"/>
  <c r="L43" i="10"/>
  <c r="L27" i="10"/>
  <c r="L11" i="10"/>
  <c r="L24" i="2"/>
  <c r="L8" i="2"/>
  <c r="L42" i="12"/>
  <c r="L26" i="12"/>
  <c r="L10" i="12"/>
  <c r="L21" i="11"/>
  <c r="L5" i="11"/>
  <c r="L39" i="14"/>
  <c r="L23" i="14"/>
  <c r="L7" i="14"/>
  <c r="L42" i="9"/>
  <c r="L26" i="9"/>
  <c r="L10" i="9"/>
  <c r="L19" i="6"/>
  <c r="L3" i="6"/>
  <c r="L42" i="8"/>
  <c r="L26" i="8"/>
  <c r="L10" i="8"/>
  <c r="L44" i="7"/>
  <c r="L28" i="7"/>
  <c r="L12" i="7"/>
  <c r="L58" i="10"/>
  <c r="L42" i="10"/>
  <c r="L26" i="10"/>
  <c r="L10" i="10"/>
  <c r="L23" i="2"/>
  <c r="L7" i="2"/>
  <c r="L41" i="12"/>
  <c r="L25" i="12"/>
  <c r="L9" i="12"/>
  <c r="L20" i="11"/>
  <c r="L4" i="11"/>
  <c r="L38" i="14"/>
  <c r="L22" i="14"/>
  <c r="L6" i="14"/>
  <c r="L41" i="9"/>
  <c r="L25" i="9"/>
  <c r="L9" i="9"/>
  <c r="L18" i="6"/>
  <c r="L25" i="8"/>
  <c r="L43" i="7"/>
  <c r="L51" i="14"/>
  <c r="L6" i="9"/>
  <c r="L38" i="8"/>
  <c r="L57" i="8"/>
  <c r="L41" i="8"/>
  <c r="L9" i="8"/>
  <c r="L27" i="7"/>
  <c r="L11" i="7"/>
  <c r="L25" i="7"/>
  <c r="L9" i="7"/>
  <c r="L39" i="10"/>
  <c r="L19" i="14"/>
  <c r="L3" i="14"/>
  <c r="L22" i="9"/>
  <c r="L24" i="7"/>
  <c r="L8" i="7"/>
  <c r="L34" i="14"/>
  <c r="L37" i="9"/>
  <c r="L37" i="8"/>
  <c r="L57" i="10"/>
  <c r="L41" i="10"/>
  <c r="L25" i="10"/>
  <c r="L9" i="10"/>
  <c r="L22" i="2"/>
  <c r="L6" i="2"/>
  <c r="L40" i="12"/>
  <c r="L24" i="12"/>
  <c r="L8" i="12"/>
  <c r="L19" i="11"/>
  <c r="L3" i="11"/>
  <c r="L37" i="14"/>
  <c r="L21" i="14"/>
  <c r="L5" i="14"/>
  <c r="L40" i="9"/>
  <c r="L24" i="9"/>
  <c r="L8" i="9"/>
  <c r="L17" i="6"/>
  <c r="L56" i="8"/>
  <c r="L40" i="8"/>
  <c r="L24" i="8"/>
  <c r="L8" i="8"/>
  <c r="L42" i="7"/>
  <c r="L26" i="7"/>
  <c r="L10" i="7"/>
  <c r="L56" i="10"/>
  <c r="L40" i="10"/>
  <c r="L24" i="10"/>
  <c r="L8" i="10"/>
  <c r="L21" i="2"/>
  <c r="L5" i="2"/>
  <c r="L39" i="12"/>
  <c r="L23" i="12"/>
  <c r="L7" i="12"/>
  <c r="L18" i="11"/>
  <c r="L52" i="14"/>
  <c r="L36" i="14"/>
  <c r="L20" i="14"/>
  <c r="L4" i="14"/>
  <c r="L39" i="9"/>
  <c r="L7" i="9"/>
  <c r="L16" i="6"/>
  <c r="L55" i="8"/>
  <c r="L39" i="8"/>
  <c r="L23" i="8"/>
  <c r="L7" i="8"/>
  <c r="L41" i="7"/>
  <c r="L23" i="10"/>
  <c r="L4" i="2"/>
  <c r="L22" i="12"/>
  <c r="L6" i="12"/>
  <c r="L17" i="11"/>
  <c r="L35" i="14"/>
  <c r="L15" i="6"/>
  <c r="L54" i="8"/>
  <c r="L22" i="8"/>
  <c r="L6" i="8"/>
  <c r="L40" i="7"/>
  <c r="L18" i="14"/>
  <c r="L53" i="8"/>
  <c r="L39" i="7"/>
  <c r="L7" i="7"/>
  <c r="L30" i="8"/>
  <c r="L23" i="9"/>
  <c r="L7" i="10"/>
  <c r="L20" i="2"/>
  <c r="L38" i="12"/>
  <c r="L55" i="10"/>
  <c r="L38" i="9"/>
  <c r="L53" i="9"/>
  <c r="L21" i="9"/>
  <c r="L5" i="9"/>
  <c r="L14" i="6"/>
  <c r="L21" i="8"/>
  <c r="L54" i="10"/>
  <c r="L38" i="10"/>
  <c r="L22" i="10"/>
  <c r="L6" i="10"/>
  <c r="L19" i="2"/>
  <c r="L3" i="2"/>
  <c r="L37" i="12"/>
  <c r="L21" i="12"/>
  <c r="L5" i="12"/>
  <c r="L16" i="11"/>
  <c r="L50" i="14"/>
  <c r="L23" i="7"/>
  <c r="L53" i="10"/>
  <c r="L37" i="10"/>
  <c r="L21" i="10"/>
  <c r="L5" i="10"/>
  <c r="L18" i="2"/>
  <c r="L52" i="12"/>
  <c r="L36" i="12"/>
  <c r="L20" i="12"/>
  <c r="L4" i="12"/>
  <c r="L15" i="11"/>
  <c r="L49" i="14"/>
  <c r="L33" i="14"/>
  <c r="L17" i="14"/>
  <c r="L52" i="9"/>
  <c r="L36" i="9"/>
  <c r="L20" i="9"/>
  <c r="L4" i="9"/>
  <c r="L13" i="6"/>
  <c r="L52" i="8"/>
  <c r="L36" i="8"/>
  <c r="L20" i="8"/>
  <c r="L4" i="8"/>
  <c r="L38" i="7"/>
  <c r="L22" i="7"/>
  <c r="L6" i="7"/>
  <c r="L35" i="10"/>
  <c r="L16" i="2"/>
  <c r="L34" i="12"/>
  <c r="L18" i="12"/>
  <c r="L29" i="11"/>
  <c r="L34" i="9"/>
  <c r="L11" i="6"/>
  <c r="L34" i="8"/>
  <c r="L52" i="7"/>
  <c r="L49" i="12"/>
  <c r="L12" i="11"/>
  <c r="L14" i="14"/>
  <c r="L11" i="14"/>
  <c r="L46" i="9"/>
  <c r="L7" i="6"/>
  <c r="L46" i="8"/>
  <c r="L14" i="8"/>
  <c r="L48" i="7"/>
  <c r="L52" i="10"/>
  <c r="L36" i="10"/>
  <c r="L20" i="10"/>
  <c r="L4" i="10"/>
  <c r="L17" i="2"/>
  <c r="L51" i="12"/>
  <c r="L35" i="12"/>
  <c r="L19" i="12"/>
  <c r="L3" i="12"/>
  <c r="L14" i="11"/>
  <c r="L48" i="14"/>
  <c r="L32" i="14"/>
  <c r="L16" i="14"/>
  <c r="L51" i="9"/>
  <c r="L35" i="9"/>
  <c r="L19" i="9"/>
  <c r="L3" i="9"/>
  <c r="L12" i="6"/>
  <c r="L51" i="8"/>
  <c r="L35" i="8"/>
  <c r="L19" i="8"/>
  <c r="L3" i="8"/>
  <c r="L37" i="7"/>
  <c r="L21" i="7"/>
  <c r="L5" i="7"/>
  <c r="L51" i="10"/>
  <c r="L19" i="10"/>
  <c r="L3" i="10"/>
  <c r="L50" i="12"/>
  <c r="L13" i="11"/>
  <c r="L47" i="14"/>
  <c r="L31" i="14"/>
  <c r="L15" i="14"/>
  <c r="L50" i="9"/>
  <c r="L18" i="9"/>
  <c r="L27" i="6"/>
  <c r="L50" i="8"/>
  <c r="L36" i="7"/>
  <c r="L20" i="7"/>
  <c r="L4" i="7"/>
  <c r="L34" i="10"/>
  <c r="L33" i="12"/>
  <c r="L17" i="12"/>
  <c r="L46" i="14"/>
  <c r="L49" i="9"/>
  <c r="L33" i="9"/>
  <c r="L26" i="6"/>
  <c r="L33" i="8"/>
  <c r="L35" i="7"/>
  <c r="L19" i="7"/>
  <c r="L3" i="7"/>
  <c r="L14" i="12"/>
  <c r="L43" i="14"/>
  <c r="L14" i="9"/>
  <c r="L22" i="4"/>
  <c r="L18" i="8"/>
  <c r="L15" i="2"/>
  <c r="L30" i="14"/>
  <c r="L10" i="6"/>
  <c r="L49" i="8"/>
  <c r="L9" i="11"/>
  <c r="L23" i="6"/>
  <c r="L16" i="7"/>
  <c r="L50" i="10"/>
  <c r="L18" i="10"/>
  <c r="L31" i="2"/>
  <c r="L28" i="11"/>
  <c r="L17" i="9"/>
  <c r="L17" i="8"/>
  <c r="L51" i="7"/>
  <c r="L25" i="11"/>
  <c r="L30" i="9"/>
  <c r="L49" i="10"/>
  <c r="L33" i="10"/>
  <c r="L17" i="10"/>
  <c r="L30" i="2"/>
  <c r="L14" i="2"/>
  <c r="L48" i="12"/>
  <c r="L32" i="12"/>
  <c r="L16" i="12"/>
  <c r="L27" i="11"/>
  <c r="L11" i="11"/>
  <c r="L45" i="14"/>
  <c r="L29" i="14"/>
  <c r="L13" i="14"/>
  <c r="L48" i="9"/>
  <c r="L32" i="9"/>
  <c r="L16" i="9"/>
  <c r="L25" i="6"/>
  <c r="L9" i="6"/>
  <c r="L48" i="8"/>
  <c r="L32" i="8"/>
  <c r="L16" i="8"/>
  <c r="L50" i="7"/>
  <c r="L34" i="7"/>
  <c r="L18" i="7"/>
  <c r="L55" i="4"/>
  <c r="L48" i="10"/>
  <c r="L32" i="10"/>
  <c r="L16" i="10"/>
  <c r="L29" i="2"/>
  <c r="L13" i="2"/>
  <c r="L47" i="12"/>
  <c r="L31" i="12"/>
  <c r="L15" i="12"/>
  <c r="L26" i="11"/>
  <c r="L44" i="14"/>
  <c r="L28" i="14"/>
  <c r="L47" i="9"/>
  <c r="L31" i="9"/>
  <c r="L15" i="9"/>
  <c r="L24" i="6"/>
  <c r="L8" i="6"/>
  <c r="L47" i="8"/>
  <c r="L31" i="8"/>
  <c r="L15" i="8"/>
  <c r="L49" i="7"/>
  <c r="L33" i="7"/>
  <c r="L17" i="7"/>
  <c r="L44" i="4"/>
  <c r="L12" i="2"/>
  <c r="L46" i="12"/>
  <c r="L27" i="14"/>
  <c r="L32" i="7"/>
  <c r="L10" i="11"/>
  <c r="L12" i="14"/>
  <c r="L30" i="12"/>
  <c r="L47" i="10"/>
  <c r="L31" i="10"/>
  <c r="L15" i="10"/>
  <c r="L28" i="2"/>
  <c r="L46" i="10"/>
  <c r="L30" i="10"/>
  <c r="L14" i="10"/>
  <c r="L27" i="2"/>
  <c r="L11" i="2"/>
  <c r="L45" i="12"/>
  <c r="L29" i="12"/>
  <c r="L13" i="12"/>
  <c r="L24" i="11"/>
  <c r="L8" i="11"/>
  <c r="L42" i="14"/>
  <c r="L26" i="14"/>
  <c r="L10" i="14"/>
  <c r="L45" i="9"/>
  <c r="L29" i="9"/>
  <c r="L13" i="9"/>
  <c r="L22" i="6"/>
  <c r="L6" i="6"/>
  <c r="L45" i="8"/>
  <c r="L29" i="8"/>
  <c r="L13" i="8"/>
  <c r="L47" i="7"/>
  <c r="L31" i="7"/>
  <c r="L15" i="7"/>
  <c r="L7" i="4"/>
  <c r="L24" i="14"/>
  <c r="L8" i="14"/>
  <c r="L43" i="9"/>
  <c r="L27" i="9"/>
  <c r="L11" i="9"/>
  <c r="L20" i="6"/>
  <c r="L4" i="6"/>
  <c r="L43" i="8"/>
  <c r="L27" i="8"/>
  <c r="L11" i="8"/>
  <c r="L45" i="7"/>
  <c r="L29" i="7"/>
  <c r="L13" i="7"/>
  <c r="L5" i="8"/>
  <c r="L45" i="10"/>
  <c r="L29" i="10"/>
  <c r="L13" i="10"/>
  <c r="L26" i="2"/>
  <c r="L10" i="2"/>
  <c r="L44" i="12"/>
  <c r="L28" i="12"/>
  <c r="L12" i="12"/>
  <c r="L23" i="11"/>
  <c r="L7" i="11"/>
  <c r="L41" i="14"/>
  <c r="L25" i="14"/>
  <c r="L9" i="14"/>
  <c r="L44" i="9"/>
  <c r="L28" i="9"/>
  <c r="L12" i="9"/>
  <c r="L21" i="6"/>
  <c r="L5" i="6"/>
  <c r="L44" i="8"/>
  <c r="L28" i="8"/>
  <c r="L12" i="8"/>
  <c r="L46" i="7"/>
  <c r="L30" i="7"/>
  <c r="L14" i="7"/>
  <c r="L44" i="10"/>
  <c r="L28" i="10"/>
  <c r="L12" i="10"/>
  <c r="L25" i="2"/>
  <c r="L9" i="2"/>
  <c r="L43" i="12"/>
  <c r="L27" i="12"/>
  <c r="L11" i="12"/>
  <c r="L22" i="11"/>
  <c r="L6" i="11"/>
  <c r="L40" i="14"/>
  <c r="L5" i="4"/>
  <c r="L21" i="4"/>
  <c r="L34" i="4"/>
  <c r="L54" i="4"/>
  <c r="L46" i="4"/>
  <c r="L33" i="4"/>
  <c r="L35" i="4"/>
  <c r="L28" i="4"/>
  <c r="L17" i="4"/>
  <c r="L13" i="4"/>
  <c r="L53" i="4"/>
  <c r="D9" i="1"/>
  <c r="S6" i="1" s="1"/>
  <c r="D16" i="1"/>
  <c r="A1" i="1" l="1"/>
  <c r="S10" i="1"/>
  <c r="D17" i="1" s="1"/>
  <c r="D23" i="1"/>
  <c r="S4" i="1"/>
  <c r="S3" i="1"/>
  <c r="D18" i="1" l="1"/>
  <c r="D4" i="15" s="1"/>
  <c r="D6" i="15" s="1"/>
  <c r="C18" i="1"/>
  <c r="C19" i="1"/>
  <c r="D14" i="15" l="1"/>
  <c r="M58" i="10"/>
  <c r="D58" i="10" s="1"/>
  <c r="M9" i="12"/>
  <c r="D9" i="12" s="1"/>
  <c r="M9" i="9"/>
  <c r="D9" i="9" s="1"/>
  <c r="M50" i="7"/>
  <c r="D50" i="7" s="1"/>
  <c r="M38" i="10"/>
  <c r="D38" i="10" s="1"/>
  <c r="M57" i="10"/>
  <c r="D57" i="10" s="1"/>
  <c r="M8" i="12"/>
  <c r="D8" i="12" s="1"/>
  <c r="M8" i="9"/>
  <c r="D8" i="9" s="1"/>
  <c r="M22" i="9"/>
  <c r="D22" i="9" s="1"/>
  <c r="M48" i="7"/>
  <c r="D48" i="7" s="1"/>
  <c r="M22" i="6"/>
  <c r="D22" i="6" s="1"/>
  <c r="M31" i="12"/>
  <c r="D31" i="12" s="1"/>
  <c r="M31" i="9"/>
  <c r="D31" i="9" s="1"/>
  <c r="M15" i="7"/>
  <c r="D15" i="7" s="1"/>
  <c r="M21" i="12"/>
  <c r="D21" i="12" s="1"/>
  <c r="M11" i="7"/>
  <c r="D11" i="7" s="1"/>
  <c r="M20" i="8"/>
  <c r="D20" i="8" s="1"/>
  <c r="M24" i="2"/>
  <c r="D24" i="2" s="1"/>
  <c r="M51" i="8"/>
  <c r="D51" i="8" s="1"/>
  <c r="M44" i="9"/>
  <c r="D44" i="9" s="1"/>
  <c r="M10" i="7"/>
  <c r="D10" i="7" s="1"/>
  <c r="M27" i="9"/>
  <c r="D27" i="9" s="1"/>
  <c r="M26" i="8"/>
  <c r="D26" i="8" s="1"/>
  <c r="M7" i="7"/>
  <c r="D7" i="7" s="1"/>
  <c r="M26" i="12"/>
  <c r="D26" i="12" s="1"/>
  <c r="M17" i="4"/>
  <c r="C17" i="4" s="1"/>
  <c r="M20" i="4"/>
  <c r="C20" i="4" s="1"/>
  <c r="M52" i="4"/>
  <c r="C52" i="4" s="1"/>
  <c r="M5" i="4"/>
  <c r="C5" i="4" s="1"/>
  <c r="M52" i="8"/>
  <c r="D52" i="8" s="1"/>
  <c r="M44" i="7"/>
  <c r="D44" i="7" s="1"/>
  <c r="M52" i="7"/>
  <c r="D52" i="7" s="1"/>
  <c r="M4" i="8"/>
  <c r="D4" i="8" s="1"/>
  <c r="M5" i="6"/>
  <c r="D5" i="6" s="1"/>
  <c r="M6" i="11"/>
  <c r="D6" i="11" s="1"/>
  <c r="M22" i="7"/>
  <c r="D22" i="7" s="1"/>
  <c r="M29" i="4"/>
  <c r="C29" i="4" s="1"/>
  <c r="M50" i="4"/>
  <c r="C50" i="4" s="1"/>
  <c r="M44" i="4"/>
  <c r="C44" i="4" s="1"/>
  <c r="M48" i="4"/>
  <c r="C48" i="4" s="1"/>
  <c r="M40" i="10"/>
  <c r="D40" i="10" s="1"/>
  <c r="M17" i="2"/>
  <c r="D17" i="2" s="1"/>
  <c r="M42" i="7"/>
  <c r="D42" i="7" s="1"/>
  <c r="M35" i="12"/>
  <c r="D35" i="12" s="1"/>
  <c r="M42" i="4"/>
  <c r="C42" i="4" s="1"/>
  <c r="M47" i="4"/>
  <c r="C47" i="4" s="1"/>
  <c r="M10" i="10"/>
  <c r="D10" i="10" s="1"/>
  <c r="M9" i="10"/>
  <c r="D9" i="10" s="1"/>
  <c r="M37" i="14"/>
  <c r="D37" i="14" s="1"/>
  <c r="M45" i="7"/>
  <c r="D45" i="7" s="1"/>
  <c r="M35" i="14"/>
  <c r="D35" i="14" s="1"/>
  <c r="M10" i="11"/>
  <c r="D10" i="11" s="1"/>
  <c r="M18" i="2"/>
  <c r="D18" i="2" s="1"/>
  <c r="M44" i="12"/>
  <c r="D44" i="12" s="1"/>
  <c r="M5" i="10"/>
  <c r="D5" i="10" s="1"/>
  <c r="M29" i="14"/>
  <c r="D29" i="14" s="1"/>
  <c r="M53" i="8"/>
  <c r="D53" i="8" s="1"/>
  <c r="M23" i="11"/>
  <c r="D23" i="11" s="1"/>
  <c r="M18" i="9"/>
  <c r="D18" i="9" s="1"/>
  <c r="M9" i="7"/>
  <c r="D9" i="7" s="1"/>
  <c r="M23" i="2"/>
  <c r="D23" i="2" s="1"/>
  <c r="M47" i="10"/>
  <c r="D47" i="10" s="1"/>
  <c r="M24" i="8"/>
  <c r="D24" i="8" s="1"/>
  <c r="M44" i="14"/>
  <c r="D44" i="14" s="1"/>
  <c r="M9" i="11"/>
  <c r="D9" i="11" s="1"/>
  <c r="M39" i="14"/>
  <c r="D39" i="14" s="1"/>
  <c r="M27" i="8"/>
  <c r="D27" i="8" s="1"/>
  <c r="M8" i="14"/>
  <c r="D8" i="14" s="1"/>
  <c r="M51" i="14"/>
  <c r="D51" i="14" s="1"/>
  <c r="M16" i="8"/>
  <c r="D16" i="8" s="1"/>
  <c r="M23" i="14"/>
  <c r="D23" i="14" s="1"/>
  <c r="M9" i="8"/>
  <c r="D9" i="8" s="1"/>
  <c r="M6" i="2"/>
  <c r="D6" i="2" s="1"/>
  <c r="M54" i="10"/>
  <c r="D54" i="10" s="1"/>
  <c r="M31" i="8"/>
  <c r="D31" i="8" s="1"/>
  <c r="M21" i="6"/>
  <c r="D21" i="6" s="1"/>
  <c r="M8" i="2"/>
  <c r="D8" i="2" s="1"/>
  <c r="M37" i="10"/>
  <c r="D37" i="10" s="1"/>
  <c r="M43" i="4"/>
  <c r="C43" i="4" s="1"/>
  <c r="M51" i="7"/>
  <c r="D51" i="7" s="1"/>
  <c r="M25" i="11"/>
  <c r="D25" i="11" s="1"/>
  <c r="M49" i="7"/>
  <c r="D49" i="7" s="1"/>
  <c r="M21" i="2"/>
  <c r="D21" i="2" s="1"/>
  <c r="M23" i="8"/>
  <c r="D23" i="8" s="1"/>
  <c r="M51" i="12"/>
  <c r="D51" i="12" s="1"/>
  <c r="M28" i="4"/>
  <c r="C28" i="4" s="1"/>
  <c r="M35" i="7"/>
  <c r="D35" i="7" s="1"/>
  <c r="M43" i="14"/>
  <c r="D43" i="14" s="1"/>
  <c r="M33" i="7"/>
  <c r="D33" i="7" s="1"/>
  <c r="M13" i="2"/>
  <c r="D13" i="2" s="1"/>
  <c r="M15" i="8"/>
  <c r="D15" i="8" s="1"/>
  <c r="M19" i="9"/>
  <c r="D19" i="9" s="1"/>
  <c r="M22" i="11"/>
  <c r="D22" i="11" s="1"/>
  <c r="M17" i="14"/>
  <c r="D17" i="14" s="1"/>
  <c r="M27" i="6"/>
  <c r="D27" i="6" s="1"/>
  <c r="M53" i="4"/>
  <c r="C53" i="4" s="1"/>
  <c r="M19" i="7"/>
  <c r="D19" i="7" s="1"/>
  <c r="M5" i="7"/>
  <c r="D5" i="7" s="1"/>
  <c r="M25" i="14"/>
  <c r="D25" i="14" s="1"/>
  <c r="M12" i="6"/>
  <c r="D12" i="6" s="1"/>
  <c r="M12" i="9"/>
  <c r="D12" i="9" s="1"/>
  <c r="M26" i="7"/>
  <c r="D26" i="7" s="1"/>
  <c r="M41" i="14"/>
  <c r="D41" i="14" s="1"/>
  <c r="M25" i="9"/>
  <c r="D25" i="9" s="1"/>
  <c r="M24" i="12"/>
  <c r="D24" i="12" s="1"/>
  <c r="M16" i="7"/>
  <c r="D16" i="7" s="1"/>
  <c r="M10" i="14"/>
  <c r="D10" i="14" s="1"/>
  <c r="M38" i="7"/>
  <c r="D38" i="7" s="1"/>
  <c r="M11" i="9"/>
  <c r="D11" i="9" s="1"/>
  <c r="M27" i="12"/>
  <c r="D27" i="12" s="1"/>
  <c r="M36" i="4"/>
  <c r="C36" i="4" s="1"/>
  <c r="M26" i="4"/>
  <c r="C26" i="4" s="1"/>
  <c r="M50" i="10"/>
  <c r="D50" i="10" s="1"/>
  <c r="M28" i="11"/>
  <c r="D28" i="11" s="1"/>
  <c r="M26" i="6"/>
  <c r="D26" i="6" s="1"/>
  <c r="M34" i="7"/>
  <c r="D34" i="7" s="1"/>
  <c r="M6" i="10"/>
  <c r="D6" i="10" s="1"/>
  <c r="M49" i="10"/>
  <c r="D49" i="10" s="1"/>
  <c r="M27" i="11"/>
  <c r="D27" i="11" s="1"/>
  <c r="M25" i="6"/>
  <c r="D25" i="6" s="1"/>
  <c r="M15" i="6"/>
  <c r="D15" i="6" s="1"/>
  <c r="M32" i="7"/>
  <c r="D32" i="7" s="1"/>
  <c r="M21" i="8"/>
  <c r="D21" i="8" s="1"/>
  <c r="M23" i="12"/>
  <c r="D23" i="12" s="1"/>
  <c r="M23" i="9"/>
  <c r="D23" i="9" s="1"/>
  <c r="M5" i="12"/>
  <c r="D5" i="12" s="1"/>
  <c r="M7" i="11"/>
  <c r="D7" i="11" s="1"/>
  <c r="M40" i="7"/>
  <c r="D40" i="7" s="1"/>
  <c r="M8" i="7"/>
  <c r="D8" i="7" s="1"/>
  <c r="M36" i="8"/>
  <c r="D36" i="8" s="1"/>
  <c r="M20" i="12"/>
  <c r="D20" i="12" s="1"/>
  <c r="M32" i="4"/>
  <c r="C32" i="4" s="1"/>
  <c r="M51" i="4"/>
  <c r="C51" i="4" s="1"/>
  <c r="M3" i="4"/>
  <c r="C3" i="4" s="1"/>
  <c r="M13" i="11"/>
  <c r="D13" i="11" s="1"/>
  <c r="M55" i="4"/>
  <c r="C55" i="4" s="1"/>
  <c r="M25" i="8"/>
  <c r="D25" i="8" s="1"/>
  <c r="M36" i="14"/>
  <c r="D36" i="14" s="1"/>
  <c r="M3" i="6"/>
  <c r="D3" i="6" s="1"/>
  <c r="M11" i="14"/>
  <c r="D11" i="14" s="1"/>
  <c r="M14" i="9"/>
  <c r="D14" i="9" s="1"/>
  <c r="M9" i="4"/>
  <c r="C9" i="4" s="1"/>
  <c r="M11" i="12"/>
  <c r="D11" i="12" s="1"/>
  <c r="M30" i="9"/>
  <c r="D30" i="9" s="1"/>
  <c r="M42" i="14"/>
  <c r="D42" i="14" s="1"/>
  <c r="M6" i="6"/>
  <c r="D6" i="6" s="1"/>
  <c r="M37" i="4"/>
  <c r="C37" i="4" s="1"/>
  <c r="M30" i="8"/>
  <c r="D30" i="8" s="1"/>
  <c r="M27" i="2"/>
  <c r="D27" i="2" s="1"/>
  <c r="M15" i="11"/>
  <c r="D15" i="11" s="1"/>
  <c r="M14" i="11"/>
  <c r="D14" i="11" s="1"/>
  <c r="M4" i="4"/>
  <c r="C4" i="4" s="1"/>
  <c r="M17" i="9"/>
  <c r="D17" i="9" s="1"/>
  <c r="M29" i="7"/>
  <c r="D29" i="7" s="1"/>
  <c r="M16" i="9"/>
  <c r="D16" i="9" s="1"/>
  <c r="M37" i="9"/>
  <c r="D37" i="9" s="1"/>
  <c r="M45" i="12"/>
  <c r="D45" i="12" s="1"/>
  <c r="M42" i="10"/>
  <c r="D42" i="10" s="1"/>
  <c r="M20" i="11"/>
  <c r="D20" i="11" s="1"/>
  <c r="M18" i="6"/>
  <c r="D18" i="6" s="1"/>
  <c r="M18" i="7"/>
  <c r="D18" i="7" s="1"/>
  <c r="M11" i="2"/>
  <c r="D11" i="2" s="1"/>
  <c r="M41" i="10"/>
  <c r="D41" i="10" s="1"/>
  <c r="M19" i="11"/>
  <c r="D19" i="11" s="1"/>
  <c r="M17" i="6"/>
  <c r="D17" i="6" s="1"/>
  <c r="M46" i="8"/>
  <c r="D46" i="8" s="1"/>
  <c r="M30" i="7"/>
  <c r="D30" i="7" s="1"/>
  <c r="M43" i="7"/>
  <c r="D43" i="7" s="1"/>
  <c r="M15" i="12"/>
  <c r="D15" i="12" s="1"/>
  <c r="M15" i="9"/>
  <c r="D15" i="9" s="1"/>
  <c r="M14" i="7"/>
  <c r="D14" i="7" s="1"/>
  <c r="M16" i="11"/>
  <c r="D16" i="11" s="1"/>
  <c r="M28" i="7"/>
  <c r="D28" i="7" s="1"/>
  <c r="M36" i="10"/>
  <c r="D36" i="10" s="1"/>
  <c r="M4" i="10"/>
  <c r="D4" i="10" s="1"/>
  <c r="M37" i="7"/>
  <c r="D37" i="7" s="1"/>
  <c r="M20" i="10"/>
  <c r="D20" i="10" s="1"/>
  <c r="M10" i="9"/>
  <c r="D10" i="9" s="1"/>
  <c r="M26" i="9"/>
  <c r="D26" i="9" s="1"/>
  <c r="M4" i="6"/>
  <c r="D4" i="6" s="1"/>
  <c r="M35" i="8"/>
  <c r="D35" i="8" s="1"/>
  <c r="M46" i="4"/>
  <c r="C46" i="4" s="1"/>
  <c r="M35" i="4"/>
  <c r="C35" i="4" s="1"/>
  <c r="M20" i="9"/>
  <c r="D20" i="9" s="1"/>
  <c r="M36" i="12"/>
  <c r="D36" i="12" s="1"/>
  <c r="M34" i="8"/>
  <c r="D34" i="8" s="1"/>
  <c r="M39" i="4"/>
  <c r="C39" i="4" s="1"/>
  <c r="M19" i="14"/>
  <c r="D19" i="14" s="1"/>
  <c r="M24" i="4"/>
  <c r="C24" i="4" s="1"/>
  <c r="M23" i="7"/>
  <c r="D23" i="7" s="1"/>
  <c r="M20" i="6"/>
  <c r="D20" i="6" s="1"/>
  <c r="M34" i="10"/>
  <c r="D34" i="10" s="1"/>
  <c r="M12" i="11"/>
  <c r="D12" i="11" s="1"/>
  <c r="M10" i="6"/>
  <c r="D10" i="6" s="1"/>
  <c r="M39" i="10"/>
  <c r="D39" i="10" s="1"/>
  <c r="M14" i="6"/>
  <c r="D14" i="6" s="1"/>
  <c r="M33" i="10"/>
  <c r="D33" i="10" s="1"/>
  <c r="M11" i="11"/>
  <c r="D11" i="11" s="1"/>
  <c r="M9" i="6"/>
  <c r="D9" i="6" s="1"/>
  <c r="M22" i="8"/>
  <c r="D22" i="8" s="1"/>
  <c r="M31" i="10"/>
  <c r="D31" i="10" s="1"/>
  <c r="M56" i="10"/>
  <c r="D56" i="10" s="1"/>
  <c r="M7" i="12"/>
  <c r="D7" i="12" s="1"/>
  <c r="M7" i="9"/>
  <c r="D7" i="9" s="1"/>
  <c r="M55" i="10"/>
  <c r="D55" i="10" s="1"/>
  <c r="M8" i="11"/>
  <c r="D8" i="11" s="1"/>
  <c r="M12" i="7"/>
  <c r="D12" i="7" s="1"/>
  <c r="M12" i="10"/>
  <c r="D12" i="10" s="1"/>
  <c r="M32" i="14"/>
  <c r="D32" i="14" s="1"/>
  <c r="M36" i="7"/>
  <c r="D36" i="7" s="1"/>
  <c r="M52" i="12"/>
  <c r="D52" i="12" s="1"/>
  <c r="M16" i="14"/>
  <c r="D16" i="14" s="1"/>
  <c r="M21" i="7"/>
  <c r="D21" i="7" s="1"/>
  <c r="M56" i="4"/>
  <c r="C56" i="4" s="1"/>
  <c r="M15" i="10"/>
  <c r="D15" i="10" s="1"/>
  <c r="M25" i="2"/>
  <c r="D25" i="2" s="1"/>
  <c r="M52" i="10"/>
  <c r="D52" i="10" s="1"/>
  <c r="M21" i="4"/>
  <c r="C21" i="4" s="1"/>
  <c r="M4" i="2"/>
  <c r="D4" i="2" s="1"/>
  <c r="M8" i="6"/>
  <c r="D8" i="6" s="1"/>
  <c r="M7" i="10"/>
  <c r="D7" i="10" s="1"/>
  <c r="M43" i="12"/>
  <c r="D43" i="12" s="1"/>
  <c r="M52" i="9"/>
  <c r="D52" i="9" s="1"/>
  <c r="M8" i="4"/>
  <c r="C8" i="4" s="1"/>
  <c r="M46" i="12"/>
  <c r="D46" i="12" s="1"/>
  <c r="M13" i="7"/>
  <c r="D13" i="7" s="1"/>
  <c r="M22" i="2"/>
  <c r="D22" i="2" s="1"/>
  <c r="M22" i="10"/>
  <c r="D22" i="10" s="1"/>
  <c r="M34" i="12"/>
  <c r="D34" i="12" s="1"/>
  <c r="M14" i="14"/>
  <c r="D14" i="14" s="1"/>
  <c r="M30" i="12"/>
  <c r="D30" i="12" s="1"/>
  <c r="M13" i="14"/>
  <c r="D13" i="14" s="1"/>
  <c r="M27" i="14"/>
  <c r="D27" i="14" s="1"/>
  <c r="M19" i="12"/>
  <c r="D19" i="12" s="1"/>
  <c r="M53" i="10"/>
  <c r="D53" i="10" s="1"/>
  <c r="M5" i="14"/>
  <c r="D5" i="14" s="1"/>
  <c r="M24" i="7"/>
  <c r="D24" i="7" s="1"/>
  <c r="M49" i="9"/>
  <c r="D49" i="9" s="1"/>
  <c r="M18" i="8"/>
  <c r="D18" i="8" s="1"/>
  <c r="M50" i="8"/>
  <c r="D50" i="8" s="1"/>
  <c r="M3" i="9"/>
  <c r="D3" i="9" s="1"/>
  <c r="M33" i="12"/>
  <c r="D33" i="12" s="1"/>
  <c r="M17" i="7"/>
  <c r="D17" i="7" s="1"/>
  <c r="M7" i="8"/>
  <c r="D7" i="8" s="1"/>
  <c r="M3" i="7"/>
  <c r="D3" i="7" s="1"/>
  <c r="M45" i="9"/>
  <c r="D45" i="9" s="1"/>
  <c r="M47" i="12"/>
  <c r="D47" i="12" s="1"/>
  <c r="M29" i="8"/>
  <c r="D29" i="8" s="1"/>
  <c r="M39" i="9"/>
  <c r="D39" i="9" s="1"/>
  <c r="M4" i="7"/>
  <c r="D4" i="7" s="1"/>
  <c r="M4" i="9"/>
  <c r="D4" i="9" s="1"/>
  <c r="M10" i="2"/>
  <c r="D10" i="2" s="1"/>
  <c r="M26" i="10"/>
  <c r="D26" i="10" s="1"/>
  <c r="M4" i="11"/>
  <c r="D4" i="11" s="1"/>
  <c r="M57" i="8"/>
  <c r="D57" i="8" s="1"/>
  <c r="M20" i="2"/>
  <c r="D20" i="2" s="1"/>
  <c r="M37" i="8"/>
  <c r="D37" i="8" s="1"/>
  <c r="M25" i="10"/>
  <c r="D25" i="10" s="1"/>
  <c r="M3" i="11"/>
  <c r="D3" i="11" s="1"/>
  <c r="M55" i="8"/>
  <c r="D55" i="8" s="1"/>
  <c r="M14" i="8"/>
  <c r="D14" i="8" s="1"/>
  <c r="M22" i="12"/>
  <c r="D22" i="12" s="1"/>
  <c r="M48" i="10"/>
  <c r="D48" i="10" s="1"/>
  <c r="M26" i="11"/>
  <c r="D26" i="11" s="1"/>
  <c r="M24" i="6"/>
  <c r="D24" i="6" s="1"/>
  <c r="M23" i="10"/>
  <c r="D23" i="10" s="1"/>
  <c r="M50" i="14"/>
  <c r="D50" i="14" s="1"/>
  <c r="M45" i="10"/>
  <c r="D45" i="10" s="1"/>
  <c r="M35" i="10"/>
  <c r="D35" i="10" s="1"/>
  <c r="M3" i="10"/>
  <c r="D3" i="10" s="1"/>
  <c r="M29" i="10"/>
  <c r="D29" i="10" s="1"/>
  <c r="M18" i="12"/>
  <c r="D18" i="12" s="1"/>
  <c r="M43" i="10"/>
  <c r="D43" i="10" s="1"/>
  <c r="M29" i="11"/>
  <c r="D29" i="11" s="1"/>
  <c r="M27" i="10"/>
  <c r="D27" i="10" s="1"/>
  <c r="M11" i="6"/>
  <c r="D11" i="6" s="1"/>
  <c r="M11" i="8"/>
  <c r="D11" i="8" s="1"/>
  <c r="M40" i="4"/>
  <c r="C40" i="4" s="1"/>
  <c r="M16" i="6"/>
  <c r="D16" i="6" s="1"/>
  <c r="M41" i="8"/>
  <c r="D41" i="8" s="1"/>
  <c r="M42" i="8"/>
  <c r="D42" i="8" s="1"/>
  <c r="M28" i="12"/>
  <c r="D28" i="12" s="1"/>
  <c r="M12" i="12"/>
  <c r="D12" i="12" s="1"/>
  <c r="M13" i="10"/>
  <c r="D13" i="10" s="1"/>
  <c r="M33" i="8"/>
  <c r="D33" i="8" s="1"/>
  <c r="M32" i="8"/>
  <c r="D32" i="8" s="1"/>
  <c r="M52" i="14"/>
  <c r="D52" i="14" s="1"/>
  <c r="M18" i="14"/>
  <c r="D18" i="14" s="1"/>
  <c r="M34" i="9"/>
  <c r="D34" i="9" s="1"/>
  <c r="M21" i="11"/>
  <c r="D21" i="11" s="1"/>
  <c r="M50" i="12"/>
  <c r="D50" i="12" s="1"/>
  <c r="M49" i="4"/>
  <c r="C49" i="4" s="1"/>
  <c r="M22" i="14"/>
  <c r="D22" i="14" s="1"/>
  <c r="M21" i="14"/>
  <c r="D21" i="14" s="1"/>
  <c r="M3" i="14"/>
  <c r="D3" i="14" s="1"/>
  <c r="M16" i="10"/>
  <c r="D16" i="10" s="1"/>
  <c r="M47" i="8"/>
  <c r="D47" i="8" s="1"/>
  <c r="M53" i="9"/>
  <c r="D53" i="9" s="1"/>
  <c r="M16" i="2"/>
  <c r="D16" i="2" s="1"/>
  <c r="M41" i="7"/>
  <c r="D41" i="7" s="1"/>
  <c r="M31" i="14"/>
  <c r="D31" i="14" s="1"/>
  <c r="M24" i="14"/>
  <c r="D24" i="14" s="1"/>
  <c r="M3" i="12"/>
  <c r="D3" i="12" s="1"/>
  <c r="M31" i="4"/>
  <c r="C31" i="4" s="1"/>
  <c r="M14" i="4"/>
  <c r="C14" i="4" s="1"/>
  <c r="M15" i="2"/>
  <c r="D15" i="2" s="1"/>
  <c r="M14" i="2"/>
  <c r="D14" i="2" s="1"/>
  <c r="M46" i="9"/>
  <c r="D46" i="9" s="1"/>
  <c r="M43" i="9"/>
  <c r="D43" i="9" s="1"/>
  <c r="M28" i="9"/>
  <c r="D28" i="9" s="1"/>
  <c r="M41" i="4"/>
  <c r="C41" i="4" s="1"/>
  <c r="M7" i="4"/>
  <c r="C7" i="4" s="1"/>
  <c r="M30" i="4"/>
  <c r="C30" i="4" s="1"/>
  <c r="M13" i="4"/>
  <c r="C13" i="4" s="1"/>
  <c r="M7" i="2"/>
  <c r="D7" i="2" s="1"/>
  <c r="M8" i="8"/>
  <c r="D8" i="8" s="1"/>
  <c r="M28" i="14"/>
  <c r="D28" i="14" s="1"/>
  <c r="M21" i="9"/>
  <c r="D21" i="9" s="1"/>
  <c r="M49" i="14"/>
  <c r="D49" i="14" s="1"/>
  <c r="M19" i="6"/>
  <c r="D19" i="6" s="1"/>
  <c r="M50" i="9"/>
  <c r="D50" i="9" s="1"/>
  <c r="M38" i="4"/>
  <c r="C38" i="4" s="1"/>
  <c r="M29" i="12"/>
  <c r="D29" i="12" s="1"/>
  <c r="M7" i="6"/>
  <c r="D7" i="6" s="1"/>
  <c r="M13" i="9"/>
  <c r="D13" i="9" s="1"/>
  <c r="M7" i="14"/>
  <c r="D7" i="14" s="1"/>
  <c r="M6" i="4"/>
  <c r="C6" i="4" s="1"/>
  <c r="M10" i="4"/>
  <c r="C10" i="4" s="1"/>
  <c r="M41" i="12"/>
  <c r="D41" i="12" s="1"/>
  <c r="M6" i="9"/>
  <c r="D6" i="9" s="1"/>
  <c r="M40" i="9"/>
  <c r="D40" i="9" s="1"/>
  <c r="M3" i="2"/>
  <c r="D3" i="2" s="1"/>
  <c r="M5" i="9"/>
  <c r="D5" i="9" s="1"/>
  <c r="M3" i="8"/>
  <c r="D3" i="8" s="1"/>
  <c r="M4" i="12"/>
  <c r="D4" i="12" s="1"/>
  <c r="M19" i="4"/>
  <c r="C19" i="4" s="1"/>
  <c r="M11" i="4"/>
  <c r="C11" i="4" s="1"/>
  <c r="M16" i="4"/>
  <c r="C16" i="4" s="1"/>
  <c r="M33" i="9"/>
  <c r="D33" i="9" s="1"/>
  <c r="M32" i="9"/>
  <c r="D32" i="9" s="1"/>
  <c r="M24" i="11"/>
  <c r="D24" i="11" s="1"/>
  <c r="M30" i="10"/>
  <c r="D30" i="10" s="1"/>
  <c r="M28" i="8"/>
  <c r="D28" i="8" s="1"/>
  <c r="M46" i="10"/>
  <c r="D46" i="10" s="1"/>
  <c r="M47" i="9"/>
  <c r="D47" i="9" s="1"/>
  <c r="M36" i="9"/>
  <c r="D36" i="9" s="1"/>
  <c r="M10" i="12"/>
  <c r="D10" i="12" s="1"/>
  <c r="M51" i="9"/>
  <c r="D51" i="9" s="1"/>
  <c r="M28" i="10"/>
  <c r="D28" i="10" s="1"/>
  <c r="M18" i="4"/>
  <c r="C18" i="4" s="1"/>
  <c r="M27" i="4"/>
  <c r="C27" i="4" s="1"/>
  <c r="M17" i="12"/>
  <c r="D17" i="12" s="1"/>
  <c r="M16" i="12"/>
  <c r="D16" i="12" s="1"/>
  <c r="M38" i="12"/>
  <c r="D38" i="12" s="1"/>
  <c r="M39" i="12"/>
  <c r="D39" i="12" s="1"/>
  <c r="M13" i="8"/>
  <c r="D13" i="8" s="1"/>
  <c r="M40" i="14"/>
  <c r="D40" i="14" s="1"/>
  <c r="M43" i="8"/>
  <c r="D43" i="8" s="1"/>
  <c r="M22" i="4"/>
  <c r="C22" i="4" s="1"/>
  <c r="M18" i="10"/>
  <c r="D18" i="10" s="1"/>
  <c r="M46" i="14"/>
  <c r="D46" i="14" s="1"/>
  <c r="M49" i="8"/>
  <c r="D49" i="8" s="1"/>
  <c r="M12" i="2"/>
  <c r="D12" i="2" s="1"/>
  <c r="M5" i="8"/>
  <c r="D5" i="8" s="1"/>
  <c r="M17" i="10"/>
  <c r="D17" i="10" s="1"/>
  <c r="M45" i="14"/>
  <c r="D45" i="14" s="1"/>
  <c r="M48" i="8"/>
  <c r="D48" i="8" s="1"/>
  <c r="M6" i="8"/>
  <c r="D6" i="8" s="1"/>
  <c r="M17" i="11"/>
  <c r="D17" i="11" s="1"/>
  <c r="M18" i="11"/>
  <c r="D18" i="11" s="1"/>
  <c r="M34" i="14"/>
  <c r="D34" i="14" s="1"/>
  <c r="M11" i="10"/>
  <c r="D11" i="10" s="1"/>
  <c r="M10" i="8"/>
  <c r="D10" i="8" s="1"/>
  <c r="M51" i="10"/>
  <c r="D51" i="10" s="1"/>
  <c r="M48" i="14"/>
  <c r="D48" i="14" s="1"/>
  <c r="M9" i="2"/>
  <c r="D9" i="2" s="1"/>
  <c r="M38" i="14"/>
  <c r="D38" i="14" s="1"/>
  <c r="M27" i="7"/>
  <c r="D27" i="7" s="1"/>
  <c r="M40" i="8"/>
  <c r="D40" i="8" s="1"/>
  <c r="M32" i="10"/>
  <c r="D32" i="10" s="1"/>
  <c r="M26" i="14"/>
  <c r="D26" i="14" s="1"/>
  <c r="M15" i="4"/>
  <c r="C15" i="4" s="1"/>
  <c r="M30" i="2"/>
  <c r="D30" i="2" s="1"/>
  <c r="M28" i="2"/>
  <c r="D28" i="2" s="1"/>
  <c r="M21" i="10"/>
  <c r="D21" i="10" s="1"/>
  <c r="M5" i="11"/>
  <c r="D5" i="11" s="1"/>
  <c r="M6" i="12"/>
  <c r="D6" i="12" s="1"/>
  <c r="M6" i="7"/>
  <c r="D6" i="7" s="1"/>
  <c r="M17" i="8"/>
  <c r="D17" i="8" s="1"/>
  <c r="M19" i="2"/>
  <c r="D19" i="2" s="1"/>
  <c r="M8" i="10"/>
  <c r="D8" i="10" s="1"/>
  <c r="M39" i="8"/>
  <c r="D39" i="8" s="1"/>
  <c r="M29" i="9"/>
  <c r="D29" i="9" s="1"/>
  <c r="M13" i="6"/>
  <c r="D13" i="6" s="1"/>
  <c r="M33" i="14"/>
  <c r="D33" i="14" s="1"/>
  <c r="M6" i="14"/>
  <c r="D6" i="14" s="1"/>
  <c r="M14" i="12"/>
  <c r="D14" i="12" s="1"/>
  <c r="M37" i="12"/>
  <c r="D37" i="12" s="1"/>
  <c r="M29" i="2"/>
  <c r="D29" i="2" s="1"/>
  <c r="M26" i="2"/>
  <c r="D26" i="2" s="1"/>
  <c r="M19" i="10"/>
  <c r="D19" i="10" s="1"/>
  <c r="M25" i="4"/>
  <c r="C25" i="4" s="1"/>
  <c r="M45" i="4"/>
  <c r="C45" i="4" s="1"/>
  <c r="M49" i="12"/>
  <c r="D49" i="12" s="1"/>
  <c r="M38" i="9"/>
  <c r="D38" i="9" s="1"/>
  <c r="M48" i="12"/>
  <c r="D48" i="12" s="1"/>
  <c r="M48" i="9"/>
  <c r="D48" i="9" s="1"/>
  <c r="M14" i="10"/>
  <c r="D14" i="10" s="1"/>
  <c r="M20" i="14"/>
  <c r="D20" i="14" s="1"/>
  <c r="M15" i="14"/>
  <c r="D15" i="14" s="1"/>
  <c r="M42" i="12"/>
  <c r="D42" i="12" s="1"/>
  <c r="M9" i="14"/>
  <c r="D9" i="14" s="1"/>
  <c r="M44" i="8"/>
  <c r="D44" i="8" s="1"/>
  <c r="M41" i="9"/>
  <c r="D41" i="9" s="1"/>
  <c r="M40" i="12"/>
  <c r="D40" i="12" s="1"/>
  <c r="M13" i="12"/>
  <c r="D13" i="12" s="1"/>
  <c r="M12" i="14"/>
  <c r="D12" i="14" s="1"/>
  <c r="M38" i="8"/>
  <c r="D38" i="8" s="1"/>
  <c r="M39" i="7"/>
  <c r="D39" i="7" s="1"/>
  <c r="M32" i="12"/>
  <c r="D32" i="12" s="1"/>
  <c r="M4" i="14"/>
  <c r="D4" i="14" s="1"/>
  <c r="M47" i="14"/>
  <c r="D47" i="14" s="1"/>
  <c r="M34" i="4"/>
  <c r="C34" i="4" s="1"/>
  <c r="M54" i="4"/>
  <c r="C54" i="4" s="1"/>
  <c r="M12" i="4"/>
  <c r="C12" i="4" s="1"/>
  <c r="M25" i="12"/>
  <c r="D25" i="12" s="1"/>
  <c r="M24" i="9"/>
  <c r="D24" i="9" s="1"/>
  <c r="M47" i="7"/>
  <c r="D47" i="7" s="1"/>
  <c r="M45" i="8"/>
  <c r="D45" i="8" s="1"/>
  <c r="M42" i="9"/>
  <c r="D42" i="9" s="1"/>
  <c r="M25" i="7"/>
  <c r="D25" i="7" s="1"/>
  <c r="M23" i="4"/>
  <c r="C23" i="4" s="1"/>
  <c r="M56" i="8"/>
  <c r="D56" i="8" s="1"/>
  <c r="M54" i="8"/>
  <c r="D54" i="8" s="1"/>
  <c r="M31" i="7"/>
  <c r="D31" i="7" s="1"/>
  <c r="M35" i="9"/>
  <c r="D35" i="9" s="1"/>
  <c r="M33" i="4"/>
  <c r="C33" i="4" s="1"/>
  <c r="M31" i="2"/>
  <c r="D31" i="2" s="1"/>
  <c r="M30" i="14"/>
  <c r="D30" i="14" s="1"/>
  <c r="M46" i="7"/>
  <c r="D46" i="7" s="1"/>
  <c r="M24" i="10"/>
  <c r="D24" i="10" s="1"/>
  <c r="M20" i="7"/>
  <c r="D20" i="7" s="1"/>
  <c r="M19" i="8"/>
  <c r="D19" i="8" s="1"/>
  <c r="M44" i="10"/>
  <c r="D44" i="10" s="1"/>
  <c r="M12" i="8"/>
  <c r="D12" i="8" s="1"/>
  <c r="M23" i="6"/>
  <c r="D23" i="6" s="1"/>
  <c r="M5" i="2"/>
  <c r="D5" i="2" s="1"/>
  <c r="D13" i="15"/>
  <c r="D14" i="1"/>
  <c r="D9" i="15"/>
  <c r="D10" i="15"/>
  <c r="E10" i="15" s="1"/>
  <c r="D11" i="15" l="1"/>
  <c r="D12" i="15"/>
  <c r="D15" i="15" s="1"/>
</calcChain>
</file>

<file path=xl/sharedStrings.xml><?xml version="1.0" encoding="utf-8"?>
<sst xmlns="http://schemas.openxmlformats.org/spreadsheetml/2006/main" count="1087" uniqueCount="773">
  <si>
    <t>psf</t>
  </si>
  <si>
    <t>Wind Exposure =</t>
  </si>
  <si>
    <t>C</t>
  </si>
  <si>
    <t>Risk Category =</t>
  </si>
  <si>
    <t>Eave to Ridge Distance =</t>
  </si>
  <si>
    <t>ft</t>
  </si>
  <si>
    <t>Rain-on-Snow Surcharge Load =</t>
  </si>
  <si>
    <t>Roof Snow Load =</t>
  </si>
  <si>
    <t>Ground Snow Load =</t>
  </si>
  <si>
    <t>ROOF SNOW LOAD TO GROUND LOAD CONVERSION</t>
  </si>
  <si>
    <t>Building Length:</t>
  </si>
  <si>
    <r>
      <t>Exposure (C</t>
    </r>
    <r>
      <rPr>
        <sz val="8"/>
        <rFont val="Arial"/>
        <family val="2"/>
      </rPr>
      <t>e</t>
    </r>
    <r>
      <rPr>
        <sz val="10"/>
        <rFont val="Arial"/>
        <family val="2"/>
      </rPr>
      <t>) =</t>
    </r>
  </si>
  <si>
    <r>
      <t>Thermal Factor (C</t>
    </r>
    <r>
      <rPr>
        <sz val="8"/>
        <rFont val="Arial"/>
        <family val="2"/>
      </rPr>
      <t>t</t>
    </r>
    <r>
      <rPr>
        <sz val="10"/>
        <rFont val="Arial"/>
        <family val="2"/>
      </rPr>
      <t>)  =</t>
    </r>
  </si>
  <si>
    <r>
      <t>Roof Snow Load (P</t>
    </r>
    <r>
      <rPr>
        <sz val="8"/>
        <rFont val="Arial"/>
        <family val="2"/>
      </rPr>
      <t>f</t>
    </r>
    <r>
      <rPr>
        <sz val="10"/>
        <rFont val="Arial"/>
        <family val="2"/>
      </rPr>
      <t>) =</t>
    </r>
  </si>
  <si>
    <r>
      <t>Min. Roof Snow Load (P</t>
    </r>
    <r>
      <rPr>
        <sz val="8"/>
        <rFont val="Arial"/>
        <family val="2"/>
      </rPr>
      <t>m</t>
    </r>
    <r>
      <rPr>
        <sz val="10"/>
        <rFont val="Arial"/>
        <family val="2"/>
      </rPr>
      <t>) =</t>
    </r>
  </si>
  <si>
    <t>Roof Slope:</t>
  </si>
  <si>
    <t>Building Width:</t>
  </si>
  <si>
    <t>UTAH GROUND SNOW LOAD REQUIREMENTS</t>
  </si>
  <si>
    <t>CITY / TOWN:</t>
  </si>
  <si>
    <t>COUNTY:</t>
  </si>
  <si>
    <t>ELEVATION:</t>
  </si>
  <si>
    <t>GROUND SNOW LOAD REQUIREMENT (lb/ft2):</t>
  </si>
  <si>
    <t>Beaver</t>
  </si>
  <si>
    <t>Brigham City</t>
  </si>
  <si>
    <t>Castel Dale</t>
  </si>
  <si>
    <t>Coalville</t>
  </si>
  <si>
    <t>Duchensne</t>
  </si>
  <si>
    <t>Farmington</t>
  </si>
  <si>
    <t>Fillmore</t>
  </si>
  <si>
    <t>Heber City</t>
  </si>
  <si>
    <t>Junction</t>
  </si>
  <si>
    <t>Kanab</t>
  </si>
  <si>
    <t>Loa</t>
  </si>
  <si>
    <t>Logan</t>
  </si>
  <si>
    <t>Manila</t>
  </si>
  <si>
    <t>Manti</t>
  </si>
  <si>
    <t>Moab</t>
  </si>
  <si>
    <t>Monticello</t>
  </si>
  <si>
    <t>Morgan</t>
  </si>
  <si>
    <t>Nephi</t>
  </si>
  <si>
    <t>Ogden</t>
  </si>
  <si>
    <t>Panguitch</t>
  </si>
  <si>
    <t>Parowan</t>
  </si>
  <si>
    <t>Price</t>
  </si>
  <si>
    <t>Provo</t>
  </si>
  <si>
    <t>Randolph</t>
  </si>
  <si>
    <t>Richfield</t>
  </si>
  <si>
    <t>St. George</t>
  </si>
  <si>
    <t>Salt Lake City</t>
  </si>
  <si>
    <t>Tooele</t>
  </si>
  <si>
    <t>Vernal</t>
  </si>
  <si>
    <t>Box Elder</t>
  </si>
  <si>
    <t>Emery</t>
  </si>
  <si>
    <t>Summit</t>
  </si>
  <si>
    <t>Duchesne</t>
  </si>
  <si>
    <t>Davis</t>
  </si>
  <si>
    <t>Millard</t>
  </si>
  <si>
    <t>Wasatch</t>
  </si>
  <si>
    <t>Piute</t>
  </si>
  <si>
    <t>Kane</t>
  </si>
  <si>
    <t>Wayne</t>
  </si>
  <si>
    <t>Cache</t>
  </si>
  <si>
    <t>Daggett</t>
  </si>
  <si>
    <t>Sanpete</t>
  </si>
  <si>
    <t>Grand</t>
  </si>
  <si>
    <t>San Juan</t>
  </si>
  <si>
    <t>Juab</t>
  </si>
  <si>
    <t>Weber</t>
  </si>
  <si>
    <t>Garfield</t>
  </si>
  <si>
    <t>Iron</t>
  </si>
  <si>
    <t>Carbon</t>
  </si>
  <si>
    <t>Utah</t>
  </si>
  <si>
    <t>Rich</t>
  </si>
  <si>
    <t>Sevier</t>
  </si>
  <si>
    <t>Washington</t>
  </si>
  <si>
    <t>Salt Lake</t>
  </si>
  <si>
    <t>Unintah</t>
  </si>
  <si>
    <t xml:space="preserve"> MIN. ROOF SNOW LOAD (lb/ft2):</t>
  </si>
  <si>
    <t>ASCE Year:</t>
  </si>
  <si>
    <t>ASCE 7-10</t>
  </si>
  <si>
    <t>ASCE 7-22</t>
  </si>
  <si>
    <t>ASCE 7-16</t>
  </si>
  <si>
    <t>Ventilate Roof?:</t>
  </si>
  <si>
    <t>ASCE 7-10:</t>
  </si>
  <si>
    <t>ASCE 7-16:</t>
  </si>
  <si>
    <t>2018, 2021 IBC</t>
  </si>
  <si>
    <t>2012, 2015 IBC</t>
  </si>
  <si>
    <t>ASCE 7-22:</t>
  </si>
  <si>
    <t>2024 IBC, FL, VA</t>
  </si>
  <si>
    <t>*Enter information on Snow Load Conversion Tab</t>
  </si>
  <si>
    <t>Barter</t>
  </si>
  <si>
    <t>Bethel</t>
  </si>
  <si>
    <t>Cold Bay</t>
  </si>
  <si>
    <t>Cordova</t>
  </si>
  <si>
    <t>Fort Yukon</t>
  </si>
  <si>
    <t>Galena</t>
  </si>
  <si>
    <t>Gulkana</t>
  </si>
  <si>
    <t>Homer</t>
  </si>
  <si>
    <t>Juneau</t>
  </si>
  <si>
    <t>Kodiak</t>
  </si>
  <si>
    <t>Kotzebue</t>
  </si>
  <si>
    <t>McGrath</t>
  </si>
  <si>
    <t>Nenana</t>
  </si>
  <si>
    <t>Nome</t>
  </si>
  <si>
    <t>Pertersburg</t>
  </si>
  <si>
    <t>Shemya</t>
  </si>
  <si>
    <t>Sitka</t>
  </si>
  <si>
    <t>Talkeetna</t>
  </si>
  <si>
    <t>Unalakleet</t>
  </si>
  <si>
    <t>Whittier</t>
  </si>
  <si>
    <t>Wrangell</t>
  </si>
  <si>
    <t>Yakutat</t>
  </si>
  <si>
    <t>ALASKA GROUND SNOW LOAD REQUIREMENTS</t>
  </si>
  <si>
    <t>Roof Insulation Value (R):</t>
  </si>
  <si>
    <r>
      <rPr>
        <sz val="10"/>
        <rFont val="Arial"/>
        <family val="2"/>
      </rPr>
      <t xml:space="preserve">Enter Roof Slope </t>
    </r>
    <r>
      <rPr>
        <sz val="10"/>
        <color rgb="FFFF0000"/>
        <rFont val="Arial"/>
        <family val="2"/>
      </rPr>
      <t xml:space="preserve">(decimals) </t>
    </r>
    <r>
      <rPr>
        <sz val="10"/>
        <rFont val="Arial"/>
        <family val="2"/>
      </rPr>
      <t>=</t>
    </r>
  </si>
  <si>
    <t>Roof Slope (Degrees) =</t>
  </si>
  <si>
    <t>Adak</t>
  </si>
  <si>
    <t>Anchorage/Eagle River</t>
  </si>
  <si>
    <t>Cantwell</t>
  </si>
  <si>
    <t>Deadhorse</t>
  </si>
  <si>
    <t>Barrow (Utqiagvik)</t>
  </si>
  <si>
    <t>Delta Junction</t>
  </si>
  <si>
    <t>Dillingham</t>
  </si>
  <si>
    <t>Emmonak</t>
  </si>
  <si>
    <t>Fairbanks</t>
  </si>
  <si>
    <t>Girdwood</t>
  </si>
  <si>
    <t>Glennallen</t>
  </si>
  <si>
    <t>Haines</t>
  </si>
  <si>
    <t>Holy Cross</t>
  </si>
  <si>
    <t>Iliamna</t>
  </si>
  <si>
    <t>Kenai/Soldotna</t>
  </si>
  <si>
    <t>Kaktovik</t>
  </si>
  <si>
    <t>Ketchikan</t>
  </si>
  <si>
    <t>Kobuk</t>
  </si>
  <si>
    <t>Nikiski</t>
  </si>
  <si>
    <t>Palmer/Wasilla</t>
  </si>
  <si>
    <t>Point Hope</t>
  </si>
  <si>
    <t>Saint Lawrence Island</t>
  </si>
  <si>
    <t>Seward</t>
  </si>
  <si>
    <t>Tok</t>
  </si>
  <si>
    <t>Umiat</t>
  </si>
  <si>
    <t>Unalska</t>
  </si>
  <si>
    <t>Valdez</t>
  </si>
  <si>
    <t>Wainwright</t>
  </si>
  <si>
    <t>Willow</t>
  </si>
  <si>
    <t>&lt;--Enter Elevation (Base: 500 feet)</t>
  </si>
  <si>
    <t xml:space="preserve">Allegany </t>
  </si>
  <si>
    <t>Anne Arundel</t>
  </si>
  <si>
    <t>Baltimore County</t>
  </si>
  <si>
    <t>Baltimore City</t>
  </si>
  <si>
    <t>Calvert</t>
  </si>
  <si>
    <t>Caroline</t>
  </si>
  <si>
    <t>Carrol</t>
  </si>
  <si>
    <t>Cecil</t>
  </si>
  <si>
    <t>Charles</t>
  </si>
  <si>
    <t>Dorchester</t>
  </si>
  <si>
    <t>Fredrick</t>
  </si>
  <si>
    <t>Garrett</t>
  </si>
  <si>
    <t>Harford</t>
  </si>
  <si>
    <t>Howard</t>
  </si>
  <si>
    <t>Kent</t>
  </si>
  <si>
    <t>Montgomery</t>
  </si>
  <si>
    <t>Prince George's</t>
  </si>
  <si>
    <t>Queen Anne's</t>
  </si>
  <si>
    <t>Saint Mary's</t>
  </si>
  <si>
    <t>Somerset</t>
  </si>
  <si>
    <t>Talbot</t>
  </si>
  <si>
    <t>Wicomico</t>
  </si>
  <si>
    <t>Worcester</t>
  </si>
  <si>
    <t>Ocean City</t>
  </si>
  <si>
    <t>WIND SPEED (V) (MPH)</t>
  </si>
  <si>
    <t>*30 GSL for Residential</t>
  </si>
  <si>
    <t>*20 GSL for Residential</t>
  </si>
  <si>
    <t>MARYLAND GROUND SNOW LOAD REQUIREMENTS</t>
  </si>
  <si>
    <t>*Min. 40 psf if pitch is greater than 1/4:12</t>
  </si>
  <si>
    <t>*Min. 25 psf</t>
  </si>
  <si>
    <t>COLORADO GROUND SNOW LOAD REQUIREMENTS</t>
  </si>
  <si>
    <t>Alamosa</t>
  </si>
  <si>
    <t>Aspen</t>
  </si>
  <si>
    <t>Aurora</t>
  </si>
  <si>
    <t>Beaver Creek</t>
  </si>
  <si>
    <t>Bellvue</t>
  </si>
  <si>
    <t>Boulder</t>
  </si>
  <si>
    <t>Breckenridge</t>
  </si>
  <si>
    <t>Brighton</t>
  </si>
  <si>
    <t>Canon City</t>
  </si>
  <si>
    <t>Cascade</t>
  </si>
  <si>
    <t>Central City</t>
  </si>
  <si>
    <t>Las Animas</t>
  </si>
  <si>
    <t>El Paso</t>
  </si>
  <si>
    <t>Park</t>
  </si>
  <si>
    <t>Jefferson</t>
  </si>
  <si>
    <t>Pitkin</t>
  </si>
  <si>
    <t>Adams</t>
  </si>
  <si>
    <t>Eagle</t>
  </si>
  <si>
    <t>Mesa</t>
  </si>
  <si>
    <t>La Plata</t>
  </si>
  <si>
    <t>Larimer</t>
  </si>
  <si>
    <t>Pueblo</t>
  </si>
  <si>
    <t>Gilpin</t>
  </si>
  <si>
    <t>Chaffee</t>
  </si>
  <si>
    <t>Fremont</t>
  </si>
  <si>
    <t>Douglas</t>
  </si>
  <si>
    <t>Delta</t>
  </si>
  <si>
    <t>Arapahoe</t>
  </si>
  <si>
    <t>Cortez</t>
  </si>
  <si>
    <t>Craig</t>
  </si>
  <si>
    <t>Creede</t>
  </si>
  <si>
    <t>Cripple Creek</t>
  </si>
  <si>
    <t>Denver</t>
  </si>
  <si>
    <t>Dillon</t>
  </si>
  <si>
    <t>Durango</t>
  </si>
  <si>
    <t>Estes Park</t>
  </si>
  <si>
    <t>Fairplay</t>
  </si>
  <si>
    <t>Fort Collins</t>
  </si>
  <si>
    <t>Montezuma</t>
  </si>
  <si>
    <t>Moffat</t>
  </si>
  <si>
    <t>Mineral</t>
  </si>
  <si>
    <t>Gunnison</t>
  </si>
  <si>
    <t>Teller</t>
  </si>
  <si>
    <t>Clear Creek</t>
  </si>
  <si>
    <t>Georgetown</t>
  </si>
  <si>
    <t>Glenwood Springs</t>
  </si>
  <si>
    <t>Grand Junction</t>
  </si>
  <si>
    <t>Greeley</t>
  </si>
  <si>
    <t>Hayden</t>
  </si>
  <si>
    <t>Lakewood</t>
  </si>
  <si>
    <t>Leadville</t>
  </si>
  <si>
    <t>Longmont</t>
  </si>
  <si>
    <t>Weld</t>
  </si>
  <si>
    <t>Routt</t>
  </si>
  <si>
    <t>Lake</t>
  </si>
  <si>
    <t>Meeker</t>
  </si>
  <si>
    <t>Montrose</t>
  </si>
  <si>
    <t>Pagosa Springs</t>
  </si>
  <si>
    <t>Paonia</t>
  </si>
  <si>
    <t>Rifle</t>
  </si>
  <si>
    <t>Salida</t>
  </si>
  <si>
    <t>Rio Blanco</t>
  </si>
  <si>
    <t>San Miguel</t>
  </si>
  <si>
    <t>Archuleta</t>
  </si>
  <si>
    <t>Snowmass Village</t>
  </si>
  <si>
    <t>Steamboat Springs</t>
  </si>
  <si>
    <t>Telluride</t>
  </si>
  <si>
    <t>Trinidad</t>
  </si>
  <si>
    <t>Vail</t>
  </si>
  <si>
    <t>Winter Park</t>
  </si>
  <si>
    <t>Custer</t>
  </si>
  <si>
    <t>Jackson</t>
  </si>
  <si>
    <t>(Pm)</t>
  </si>
  <si>
    <t>(Pf)</t>
  </si>
  <si>
    <t>East if I-25 and under 4,500 ft.</t>
  </si>
  <si>
    <t>Buena Vista</t>
  </si>
  <si>
    <t>Castle Rock</t>
  </si>
  <si>
    <t>Colorado Springs</t>
  </si>
  <si>
    <t>Copper Mountain</t>
  </si>
  <si>
    <t>Golden</t>
  </si>
  <si>
    <t>Granby</t>
  </si>
  <si>
    <t>Keystone</t>
  </si>
  <si>
    <t>Mount Crested Butte</t>
  </si>
  <si>
    <t>Vail Mountain</t>
  </si>
  <si>
    <t>N/A</t>
  </si>
  <si>
    <t>&lt;4500</t>
  </si>
  <si>
    <t>IDAHO GROUND SNOW LOAD REQUIREMENTS</t>
  </si>
  <si>
    <t>American Falls</t>
  </si>
  <si>
    <t>Ammon</t>
  </si>
  <si>
    <t>Blackfoot</t>
  </si>
  <si>
    <t>Bogus Basin Lodge</t>
  </si>
  <si>
    <t>Boise</t>
  </si>
  <si>
    <t>Brundage Mtn. Lodge</t>
  </si>
  <si>
    <t>Buhl</t>
  </si>
  <si>
    <t>Burley</t>
  </si>
  <si>
    <t>Caldwell</t>
  </si>
  <si>
    <t>Chubbuck</t>
  </si>
  <si>
    <t>Coeur d'Alene</t>
  </si>
  <si>
    <t>Emmett</t>
  </si>
  <si>
    <t>Fruitland</t>
  </si>
  <si>
    <t>Garden City</t>
  </si>
  <si>
    <t>Gooding</t>
  </si>
  <si>
    <t>Grangeville</t>
  </si>
  <si>
    <t>Hailey</t>
  </si>
  <si>
    <t>Heyburn</t>
  </si>
  <si>
    <t>Homedale</t>
  </si>
  <si>
    <t>Idaho Falls</t>
  </si>
  <si>
    <t>Jerome</t>
  </si>
  <si>
    <t>Ketchum</t>
  </si>
  <si>
    <t>Kimberly</t>
  </si>
  <si>
    <t>Kuna</t>
  </si>
  <si>
    <t>Lewiston</t>
  </si>
  <si>
    <t>McCall</t>
  </si>
  <si>
    <t>Meridian</t>
  </si>
  <si>
    <t>Middleton</t>
  </si>
  <si>
    <t>Montpelier</t>
  </si>
  <si>
    <t>Moscow</t>
  </si>
  <si>
    <t>Mountain Home</t>
  </si>
  <si>
    <t>Nampa</t>
  </si>
  <si>
    <t>Orofino</t>
  </si>
  <si>
    <t>Payette</t>
  </si>
  <si>
    <t>Post Falls</t>
  </si>
  <si>
    <t>Preston</t>
  </si>
  <si>
    <t>Rathdrum</t>
  </si>
  <si>
    <t>Rexburg</t>
  </si>
  <si>
    <t>Pupert</t>
  </si>
  <si>
    <t>St. Anthony</t>
  </si>
  <si>
    <t>Salmon</t>
  </si>
  <si>
    <t>Sandpoint</t>
  </si>
  <si>
    <t>Schweitzer Basin Lodge</t>
  </si>
  <si>
    <t>Shelley</t>
  </si>
  <si>
    <t>Silver Mt. Lodge</t>
  </si>
  <si>
    <t>Soda Springs</t>
  </si>
  <si>
    <t>Star</t>
  </si>
  <si>
    <t>Sun Valley Mt. Baldy</t>
  </si>
  <si>
    <t>Twin Falls</t>
  </si>
  <si>
    <t>Weiser</t>
  </si>
  <si>
    <t>Wendell</t>
  </si>
  <si>
    <t>Power</t>
  </si>
  <si>
    <t>Bonneville</t>
  </si>
  <si>
    <t>Bingham</t>
  </si>
  <si>
    <t>Ada</t>
  </si>
  <si>
    <t>Valley</t>
  </si>
  <si>
    <t>Cassia</t>
  </si>
  <si>
    <t>Canyon</t>
  </si>
  <si>
    <t>Bannock</t>
  </si>
  <si>
    <t>Kootenia</t>
  </si>
  <si>
    <t>Gem</t>
  </si>
  <si>
    <t>Idaho</t>
  </si>
  <si>
    <t>Blaine</t>
  </si>
  <si>
    <t>Owyhee</t>
  </si>
  <si>
    <t>Minidoka</t>
  </si>
  <si>
    <t>Nez Perce</t>
  </si>
  <si>
    <t>Bear Lake</t>
  </si>
  <si>
    <t>Latah</t>
  </si>
  <si>
    <t>Elmore</t>
  </si>
  <si>
    <t>Clearwater</t>
  </si>
  <si>
    <t>Franklin</t>
  </si>
  <si>
    <t>Madison</t>
  </si>
  <si>
    <t>Lemhi</t>
  </si>
  <si>
    <t>Bonner</t>
  </si>
  <si>
    <t>Shoshone</t>
  </si>
  <si>
    <t>Caribou</t>
  </si>
  <si>
    <t>Rigby</t>
  </si>
  <si>
    <t>Pocatello</t>
  </si>
  <si>
    <t>MONTANA GROUND SNOW LOAD REQUIREMENTS</t>
  </si>
  <si>
    <t>Anaconda</t>
  </si>
  <si>
    <t>Baker</t>
  </si>
  <si>
    <t>Belgrade</t>
  </si>
  <si>
    <t>Big Mt. Resort</t>
  </si>
  <si>
    <t>Big Timber</t>
  </si>
  <si>
    <t>Billings</t>
  </si>
  <si>
    <t>Bozeman</t>
  </si>
  <si>
    <t>Butte</t>
  </si>
  <si>
    <t>Chinook</t>
  </si>
  <si>
    <t>Choteau</t>
  </si>
  <si>
    <t>Costrip</t>
  </si>
  <si>
    <t>Columbia Falls</t>
  </si>
  <si>
    <t>Columbus</t>
  </si>
  <si>
    <t>Conrad</t>
  </si>
  <si>
    <t>But Bank</t>
  </si>
  <si>
    <t>Deer Lodge</t>
  </si>
  <si>
    <t>East Helena</t>
  </si>
  <si>
    <t>Forsyth</t>
  </si>
  <si>
    <t>Fort Benton</t>
  </si>
  <si>
    <t>Glasgow</t>
  </si>
  <si>
    <t>Glendive</t>
  </si>
  <si>
    <t>Hamilton</t>
  </si>
  <si>
    <t>Hardin</t>
  </si>
  <si>
    <t>Havre</t>
  </si>
  <si>
    <t>Helena</t>
  </si>
  <si>
    <t>Kalispell</t>
  </si>
  <si>
    <t>Laurel</t>
  </si>
  <si>
    <t>Lewis Hgts.</t>
  </si>
  <si>
    <t>Libby</t>
  </si>
  <si>
    <t>Livingston</t>
  </si>
  <si>
    <t>Malta</t>
  </si>
  <si>
    <t>Manhattan</t>
  </si>
  <si>
    <t>Miles City</t>
  </si>
  <si>
    <t>Missoula</t>
  </si>
  <si>
    <t>Plentywood</t>
  </si>
  <si>
    <t>Polson</t>
  </si>
  <si>
    <t>Red Lodge</t>
  </si>
  <si>
    <t>Ronan</t>
  </si>
  <si>
    <t>Roundup</t>
  </si>
  <si>
    <t>Shelby</t>
  </si>
  <si>
    <t>Sidney</t>
  </si>
  <si>
    <t>Stevensville</t>
  </si>
  <si>
    <t>Thompson Falls</t>
  </si>
  <si>
    <t>Three Forks</t>
  </si>
  <si>
    <t>Townsend</t>
  </si>
  <si>
    <t>W. Yellowstone</t>
  </si>
  <si>
    <t>Whitefish</t>
  </si>
  <si>
    <t>Wolf Point</t>
  </si>
  <si>
    <t>Fallon</t>
  </si>
  <si>
    <t>Gallatin</t>
  </si>
  <si>
    <t>Flathead</t>
  </si>
  <si>
    <t>Sweet Grass</t>
  </si>
  <si>
    <t>Yellowstone</t>
  </si>
  <si>
    <t>Silver Bow</t>
  </si>
  <si>
    <t>Teton</t>
  </si>
  <si>
    <t>Rosebud</t>
  </si>
  <si>
    <t>Stillwater</t>
  </si>
  <si>
    <t>Pondera</t>
  </si>
  <si>
    <t>Glacier</t>
  </si>
  <si>
    <t>Powell</t>
  </si>
  <si>
    <t>Beaverhead</t>
  </si>
  <si>
    <t>Lewis and Clark</t>
  </si>
  <si>
    <t>Chouteau</t>
  </si>
  <si>
    <t>Dawson</t>
  </si>
  <si>
    <t>Ravalli</t>
  </si>
  <si>
    <t>Big Horn</t>
  </si>
  <si>
    <t>Hill</t>
  </si>
  <si>
    <t>Fergus</t>
  </si>
  <si>
    <t>Lincoln</t>
  </si>
  <si>
    <t>Phillips</t>
  </si>
  <si>
    <t>Sheridan</t>
  </si>
  <si>
    <t>Musselshell</t>
  </si>
  <si>
    <t>Toole</t>
  </si>
  <si>
    <t>Richland</t>
  </si>
  <si>
    <t>Sanders</t>
  </si>
  <si>
    <t>Broadwater</t>
  </si>
  <si>
    <t>Roosevelt</t>
  </si>
  <si>
    <t>Great Falls</t>
  </si>
  <si>
    <t>WASHINGTON GROUND SNOW LOAD REQUIREMENTS</t>
  </si>
  <si>
    <t>Arlington</t>
  </si>
  <si>
    <t>Auburn</t>
  </si>
  <si>
    <t>Bainbridge Island</t>
  </si>
  <si>
    <t>Bellingham</t>
  </si>
  <si>
    <t>Bonney Lake</t>
  </si>
  <si>
    <t>Bothell</t>
  </si>
  <si>
    <t>Bremerton</t>
  </si>
  <si>
    <t>Burien</t>
  </si>
  <si>
    <t>Covington</t>
  </si>
  <si>
    <t>Crystal Mt.</t>
  </si>
  <si>
    <t>Des Moines</t>
  </si>
  <si>
    <t>Edmonds</t>
  </si>
  <si>
    <t>Ellenburg</t>
  </si>
  <si>
    <t>Everett</t>
  </si>
  <si>
    <t>Federal Way</t>
  </si>
  <si>
    <t>Issaquash</t>
  </si>
  <si>
    <t>Kenmore</t>
  </si>
  <si>
    <t>Kennewick</t>
  </si>
  <si>
    <t>Kirkland</t>
  </si>
  <si>
    <t>Lacey</t>
  </si>
  <si>
    <t>Lake Stevens</t>
  </si>
  <si>
    <t>Longview</t>
  </si>
  <si>
    <t>Lynnwood</t>
  </si>
  <si>
    <t>Maple Valley</t>
  </si>
  <si>
    <t>Marysville</t>
  </si>
  <si>
    <t>Mercer Island</t>
  </si>
  <si>
    <t>Mt. Baker</t>
  </si>
  <si>
    <t>Mt. Spokane</t>
  </si>
  <si>
    <t>Mt. Vernon</t>
  </si>
  <si>
    <t>Oak Harbor</t>
  </si>
  <si>
    <t>Olympia</t>
  </si>
  <si>
    <t>Pasco</t>
  </si>
  <si>
    <t>Pullman</t>
  </si>
  <si>
    <t>Puyallup</t>
  </si>
  <si>
    <t>Redmond</t>
  </si>
  <si>
    <t>Renton</t>
  </si>
  <si>
    <t>Sammamish</t>
  </si>
  <si>
    <t>SeaTac</t>
  </si>
  <si>
    <t>Seattle</t>
  </si>
  <si>
    <t>Shoreline</t>
  </si>
  <si>
    <t>Snoqualmie Pass</t>
  </si>
  <si>
    <t>Spokane</t>
  </si>
  <si>
    <t>Spokane Valley</t>
  </si>
  <si>
    <t>Steven Pass</t>
  </si>
  <si>
    <t>Tacoma</t>
  </si>
  <si>
    <t>Tukwila</t>
  </si>
  <si>
    <t>Univ. Place</t>
  </si>
  <si>
    <t>Vancouver</t>
  </si>
  <si>
    <t>Walla Walla</t>
  </si>
  <si>
    <t>Wenatchee</t>
  </si>
  <si>
    <t>White Pass</t>
  </si>
  <si>
    <t>Yakima</t>
  </si>
  <si>
    <t>Snohomish</t>
  </si>
  <si>
    <t>King</t>
  </si>
  <si>
    <t>Kitsap</t>
  </si>
  <si>
    <t>Watcom</t>
  </si>
  <si>
    <t>Kittitas</t>
  </si>
  <si>
    <t>Benton</t>
  </si>
  <si>
    <t>Thurston</t>
  </si>
  <si>
    <t>Cowlitz</t>
  </si>
  <si>
    <t>Pierce</t>
  </si>
  <si>
    <t>Whatcom</t>
  </si>
  <si>
    <t>Skagit</t>
  </si>
  <si>
    <t>Island</t>
  </si>
  <si>
    <t>Whitman</t>
  </si>
  <si>
    <t>Chelan</t>
  </si>
  <si>
    <t>Clark</t>
  </si>
  <si>
    <t>Alamogordo</t>
  </si>
  <si>
    <t>Albuquerque</t>
  </si>
  <si>
    <t>Artesia</t>
  </si>
  <si>
    <t>Aztec</t>
  </si>
  <si>
    <t>Bloomfield</t>
  </si>
  <si>
    <t>Carlsbad</t>
  </si>
  <si>
    <t>Closvis</t>
  </si>
  <si>
    <t>Corrales</t>
  </si>
  <si>
    <t>Deming</t>
  </si>
  <si>
    <t>Espanola</t>
  </si>
  <si>
    <t>Gallup</t>
  </si>
  <si>
    <t>Grants</t>
  </si>
  <si>
    <t>Hobbs</t>
  </si>
  <si>
    <t>Jemez</t>
  </si>
  <si>
    <t>Las Curces</t>
  </si>
  <si>
    <t>Las Vegas</t>
  </si>
  <si>
    <t>Los Alamos</t>
  </si>
  <si>
    <t>Los Lunas</t>
  </si>
  <si>
    <t>NEW MEXICO GROUND SNOW LOAD REQUIREMENTS</t>
  </si>
  <si>
    <t>Portales</t>
  </si>
  <si>
    <t>Red Rock</t>
  </si>
  <si>
    <t>Roswell</t>
  </si>
  <si>
    <t>Ruidoso</t>
  </si>
  <si>
    <t>Santa Fe</t>
  </si>
  <si>
    <t>Shiprock</t>
  </si>
  <si>
    <t>Socorro</t>
  </si>
  <si>
    <t>Zuni</t>
  </si>
  <si>
    <t>2016-Colorado-Design-Snow-Loads.pdf (seacolorado.org)</t>
  </si>
  <si>
    <t>*Ground Snow Loads only apply to 7-10 &amp; 7-16</t>
  </si>
  <si>
    <t>Oter</t>
  </si>
  <si>
    <t>Bernalillo</t>
  </si>
  <si>
    <t>Eddy</t>
  </si>
  <si>
    <t>Curry</t>
  </si>
  <si>
    <t>Sandoval</t>
  </si>
  <si>
    <t>Luna</t>
  </si>
  <si>
    <t>Rio Arriba</t>
  </si>
  <si>
    <t>McKinley</t>
  </si>
  <si>
    <t>Cibola</t>
  </si>
  <si>
    <t>Lea</t>
  </si>
  <si>
    <t>Dona Ana</t>
  </si>
  <si>
    <t>Valincia</t>
  </si>
  <si>
    <t>Grant</t>
  </si>
  <si>
    <t>Chaves</t>
  </si>
  <si>
    <t>OREGAON GROUND SNOW LOAD REQUIREMENTS</t>
  </si>
  <si>
    <t>Antelope</t>
  </si>
  <si>
    <t>Ashland</t>
  </si>
  <si>
    <t>Astoria</t>
  </si>
  <si>
    <t>Baker City</t>
  </si>
  <si>
    <t>Bandon</t>
  </si>
  <si>
    <t>Bend</t>
  </si>
  <si>
    <t>Black Butte</t>
  </si>
  <si>
    <t>Bonneville Dam</t>
  </si>
  <si>
    <t>Brookings</t>
  </si>
  <si>
    <t>Burns</t>
  </si>
  <si>
    <t>Corvallis</t>
  </si>
  <si>
    <t>Crater Lake</t>
  </si>
  <si>
    <t>Crescent Lake</t>
  </si>
  <si>
    <t>Dallas</t>
  </si>
  <si>
    <t>Detroit</t>
  </si>
  <si>
    <t>Diamond Lake</t>
  </si>
  <si>
    <t>Enterprise</t>
  </si>
  <si>
    <t>Eugene</t>
  </si>
  <si>
    <t>Forest Grove</t>
  </si>
  <si>
    <t>Fossil</t>
  </si>
  <si>
    <t>Government Camp</t>
  </si>
  <si>
    <t>Grants Pass</t>
  </si>
  <si>
    <t>Heppner</t>
  </si>
  <si>
    <t>Hood River</t>
  </si>
  <si>
    <t>John Day</t>
  </si>
  <si>
    <t>Joseph</t>
  </si>
  <si>
    <t>Klamath Falls</t>
  </si>
  <si>
    <t>La Grande</t>
  </si>
  <si>
    <t>Lakeview</t>
  </si>
  <si>
    <t>Madras</t>
  </si>
  <si>
    <t>Medford</t>
  </si>
  <si>
    <t>Mitchell</t>
  </si>
  <si>
    <t>Newport</t>
  </si>
  <si>
    <t>North Bend</t>
  </si>
  <si>
    <t>Ontario</t>
  </si>
  <si>
    <t>Parkdale</t>
  </si>
  <si>
    <t>Pendleton</t>
  </si>
  <si>
    <t>Portland</t>
  </si>
  <si>
    <t>Prineville</t>
  </si>
  <si>
    <t>Roseburg</t>
  </si>
  <si>
    <t>Salem</t>
  </si>
  <si>
    <t>Santiam Pass</t>
  </si>
  <si>
    <t>Seaside</t>
  </si>
  <si>
    <t>Sisters</t>
  </si>
  <si>
    <t>The Dalles</t>
  </si>
  <si>
    <t>Troutdale</t>
  </si>
  <si>
    <t>Vale</t>
  </si>
  <si>
    <t>Vernonia</t>
  </si>
  <si>
    <t>Zig Zag</t>
  </si>
  <si>
    <t>Wasco</t>
  </si>
  <si>
    <t>Clatsop</t>
  </si>
  <si>
    <t>Coos</t>
  </si>
  <si>
    <t>Deschutes</t>
  </si>
  <si>
    <t>Harney</t>
  </si>
  <si>
    <t>Klamath</t>
  </si>
  <si>
    <t>Polk</t>
  </si>
  <si>
    <t>Marion</t>
  </si>
  <si>
    <t>Wallowa</t>
  </si>
  <si>
    <t>Lane</t>
  </si>
  <si>
    <t>Wheeler</t>
  </si>
  <si>
    <t>Clackamas</t>
  </si>
  <si>
    <t>Josephine</t>
  </si>
  <si>
    <t>Morrow</t>
  </si>
  <si>
    <t>Union</t>
  </si>
  <si>
    <t>Malheur</t>
  </si>
  <si>
    <t>Umatilla</t>
  </si>
  <si>
    <t>Multnomah</t>
  </si>
  <si>
    <t>Crook</t>
  </si>
  <si>
    <t>Linn</t>
  </si>
  <si>
    <t>Columbia</t>
  </si>
  <si>
    <t>NEW HAMPSHIRE GROUND SNOW LOAD REQUIREMENTS</t>
  </si>
  <si>
    <t>Amherst</t>
  </si>
  <si>
    <t>Atkinson</t>
  </si>
  <si>
    <t>Barrington</t>
  </si>
  <si>
    <t>Bedford</t>
  </si>
  <si>
    <t>Belmont</t>
  </si>
  <si>
    <t>Berlin</t>
  </si>
  <si>
    <t>Bow</t>
  </si>
  <si>
    <t>Claremont</t>
  </si>
  <si>
    <t>Concord</t>
  </si>
  <si>
    <t>Conway</t>
  </si>
  <si>
    <t>Derry</t>
  </si>
  <si>
    <t>Dover</t>
  </si>
  <si>
    <t>Hurhamp</t>
  </si>
  <si>
    <t>Epping</t>
  </si>
  <si>
    <t>Exeter</t>
  </si>
  <si>
    <t>Gilford</t>
  </si>
  <si>
    <t>Goffstown</t>
  </si>
  <si>
    <t>Hampstead</t>
  </si>
  <si>
    <t>Hampton</t>
  </si>
  <si>
    <t>Hanover</t>
  </si>
  <si>
    <t>Hollis</t>
  </si>
  <si>
    <t>Hooksett</t>
  </si>
  <si>
    <t>Hudson</t>
  </si>
  <si>
    <t>Keene</t>
  </si>
  <si>
    <t>Laconia</t>
  </si>
  <si>
    <t>Lebanon</t>
  </si>
  <si>
    <t>Litchfield</t>
  </si>
  <si>
    <t>Londonderry</t>
  </si>
  <si>
    <t>Manchester</t>
  </si>
  <si>
    <t>Merrimack</t>
  </si>
  <si>
    <t>Milford</t>
  </si>
  <si>
    <t>Nashua</t>
  </si>
  <si>
    <t>Newmarket</t>
  </si>
  <si>
    <t>Pelham</t>
  </si>
  <si>
    <t>Penbroke</t>
  </si>
  <si>
    <t>Plaistow</t>
  </si>
  <si>
    <t>Plymouth</t>
  </si>
  <si>
    <t>Portsmouth</t>
  </si>
  <si>
    <t>Raymond</t>
  </si>
  <si>
    <t>Rochester</t>
  </si>
  <si>
    <t>Seabrook</t>
  </si>
  <si>
    <t>Somersworth</t>
  </si>
  <si>
    <t>Stratham</t>
  </si>
  <si>
    <t>Swanzey</t>
  </si>
  <si>
    <t>Weare</t>
  </si>
  <si>
    <t>Windham</t>
  </si>
  <si>
    <t>Hillsborough</t>
  </si>
  <si>
    <t>Rockingham</t>
  </si>
  <si>
    <t>Strafford</t>
  </si>
  <si>
    <t>Belknap</t>
  </si>
  <si>
    <t>Carroll</t>
  </si>
  <si>
    <t>Sullivan</t>
  </si>
  <si>
    <t>Grafton</t>
  </si>
  <si>
    <t>Cheshire</t>
  </si>
  <si>
    <t>*Ground Snow Loads apply to 7-10, 7-16, and 7-22 (as applicable)</t>
  </si>
  <si>
    <t>*Default Wind Eposure C if information is unknown</t>
  </si>
  <si>
    <t>*Default Risk Category II if information is unknown</t>
  </si>
  <si>
    <r>
      <t>Importance Factor (I</t>
    </r>
    <r>
      <rPr>
        <sz val="8"/>
        <rFont val="Arial"/>
        <family val="2"/>
      </rPr>
      <t>s</t>
    </r>
    <r>
      <rPr>
        <sz val="10"/>
        <rFont val="Arial"/>
        <family val="2"/>
      </rPr>
      <t>) =</t>
    </r>
  </si>
  <si>
    <t>pcf</t>
  </si>
  <si>
    <t>Snow Density (g):</t>
  </si>
  <si>
    <t>ft.</t>
  </si>
  <si>
    <t>Balanced Snow Load (hb):</t>
  </si>
  <si>
    <t>Leeward Drift (hd):</t>
  </si>
  <si>
    <t>hw</t>
  </si>
  <si>
    <t>Obstruction (Parapet) Ht:</t>
  </si>
  <si>
    <t>Design Drift Ht (hd):</t>
  </si>
  <si>
    <t>Clear Ht (hc):</t>
  </si>
  <si>
    <t>Ratio (hc/hb):</t>
  </si>
  <si>
    <t>Drift Length:</t>
  </si>
  <si>
    <t>Rain-On-Snow Surch (prs):</t>
  </si>
  <si>
    <t>Balanced Snow Load pf(bal):</t>
  </si>
  <si>
    <t>Total Snow Load p(total):</t>
  </si>
  <si>
    <t>Wt. of Drift at Heigh End (pd):</t>
  </si>
  <si>
    <t>II</t>
  </si>
  <si>
    <t>No</t>
  </si>
  <si>
    <t>https://seaak.net/alaska-snow-loads</t>
  </si>
  <si>
    <t>https://www.lib.uidaho.edu/digital/idahosnow/#:~:text=Interactive%20Map%20and%20Report%20about%20Ground%20Snow%20Loads</t>
  </si>
  <si>
    <t xml:space="preserve">Additioanl Ground Snow Loads can be found at: </t>
  </si>
  <si>
    <t>https://snowload.montana.edu/static/docs/MTSnowloads112105withMaps.pdf</t>
  </si>
  <si>
    <t>https://static1.squarespace.com/static/5c3faa364eddecdc367bedc5/t/5c50814a562fa7296ef9c419/1548779850480/WABO-SEAW+Snow+Load+White+Paper.pdf</t>
  </si>
  <si>
    <t>Thermal Factor, Ct for Heated structures with Unventilated Roofs (Table 7.3-3 of ASCE 7-22)</t>
  </si>
  <si>
    <t>Rroof</t>
  </si>
  <si>
    <t>Uroof</t>
  </si>
  <si>
    <t>Row</t>
  </si>
  <si>
    <t>&lt;--Interpolated values --&gt;</t>
  </si>
  <si>
    <t>Using R =</t>
  </si>
  <si>
    <t>Pg =</t>
  </si>
  <si>
    <t>Use Ct=</t>
  </si>
  <si>
    <t>&lt;--Round up to nearest value</t>
  </si>
  <si>
    <r>
      <t>Design Ground Snow Load (P</t>
    </r>
    <r>
      <rPr>
        <sz val="8"/>
        <rFont val="Arial"/>
        <family val="2"/>
      </rPr>
      <t xml:space="preserve">g) </t>
    </r>
    <r>
      <rPr>
        <sz val="10"/>
        <rFont val="Arial"/>
        <family val="2"/>
      </rPr>
      <t>=</t>
    </r>
  </si>
  <si>
    <t>D</t>
  </si>
  <si>
    <t>B</t>
  </si>
  <si>
    <t>Partial</t>
  </si>
  <si>
    <t>Sheltered</t>
  </si>
  <si>
    <t>Fully</t>
  </si>
  <si>
    <t>&lt;--Default is Partially Exposed</t>
  </si>
  <si>
    <t>&lt;--Formula changes based on Exposure above</t>
  </si>
  <si>
    <r>
      <t>Table 7.3-1.  Exposure Factor, C</t>
    </r>
    <r>
      <rPr>
        <sz val="8"/>
        <color theme="1"/>
        <rFont val="Aptos Narrow"/>
        <family val="2"/>
        <scheme val="minor"/>
      </rPr>
      <t>e</t>
    </r>
  </si>
  <si>
    <r>
      <t xml:space="preserve">in 12 </t>
    </r>
    <r>
      <rPr>
        <sz val="10"/>
        <color rgb="FFFF0000"/>
        <rFont val="Arial"/>
        <family val="2"/>
      </rPr>
      <t>(Max 3:12)</t>
    </r>
  </si>
  <si>
    <t>&lt;---Cs formulas for sloped roofs (Not used) (Formulas for top portion)</t>
  </si>
  <si>
    <t>&lt;---Cs formulas for sloped roofs (Not used) (Formulas for bottom portion)</t>
  </si>
  <si>
    <t>&lt;---Formula for Pf</t>
  </si>
  <si>
    <t>&lt;---Formula for Pm</t>
  </si>
  <si>
    <t>&lt;---Formula for Ct</t>
  </si>
  <si>
    <t>&lt;---Formula for Is</t>
  </si>
  <si>
    <t>&lt;---Formula Rain-on-Snow Surcharge</t>
  </si>
  <si>
    <t>Note: Values above need to be adjusted accordingly         (Cells D6, D8, D10 &amp; D12)</t>
  </si>
  <si>
    <t>Risk Category</t>
  </si>
  <si>
    <t>Nature of Occupancy</t>
  </si>
  <si>
    <t>I</t>
  </si>
  <si>
    <t>Buildings and other structures that represent a low hazard to human life in the event of failure, including bu not limited to:</t>
  </si>
  <si>
    <t>-Certain temporary facilities</t>
  </si>
  <si>
    <t>-Agricultural facilities.</t>
  </si>
  <si>
    <t>-Minor storage facilities</t>
  </si>
  <si>
    <t>&lt;---Risk Cat. I is very rare</t>
  </si>
  <si>
    <t>Buildings and other structures that represent a substantial hazard to human life in the event of failure, including but not limited to:</t>
  </si>
  <si>
    <t>Buildings and other structures except thos listed in Risk Categories I, III and IV.</t>
  </si>
  <si>
    <t>III</t>
  </si>
  <si>
    <t>Note: RED is new to the 2024 IBC</t>
  </si>
  <si>
    <t>&lt;---Common Item</t>
  </si>
  <si>
    <t>-Buildings and other structures containing one or more public assembly spaces, each having an occupant load greater than 300 and a cumulative occupant load of these public assembly spaces greater than 2,500.</t>
  </si>
  <si>
    <t>-Buildings and other structures containing E or Group I-4 occupancies or conbination thereof, with an occupant load greater than 250.</t>
  </si>
  <si>
    <t>-Buildings and other structures containing educational occupancies for strudents above the 12th grade with an occupant load greater than 500.</t>
  </si>
  <si>
    <r>
      <t xml:space="preserve">-Group I-3, </t>
    </r>
    <r>
      <rPr>
        <sz val="11"/>
        <color rgb="FFFF0000"/>
        <rFont val="Aptos Narrow"/>
        <family val="2"/>
        <scheme val="minor"/>
      </rPr>
      <t>Condition 1</t>
    </r>
    <r>
      <rPr>
        <sz val="11"/>
        <color theme="1"/>
        <rFont val="Aptos Narrow"/>
        <family val="2"/>
        <scheme val="minor"/>
      </rPr>
      <t xml:space="preserve"> occupancies.</t>
    </r>
  </si>
  <si>
    <t>-Any other occupancy with an occupant load greater than 5,000.</t>
  </si>
  <si>
    <t>-Power-generating stations with individual power units rated 75 Mwac (magawatts, alternating current) or greater, water treatment facilities for potable water, wasstewater treatment facilities and other public utility facilities not included in Risk Cat. IV.</t>
  </si>
  <si>
    <t>-Buildings and other structures not included in Risk Cat. IV containing quantities or toxic or explosive materials that:</t>
  </si>
  <si>
    <r>
      <t xml:space="preserve">1. Exceed maximum allowable quantities per control area as given in </t>
    </r>
    <r>
      <rPr>
        <sz val="11"/>
        <color rgb="FF00B050"/>
        <rFont val="Aptos Narrow"/>
        <family val="2"/>
        <scheme val="minor"/>
      </rPr>
      <t>Table 307.1(1)</t>
    </r>
    <r>
      <rPr>
        <sz val="11"/>
        <color theme="1"/>
        <rFont val="Aptos Narrow"/>
        <family val="2"/>
        <scheme val="minor"/>
      </rPr>
      <t xml:space="preserve"> or </t>
    </r>
    <r>
      <rPr>
        <sz val="11"/>
        <color rgb="FF00B050"/>
        <rFont val="Aptos Narrow"/>
        <family val="2"/>
        <scheme val="minor"/>
      </rPr>
      <t>307.1(2)</t>
    </r>
    <r>
      <rPr>
        <sz val="11"/>
        <color theme="1"/>
        <rFont val="Aptos Narrow"/>
        <family val="2"/>
        <scheme val="minor"/>
      </rPr>
      <t xml:space="preserve"> per outdoor control area in accordance with the IFC.</t>
    </r>
  </si>
  <si>
    <t>2. Are sufficient to pose a threat to the public if realeased.</t>
  </si>
  <si>
    <t>IV</t>
  </si>
  <si>
    <t>-Ambulatory care facilities having emergency surgery or emergency treatment facilities.</t>
  </si>
  <si>
    <t>-Designated eartquake, hurricane or other emergency shelters.</t>
  </si>
  <si>
    <t>-Public utility facilities providing power generation, potable water treatment, or wastewater treatment.</t>
  </si>
  <si>
    <t>-Power-generating stations and other public utility facilities required as emergency backup facilties required for emergency response.</t>
  </si>
  <si>
    <t>-Buildings and other structures containing quantities of highly toxic materials that:</t>
  </si>
  <si>
    <r>
      <t xml:space="preserve">1. Exceed maximum allowable quantities per control area as given in </t>
    </r>
    <r>
      <rPr>
        <sz val="11"/>
        <color rgb="FF00B050"/>
        <rFont val="Aptos Narrow"/>
        <family val="2"/>
        <scheme val="minor"/>
      </rPr>
      <t>Table 307.1(2)</t>
    </r>
    <r>
      <rPr>
        <sz val="11"/>
        <color theme="1"/>
        <rFont val="Aptos Narrow"/>
        <family val="2"/>
        <scheme val="minor"/>
      </rPr>
      <t xml:space="preserve"> per outdoor control area in accordance with the IFC.</t>
    </r>
  </si>
  <si>
    <t>-Aviation control towers, air traffic control centers and emergency aircraft hangers.</t>
  </si>
  <si>
    <t>-Buildings and other structures having critical national defense functions.</t>
  </si>
  <si>
    <t>-Water storage facilities and pump structures required to maintain water pressure for fire suppression.</t>
  </si>
  <si>
    <t>-Fire, rescue, ambulance and police stations and emergency vehicle garages.</t>
  </si>
  <si>
    <t>-Group I-3 occupancies other than Condition 1.</t>
  </si>
  <si>
    <r>
      <t xml:space="preserve">Buildings and other structures designated as essential facilities </t>
    </r>
    <r>
      <rPr>
        <sz val="11"/>
        <color rgb="FFFF0000"/>
        <rFont val="Aptos Narrow"/>
        <family val="2"/>
        <scheme val="minor"/>
      </rPr>
      <t>and buildings where loss of function represents a substantial hazard to occupants or users,</t>
    </r>
    <r>
      <rPr>
        <sz val="11"/>
        <color theme="1"/>
        <rFont val="Aptos Narrow"/>
        <family val="2"/>
        <scheme val="minor"/>
      </rPr>
      <t xml:space="preserve"> including but not limited to:</t>
    </r>
  </si>
  <si>
    <r>
      <t xml:space="preserve">-Group I-2, Condition 2 </t>
    </r>
    <r>
      <rPr>
        <sz val="11"/>
        <color rgb="FFFF0000"/>
        <rFont val="Aptos Narrow"/>
        <family val="2"/>
        <scheme val="minor"/>
      </rPr>
      <t>occupancies</t>
    </r>
    <r>
      <rPr>
        <sz val="11"/>
        <color theme="1"/>
        <rFont val="Aptos Narrow"/>
        <family val="2"/>
        <scheme val="minor"/>
      </rPr>
      <t>.</t>
    </r>
  </si>
  <si>
    <t>&lt;---Most common risk Category</t>
  </si>
  <si>
    <t>Wind Exposure Categories:</t>
  </si>
  <si>
    <t>-Where ground surface roughness, as defined by Surface Roughness B, prevails in the upwind direction for a distance or not less than 1,500 feet.</t>
  </si>
  <si>
    <t>-For buildings with a mean roof height of less than 30 feet.</t>
  </si>
  <si>
    <t>-Buildings with a mean roof height greater than 30 feert, exposure B shall apoply where Surface Roughness B prevails in the upwind direction for a distance of not less than 2,600 feet or 20 times the height of the building, whichever is greater.</t>
  </si>
  <si>
    <t>Exposure:</t>
  </si>
  <si>
    <t>Description</t>
  </si>
  <si>
    <t>-Expsosure C shall apply for all cases where Exposure B or D does not apply.</t>
  </si>
  <si>
    <t>-Where the ground surface roughness, as defined by Surface Roughness D, prevails in the upwind direction for a distance of not less than 5,000 feet or 20 times the height of the building, whichever is greater.</t>
  </si>
  <si>
    <t>-Where the ground surface roughness immediatley upwind of the sire if B or C, and the site is withing a distance of 600 fee or 20 times the building height, whichever is greater.</t>
  </si>
  <si>
    <r>
      <t>-</t>
    </r>
    <r>
      <rPr>
        <b/>
        <sz val="11"/>
        <color theme="1"/>
        <rFont val="Aptos Narrow"/>
        <family val="2"/>
        <scheme val="minor"/>
      </rPr>
      <t>Florida</t>
    </r>
    <r>
      <rPr>
        <sz val="11"/>
        <color theme="1"/>
        <rFont val="Aptos Narrow"/>
        <family val="2"/>
        <scheme val="minor"/>
      </rPr>
      <t xml:space="preserve"> State Funded Educational Facilities (SREF)</t>
    </r>
  </si>
  <si>
    <r>
      <t xml:space="preserve">-Buildings and other structures whose </t>
    </r>
    <r>
      <rPr>
        <i/>
        <u/>
        <sz val="11"/>
        <color theme="1"/>
        <rFont val="Aptos Narrow"/>
        <family val="2"/>
        <scheme val="minor"/>
      </rPr>
      <t>primary</t>
    </r>
    <r>
      <rPr>
        <sz val="11"/>
        <color theme="1"/>
        <rFont val="Aptos Narrow"/>
        <family val="2"/>
        <scheme val="minor"/>
      </rPr>
      <t xml:space="preserve"> occupancy is public assembly with an occupant load greater than 300.</t>
    </r>
  </si>
  <si>
    <t>&lt;---Most common Wind Exposure</t>
  </si>
  <si>
    <t>*See next tab for Wind Exposure and Risk Category descriptions</t>
  </si>
  <si>
    <t>Example:</t>
  </si>
  <si>
    <t>Terrain with numerous, closely spaced obstructions that have the sinze of single-family dwellings ro larger.</t>
  </si>
  <si>
    <t>-Urban and suburban areas and wooded areas.</t>
  </si>
  <si>
    <t>Open terrain with scattered obstructions that have heights gennerally less than 30 feet.</t>
  </si>
  <si>
    <t>-Flat, open country.</t>
  </si>
  <si>
    <t>-Grasslands.</t>
  </si>
  <si>
    <t>Flat, unobstructed areas and water surfaces.</t>
  </si>
  <si>
    <t>-Smooth mud flats.</t>
  </si>
  <si>
    <t>-Salt flats.</t>
  </si>
  <si>
    <t>-Unbroken ice.</t>
  </si>
  <si>
    <t>&lt;---Apply to fire station(s) sleeping quarters</t>
  </si>
  <si>
    <t>Transverse/Complex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</si>
</sst>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General\ &quot;psf&quot;"/>
  </numFmts>
  <fonts count="15" x14ac:knownFonts="1">
    <font>
      <sz val="11"/>
      <color theme="1"/>
      <name val="Aptos Narrow"/>
      <family val="2"/>
      <scheme val="minor"/>
    </font>
    <font>
      <sz val="11"/>
      <color rgb="FFFF0000"/>
      <name val="Aptos Narrow"/>
      <family val="2"/>
      <scheme val="minor"/>
    </font>
    <font>
      <sz val="10"/>
      <name val="Arial"/>
      <family val="2"/>
    </font>
    <font>
      <sz val="8"/>
      <name val="Arial"/>
      <family val="2"/>
    </font>
    <font>
      <b/>
      <sz val="16"/>
      <color theme="1"/>
      <name val="Aptos Narrow"/>
      <family val="2"/>
      <scheme val="minor"/>
    </font>
    <font>
      <sz val="10"/>
      <color theme="1"/>
      <name val="Arial"/>
      <family val="2"/>
    </font>
    <font>
      <sz val="10"/>
      <color rgb="FFFF0000"/>
      <name val="Arial"/>
      <family val="2"/>
    </font>
    <font>
      <u/>
      <sz val="11"/>
      <color theme="10"/>
      <name val="Aptos Narrow"/>
      <family val="2"/>
      <scheme val="minor"/>
    </font>
    <font>
      <u/>
      <sz val="10"/>
      <name val="Arial"/>
      <family val="2"/>
    </font>
    <font>
      <b/>
      <sz val="11"/>
      <color rgb="FF7030A0"/>
      <name val="Aptos Narrow"/>
      <family val="2"/>
      <scheme val="minor"/>
    </font>
    <font>
      <sz val="8"/>
      <color theme="1"/>
      <name val="Aptos Narrow"/>
      <family val="2"/>
      <scheme val="minor"/>
    </font>
    <font>
      <b/>
      <sz val="11"/>
      <color theme="1"/>
      <name val="Aptos Narrow"/>
      <family val="2"/>
      <scheme val="minor"/>
    </font>
    <font>
      <sz val="11"/>
      <color rgb="FF7030A0"/>
      <name val="Aptos Narrow"/>
      <family val="2"/>
      <scheme val="minor"/>
    </font>
    <font>
      <sz val="11"/>
      <color rgb="FF00B050"/>
      <name val="Aptos Narrow"/>
      <family val="2"/>
      <scheme val="minor"/>
    </font>
    <font>
      <i/>
      <u/>
      <sz val="11"/>
      <color theme="1"/>
      <name val="Aptos Narrow"/>
      <family val="2"/>
      <scheme val="minor"/>
    </font>
  </fonts>
  <fills count="6">
    <fill>
      <patternFill patternType="none"/>
    </fill>
    <fill>
      <patternFill patternType="gray125"/>
    </fill>
    <fill>
      <patternFill patternType="solid">
        <fgColor rgb="FFCCFFFF"/>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62">
    <xf numFmtId="0" fontId="0" fillId="0" borderId="0" xfId="0"/>
    <xf numFmtId="0" fontId="0" fillId="0" borderId="5" xfId="0" applyBorder="1"/>
    <xf numFmtId="0" fontId="2" fillId="0" borderId="0" xfId="0" applyFont="1" applyAlignment="1">
      <alignment horizontal="right" vertical="center"/>
    </xf>
    <xf numFmtId="0" fontId="2" fillId="0" borderId="0" xfId="0" applyFont="1" applyAlignment="1">
      <alignment vertical="center"/>
    </xf>
    <xf numFmtId="0" fontId="0" fillId="0" borderId="0" xfId="0" applyAlignment="1">
      <alignment horizontal="right" vertical="center"/>
    </xf>
    <xf numFmtId="0" fontId="0" fillId="0" borderId="0" xfId="0" applyAlignment="1">
      <alignment vertical="center"/>
    </xf>
    <xf numFmtId="0" fontId="0" fillId="0" borderId="0" xfId="0" applyAlignment="1">
      <alignment horizontal="center" vertical="center"/>
    </xf>
    <xf numFmtId="0" fontId="2" fillId="3" borderId="0" xfId="0" applyFont="1" applyFill="1" applyAlignment="1">
      <alignment vertical="center"/>
    </xf>
    <xf numFmtId="0" fontId="0" fillId="4" borderId="1" xfId="0" applyFill="1" applyBorder="1" applyAlignment="1">
      <alignment horizontal="center" vertical="center"/>
    </xf>
    <xf numFmtId="0" fontId="1" fillId="0" borderId="0" xfId="0" applyFont="1"/>
    <xf numFmtId="0" fontId="0" fillId="5" borderId="11" xfId="0" applyFill="1" applyBorder="1" applyAlignment="1">
      <alignment horizontal="right" vertical="center"/>
    </xf>
    <xf numFmtId="0" fontId="0" fillId="5" borderId="12" xfId="0" applyFill="1" applyBorder="1" applyAlignment="1">
      <alignment horizontal="left" vertical="center"/>
    </xf>
    <xf numFmtId="0" fontId="0" fillId="5" borderId="13" xfId="0" applyFill="1" applyBorder="1" applyAlignment="1">
      <alignment horizontal="right" vertical="center"/>
    </xf>
    <xf numFmtId="0" fontId="0" fillId="5" borderId="14" xfId="0" applyFill="1" applyBorder="1" applyAlignment="1">
      <alignment horizontal="left" vertical="center"/>
    </xf>
    <xf numFmtId="0" fontId="0" fillId="5" borderId="15" xfId="0" applyFill="1" applyBorder="1" applyAlignment="1">
      <alignment horizontal="right" vertical="center"/>
    </xf>
    <xf numFmtId="0" fontId="0" fillId="5" borderId="16" xfId="0" applyFill="1" applyBorder="1" applyAlignment="1">
      <alignment horizontal="left" vertical="center"/>
    </xf>
    <xf numFmtId="0" fontId="5" fillId="0" borderId="0" xfId="0" applyFont="1" applyAlignment="1">
      <alignment horizontal="right" vertical="center"/>
    </xf>
    <xf numFmtId="0" fontId="5" fillId="0" borderId="0" xfId="0" applyFont="1"/>
    <xf numFmtId="2" fontId="5" fillId="0" borderId="0" xfId="0" applyNumberFormat="1" applyFont="1" applyAlignment="1">
      <alignment horizontal="center" vertical="center"/>
    </xf>
    <xf numFmtId="164" fontId="0" fillId="0" borderId="0" xfId="0" applyNumberFormat="1" applyAlignment="1">
      <alignment vertical="center"/>
    </xf>
    <xf numFmtId="164" fontId="0" fillId="0" borderId="0" xfId="0" applyNumberFormat="1"/>
    <xf numFmtId="1" fontId="0" fillId="0" borderId="0" xfId="0" applyNumberFormat="1" applyAlignment="1">
      <alignment horizontal="center" vertical="center"/>
    </xf>
    <xf numFmtId="0" fontId="0" fillId="0" borderId="17" xfId="0" applyBorder="1" applyAlignment="1">
      <alignment vertical="center"/>
    </xf>
    <xf numFmtId="0" fontId="0" fillId="0" borderId="17" xfId="0" applyBorder="1" applyAlignment="1">
      <alignment horizontal="center" vertical="center"/>
    </xf>
    <xf numFmtId="1" fontId="0" fillId="0" borderId="17" xfId="0" applyNumberFormat="1" applyBorder="1" applyAlignment="1">
      <alignment horizontal="center" vertical="center"/>
    </xf>
    <xf numFmtId="0" fontId="0" fillId="0" borderId="11" xfId="0"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9" xfId="0" applyBorder="1" applyAlignment="1">
      <alignment vertical="center"/>
    </xf>
    <xf numFmtId="0" fontId="0" fillId="0" borderId="19" xfId="0" applyBorder="1" applyAlignment="1">
      <alignment horizontal="center" vertical="center"/>
    </xf>
    <xf numFmtId="0" fontId="0" fillId="0" borderId="16" xfId="0" applyBorder="1" applyAlignment="1">
      <alignment vertical="center"/>
    </xf>
    <xf numFmtId="0" fontId="0" fillId="4" borderId="14" xfId="0" applyFill="1" applyBorder="1" applyAlignment="1">
      <alignment vertical="center"/>
    </xf>
    <xf numFmtId="0" fontId="0" fillId="0" borderId="14" xfId="0" applyBorder="1" applyAlignment="1">
      <alignment horizontal="righ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2" xfId="0" applyBorder="1" applyAlignment="1">
      <alignment horizontal="center" vertical="center"/>
    </xf>
    <xf numFmtId="0" fontId="0" fillId="0" borderId="23" xfId="0" applyBorder="1" applyAlignment="1">
      <alignment vertical="center"/>
    </xf>
    <xf numFmtId="0" fontId="0" fillId="0" borderId="17" xfId="0" applyBorder="1"/>
    <xf numFmtId="0" fontId="0" fillId="0" borderId="14" xfId="0" applyBorder="1"/>
    <xf numFmtId="0" fontId="0" fillId="0" borderId="19" xfId="0" applyBorder="1"/>
    <xf numFmtId="0" fontId="0" fillId="0" borderId="16" xfId="0" applyBorder="1"/>
    <xf numFmtId="0" fontId="0" fillId="0" borderId="22" xfId="0" applyBorder="1"/>
    <xf numFmtId="0" fontId="0" fillId="0" borderId="23" xfId="0" applyBorder="1"/>
    <xf numFmtId="164" fontId="0" fillId="2" borderId="1" xfId="0" applyNumberFormat="1" applyFill="1" applyBorder="1" applyAlignment="1">
      <alignment horizontal="center" vertical="center"/>
    </xf>
    <xf numFmtId="164" fontId="0" fillId="0" borderId="18" xfId="0" applyNumberFormat="1" applyBorder="1" applyAlignment="1">
      <alignment horizontal="center" vertical="center" wrapText="1"/>
    </xf>
    <xf numFmtId="164" fontId="0" fillId="0" borderId="17" xfId="0" applyNumberFormat="1" applyBorder="1" applyAlignment="1">
      <alignment horizontal="center" vertical="center"/>
    </xf>
    <xf numFmtId="164" fontId="0" fillId="0" borderId="19" xfId="0" applyNumberFormat="1" applyBorder="1" applyAlignment="1">
      <alignment horizontal="center" vertical="center"/>
    </xf>
    <xf numFmtId="164" fontId="0" fillId="0" borderId="0" xfId="0" applyNumberFormat="1" applyAlignment="1">
      <alignment horizontal="center" vertical="center"/>
    </xf>
    <xf numFmtId="164" fontId="0" fillId="0" borderId="22" xfId="0" applyNumberFormat="1" applyBorder="1" applyAlignment="1">
      <alignment horizontal="center" vertical="center"/>
    </xf>
    <xf numFmtId="164" fontId="0" fillId="0" borderId="12" xfId="0" applyNumberFormat="1" applyBorder="1" applyAlignment="1">
      <alignment horizontal="center" vertical="center" wrapText="1"/>
    </xf>
    <xf numFmtId="164" fontId="0" fillId="0" borderId="14" xfId="0" applyNumberFormat="1" applyBorder="1" applyAlignment="1">
      <alignment horizontal="center" vertical="center"/>
    </xf>
    <xf numFmtId="164" fontId="0" fillId="0" borderId="16" xfId="0" applyNumberFormat="1" applyBorder="1" applyAlignment="1">
      <alignment horizontal="center" vertical="center"/>
    </xf>
    <xf numFmtId="2" fontId="0" fillId="0" borderId="0" xfId="0" applyNumberFormat="1"/>
    <xf numFmtId="2" fontId="0" fillId="0" borderId="0" xfId="0" applyNumberFormat="1" applyAlignment="1">
      <alignment horizontal="center" vertical="center"/>
    </xf>
    <xf numFmtId="0" fontId="0" fillId="0" borderId="0" xfId="0" applyAlignment="1">
      <alignment horizontal="right"/>
    </xf>
    <xf numFmtId="0" fontId="8" fillId="0" borderId="0" xfId="0" applyFont="1"/>
    <xf numFmtId="0" fontId="2" fillId="0" borderId="0" xfId="0" applyFont="1"/>
    <xf numFmtId="0" fontId="2" fillId="0" borderId="0" xfId="0" applyFont="1" applyAlignment="1">
      <alignment horizontal="right"/>
    </xf>
    <xf numFmtId="0" fontId="2" fillId="0" borderId="0" xfId="0" quotePrefix="1" applyFont="1"/>
    <xf numFmtId="1" fontId="0" fillId="0" borderId="0" xfId="0" applyNumberFormat="1"/>
    <xf numFmtId="164" fontId="0" fillId="4" borderId="1" xfId="0" applyNumberFormat="1" applyFill="1" applyBorder="1" applyAlignment="1">
      <alignment horizontal="center" vertical="center"/>
    </xf>
    <xf numFmtId="165" fontId="0" fillId="0" borderId="0" xfId="0" applyNumberFormat="1"/>
    <xf numFmtId="0" fontId="2" fillId="4" borderId="1" xfId="0" applyFont="1" applyFill="1" applyBorder="1" applyAlignment="1">
      <alignment horizontal="center" vertical="center"/>
    </xf>
    <xf numFmtId="0" fontId="0" fillId="0" borderId="1" xfId="0" applyBorder="1" applyAlignment="1">
      <alignment horizontal="center" vertical="center"/>
    </xf>
    <xf numFmtId="0" fontId="5" fillId="4" borderId="1" xfId="0" applyFont="1" applyFill="1" applyBorder="1" applyAlignment="1">
      <alignment horizontal="center" vertical="center"/>
    </xf>
    <xf numFmtId="0" fontId="1" fillId="0" borderId="0" xfId="0" applyFont="1" applyAlignment="1">
      <alignment horizontal="left" vertical="center"/>
    </xf>
    <xf numFmtId="0" fontId="12" fillId="0" borderId="0" xfId="0" applyFont="1"/>
    <xf numFmtId="0" fontId="0" fillId="0" borderId="26" xfId="0" quotePrefix="1" applyBorder="1" applyAlignment="1">
      <alignment horizontal="left" vertical="center"/>
    </xf>
    <xf numFmtId="0" fontId="0" fillId="0" borderId="26" xfId="0" quotePrefix="1" applyBorder="1" applyAlignment="1">
      <alignment horizontal="left" vertical="center" wrapText="1"/>
    </xf>
    <xf numFmtId="0" fontId="0" fillId="0" borderId="26" xfId="0" quotePrefix="1" applyBorder="1" applyAlignment="1">
      <alignment vertical="center"/>
    </xf>
    <xf numFmtId="0" fontId="0" fillId="0" borderId="26" xfId="0" applyBorder="1" applyAlignment="1">
      <alignment horizontal="left" vertical="center" wrapText="1"/>
    </xf>
    <xf numFmtId="0" fontId="0" fillId="0" borderId="26" xfId="0" applyBorder="1" applyAlignment="1">
      <alignment vertical="center"/>
    </xf>
    <xf numFmtId="0" fontId="1" fillId="0" borderId="26" xfId="0" quotePrefix="1" applyFont="1" applyBorder="1" applyAlignment="1">
      <alignment vertical="center"/>
    </xf>
    <xf numFmtId="0" fontId="0" fillId="0" borderId="5" xfId="0" applyBorder="1" applyAlignment="1">
      <alignment horizontal="center" vertical="center"/>
    </xf>
    <xf numFmtId="0" fontId="0" fillId="0" borderId="10" xfId="0" quotePrefix="1" applyBorder="1" applyAlignment="1">
      <alignment vertical="center"/>
    </xf>
    <xf numFmtId="0" fontId="0" fillId="0" borderId="10" xfId="0" quotePrefix="1" applyBorder="1" applyAlignment="1">
      <alignment horizontal="left" vertical="center"/>
    </xf>
    <xf numFmtId="0" fontId="0" fillId="0" borderId="10" xfId="0" applyBorder="1" applyAlignment="1">
      <alignment vertical="center"/>
    </xf>
    <xf numFmtId="0" fontId="0" fillId="0" borderId="0" xfId="0" quotePrefix="1" applyAlignment="1">
      <alignment horizontal="center" vertical="center"/>
    </xf>
    <xf numFmtId="0" fontId="0" fillId="0" borderId="0" xfId="0" quotePrefix="1" applyAlignment="1">
      <alignment horizontal="left" vertical="center"/>
    </xf>
    <xf numFmtId="0" fontId="0" fillId="0" borderId="6" xfId="0" quotePrefix="1" applyBorder="1" applyAlignment="1">
      <alignment horizontal="left" vertical="center"/>
    </xf>
    <xf numFmtId="0" fontId="0" fillId="0" borderId="8" xfId="0" applyBorder="1" applyAlignment="1">
      <alignment vertical="center"/>
    </xf>
    <xf numFmtId="0" fontId="12" fillId="0" borderId="0" xfId="0" applyFont="1" applyAlignment="1">
      <alignment horizontal="left" vertical="center"/>
    </xf>
    <xf numFmtId="0" fontId="0" fillId="0" borderId="26" xfId="0" quotePrefix="1" applyBorder="1" applyAlignment="1">
      <alignment vertical="center" wrapText="1"/>
    </xf>
    <xf numFmtId="0" fontId="11" fillId="0" borderId="1" xfId="0" applyFont="1" applyBorder="1" applyAlignment="1">
      <alignment horizontal="center" vertical="center" wrapText="1"/>
    </xf>
    <xf numFmtId="0" fontId="11" fillId="0" borderId="1" xfId="0" applyFont="1" applyBorder="1"/>
    <xf numFmtId="0" fontId="11" fillId="0" borderId="1" xfId="0" applyFont="1" applyBorder="1" applyAlignment="1">
      <alignment horizontal="center" vertical="center"/>
    </xf>
    <xf numFmtId="0" fontId="5" fillId="0" borderId="0" xfId="0" applyFont="1" applyAlignment="1">
      <alignmen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 fillId="5" borderId="7"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0" fontId="1" fillId="5" borderId="5" xfId="0" applyFont="1" applyFill="1" applyBorder="1" applyAlignment="1">
      <alignment horizontal="left" vertical="center" wrapText="1"/>
    </xf>
    <xf numFmtId="0" fontId="1" fillId="5" borderId="10" xfId="0" applyFont="1" applyFill="1" applyBorder="1" applyAlignment="1">
      <alignment horizontal="left" vertical="center" wrapText="1"/>
    </xf>
    <xf numFmtId="0" fontId="0" fillId="0" borderId="30" xfId="0" quotePrefix="1" applyBorder="1" applyAlignment="1">
      <alignment horizontal="left" vertical="center"/>
    </xf>
    <xf numFmtId="0" fontId="0" fillId="0" borderId="0" xfId="0" quotePrefix="1" applyAlignment="1">
      <alignment horizontal="left" vertical="center"/>
    </xf>
    <xf numFmtId="0" fontId="0" fillId="0" borderId="26" xfId="0" quotePrefix="1" applyBorder="1" applyAlignment="1">
      <alignment horizontal="left" vertical="center"/>
    </xf>
    <xf numFmtId="0" fontId="0" fillId="0" borderId="9" xfId="0" quotePrefix="1" applyBorder="1" applyAlignment="1">
      <alignment horizontal="left" vertical="center"/>
    </xf>
    <xf numFmtId="0" fontId="0" fillId="0" borderId="5" xfId="0" quotePrefix="1" applyBorder="1" applyAlignment="1">
      <alignment horizontal="left" vertical="center"/>
    </xf>
    <xf numFmtId="0" fontId="0" fillId="0" borderId="10" xfId="0" quotePrefix="1" applyBorder="1" applyAlignment="1">
      <alignment horizontal="left"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0" fillId="0" borderId="7" xfId="0" quotePrefix="1" applyBorder="1" applyAlignment="1">
      <alignment horizontal="left" vertical="center" wrapText="1"/>
    </xf>
    <xf numFmtId="0" fontId="0" fillId="0" borderId="8" xfId="0" quotePrefix="1" applyBorder="1" applyAlignment="1">
      <alignment horizontal="left" vertical="center" wrapText="1"/>
    </xf>
    <xf numFmtId="0" fontId="0" fillId="0" borderId="30" xfId="0" quotePrefix="1" applyBorder="1" applyAlignment="1">
      <alignment horizontal="left" vertical="center" wrapText="1"/>
    </xf>
    <xf numFmtId="0" fontId="0" fillId="0" borderId="26" xfId="0" quotePrefix="1" applyBorder="1" applyAlignment="1">
      <alignment horizontal="left" vertical="center" wrapText="1"/>
    </xf>
    <xf numFmtId="0" fontId="0" fillId="0" borderId="9" xfId="0" quotePrefix="1" applyBorder="1" applyAlignment="1">
      <alignment horizontal="left" vertical="center" wrapText="1"/>
    </xf>
    <xf numFmtId="0" fontId="0" fillId="0" borderId="10" xfId="0" quotePrefix="1" applyBorder="1" applyAlignment="1">
      <alignment horizontal="left" vertical="center" wrapText="1"/>
    </xf>
    <xf numFmtId="0" fontId="0" fillId="0" borderId="0" xfId="0" quotePrefix="1" applyAlignment="1">
      <alignment horizontal="left" vertical="center" wrapText="1"/>
    </xf>
    <xf numFmtId="0" fontId="0" fillId="0" borderId="5" xfId="0" quotePrefix="1" applyBorder="1" applyAlignment="1">
      <alignment horizontal="left" vertical="center" wrapText="1"/>
    </xf>
    <xf numFmtId="0" fontId="0" fillId="0" borderId="7" xfId="0" quotePrefix="1" applyBorder="1" applyAlignment="1">
      <alignment horizontal="left" vertical="center"/>
    </xf>
    <xf numFmtId="0" fontId="0" fillId="0" borderId="8" xfId="0" quotePrefix="1"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0" fillId="0" borderId="36" xfId="0" applyBorder="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0" fillId="0" borderId="7"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6" xfId="0" quotePrefix="1" applyBorder="1" applyAlignment="1">
      <alignment horizontal="center" vertical="center"/>
    </xf>
    <xf numFmtId="0" fontId="0" fillId="0" borderId="8" xfId="0" quotePrefix="1" applyBorder="1" applyAlignment="1">
      <alignment horizontal="center" vertical="center"/>
    </xf>
    <xf numFmtId="0" fontId="0" fillId="0" borderId="0" xfId="0" applyAlignment="1">
      <alignment horizontal="center" vertical="center" wrapText="1"/>
    </xf>
    <xf numFmtId="0" fontId="0" fillId="0" borderId="26" xfId="0" applyBorder="1" applyAlignment="1">
      <alignment horizontal="center" vertical="center"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0" fillId="0" borderId="17" xfId="0" applyBorder="1" applyAlignment="1">
      <alignment horizontal="center" vertical="center"/>
    </xf>
    <xf numFmtId="0" fontId="7" fillId="0" borderId="17" xfId="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0" fillId="0" borderId="24"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7" fillId="0" borderId="25" xfId="1" applyBorder="1" applyAlignment="1">
      <alignment horizontal="center"/>
    </xf>
    <xf numFmtId="0" fontId="7" fillId="0" borderId="19" xfId="1" applyBorder="1" applyAlignment="1">
      <alignment horizontal="center"/>
    </xf>
    <xf numFmtId="0" fontId="7" fillId="0" borderId="16" xfId="1" applyBorder="1" applyAlignment="1">
      <alignment horizontal="center"/>
    </xf>
    <xf numFmtId="0" fontId="4" fillId="0" borderId="7" xfId="0" applyFont="1" applyBorder="1" applyAlignment="1">
      <alignment horizontal="center"/>
    </xf>
    <xf numFmtId="0" fontId="4" fillId="0" borderId="6" xfId="0" applyFont="1" applyBorder="1" applyAlignment="1">
      <alignment horizontal="center"/>
    </xf>
    <xf numFmtId="0" fontId="4" fillId="0" borderId="8"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nam12.safelinks.protection.outlook.com/?url=https%3A%2F%2Fseaak.net%2Falaska-snow-loads&amp;data=05%7C02%7Cmichael.schneider%40sunbeltmodular.com%7C1b4994f4a1b34858629c08dcd69421f7%7C5b92113cac094fe9813ce9b42b8ab6df%7C0%7C0%7C638621180962447294%7CUnknown%7CTWFpbGZsb3d8eyJWIjoiMC4wLjAwMDAiLCJQIjoiV2luMzIiLCJBTiI6Ik1haWwiLCJXVCI6Mn0%3D%7C0%7C%7C%7C&amp;sdata=m98icN8f8jT1urMvrRX7Z2D%2FgKYthxfmbLjNNWPWnj4%3D&amp;reserved=0"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eacolorado.org/docs/2016-Colorado-Design-Snow-Loads.pdf"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lib.uidaho.edu/digital/idahosnow/"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nowload.montana.edu/static/docs/MTSnowloads112105withMaps.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tatic1.squarespace.com/static/5c3faa364eddecdc367bedc5/t/5c50814a562fa7296ef9c419/1548779850480/WABO-SEAW+Snow+Load+White+Pap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AA2A-F891-4089-AC4A-35CFFAF5F2EB}">
  <dimension ref="A1:Y33"/>
  <sheetViews>
    <sheetView tabSelected="1" workbookViewId="0">
      <selection activeCell="C3" sqref="C3"/>
    </sheetView>
  </sheetViews>
  <sheetFormatPr defaultRowHeight="15" x14ac:dyDescent="0.25"/>
  <cols>
    <col min="3" max="3" width="14.140625" customWidth="1"/>
    <col min="8" max="8" width="10.42578125" customWidth="1"/>
    <col min="9" max="9" width="19.28515625" customWidth="1"/>
    <col min="11" max="11" width="11.42578125" customWidth="1"/>
    <col min="12" max="12" width="18.28515625" customWidth="1"/>
    <col min="15" max="16" width="9.140625" hidden="1" customWidth="1"/>
    <col min="17" max="23" width="8.85546875" hidden="1" customWidth="1"/>
    <col min="24" max="25" width="9.140625" hidden="1" customWidth="1"/>
  </cols>
  <sheetData>
    <row r="1" spans="1:25" ht="15.75" thickBot="1" x14ac:dyDescent="0.3">
      <c r="A1" s="91" t="str">
        <f>IF(S7&gt;S6,"ROOF SNOW LOAD (Low Slope), Pm",IF(D13&gt;=15,"ROOF SNOW LOAD (Low Slope), Ps","ROOF SNOW LOAD (Low Slope), Pf"))</f>
        <v>ROOF SNOW LOAD (Low Slope), Pf</v>
      </c>
      <c r="B1" s="92"/>
      <c r="C1" s="92"/>
      <c r="D1" s="92"/>
      <c r="E1" s="92"/>
      <c r="F1" s="92"/>
      <c r="G1" s="92"/>
      <c r="H1" s="92"/>
      <c r="I1" s="93"/>
    </row>
    <row r="2" spans="1:25" ht="15.75" thickBot="1" x14ac:dyDescent="0.3"/>
    <row r="3" spans="1:25" ht="15.75" thickBot="1" x14ac:dyDescent="0.3">
      <c r="B3" s="4" t="s">
        <v>16</v>
      </c>
      <c r="C3" s="8">
        <v>24</v>
      </c>
      <c r="E3" s="4" t="s">
        <v>10</v>
      </c>
      <c r="F3" s="8">
        <v>60</v>
      </c>
      <c r="H3" s="4" t="s">
        <v>15</v>
      </c>
      <c r="I3" s="8" t="s">
        <v>772</v>
      </c>
      <c r="K3" s="10" t="s">
        <v>83</v>
      </c>
      <c r="L3" s="11" t="s">
        <v>86</v>
      </c>
      <c r="P3" t="s">
        <v>79</v>
      </c>
      <c r="S3">
        <f>IF(AND(AND(D12&lt;=7),I5=P5,D9&lt;=1.1),0.7*D7*D9*D11*D5,IF(AND(AND(D12&lt;=8),I5=P5,D9&lt;=1.1),0.9*(0.7*D7*D9*D11*D5),IF(AND(AND(D12&lt;=9),I5=P5,D9&lt;=1.1),0.85*(0.7*D7*D9*D11*D5),IF(AND(AND(D12&lt;=10),I5=P5,D9&lt;=1.1),0.78*(0.7*D7*D9*D11*D5),IF(AND(AND(D12&lt;=11),I5=P5,D9&lt;=1.1),0.7*(0.7*D7*D9*D11*D5),IF(AND(AND(D12&lt;=12),I5=P5,D9&lt;=1.1),0.6*(0.7*D7*D9*D11*D5),IF(AND(AND(AND(D12&lt;=9),I5=P5),D9&gt;1.1,D9&lt;1.2),0.7*D7*D9*D11*D5,IF(AND(AND(AND(D12&lt;=10),I5=P5),D9&gt;1.1,D9&lt;1.2),0.95*(0.7*D7*D9*D11*D5),IF(AND(AND(AND(D12&lt;=11),I5=P5),D9&gt;1.1,D9&lt;1.2),0.85*(0.7*D7*D9*D11*D5),IF(AND(AND(AND(D12&lt;=12),I5=P5),D9&gt;1.1,D9&lt;1.2),0.75*(0.7*D7*D9*D11*D5),IF(AND(I5=P5,D9&gt;=1.2),0.7*D7*D9*D11*D5,0.7*D7*D9*D11*D5)))))))))))</f>
        <v>34.985999999999997</v>
      </c>
      <c r="T3" t="s">
        <v>703</v>
      </c>
    </row>
    <row r="4" spans="1:25" ht="15.75" thickBot="1" x14ac:dyDescent="0.3">
      <c r="K4" s="12" t="s">
        <v>84</v>
      </c>
      <c r="L4" s="13" t="s">
        <v>85</v>
      </c>
      <c r="P4" t="s">
        <v>81</v>
      </c>
      <c r="S4">
        <f>IF(AND(AND(D12&lt;=7),I5=P5,D9&lt;=1.1),(D22/(0.7*D7*D9*D11)),IF(AND(AND(D12&lt;=8),I5=P5,D9&lt;=1.1),(D22/(0.9*(0.7*D7*D9*D11))),IF(AND(AND(D12&lt;=9),I5=P5,D9&lt;=1.1),(D22/(0.85*(0.7*D7*D9*D11))),IF(AND(AND(D12&lt;=10),I5=P5,D9&lt;=1.1),(D22/(0.78*(0.7*D7*D9*D11))),IF(AND(AND(D12&lt;=11),I5=P5,D9&lt;=1.1),(D22/(0.7*(0.7*D7*D9*D11))),IF(AND(AND(D12&lt;=12),I5=P5,D9&lt;=1.1),(D22/(0.6*(0.7*D7*D9*D11))),IF(AND(AND(AND(D12&lt;=9),I5=P5),D9&gt;1.1,D9&lt;1.2),(D22/(0.7*D7*D9*D11)),IF(AND(AND(AND(D12&lt;=10),I5=P5),D9&gt;1.1,D9&lt;1.2),(D22/(0.95*(0.7*D7*D9*D11))),IF(AND(AND(AND(D12&lt;=11),I5=P5),D9&gt;1.1,D9&lt;1.2),(D22/(0.85*(0.7*D7*D9*D11))),IF(AND(AND(AND(D12&lt;=12),I5=P5),D9&gt;1.1,D9&lt;1.2),(D22/(0.75*(0.7*D7*D9*D11))),IF(AND(I5=P5,D9&gt;=1.2),(D22/(0.7*D7*D9*D11)),(D22/(0.7*D7*D9*D11)))))))))))))</f>
        <v>36.014405762304925</v>
      </c>
      <c r="T4" t="s">
        <v>704</v>
      </c>
    </row>
    <row r="5" spans="1:25" ht="15.75" thickBot="1" x14ac:dyDescent="0.3">
      <c r="C5" s="2" t="s">
        <v>693</v>
      </c>
      <c r="D5" s="64">
        <v>42</v>
      </c>
      <c r="E5" s="3" t="s">
        <v>0</v>
      </c>
      <c r="F5" s="3"/>
      <c r="H5" s="4" t="s">
        <v>78</v>
      </c>
      <c r="I5" s="8" t="s">
        <v>80</v>
      </c>
      <c r="K5" s="14" t="s">
        <v>87</v>
      </c>
      <c r="L5" s="15" t="s">
        <v>88</v>
      </c>
      <c r="P5" t="s">
        <v>80</v>
      </c>
    </row>
    <row r="6" spans="1:25" ht="15.75" thickBot="1" x14ac:dyDescent="0.3">
      <c r="C6" s="4" t="s">
        <v>1</v>
      </c>
      <c r="D6" s="8" t="s">
        <v>2</v>
      </c>
      <c r="E6" s="5"/>
      <c r="F6" s="5"/>
      <c r="S6" s="51">
        <f>SUM(0.7*D7*D9*D11*D5)</f>
        <v>34.985999999999997</v>
      </c>
      <c r="T6" t="s">
        <v>705</v>
      </c>
    </row>
    <row r="7" spans="1:25" ht="15.75" thickBot="1" x14ac:dyDescent="0.3">
      <c r="C7" s="2" t="s">
        <v>11</v>
      </c>
      <c r="D7" s="6">
        <f>P31</f>
        <v>1</v>
      </c>
      <c r="E7" s="5"/>
      <c r="F7" s="3"/>
      <c r="H7" s="4" t="s">
        <v>113</v>
      </c>
      <c r="I7" s="8">
        <v>50</v>
      </c>
      <c r="J7" s="9" t="s">
        <v>692</v>
      </c>
      <c r="S7" s="51">
        <f>IF(D13&gt;15,0,IF(AND(AND(D10="I"),I5=P5,D13&lt;=15),25,IF(AND(AND(D10="ii"),I5=P5,D13&lt;=15),30,IF(AND(AND(D10="iii"),I5=P5,D13&lt;=15),35,IF(AND(AND(D10="iv"),I5=P5,D13&lt;=15),40,IF(AND(D13&lt;=15,D5&lt;=20),D5*D11,20*D11))))))</f>
        <v>30</v>
      </c>
      <c r="T7" t="s">
        <v>706</v>
      </c>
    </row>
    <row r="8" spans="1:25" ht="15.75" thickBot="1" x14ac:dyDescent="0.3">
      <c r="C8" s="2" t="s">
        <v>82</v>
      </c>
      <c r="D8" s="8" t="s">
        <v>678</v>
      </c>
      <c r="E8" s="5"/>
      <c r="F8" s="3"/>
      <c r="S8" s="6">
        <f>IF(AND(D5&lt;10,I5=P5),1.2,IF(AND(I5=P5,D8="yes"),1.2,IF(AND(AND(AND(I5=P5),D8="no"),P21=0,D5&gt;70),INDEX(Y14:Y17,MATCH(P19,P14:P17,0)),IF(AND(AND(I5=P5),D8="no",P21=0),INDEX(R14:X17,MATCH(I7,P14:P17,0),MATCH(D5,R13:Y13,0)),IF(AND(I5=P5,D8="no"),P21,IF(AND(OR(I5=P3,I5=P4,I5=P5),D8="yes"),1.1,1))))))</f>
        <v>1.19</v>
      </c>
      <c r="T8" t="s">
        <v>707</v>
      </c>
    </row>
    <row r="9" spans="1:25" ht="15.75" thickBot="1" x14ac:dyDescent="0.3">
      <c r="C9" s="2" t="s">
        <v>12</v>
      </c>
      <c r="D9" s="6">
        <f>S8</f>
        <v>1.19</v>
      </c>
      <c r="E9" s="3"/>
      <c r="F9" s="3"/>
      <c r="I9" s="9" t="s">
        <v>659</v>
      </c>
      <c r="S9" s="6">
        <f>IF(D10="I",0.8,IF(D10="II",1,IF(D10="III",1.1,IF(D10="IV",1.2))))</f>
        <v>1</v>
      </c>
      <c r="T9" t="s">
        <v>708</v>
      </c>
    </row>
    <row r="10" spans="1:25" ht="15.75" thickBot="1" x14ac:dyDescent="0.3">
      <c r="C10" s="2" t="s">
        <v>3</v>
      </c>
      <c r="D10" s="8" t="s">
        <v>677</v>
      </c>
      <c r="E10" s="5"/>
      <c r="F10" s="3"/>
      <c r="I10" s="9" t="s">
        <v>660</v>
      </c>
      <c r="S10" s="6">
        <f>IF(AND(AND(I5=P5),S6&lt;S7,D13&lt;D16/50),8,IF(AND(AND(OR(I5=P3,I5=P4)),S6&lt;S7,D13&lt;D16/50),5,0))</f>
        <v>0</v>
      </c>
      <c r="T10" t="s">
        <v>709</v>
      </c>
    </row>
    <row r="11" spans="1:25" ht="15.75" thickBot="1" x14ac:dyDescent="0.3">
      <c r="C11" s="2" t="s">
        <v>661</v>
      </c>
      <c r="D11" s="6">
        <f>IF(D10="I",0.8,IF(D10="II",1,IF(D10="III",1.1,IF(D10="IV",1.2))))</f>
        <v>1</v>
      </c>
      <c r="E11" s="5"/>
      <c r="F11" s="5"/>
      <c r="I11" s="9" t="s">
        <v>760</v>
      </c>
    </row>
    <row r="12" spans="1:25" ht="15.75" thickBot="1" x14ac:dyDescent="0.3">
      <c r="C12" s="16" t="s">
        <v>114</v>
      </c>
      <c r="D12" s="68">
        <v>0.25</v>
      </c>
      <c r="E12" s="90" t="s">
        <v>702</v>
      </c>
      <c r="F12" s="5"/>
      <c r="G12" s="65"/>
      <c r="P12" s="59" t="s">
        <v>684</v>
      </c>
    </row>
    <row r="13" spans="1:25" x14ac:dyDescent="0.25">
      <c r="C13" s="2" t="s">
        <v>115</v>
      </c>
      <c r="D13" s="18">
        <f>ATAN(D12/12)*(180/PI())</f>
        <v>1.1934894239820351</v>
      </c>
      <c r="E13" s="17"/>
      <c r="F13" s="5"/>
      <c r="P13" s="60" t="s">
        <v>685</v>
      </c>
      <c r="Q13" s="60" t="s">
        <v>686</v>
      </c>
      <c r="R13">
        <v>10</v>
      </c>
      <c r="S13">
        <v>20</v>
      </c>
      <c r="T13">
        <v>30</v>
      </c>
      <c r="U13">
        <v>40</v>
      </c>
      <c r="V13">
        <v>50</v>
      </c>
      <c r="W13">
        <v>60</v>
      </c>
      <c r="X13">
        <v>70</v>
      </c>
      <c r="Y13">
        <v>105</v>
      </c>
    </row>
    <row r="14" spans="1:25" x14ac:dyDescent="0.25">
      <c r="C14" s="2" t="s">
        <v>13</v>
      </c>
      <c r="D14" s="51">
        <f>S6+D17</f>
        <v>34.985999999999997</v>
      </c>
      <c r="E14" s="3" t="s">
        <v>0</v>
      </c>
      <c r="F14" s="3"/>
      <c r="P14">
        <v>20</v>
      </c>
      <c r="Q14">
        <f>1/P14</f>
        <v>0.05</v>
      </c>
      <c r="R14">
        <v>1.2</v>
      </c>
      <c r="S14">
        <v>1.1100000000000001</v>
      </c>
      <c r="T14">
        <v>1.05</v>
      </c>
      <c r="U14">
        <v>1.01</v>
      </c>
      <c r="V14">
        <v>1</v>
      </c>
      <c r="W14">
        <v>1</v>
      </c>
      <c r="X14">
        <v>1</v>
      </c>
      <c r="Y14">
        <v>1</v>
      </c>
    </row>
    <row r="15" spans="1:25" x14ac:dyDescent="0.25">
      <c r="C15" s="2" t="s">
        <v>14</v>
      </c>
      <c r="D15" s="51">
        <f>S7</f>
        <v>30</v>
      </c>
      <c r="E15" s="3" t="s">
        <v>0</v>
      </c>
      <c r="F15" s="5"/>
      <c r="P15">
        <v>30</v>
      </c>
      <c r="Q15">
        <f t="shared" ref="Q15:Q17" si="0">1/P15</f>
        <v>3.3333333333333333E-2</v>
      </c>
      <c r="R15">
        <v>1.2</v>
      </c>
      <c r="S15">
        <v>1.17</v>
      </c>
      <c r="T15">
        <v>1.1399999999999999</v>
      </c>
      <c r="U15">
        <v>1.1299999999999999</v>
      </c>
      <c r="V15">
        <v>1.1200000000000001</v>
      </c>
      <c r="W15">
        <v>1.1100000000000001</v>
      </c>
      <c r="X15">
        <v>1.1000000000000001</v>
      </c>
      <c r="Y15">
        <v>1.1000000000000001</v>
      </c>
    </row>
    <row r="16" spans="1:25" x14ac:dyDescent="0.25">
      <c r="C16" s="2" t="s">
        <v>4</v>
      </c>
      <c r="D16" s="6">
        <f>IF(I3="transverse/complex",F3/2,IF(I3="single slope",F3,IF(I3="mono (dbl. wide)",C3/2,C3)))</f>
        <v>30</v>
      </c>
      <c r="E16" s="5" t="s">
        <v>5</v>
      </c>
      <c r="F16" s="5"/>
      <c r="P16">
        <v>40</v>
      </c>
      <c r="Q16">
        <f t="shared" si="0"/>
        <v>2.5000000000000001E-2</v>
      </c>
      <c r="R16">
        <v>1.2</v>
      </c>
      <c r="S16">
        <v>1.19</v>
      </c>
      <c r="T16">
        <v>1.17</v>
      </c>
      <c r="U16">
        <v>1.1599999999999999</v>
      </c>
      <c r="V16">
        <v>1.1599999999999999</v>
      </c>
      <c r="W16">
        <v>1.1499999999999999</v>
      </c>
      <c r="X16">
        <v>1.1499999999999999</v>
      </c>
      <c r="Y16">
        <v>1.1499999999999999</v>
      </c>
    </row>
    <row r="17" spans="1:25" ht="15.75" thickBot="1" x14ac:dyDescent="0.3">
      <c r="C17" s="4" t="s">
        <v>6</v>
      </c>
      <c r="D17" s="6">
        <f>S10</f>
        <v>0</v>
      </c>
      <c r="E17" s="5" t="s">
        <v>0</v>
      </c>
      <c r="F17" s="5"/>
      <c r="P17">
        <v>50</v>
      </c>
      <c r="Q17">
        <f t="shared" si="0"/>
        <v>0.02</v>
      </c>
      <c r="R17">
        <v>1.2</v>
      </c>
      <c r="S17">
        <v>1.2</v>
      </c>
      <c r="T17">
        <v>1.19</v>
      </c>
      <c r="U17">
        <v>1.19</v>
      </c>
      <c r="V17">
        <v>1.19</v>
      </c>
      <c r="W17">
        <v>1.18</v>
      </c>
      <c r="X17">
        <v>1.18</v>
      </c>
      <c r="Y17">
        <v>1.18</v>
      </c>
    </row>
    <row r="18" spans="1:25" ht="15.75" thickBot="1" x14ac:dyDescent="0.3">
      <c r="C18" s="2" t="str">
        <f>IF(D13&gt;15,"Calculated Roof Snow Load (Ps) =",IF(S7&lt;S6,"Calculated Roof Snow Load (Pf) =","Calculated Roof Snow Load (Pm) ="))</f>
        <v>Calculated Roof Snow Load (Pf) =</v>
      </c>
      <c r="D18" s="47">
        <f>MAX(S6,S7)</f>
        <v>34.985999999999997</v>
      </c>
      <c r="E18" s="7" t="s">
        <v>0</v>
      </c>
      <c r="Q18" s="60" t="s">
        <v>687</v>
      </c>
      <c r="R18" t="s">
        <v>688</v>
      </c>
    </row>
    <row r="19" spans="1:25" ht="15.75" thickBot="1" x14ac:dyDescent="0.3">
      <c r="A19" s="1"/>
      <c r="B19" s="1"/>
      <c r="C19" s="2" t="str">
        <f>IF(D13&gt;15,"(Ps = CsPf)",IF(S7&lt;S6,"(Pf = 0.7PgCeCtIs)",IF(S7=S6,"(Pf = Pg x Ce x Ct x I x 0.7)",IF(AND(I5=P5,S7&gt;S6),"(Pm=Pm,max)","(Pm=IsPg)"))))</f>
        <v>(Pf = 0.7PgCeCtIs)</v>
      </c>
      <c r="D19" s="1"/>
      <c r="E19" s="1"/>
      <c r="F19" s="1"/>
      <c r="G19" s="1"/>
      <c r="H19" s="1"/>
      <c r="I19" s="1"/>
      <c r="O19" s="61" t="s">
        <v>689</v>
      </c>
      <c r="P19">
        <f>I7</f>
        <v>50</v>
      </c>
      <c r="Q19">
        <f>IF(P19&lt;P14,1,IF(P19&lt;P15,2,IF(P19&lt;P16,3,4)))</f>
        <v>4</v>
      </c>
      <c r="R19" s="62">
        <f t="shared" ref="R19:Y19" si="1">CHOOSE($Q$19-1,R14,R15,R16,R17)+(CHOOSE($Q$19,R14,R15,R16,R17)-CHOOSE($Q$19-1,R14,R15,R16,R17))*($P$19-CHOOSE($Q$19-1,$P$14,$P$15,$P$16,$P$17))/(CHOOSE($Q$19,$P$14,$P$15,$P$16,$P$17)-CHOOSE($Q$19-1,$P$14,$P$15,$P$16,$P$17))</f>
        <v>1.2</v>
      </c>
      <c r="S19" s="62">
        <f t="shared" si="1"/>
        <v>1.2</v>
      </c>
      <c r="T19" s="62">
        <f t="shared" si="1"/>
        <v>1.19</v>
      </c>
      <c r="U19" s="62">
        <f t="shared" si="1"/>
        <v>1.19</v>
      </c>
      <c r="V19" s="62">
        <f t="shared" si="1"/>
        <v>1.19</v>
      </c>
      <c r="W19" s="62">
        <f t="shared" si="1"/>
        <v>1.18</v>
      </c>
      <c r="X19" s="62">
        <f t="shared" si="1"/>
        <v>1.18</v>
      </c>
      <c r="Y19" s="62">
        <f t="shared" si="1"/>
        <v>1.18</v>
      </c>
    </row>
    <row r="20" spans="1:25" ht="15.75" thickBot="1" x14ac:dyDescent="0.3">
      <c r="A20" s="94" t="s">
        <v>9</v>
      </c>
      <c r="B20" s="95"/>
      <c r="C20" s="95"/>
      <c r="D20" s="95"/>
      <c r="E20" s="95"/>
      <c r="F20" s="95"/>
      <c r="G20" s="95"/>
      <c r="H20" s="95"/>
      <c r="I20" s="96"/>
      <c r="O20" s="61" t="s">
        <v>690</v>
      </c>
      <c r="P20" s="63">
        <f>D5</f>
        <v>42</v>
      </c>
      <c r="R20" t="str">
        <f t="shared" ref="R20:X20" si="2">IF(AND(($P$20-R13)&lt;10,$P$20&gt;R13),R19+(S19-R19)*($P$20-R13)/(S13-R13),"")</f>
        <v/>
      </c>
      <c r="S20" t="str">
        <f t="shared" si="2"/>
        <v/>
      </c>
      <c r="T20" t="str">
        <f t="shared" si="2"/>
        <v/>
      </c>
      <c r="U20">
        <f t="shared" si="2"/>
        <v>1.19</v>
      </c>
      <c r="V20" t="str">
        <f t="shared" si="2"/>
        <v/>
      </c>
      <c r="W20" t="str">
        <f t="shared" si="2"/>
        <v/>
      </c>
      <c r="X20" t="str">
        <f t="shared" si="2"/>
        <v/>
      </c>
    </row>
    <row r="21" spans="1:25" ht="15.75" thickBot="1" x14ac:dyDescent="0.3">
      <c r="A21" s="5"/>
      <c r="B21" s="5"/>
      <c r="E21" s="5"/>
      <c r="F21" s="5"/>
      <c r="G21" s="5"/>
      <c r="H21" s="5"/>
      <c r="I21" s="5"/>
      <c r="O21" s="61" t="s">
        <v>691</v>
      </c>
      <c r="P21" s="60">
        <f>IF(I7="&gt;50",1.2,SUM(R20:X20))</f>
        <v>1.19</v>
      </c>
      <c r="R21" s="62"/>
    </row>
    <row r="22" spans="1:25" ht="15.75" thickBot="1" x14ac:dyDescent="0.3">
      <c r="A22" s="5"/>
      <c r="B22" s="5"/>
      <c r="C22" s="4" t="s">
        <v>7</v>
      </c>
      <c r="D22" s="64">
        <v>30</v>
      </c>
      <c r="E22" s="5" t="s">
        <v>0</v>
      </c>
      <c r="F22" s="97" t="s">
        <v>710</v>
      </c>
      <c r="G22" s="98"/>
      <c r="H22" s="98"/>
      <c r="I22" s="99"/>
    </row>
    <row r="23" spans="1:25" ht="15.75" thickBot="1" x14ac:dyDescent="0.3">
      <c r="A23" s="5"/>
      <c r="B23" s="5"/>
      <c r="C23" s="4" t="s">
        <v>8</v>
      </c>
      <c r="D23" s="47">
        <f>SUM((D22)/(0.7*D7*D9*D11))</f>
        <v>36.014405762304925</v>
      </c>
      <c r="E23" s="5" t="s">
        <v>0</v>
      </c>
      <c r="F23" s="100"/>
      <c r="G23" s="101"/>
      <c r="H23" s="101"/>
      <c r="I23" s="102"/>
    </row>
    <row r="24" spans="1:25" x14ac:dyDescent="0.25">
      <c r="A24" s="5"/>
      <c r="B24" s="5"/>
      <c r="C24" s="5"/>
      <c r="D24" s="5"/>
      <c r="E24" s="5"/>
      <c r="F24" s="5"/>
      <c r="G24" s="5"/>
      <c r="H24" s="5"/>
      <c r="I24" s="5"/>
      <c r="P24" t="s">
        <v>701</v>
      </c>
    </row>
    <row r="25" spans="1:25" x14ac:dyDescent="0.25">
      <c r="A25" s="5"/>
      <c r="B25" s="5"/>
      <c r="C25" s="5"/>
      <c r="D25" s="5"/>
      <c r="E25" s="5"/>
      <c r="F25" s="5"/>
      <c r="G25" s="5"/>
      <c r="H25" s="5"/>
      <c r="I25" s="5"/>
      <c r="Q25" t="s">
        <v>698</v>
      </c>
      <c r="R25" t="s">
        <v>696</v>
      </c>
      <c r="S25" t="s">
        <v>697</v>
      </c>
    </row>
    <row r="26" spans="1:25" x14ac:dyDescent="0.25">
      <c r="A26" s="5"/>
      <c r="B26" s="5"/>
      <c r="C26" s="5"/>
      <c r="D26" s="5"/>
      <c r="E26" s="5"/>
      <c r="F26" s="5"/>
      <c r="G26" s="19"/>
      <c r="H26" s="5"/>
      <c r="I26" s="5"/>
      <c r="P26" t="s">
        <v>695</v>
      </c>
      <c r="Q26">
        <v>0.9</v>
      </c>
      <c r="R26">
        <v>1</v>
      </c>
      <c r="S26">
        <v>1.2</v>
      </c>
    </row>
    <row r="27" spans="1:25" x14ac:dyDescent="0.25">
      <c r="A27" s="5"/>
      <c r="B27" s="5"/>
      <c r="C27" s="5"/>
      <c r="D27" s="19"/>
      <c r="E27" s="5"/>
      <c r="F27" s="5"/>
      <c r="G27" s="5"/>
      <c r="H27" s="5"/>
      <c r="I27" s="5"/>
      <c r="P27" t="s">
        <v>2</v>
      </c>
      <c r="Q27">
        <v>0.9</v>
      </c>
      <c r="R27">
        <v>1</v>
      </c>
      <c r="S27">
        <v>1.1000000000000001</v>
      </c>
    </row>
    <row r="28" spans="1:25" x14ac:dyDescent="0.25">
      <c r="P28" t="s">
        <v>694</v>
      </c>
      <c r="Q28">
        <v>0.8</v>
      </c>
      <c r="R28">
        <v>0.9</v>
      </c>
      <c r="S28">
        <v>1</v>
      </c>
    </row>
    <row r="29" spans="1:25" ht="15.75" thickBot="1" x14ac:dyDescent="0.3"/>
    <row r="30" spans="1:25" ht="15.75" thickBot="1" x14ac:dyDescent="0.3">
      <c r="F30" s="20"/>
      <c r="P30" s="66" t="s">
        <v>696</v>
      </c>
      <c r="Q30" t="s">
        <v>699</v>
      </c>
    </row>
    <row r="31" spans="1:25" ht="15.75" thickBot="1" x14ac:dyDescent="0.3">
      <c r="P31" s="67">
        <f>INDEX(Q26:S28,MATCH(D6,P26:P28,0),MATCH(P30,Q25:S25,0))</f>
        <v>1</v>
      </c>
      <c r="Q31" t="s">
        <v>700</v>
      </c>
    </row>
    <row r="33" spans="4:4" x14ac:dyDescent="0.25">
      <c r="D33" s="20"/>
    </row>
  </sheetData>
  <mergeCells count="3">
    <mergeCell ref="A1:I1"/>
    <mergeCell ref="A20:I20"/>
    <mergeCell ref="F22:I23"/>
  </mergeCells>
  <dataValidations count="7">
    <dataValidation type="list" allowBlank="1" showInputMessage="1" showErrorMessage="1" sqref="D10" xr:uid="{1F55B27D-0663-4394-B723-CBB5720BB49C}">
      <formula1>"I,II,III,IV"</formula1>
    </dataValidation>
    <dataValidation type="list" allowBlank="1" showInputMessage="1" showErrorMessage="1" sqref="D6" xr:uid="{4D84B559-8BB0-4AA2-BA75-5ED1C1147D71}">
      <formula1>"B,C,D"</formula1>
    </dataValidation>
    <dataValidation type="list" allowBlank="1" showInputMessage="1" showErrorMessage="1" sqref="I3" xr:uid="{64D9D5A8-02C8-4CA3-A37E-CACE94F0D0A8}">
      <formula1>"Transverse/Complex, Single Slope, Mono (Dbl. Wide), Mono (Single Wide)"</formula1>
    </dataValidation>
    <dataValidation type="list" allowBlank="1" showInputMessage="1" showErrorMessage="1" sqref="D8" xr:uid="{8320747E-D1AA-471B-BF8E-25500BD67BEF}">
      <formula1>"Yes,No"</formula1>
    </dataValidation>
    <dataValidation type="list" allowBlank="1" showInputMessage="1" showErrorMessage="1" sqref="I5" xr:uid="{0FDEA482-6889-4546-94B3-1FB8B02B51EF}">
      <formula1>$P$3:$P$5</formula1>
    </dataValidation>
    <dataValidation type="list" allowBlank="1" showInputMessage="1" showErrorMessage="1" sqref="I7" xr:uid="{078EDC78-7013-4FE5-A62D-11A09240E9FD}">
      <formula1>"20,30,40,50,&gt;50"</formula1>
    </dataValidation>
    <dataValidation type="list" allowBlank="1" showInputMessage="1" showErrorMessage="1" sqref="P30" xr:uid="{97472852-F465-4E3F-BC08-AAA76B241C80}">
      <formula1>"Fully, Partial, Sheltered"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6A07-CF26-4D3B-B1D5-724774A8C3F8}">
  <dimension ref="A1:K110"/>
  <sheetViews>
    <sheetView workbookViewId="0">
      <selection activeCell="B19" sqref="B19:C19"/>
    </sheetView>
  </sheetViews>
  <sheetFormatPr defaultRowHeight="15" x14ac:dyDescent="0.25"/>
  <cols>
    <col min="2" max="2" width="8.5703125" customWidth="1"/>
    <col min="3" max="3" width="105.7109375" customWidth="1"/>
  </cols>
  <sheetData>
    <row r="1" spans="1:5" ht="30" customHeight="1" thickBot="1" x14ac:dyDescent="0.3">
      <c r="A1" s="87" t="s">
        <v>711</v>
      </c>
      <c r="B1" s="137" t="s">
        <v>712</v>
      </c>
      <c r="C1" s="138"/>
      <c r="E1" s="69" t="s">
        <v>722</v>
      </c>
    </row>
    <row r="2" spans="1:5" x14ac:dyDescent="0.25">
      <c r="A2" s="109" t="s">
        <v>713</v>
      </c>
      <c r="B2" s="139" t="s">
        <v>714</v>
      </c>
      <c r="C2" s="140"/>
      <c r="D2" s="70" t="s">
        <v>718</v>
      </c>
    </row>
    <row r="3" spans="1:5" x14ac:dyDescent="0.25">
      <c r="A3" s="110"/>
      <c r="B3" s="6"/>
      <c r="C3" s="71" t="s">
        <v>716</v>
      </c>
    </row>
    <row r="4" spans="1:5" x14ac:dyDescent="0.25">
      <c r="A4" s="110"/>
      <c r="B4" s="6"/>
      <c r="C4" s="71" t="s">
        <v>715</v>
      </c>
    </row>
    <row r="5" spans="1:5" ht="15.75" thickBot="1" x14ac:dyDescent="0.3">
      <c r="A5" s="111"/>
      <c r="B5" s="77"/>
      <c r="C5" s="79" t="s">
        <v>717</v>
      </c>
    </row>
    <row r="6" spans="1:5" ht="15.75" thickBot="1" x14ac:dyDescent="0.3">
      <c r="A6" s="89" t="s">
        <v>677</v>
      </c>
      <c r="B6" s="95" t="s">
        <v>720</v>
      </c>
      <c r="C6" s="96"/>
      <c r="D6" s="70" t="s">
        <v>747</v>
      </c>
    </row>
    <row r="7" spans="1:5" x14ac:dyDescent="0.25">
      <c r="A7" s="109" t="s">
        <v>721</v>
      </c>
      <c r="B7" s="141" t="s">
        <v>719</v>
      </c>
      <c r="C7" s="142"/>
    </row>
    <row r="8" spans="1:5" x14ac:dyDescent="0.25">
      <c r="A8" s="110"/>
      <c r="B8" s="81"/>
      <c r="C8" s="71" t="s">
        <v>757</v>
      </c>
      <c r="D8" s="70" t="s">
        <v>723</v>
      </c>
    </row>
    <row r="9" spans="1:5" x14ac:dyDescent="0.25">
      <c r="A9" s="110"/>
      <c r="B9" s="6"/>
      <c r="C9" s="71" t="s">
        <v>758</v>
      </c>
      <c r="D9" s="70" t="s">
        <v>723</v>
      </c>
    </row>
    <row r="10" spans="1:5" ht="30" customHeight="1" x14ac:dyDescent="0.25">
      <c r="A10" s="110"/>
      <c r="B10" s="6"/>
      <c r="C10" s="72" t="s">
        <v>724</v>
      </c>
    </row>
    <row r="11" spans="1:5" x14ac:dyDescent="0.25">
      <c r="A11" s="110"/>
      <c r="B11" s="6"/>
      <c r="C11" s="71" t="s">
        <v>725</v>
      </c>
      <c r="D11" s="70" t="s">
        <v>723</v>
      </c>
    </row>
    <row r="12" spans="1:5" ht="30" customHeight="1" x14ac:dyDescent="0.25">
      <c r="A12" s="110"/>
      <c r="B12" s="6"/>
      <c r="C12" s="72" t="s">
        <v>726</v>
      </c>
    </row>
    <row r="13" spans="1:5" x14ac:dyDescent="0.25">
      <c r="A13" s="110"/>
      <c r="B13" s="6"/>
      <c r="C13" s="71" t="s">
        <v>727</v>
      </c>
    </row>
    <row r="14" spans="1:5" x14ac:dyDescent="0.25">
      <c r="A14" s="110"/>
      <c r="B14" s="6"/>
      <c r="C14" s="71" t="s">
        <v>728</v>
      </c>
    </row>
    <row r="15" spans="1:5" ht="30" customHeight="1" x14ac:dyDescent="0.25">
      <c r="A15" s="110"/>
      <c r="B15" s="6"/>
      <c r="C15" s="72" t="s">
        <v>729</v>
      </c>
    </row>
    <row r="16" spans="1:5" x14ac:dyDescent="0.25">
      <c r="A16" s="110"/>
      <c r="B16" s="6"/>
      <c r="C16" s="73" t="s">
        <v>730</v>
      </c>
    </row>
    <row r="17" spans="1:4" ht="30" customHeight="1" x14ac:dyDescent="0.25">
      <c r="A17" s="110"/>
      <c r="B17" s="6"/>
      <c r="C17" s="74" t="s">
        <v>731</v>
      </c>
    </row>
    <row r="18" spans="1:4" ht="15.75" thickBot="1" x14ac:dyDescent="0.3">
      <c r="A18" s="111"/>
      <c r="B18" s="77"/>
      <c r="C18" s="80" t="s">
        <v>732</v>
      </c>
    </row>
    <row r="19" spans="1:4" ht="30" customHeight="1" x14ac:dyDescent="0.25">
      <c r="A19" s="109" t="s">
        <v>733</v>
      </c>
      <c r="B19" s="143" t="s">
        <v>745</v>
      </c>
      <c r="C19" s="144"/>
    </row>
    <row r="20" spans="1:4" x14ac:dyDescent="0.25">
      <c r="A20" s="110"/>
      <c r="B20" s="6"/>
      <c r="C20" s="73" t="s">
        <v>746</v>
      </c>
    </row>
    <row r="21" spans="1:4" x14ac:dyDescent="0.25">
      <c r="A21" s="110"/>
      <c r="B21" s="6"/>
      <c r="C21" s="73" t="s">
        <v>734</v>
      </c>
    </row>
    <row r="22" spans="1:4" x14ac:dyDescent="0.25">
      <c r="A22" s="110"/>
      <c r="B22" s="6"/>
      <c r="C22" s="76" t="s">
        <v>744</v>
      </c>
    </row>
    <row r="23" spans="1:4" x14ac:dyDescent="0.25">
      <c r="A23" s="110"/>
      <c r="B23" s="6"/>
      <c r="C23" s="73" t="s">
        <v>743</v>
      </c>
      <c r="D23" s="70" t="s">
        <v>771</v>
      </c>
    </row>
    <row r="24" spans="1:4" x14ac:dyDescent="0.25">
      <c r="A24" s="110"/>
      <c r="B24" s="6"/>
      <c r="C24" s="73" t="s">
        <v>735</v>
      </c>
    </row>
    <row r="25" spans="1:4" x14ac:dyDescent="0.25">
      <c r="A25" s="110"/>
      <c r="B25" s="6"/>
      <c r="C25" s="76" t="s">
        <v>736</v>
      </c>
    </row>
    <row r="26" spans="1:4" ht="30" customHeight="1" x14ac:dyDescent="0.25">
      <c r="A26" s="110"/>
      <c r="B26" s="6"/>
      <c r="C26" s="86" t="s">
        <v>737</v>
      </c>
    </row>
    <row r="27" spans="1:4" x14ac:dyDescent="0.25">
      <c r="A27" s="110"/>
      <c r="B27" s="6"/>
      <c r="C27" s="73" t="s">
        <v>738</v>
      </c>
    </row>
    <row r="28" spans="1:4" ht="30" x14ac:dyDescent="0.25">
      <c r="A28" s="110"/>
      <c r="B28" s="6"/>
      <c r="C28" s="74" t="s">
        <v>739</v>
      </c>
    </row>
    <row r="29" spans="1:4" x14ac:dyDescent="0.25">
      <c r="A29" s="110"/>
      <c r="B29" s="6"/>
      <c r="C29" s="75" t="s">
        <v>732</v>
      </c>
    </row>
    <row r="30" spans="1:4" x14ac:dyDescent="0.25">
      <c r="A30" s="110"/>
      <c r="B30" s="6"/>
      <c r="C30" s="73" t="s">
        <v>740</v>
      </c>
    </row>
    <row r="31" spans="1:4" x14ac:dyDescent="0.25">
      <c r="A31" s="110"/>
      <c r="B31" s="6"/>
      <c r="C31" s="73" t="s">
        <v>741</v>
      </c>
    </row>
    <row r="32" spans="1:4" ht="15.75" thickBot="1" x14ac:dyDescent="0.3">
      <c r="A32" s="111"/>
      <c r="B32" s="77"/>
      <c r="C32" s="78" t="s">
        <v>742</v>
      </c>
    </row>
    <row r="33" spans="1:11" x14ac:dyDescent="0.25">
      <c r="A33" s="6"/>
      <c r="B33" s="6"/>
      <c r="C33" s="5"/>
    </row>
    <row r="34" spans="1:11" ht="15.75" thickBot="1" x14ac:dyDescent="0.3">
      <c r="A34" s="6"/>
      <c r="B34" s="6"/>
      <c r="C34" s="5"/>
    </row>
    <row r="35" spans="1:11" ht="15.75" thickBot="1" x14ac:dyDescent="0.3">
      <c r="A35" s="125" t="s">
        <v>748</v>
      </c>
      <c r="B35" s="126"/>
      <c r="C35" s="127"/>
    </row>
    <row r="36" spans="1:11" ht="15.75" thickBot="1" x14ac:dyDescent="0.3">
      <c r="A36" s="88" t="s">
        <v>752</v>
      </c>
      <c r="B36" s="125" t="s">
        <v>753</v>
      </c>
      <c r="C36" s="127"/>
      <c r="D36" s="125" t="s">
        <v>761</v>
      </c>
      <c r="E36" s="126"/>
      <c r="F36" s="126"/>
      <c r="G36" s="126"/>
      <c r="H36" s="126"/>
      <c r="I36" s="126"/>
      <c r="J36" s="127"/>
    </row>
    <row r="37" spans="1:11" x14ac:dyDescent="0.25">
      <c r="A37" s="109" t="s">
        <v>695</v>
      </c>
      <c r="B37" s="83" t="s">
        <v>750</v>
      </c>
      <c r="C37" s="84"/>
      <c r="D37" s="128" t="s">
        <v>762</v>
      </c>
      <c r="E37" s="129"/>
      <c r="F37" s="129"/>
      <c r="G37" s="129"/>
      <c r="H37" s="129"/>
      <c r="I37" s="129"/>
      <c r="J37" s="130"/>
    </row>
    <row r="38" spans="1:11" ht="14.45" customHeight="1" x14ac:dyDescent="0.25">
      <c r="A38" s="110"/>
      <c r="B38" s="82" t="s">
        <v>749</v>
      </c>
      <c r="C38" s="75"/>
      <c r="D38" s="131"/>
      <c r="E38" s="132"/>
      <c r="F38" s="132"/>
      <c r="G38" s="132"/>
      <c r="H38" s="132"/>
      <c r="I38" s="132"/>
      <c r="J38" s="133"/>
    </row>
    <row r="39" spans="1:11" ht="30" customHeight="1" thickBot="1" x14ac:dyDescent="0.3">
      <c r="A39" s="111"/>
      <c r="B39" s="119" t="s">
        <v>751</v>
      </c>
      <c r="C39" s="117"/>
      <c r="D39" s="114" t="s">
        <v>763</v>
      </c>
      <c r="E39" s="118"/>
      <c r="F39" s="118"/>
      <c r="G39" s="118"/>
      <c r="H39" s="118"/>
      <c r="I39" s="118"/>
      <c r="J39" s="115"/>
    </row>
    <row r="40" spans="1:11" ht="30" customHeight="1" x14ac:dyDescent="0.25">
      <c r="A40" s="109" t="s">
        <v>2</v>
      </c>
      <c r="B40" s="120" t="s">
        <v>754</v>
      </c>
      <c r="C40" s="121"/>
      <c r="D40" s="134" t="s">
        <v>764</v>
      </c>
      <c r="E40" s="135"/>
      <c r="F40" s="135"/>
      <c r="G40" s="135"/>
      <c r="H40" s="135"/>
      <c r="I40" s="135"/>
      <c r="J40" s="136"/>
      <c r="K40" s="85" t="s">
        <v>759</v>
      </c>
    </row>
    <row r="41" spans="1:11" ht="30" customHeight="1" x14ac:dyDescent="0.25">
      <c r="A41" s="110"/>
      <c r="B41" s="103"/>
      <c r="C41" s="105"/>
      <c r="D41" s="114" t="s">
        <v>765</v>
      </c>
      <c r="E41" s="118"/>
      <c r="F41" s="118"/>
      <c r="G41" s="118"/>
      <c r="H41" s="118"/>
      <c r="I41" s="118"/>
      <c r="J41" s="115"/>
      <c r="K41" s="85"/>
    </row>
    <row r="42" spans="1:11" ht="30" customHeight="1" thickBot="1" x14ac:dyDescent="0.3">
      <c r="A42" s="111"/>
      <c r="B42" s="106"/>
      <c r="C42" s="108"/>
      <c r="D42" s="116" t="s">
        <v>766</v>
      </c>
      <c r="E42" s="119"/>
      <c r="F42" s="119"/>
      <c r="G42" s="119"/>
      <c r="H42" s="119"/>
      <c r="I42" s="119"/>
      <c r="J42" s="117"/>
      <c r="K42" s="85"/>
    </row>
    <row r="43" spans="1:11" ht="30" customHeight="1" x14ac:dyDescent="0.25">
      <c r="A43" s="109" t="s">
        <v>694</v>
      </c>
      <c r="B43" s="112" t="s">
        <v>755</v>
      </c>
      <c r="C43" s="113"/>
      <c r="D43" s="122" t="s">
        <v>767</v>
      </c>
      <c r="E43" s="123"/>
      <c r="F43" s="123"/>
      <c r="G43" s="123"/>
      <c r="H43" s="123"/>
      <c r="I43" s="123"/>
      <c r="J43" s="124"/>
      <c r="K43" s="85"/>
    </row>
    <row r="44" spans="1:11" ht="30" customHeight="1" x14ac:dyDescent="0.25">
      <c r="A44" s="110"/>
      <c r="B44" s="114"/>
      <c r="C44" s="115"/>
      <c r="D44" s="103" t="s">
        <v>768</v>
      </c>
      <c r="E44" s="104"/>
      <c r="F44" s="104"/>
      <c r="G44" s="104"/>
      <c r="H44" s="104"/>
      <c r="I44" s="104"/>
      <c r="J44" s="105"/>
      <c r="K44" s="85"/>
    </row>
    <row r="45" spans="1:11" ht="30" customHeight="1" x14ac:dyDescent="0.25">
      <c r="A45" s="110"/>
      <c r="B45" s="114" t="s">
        <v>756</v>
      </c>
      <c r="C45" s="115"/>
      <c r="D45" s="103" t="s">
        <v>769</v>
      </c>
      <c r="E45" s="104"/>
      <c r="F45" s="104"/>
      <c r="G45" s="104"/>
      <c r="H45" s="104"/>
      <c r="I45" s="104"/>
      <c r="J45" s="105"/>
    </row>
    <row r="46" spans="1:11" ht="30" customHeight="1" thickBot="1" x14ac:dyDescent="0.3">
      <c r="A46" s="111"/>
      <c r="B46" s="116"/>
      <c r="C46" s="117"/>
      <c r="D46" s="106" t="s">
        <v>770</v>
      </c>
      <c r="E46" s="107"/>
      <c r="F46" s="107"/>
      <c r="G46" s="107"/>
      <c r="H46" s="107"/>
      <c r="I46" s="107"/>
      <c r="J46" s="108"/>
    </row>
    <row r="47" spans="1:11" x14ac:dyDescent="0.25">
      <c r="A47" s="6"/>
      <c r="B47" s="6"/>
      <c r="C47" s="5"/>
    </row>
    <row r="48" spans="1:11" x14ac:dyDescent="0.25">
      <c r="A48" s="6"/>
      <c r="B48" s="6"/>
      <c r="C48" s="5"/>
    </row>
    <row r="52" spans="1:3" x14ac:dyDescent="0.25">
      <c r="A52" s="6"/>
      <c r="B52" s="6"/>
      <c r="C52" s="5"/>
    </row>
    <row r="53" spans="1:3" x14ac:dyDescent="0.25">
      <c r="A53" s="6"/>
      <c r="B53" s="6"/>
      <c r="C53" s="5"/>
    </row>
    <row r="54" spans="1:3" x14ac:dyDescent="0.25">
      <c r="A54" s="6"/>
      <c r="B54" s="6"/>
      <c r="C54" s="5"/>
    </row>
    <row r="55" spans="1:3" x14ac:dyDescent="0.25">
      <c r="A55" s="6"/>
      <c r="B55" s="6"/>
      <c r="C55" s="5"/>
    </row>
    <row r="56" spans="1:3" x14ac:dyDescent="0.25">
      <c r="A56" s="6"/>
      <c r="B56" s="6"/>
      <c r="C56" s="5"/>
    </row>
    <row r="57" spans="1:3" x14ac:dyDescent="0.25">
      <c r="A57" s="6"/>
      <c r="B57" s="6"/>
      <c r="C57" s="5"/>
    </row>
    <row r="58" spans="1:3" x14ac:dyDescent="0.25">
      <c r="A58" s="6"/>
      <c r="B58" s="6"/>
      <c r="C58" s="5"/>
    </row>
    <row r="59" spans="1:3" x14ac:dyDescent="0.25">
      <c r="A59" s="6"/>
      <c r="B59" s="6"/>
      <c r="C59" s="5"/>
    </row>
    <row r="60" spans="1:3" x14ac:dyDescent="0.25">
      <c r="A60" s="6"/>
      <c r="B60" s="6"/>
      <c r="C60" s="5"/>
    </row>
    <row r="61" spans="1:3" x14ac:dyDescent="0.25">
      <c r="A61" s="6"/>
      <c r="B61" s="6"/>
      <c r="C61" s="5"/>
    </row>
    <row r="62" spans="1:3" x14ac:dyDescent="0.25">
      <c r="A62" s="6"/>
      <c r="B62" s="6"/>
      <c r="C62" s="5"/>
    </row>
    <row r="63" spans="1:3" x14ac:dyDescent="0.25">
      <c r="A63" s="6"/>
      <c r="B63" s="6"/>
      <c r="C63" s="5"/>
    </row>
    <row r="64" spans="1:3" x14ac:dyDescent="0.25">
      <c r="A64" s="6"/>
      <c r="B64" s="6"/>
      <c r="C64" s="5"/>
    </row>
    <row r="65" spans="1:3" x14ac:dyDescent="0.25">
      <c r="A65" s="6"/>
      <c r="B65" s="6"/>
      <c r="C65" s="5"/>
    </row>
    <row r="66" spans="1:3" x14ac:dyDescent="0.25">
      <c r="A66" s="6"/>
      <c r="B66" s="6"/>
      <c r="C66" s="5"/>
    </row>
    <row r="67" spans="1:3" x14ac:dyDescent="0.25">
      <c r="A67" s="6"/>
      <c r="B67" s="6"/>
      <c r="C67" s="5"/>
    </row>
    <row r="68" spans="1:3" x14ac:dyDescent="0.25">
      <c r="A68" s="6"/>
      <c r="B68" s="6"/>
      <c r="C68" s="5"/>
    </row>
    <row r="69" spans="1:3" x14ac:dyDescent="0.25">
      <c r="A69" s="6"/>
      <c r="B69" s="6"/>
      <c r="C69" s="5"/>
    </row>
    <row r="70" spans="1:3" x14ac:dyDescent="0.25">
      <c r="A70" s="6"/>
      <c r="B70" s="6"/>
      <c r="C70" s="5"/>
    </row>
    <row r="71" spans="1:3" x14ac:dyDescent="0.25">
      <c r="A71" s="6"/>
      <c r="B71" s="6"/>
      <c r="C71" s="5"/>
    </row>
    <row r="72" spans="1:3" x14ac:dyDescent="0.25">
      <c r="A72" s="6"/>
      <c r="B72" s="6"/>
      <c r="C72" s="5"/>
    </row>
    <row r="73" spans="1:3" x14ac:dyDescent="0.25">
      <c r="A73" s="6"/>
      <c r="B73" s="6"/>
      <c r="C73" s="5"/>
    </row>
    <row r="74" spans="1:3" x14ac:dyDescent="0.25">
      <c r="A74" s="6"/>
      <c r="B74" s="6"/>
      <c r="C74" s="5"/>
    </row>
    <row r="75" spans="1:3" x14ac:dyDescent="0.25">
      <c r="A75" s="6"/>
      <c r="B75" s="6"/>
      <c r="C75" s="5"/>
    </row>
    <row r="76" spans="1:3" x14ac:dyDescent="0.25">
      <c r="A76" s="6"/>
      <c r="B76" s="6"/>
      <c r="C76" s="5"/>
    </row>
    <row r="77" spans="1:3" x14ac:dyDescent="0.25">
      <c r="A77" s="6"/>
      <c r="B77" s="6"/>
      <c r="C77" s="5"/>
    </row>
    <row r="78" spans="1:3" x14ac:dyDescent="0.25">
      <c r="A78" s="6"/>
      <c r="B78" s="6"/>
      <c r="C78" s="5"/>
    </row>
    <row r="79" spans="1:3" x14ac:dyDescent="0.25">
      <c r="A79" s="6"/>
      <c r="B79" s="6"/>
      <c r="C79" s="5"/>
    </row>
    <row r="80" spans="1:3" x14ac:dyDescent="0.25">
      <c r="A80" s="6"/>
      <c r="B80" s="6"/>
      <c r="C80" s="5"/>
    </row>
    <row r="81" spans="1:3" x14ac:dyDescent="0.25">
      <c r="A81" s="6"/>
      <c r="B81" s="6"/>
      <c r="C81" s="5"/>
    </row>
    <row r="82" spans="1:3" x14ac:dyDescent="0.25">
      <c r="A82" s="6"/>
      <c r="B82" s="6"/>
    </row>
    <row r="83" spans="1:3" x14ac:dyDescent="0.25">
      <c r="A83" s="6"/>
      <c r="B83" s="6"/>
    </row>
    <row r="84" spans="1:3" x14ac:dyDescent="0.25">
      <c r="A84" s="6"/>
      <c r="B84" s="6"/>
    </row>
    <row r="85" spans="1:3" x14ac:dyDescent="0.25">
      <c r="A85" s="6"/>
      <c r="B85" s="6"/>
    </row>
    <row r="86" spans="1:3" x14ac:dyDescent="0.25">
      <c r="A86" s="6"/>
      <c r="B86" s="6"/>
    </row>
    <row r="87" spans="1:3" x14ac:dyDescent="0.25">
      <c r="A87" s="6"/>
      <c r="B87" s="6"/>
    </row>
    <row r="88" spans="1:3" x14ac:dyDescent="0.25">
      <c r="A88" s="6"/>
      <c r="B88" s="6"/>
    </row>
    <row r="89" spans="1:3" x14ac:dyDescent="0.25">
      <c r="A89" s="6"/>
      <c r="B89" s="6"/>
    </row>
    <row r="90" spans="1:3" x14ac:dyDescent="0.25">
      <c r="A90" s="6"/>
      <c r="B90" s="6"/>
    </row>
    <row r="91" spans="1:3" x14ac:dyDescent="0.25">
      <c r="A91" s="6"/>
      <c r="B91" s="6"/>
    </row>
    <row r="92" spans="1:3" x14ac:dyDescent="0.25">
      <c r="A92" s="6"/>
      <c r="B92" s="6"/>
    </row>
    <row r="93" spans="1:3" x14ac:dyDescent="0.25">
      <c r="A93" s="6"/>
      <c r="B93" s="6"/>
    </row>
    <row r="94" spans="1:3" x14ac:dyDescent="0.25">
      <c r="A94" s="6"/>
      <c r="B94" s="6"/>
    </row>
    <row r="95" spans="1:3" x14ac:dyDescent="0.25">
      <c r="A95" s="6"/>
      <c r="B95" s="6"/>
    </row>
    <row r="96" spans="1:3" x14ac:dyDescent="0.25">
      <c r="A96" s="6"/>
      <c r="B96" s="6"/>
    </row>
    <row r="97" spans="1:2" x14ac:dyDescent="0.25">
      <c r="A97" s="6"/>
      <c r="B97" s="6"/>
    </row>
    <row r="98" spans="1:2" x14ac:dyDescent="0.25">
      <c r="A98" s="6"/>
      <c r="B98" s="6"/>
    </row>
    <row r="99" spans="1:2" x14ac:dyDescent="0.25">
      <c r="A99" s="6"/>
      <c r="B99" s="6"/>
    </row>
    <row r="100" spans="1:2" x14ac:dyDescent="0.25">
      <c r="A100" s="6"/>
      <c r="B100" s="6"/>
    </row>
    <row r="101" spans="1:2" x14ac:dyDescent="0.25">
      <c r="A101" s="6"/>
      <c r="B101" s="6"/>
    </row>
    <row r="102" spans="1:2" x14ac:dyDescent="0.25">
      <c r="A102" s="6"/>
      <c r="B102" s="6"/>
    </row>
    <row r="103" spans="1:2" x14ac:dyDescent="0.25">
      <c r="A103" s="6"/>
      <c r="B103" s="6"/>
    </row>
    <row r="104" spans="1:2" x14ac:dyDescent="0.25">
      <c r="A104" s="6"/>
      <c r="B104" s="6"/>
    </row>
    <row r="105" spans="1:2" x14ac:dyDescent="0.25">
      <c r="A105" s="6"/>
      <c r="B105" s="6"/>
    </row>
    <row r="106" spans="1:2" x14ac:dyDescent="0.25">
      <c r="A106" s="6"/>
      <c r="B106" s="6"/>
    </row>
    <row r="107" spans="1:2" x14ac:dyDescent="0.25">
      <c r="A107" s="6"/>
      <c r="B107" s="6"/>
    </row>
    <row r="108" spans="1:2" x14ac:dyDescent="0.25">
      <c r="A108" s="6"/>
      <c r="B108" s="6"/>
    </row>
    <row r="109" spans="1:2" x14ac:dyDescent="0.25">
      <c r="A109" s="6"/>
      <c r="B109" s="6"/>
    </row>
    <row r="110" spans="1:2" x14ac:dyDescent="0.25">
      <c r="A110" s="6"/>
      <c r="B110" s="6"/>
    </row>
  </sheetData>
  <mergeCells count="27">
    <mergeCell ref="A37:A39"/>
    <mergeCell ref="A2:A5"/>
    <mergeCell ref="A7:A18"/>
    <mergeCell ref="B19:C19"/>
    <mergeCell ref="A19:A32"/>
    <mergeCell ref="A35:C35"/>
    <mergeCell ref="D36:J36"/>
    <mergeCell ref="D37:J38"/>
    <mergeCell ref="D39:J39"/>
    <mergeCell ref="D40:J40"/>
    <mergeCell ref="B1:C1"/>
    <mergeCell ref="B2:C2"/>
    <mergeCell ref="B6:C6"/>
    <mergeCell ref="B7:C7"/>
    <mergeCell ref="B39:C39"/>
    <mergeCell ref="B36:C36"/>
    <mergeCell ref="D41:J41"/>
    <mergeCell ref="D42:J42"/>
    <mergeCell ref="A40:A42"/>
    <mergeCell ref="B40:C42"/>
    <mergeCell ref="D43:J43"/>
    <mergeCell ref="D44:J44"/>
    <mergeCell ref="D45:J45"/>
    <mergeCell ref="D46:J46"/>
    <mergeCell ref="A43:A46"/>
    <mergeCell ref="B43:C44"/>
    <mergeCell ref="B45:C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CBA6-5192-4A26-95F9-40E70824558B}">
  <dimension ref="C3:F15"/>
  <sheetViews>
    <sheetView workbookViewId="0">
      <selection activeCell="D12" sqref="D12"/>
    </sheetView>
  </sheetViews>
  <sheetFormatPr defaultRowHeight="15" x14ac:dyDescent="0.25"/>
  <sheetData>
    <row r="3" spans="3:6" x14ac:dyDescent="0.25">
      <c r="C3" s="4" t="s">
        <v>663</v>
      </c>
      <c r="D3" s="57">
        <f>IF(0.13*'Snow Load Conversion'!D5+14&gt;30,30,0.13*'Snow Load Conversion'!D5+14)</f>
        <v>19.46</v>
      </c>
      <c r="E3" t="s">
        <v>662</v>
      </c>
    </row>
    <row r="4" spans="3:6" x14ac:dyDescent="0.25">
      <c r="C4" s="4" t="s">
        <v>665</v>
      </c>
      <c r="D4" s="57">
        <f>SUM('Snow Load Conversion'!D18/Sheet1!D3)</f>
        <v>1.7978417266187048</v>
      </c>
      <c r="E4" t="s">
        <v>664</v>
      </c>
    </row>
    <row r="5" spans="3:6" x14ac:dyDescent="0.25">
      <c r="C5" s="58" t="s">
        <v>668</v>
      </c>
      <c r="D5" s="57">
        <v>3</v>
      </c>
      <c r="E5" t="s">
        <v>664</v>
      </c>
    </row>
    <row r="6" spans="3:6" x14ac:dyDescent="0.25">
      <c r="C6" s="4" t="s">
        <v>670</v>
      </c>
      <c r="D6" s="57">
        <f>IF(D5=0,0,IF(D5-D4&lt;=0,0,D5-D4))</f>
        <v>1.2021582733812952</v>
      </c>
    </row>
    <row r="7" spans="3:6" x14ac:dyDescent="0.25">
      <c r="C7" s="4" t="s">
        <v>666</v>
      </c>
      <c r="D7" s="57">
        <f>IF(D5=0,0,SUM(0.43*'Snow Load Conversion'!F3^(1/3)*('Snow Load Conversion'!D5+10)^(1/4)-1.5))</f>
        <v>3.0204989733775873</v>
      </c>
      <c r="E7" t="s">
        <v>664</v>
      </c>
      <c r="F7" s="56"/>
    </row>
    <row r="8" spans="3:6" x14ac:dyDescent="0.25">
      <c r="C8" s="4" t="s">
        <v>667</v>
      </c>
      <c r="D8" s="57">
        <f>IF(D5=0,0,SUM(0.75*(0.43*'Snow Load Conversion'!C3^(1/3)*('Snow Load Conversion'!D5+10)^(1/4)-1.5)))</f>
        <v>1.3730490911241846</v>
      </c>
      <c r="E8" t="s">
        <v>664</v>
      </c>
    </row>
    <row r="9" spans="3:6" x14ac:dyDescent="0.25">
      <c r="C9" s="4" t="s">
        <v>669</v>
      </c>
      <c r="D9" s="57">
        <f>MIN(D7,D8,D6)</f>
        <v>1.2021582733812952</v>
      </c>
    </row>
    <row r="10" spans="3:6" x14ac:dyDescent="0.25">
      <c r="C10" s="4" t="s">
        <v>671</v>
      </c>
      <c r="D10" s="57">
        <f>SUM(D6/D4)</f>
        <v>0.66866746698679491</v>
      </c>
      <c r="E10" t="str">
        <f>IF(D10&gt;=0.2,"Snow drifts required to be applied","")</f>
        <v>Snow drifts required to be applied</v>
      </c>
    </row>
    <row r="11" spans="3:6" x14ac:dyDescent="0.25">
      <c r="C11" s="4" t="s">
        <v>672</v>
      </c>
      <c r="D11" s="57">
        <f>IF(D9&lt;=D6,4*D9,4*D9^2/D6)</f>
        <v>4.8086330935251809</v>
      </c>
    </row>
    <row r="12" spans="3:6" x14ac:dyDescent="0.25">
      <c r="C12" s="4" t="s">
        <v>676</v>
      </c>
      <c r="D12" s="57">
        <f>D9*D3</f>
        <v>23.394000000000005</v>
      </c>
    </row>
    <row r="13" spans="3:6" x14ac:dyDescent="0.25">
      <c r="C13" s="4" t="s">
        <v>673</v>
      </c>
      <c r="D13" s="57">
        <f>'Snow Load Conversion'!D17</f>
        <v>0</v>
      </c>
    </row>
    <row r="14" spans="3:6" x14ac:dyDescent="0.25">
      <c r="C14" s="4" t="s">
        <v>674</v>
      </c>
      <c r="D14" s="57">
        <f>MAX('Snow Load Conversion'!D18,'Snow Load Conversion'!D5)</f>
        <v>42</v>
      </c>
    </row>
    <row r="15" spans="3:6" x14ac:dyDescent="0.25">
      <c r="C15" s="4" t="s">
        <v>675</v>
      </c>
      <c r="D15" s="57">
        <f>SUM(D14+D12)</f>
        <v>65.394000000000005</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1822-62EF-4009-AE92-458A44AFDDD5}">
  <dimension ref="A1:S57"/>
  <sheetViews>
    <sheetView workbookViewId="0">
      <selection activeCell="B3" sqref="B3"/>
    </sheetView>
  </sheetViews>
  <sheetFormatPr defaultRowHeight="15" x14ac:dyDescent="0.25"/>
  <cols>
    <col min="1" max="1" width="19.140625" customWidth="1"/>
    <col min="2" max="2" width="21.5703125" customWidth="1"/>
    <col min="3" max="3" width="18.7109375" style="20" customWidth="1"/>
    <col min="4" max="4" width="12.85546875" customWidth="1"/>
    <col min="5" max="5" width="15.140625" customWidth="1"/>
    <col min="6" max="6" width="11" bestFit="1" customWidth="1"/>
    <col min="11" max="13" width="9.140625" hidden="1" customWidth="1"/>
    <col min="15" max="15" width="9.140625" customWidth="1"/>
  </cols>
  <sheetData>
    <row r="1" spans="1:19" ht="21.75" thickBot="1" x14ac:dyDescent="0.4">
      <c r="A1" s="145" t="s">
        <v>112</v>
      </c>
      <c r="B1" s="146"/>
      <c r="C1" s="146"/>
      <c r="D1" s="147"/>
      <c r="K1">
        <f>SUM(D4-500)*0.15</f>
        <v>0</v>
      </c>
    </row>
    <row r="2" spans="1:19" ht="30" customHeight="1" x14ac:dyDescent="0.25">
      <c r="A2" s="25" t="s">
        <v>18</v>
      </c>
      <c r="B2" s="26" t="s">
        <v>21</v>
      </c>
      <c r="C2" s="48" t="s">
        <v>77</v>
      </c>
      <c r="D2" s="27" t="s">
        <v>20</v>
      </c>
      <c r="K2">
        <f>SUM(D25-500)*0.15</f>
        <v>0</v>
      </c>
      <c r="L2" s="6" t="s">
        <v>249</v>
      </c>
      <c r="M2" s="6" t="s">
        <v>250</v>
      </c>
    </row>
    <row r="3" spans="1:19" x14ac:dyDescent="0.25">
      <c r="A3" s="28" t="s">
        <v>116</v>
      </c>
      <c r="B3" s="23">
        <f>IF(AND('Snow Load Conversion'!I5='Snow Load Conversion'!P5,'Snow Load Conversion'!D10="I"),32,IF(AND('Snow Load Conversion'!I5='Snow Load Conversion'!P5,'Snow Load Conversion'!D10="II"),40,IF(AND('Snow Load Conversion'!I5='Snow Load Conversion'!P5,'Snow Load Conversion'!D10="III"),46,IF(AND('Snow Load Conversion'!I5='Snow Load Conversion'!P5,'Snow Load Conversion'!D10="IV"),50,30))))</f>
        <v>40</v>
      </c>
      <c r="C3" s="49">
        <f t="shared" ref="C3:C9" si="0">MAX(L3,M3)</f>
        <v>33.32</v>
      </c>
      <c r="D3" s="29">
        <v>100</v>
      </c>
      <c r="E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Conversion'!D13&lt;=15),40,IF(B3&lt;=20,B3*'Snow Load Conversion'!D11,20*'Snow Load Conversion'!D11)))))</f>
        <v>30</v>
      </c>
      <c r="M3" s="24">
        <f>(0.7*'Snow Load Conversion'!D7*'Snow Load Conversion'!D9*'Snow Load Conversion'!D11*B3)+'Snow Load Conversion'!D17</f>
        <v>33.32</v>
      </c>
      <c r="O3" s="148" t="s">
        <v>681</v>
      </c>
      <c r="P3" s="148"/>
      <c r="Q3" s="148"/>
      <c r="R3" s="148"/>
      <c r="S3" s="148"/>
    </row>
    <row r="4" spans="1:19" x14ac:dyDescent="0.25">
      <c r="A4" s="28" t="s">
        <v>117</v>
      </c>
      <c r="B4" s="23">
        <f>IF(AND('Snow Load Conversion'!I5='Snow Load Conversion'!P5,'Snow Load Conversion'!D10="I"),64,IF(AND('Snow Load Conversion'!I5='Snow Load Conversion'!P5,'Snow Load Conversion'!D10="II"),80,IF(AND('Snow Load Conversion'!I5='Snow Load Conversion'!P5,'Snow Load Conversion'!D10="III"),92,IF(AND('Snow Load Conversion'!I5='Snow Load Conversion'!P5,'Snow Load Conversion'!D10="IV"),100,50))))+IF(D4&gt;500,K1,0)</f>
        <v>80</v>
      </c>
      <c r="C4" s="49">
        <f t="shared" si="0"/>
        <v>66.64</v>
      </c>
      <c r="D4" s="34">
        <v>500</v>
      </c>
      <c r="E4" s="9" t="s">
        <v>145</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Conversion'!D13&lt;=15),40,IF(B4&lt;=20,B4*'Snow Load Conversion'!D11,20*'Snow Load Conversion'!D11)))))</f>
        <v>30</v>
      </c>
      <c r="M4" s="24">
        <f>(0.7*'Snow Load Conversion'!D7*'Snow Load Conversion'!D9*'Snow Load Conversion'!D11*B4)+'Snow Load Conversion'!D17</f>
        <v>66.64</v>
      </c>
      <c r="O4" s="149" t="s">
        <v>679</v>
      </c>
      <c r="P4" s="149"/>
      <c r="Q4" s="149"/>
      <c r="R4" s="149"/>
      <c r="S4" s="149"/>
    </row>
    <row r="5" spans="1:19" x14ac:dyDescent="0.25">
      <c r="A5" s="28" t="str">
        <f>IF('Snow Load Conversion'!I5='Snow Load Conversion'!P5,"Artic Village","Angoon")</f>
        <v>Artic Village</v>
      </c>
      <c r="B5" s="23">
        <f>IF(AND('Snow Load Conversion'!I5='Snow Load Conversion'!P5,'Snow Load Conversion'!D10="I"),38,IF(AND('Snow Load Conversion'!I5='Snow Load Conversion'!P5,'Snow Load Conversion'!D10="II"),48,IF(AND('Snow Load Conversion'!I5='Snow Load Conversion'!P5,'Snow Load Conversion'!D10="III"),55,IF(AND('Snow Load Conversion'!I5='Snow Load Conversion'!P5,'Snow Load Conversion'!D10="IV"),60,70))))</f>
        <v>48</v>
      </c>
      <c r="C5" s="49">
        <f t="shared" si="0"/>
        <v>39.983999999999995</v>
      </c>
      <c r="D5" s="29">
        <v>2100</v>
      </c>
      <c r="E5" s="9" t="s">
        <v>658</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Conversion'!D13&lt;=15),40,IF(B5&lt;=20,B5*'Snow Load Conversion'!D11,20*'Snow Load Conversion'!D11)))))</f>
        <v>30</v>
      </c>
      <c r="M5" s="24">
        <f>(0.7*'Snow Load Conversion'!D7*'Snow Load Conversion'!D9*'Snow Load Conversion'!D11*B5)+'Snow Load Conversion'!D17</f>
        <v>39.983999999999995</v>
      </c>
    </row>
    <row r="6" spans="1:19" x14ac:dyDescent="0.25">
      <c r="A6" s="28" t="s">
        <v>120</v>
      </c>
      <c r="B6" s="23">
        <f>IF(AND('Snow Load Conversion'!I5='Snow Load Conversion'!P5,'Snow Load Conversion'!D10="I"),32,IF(AND('Snow Load Conversion'!I5='Snow Load Conversion'!P5,'Snow Load Conversion'!D10="II"),40,IF(AND('Snow Load Conversion'!I5='Snow Load Conversion'!P5,'Snow Load Conversion'!D10="III"),46,IF(AND('Snow Load Conversion'!I5='Snow Load Conversion'!P5,'Snow Load Conversion'!D10="IV"),50,25))))</f>
        <v>40</v>
      </c>
      <c r="C6" s="49">
        <f t="shared" si="0"/>
        <v>33.32</v>
      </c>
      <c r="D6" s="35">
        <v>100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Conversion'!D13&lt;=15),40,IF(B6&lt;=20,B6*'Snow Load Conversion'!D11,20*'Snow Load Conversion'!D11)))))</f>
        <v>30</v>
      </c>
      <c r="M6" s="24">
        <f>(0.7*'Snow Load Conversion'!D7*'Snow Load Conversion'!D9*'Snow Load Conversion'!D11*B6)+'Snow Load Conversion'!D17</f>
        <v>33.32</v>
      </c>
    </row>
    <row r="7" spans="1:19" x14ac:dyDescent="0.25">
      <c r="A7" s="28" t="s">
        <v>90</v>
      </c>
      <c r="B7" s="23">
        <v>35</v>
      </c>
      <c r="C7" s="49">
        <f t="shared" si="0"/>
        <v>30</v>
      </c>
      <c r="D7" s="29">
        <v>56</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Conversion'!D13&lt;=15),40,IF(B7&lt;=20,B7*'Snow Load Conversion'!D11,20*'Snow Load Conversion'!D11)))))</f>
        <v>30</v>
      </c>
      <c r="M7" s="24">
        <f>(0.7*'Snow Load Conversion'!D7*'Snow Load Conversion'!D9*'Snow Load Conversion'!D11*B7)+'Snow Load Conversion'!D17</f>
        <v>29.154999999999998</v>
      </c>
    </row>
    <row r="8" spans="1:19" x14ac:dyDescent="0.25">
      <c r="A8" s="28" t="s">
        <v>91</v>
      </c>
      <c r="B8" s="23">
        <f>IF(AND('Snow Load Conversion'!I5='Snow Load Conversion'!P5,'Snow Load Conversion'!D10="I"),51,IF(AND('Snow Load Conversion'!I5='Snow Load Conversion'!P5,'Snow Load Conversion'!D10="II"),64,IF(AND('Snow Load Conversion'!I5='Snow Load Conversion'!P5,'Snow Load Conversion'!D10="III"),74,IF(AND('Snow Load Conversion'!I5='Snow Load Conversion'!P5,'Snow Load Conversion'!D10="IV"),80,40))))</f>
        <v>64</v>
      </c>
      <c r="C8" s="49">
        <f t="shared" si="0"/>
        <v>53.311999999999998</v>
      </c>
      <c r="D8" s="29">
        <v>100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Conversion'!D13&lt;=15),40,IF(B8&lt;=20,B8*'Snow Load Conversion'!D11,20*'Snow Load Conversion'!D11)))))</f>
        <v>30</v>
      </c>
      <c r="M8" s="24">
        <f>(0.7*'Snow Load Conversion'!D7*'Snow Load Conversion'!D9*'Snow Load Conversion'!D11*B8)+'Snow Load Conversion'!D17</f>
        <v>53.311999999999998</v>
      </c>
    </row>
    <row r="9" spans="1:19" x14ac:dyDescent="0.25">
      <c r="A9" s="28" t="str">
        <f>IF('Snow Load Conversion'!I5='Snow Load Conversion'!P5,"Bettles","Big Delta")</f>
        <v>Bettles</v>
      </c>
      <c r="B9" s="23">
        <f>IF(AND('Snow Load Conversion'!I5='Snow Load Conversion'!P5,'Snow Load Conversion'!D10="I"),102,IF(AND('Snow Load Conversion'!I5='Snow Load Conversion'!P5,'Snow Load Conversion'!D10="II"),128,IF(AND('Snow Load Conversion'!I5='Snow Load Conversion'!P5,'Snow Load Conversion'!D10="III"),147,IF(AND('Snow Load Conversion'!I5='Snow Load Conversion'!P5,'Snow Load Conversion'!D10="IV"),160,50))))</f>
        <v>128</v>
      </c>
      <c r="C9" s="49">
        <f t="shared" si="0"/>
        <v>106.624</v>
      </c>
      <c r="D9" s="29">
        <v>700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Conversion'!D13&lt;=15),40,IF(B9&lt;=20,B9*'Snow Load Conversion'!D11,20*'Snow Load Conversion'!D11)))))</f>
        <v>30</v>
      </c>
      <c r="M9" s="24">
        <f>(0.7*'Snow Load Conversion'!D7*'Snow Load Conversion'!D9*'Snow Load Conversion'!D11*B9)+'Snow Load Conversion'!D17</f>
        <v>106.624</v>
      </c>
    </row>
    <row r="10" spans="1:19" x14ac:dyDescent="0.25">
      <c r="A10" s="28" t="s">
        <v>118</v>
      </c>
      <c r="B10" s="23">
        <f>IF(AND('Snow Load Conversion'!I5='Snow Load Conversion'!P5,'Snow Load Conversion'!D10="I"),109,IF(AND('Snow Load Conversion'!I5='Snow Load Conversion'!P5,'Snow Load Conversion'!D10="II"),136,IF(AND('Snow Load Conversion'!I5='Snow Load Conversion'!P5,'Snow Load Conversion'!D10="III"),156,IF(AND('Snow Load Conversion'!I5='Snow Load Conversion'!P5,'Snow Load Conversion'!D10="IV"),170,"NOT IN 7-10 OR 7-16"))))</f>
        <v>136</v>
      </c>
      <c r="C10" s="49">
        <f>IF(B10="NOT IN 7-10 OR 7-16","NOT IN 7-10 OR 7-16",MAX(L10,M10))</f>
        <v>113.288</v>
      </c>
      <c r="D10" s="29">
        <v>2100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Conversion'!D13&lt;=15),40,IF(B10&lt;=20,B10*'Snow Load Conversion'!D11,20*'Snow Load Conversion'!D11)))))</f>
        <v>30</v>
      </c>
      <c r="M10" s="24">
        <f>(0.7*'Snow Load Conversion'!D7*'Snow Load Conversion'!D9*'Snow Load Conversion'!D11*B10)+'Snow Load Conversion'!D17</f>
        <v>113.288</v>
      </c>
    </row>
    <row r="11" spans="1:19" x14ac:dyDescent="0.25">
      <c r="A11" s="28" t="s">
        <v>92</v>
      </c>
      <c r="B11" s="23">
        <f>IF(AND('Snow Load Conversion'!I5='Snow Load Conversion'!P5,'Snow Load Conversion'!D10="I"),45,IF(AND('Snow Load Conversion'!I5='Snow Load Conversion'!P5,'Snow Load Conversion'!D10="II"),56,IF(AND('Snow Load Conversion'!I5='Snow Load Conversion'!P5,'Snow Load Conversion'!D10="III"),64,IF(AND('Snow Load Conversion'!I5='Snow Load Conversion'!P5,'Snow Load Conversion'!D10="IV"),70,25))))</f>
        <v>56</v>
      </c>
      <c r="C11" s="49">
        <f>MAX(L11,M11)</f>
        <v>46.647999999999996</v>
      </c>
      <c r="D11" s="29">
        <v>100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Conversion'!D13&lt;=15),40,IF(B11&lt;=20,B11*'Snow Load Conversion'!D11,20*'Snow Load Conversion'!D11)))))</f>
        <v>30</v>
      </c>
      <c r="M11" s="24">
        <f>(0.7*'Snow Load Conversion'!D7*'Snow Load Conversion'!D9*'Snow Load Conversion'!D11*B11)+'Snow Load Conversion'!D17</f>
        <v>46.647999999999996</v>
      </c>
    </row>
    <row r="12" spans="1:19" x14ac:dyDescent="0.25">
      <c r="A12" s="28" t="s">
        <v>93</v>
      </c>
      <c r="B12" s="23">
        <f>IF(AND('Snow Load Conversion'!I5='Snow Load Conversion'!P5,'Snow Load Conversion'!D10="I"),128,IF(AND('Snow Load Conversion'!I5='Snow Load Conversion'!P5,'Snow Load Conversion'!D10="II"),160,IF(AND('Snow Load Conversion'!I5='Snow Load Conversion'!P5,'Snow Load Conversion'!D10="III"),184,IF(AND('Snow Load Conversion'!I5='Snow Load Conversion'!P5,'Snow Load Conversion'!D10="IV"),200,100))))</f>
        <v>160</v>
      </c>
      <c r="C12" s="49">
        <f>MAX(L12,M12)</f>
        <v>133.28</v>
      </c>
      <c r="D12" s="29">
        <v>100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Conversion'!D13&lt;=15),40,IF(B12&lt;=20,B12*'Snow Load Conversion'!D11,20*'Snow Load Conversion'!D11)))))</f>
        <v>30</v>
      </c>
      <c r="M12" s="24">
        <f>(0.7*'Snow Load Conversion'!D7*'Snow Load Conversion'!D9*'Snow Load Conversion'!D11*B12)+'Snow Load Conversion'!D17</f>
        <v>133.28</v>
      </c>
    </row>
    <row r="13" spans="1:19" x14ac:dyDescent="0.25">
      <c r="A13" s="28" t="s">
        <v>119</v>
      </c>
      <c r="B13" s="23">
        <f>IF(AND('Snow Load Conversion'!I5='Snow Load Conversion'!P5,'Snow Load Conversion'!D10="I"),32,IF(AND('Snow Load Conversion'!I5='Snow Load Conversion'!P5,'Snow Load Conversion'!D10="II"),40,IF(AND('Snow Load Conversion'!I5='Snow Load Conversion'!P5,'Snow Load Conversion'!D10="III"),46,IF(AND('Snow Load Conversion'!I5='Snow Load Conversion'!P5,'Snow Load Conversion'!D10="IV"),50,"NOT IN 7-10 OR 7-16"))))</f>
        <v>40</v>
      </c>
      <c r="C13" s="49">
        <f>IF(B13="NOT IN 7-10 OR 7-16","NOT IN 7-10 OR 7-16",MAX(L13,M13))</f>
        <v>33.32</v>
      </c>
      <c r="D13" s="29">
        <v>100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Conversion'!D13&lt;=15),40,IF(B13&lt;=20,B13*'Snow Load Conversion'!D11,20*'Snow Load Conversion'!D11)))))</f>
        <v>30</v>
      </c>
      <c r="M13" s="24">
        <f>(0.7*'Snow Load Conversion'!D7*'Snow Load Conversion'!D9*'Snow Load Conversion'!D11*B13)+'Snow Load Conversion'!D17</f>
        <v>33.32</v>
      </c>
    </row>
    <row r="14" spans="1:19" x14ac:dyDescent="0.25">
      <c r="A14" s="28" t="s">
        <v>121</v>
      </c>
      <c r="B14" s="23">
        <f>IF(AND('Snow Load Conversion'!I5='Snow Load Conversion'!P5,'Snow Load Conversion'!D10="I"),51,IF(AND('Snow Load Conversion'!I5='Snow Load Conversion'!P5,'Snow Load Conversion'!D10="II"),64,IF(AND('Snow Load Conversion'!I5='Snow Load Conversion'!P5,'Snow Load Conversion'!D10="III"),74,IF(AND('Snow Load Conversion'!I5='Snow Load Conversion'!P5,'Snow Load Conversion'!D10="IV"),80,"NOT IN 7-10 OR 7-16"))))</f>
        <v>64</v>
      </c>
      <c r="C14" s="49">
        <f>IF(B14="NOT IN 7-10 OR 7-16","NOT IN 7-10 OR 7-16",MAX(L14,M14))</f>
        <v>53.311999999999998</v>
      </c>
      <c r="D14" s="29">
        <v>400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Conversion'!D13&lt;=15),40,IF(B14&lt;=20,B14*'Snow Load Conversion'!D11,20*'Snow Load Conversion'!D11)))))</f>
        <v>30</v>
      </c>
      <c r="M14" s="24">
        <f>(0.7*'Snow Load Conversion'!D7*'Snow Load Conversion'!D9*'Snow Load Conversion'!D11*B14)+'Snow Load Conversion'!D17</f>
        <v>53.311999999999998</v>
      </c>
    </row>
    <row r="15" spans="1:19" x14ac:dyDescent="0.25">
      <c r="A15" s="28" t="s">
        <v>122</v>
      </c>
      <c r="B15" s="23">
        <f>IF(AND('Snow Load Conversion'!I5='Snow Load Conversion'!P5,'Snow Load Conversion'!D10="I"),141,IF(AND('Snow Load Conversion'!I5='Snow Load Conversion'!P5,'Snow Load Conversion'!D10="II"),176,IF(AND('Snow Load Conversion'!I5='Snow Load Conversion'!P5,'Snow Load Conversion'!D10="III"),202,IF(AND('Snow Load Conversion'!I5='Snow Load Conversion'!P5,'Snow Load Conversion'!D10="IV"),220,"NOT IN 7-10 OR 7-16"))))</f>
        <v>176</v>
      </c>
      <c r="C15" s="49">
        <f>IF(B15="NOT IN 7-10 OR 7-16","NOT IN 7-10 OR 7-16",MAX(L15,M15))</f>
        <v>146.608</v>
      </c>
      <c r="D15" s="29">
        <v>100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Conversion'!D13&lt;=15),40,IF(B15&lt;=20,B15*'Snow Load Conversion'!D11,20*'Snow Load Conversion'!D11)))))</f>
        <v>30</v>
      </c>
      <c r="M15" s="24">
        <f>(0.7*'Snow Load Conversion'!D7*'Snow Load Conversion'!D9*'Snow Load Conversion'!D11*B15)+'Snow Load Conversion'!D17</f>
        <v>146.608</v>
      </c>
    </row>
    <row r="16" spans="1:19" x14ac:dyDescent="0.25">
      <c r="A16" s="28" t="s">
        <v>123</v>
      </c>
      <c r="B16" s="23">
        <f>IF(AND('Snow Load Conversion'!I5='Snow Load Conversion'!P5,'Snow Load Conversion'!D10="I"),128,IF(AND('Snow Load Conversion'!I5='Snow Load Conversion'!P5,'Snow Load Conversion'!D10="II"),160,IF(AND('Snow Load Conversion'!I5='Snow Load Conversion'!P5,'Snow Load Conversion'!D10="III"),184,IF(AND('Snow Load Conversion'!I5='Snow Load Conversion'!P5,'Snow Load Conversion'!D10="IV"),200,"NOT IN 7-10 OR 7-16"))))</f>
        <v>160</v>
      </c>
      <c r="C16" s="49">
        <f>IF(B16="NOT IN 7-10 OR 7-16","NOT IN 7-10 OR 7-16",MAX(L16,M16))</f>
        <v>133.28</v>
      </c>
      <c r="D16" s="29">
        <v>100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Conversion'!D13&lt;=15),40,IF(B16&lt;=20,B16*'Snow Load Conversion'!D11,20*'Snow Load Conversion'!D11)))))</f>
        <v>30</v>
      </c>
      <c r="M16" s="24">
        <f>(0.7*'Snow Load Conversion'!D7*'Snow Load Conversion'!D9*'Snow Load Conversion'!D11*B16)+'Snow Load Conversion'!D17</f>
        <v>133.28</v>
      </c>
    </row>
    <row r="17" spans="1:13" x14ac:dyDescent="0.25">
      <c r="A17" s="28" t="s">
        <v>124</v>
      </c>
      <c r="B17" s="23">
        <f>IF(AND('Snow Load Conversion'!I5='Snow Load Conversion'!P5,'Snow Load Conversion'!D10="I"),77,IF(AND('Snow Load Conversion'!I5='Snow Load Conversion'!P5,'Snow Load Conversion'!D10="II"),96,IF(AND('Snow Load Conversion'!I5='Snow Load Conversion'!P5,'Snow Load Conversion'!D10="III"),110,IF(AND('Snow Load Conversion'!I5='Snow Load Conversion'!P5,'Snow Load Conversion'!D10="IV"),120,60))))</f>
        <v>96</v>
      </c>
      <c r="C17" s="49">
        <f>MAX(L17,M17)</f>
        <v>79.967999999999989</v>
      </c>
      <c r="D17" s="29">
        <v>1200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Conversion'!D13&lt;=15),40,IF(B17&lt;=20,B17*'Snow Load Conversion'!D11,20*'Snow Load Conversion'!D11)))))</f>
        <v>30</v>
      </c>
      <c r="M17" s="24">
        <f>(0.7*'Snow Load Conversion'!D7*'Snow Load Conversion'!D9*'Snow Load Conversion'!D11*B17)+'Snow Load Conversion'!D17</f>
        <v>79.967999999999989</v>
      </c>
    </row>
    <row r="18" spans="1:13" x14ac:dyDescent="0.25">
      <c r="A18" s="28" t="s">
        <v>94</v>
      </c>
      <c r="B18" s="23">
        <f>IF(AND('Snow Load Conversion'!I5='Snow Load Conversion'!P5,'Snow Load Conversion'!D10="I"),64,IF(AND('Snow Load Conversion'!I5='Snow Load Conversion'!P5,'Snow Load Conversion'!D10="II"),80,IF(AND('Snow Load Conversion'!I5='Snow Load Conversion'!P5,'Snow Load Conversion'!D10="III"),92,IF(AND('Snow Load Conversion'!I5='Snow Load Conversion'!P5,'Snow Load Conversion'!D10="IV"),100,60))))</f>
        <v>80</v>
      </c>
      <c r="C18" s="49">
        <f>MAX(L18,M18)</f>
        <v>66.64</v>
      </c>
      <c r="D18" s="29">
        <v>400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Conversion'!D13&lt;=15),40,IF(B18&lt;=20,B18*'Snow Load Conversion'!D11,20*'Snow Load Conversion'!D11)))))</f>
        <v>30</v>
      </c>
      <c r="M18" s="24">
        <f>(0.7*'Snow Load Conversion'!D7*'Snow Load Conversion'!D9*'Snow Load Conversion'!D11*B18)+'Snow Load Conversion'!D17</f>
        <v>66.64</v>
      </c>
    </row>
    <row r="19" spans="1:13" x14ac:dyDescent="0.25">
      <c r="A19" s="28" t="s">
        <v>95</v>
      </c>
      <c r="B19" s="23">
        <f>IF(AND('Snow Load Conversion'!I5='Snow Load Conversion'!P5,'Snow Load Conversion'!D10="I"),77,IF(AND('Snow Load Conversion'!I5='Snow Load Conversion'!P5,'Snow Load Conversion'!D10="II"),96,IF(AND('Snow Load Conversion'!I5='Snow Load Conversion'!P5,'Snow Load Conversion'!D10="III"),110,IF(AND('Snow Load Conversion'!I5='Snow Load Conversion'!P5,'Snow Load Conversion'!D10="IV"),120,60))))</f>
        <v>96</v>
      </c>
      <c r="C19" s="49">
        <f>MAX(L19,M19)</f>
        <v>79.967999999999989</v>
      </c>
      <c r="D19" s="29">
        <v>200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Conversion'!D13&lt;=15),40,IF(B19&lt;=20,B19*'Snow Load Conversion'!D11,20*'Snow Load Conversion'!D11)))))</f>
        <v>30</v>
      </c>
      <c r="M19" s="24">
        <f>(0.7*'Snow Load Conversion'!D7*'Snow Load Conversion'!D9*'Snow Load Conversion'!D11*B19)+'Snow Load Conversion'!D17</f>
        <v>79.967999999999989</v>
      </c>
    </row>
    <row r="20" spans="1:13" x14ac:dyDescent="0.25">
      <c r="A20" s="28" t="s">
        <v>125</v>
      </c>
      <c r="B20" s="23">
        <f>IF(AND('Snow Load Conversion'!I5='Snow Load Conversion'!P5,'Snow Load Conversion'!D10="I"),179,IF(AND('Snow Load Conversion'!I5='Snow Load Conversion'!P5,'Snow Load Conversion'!D10="II"),224,IF(AND('Snow Load Conversion'!I5='Snow Load Conversion'!P5,'Snow Load Conversion'!D10="III"),258,IF(AND('Snow Load Conversion'!I5='Snow Load Conversion'!P5,'Snow Load Conversion'!D10="IV"),280,"NOT IN 7-10 OR 7-16"))))</f>
        <v>224</v>
      </c>
      <c r="C20" s="49">
        <f>IF(B20="NOT IN 7-10 OR 7-16","NOT IN 7-10 OR 7-16",MAX(L20,M20))</f>
        <v>186.59199999999998</v>
      </c>
      <c r="D20" s="29">
        <v>200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Conversion'!D13&lt;=15),40,IF(B20&lt;=20,B20*'Snow Load Conversion'!D11,20*'Snow Load Conversion'!D11)))))</f>
        <v>30</v>
      </c>
      <c r="M20" s="24">
        <f>(0.7*'Snow Load Conversion'!D7*'Snow Load Conversion'!D9*'Snow Load Conversion'!D11*B20)+'Snow Load Conversion'!D17</f>
        <v>186.59199999999998</v>
      </c>
    </row>
    <row r="21" spans="1:13" x14ac:dyDescent="0.25">
      <c r="A21" s="28" t="s">
        <v>126</v>
      </c>
      <c r="B21" s="23">
        <f>IF(AND('Snow Load Conversion'!I5='Snow Load Conversion'!P5,'Snow Load Conversion'!D10="I"),58,IF(AND('Snow Load Conversion'!I5='Snow Load Conversion'!P5,'Snow Load Conversion'!D10="II"),72,IF(AND('Snow Load Conversion'!I5='Snow Load Conversion'!P5,'Snow Load Conversion'!D10="III"),83,IF(AND('Snow Load Conversion'!I5='Snow Load Conversion'!P5,'Snow Load Conversion'!D10="IV"),90,"NOT IN 7-10 OR 7-16"))))</f>
        <v>72</v>
      </c>
      <c r="C21" s="49">
        <f>IF(B21="NOT IN 7-10 OR 7-16","NOT IN 7-10 OR 7-16",MAX(L21,M21))</f>
        <v>59.975999999999999</v>
      </c>
      <c r="D21" s="29">
        <v>1400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Conversion'!D13&lt;=15),40,IF(B21&lt;=20,B21*'Snow Load Conversion'!D11,20*'Snow Load Conversion'!D11)))))</f>
        <v>30</v>
      </c>
      <c r="M21" s="24">
        <f>(0.7*'Snow Load Conversion'!D7*'Snow Load Conversion'!D9*'Snow Load Conversion'!D11*B21)+'Snow Load Conversion'!D17</f>
        <v>59.975999999999999</v>
      </c>
    </row>
    <row r="22" spans="1:13" x14ac:dyDescent="0.25">
      <c r="A22" s="28" t="s">
        <v>96</v>
      </c>
      <c r="B22" s="23">
        <v>70</v>
      </c>
      <c r="C22" s="49">
        <f>MAX(L22,M22)</f>
        <v>58.309999999999995</v>
      </c>
      <c r="D22" s="29">
        <v>1400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Conversion'!D13&lt;=15),40,IF(B22&lt;=20,B22*'Snow Load Conversion'!D11,20*'Snow Load Conversion'!D11)))))</f>
        <v>30</v>
      </c>
      <c r="M22" s="24">
        <f>(0.7*'Snow Load Conversion'!D7*'Snow Load Conversion'!D9*'Snow Load Conversion'!D11*B22)+'Snow Load Conversion'!D17</f>
        <v>58.309999999999995</v>
      </c>
    </row>
    <row r="23" spans="1:13" x14ac:dyDescent="0.25">
      <c r="A23" s="28" t="s">
        <v>127</v>
      </c>
      <c r="B23" s="23">
        <f>IF(AND('Snow Load Conversion'!I5='Snow Load Conversion'!P5,'Snow Load Conversion'!D10="I"),237,IF(AND('Snow Load Conversion'!I5='Snow Load Conversion'!P5,'Snow Load Conversion'!D10="II"),296,IF(AND('Snow Load Conversion'!I5='Snow Load Conversion'!P5,'Snow Load Conversion'!D10="III"),340,IF(AND('Snow Load Conversion'!I5='Snow Load Conversion'!P5,'Snow Load Conversion'!D10="IV"),370,"NOT IN 7-10 OR 7-16"))))</f>
        <v>296</v>
      </c>
      <c r="C23" s="49">
        <f>IF(B23="NOT IN 7-10 OR 7-16","NOT IN 7-10 OR 7-16",MAX(L23,M23))</f>
        <v>246.56799999999998</v>
      </c>
      <c r="D23" s="29">
        <v>100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Conversion'!D13&lt;=15),40,IF(B23&lt;=20,B23*'Snow Load Conversion'!D11,20*'Snow Load Conversion'!D11)))))</f>
        <v>30</v>
      </c>
      <c r="M23" s="24">
        <f>(0.7*'Snow Load Conversion'!D7*'Snow Load Conversion'!D9*'Snow Load Conversion'!D11*B23)+'Snow Load Conversion'!D17</f>
        <v>246.56799999999998</v>
      </c>
    </row>
    <row r="24" spans="1:13" x14ac:dyDescent="0.25">
      <c r="A24" s="28" t="s">
        <v>128</v>
      </c>
      <c r="B24" s="23">
        <f>IF(AND('Snow Load Conversion'!I5='Snow Load Conversion'!P5,'Snow Load Conversion'!D10="I"),154,IF(AND('Snow Load Conversion'!I5='Snow Load Conversion'!P5,'Snow Load Conversion'!D10="II"),192,IF(AND('Snow Load Conversion'!I5='Snow Load Conversion'!P5,'Snow Load Conversion'!D10="III"),221,IF(AND('Snow Load Conversion'!I5='Snow Load Conversion'!P5,'Snow Load Conversion'!D10="IV"),240,"NOT IN 7-10 OR 7-16"))))</f>
        <v>192</v>
      </c>
      <c r="C24" s="49">
        <f>IF(B24="NOT IN 7-10 OR 7-16","NOT IN 7-10 OR 7-16",MAX(L24,M24))</f>
        <v>159.93599999999998</v>
      </c>
      <c r="D24" s="29">
        <v>100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Conversion'!D13&lt;=15),40,IF(B24&lt;=20,B24*'Snow Load Conversion'!D11,20*'Snow Load Conversion'!D11)))))</f>
        <v>30</v>
      </c>
      <c r="M24" s="24">
        <f>(0.7*'Snow Load Conversion'!D7*'Snow Load Conversion'!D9*'Snow Load Conversion'!D11*B24)+'Snow Load Conversion'!D17</f>
        <v>159.93599999999998</v>
      </c>
    </row>
    <row r="25" spans="1:13" x14ac:dyDescent="0.25">
      <c r="A25" s="28" t="s">
        <v>97</v>
      </c>
      <c r="B25" s="23">
        <f>IF(AND('Snow Load Conversion'!I5='Snow Load Conversion'!P5,'Snow Load Conversion'!D10="I"),58,IF(AND('Snow Load Conversion'!I5='Snow Load Conversion'!P5,'Snow Load Conversion'!D10="II"),72,IF(AND('Snow Load Conversion'!I5='Snow Load Conversion'!P5,'Snow Load Conversion'!D10="III"),83,IF(AND('Snow Load Conversion'!I5='Snow Load Conversion'!P5,'Snow Load Conversion'!D10="IV"),90,40))))+IF(D25&gt;500,K2,0)</f>
        <v>72</v>
      </c>
      <c r="C25" s="49">
        <f>MAX(L25,M25)</f>
        <v>59.975999999999999</v>
      </c>
      <c r="D25" s="34">
        <v>500</v>
      </c>
      <c r="E25" s="9" t="s">
        <v>145</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Conversion'!D13&lt;=15),40,IF(B25&lt;=20,B25*'Snow Load Conversion'!D11,20*'Snow Load Conversion'!D11)))))</f>
        <v>30</v>
      </c>
      <c r="M25" s="24">
        <f>(0.7*'Snow Load Conversion'!D7*'Snow Load Conversion'!D9*'Snow Load Conversion'!D11*B25)+'Snow Load Conversion'!D17</f>
        <v>59.975999999999999</v>
      </c>
    </row>
    <row r="26" spans="1:13" x14ac:dyDescent="0.25">
      <c r="A26" s="28" t="s">
        <v>129</v>
      </c>
      <c r="B26" s="23">
        <f>IF(AND('Snow Load Conversion'!I5='Snow Load Conversion'!P5,'Snow Load Conversion'!D10="I"),102,IF(AND('Snow Load Conversion'!I5='Snow Load Conversion'!P5,'Snow Load Conversion'!D10="II"),128,IF(AND('Snow Load Conversion'!I5='Snow Load Conversion'!P5,'Snow Load Conversion'!D10="III"),147,IF(AND('Snow Load Conversion'!I5='Snow Load Conversion'!P5,'Snow Load Conversion'!D10="IV"),160,"NOT IN 7-10 OR 7-16"))))</f>
        <v>128</v>
      </c>
      <c r="C26" s="49">
        <f>IF(B26="NOT IN 7-10 OR 7-16","NOT IN 7-10 OR 7-16",MAX(L26,M26))</f>
        <v>106.624</v>
      </c>
      <c r="D26" s="29">
        <v>200</v>
      </c>
      <c r="E26" s="9"/>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Conversion'!D13&lt;=15),40,IF(B26&lt;=20,B26*'Snow Load Conversion'!D11,20*'Snow Load Conversion'!D11)))))</f>
        <v>30</v>
      </c>
      <c r="M26" s="24">
        <f>(0.7*'Snow Load Conversion'!D7*'Snow Load Conversion'!D9*'Snow Load Conversion'!D11*B26)+'Snow Load Conversion'!D17</f>
        <v>106.624</v>
      </c>
    </row>
    <row r="27" spans="1:13" x14ac:dyDescent="0.25">
      <c r="A27" s="28" t="s">
        <v>98</v>
      </c>
      <c r="B27" s="23">
        <f>IF(AND('Snow Load Conversion'!I5='Snow Load Conversion'!P5,'Snow Load Conversion'!D10="I"),90,IF(AND('Snow Load Conversion'!I5='Snow Load Conversion'!P5,'Snow Load Conversion'!D10="II"),112,IF(AND('Snow Load Conversion'!I5='Snow Load Conversion'!P5,'Snow Load Conversion'!D10="III"),129,IF(AND('Snow Load Conversion'!I5='Snow Load Conversion'!P5,'Snow Load Conversion'!D10="IV"),140,60))))</f>
        <v>112</v>
      </c>
      <c r="C27" s="49">
        <f>MAX(L27,M27)</f>
        <v>93.295999999999992</v>
      </c>
      <c r="D27" s="29">
        <v>100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Conversion'!D13&lt;=15),40,IF(B27&lt;=20,B27*'Snow Load Conversion'!D11,20*'Snow Load Conversion'!D11)))))</f>
        <v>30</v>
      </c>
      <c r="M27" s="24">
        <f>(0.7*'Snow Load Conversion'!D7*'Snow Load Conversion'!D9*'Snow Load Conversion'!D11*B27)+'Snow Load Conversion'!D17</f>
        <v>93.295999999999992</v>
      </c>
    </row>
    <row r="28" spans="1:13" x14ac:dyDescent="0.25">
      <c r="A28" s="28" t="s">
        <v>131</v>
      </c>
      <c r="B28" s="23">
        <f>IF(AND('Snow Load Conversion'!I5='Snow Load Conversion'!P5,'Snow Load Conversion'!D10="I"),58,IF(AND('Snow Load Conversion'!I5='Snow Load Conversion'!P5,'Snow Load Conversion'!D10="II"),72,IF(AND('Snow Load Conversion'!I5='Snow Load Conversion'!P5,'Snow Load Conversion'!D10="III"),83,IF(AND('Snow Load Conversion'!I5='Snow Load Conversion'!P5,'Snow Load Conversion'!D10="IV"),90,"NOT IN 7-10 OR 7-16"))))</f>
        <v>72</v>
      </c>
      <c r="C28" s="49">
        <f>IF(B28="NOT IN 7-10 OR 7-16","NOT IN 7-10 OR 7-16",MAX(L28,M28))</f>
        <v>59.975999999999999</v>
      </c>
      <c r="D28" s="29">
        <v>100</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Conversion'!D13&lt;=15),40,IF(B28&lt;=20,B28*'Snow Load Conversion'!D11,20*'Snow Load Conversion'!D11)))))</f>
        <v>30</v>
      </c>
      <c r="M28" s="24">
        <f>(0.7*'Snow Load Conversion'!D7*'Snow Load Conversion'!D9*'Snow Load Conversion'!D11*B28)+'Snow Load Conversion'!D17</f>
        <v>59.975999999999999</v>
      </c>
    </row>
    <row r="29" spans="1:13" x14ac:dyDescent="0.25">
      <c r="A29" s="28" t="s">
        <v>130</v>
      </c>
      <c r="B29" s="23">
        <f>IF(AND('Snow Load Conversion'!I5='Snow Load Conversion'!P5,'Snow Load Conversion'!D10="I"),83,IF(AND('Snow Load Conversion'!I5='Snow Load Conversion'!P5,'Snow Load Conversion'!D10="II"),104,IF(AND('Snow Load Conversion'!I5='Snow Load Conversion'!P5,'Snow Load Conversion'!D10="III"),120,IF(AND('Snow Load Conversion'!I5='Snow Load Conversion'!P5,'Snow Load Conversion'!D10="IV"),130,70))))</f>
        <v>104</v>
      </c>
      <c r="C29" s="49">
        <f>MAX(L29,M29)</f>
        <v>86.631999999999991</v>
      </c>
      <c r="D29" s="29">
        <v>200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Conversion'!D13&lt;=15),40,IF(B29&lt;=20,B29*'Snow Load Conversion'!D11,20*'Snow Load Conversion'!D11)))))</f>
        <v>30</v>
      </c>
      <c r="M29" s="24">
        <f>(0.7*'Snow Load Conversion'!D7*'Snow Load Conversion'!D9*'Snow Load Conversion'!D11*B29)+'Snow Load Conversion'!D17</f>
        <v>86.631999999999991</v>
      </c>
    </row>
    <row r="30" spans="1:13" x14ac:dyDescent="0.25">
      <c r="A30" s="28" t="s">
        <v>132</v>
      </c>
      <c r="B30" s="23">
        <f>IF(AND('Snow Load Conversion'!I5='Snow Load Conversion'!P5,'Snow Load Conversion'!D10="I"),38,IF(AND('Snow Load Conversion'!I5='Snow Load Conversion'!P5,'Snow Load Conversion'!D10="II"),48,IF(AND('Snow Load Conversion'!I5='Snow Load Conversion'!P5,'Snow Load Conversion'!D10="III"),55,IF(AND('Snow Load Conversion'!I5='Snow Load Conversion'!P5,'Snow Load Conversion'!D10="IV"),60,"NOT IN 7-10 OR 7-16"))))</f>
        <v>48</v>
      </c>
      <c r="C30" s="49">
        <f>IF(B30="NOT IN 7-10 OR 7-16","NOT IN 7-10 OR 7-16",MAX(L30,M30))</f>
        <v>39.983999999999995</v>
      </c>
      <c r="D30" s="29">
        <v>100</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Conversion'!D13&lt;=15),40,IF(B30&lt;=20,B30*'Snow Load Conversion'!D11,20*'Snow Load Conversion'!D11)))))</f>
        <v>30</v>
      </c>
      <c r="M30" s="24">
        <f>(0.7*'Snow Load Conversion'!D7*'Snow Load Conversion'!D9*'Snow Load Conversion'!D11*B30)+'Snow Load Conversion'!D17</f>
        <v>39.983999999999995</v>
      </c>
    </row>
    <row r="31" spans="1:13" x14ac:dyDescent="0.25">
      <c r="A31" s="28" t="s">
        <v>133</v>
      </c>
      <c r="B31" s="23">
        <f>IF(AND('Snow Load Conversion'!I5='Snow Load Conversion'!P5,'Snow Load Conversion'!D10="I"),115,IF(AND('Snow Load Conversion'!I5='Snow Load Conversion'!P5,'Snow Load Conversion'!D10="II"),144,IF(AND('Snow Load Conversion'!I5='Snow Load Conversion'!P5,'Snow Load Conversion'!D10="III"),166,IF(AND('Snow Load Conversion'!I5='Snow Load Conversion'!P5,'Snow Load Conversion'!D10="IV"),180,"NOT IN 7-10 OR 7-16"))))</f>
        <v>144</v>
      </c>
      <c r="C31" s="49">
        <f>IF(B31="NOT IN 7-10 OR 7-16","NOT IN 7-10 OR 7-16",MAX(L31,M31))</f>
        <v>119.952</v>
      </c>
      <c r="D31" s="29">
        <v>200</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Conversion'!D13&lt;=15),40,IF(B31&lt;=20,B31*'Snow Load Conversion'!D11,20*'Snow Load Conversion'!D11)))))</f>
        <v>30</v>
      </c>
      <c r="M31" s="24">
        <f>(0.7*'Snow Load Conversion'!D7*'Snow Load Conversion'!D9*'Snow Load Conversion'!D11*B31)+'Snow Load Conversion'!D17</f>
        <v>119.952</v>
      </c>
    </row>
    <row r="32" spans="1:13" x14ac:dyDescent="0.25">
      <c r="A32" s="28" t="s">
        <v>99</v>
      </c>
      <c r="B32" s="23">
        <f>IF(AND('Snow Load Conversion'!I5='Snow Load Conversion'!P5,'Snow Load Conversion'!D10="I"),45,IF(AND('Snow Load Conversion'!I5='Snow Load Conversion'!P5,'Snow Load Conversion'!D10="II"),56,IF(AND('Snow Load Conversion'!I5='Snow Load Conversion'!P5,'Snow Load Conversion'!D10="III"),64,IF(AND('Snow Load Conversion'!I5='Snow Load Conversion'!P5,'Snow Load Conversion'!D10="IV"),70,30))))</f>
        <v>56</v>
      </c>
      <c r="C32" s="49">
        <f>MAX(L32,M32)</f>
        <v>46.647999999999996</v>
      </c>
      <c r="D32" s="29">
        <v>100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Conversion'!D13&lt;=15),40,IF(B32&lt;=20,B32*'Snow Load Conversion'!D11,20*'Snow Load Conversion'!D11)))))</f>
        <v>30</v>
      </c>
      <c r="M32" s="24">
        <f>(0.7*'Snow Load Conversion'!D7*'Snow Load Conversion'!D9*'Snow Load Conversion'!D11*B32)+'Snow Load Conversion'!D17</f>
        <v>46.647999999999996</v>
      </c>
    </row>
    <row r="33" spans="1:13" x14ac:dyDescent="0.25">
      <c r="A33" s="28" t="s">
        <v>100</v>
      </c>
      <c r="B33" s="23">
        <f>IF(AND('Snow Load Conversion'!I5='Snow Load Conversion'!P5,'Snow Load Conversion'!D10="I"),77,IF(AND('Snow Load Conversion'!I5='Snow Load Conversion'!P5,'Snow Load Conversion'!D10="II"),96,IF(AND('Snow Load Conversion'!I5='Snow Load Conversion'!P5,'Snow Load Conversion'!D10="III"),110,IF(AND('Snow Load Conversion'!I5='Snow Load Conversion'!P5,'Snow Load Conversion'!D10="IV"),120,60))))</f>
        <v>96</v>
      </c>
      <c r="C33" s="49">
        <f>MAX(L33,M33)</f>
        <v>79.967999999999989</v>
      </c>
      <c r="D33" s="29">
        <v>100</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Conversion'!D13&lt;=15),40,IF(B33&lt;=20,B33*'Snow Load Conversion'!D11,20*'Snow Load Conversion'!D11)))))</f>
        <v>30</v>
      </c>
      <c r="M33" s="24">
        <f>(0.7*'Snow Load Conversion'!D7*'Snow Load Conversion'!D9*'Snow Load Conversion'!D11*B33)+'Snow Load Conversion'!D17</f>
        <v>79.967999999999989</v>
      </c>
    </row>
    <row r="34" spans="1:13" x14ac:dyDescent="0.25">
      <c r="A34" s="28" t="s">
        <v>101</v>
      </c>
      <c r="B34" s="23">
        <f>IF(AND('Snow Load Conversion'!I5='Snow Load Conversion'!P5,'Snow Load Conversion'!D10="I"),83,IF(AND('Snow Load Conversion'!I5='Snow Load Conversion'!P5,'Snow Load Conversion'!D10="II"),104,IF(AND('Snow Load Conversion'!I5='Snow Load Conversion'!P5,'Snow Load Conversion'!D10="III"),120,IF(AND('Snow Load Conversion'!I5='Snow Load Conversion'!P5,'Snow Load Conversion'!D10="IV"),130,70))))</f>
        <v>104</v>
      </c>
      <c r="C34" s="49">
        <f>MAX(L34,M34)</f>
        <v>86.631999999999991</v>
      </c>
      <c r="D34" s="29">
        <v>400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Conversion'!D13&lt;=15),40,IF(B34&lt;=20,B34*'Snow Load Conversion'!D11,20*'Snow Load Conversion'!D11)))))</f>
        <v>30</v>
      </c>
      <c r="M34" s="24">
        <f>(0.7*'Snow Load Conversion'!D7*'Snow Load Conversion'!D9*'Snow Load Conversion'!D11*B34)+'Snow Load Conversion'!D17</f>
        <v>86.631999999999991</v>
      </c>
    </row>
    <row r="35" spans="1:13" x14ac:dyDescent="0.25">
      <c r="A35" s="28" t="s">
        <v>102</v>
      </c>
      <c r="B35" s="23">
        <f>IF(AND('Snow Load Conversion'!I5='Snow Load Conversion'!P5,'Snow Load Conversion'!D10="I"),96,IF(AND('Snow Load Conversion'!I5='Snow Load Conversion'!P5,'Snow Load Conversion'!D10="II"),120,IF(AND('Snow Load Conversion'!I5='Snow Load Conversion'!P5,'Snow Load Conversion'!D10="III"),138,IF(AND('Snow Load Conversion'!I5='Snow Load Conversion'!P5,'Snow Load Conversion'!D10="IV"),150,80))))</f>
        <v>120</v>
      </c>
      <c r="C35" s="49">
        <f>MAX(L35,M35)</f>
        <v>99.96</v>
      </c>
      <c r="D35" s="29">
        <v>400</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Conversion'!D13&lt;=15),40,IF(B35&lt;=20,B35*'Snow Load Conversion'!D11,20*'Snow Load Conversion'!D11)))))</f>
        <v>30</v>
      </c>
      <c r="M35" s="24">
        <f>(0.7*'Snow Load Conversion'!D7*'Snow Load Conversion'!D9*'Snow Load Conversion'!D11*B35)+'Snow Load Conversion'!D17</f>
        <v>99.96</v>
      </c>
    </row>
    <row r="36" spans="1:13" x14ac:dyDescent="0.25">
      <c r="A36" s="28" t="s">
        <v>134</v>
      </c>
      <c r="B36" s="23">
        <f>IF(AND('Snow Load Conversion'!I5='Snow Load Conversion'!P5,'Snow Load Conversion'!D10="I"),102,IF(AND('Snow Load Conversion'!I5='Snow Load Conversion'!P5,'Snow Load Conversion'!D10="II"),128,IF(AND('Snow Load Conversion'!I5='Snow Load Conversion'!P5,'Snow Load Conversion'!D10="III"),147,IF(AND('Snow Load Conversion'!I5='Snow Load Conversion'!P5,'Snow Load Conversion'!D10="IV"),160,"NOT IN 7-10 OR 7-16"))))</f>
        <v>128</v>
      </c>
      <c r="C36" s="49">
        <f>IF(B36="NOT IN 7-10 OR 7-16","NOT IN 7-10 OR 7-16",MAX(L36,M36))</f>
        <v>106.624</v>
      </c>
      <c r="D36" s="29">
        <v>200</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Conversion'!D13&lt;=15),40,IF(B36&lt;=20,B36*'Snow Load Conversion'!D11,20*'Snow Load Conversion'!D11)))))</f>
        <v>30</v>
      </c>
      <c r="M36" s="24">
        <f>(0.7*'Snow Load Conversion'!D7*'Snow Load Conversion'!D9*'Snow Load Conversion'!D11*B36)+'Snow Load Conversion'!D17</f>
        <v>106.624</v>
      </c>
    </row>
    <row r="37" spans="1:13" x14ac:dyDescent="0.25">
      <c r="A37" s="28" t="s">
        <v>103</v>
      </c>
      <c r="B37" s="23">
        <f>IF(AND('Snow Load Conversion'!I5='Snow Load Conversion'!P5,'Snow Load Conversion'!D10="I"),90,IF(AND('Snow Load Conversion'!I5='Snow Load Conversion'!P5,'Snow Load Conversion'!D10="II"),112,IF(AND('Snow Load Conversion'!I5='Snow Load Conversion'!P5,'Snow Load Conversion'!D10="III"),129,IF(AND('Snow Load Conversion'!I5='Snow Load Conversion'!P5,'Snow Load Conversion'!D10="IV"),140,70))))</f>
        <v>112</v>
      </c>
      <c r="C37" s="49">
        <f>MAX(L37,M37)</f>
        <v>93.295999999999992</v>
      </c>
      <c r="D37" s="29">
        <v>100</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Conversion'!D13&lt;=15),40,IF(B37&lt;=20,B37*'Snow Load Conversion'!D11,20*'Snow Load Conversion'!D11)))))</f>
        <v>30</v>
      </c>
      <c r="M37" s="24">
        <f>(0.7*'Snow Load Conversion'!D7*'Snow Load Conversion'!D9*'Snow Load Conversion'!D11*B37)+'Snow Load Conversion'!D17</f>
        <v>93.295999999999992</v>
      </c>
    </row>
    <row r="38" spans="1:13" x14ac:dyDescent="0.25">
      <c r="A38" s="28" t="s">
        <v>135</v>
      </c>
      <c r="B38" s="23">
        <f>IF(AND('Snow Load Conversion'!I5='Snow Load Conversion'!P5,'Snow Load Conversion'!D10="I"),64,IF(AND('Snow Load Conversion'!I5='Snow Load Conversion'!P5,'Snow Load Conversion'!D10="II"),80,IF(AND('Snow Load Conversion'!I5='Snow Load Conversion'!P5,'Snow Load Conversion'!D10="III"),92,IF(AND('Snow Load Conversion'!I5='Snow Load Conversion'!P5,'Snow Load Conversion'!D10="IV"),100,50))))</f>
        <v>80</v>
      </c>
      <c r="C38" s="49">
        <f>MAX(L38,M38)</f>
        <v>66.64</v>
      </c>
      <c r="D38" s="29">
        <v>500</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Conversion'!D13&lt;=15),40,IF(B38&lt;=20,B38*'Snow Load Conversion'!D11,20*'Snow Load Conversion'!D11)))))</f>
        <v>30</v>
      </c>
      <c r="M38" s="24">
        <f>(0.7*'Snow Load Conversion'!D7*'Snow Load Conversion'!D9*'Snow Load Conversion'!D11*B38)+'Snow Load Conversion'!D17</f>
        <v>66.64</v>
      </c>
    </row>
    <row r="39" spans="1:13" x14ac:dyDescent="0.25">
      <c r="A39" s="28" t="s">
        <v>104</v>
      </c>
      <c r="B39" s="23">
        <f>IF(AND('Snow Load Conversion'!I5='Snow Load Conversion'!P5,'Snow Load Conversion'!D10="I"),122,IF(AND('Snow Load Conversion'!I5='Snow Load Conversion'!P5,'Snow Load Conversion'!D10="II"),152,IF(AND('Snow Load Conversion'!I5='Snow Load Conversion'!P5,'Snow Load Conversion'!D10="III"),175,IF(AND('Snow Load Conversion'!I5='Snow Load Conversion'!P5,'Snow Load Conversion'!D10="IV"),190,150))))</f>
        <v>152</v>
      </c>
      <c r="C39" s="49">
        <f>MAX(L39,M39)</f>
        <v>126.616</v>
      </c>
      <c r="D39" s="29">
        <v>100</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Conversion'!D13&lt;=15),40,IF(B39&lt;=20,B39*'Snow Load Conversion'!D11,20*'Snow Load Conversion'!D11)))))</f>
        <v>30</v>
      </c>
      <c r="M39" s="24">
        <f>(0.7*'Snow Load Conversion'!D7*'Snow Load Conversion'!D9*'Snow Load Conversion'!D11*B39)+'Snow Load Conversion'!D17</f>
        <v>126.616</v>
      </c>
    </row>
    <row r="40" spans="1:13" x14ac:dyDescent="0.25">
      <c r="A40" s="28" t="s">
        <v>136</v>
      </c>
      <c r="B40" s="23">
        <f>IF(AND('Snow Load Conversion'!I5='Snow Load Conversion'!P5,'Snow Load Conversion'!D10="I"),58,IF(AND('Snow Load Conversion'!I5='Snow Load Conversion'!P5,'Snow Load Conversion'!D10="II"),72,IF(AND('Snow Load Conversion'!I5='Snow Load Conversion'!P5,'Snow Load Conversion'!D10="III"),83,IF(AND('Snow Load Conversion'!I5='Snow Load Conversion'!P5,'Snow Load Conversion'!D10="IV"),90,"NOT IN 7-10 OR 7-16"))))</f>
        <v>72</v>
      </c>
      <c r="C40" s="49">
        <f>IF(B40="NOT IN 7-10 OR 7-16","NOT IN 7-10 OR 7-16",MAX(L40,M40))</f>
        <v>59.975999999999999</v>
      </c>
      <c r="D40" s="29">
        <v>100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Conversion'!D13&lt;=15),40,IF(B40&lt;=20,B40*'Snow Load Conversion'!D11,20*'Snow Load Conversion'!D11)))))</f>
        <v>30</v>
      </c>
      <c r="M40" s="24">
        <f>(0.7*'Snow Load Conversion'!D7*'Snow Load Conversion'!D9*'Snow Load Conversion'!D11*B40)+'Snow Load Conversion'!D17</f>
        <v>59.975999999999999</v>
      </c>
    </row>
    <row r="41" spans="1:13" x14ac:dyDescent="0.25">
      <c r="A41" s="28" t="s">
        <v>137</v>
      </c>
      <c r="B41" s="23">
        <f>IF(AND('Snow Load Conversion'!I5='Snow Load Conversion'!P5,'Snow Load Conversion'!D10="I"),122,IF(AND('Snow Load Conversion'!I5='Snow Load Conversion'!P5,'Snow Load Conversion'!D10="II"),152,IF(AND('Snow Load Conversion'!I5='Snow Load Conversion'!P5,'Snow Load Conversion'!D10="III"),175,IF(AND('Snow Load Conversion'!I5='Snow Load Conversion'!P5,'Snow Load Conversion'!D10="IV"),190,"NOT IN 7-10 OR 7-16"))))</f>
        <v>152</v>
      </c>
      <c r="C41" s="49">
        <f>IF(B41="NOT IN 7-10 OR 7-16","NOT IN 7-10 OR 7-16",MAX(L41,M41))</f>
        <v>126.616</v>
      </c>
      <c r="D41" s="29">
        <v>100</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Conversion'!D13&lt;=15),40,IF(B41&lt;=20,B41*'Snow Load Conversion'!D11,20*'Snow Load Conversion'!D11)))))</f>
        <v>30</v>
      </c>
      <c r="M41" s="24">
        <f>(0.7*'Snow Load Conversion'!D7*'Snow Load Conversion'!D9*'Snow Load Conversion'!D11*B41)+'Snow Load Conversion'!D17</f>
        <v>126.616</v>
      </c>
    </row>
    <row r="42" spans="1:13" x14ac:dyDescent="0.25">
      <c r="A42" s="28" t="str">
        <f>IF('Snow Load Conversion'!I5='Snow Load Conversion'!P5,"St. Paul Island","St. Paul")</f>
        <v>St. Paul Island</v>
      </c>
      <c r="B42" s="23">
        <f>IF(AND('Snow Load Conversion'!I5='Snow Load Conversion'!P5,'Snow Load Conversion'!D10="I"),51,IF(AND('Snow Load Conversion'!I5='Snow Load Conversion'!P5,'Snow Load Conversion'!D10="II"),64,IF(AND('Snow Load Conversion'!I5='Snow Load Conversion'!P5,'Snow Load Conversion'!D10="III"),74,IF(AND('Snow Load Conversion'!I5='Snow Load Conversion'!P5,'Snow Load Conversion'!D10="IV"),80,40))))</f>
        <v>64</v>
      </c>
      <c r="C42" s="49">
        <f t="shared" ref="C42:C56" si="1">MAX(L42,M42)</f>
        <v>53.311999999999998</v>
      </c>
      <c r="D42" s="29">
        <v>100</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Conversion'!D13&lt;=15),40,IF(B42&lt;=20,B42*'Snow Load Conversion'!D11,20*'Snow Load Conversion'!D11)))))</f>
        <v>30</v>
      </c>
      <c r="M42" s="24">
        <f>(0.7*'Snow Load Conversion'!D7*'Snow Load Conversion'!D9*'Snow Load Conversion'!D11*B42)+'Snow Load Conversion'!D17</f>
        <v>53.311999999999998</v>
      </c>
    </row>
    <row r="43" spans="1:13" x14ac:dyDescent="0.25">
      <c r="A43" s="28" t="s">
        <v>138</v>
      </c>
      <c r="B43" s="23">
        <f>IF(AND('Snow Load Conversion'!I5='Snow Load Conversion'!P5,'Snow Load Conversion'!D10="I"),77,IF(AND('Snow Load Conversion'!I5='Snow Load Conversion'!P5,'Snow Load Conversion'!D10="II"),96,IF(AND('Snow Load Conversion'!I5='Snow Load Conversion'!P5,'Snow Load Conversion'!D10="III"),110,IF(AND('Snow Load Conversion'!I5='Snow Load Conversion'!P5,'Snow Load Conversion'!D10="IV"),120,50))))</f>
        <v>96</v>
      </c>
      <c r="C43" s="49">
        <f t="shared" si="1"/>
        <v>79.967999999999989</v>
      </c>
      <c r="D43" s="29">
        <v>100</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Conversion'!D13&lt;=15),40,IF(B43&lt;=20,B43*'Snow Load Conversion'!D11,20*'Snow Load Conversion'!D11)))))</f>
        <v>30</v>
      </c>
      <c r="M43" s="24">
        <f>(0.7*'Snow Load Conversion'!D7*'Snow Load Conversion'!D9*'Snow Load Conversion'!D11*B43)+'Snow Load Conversion'!D17</f>
        <v>79.967999999999989</v>
      </c>
    </row>
    <row r="44" spans="1:13" x14ac:dyDescent="0.25">
      <c r="A44" s="28" t="s">
        <v>105</v>
      </c>
      <c r="B44" s="23">
        <v>25</v>
      </c>
      <c r="C44" s="49">
        <f t="shared" si="1"/>
        <v>30</v>
      </c>
      <c r="D44" s="29">
        <v>100</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Conversion'!D13&lt;=15),40,IF(B44&lt;=20,B44*'Snow Load Conversion'!D11,20*'Snow Load Conversion'!D11)))))</f>
        <v>30</v>
      </c>
      <c r="M44" s="24">
        <f>(0.7*'Snow Load Conversion'!D7*'Snow Load Conversion'!D9*'Snow Load Conversion'!D11*B44)+'Snow Load Conversion'!D17</f>
        <v>20.824999999999999</v>
      </c>
    </row>
    <row r="45" spans="1:13" x14ac:dyDescent="0.25">
      <c r="A45" s="28" t="s">
        <v>106</v>
      </c>
      <c r="B45" s="23">
        <f>IF(AND('Snow Load Conversion'!I5='Snow Load Conversion'!P5,'Snow Load Conversion'!D10="I"),64,IF(AND('Snow Load Conversion'!I5='Snow Load Conversion'!P5,'Snow Load Conversion'!D10="II"),80,IF(AND('Snow Load Conversion'!I5='Snow Load Conversion'!P5,'Snow Load Conversion'!D10="III"),92,IF(AND('Snow Load Conversion'!I5='Snow Load Conversion'!P5,'Snow Load Conversion'!D10="IV"),100,50))))</f>
        <v>80</v>
      </c>
      <c r="C45" s="49">
        <f t="shared" si="1"/>
        <v>66.64</v>
      </c>
      <c r="D45" s="29">
        <v>100</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Conversion'!D13&lt;=15),40,IF(B45&lt;=20,B45*'Snow Load Conversion'!D11,20*'Snow Load Conversion'!D11)))))</f>
        <v>30</v>
      </c>
      <c r="M45" s="24">
        <f>(0.7*'Snow Load Conversion'!D7*'Snow Load Conversion'!D9*'Snow Load Conversion'!D11*B45)+'Snow Load Conversion'!D17</f>
        <v>66.64</v>
      </c>
    </row>
    <row r="46" spans="1:13" x14ac:dyDescent="0.25">
      <c r="A46" s="28" t="s">
        <v>107</v>
      </c>
      <c r="B46" s="23">
        <f>IF(AND('Snow Load Conversion'!I5='Snow Load Conversion'!P5,'Snow Load Conversion'!D10="I"),154,IF(AND('Snow Load Conversion'!I5='Snow Load Conversion'!P5,'Snow Load Conversion'!D10="II"),192,IF(AND('Snow Load Conversion'!I5='Snow Load Conversion'!P5,'Snow Load Conversion'!D10="III"),221,IF(AND('Snow Load Conversion'!I5='Snow Load Conversion'!P5,'Snow Load Conversion'!D10="IV"),240,120))))</f>
        <v>192</v>
      </c>
      <c r="C46" s="49">
        <f t="shared" si="1"/>
        <v>159.93599999999998</v>
      </c>
      <c r="D46" s="29">
        <v>400</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Conversion'!D13&lt;=15),40,IF(B46&lt;=20,B46*'Snow Load Conversion'!D11,20*'Snow Load Conversion'!D11)))))</f>
        <v>30</v>
      </c>
      <c r="M46" s="24">
        <f>(0.7*'Snow Load Conversion'!D7*'Snow Load Conversion'!D9*'Snow Load Conversion'!D11*B46)+'Snow Load Conversion'!D17</f>
        <v>159.93599999999998</v>
      </c>
    </row>
    <row r="47" spans="1:13" x14ac:dyDescent="0.25">
      <c r="A47" s="28" t="s">
        <v>139</v>
      </c>
      <c r="B47" s="23">
        <f>IF(AND('Snow Load Conversion'!I5='Snow Load Conversion'!P5,'Snow Load Conversion'!D10="I"),45,IF(AND('Snow Load Conversion'!I5='Snow Load Conversion'!P5,'Snow Load Conversion'!D10="II"),56,IF(AND('Snow Load Conversion'!I5='Snow Load Conversion'!P5,'Snow Load Conversion'!D10="III"),64,70)))</f>
        <v>56</v>
      </c>
      <c r="C47" s="49">
        <f t="shared" si="1"/>
        <v>46.647999999999996</v>
      </c>
      <c r="D47" s="29">
        <v>1700</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Conversion'!D13&lt;=15),40,IF(B47&lt;=20,B47*'Snow Load Conversion'!D11,20*'Snow Load Conversion'!D11)))))</f>
        <v>30</v>
      </c>
      <c r="M47" s="24">
        <f>(0.7*'Snow Load Conversion'!D7*'Snow Load Conversion'!D9*'Snow Load Conversion'!D11*B47)+'Snow Load Conversion'!D17</f>
        <v>46.647999999999996</v>
      </c>
    </row>
    <row r="48" spans="1:13" x14ac:dyDescent="0.25">
      <c r="A48" s="28" t="s">
        <v>140</v>
      </c>
      <c r="B48" s="23">
        <f>IF(AND('Snow Load Conversion'!I5='Snow Load Conversion'!P5,'Snow Load Conversion'!D10="I"),38,IF(AND('Snow Load Conversion'!I5='Snow Load Conversion'!P5,'Snow Load Conversion'!D10="II"),48,IF(AND('Snow Load Conversion'!I5='Snow Load Conversion'!P5,'Snow Load Conversion'!D10="III"),55,60)))</f>
        <v>48</v>
      </c>
      <c r="C48" s="49">
        <f t="shared" si="1"/>
        <v>39.983999999999995</v>
      </c>
      <c r="D48" s="29">
        <v>300</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Conversion'!D13&lt;=15),40,IF(B48&lt;=20,B48*'Snow Load Conversion'!D11,20*'Snow Load Conversion'!D11)))))</f>
        <v>30</v>
      </c>
      <c r="M48" s="24">
        <f>(0.7*'Snow Load Conversion'!D7*'Snow Load Conversion'!D9*'Snow Load Conversion'!D11*B48)+'Snow Load Conversion'!D17</f>
        <v>39.983999999999995</v>
      </c>
    </row>
    <row r="49" spans="1:13" x14ac:dyDescent="0.25">
      <c r="A49" s="28" t="s">
        <v>108</v>
      </c>
      <c r="B49" s="23">
        <f>IF(AND('Snow Load Conversion'!I5='Snow Load Conversion'!P5,'Snow Load Conversion'!D10="I"),45,IF(AND('Snow Load Conversion'!I5='Snow Load Conversion'!P5,'Snow Load Conversion'!D10="II"),56,IF(AND('Snow Load Conversion'!I5='Snow Load Conversion'!P5,'Snow Load Conversion'!D10="III"),64,IF(AND('Snow Load Conversion'!I5='Snow Load Conversion'!P5,'Snow Load Conversion'!D10="IV"),70,50))))</f>
        <v>56</v>
      </c>
      <c r="C49" s="49">
        <f t="shared" si="1"/>
        <v>46.647999999999996</v>
      </c>
      <c r="D49" s="29">
        <v>100</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Conversion'!D13&lt;=15),40,IF(B49&lt;=20,B49*'Snow Load Conversion'!D11,20*'Snow Load Conversion'!D11)))))</f>
        <v>30</v>
      </c>
      <c r="M49" s="24">
        <f>(0.7*'Snow Load Conversion'!D7*'Snow Load Conversion'!D9*'Snow Load Conversion'!D11*B49)+'Snow Load Conversion'!D17</f>
        <v>46.647999999999996</v>
      </c>
    </row>
    <row r="50" spans="1:13" x14ac:dyDescent="0.25">
      <c r="A50" s="28" t="s">
        <v>141</v>
      </c>
      <c r="B50" s="23">
        <f>IF(AND('Snow Load Conversion'!I5='Snow Load Conversion'!P5,'Snow Load Conversion'!D10="I"),96,IF(AND('Snow Load Conversion'!I5='Snow Load Conversion'!P5,'Snow Load Conversion'!D10="II"),120,IF(AND('Snow Load Conversion'!I5='Snow Load Conversion'!P5,'Snow Load Conversion'!D10="III"),138,150)))</f>
        <v>120</v>
      </c>
      <c r="C50" s="49">
        <f t="shared" si="1"/>
        <v>99.96</v>
      </c>
      <c r="D50" s="29">
        <v>100</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Conversion'!D13&lt;=15),40,IF(B50&lt;=20,B50*'Snow Load Conversion'!D11,20*'Snow Load Conversion'!D11)))))</f>
        <v>30</v>
      </c>
      <c r="M50" s="24">
        <f>(0.7*'Snow Load Conversion'!D7*'Snow Load Conversion'!D9*'Snow Load Conversion'!D11*B50)+'Snow Load Conversion'!D17</f>
        <v>99.96</v>
      </c>
    </row>
    <row r="51" spans="1:13" x14ac:dyDescent="0.25">
      <c r="A51" s="28" t="s">
        <v>142</v>
      </c>
      <c r="B51" s="23">
        <f>IF(AND('Snow Load Conversion'!I5='Snow Load Conversion'!P5,'Snow Load Conversion'!D10="I"),205,IF(AND('Snow Load Conversion'!I5='Snow Load Conversion'!P5,'Snow Load Conversion'!D10="II"),256,IF(AND('Snow Load Conversion'!I5='Snow Load Conversion'!P5,'Snow Load Conversion'!D10="III"),294,IF(AND('Snow Load Conversion'!I5='Snow Load Conversion'!P5,'Snow Load Conversion'!D10="IV"),320,160))))</f>
        <v>256</v>
      </c>
      <c r="C51" s="49">
        <f t="shared" si="1"/>
        <v>213.24799999999999</v>
      </c>
      <c r="D51" s="29">
        <v>100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Conversion'!D13&lt;=15),40,IF(B51&lt;=20,B51*'Snow Load Conversion'!D11,20*'Snow Load Conversion'!D11)))))</f>
        <v>30</v>
      </c>
      <c r="M51" s="24">
        <f>(0.7*'Snow Load Conversion'!D7*'Snow Load Conversion'!D9*'Snow Load Conversion'!D11*B51)+'Snow Load Conversion'!D17</f>
        <v>213.24799999999999</v>
      </c>
    </row>
    <row r="52" spans="1:13" x14ac:dyDescent="0.25">
      <c r="A52" s="28" t="s">
        <v>143</v>
      </c>
      <c r="B52" s="23">
        <f>IF(AND('Snow Load Conversion'!I5='Snow Load Conversion'!P5,'Snow Load Conversion'!D10="I"),32,IF(AND('Snow Load Conversion'!I5='Snow Load Conversion'!P5,'Snow Load Conversion'!D10="II"),40,IF(AND('Snow Load Conversion'!I5='Snow Load Conversion'!P5,'Snow Load Conversion'!D10="III"),46,50)))</f>
        <v>40</v>
      </c>
      <c r="C52" s="49">
        <f t="shared" si="1"/>
        <v>33.32</v>
      </c>
      <c r="D52" s="29">
        <v>100</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Conversion'!D13&lt;=15),40,IF(B52&lt;=20,B52*'Snow Load Conversion'!D11,20*'Snow Load Conversion'!D11)))))</f>
        <v>30</v>
      </c>
      <c r="M52" s="24">
        <f>(0.7*'Snow Load Conversion'!D7*'Snow Load Conversion'!D9*'Snow Load Conversion'!D11*B52)+'Snow Load Conversion'!D17</f>
        <v>33.32</v>
      </c>
    </row>
    <row r="53" spans="1:13" x14ac:dyDescent="0.25">
      <c r="A53" s="28" t="s">
        <v>109</v>
      </c>
      <c r="B53" s="23">
        <f>IF(AND('Snow Load Conversion'!I5='Snow Load Conversion'!P5,'Snow Load Conversion'!D10="I"),346,IF(AND('Snow Load Conversion'!I5='Snow Load Conversion'!P5,'Snow Load Conversion'!D10="II"),432,IF(AND('Snow Load Conversion'!I5='Snow Load Conversion'!P5,'Snow Load Conversion'!D10="III"),497,IF(AND('Snow Load Conversion'!I5='Snow Load Conversion'!P5,'Snow Load Conversion'!D10="IV"),540,300))))</f>
        <v>432</v>
      </c>
      <c r="C53" s="49">
        <f t="shared" si="1"/>
        <v>359.85599999999999</v>
      </c>
      <c r="D53" s="29">
        <v>100</v>
      </c>
      <c r="L5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Conversion'!D13&lt;=15),40,IF(B53&lt;=20,B53*'Snow Load Conversion'!D11,20*'Snow Load Conversion'!D11)))))</f>
        <v>30</v>
      </c>
      <c r="M53" s="24">
        <f>(0.7*'Snow Load Conversion'!D7*'Snow Load Conversion'!D9*'Snow Load Conversion'!D11*B53)+'Snow Load Conversion'!D17</f>
        <v>359.85599999999999</v>
      </c>
    </row>
    <row r="54" spans="1:13" x14ac:dyDescent="0.25">
      <c r="A54" s="28" t="s">
        <v>144</v>
      </c>
      <c r="B54" s="23">
        <f>IF(AND('Snow Load Conversion'!I5='Snow Load Conversion'!P5,'Snow Load Conversion'!D10="I"),102,IF(AND('Snow Load Conversion'!I5='Snow Load Conversion'!P5,'Snow Load Conversion'!D10="II"),128,IF(AND('Snow Load Conversion'!I5='Snow Load Conversion'!P5,'Snow Load Conversion'!D10="III"),147,160)))</f>
        <v>128</v>
      </c>
      <c r="C54" s="49">
        <f t="shared" si="1"/>
        <v>106.624</v>
      </c>
      <c r="D54" s="29">
        <v>300</v>
      </c>
      <c r="L5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Conversion'!D13&lt;=15),40,IF(B54&lt;=20,B54*'Snow Load Conversion'!D11,20*'Snow Load Conversion'!D11)))))</f>
        <v>30</v>
      </c>
      <c r="M54" s="24">
        <f>(0.7*'Snow Load Conversion'!D7*'Snow Load Conversion'!D9*'Snow Load Conversion'!D11*B54)+'Snow Load Conversion'!D17</f>
        <v>106.624</v>
      </c>
    </row>
    <row r="55" spans="1:13" x14ac:dyDescent="0.25">
      <c r="A55" s="28" t="s">
        <v>110</v>
      </c>
      <c r="B55" s="23">
        <v>60</v>
      </c>
      <c r="C55" s="49">
        <f t="shared" si="1"/>
        <v>49.98</v>
      </c>
      <c r="D55" s="29">
        <v>100</v>
      </c>
      <c r="L5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Conversion'!D13&lt;=15),40,IF(B55&lt;=20,B55*'Snow Load Conversion'!D11,20*'Snow Load Conversion'!D11)))))</f>
        <v>30</v>
      </c>
      <c r="M55" s="24">
        <f>(0.7*'Snow Load Conversion'!D7*'Snow Load Conversion'!D9*'Snow Load Conversion'!D11*B55)+'Snow Load Conversion'!D17</f>
        <v>49.98</v>
      </c>
    </row>
    <row r="56" spans="1:13" ht="15.75" thickBot="1" x14ac:dyDescent="0.3">
      <c r="A56" s="30" t="s">
        <v>111</v>
      </c>
      <c r="B56" s="32">
        <f>IF(AND('Snow Load Conversion'!I5='Snow Load Conversion'!P5,'Snow Load Conversion'!D10="I"),179,IF(AND('Snow Load Conversion'!I5='Snow Load Conversion'!P5,'Snow Load Conversion'!D10="II"),224,IF(AND('Snow Load Conversion'!I5='Snow Load Conversion'!P5,'Snow Load Conversion'!D10="III"),258,IF(AND('Snow Load Conversion'!I5='Snow Load Conversion'!P5,'Snow Load Conversion'!D10="IV"),280,150))))</f>
        <v>224</v>
      </c>
      <c r="C56" s="50">
        <f t="shared" si="1"/>
        <v>186.59199999999998</v>
      </c>
      <c r="D56" s="33">
        <v>100</v>
      </c>
      <c r="L5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Conversion'!D13&lt;=15),40,IF(B56&lt;=20,B56*'Snow Load Conversion'!D11,20*'Snow Load Conversion'!D11)))))</f>
        <v>30</v>
      </c>
      <c r="M56" s="24">
        <f>(0.7*'Snow Load Conversion'!D7*'Snow Load Conversion'!D9*'Snow Load Conversion'!D11*B56)+'Snow Load Conversion'!D17</f>
        <v>186.59199999999998</v>
      </c>
    </row>
    <row r="57" spans="1:13" x14ac:dyDescent="0.25">
      <c r="M57" s="21"/>
    </row>
  </sheetData>
  <mergeCells count="3">
    <mergeCell ref="A1:D1"/>
    <mergeCell ref="O3:S3"/>
    <mergeCell ref="O4:S4"/>
  </mergeCells>
  <hyperlinks>
    <hyperlink ref="O4" r:id="rId1" display="https://nam12.safelinks.protection.outlook.com/?url=https%3A%2F%2Fseaak.net%2Falaska-snow-loads&amp;data=05%7C02%7Cmichael.schneider%40sunbeltmodular.com%7C1b4994f4a1b34858629c08dcd69421f7%7C5b92113cac094fe9813ce9b42b8ab6df%7C0%7C0%7C638621180962447294%7CUnknown%7CTWFpbGZsb3d8eyJWIjoiMC4wLjAwMDAiLCJQIjoiV2luMzIiLCJBTiI6Ik1haWwiLCJXVCI6Mn0%3D%7C0%7C%7C%7C&amp;sdata=m98icN8f8jT1urMvrRX7Z2D%2FgKYthxfmbLjNNWPWnj4%3D&amp;reserved=0" xr:uid="{657F0C75-EAA4-42B6-8C92-06B0FB41BC45}"/>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ACAF-5E7B-4292-A699-429BDE83015E}">
  <dimension ref="A1:V57"/>
  <sheetViews>
    <sheetView workbookViewId="0">
      <selection activeCell="C3" sqref="C3"/>
    </sheetView>
  </sheetViews>
  <sheetFormatPr defaultRowHeight="15" x14ac:dyDescent="0.25"/>
  <cols>
    <col min="1" max="1" width="26.8554687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22" ht="21.75" thickBot="1" x14ac:dyDescent="0.3">
      <c r="A1" s="150" t="s">
        <v>176</v>
      </c>
      <c r="B1" s="151"/>
      <c r="C1" s="151"/>
      <c r="D1" s="151"/>
      <c r="E1" s="152"/>
    </row>
    <row r="2" spans="1:22" ht="30" customHeight="1" thickBot="1" x14ac:dyDescent="0.3">
      <c r="A2" s="25" t="s">
        <v>18</v>
      </c>
      <c r="B2" s="26" t="s">
        <v>19</v>
      </c>
      <c r="C2" s="26" t="s">
        <v>21</v>
      </c>
      <c r="D2" s="48" t="s">
        <v>77</v>
      </c>
      <c r="E2" s="27" t="s">
        <v>20</v>
      </c>
      <c r="L2" s="6" t="s">
        <v>249</v>
      </c>
      <c r="M2" s="6" t="s">
        <v>250</v>
      </c>
    </row>
    <row r="3" spans="1:22" x14ac:dyDescent="0.25">
      <c r="A3" s="28" t="s">
        <v>251</v>
      </c>
      <c r="B3" t="s">
        <v>261</v>
      </c>
      <c r="C3" s="23">
        <v>30</v>
      </c>
      <c r="D3" s="49">
        <f t="shared" ref="D3:D34" si="0">MAX(M3,L3)</f>
        <v>30</v>
      </c>
      <c r="E3" s="35" t="s">
        <v>262</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24.99</v>
      </c>
      <c r="N3" s="21"/>
      <c r="O3" s="153" t="s">
        <v>681</v>
      </c>
      <c r="P3" s="154"/>
      <c r="Q3" s="154"/>
      <c r="R3" s="154"/>
      <c r="S3" s="154"/>
      <c r="T3" s="154"/>
      <c r="U3" s="154"/>
      <c r="V3" s="155"/>
    </row>
    <row r="4" spans="1:22" ht="15.75" thickBot="1" x14ac:dyDescent="0.3">
      <c r="A4" s="28" t="s">
        <v>177</v>
      </c>
      <c r="B4" s="22" t="s">
        <v>177</v>
      </c>
      <c r="C4" s="23">
        <v>25</v>
      </c>
      <c r="D4" s="49">
        <f t="shared" si="0"/>
        <v>30</v>
      </c>
      <c r="E4" s="29">
        <v>7540</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20.824999999999999</v>
      </c>
      <c r="N4" s="21"/>
      <c r="O4" s="156" t="s">
        <v>516</v>
      </c>
      <c r="P4" s="157"/>
      <c r="Q4" s="157"/>
      <c r="R4" s="157"/>
      <c r="S4" s="157"/>
      <c r="T4" s="157"/>
      <c r="U4" s="157"/>
      <c r="V4" s="158"/>
    </row>
    <row r="5" spans="1:22" x14ac:dyDescent="0.25">
      <c r="A5" s="28" t="s">
        <v>178</v>
      </c>
      <c r="B5" s="22" t="s">
        <v>192</v>
      </c>
      <c r="C5" s="23">
        <v>75</v>
      </c>
      <c r="D5" s="49">
        <f t="shared" si="0"/>
        <v>62.474999999999994</v>
      </c>
      <c r="E5" s="29">
        <v>7890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62.474999999999994</v>
      </c>
      <c r="N5" s="21"/>
    </row>
    <row r="6" spans="1:22" x14ac:dyDescent="0.25">
      <c r="A6" s="28" t="s">
        <v>179</v>
      </c>
      <c r="B6" s="22" t="s">
        <v>204</v>
      </c>
      <c r="C6" s="23">
        <v>40</v>
      </c>
      <c r="D6" s="49">
        <f t="shared" si="0"/>
        <v>33.32</v>
      </c>
      <c r="E6" s="29">
        <v>5400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33.32</v>
      </c>
      <c r="N6" s="21"/>
    </row>
    <row r="7" spans="1:22" x14ac:dyDescent="0.25">
      <c r="A7" s="28" t="s">
        <v>180</v>
      </c>
      <c r="B7" s="22" t="s">
        <v>194</v>
      </c>
      <c r="C7" s="23">
        <v>75</v>
      </c>
      <c r="D7" s="49">
        <f t="shared" si="0"/>
        <v>62.474999999999994</v>
      </c>
      <c r="E7" s="29">
        <v>8080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62.474999999999994</v>
      </c>
      <c r="N7" s="21"/>
    </row>
    <row r="8" spans="1:22" x14ac:dyDescent="0.25">
      <c r="A8" s="28" t="s">
        <v>182</v>
      </c>
      <c r="B8" s="22" t="s">
        <v>182</v>
      </c>
      <c r="C8" s="23">
        <v>40</v>
      </c>
      <c r="D8" s="49">
        <f t="shared" si="0"/>
        <v>33.32</v>
      </c>
      <c r="E8" s="29">
        <v>5330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33.32</v>
      </c>
      <c r="N8" s="21"/>
    </row>
    <row r="9" spans="1:22" x14ac:dyDescent="0.25">
      <c r="A9" s="28" t="s">
        <v>183</v>
      </c>
      <c r="B9" s="22" t="s">
        <v>53</v>
      </c>
      <c r="C9" s="23">
        <v>80</v>
      </c>
      <c r="D9" s="49">
        <f t="shared" si="0"/>
        <v>66.64</v>
      </c>
      <c r="E9" s="29">
        <v>9600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66.64</v>
      </c>
      <c r="N9" s="21"/>
    </row>
    <row r="10" spans="1:22" x14ac:dyDescent="0.25">
      <c r="A10" s="28" t="s">
        <v>184</v>
      </c>
      <c r="B10" s="22" t="s">
        <v>193</v>
      </c>
      <c r="C10" s="23">
        <v>35</v>
      </c>
      <c r="D10" s="49">
        <f t="shared" si="0"/>
        <v>30</v>
      </c>
      <c r="E10" s="29">
        <v>4980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29.154999999999998</v>
      </c>
      <c r="N10" s="21"/>
    </row>
    <row r="11" spans="1:22" x14ac:dyDescent="0.25">
      <c r="A11" s="28" t="s">
        <v>252</v>
      </c>
      <c r="B11" s="22" t="s">
        <v>200</v>
      </c>
      <c r="C11" s="23">
        <v>35</v>
      </c>
      <c r="D11" s="49">
        <f t="shared" si="0"/>
        <v>30</v>
      </c>
      <c r="E11" s="29">
        <v>7960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29.154999999999998</v>
      </c>
      <c r="N11" s="21"/>
    </row>
    <row r="12" spans="1:22" x14ac:dyDescent="0.25">
      <c r="A12" s="28" t="s">
        <v>185</v>
      </c>
      <c r="B12" s="22" t="s">
        <v>201</v>
      </c>
      <c r="C12" s="23">
        <v>35</v>
      </c>
      <c r="D12" s="49">
        <f t="shared" si="0"/>
        <v>30</v>
      </c>
      <c r="E12" s="29">
        <v>5350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29.154999999999998</v>
      </c>
      <c r="N12" s="21"/>
    </row>
    <row r="13" spans="1:22" x14ac:dyDescent="0.25">
      <c r="A13" s="28" t="s">
        <v>253</v>
      </c>
      <c r="B13" s="22" t="s">
        <v>202</v>
      </c>
      <c r="C13" s="23">
        <v>45</v>
      </c>
      <c r="D13" s="49">
        <f t="shared" si="0"/>
        <v>37.484999999999999</v>
      </c>
      <c r="E13" s="29">
        <v>6220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37.484999999999999</v>
      </c>
      <c r="N13" s="21"/>
    </row>
    <row r="14" spans="1:22" x14ac:dyDescent="0.25">
      <c r="A14" s="28" t="s">
        <v>187</v>
      </c>
      <c r="B14" s="22" t="s">
        <v>199</v>
      </c>
      <c r="C14" s="23">
        <v>85</v>
      </c>
      <c r="D14" s="49">
        <f t="shared" si="0"/>
        <v>70.804999999999993</v>
      </c>
      <c r="E14" s="29">
        <v>8510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70.804999999999993</v>
      </c>
      <c r="N14" s="21"/>
    </row>
    <row r="15" spans="1:22" x14ac:dyDescent="0.25">
      <c r="A15" s="28" t="s">
        <v>254</v>
      </c>
      <c r="B15" s="22" t="s">
        <v>189</v>
      </c>
      <c r="C15" s="23">
        <v>45</v>
      </c>
      <c r="D15" s="49">
        <f t="shared" si="0"/>
        <v>37.484999999999999</v>
      </c>
      <c r="E15" s="29">
        <v>6010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37.484999999999999</v>
      </c>
      <c r="N15" s="21"/>
    </row>
    <row r="16" spans="1:22" x14ac:dyDescent="0.25">
      <c r="A16" s="28" t="s">
        <v>255</v>
      </c>
      <c r="B16" s="22" t="s">
        <v>53</v>
      </c>
      <c r="C16" s="23">
        <v>80</v>
      </c>
      <c r="D16" s="49">
        <f t="shared" si="0"/>
        <v>66.64</v>
      </c>
      <c r="E16" s="29">
        <v>9700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66.64</v>
      </c>
      <c r="N16" s="21"/>
    </row>
    <row r="17" spans="1:14" x14ac:dyDescent="0.25">
      <c r="A17" s="28" t="s">
        <v>205</v>
      </c>
      <c r="B17" s="22" t="s">
        <v>215</v>
      </c>
      <c r="C17" s="23">
        <v>30</v>
      </c>
      <c r="D17" s="49">
        <f t="shared" si="0"/>
        <v>30</v>
      </c>
      <c r="E17" s="29">
        <v>9190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24.99</v>
      </c>
      <c r="N17" s="21"/>
    </row>
    <row r="18" spans="1:14" x14ac:dyDescent="0.25">
      <c r="A18" s="28" t="s">
        <v>206</v>
      </c>
      <c r="B18" s="22" t="s">
        <v>216</v>
      </c>
      <c r="C18" s="23">
        <v>30</v>
      </c>
      <c r="D18" s="49">
        <f t="shared" si="0"/>
        <v>30</v>
      </c>
      <c r="E18" s="29">
        <v>6200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24.99</v>
      </c>
      <c r="N18" s="21"/>
    </row>
    <row r="19" spans="1:14" x14ac:dyDescent="0.25">
      <c r="A19" s="28" t="s">
        <v>207</v>
      </c>
      <c r="B19" s="22" t="s">
        <v>217</v>
      </c>
      <c r="C19" s="23">
        <v>65</v>
      </c>
      <c r="D19" s="49">
        <f t="shared" si="0"/>
        <v>54.144999999999996</v>
      </c>
      <c r="E19" s="29">
        <v>8800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54.144999999999996</v>
      </c>
      <c r="N19" s="21"/>
    </row>
    <row r="20" spans="1:14" x14ac:dyDescent="0.25">
      <c r="A20" s="28" t="s">
        <v>208</v>
      </c>
      <c r="B20" s="22" t="s">
        <v>219</v>
      </c>
      <c r="C20" s="23">
        <v>70</v>
      </c>
      <c r="D20" s="49">
        <f t="shared" si="0"/>
        <v>58.309999999999995</v>
      </c>
      <c r="E20" s="29">
        <v>9490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58.309999999999995</v>
      </c>
      <c r="N20" s="21"/>
    </row>
    <row r="21" spans="1:14" x14ac:dyDescent="0.25">
      <c r="A21" s="28" t="s">
        <v>203</v>
      </c>
      <c r="B21" s="22" t="s">
        <v>203</v>
      </c>
      <c r="C21" s="23">
        <v>25</v>
      </c>
      <c r="D21" s="49">
        <f t="shared" si="0"/>
        <v>30</v>
      </c>
      <c r="E21" s="29">
        <v>4960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20.824999999999999</v>
      </c>
      <c r="N21" s="21"/>
    </row>
    <row r="22" spans="1:14" x14ac:dyDescent="0.25">
      <c r="A22" s="28" t="s">
        <v>209</v>
      </c>
      <c r="B22" s="22" t="s">
        <v>209</v>
      </c>
      <c r="C22" s="23">
        <v>35</v>
      </c>
      <c r="D22" s="49">
        <f t="shared" si="0"/>
        <v>30</v>
      </c>
      <c r="E22" s="29">
        <v>5280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29.154999999999998</v>
      </c>
      <c r="N22" s="21"/>
    </row>
    <row r="23" spans="1:14" x14ac:dyDescent="0.25">
      <c r="A23" s="28" t="s">
        <v>211</v>
      </c>
      <c r="B23" s="22" t="s">
        <v>196</v>
      </c>
      <c r="C23" s="23">
        <v>55</v>
      </c>
      <c r="D23" s="49">
        <f t="shared" si="0"/>
        <v>45.814999999999998</v>
      </c>
      <c r="E23" s="29">
        <v>6530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45.814999999999998</v>
      </c>
      <c r="N23" s="21"/>
    </row>
    <row r="24" spans="1:14" x14ac:dyDescent="0.25">
      <c r="A24" s="28" t="s">
        <v>194</v>
      </c>
      <c r="B24" s="22" t="s">
        <v>194</v>
      </c>
      <c r="C24" s="23">
        <v>45</v>
      </c>
      <c r="D24" s="49">
        <f t="shared" si="0"/>
        <v>37.484999999999999</v>
      </c>
      <c r="E24" s="29">
        <v>6600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37.484999999999999</v>
      </c>
      <c r="N24" s="21"/>
    </row>
    <row r="25" spans="1:14" x14ac:dyDescent="0.25">
      <c r="A25" s="28" t="s">
        <v>212</v>
      </c>
      <c r="B25" s="22" t="s">
        <v>197</v>
      </c>
      <c r="C25" s="23">
        <v>65</v>
      </c>
      <c r="D25" s="49">
        <f t="shared" si="0"/>
        <v>54.144999999999996</v>
      </c>
      <c r="E25" s="29">
        <v>7250</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54.144999999999996</v>
      </c>
      <c r="N25" s="21"/>
    </row>
    <row r="26" spans="1:14" x14ac:dyDescent="0.25">
      <c r="A26" s="28" t="s">
        <v>213</v>
      </c>
      <c r="B26" s="22" t="s">
        <v>190</v>
      </c>
      <c r="C26" s="23">
        <v>55</v>
      </c>
      <c r="D26" s="49">
        <f t="shared" si="0"/>
        <v>45.814999999999998</v>
      </c>
      <c r="E26" s="29">
        <v>9950</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45.814999999999998</v>
      </c>
      <c r="N26" s="21"/>
    </row>
    <row r="27" spans="1:14" x14ac:dyDescent="0.25">
      <c r="A27" s="28" t="s">
        <v>214</v>
      </c>
      <c r="B27" s="22" t="s">
        <v>197</v>
      </c>
      <c r="C27" s="23">
        <v>35</v>
      </c>
      <c r="D27" s="49">
        <f t="shared" si="0"/>
        <v>30</v>
      </c>
      <c r="E27" s="29">
        <v>5000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29.154999999999998</v>
      </c>
      <c r="N27" s="21"/>
    </row>
    <row r="28" spans="1:14" x14ac:dyDescent="0.25">
      <c r="A28" s="28" t="s">
        <v>221</v>
      </c>
      <c r="B28" s="22" t="s">
        <v>220</v>
      </c>
      <c r="C28" s="23">
        <v>60</v>
      </c>
      <c r="D28" s="49">
        <f t="shared" si="0"/>
        <v>49.98</v>
      </c>
      <c r="E28" s="29">
        <v>8520</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49.98</v>
      </c>
      <c r="N28" s="21"/>
    </row>
    <row r="29" spans="1:14" x14ac:dyDescent="0.25">
      <c r="A29" s="28" t="s">
        <v>222</v>
      </c>
      <c r="B29" s="22" t="s">
        <v>68</v>
      </c>
      <c r="C29" s="23">
        <v>40</v>
      </c>
      <c r="D29" s="49">
        <f t="shared" si="0"/>
        <v>33.32</v>
      </c>
      <c r="E29" s="29">
        <v>5760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33.32</v>
      </c>
      <c r="N29" s="21"/>
    </row>
    <row r="30" spans="1:14" x14ac:dyDescent="0.25">
      <c r="A30" s="28" t="s">
        <v>256</v>
      </c>
      <c r="B30" s="22" t="s">
        <v>191</v>
      </c>
      <c r="C30" s="23">
        <v>40</v>
      </c>
      <c r="D30" s="49">
        <f t="shared" si="0"/>
        <v>33.32</v>
      </c>
      <c r="E30" s="29">
        <v>5670</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33.32</v>
      </c>
      <c r="N30" s="21"/>
    </row>
    <row r="31" spans="1:14" x14ac:dyDescent="0.25">
      <c r="A31" s="37" t="s">
        <v>257</v>
      </c>
      <c r="B31" s="38" t="s">
        <v>64</v>
      </c>
      <c r="C31" s="39">
        <v>55</v>
      </c>
      <c r="D31" s="49">
        <f t="shared" si="0"/>
        <v>45.814999999999998</v>
      </c>
      <c r="E31" s="40">
        <v>7980</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45.814999999999998</v>
      </c>
      <c r="N31" s="21"/>
    </row>
    <row r="32" spans="1:14" x14ac:dyDescent="0.25">
      <c r="A32" s="28" t="s">
        <v>223</v>
      </c>
      <c r="B32" s="22" t="s">
        <v>195</v>
      </c>
      <c r="C32" s="23">
        <v>25</v>
      </c>
      <c r="D32" s="49">
        <f t="shared" si="0"/>
        <v>30</v>
      </c>
      <c r="E32" s="29">
        <v>4590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20.824999999999999</v>
      </c>
      <c r="N32" s="21"/>
    </row>
    <row r="33" spans="1:14" x14ac:dyDescent="0.25">
      <c r="A33" s="28" t="s">
        <v>224</v>
      </c>
      <c r="B33" s="22" t="s">
        <v>229</v>
      </c>
      <c r="C33" s="23">
        <v>30</v>
      </c>
      <c r="D33" s="49">
        <f t="shared" si="0"/>
        <v>30</v>
      </c>
      <c r="E33" s="29">
        <v>4680</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24.99</v>
      </c>
      <c r="N33" s="21"/>
    </row>
    <row r="34" spans="1:14" x14ac:dyDescent="0.25">
      <c r="A34" s="28" t="s">
        <v>218</v>
      </c>
      <c r="B34" s="22" t="s">
        <v>218</v>
      </c>
      <c r="C34" s="23">
        <v>45</v>
      </c>
      <c r="D34" s="49">
        <f t="shared" si="0"/>
        <v>37.484999999999999</v>
      </c>
      <c r="E34" s="29">
        <v>7700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37.484999999999999</v>
      </c>
      <c r="N34" s="21"/>
    </row>
    <row r="35" spans="1:14" x14ac:dyDescent="0.25">
      <c r="A35" s="28" t="s">
        <v>258</v>
      </c>
      <c r="B35" s="22" t="s">
        <v>53</v>
      </c>
      <c r="C35" s="23">
        <v>70</v>
      </c>
      <c r="D35" s="49">
        <f t="shared" ref="D35:D52" si="1">MAX(M35,L35)</f>
        <v>58.309999999999995</v>
      </c>
      <c r="E35" s="29">
        <v>9170</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58.309999999999995</v>
      </c>
      <c r="N35" s="21"/>
    </row>
    <row r="36" spans="1:14" x14ac:dyDescent="0.25">
      <c r="A36" s="28" t="s">
        <v>227</v>
      </c>
      <c r="B36" s="22" t="s">
        <v>231</v>
      </c>
      <c r="C36" s="23">
        <v>75</v>
      </c>
      <c r="D36" s="49">
        <f t="shared" si="1"/>
        <v>62.474999999999994</v>
      </c>
      <c r="E36" s="29">
        <v>10160</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62.474999999999994</v>
      </c>
      <c r="N36" s="21"/>
    </row>
    <row r="37" spans="1:14" x14ac:dyDescent="0.25">
      <c r="A37" s="28" t="s">
        <v>228</v>
      </c>
      <c r="B37" s="22" t="s">
        <v>182</v>
      </c>
      <c r="C37" s="23">
        <v>35</v>
      </c>
      <c r="D37" s="49">
        <f t="shared" si="1"/>
        <v>30</v>
      </c>
      <c r="E37" s="29">
        <v>4980</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29.154999999999998</v>
      </c>
      <c r="N37" s="21"/>
    </row>
    <row r="38" spans="1:14" x14ac:dyDescent="0.25">
      <c r="A38" s="28" t="s">
        <v>232</v>
      </c>
      <c r="B38" s="22" t="s">
        <v>238</v>
      </c>
      <c r="C38" s="23">
        <v>40</v>
      </c>
      <c r="D38" s="49">
        <f t="shared" si="1"/>
        <v>33.32</v>
      </c>
      <c r="E38" s="29">
        <v>6240</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33.32</v>
      </c>
      <c r="N38" s="21"/>
    </row>
    <row r="39" spans="1:14" x14ac:dyDescent="0.25">
      <c r="A39" s="28" t="s">
        <v>233</v>
      </c>
      <c r="B39" s="22" t="s">
        <v>233</v>
      </c>
      <c r="C39" s="23">
        <v>25</v>
      </c>
      <c r="D39" s="49">
        <f t="shared" si="1"/>
        <v>30</v>
      </c>
      <c r="E39" s="29">
        <v>5810</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20.824999999999999</v>
      </c>
      <c r="N39" s="21"/>
    </row>
    <row r="40" spans="1:14" x14ac:dyDescent="0.25">
      <c r="A40" s="28" t="s">
        <v>259</v>
      </c>
      <c r="B40" s="22" t="s">
        <v>218</v>
      </c>
      <c r="C40" s="23">
        <v>155</v>
      </c>
      <c r="D40" s="49">
        <f t="shared" si="1"/>
        <v>129.11499999999998</v>
      </c>
      <c r="E40" s="29">
        <v>9900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129.11499999999998</v>
      </c>
      <c r="N40" s="21"/>
    </row>
    <row r="41" spans="1:14" x14ac:dyDescent="0.25">
      <c r="A41" s="28" t="s">
        <v>234</v>
      </c>
      <c r="B41" s="41" t="s">
        <v>240</v>
      </c>
      <c r="C41" s="23">
        <v>75</v>
      </c>
      <c r="D41" s="49">
        <f t="shared" si="1"/>
        <v>62.474999999999994</v>
      </c>
      <c r="E41" s="42">
        <v>7130</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62.474999999999994</v>
      </c>
      <c r="N41" s="21"/>
    </row>
    <row r="42" spans="1:14" x14ac:dyDescent="0.25">
      <c r="A42" s="28" t="s">
        <v>235</v>
      </c>
      <c r="B42" s="41" t="s">
        <v>203</v>
      </c>
      <c r="C42" s="23">
        <v>35</v>
      </c>
      <c r="D42" s="49">
        <f t="shared" si="1"/>
        <v>30</v>
      </c>
      <c r="E42" s="42">
        <v>5680</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29.154999999999998</v>
      </c>
      <c r="N42" s="21"/>
    </row>
    <row r="43" spans="1:14" x14ac:dyDescent="0.25">
      <c r="A43" s="28" t="s">
        <v>198</v>
      </c>
      <c r="B43" s="41" t="s">
        <v>198</v>
      </c>
      <c r="C43" s="23">
        <v>30</v>
      </c>
      <c r="D43" s="49">
        <f t="shared" si="1"/>
        <v>30</v>
      </c>
      <c r="E43" s="42">
        <v>4690</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24.99</v>
      </c>
      <c r="N43" s="21"/>
    </row>
    <row r="44" spans="1:14" x14ac:dyDescent="0.25">
      <c r="A44" s="28" t="s">
        <v>236</v>
      </c>
      <c r="B44" s="41" t="s">
        <v>68</v>
      </c>
      <c r="C44" s="23">
        <v>40</v>
      </c>
      <c r="D44" s="49">
        <f t="shared" si="1"/>
        <v>33.32</v>
      </c>
      <c r="E44" s="42">
        <v>5350</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33.32</v>
      </c>
      <c r="N44" s="21"/>
    </row>
    <row r="45" spans="1:14" x14ac:dyDescent="0.25">
      <c r="A45" s="28" t="s">
        <v>237</v>
      </c>
      <c r="B45" s="41" t="s">
        <v>200</v>
      </c>
      <c r="C45" s="23">
        <v>45</v>
      </c>
      <c r="D45" s="49">
        <f t="shared" si="1"/>
        <v>37.484999999999999</v>
      </c>
      <c r="E45" s="42">
        <v>7080</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37.484999999999999</v>
      </c>
      <c r="N45" s="21"/>
    </row>
    <row r="46" spans="1:14" x14ac:dyDescent="0.25">
      <c r="A46" s="28" t="s">
        <v>241</v>
      </c>
      <c r="B46" s="41" t="s">
        <v>192</v>
      </c>
      <c r="C46" s="23">
        <v>90</v>
      </c>
      <c r="D46" s="49">
        <f t="shared" si="1"/>
        <v>74.97</v>
      </c>
      <c r="E46" s="42">
        <v>8210</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74.97</v>
      </c>
      <c r="N46" s="21"/>
    </row>
    <row r="47" spans="1:14" x14ac:dyDescent="0.25">
      <c r="A47" s="28" t="s">
        <v>242</v>
      </c>
      <c r="B47" s="41" t="s">
        <v>230</v>
      </c>
      <c r="C47" s="23">
        <v>85</v>
      </c>
      <c r="D47" s="49">
        <f t="shared" si="1"/>
        <v>70.804999999999993</v>
      </c>
      <c r="E47" s="42">
        <v>6730</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70.804999999999993</v>
      </c>
      <c r="N47" s="21"/>
    </row>
    <row r="48" spans="1:14" x14ac:dyDescent="0.25">
      <c r="A48" s="28" t="s">
        <v>243</v>
      </c>
      <c r="B48" s="41" t="s">
        <v>239</v>
      </c>
      <c r="C48" s="23">
        <v>75</v>
      </c>
      <c r="D48" s="49">
        <f t="shared" si="1"/>
        <v>62.474999999999994</v>
      </c>
      <c r="E48" s="42">
        <v>8790</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62.474999999999994</v>
      </c>
      <c r="N48" s="21"/>
    </row>
    <row r="49" spans="1:14" x14ac:dyDescent="0.25">
      <c r="A49" s="28" t="s">
        <v>244</v>
      </c>
      <c r="B49" s="41" t="s">
        <v>188</v>
      </c>
      <c r="C49" s="23">
        <v>45</v>
      </c>
      <c r="D49" s="49">
        <f t="shared" si="1"/>
        <v>37.484999999999999</v>
      </c>
      <c r="E49" s="42">
        <v>6030</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37.484999999999999</v>
      </c>
      <c r="N49" s="21"/>
    </row>
    <row r="50" spans="1:14" x14ac:dyDescent="0.25">
      <c r="A50" s="28" t="s">
        <v>245</v>
      </c>
      <c r="B50" s="41" t="s">
        <v>194</v>
      </c>
      <c r="C50" s="23">
        <v>90</v>
      </c>
      <c r="D50" s="49">
        <f t="shared" si="1"/>
        <v>74.97</v>
      </c>
      <c r="E50" s="42">
        <v>8190</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74.97</v>
      </c>
      <c r="N50" s="21"/>
    </row>
    <row r="51" spans="1:14" x14ac:dyDescent="0.25">
      <c r="A51" s="28" t="s">
        <v>260</v>
      </c>
      <c r="B51" s="41" t="s">
        <v>194</v>
      </c>
      <c r="C51" s="23">
        <v>175</v>
      </c>
      <c r="D51" s="49">
        <f t="shared" si="1"/>
        <v>145.77500000000001</v>
      </c>
      <c r="E51" s="42">
        <v>10300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145.77500000000001</v>
      </c>
      <c r="N51" s="21"/>
    </row>
    <row r="52" spans="1:14" ht="15.75" thickBot="1" x14ac:dyDescent="0.3">
      <c r="A52" s="30" t="s">
        <v>246</v>
      </c>
      <c r="B52" s="43" t="s">
        <v>64</v>
      </c>
      <c r="C52" s="32">
        <v>100</v>
      </c>
      <c r="D52" s="49">
        <f t="shared" si="1"/>
        <v>83.3</v>
      </c>
      <c r="E52" s="44">
        <v>9050</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83.3</v>
      </c>
      <c r="N52" s="21"/>
    </row>
    <row r="53" spans="1:14" x14ac:dyDescent="0.25">
      <c r="L53" s="21"/>
      <c r="M53" s="21"/>
    </row>
    <row r="54" spans="1:14" x14ac:dyDescent="0.25">
      <c r="L54" s="21"/>
      <c r="M54" s="21"/>
    </row>
    <row r="55" spans="1:14" x14ac:dyDescent="0.25">
      <c r="L55" s="21"/>
      <c r="M55" s="21"/>
    </row>
    <row r="56" spans="1:14" x14ac:dyDescent="0.25">
      <c r="L56" s="21"/>
      <c r="M56" s="21"/>
    </row>
    <row r="57" spans="1:14" x14ac:dyDescent="0.25">
      <c r="M57" s="21"/>
    </row>
  </sheetData>
  <mergeCells count="3">
    <mergeCell ref="A1:E1"/>
    <mergeCell ref="O3:V3"/>
    <mergeCell ref="O4:V4"/>
  </mergeCells>
  <hyperlinks>
    <hyperlink ref="O4" r:id="rId1" display="https://www.seacolorado.org/docs/2016-Colorado-Design-Snow-Loads.pdf" xr:uid="{B45F7545-C96D-4C56-87A6-B32D5A5CB5F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2843-BFF0-47CE-983B-14305B0B06F1}">
  <dimension ref="A1:Z57"/>
  <sheetViews>
    <sheetView workbookViewId="0">
      <selection activeCell="C3" sqref="C3"/>
    </sheetView>
  </sheetViews>
  <sheetFormatPr defaultRowHeight="15" x14ac:dyDescent="0.25"/>
  <cols>
    <col min="1" max="1" width="22.8554687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26" ht="21.75" thickBot="1" x14ac:dyDescent="0.3">
      <c r="A1" s="150" t="s">
        <v>263</v>
      </c>
      <c r="B1" s="151"/>
      <c r="C1" s="151"/>
      <c r="D1" s="151"/>
      <c r="E1" s="152"/>
    </row>
    <row r="2" spans="1:26" ht="30" customHeight="1" x14ac:dyDescent="0.25">
      <c r="A2" s="25" t="s">
        <v>18</v>
      </c>
      <c r="B2" s="26" t="s">
        <v>19</v>
      </c>
      <c r="C2" s="26" t="s">
        <v>21</v>
      </c>
      <c r="D2" s="48" t="s">
        <v>77</v>
      </c>
      <c r="E2" s="27" t="s">
        <v>20</v>
      </c>
      <c r="L2" s="6" t="s">
        <v>249</v>
      </c>
      <c r="M2" s="6" t="s">
        <v>250</v>
      </c>
    </row>
    <row r="3" spans="1:26" x14ac:dyDescent="0.25">
      <c r="A3" s="28" t="s">
        <v>264</v>
      </c>
      <c r="B3" t="s">
        <v>315</v>
      </c>
      <c r="C3" s="23">
        <v>24</v>
      </c>
      <c r="D3" s="49">
        <f t="shared" ref="D3:D34" si="0">MAX(L3,M3)</f>
        <v>30</v>
      </c>
      <c r="E3" s="35">
        <v>4406</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19.991999999999997</v>
      </c>
      <c r="N3" s="148" t="s">
        <v>681</v>
      </c>
      <c r="O3" s="148"/>
      <c r="P3" s="148"/>
      <c r="Q3" s="148"/>
      <c r="R3" s="148"/>
      <c r="S3" s="148"/>
      <c r="T3" s="148"/>
      <c r="U3" s="148"/>
      <c r="V3" s="148"/>
      <c r="W3" s="148"/>
      <c r="X3" s="148"/>
      <c r="Y3" s="148"/>
      <c r="Z3" s="148"/>
    </row>
    <row r="4" spans="1:26" x14ac:dyDescent="0.25">
      <c r="A4" s="28" t="s">
        <v>265</v>
      </c>
      <c r="B4" s="22" t="s">
        <v>316</v>
      </c>
      <c r="C4" s="23">
        <v>24</v>
      </c>
      <c r="D4" s="49">
        <f t="shared" si="0"/>
        <v>30</v>
      </c>
      <c r="E4" s="29">
        <v>4718</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19.991999999999997</v>
      </c>
      <c r="N4" s="149" t="s">
        <v>680</v>
      </c>
      <c r="O4" s="149"/>
      <c r="P4" s="149"/>
      <c r="Q4" s="149"/>
      <c r="R4" s="149"/>
      <c r="S4" s="149"/>
      <c r="T4" s="149"/>
      <c r="U4" s="149"/>
      <c r="V4" s="149"/>
      <c r="W4" s="149"/>
      <c r="X4" s="149"/>
      <c r="Y4" s="149"/>
      <c r="Z4" s="149"/>
    </row>
    <row r="5" spans="1:26" x14ac:dyDescent="0.25">
      <c r="A5" s="28" t="s">
        <v>266</v>
      </c>
      <c r="B5" s="22" t="s">
        <v>317</v>
      </c>
      <c r="C5" s="23">
        <v>28</v>
      </c>
      <c r="D5" s="49">
        <f t="shared" si="0"/>
        <v>30</v>
      </c>
      <c r="E5" s="29">
        <v>4498</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23.323999999999998</v>
      </c>
    </row>
    <row r="6" spans="1:26" x14ac:dyDescent="0.25">
      <c r="A6" s="28" t="s">
        <v>267</v>
      </c>
      <c r="B6" s="22" t="s">
        <v>318</v>
      </c>
      <c r="C6" s="23">
        <v>137</v>
      </c>
      <c r="D6" s="49">
        <f t="shared" si="0"/>
        <v>114.121</v>
      </c>
      <c r="E6" s="29">
        <v>6176</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114.121</v>
      </c>
    </row>
    <row r="7" spans="1:26" x14ac:dyDescent="0.25">
      <c r="A7" s="28" t="s">
        <v>268</v>
      </c>
      <c r="B7" s="22" t="s">
        <v>318</v>
      </c>
      <c r="C7" s="23">
        <v>15</v>
      </c>
      <c r="D7" s="49">
        <f t="shared" si="0"/>
        <v>30</v>
      </c>
      <c r="E7" s="29">
        <v>2681</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12.494999999999999</v>
      </c>
    </row>
    <row r="8" spans="1:26" x14ac:dyDescent="0.25">
      <c r="A8" s="28" t="s">
        <v>269</v>
      </c>
      <c r="B8" s="22" t="s">
        <v>319</v>
      </c>
      <c r="C8" s="23">
        <v>207</v>
      </c>
      <c r="D8" s="49">
        <f t="shared" si="0"/>
        <v>172.43099999999998</v>
      </c>
      <c r="E8" s="29">
        <v>6038</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172.43099999999998</v>
      </c>
    </row>
    <row r="9" spans="1:26" x14ac:dyDescent="0.25">
      <c r="A9" s="28" t="s">
        <v>270</v>
      </c>
      <c r="B9" s="22" t="s">
        <v>312</v>
      </c>
      <c r="C9" s="23">
        <v>28</v>
      </c>
      <c r="D9" s="49">
        <f t="shared" si="0"/>
        <v>30</v>
      </c>
      <c r="E9" s="29">
        <v>3769</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23.323999999999998</v>
      </c>
    </row>
    <row r="10" spans="1:26" x14ac:dyDescent="0.25">
      <c r="A10" s="28" t="s">
        <v>271</v>
      </c>
      <c r="B10" s="22" t="s">
        <v>320</v>
      </c>
      <c r="C10" s="23">
        <v>19</v>
      </c>
      <c r="D10" s="49">
        <f t="shared" si="0"/>
        <v>30</v>
      </c>
      <c r="E10" s="29">
        <v>4159</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15.827</v>
      </c>
    </row>
    <row r="11" spans="1:26" x14ac:dyDescent="0.25">
      <c r="A11" s="28" t="s">
        <v>272</v>
      </c>
      <c r="B11" s="22" t="s">
        <v>321</v>
      </c>
      <c r="C11" s="23">
        <v>18</v>
      </c>
      <c r="D11" s="49">
        <f t="shared" si="0"/>
        <v>30</v>
      </c>
      <c r="E11" s="29">
        <v>2376</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14.994</v>
      </c>
    </row>
    <row r="12" spans="1:26" x14ac:dyDescent="0.25">
      <c r="A12" s="28" t="s">
        <v>273</v>
      </c>
      <c r="B12" s="22" t="s">
        <v>322</v>
      </c>
      <c r="C12" s="23">
        <v>31</v>
      </c>
      <c r="D12" s="49">
        <f t="shared" si="0"/>
        <v>30</v>
      </c>
      <c r="E12" s="29">
        <v>4467</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25.823</v>
      </c>
    </row>
    <row r="13" spans="1:26" x14ac:dyDescent="0.25">
      <c r="A13" s="28" t="s">
        <v>274</v>
      </c>
      <c r="B13" s="22" t="s">
        <v>323</v>
      </c>
      <c r="C13" s="23">
        <v>43</v>
      </c>
      <c r="D13" s="49">
        <f t="shared" si="0"/>
        <v>35.818999999999996</v>
      </c>
      <c r="E13" s="29">
        <v>2189</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35.818999999999996</v>
      </c>
    </row>
    <row r="14" spans="1:26" x14ac:dyDescent="0.25">
      <c r="A14" s="28" t="s">
        <v>194</v>
      </c>
      <c r="B14" s="22" t="s">
        <v>318</v>
      </c>
      <c r="C14" s="23">
        <v>18</v>
      </c>
      <c r="D14" s="49">
        <f t="shared" si="0"/>
        <v>30</v>
      </c>
      <c r="E14" s="29">
        <v>2566</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14.994</v>
      </c>
    </row>
    <row r="15" spans="1:26" x14ac:dyDescent="0.25">
      <c r="A15" s="28" t="s">
        <v>275</v>
      </c>
      <c r="B15" s="22" t="s">
        <v>324</v>
      </c>
      <c r="C15" s="23">
        <v>15</v>
      </c>
      <c r="D15" s="49">
        <f t="shared" si="0"/>
        <v>30</v>
      </c>
      <c r="E15" s="29">
        <v>2363</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12.494999999999999</v>
      </c>
    </row>
    <row r="16" spans="1:26" x14ac:dyDescent="0.25">
      <c r="A16" s="28" t="s">
        <v>276</v>
      </c>
      <c r="B16" s="22" t="s">
        <v>297</v>
      </c>
      <c r="C16" s="23">
        <v>18</v>
      </c>
      <c r="D16" s="49">
        <f t="shared" si="0"/>
        <v>30</v>
      </c>
      <c r="E16" s="29">
        <v>2226</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14.994</v>
      </c>
    </row>
    <row r="17" spans="1:13" x14ac:dyDescent="0.25">
      <c r="A17" s="28" t="s">
        <v>277</v>
      </c>
      <c r="B17" s="22" t="s">
        <v>318</v>
      </c>
      <c r="C17" s="23">
        <v>15</v>
      </c>
      <c r="D17" s="49">
        <f t="shared" si="0"/>
        <v>30</v>
      </c>
      <c r="E17" s="29">
        <v>2673</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12.494999999999999</v>
      </c>
    </row>
    <row r="18" spans="1:13" x14ac:dyDescent="0.25">
      <c r="A18" s="28" t="s">
        <v>278</v>
      </c>
      <c r="B18" s="22" t="s">
        <v>278</v>
      </c>
      <c r="C18" s="23">
        <v>27</v>
      </c>
      <c r="D18" s="49">
        <f t="shared" si="0"/>
        <v>30</v>
      </c>
      <c r="E18" s="29">
        <v>3571</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22.491</v>
      </c>
    </row>
    <row r="19" spans="1:13" x14ac:dyDescent="0.25">
      <c r="A19" s="28" t="s">
        <v>279</v>
      </c>
      <c r="B19" s="22" t="s">
        <v>325</v>
      </c>
      <c r="C19" s="23">
        <v>18</v>
      </c>
      <c r="D19" s="49">
        <f t="shared" si="0"/>
        <v>30</v>
      </c>
      <c r="E19" s="29">
        <v>6400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14.994</v>
      </c>
    </row>
    <row r="20" spans="1:13" x14ac:dyDescent="0.25">
      <c r="A20" s="28" t="s">
        <v>280</v>
      </c>
      <c r="B20" s="22" t="s">
        <v>326</v>
      </c>
      <c r="C20" s="23">
        <v>82</v>
      </c>
      <c r="D20" s="49">
        <f t="shared" si="0"/>
        <v>68.305999999999997</v>
      </c>
      <c r="E20" s="29">
        <v>5323</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68.305999999999997</v>
      </c>
    </row>
    <row r="21" spans="1:13" x14ac:dyDescent="0.25">
      <c r="A21" s="28" t="s">
        <v>225</v>
      </c>
      <c r="B21" s="22" t="s">
        <v>323</v>
      </c>
      <c r="C21" s="23">
        <v>62</v>
      </c>
      <c r="D21" s="49">
        <f t="shared" si="0"/>
        <v>51.646000000000001</v>
      </c>
      <c r="E21" s="29">
        <v>2287</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51.646000000000001</v>
      </c>
    </row>
    <row r="22" spans="1:13" x14ac:dyDescent="0.25">
      <c r="A22" s="28" t="s">
        <v>281</v>
      </c>
      <c r="B22" s="36" t="s">
        <v>328</v>
      </c>
      <c r="C22" s="23">
        <v>19</v>
      </c>
      <c r="D22" s="49">
        <f t="shared" si="0"/>
        <v>30</v>
      </c>
      <c r="E22" s="29">
        <v>4146</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15.827</v>
      </c>
    </row>
    <row r="23" spans="1:13" x14ac:dyDescent="0.25">
      <c r="A23" s="28" t="s">
        <v>282</v>
      </c>
      <c r="B23" s="22" t="s">
        <v>327</v>
      </c>
      <c r="C23" s="23">
        <v>16</v>
      </c>
      <c r="D23" s="49">
        <f t="shared" si="0"/>
        <v>30</v>
      </c>
      <c r="E23" s="29">
        <v>2231</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13.327999999999999</v>
      </c>
    </row>
    <row r="24" spans="1:13" x14ac:dyDescent="0.25">
      <c r="A24" s="28" t="s">
        <v>283</v>
      </c>
      <c r="B24" s="22" t="s">
        <v>316</v>
      </c>
      <c r="C24" s="23">
        <v>23</v>
      </c>
      <c r="D24" s="49">
        <f t="shared" si="0"/>
        <v>30</v>
      </c>
      <c r="E24" s="29">
        <v>4725</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19.158999999999999</v>
      </c>
    </row>
    <row r="25" spans="1:13" x14ac:dyDescent="0.25">
      <c r="A25" s="28" t="s">
        <v>284</v>
      </c>
      <c r="B25" s="22" t="s">
        <v>284</v>
      </c>
      <c r="C25" s="23">
        <v>12</v>
      </c>
      <c r="D25" s="49">
        <f t="shared" si="0"/>
        <v>30</v>
      </c>
      <c r="E25" s="29">
        <v>3764</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9.9959999999999987</v>
      </c>
    </row>
    <row r="26" spans="1:13" x14ac:dyDescent="0.25">
      <c r="A26" s="28" t="s">
        <v>285</v>
      </c>
      <c r="B26" s="22" t="s">
        <v>326</v>
      </c>
      <c r="C26" s="23">
        <v>92</v>
      </c>
      <c r="D26" s="49">
        <f t="shared" si="0"/>
        <v>76.635999999999996</v>
      </c>
      <c r="E26" s="29">
        <v>5846</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76.635999999999996</v>
      </c>
    </row>
    <row r="27" spans="1:13" x14ac:dyDescent="0.25">
      <c r="A27" s="28" t="s">
        <v>286</v>
      </c>
      <c r="B27" s="22" t="s">
        <v>312</v>
      </c>
      <c r="C27" s="23">
        <v>14</v>
      </c>
      <c r="D27" s="49">
        <f t="shared" si="0"/>
        <v>30</v>
      </c>
      <c r="E27" s="29">
        <v>3924</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11.661999999999999</v>
      </c>
    </row>
    <row r="28" spans="1:13" x14ac:dyDescent="0.25">
      <c r="A28" s="28" t="s">
        <v>287</v>
      </c>
      <c r="B28" s="22" t="s">
        <v>318</v>
      </c>
      <c r="C28" s="23">
        <v>14</v>
      </c>
      <c r="D28" s="49">
        <f t="shared" si="0"/>
        <v>30</v>
      </c>
      <c r="E28" s="29">
        <v>2693</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11.661999999999999</v>
      </c>
    </row>
    <row r="29" spans="1:13" x14ac:dyDescent="0.25">
      <c r="A29" s="28" t="s">
        <v>288</v>
      </c>
      <c r="B29" s="22" t="s">
        <v>329</v>
      </c>
      <c r="C29" s="23">
        <v>10</v>
      </c>
      <c r="D29" s="49">
        <f t="shared" si="0"/>
        <v>30</v>
      </c>
      <c r="E29" s="29">
        <v>994</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8.33</v>
      </c>
    </row>
    <row r="30" spans="1:13" x14ac:dyDescent="0.25">
      <c r="A30" s="28" t="s">
        <v>289</v>
      </c>
      <c r="B30" s="22" t="s">
        <v>319</v>
      </c>
      <c r="C30" s="23">
        <v>157</v>
      </c>
      <c r="D30" s="49">
        <f t="shared" si="0"/>
        <v>130.78100000000001</v>
      </c>
      <c r="E30" s="29">
        <v>5012</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130.78100000000001</v>
      </c>
    </row>
    <row r="31" spans="1:13" x14ac:dyDescent="0.25">
      <c r="A31" s="37" t="s">
        <v>290</v>
      </c>
      <c r="B31" s="38" t="s">
        <v>318</v>
      </c>
      <c r="C31" s="39">
        <v>16</v>
      </c>
      <c r="D31" s="49">
        <f t="shared" si="0"/>
        <v>30</v>
      </c>
      <c r="E31" s="29">
        <v>2605</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13.327999999999999</v>
      </c>
    </row>
    <row r="32" spans="1:13" x14ac:dyDescent="0.25">
      <c r="A32" s="28" t="s">
        <v>291</v>
      </c>
      <c r="B32" s="22" t="s">
        <v>321</v>
      </c>
      <c r="C32" s="23">
        <v>18</v>
      </c>
      <c r="D32" s="49">
        <f t="shared" si="0"/>
        <v>30</v>
      </c>
      <c r="E32" s="40">
        <v>2400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14.994</v>
      </c>
    </row>
    <row r="33" spans="1:13" x14ac:dyDescent="0.25">
      <c r="A33" s="28" t="s">
        <v>292</v>
      </c>
      <c r="B33" s="22" t="s">
        <v>330</v>
      </c>
      <c r="C33" s="23">
        <v>45</v>
      </c>
      <c r="D33" s="49">
        <f t="shared" si="0"/>
        <v>37.484999999999999</v>
      </c>
      <c r="E33" s="29">
        <v>5986</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37.484999999999999</v>
      </c>
    </row>
    <row r="34" spans="1:13" x14ac:dyDescent="0.25">
      <c r="A34" s="28" t="s">
        <v>293</v>
      </c>
      <c r="B34" s="22" t="s">
        <v>331</v>
      </c>
      <c r="C34" s="23">
        <v>38</v>
      </c>
      <c r="D34" s="49">
        <f t="shared" si="0"/>
        <v>31.654</v>
      </c>
      <c r="E34" s="29">
        <v>2580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31.654</v>
      </c>
    </row>
    <row r="35" spans="1:13" x14ac:dyDescent="0.25">
      <c r="A35" s="28" t="s">
        <v>294</v>
      </c>
      <c r="B35" s="22" t="s">
        <v>332</v>
      </c>
      <c r="C35" s="23">
        <v>15</v>
      </c>
      <c r="D35" s="49">
        <f t="shared" ref="D35:D57" si="1">MAX(L35,M35)</f>
        <v>30</v>
      </c>
      <c r="E35" s="29">
        <v>2563</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12.494999999999999</v>
      </c>
    </row>
    <row r="36" spans="1:13" x14ac:dyDescent="0.25">
      <c r="A36" s="28" t="s">
        <v>295</v>
      </c>
      <c r="B36" s="22" t="s">
        <v>321</v>
      </c>
      <c r="C36" s="23">
        <v>15</v>
      </c>
      <c r="D36" s="49">
        <f t="shared" si="1"/>
        <v>30</v>
      </c>
      <c r="E36" s="29">
        <v>2517</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12.494999999999999</v>
      </c>
    </row>
    <row r="37" spans="1:13" x14ac:dyDescent="0.25">
      <c r="A37" s="28" t="s">
        <v>296</v>
      </c>
      <c r="B37" s="22" t="s">
        <v>333</v>
      </c>
      <c r="C37" s="23">
        <v>19</v>
      </c>
      <c r="D37" s="49">
        <f t="shared" si="1"/>
        <v>30</v>
      </c>
      <c r="E37" s="29">
        <v>1017</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15.827</v>
      </c>
    </row>
    <row r="38" spans="1:13" x14ac:dyDescent="0.25">
      <c r="A38" s="28" t="s">
        <v>297</v>
      </c>
      <c r="B38" s="22" t="s">
        <v>297</v>
      </c>
      <c r="C38" s="23">
        <v>17</v>
      </c>
      <c r="D38" s="49">
        <f t="shared" si="1"/>
        <v>30</v>
      </c>
      <c r="E38" s="29">
        <v>2148</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14.161</v>
      </c>
    </row>
    <row r="39" spans="1:13" x14ac:dyDescent="0.25">
      <c r="A39" s="28" t="s">
        <v>341</v>
      </c>
      <c r="B39" s="22" t="s">
        <v>322</v>
      </c>
      <c r="C39" s="23">
        <v>31</v>
      </c>
      <c r="D39" s="49">
        <f t="shared" si="1"/>
        <v>30</v>
      </c>
      <c r="E39" s="29">
        <v>4463</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25.823</v>
      </c>
    </row>
    <row r="40" spans="1:13" x14ac:dyDescent="0.25">
      <c r="A40" s="28" t="s">
        <v>298</v>
      </c>
      <c r="B40" s="22" t="s">
        <v>323</v>
      </c>
      <c r="C40" s="23">
        <v>72</v>
      </c>
      <c r="D40" s="49">
        <f t="shared" si="1"/>
        <v>59.975999999999999</v>
      </c>
      <c r="E40" s="29">
        <v>2183</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59.975999999999999</v>
      </c>
    </row>
    <row r="41" spans="1:13" x14ac:dyDescent="0.25">
      <c r="A41" s="28" t="s">
        <v>299</v>
      </c>
      <c r="B41" s="41" t="s">
        <v>334</v>
      </c>
      <c r="C41" s="23">
        <v>19</v>
      </c>
      <c r="D41" s="49">
        <f t="shared" si="1"/>
        <v>30</v>
      </c>
      <c r="E41" s="29">
        <v>4715</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15.827</v>
      </c>
    </row>
    <row r="42" spans="1:13" x14ac:dyDescent="0.25">
      <c r="A42" s="28" t="s">
        <v>300</v>
      </c>
      <c r="B42" s="41" t="s">
        <v>323</v>
      </c>
      <c r="C42" s="23">
        <v>87</v>
      </c>
      <c r="D42" s="49">
        <f t="shared" si="1"/>
        <v>72.471000000000004</v>
      </c>
      <c r="E42" s="42">
        <v>2211</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72.471000000000004</v>
      </c>
    </row>
    <row r="43" spans="1:13" x14ac:dyDescent="0.25">
      <c r="A43" s="28" t="s">
        <v>301</v>
      </c>
      <c r="B43" s="41" t="s">
        <v>335</v>
      </c>
      <c r="C43" s="23">
        <v>50</v>
      </c>
      <c r="D43" s="49">
        <f t="shared" si="1"/>
        <v>41.65</v>
      </c>
      <c r="E43" s="42">
        <v>4863</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41.65</v>
      </c>
    </row>
    <row r="44" spans="1:13" x14ac:dyDescent="0.25">
      <c r="A44" s="28" t="s">
        <v>340</v>
      </c>
      <c r="B44" s="41" t="s">
        <v>191</v>
      </c>
      <c r="C44" s="23">
        <v>32</v>
      </c>
      <c r="D44" s="49">
        <f t="shared" si="1"/>
        <v>30</v>
      </c>
      <c r="E44" s="42">
        <v>4851</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26.655999999999999</v>
      </c>
    </row>
    <row r="45" spans="1:13" x14ac:dyDescent="0.25">
      <c r="A45" s="28" t="s">
        <v>302</v>
      </c>
      <c r="B45" s="41" t="s">
        <v>328</v>
      </c>
      <c r="C45" s="23">
        <v>18</v>
      </c>
      <c r="D45" s="49">
        <f t="shared" si="1"/>
        <v>30</v>
      </c>
      <c r="E45" s="42">
        <v>4154</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14.994</v>
      </c>
    </row>
    <row r="46" spans="1:13" x14ac:dyDescent="0.25">
      <c r="A46" s="28" t="s">
        <v>303</v>
      </c>
      <c r="B46" s="41" t="s">
        <v>201</v>
      </c>
      <c r="C46" s="23">
        <v>37</v>
      </c>
      <c r="D46" s="49">
        <f t="shared" si="1"/>
        <v>30.820999999999998</v>
      </c>
      <c r="E46" s="42">
        <v>4963</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30.820999999999998</v>
      </c>
    </row>
    <row r="47" spans="1:13" x14ac:dyDescent="0.25">
      <c r="A47" s="28" t="s">
        <v>304</v>
      </c>
      <c r="B47" s="41" t="s">
        <v>336</v>
      </c>
      <c r="C47" s="23">
        <v>15</v>
      </c>
      <c r="D47" s="49">
        <f t="shared" si="1"/>
        <v>30</v>
      </c>
      <c r="E47" s="42">
        <v>3943</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12.494999999999999</v>
      </c>
    </row>
    <row r="48" spans="1:13" x14ac:dyDescent="0.25">
      <c r="A48" s="28" t="s">
        <v>305</v>
      </c>
      <c r="B48" s="41" t="s">
        <v>337</v>
      </c>
      <c r="C48" s="23">
        <v>56</v>
      </c>
      <c r="D48" s="49">
        <f t="shared" si="1"/>
        <v>46.647999999999996</v>
      </c>
      <c r="E48" s="42">
        <v>2101</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46.647999999999996</v>
      </c>
    </row>
    <row r="49" spans="1:13" x14ac:dyDescent="0.25">
      <c r="A49" s="28" t="s">
        <v>306</v>
      </c>
      <c r="B49" s="41" t="s">
        <v>337</v>
      </c>
      <c r="C49" s="23">
        <v>243</v>
      </c>
      <c r="D49" s="49">
        <f t="shared" si="1"/>
        <v>202.41899999999998</v>
      </c>
      <c r="E49" s="42">
        <v>4175</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202.41899999999998</v>
      </c>
    </row>
    <row r="50" spans="1:13" x14ac:dyDescent="0.25">
      <c r="A50" s="28" t="s">
        <v>307</v>
      </c>
      <c r="B50" s="41" t="s">
        <v>317</v>
      </c>
      <c r="C50" s="23">
        <v>35</v>
      </c>
      <c r="D50" s="49">
        <f t="shared" si="1"/>
        <v>30</v>
      </c>
      <c r="E50" s="42">
        <v>4629</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29.154999999999998</v>
      </c>
    </row>
    <row r="51" spans="1:13" x14ac:dyDescent="0.25">
      <c r="A51" s="37" t="s">
        <v>308</v>
      </c>
      <c r="B51" s="45" t="s">
        <v>338</v>
      </c>
      <c r="C51" s="39">
        <v>173</v>
      </c>
      <c r="D51" s="52">
        <f t="shared" si="1"/>
        <v>144.10899999999998</v>
      </c>
      <c r="E51" s="42">
        <v>5040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144.10899999999998</v>
      </c>
    </row>
    <row r="52" spans="1:13" x14ac:dyDescent="0.25">
      <c r="A52" s="28" t="s">
        <v>309</v>
      </c>
      <c r="B52" s="41" t="s">
        <v>339</v>
      </c>
      <c r="C52" s="23">
        <v>70</v>
      </c>
      <c r="D52" s="52">
        <f t="shared" si="1"/>
        <v>58.309999999999995</v>
      </c>
      <c r="E52" s="46">
        <v>5769</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58.309999999999995</v>
      </c>
    </row>
    <row r="53" spans="1:13" x14ac:dyDescent="0.25">
      <c r="A53" s="28" t="s">
        <v>310</v>
      </c>
      <c r="B53" s="41" t="s">
        <v>318</v>
      </c>
      <c r="C53" s="23">
        <v>16</v>
      </c>
      <c r="D53" s="52">
        <f t="shared" si="1"/>
        <v>30</v>
      </c>
      <c r="E53" s="42">
        <v>2471</v>
      </c>
      <c r="L5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Conversion'!D13&lt;=15),40,IF(C53&lt;=20,C53*'Snow Load Conversion'!D11,20*'Snow Load Conversion'!D11)))))</f>
        <v>30</v>
      </c>
      <c r="M53" s="24">
        <f>(0.7*'Snow Load Conversion'!D7*'Snow Load Conversion'!D9*'Snow Load Conversion'!D11*C53)+'Snow Load Conversion'!D17</f>
        <v>13.327999999999999</v>
      </c>
    </row>
    <row r="54" spans="1:13" x14ac:dyDescent="0.25">
      <c r="A54" s="28" t="s">
        <v>311</v>
      </c>
      <c r="B54" s="41" t="s">
        <v>326</v>
      </c>
      <c r="C54" s="23">
        <v>197</v>
      </c>
      <c r="D54" s="52">
        <f t="shared" si="1"/>
        <v>164.101</v>
      </c>
      <c r="E54" s="42">
        <v>9000</v>
      </c>
      <c r="L5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Conversion'!D13&lt;=15),40,IF(C54&lt;=20,C54*'Snow Load Conversion'!D11,20*'Snow Load Conversion'!D11)))))</f>
        <v>30</v>
      </c>
      <c r="M54" s="24">
        <f>(0.7*'Snow Load Conversion'!D7*'Snow Load Conversion'!D9*'Snow Load Conversion'!D11*C54)+'Snow Load Conversion'!D17</f>
        <v>164.101</v>
      </c>
    </row>
    <row r="55" spans="1:13" x14ac:dyDescent="0.25">
      <c r="A55" s="28" t="s">
        <v>312</v>
      </c>
      <c r="B55" s="41" t="s">
        <v>312</v>
      </c>
      <c r="C55" s="23">
        <v>15</v>
      </c>
      <c r="D55" s="52">
        <f t="shared" si="1"/>
        <v>30</v>
      </c>
      <c r="E55" s="42">
        <v>3734</v>
      </c>
      <c r="L5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Conversion'!D13&lt;=15),40,IF(C55&lt;=20,C55*'Snow Load Conversion'!D11,20*'Snow Load Conversion'!D11)))))</f>
        <v>30</v>
      </c>
      <c r="M55" s="24">
        <f>(0.7*'Snow Load Conversion'!D7*'Snow Load Conversion'!D9*'Snow Load Conversion'!D11*C55)+'Snow Load Conversion'!D17</f>
        <v>12.494999999999999</v>
      </c>
    </row>
    <row r="56" spans="1:13" x14ac:dyDescent="0.25">
      <c r="A56" s="28" t="s">
        <v>313</v>
      </c>
      <c r="B56" s="41" t="s">
        <v>74</v>
      </c>
      <c r="C56" s="23">
        <v>17</v>
      </c>
      <c r="D56" s="52">
        <f t="shared" si="1"/>
        <v>30</v>
      </c>
      <c r="E56" s="42">
        <v>2129</v>
      </c>
      <c r="L5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Conversion'!D13&lt;=15),40,IF(C56&lt;=20,C56*'Snow Load Conversion'!D11,20*'Snow Load Conversion'!D11)))))</f>
        <v>30</v>
      </c>
      <c r="M56" s="24">
        <f>(0.7*'Snow Load Conversion'!D7*'Snow Load Conversion'!D9*'Snow Load Conversion'!D11*C56)+'Snow Load Conversion'!D17</f>
        <v>14.161</v>
      </c>
    </row>
    <row r="57" spans="1:13" ht="15.75" thickBot="1" x14ac:dyDescent="0.3">
      <c r="A57" s="30" t="s">
        <v>314</v>
      </c>
      <c r="B57" s="43" t="s">
        <v>278</v>
      </c>
      <c r="C57" s="32">
        <v>20</v>
      </c>
      <c r="D57" s="50">
        <f t="shared" si="1"/>
        <v>30</v>
      </c>
      <c r="E57" s="44">
        <v>3433</v>
      </c>
      <c r="L5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Conversion'!D13&lt;=15),40,IF(C57&lt;=20,C57*'Snow Load Conversion'!D11,20*'Snow Load Conversion'!D11)))))</f>
        <v>30</v>
      </c>
      <c r="M57" s="24">
        <f>(0.7*'Snow Load Conversion'!D7*'Snow Load Conversion'!D9*'Snow Load Conversion'!D11*C57)+'Snow Load Conversion'!D17</f>
        <v>16.66</v>
      </c>
    </row>
  </sheetData>
  <mergeCells count="3">
    <mergeCell ref="A1:E1"/>
    <mergeCell ref="N4:Z4"/>
    <mergeCell ref="N3:Z3"/>
  </mergeCells>
  <hyperlinks>
    <hyperlink ref="N4" r:id="rId1" location=":~:text=Interactive%20Map%20and%20Report%20about%20Ground%20Snow%20Loads" xr:uid="{94EFD388-FA5A-49E4-8875-53061F8A9CF9}"/>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BCF57-1A9C-472A-8CCC-135EBD9F6832}">
  <dimension ref="A1:M31"/>
  <sheetViews>
    <sheetView workbookViewId="0">
      <selection activeCell="C3" sqref="C3"/>
    </sheetView>
  </sheetViews>
  <sheetFormatPr defaultRowHeight="15" x14ac:dyDescent="0.25"/>
  <cols>
    <col min="1" max="2" width="16.42578125" customWidth="1"/>
    <col min="3" max="3" width="21.5703125" customWidth="1"/>
    <col min="4" max="4" width="17.42578125" style="20" customWidth="1"/>
    <col min="5" max="5" width="15.140625" customWidth="1"/>
    <col min="12" max="13" width="9.140625" hidden="1" customWidth="1"/>
    <col min="15" max="15" width="9.140625" customWidth="1"/>
  </cols>
  <sheetData>
    <row r="1" spans="1:13" ht="21.75" thickBot="1" x14ac:dyDescent="0.4">
      <c r="A1" s="145" t="s">
        <v>173</v>
      </c>
      <c r="B1" s="146"/>
      <c r="C1" s="146"/>
      <c r="D1" s="147"/>
    </row>
    <row r="2" spans="1:13" ht="30" customHeight="1" x14ac:dyDescent="0.25">
      <c r="A2" s="25" t="s">
        <v>19</v>
      </c>
      <c r="B2" s="26" t="s">
        <v>170</v>
      </c>
      <c r="C2" s="26" t="s">
        <v>21</v>
      </c>
      <c r="D2" s="53" t="s">
        <v>77</v>
      </c>
      <c r="L2" s="23" t="s">
        <v>249</v>
      </c>
      <c r="M2" s="23" t="s">
        <v>250</v>
      </c>
    </row>
    <row r="3" spans="1:13" x14ac:dyDescent="0.25">
      <c r="A3" s="28" t="s">
        <v>146</v>
      </c>
      <c r="B3" s="23">
        <v>115</v>
      </c>
      <c r="C3" s="23">
        <v>55</v>
      </c>
      <c r="D3" s="54">
        <f>MAX(L3,M3)</f>
        <v>45.814999999999998</v>
      </c>
      <c r="E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45.814999999999998</v>
      </c>
    </row>
    <row r="4" spans="1:13" x14ac:dyDescent="0.25">
      <c r="A4" s="28" t="s">
        <v>147</v>
      </c>
      <c r="B4" s="23">
        <v>115</v>
      </c>
      <c r="C4" s="23">
        <v>25</v>
      </c>
      <c r="D4" s="54">
        <f>MAX(L4,M4)</f>
        <v>30</v>
      </c>
      <c r="E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20.824999999999999</v>
      </c>
    </row>
    <row r="5" spans="1:13" x14ac:dyDescent="0.25">
      <c r="A5" s="28" t="s">
        <v>148</v>
      </c>
      <c r="B5" s="23">
        <v>115</v>
      </c>
      <c r="C5" s="23">
        <v>30</v>
      </c>
      <c r="D5" s="54">
        <f>MAX(L5,M5)</f>
        <v>30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24.99</v>
      </c>
    </row>
    <row r="6" spans="1:13" x14ac:dyDescent="0.25">
      <c r="A6" s="28" t="s">
        <v>149</v>
      </c>
      <c r="B6" s="23">
        <v>115</v>
      </c>
      <c r="C6" s="23">
        <v>30</v>
      </c>
      <c r="D6" s="54">
        <f>MAX(L6,M6)</f>
        <v>30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24.99</v>
      </c>
    </row>
    <row r="7" spans="1:13" x14ac:dyDescent="0.25">
      <c r="A7" s="28" t="s">
        <v>150</v>
      </c>
      <c r="B7" s="23">
        <v>115</v>
      </c>
      <c r="C7" s="23">
        <v>20</v>
      </c>
      <c r="D7" s="54">
        <f>MAX(L7,M7)</f>
        <v>30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16.66</v>
      </c>
    </row>
    <row r="8" spans="1:13" x14ac:dyDescent="0.25">
      <c r="A8" s="28" t="s">
        <v>151</v>
      </c>
      <c r="B8" s="23">
        <v>128</v>
      </c>
      <c r="C8" s="23">
        <v>36</v>
      </c>
      <c r="D8" s="54">
        <f>IF(MAX(L8,M8)&lt;25,25,MAX(L8,M8))</f>
        <v>30</v>
      </c>
      <c r="E8" t="s">
        <v>175</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29.988</v>
      </c>
    </row>
    <row r="9" spans="1:13" x14ac:dyDescent="0.25">
      <c r="A9" s="28" t="s">
        <v>152</v>
      </c>
      <c r="B9" s="23">
        <v>115</v>
      </c>
      <c r="C9" s="23">
        <v>40</v>
      </c>
      <c r="D9" s="54">
        <f>MAX(L9,M9)</f>
        <v>33.32</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33.32</v>
      </c>
    </row>
    <row r="10" spans="1:13" x14ac:dyDescent="0.25">
      <c r="A10" s="28" t="s">
        <v>153</v>
      </c>
      <c r="B10" s="23">
        <v>115</v>
      </c>
      <c r="C10" s="23">
        <v>30</v>
      </c>
      <c r="D10" s="54">
        <f>MAX(L10,M10)</f>
        <v>30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24.99</v>
      </c>
    </row>
    <row r="11" spans="1:13" x14ac:dyDescent="0.25">
      <c r="A11" s="28" t="s">
        <v>154</v>
      </c>
      <c r="B11" s="23">
        <v>115</v>
      </c>
      <c r="C11" s="23">
        <v>25</v>
      </c>
      <c r="D11" s="54">
        <f>MAX(L11,M11)</f>
        <v>30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20.824999999999999</v>
      </c>
    </row>
    <row r="12" spans="1:13" x14ac:dyDescent="0.25">
      <c r="A12" s="28" t="s">
        <v>155</v>
      </c>
      <c r="B12" s="23">
        <v>115</v>
      </c>
      <c r="C12" s="23">
        <v>20</v>
      </c>
      <c r="D12" s="54">
        <f>MAX(L12,M12)</f>
        <v>30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16.66</v>
      </c>
    </row>
    <row r="13" spans="1:13" x14ac:dyDescent="0.25">
      <c r="A13" s="28" t="s">
        <v>156</v>
      </c>
      <c r="B13" s="23">
        <v>115</v>
      </c>
      <c r="C13" s="23">
        <v>30</v>
      </c>
      <c r="D13" s="54">
        <f>IF(AND(MAX(L13,M13)&lt;30,'Snow Load Conversion'!D12&lt;=0.25),30,IF(AND(MAX(L13,M13)&lt;40,'Snow Load Conversion'!D12&gt;0.25),40,MAX(L13,M13)))</f>
        <v>30</v>
      </c>
      <c r="E13" t="s">
        <v>174</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24.99</v>
      </c>
    </row>
    <row r="14" spans="1:13" x14ac:dyDescent="0.25">
      <c r="A14" s="28" t="s">
        <v>157</v>
      </c>
      <c r="B14" s="23">
        <v>115</v>
      </c>
      <c r="C14" s="23">
        <v>40</v>
      </c>
      <c r="D14" s="54">
        <f t="shared" ref="D14:D27" si="0">MAX(L14,M14)</f>
        <v>33.32</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33.32</v>
      </c>
    </row>
    <row r="15" spans="1:13" x14ac:dyDescent="0.25">
      <c r="A15" s="28" t="s">
        <v>158</v>
      </c>
      <c r="B15" s="23">
        <v>115</v>
      </c>
      <c r="C15" s="23">
        <v>30</v>
      </c>
      <c r="D15" s="54">
        <f t="shared" si="0"/>
        <v>30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24.99</v>
      </c>
    </row>
    <row r="16" spans="1:13" x14ac:dyDescent="0.25">
      <c r="A16" s="28" t="s">
        <v>159</v>
      </c>
      <c r="B16" s="23">
        <v>115</v>
      </c>
      <c r="C16" s="23">
        <v>25</v>
      </c>
      <c r="D16" s="54">
        <f t="shared" si="0"/>
        <v>30</v>
      </c>
      <c r="E16" t="s">
        <v>174</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20.824999999999999</v>
      </c>
    </row>
    <row r="17" spans="1:13" x14ac:dyDescent="0.25">
      <c r="A17" s="28" t="s">
        <v>160</v>
      </c>
      <c r="B17" s="23">
        <v>115</v>
      </c>
      <c r="C17" s="23">
        <v>25</v>
      </c>
      <c r="D17" s="54">
        <f t="shared" si="0"/>
        <v>30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20.824999999999999</v>
      </c>
    </row>
    <row r="18" spans="1:13" x14ac:dyDescent="0.25">
      <c r="A18" s="28" t="s">
        <v>161</v>
      </c>
      <c r="B18" s="23">
        <v>115</v>
      </c>
      <c r="C18" s="23">
        <v>30</v>
      </c>
      <c r="D18" s="54">
        <f t="shared" si="0"/>
        <v>30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24.99</v>
      </c>
    </row>
    <row r="19" spans="1:13" x14ac:dyDescent="0.25">
      <c r="A19" s="28" t="s">
        <v>162</v>
      </c>
      <c r="B19" s="23">
        <v>115</v>
      </c>
      <c r="C19" s="23">
        <v>35</v>
      </c>
      <c r="D19" s="54">
        <f t="shared" si="0"/>
        <v>30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29.154999999999998</v>
      </c>
    </row>
    <row r="20" spans="1:13" x14ac:dyDescent="0.25">
      <c r="A20" s="28" t="s">
        <v>163</v>
      </c>
      <c r="B20" s="23">
        <v>115</v>
      </c>
      <c r="C20" s="23">
        <v>25</v>
      </c>
      <c r="D20" s="54">
        <f t="shared" si="0"/>
        <v>30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20.824999999999999</v>
      </c>
    </row>
    <row r="21" spans="1:13" x14ac:dyDescent="0.25">
      <c r="A21" s="28" t="s">
        <v>164</v>
      </c>
      <c r="B21" s="23">
        <v>115</v>
      </c>
      <c r="C21" s="23">
        <v>25</v>
      </c>
      <c r="D21" s="54">
        <f t="shared" si="0"/>
        <v>30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20.824999999999999</v>
      </c>
    </row>
    <row r="22" spans="1:13" x14ac:dyDescent="0.25">
      <c r="A22" s="28" t="s">
        <v>165</v>
      </c>
      <c r="B22" s="23">
        <v>117</v>
      </c>
      <c r="C22" s="23">
        <v>20</v>
      </c>
      <c r="D22" s="54">
        <f t="shared" si="0"/>
        <v>30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16.66</v>
      </c>
    </row>
    <row r="23" spans="1:13" x14ac:dyDescent="0.25">
      <c r="A23" s="28" t="s">
        <v>166</v>
      </c>
      <c r="B23" s="23">
        <v>115</v>
      </c>
      <c r="C23" s="23">
        <v>25</v>
      </c>
      <c r="D23" s="54">
        <f t="shared" si="0"/>
        <v>30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20.824999999999999</v>
      </c>
    </row>
    <row r="24" spans="1:13" x14ac:dyDescent="0.25">
      <c r="A24" s="28" t="s">
        <v>74</v>
      </c>
      <c r="B24" s="23">
        <v>115</v>
      </c>
      <c r="C24" s="23">
        <v>40</v>
      </c>
      <c r="D24" s="54">
        <f t="shared" si="0"/>
        <v>33.32</v>
      </c>
      <c r="E24" t="s">
        <v>171</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33.32</v>
      </c>
    </row>
    <row r="25" spans="1:13" x14ac:dyDescent="0.25">
      <c r="A25" s="28" t="s">
        <v>167</v>
      </c>
      <c r="B25" s="23">
        <v>120</v>
      </c>
      <c r="C25" s="23">
        <v>20</v>
      </c>
      <c r="D25" s="54">
        <f t="shared" si="0"/>
        <v>30</v>
      </c>
      <c r="E25" t="s">
        <v>172</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16.66</v>
      </c>
    </row>
    <row r="26" spans="1:13" x14ac:dyDescent="0.25">
      <c r="A26" s="28" t="s">
        <v>168</v>
      </c>
      <c r="B26" s="23">
        <v>125</v>
      </c>
      <c r="C26" s="23">
        <v>20</v>
      </c>
      <c r="D26" s="54">
        <f t="shared" si="0"/>
        <v>30</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16.66</v>
      </c>
    </row>
    <row r="27" spans="1:13" ht="15.75" thickBot="1" x14ac:dyDescent="0.3">
      <c r="A27" s="30" t="s">
        <v>169</v>
      </c>
      <c r="B27" s="32">
        <v>128</v>
      </c>
      <c r="C27" s="32">
        <v>20</v>
      </c>
      <c r="D27" s="55">
        <f t="shared" si="0"/>
        <v>30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16.66</v>
      </c>
    </row>
    <row r="28" spans="1:13" x14ac:dyDescent="0.25">
      <c r="L28" s="21"/>
      <c r="M28" s="21"/>
    </row>
    <row r="29" spans="1:13" x14ac:dyDescent="0.25">
      <c r="L29" s="21"/>
      <c r="M29" s="21"/>
    </row>
    <row r="30" spans="1:13" x14ac:dyDescent="0.25">
      <c r="L30" s="21"/>
      <c r="M30" s="21"/>
    </row>
    <row r="31" spans="1:13" x14ac:dyDescent="0.25">
      <c r="L31" s="21"/>
      <c r="M31" s="21"/>
    </row>
  </sheetData>
  <mergeCells count="1">
    <mergeCell ref="A1:D1"/>
  </mergeCells>
  <pageMargins left="0.7" right="0.7" top="0.75" bottom="0.75" header="0.3" footer="0.3"/>
  <pageSetup orientation="portrait" r:id="rId1"/>
  <ignoredErrors>
    <ignoredError sqref="D8 D13"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02BD-E792-4A15-86FF-DB451D659BA9}">
  <dimension ref="A1:U53"/>
  <sheetViews>
    <sheetView workbookViewId="0">
      <selection activeCell="C3" sqref="C3"/>
    </sheetView>
  </sheetViews>
  <sheetFormatPr defaultRowHeight="15" x14ac:dyDescent="0.25"/>
  <cols>
    <col min="1" max="1" width="17.570312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21" ht="21.75" thickBot="1" x14ac:dyDescent="0.3">
      <c r="A1" s="150" t="s">
        <v>342</v>
      </c>
      <c r="B1" s="151"/>
      <c r="C1" s="151"/>
      <c r="D1" s="151"/>
      <c r="E1" s="152"/>
    </row>
    <row r="2" spans="1:21" ht="30" customHeight="1" x14ac:dyDescent="0.25">
      <c r="A2" s="25" t="s">
        <v>18</v>
      </c>
      <c r="B2" s="26" t="s">
        <v>19</v>
      </c>
      <c r="C2" s="26" t="s">
        <v>21</v>
      </c>
      <c r="D2" s="48" t="s">
        <v>77</v>
      </c>
      <c r="E2" s="27" t="s">
        <v>20</v>
      </c>
      <c r="L2" s="6" t="s">
        <v>249</v>
      </c>
      <c r="M2" s="6" t="s">
        <v>250</v>
      </c>
    </row>
    <row r="3" spans="1:21" x14ac:dyDescent="0.25">
      <c r="A3" s="28" t="s">
        <v>343</v>
      </c>
      <c r="B3" t="s">
        <v>358</v>
      </c>
      <c r="C3" s="23">
        <v>47</v>
      </c>
      <c r="D3" s="49">
        <f t="shared" ref="D3:D34" si="0">MAX(L3,M3)</f>
        <v>39.150999999999996</v>
      </c>
      <c r="E3" s="35">
        <v>5676</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39.150999999999996</v>
      </c>
      <c r="N3" s="148" t="s">
        <v>681</v>
      </c>
      <c r="O3" s="148"/>
      <c r="P3" s="148"/>
      <c r="Q3" s="148"/>
      <c r="R3" s="148"/>
      <c r="S3" s="148"/>
      <c r="T3" s="148"/>
      <c r="U3" s="148"/>
    </row>
    <row r="4" spans="1:21" x14ac:dyDescent="0.25">
      <c r="A4" s="28" t="s">
        <v>344</v>
      </c>
      <c r="B4" s="22" t="s">
        <v>391</v>
      </c>
      <c r="C4" s="23">
        <v>46</v>
      </c>
      <c r="D4" s="49">
        <f t="shared" si="0"/>
        <v>38.317999999999998</v>
      </c>
      <c r="E4" s="29">
        <v>2966</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38.317999999999998</v>
      </c>
      <c r="N4" s="149" t="s">
        <v>682</v>
      </c>
      <c r="O4" s="149"/>
      <c r="P4" s="149"/>
      <c r="Q4" s="149"/>
      <c r="R4" s="149"/>
      <c r="S4" s="149"/>
      <c r="T4" s="149"/>
      <c r="U4" s="149"/>
    </row>
    <row r="5" spans="1:21" x14ac:dyDescent="0.25">
      <c r="A5" s="28" t="s">
        <v>345</v>
      </c>
      <c r="B5" s="22" t="s">
        <v>392</v>
      </c>
      <c r="C5" s="23">
        <v>33</v>
      </c>
      <c r="D5" s="49">
        <f t="shared" si="0"/>
        <v>30</v>
      </c>
      <c r="E5" s="29">
        <v>4446</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27.488999999999997</v>
      </c>
    </row>
    <row r="6" spans="1:21" x14ac:dyDescent="0.25">
      <c r="A6" s="28" t="s">
        <v>346</v>
      </c>
      <c r="B6" s="22" t="s">
        <v>393</v>
      </c>
      <c r="C6" s="23">
        <v>94</v>
      </c>
      <c r="D6" s="49">
        <f t="shared" si="0"/>
        <v>78.301999999999992</v>
      </c>
      <c r="E6" s="29">
        <v>4464</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78.301999999999992</v>
      </c>
    </row>
    <row r="7" spans="1:21" x14ac:dyDescent="0.25">
      <c r="A7" s="28" t="s">
        <v>347</v>
      </c>
      <c r="B7" s="22" t="s">
        <v>394</v>
      </c>
      <c r="C7" s="23">
        <v>37</v>
      </c>
      <c r="D7" s="49">
        <f t="shared" si="0"/>
        <v>30.820999999999998</v>
      </c>
      <c r="E7" s="29">
        <v>4200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30.820999999999998</v>
      </c>
    </row>
    <row r="8" spans="1:21" x14ac:dyDescent="0.25">
      <c r="A8" s="28" t="s">
        <v>348</v>
      </c>
      <c r="B8" s="22" t="s">
        <v>395</v>
      </c>
      <c r="C8" s="23">
        <v>29</v>
      </c>
      <c r="D8" s="49">
        <f t="shared" si="0"/>
        <v>30</v>
      </c>
      <c r="E8" s="29">
        <v>2342</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24.157</v>
      </c>
    </row>
    <row r="9" spans="1:21" x14ac:dyDescent="0.25">
      <c r="A9" s="28" t="s">
        <v>182</v>
      </c>
      <c r="B9" s="22" t="s">
        <v>191</v>
      </c>
      <c r="C9" s="23">
        <v>74</v>
      </c>
      <c r="D9" s="49">
        <f t="shared" si="0"/>
        <v>61.641999999999996</v>
      </c>
      <c r="E9" s="29">
        <v>4948</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61.641999999999996</v>
      </c>
    </row>
    <row r="10" spans="1:21" x14ac:dyDescent="0.25">
      <c r="A10" s="28" t="s">
        <v>349</v>
      </c>
      <c r="B10" s="22" t="s">
        <v>392</v>
      </c>
      <c r="C10" s="23">
        <v>40</v>
      </c>
      <c r="D10" s="49">
        <f t="shared" si="0"/>
        <v>33.32</v>
      </c>
      <c r="E10" s="29">
        <v>4823</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33.32</v>
      </c>
    </row>
    <row r="11" spans="1:21" x14ac:dyDescent="0.25">
      <c r="A11" s="28" t="s">
        <v>350</v>
      </c>
      <c r="B11" s="22" t="s">
        <v>396</v>
      </c>
      <c r="C11" s="23">
        <v>36</v>
      </c>
      <c r="D11" s="49">
        <f t="shared" si="0"/>
        <v>30</v>
      </c>
      <c r="E11" s="29">
        <v>5824</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29.988</v>
      </c>
    </row>
    <row r="12" spans="1:21" x14ac:dyDescent="0.25">
      <c r="A12" s="28" t="s">
        <v>351</v>
      </c>
      <c r="B12" s="22" t="s">
        <v>326</v>
      </c>
      <c r="C12" s="23">
        <v>61</v>
      </c>
      <c r="D12" s="49">
        <f t="shared" si="0"/>
        <v>50.812999999999995</v>
      </c>
      <c r="E12" s="29">
        <v>2418</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50.812999999999995</v>
      </c>
    </row>
    <row r="13" spans="1:21" x14ac:dyDescent="0.25">
      <c r="A13" s="28" t="s">
        <v>352</v>
      </c>
      <c r="B13" s="22" t="s">
        <v>397</v>
      </c>
      <c r="C13" s="23">
        <v>19</v>
      </c>
      <c r="D13" s="49">
        <f t="shared" si="0"/>
        <v>30</v>
      </c>
      <c r="E13" s="29">
        <v>3799</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15.827</v>
      </c>
    </row>
    <row r="14" spans="1:21" x14ac:dyDescent="0.25">
      <c r="A14" s="28" t="s">
        <v>353</v>
      </c>
      <c r="B14" s="22" t="s">
        <v>398</v>
      </c>
      <c r="C14" s="23">
        <v>18</v>
      </c>
      <c r="D14" s="49">
        <f t="shared" si="0"/>
        <v>30</v>
      </c>
      <c r="E14" s="29">
        <v>3232</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14.994</v>
      </c>
    </row>
    <row r="15" spans="1:21" x14ac:dyDescent="0.25">
      <c r="A15" s="28" t="s">
        <v>354</v>
      </c>
      <c r="B15" s="22" t="s">
        <v>393</v>
      </c>
      <c r="C15" s="23">
        <v>71</v>
      </c>
      <c r="D15" s="49">
        <f t="shared" si="0"/>
        <v>59.143000000000001</v>
      </c>
      <c r="E15" s="29">
        <v>3015</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59.143000000000001</v>
      </c>
    </row>
    <row r="16" spans="1:21" x14ac:dyDescent="0.25">
      <c r="A16" s="28" t="s">
        <v>355</v>
      </c>
      <c r="B16" s="22" t="s">
        <v>399</v>
      </c>
      <c r="C16" s="23">
        <v>41</v>
      </c>
      <c r="D16" s="49">
        <f t="shared" si="0"/>
        <v>34.152999999999999</v>
      </c>
      <c r="E16" s="29">
        <v>3599</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34.152999999999999</v>
      </c>
    </row>
    <row r="17" spans="1:13" x14ac:dyDescent="0.25">
      <c r="A17" s="28" t="s">
        <v>356</v>
      </c>
      <c r="B17" s="22" t="s">
        <v>400</v>
      </c>
      <c r="C17" s="23">
        <v>16</v>
      </c>
      <c r="D17" s="49">
        <f t="shared" si="0"/>
        <v>30</v>
      </c>
      <c r="E17" s="29">
        <v>3520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13.327999999999999</v>
      </c>
    </row>
    <row r="18" spans="1:13" x14ac:dyDescent="0.25">
      <c r="A18" s="28" t="s">
        <v>357</v>
      </c>
      <c r="B18" s="22" t="s">
        <v>401</v>
      </c>
      <c r="C18" s="23">
        <v>17</v>
      </c>
      <c r="D18" s="49">
        <f t="shared" si="0"/>
        <v>30</v>
      </c>
      <c r="E18" s="29">
        <v>3793</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14.161</v>
      </c>
    </row>
    <row r="19" spans="1:13" x14ac:dyDescent="0.25">
      <c r="A19" s="28" t="s">
        <v>358</v>
      </c>
      <c r="B19" s="22" t="s">
        <v>402</v>
      </c>
      <c r="C19" s="23">
        <v>27</v>
      </c>
      <c r="D19" s="49">
        <f t="shared" si="0"/>
        <v>30</v>
      </c>
      <c r="E19" s="29">
        <v>4593</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22.491</v>
      </c>
    </row>
    <row r="20" spans="1:13" x14ac:dyDescent="0.25">
      <c r="A20" s="28" t="s">
        <v>210</v>
      </c>
      <c r="B20" s="22" t="s">
        <v>403</v>
      </c>
      <c r="C20" s="23">
        <v>23</v>
      </c>
      <c r="D20" s="49">
        <f t="shared" si="0"/>
        <v>30</v>
      </c>
      <c r="E20" s="29">
        <v>5125</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19.158999999999999</v>
      </c>
    </row>
    <row r="21" spans="1:13" x14ac:dyDescent="0.25">
      <c r="A21" s="28" t="s">
        <v>359</v>
      </c>
      <c r="B21" s="22" t="s">
        <v>404</v>
      </c>
      <c r="C21" s="23">
        <v>28</v>
      </c>
      <c r="D21" s="49">
        <f t="shared" si="0"/>
        <v>30</v>
      </c>
      <c r="E21" s="29">
        <v>3904</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23.323999999999998</v>
      </c>
    </row>
    <row r="22" spans="1:13" x14ac:dyDescent="0.25">
      <c r="A22" s="28" t="s">
        <v>360</v>
      </c>
      <c r="B22" s="36" t="s">
        <v>398</v>
      </c>
      <c r="C22" s="23">
        <v>20</v>
      </c>
      <c r="D22" s="49">
        <f t="shared" si="0"/>
        <v>30</v>
      </c>
      <c r="E22" s="29">
        <v>2510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16.66</v>
      </c>
    </row>
    <row r="23" spans="1:13" x14ac:dyDescent="0.25">
      <c r="A23" s="28" t="s">
        <v>361</v>
      </c>
      <c r="B23" s="22" t="s">
        <v>405</v>
      </c>
      <c r="C23" s="23">
        <v>29</v>
      </c>
      <c r="D23" s="49">
        <f t="shared" si="0"/>
        <v>30</v>
      </c>
      <c r="E23" s="29">
        <v>2713</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24.157</v>
      </c>
    </row>
    <row r="24" spans="1:13" x14ac:dyDescent="0.25">
      <c r="A24" s="28" t="s">
        <v>362</v>
      </c>
      <c r="B24" s="22" t="s">
        <v>319</v>
      </c>
      <c r="C24" s="23">
        <v>24</v>
      </c>
      <c r="D24" s="49">
        <f t="shared" si="0"/>
        <v>30</v>
      </c>
      <c r="E24" s="29">
        <v>2146</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19.991999999999997</v>
      </c>
    </row>
    <row r="25" spans="1:13" x14ac:dyDescent="0.25">
      <c r="A25" s="28" t="s">
        <v>363</v>
      </c>
      <c r="B25" s="22" t="s">
        <v>406</v>
      </c>
      <c r="C25" s="23">
        <v>16</v>
      </c>
      <c r="D25" s="49">
        <f t="shared" si="0"/>
        <v>30</v>
      </c>
      <c r="E25" s="29">
        <v>2067</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13.327999999999999</v>
      </c>
    </row>
    <row r="26" spans="1:13" x14ac:dyDescent="0.25">
      <c r="A26" s="28" t="s">
        <v>420</v>
      </c>
      <c r="B26" s="22" t="s">
        <v>186</v>
      </c>
      <c r="C26" s="23">
        <v>32</v>
      </c>
      <c r="D26" s="49">
        <f t="shared" si="0"/>
        <v>30</v>
      </c>
      <c r="E26" s="29">
        <v>3399</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26.655999999999999</v>
      </c>
    </row>
    <row r="27" spans="1:13" x14ac:dyDescent="0.25">
      <c r="A27" s="28" t="s">
        <v>364</v>
      </c>
      <c r="B27" s="22" t="s">
        <v>407</v>
      </c>
      <c r="C27" s="23">
        <v>43</v>
      </c>
      <c r="D27" s="49">
        <f t="shared" si="0"/>
        <v>35.818999999999996</v>
      </c>
      <c r="E27" s="29">
        <v>6919</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35.818999999999996</v>
      </c>
    </row>
    <row r="28" spans="1:13" x14ac:dyDescent="0.25">
      <c r="A28" s="28" t="s">
        <v>365</v>
      </c>
      <c r="B28" s="22" t="s">
        <v>408</v>
      </c>
      <c r="C28" s="23">
        <v>15</v>
      </c>
      <c r="D28" s="49">
        <f t="shared" si="0"/>
        <v>30</v>
      </c>
      <c r="E28" s="29">
        <v>2904</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12.494999999999999</v>
      </c>
    </row>
    <row r="29" spans="1:13" x14ac:dyDescent="0.25">
      <c r="A29" s="28" t="s">
        <v>366</v>
      </c>
      <c r="B29" s="22" t="s">
        <v>409</v>
      </c>
      <c r="C29" s="23">
        <v>49</v>
      </c>
      <c r="D29" s="49">
        <f t="shared" si="0"/>
        <v>40.817</v>
      </c>
      <c r="E29" s="29">
        <v>2500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40.817</v>
      </c>
    </row>
    <row r="30" spans="1:13" x14ac:dyDescent="0.25">
      <c r="A30" s="28" t="s">
        <v>367</v>
      </c>
      <c r="B30" s="22" t="s">
        <v>404</v>
      </c>
      <c r="C30" s="23">
        <v>27</v>
      </c>
      <c r="D30" s="49">
        <f t="shared" si="0"/>
        <v>30</v>
      </c>
      <c r="E30" s="29">
        <v>4013</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22.491</v>
      </c>
    </row>
    <row r="31" spans="1:13" x14ac:dyDescent="0.25">
      <c r="A31" s="28" t="s">
        <v>368</v>
      </c>
      <c r="B31" s="38" t="s">
        <v>393</v>
      </c>
      <c r="C31" s="23">
        <v>56</v>
      </c>
      <c r="D31" s="49">
        <f t="shared" si="0"/>
        <v>46.647999999999996</v>
      </c>
      <c r="E31" s="29">
        <v>2992</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46.647999999999996</v>
      </c>
    </row>
    <row r="32" spans="1:13" x14ac:dyDescent="0.25">
      <c r="A32" s="37" t="s">
        <v>369</v>
      </c>
      <c r="B32" s="22" t="s">
        <v>395</v>
      </c>
      <c r="C32" s="39">
        <v>36</v>
      </c>
      <c r="D32" s="49">
        <f t="shared" si="0"/>
        <v>30</v>
      </c>
      <c r="E32" s="29">
        <v>3356</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29.988</v>
      </c>
    </row>
    <row r="33" spans="1:13" x14ac:dyDescent="0.25">
      <c r="A33" s="28" t="s">
        <v>370</v>
      </c>
      <c r="B33" s="22" t="s">
        <v>410</v>
      </c>
      <c r="C33" s="23">
        <v>50</v>
      </c>
      <c r="D33" s="49">
        <f t="shared" si="0"/>
        <v>41.65</v>
      </c>
      <c r="E33" s="40">
        <v>3914</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41.65</v>
      </c>
    </row>
    <row r="34" spans="1:13" x14ac:dyDescent="0.25">
      <c r="A34" s="28" t="s">
        <v>371</v>
      </c>
      <c r="B34" s="22" t="s">
        <v>411</v>
      </c>
      <c r="C34" s="23">
        <v>76</v>
      </c>
      <c r="D34" s="49">
        <f t="shared" si="0"/>
        <v>63.308</v>
      </c>
      <c r="E34" s="29">
        <v>2198</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63.308</v>
      </c>
    </row>
    <row r="35" spans="1:13" x14ac:dyDescent="0.25">
      <c r="A35" s="28" t="s">
        <v>372</v>
      </c>
      <c r="B35" s="22" t="s">
        <v>190</v>
      </c>
      <c r="C35" s="23">
        <v>33</v>
      </c>
      <c r="D35" s="49">
        <f t="shared" ref="D35:D53" si="1">MAX(L35,M35)</f>
        <v>30</v>
      </c>
      <c r="E35" s="29">
        <v>4544</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27.488999999999997</v>
      </c>
    </row>
    <row r="36" spans="1:13" x14ac:dyDescent="0.25">
      <c r="A36" s="28" t="s">
        <v>373</v>
      </c>
      <c r="B36" s="22" t="s">
        <v>412</v>
      </c>
      <c r="C36" s="23">
        <v>30</v>
      </c>
      <c r="D36" s="49">
        <f t="shared" si="1"/>
        <v>30</v>
      </c>
      <c r="E36" s="29">
        <v>2284</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24.99</v>
      </c>
    </row>
    <row r="37" spans="1:13" x14ac:dyDescent="0.25">
      <c r="A37" s="28" t="s">
        <v>374</v>
      </c>
      <c r="B37" s="22" t="s">
        <v>392</v>
      </c>
      <c r="C37" s="23">
        <v>21</v>
      </c>
      <c r="D37" s="49">
        <f t="shared" si="1"/>
        <v>30</v>
      </c>
      <c r="E37" s="29">
        <v>4242</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17.492999999999999</v>
      </c>
    </row>
    <row r="38" spans="1:13" x14ac:dyDescent="0.25">
      <c r="A38" s="28" t="s">
        <v>375</v>
      </c>
      <c r="B38" s="22" t="s">
        <v>247</v>
      </c>
      <c r="C38" s="23">
        <v>25</v>
      </c>
      <c r="D38" s="49">
        <f t="shared" si="1"/>
        <v>30</v>
      </c>
      <c r="E38" s="29">
        <v>2362</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20.824999999999999</v>
      </c>
    </row>
    <row r="39" spans="1:13" x14ac:dyDescent="0.25">
      <c r="A39" s="28" t="s">
        <v>376</v>
      </c>
      <c r="B39" s="22" t="s">
        <v>376</v>
      </c>
      <c r="C39" s="23">
        <v>34</v>
      </c>
      <c r="D39" s="49">
        <f t="shared" si="1"/>
        <v>30</v>
      </c>
      <c r="E39" s="29">
        <v>3245</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28.321999999999999</v>
      </c>
    </row>
    <row r="40" spans="1:13" x14ac:dyDescent="0.25">
      <c r="A40" s="28" t="s">
        <v>377</v>
      </c>
      <c r="B40" s="22" t="s">
        <v>413</v>
      </c>
      <c r="C40" s="23">
        <v>73</v>
      </c>
      <c r="D40" s="49">
        <f t="shared" si="1"/>
        <v>60.808999999999997</v>
      </c>
      <c r="E40" s="29">
        <v>2080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60.808999999999997</v>
      </c>
    </row>
    <row r="41" spans="1:13" x14ac:dyDescent="0.25">
      <c r="A41" s="28" t="s">
        <v>378</v>
      </c>
      <c r="B41" s="41" t="s">
        <v>231</v>
      </c>
      <c r="C41" s="23">
        <v>63</v>
      </c>
      <c r="D41" s="49">
        <f t="shared" si="1"/>
        <v>52.478999999999999</v>
      </c>
      <c r="E41" s="29">
        <v>2999</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52.478999999999999</v>
      </c>
    </row>
    <row r="42" spans="1:13" x14ac:dyDescent="0.25">
      <c r="A42" s="28" t="s">
        <v>379</v>
      </c>
      <c r="B42" s="41" t="s">
        <v>70</v>
      </c>
      <c r="C42" s="23">
        <v>109</v>
      </c>
      <c r="D42" s="49">
        <f t="shared" si="1"/>
        <v>90.796999999999997</v>
      </c>
      <c r="E42" s="29">
        <v>5610</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90.796999999999997</v>
      </c>
    </row>
    <row r="43" spans="1:13" x14ac:dyDescent="0.25">
      <c r="A43" s="28" t="s">
        <v>380</v>
      </c>
      <c r="B43" s="41" t="s">
        <v>231</v>
      </c>
      <c r="C43" s="23">
        <v>50</v>
      </c>
      <c r="D43" s="49">
        <f t="shared" si="1"/>
        <v>41.65</v>
      </c>
      <c r="E43" s="42">
        <v>3077</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41.65</v>
      </c>
    </row>
    <row r="44" spans="1:13" x14ac:dyDescent="0.25">
      <c r="A44" s="28" t="s">
        <v>381</v>
      </c>
      <c r="B44" s="41" t="s">
        <v>414</v>
      </c>
      <c r="C44" s="23">
        <v>21</v>
      </c>
      <c r="D44" s="49">
        <f t="shared" si="1"/>
        <v>30</v>
      </c>
      <c r="E44" s="42">
        <v>3209</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17.492999999999999</v>
      </c>
    </row>
    <row r="45" spans="1:13" x14ac:dyDescent="0.25">
      <c r="A45" s="28" t="s">
        <v>382</v>
      </c>
      <c r="B45" s="41" t="s">
        <v>415</v>
      </c>
      <c r="C45" s="23">
        <v>28</v>
      </c>
      <c r="D45" s="49">
        <f t="shared" si="1"/>
        <v>30</v>
      </c>
      <c r="E45" s="42">
        <v>3301</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23.323999999999998</v>
      </c>
    </row>
    <row r="46" spans="1:13" x14ac:dyDescent="0.25">
      <c r="A46" s="28" t="s">
        <v>383</v>
      </c>
      <c r="B46" s="41" t="s">
        <v>416</v>
      </c>
      <c r="C46" s="23">
        <v>27</v>
      </c>
      <c r="D46" s="49">
        <f t="shared" si="1"/>
        <v>30</v>
      </c>
      <c r="E46" s="42">
        <v>1969</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22.491</v>
      </c>
    </row>
    <row r="47" spans="1:13" x14ac:dyDescent="0.25">
      <c r="A47" s="28" t="s">
        <v>384</v>
      </c>
      <c r="B47" s="41" t="s">
        <v>407</v>
      </c>
      <c r="C47" s="23">
        <v>48</v>
      </c>
      <c r="D47" s="49">
        <f t="shared" si="1"/>
        <v>39.983999999999995</v>
      </c>
      <c r="E47" s="42">
        <v>3399</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39.983999999999995</v>
      </c>
    </row>
    <row r="48" spans="1:13" x14ac:dyDescent="0.25">
      <c r="A48" s="28" t="s">
        <v>385</v>
      </c>
      <c r="B48" s="41" t="s">
        <v>417</v>
      </c>
      <c r="C48" s="23">
        <v>51</v>
      </c>
      <c r="D48" s="49">
        <f t="shared" si="1"/>
        <v>42.482999999999997</v>
      </c>
      <c r="E48" s="42">
        <v>2507</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42.482999999999997</v>
      </c>
    </row>
    <row r="49" spans="1:13" x14ac:dyDescent="0.25">
      <c r="A49" s="28" t="s">
        <v>386</v>
      </c>
      <c r="B49" s="41" t="s">
        <v>392</v>
      </c>
      <c r="C49" s="23">
        <v>22</v>
      </c>
      <c r="D49" s="49">
        <f t="shared" si="1"/>
        <v>30</v>
      </c>
      <c r="E49" s="42">
        <v>4085</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18.326000000000001</v>
      </c>
    </row>
    <row r="50" spans="1:13" x14ac:dyDescent="0.25">
      <c r="A50" s="28" t="s">
        <v>387</v>
      </c>
      <c r="B50" s="41" t="s">
        <v>418</v>
      </c>
      <c r="C50" s="23">
        <v>11</v>
      </c>
      <c r="D50" s="49">
        <f t="shared" si="1"/>
        <v>30</v>
      </c>
      <c r="E50" s="42">
        <v>3868</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9.1630000000000003</v>
      </c>
    </row>
    <row r="51" spans="1:13" x14ac:dyDescent="0.25">
      <c r="A51" s="28" t="s">
        <v>388</v>
      </c>
      <c r="B51" s="41" t="s">
        <v>392</v>
      </c>
      <c r="C51" s="23">
        <v>122</v>
      </c>
      <c r="D51" s="49">
        <f t="shared" si="1"/>
        <v>101.62599999999999</v>
      </c>
      <c r="E51" s="42">
        <v>6713</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101.62599999999999</v>
      </c>
    </row>
    <row r="52" spans="1:13" x14ac:dyDescent="0.25">
      <c r="A52" s="37" t="s">
        <v>389</v>
      </c>
      <c r="B52" s="41" t="s">
        <v>393</v>
      </c>
      <c r="C52" s="39">
        <v>67</v>
      </c>
      <c r="D52" s="52">
        <f t="shared" si="1"/>
        <v>55.811</v>
      </c>
      <c r="E52" s="42">
        <v>2999</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55.811</v>
      </c>
    </row>
    <row r="53" spans="1:13" ht="15.75" thickBot="1" x14ac:dyDescent="0.3">
      <c r="A53" s="30" t="s">
        <v>390</v>
      </c>
      <c r="B53" s="43" t="s">
        <v>419</v>
      </c>
      <c r="C53" s="32">
        <v>24</v>
      </c>
      <c r="D53" s="50">
        <f t="shared" si="1"/>
        <v>30</v>
      </c>
      <c r="E53" s="44">
        <v>2057</v>
      </c>
      <c r="L5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Conversion'!D13&lt;=15),40,IF(C53&lt;=20,C53*'Snow Load Conversion'!D11,20*'Snow Load Conversion'!D11)))))</f>
        <v>30</v>
      </c>
      <c r="M53" s="24">
        <f>(0.7*'Snow Load Conversion'!D7*'Snow Load Conversion'!D9*'Snow Load Conversion'!D11*C53)+'Snow Load Conversion'!D17</f>
        <v>19.991999999999997</v>
      </c>
    </row>
  </sheetData>
  <mergeCells count="3">
    <mergeCell ref="A1:E1"/>
    <mergeCell ref="N4:U4"/>
    <mergeCell ref="N3:U3"/>
  </mergeCells>
  <hyperlinks>
    <hyperlink ref="N4" r:id="rId1" xr:uid="{C118B8D5-C437-4394-AD3B-3421C846DC08}"/>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468F-641A-4742-B783-784995C4B12A}">
  <dimension ref="A1:M57"/>
  <sheetViews>
    <sheetView workbookViewId="0">
      <selection activeCell="C3" sqref="C3"/>
    </sheetView>
  </sheetViews>
  <sheetFormatPr defaultRowHeight="15" x14ac:dyDescent="0.25"/>
  <cols>
    <col min="1" max="1" width="17.570312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13" ht="21.75" thickBot="1" x14ac:dyDescent="0.3">
      <c r="A1" s="150" t="s">
        <v>603</v>
      </c>
      <c r="B1" s="151"/>
      <c r="C1" s="151"/>
      <c r="D1" s="151"/>
      <c r="E1" s="152"/>
    </row>
    <row r="2" spans="1:13" ht="30" customHeight="1" x14ac:dyDescent="0.25">
      <c r="A2" s="25" t="s">
        <v>18</v>
      </c>
      <c r="B2" s="26" t="s">
        <v>19</v>
      </c>
      <c r="C2" s="26" t="s">
        <v>21</v>
      </c>
      <c r="D2" s="48" t="s">
        <v>77</v>
      </c>
      <c r="E2" s="27" t="s">
        <v>20</v>
      </c>
      <c r="L2" s="6" t="s">
        <v>249</v>
      </c>
      <c r="M2" s="6" t="s">
        <v>250</v>
      </c>
    </row>
    <row r="3" spans="1:13" x14ac:dyDescent="0.25">
      <c r="A3" s="28" t="s">
        <v>604</v>
      </c>
      <c r="B3" t="s">
        <v>650</v>
      </c>
      <c r="C3" s="23">
        <v>70</v>
      </c>
      <c r="D3" s="49">
        <f t="shared" ref="D3:D34" si="0">MAX(L3,M3)</f>
        <v>58.309999999999995</v>
      </c>
      <c r="E3" s="35">
        <v>600</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58.309999999999995</v>
      </c>
    </row>
    <row r="4" spans="1:13" x14ac:dyDescent="0.25">
      <c r="A4" s="28" t="s">
        <v>605</v>
      </c>
      <c r="B4" s="22" t="s">
        <v>651</v>
      </c>
      <c r="C4" s="23">
        <v>55</v>
      </c>
      <c r="D4" s="49">
        <f t="shared" si="0"/>
        <v>45.814999999999998</v>
      </c>
      <c r="E4" s="29">
        <v>400</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45.814999999999998</v>
      </c>
    </row>
    <row r="5" spans="1:13" x14ac:dyDescent="0.25">
      <c r="A5" s="28" t="s">
        <v>606</v>
      </c>
      <c r="B5" s="22" t="s">
        <v>652</v>
      </c>
      <c r="C5" s="23">
        <v>70</v>
      </c>
      <c r="D5" s="49">
        <f t="shared" si="0"/>
        <v>58.309999999999995</v>
      </c>
      <c r="E5" s="29">
        <v>500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58.309999999999995</v>
      </c>
    </row>
    <row r="6" spans="1:13" x14ac:dyDescent="0.25">
      <c r="A6" s="28" t="s">
        <v>607</v>
      </c>
      <c r="B6" s="22" t="s">
        <v>650</v>
      </c>
      <c r="C6" s="23">
        <v>70</v>
      </c>
      <c r="D6" s="49">
        <f t="shared" si="0"/>
        <v>58.309999999999995</v>
      </c>
      <c r="E6" s="29">
        <v>700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58.309999999999995</v>
      </c>
    </row>
    <row r="7" spans="1:13" x14ac:dyDescent="0.25">
      <c r="A7" s="28" t="s">
        <v>608</v>
      </c>
      <c r="B7" s="22" t="s">
        <v>653</v>
      </c>
      <c r="C7" s="23">
        <v>80</v>
      </c>
      <c r="D7" s="49">
        <f t="shared" si="0"/>
        <v>66.64</v>
      </c>
      <c r="E7" s="29">
        <v>900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66.64</v>
      </c>
    </row>
    <row r="8" spans="1:13" x14ac:dyDescent="0.25">
      <c r="A8" s="28" t="s">
        <v>609</v>
      </c>
      <c r="B8" s="22" t="s">
        <v>584</v>
      </c>
      <c r="C8" s="23">
        <v>100</v>
      </c>
      <c r="D8" s="49">
        <f t="shared" si="0"/>
        <v>83.3</v>
      </c>
      <c r="E8" s="29">
        <v>1600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83.3</v>
      </c>
    </row>
    <row r="9" spans="1:13" x14ac:dyDescent="0.25">
      <c r="A9" s="28" t="s">
        <v>610</v>
      </c>
      <c r="B9" s="22" t="s">
        <v>633</v>
      </c>
      <c r="C9" s="23">
        <v>75</v>
      </c>
      <c r="D9" s="49">
        <f t="shared" si="0"/>
        <v>62.474999999999994</v>
      </c>
      <c r="E9" s="29">
        <v>800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62.474999999999994</v>
      </c>
    </row>
    <row r="10" spans="1:13" x14ac:dyDescent="0.25">
      <c r="A10" s="28" t="s">
        <v>611</v>
      </c>
      <c r="B10" s="36" t="s">
        <v>655</v>
      </c>
      <c r="C10" s="23">
        <v>85</v>
      </c>
      <c r="D10" s="49">
        <f t="shared" si="0"/>
        <v>70.804999999999993</v>
      </c>
      <c r="E10" s="29">
        <v>1100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70.804999999999993</v>
      </c>
    </row>
    <row r="11" spans="1:13" x14ac:dyDescent="0.25">
      <c r="A11" s="28" t="s">
        <v>612</v>
      </c>
      <c r="B11" s="22" t="s">
        <v>633</v>
      </c>
      <c r="C11" s="23">
        <v>70</v>
      </c>
      <c r="D11" s="49">
        <f t="shared" si="0"/>
        <v>58.309999999999995</v>
      </c>
      <c r="E11" s="29">
        <v>600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58.309999999999995</v>
      </c>
    </row>
    <row r="12" spans="1:13" x14ac:dyDescent="0.25">
      <c r="A12" s="28" t="s">
        <v>613</v>
      </c>
      <c r="B12" s="22" t="s">
        <v>654</v>
      </c>
      <c r="C12" s="23">
        <v>95</v>
      </c>
      <c r="D12" s="49">
        <f t="shared" si="0"/>
        <v>79.134999999999991</v>
      </c>
      <c r="E12" s="29">
        <v>900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79.134999999999991</v>
      </c>
    </row>
    <row r="13" spans="1:13" x14ac:dyDescent="0.25">
      <c r="A13" s="28" t="s">
        <v>614</v>
      </c>
      <c r="B13" s="22" t="s">
        <v>651</v>
      </c>
      <c r="C13" s="23">
        <v>65</v>
      </c>
      <c r="D13" s="49">
        <f t="shared" si="0"/>
        <v>54.144999999999996</v>
      </c>
      <c r="E13" s="29">
        <v>600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54.144999999999996</v>
      </c>
    </row>
    <row r="14" spans="1:13" x14ac:dyDescent="0.25">
      <c r="A14" s="28" t="s">
        <v>615</v>
      </c>
      <c r="B14" s="22" t="s">
        <v>652</v>
      </c>
      <c r="C14" s="23">
        <v>60</v>
      </c>
      <c r="D14" s="49">
        <f t="shared" si="0"/>
        <v>49.98</v>
      </c>
      <c r="E14" s="29">
        <v>200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49.98</v>
      </c>
    </row>
    <row r="15" spans="1:13" x14ac:dyDescent="0.25">
      <c r="A15" s="28" t="s">
        <v>616</v>
      </c>
      <c r="B15" s="22" t="s">
        <v>652</v>
      </c>
      <c r="C15" s="23">
        <v>55</v>
      </c>
      <c r="D15" s="49">
        <f t="shared" si="0"/>
        <v>45.814999999999998</v>
      </c>
      <c r="E15" s="29">
        <v>150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45.814999999999998</v>
      </c>
    </row>
    <row r="16" spans="1:13" x14ac:dyDescent="0.25">
      <c r="A16" s="28" t="s">
        <v>617</v>
      </c>
      <c r="B16" s="22" t="s">
        <v>651</v>
      </c>
      <c r="C16" s="23">
        <v>55</v>
      </c>
      <c r="D16" s="49">
        <f t="shared" si="0"/>
        <v>45.814999999999998</v>
      </c>
      <c r="E16" s="29">
        <v>300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45.814999999999998</v>
      </c>
    </row>
    <row r="17" spans="1:13" x14ac:dyDescent="0.25">
      <c r="A17" s="28" t="s">
        <v>618</v>
      </c>
      <c r="B17" s="22" t="s">
        <v>651</v>
      </c>
      <c r="C17" s="23">
        <v>50</v>
      </c>
      <c r="D17" s="49">
        <f t="shared" si="0"/>
        <v>41.65</v>
      </c>
      <c r="E17" s="29">
        <v>200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41.65</v>
      </c>
    </row>
    <row r="18" spans="1:13" x14ac:dyDescent="0.25">
      <c r="A18" s="28" t="s">
        <v>27</v>
      </c>
      <c r="B18" s="22" t="s">
        <v>652</v>
      </c>
      <c r="C18" s="23">
        <v>85</v>
      </c>
      <c r="D18" s="49">
        <f t="shared" si="0"/>
        <v>70.804999999999993</v>
      </c>
      <c r="E18" s="29">
        <v>800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70.804999999999993</v>
      </c>
    </row>
    <row r="19" spans="1:13" x14ac:dyDescent="0.25">
      <c r="A19" s="28" t="s">
        <v>334</v>
      </c>
      <c r="B19" s="22" t="s">
        <v>633</v>
      </c>
      <c r="C19" s="23">
        <v>75</v>
      </c>
      <c r="D19" s="49">
        <f t="shared" si="0"/>
        <v>62.474999999999994</v>
      </c>
      <c r="E19" s="29">
        <v>700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62.474999999999994</v>
      </c>
    </row>
    <row r="20" spans="1:13" x14ac:dyDescent="0.25">
      <c r="A20" s="28" t="s">
        <v>619</v>
      </c>
      <c r="B20" s="22" t="s">
        <v>653</v>
      </c>
      <c r="C20" s="23">
        <v>90</v>
      </c>
      <c r="D20" s="49">
        <f t="shared" si="0"/>
        <v>74.97</v>
      </c>
      <c r="E20" s="29">
        <v>1200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74.97</v>
      </c>
    </row>
    <row r="21" spans="1:13" x14ac:dyDescent="0.25">
      <c r="A21" s="28" t="s">
        <v>620</v>
      </c>
      <c r="B21" s="22" t="s">
        <v>650</v>
      </c>
      <c r="C21" s="23">
        <v>75</v>
      </c>
      <c r="D21" s="49">
        <f t="shared" si="0"/>
        <v>62.474999999999994</v>
      </c>
      <c r="E21" s="29">
        <v>800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62.474999999999994</v>
      </c>
    </row>
    <row r="22" spans="1:13" x14ac:dyDescent="0.25">
      <c r="A22" s="28" t="s">
        <v>621</v>
      </c>
      <c r="B22" s="36" t="s">
        <v>651</v>
      </c>
      <c r="C22" s="23">
        <v>55</v>
      </c>
      <c r="D22" s="49">
        <f t="shared" si="0"/>
        <v>45.814999999999998</v>
      </c>
      <c r="E22" s="29">
        <v>300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45.814999999999998</v>
      </c>
    </row>
    <row r="23" spans="1:13" x14ac:dyDescent="0.25">
      <c r="A23" s="28" t="s">
        <v>622</v>
      </c>
      <c r="B23" s="22" t="s">
        <v>651</v>
      </c>
      <c r="C23" s="23">
        <v>50</v>
      </c>
      <c r="D23" s="49">
        <f t="shared" si="0"/>
        <v>41.65</v>
      </c>
      <c r="E23" s="29">
        <v>150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41.65</v>
      </c>
    </row>
    <row r="24" spans="1:13" x14ac:dyDescent="0.25">
      <c r="A24" s="28" t="s">
        <v>623</v>
      </c>
      <c r="B24" s="22" t="s">
        <v>656</v>
      </c>
      <c r="C24" s="23">
        <v>75</v>
      </c>
      <c r="D24" s="49">
        <f t="shared" si="0"/>
        <v>62.474999999999994</v>
      </c>
      <c r="E24" s="29">
        <v>1300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62.474999999999994</v>
      </c>
    </row>
    <row r="25" spans="1:13" x14ac:dyDescent="0.25">
      <c r="A25" s="28" t="s">
        <v>624</v>
      </c>
      <c r="B25" s="22" t="s">
        <v>650</v>
      </c>
      <c r="C25" s="23">
        <v>60</v>
      </c>
      <c r="D25" s="49">
        <f t="shared" si="0"/>
        <v>49.98</v>
      </c>
      <c r="E25" s="29">
        <v>500</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49.98</v>
      </c>
    </row>
    <row r="26" spans="1:13" x14ac:dyDescent="0.25">
      <c r="A26" s="28" t="s">
        <v>625</v>
      </c>
      <c r="B26" s="22" t="s">
        <v>633</v>
      </c>
      <c r="C26" s="23">
        <v>70</v>
      </c>
      <c r="D26" s="49">
        <f t="shared" si="0"/>
        <v>58.309999999999995</v>
      </c>
      <c r="E26" s="29">
        <v>600</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58.309999999999995</v>
      </c>
    </row>
    <row r="27" spans="1:13" x14ac:dyDescent="0.25">
      <c r="A27" s="28" t="s">
        <v>626</v>
      </c>
      <c r="B27" s="22" t="s">
        <v>650</v>
      </c>
      <c r="C27" s="23">
        <v>60</v>
      </c>
      <c r="D27" s="49">
        <f t="shared" si="0"/>
        <v>49.98</v>
      </c>
      <c r="E27" s="29">
        <v>400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49.98</v>
      </c>
    </row>
    <row r="28" spans="1:13" x14ac:dyDescent="0.25">
      <c r="A28" s="28" t="s">
        <v>627</v>
      </c>
      <c r="B28" s="22" t="s">
        <v>657</v>
      </c>
      <c r="C28" s="23">
        <v>70</v>
      </c>
      <c r="D28" s="49">
        <f t="shared" si="0"/>
        <v>58.309999999999995</v>
      </c>
      <c r="E28" s="29">
        <v>900</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58.309999999999995</v>
      </c>
    </row>
    <row r="29" spans="1:13" x14ac:dyDescent="0.25">
      <c r="A29" s="28" t="s">
        <v>628</v>
      </c>
      <c r="B29" s="22" t="s">
        <v>653</v>
      </c>
      <c r="C29" s="23">
        <v>80</v>
      </c>
      <c r="D29" s="49">
        <f t="shared" si="0"/>
        <v>66.64</v>
      </c>
      <c r="E29" s="29">
        <v>900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66.64</v>
      </c>
    </row>
    <row r="30" spans="1:13" x14ac:dyDescent="0.25">
      <c r="A30" s="28" t="s">
        <v>629</v>
      </c>
      <c r="B30" s="22" t="s">
        <v>656</v>
      </c>
      <c r="C30" s="23">
        <v>80</v>
      </c>
      <c r="D30" s="49">
        <f t="shared" si="0"/>
        <v>66.64</v>
      </c>
      <c r="E30" s="29">
        <v>1200</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66.64</v>
      </c>
    </row>
    <row r="31" spans="1:13" x14ac:dyDescent="0.25">
      <c r="A31" s="28" t="s">
        <v>630</v>
      </c>
      <c r="B31" s="38" t="s">
        <v>650</v>
      </c>
      <c r="C31" s="23">
        <v>60</v>
      </c>
      <c r="D31" s="49">
        <f t="shared" si="0"/>
        <v>49.98</v>
      </c>
      <c r="E31" s="29">
        <v>250</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49.98</v>
      </c>
    </row>
    <row r="32" spans="1:13" x14ac:dyDescent="0.25">
      <c r="A32" s="37" t="s">
        <v>631</v>
      </c>
      <c r="B32" s="22" t="s">
        <v>651</v>
      </c>
      <c r="C32" s="39">
        <v>65</v>
      </c>
      <c r="D32" s="49">
        <f t="shared" si="0"/>
        <v>54.144999999999996</v>
      </c>
      <c r="E32" s="29">
        <v>500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54.144999999999996</v>
      </c>
    </row>
    <row r="33" spans="1:13" x14ac:dyDescent="0.25">
      <c r="A33" s="28" t="s">
        <v>632</v>
      </c>
      <c r="B33" s="22" t="s">
        <v>650</v>
      </c>
      <c r="C33" s="23">
        <v>70</v>
      </c>
      <c r="D33" s="49">
        <f t="shared" si="0"/>
        <v>58.309999999999995</v>
      </c>
      <c r="E33" s="40">
        <v>500</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58.309999999999995</v>
      </c>
    </row>
    <row r="34" spans="1:13" x14ac:dyDescent="0.25">
      <c r="A34" s="28" t="s">
        <v>633</v>
      </c>
      <c r="B34" s="22" t="s">
        <v>650</v>
      </c>
      <c r="C34" s="23">
        <v>60</v>
      </c>
      <c r="D34" s="49">
        <f t="shared" si="0"/>
        <v>49.98</v>
      </c>
      <c r="E34" s="29">
        <v>400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49.98</v>
      </c>
    </row>
    <row r="35" spans="1:13" x14ac:dyDescent="0.25">
      <c r="A35" s="28" t="s">
        <v>634</v>
      </c>
      <c r="B35" s="22" t="s">
        <v>650</v>
      </c>
      <c r="C35" s="23">
        <v>70</v>
      </c>
      <c r="D35" s="49">
        <f t="shared" ref="D35:D52" si="1">MAX(L35,M35)</f>
        <v>58.309999999999995</v>
      </c>
      <c r="E35" s="29">
        <v>600</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58.309999999999995</v>
      </c>
    </row>
    <row r="36" spans="1:13" x14ac:dyDescent="0.25">
      <c r="A36" s="28" t="s">
        <v>635</v>
      </c>
      <c r="B36" s="22" t="s">
        <v>650</v>
      </c>
      <c r="C36" s="23">
        <v>60</v>
      </c>
      <c r="D36" s="49">
        <f t="shared" si="1"/>
        <v>49.98</v>
      </c>
      <c r="E36" s="29">
        <v>400</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49.98</v>
      </c>
    </row>
    <row r="37" spans="1:13" x14ac:dyDescent="0.25">
      <c r="A37" s="28" t="s">
        <v>636</v>
      </c>
      <c r="B37" s="22" t="s">
        <v>651</v>
      </c>
      <c r="C37" s="23">
        <v>50</v>
      </c>
      <c r="D37" s="49">
        <f t="shared" si="1"/>
        <v>41.65</v>
      </c>
      <c r="E37" s="29">
        <v>200</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41.65</v>
      </c>
    </row>
    <row r="38" spans="1:13" x14ac:dyDescent="0.25">
      <c r="A38" s="28" t="s">
        <v>565</v>
      </c>
      <c r="B38" s="22" t="s">
        <v>655</v>
      </c>
      <c r="C38" s="23">
        <v>85</v>
      </c>
      <c r="D38" s="49">
        <f t="shared" si="1"/>
        <v>70.804999999999993</v>
      </c>
      <c r="E38" s="29">
        <v>1200</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70.804999999999993</v>
      </c>
    </row>
    <row r="39" spans="1:13" x14ac:dyDescent="0.25">
      <c r="A39" s="28" t="s">
        <v>637</v>
      </c>
      <c r="B39" s="22" t="s">
        <v>650</v>
      </c>
      <c r="C39" s="23">
        <v>55</v>
      </c>
      <c r="D39" s="49">
        <f t="shared" si="1"/>
        <v>45.814999999999998</v>
      </c>
      <c r="E39" s="29">
        <v>400</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45.814999999999998</v>
      </c>
    </row>
    <row r="40" spans="1:13" x14ac:dyDescent="0.25">
      <c r="A40" s="28" t="s">
        <v>638</v>
      </c>
      <c r="B40" s="22" t="s">
        <v>633</v>
      </c>
      <c r="C40" s="23">
        <v>70</v>
      </c>
      <c r="D40" s="49">
        <f t="shared" si="1"/>
        <v>58.309999999999995</v>
      </c>
      <c r="E40" s="29">
        <v>700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58.309999999999995</v>
      </c>
    </row>
    <row r="41" spans="1:13" x14ac:dyDescent="0.25">
      <c r="A41" s="28" t="s">
        <v>639</v>
      </c>
      <c r="B41" s="41" t="s">
        <v>651</v>
      </c>
      <c r="C41" s="23">
        <v>55</v>
      </c>
      <c r="D41" s="49">
        <f t="shared" si="1"/>
        <v>45.814999999999998</v>
      </c>
      <c r="E41" s="29">
        <v>300</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45.814999999999998</v>
      </c>
    </row>
    <row r="42" spans="1:13" x14ac:dyDescent="0.25">
      <c r="A42" s="28" t="s">
        <v>640</v>
      </c>
      <c r="B42" s="41" t="s">
        <v>656</v>
      </c>
      <c r="C42" s="23">
        <v>75</v>
      </c>
      <c r="D42" s="49">
        <f t="shared" si="1"/>
        <v>62.474999999999994</v>
      </c>
      <c r="E42" s="29">
        <v>900</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62.474999999999994</v>
      </c>
    </row>
    <row r="43" spans="1:13" x14ac:dyDescent="0.25">
      <c r="A43" s="28" t="s">
        <v>641</v>
      </c>
      <c r="B43" s="41" t="s">
        <v>651</v>
      </c>
      <c r="C43" s="23">
        <v>50</v>
      </c>
      <c r="D43" s="49">
        <f t="shared" si="1"/>
        <v>41.65</v>
      </c>
      <c r="E43" s="42">
        <v>100</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41.65</v>
      </c>
    </row>
    <row r="44" spans="1:13" x14ac:dyDescent="0.25">
      <c r="A44" s="28" t="s">
        <v>642</v>
      </c>
      <c r="B44" s="41" t="s">
        <v>651</v>
      </c>
      <c r="C44" s="23">
        <v>60</v>
      </c>
      <c r="D44" s="49">
        <f t="shared" si="1"/>
        <v>49.98</v>
      </c>
      <c r="E44" s="42">
        <v>500</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49.98</v>
      </c>
    </row>
    <row r="45" spans="1:13" x14ac:dyDescent="0.25">
      <c r="A45" s="28" t="s">
        <v>643</v>
      </c>
      <c r="B45" s="41" t="s">
        <v>652</v>
      </c>
      <c r="C45" s="23">
        <v>70</v>
      </c>
      <c r="D45" s="49">
        <f t="shared" si="1"/>
        <v>58.309999999999995</v>
      </c>
      <c r="E45" s="42">
        <v>500</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58.309999999999995</v>
      </c>
    </row>
    <row r="46" spans="1:13" x14ac:dyDescent="0.25">
      <c r="A46" s="28" t="s">
        <v>573</v>
      </c>
      <c r="B46" s="41" t="s">
        <v>651</v>
      </c>
      <c r="C46" s="23">
        <v>55</v>
      </c>
      <c r="D46" s="49">
        <f t="shared" si="1"/>
        <v>45.814999999999998</v>
      </c>
      <c r="E46" s="42">
        <v>300</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45.814999999999998</v>
      </c>
    </row>
    <row r="47" spans="1:13" x14ac:dyDescent="0.25">
      <c r="A47" s="28" t="s">
        <v>644</v>
      </c>
      <c r="B47" s="41" t="s">
        <v>651</v>
      </c>
      <c r="C47" s="23">
        <v>50</v>
      </c>
      <c r="D47" s="49">
        <f t="shared" si="1"/>
        <v>41.65</v>
      </c>
      <c r="E47" s="42">
        <v>100</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41.65</v>
      </c>
    </row>
    <row r="48" spans="1:13" x14ac:dyDescent="0.25">
      <c r="A48" s="28" t="s">
        <v>645</v>
      </c>
      <c r="B48" s="41" t="s">
        <v>652</v>
      </c>
      <c r="C48" s="23">
        <v>60</v>
      </c>
      <c r="D48" s="49">
        <f t="shared" si="1"/>
        <v>49.98</v>
      </c>
      <c r="E48" s="42">
        <v>250</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49.98</v>
      </c>
    </row>
    <row r="49" spans="1:13" x14ac:dyDescent="0.25">
      <c r="A49" s="28" t="s">
        <v>646</v>
      </c>
      <c r="B49" s="41" t="s">
        <v>651</v>
      </c>
      <c r="C49" s="23">
        <v>50</v>
      </c>
      <c r="D49" s="49">
        <f t="shared" si="1"/>
        <v>41.65</v>
      </c>
      <c r="E49" s="42">
        <v>150</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41.65</v>
      </c>
    </row>
    <row r="50" spans="1:13" x14ac:dyDescent="0.25">
      <c r="A50" s="28" t="s">
        <v>647</v>
      </c>
      <c r="B50" s="41" t="s">
        <v>657</v>
      </c>
      <c r="C50" s="23">
        <v>65</v>
      </c>
      <c r="D50" s="49">
        <f t="shared" si="1"/>
        <v>54.144999999999996</v>
      </c>
      <c r="E50" s="42">
        <v>800</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54.144999999999996</v>
      </c>
    </row>
    <row r="51" spans="1:13" x14ac:dyDescent="0.25">
      <c r="A51" s="28" t="s">
        <v>648</v>
      </c>
      <c r="B51" s="41" t="s">
        <v>650</v>
      </c>
      <c r="C51" s="23">
        <v>80</v>
      </c>
      <c r="D51" s="49">
        <f t="shared" si="1"/>
        <v>66.64</v>
      </c>
      <c r="E51" s="42">
        <v>900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66.64</v>
      </c>
    </row>
    <row r="52" spans="1:13" ht="15.75" thickBot="1" x14ac:dyDescent="0.3">
      <c r="A52" s="30" t="s">
        <v>649</v>
      </c>
      <c r="B52" s="43" t="s">
        <v>651</v>
      </c>
      <c r="C52" s="32">
        <v>60</v>
      </c>
      <c r="D52" s="50">
        <f t="shared" si="1"/>
        <v>49.98</v>
      </c>
      <c r="E52" s="44">
        <v>400</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49.98</v>
      </c>
    </row>
    <row r="53" spans="1:13" x14ac:dyDescent="0.25">
      <c r="A53" s="5"/>
      <c r="C53" s="6"/>
      <c r="L53" s="21"/>
      <c r="M53" s="21"/>
    </row>
    <row r="54" spans="1:13" x14ac:dyDescent="0.25">
      <c r="M54" s="21"/>
    </row>
    <row r="55" spans="1:13" x14ac:dyDescent="0.25">
      <c r="M55" s="21"/>
    </row>
    <row r="56" spans="1:13" x14ac:dyDescent="0.25">
      <c r="M56" s="21"/>
    </row>
    <row r="57" spans="1:13" x14ac:dyDescent="0.25">
      <c r="M57" s="21"/>
    </row>
  </sheetData>
  <mergeCells count="1">
    <mergeCell ref="A1:E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F711D-0D53-406D-9E83-4714500833D9}">
  <dimension ref="A1:M57"/>
  <sheetViews>
    <sheetView workbookViewId="0">
      <selection activeCell="C3" sqref="C3"/>
    </sheetView>
  </sheetViews>
  <sheetFormatPr defaultRowHeight="15" x14ac:dyDescent="0.25"/>
  <cols>
    <col min="1" max="1" width="22.8554687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13" ht="21.75" thickBot="1" x14ac:dyDescent="0.3">
      <c r="A1" s="150" t="s">
        <v>507</v>
      </c>
      <c r="B1" s="151"/>
      <c r="C1" s="151"/>
      <c r="D1" s="151"/>
      <c r="E1" s="152"/>
    </row>
    <row r="2" spans="1:13" ht="30" customHeight="1" x14ac:dyDescent="0.25">
      <c r="A2" s="25" t="s">
        <v>18</v>
      </c>
      <c r="B2" s="26" t="s">
        <v>19</v>
      </c>
      <c r="C2" s="26" t="s">
        <v>21</v>
      </c>
      <c r="D2" s="48" t="s">
        <v>77</v>
      </c>
      <c r="E2" s="27" t="s">
        <v>20</v>
      </c>
      <c r="L2" s="6" t="s">
        <v>249</v>
      </c>
      <c r="M2" s="6" t="s">
        <v>250</v>
      </c>
    </row>
    <row r="3" spans="1:13" x14ac:dyDescent="0.25">
      <c r="A3" s="28" t="s">
        <v>489</v>
      </c>
      <c r="B3" t="s">
        <v>518</v>
      </c>
      <c r="C3" s="23">
        <v>4</v>
      </c>
      <c r="D3" s="49">
        <f t="shared" ref="D3:D29" si="0">MAX(L3,M3)</f>
        <v>30</v>
      </c>
      <c r="E3" s="35">
        <v>4300</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3.3319999999999999</v>
      </c>
    </row>
    <row r="4" spans="1:13" x14ac:dyDescent="0.25">
      <c r="A4" s="28" t="s">
        <v>490</v>
      </c>
      <c r="B4" s="22" t="s">
        <v>519</v>
      </c>
      <c r="C4" s="23">
        <v>18</v>
      </c>
      <c r="D4" s="49">
        <f t="shared" si="0"/>
        <v>30</v>
      </c>
      <c r="E4" s="29">
        <v>5000</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14.994</v>
      </c>
    </row>
    <row r="5" spans="1:13" x14ac:dyDescent="0.25">
      <c r="A5" s="28" t="s">
        <v>491</v>
      </c>
      <c r="B5" s="22" t="s">
        <v>520</v>
      </c>
      <c r="C5" s="23">
        <v>10</v>
      </c>
      <c r="D5" s="49">
        <f t="shared" si="0"/>
        <v>30</v>
      </c>
      <c r="E5" s="29">
        <v>3400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8.33</v>
      </c>
    </row>
    <row r="6" spans="1:13" x14ac:dyDescent="0.25">
      <c r="A6" s="28" t="s">
        <v>492</v>
      </c>
      <c r="B6" s="22" t="s">
        <v>65</v>
      </c>
      <c r="C6" s="23">
        <v>10</v>
      </c>
      <c r="D6" s="49">
        <f t="shared" si="0"/>
        <v>30</v>
      </c>
      <c r="E6" s="29">
        <v>5600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8.33</v>
      </c>
    </row>
    <row r="7" spans="1:13" x14ac:dyDescent="0.25">
      <c r="A7" s="28" t="s">
        <v>493</v>
      </c>
      <c r="B7" s="22" t="s">
        <v>65</v>
      </c>
      <c r="C7" s="23">
        <v>9</v>
      </c>
      <c r="D7" s="49">
        <f t="shared" si="0"/>
        <v>30</v>
      </c>
      <c r="E7" s="29">
        <v>5500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7.4969999999999999</v>
      </c>
    </row>
    <row r="8" spans="1:13" x14ac:dyDescent="0.25">
      <c r="A8" s="28" t="s">
        <v>494</v>
      </c>
      <c r="B8" s="22" t="s">
        <v>520</v>
      </c>
      <c r="C8" s="23">
        <v>10</v>
      </c>
      <c r="D8" s="49">
        <f t="shared" si="0"/>
        <v>30</v>
      </c>
      <c r="E8" s="29">
        <v>3100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8.33</v>
      </c>
    </row>
    <row r="9" spans="1:13" x14ac:dyDescent="0.25">
      <c r="A9" s="28" t="s">
        <v>495</v>
      </c>
      <c r="B9" s="22" t="s">
        <v>521</v>
      </c>
      <c r="C9" s="23">
        <v>10</v>
      </c>
      <c r="D9" s="49">
        <f t="shared" si="0"/>
        <v>30</v>
      </c>
      <c r="E9" s="29">
        <v>4300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8.33</v>
      </c>
    </row>
    <row r="10" spans="1:13" x14ac:dyDescent="0.25">
      <c r="A10" s="28" t="s">
        <v>496</v>
      </c>
      <c r="B10" s="22" t="s">
        <v>522</v>
      </c>
      <c r="C10" s="23">
        <v>9</v>
      </c>
      <c r="D10" s="49">
        <f t="shared" si="0"/>
        <v>30</v>
      </c>
      <c r="E10" s="29">
        <v>5000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7.4969999999999999</v>
      </c>
    </row>
    <row r="11" spans="1:13" x14ac:dyDescent="0.25">
      <c r="A11" s="28" t="s">
        <v>497</v>
      </c>
      <c r="B11" s="22" t="s">
        <v>523</v>
      </c>
      <c r="C11" s="23">
        <v>8</v>
      </c>
      <c r="D11" s="49">
        <f t="shared" si="0"/>
        <v>30</v>
      </c>
      <c r="E11" s="29">
        <v>4300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6.6639999999999997</v>
      </c>
    </row>
    <row r="12" spans="1:13" x14ac:dyDescent="0.25">
      <c r="A12" s="28" t="s">
        <v>498</v>
      </c>
      <c r="B12" s="22" t="s">
        <v>524</v>
      </c>
      <c r="C12" s="23">
        <v>10</v>
      </c>
      <c r="D12" s="49">
        <f t="shared" si="0"/>
        <v>30</v>
      </c>
      <c r="E12" s="29">
        <v>5600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8.33</v>
      </c>
    </row>
    <row r="13" spans="1:13" x14ac:dyDescent="0.25">
      <c r="A13" s="28" t="s">
        <v>27</v>
      </c>
      <c r="B13" s="22" t="s">
        <v>65</v>
      </c>
      <c r="C13" s="23">
        <v>10</v>
      </c>
      <c r="D13" s="49">
        <f t="shared" si="0"/>
        <v>30</v>
      </c>
      <c r="E13" s="29">
        <v>5300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8.33</v>
      </c>
    </row>
    <row r="14" spans="1:13" x14ac:dyDescent="0.25">
      <c r="A14" s="28" t="s">
        <v>499</v>
      </c>
      <c r="B14" s="22" t="s">
        <v>525</v>
      </c>
      <c r="C14" s="23">
        <v>13</v>
      </c>
      <c r="D14" s="49">
        <f t="shared" si="0"/>
        <v>30</v>
      </c>
      <c r="E14" s="29">
        <v>6500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10.828999999999999</v>
      </c>
    </row>
    <row r="15" spans="1:13" x14ac:dyDescent="0.25">
      <c r="A15" s="28" t="s">
        <v>500</v>
      </c>
      <c r="B15" s="22" t="s">
        <v>526</v>
      </c>
      <c r="C15" s="23">
        <v>16</v>
      </c>
      <c r="D15" s="49">
        <f t="shared" si="0"/>
        <v>30</v>
      </c>
      <c r="E15" s="29">
        <v>6450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13.327999999999999</v>
      </c>
    </row>
    <row r="16" spans="1:13" x14ac:dyDescent="0.25">
      <c r="A16" s="28" t="s">
        <v>501</v>
      </c>
      <c r="B16" s="22" t="s">
        <v>527</v>
      </c>
      <c r="C16" s="23">
        <v>10</v>
      </c>
      <c r="D16" s="49">
        <f t="shared" si="0"/>
        <v>30</v>
      </c>
      <c r="E16" s="29">
        <v>3600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8.33</v>
      </c>
    </row>
    <row r="17" spans="1:13" x14ac:dyDescent="0.25">
      <c r="A17" s="28" t="s">
        <v>502</v>
      </c>
      <c r="B17" s="22" t="s">
        <v>522</v>
      </c>
      <c r="C17" s="23">
        <v>18</v>
      </c>
      <c r="D17" s="49">
        <f t="shared" si="0"/>
        <v>30</v>
      </c>
      <c r="E17" s="29">
        <v>6200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14.994</v>
      </c>
    </row>
    <row r="18" spans="1:13" x14ac:dyDescent="0.25">
      <c r="A18" s="28" t="s">
        <v>503</v>
      </c>
      <c r="B18" s="22" t="s">
        <v>528</v>
      </c>
      <c r="C18" s="23">
        <v>9</v>
      </c>
      <c r="D18" s="49">
        <f t="shared" si="0"/>
        <v>30</v>
      </c>
      <c r="E18" s="29">
        <v>3900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7.4969999999999999</v>
      </c>
    </row>
    <row r="19" spans="1:13" x14ac:dyDescent="0.25">
      <c r="A19" s="28" t="s">
        <v>504</v>
      </c>
      <c r="B19" s="22" t="s">
        <v>239</v>
      </c>
      <c r="C19" s="23">
        <v>22</v>
      </c>
      <c r="D19" s="49">
        <f t="shared" si="0"/>
        <v>30</v>
      </c>
      <c r="E19" s="29">
        <v>6400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18.326000000000001</v>
      </c>
    </row>
    <row r="20" spans="1:13" x14ac:dyDescent="0.25">
      <c r="A20" s="28" t="s">
        <v>505</v>
      </c>
      <c r="B20" s="22" t="s">
        <v>505</v>
      </c>
      <c r="C20" s="23">
        <v>30</v>
      </c>
      <c r="D20" s="49">
        <f t="shared" si="0"/>
        <v>30</v>
      </c>
      <c r="E20" s="29">
        <v>7300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24.99</v>
      </c>
    </row>
    <row r="21" spans="1:13" x14ac:dyDescent="0.25">
      <c r="A21" s="28" t="s">
        <v>506</v>
      </c>
      <c r="B21" s="22" t="s">
        <v>529</v>
      </c>
      <c r="C21" s="23">
        <v>6</v>
      </c>
      <c r="D21" s="49">
        <f t="shared" si="0"/>
        <v>30</v>
      </c>
      <c r="E21" s="29">
        <v>4900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4.9979999999999993</v>
      </c>
    </row>
    <row r="22" spans="1:13" x14ac:dyDescent="0.25">
      <c r="A22" s="28" t="s">
        <v>508</v>
      </c>
      <c r="B22" s="36" t="s">
        <v>419</v>
      </c>
      <c r="C22" s="23">
        <v>9</v>
      </c>
      <c r="D22" s="49">
        <f t="shared" si="0"/>
        <v>30</v>
      </c>
      <c r="E22" s="29">
        <v>4000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7.4969999999999999</v>
      </c>
    </row>
    <row r="23" spans="1:13" x14ac:dyDescent="0.25">
      <c r="A23" s="28" t="s">
        <v>509</v>
      </c>
      <c r="B23" s="22" t="s">
        <v>530</v>
      </c>
      <c r="C23" s="23">
        <v>4</v>
      </c>
      <c r="D23" s="49">
        <f t="shared" si="0"/>
        <v>30</v>
      </c>
      <c r="E23" s="29">
        <v>6800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3.3319999999999999</v>
      </c>
    </row>
    <row r="24" spans="1:13" x14ac:dyDescent="0.25">
      <c r="A24" s="28" t="s">
        <v>510</v>
      </c>
      <c r="B24" s="22" t="s">
        <v>531</v>
      </c>
      <c r="C24" s="23">
        <v>14</v>
      </c>
      <c r="D24" s="49">
        <f t="shared" si="0"/>
        <v>30</v>
      </c>
      <c r="E24" s="29">
        <v>3600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11.661999999999999</v>
      </c>
    </row>
    <row r="25" spans="1:13" x14ac:dyDescent="0.25">
      <c r="A25" s="28" t="s">
        <v>511</v>
      </c>
      <c r="B25" s="22" t="s">
        <v>411</v>
      </c>
      <c r="C25" s="23">
        <v>25</v>
      </c>
      <c r="D25" s="49">
        <f t="shared" si="0"/>
        <v>30</v>
      </c>
      <c r="E25" s="29">
        <v>6700</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20.824999999999999</v>
      </c>
    </row>
    <row r="26" spans="1:13" x14ac:dyDescent="0.25">
      <c r="A26" s="28" t="s">
        <v>512</v>
      </c>
      <c r="B26" s="22" t="s">
        <v>512</v>
      </c>
      <c r="C26" s="23">
        <v>15</v>
      </c>
      <c r="D26" s="49">
        <f t="shared" si="0"/>
        <v>30</v>
      </c>
      <c r="E26" s="29">
        <v>7000</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12.494999999999999</v>
      </c>
    </row>
    <row r="27" spans="1:13" x14ac:dyDescent="0.25">
      <c r="A27" s="28" t="s">
        <v>513</v>
      </c>
      <c r="B27" s="22" t="s">
        <v>65</v>
      </c>
      <c r="C27" s="23">
        <v>9</v>
      </c>
      <c r="D27" s="49">
        <f t="shared" si="0"/>
        <v>30</v>
      </c>
      <c r="E27" s="29">
        <v>4900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7.4969999999999999</v>
      </c>
    </row>
    <row r="28" spans="1:13" x14ac:dyDescent="0.25">
      <c r="A28" s="28" t="s">
        <v>514</v>
      </c>
      <c r="B28" s="22" t="s">
        <v>514</v>
      </c>
      <c r="C28" s="23">
        <v>13</v>
      </c>
      <c r="D28" s="49">
        <f t="shared" si="0"/>
        <v>30</v>
      </c>
      <c r="E28" s="29">
        <v>4600</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10.828999999999999</v>
      </c>
    </row>
    <row r="29" spans="1:13" ht="15.75" thickBot="1" x14ac:dyDescent="0.3">
      <c r="A29" s="30" t="s">
        <v>515</v>
      </c>
      <c r="B29" s="31" t="s">
        <v>525</v>
      </c>
      <c r="C29" s="32">
        <v>14</v>
      </c>
      <c r="D29" s="50">
        <f t="shared" si="0"/>
        <v>30</v>
      </c>
      <c r="E29" s="33">
        <v>6300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11.661999999999999</v>
      </c>
    </row>
    <row r="30" spans="1:13" x14ac:dyDescent="0.25">
      <c r="A30" s="5"/>
      <c r="B30" s="5"/>
      <c r="C30" s="6"/>
      <c r="E30" s="5"/>
      <c r="L30" s="21"/>
      <c r="M30" s="21"/>
    </row>
    <row r="31" spans="1:13" x14ac:dyDescent="0.25">
      <c r="A31" s="5"/>
      <c r="B31" s="5"/>
      <c r="C31" s="6"/>
      <c r="E31" s="5"/>
      <c r="L31" s="21"/>
      <c r="M31" s="21"/>
    </row>
    <row r="32" spans="1:13" x14ac:dyDescent="0.25">
      <c r="A32" s="5"/>
      <c r="B32" s="5"/>
      <c r="C32" s="6"/>
      <c r="E32" s="5"/>
      <c r="L32" s="21"/>
      <c r="M32" s="21"/>
    </row>
    <row r="33" spans="1:13" x14ac:dyDescent="0.25">
      <c r="A33" s="5"/>
      <c r="B33" s="5"/>
      <c r="C33" s="6"/>
      <c r="E33" s="5"/>
      <c r="L33" s="21"/>
      <c r="M33" s="21"/>
    </row>
    <row r="34" spans="1:13" x14ac:dyDescent="0.25">
      <c r="A34" s="5"/>
      <c r="B34" s="5"/>
      <c r="C34" s="6"/>
      <c r="E34" s="5"/>
      <c r="L34" s="21"/>
      <c r="M34" s="21"/>
    </row>
    <row r="35" spans="1:13" x14ac:dyDescent="0.25">
      <c r="A35" s="5"/>
      <c r="B35" s="5"/>
      <c r="C35" s="6"/>
      <c r="E35" s="5"/>
      <c r="L35" s="21"/>
      <c r="M35" s="21"/>
    </row>
    <row r="36" spans="1:13" x14ac:dyDescent="0.25">
      <c r="A36" s="5"/>
      <c r="B36" s="5"/>
      <c r="C36" s="6"/>
      <c r="E36" s="5"/>
      <c r="L36" s="21"/>
      <c r="M36" s="21"/>
    </row>
    <row r="37" spans="1:13" x14ac:dyDescent="0.25">
      <c r="A37" s="5"/>
      <c r="B37" s="5"/>
      <c r="C37" s="6"/>
      <c r="E37" s="5"/>
      <c r="L37" s="21"/>
      <c r="M37" s="21"/>
    </row>
    <row r="38" spans="1:13" x14ac:dyDescent="0.25">
      <c r="A38" s="5"/>
      <c r="B38" s="5"/>
      <c r="C38" s="6"/>
      <c r="E38" s="5"/>
      <c r="L38" s="21"/>
      <c r="M38" s="21"/>
    </row>
    <row r="39" spans="1:13" x14ac:dyDescent="0.25">
      <c r="A39" s="5"/>
      <c r="B39" s="5"/>
      <c r="C39" s="6"/>
      <c r="E39" s="5"/>
      <c r="L39" s="21"/>
      <c r="M39" s="21"/>
    </row>
    <row r="40" spans="1:13" x14ac:dyDescent="0.25">
      <c r="A40" s="5"/>
      <c r="B40" s="5"/>
      <c r="C40" s="6"/>
      <c r="E40" s="5"/>
      <c r="L40" s="21"/>
      <c r="M40" s="21"/>
    </row>
    <row r="41" spans="1:13" x14ac:dyDescent="0.25">
      <c r="A41" s="5"/>
      <c r="C41" s="6"/>
      <c r="E41" s="5"/>
      <c r="L41" s="21"/>
      <c r="M41" s="21"/>
    </row>
    <row r="42" spans="1:13" x14ac:dyDescent="0.25">
      <c r="A42" s="5"/>
      <c r="C42" s="6"/>
      <c r="L42" s="21"/>
      <c r="M42" s="21"/>
    </row>
    <row r="43" spans="1:13" x14ac:dyDescent="0.25">
      <c r="A43" s="5"/>
      <c r="C43" s="6"/>
      <c r="L43" s="21"/>
      <c r="M43" s="21"/>
    </row>
    <row r="44" spans="1:13" x14ac:dyDescent="0.25">
      <c r="A44" s="5"/>
      <c r="C44" s="6"/>
      <c r="L44" s="21"/>
      <c r="M44" s="21"/>
    </row>
    <row r="45" spans="1:13" x14ac:dyDescent="0.25">
      <c r="A45" s="5"/>
      <c r="C45" s="6"/>
      <c r="L45" s="21"/>
      <c r="M45" s="21"/>
    </row>
    <row r="46" spans="1:13" x14ac:dyDescent="0.25">
      <c r="A46" s="5"/>
      <c r="C46" s="6"/>
      <c r="L46" s="21"/>
      <c r="M46" s="21"/>
    </row>
    <row r="47" spans="1:13" x14ac:dyDescent="0.25">
      <c r="A47" s="5"/>
      <c r="C47" s="6"/>
      <c r="L47" s="21"/>
      <c r="M47" s="21"/>
    </row>
    <row r="48" spans="1:13" x14ac:dyDescent="0.25">
      <c r="A48" s="5"/>
      <c r="C48" s="6"/>
      <c r="L48" s="21"/>
      <c r="M48" s="21"/>
    </row>
    <row r="49" spans="1:13" x14ac:dyDescent="0.25">
      <c r="A49" s="5"/>
      <c r="C49" s="6"/>
      <c r="L49" s="21"/>
      <c r="M49" s="21"/>
    </row>
    <row r="50" spans="1:13" x14ac:dyDescent="0.25">
      <c r="A50" s="5"/>
      <c r="C50" s="6"/>
      <c r="L50" s="21"/>
      <c r="M50" s="21"/>
    </row>
    <row r="51" spans="1:13" x14ac:dyDescent="0.25">
      <c r="A51" s="5"/>
      <c r="C51" s="6"/>
      <c r="L51" s="21"/>
      <c r="M51" s="21"/>
    </row>
    <row r="52" spans="1:13" x14ac:dyDescent="0.25">
      <c r="A52" s="5"/>
      <c r="C52" s="6"/>
      <c r="L52" s="21"/>
      <c r="M52" s="21"/>
    </row>
    <row r="53" spans="1:13" x14ac:dyDescent="0.25">
      <c r="A53" s="5"/>
      <c r="C53" s="6"/>
      <c r="L53" s="21"/>
      <c r="M53" s="21"/>
    </row>
    <row r="54" spans="1:13" x14ac:dyDescent="0.25">
      <c r="A54" s="5"/>
      <c r="C54" s="6"/>
      <c r="L54" s="21"/>
      <c r="M54" s="21"/>
    </row>
    <row r="55" spans="1:13" x14ac:dyDescent="0.25">
      <c r="A55" s="5"/>
      <c r="C55" s="6"/>
      <c r="L55" s="21"/>
      <c r="M55" s="21"/>
    </row>
    <row r="56" spans="1:13" x14ac:dyDescent="0.25">
      <c r="A56" s="5"/>
      <c r="C56" s="6"/>
      <c r="L56" s="21"/>
      <c r="M56" s="21"/>
    </row>
    <row r="57" spans="1:13" x14ac:dyDescent="0.25">
      <c r="A57" s="5"/>
      <c r="C57" s="6"/>
      <c r="L57" s="21"/>
      <c r="M57" s="21"/>
    </row>
  </sheetData>
  <mergeCells count="1">
    <mergeCell ref="A1:E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6052-3FF3-4118-A9F9-A2D1581CF798}">
  <dimension ref="A1:M58"/>
  <sheetViews>
    <sheetView workbookViewId="0">
      <selection activeCell="C3" sqref="C3"/>
    </sheetView>
  </sheetViews>
  <sheetFormatPr defaultRowHeight="15" x14ac:dyDescent="0.25"/>
  <cols>
    <col min="1" max="1" width="22.8554687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13" ht="21.75" thickBot="1" x14ac:dyDescent="0.3">
      <c r="A1" s="150" t="s">
        <v>532</v>
      </c>
      <c r="B1" s="151"/>
      <c r="C1" s="151"/>
      <c r="D1" s="151"/>
      <c r="E1" s="152"/>
    </row>
    <row r="2" spans="1:13" ht="30" customHeight="1" x14ac:dyDescent="0.25">
      <c r="A2" s="25" t="s">
        <v>18</v>
      </c>
      <c r="B2" s="26" t="s">
        <v>19</v>
      </c>
      <c r="C2" s="26" t="s">
        <v>21</v>
      </c>
      <c r="D2" s="48" t="s">
        <v>77</v>
      </c>
      <c r="E2" s="27" t="s">
        <v>20</v>
      </c>
      <c r="L2" s="6" t="s">
        <v>249</v>
      </c>
      <c r="M2" s="6" t="s">
        <v>250</v>
      </c>
    </row>
    <row r="3" spans="1:13" x14ac:dyDescent="0.25">
      <c r="A3" s="28" t="s">
        <v>533</v>
      </c>
      <c r="B3" t="s">
        <v>582</v>
      </c>
      <c r="C3" s="23">
        <v>17</v>
      </c>
      <c r="D3" s="49">
        <f t="shared" ref="D3:D34" si="0">MAX(L3,M3)</f>
        <v>30</v>
      </c>
      <c r="E3" s="35">
        <v>2840</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14.161</v>
      </c>
    </row>
    <row r="4" spans="1:13" x14ac:dyDescent="0.25">
      <c r="A4" s="28" t="s">
        <v>534</v>
      </c>
      <c r="B4" s="22" t="s">
        <v>248</v>
      </c>
      <c r="C4" s="23">
        <v>13</v>
      </c>
      <c r="D4" s="49">
        <f t="shared" si="0"/>
        <v>30</v>
      </c>
      <c r="E4" s="29">
        <v>1990</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10.828999999999999</v>
      </c>
    </row>
    <row r="5" spans="1:13" x14ac:dyDescent="0.25">
      <c r="A5" s="28" t="s">
        <v>535</v>
      </c>
      <c r="B5" s="22" t="s">
        <v>583</v>
      </c>
      <c r="C5" s="23">
        <v>11</v>
      </c>
      <c r="D5" s="49">
        <f t="shared" si="0"/>
        <v>30</v>
      </c>
      <c r="E5" s="29">
        <v>10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9.1630000000000003</v>
      </c>
    </row>
    <row r="6" spans="1:13" x14ac:dyDescent="0.25">
      <c r="A6" s="28" t="s">
        <v>536</v>
      </c>
      <c r="B6" s="22" t="s">
        <v>344</v>
      </c>
      <c r="C6" s="23">
        <v>17</v>
      </c>
      <c r="D6" s="49">
        <f t="shared" si="0"/>
        <v>30</v>
      </c>
      <c r="E6" s="29">
        <v>3450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14.161</v>
      </c>
    </row>
    <row r="7" spans="1:13" x14ac:dyDescent="0.25">
      <c r="A7" s="28" t="s">
        <v>537</v>
      </c>
      <c r="B7" s="22" t="s">
        <v>584</v>
      </c>
      <c r="C7" s="23">
        <v>0</v>
      </c>
      <c r="D7" s="49">
        <f t="shared" si="0"/>
        <v>30</v>
      </c>
      <c r="E7" s="29">
        <v>20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0</v>
      </c>
    </row>
    <row r="8" spans="1:13" x14ac:dyDescent="0.25">
      <c r="A8" s="28" t="s">
        <v>538</v>
      </c>
      <c r="B8" s="22" t="s">
        <v>585</v>
      </c>
      <c r="C8" s="23">
        <v>20</v>
      </c>
      <c r="D8" s="49">
        <f t="shared" si="0"/>
        <v>30</v>
      </c>
      <c r="E8" s="29">
        <v>3660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16.66</v>
      </c>
    </row>
    <row r="9" spans="1:13" x14ac:dyDescent="0.25">
      <c r="A9" s="28" t="s">
        <v>539</v>
      </c>
      <c r="B9" s="22" t="s">
        <v>585</v>
      </c>
      <c r="C9" s="23">
        <v>19</v>
      </c>
      <c r="D9" s="49">
        <f t="shared" si="0"/>
        <v>30</v>
      </c>
      <c r="E9" s="29">
        <v>970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15.827</v>
      </c>
    </row>
    <row r="10" spans="1:13" x14ac:dyDescent="0.25">
      <c r="A10" s="28" t="s">
        <v>540</v>
      </c>
      <c r="B10" s="22" t="s">
        <v>556</v>
      </c>
      <c r="C10" s="23">
        <v>44</v>
      </c>
      <c r="D10" s="49">
        <f t="shared" si="0"/>
        <v>36.652000000000001</v>
      </c>
      <c r="E10" s="29">
        <v>60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36.652000000000001</v>
      </c>
    </row>
    <row r="11" spans="1:13" x14ac:dyDescent="0.25">
      <c r="A11" s="28" t="s">
        <v>541</v>
      </c>
      <c r="B11" s="22" t="s">
        <v>521</v>
      </c>
      <c r="C11" s="23">
        <v>1</v>
      </c>
      <c r="D11" s="49">
        <f t="shared" si="0"/>
        <v>30</v>
      </c>
      <c r="E11" s="29">
        <v>50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0.83299999999999996</v>
      </c>
    </row>
    <row r="12" spans="1:13" x14ac:dyDescent="0.25">
      <c r="A12" s="28" t="s">
        <v>542</v>
      </c>
      <c r="B12" s="22" t="s">
        <v>586</v>
      </c>
      <c r="C12" s="23">
        <v>20</v>
      </c>
      <c r="D12" s="49">
        <f t="shared" si="0"/>
        <v>30</v>
      </c>
      <c r="E12" s="29">
        <v>4140</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16.66</v>
      </c>
    </row>
    <row r="13" spans="1:13" x14ac:dyDescent="0.25">
      <c r="A13" s="28" t="s">
        <v>543</v>
      </c>
      <c r="B13" s="22" t="s">
        <v>479</v>
      </c>
      <c r="C13" s="23">
        <v>14</v>
      </c>
      <c r="D13" s="49">
        <f t="shared" si="0"/>
        <v>30</v>
      </c>
      <c r="E13" s="29">
        <v>230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11.661999999999999</v>
      </c>
    </row>
    <row r="14" spans="1:13" x14ac:dyDescent="0.25">
      <c r="A14" s="28" t="s">
        <v>544</v>
      </c>
      <c r="B14" s="22" t="s">
        <v>587</v>
      </c>
      <c r="C14" s="23">
        <v>461</v>
      </c>
      <c r="D14" s="49">
        <f t="shared" si="0"/>
        <v>384.01299999999998</v>
      </c>
      <c r="E14" s="29">
        <v>6470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384.01299999999998</v>
      </c>
    </row>
    <row r="15" spans="1:13" x14ac:dyDescent="0.25">
      <c r="A15" s="28" t="s">
        <v>545</v>
      </c>
      <c r="B15" s="22" t="s">
        <v>587</v>
      </c>
      <c r="C15" s="23">
        <v>154</v>
      </c>
      <c r="D15" s="49">
        <f t="shared" si="0"/>
        <v>128.28199999999998</v>
      </c>
      <c r="E15" s="29">
        <v>4760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128.28199999999998</v>
      </c>
    </row>
    <row r="16" spans="1:13" x14ac:dyDescent="0.25">
      <c r="A16" s="28" t="s">
        <v>546</v>
      </c>
      <c r="B16" s="22" t="s">
        <v>588</v>
      </c>
      <c r="C16" s="23">
        <v>20</v>
      </c>
      <c r="D16" s="49">
        <f t="shared" si="0"/>
        <v>30</v>
      </c>
      <c r="E16" s="29">
        <v>290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16.66</v>
      </c>
    </row>
    <row r="17" spans="1:13" x14ac:dyDescent="0.25">
      <c r="A17" s="28" t="s">
        <v>547</v>
      </c>
      <c r="B17" s="22" t="s">
        <v>589</v>
      </c>
      <c r="C17" s="23">
        <v>78</v>
      </c>
      <c r="D17" s="49">
        <f t="shared" si="0"/>
        <v>64.974000000000004</v>
      </c>
      <c r="E17" s="29">
        <v>1730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64.974000000000004</v>
      </c>
    </row>
    <row r="18" spans="1:13" x14ac:dyDescent="0.25">
      <c r="A18" s="28" t="s">
        <v>548</v>
      </c>
      <c r="B18" s="22" t="s">
        <v>587</v>
      </c>
      <c r="C18" s="23">
        <v>10</v>
      </c>
      <c r="D18" s="49">
        <f t="shared" si="0"/>
        <v>30</v>
      </c>
      <c r="E18" s="29">
        <v>4160</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8.33</v>
      </c>
    </row>
    <row r="19" spans="1:13" x14ac:dyDescent="0.25">
      <c r="A19" s="28" t="s">
        <v>549</v>
      </c>
      <c r="B19" s="22" t="s">
        <v>590</v>
      </c>
      <c r="C19" s="23">
        <v>26</v>
      </c>
      <c r="D19" s="49">
        <f t="shared" si="0"/>
        <v>30</v>
      </c>
      <c r="E19" s="29">
        <v>3280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21.657999999999998</v>
      </c>
    </row>
    <row r="20" spans="1:13" x14ac:dyDescent="0.25">
      <c r="A20" s="28" t="s">
        <v>550</v>
      </c>
      <c r="B20" s="22" t="s">
        <v>591</v>
      </c>
      <c r="C20" s="23">
        <v>12</v>
      </c>
      <c r="D20" s="49">
        <f t="shared" si="0"/>
        <v>30</v>
      </c>
      <c r="E20" s="29">
        <v>360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9.9959999999999987</v>
      </c>
    </row>
    <row r="21" spans="1:13" x14ac:dyDescent="0.25">
      <c r="A21" s="28" t="s">
        <v>551</v>
      </c>
      <c r="B21" s="22" t="s">
        <v>74</v>
      </c>
      <c r="C21" s="23">
        <v>17</v>
      </c>
      <c r="D21" s="49">
        <f t="shared" si="0"/>
        <v>30</v>
      </c>
      <c r="E21" s="29">
        <v>180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14.161</v>
      </c>
    </row>
    <row r="22" spans="1:13" x14ac:dyDescent="0.25">
      <c r="A22" s="28" t="s">
        <v>552</v>
      </c>
      <c r="B22" s="36" t="s">
        <v>592</v>
      </c>
      <c r="C22" s="23">
        <v>21</v>
      </c>
      <c r="D22" s="49">
        <f t="shared" si="0"/>
        <v>30</v>
      </c>
      <c r="E22" s="29">
        <v>2650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17.492999999999999</v>
      </c>
    </row>
    <row r="23" spans="1:13" x14ac:dyDescent="0.25">
      <c r="A23" s="28" t="s">
        <v>553</v>
      </c>
      <c r="B23" s="22" t="s">
        <v>593</v>
      </c>
      <c r="C23" s="23">
        <v>321</v>
      </c>
      <c r="D23" s="49">
        <f t="shared" si="0"/>
        <v>267.39299999999997</v>
      </c>
      <c r="E23" s="29">
        <v>3980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267.39299999999997</v>
      </c>
    </row>
    <row r="24" spans="1:13" x14ac:dyDescent="0.25">
      <c r="A24" s="28" t="s">
        <v>554</v>
      </c>
      <c r="B24" s="22" t="s">
        <v>594</v>
      </c>
      <c r="C24" s="23">
        <v>6</v>
      </c>
      <c r="D24" s="49">
        <f t="shared" si="0"/>
        <v>30</v>
      </c>
      <c r="E24" s="29">
        <v>920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4.9979999999999993</v>
      </c>
    </row>
    <row r="25" spans="1:13" x14ac:dyDescent="0.25">
      <c r="A25" s="28" t="s">
        <v>555</v>
      </c>
      <c r="B25" s="22" t="s">
        <v>595</v>
      </c>
      <c r="C25" s="23">
        <v>17</v>
      </c>
      <c r="D25" s="49">
        <f t="shared" si="0"/>
        <v>30</v>
      </c>
      <c r="E25" s="29">
        <v>1880</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14.161</v>
      </c>
    </row>
    <row r="26" spans="1:13" x14ac:dyDescent="0.25">
      <c r="A26" s="28" t="s">
        <v>556</v>
      </c>
      <c r="B26" s="22" t="s">
        <v>556</v>
      </c>
      <c r="C26" s="23">
        <v>43</v>
      </c>
      <c r="D26" s="49">
        <f t="shared" si="0"/>
        <v>35.818999999999996</v>
      </c>
      <c r="E26" s="29">
        <v>500</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35.818999999999996</v>
      </c>
    </row>
    <row r="27" spans="1:13" x14ac:dyDescent="0.25">
      <c r="A27" s="28" t="s">
        <v>557</v>
      </c>
      <c r="B27" s="22" t="s">
        <v>344</v>
      </c>
      <c r="C27" s="23">
        <v>8</v>
      </c>
      <c r="D27" s="49">
        <f t="shared" si="0"/>
        <v>30</v>
      </c>
      <c r="E27" s="29">
        <v>500</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6.6639999999999997</v>
      </c>
    </row>
    <row r="28" spans="1:13" x14ac:dyDescent="0.25">
      <c r="A28" s="28" t="s">
        <v>558</v>
      </c>
      <c r="B28" s="22" t="s">
        <v>590</v>
      </c>
      <c r="C28" s="23">
        <v>16</v>
      </c>
      <c r="D28" s="49">
        <f t="shared" si="0"/>
        <v>30</v>
      </c>
      <c r="E28" s="29">
        <v>4020</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13.327999999999999</v>
      </c>
    </row>
    <row r="29" spans="1:13" x14ac:dyDescent="0.25">
      <c r="A29" s="28" t="s">
        <v>559</v>
      </c>
      <c r="B29" s="22" t="s">
        <v>587</v>
      </c>
      <c r="C29" s="23">
        <v>23</v>
      </c>
      <c r="D29" s="49">
        <f t="shared" si="0"/>
        <v>30</v>
      </c>
      <c r="E29" s="29">
        <v>4100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19.158999999999999</v>
      </c>
    </row>
    <row r="30" spans="1:13" x14ac:dyDescent="0.25">
      <c r="A30" s="28" t="s">
        <v>560</v>
      </c>
      <c r="B30" s="22" t="s">
        <v>596</v>
      </c>
      <c r="C30" s="23">
        <v>15</v>
      </c>
      <c r="D30" s="49">
        <f t="shared" si="0"/>
        <v>30</v>
      </c>
      <c r="E30" s="29">
        <v>2750</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12.494999999999999</v>
      </c>
    </row>
    <row r="31" spans="1:13" x14ac:dyDescent="0.25">
      <c r="A31" s="37" t="s">
        <v>561</v>
      </c>
      <c r="B31" s="38" t="s">
        <v>231</v>
      </c>
      <c r="C31" s="39">
        <v>47</v>
      </c>
      <c r="D31" s="49">
        <f t="shared" si="0"/>
        <v>39.150999999999996</v>
      </c>
      <c r="E31" s="29">
        <v>4780</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39.150999999999996</v>
      </c>
    </row>
    <row r="32" spans="1:13" x14ac:dyDescent="0.25">
      <c r="A32" s="28" t="s">
        <v>562</v>
      </c>
      <c r="B32" s="22" t="s">
        <v>191</v>
      </c>
      <c r="C32" s="23">
        <v>17</v>
      </c>
      <c r="D32" s="49">
        <f t="shared" si="0"/>
        <v>30</v>
      </c>
      <c r="E32" s="40">
        <v>2440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14.161</v>
      </c>
    </row>
    <row r="33" spans="1:13" x14ac:dyDescent="0.25">
      <c r="A33" s="28" t="s">
        <v>563</v>
      </c>
      <c r="B33" s="36" t="s">
        <v>248</v>
      </c>
      <c r="C33" s="23">
        <v>4</v>
      </c>
      <c r="D33" s="49">
        <f t="shared" si="0"/>
        <v>30</v>
      </c>
      <c r="E33" s="29">
        <v>1460</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3.3319999999999999</v>
      </c>
    </row>
    <row r="34" spans="1:13" x14ac:dyDescent="0.25">
      <c r="A34" s="28" t="s">
        <v>564</v>
      </c>
      <c r="B34" s="22" t="s">
        <v>592</v>
      </c>
      <c r="C34" s="23">
        <v>46</v>
      </c>
      <c r="D34" s="49">
        <f t="shared" si="0"/>
        <v>38.317999999999998</v>
      </c>
      <c r="E34" s="29">
        <v>3980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38.317999999999998</v>
      </c>
    </row>
    <row r="35" spans="1:13" x14ac:dyDescent="0.25">
      <c r="A35" s="28" t="s">
        <v>565</v>
      </c>
      <c r="B35" s="22" t="s">
        <v>411</v>
      </c>
      <c r="C35" s="23">
        <v>2</v>
      </c>
      <c r="D35" s="49">
        <f t="shared" ref="D35:D52" si="1">MAX(L35,M35)</f>
        <v>30</v>
      </c>
      <c r="E35" s="29">
        <v>140</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1.6659999999999999</v>
      </c>
    </row>
    <row r="36" spans="1:13" x14ac:dyDescent="0.25">
      <c r="A36" s="28" t="s">
        <v>566</v>
      </c>
      <c r="B36" s="22" t="s">
        <v>584</v>
      </c>
      <c r="C36" s="23">
        <v>2</v>
      </c>
      <c r="D36" s="49">
        <f t="shared" si="1"/>
        <v>30</v>
      </c>
      <c r="E36" s="29">
        <v>10</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1.6659999999999999</v>
      </c>
    </row>
    <row r="37" spans="1:13" x14ac:dyDescent="0.25">
      <c r="A37" s="28" t="s">
        <v>567</v>
      </c>
      <c r="B37" s="22" t="s">
        <v>597</v>
      </c>
      <c r="C37" s="23">
        <v>15</v>
      </c>
      <c r="D37" s="49">
        <f t="shared" si="1"/>
        <v>30</v>
      </c>
      <c r="E37" s="29">
        <v>2140</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12.494999999999999</v>
      </c>
    </row>
    <row r="38" spans="1:13" x14ac:dyDescent="0.25">
      <c r="A38" s="28" t="s">
        <v>568</v>
      </c>
      <c r="B38" s="22" t="s">
        <v>556</v>
      </c>
      <c r="C38" s="23">
        <v>79</v>
      </c>
      <c r="D38" s="49">
        <f t="shared" si="1"/>
        <v>65.807000000000002</v>
      </c>
      <c r="E38" s="29">
        <v>1720</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65.807000000000002</v>
      </c>
    </row>
    <row r="39" spans="1:13" x14ac:dyDescent="0.25">
      <c r="A39" s="28" t="s">
        <v>569</v>
      </c>
      <c r="B39" s="22" t="s">
        <v>598</v>
      </c>
      <c r="C39" s="23">
        <v>30</v>
      </c>
      <c r="D39" s="49">
        <f t="shared" si="1"/>
        <v>30</v>
      </c>
      <c r="E39" s="29">
        <v>1040</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24.99</v>
      </c>
    </row>
    <row r="40" spans="1:13" x14ac:dyDescent="0.25">
      <c r="A40" s="28" t="s">
        <v>570</v>
      </c>
      <c r="B40" s="22" t="s">
        <v>599</v>
      </c>
      <c r="C40" s="23">
        <v>11</v>
      </c>
      <c r="D40" s="49">
        <f t="shared" si="1"/>
        <v>30</v>
      </c>
      <c r="E40" s="29">
        <v>30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9.1630000000000003</v>
      </c>
    </row>
    <row r="41" spans="1:13" x14ac:dyDescent="0.25">
      <c r="A41" s="28" t="s">
        <v>571</v>
      </c>
      <c r="B41" s="22" t="s">
        <v>600</v>
      </c>
      <c r="C41" s="23">
        <v>15</v>
      </c>
      <c r="D41" s="49">
        <f t="shared" si="1"/>
        <v>30</v>
      </c>
      <c r="E41" s="29">
        <v>2840</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12.494999999999999</v>
      </c>
    </row>
    <row r="42" spans="1:13" x14ac:dyDescent="0.25">
      <c r="A42" s="28" t="s">
        <v>456</v>
      </c>
      <c r="B42" s="41" t="s">
        <v>585</v>
      </c>
      <c r="C42" s="23">
        <v>16</v>
      </c>
      <c r="D42" s="49">
        <f t="shared" si="1"/>
        <v>30</v>
      </c>
      <c r="E42" s="42">
        <v>3060</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13.327999999999999</v>
      </c>
    </row>
    <row r="43" spans="1:13" x14ac:dyDescent="0.25">
      <c r="A43" s="28" t="s">
        <v>572</v>
      </c>
      <c r="B43" s="41" t="s">
        <v>202</v>
      </c>
      <c r="C43" s="23">
        <v>7</v>
      </c>
      <c r="D43" s="49">
        <f t="shared" si="1"/>
        <v>30</v>
      </c>
      <c r="E43" s="42">
        <v>420</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5.8309999999999995</v>
      </c>
    </row>
    <row r="44" spans="1:13" x14ac:dyDescent="0.25">
      <c r="A44" s="28" t="s">
        <v>573</v>
      </c>
      <c r="B44" s="41" t="s">
        <v>589</v>
      </c>
      <c r="C44" s="23">
        <v>9</v>
      </c>
      <c r="D44" s="49">
        <f t="shared" si="1"/>
        <v>30</v>
      </c>
      <c r="E44" s="42">
        <v>200</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7.4969999999999999</v>
      </c>
    </row>
    <row r="45" spans="1:13" x14ac:dyDescent="0.25">
      <c r="A45" s="28" t="s">
        <v>574</v>
      </c>
      <c r="B45" s="41" t="s">
        <v>601</v>
      </c>
      <c r="C45" s="23">
        <v>481</v>
      </c>
      <c r="D45" s="49">
        <f t="shared" si="1"/>
        <v>400.673</v>
      </c>
      <c r="E45" s="42">
        <v>4750</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400.673</v>
      </c>
    </row>
    <row r="46" spans="1:13" x14ac:dyDescent="0.25">
      <c r="A46" s="28" t="s">
        <v>575</v>
      </c>
      <c r="B46" s="41" t="s">
        <v>583</v>
      </c>
      <c r="C46" s="23">
        <v>3</v>
      </c>
      <c r="D46" s="49">
        <f t="shared" si="1"/>
        <v>30</v>
      </c>
      <c r="E46" s="42">
        <v>10</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2.4989999999999997</v>
      </c>
    </row>
    <row r="47" spans="1:13" x14ac:dyDescent="0.25">
      <c r="A47" s="28" t="s">
        <v>576</v>
      </c>
      <c r="B47" s="41" t="s">
        <v>585</v>
      </c>
      <c r="C47" s="23">
        <v>30</v>
      </c>
      <c r="D47" s="49">
        <f t="shared" si="1"/>
        <v>30</v>
      </c>
      <c r="E47" s="42">
        <v>3180</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24.99</v>
      </c>
    </row>
    <row r="48" spans="1:13" x14ac:dyDescent="0.25">
      <c r="A48" s="28" t="s">
        <v>577</v>
      </c>
      <c r="B48" s="41" t="s">
        <v>582</v>
      </c>
      <c r="C48" s="23">
        <v>24</v>
      </c>
      <c r="D48" s="49">
        <f t="shared" si="1"/>
        <v>30</v>
      </c>
      <c r="E48" s="42">
        <v>100</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19.991999999999997</v>
      </c>
    </row>
    <row r="49" spans="1:13" x14ac:dyDescent="0.25">
      <c r="A49" s="28" t="s">
        <v>578</v>
      </c>
      <c r="B49" s="41" t="s">
        <v>599</v>
      </c>
      <c r="C49" s="23">
        <v>12</v>
      </c>
      <c r="D49" s="49">
        <f t="shared" si="1"/>
        <v>30</v>
      </c>
      <c r="E49" s="42">
        <v>30</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9.9959999999999987</v>
      </c>
    </row>
    <row r="50" spans="1:13" x14ac:dyDescent="0.25">
      <c r="A50" s="28" t="s">
        <v>579</v>
      </c>
      <c r="B50" s="41" t="s">
        <v>597</v>
      </c>
      <c r="C50" s="23">
        <v>17</v>
      </c>
      <c r="D50" s="49">
        <f t="shared" si="1"/>
        <v>30</v>
      </c>
      <c r="E50" s="42">
        <v>2240</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14.161</v>
      </c>
    </row>
    <row r="51" spans="1:13" x14ac:dyDescent="0.25">
      <c r="A51" s="37" t="s">
        <v>580</v>
      </c>
      <c r="B51" s="41" t="s">
        <v>602</v>
      </c>
      <c r="C51" s="39">
        <v>35</v>
      </c>
      <c r="D51" s="52">
        <f t="shared" si="1"/>
        <v>30</v>
      </c>
      <c r="E51" s="42">
        <v>840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29.154999999999998</v>
      </c>
    </row>
    <row r="52" spans="1:13" ht="15.75" thickBot="1" x14ac:dyDescent="0.3">
      <c r="A52" s="30" t="s">
        <v>581</v>
      </c>
      <c r="B52" s="43" t="s">
        <v>593</v>
      </c>
      <c r="C52" s="32">
        <v>70</v>
      </c>
      <c r="D52" s="50">
        <f t="shared" si="1"/>
        <v>58.309999999999995</v>
      </c>
      <c r="E52" s="44">
        <v>1440</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58.309999999999995</v>
      </c>
    </row>
    <row r="53" spans="1:13" x14ac:dyDescent="0.25">
      <c r="A53" s="5"/>
      <c r="C53" s="6"/>
      <c r="L53" s="21"/>
      <c r="M53" s="21"/>
    </row>
    <row r="54" spans="1:13" x14ac:dyDescent="0.25">
      <c r="A54" s="5"/>
      <c r="C54" s="6"/>
      <c r="L54" s="21"/>
      <c r="M54" s="21"/>
    </row>
    <row r="55" spans="1:13" x14ac:dyDescent="0.25">
      <c r="A55" s="5"/>
      <c r="C55" s="6"/>
      <c r="L55" s="21"/>
      <c r="M55" s="21"/>
    </row>
    <row r="56" spans="1:13" x14ac:dyDescent="0.25">
      <c r="A56" s="5"/>
      <c r="C56" s="6"/>
      <c r="L56" s="21"/>
      <c r="M56" s="21"/>
    </row>
    <row r="57" spans="1:13" x14ac:dyDescent="0.25">
      <c r="A57" s="5"/>
      <c r="C57" s="6"/>
      <c r="L57" s="21"/>
      <c r="M57" s="21"/>
    </row>
    <row r="58" spans="1:13" x14ac:dyDescent="0.25">
      <c r="A58" s="5"/>
      <c r="C58" s="6"/>
      <c r="L58" s="6"/>
      <c r="M58" s="6"/>
    </row>
  </sheetData>
  <mergeCells count="1">
    <mergeCell ref="A1:E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7D07-7243-4749-95F2-E95CB87CFAC2}">
  <dimension ref="A1:M37"/>
  <sheetViews>
    <sheetView workbookViewId="0">
      <selection activeCell="C3" sqref="C3"/>
    </sheetView>
  </sheetViews>
  <sheetFormatPr defaultRowHeight="15" x14ac:dyDescent="0.25"/>
  <cols>
    <col min="1" max="1" width="15.28515625" customWidth="1"/>
    <col min="2" max="2" width="16.42578125" customWidth="1"/>
    <col min="3" max="3" width="21.5703125" customWidth="1"/>
    <col min="4" max="4" width="17.42578125" style="20" customWidth="1"/>
    <col min="5" max="5" width="12.85546875" customWidth="1"/>
    <col min="6" max="6" width="15.140625" customWidth="1"/>
    <col min="12" max="13" width="9.140625" hidden="1" customWidth="1"/>
    <col min="16" max="16" width="9.140625" customWidth="1"/>
  </cols>
  <sheetData>
    <row r="1" spans="1:13" ht="21.75" thickBot="1" x14ac:dyDescent="0.4">
      <c r="A1" s="159" t="s">
        <v>17</v>
      </c>
      <c r="B1" s="160"/>
      <c r="C1" s="160"/>
      <c r="D1" s="160"/>
      <c r="E1" s="161"/>
    </row>
    <row r="2" spans="1:13" ht="30" customHeight="1" x14ac:dyDescent="0.25">
      <c r="A2" s="25" t="s">
        <v>18</v>
      </c>
      <c r="B2" s="26" t="s">
        <v>19</v>
      </c>
      <c r="C2" s="26" t="s">
        <v>21</v>
      </c>
      <c r="D2" s="48" t="s">
        <v>77</v>
      </c>
      <c r="E2" s="27" t="s">
        <v>20</v>
      </c>
      <c r="L2" s="6" t="s">
        <v>249</v>
      </c>
      <c r="M2" s="6" t="s">
        <v>250</v>
      </c>
    </row>
    <row r="3" spans="1:13" x14ac:dyDescent="0.25">
      <c r="A3" s="28" t="s">
        <v>22</v>
      </c>
      <c r="B3" s="22" t="s">
        <v>22</v>
      </c>
      <c r="C3" s="23">
        <v>35</v>
      </c>
      <c r="D3" s="49">
        <f t="shared" ref="D3:D31" si="0">MAX(L3,M3)</f>
        <v>30</v>
      </c>
      <c r="E3" s="29">
        <v>5886</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29.154999999999998</v>
      </c>
    </row>
    <row r="4" spans="1:13" x14ac:dyDescent="0.25">
      <c r="A4" s="28" t="s">
        <v>23</v>
      </c>
      <c r="B4" s="22" t="s">
        <v>51</v>
      </c>
      <c r="C4" s="23">
        <v>42</v>
      </c>
      <c r="D4" s="49">
        <f t="shared" si="0"/>
        <v>34.985999999999997</v>
      </c>
      <c r="E4" s="29">
        <v>4423</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34.985999999999997</v>
      </c>
    </row>
    <row r="5" spans="1:13" x14ac:dyDescent="0.25">
      <c r="A5" s="28" t="s">
        <v>24</v>
      </c>
      <c r="B5" s="22" t="s">
        <v>52</v>
      </c>
      <c r="C5" s="23">
        <v>32</v>
      </c>
      <c r="D5" s="49">
        <f t="shared" si="0"/>
        <v>30</v>
      </c>
      <c r="E5" s="29">
        <v>5669</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26.655999999999999</v>
      </c>
    </row>
    <row r="6" spans="1:13" x14ac:dyDescent="0.25">
      <c r="A6" s="28" t="s">
        <v>25</v>
      </c>
      <c r="B6" s="22" t="s">
        <v>53</v>
      </c>
      <c r="C6" s="23">
        <v>57</v>
      </c>
      <c r="D6" s="49">
        <f t="shared" si="0"/>
        <v>47.480999999999995</v>
      </c>
      <c r="E6" s="29">
        <v>5581</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47.480999999999995</v>
      </c>
    </row>
    <row r="7" spans="1:13" x14ac:dyDescent="0.25">
      <c r="A7" s="28" t="s">
        <v>26</v>
      </c>
      <c r="B7" s="22" t="s">
        <v>54</v>
      </c>
      <c r="C7" s="23">
        <v>39</v>
      </c>
      <c r="D7" s="49">
        <f t="shared" si="0"/>
        <v>32.487000000000002</v>
      </c>
      <c r="E7" s="29">
        <v>5508</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32.487000000000002</v>
      </c>
    </row>
    <row r="8" spans="1:13" x14ac:dyDescent="0.25">
      <c r="A8" s="28" t="s">
        <v>27</v>
      </c>
      <c r="B8" s="22" t="s">
        <v>55</v>
      </c>
      <c r="C8" s="23">
        <v>35</v>
      </c>
      <c r="D8" s="49">
        <f t="shared" si="0"/>
        <v>30</v>
      </c>
      <c r="E8" s="29">
        <v>4318</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29.154999999999998</v>
      </c>
    </row>
    <row r="9" spans="1:13" x14ac:dyDescent="0.25">
      <c r="A9" s="28" t="s">
        <v>28</v>
      </c>
      <c r="B9" s="22" t="s">
        <v>56</v>
      </c>
      <c r="C9" s="23">
        <v>30</v>
      </c>
      <c r="D9" s="49">
        <f t="shared" si="0"/>
        <v>30</v>
      </c>
      <c r="E9" s="29">
        <v>5138</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24.99</v>
      </c>
    </row>
    <row r="10" spans="1:13" x14ac:dyDescent="0.25">
      <c r="A10" s="28" t="s">
        <v>29</v>
      </c>
      <c r="B10" s="22" t="s">
        <v>57</v>
      </c>
      <c r="C10" s="23">
        <v>60</v>
      </c>
      <c r="D10" s="49">
        <f t="shared" si="0"/>
        <v>49.98</v>
      </c>
      <c r="E10" s="29">
        <v>5604</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49.98</v>
      </c>
    </row>
    <row r="11" spans="1:13" x14ac:dyDescent="0.25">
      <c r="A11" s="28" t="s">
        <v>30</v>
      </c>
      <c r="B11" s="22" t="s">
        <v>58</v>
      </c>
      <c r="C11" s="23">
        <v>27</v>
      </c>
      <c r="D11" s="49">
        <f t="shared" si="0"/>
        <v>30</v>
      </c>
      <c r="E11" s="29">
        <v>6030</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22.491</v>
      </c>
    </row>
    <row r="12" spans="1:13" x14ac:dyDescent="0.25">
      <c r="A12" s="28" t="s">
        <v>31</v>
      </c>
      <c r="B12" s="22" t="s">
        <v>59</v>
      </c>
      <c r="C12" s="23">
        <v>25</v>
      </c>
      <c r="D12" s="49">
        <f t="shared" si="0"/>
        <v>30</v>
      </c>
      <c r="E12" s="29">
        <v>4964</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20.824999999999999</v>
      </c>
    </row>
    <row r="13" spans="1:13" x14ac:dyDescent="0.25">
      <c r="A13" s="28" t="s">
        <v>32</v>
      </c>
      <c r="B13" s="22" t="s">
        <v>60</v>
      </c>
      <c r="C13" s="23">
        <v>37</v>
      </c>
      <c r="D13" s="49">
        <f t="shared" si="0"/>
        <v>30.820999999999998</v>
      </c>
      <c r="E13" s="29">
        <v>7060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30.820999999999998</v>
      </c>
    </row>
    <row r="14" spans="1:13" x14ac:dyDescent="0.25">
      <c r="A14" s="28" t="s">
        <v>33</v>
      </c>
      <c r="B14" s="22" t="s">
        <v>61</v>
      </c>
      <c r="C14" s="23">
        <v>43</v>
      </c>
      <c r="D14" s="49">
        <f t="shared" si="0"/>
        <v>35.818999999999996</v>
      </c>
      <c r="E14" s="29">
        <v>4531</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35.818999999999996</v>
      </c>
    </row>
    <row r="15" spans="1:13" x14ac:dyDescent="0.25">
      <c r="A15" s="28" t="s">
        <v>34</v>
      </c>
      <c r="B15" s="22" t="s">
        <v>62</v>
      </c>
      <c r="C15" s="23">
        <v>26</v>
      </c>
      <c r="D15" s="49">
        <f t="shared" si="0"/>
        <v>30</v>
      </c>
      <c r="E15" s="29">
        <v>6368</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21.657999999999998</v>
      </c>
    </row>
    <row r="16" spans="1:13" x14ac:dyDescent="0.25">
      <c r="A16" s="28" t="s">
        <v>35</v>
      </c>
      <c r="B16" s="22" t="s">
        <v>63</v>
      </c>
      <c r="C16" s="23">
        <v>37</v>
      </c>
      <c r="D16" s="49">
        <f t="shared" si="0"/>
        <v>30.820999999999998</v>
      </c>
      <c r="E16" s="29">
        <v>5620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30.820999999999998</v>
      </c>
    </row>
    <row r="17" spans="1:13" x14ac:dyDescent="0.25">
      <c r="A17" s="28" t="s">
        <v>36</v>
      </c>
      <c r="B17" s="22" t="s">
        <v>64</v>
      </c>
      <c r="C17" s="23">
        <v>21</v>
      </c>
      <c r="D17" s="49">
        <f t="shared" si="0"/>
        <v>30</v>
      </c>
      <c r="E17" s="29">
        <v>4029</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17.492999999999999</v>
      </c>
    </row>
    <row r="18" spans="1:13" x14ac:dyDescent="0.25">
      <c r="A18" s="28" t="s">
        <v>37</v>
      </c>
      <c r="B18" s="22" t="s">
        <v>65</v>
      </c>
      <c r="C18" s="23">
        <v>67</v>
      </c>
      <c r="D18" s="49">
        <f t="shared" si="0"/>
        <v>55.811</v>
      </c>
      <c r="E18" s="29">
        <v>7064</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55.811</v>
      </c>
    </row>
    <row r="19" spans="1:13" x14ac:dyDescent="0.25">
      <c r="A19" s="28" t="s">
        <v>38</v>
      </c>
      <c r="B19" s="22" t="s">
        <v>38</v>
      </c>
      <c r="C19" s="23">
        <v>52</v>
      </c>
      <c r="D19" s="49">
        <f t="shared" si="0"/>
        <v>43.315999999999995</v>
      </c>
      <c r="E19" s="29">
        <v>5062</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43.315999999999995</v>
      </c>
    </row>
    <row r="20" spans="1:13" x14ac:dyDescent="0.25">
      <c r="A20" s="28" t="s">
        <v>39</v>
      </c>
      <c r="B20" s="22" t="s">
        <v>66</v>
      </c>
      <c r="C20" s="23">
        <v>39</v>
      </c>
      <c r="D20" s="49">
        <f t="shared" si="0"/>
        <v>32.487000000000002</v>
      </c>
      <c r="E20" s="29">
        <v>5131</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32.487000000000002</v>
      </c>
    </row>
    <row r="21" spans="1:13" x14ac:dyDescent="0.25">
      <c r="A21" s="28" t="s">
        <v>40</v>
      </c>
      <c r="B21" s="22" t="s">
        <v>67</v>
      </c>
      <c r="C21" s="23">
        <v>37</v>
      </c>
      <c r="D21" s="49">
        <f t="shared" si="0"/>
        <v>30.820999999999998</v>
      </c>
      <c r="E21" s="29">
        <v>4334</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30.820999999999998</v>
      </c>
    </row>
    <row r="22" spans="1:13" x14ac:dyDescent="0.25">
      <c r="A22" s="28" t="s">
        <v>41</v>
      </c>
      <c r="B22" s="22" t="s">
        <v>68</v>
      </c>
      <c r="C22" s="23">
        <v>41</v>
      </c>
      <c r="D22" s="49">
        <f t="shared" si="0"/>
        <v>34.152999999999999</v>
      </c>
      <c r="E22" s="29">
        <v>6630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34.152999999999999</v>
      </c>
    </row>
    <row r="23" spans="1:13" x14ac:dyDescent="0.25">
      <c r="A23" s="28" t="s">
        <v>42</v>
      </c>
      <c r="B23" s="22" t="s">
        <v>69</v>
      </c>
      <c r="C23" s="23">
        <v>32</v>
      </c>
      <c r="D23" s="49">
        <f t="shared" si="0"/>
        <v>30</v>
      </c>
      <c r="E23" s="29">
        <v>6007</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26.655999999999999</v>
      </c>
    </row>
    <row r="24" spans="1:13" x14ac:dyDescent="0.25">
      <c r="A24" s="28" t="s">
        <v>43</v>
      </c>
      <c r="B24" s="22" t="s">
        <v>70</v>
      </c>
      <c r="C24" s="23">
        <v>31</v>
      </c>
      <c r="D24" s="49">
        <f t="shared" si="0"/>
        <v>30</v>
      </c>
      <c r="E24" s="29">
        <v>5558</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25.823</v>
      </c>
    </row>
    <row r="25" spans="1:13" x14ac:dyDescent="0.25">
      <c r="A25" s="28" t="s">
        <v>44</v>
      </c>
      <c r="B25" s="22" t="s">
        <v>71</v>
      </c>
      <c r="C25" s="23">
        <v>31</v>
      </c>
      <c r="D25" s="49">
        <f t="shared" si="0"/>
        <v>30</v>
      </c>
      <c r="E25" s="29">
        <v>4541</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25.823</v>
      </c>
    </row>
    <row r="26" spans="1:13" x14ac:dyDescent="0.25">
      <c r="A26" s="28" t="s">
        <v>45</v>
      </c>
      <c r="B26" s="22" t="s">
        <v>72</v>
      </c>
      <c r="C26" s="23">
        <v>50</v>
      </c>
      <c r="D26" s="49">
        <f t="shared" si="0"/>
        <v>41.65</v>
      </c>
      <c r="E26" s="29">
        <v>6286</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41.65</v>
      </c>
    </row>
    <row r="27" spans="1:13" x14ac:dyDescent="0.25">
      <c r="A27" s="28" t="s">
        <v>46</v>
      </c>
      <c r="B27" s="22" t="s">
        <v>73</v>
      </c>
      <c r="C27" s="23">
        <v>27</v>
      </c>
      <c r="D27" s="49">
        <f t="shared" si="0"/>
        <v>30</v>
      </c>
      <c r="E27" s="29">
        <v>5338</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22.491</v>
      </c>
    </row>
    <row r="28" spans="1:13" x14ac:dyDescent="0.25">
      <c r="A28" s="28" t="s">
        <v>47</v>
      </c>
      <c r="B28" s="22" t="s">
        <v>74</v>
      </c>
      <c r="C28" s="23">
        <v>21</v>
      </c>
      <c r="D28" s="49">
        <f t="shared" si="0"/>
        <v>30</v>
      </c>
      <c r="E28" s="29">
        <v>2585</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17.492999999999999</v>
      </c>
    </row>
    <row r="29" spans="1:13" x14ac:dyDescent="0.25">
      <c r="A29" s="28" t="s">
        <v>48</v>
      </c>
      <c r="B29" s="22" t="s">
        <v>75</v>
      </c>
      <c r="C29" s="23">
        <v>28</v>
      </c>
      <c r="D29" s="49">
        <f t="shared" si="0"/>
        <v>30</v>
      </c>
      <c r="E29" s="29">
        <v>4339</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23.323999999999998</v>
      </c>
    </row>
    <row r="30" spans="1:13" x14ac:dyDescent="0.25">
      <c r="A30" s="28" t="s">
        <v>49</v>
      </c>
      <c r="B30" s="22" t="s">
        <v>49</v>
      </c>
      <c r="C30" s="23">
        <v>35</v>
      </c>
      <c r="D30" s="49">
        <f t="shared" si="0"/>
        <v>30</v>
      </c>
      <c r="E30" s="29">
        <v>5029</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29.154999999999998</v>
      </c>
    </row>
    <row r="31" spans="1:13" ht="15.75" thickBot="1" x14ac:dyDescent="0.3">
      <c r="A31" s="30" t="s">
        <v>50</v>
      </c>
      <c r="B31" s="31" t="s">
        <v>76</v>
      </c>
      <c r="C31" s="32">
        <v>39</v>
      </c>
      <c r="D31" s="50">
        <f t="shared" si="0"/>
        <v>32.487000000000002</v>
      </c>
      <c r="E31" s="33">
        <v>5384</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32.487000000000002</v>
      </c>
    </row>
    <row r="32" spans="1:13" x14ac:dyDescent="0.25">
      <c r="M32" s="21"/>
    </row>
    <row r="33" spans="13:13" x14ac:dyDescent="0.25">
      <c r="M33" s="21"/>
    </row>
    <row r="34" spans="13:13" x14ac:dyDescent="0.25">
      <c r="M34" s="21"/>
    </row>
    <row r="35" spans="13:13" x14ac:dyDescent="0.25">
      <c r="M35" s="21"/>
    </row>
    <row r="36" spans="13:13" x14ac:dyDescent="0.25">
      <c r="M36" s="21"/>
    </row>
    <row r="37" spans="13:13" x14ac:dyDescent="0.25">
      <c r="M37" s="21"/>
    </row>
  </sheetData>
  <mergeCells count="1">
    <mergeCell ref="A1:E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A1FB-93F4-44BA-9719-9BF7995B2409}">
  <dimension ref="A1:AB58"/>
  <sheetViews>
    <sheetView workbookViewId="0">
      <selection activeCell="C3" sqref="C3"/>
    </sheetView>
  </sheetViews>
  <sheetFormatPr defaultRowHeight="15" x14ac:dyDescent="0.25"/>
  <cols>
    <col min="1" max="1" width="22.85546875" customWidth="1"/>
    <col min="2" max="2" width="16.42578125" customWidth="1"/>
    <col min="3" max="3" width="21.5703125" customWidth="1"/>
    <col min="4" max="4" width="17.42578125" style="51" customWidth="1"/>
    <col min="5" max="5" width="12.85546875" customWidth="1"/>
    <col min="6" max="6" width="15.140625" customWidth="1"/>
    <col min="12" max="13" width="9.140625" hidden="1" customWidth="1"/>
    <col min="16" max="16" width="9.140625" customWidth="1"/>
  </cols>
  <sheetData>
    <row r="1" spans="1:28" ht="21.75" thickBot="1" x14ac:dyDescent="0.3">
      <c r="A1" s="150" t="s">
        <v>421</v>
      </c>
      <c r="B1" s="151"/>
      <c r="C1" s="151"/>
      <c r="D1" s="151"/>
      <c r="E1" s="152"/>
    </row>
    <row r="2" spans="1:28" ht="30" customHeight="1" x14ac:dyDescent="0.25">
      <c r="A2" s="25" t="s">
        <v>18</v>
      </c>
      <c r="B2" s="26" t="s">
        <v>19</v>
      </c>
      <c r="C2" s="26" t="s">
        <v>21</v>
      </c>
      <c r="D2" s="48" t="s">
        <v>77</v>
      </c>
      <c r="E2" s="27" t="s">
        <v>20</v>
      </c>
      <c r="L2" s="6" t="s">
        <v>249</v>
      </c>
      <c r="M2" s="6" t="s">
        <v>250</v>
      </c>
    </row>
    <row r="3" spans="1:28" x14ac:dyDescent="0.25">
      <c r="A3" s="28" t="s">
        <v>422</v>
      </c>
      <c r="B3" t="s">
        <v>474</v>
      </c>
      <c r="C3" s="23">
        <v>17</v>
      </c>
      <c r="D3" s="49">
        <f t="shared" ref="D3:D34" si="0">MAX(L3,M3)</f>
        <v>30</v>
      </c>
      <c r="E3" s="35">
        <v>120</v>
      </c>
      <c r="F3" s="9" t="s">
        <v>89</v>
      </c>
      <c r="L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Conversion'!D13&lt;=15),40,IF(C3&lt;=20,C3*'Snow Load Conversion'!D11,20*'Snow Load Conversion'!D11)))))</f>
        <v>30</v>
      </c>
      <c r="M3" s="24">
        <f>(0.7*'Snow Load Conversion'!D7*'Snow Load Conversion'!D9*'Snow Load Conversion'!D11*C3)+'Snow Load Conversion'!D17</f>
        <v>14.161</v>
      </c>
      <c r="N3" s="148" t="s">
        <v>681</v>
      </c>
      <c r="O3" s="148"/>
      <c r="P3" s="148"/>
      <c r="Q3" s="148"/>
      <c r="R3" s="148"/>
      <c r="S3" s="148"/>
      <c r="T3" s="148"/>
      <c r="U3" s="148"/>
      <c r="V3" s="148"/>
      <c r="W3" s="148"/>
      <c r="X3" s="148"/>
      <c r="Y3" s="148"/>
      <c r="Z3" s="148"/>
      <c r="AA3" s="148"/>
      <c r="AB3" s="148"/>
    </row>
    <row r="4" spans="1:28" x14ac:dyDescent="0.25">
      <c r="A4" s="28" t="s">
        <v>423</v>
      </c>
      <c r="B4" s="22" t="s">
        <v>475</v>
      </c>
      <c r="C4" s="23">
        <v>20</v>
      </c>
      <c r="D4" s="49">
        <f t="shared" si="0"/>
        <v>30</v>
      </c>
      <c r="E4" s="29">
        <v>85</v>
      </c>
      <c r="F4" s="9" t="s">
        <v>517</v>
      </c>
      <c r="L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Conversion'!D13&lt;=15),40,IF(C4&lt;=20,C4*'Snow Load Conversion'!D11,20*'Snow Load Conversion'!D11)))))</f>
        <v>30</v>
      </c>
      <c r="M4" s="24">
        <f>(0.7*'Snow Load Conversion'!D7*'Snow Load Conversion'!D9*'Snow Load Conversion'!D11*C4)+'Snow Load Conversion'!D17</f>
        <v>16.66</v>
      </c>
      <c r="N4" s="149" t="s">
        <v>683</v>
      </c>
      <c r="O4" s="149"/>
      <c r="P4" s="149"/>
      <c r="Q4" s="149"/>
      <c r="R4" s="149"/>
      <c r="S4" s="149"/>
      <c r="T4" s="149"/>
      <c r="U4" s="149"/>
      <c r="V4" s="149"/>
      <c r="W4" s="149"/>
      <c r="X4" s="149"/>
      <c r="Y4" s="149"/>
      <c r="Z4" s="149"/>
      <c r="AA4" s="149"/>
      <c r="AB4" s="149"/>
    </row>
    <row r="5" spans="1:28" x14ac:dyDescent="0.25">
      <c r="A5" s="28" t="s">
        <v>424</v>
      </c>
      <c r="B5" s="22" t="s">
        <v>476</v>
      </c>
      <c r="C5" s="23">
        <v>15</v>
      </c>
      <c r="D5" s="49">
        <f t="shared" si="0"/>
        <v>30</v>
      </c>
      <c r="E5" s="29">
        <v>100</v>
      </c>
      <c r="L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Conversion'!D13&lt;=15),40,IF(C5&lt;=20,C5*'Snow Load Conversion'!D11,20*'Snow Load Conversion'!D11)))))</f>
        <v>30</v>
      </c>
      <c r="M5" s="24">
        <f>(0.7*'Snow Load Conversion'!D7*'Snow Load Conversion'!D9*'Snow Load Conversion'!D11*C5)+'Snow Load Conversion'!D17</f>
        <v>12.494999999999999</v>
      </c>
    </row>
    <row r="6" spans="1:28" x14ac:dyDescent="0.25">
      <c r="A6" s="28" t="s">
        <v>181</v>
      </c>
      <c r="B6" s="22" t="s">
        <v>475</v>
      </c>
      <c r="C6" s="23">
        <v>20</v>
      </c>
      <c r="D6" s="49">
        <f t="shared" si="0"/>
        <v>30</v>
      </c>
      <c r="E6" s="29">
        <v>100</v>
      </c>
      <c r="L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Conversion'!D13&lt;=15),40,IF(C6&lt;=20,C6*'Snow Load Conversion'!D11,20*'Snow Load Conversion'!D11)))))</f>
        <v>30</v>
      </c>
      <c r="M6" s="24">
        <f>(0.7*'Snow Load Conversion'!D7*'Snow Load Conversion'!D9*'Snow Load Conversion'!D11*C6)+'Snow Load Conversion'!D17</f>
        <v>16.66</v>
      </c>
    </row>
    <row r="7" spans="1:28" x14ac:dyDescent="0.25">
      <c r="A7" s="28" t="s">
        <v>425</v>
      </c>
      <c r="B7" s="22" t="s">
        <v>477</v>
      </c>
      <c r="C7" s="23">
        <v>15</v>
      </c>
      <c r="D7" s="49">
        <f t="shared" si="0"/>
        <v>30</v>
      </c>
      <c r="E7" s="29">
        <v>100</v>
      </c>
      <c r="L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Conversion'!D13&lt;=15),40,IF(C7&lt;=20,C7*'Snow Load Conversion'!D11,20*'Snow Load Conversion'!D11)))))</f>
        <v>30</v>
      </c>
      <c r="M7" s="24">
        <f>(0.7*'Snow Load Conversion'!D7*'Snow Load Conversion'!D9*'Snow Load Conversion'!D11*C7)+'Snow Load Conversion'!D17</f>
        <v>12.494999999999999</v>
      </c>
    </row>
    <row r="8" spans="1:28" x14ac:dyDescent="0.25">
      <c r="A8" s="28" t="s">
        <v>426</v>
      </c>
      <c r="B8" s="22" t="s">
        <v>482</v>
      </c>
      <c r="C8" s="23">
        <v>18</v>
      </c>
      <c r="D8" s="49">
        <f t="shared" si="0"/>
        <v>30</v>
      </c>
      <c r="E8" s="29">
        <v>40</v>
      </c>
      <c r="L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Conversion'!D13&lt;=15),40,IF(C8&lt;=20,C8*'Snow Load Conversion'!D11,20*'Snow Load Conversion'!D11)))))</f>
        <v>30</v>
      </c>
      <c r="M8" s="24">
        <f>(0.7*'Snow Load Conversion'!D7*'Snow Load Conversion'!D9*'Snow Load Conversion'!D11*C8)+'Snow Load Conversion'!D17</f>
        <v>14.994</v>
      </c>
    </row>
    <row r="9" spans="1:28" x14ac:dyDescent="0.25">
      <c r="A9" s="28" t="s">
        <v>427</v>
      </c>
      <c r="B9" s="22" t="s">
        <v>475</v>
      </c>
      <c r="C9" s="23">
        <v>20</v>
      </c>
      <c r="D9" s="49">
        <f t="shared" si="0"/>
        <v>30</v>
      </c>
      <c r="E9" s="29">
        <v>90</v>
      </c>
      <c r="L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Conversion'!D13&lt;=15),40,IF(C9&lt;=20,C9*'Snow Load Conversion'!D11,20*'Snow Load Conversion'!D11)))))</f>
        <v>30</v>
      </c>
      <c r="M9" s="24">
        <f>(0.7*'Snow Load Conversion'!D7*'Snow Load Conversion'!D9*'Snow Load Conversion'!D11*C9)+'Snow Load Conversion'!D17</f>
        <v>16.66</v>
      </c>
    </row>
    <row r="10" spans="1:28" x14ac:dyDescent="0.25">
      <c r="A10" s="28" t="s">
        <v>428</v>
      </c>
      <c r="B10" s="22" t="s">
        <v>476</v>
      </c>
      <c r="C10" s="23">
        <v>15</v>
      </c>
      <c r="D10" s="49">
        <f t="shared" si="0"/>
        <v>30</v>
      </c>
      <c r="E10" s="29">
        <v>100</v>
      </c>
      <c r="L1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Conversion'!D13&lt;=15),40,IF(C10&lt;=20,C10*'Snow Load Conversion'!D11,20*'Snow Load Conversion'!D11)))))</f>
        <v>30</v>
      </c>
      <c r="M10" s="24">
        <f>(0.7*'Snow Load Conversion'!D7*'Snow Load Conversion'!D9*'Snow Load Conversion'!D11*C10)+'Snow Load Conversion'!D17</f>
        <v>12.494999999999999</v>
      </c>
    </row>
    <row r="11" spans="1:28" x14ac:dyDescent="0.25">
      <c r="A11" s="28" t="s">
        <v>429</v>
      </c>
      <c r="B11" s="22" t="s">
        <v>475</v>
      </c>
      <c r="C11" s="23">
        <v>16</v>
      </c>
      <c r="D11" s="49">
        <f t="shared" si="0"/>
        <v>30</v>
      </c>
      <c r="E11" s="29">
        <v>325</v>
      </c>
      <c r="L1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Conversion'!D13&lt;=15),40,IF(C11&lt;=20,C11*'Snow Load Conversion'!D11,20*'Snow Load Conversion'!D11)))))</f>
        <v>30</v>
      </c>
      <c r="M11" s="24">
        <f>(0.7*'Snow Load Conversion'!D7*'Snow Load Conversion'!D9*'Snow Load Conversion'!D11*C11)+'Snow Load Conversion'!D17</f>
        <v>13.327999999999999</v>
      </c>
    </row>
    <row r="12" spans="1:28" x14ac:dyDescent="0.25">
      <c r="A12" s="28" t="s">
        <v>430</v>
      </c>
      <c r="B12" s="22" t="s">
        <v>475</v>
      </c>
      <c r="C12" s="23">
        <v>20</v>
      </c>
      <c r="D12" s="49">
        <f t="shared" si="0"/>
        <v>30</v>
      </c>
      <c r="E12" s="29">
        <v>84</v>
      </c>
      <c r="L1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Conversion'!D13&lt;=15),40,IF(C12&lt;=20,C12*'Snow Load Conversion'!D11,20*'Snow Load Conversion'!D11)))))</f>
        <v>30</v>
      </c>
      <c r="M12" s="24">
        <f>(0.7*'Snow Load Conversion'!D7*'Snow Load Conversion'!D9*'Snow Load Conversion'!D11*C12)+'Snow Load Conversion'!D17</f>
        <v>16.66</v>
      </c>
    </row>
    <row r="13" spans="1:28" x14ac:dyDescent="0.25">
      <c r="A13" s="28" t="s">
        <v>431</v>
      </c>
      <c r="B13" s="22" t="s">
        <v>482</v>
      </c>
      <c r="C13" s="23">
        <v>438</v>
      </c>
      <c r="D13" s="49">
        <f t="shared" si="0"/>
        <v>364.85399999999998</v>
      </c>
      <c r="E13" s="29">
        <v>4380</v>
      </c>
      <c r="L1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Conversion'!D13&lt;=15),40,IF(C13&lt;=20,C13*'Snow Load Conversion'!D11,20*'Snow Load Conversion'!D11)))))</f>
        <v>30</v>
      </c>
      <c r="M13" s="24">
        <f>(0.7*'Snow Load Conversion'!D7*'Snow Load Conversion'!D9*'Snow Load Conversion'!D11*C13)+'Snow Load Conversion'!D17</f>
        <v>364.85399999999998</v>
      </c>
    </row>
    <row r="14" spans="1:28" x14ac:dyDescent="0.25">
      <c r="A14" s="28" t="s">
        <v>432</v>
      </c>
      <c r="B14" s="22" t="s">
        <v>475</v>
      </c>
      <c r="C14" s="23">
        <v>18</v>
      </c>
      <c r="D14" s="49">
        <f t="shared" si="0"/>
        <v>30</v>
      </c>
      <c r="E14" s="29">
        <v>370</v>
      </c>
      <c r="L1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Conversion'!D13&lt;=15),40,IF(C14&lt;=20,C14*'Snow Load Conversion'!D11,20*'Snow Load Conversion'!D11)))))</f>
        <v>30</v>
      </c>
      <c r="M14" s="24">
        <f>(0.7*'Snow Load Conversion'!D7*'Snow Load Conversion'!D9*'Snow Load Conversion'!D11*C14)+'Snow Load Conversion'!D17</f>
        <v>14.994</v>
      </c>
    </row>
    <row r="15" spans="1:28" x14ac:dyDescent="0.25">
      <c r="A15" s="28" t="s">
        <v>433</v>
      </c>
      <c r="B15" s="22" t="s">
        <v>474</v>
      </c>
      <c r="C15" s="23">
        <v>20</v>
      </c>
      <c r="D15" s="49">
        <f t="shared" si="0"/>
        <v>30</v>
      </c>
      <c r="E15" s="29">
        <v>350</v>
      </c>
      <c r="L1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Conversion'!D13&lt;=15),40,IF(C15&lt;=20,C15*'Snow Load Conversion'!D11,20*'Snow Load Conversion'!D11)))))</f>
        <v>30</v>
      </c>
      <c r="M15" s="24">
        <f>(0.7*'Snow Load Conversion'!D7*'Snow Load Conversion'!D9*'Snow Load Conversion'!D11*C15)+'Snow Load Conversion'!D17</f>
        <v>16.66</v>
      </c>
    </row>
    <row r="16" spans="1:28" x14ac:dyDescent="0.25">
      <c r="A16" s="28" t="s">
        <v>434</v>
      </c>
      <c r="B16" s="22" t="s">
        <v>478</v>
      </c>
      <c r="C16" s="23">
        <v>34</v>
      </c>
      <c r="D16" s="49">
        <f t="shared" si="0"/>
        <v>30</v>
      </c>
      <c r="E16" s="29">
        <v>1540</v>
      </c>
      <c r="L1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Conversion'!D13&lt;=15),40,IF(C16&lt;=20,C16*'Snow Load Conversion'!D11,20*'Snow Load Conversion'!D11)))))</f>
        <v>30</v>
      </c>
      <c r="M16" s="24">
        <f>(0.7*'Snow Load Conversion'!D7*'Snow Load Conversion'!D9*'Snow Load Conversion'!D11*C16)+'Snow Load Conversion'!D17</f>
        <v>28.321999999999999</v>
      </c>
    </row>
    <row r="17" spans="1:13" x14ac:dyDescent="0.25">
      <c r="A17" s="28" t="s">
        <v>435</v>
      </c>
      <c r="B17" s="22" t="s">
        <v>474</v>
      </c>
      <c r="C17" s="23">
        <v>15</v>
      </c>
      <c r="D17" s="49">
        <f t="shared" si="0"/>
        <v>30</v>
      </c>
      <c r="E17" s="29">
        <v>110</v>
      </c>
      <c r="L1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Conversion'!D13&lt;=15),40,IF(C17&lt;=20,C17*'Snow Load Conversion'!D11,20*'Snow Load Conversion'!D11)))))</f>
        <v>30</v>
      </c>
      <c r="M17" s="24">
        <f>(0.7*'Snow Load Conversion'!D7*'Snow Load Conversion'!D9*'Snow Load Conversion'!D11*C17)+'Snow Load Conversion'!D17</f>
        <v>12.494999999999999</v>
      </c>
    </row>
    <row r="18" spans="1:13" x14ac:dyDescent="0.25">
      <c r="A18" s="28" t="s">
        <v>436</v>
      </c>
      <c r="B18" s="22" t="s">
        <v>475</v>
      </c>
      <c r="C18" s="23">
        <v>20</v>
      </c>
      <c r="D18" s="49">
        <f t="shared" si="0"/>
        <v>30</v>
      </c>
      <c r="E18" s="29">
        <v>85</v>
      </c>
      <c r="L1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Conversion'!D13&lt;=15),40,IF(C18&lt;=20,C18*'Snow Load Conversion'!D11,20*'Snow Load Conversion'!D11)))))</f>
        <v>30</v>
      </c>
      <c r="M18" s="24">
        <f>(0.7*'Snow Load Conversion'!D7*'Snow Load Conversion'!D9*'Snow Load Conversion'!D11*C18)+'Snow Load Conversion'!D17</f>
        <v>16.66</v>
      </c>
    </row>
    <row r="19" spans="1:13" x14ac:dyDescent="0.25">
      <c r="A19" s="28" t="s">
        <v>437</v>
      </c>
      <c r="B19" s="22" t="s">
        <v>475</v>
      </c>
      <c r="C19" s="23">
        <v>20</v>
      </c>
      <c r="D19" s="49">
        <f t="shared" si="0"/>
        <v>30</v>
      </c>
      <c r="E19" s="29">
        <v>100</v>
      </c>
      <c r="L1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Conversion'!D13&lt;=15),40,IF(C19&lt;=20,C19*'Snow Load Conversion'!D11,20*'Snow Load Conversion'!D11)))))</f>
        <v>30</v>
      </c>
      <c r="M19" s="24">
        <f>(0.7*'Snow Load Conversion'!D7*'Snow Load Conversion'!D9*'Snow Load Conversion'!D11*C19)+'Snow Load Conversion'!D17</f>
        <v>16.66</v>
      </c>
    </row>
    <row r="20" spans="1:13" x14ac:dyDescent="0.25">
      <c r="A20" s="28" t="s">
        <v>438</v>
      </c>
      <c r="B20" s="22" t="s">
        <v>475</v>
      </c>
      <c r="C20" s="23">
        <v>20</v>
      </c>
      <c r="D20" s="49">
        <f t="shared" si="0"/>
        <v>30</v>
      </c>
      <c r="E20" s="29">
        <v>90</v>
      </c>
      <c r="L2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Conversion'!D13&lt;=15),40,IF(C20&lt;=20,C20*'Snow Load Conversion'!D11,20*'Snow Load Conversion'!D11)))))</f>
        <v>30</v>
      </c>
      <c r="M20" s="24">
        <f>(0.7*'Snow Load Conversion'!D7*'Snow Load Conversion'!D9*'Snow Load Conversion'!D11*C20)+'Snow Load Conversion'!D17</f>
        <v>16.66</v>
      </c>
    </row>
    <row r="21" spans="1:13" x14ac:dyDescent="0.25">
      <c r="A21" s="28" t="s">
        <v>439</v>
      </c>
      <c r="B21" s="22" t="s">
        <v>479</v>
      </c>
      <c r="C21" s="23">
        <v>15</v>
      </c>
      <c r="D21" s="49">
        <f t="shared" si="0"/>
        <v>30</v>
      </c>
      <c r="E21" s="29">
        <v>400</v>
      </c>
      <c r="L2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Conversion'!D13&lt;=15),40,IF(C21&lt;=20,C21*'Snow Load Conversion'!D11,20*'Snow Load Conversion'!D11)))))</f>
        <v>30</v>
      </c>
      <c r="M21" s="24">
        <f>(0.7*'Snow Load Conversion'!D7*'Snow Load Conversion'!D9*'Snow Load Conversion'!D11*C21)+'Snow Load Conversion'!D17</f>
        <v>12.494999999999999</v>
      </c>
    </row>
    <row r="22" spans="1:13" x14ac:dyDescent="0.25">
      <c r="A22" s="28" t="s">
        <v>160</v>
      </c>
      <c r="B22" s="36" t="s">
        <v>475</v>
      </c>
      <c r="C22" s="23">
        <v>20</v>
      </c>
      <c r="D22" s="49">
        <f t="shared" si="0"/>
        <v>30</v>
      </c>
      <c r="E22" s="29">
        <v>50</v>
      </c>
      <c r="L2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Conversion'!D13&lt;=15),40,IF(C22&lt;=20,C22*'Snow Load Conversion'!D11,20*'Snow Load Conversion'!D11)))))</f>
        <v>30</v>
      </c>
      <c r="M22" s="24">
        <f>(0.7*'Snow Load Conversion'!D7*'Snow Load Conversion'!D9*'Snow Load Conversion'!D11*C22)+'Snow Load Conversion'!D17</f>
        <v>16.66</v>
      </c>
    </row>
    <row r="23" spans="1:13" x14ac:dyDescent="0.25">
      <c r="A23" s="28" t="s">
        <v>440</v>
      </c>
      <c r="B23" s="22" t="s">
        <v>475</v>
      </c>
      <c r="C23" s="23">
        <v>20</v>
      </c>
      <c r="D23" s="49">
        <f t="shared" si="0"/>
        <v>30</v>
      </c>
      <c r="E23" s="29">
        <v>180</v>
      </c>
      <c r="L2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Conversion'!D13&lt;=15),40,IF(C23&lt;=20,C23*'Snow Load Conversion'!D11,20*'Snow Load Conversion'!D11)))))</f>
        <v>30</v>
      </c>
      <c r="M23" s="24">
        <f>(0.7*'Snow Load Conversion'!D7*'Snow Load Conversion'!D9*'Snow Load Conversion'!D11*C23)+'Snow Load Conversion'!D17</f>
        <v>16.66</v>
      </c>
    </row>
    <row r="24" spans="1:13" x14ac:dyDescent="0.25">
      <c r="A24" s="28" t="s">
        <v>441</v>
      </c>
      <c r="B24" s="22" t="s">
        <v>480</v>
      </c>
      <c r="C24" s="23">
        <v>15</v>
      </c>
      <c r="D24" s="49">
        <f t="shared" si="0"/>
        <v>30</v>
      </c>
      <c r="E24" s="29">
        <v>200</v>
      </c>
      <c r="L2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Conversion'!D13&lt;=15),40,IF(C24&lt;=20,C24*'Snow Load Conversion'!D11,20*'Snow Load Conversion'!D11)))))</f>
        <v>30</v>
      </c>
      <c r="M24" s="24">
        <f>(0.7*'Snow Load Conversion'!D7*'Snow Load Conversion'!D9*'Snow Load Conversion'!D11*C24)+'Snow Load Conversion'!D17</f>
        <v>12.494999999999999</v>
      </c>
    </row>
    <row r="25" spans="1:13" x14ac:dyDescent="0.25">
      <c r="A25" s="28" t="s">
        <v>442</v>
      </c>
      <c r="B25" s="22" t="s">
        <v>474</v>
      </c>
      <c r="C25" s="23">
        <v>15</v>
      </c>
      <c r="D25" s="49">
        <f t="shared" si="0"/>
        <v>30</v>
      </c>
      <c r="E25" s="29">
        <v>250</v>
      </c>
      <c r="L2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Conversion'!D13&lt;=15),40,IF(C25&lt;=20,C25*'Snow Load Conversion'!D11,20*'Snow Load Conversion'!D11)))))</f>
        <v>30</v>
      </c>
      <c r="M25" s="24">
        <f>(0.7*'Snow Load Conversion'!D7*'Snow Load Conversion'!D9*'Snow Load Conversion'!D11*C25)+'Snow Load Conversion'!D17</f>
        <v>12.494999999999999</v>
      </c>
    </row>
    <row r="26" spans="1:13" x14ac:dyDescent="0.25">
      <c r="A26" s="28" t="s">
        <v>226</v>
      </c>
      <c r="B26" s="22" t="s">
        <v>482</v>
      </c>
      <c r="C26" s="23">
        <v>15</v>
      </c>
      <c r="D26" s="49">
        <f t="shared" si="0"/>
        <v>30</v>
      </c>
      <c r="E26" s="29">
        <v>235</v>
      </c>
      <c r="L2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Conversion'!D13&lt;=15),40,IF(C26&lt;=20,C26*'Snow Load Conversion'!D11,20*'Snow Load Conversion'!D11)))))</f>
        <v>30</v>
      </c>
      <c r="M26" s="24">
        <f>(0.7*'Snow Load Conversion'!D7*'Snow Load Conversion'!D9*'Snow Load Conversion'!D11*C26)+'Snow Load Conversion'!D17</f>
        <v>12.494999999999999</v>
      </c>
    </row>
    <row r="27" spans="1:13" x14ac:dyDescent="0.25">
      <c r="A27" s="28" t="s">
        <v>443</v>
      </c>
      <c r="B27" s="22" t="s">
        <v>481</v>
      </c>
      <c r="C27" s="23">
        <v>18</v>
      </c>
      <c r="D27" s="49">
        <f t="shared" si="0"/>
        <v>30</v>
      </c>
      <c r="E27" s="29">
        <v>21</v>
      </c>
      <c r="L2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Conversion'!D13&lt;=15),40,IF(C27&lt;=20,C27*'Snow Load Conversion'!D11,20*'Snow Load Conversion'!D11)))))</f>
        <v>30</v>
      </c>
      <c r="M27" s="24">
        <f>(0.7*'Snow Load Conversion'!D7*'Snow Load Conversion'!D9*'Snow Load Conversion'!D11*C27)+'Snow Load Conversion'!D17</f>
        <v>14.994</v>
      </c>
    </row>
    <row r="28" spans="1:13" x14ac:dyDescent="0.25">
      <c r="A28" s="28" t="s">
        <v>444</v>
      </c>
      <c r="B28" s="22" t="s">
        <v>474</v>
      </c>
      <c r="C28" s="23">
        <v>22</v>
      </c>
      <c r="D28" s="49">
        <f t="shared" si="0"/>
        <v>30</v>
      </c>
      <c r="E28" s="29">
        <v>435</v>
      </c>
      <c r="L2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Conversion'!D13&lt;=15),40,IF(C28&lt;=20,C28*'Snow Load Conversion'!D11,20*'Snow Load Conversion'!D11)))))</f>
        <v>30</v>
      </c>
      <c r="M28" s="24">
        <f>(0.7*'Snow Load Conversion'!D7*'Snow Load Conversion'!D9*'Snow Load Conversion'!D11*C28)+'Snow Load Conversion'!D17</f>
        <v>18.326000000000001</v>
      </c>
    </row>
    <row r="29" spans="1:13" x14ac:dyDescent="0.25">
      <c r="A29" s="28" t="s">
        <v>445</v>
      </c>
      <c r="B29" s="22" t="s">
        <v>475</v>
      </c>
      <c r="C29" s="23">
        <v>23</v>
      </c>
      <c r="D29" s="49">
        <f t="shared" si="0"/>
        <v>30</v>
      </c>
      <c r="E29" s="29">
        <v>440</v>
      </c>
      <c r="L2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Conversion'!D13&lt;=15),40,IF(C29&lt;=20,C29*'Snow Load Conversion'!D11,20*'Snow Load Conversion'!D11)))))</f>
        <v>30</v>
      </c>
      <c r="M29" s="24">
        <f>(0.7*'Snow Load Conversion'!D7*'Snow Load Conversion'!D9*'Snow Load Conversion'!D11*C29)+'Snow Load Conversion'!D17</f>
        <v>19.158999999999999</v>
      </c>
    </row>
    <row r="30" spans="1:13" x14ac:dyDescent="0.25">
      <c r="A30" s="28" t="s">
        <v>446</v>
      </c>
      <c r="B30" s="22" t="s">
        <v>474</v>
      </c>
      <c r="C30" s="23">
        <v>16</v>
      </c>
      <c r="D30" s="49">
        <f t="shared" si="0"/>
        <v>30</v>
      </c>
      <c r="E30" s="29">
        <v>20</v>
      </c>
      <c r="L3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Conversion'!D13&lt;=15),40,IF(C30&lt;=20,C30*'Snow Load Conversion'!D11,20*'Snow Load Conversion'!D11)))))</f>
        <v>30</v>
      </c>
      <c r="M30" s="24">
        <f>(0.7*'Snow Load Conversion'!D7*'Snow Load Conversion'!D9*'Snow Load Conversion'!D11*C30)+'Snow Load Conversion'!D17</f>
        <v>13.327999999999999</v>
      </c>
    </row>
    <row r="31" spans="1:13" x14ac:dyDescent="0.25">
      <c r="A31" s="37" t="s">
        <v>447</v>
      </c>
      <c r="B31" s="38" t="s">
        <v>475</v>
      </c>
      <c r="C31" s="39">
        <v>16</v>
      </c>
      <c r="D31" s="49">
        <f t="shared" si="0"/>
        <v>30</v>
      </c>
      <c r="E31" s="29">
        <v>320</v>
      </c>
      <c r="L3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Conversion'!D13&lt;=15),40,IF(C31&lt;=20,C31*'Snow Load Conversion'!D11,20*'Snow Load Conversion'!D11)))))</f>
        <v>30</v>
      </c>
      <c r="M31" s="24">
        <f>(0.7*'Snow Load Conversion'!D7*'Snow Load Conversion'!D9*'Snow Load Conversion'!D11*C31)+'Snow Load Conversion'!D17</f>
        <v>13.327999999999999</v>
      </c>
    </row>
    <row r="32" spans="1:13" x14ac:dyDescent="0.25">
      <c r="A32" s="28" t="s">
        <v>448</v>
      </c>
      <c r="B32" s="22" t="s">
        <v>483</v>
      </c>
      <c r="C32" s="23">
        <v>588</v>
      </c>
      <c r="D32" s="49">
        <f t="shared" si="0"/>
        <v>489.80399999999997</v>
      </c>
      <c r="E32" s="40">
        <v>4200</v>
      </c>
      <c r="L3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Conversion'!D13&lt;=15),40,IF(C32&lt;=20,C32*'Snow Load Conversion'!D11,20*'Snow Load Conversion'!D11)))))</f>
        <v>30</v>
      </c>
      <c r="M32" s="24">
        <f>(0.7*'Snow Load Conversion'!D7*'Snow Load Conversion'!D9*'Snow Load Conversion'!D11*C32)+'Snow Load Conversion'!D17</f>
        <v>489.80399999999997</v>
      </c>
    </row>
    <row r="33" spans="1:13" x14ac:dyDescent="0.25">
      <c r="A33" s="28" t="s">
        <v>449</v>
      </c>
      <c r="B33" s="22" t="s">
        <v>463</v>
      </c>
      <c r="C33" s="23">
        <v>151</v>
      </c>
      <c r="D33" s="49">
        <f t="shared" si="0"/>
        <v>125.783</v>
      </c>
      <c r="E33" s="29">
        <v>5800</v>
      </c>
      <c r="L3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Conversion'!D13&lt;=15),40,IF(C33&lt;=20,C33*'Snow Load Conversion'!D11,20*'Snow Load Conversion'!D11)))))</f>
        <v>30</v>
      </c>
      <c r="M33" s="24">
        <f>(0.7*'Snow Load Conversion'!D7*'Snow Load Conversion'!D9*'Snow Load Conversion'!D11*C33)+'Snow Load Conversion'!D17</f>
        <v>125.783</v>
      </c>
    </row>
    <row r="34" spans="1:13" x14ac:dyDescent="0.25">
      <c r="A34" s="28" t="s">
        <v>450</v>
      </c>
      <c r="B34" s="22" t="s">
        <v>484</v>
      </c>
      <c r="C34" s="23">
        <v>15</v>
      </c>
      <c r="D34" s="49">
        <f t="shared" si="0"/>
        <v>30</v>
      </c>
      <c r="E34" s="29">
        <v>180</v>
      </c>
      <c r="L3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Conversion'!D13&lt;=15),40,IF(C34&lt;=20,C34*'Snow Load Conversion'!D11,20*'Snow Load Conversion'!D11)))))</f>
        <v>30</v>
      </c>
      <c r="M34" s="24">
        <f>(0.7*'Snow Load Conversion'!D7*'Snow Load Conversion'!D9*'Snow Load Conversion'!D11*C34)+'Snow Load Conversion'!D17</f>
        <v>12.494999999999999</v>
      </c>
    </row>
    <row r="35" spans="1:13" x14ac:dyDescent="0.25">
      <c r="A35" s="28" t="s">
        <v>451</v>
      </c>
      <c r="B35" s="22" t="s">
        <v>485</v>
      </c>
      <c r="C35" s="23">
        <v>17</v>
      </c>
      <c r="D35" s="49">
        <f t="shared" ref="D35:D58" si="1">MAX(L35,M35)</f>
        <v>30</v>
      </c>
      <c r="E35" s="29">
        <v>120</v>
      </c>
      <c r="L3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Conversion'!D13&lt;=15),40,IF(C35&lt;=20,C35*'Snow Load Conversion'!D11,20*'Snow Load Conversion'!D11)))))</f>
        <v>30</v>
      </c>
      <c r="M35" s="24">
        <f>(0.7*'Snow Load Conversion'!D7*'Snow Load Conversion'!D9*'Snow Load Conversion'!D11*C35)+'Snow Load Conversion'!D17</f>
        <v>14.161</v>
      </c>
    </row>
    <row r="36" spans="1:13" x14ac:dyDescent="0.25">
      <c r="A36" s="28" t="s">
        <v>452</v>
      </c>
      <c r="B36" s="22" t="s">
        <v>480</v>
      </c>
      <c r="C36" s="23">
        <v>15</v>
      </c>
      <c r="D36" s="49">
        <f t="shared" si="1"/>
        <v>30</v>
      </c>
      <c r="E36" s="29">
        <v>130</v>
      </c>
      <c r="L3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Conversion'!D13&lt;=15),40,IF(C36&lt;=20,C36*'Snow Load Conversion'!D11,20*'Snow Load Conversion'!D11)))))</f>
        <v>30</v>
      </c>
      <c r="M36" s="24">
        <f>(0.7*'Snow Load Conversion'!D7*'Snow Load Conversion'!D9*'Snow Load Conversion'!D11*C36)+'Snow Load Conversion'!D17</f>
        <v>12.494999999999999</v>
      </c>
    </row>
    <row r="37" spans="1:13" x14ac:dyDescent="0.25">
      <c r="A37" s="28" t="s">
        <v>453</v>
      </c>
      <c r="B37" s="22" t="s">
        <v>334</v>
      </c>
      <c r="C37" s="23">
        <v>15</v>
      </c>
      <c r="D37" s="49">
        <f t="shared" si="1"/>
        <v>30</v>
      </c>
      <c r="E37" s="29">
        <v>383</v>
      </c>
      <c r="L3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Conversion'!D13&lt;=15),40,IF(C37&lt;=20,C37*'Snow Load Conversion'!D11,20*'Snow Load Conversion'!D11)))))</f>
        <v>30</v>
      </c>
      <c r="M37" s="24">
        <f>(0.7*'Snow Load Conversion'!D7*'Snow Load Conversion'!D9*'Snow Load Conversion'!D11*C37)+'Snow Load Conversion'!D17</f>
        <v>12.494999999999999</v>
      </c>
    </row>
    <row r="38" spans="1:13" x14ac:dyDescent="0.25">
      <c r="A38" s="28" t="s">
        <v>454</v>
      </c>
      <c r="B38" s="22" t="s">
        <v>486</v>
      </c>
      <c r="C38" s="23">
        <v>30</v>
      </c>
      <c r="D38" s="49">
        <f t="shared" si="1"/>
        <v>30</v>
      </c>
      <c r="E38" s="29">
        <v>2400</v>
      </c>
      <c r="L3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Conversion'!D13&lt;=15),40,IF(C38&lt;=20,C38*'Snow Load Conversion'!D11,20*'Snow Load Conversion'!D11)))))</f>
        <v>30</v>
      </c>
      <c r="M38" s="24">
        <f>(0.7*'Snow Load Conversion'!D7*'Snow Load Conversion'!D9*'Snow Load Conversion'!D11*C38)+'Snow Load Conversion'!D17</f>
        <v>24.99</v>
      </c>
    </row>
    <row r="39" spans="1:13" x14ac:dyDescent="0.25">
      <c r="A39" s="28" t="s">
        <v>455</v>
      </c>
      <c r="B39" s="22" t="s">
        <v>482</v>
      </c>
      <c r="C39" s="23">
        <v>18</v>
      </c>
      <c r="D39" s="49">
        <f t="shared" si="1"/>
        <v>30</v>
      </c>
      <c r="E39" s="29">
        <v>40</v>
      </c>
      <c r="L3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Conversion'!D13&lt;=15),40,IF(C39&lt;=20,C39*'Snow Load Conversion'!D11,20*'Snow Load Conversion'!D11)))))</f>
        <v>30</v>
      </c>
      <c r="M39" s="24">
        <f>(0.7*'Snow Load Conversion'!D7*'Snow Load Conversion'!D9*'Snow Load Conversion'!D11*C39)+'Snow Load Conversion'!D17</f>
        <v>14.994</v>
      </c>
    </row>
    <row r="40" spans="1:13" x14ac:dyDescent="0.25">
      <c r="A40" s="28" t="s">
        <v>456</v>
      </c>
      <c r="B40" s="22" t="s">
        <v>475</v>
      </c>
      <c r="C40" s="23">
        <v>20</v>
      </c>
      <c r="D40" s="49">
        <f t="shared" si="1"/>
        <v>30</v>
      </c>
      <c r="E40" s="29">
        <v>120</v>
      </c>
      <c r="L4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Conversion'!D13&lt;=15),40,IF(C40&lt;=20,C40*'Snow Load Conversion'!D11,20*'Snow Load Conversion'!D11)))))</f>
        <v>30</v>
      </c>
      <c r="M40" s="24">
        <f>(0.7*'Snow Load Conversion'!D7*'Snow Load Conversion'!D9*'Snow Load Conversion'!D11*C40)+'Snow Load Conversion'!D17</f>
        <v>16.66</v>
      </c>
    </row>
    <row r="41" spans="1:13" x14ac:dyDescent="0.25">
      <c r="A41" s="28" t="s">
        <v>457</v>
      </c>
      <c r="B41" s="41" t="s">
        <v>475</v>
      </c>
      <c r="C41" s="23">
        <v>20</v>
      </c>
      <c r="D41" s="49">
        <f t="shared" si="1"/>
        <v>30</v>
      </c>
      <c r="E41" s="29">
        <v>15</v>
      </c>
      <c r="L4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Conversion'!D13&lt;=15),40,IF(C41&lt;=20,C41*'Snow Load Conversion'!D11,20*'Snow Load Conversion'!D11)))))</f>
        <v>30</v>
      </c>
      <c r="M41" s="24">
        <f>(0.7*'Snow Load Conversion'!D7*'Snow Load Conversion'!D9*'Snow Load Conversion'!D11*C41)+'Snow Load Conversion'!D17</f>
        <v>16.66</v>
      </c>
    </row>
    <row r="42" spans="1:13" x14ac:dyDescent="0.25">
      <c r="A42" s="28" t="s">
        <v>416</v>
      </c>
      <c r="B42" s="41" t="s">
        <v>479</v>
      </c>
      <c r="C42" s="23">
        <v>15</v>
      </c>
      <c r="D42" s="49">
        <f t="shared" si="1"/>
        <v>30</v>
      </c>
      <c r="E42" s="42">
        <v>359</v>
      </c>
      <c r="L4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Conversion'!D13&lt;=15),40,IF(C42&lt;=20,C42*'Snow Load Conversion'!D11,20*'Snow Load Conversion'!D11)))))</f>
        <v>30</v>
      </c>
      <c r="M42" s="24">
        <f>(0.7*'Snow Load Conversion'!D7*'Snow Load Conversion'!D9*'Snow Load Conversion'!D11*C42)+'Snow Load Conversion'!D17</f>
        <v>12.494999999999999</v>
      </c>
    </row>
    <row r="43" spans="1:13" x14ac:dyDescent="0.25">
      <c r="A43" s="28" t="s">
        <v>458</v>
      </c>
      <c r="B43" s="41" t="s">
        <v>475</v>
      </c>
      <c r="C43" s="23">
        <v>28</v>
      </c>
      <c r="D43" s="49">
        <f t="shared" si="1"/>
        <v>30</v>
      </c>
      <c r="E43" s="42">
        <v>520</v>
      </c>
      <c r="L4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Conversion'!D13&lt;=15),40,IF(C43&lt;=20,C43*'Snow Load Conversion'!D11,20*'Snow Load Conversion'!D11)))))</f>
        <v>30</v>
      </c>
      <c r="M43" s="24">
        <f>(0.7*'Snow Load Conversion'!D7*'Snow Load Conversion'!D9*'Snow Load Conversion'!D11*C43)+'Snow Load Conversion'!D17</f>
        <v>23.323999999999998</v>
      </c>
    </row>
    <row r="44" spans="1:13" x14ac:dyDescent="0.25">
      <c r="A44" s="28" t="s">
        <v>459</v>
      </c>
      <c r="B44" s="41" t="s">
        <v>475</v>
      </c>
      <c r="C44" s="23">
        <v>22</v>
      </c>
      <c r="D44" s="49">
        <f t="shared" si="1"/>
        <v>30</v>
      </c>
      <c r="E44" s="42">
        <v>440</v>
      </c>
      <c r="L4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Conversion'!D13&lt;=15),40,IF(C44&lt;=20,C44*'Snow Load Conversion'!D11,20*'Snow Load Conversion'!D11)))))</f>
        <v>30</v>
      </c>
      <c r="M44" s="24">
        <f>(0.7*'Snow Load Conversion'!D7*'Snow Load Conversion'!D9*'Snow Load Conversion'!D11*C44)+'Snow Load Conversion'!D17</f>
        <v>18.326000000000001</v>
      </c>
    </row>
    <row r="45" spans="1:13" x14ac:dyDescent="0.25">
      <c r="A45" s="28" t="s">
        <v>460</v>
      </c>
      <c r="B45" s="41" t="s">
        <v>475</v>
      </c>
      <c r="C45" s="23">
        <v>20</v>
      </c>
      <c r="D45" s="49">
        <f t="shared" si="1"/>
        <v>30</v>
      </c>
      <c r="E45" s="42">
        <v>350</v>
      </c>
      <c r="L4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Conversion'!D13&lt;=15),40,IF(C45&lt;=20,C45*'Snow Load Conversion'!D11,20*'Snow Load Conversion'!D11)))))</f>
        <v>30</v>
      </c>
      <c r="M45" s="24">
        <f>(0.7*'Snow Load Conversion'!D7*'Snow Load Conversion'!D9*'Snow Load Conversion'!D11*C45)+'Snow Load Conversion'!D17</f>
        <v>16.66</v>
      </c>
    </row>
    <row r="46" spans="1:13" x14ac:dyDescent="0.25">
      <c r="A46" s="28" t="s">
        <v>461</v>
      </c>
      <c r="B46" s="41" t="s">
        <v>475</v>
      </c>
      <c r="C46" s="23">
        <v>22</v>
      </c>
      <c r="D46" s="49">
        <f t="shared" si="1"/>
        <v>30</v>
      </c>
      <c r="E46" s="42">
        <v>450</v>
      </c>
      <c r="L4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Conversion'!D13&lt;=15),40,IF(C46&lt;=20,C46*'Snow Load Conversion'!D11,20*'Snow Load Conversion'!D11)))))</f>
        <v>30</v>
      </c>
      <c r="M46" s="24">
        <f>(0.7*'Snow Load Conversion'!D7*'Snow Load Conversion'!D9*'Snow Load Conversion'!D11*C46)+'Snow Load Conversion'!D17</f>
        <v>18.326000000000001</v>
      </c>
    </row>
    <row r="47" spans="1:13" x14ac:dyDescent="0.25">
      <c r="A47" s="28" t="s">
        <v>462</v>
      </c>
      <c r="B47" s="41" t="s">
        <v>478</v>
      </c>
      <c r="C47" s="23">
        <v>433</v>
      </c>
      <c r="D47" s="49">
        <f t="shared" si="1"/>
        <v>360.68899999999996</v>
      </c>
      <c r="E47" s="42">
        <v>3000</v>
      </c>
      <c r="L4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Conversion'!D13&lt;=15),40,IF(C47&lt;=20,C47*'Snow Load Conversion'!D11,20*'Snow Load Conversion'!D11)))))</f>
        <v>30</v>
      </c>
      <c r="M47" s="24">
        <f>(0.7*'Snow Load Conversion'!D7*'Snow Load Conversion'!D9*'Snow Load Conversion'!D11*C47)+'Snow Load Conversion'!D17</f>
        <v>360.68899999999996</v>
      </c>
    </row>
    <row r="48" spans="1:13" x14ac:dyDescent="0.25">
      <c r="A48" s="28" t="s">
        <v>463</v>
      </c>
      <c r="B48" s="41" t="s">
        <v>463</v>
      </c>
      <c r="C48" s="23">
        <v>39</v>
      </c>
      <c r="D48" s="49">
        <f t="shared" si="1"/>
        <v>32.487000000000002</v>
      </c>
      <c r="E48" s="42">
        <v>2000</v>
      </c>
      <c r="L48"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Conversion'!D13&lt;=15),40,IF(C48&lt;=20,C48*'Snow Load Conversion'!D11,20*'Snow Load Conversion'!D11)))))</f>
        <v>30</v>
      </c>
      <c r="M48" s="24">
        <f>(0.7*'Snow Load Conversion'!D7*'Snow Load Conversion'!D9*'Snow Load Conversion'!D11*C48)+'Snow Load Conversion'!D17</f>
        <v>32.487000000000002</v>
      </c>
    </row>
    <row r="49" spans="1:13" x14ac:dyDescent="0.25">
      <c r="A49" s="28" t="s">
        <v>464</v>
      </c>
      <c r="B49" s="41" t="s">
        <v>463</v>
      </c>
      <c r="C49" s="23">
        <v>39</v>
      </c>
      <c r="D49" s="49">
        <f t="shared" si="1"/>
        <v>32.487000000000002</v>
      </c>
      <c r="E49" s="42">
        <v>2000</v>
      </c>
      <c r="L49"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Conversion'!D13&lt;=15),40,IF(C49&lt;=20,C49*'Snow Load Conversion'!D11,20*'Snow Load Conversion'!D11)))))</f>
        <v>30</v>
      </c>
      <c r="M49" s="24">
        <f>(0.7*'Snow Load Conversion'!D7*'Snow Load Conversion'!D9*'Snow Load Conversion'!D11*C49)+'Snow Load Conversion'!D17</f>
        <v>32.487000000000002</v>
      </c>
    </row>
    <row r="50" spans="1:13" x14ac:dyDescent="0.25">
      <c r="A50" s="28" t="s">
        <v>465</v>
      </c>
      <c r="B50" s="41" t="s">
        <v>487</v>
      </c>
      <c r="C50" s="23">
        <v>400</v>
      </c>
      <c r="D50" s="49">
        <f t="shared" si="1"/>
        <v>333.2</v>
      </c>
      <c r="E50" s="42">
        <v>4060</v>
      </c>
      <c r="L50"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Conversion'!D13&lt;=15),40,IF(C50&lt;=20,C50*'Snow Load Conversion'!D11,20*'Snow Load Conversion'!D11)))))</f>
        <v>30</v>
      </c>
      <c r="M50" s="24">
        <f>(0.7*'Snow Load Conversion'!D7*'Snow Load Conversion'!D9*'Snow Load Conversion'!D11*C50)+'Snow Load Conversion'!D17</f>
        <v>333.2</v>
      </c>
    </row>
    <row r="51" spans="1:13" x14ac:dyDescent="0.25">
      <c r="A51" s="37" t="s">
        <v>466</v>
      </c>
      <c r="B51" s="45" t="s">
        <v>482</v>
      </c>
      <c r="C51" s="39">
        <v>21</v>
      </c>
      <c r="D51" s="52">
        <f t="shared" si="1"/>
        <v>30</v>
      </c>
      <c r="E51" s="42">
        <v>380</v>
      </c>
      <c r="L51"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Conversion'!D13&lt;=15),40,IF(C51&lt;=20,C51*'Snow Load Conversion'!D11,20*'Snow Load Conversion'!D11)))))</f>
        <v>30</v>
      </c>
      <c r="M51" s="24">
        <f>(0.7*'Snow Load Conversion'!D7*'Snow Load Conversion'!D9*'Snow Load Conversion'!D11*C51)+'Snow Load Conversion'!D17</f>
        <v>17.492999999999999</v>
      </c>
    </row>
    <row r="52" spans="1:13" x14ac:dyDescent="0.25">
      <c r="A52" s="28" t="s">
        <v>467</v>
      </c>
      <c r="B52" s="41" t="s">
        <v>475</v>
      </c>
      <c r="C52" s="23">
        <v>16</v>
      </c>
      <c r="D52" s="52">
        <f t="shared" si="1"/>
        <v>30</v>
      </c>
      <c r="E52" s="46">
        <v>325</v>
      </c>
      <c r="L52"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Conversion'!D13&lt;=15),40,IF(C52&lt;=20,C52*'Snow Load Conversion'!D11,20*'Snow Load Conversion'!D11)))))</f>
        <v>30</v>
      </c>
      <c r="M52" s="24">
        <f>(0.7*'Snow Load Conversion'!D7*'Snow Load Conversion'!D9*'Snow Load Conversion'!D11*C52)+'Snow Load Conversion'!D17</f>
        <v>13.327999999999999</v>
      </c>
    </row>
    <row r="53" spans="1:13" x14ac:dyDescent="0.25">
      <c r="A53" s="28" t="s">
        <v>468</v>
      </c>
      <c r="B53" s="41" t="s">
        <v>482</v>
      </c>
      <c r="C53" s="23">
        <v>20</v>
      </c>
      <c r="D53" s="52">
        <f t="shared" si="1"/>
        <v>30</v>
      </c>
      <c r="E53" s="42">
        <v>400</v>
      </c>
      <c r="L53"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Conversion'!D13&lt;=15),40,IF(C53&lt;=20,C53*'Snow Load Conversion'!D11,20*'Snow Load Conversion'!D11)))))</f>
        <v>30</v>
      </c>
      <c r="M53" s="24">
        <f>(0.7*'Snow Load Conversion'!D7*'Snow Load Conversion'!D9*'Snow Load Conversion'!D11*C53)+'Snow Load Conversion'!D17</f>
        <v>16.66</v>
      </c>
    </row>
    <row r="54" spans="1:13" x14ac:dyDescent="0.25">
      <c r="A54" s="28" t="s">
        <v>469</v>
      </c>
      <c r="B54" s="41" t="s">
        <v>488</v>
      </c>
      <c r="C54" s="23">
        <v>20</v>
      </c>
      <c r="D54" s="52">
        <f t="shared" si="1"/>
        <v>30</v>
      </c>
      <c r="E54" s="42">
        <v>150</v>
      </c>
      <c r="L54"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Conversion'!D13&lt;=15),40,IF(C54&lt;=20,C54*'Snow Load Conversion'!D11,20*'Snow Load Conversion'!D11)))))</f>
        <v>30</v>
      </c>
      <c r="M54" s="24">
        <f>(0.7*'Snow Load Conversion'!D7*'Snow Load Conversion'!D9*'Snow Load Conversion'!D11*C54)+'Snow Load Conversion'!D17</f>
        <v>16.66</v>
      </c>
    </row>
    <row r="55" spans="1:13" x14ac:dyDescent="0.25">
      <c r="A55" s="28" t="s">
        <v>470</v>
      </c>
      <c r="B55" s="41" t="s">
        <v>470</v>
      </c>
      <c r="C55" s="23">
        <v>18</v>
      </c>
      <c r="D55" s="52">
        <f t="shared" si="1"/>
        <v>30</v>
      </c>
      <c r="E55" s="42">
        <v>1000</v>
      </c>
      <c r="L55"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Conversion'!D13&lt;=15),40,IF(C55&lt;=20,C55*'Snow Load Conversion'!D11,20*'Snow Load Conversion'!D11)))))</f>
        <v>30</v>
      </c>
      <c r="M55" s="24">
        <f>(0.7*'Snow Load Conversion'!D7*'Snow Load Conversion'!D9*'Snow Load Conversion'!D11*C55)+'Snow Load Conversion'!D17</f>
        <v>14.994</v>
      </c>
    </row>
    <row r="56" spans="1:13" x14ac:dyDescent="0.25">
      <c r="A56" s="28" t="s">
        <v>471</v>
      </c>
      <c r="B56" s="41" t="s">
        <v>487</v>
      </c>
      <c r="C56" s="23">
        <v>22</v>
      </c>
      <c r="D56" s="52">
        <f t="shared" si="1"/>
        <v>30</v>
      </c>
      <c r="E56" s="42">
        <v>780</v>
      </c>
      <c r="L56"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Conversion'!D13&lt;=15),40,IF(C56&lt;=20,C56*'Snow Load Conversion'!D11,20*'Snow Load Conversion'!D11)))))</f>
        <v>30</v>
      </c>
      <c r="M56" s="24">
        <f>(0.7*'Snow Load Conversion'!D7*'Snow Load Conversion'!D9*'Snow Load Conversion'!D11*C56)+'Snow Load Conversion'!D17</f>
        <v>18.326000000000001</v>
      </c>
    </row>
    <row r="57" spans="1:13" x14ac:dyDescent="0.25">
      <c r="A57" s="37" t="s">
        <v>472</v>
      </c>
      <c r="B57" s="45" t="s">
        <v>473</v>
      </c>
      <c r="C57" s="39">
        <v>244</v>
      </c>
      <c r="D57" s="52">
        <f t="shared" si="1"/>
        <v>203.25199999999998</v>
      </c>
      <c r="E57" s="46">
        <v>4720</v>
      </c>
      <c r="L57" s="24">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Conversion'!D13&lt;=15),40,IF(C57&lt;=20,C57*'Snow Load Conversion'!D11,20*'Snow Load Conversion'!D11)))))</f>
        <v>30</v>
      </c>
      <c r="M57" s="24">
        <f>(0.7*'Snow Load Conversion'!D7*'Snow Load Conversion'!D9*'Snow Load Conversion'!D11*C57)+'Snow Load Conversion'!D17</f>
        <v>203.25199999999998</v>
      </c>
    </row>
    <row r="58" spans="1:13" ht="15.75" thickBot="1" x14ac:dyDescent="0.3">
      <c r="A58" s="30" t="s">
        <v>473</v>
      </c>
      <c r="B58" s="43" t="s">
        <v>473</v>
      </c>
      <c r="C58" s="32">
        <v>19</v>
      </c>
      <c r="D58" s="50">
        <f t="shared" si="1"/>
        <v>30</v>
      </c>
      <c r="E58" s="44">
        <v>1066</v>
      </c>
      <c r="L58" s="23">
        <f>IF(AND(AND('Snow Load Conversion'!D10="I"),'Snow Load Conversion'!I5='Snow Load Conversion'!P5,'Snow Load Conversion'!D13&lt;=15),25,IF(AND(AND('Snow Load Conversion'!D10="ii"),'Snow Load Conversion'!I5='Snow Load Conversion'!P5,'Snow Load Conversion'!D13&lt;=15),30,IF(AND(AND('Snow Load Conversion'!D10="iii"),'Snow Load Conversion'!I5='Snow Load Conversion'!P5,'Snow Load Conversion'!D13&lt;=15),35,IF(AND(AND('Snow Load Conversion'!D10="iv"),'Snow Load Conversion'!I5='Snow Load Conversion'!P5,'Snow Load Conversion'!D13&lt;=15),40,IF(C58&lt;=20,C58*'Snow Load Conversion'!D11,20*'Snow Load Conversion'!D11)))))</f>
        <v>30</v>
      </c>
      <c r="M58" s="23">
        <f>(0.7*'Snow Load Conversion'!D7*'Snow Load Conversion'!D9*'Snow Load Conversion'!D11*C58)+'Snow Load Conversion'!D17</f>
        <v>15.827</v>
      </c>
    </row>
  </sheetData>
  <mergeCells count="3">
    <mergeCell ref="A1:E1"/>
    <mergeCell ref="N4:AB4"/>
    <mergeCell ref="N3:AB3"/>
  </mergeCells>
  <hyperlinks>
    <hyperlink ref="N4" r:id="rId1" xr:uid="{D80042DD-C5A4-42BE-BF99-484359CFB0A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Snow Load Conversion</vt:lpstr>
      <vt:lpstr>Risk Cat. - Exposure</vt:lpstr>
      <vt:lpstr>Sheet1</vt:lpstr>
      <vt:lpstr>AK Ground - Snow Loads</vt:lpstr>
      <vt:lpstr>CO Ground - Snow Loads</vt:lpstr>
      <vt:lpstr>ID Ground - Snow Loads</vt:lpstr>
      <vt:lpstr>MD Ground - Snow Loads</vt:lpstr>
      <vt:lpstr>MT Ground - Snow Loads</vt:lpstr>
      <vt:lpstr>NH Ground - Snow Loads</vt:lpstr>
      <vt:lpstr>NM Ground - Snow Loads</vt:lpstr>
      <vt:lpstr>OR Ground - Snow Loads</vt:lpstr>
      <vt:lpstr>UT Ground - Snow Loads</vt:lpstr>
      <vt:lpstr>WA Ground - Snow Loads</vt:lpstr>
      <vt:lpstr>'AK Ground - Snow Loads'!Print_Area</vt:lpstr>
      <vt:lpstr>'CO Ground - Snow Loads'!Print_Area</vt:lpstr>
      <vt:lpstr>'ID Ground - Snow Loads'!Print_Area</vt:lpstr>
      <vt:lpstr>'MD Ground - Snow Loads'!Print_Area</vt:lpstr>
      <vt:lpstr>'MT Ground - Snow Loads'!Print_Area</vt:lpstr>
      <vt:lpstr>'NH Ground - Snow Loads'!Print_Area</vt:lpstr>
      <vt:lpstr>'NM Ground - Snow Loads'!Print_Area</vt:lpstr>
      <vt:lpstr>'OR Ground - Snow Loads'!Print_Area</vt:lpstr>
      <vt:lpstr>'UT Ground - Snow Loads'!Print_Area</vt:lpstr>
      <vt:lpstr>'WA Ground - Snow Loads'!Print_Area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Schneider</dc:creator>
  <cp:lastModifiedBy>Michael Schneider</cp:lastModifiedBy>
  <cp:lastPrinted>2024-12-05T13:27:03Z</cp:lastPrinted>
  <dcterms:created xsi:type="dcterms:W3CDTF">2024-09-19T14:56:33Z</dcterms:created>
  <dcterms:modified xsi:type="dcterms:W3CDTF">2025-07-21T13:29:40Z</dcterms:modified>
</cp:coreProperties>
</file>
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Q:\ENG\Calculations\"/>
    </mc:Choice>
  </mc:AlternateContent>
  <xr:revisionPtr revIDLastSave="0" documentId="13_ncr:1_{8422AB0F-340F-4C17-851F-680D40AFF311}" xr6:coauthVersionLast="47" xr6:coauthVersionMax="47" xr10:uidLastSave="{00000000-0000-0000-0000-000000000000}"/>
  <bookViews>
    <workbookView xWindow="1950" yWindow="420" windowWidth="24495" windowHeight="13755" xr2:uid="{00000000-000D-0000-FFFF-FFFF00000000}"/>
  </bookViews>
  <sheets>
    <sheet name="Occupant Calculator" sheetId="2" r:id="rId1"/>
    <sheet name="2009 - 2015 IPC" sheetId="3" r:id="rId2"/>
    <sheet name="2018 IPC" sheetId="4" r:id="rId3"/>
    <sheet name="2021 IPC" sheetId="6" r:id="rId4"/>
    <sheet name="2024 IPC" sheetId="7" r:id="rId5"/>
    <sheet name="2018 - 2024 UPC - CPC - ID" sheetId="9" r:id="rId6"/>
    <sheet name="2021 - 2024 NSPC - New Jersey" sheetId="10" r:id="rId7"/>
    <sheet name="Massachusetts USPC (248 CMR)" sheetId="11" r:id="rId8"/>
    <sheet name="Illinois Plumbing Code" sheetId="12" r:id="rId9"/>
    <sheet name="Original - Modified Formulas" sheetId="8" state="hidden" r:id="rId10"/>
    <sheet name="Original" sheetId="1" state="hidden"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3" i="2" l="1"/>
  <c r="D32" i="2"/>
  <c r="D29" i="2"/>
  <c r="D28" i="2"/>
  <c r="D27" i="2"/>
  <c r="D26" i="2"/>
  <c r="D25" i="2"/>
  <c r="D24" i="2"/>
  <c r="D23" i="2"/>
  <c r="D22" i="2"/>
  <c r="D21" i="2"/>
  <c r="D19" i="2"/>
  <c r="D18" i="2"/>
  <c r="D17" i="2"/>
  <c r="D16" i="2"/>
  <c r="D15" i="2"/>
  <c r="D14" i="2"/>
  <c r="D13" i="2"/>
  <c r="D12" i="2"/>
  <c r="D11" i="2"/>
  <c r="D10" i="2"/>
  <c r="D9" i="2"/>
  <c r="D8" i="2"/>
  <c r="D7" i="2"/>
  <c r="D6" i="2"/>
  <c r="D5" i="2"/>
  <c r="D4" i="2"/>
  <c r="G106" i="12"/>
  <c r="H100" i="12"/>
  <c r="E100" i="12"/>
  <c r="G94" i="12"/>
  <c r="K88" i="12"/>
  <c r="J88" i="12"/>
  <c r="H88" i="12"/>
  <c r="G88" i="12"/>
  <c r="E88" i="12"/>
  <c r="J82" i="12"/>
  <c r="J76" i="12"/>
  <c r="J69" i="12"/>
  <c r="K62" i="12"/>
  <c r="G62" i="12"/>
  <c r="J54" i="12"/>
  <c r="J43" i="12"/>
  <c r="J34" i="12"/>
  <c r="J25" i="12"/>
  <c r="J15" i="12"/>
  <c r="J3" i="12"/>
  <c r="N136" i="12" l="1"/>
  <c r="K126" i="12"/>
  <c r="J126" i="12"/>
  <c r="H126" i="12"/>
  <c r="G126" i="12"/>
  <c r="E126" i="12"/>
  <c r="J118" i="12"/>
  <c r="N112" i="12"/>
  <c r="G100" i="12"/>
  <c r="N82" i="12"/>
  <c r="N69" i="12"/>
  <c r="J62" i="12" l="1"/>
  <c r="N62" i="12"/>
  <c r="N54" i="12"/>
  <c r="N15" i="12"/>
  <c r="N118" i="12"/>
  <c r="N76" i="12"/>
  <c r="N43" i="12"/>
  <c r="N34" i="12"/>
  <c r="N25" i="12"/>
  <c r="N3" i="12"/>
  <c r="J319" i="11"/>
  <c r="J295" i="11"/>
  <c r="N319" i="11"/>
  <c r="E311" i="11"/>
  <c r="E303" i="11"/>
  <c r="L295" i="11"/>
  <c r="K287" i="11"/>
  <c r="K279" i="11"/>
  <c r="J279" i="11"/>
  <c r="H279" i="11"/>
  <c r="E279" i="11"/>
  <c r="K263" i="11"/>
  <c r="K255" i="11"/>
  <c r="K247" i="11"/>
  <c r="K239" i="11"/>
  <c r="J263" i="11"/>
  <c r="H263" i="11"/>
  <c r="E263" i="11"/>
  <c r="J255" i="11"/>
  <c r="H255" i="11"/>
  <c r="E255" i="11"/>
  <c r="J247" i="11"/>
  <c r="H247" i="11"/>
  <c r="E247" i="11"/>
  <c r="J239" i="11"/>
  <c r="H239" i="11"/>
  <c r="E239" i="11"/>
  <c r="J231" i="11"/>
  <c r="N295" i="11"/>
  <c r="N287" i="11"/>
  <c r="N271" i="11"/>
  <c r="L271" i="11" s="1"/>
  <c r="N231" i="11"/>
  <c r="K271" i="11"/>
  <c r="L263" i="11"/>
  <c r="N181" i="11"/>
  <c r="N187" i="11"/>
  <c r="N200" i="11"/>
  <c r="N194" i="11"/>
  <c r="N206" i="11"/>
  <c r="N213" i="11"/>
  <c r="N219" i="11"/>
  <c r="N225" i="11"/>
  <c r="J225" i="11"/>
  <c r="J219" i="11"/>
  <c r="J213" i="11"/>
  <c r="J206" i="11"/>
  <c r="J200" i="11"/>
  <c r="J194" i="11"/>
  <c r="H194" i="11"/>
  <c r="E194" i="11"/>
  <c r="J187" i="11"/>
  <c r="K169" i="11" l="1"/>
  <c r="J169" i="11"/>
  <c r="I169" i="11"/>
  <c r="H169" i="11"/>
  <c r="F169" i="11"/>
  <c r="E169" i="11"/>
  <c r="N175" i="11"/>
  <c r="N169" i="11"/>
  <c r="J162" i="11"/>
  <c r="J156" i="11"/>
  <c r="K150" i="11"/>
  <c r="J150" i="11"/>
  <c r="J127" i="11"/>
  <c r="J138" i="11"/>
  <c r="J144" i="11"/>
  <c r="N156" i="11" l="1"/>
  <c r="N150" i="11"/>
  <c r="N144" i="11"/>
  <c r="N127" i="11"/>
  <c r="J118" i="11"/>
  <c r="N118" i="11"/>
  <c r="J109" i="11"/>
  <c r="N109" i="11"/>
  <c r="J91" i="11"/>
  <c r="N91" i="11" l="1"/>
  <c r="J82" i="11"/>
  <c r="N82" i="11"/>
  <c r="N73" i="11"/>
  <c r="J73" i="11"/>
  <c r="N64" i="11"/>
  <c r="N55" i="11"/>
  <c r="J3" i="11"/>
  <c r="J9" i="11"/>
  <c r="K27" i="11"/>
  <c r="J37" i="11"/>
  <c r="N46" i="11"/>
  <c r="K3" i="11"/>
  <c r="F3" i="11"/>
  <c r="E3" i="11"/>
  <c r="N162" i="11"/>
  <c r="N138" i="11"/>
  <c r="N37" i="11"/>
  <c r="N27" i="11"/>
  <c r="N15" i="11"/>
  <c r="N9" i="11"/>
  <c r="N3" i="11"/>
  <c r="H3" i="11" l="1"/>
  <c r="I3" i="11"/>
  <c r="L136" i="7" l="1"/>
  <c r="D31" i="2"/>
  <c r="D30" i="2"/>
  <c r="D20" i="2"/>
  <c r="D3" i="2"/>
  <c r="D34" i="2" l="1"/>
  <c r="O54" i="7"/>
  <c r="O48" i="7"/>
  <c r="O42" i="7"/>
  <c r="O36" i="7"/>
  <c r="O30" i="7"/>
  <c r="O21" i="7"/>
  <c r="O15" i="7"/>
  <c r="O9" i="7"/>
  <c r="O3" i="7"/>
  <c r="O55" i="6"/>
  <c r="O49" i="6"/>
  <c r="O43" i="6"/>
  <c r="O37" i="6"/>
  <c r="O31" i="6"/>
  <c r="O21" i="6"/>
  <c r="O15" i="6"/>
  <c r="O9" i="6"/>
  <c r="O3" i="6"/>
  <c r="O129" i="4"/>
  <c r="O123" i="4"/>
  <c r="O117" i="4"/>
  <c r="O111" i="4"/>
  <c r="O108" i="4"/>
  <c r="O102" i="4"/>
  <c r="O96" i="4"/>
  <c r="O93" i="4"/>
  <c r="O87" i="4"/>
  <c r="O80" i="4"/>
  <c r="O74" i="4"/>
  <c r="O62" i="4"/>
  <c r="O55" i="4"/>
  <c r="O49" i="4"/>
  <c r="O43" i="4"/>
  <c r="O37" i="4"/>
  <c r="O31" i="4"/>
  <c r="O21" i="4"/>
  <c r="O15" i="4"/>
  <c r="O9" i="4"/>
  <c r="O3" i="4"/>
  <c r="O183" i="9"/>
  <c r="O178" i="9"/>
  <c r="O162" i="9"/>
  <c r="O146" i="9"/>
  <c r="O128" i="9"/>
  <c r="O122" i="9"/>
  <c r="O117" i="9"/>
  <c r="O113" i="9"/>
  <c r="O103" i="9"/>
  <c r="O80" i="9"/>
  <c r="O73" i="9"/>
  <c r="O67" i="9"/>
  <c r="O45" i="9"/>
  <c r="O38" i="9"/>
  <c r="O28" i="9"/>
  <c r="O16" i="9"/>
  <c r="O10" i="9"/>
  <c r="O3" i="9"/>
  <c r="O168" i="10"/>
  <c r="O165" i="10"/>
  <c r="O162" i="10"/>
  <c r="O147" i="10"/>
  <c r="O136" i="10"/>
  <c r="O130" i="10"/>
  <c r="O125" i="10"/>
  <c r="O120" i="10"/>
  <c r="O115" i="10"/>
  <c r="O112" i="10"/>
  <c r="O107" i="10"/>
  <c r="O102" i="10"/>
  <c r="O99" i="10"/>
  <c r="O93" i="10"/>
  <c r="O85" i="10"/>
  <c r="O80" i="10"/>
  <c r="O75" i="10"/>
  <c r="O70" i="10"/>
  <c r="O63" i="10"/>
  <c r="O56" i="10"/>
  <c r="O50" i="10"/>
  <c r="O44" i="10"/>
  <c r="O38" i="10"/>
  <c r="O32" i="10"/>
  <c r="O22" i="10"/>
  <c r="O16" i="10"/>
  <c r="O10" i="10"/>
  <c r="O3" i="10"/>
  <c r="O129" i="3"/>
  <c r="O123" i="3"/>
  <c r="O117" i="3"/>
  <c r="O111" i="3"/>
  <c r="O108" i="3"/>
  <c r="O102" i="3"/>
  <c r="O96" i="3"/>
  <c r="O92" i="3"/>
  <c r="O86" i="3"/>
  <c r="O79" i="3"/>
  <c r="O73" i="3"/>
  <c r="O62" i="3"/>
  <c r="O55" i="3"/>
  <c r="O49" i="3"/>
  <c r="O43" i="3"/>
  <c r="O37" i="3"/>
  <c r="O31" i="3"/>
  <c r="O21" i="3"/>
  <c r="O15" i="3"/>
  <c r="O9" i="3"/>
  <c r="O3" i="3"/>
  <c r="K168" i="10"/>
  <c r="K130" i="10"/>
  <c r="K85" i="10"/>
  <c r="Q5" i="9" l="1"/>
  <c r="L38" i="9" s="1"/>
  <c r="Q5" i="4"/>
  <c r="P5" i="12"/>
  <c r="Q5" i="7"/>
  <c r="Q5" i="3"/>
  <c r="AB19" i="3" s="1"/>
  <c r="P5" i="11"/>
  <c r="Q5" i="6"/>
  <c r="AB25" i="6" s="1"/>
  <c r="K149" i="6" s="1"/>
  <c r="Q5" i="10"/>
  <c r="AA29" i="10" s="1"/>
  <c r="L168" i="10" s="1"/>
  <c r="M129" i="4"/>
  <c r="M62" i="4"/>
  <c r="AB19" i="6"/>
  <c r="AB23" i="6"/>
  <c r="AB24" i="6"/>
  <c r="AA19" i="6"/>
  <c r="AA11" i="3"/>
  <c r="AA12" i="3"/>
  <c r="AA13" i="3"/>
  <c r="AA14" i="3"/>
  <c r="AA18" i="3"/>
  <c r="AB22" i="9" l="1"/>
  <c r="L128" i="9" s="1"/>
  <c r="AA26" i="10"/>
  <c r="L147" i="10" s="1"/>
  <c r="AB4" i="9"/>
  <c r="L3" i="9" s="1"/>
  <c r="AB7" i="9"/>
  <c r="L28" i="9" s="1"/>
  <c r="AB5" i="9"/>
  <c r="L10" i="9" s="1"/>
  <c r="L90" i="9"/>
  <c r="L88" i="12"/>
  <c r="L100" i="12"/>
  <c r="L94" i="12"/>
  <c r="Z17" i="12"/>
  <c r="K106" i="12" s="1"/>
  <c r="AA16" i="12"/>
  <c r="J100" i="12" s="1"/>
  <c r="V15" i="12"/>
  <c r="E94" i="12" s="1"/>
  <c r="Z15" i="12"/>
  <c r="K94" i="12" s="1"/>
  <c r="L106" i="12"/>
  <c r="X17" i="12"/>
  <c r="H106" i="12" s="1"/>
  <c r="V17" i="12"/>
  <c r="E106" i="12" s="1"/>
  <c r="AA15" i="12"/>
  <c r="J94" i="12" s="1"/>
  <c r="X15" i="12"/>
  <c r="H94" i="12" s="1"/>
  <c r="AA17" i="12"/>
  <c r="J106" i="12" s="1"/>
  <c r="Z16" i="12"/>
  <c r="K100" i="12" s="1"/>
  <c r="AA18" i="12"/>
  <c r="J112" i="12" s="1"/>
  <c r="L112" i="12"/>
  <c r="Z11" i="12"/>
  <c r="K69" i="12" s="1"/>
  <c r="L136" i="12"/>
  <c r="AA21" i="12"/>
  <c r="J136" i="12" s="1"/>
  <c r="L69" i="12"/>
  <c r="Z18" i="12"/>
  <c r="K112" i="12" s="1"/>
  <c r="Z13" i="12"/>
  <c r="K82" i="12" s="1"/>
  <c r="Z21" i="12"/>
  <c r="K136" i="12" s="1"/>
  <c r="L82" i="12"/>
  <c r="L25" i="12"/>
  <c r="L34" i="12"/>
  <c r="K25" i="12"/>
  <c r="Z12" i="12"/>
  <c r="K76" i="12" s="1"/>
  <c r="Z8" i="12"/>
  <c r="K43" i="12" s="1"/>
  <c r="Q8" i="12"/>
  <c r="L76" i="12"/>
  <c r="K15" i="12"/>
  <c r="Z9" i="12"/>
  <c r="K54" i="12" s="1"/>
  <c r="L15" i="12"/>
  <c r="L43" i="12"/>
  <c r="L3" i="12"/>
  <c r="L118" i="12"/>
  <c r="P8" i="12"/>
  <c r="K34" i="12"/>
  <c r="L62" i="12"/>
  <c r="K3" i="12"/>
  <c r="Z19" i="12"/>
  <c r="K118" i="12" s="1"/>
  <c r="AA10" i="10"/>
  <c r="L44" i="10" s="1"/>
  <c r="L117" i="9"/>
  <c r="K200" i="11"/>
  <c r="K213" i="11"/>
  <c r="L279" i="11"/>
  <c r="L213" i="11"/>
  <c r="K319" i="11"/>
  <c r="L287" i="11"/>
  <c r="L225" i="11"/>
  <c r="K225" i="11"/>
  <c r="L231" i="11"/>
  <c r="K206" i="11"/>
  <c r="L200" i="11"/>
  <c r="L319" i="11"/>
  <c r="K231" i="11"/>
  <c r="L169" i="11"/>
  <c r="K181" i="11"/>
  <c r="K187" i="11"/>
  <c r="J175" i="11"/>
  <c r="L181" i="11"/>
  <c r="L187" i="11"/>
  <c r="K175" i="11"/>
  <c r="L175" i="11"/>
  <c r="K144" i="11"/>
  <c r="K156" i="11"/>
  <c r="L127" i="11"/>
  <c r="K109" i="11"/>
  <c r="L118" i="11"/>
  <c r="K127" i="11"/>
  <c r="K118" i="11"/>
  <c r="L156" i="11"/>
  <c r="L144" i="11"/>
  <c r="L27" i="11"/>
  <c r="J46" i="11"/>
  <c r="K9" i="11"/>
  <c r="L64" i="11"/>
  <c r="K15" i="11"/>
  <c r="L82" i="11"/>
  <c r="L46" i="11"/>
  <c r="L138" i="11"/>
  <c r="K73" i="11"/>
  <c r="L9" i="11"/>
  <c r="K37" i="11"/>
  <c r="K64" i="11"/>
  <c r="K162" i="11"/>
  <c r="L15" i="11"/>
  <c r="Q8" i="11"/>
  <c r="L162" i="11"/>
  <c r="L55" i="11"/>
  <c r="W5" i="11"/>
  <c r="F9" i="11" s="1"/>
  <c r="K91" i="11"/>
  <c r="J64" i="11"/>
  <c r="P8" i="11"/>
  <c r="K138" i="11"/>
  <c r="L73" i="11"/>
  <c r="L91" i="11"/>
  <c r="K82" i="11"/>
  <c r="J55" i="11"/>
  <c r="K55" i="11"/>
  <c r="L37" i="11"/>
  <c r="K46" i="11"/>
  <c r="AC23" i="9"/>
  <c r="K141" i="9" s="1"/>
  <c r="AB21" i="10"/>
  <c r="K115" i="10" s="1"/>
  <c r="AB23" i="9"/>
  <c r="L141" i="9" s="1"/>
  <c r="AA11" i="10"/>
  <c r="L50" i="10" s="1"/>
  <c r="AB18" i="10"/>
  <c r="K93" i="10" s="1"/>
  <c r="AA19" i="10"/>
  <c r="L102" i="10" s="1"/>
  <c r="AB24" i="3"/>
  <c r="K156" i="3" s="1"/>
  <c r="M90" i="9"/>
  <c r="M28" i="9"/>
  <c r="M80" i="9"/>
  <c r="M113" i="9"/>
  <c r="M183" i="9"/>
  <c r="M73" i="9"/>
  <c r="M38" i="9"/>
  <c r="M16" i="9"/>
  <c r="M128" i="9"/>
  <c r="M67" i="9"/>
  <c r="M10" i="9"/>
  <c r="M122" i="9"/>
  <c r="M45" i="9"/>
  <c r="M3" i="9"/>
  <c r="AA7" i="10"/>
  <c r="L22" i="10" s="1"/>
  <c r="AA17" i="10"/>
  <c r="L85" i="10" s="1"/>
  <c r="L73" i="9"/>
  <c r="L162" i="9"/>
  <c r="AB11" i="9"/>
  <c r="L67" i="9" s="1"/>
  <c r="AA12" i="10"/>
  <c r="L56" i="10" s="1"/>
  <c r="M117" i="6"/>
  <c r="AC19" i="9"/>
  <c r="AA21" i="10"/>
  <c r="L115" i="10" s="1"/>
  <c r="AB26" i="10"/>
  <c r="K147" i="10" s="1"/>
  <c r="AA27" i="10"/>
  <c r="L162" i="10" s="1"/>
  <c r="AA24" i="10"/>
  <c r="L130" i="10" s="1"/>
  <c r="AB6" i="9"/>
  <c r="L183" i="9"/>
  <c r="AB25" i="9"/>
  <c r="AC13" i="9"/>
  <c r="AB12" i="9"/>
  <c r="AB13" i="9"/>
  <c r="AB10" i="9"/>
  <c r="Y25" i="6"/>
  <c r="I149" i="6" s="1"/>
  <c r="AA7" i="3"/>
  <c r="AB27" i="10"/>
  <c r="K162" i="10" s="1"/>
  <c r="AB16" i="6"/>
  <c r="AA22" i="10"/>
  <c r="L120" i="10" s="1"/>
  <c r="AB9" i="9"/>
  <c r="M62" i="6"/>
  <c r="AA8" i="10"/>
  <c r="L32" i="10" s="1"/>
  <c r="AB20" i="9"/>
  <c r="AA15" i="10"/>
  <c r="L75" i="10" s="1"/>
  <c r="AA23" i="10"/>
  <c r="L125" i="10" s="1"/>
  <c r="AB14" i="9"/>
  <c r="AA24" i="3"/>
  <c r="L156" i="3" s="1"/>
  <c r="AB16" i="3"/>
  <c r="AB28" i="9"/>
  <c r="AA18" i="10"/>
  <c r="L93" i="10" s="1"/>
  <c r="AA6" i="3"/>
  <c r="AA26" i="6"/>
  <c r="K92" i="6"/>
  <c r="AC25" i="9"/>
  <c r="AA16" i="10"/>
  <c r="L80" i="10" s="1"/>
  <c r="AB28" i="10"/>
  <c r="K165" i="10" s="1"/>
  <c r="AA9" i="3"/>
  <c r="AA10" i="3"/>
  <c r="AA20" i="10"/>
  <c r="L107" i="10" s="1"/>
  <c r="AC18" i="9"/>
  <c r="L178" i="9"/>
  <c r="W25" i="6"/>
  <c r="F149" i="6" s="1"/>
  <c r="AA8" i="3"/>
  <c r="AC27" i="9"/>
  <c r="AA21" i="3"/>
  <c r="AA14" i="10"/>
  <c r="L70" i="10" s="1"/>
  <c r="AA23" i="3"/>
  <c r="L140" i="3" s="1"/>
  <c r="AA20" i="3"/>
  <c r="AA19" i="3"/>
  <c r="AA22" i="3"/>
  <c r="AA13" i="10"/>
  <c r="L63" i="10" s="1"/>
  <c r="AB27" i="9"/>
  <c r="L45" i="9"/>
  <c r="AA28" i="10"/>
  <c r="L165" i="10" s="1"/>
  <c r="AB23" i="3"/>
  <c r="L16" i="9"/>
  <c r="AA9" i="10"/>
  <c r="L38" i="10" s="1"/>
  <c r="AA25" i="6"/>
  <c r="L149" i="6" s="1"/>
  <c r="L92" i="6"/>
  <c r="AA4" i="3"/>
  <c r="AA17" i="3"/>
  <c r="AA25" i="10"/>
  <c r="L136" i="10" s="1"/>
  <c r="L92" i="3"/>
  <c r="K92" i="3"/>
  <c r="AA5" i="3"/>
  <c r="AA25" i="3"/>
  <c r="L171" i="3"/>
  <c r="AA16" i="3"/>
  <c r="AA13" i="7"/>
  <c r="L61" i="7" s="1"/>
  <c r="M151" i="7"/>
  <c r="M74" i="7"/>
  <c r="M61" i="7"/>
  <c r="AA15" i="3"/>
  <c r="L154" i="6"/>
  <c r="AA6" i="10"/>
  <c r="L16" i="10" s="1"/>
  <c r="AA5" i="10"/>
  <c r="L10" i="10" s="1"/>
  <c r="AA4" i="10"/>
  <c r="L3" i="10" s="1"/>
  <c r="X18" i="11" l="1"/>
  <c r="H127" i="11" s="1"/>
  <c r="X20" i="11"/>
  <c r="H144" i="11" s="1"/>
  <c r="X19" i="11"/>
  <c r="H138" i="11" s="1"/>
  <c r="X33" i="11"/>
  <c r="H225" i="11" s="1"/>
  <c r="V17" i="11"/>
  <c r="E118" i="11" s="1"/>
  <c r="G118" i="11" s="1"/>
  <c r="V45" i="11"/>
  <c r="E319" i="11" s="1"/>
  <c r="G319" i="11" s="1"/>
  <c r="V31" i="11"/>
  <c r="E213" i="11" s="1"/>
  <c r="G213" i="11" s="1"/>
  <c r="V23" i="11"/>
  <c r="E162" i="11" s="1"/>
  <c r="G162" i="11" s="1"/>
  <c r="V26" i="11"/>
  <c r="V6" i="11"/>
  <c r="E15" i="11" s="1"/>
  <c r="G15" i="11" s="1"/>
  <c r="V42" i="11"/>
  <c r="E295" i="11" s="1"/>
  <c r="G295" i="11" s="1"/>
  <c r="V25" i="11"/>
  <c r="E175" i="11" s="1"/>
  <c r="G175" i="11" s="1"/>
  <c r="V20" i="11"/>
  <c r="E144" i="11" s="1"/>
  <c r="G144" i="11" s="1"/>
  <c r="V39" i="11"/>
  <c r="V19" i="11"/>
  <c r="E138" i="11" s="1"/>
  <c r="V41" i="11"/>
  <c r="V11" i="11"/>
  <c r="E64" i="11" s="1"/>
  <c r="G64" i="11" s="1"/>
  <c r="X29" i="11"/>
  <c r="H200" i="11" s="1"/>
  <c r="V22" i="11"/>
  <c r="E156" i="11" s="1"/>
  <c r="G156" i="11" s="1"/>
  <c r="X16" i="11"/>
  <c r="H109" i="11" s="1"/>
  <c r="X31" i="11"/>
  <c r="H213" i="11" s="1"/>
  <c r="X8" i="11"/>
  <c r="H37" i="11" s="1"/>
  <c r="V29" i="11"/>
  <c r="E200" i="11" s="1"/>
  <c r="G200" i="11" s="1"/>
  <c r="V27" i="11"/>
  <c r="E187" i="11" s="1"/>
  <c r="G187" i="11" s="1"/>
  <c r="X7" i="11"/>
  <c r="H27" i="11" s="1"/>
  <c r="V5" i="11"/>
  <c r="E9" i="11" s="1"/>
  <c r="G9" i="11" s="1"/>
  <c r="X25" i="11"/>
  <c r="X12" i="11"/>
  <c r="H73" i="11" s="1"/>
  <c r="X39" i="11"/>
  <c r="H271" i="11" s="1"/>
  <c r="V12" i="11"/>
  <c r="E73" i="11" s="1"/>
  <c r="G73" i="11" s="1"/>
  <c r="V30" i="11"/>
  <c r="E206" i="11" s="1"/>
  <c r="G206" i="11" s="1"/>
  <c r="X32" i="11"/>
  <c r="H219" i="11" s="1"/>
  <c r="X23" i="11"/>
  <c r="H162" i="11" s="1"/>
  <c r="V8" i="11"/>
  <c r="E37" i="11" s="1"/>
  <c r="G37" i="11" s="1"/>
  <c r="X13" i="11"/>
  <c r="H82" i="11" s="1"/>
  <c r="X27" i="11"/>
  <c r="H187" i="11" s="1"/>
  <c r="X42" i="11"/>
  <c r="X14" i="11"/>
  <c r="H91" i="11" s="1"/>
  <c r="X5" i="11"/>
  <c r="H9" i="11" s="1"/>
  <c r="X41" i="11"/>
  <c r="V33" i="11"/>
  <c r="E225" i="11" s="1"/>
  <c r="G225" i="11" s="1"/>
  <c r="X11" i="11"/>
  <c r="H64" i="11" s="1"/>
  <c r="V18" i="11"/>
  <c r="E127" i="11" s="1"/>
  <c r="G127" i="11" s="1"/>
  <c r="X17" i="11"/>
  <c r="H118" i="11" s="1"/>
  <c r="V10" i="11"/>
  <c r="E55" i="11" s="1"/>
  <c r="G55" i="11" s="1"/>
  <c r="X10" i="11"/>
  <c r="H55" i="11" s="1"/>
  <c r="X9" i="11"/>
  <c r="H46" i="11" s="1"/>
  <c r="X45" i="11"/>
  <c r="H319" i="11" s="1"/>
  <c r="V9" i="11"/>
  <c r="E46" i="11" s="1"/>
  <c r="G46" i="11" s="1"/>
  <c r="V16" i="11"/>
  <c r="E109" i="11" s="1"/>
  <c r="G109" i="11" s="1"/>
  <c r="V7" i="11"/>
  <c r="E27" i="11" s="1"/>
  <c r="G27" i="11" s="1"/>
  <c r="V34" i="11"/>
  <c r="E231" i="11" s="1"/>
  <c r="G231" i="11" s="1"/>
  <c r="X21" i="11"/>
  <c r="H150" i="11" s="1"/>
  <c r="X22" i="11"/>
  <c r="H156" i="11" s="1"/>
  <c r="X26" i="11"/>
  <c r="H181" i="11" s="1"/>
  <c r="X30" i="11"/>
  <c r="H206" i="11" s="1"/>
  <c r="V13" i="11"/>
  <c r="E82" i="11" s="1"/>
  <c r="G82" i="11" s="1"/>
  <c r="V21" i="11"/>
  <c r="E150" i="11" s="1"/>
  <c r="G150" i="11" s="1"/>
  <c r="X6" i="11"/>
  <c r="H15" i="11" s="1"/>
  <c r="X34" i="11"/>
  <c r="H231" i="11" s="1"/>
  <c r="V32" i="11"/>
  <c r="E219" i="11" s="1"/>
  <c r="G219" i="11" s="1"/>
  <c r="V14" i="11"/>
  <c r="E91" i="11" s="1"/>
  <c r="G91" i="11" s="1"/>
  <c r="W18" i="11"/>
  <c r="F127" i="11" s="1"/>
  <c r="W39" i="11"/>
  <c r="F271" i="11" s="1"/>
  <c r="Y29" i="11"/>
  <c r="I200" i="11" s="1"/>
  <c r="Y14" i="11"/>
  <c r="I91" i="11" s="1"/>
  <c r="Y6" i="11"/>
  <c r="I15" i="11" s="1"/>
  <c r="Y5" i="11"/>
  <c r="I9" i="11" s="1"/>
  <c r="W11" i="11"/>
  <c r="F64" i="11" s="1"/>
  <c r="W8" i="11"/>
  <c r="F37" i="11" s="1"/>
  <c r="W7" i="11"/>
  <c r="F27" i="11" s="1"/>
  <c r="W30" i="11"/>
  <c r="F206" i="11" s="1"/>
  <c r="W6" i="11"/>
  <c r="F15" i="11" s="1"/>
  <c r="Y11" i="11"/>
  <c r="I64" i="11" s="1"/>
  <c r="Y42" i="11"/>
  <c r="Y17" i="11"/>
  <c r="I118" i="11" s="1"/>
  <c r="W23" i="11"/>
  <c r="F162" i="11" s="1"/>
  <c r="Y18" i="11"/>
  <c r="I127" i="11" s="1"/>
  <c r="W41" i="11"/>
  <c r="F287" i="11" s="1"/>
  <c r="Y32" i="11"/>
  <c r="I219" i="11" s="1"/>
  <c r="W14" i="11"/>
  <c r="F91" i="11" s="1"/>
  <c r="Y22" i="11"/>
  <c r="I156" i="11" s="1"/>
  <c r="Y33" i="11"/>
  <c r="I225" i="11" s="1"/>
  <c r="Y12" i="11"/>
  <c r="I73" i="11" s="1"/>
  <c r="W34" i="11"/>
  <c r="F231" i="11" s="1"/>
  <c r="W29" i="11"/>
  <c r="F200" i="11" s="1"/>
  <c r="W17" i="11"/>
  <c r="F118" i="11" s="1"/>
  <c r="W26" i="11"/>
  <c r="F181" i="11" s="1"/>
  <c r="Y26" i="11"/>
  <c r="I181" i="11" s="1"/>
  <c r="Y27" i="11"/>
  <c r="I187" i="11" s="1"/>
  <c r="W10" i="11"/>
  <c r="F55" i="11" s="1"/>
  <c r="W9" i="11"/>
  <c r="F46" i="11" s="1"/>
  <c r="Y21" i="11"/>
  <c r="I150" i="11" s="1"/>
  <c r="Y7" i="11"/>
  <c r="I27" i="11" s="1"/>
  <c r="W45" i="11"/>
  <c r="F319" i="11" s="1"/>
  <c r="Y39" i="11"/>
  <c r="I271" i="11" s="1"/>
  <c r="W32" i="11"/>
  <c r="F219" i="11" s="1"/>
  <c r="Y30" i="11"/>
  <c r="I206" i="11" s="1"/>
  <c r="W42" i="11"/>
  <c r="F295" i="11" s="1"/>
  <c r="W31" i="11"/>
  <c r="F213" i="11" s="1"/>
  <c r="Y45" i="11"/>
  <c r="I319" i="11" s="1"/>
  <c r="W27" i="11"/>
  <c r="F187" i="11" s="1"/>
  <c r="W13" i="11"/>
  <c r="F82" i="11" s="1"/>
  <c r="W16" i="11"/>
  <c r="F109" i="11" s="1"/>
  <c r="Y16" i="11"/>
  <c r="I109" i="11" s="1"/>
  <c r="Y34" i="11"/>
  <c r="I231" i="11" s="1"/>
  <c r="Y41" i="11"/>
  <c r="Y20" i="11"/>
  <c r="I144" i="11" s="1"/>
  <c r="W20" i="11"/>
  <c r="F144" i="11" s="1"/>
  <c r="W33" i="11"/>
  <c r="F225" i="11" s="1"/>
  <c r="W12" i="11"/>
  <c r="F73" i="11" s="1"/>
  <c r="Y19" i="11"/>
  <c r="I138" i="11" s="1"/>
  <c r="W25" i="11"/>
  <c r="F175" i="11" s="1"/>
  <c r="W19" i="11"/>
  <c r="F138" i="11" s="1"/>
  <c r="W21" i="11"/>
  <c r="F150" i="11" s="1"/>
  <c r="Y13" i="11"/>
  <c r="I82" i="11" s="1"/>
  <c r="Y10" i="11"/>
  <c r="I55" i="11" s="1"/>
  <c r="Y25" i="11"/>
  <c r="W22" i="11"/>
  <c r="F156" i="11" s="1"/>
  <c r="Y31" i="11"/>
  <c r="I213" i="11" s="1"/>
  <c r="Y9" i="11"/>
  <c r="I46" i="11" s="1"/>
  <c r="Y8" i="11"/>
  <c r="I37" i="11" s="1"/>
  <c r="Y23" i="11"/>
  <c r="I162" i="11" s="1"/>
  <c r="V13" i="12"/>
  <c r="E82" i="12" s="1"/>
  <c r="G82" i="12" s="1"/>
  <c r="AB6" i="12"/>
  <c r="G25" i="12" s="1"/>
  <c r="V7" i="12"/>
  <c r="E34" i="12" s="1"/>
  <c r="V6" i="12"/>
  <c r="E25" i="12" s="1"/>
  <c r="X21" i="12"/>
  <c r="H136" i="12" s="1"/>
  <c r="X9" i="12"/>
  <c r="H54" i="12" s="1"/>
  <c r="V10" i="12"/>
  <c r="E62" i="12" s="1"/>
  <c r="X5" i="12"/>
  <c r="H15" i="12" s="1"/>
  <c r="X10" i="12"/>
  <c r="H62" i="12" s="1"/>
  <c r="V5" i="12"/>
  <c r="E15" i="12" s="1"/>
  <c r="X6" i="12"/>
  <c r="H25" i="12" s="1"/>
  <c r="X13" i="12"/>
  <c r="H82" i="12" s="1"/>
  <c r="X4" i="12"/>
  <c r="H3" i="12" s="1"/>
  <c r="X19" i="12"/>
  <c r="H118" i="12" s="1"/>
  <c r="V4" i="12"/>
  <c r="E3" i="12" s="1"/>
  <c r="V19" i="12"/>
  <c r="E118" i="12" s="1"/>
  <c r="G118" i="12" s="1"/>
  <c r="V18" i="12"/>
  <c r="E112" i="12" s="1"/>
  <c r="G112" i="12" s="1"/>
  <c r="AB4" i="12"/>
  <c r="G3" i="12" s="1"/>
  <c r="AB19" i="12"/>
  <c r="AB12" i="12"/>
  <c r="G76" i="12" s="1"/>
  <c r="V21" i="12"/>
  <c r="E136" i="12" s="1"/>
  <c r="X11" i="12"/>
  <c r="H69" i="12" s="1"/>
  <c r="V11" i="12"/>
  <c r="E69" i="12" s="1"/>
  <c r="G69" i="12" s="1"/>
  <c r="X8" i="12"/>
  <c r="H43" i="12" s="1"/>
  <c r="V8" i="12"/>
  <c r="E43" i="12" s="1"/>
  <c r="G43" i="12" s="1"/>
  <c r="X7" i="12"/>
  <c r="H34" i="12" s="1"/>
  <c r="AB7" i="12"/>
  <c r="G34" i="12" s="1"/>
  <c r="AB5" i="12"/>
  <c r="G15" i="12" s="1"/>
  <c r="AB21" i="12"/>
  <c r="G136" i="12" s="1"/>
  <c r="X18" i="12"/>
  <c r="H112" i="12" s="1"/>
  <c r="X12" i="12"/>
  <c r="H76" i="12" s="1"/>
  <c r="V12" i="12"/>
  <c r="E76" i="12" s="1"/>
  <c r="V9" i="12"/>
  <c r="E54" i="12" s="1"/>
  <c r="W4" i="12"/>
  <c r="F3" i="12" s="1"/>
  <c r="Y21" i="12"/>
  <c r="I136" i="12" s="1"/>
  <c r="Y18" i="12"/>
  <c r="I112" i="12" s="1"/>
  <c r="W10" i="12"/>
  <c r="F62" i="12" s="1"/>
  <c r="W6" i="12"/>
  <c r="F25" i="12" s="1"/>
  <c r="Y19" i="12"/>
  <c r="I118" i="12" s="1"/>
  <c r="W11" i="12"/>
  <c r="F69" i="12" s="1"/>
  <c r="Y13" i="12"/>
  <c r="I82" i="12" s="1"/>
  <c r="W21" i="12"/>
  <c r="F136" i="12" s="1"/>
  <c r="W12" i="12"/>
  <c r="F76" i="12" s="1"/>
  <c r="W18" i="12"/>
  <c r="F112" i="12" s="1"/>
  <c r="Y10" i="12"/>
  <c r="I62" i="12" s="1"/>
  <c r="W9" i="12"/>
  <c r="W5" i="12"/>
  <c r="F15" i="12" s="1"/>
  <c r="Y11" i="12"/>
  <c r="I69" i="12" s="1"/>
  <c r="Y7" i="12"/>
  <c r="I34" i="12" s="1"/>
  <c r="Y5" i="12"/>
  <c r="I15" i="12" s="1"/>
  <c r="Y9" i="12"/>
  <c r="W13" i="12"/>
  <c r="F82" i="12" s="1"/>
  <c r="Y4" i="12"/>
  <c r="I3" i="12" s="1"/>
  <c r="Y8" i="12"/>
  <c r="I43" i="12" s="1"/>
  <c r="W7" i="12"/>
  <c r="F34" i="12" s="1"/>
  <c r="W19" i="12"/>
  <c r="F118" i="12" s="1"/>
  <c r="W8" i="12"/>
  <c r="F43" i="12" s="1"/>
  <c r="Y12" i="12"/>
  <c r="I76" i="12" s="1"/>
  <c r="Y6" i="12"/>
  <c r="I25" i="12" s="1"/>
  <c r="L112" i="10"/>
  <c r="K122" i="9"/>
  <c r="K90" i="9"/>
  <c r="K73" i="9"/>
  <c r="Y27" i="9"/>
  <c r="G178" i="9" s="1"/>
  <c r="K159" i="8"/>
  <c r="G128" i="8"/>
  <c r="F128" i="8"/>
  <c r="K109" i="8"/>
  <c r="L99" i="8"/>
  <c r="L90" i="8"/>
  <c r="K77" i="8"/>
  <c r="AA26" i="8"/>
  <c r="Q5" i="8"/>
  <c r="L123" i="8" s="1"/>
  <c r="F3" i="8"/>
  <c r="G3" i="8" s="1"/>
  <c r="I132" i="7"/>
  <c r="I128" i="7"/>
  <c r="F132" i="7"/>
  <c r="F128" i="7"/>
  <c r="I125" i="7"/>
  <c r="I122" i="7"/>
  <c r="F125" i="7"/>
  <c r="F122" i="7"/>
  <c r="K113" i="7"/>
  <c r="I113" i="7"/>
  <c r="F113" i="7"/>
  <c r="M104" i="7"/>
  <c r="K104" i="7"/>
  <c r="I104" i="7"/>
  <c r="F104" i="7"/>
  <c r="K101" i="7"/>
  <c r="F101" i="7"/>
  <c r="K192" i="7"/>
  <c r="K148" i="7"/>
  <c r="K86" i="7"/>
  <c r="K154" i="6"/>
  <c r="K113" i="6"/>
  <c r="L102" i="6"/>
  <c r="K79" i="6"/>
  <c r="M112" i="1"/>
  <c r="K161" i="4"/>
  <c r="K123" i="4"/>
  <c r="L108" i="4"/>
  <c r="K80" i="4"/>
  <c r="L108" i="3"/>
  <c r="L84" i="1"/>
  <c r="K171" i="3"/>
  <c r="K123" i="3"/>
  <c r="K79" i="3"/>
  <c r="AG7" i="8" l="1"/>
  <c r="AF17" i="8"/>
  <c r="Q8" i="8"/>
  <c r="Y9" i="8" s="1"/>
  <c r="AF18" i="8"/>
  <c r="AH19" i="8"/>
  <c r="K102" i="8" s="1"/>
  <c r="AG20" i="8"/>
  <c r="F93" i="8"/>
  <c r="G93" i="8" s="1"/>
  <c r="F96" i="8"/>
  <c r="G96" i="8" s="1"/>
  <c r="E287" i="11"/>
  <c r="G287" i="11" s="1"/>
  <c r="AA41" i="11"/>
  <c r="J287" i="11" s="1"/>
  <c r="E271" i="11"/>
  <c r="G271" i="11" s="1"/>
  <c r="AA39" i="11"/>
  <c r="J271" i="11" s="1"/>
  <c r="G54" i="12"/>
  <c r="F54" i="12"/>
  <c r="I54" i="12"/>
  <c r="L54" i="12"/>
  <c r="AA26" i="11"/>
  <c r="J181" i="11" s="1"/>
  <c r="E181" i="11"/>
  <c r="G181" i="11" s="1"/>
  <c r="I287" i="11"/>
  <c r="I295" i="11"/>
  <c r="H287" i="11"/>
  <c r="H295" i="11"/>
  <c r="M112" i="8"/>
  <c r="Y23" i="8"/>
  <c r="AF4" i="8"/>
  <c r="AH23" i="8"/>
  <c r="K123" i="8" s="1"/>
  <c r="AI25" i="8"/>
  <c r="AF26" i="8"/>
  <c r="AF8" i="8"/>
  <c r="W5" i="8"/>
  <c r="AC13" i="8"/>
  <c r="AB6" i="8"/>
  <c r="I15" i="8" s="1"/>
  <c r="AF13" i="8"/>
  <c r="AI26" i="8"/>
  <c r="AB23" i="8"/>
  <c r="I123" i="8" s="1"/>
  <c r="AC6" i="8"/>
  <c r="F15" i="8"/>
  <c r="G15" i="8" s="1"/>
  <c r="AB27" i="8"/>
  <c r="I159" i="8" s="1"/>
  <c r="X5" i="8"/>
  <c r="AB5" i="8"/>
  <c r="I9" i="8" s="1"/>
  <c r="W6" i="8"/>
  <c r="AG6" i="8"/>
  <c r="X16" i="8"/>
  <c r="AF27" i="8"/>
  <c r="F112" i="8"/>
  <c r="G112" i="8" s="1"/>
  <c r="X12" i="8"/>
  <c r="AF12" i="8"/>
  <c r="AF16" i="8"/>
  <c r="AG9" i="8"/>
  <c r="AG10" i="8"/>
  <c r="X6" i="8"/>
  <c r="AB7" i="8"/>
  <c r="I21" i="8" s="1"/>
  <c r="AC17" i="8"/>
  <c r="F84" i="8"/>
  <c r="L84" i="8" s="1"/>
  <c r="X4" i="8"/>
  <c r="L161" i="4"/>
  <c r="AA19" i="4"/>
  <c r="AA18" i="4"/>
  <c r="L102" i="4" s="1"/>
  <c r="AA23" i="4"/>
  <c r="L140" i="4" s="1"/>
  <c r="AB24" i="4"/>
  <c r="K151" i="4" s="1"/>
  <c r="AB23" i="4"/>
  <c r="K140" i="4" s="1"/>
  <c r="AA20" i="4"/>
  <c r="AA24" i="4"/>
  <c r="L151" i="4" s="1"/>
  <c r="AA25" i="4"/>
  <c r="AA17" i="4"/>
  <c r="L96" i="4" s="1"/>
  <c r="AB19" i="4"/>
  <c r="K111" i="4" s="1"/>
  <c r="AA22" i="4"/>
  <c r="L129" i="4" s="1"/>
  <c r="AA21" i="4"/>
  <c r="AA15" i="4"/>
  <c r="L93" i="4"/>
  <c r="AB16" i="4"/>
  <c r="K87" i="4" s="1"/>
  <c r="K93" i="4"/>
  <c r="AA16" i="4"/>
  <c r="W23" i="7"/>
  <c r="F116" i="7" s="1"/>
  <c r="AA28" i="7"/>
  <c r="L128" i="7" s="1"/>
  <c r="W21" i="7"/>
  <c r="F110" i="7" s="1"/>
  <c r="W25" i="7"/>
  <c r="F119" i="7" s="1"/>
  <c r="Y21" i="7"/>
  <c r="I110" i="7" s="1"/>
  <c r="AA27" i="7"/>
  <c r="L125" i="7" s="1"/>
  <c r="AA38" i="7"/>
  <c r="L187" i="7" s="1"/>
  <c r="Y38" i="7"/>
  <c r="I187" i="7" s="1"/>
  <c r="W38" i="7"/>
  <c r="F187" i="7" s="1"/>
  <c r="AA29" i="7"/>
  <c r="L132" i="7" s="1"/>
  <c r="Y20" i="7"/>
  <c r="I107" i="7" s="1"/>
  <c r="AA23" i="7"/>
  <c r="L116" i="7" s="1"/>
  <c r="Y23" i="7"/>
  <c r="I116" i="7" s="1"/>
  <c r="W20" i="7"/>
  <c r="F107" i="7" s="1"/>
  <c r="AA20" i="7"/>
  <c r="L107" i="7" s="1"/>
  <c r="AA33" i="7"/>
  <c r="AB38" i="7"/>
  <c r="K187" i="7" s="1"/>
  <c r="Y25" i="7"/>
  <c r="I119" i="7" s="1"/>
  <c r="AA39" i="7"/>
  <c r="L192" i="7" s="1"/>
  <c r="AA17" i="7"/>
  <c r="AA31" i="7"/>
  <c r="AB37" i="7"/>
  <c r="K176" i="7" s="1"/>
  <c r="AA16" i="7"/>
  <c r="AA10" i="7"/>
  <c r="AA7" i="7"/>
  <c r="AA35" i="7"/>
  <c r="L164" i="7" s="1"/>
  <c r="AA15" i="7"/>
  <c r="AA8" i="7"/>
  <c r="AA34" i="7"/>
  <c r="L151" i="7" s="1"/>
  <c r="AA14" i="7"/>
  <c r="L74" i="7" s="1"/>
  <c r="AA12" i="7"/>
  <c r="AA32" i="7"/>
  <c r="AA9" i="7"/>
  <c r="AB32" i="7"/>
  <c r="AA11" i="7"/>
  <c r="AA30" i="7"/>
  <c r="AB31" i="7"/>
  <c r="K142" i="7" s="1"/>
  <c r="AA5" i="7"/>
  <c r="AA6" i="7"/>
  <c r="AA4" i="7"/>
  <c r="AB30" i="7"/>
  <c r="Y14" i="7"/>
  <c r="I74" i="7" s="1"/>
  <c r="W17" i="7"/>
  <c r="F93" i="7" s="1"/>
  <c r="W35" i="7"/>
  <c r="F164" i="7" s="1"/>
  <c r="Y32" i="7"/>
  <c r="I145" i="7" s="1"/>
  <c r="R8" i="7"/>
  <c r="Z7" i="7" s="1"/>
  <c r="Y15" i="7"/>
  <c r="I80" i="7" s="1"/>
  <c r="W34" i="7"/>
  <c r="F151" i="7" s="1"/>
  <c r="Y17" i="7"/>
  <c r="I93" i="7" s="1"/>
  <c r="W31" i="7"/>
  <c r="F142" i="7" s="1"/>
  <c r="W14" i="7"/>
  <c r="F74" i="7" s="1"/>
  <c r="Y34" i="7"/>
  <c r="I151" i="7" s="1"/>
  <c r="Y13" i="7"/>
  <c r="I61" i="7" s="1"/>
  <c r="W15" i="7"/>
  <c r="F80" i="7" s="1"/>
  <c r="L80" i="7" s="1"/>
  <c r="Y31" i="7"/>
  <c r="I142" i="7" s="1"/>
  <c r="AA17" i="6"/>
  <c r="L95" i="6" s="1"/>
  <c r="AA24" i="6"/>
  <c r="L139" i="6" s="1"/>
  <c r="AA16" i="6"/>
  <c r="AA23" i="6"/>
  <c r="L128" i="6" s="1"/>
  <c r="AA4" i="6"/>
  <c r="AA22" i="6"/>
  <c r="L117" i="6" s="1"/>
  <c r="AA21" i="6"/>
  <c r="AA15" i="6"/>
  <c r="AA13" i="6"/>
  <c r="L62" i="6" s="1"/>
  <c r="AA20" i="6"/>
  <c r="AA14" i="6"/>
  <c r="AA18" i="6"/>
  <c r="L99" i="6" s="1"/>
  <c r="AA10" i="6"/>
  <c r="AA9" i="6"/>
  <c r="AA5" i="6"/>
  <c r="AA6" i="6"/>
  <c r="AA11" i="6"/>
  <c r="AA8" i="6"/>
  <c r="AA12" i="6"/>
  <c r="AA7" i="6"/>
  <c r="AA13" i="4"/>
  <c r="L62" i="4" s="1"/>
  <c r="AA14" i="4"/>
  <c r="W15" i="6"/>
  <c r="F79" i="6" s="1"/>
  <c r="AA8" i="4"/>
  <c r="AA11" i="4"/>
  <c r="AA6" i="4"/>
  <c r="AA4" i="4"/>
  <c r="AA7" i="4"/>
  <c r="AA12" i="4"/>
  <c r="AA10" i="4"/>
  <c r="AA5" i="4"/>
  <c r="AA9" i="4"/>
  <c r="W30" i="7"/>
  <c r="F139" i="7" s="1"/>
  <c r="L139" i="7" s="1"/>
  <c r="W37" i="7"/>
  <c r="F176" i="7" s="1"/>
  <c r="L80" i="9"/>
  <c r="K162" i="9"/>
  <c r="K80" i="9"/>
  <c r="Z15" i="9"/>
  <c r="I94" i="9" s="1"/>
  <c r="K178" i="9"/>
  <c r="AC15" i="9"/>
  <c r="K94" i="9" s="1"/>
  <c r="Q8" i="9"/>
  <c r="X9" i="9" s="1"/>
  <c r="R8" i="9"/>
  <c r="AA11" i="9" s="1"/>
  <c r="K110" i="9"/>
  <c r="AB15" i="9"/>
  <c r="L94" i="9" s="1"/>
  <c r="W19" i="9"/>
  <c r="F113" i="9" s="1"/>
  <c r="AB21" i="9"/>
  <c r="L122" i="9" s="1"/>
  <c r="K113" i="9"/>
  <c r="Z23" i="9"/>
  <c r="I141" i="9" s="1"/>
  <c r="Q8" i="10"/>
  <c r="R8" i="10"/>
  <c r="W15" i="9"/>
  <c r="Z19" i="9"/>
  <c r="I113" i="9" s="1"/>
  <c r="AA23" i="9"/>
  <c r="AB26" i="9"/>
  <c r="Y23" i="6"/>
  <c r="I128" i="6" s="1"/>
  <c r="Q8" i="3"/>
  <c r="Y5" i="3" s="1"/>
  <c r="I9" i="3" s="1"/>
  <c r="M129" i="3"/>
  <c r="L129" i="3"/>
  <c r="R8" i="3"/>
  <c r="X23" i="3" s="1"/>
  <c r="L96" i="3"/>
  <c r="L102" i="3"/>
  <c r="Y25" i="3"/>
  <c r="I171" i="3" s="1"/>
  <c r="K111" i="3"/>
  <c r="K140" i="3"/>
  <c r="K86" i="3"/>
  <c r="W18" i="6"/>
  <c r="F99" i="6" s="1"/>
  <c r="Y22" i="6"/>
  <c r="W19" i="6"/>
  <c r="F105" i="6" s="1"/>
  <c r="L105" i="6" s="1"/>
  <c r="R8" i="6"/>
  <c r="Z12" i="6" s="1"/>
  <c r="Y15" i="6"/>
  <c r="K139" i="6"/>
  <c r="Y18" i="6"/>
  <c r="Y19" i="6"/>
  <c r="W14" i="6"/>
  <c r="F73" i="6" s="1"/>
  <c r="W22" i="6"/>
  <c r="F117" i="6" s="1"/>
  <c r="W23" i="6"/>
  <c r="F128" i="6" s="1"/>
  <c r="Y14" i="6"/>
  <c r="Y30" i="7"/>
  <c r="I139" i="7" s="1"/>
  <c r="K139" i="7"/>
  <c r="L3" i="8"/>
  <c r="AB9" i="8"/>
  <c r="I35" i="8" s="1"/>
  <c r="X20" i="8"/>
  <c r="AC25" i="8"/>
  <c r="G84" i="8"/>
  <c r="W4" i="8"/>
  <c r="Y6" i="8"/>
  <c r="Y7" i="8"/>
  <c r="W8" i="8"/>
  <c r="AB8" i="8"/>
  <c r="I29" i="8" s="1"/>
  <c r="AG8" i="8"/>
  <c r="W9" i="8"/>
  <c r="AC9" i="8"/>
  <c r="W11" i="8"/>
  <c r="AB12" i="8"/>
  <c r="I53" i="8" s="1"/>
  <c r="Y13" i="8"/>
  <c r="AG13" i="8"/>
  <c r="AB16" i="8"/>
  <c r="I84" i="8" s="1"/>
  <c r="X17" i="8"/>
  <c r="W18" i="8"/>
  <c r="F21" i="8"/>
  <c r="X22" i="8"/>
  <c r="AF22" i="8"/>
  <c r="AC23" i="8"/>
  <c r="W27" i="8"/>
  <c r="F159" i="8" s="1"/>
  <c r="AG27" i="8"/>
  <c r="F47" i="8"/>
  <c r="F71" i="8"/>
  <c r="L96" i="8"/>
  <c r="AC26" i="8"/>
  <c r="X26" i="8"/>
  <c r="X24" i="8"/>
  <c r="AC21" i="8"/>
  <c r="X21" i="8"/>
  <c r="AB20" i="8"/>
  <c r="I106" i="8" s="1"/>
  <c r="W20" i="8"/>
  <c r="AB18" i="8"/>
  <c r="I96" i="8" s="1"/>
  <c r="AC15" i="8"/>
  <c r="X15" i="8"/>
  <c r="AB14" i="8"/>
  <c r="I71" i="8" s="1"/>
  <c r="X14" i="8"/>
  <c r="W13" i="8"/>
  <c r="AC11" i="8"/>
  <c r="Y11" i="8"/>
  <c r="AB10" i="8"/>
  <c r="I41" i="8" s="1"/>
  <c r="X10" i="8"/>
  <c r="AC27" i="8"/>
  <c r="X27" i="8"/>
  <c r="AC22" i="8"/>
  <c r="Y22" i="8"/>
  <c r="AB21" i="8"/>
  <c r="I109" i="8" s="1"/>
  <c r="W21" i="8"/>
  <c r="AB19" i="8"/>
  <c r="I102" i="8" s="1"/>
  <c r="AC16" i="8"/>
  <c r="Y16" i="8"/>
  <c r="AB15" i="8"/>
  <c r="I77" i="8" s="1"/>
  <c r="W15" i="8"/>
  <c r="W14" i="8"/>
  <c r="AC12" i="8"/>
  <c r="Y12" i="8"/>
  <c r="AB11" i="8"/>
  <c r="I47" i="8" s="1"/>
  <c r="X11" i="8"/>
  <c r="W10" i="8"/>
  <c r="W7" i="8"/>
  <c r="AC5" i="8"/>
  <c r="Y5" i="8"/>
  <c r="AC4" i="8"/>
  <c r="Y10" i="8"/>
  <c r="X13" i="8"/>
  <c r="AC14" i="8"/>
  <c r="W17" i="8"/>
  <c r="W19" i="8"/>
  <c r="W22" i="8"/>
  <c r="AB4" i="8"/>
  <c r="I3" i="8" s="1"/>
  <c r="L159" i="8"/>
  <c r="L156" i="8"/>
  <c r="L142" i="8"/>
  <c r="F102" i="8"/>
  <c r="F60" i="8"/>
  <c r="F35" i="8"/>
  <c r="AH26" i="8"/>
  <c r="K156" i="8" s="1"/>
  <c r="AG25" i="8"/>
  <c r="AB25" i="8"/>
  <c r="I142" i="8" s="1"/>
  <c r="W25" i="8"/>
  <c r="F142" i="8" s="1"/>
  <c r="AF23" i="8"/>
  <c r="W23" i="8"/>
  <c r="F123" i="8" s="1"/>
  <c r="AG21" i="8"/>
  <c r="AF20" i="8"/>
  <c r="AI18" i="8"/>
  <c r="AI16" i="8"/>
  <c r="AG15" i="8"/>
  <c r="AF14" i="8"/>
  <c r="AG11" i="8"/>
  <c r="AF10" i="8"/>
  <c r="F109" i="8"/>
  <c r="F77" i="8"/>
  <c r="F53" i="8"/>
  <c r="F29" i="8"/>
  <c r="AG26" i="8"/>
  <c r="AB26" i="8"/>
  <c r="I156" i="8" s="1"/>
  <c r="W26" i="8"/>
  <c r="F156" i="8" s="1"/>
  <c r="AF25" i="8"/>
  <c r="AI23" i="8"/>
  <c r="AG22" i="8"/>
  <c r="AF21" i="8"/>
  <c r="AI19" i="8"/>
  <c r="AH18" i="8"/>
  <c r="K90" i="8" s="1"/>
  <c r="AH16" i="8"/>
  <c r="K84" i="8" s="1"/>
  <c r="AF15" i="8"/>
  <c r="AG12" i="8"/>
  <c r="AF11" i="8"/>
  <c r="F9" i="8"/>
  <c r="R8" i="8"/>
  <c r="AG5" i="8"/>
  <c r="AG4" i="8"/>
  <c r="AF5" i="8"/>
  <c r="AF6" i="8"/>
  <c r="AF7" i="8"/>
  <c r="X8" i="8"/>
  <c r="AC8" i="8"/>
  <c r="X9" i="8"/>
  <c r="AF9" i="8"/>
  <c r="AC10" i="8"/>
  <c r="W12" i="8"/>
  <c r="AB13" i="8"/>
  <c r="I60" i="8" s="1"/>
  <c r="Y14" i="8"/>
  <c r="AG14" i="8"/>
  <c r="W16" i="8"/>
  <c r="AB17" i="8"/>
  <c r="I93" i="8" s="1"/>
  <c r="AF19" i="8"/>
  <c r="AC20" i="8"/>
  <c r="X23" i="8"/>
  <c r="AG23" i="8"/>
  <c r="X25" i="8"/>
  <c r="AH25" i="8"/>
  <c r="K142" i="8" s="1"/>
  <c r="F41" i="8"/>
  <c r="L93" i="8"/>
  <c r="F106" i="8"/>
  <c r="L112" i="8"/>
  <c r="Y39" i="7"/>
  <c r="I192" i="7" s="1"/>
  <c r="Y37" i="7"/>
  <c r="I176" i="7" s="1"/>
  <c r="Y33" i="7"/>
  <c r="I148" i="7" s="1"/>
  <c r="W32" i="7"/>
  <c r="F145" i="7" s="1"/>
  <c r="L145" i="7" s="1"/>
  <c r="Y16" i="7"/>
  <c r="I86" i="7" s="1"/>
  <c r="Q8" i="7"/>
  <c r="W13" i="7"/>
  <c r="F61" i="7" s="1"/>
  <c r="W16" i="7"/>
  <c r="F86" i="7" s="1"/>
  <c r="L86" i="7" s="1"/>
  <c r="AB17" i="7"/>
  <c r="K93" i="7" s="1"/>
  <c r="W33" i="7"/>
  <c r="F148" i="7" s="1"/>
  <c r="L148" i="7" s="1"/>
  <c r="Y35" i="7"/>
  <c r="I164" i="7" s="1"/>
  <c r="AB35" i="7"/>
  <c r="K164" i="7" s="1"/>
  <c r="W39" i="7"/>
  <c r="F192" i="7" s="1"/>
  <c r="W13" i="6"/>
  <c r="F62" i="6" s="1"/>
  <c r="W16" i="6"/>
  <c r="F86" i="6" s="1"/>
  <c r="W20" i="6"/>
  <c r="F109" i="6" s="1"/>
  <c r="W24" i="6"/>
  <c r="F139" i="6" s="1"/>
  <c r="Y16" i="6"/>
  <c r="Y20" i="6"/>
  <c r="Y24" i="6"/>
  <c r="I139" i="6" s="1"/>
  <c r="Y13" i="6"/>
  <c r="I62" i="6" s="1"/>
  <c r="W17" i="6"/>
  <c r="F95" i="6" s="1"/>
  <c r="W21" i="6"/>
  <c r="F113" i="6" s="1"/>
  <c r="L113" i="6" s="1"/>
  <c r="Y17" i="6"/>
  <c r="Y21" i="6"/>
  <c r="Y26" i="6"/>
  <c r="I154" i="6" s="1"/>
  <c r="W26" i="6"/>
  <c r="F154" i="6" s="1"/>
  <c r="K128" i="6"/>
  <c r="K105" i="6"/>
  <c r="Q8" i="6"/>
  <c r="K86" i="6"/>
  <c r="W24" i="3"/>
  <c r="F156" i="3" s="1"/>
  <c r="Y24" i="3"/>
  <c r="I156" i="3" s="1"/>
  <c r="W25" i="3"/>
  <c r="F171" i="3" s="1"/>
  <c r="R8" i="4"/>
  <c r="Z14" i="4" s="1"/>
  <c r="W25" i="4"/>
  <c r="F161" i="4" s="1"/>
  <c r="Q8" i="4"/>
  <c r="Y23" i="4"/>
  <c r="I140" i="4" s="1"/>
  <c r="W24" i="4"/>
  <c r="F151" i="4" s="1"/>
  <c r="Y24" i="4"/>
  <c r="I151" i="4" s="1"/>
  <c r="W23" i="4"/>
  <c r="F140" i="4" s="1"/>
  <c r="Y25" i="4"/>
  <c r="I161" i="4" s="1"/>
  <c r="Y23" i="3"/>
  <c r="I140" i="3" s="1"/>
  <c r="W23" i="3"/>
  <c r="F140" i="3" s="1"/>
  <c r="AS25" i="1"/>
  <c r="M60" i="1"/>
  <c r="K159" i="1"/>
  <c r="K77" i="1"/>
  <c r="K109" i="1"/>
  <c r="AV16" i="1"/>
  <c r="L128" i="1"/>
  <c r="AQ14" i="1"/>
  <c r="AO26" i="1"/>
  <c r="AO13" i="1"/>
  <c r="H112" i="1"/>
  <c r="H84" i="1"/>
  <c r="H77" i="1"/>
  <c r="H71" i="1"/>
  <c r="H60" i="1"/>
  <c r="H41" i="1"/>
  <c r="H53" i="1"/>
  <c r="H47" i="1"/>
  <c r="H35" i="1"/>
  <c r="H29" i="1"/>
  <c r="H21" i="1"/>
  <c r="H15" i="1"/>
  <c r="H9" i="1"/>
  <c r="H3" i="1"/>
  <c r="AC24" i="8" l="1"/>
  <c r="AC7" i="8"/>
  <c r="Y8" i="8"/>
  <c r="Y4" i="8"/>
  <c r="AB22" i="8"/>
  <c r="I112" i="8" s="1"/>
  <c r="X7" i="8"/>
  <c r="X10" i="10"/>
  <c r="Z10" i="10"/>
  <c r="Y10" i="10"/>
  <c r="I44" i="10" s="1"/>
  <c r="W10" i="10"/>
  <c r="L79" i="6"/>
  <c r="L86" i="6"/>
  <c r="L73" i="6"/>
  <c r="L109" i="6"/>
  <c r="L142" i="7"/>
  <c r="X4" i="10"/>
  <c r="X21" i="10"/>
  <c r="X16" i="10"/>
  <c r="X15" i="10"/>
  <c r="X14" i="10"/>
  <c r="Z24" i="10"/>
  <c r="Z21" i="10"/>
  <c r="Z16" i="10"/>
  <c r="Z15" i="10"/>
  <c r="Z14" i="10"/>
  <c r="X24" i="10"/>
  <c r="F44" i="10"/>
  <c r="J44" i="10" s="1"/>
  <c r="Y14" i="10"/>
  <c r="Y15" i="10"/>
  <c r="W24" i="10"/>
  <c r="F130" i="10" s="1"/>
  <c r="J130" i="10" s="1"/>
  <c r="W21" i="10"/>
  <c r="F115" i="10" s="1"/>
  <c r="J115" i="10" s="1"/>
  <c r="W16" i="10"/>
  <c r="F80" i="10" s="1"/>
  <c r="J80" i="10" s="1"/>
  <c r="W15" i="10"/>
  <c r="W14" i="10"/>
  <c r="Y24" i="10"/>
  <c r="I130" i="10" s="1"/>
  <c r="Y21" i="10"/>
  <c r="I115" i="10" s="1"/>
  <c r="Y16" i="10"/>
  <c r="I80" i="10" s="1"/>
  <c r="L15" i="8"/>
  <c r="X10" i="7"/>
  <c r="X4" i="7"/>
  <c r="Z6" i="7"/>
  <c r="Z5" i="7"/>
  <c r="Z9" i="7"/>
  <c r="Z8" i="7"/>
  <c r="Z11" i="7"/>
  <c r="Z10" i="7"/>
  <c r="Z4" i="7"/>
  <c r="X6" i="7"/>
  <c r="X12" i="7"/>
  <c r="X9" i="7"/>
  <c r="X11" i="7"/>
  <c r="L104" i="7"/>
  <c r="X5" i="7"/>
  <c r="X7" i="7"/>
  <c r="Z12" i="7"/>
  <c r="X8" i="7"/>
  <c r="L93" i="7"/>
  <c r="X4" i="6"/>
  <c r="X20" i="3"/>
  <c r="X14" i="3"/>
  <c r="X13" i="3"/>
  <c r="X24" i="3"/>
  <c r="X12" i="3"/>
  <c r="Z19" i="3"/>
  <c r="X6" i="3"/>
  <c r="X8" i="3"/>
  <c r="Z17" i="3"/>
  <c r="Z5" i="3"/>
  <c r="X15" i="3"/>
  <c r="Z20" i="3"/>
  <c r="X9" i="3"/>
  <c r="Z16" i="3"/>
  <c r="X18" i="3"/>
  <c r="Z8" i="3"/>
  <c r="X4" i="3"/>
  <c r="Z7" i="3"/>
  <c r="Z18" i="3"/>
  <c r="X17" i="3"/>
  <c r="W10" i="3"/>
  <c r="W17" i="3"/>
  <c r="X16" i="3"/>
  <c r="Z12" i="3"/>
  <c r="Y6" i="3"/>
  <c r="I15" i="3" s="1"/>
  <c r="Y18" i="3"/>
  <c r="I102" i="3" s="1"/>
  <c r="X25" i="3"/>
  <c r="X19" i="3"/>
  <c r="Z15" i="3"/>
  <c r="W18" i="3"/>
  <c r="W16" i="3"/>
  <c r="X22" i="3"/>
  <c r="X5" i="3"/>
  <c r="Z11" i="3"/>
  <c r="W13" i="3"/>
  <c r="X11" i="3"/>
  <c r="W9" i="3"/>
  <c r="Y16" i="3"/>
  <c r="I86" i="3" s="1"/>
  <c r="Y20" i="3"/>
  <c r="I117" i="3" s="1"/>
  <c r="X7" i="3"/>
  <c r="Z21" i="3"/>
  <c r="Y4" i="3"/>
  <c r="I3" i="3" s="1"/>
  <c r="Z13" i="3"/>
  <c r="Z14" i="3"/>
  <c r="Y13" i="3"/>
  <c r="I62" i="3" s="1"/>
  <c r="W14" i="3"/>
  <c r="F73" i="3" s="1"/>
  <c r="X10" i="3"/>
  <c r="X21" i="3"/>
  <c r="Z9" i="3"/>
  <c r="Y9" i="3"/>
  <c r="I37" i="3" s="1"/>
  <c r="W7" i="3"/>
  <c r="Y12" i="3"/>
  <c r="I55" i="3" s="1"/>
  <c r="W20" i="3"/>
  <c r="Y22" i="3"/>
  <c r="I129" i="3" s="1"/>
  <c r="Y8" i="3"/>
  <c r="I31" i="3" s="1"/>
  <c r="W12" i="3"/>
  <c r="W8" i="3"/>
  <c r="W5" i="3"/>
  <c r="F9" i="3" s="1"/>
  <c r="Y15" i="3"/>
  <c r="I79" i="3" s="1"/>
  <c r="Y19" i="3"/>
  <c r="I111" i="3" s="1"/>
  <c r="W19" i="3"/>
  <c r="Y11" i="3"/>
  <c r="I49" i="3" s="1"/>
  <c r="Y14" i="3"/>
  <c r="I73" i="3" s="1"/>
  <c r="W4" i="3"/>
  <c r="W15" i="3"/>
  <c r="Y21" i="3"/>
  <c r="I123" i="3" s="1"/>
  <c r="Y7" i="3"/>
  <c r="I21" i="3" s="1"/>
  <c r="W6" i="3"/>
  <c r="W22" i="3"/>
  <c r="F129" i="3" s="1"/>
  <c r="J129" i="3" s="1"/>
  <c r="W11" i="3"/>
  <c r="Y17" i="3"/>
  <c r="I96" i="3" s="1"/>
  <c r="Y10" i="3"/>
  <c r="I43" i="3" s="1"/>
  <c r="W21" i="3"/>
  <c r="W28" i="9"/>
  <c r="F183" i="9" s="1"/>
  <c r="J183" i="9" s="1"/>
  <c r="Z11" i="9"/>
  <c r="I67" i="9" s="1"/>
  <c r="W13" i="9"/>
  <c r="Z20" i="9"/>
  <c r="I117" i="9" s="1"/>
  <c r="W4" i="10"/>
  <c r="F3" i="10" s="1"/>
  <c r="J3" i="10" s="1"/>
  <c r="Z11" i="10"/>
  <c r="X11" i="10"/>
  <c r="Z28" i="10"/>
  <c r="J165" i="10" s="1"/>
  <c r="X28" i="10"/>
  <c r="G165" i="10" s="1"/>
  <c r="X29" i="10"/>
  <c r="Z29" i="10"/>
  <c r="X12" i="10"/>
  <c r="Z12" i="10"/>
  <c r="Y11" i="10"/>
  <c r="I50" i="10" s="1"/>
  <c r="W29" i="10"/>
  <c r="F168" i="10" s="1"/>
  <c r="J168" i="10" s="1"/>
  <c r="W12" i="10"/>
  <c r="F56" i="10" s="1"/>
  <c r="J56" i="10" s="1"/>
  <c r="W28" i="10"/>
  <c r="F165" i="10" s="1"/>
  <c r="Y12" i="10"/>
  <c r="I56" i="10" s="1"/>
  <c r="W11" i="10"/>
  <c r="F50" i="10" s="1"/>
  <c r="J50" i="10" s="1"/>
  <c r="Y28" i="10"/>
  <c r="Y29" i="10"/>
  <c r="I168" i="10" s="1"/>
  <c r="Z27" i="10"/>
  <c r="J162" i="10" s="1"/>
  <c r="X27" i="10"/>
  <c r="G162" i="10" s="1"/>
  <c r="Y27" i="10"/>
  <c r="W27" i="10"/>
  <c r="F162" i="10" s="1"/>
  <c r="Z26" i="10"/>
  <c r="J147" i="10" s="1"/>
  <c r="X26" i="10"/>
  <c r="G147" i="10" s="1"/>
  <c r="Y26" i="10"/>
  <c r="I147" i="10" s="1"/>
  <c r="W26" i="10"/>
  <c r="F147" i="10" s="1"/>
  <c r="Z25" i="10"/>
  <c r="X25" i="10"/>
  <c r="Y25" i="10"/>
  <c r="I136" i="10" s="1"/>
  <c r="W25" i="10"/>
  <c r="F136" i="10" s="1"/>
  <c r="J136" i="10" s="1"/>
  <c r="X23" i="10"/>
  <c r="Z20" i="10"/>
  <c r="X22" i="10"/>
  <c r="Z22" i="10"/>
  <c r="Z19" i="10"/>
  <c r="X19" i="10"/>
  <c r="X20" i="10"/>
  <c r="Z23" i="10"/>
  <c r="Y23" i="10"/>
  <c r="I125" i="10" s="1"/>
  <c r="W22" i="10"/>
  <c r="F120" i="10" s="1"/>
  <c r="J120" i="10" s="1"/>
  <c r="W20" i="10"/>
  <c r="F107" i="10" s="1"/>
  <c r="J107" i="10" s="1"/>
  <c r="Y22" i="10"/>
  <c r="I120" i="10" s="1"/>
  <c r="W23" i="10"/>
  <c r="F125" i="10" s="1"/>
  <c r="J125" i="10" s="1"/>
  <c r="Y20" i="10"/>
  <c r="I107" i="10" s="1"/>
  <c r="Y19" i="10"/>
  <c r="I102" i="10" s="1"/>
  <c r="W19" i="10"/>
  <c r="F102" i="10" s="1"/>
  <c r="J102" i="10" s="1"/>
  <c r="X18" i="10"/>
  <c r="Z18" i="10"/>
  <c r="W18" i="10"/>
  <c r="F93" i="10" s="1"/>
  <c r="J93" i="10" s="1"/>
  <c r="Y18" i="10"/>
  <c r="I93" i="10" s="1"/>
  <c r="Z17" i="10"/>
  <c r="Y17" i="10"/>
  <c r="I85" i="10" s="1"/>
  <c r="X17" i="10"/>
  <c r="W17" i="10"/>
  <c r="F85" i="10" s="1"/>
  <c r="J85" i="10" s="1"/>
  <c r="F75" i="10"/>
  <c r="J75" i="10" s="1"/>
  <c r="F70" i="10"/>
  <c r="J70" i="10" s="1"/>
  <c r="W13" i="10"/>
  <c r="F63" i="10" s="1"/>
  <c r="J63" i="10" s="1"/>
  <c r="X13" i="10"/>
  <c r="Z13" i="10"/>
  <c r="Y13" i="10"/>
  <c r="I63" i="10" s="1"/>
  <c r="W9" i="10"/>
  <c r="Y9" i="10"/>
  <c r="I38" i="10" s="1"/>
  <c r="X9" i="10"/>
  <c r="Z9" i="10"/>
  <c r="Y8" i="10"/>
  <c r="I32" i="10" s="1"/>
  <c r="X8" i="10"/>
  <c r="Z8" i="10"/>
  <c r="W8" i="10"/>
  <c r="X7" i="10"/>
  <c r="Z7" i="10"/>
  <c r="Y7" i="10"/>
  <c r="I22" i="10" s="1"/>
  <c r="X6" i="10"/>
  <c r="Z6" i="10"/>
  <c r="W7" i="10"/>
  <c r="W6" i="10"/>
  <c r="F16" i="10" s="1"/>
  <c r="J16" i="10" s="1"/>
  <c r="Y6" i="10"/>
  <c r="I16" i="10" s="1"/>
  <c r="Y5" i="10"/>
  <c r="I10" i="10" s="1"/>
  <c r="W5" i="10"/>
  <c r="F10" i="10" s="1"/>
  <c r="J10" i="10" s="1"/>
  <c r="Z5" i="10"/>
  <c r="X5" i="10"/>
  <c r="Z4" i="10"/>
  <c r="Y4" i="10"/>
  <c r="I3" i="10" s="1"/>
  <c r="Y12" i="9"/>
  <c r="Y6" i="9"/>
  <c r="W21" i="9"/>
  <c r="F122" i="9" s="1"/>
  <c r="Y9" i="9"/>
  <c r="Y21" i="9"/>
  <c r="Z26" i="9"/>
  <c r="X22" i="9"/>
  <c r="W10" i="9"/>
  <c r="F45" i="9" s="1"/>
  <c r="X7" i="9"/>
  <c r="W22" i="9"/>
  <c r="F128" i="9" s="1"/>
  <c r="W20" i="9"/>
  <c r="F117" i="9" s="1"/>
  <c r="AA24" i="9"/>
  <c r="Z13" i="9"/>
  <c r="I80" i="9" s="1"/>
  <c r="Y13" i="9"/>
  <c r="W27" i="9"/>
  <c r="F178" i="9" s="1"/>
  <c r="W5" i="9"/>
  <c r="F10" i="9" s="1"/>
  <c r="W4" i="9"/>
  <c r="F3" i="9" s="1"/>
  <c r="J3" i="9" s="1"/>
  <c r="Z24" i="9"/>
  <c r="I146" i="9" s="1"/>
  <c r="X10" i="9"/>
  <c r="W24" i="9"/>
  <c r="F146" i="9" s="1"/>
  <c r="Z12" i="9"/>
  <c r="I73" i="9" s="1"/>
  <c r="W26" i="9"/>
  <c r="Z21" i="9"/>
  <c r="I122" i="9" s="1"/>
  <c r="W7" i="9"/>
  <c r="F28" i="9" s="1"/>
  <c r="X23" i="9"/>
  <c r="Z25" i="9"/>
  <c r="I162" i="9" s="1"/>
  <c r="W16" i="9"/>
  <c r="F103" i="9" s="1"/>
  <c r="J103" i="9" s="1"/>
  <c r="W12" i="9"/>
  <c r="F73" i="9" s="1"/>
  <c r="Y20" i="9"/>
  <c r="Z22" i="9"/>
  <c r="I128" i="9" s="1"/>
  <c r="X13" i="9"/>
  <c r="W23" i="9"/>
  <c r="F141" i="9" s="1"/>
  <c r="J141" i="9" s="1"/>
  <c r="Y4" i="9"/>
  <c r="X6" i="9"/>
  <c r="W9" i="9"/>
  <c r="F38" i="9" s="1"/>
  <c r="J38" i="9" s="1"/>
  <c r="W6" i="9"/>
  <c r="F16" i="9" s="1"/>
  <c r="J16" i="9" s="1"/>
  <c r="X5" i="9"/>
  <c r="Z27" i="9"/>
  <c r="I178" i="9" s="1"/>
  <c r="W25" i="9"/>
  <c r="F162" i="9" s="1"/>
  <c r="Z28" i="9"/>
  <c r="I183" i="9" s="1"/>
  <c r="X4" i="9"/>
  <c r="W11" i="9"/>
  <c r="F67" i="9" s="1"/>
  <c r="J67" i="9" s="1"/>
  <c r="Z6" i="9"/>
  <c r="I16" i="9" s="1"/>
  <c r="AA20" i="9"/>
  <c r="AA12" i="9"/>
  <c r="Y7" i="9"/>
  <c r="Y10" i="9"/>
  <c r="AA13" i="9"/>
  <c r="Y24" i="9"/>
  <c r="G162" i="9" s="1"/>
  <c r="AA4" i="9"/>
  <c r="AA10" i="9"/>
  <c r="AA7" i="9"/>
  <c r="AA9" i="9"/>
  <c r="AA6" i="9"/>
  <c r="AA5" i="9"/>
  <c r="Y5" i="9"/>
  <c r="Y28" i="9"/>
  <c r="AA16" i="9"/>
  <c r="Z10" i="9"/>
  <c r="I45" i="9" s="1"/>
  <c r="Z7" i="9"/>
  <c r="I28" i="9" s="1"/>
  <c r="Z9" i="9"/>
  <c r="I38" i="9" s="1"/>
  <c r="Z16" i="9"/>
  <c r="I103" i="9" s="1"/>
  <c r="Z5" i="9"/>
  <c r="I10" i="9" s="1"/>
  <c r="Z4" i="9"/>
  <c r="I3" i="9" s="1"/>
  <c r="AA25" i="9"/>
  <c r="J162" i="9" s="1"/>
  <c r="Y11" i="9"/>
  <c r="AA27" i="9"/>
  <c r="J178" i="9" s="1"/>
  <c r="AA22" i="9"/>
  <c r="AA21" i="9"/>
  <c r="AA28" i="9"/>
  <c r="Y23" i="9"/>
  <c r="Y25" i="9"/>
  <c r="Y26" i="9"/>
  <c r="Y22" i="9"/>
  <c r="Y16" i="9"/>
  <c r="AA26" i="9"/>
  <c r="X11" i="9"/>
  <c r="X11" i="6"/>
  <c r="X6" i="6"/>
  <c r="Z7" i="6"/>
  <c r="X5" i="6"/>
  <c r="Z22" i="3"/>
  <c r="Z10" i="3"/>
  <c r="Z4" i="3"/>
  <c r="Z6" i="3"/>
  <c r="Z4" i="6"/>
  <c r="Z9" i="6"/>
  <c r="Z11" i="6"/>
  <c r="X12" i="6"/>
  <c r="X9" i="6"/>
  <c r="Z8" i="6"/>
  <c r="Z6" i="6"/>
  <c r="Z5" i="6"/>
  <c r="X7" i="6"/>
  <c r="X10" i="6"/>
  <c r="X8" i="6"/>
  <c r="Z10" i="6"/>
  <c r="J43" i="6" s="1"/>
  <c r="G29" i="8"/>
  <c r="L29" i="8"/>
  <c r="G102" i="8"/>
  <c r="L102" i="8"/>
  <c r="AE27" i="8"/>
  <c r="Z27" i="8"/>
  <c r="AA23" i="8"/>
  <c r="AD22" i="8"/>
  <c r="J112" i="8" s="1"/>
  <c r="Z22" i="8"/>
  <c r="AD19" i="8"/>
  <c r="AE17" i="8"/>
  <c r="AA17" i="8"/>
  <c r="AD16" i="8"/>
  <c r="J84" i="8" s="1"/>
  <c r="Z16" i="8"/>
  <c r="AE13" i="8"/>
  <c r="AA13" i="8"/>
  <c r="AD12" i="8"/>
  <c r="J53" i="8" s="1"/>
  <c r="Z12" i="8"/>
  <c r="AE9" i="8"/>
  <c r="AA9" i="8"/>
  <c r="AA25" i="8"/>
  <c r="AE24" i="8"/>
  <c r="AE23" i="8"/>
  <c r="Z23" i="8"/>
  <c r="AE20" i="8"/>
  <c r="AA20" i="8"/>
  <c r="Z18" i="8"/>
  <c r="AD17" i="8"/>
  <c r="J93" i="8" s="1"/>
  <c r="Z17" i="8"/>
  <c r="AE14" i="8"/>
  <c r="AA14" i="8"/>
  <c r="AD13" i="8"/>
  <c r="Z13" i="8"/>
  <c r="AE10" i="8"/>
  <c r="AA10" i="8"/>
  <c r="AD9" i="8"/>
  <c r="J35" i="8" s="1"/>
  <c r="Z9" i="8"/>
  <c r="AD8" i="8"/>
  <c r="J29" i="8" s="1"/>
  <c r="Z8" i="8"/>
  <c r="AE7" i="8"/>
  <c r="AA7" i="8"/>
  <c r="AD6" i="8"/>
  <c r="J15" i="8" s="1"/>
  <c r="Z6" i="8"/>
  <c r="AA27" i="8"/>
  <c r="AE26" i="8"/>
  <c r="AA22" i="8"/>
  <c r="AD21" i="8"/>
  <c r="J109" i="8" s="1"/>
  <c r="AD18" i="8"/>
  <c r="AE16" i="8"/>
  <c r="Z15" i="8"/>
  <c r="AE12" i="8"/>
  <c r="Z11" i="8"/>
  <c r="Z7" i="8"/>
  <c r="AA6" i="8"/>
  <c r="AA5" i="8"/>
  <c r="AA24" i="8"/>
  <c r="Z21" i="8"/>
  <c r="AA16" i="8"/>
  <c r="AD15" i="8"/>
  <c r="J77" i="8" s="1"/>
  <c r="AA12" i="8"/>
  <c r="AD11" i="8"/>
  <c r="J47" i="8" s="1"/>
  <c r="AD5" i="8"/>
  <c r="J9" i="8" s="1"/>
  <c r="AD10" i="8"/>
  <c r="J41" i="8" s="1"/>
  <c r="AE8" i="8"/>
  <c r="AE25" i="8"/>
  <c r="AA21" i="8"/>
  <c r="Z20" i="8"/>
  <c r="Z19" i="8"/>
  <c r="AE15" i="8"/>
  <c r="AD14" i="8"/>
  <c r="AE11" i="8"/>
  <c r="Z10" i="8"/>
  <c r="AD7" i="8"/>
  <c r="J21" i="8" s="1"/>
  <c r="AE6" i="8"/>
  <c r="AE5" i="8"/>
  <c r="Z5" i="8"/>
  <c r="AA4" i="8"/>
  <c r="Z26" i="8"/>
  <c r="AE22" i="8"/>
  <c r="AA8" i="8"/>
  <c r="AE4" i="8"/>
  <c r="Z4" i="8"/>
  <c r="Z25" i="8"/>
  <c r="AE21" i="8"/>
  <c r="AD20" i="8"/>
  <c r="J106" i="8" s="1"/>
  <c r="AA15" i="8"/>
  <c r="Z14" i="8"/>
  <c r="AA11" i="8"/>
  <c r="AD4" i="8"/>
  <c r="J3" i="8" s="1"/>
  <c r="L41" i="8"/>
  <c r="G41" i="8"/>
  <c r="L9" i="8"/>
  <c r="G9" i="8"/>
  <c r="L77" i="8"/>
  <c r="G77" i="8"/>
  <c r="L35" i="8"/>
  <c r="G35" i="8"/>
  <c r="G21" i="8"/>
  <c r="L21" i="8"/>
  <c r="G106" i="8"/>
  <c r="L106" i="8"/>
  <c r="G47" i="8"/>
  <c r="L47" i="8"/>
  <c r="G53" i="8"/>
  <c r="L53" i="8"/>
  <c r="L109" i="8"/>
  <c r="G109" i="8"/>
  <c r="L60" i="8"/>
  <c r="G60" i="8"/>
  <c r="M60" i="8"/>
  <c r="G71" i="8"/>
  <c r="L71" i="8"/>
  <c r="Y12" i="7"/>
  <c r="I54" i="7" s="1"/>
  <c r="W11" i="7"/>
  <c r="Y5" i="7"/>
  <c r="I9" i="7" s="1"/>
  <c r="Y4" i="7"/>
  <c r="I3" i="7" s="1"/>
  <c r="Y7" i="7"/>
  <c r="I21" i="7" s="1"/>
  <c r="W7" i="7"/>
  <c r="F21" i="7" s="1"/>
  <c r="J21" i="7" s="1"/>
  <c r="Y6" i="7"/>
  <c r="I15" i="7" s="1"/>
  <c r="W6" i="7"/>
  <c r="W5" i="7"/>
  <c r="Y11" i="7"/>
  <c r="I48" i="7" s="1"/>
  <c r="W10" i="7"/>
  <c r="F42" i="7" s="1"/>
  <c r="J42" i="7" s="1"/>
  <c r="W9" i="7"/>
  <c r="F36" i="7" s="1"/>
  <c r="J36" i="7" s="1"/>
  <c r="Y8" i="7"/>
  <c r="I30" i="7" s="1"/>
  <c r="W8" i="7"/>
  <c r="F30" i="7" s="1"/>
  <c r="J30" i="7" s="1"/>
  <c r="W12" i="7"/>
  <c r="F54" i="7" s="1"/>
  <c r="J54" i="7" s="1"/>
  <c r="W4" i="7"/>
  <c r="Y10" i="7"/>
  <c r="I42" i="7" s="1"/>
  <c r="Y9" i="7"/>
  <c r="I36" i="7" s="1"/>
  <c r="I117" i="6"/>
  <c r="I86" i="6"/>
  <c r="Y12" i="6"/>
  <c r="I55" i="6" s="1"/>
  <c r="W11" i="6"/>
  <c r="Y5" i="6"/>
  <c r="I9" i="6" s="1"/>
  <c r="I79" i="6"/>
  <c r="Y11" i="6"/>
  <c r="I49" i="6" s="1"/>
  <c r="Y10" i="6"/>
  <c r="I43" i="6" s="1"/>
  <c r="W10" i="6"/>
  <c r="Y9" i="6"/>
  <c r="I37" i="6" s="1"/>
  <c r="W9" i="6"/>
  <c r="Y8" i="6"/>
  <c r="I31" i="6" s="1"/>
  <c r="W8" i="6"/>
  <c r="I99" i="6"/>
  <c r="W6" i="6"/>
  <c r="Y4" i="6"/>
  <c r="I3" i="6" s="1"/>
  <c r="I105" i="6"/>
  <c r="I109" i="6"/>
  <c r="Y7" i="6"/>
  <c r="I21" i="6" s="1"/>
  <c r="W7" i="6"/>
  <c r="Y6" i="6"/>
  <c r="I15" i="6" s="1"/>
  <c r="I113" i="6"/>
  <c r="W5" i="6"/>
  <c r="F9" i="6" s="1"/>
  <c r="J9" i="6" s="1"/>
  <c r="I95" i="6"/>
  <c r="W12" i="6"/>
  <c r="F55" i="6" s="1"/>
  <c r="J55" i="6" s="1"/>
  <c r="I73" i="6"/>
  <c r="W4" i="6"/>
  <c r="Y21" i="4"/>
  <c r="I123" i="4" s="1"/>
  <c r="W21" i="4"/>
  <c r="Y19" i="4"/>
  <c r="I111" i="4" s="1"/>
  <c r="Y15" i="4"/>
  <c r="I80" i="4" s="1"/>
  <c r="W15" i="4"/>
  <c r="W14" i="4"/>
  <c r="Y11" i="4"/>
  <c r="I49" i="4" s="1"/>
  <c r="W10" i="4"/>
  <c r="W7" i="4"/>
  <c r="Y10" i="4"/>
  <c r="I43" i="4" s="1"/>
  <c r="Y9" i="4"/>
  <c r="I37" i="4" s="1"/>
  <c r="W9" i="4"/>
  <c r="Y8" i="4"/>
  <c r="I31" i="4" s="1"/>
  <c r="W8" i="4"/>
  <c r="F31" i="4" s="1"/>
  <c r="J31" i="4" s="1"/>
  <c r="W4" i="4"/>
  <c r="W20" i="4"/>
  <c r="W22" i="4"/>
  <c r="Y20" i="4"/>
  <c r="I117" i="4" s="1"/>
  <c r="W19" i="4"/>
  <c r="F111" i="4" s="1"/>
  <c r="W6" i="4"/>
  <c r="Y18" i="4"/>
  <c r="I102" i="4" s="1"/>
  <c r="Y14" i="4"/>
  <c r="I74" i="4" s="1"/>
  <c r="Y12" i="4"/>
  <c r="I55" i="4" s="1"/>
  <c r="Y5" i="4"/>
  <c r="I9" i="4" s="1"/>
  <c r="Y17" i="4"/>
  <c r="I96" i="4" s="1"/>
  <c r="Y16" i="4"/>
  <c r="I87" i="4" s="1"/>
  <c r="W13" i="4"/>
  <c r="W12" i="4"/>
  <c r="W11" i="4"/>
  <c r="Y6" i="4"/>
  <c r="I15" i="4" s="1"/>
  <c r="Y22" i="4"/>
  <c r="I129" i="4" s="1"/>
  <c r="W17" i="4"/>
  <c r="F96" i="4" s="1"/>
  <c r="J96" i="4" s="1"/>
  <c r="W5" i="4"/>
  <c r="Y4" i="4"/>
  <c r="I3" i="4" s="1"/>
  <c r="W18" i="4"/>
  <c r="F102" i="4" s="1"/>
  <c r="W16" i="4"/>
  <c r="Y13" i="4"/>
  <c r="I62" i="4" s="1"/>
  <c r="Y7" i="4"/>
  <c r="I21" i="4" s="1"/>
  <c r="X23" i="4"/>
  <c r="X18" i="4"/>
  <c r="Z17" i="4"/>
  <c r="X17" i="4"/>
  <c r="Z13" i="4"/>
  <c r="X13" i="4"/>
  <c r="Z9" i="4"/>
  <c r="X9" i="4"/>
  <c r="Z8" i="4"/>
  <c r="X8" i="4"/>
  <c r="Z6" i="4"/>
  <c r="X6" i="4"/>
  <c r="X25" i="4"/>
  <c r="X24" i="4"/>
  <c r="X22" i="4"/>
  <c r="X21" i="4"/>
  <c r="Z20" i="4"/>
  <c r="Z19" i="4"/>
  <c r="X14" i="4"/>
  <c r="Z7" i="4"/>
  <c r="X5" i="4"/>
  <c r="Z22" i="4"/>
  <c r="X19" i="4"/>
  <c r="Z18" i="4"/>
  <c r="X10" i="4"/>
  <c r="Z21" i="4"/>
  <c r="J123" i="4" s="1"/>
  <c r="X16" i="4"/>
  <c r="X15" i="4"/>
  <c r="X12" i="4"/>
  <c r="X11" i="4"/>
  <c r="Z16" i="4"/>
  <c r="Z15" i="4"/>
  <c r="X7" i="4"/>
  <c r="Z12" i="4"/>
  <c r="Z10" i="4"/>
  <c r="X4" i="4"/>
  <c r="X20" i="4"/>
  <c r="Z4" i="4"/>
  <c r="Z11" i="4"/>
  <c r="Z5" i="4"/>
  <c r="AP26" i="1"/>
  <c r="AR14" i="1"/>
  <c r="AO4" i="1"/>
  <c r="AT23" i="1"/>
  <c r="AQ7" i="1"/>
  <c r="AT25" i="1"/>
  <c r="AS19" i="1"/>
  <c r="AO16" i="1"/>
  <c r="AQ21" i="1"/>
  <c r="AP4" i="1"/>
  <c r="AR5" i="1"/>
  <c r="AO6" i="1"/>
  <c r="AU25" i="1"/>
  <c r="AQ5" i="1"/>
  <c r="AR21" i="1"/>
  <c r="AQ23" i="1"/>
  <c r="AP18" i="1"/>
  <c r="AR23" i="1"/>
  <c r="AO19" i="1"/>
  <c r="L102" i="1" s="1"/>
  <c r="AQ25" i="1"/>
  <c r="AV25" i="1"/>
  <c r="K142" i="1" s="1"/>
  <c r="AP7" i="1"/>
  <c r="AP19" i="1"/>
  <c r="AR8" i="1"/>
  <c r="AO22" i="1"/>
  <c r="AT18" i="1"/>
  <c r="AP13" i="1"/>
  <c r="L90" i="1"/>
  <c r="AP16" i="1"/>
  <c r="AU23" i="1"/>
  <c r="AO18" i="1"/>
  <c r="L96" i="1" s="1"/>
  <c r="AP6" i="1"/>
  <c r="AR7" i="1"/>
  <c r="AO7" i="1"/>
  <c r="AQ8" i="1"/>
  <c r="AR25" i="1"/>
  <c r="AS26" i="1"/>
  <c r="AO10" i="1"/>
  <c r="AQ11" i="1"/>
  <c r="AP10" i="1"/>
  <c r="AP22" i="1"/>
  <c r="AR11" i="1"/>
  <c r="AO12" i="1"/>
  <c r="AO25" i="1"/>
  <c r="AQ13" i="1"/>
  <c r="AT16" i="1"/>
  <c r="AP12" i="1"/>
  <c r="AP25" i="1"/>
  <c r="AR13" i="1"/>
  <c r="L60" i="1" s="1"/>
  <c r="AU16" i="1"/>
  <c r="AP14" i="1"/>
  <c r="AP20" i="1"/>
  <c r="AP27" i="1"/>
  <c r="AR9" i="1"/>
  <c r="AR15" i="1"/>
  <c r="AR26" i="1"/>
  <c r="L156" i="1" s="1"/>
  <c r="AU19" i="1"/>
  <c r="K90" i="1" s="1"/>
  <c r="AU26" i="1"/>
  <c r="AO9" i="1"/>
  <c r="AO15" i="1"/>
  <c r="AO21" i="1"/>
  <c r="AQ4" i="1"/>
  <c r="AQ10" i="1"/>
  <c r="AQ20" i="1"/>
  <c r="AQ27" i="1"/>
  <c r="AV19" i="1"/>
  <c r="AV26" i="1"/>
  <c r="AO8" i="1"/>
  <c r="AO14" i="1"/>
  <c r="L71" i="1" s="1"/>
  <c r="AO20" i="1"/>
  <c r="AO27" i="1"/>
  <c r="AQ9" i="1"/>
  <c r="AQ15" i="1"/>
  <c r="AQ26" i="1"/>
  <c r="AT19" i="1"/>
  <c r="AT26" i="1"/>
  <c r="AP8" i="1"/>
  <c r="AP9" i="1"/>
  <c r="AP15" i="1"/>
  <c r="AP21" i="1"/>
  <c r="AR4" i="1"/>
  <c r="AR10" i="1"/>
  <c r="AR20" i="1"/>
  <c r="AR27" i="1"/>
  <c r="AS23" i="1"/>
  <c r="K123" i="1" s="1"/>
  <c r="AS18" i="1"/>
  <c r="AU18" i="1"/>
  <c r="AO5" i="1"/>
  <c r="AO11" i="1"/>
  <c r="L47" i="1" s="1"/>
  <c r="AO17" i="1"/>
  <c r="L93" i="1" s="1"/>
  <c r="AO23" i="1"/>
  <c r="AQ6" i="1"/>
  <c r="L15" i="1" s="1"/>
  <c r="AQ12" i="1"/>
  <c r="AQ22" i="1"/>
  <c r="L99" i="1"/>
  <c r="AV23" i="1"/>
  <c r="AV18" i="1"/>
  <c r="AP5" i="1"/>
  <c r="AP11" i="1"/>
  <c r="AP17" i="1"/>
  <c r="AP23" i="1"/>
  <c r="AR6" i="1"/>
  <c r="AR12" i="1"/>
  <c r="AR22" i="1"/>
  <c r="AS16" i="1"/>
  <c r="K84" i="1" s="1"/>
  <c r="R15" i="1"/>
  <c r="AC13" i="1" s="1"/>
  <c r="Q15" i="1"/>
  <c r="J102" i="4" l="1"/>
  <c r="J111" i="4"/>
  <c r="J128" i="9"/>
  <c r="J28" i="9"/>
  <c r="J45" i="9"/>
  <c r="J73" i="9"/>
  <c r="J146" i="9"/>
  <c r="J117" i="9"/>
  <c r="J122" i="9"/>
  <c r="J10" i="9"/>
  <c r="G9" i="3"/>
  <c r="J9" i="3"/>
  <c r="L73" i="3"/>
  <c r="J73" i="3"/>
  <c r="L9" i="3"/>
  <c r="G141" i="9"/>
  <c r="G73" i="3"/>
  <c r="G168" i="10"/>
  <c r="F80" i="4"/>
  <c r="F87" i="4"/>
  <c r="F15" i="4"/>
  <c r="G15" i="4" s="1"/>
  <c r="G30" i="7"/>
  <c r="L30" i="7"/>
  <c r="G136" i="10"/>
  <c r="F102" i="3"/>
  <c r="F117" i="4"/>
  <c r="F111" i="3"/>
  <c r="G42" i="7"/>
  <c r="L42" i="7"/>
  <c r="F49" i="4"/>
  <c r="F123" i="3"/>
  <c r="F31" i="3"/>
  <c r="F55" i="4"/>
  <c r="F37" i="4"/>
  <c r="F55" i="3"/>
  <c r="F21" i="4"/>
  <c r="F49" i="3"/>
  <c r="F123" i="4"/>
  <c r="L123" i="4" s="1"/>
  <c r="F129" i="4"/>
  <c r="G21" i="7"/>
  <c r="L21" i="7"/>
  <c r="F43" i="4"/>
  <c r="F117" i="3"/>
  <c r="F37" i="3"/>
  <c r="F43" i="3"/>
  <c r="F3" i="4"/>
  <c r="F15" i="3"/>
  <c r="G54" i="7"/>
  <c r="L54" i="7"/>
  <c r="F9" i="4"/>
  <c r="G120" i="10"/>
  <c r="F21" i="3"/>
  <c r="F62" i="3"/>
  <c r="L62" i="3" s="1"/>
  <c r="G36" i="7"/>
  <c r="L36" i="7"/>
  <c r="F74" i="4"/>
  <c r="J74" i="4" s="1"/>
  <c r="F62" i="4"/>
  <c r="J62" i="4" s="1"/>
  <c r="F48" i="7"/>
  <c r="J48" i="7" s="1"/>
  <c r="F3" i="7"/>
  <c r="J3" i="7" s="1"/>
  <c r="F9" i="7"/>
  <c r="J9" i="7" s="1"/>
  <c r="F15" i="7"/>
  <c r="J15" i="7" s="1"/>
  <c r="G125" i="10"/>
  <c r="G102" i="10"/>
  <c r="G107" i="10"/>
  <c r="G93" i="10"/>
  <c r="G130" i="10"/>
  <c r="G115" i="10"/>
  <c r="G55" i="6"/>
  <c r="F49" i="6"/>
  <c r="F15" i="6"/>
  <c r="F21" i="6"/>
  <c r="F3" i="6"/>
  <c r="F31" i="6"/>
  <c r="G9" i="6"/>
  <c r="F43" i="6"/>
  <c r="G43" i="6" s="1"/>
  <c r="F37" i="6"/>
  <c r="I165" i="10"/>
  <c r="I162" i="10"/>
  <c r="G75" i="10"/>
  <c r="G129" i="3"/>
  <c r="F96" i="3"/>
  <c r="F86" i="3"/>
  <c r="F79" i="3"/>
  <c r="F3" i="3"/>
  <c r="G117" i="9"/>
  <c r="F80" i="9"/>
  <c r="F94" i="9"/>
  <c r="G183" i="9"/>
  <c r="G85" i="10"/>
  <c r="G63" i="10"/>
  <c r="G70" i="10"/>
  <c r="I75" i="10"/>
  <c r="I70" i="10"/>
  <c r="G80" i="10"/>
  <c r="F32" i="10"/>
  <c r="G50" i="10"/>
  <c r="G56" i="10"/>
  <c r="F38" i="10"/>
  <c r="F22" i="10"/>
  <c r="G44" i="10"/>
  <c r="G10" i="9"/>
  <c r="G38" i="9"/>
  <c r="G73" i="9"/>
  <c r="G16" i="9"/>
  <c r="G146" i="9"/>
  <c r="G3" i="9"/>
  <c r="G122" i="9"/>
  <c r="G103" i="9"/>
  <c r="G128" i="9"/>
  <c r="G67" i="9"/>
  <c r="G28" i="9"/>
  <c r="G45" i="9"/>
  <c r="G10" i="10"/>
  <c r="G16" i="10"/>
  <c r="G3" i="10"/>
  <c r="L9" i="6"/>
  <c r="J102" i="8"/>
  <c r="J96" i="8"/>
  <c r="J60" i="8"/>
  <c r="J71" i="8"/>
  <c r="L55" i="6"/>
  <c r="G102" i="4"/>
  <c r="G96" i="4"/>
  <c r="G111" i="4"/>
  <c r="G31" i="4"/>
  <c r="L31" i="4"/>
  <c r="L111" i="4"/>
  <c r="K102" i="1"/>
  <c r="L123" i="1"/>
  <c r="L35" i="1"/>
  <c r="K156" i="1"/>
  <c r="L109" i="1"/>
  <c r="L112" i="1"/>
  <c r="L77" i="1"/>
  <c r="L106" i="1"/>
  <c r="L21" i="1"/>
  <c r="L29" i="1"/>
  <c r="L142" i="1"/>
  <c r="L53" i="1"/>
  <c r="L159" i="1"/>
  <c r="L9" i="1"/>
  <c r="L3" i="1"/>
  <c r="L41" i="1"/>
  <c r="AF4" i="1"/>
  <c r="AE4" i="1"/>
  <c r="AF13" i="1"/>
  <c r="AE13" i="1"/>
  <c r="AJ27" i="1"/>
  <c r="AJ21" i="1"/>
  <c r="AJ13" i="1"/>
  <c r="AJ7" i="1"/>
  <c r="AG26" i="1"/>
  <c r="AG22" i="1"/>
  <c r="AG19" i="1"/>
  <c r="AG16" i="1"/>
  <c r="AG13" i="1"/>
  <c r="AG10" i="1"/>
  <c r="AG7" i="1"/>
  <c r="AG4" i="1"/>
  <c r="AI27" i="1"/>
  <c r="AI21" i="1"/>
  <c r="AI13" i="1"/>
  <c r="AI7" i="1"/>
  <c r="AJ5" i="1"/>
  <c r="AG21" i="1"/>
  <c r="AG15" i="1"/>
  <c r="AG9" i="1"/>
  <c r="AH26" i="1"/>
  <c r="AH13" i="1"/>
  <c r="AJ26" i="1"/>
  <c r="AJ20" i="1"/>
  <c r="AJ12" i="1"/>
  <c r="AJ6" i="1"/>
  <c r="AI26" i="1"/>
  <c r="AI20" i="1"/>
  <c r="AI12" i="1"/>
  <c r="AI6" i="1"/>
  <c r="AH25" i="1"/>
  <c r="AH21" i="1"/>
  <c r="AH18" i="1"/>
  <c r="AH15" i="1"/>
  <c r="AH12" i="1"/>
  <c r="AH9" i="1"/>
  <c r="AH6" i="1"/>
  <c r="AJ25" i="1"/>
  <c r="AJ17" i="1"/>
  <c r="AJ11" i="1"/>
  <c r="AA23" i="1"/>
  <c r="AG25" i="1"/>
  <c r="AG18" i="1"/>
  <c r="AG12" i="1"/>
  <c r="AG6" i="1"/>
  <c r="AI22" i="1"/>
  <c r="AI8" i="1"/>
  <c r="AH19" i="1"/>
  <c r="AH7" i="1"/>
  <c r="AI25" i="1"/>
  <c r="AI17" i="1"/>
  <c r="AI11" i="1"/>
  <c r="AI5" i="1"/>
  <c r="AJ24" i="1"/>
  <c r="AJ16" i="1"/>
  <c r="AJ10" i="1"/>
  <c r="AJ4" i="1"/>
  <c r="AJ22" i="1"/>
  <c r="AJ14" i="1"/>
  <c r="AJ8" i="1"/>
  <c r="AH16" i="1"/>
  <c r="AI24" i="1"/>
  <c r="AI16" i="1"/>
  <c r="AI10" i="1"/>
  <c r="AI4" i="1"/>
  <c r="AH27" i="1"/>
  <c r="AH23" i="1"/>
  <c r="AH20" i="1"/>
  <c r="AH17" i="1"/>
  <c r="AH14" i="1"/>
  <c r="AH11" i="1"/>
  <c r="AH8" i="1"/>
  <c r="AH5" i="1"/>
  <c r="AI14" i="1"/>
  <c r="AH10" i="1"/>
  <c r="AJ23" i="1"/>
  <c r="AJ15" i="1"/>
  <c r="AJ9" i="1"/>
  <c r="AG27" i="1"/>
  <c r="AG23" i="1"/>
  <c r="AG20" i="1"/>
  <c r="AG17" i="1"/>
  <c r="AG14" i="1"/>
  <c r="AG11" i="1"/>
  <c r="AG8" i="1"/>
  <c r="AG5" i="1"/>
  <c r="AI23" i="1"/>
  <c r="AI15" i="1"/>
  <c r="AI9" i="1"/>
  <c r="AH22" i="1"/>
  <c r="AH4" i="1"/>
  <c r="AN25" i="1"/>
  <c r="AN17" i="1"/>
  <c r="AN11" i="1"/>
  <c r="AN5" i="1"/>
  <c r="AM25" i="1"/>
  <c r="AM17" i="1"/>
  <c r="AM11" i="1"/>
  <c r="AM5" i="1"/>
  <c r="AL25" i="1"/>
  <c r="AL21" i="1"/>
  <c r="AL18" i="1"/>
  <c r="AL15" i="1"/>
  <c r="AL12" i="1"/>
  <c r="AL9" i="1"/>
  <c r="AL6" i="1"/>
  <c r="AN9" i="1"/>
  <c r="AN6" i="1"/>
  <c r="AK7" i="1"/>
  <c r="AM26" i="1"/>
  <c r="AN24" i="1"/>
  <c r="AN16" i="1"/>
  <c r="AN10" i="1"/>
  <c r="AN4" i="1"/>
  <c r="AK25" i="1"/>
  <c r="AK21" i="1"/>
  <c r="AK18" i="1"/>
  <c r="J96" i="1" s="1"/>
  <c r="AK15" i="1"/>
  <c r="AK12" i="1"/>
  <c r="AK9" i="1"/>
  <c r="AK6" i="1"/>
  <c r="AM24" i="1"/>
  <c r="AM16" i="1"/>
  <c r="AM10" i="1"/>
  <c r="AM4" i="1"/>
  <c r="AN23" i="1"/>
  <c r="AN15" i="1"/>
  <c r="AK22" i="1"/>
  <c r="AK10" i="1"/>
  <c r="AM6" i="1"/>
  <c r="AM23" i="1"/>
  <c r="AM15" i="1"/>
  <c r="AM9" i="1"/>
  <c r="AL27" i="1"/>
  <c r="AL23" i="1"/>
  <c r="AL20" i="1"/>
  <c r="AL17" i="1"/>
  <c r="AL14" i="1"/>
  <c r="AL11" i="1"/>
  <c r="AL8" i="1"/>
  <c r="AL5" i="1"/>
  <c r="AN22" i="1"/>
  <c r="AN14" i="1"/>
  <c r="AN8" i="1"/>
  <c r="AK27" i="1"/>
  <c r="AK23" i="1"/>
  <c r="AK20" i="1"/>
  <c r="AK17" i="1"/>
  <c r="AK14" i="1"/>
  <c r="AK11" i="1"/>
  <c r="AK8" i="1"/>
  <c r="AK5" i="1"/>
  <c r="AN20" i="1"/>
  <c r="AK26" i="1"/>
  <c r="AK16" i="1"/>
  <c r="AK4" i="1"/>
  <c r="AM12" i="1"/>
  <c r="AM22" i="1"/>
  <c r="AM14" i="1"/>
  <c r="AM8" i="1"/>
  <c r="AK19" i="1"/>
  <c r="AN27" i="1"/>
  <c r="AN21" i="1"/>
  <c r="AN13" i="1"/>
  <c r="AN7" i="1"/>
  <c r="AM27" i="1"/>
  <c r="AM21" i="1"/>
  <c r="AM13" i="1"/>
  <c r="AM7" i="1"/>
  <c r="AL26" i="1"/>
  <c r="AL22" i="1"/>
  <c r="AL19" i="1"/>
  <c r="AL16" i="1"/>
  <c r="AL13" i="1"/>
  <c r="AL10" i="1"/>
  <c r="AL7" i="1"/>
  <c r="AL4" i="1"/>
  <c r="AN26" i="1"/>
  <c r="AN12" i="1"/>
  <c r="AK13" i="1"/>
  <c r="AM20" i="1"/>
  <c r="X7" i="1"/>
  <c r="AE27" i="1"/>
  <c r="AF7" i="1"/>
  <c r="AF24" i="1"/>
  <c r="Y4" i="1"/>
  <c r="AF5" i="1"/>
  <c r="AB12" i="1"/>
  <c r="AB16" i="1"/>
  <c r="Y6" i="1"/>
  <c r="AF10" i="1"/>
  <c r="Y16" i="1"/>
  <c r="Y20" i="1"/>
  <c r="AF21" i="1"/>
  <c r="Y10" i="1"/>
  <c r="Y27" i="1"/>
  <c r="AB6" i="1"/>
  <c r="AF25" i="1"/>
  <c r="AB7" i="1"/>
  <c r="AF27" i="1"/>
  <c r="AB9" i="1"/>
  <c r="Y11" i="1"/>
  <c r="AA4" i="1"/>
  <c r="AA10" i="1"/>
  <c r="AA22" i="1"/>
  <c r="AE8" i="1"/>
  <c r="AE14" i="1"/>
  <c r="AE22" i="1"/>
  <c r="AB4" i="1"/>
  <c r="AB22" i="1"/>
  <c r="AF14" i="1"/>
  <c r="Y13" i="1"/>
  <c r="AA11" i="1"/>
  <c r="AE9" i="1"/>
  <c r="AE23" i="1"/>
  <c r="AA5" i="1"/>
  <c r="AE15" i="1"/>
  <c r="Z24" i="1"/>
  <c r="Y14" i="1"/>
  <c r="AB5" i="1"/>
  <c r="AB11" i="1"/>
  <c r="AB23" i="1"/>
  <c r="AF9" i="1"/>
  <c r="AF15" i="1"/>
  <c r="AF23" i="1"/>
  <c r="Y12" i="1"/>
  <c r="AB10" i="1"/>
  <c r="AF8" i="1"/>
  <c r="AF22" i="1"/>
  <c r="Y15" i="1"/>
  <c r="AA6" i="1"/>
  <c r="AA12" i="1"/>
  <c r="AE10" i="1"/>
  <c r="AE16" i="1"/>
  <c r="AE24" i="1"/>
  <c r="AF16" i="1"/>
  <c r="Y5" i="1"/>
  <c r="Y17" i="1"/>
  <c r="AA7" i="1"/>
  <c r="AA13" i="1"/>
  <c r="AE5" i="1"/>
  <c r="AE11" i="1"/>
  <c r="AE17" i="1"/>
  <c r="AE25" i="1"/>
  <c r="AF11" i="1"/>
  <c r="AF17" i="1"/>
  <c r="Y7" i="1"/>
  <c r="Y21" i="1"/>
  <c r="AA8" i="1"/>
  <c r="AA14" i="1"/>
  <c r="AE6" i="1"/>
  <c r="AE12" i="1"/>
  <c r="AE20" i="1"/>
  <c r="AE26" i="1"/>
  <c r="Y8" i="1"/>
  <c r="Y22" i="1"/>
  <c r="AB8" i="1"/>
  <c r="AB14" i="1"/>
  <c r="AF6" i="1"/>
  <c r="AF12" i="1"/>
  <c r="AF20" i="1"/>
  <c r="AF26" i="1"/>
  <c r="AB13" i="1"/>
  <c r="Y9" i="1"/>
  <c r="Y24" i="1"/>
  <c r="AA9" i="1"/>
  <c r="AA16" i="1"/>
  <c r="AE7" i="1"/>
  <c r="AE21" i="1"/>
  <c r="Z22" i="1"/>
  <c r="Z23" i="1"/>
  <c r="Z25" i="1"/>
  <c r="Z26" i="1"/>
  <c r="Z27" i="1"/>
  <c r="AC15" i="1"/>
  <c r="AD15" i="1"/>
  <c r="Z21" i="1"/>
  <c r="X15" i="1"/>
  <c r="Z16" i="1"/>
  <c r="Z17" i="1"/>
  <c r="Z20" i="1"/>
  <c r="W15" i="1"/>
  <c r="Z14" i="1"/>
  <c r="Z15" i="1"/>
  <c r="Z6" i="1"/>
  <c r="Z7" i="1"/>
  <c r="Z9" i="1"/>
  <c r="Z10" i="1"/>
  <c r="Z13" i="1"/>
  <c r="Z5" i="1"/>
  <c r="Z11" i="1"/>
  <c r="Z8" i="1"/>
  <c r="Z12" i="1"/>
  <c r="Z4" i="1"/>
  <c r="AC12" i="1"/>
  <c r="AD12" i="1"/>
  <c r="AC11" i="1"/>
  <c r="AD11" i="1"/>
  <c r="W12" i="1"/>
  <c r="X12" i="1"/>
  <c r="W11" i="1"/>
  <c r="AC8" i="1"/>
  <c r="X8" i="1"/>
  <c r="AD8" i="1"/>
  <c r="X19" i="1"/>
  <c r="W19" i="1"/>
  <c r="F102" i="1" s="1"/>
  <c r="W26" i="1"/>
  <c r="W8" i="1"/>
  <c r="F29" i="1" s="1"/>
  <c r="X21" i="1"/>
  <c r="W16" i="1"/>
  <c r="X16" i="1"/>
  <c r="W17" i="1"/>
  <c r="W22" i="1"/>
  <c r="X17" i="1"/>
  <c r="X22" i="1"/>
  <c r="W18" i="1"/>
  <c r="F96" i="1" s="1"/>
  <c r="W23" i="1"/>
  <c r="W27" i="1"/>
  <c r="W14" i="1"/>
  <c r="F71" i="1" s="1"/>
  <c r="Y23" i="1"/>
  <c r="Y26" i="1"/>
  <c r="X18" i="1"/>
  <c r="X23" i="1"/>
  <c r="W20" i="1"/>
  <c r="X27" i="1"/>
  <c r="X20" i="1"/>
  <c r="X13" i="1"/>
  <c r="W21" i="1"/>
  <c r="AC20" i="1"/>
  <c r="AC26" i="1"/>
  <c r="AD22" i="1"/>
  <c r="AC17" i="1"/>
  <c r="G93" i="1" s="1"/>
  <c r="AD20" i="1"/>
  <c r="AD13" i="1"/>
  <c r="AC23" i="1"/>
  <c r="AD26" i="1"/>
  <c r="AD17" i="1"/>
  <c r="AC27" i="1"/>
  <c r="AC14" i="1"/>
  <c r="AD23" i="1"/>
  <c r="AD27" i="1"/>
  <c r="AD14" i="1"/>
  <c r="AC18" i="1"/>
  <c r="G96" i="1" s="1"/>
  <c r="AC21" i="1"/>
  <c r="G109" i="1" s="1"/>
  <c r="W25" i="1"/>
  <c r="Y25" i="1"/>
  <c r="X14" i="1"/>
  <c r="AD18" i="1"/>
  <c r="AD21" i="1"/>
  <c r="X25" i="1"/>
  <c r="AC25" i="1"/>
  <c r="AD25" i="1"/>
  <c r="AC16" i="1"/>
  <c r="AC19" i="1"/>
  <c r="G102" i="1" s="1"/>
  <c r="AD16" i="1"/>
  <c r="AD19" i="1"/>
  <c r="AC22" i="1"/>
  <c r="X26" i="1"/>
  <c r="W13" i="1"/>
  <c r="W10" i="1"/>
  <c r="F41" i="1" s="1"/>
  <c r="X10" i="1"/>
  <c r="AD10" i="1"/>
  <c r="AC10" i="1"/>
  <c r="X11" i="1"/>
  <c r="AC9" i="1"/>
  <c r="AD9" i="1"/>
  <c r="W9" i="1"/>
  <c r="X9" i="1"/>
  <c r="W5" i="1"/>
  <c r="F9" i="1" s="1"/>
  <c r="AC5" i="1"/>
  <c r="W6" i="1"/>
  <c r="X5" i="1"/>
  <c r="AD7" i="1"/>
  <c r="AC6" i="1"/>
  <c r="AD5" i="1"/>
  <c r="X6" i="1"/>
  <c r="W7" i="1"/>
  <c r="AD6" i="1"/>
  <c r="AC7" i="1"/>
  <c r="AC4" i="1"/>
  <c r="G3" i="1" s="1"/>
  <c r="AD4" i="1"/>
  <c r="W4" i="1"/>
  <c r="X4" i="1"/>
  <c r="G15" i="6" l="1"/>
  <c r="J15" i="6"/>
  <c r="G3" i="6"/>
  <c r="J3" i="6"/>
  <c r="G21" i="6"/>
  <c r="J21" i="6"/>
  <c r="L37" i="6"/>
  <c r="J37" i="6"/>
  <c r="L49" i="6"/>
  <c r="J49" i="6"/>
  <c r="L31" i="6"/>
  <c r="J31" i="6"/>
  <c r="G80" i="9"/>
  <c r="J80" i="9"/>
  <c r="G129" i="4"/>
  <c r="J129" i="4"/>
  <c r="L15" i="4"/>
  <c r="J15" i="4"/>
  <c r="G21" i="4"/>
  <c r="J21" i="4"/>
  <c r="G87" i="4"/>
  <c r="J87" i="4"/>
  <c r="L80" i="4"/>
  <c r="J80" i="4"/>
  <c r="L43" i="4"/>
  <c r="J43" i="4"/>
  <c r="L9" i="4"/>
  <c r="J9" i="4"/>
  <c r="L37" i="4"/>
  <c r="J37" i="4"/>
  <c r="G55" i="4"/>
  <c r="J55" i="4"/>
  <c r="G117" i="4"/>
  <c r="J117" i="4"/>
  <c r="G123" i="4"/>
  <c r="L3" i="4"/>
  <c r="J3" i="4"/>
  <c r="L49" i="4"/>
  <c r="J49" i="4"/>
  <c r="G80" i="4"/>
  <c r="L87" i="4"/>
  <c r="G74" i="4"/>
  <c r="G22" i="10"/>
  <c r="J22" i="10"/>
  <c r="G38" i="10"/>
  <c r="J38" i="10"/>
  <c r="G32" i="10"/>
  <c r="J32" i="10"/>
  <c r="G102" i="3"/>
  <c r="J102" i="3"/>
  <c r="G3" i="3"/>
  <c r="J3" i="3"/>
  <c r="M62" i="3"/>
  <c r="J62" i="3"/>
  <c r="G49" i="3"/>
  <c r="J49" i="3"/>
  <c r="L21" i="3"/>
  <c r="J21" i="3"/>
  <c r="G96" i="3"/>
  <c r="J96" i="3"/>
  <c r="G55" i="3"/>
  <c r="J55" i="3"/>
  <c r="G86" i="3"/>
  <c r="J86" i="3"/>
  <c r="G31" i="3"/>
  <c r="J31" i="3"/>
  <c r="L79" i="3"/>
  <c r="J79" i="3"/>
  <c r="L15" i="3"/>
  <c r="J15" i="3"/>
  <c r="L123" i="3"/>
  <c r="J123" i="3"/>
  <c r="G43" i="3"/>
  <c r="J43" i="3"/>
  <c r="G37" i="3"/>
  <c r="J37" i="3"/>
  <c r="G117" i="3"/>
  <c r="J117" i="3"/>
  <c r="G111" i="3"/>
  <c r="J111" i="3"/>
  <c r="G21" i="3"/>
  <c r="G43" i="4"/>
  <c r="G9" i="4"/>
  <c r="G123" i="3"/>
  <c r="G15" i="3"/>
  <c r="G62" i="3"/>
  <c r="L49" i="3"/>
  <c r="L55" i="4"/>
  <c r="G3" i="4"/>
  <c r="G49" i="4"/>
  <c r="L74" i="4"/>
  <c r="L37" i="3"/>
  <c r="L55" i="3"/>
  <c r="L117" i="4"/>
  <c r="L111" i="3"/>
  <c r="L117" i="3"/>
  <c r="G37" i="4"/>
  <c r="L21" i="4"/>
  <c r="L31" i="3"/>
  <c r="G15" i="7"/>
  <c r="L15" i="7"/>
  <c r="L43" i="3"/>
  <c r="G9" i="7"/>
  <c r="L9" i="7"/>
  <c r="G3" i="7"/>
  <c r="L3" i="7"/>
  <c r="G48" i="7"/>
  <c r="L48" i="7"/>
  <c r="G62" i="4"/>
  <c r="G31" i="6"/>
  <c r="L43" i="6"/>
  <c r="G49" i="6"/>
  <c r="G37" i="6"/>
  <c r="L3" i="6"/>
  <c r="L21" i="6"/>
  <c r="L15" i="6"/>
  <c r="L86" i="3"/>
  <c r="G79" i="3"/>
  <c r="L3" i="3"/>
  <c r="G21" i="1"/>
  <c r="G128" i="1"/>
  <c r="F106" i="1"/>
  <c r="G47" i="1"/>
  <c r="G35" i="1"/>
  <c r="G84" i="1"/>
  <c r="G71" i="1"/>
  <c r="F3" i="1"/>
  <c r="F21" i="1"/>
  <c r="F128" i="1"/>
  <c r="G60" i="1"/>
  <c r="G53" i="1"/>
  <c r="F35" i="1"/>
  <c r="G77" i="1"/>
  <c r="G9" i="1"/>
  <c r="F84" i="1"/>
  <c r="F109" i="1"/>
  <c r="F93" i="1"/>
  <c r="F60" i="1"/>
  <c r="F53" i="1"/>
  <c r="G15" i="1"/>
  <c r="F15" i="1"/>
  <c r="G29" i="1"/>
  <c r="F47" i="1"/>
  <c r="G106" i="1"/>
  <c r="F77" i="1"/>
  <c r="G41" i="1"/>
  <c r="F112" i="1"/>
  <c r="G112" i="1"/>
  <c r="I128" i="1"/>
  <c r="J112" i="1"/>
  <c r="H123" i="1"/>
  <c r="J9" i="1"/>
  <c r="I53" i="1"/>
  <c r="I9" i="1"/>
  <c r="J3" i="1"/>
  <c r="J128" i="1"/>
  <c r="I112" i="1"/>
  <c r="J60" i="1"/>
  <c r="I3" i="1"/>
  <c r="J93" i="1"/>
  <c r="J35" i="1"/>
  <c r="F159" i="1"/>
  <c r="J106" i="1"/>
  <c r="I96" i="1"/>
  <c r="I102" i="1"/>
  <c r="J102" i="1"/>
  <c r="I29" i="1"/>
  <c r="J77" i="1"/>
  <c r="I93" i="1"/>
  <c r="I41" i="1"/>
  <c r="F123" i="1"/>
  <c r="I106" i="1"/>
  <c r="I15" i="1"/>
  <c r="I60" i="1"/>
  <c r="J109" i="1"/>
  <c r="I35" i="1"/>
  <c r="I159" i="1"/>
  <c r="I47" i="1"/>
  <c r="F156" i="1"/>
  <c r="J84" i="1"/>
  <c r="J53" i="1"/>
  <c r="I71" i="1"/>
  <c r="I21" i="1"/>
  <c r="J41" i="1"/>
  <c r="I84" i="1"/>
  <c r="I77" i="1"/>
  <c r="I123" i="1"/>
  <c r="J29" i="1"/>
  <c r="J47" i="1"/>
  <c r="I142" i="1"/>
  <c r="I109" i="1"/>
  <c r="J71" i="1"/>
  <c r="I156" i="1"/>
  <c r="F142" i="1"/>
  <c r="J15" i="1"/>
  <c r="J21" i="1"/>
  <c r="X15" i="11" l="1"/>
  <c r="N100" i="11"/>
  <c r="K100" i="11" s="1"/>
  <c r="V15" i="11"/>
  <c r="J100" i="11" l="1"/>
  <c r="W15" i="11"/>
  <c r="F100" i="11" s="1"/>
  <c r="E100" i="11"/>
  <c r="G100" i="11" s="1"/>
  <c r="Y15" i="11"/>
  <c r="I100" i="11" s="1"/>
  <c r="L100" i="11"/>
  <c r="H100" i="11"/>
</calcChain>
</file>

<file path=xl/sharedStrings.xml><?xml version="1.0" encoding="utf-8"?>
<sst xmlns="http://schemas.openxmlformats.org/spreadsheetml/2006/main" count="2835" uniqueCount="497">
  <si>
    <t>CBC Section 1004 / IBC Section 1004</t>
  </si>
  <si>
    <t>Occupancy Use:</t>
  </si>
  <si>
    <t>Occupant Load Factor:</t>
  </si>
  <si>
    <t>Square Footage:</t>
  </si>
  <si>
    <t># Of Persons</t>
  </si>
  <si>
    <t>Accesory Storage, Mechanical Equipment</t>
  </si>
  <si>
    <t>300 Gross</t>
  </si>
  <si>
    <t>Note:</t>
  </si>
  <si>
    <t>Airport Terminal (Baggage Claim)</t>
  </si>
  <si>
    <t>20 Gross</t>
  </si>
  <si>
    <r>
      <rPr>
        <b/>
        <sz val="11"/>
        <color theme="1"/>
        <rFont val="Calibri"/>
        <family val="2"/>
        <scheme val="minor"/>
      </rPr>
      <t>Gross</t>
    </r>
    <r>
      <rPr>
        <sz val="11"/>
        <color theme="1"/>
        <rFont val="Calibri"/>
        <family val="2"/>
        <scheme val="minor"/>
      </rPr>
      <t>: overall area (including walls)</t>
    </r>
  </si>
  <si>
    <t>Airport Terminal (Baggage Handling)</t>
  </si>
  <si>
    <r>
      <rPr>
        <b/>
        <i/>
        <sz val="11"/>
        <color theme="1"/>
        <rFont val="Calibri"/>
        <family val="2"/>
        <scheme val="minor"/>
      </rPr>
      <t>Net</t>
    </r>
    <r>
      <rPr>
        <sz val="11"/>
        <color theme="1"/>
        <rFont val="Calibri"/>
        <family val="2"/>
        <scheme val="minor"/>
      </rPr>
      <t>: actual wall-to-wall square footage</t>
    </r>
  </si>
  <si>
    <t>Airport Terminal (Concourse)</t>
  </si>
  <si>
    <t>100 Gross</t>
  </si>
  <si>
    <t>Airport Terminal (Waiting Areas)</t>
  </si>
  <si>
    <t>15 Gross</t>
  </si>
  <si>
    <t>Assembly (Casino)</t>
  </si>
  <si>
    <t>11 Gross</t>
  </si>
  <si>
    <t>Assembly (With Tables &amp; Chairs)</t>
  </si>
  <si>
    <r>
      <t xml:space="preserve">15 </t>
    </r>
    <r>
      <rPr>
        <i/>
        <sz val="11"/>
        <color theme="1"/>
        <rFont val="Calibri"/>
        <family val="2"/>
        <scheme val="minor"/>
      </rPr>
      <t>Net</t>
    </r>
  </si>
  <si>
    <t>&lt;--- Use for Conference Rooms &amp; Break Rooms</t>
  </si>
  <si>
    <t>Assembly (Concentrated)</t>
  </si>
  <si>
    <r>
      <t xml:space="preserve">7 </t>
    </r>
    <r>
      <rPr>
        <i/>
        <sz val="11"/>
        <color theme="1"/>
        <rFont val="Calibri"/>
        <family val="2"/>
        <scheme val="minor"/>
      </rPr>
      <t>Net</t>
    </r>
  </si>
  <si>
    <t>Assembly (Standing)</t>
  </si>
  <si>
    <r>
      <t xml:space="preserve">5 </t>
    </r>
    <r>
      <rPr>
        <i/>
        <sz val="11"/>
        <color theme="1"/>
        <rFont val="Calibri"/>
        <family val="2"/>
        <scheme val="minor"/>
      </rPr>
      <t>Net</t>
    </r>
  </si>
  <si>
    <t>Business (2006 - 2015 IBC)</t>
  </si>
  <si>
    <t>150 Gross</t>
  </si>
  <si>
    <t>Courtrooms</t>
  </si>
  <si>
    <r>
      <t xml:space="preserve">40 </t>
    </r>
    <r>
      <rPr>
        <i/>
        <sz val="11"/>
        <color theme="1"/>
        <rFont val="Calibri"/>
        <family val="2"/>
        <scheme val="minor"/>
      </rPr>
      <t>Net</t>
    </r>
  </si>
  <si>
    <t>Day Care</t>
  </si>
  <si>
    <r>
      <t xml:space="preserve">35 </t>
    </r>
    <r>
      <rPr>
        <i/>
        <sz val="11"/>
        <color theme="1"/>
        <rFont val="Calibri"/>
        <family val="2"/>
        <scheme val="minor"/>
      </rPr>
      <t>Net</t>
    </r>
  </si>
  <si>
    <t>Dormatories</t>
  </si>
  <si>
    <t>50 Gross</t>
  </si>
  <si>
    <t>Educational (Includes Adult Education)</t>
  </si>
  <si>
    <r>
      <t xml:space="preserve">20 </t>
    </r>
    <r>
      <rPr>
        <i/>
        <sz val="11"/>
        <color theme="1"/>
        <rFont val="Calibri"/>
        <family val="2"/>
        <scheme val="minor"/>
      </rPr>
      <t>Net</t>
    </r>
  </si>
  <si>
    <t>Educational (Shops or Vocational areas)</t>
  </si>
  <si>
    <r>
      <t xml:space="preserve">50 </t>
    </r>
    <r>
      <rPr>
        <i/>
        <sz val="11"/>
        <color theme="1"/>
        <rFont val="Calibri"/>
        <family val="2"/>
        <scheme val="minor"/>
      </rPr>
      <t>Net</t>
    </r>
  </si>
  <si>
    <t>Exercise Rooms</t>
  </si>
  <si>
    <t>Institutional (Inpatient)</t>
  </si>
  <si>
    <t>240 Gross</t>
  </si>
  <si>
    <t>Institutional (Outpatient)</t>
  </si>
  <si>
    <t>Institutional (Sleeping Areas)</t>
  </si>
  <si>
    <t>120 Gross</t>
  </si>
  <si>
    <t>Commercial Kitchens</t>
  </si>
  <si>
    <t>200 Gross</t>
  </si>
  <si>
    <t>Lab (Educational)</t>
  </si>
  <si>
    <t>Lab (Non-Educational)</t>
  </si>
  <si>
    <r>
      <t xml:space="preserve">100 </t>
    </r>
    <r>
      <rPr>
        <i/>
        <sz val="11"/>
        <color theme="1"/>
        <rFont val="Calibri"/>
        <family val="2"/>
        <scheme val="minor"/>
      </rPr>
      <t>Net</t>
    </r>
  </si>
  <si>
    <t>Library (Reading Rm)</t>
  </si>
  <si>
    <t>Library (Stack Areas)</t>
  </si>
  <si>
    <t>Locker Rooms</t>
  </si>
  <si>
    <t>Mercantile</t>
  </si>
  <si>
    <t>60 Gross</t>
  </si>
  <si>
    <t>Mercantile (Storage, Stock)</t>
  </si>
  <si>
    <t>Residential</t>
  </si>
  <si>
    <t>Stage and Platforms</t>
  </si>
  <si>
    <t>Warehouses</t>
  </si>
  <si>
    <t>500 Gross</t>
  </si>
  <si>
    <t>TOTAL # OF OCCUPANTS:</t>
  </si>
  <si>
    <t>Classification:</t>
  </si>
  <si>
    <t>Occupancy:</t>
  </si>
  <si>
    <t>Description:</t>
  </si>
  <si>
    <t>Water Closets:</t>
  </si>
  <si>
    <t>Urinals:</t>
  </si>
  <si>
    <t>Lavatories:</t>
  </si>
  <si>
    <t>Bathtubs / Showers:</t>
  </si>
  <si>
    <t>Drinking Fountain:</t>
  </si>
  <si>
    <t>Other:</t>
  </si>
  <si>
    <t>Manual Occupant Load Override:</t>
  </si>
  <si>
    <t>WATER CLOSETS</t>
  </si>
  <si>
    <t>LAVATORIES</t>
  </si>
  <si>
    <t>fountain</t>
  </si>
  <si>
    <t>shower</t>
  </si>
  <si>
    <t>Male:</t>
  </si>
  <si>
    <t>Female:</t>
  </si>
  <si>
    <t>2009 - 2021 IPC</t>
  </si>
  <si>
    <t>2021 - 2021 IPC</t>
  </si>
  <si>
    <t>Assembly</t>
  </si>
  <si>
    <t>A-1</t>
  </si>
  <si>
    <t>Theaters and other buildings for the performing arts and motion pictures</t>
  </si>
  <si>
    <t>Can substitute up to 67% of required fixtures (IPC 419.2)</t>
  </si>
  <si>
    <t>-</t>
  </si>
  <si>
    <t>1 service sink</t>
  </si>
  <si>
    <t>Total Occupant Load:</t>
  </si>
  <si>
    <t xml:space="preserve">male </t>
  </si>
  <si>
    <t>female</t>
  </si>
  <si>
    <t>Theater</t>
  </si>
  <si>
    <t>a-1</t>
  </si>
  <si>
    <t>night clubs</t>
  </si>
  <si>
    <t>a-2</t>
  </si>
  <si>
    <t>restaurants</t>
  </si>
  <si>
    <t>auditoriums</t>
  </si>
  <si>
    <t>a-3</t>
  </si>
  <si>
    <t>casinos</t>
  </si>
  <si>
    <t>A-2</t>
  </si>
  <si>
    <t>Nightclubs, bars, taverns, dance halls, and buildings for similar purposes</t>
  </si>
  <si>
    <t>passenger terminal</t>
  </si>
  <si>
    <t>religious</t>
  </si>
  <si>
    <t>collseums</t>
  </si>
  <si>
    <t>a-4</t>
  </si>
  <si>
    <t>stadiums</t>
  </si>
  <si>
    <t>a-5</t>
  </si>
  <si>
    <t>business</t>
  </si>
  <si>
    <t>b</t>
  </si>
  <si>
    <t>educational</t>
  </si>
  <si>
    <t>e</t>
  </si>
  <si>
    <t>Restaurants, banquet halls, and food courts</t>
  </si>
  <si>
    <t>factory</t>
  </si>
  <si>
    <t>f-1 &amp; f-2</t>
  </si>
  <si>
    <t>See section 411 if eyewash stations are provided</t>
  </si>
  <si>
    <t>res. Care</t>
  </si>
  <si>
    <t>i-1</t>
  </si>
  <si>
    <t>employees</t>
  </si>
  <si>
    <t>i-2</t>
  </si>
  <si>
    <t>visitors</t>
  </si>
  <si>
    <t>reformitories</t>
  </si>
  <si>
    <t>i-3</t>
  </si>
  <si>
    <t>A-3</t>
  </si>
  <si>
    <t>Auditoriums without permanent seating, art galleries, exhibitions halls, museums, lecture halls, libraries, arcades, and gymnasiums</t>
  </si>
  <si>
    <t>daycare</t>
  </si>
  <si>
    <t>i-4</t>
  </si>
  <si>
    <t>mercantile</t>
  </si>
  <si>
    <t>m</t>
  </si>
  <si>
    <t>dormitories</t>
  </si>
  <si>
    <t>r-2</t>
  </si>
  <si>
    <t>congregate</t>
  </si>
  <si>
    <t>r-3</t>
  </si>
  <si>
    <t>storage</t>
  </si>
  <si>
    <t>s-1 &amp; s-2</t>
  </si>
  <si>
    <t>Casino Gaming areas</t>
  </si>
  <si>
    <t>Passenger terminals and transportation facilities</t>
  </si>
  <si>
    <t>Places of worship and other religious services</t>
  </si>
  <si>
    <t>A-4</t>
  </si>
  <si>
    <t>Colliseums, arenas, skating rinks, pools and tennis courts for indoor sporting events and activities</t>
  </si>
  <si>
    <t>A-5</t>
  </si>
  <si>
    <t>Stadiums, amusement parks, bleachers and grand stands for outdoor sporting events and activities</t>
  </si>
  <si>
    <t>Bussiness</t>
  </si>
  <si>
    <t>B</t>
  </si>
  <si>
    <t>Buildings for the transaction of business, professional services, other services involving merchandise, office buildings, banks, light industrial, ambulatory care and similar uses</t>
  </si>
  <si>
    <t>Can substitute up to 50% of required fixtures (IPC 419.2)</t>
  </si>
  <si>
    <t>Educational</t>
  </si>
  <si>
    <t>E</t>
  </si>
  <si>
    <t>Educational Facilities</t>
  </si>
  <si>
    <t>Factory or Industrial</t>
  </si>
  <si>
    <t>F1 &amp; F2</t>
  </si>
  <si>
    <t>Structures in which occupants are engages in work fabricating, assembly or processing of products or materials</t>
  </si>
  <si>
    <t>Institutional</t>
  </si>
  <si>
    <t>I-1</t>
  </si>
  <si>
    <t>Residential Care</t>
  </si>
  <si>
    <t>I-2</t>
  </si>
  <si>
    <t>Hospitals, ambulatory nursing home care recipient</t>
  </si>
  <si>
    <t>1 per room</t>
  </si>
  <si>
    <t>Emplyees, other than residential care</t>
  </si>
  <si>
    <t>Visitors, other than residential care</t>
  </si>
  <si>
    <t>I-3</t>
  </si>
  <si>
    <t>Prisonsers</t>
  </si>
  <si>
    <t>1 per cell</t>
  </si>
  <si>
    <t>1 per 100</t>
  </si>
  <si>
    <t>Reformitories, detention centers, and correctional centers</t>
  </si>
  <si>
    <t>Employees</t>
  </si>
  <si>
    <t>I-4</t>
  </si>
  <si>
    <t>Adult daycare and child daycare</t>
  </si>
  <si>
    <t>Merchantile</t>
  </si>
  <si>
    <t>M</t>
  </si>
  <si>
    <t>Retail stores, service stations, shops, salesroom, markets, and shopping centers</t>
  </si>
  <si>
    <t>R-1</t>
  </si>
  <si>
    <t>Hotels, motels, boarding houses (transient)</t>
  </si>
  <si>
    <t>1 per sleeping unit</t>
  </si>
  <si>
    <t>R-2</t>
  </si>
  <si>
    <t>Dormitories, fraternities, soroitites, and boarding houses (non transient)</t>
  </si>
  <si>
    <t>Apartment house</t>
  </si>
  <si>
    <t>1 per dwelling unit</t>
  </si>
  <si>
    <t>1 kitchen sink per dwelling unit; 1 automatic clothes washer connection per 20 dwelling units</t>
  </si>
  <si>
    <t>R-3</t>
  </si>
  <si>
    <t>Congregate living facilities with 16 or fewer persons</t>
  </si>
  <si>
    <t>One- and two- family dwellings and lodging houses with five or fewer guestrooms</t>
  </si>
  <si>
    <t>1 kitchen sink per dwelling unit; 1 automatic clothes washer connection per dwelling unit</t>
  </si>
  <si>
    <t>Storage</t>
  </si>
  <si>
    <t>S-1 &amp; S-2</t>
  </si>
  <si>
    <t>Structures for the storage of goods, warehouses, store houses and freight depots.  Low and Moderate Hazard.</t>
  </si>
  <si>
    <t>Can substitute up to 67% of required fixtures (IPC 424.2)</t>
  </si>
  <si>
    <t>Can substitute up to 50% of required fixtures (IPC 424.2)</t>
  </si>
  <si>
    <t>Can substitute up to 50% of required fixtures</t>
  </si>
  <si>
    <t>r-4</t>
  </si>
  <si>
    <t>R-4</t>
  </si>
  <si>
    <t>2024 IPC</t>
  </si>
  <si>
    <r>
      <t xml:space="preserve">*Note: All text in </t>
    </r>
    <r>
      <rPr>
        <sz val="11"/>
        <color rgb="FFFF0000"/>
        <rFont val="Calibri"/>
        <family val="2"/>
        <scheme val="minor"/>
      </rPr>
      <t>RED</t>
    </r>
    <r>
      <rPr>
        <sz val="11"/>
        <color theme="1"/>
        <rFont val="Calibri"/>
        <family val="2"/>
        <scheme val="minor"/>
      </rPr>
      <t xml:space="preserve"> is new to the 2024 IPC</t>
    </r>
  </si>
  <si>
    <t>ambulatory care</t>
  </si>
  <si>
    <t>Alcohol and drug care</t>
  </si>
  <si>
    <t>Sleeping Units</t>
  </si>
  <si>
    <t>1 per (2) Sleeping Units</t>
  </si>
  <si>
    <t>1 per (8) Sleeping Units</t>
  </si>
  <si>
    <t>Dwelling Units</t>
  </si>
  <si>
    <t>1 per Dwelling Unit</t>
  </si>
  <si>
    <t>1 kitchen sink per Dwelling Unit</t>
  </si>
  <si>
    <t>Employee (assisted living)</t>
  </si>
  <si>
    <t>Visitor (assisted living)</t>
  </si>
  <si>
    <t>Sleeping Units (nursing home)</t>
  </si>
  <si>
    <t>1 per (2) care recipient sleeping units</t>
  </si>
  <si>
    <t>Employee (nursing home)</t>
  </si>
  <si>
    <t>Visitor (nursing home)</t>
  </si>
  <si>
    <t>Sleeping Units (hospitals)</t>
  </si>
  <si>
    <t>1 per care recipient sleeping unit</t>
  </si>
  <si>
    <t>1 per (100) care recipient sleeping unit</t>
  </si>
  <si>
    <t>Care treatment (hospitals)</t>
  </si>
  <si>
    <t>1 per (25) care recipient treatment rooms</t>
  </si>
  <si>
    <t>1 per (50) care recipient treatment rooms</t>
  </si>
  <si>
    <t>Employee (hospitals)</t>
  </si>
  <si>
    <t>1 per (25) care recipient sleeping unit or treatment room</t>
  </si>
  <si>
    <t>1 per (50) care recipient sleeping or treatment room</t>
  </si>
  <si>
    <t>Visitor (hosptitals)</t>
  </si>
  <si>
    <t>1 per (75) care recipient sleeping unit or treatment room</t>
  </si>
  <si>
    <t>Cell (Reformatory)</t>
  </si>
  <si>
    <t>Employees(CA)</t>
  </si>
  <si>
    <t>Buildings for the transaction of business, nonmedical professional services, other services involving merchandise, office buildings, banks, light industrial, ambulatory care and similar uses</t>
  </si>
  <si>
    <t>Ambulatory care facilities and outpatient clinics</t>
  </si>
  <si>
    <t>"Can substitute up to 50% of required fixtures"</t>
  </si>
  <si>
    <t>Alcohol and drug centers, Congregate care facilities, Group Homes, Halfway houses, Social rehabilitation facilities, Foster care facilities</t>
  </si>
  <si>
    <t>Assisted living and residential board and care facilites with care recipeints who receive custodial care</t>
  </si>
  <si>
    <t>Sleeping units for care recipient</t>
  </si>
  <si>
    <t>1 per(2) sleeping units</t>
  </si>
  <si>
    <t>Dwelling units for care receipients</t>
  </si>
  <si>
    <t>Emplyee facilites</t>
  </si>
  <si>
    <t>1 service sink per floor</t>
  </si>
  <si>
    <t>Visitor facilites</t>
  </si>
  <si>
    <t>Nusring Homes</t>
  </si>
  <si>
    <t>Hospitals</t>
  </si>
  <si>
    <t>Care recipient treatment areas</t>
  </si>
  <si>
    <t>Prisoners</t>
  </si>
  <si>
    <t>Cells</t>
  </si>
  <si>
    <t>Congregate living facilities</t>
  </si>
  <si>
    <t>1 per sleeping / dwelling unit</t>
  </si>
  <si>
    <t>1 per dwelling / sleeping unit</t>
  </si>
  <si>
    <t>Congregate living facilities with 16 or fewer care recipients receiving custodial care</t>
  </si>
  <si>
    <r>
      <t xml:space="preserve">1 </t>
    </r>
    <r>
      <rPr>
        <sz val="11"/>
        <color rgb="FFFF0000"/>
        <rFont val="Calibri"/>
        <family val="2"/>
        <scheme val="minor"/>
      </rPr>
      <t>kitchen</t>
    </r>
    <r>
      <rPr>
        <sz val="11"/>
        <color theme="1"/>
        <rFont val="Calibri"/>
        <family val="2"/>
        <scheme val="minor"/>
      </rPr>
      <t xml:space="preserve"> sink</t>
    </r>
  </si>
  <si>
    <t>LAVYS</t>
  </si>
  <si>
    <t>FOUNTIAN</t>
  </si>
  <si>
    <t>SHOWER</t>
  </si>
  <si>
    <t>UPC</t>
  </si>
  <si>
    <t>Assembly occupancy (fixed or permanent seating) - theaters, concert halls, and auditoriums</t>
  </si>
  <si>
    <t>Can substitute up to 67% of required fixtures (Table 422.1(4))</t>
  </si>
  <si>
    <t>urinals</t>
  </si>
  <si>
    <t>Assembly occupancy - restaurants, pubs, lounges, nightclubs and banquet halls</t>
  </si>
  <si>
    <t>hospital</t>
  </si>
  <si>
    <t>nursing home</t>
  </si>
  <si>
    <t>Assembly occupancy (typically without fixed or permanent seating) - arcades, places of worship, musuems, libraries, lecture halls, gymnasiums (without spectator seating), indoor pools (without spectator seating)</t>
  </si>
  <si>
    <t>prisoners</t>
  </si>
  <si>
    <t>correctional facility</t>
  </si>
  <si>
    <t>long term</t>
  </si>
  <si>
    <t>one or two family dwelling</t>
  </si>
  <si>
    <t>1 per one and two family dwelling</t>
  </si>
  <si>
    <t>Assembly occupancy (indoor activities or sporting events with spectator seating) - swimming pools, skating rinks, arenas, and gymnasiums</t>
  </si>
  <si>
    <t>Assembly occupancy (outdoor activities or sporting events) - amusement parks, grandstands and stadiums</t>
  </si>
  <si>
    <t>Business occupancy (office, professtional or service type transactions) - banks, vet clinics, hospitals, car wash, banks, beauty salons, ambulatory health care facilities, laundries and dry cleaning, educational institutions (above height school), or training facilities not located within school, post offices and printing shops</t>
  </si>
  <si>
    <t>Education occupancy - private or public schools</t>
  </si>
  <si>
    <t>Factory or Industrial occupancy - fabricating or assembly work</t>
  </si>
  <si>
    <t>Institutional occupancy (houses more than 16 persons on a 24-hour basis) - substance abuse centers, assisted living, group homes, or residential facilities</t>
  </si>
  <si>
    <t>Hospitals and nursing homes - individual rooms and ward room</t>
  </si>
  <si>
    <t>Hospital Waiting or visitor rooms</t>
  </si>
  <si>
    <t>1 per cell block / floor</t>
  </si>
  <si>
    <t>Correctional facilities or juvenile center</t>
  </si>
  <si>
    <t>1 per floor</t>
  </si>
  <si>
    <t>Institutional occupancy (any age that receives care for less than 24 hours)</t>
  </si>
  <si>
    <t>Mercantile occupancy (the sale of merchandise and accessible to the public)</t>
  </si>
  <si>
    <t>Residential occupancy (minimal stay) - hotels, motels, bed and breakfast</t>
  </si>
  <si>
    <t>1 per sleeping room</t>
  </si>
  <si>
    <t>1 service or laundry sink</t>
  </si>
  <si>
    <t>Emplyee Use</t>
  </si>
  <si>
    <t>1 per apartment</t>
  </si>
  <si>
    <t>1 kitchen sink per apartment; 1 laundry tray or 1 automatic clothes washer connection per unit or 1 laundry tray or 1 clothes washer connection for each 12 units</t>
  </si>
  <si>
    <t>Long term or permanent in nature, 16 or less persons</t>
  </si>
  <si>
    <t>One and two family dwellings</t>
  </si>
  <si>
    <t>1 kitchen sink and 1 automatic clothes washer connection per one and two family dwelling</t>
  </si>
  <si>
    <t>Residential occupancy (residential care or assisted living)</t>
  </si>
  <si>
    <t>Storage occupancy - storage of goods, warehouse, aircraft hanger, food products, appliances</t>
  </si>
  <si>
    <t>WATER CLOSET</t>
  </si>
  <si>
    <t>LAVATORY</t>
  </si>
  <si>
    <t>ROUNTAIN</t>
  </si>
  <si>
    <t>NSTPC</t>
  </si>
  <si>
    <t>Theaters and other facilities for he viewing of performing arts or motion pictures, typically with fixed seats</t>
  </si>
  <si>
    <t>Can substitute up to 50% of required fixtures (7.21.5(a))</t>
  </si>
  <si>
    <t>Museums</t>
  </si>
  <si>
    <t>Night clubs, bars, taverns, and similar facilities where drink and / or food is consumed</t>
  </si>
  <si>
    <t>gymnasiums</t>
  </si>
  <si>
    <t xml:space="preserve">Note: </t>
  </si>
  <si>
    <t>1. Occupant load is limited to 5,000 total persons</t>
  </si>
  <si>
    <t>2. R-2 Occupancy is limited to 50 total persons</t>
  </si>
  <si>
    <t>3. Local AHJ has authority to remove service sink (7.21.5(d))</t>
  </si>
  <si>
    <t>educational Day Care</t>
  </si>
  <si>
    <t>4. In B occupancy 1,500 sq. ft. or less (1) R.R. is permitted (7.21.4(3)) &amp; (7.21.7(d))</t>
  </si>
  <si>
    <t>educational 1-6</t>
  </si>
  <si>
    <t>Restaurants, banquet halls, food courts, carry-outs with seating</t>
  </si>
  <si>
    <t>5. In M occupancy 1,500 sq. ft. or less (1) R.R. is permitted (7.21.4(4)) &amp; (7.21.7(d))</t>
  </si>
  <si>
    <t>educational 7-12</t>
  </si>
  <si>
    <t>6. In restaurants or other food service eshablishments with seating for 100+ shall be provided with separate facilities for employees and customers (7.21.8(a))</t>
  </si>
  <si>
    <t>1 emergency shower per 10 people exposed to skin contamination</t>
  </si>
  <si>
    <t>detainees</t>
  </si>
  <si>
    <t>Museums, art galleries, exhibition halls, lecture halls, libraries</t>
  </si>
  <si>
    <t>vistiors</t>
  </si>
  <si>
    <t>Gymnasiums (without spectator seating), health spas</t>
  </si>
  <si>
    <t>Buildings for the transaction of business, professional services, office buildings, banks, and similar uses</t>
  </si>
  <si>
    <t>Day Care, Preschool, Kindergarten</t>
  </si>
  <si>
    <t xml:space="preserve">Elementary Grades    1 -6 </t>
  </si>
  <si>
    <t>Secondary Grades     7 - 12 and higher educational facilities</t>
  </si>
  <si>
    <t>Structures in which occupants are engaged in work fabricating, assembly or processing of products or materials, food, etc.</t>
  </si>
  <si>
    <t>Residential Care, assisted living facilities (24-hour)</t>
  </si>
  <si>
    <t>1 per patient room</t>
  </si>
  <si>
    <t>Emplyees in hospitals, etc.</t>
  </si>
  <si>
    <t>1 service sink per floor per wing</t>
  </si>
  <si>
    <t>Visitors in hospitals, etc.</t>
  </si>
  <si>
    <t>Prisoners in Prisons</t>
  </si>
  <si>
    <t>Detainees in reformatories, detention centers, and correctional centers</t>
  </si>
  <si>
    <t>Employees in prisons, reformatories, etc.</t>
  </si>
  <si>
    <t>Visitors in prisons, reformatories, etc.</t>
  </si>
  <si>
    <t>Adult day care, child day care</t>
  </si>
  <si>
    <t>Stores, shops, markets, shopping centers, sales rooms, service stations, etc.</t>
  </si>
  <si>
    <t>Hotels, motels, boarding houses</t>
  </si>
  <si>
    <t>1 per guest room</t>
  </si>
  <si>
    <t>Dormitories, fraternities, soroitites, and boarding houses (not transient)</t>
  </si>
  <si>
    <t>Apartment houses, condominiums</t>
  </si>
  <si>
    <t>1 per unit</t>
  </si>
  <si>
    <t>1 kitchen sink per unit / provisions for 1 clothes washer per 20 units</t>
  </si>
  <si>
    <t>One- and two-family dwelling</t>
  </si>
  <si>
    <t>1 kitchen sink per unit / provisions for 1 clothes washer per unit</t>
  </si>
  <si>
    <t>Structures for the storage of goods, warehouses, storehouses and freight depots</t>
  </si>
  <si>
    <t>USPC</t>
  </si>
  <si>
    <t>Agricultural (Unoccupied)</t>
  </si>
  <si>
    <t>Stables, Greenhouses, and similar buildings used exclusively for farming and/or livestock</t>
  </si>
  <si>
    <t>agricultural Unoccupied</t>
  </si>
  <si>
    <t>agricultural Occupied</t>
  </si>
  <si>
    <t>One for each set of restrooms</t>
  </si>
  <si>
    <t>Theaters</t>
  </si>
  <si>
    <t>Nightclubs</t>
  </si>
  <si>
    <t>Meeting Halls</t>
  </si>
  <si>
    <t>Agricultural (Occupied)</t>
  </si>
  <si>
    <t>Dairy Farms, Greenhouses and similar buildings</t>
  </si>
  <si>
    <t>Indoor Recreational without Patrons</t>
  </si>
  <si>
    <t>One per Men's Room and One per Women's Room</t>
  </si>
  <si>
    <t>Indoor Recreational with Patrons</t>
  </si>
  <si>
    <t>1. 10.10(15)(c)(5): In all occupancies other than Residential, (1) R.R. is allowed for up to 20 persons and max 2,000 sq. ft.</t>
  </si>
  <si>
    <t>Outdoor Stadiums</t>
  </si>
  <si>
    <t>2. 10.10(15)(c)(4): Restroom(s) must be provided within 400' of facility (other than residential).</t>
  </si>
  <si>
    <t>Quasi Profesional</t>
  </si>
  <si>
    <t>Secondary School</t>
  </si>
  <si>
    <t>Places of Worship</t>
  </si>
  <si>
    <t>Places of Assembly</t>
  </si>
  <si>
    <t>Theaters, Concert Venues and Auditoriums with fixed seating</t>
  </si>
  <si>
    <t>Health Clubs</t>
  </si>
  <si>
    <t>Public Beaches</t>
  </si>
  <si>
    <t>Casino</t>
  </si>
  <si>
    <t>Business</t>
  </si>
  <si>
    <t>Pre-School</t>
  </si>
  <si>
    <t>High School</t>
  </si>
  <si>
    <t>Staff</t>
  </si>
  <si>
    <t>Industrial</t>
  </si>
  <si>
    <t>Correctional</t>
  </si>
  <si>
    <t>1 per 15 inmates</t>
  </si>
  <si>
    <t>Correctional Staff</t>
  </si>
  <si>
    <t>1 Male &amp; 1 Female</t>
  </si>
  <si>
    <t>Juvenile</t>
  </si>
  <si>
    <t>1 per Floor</t>
  </si>
  <si>
    <t>Nightclubs and Pubs, Lounges, Restaurants, Food Courts and Service Plazas</t>
  </si>
  <si>
    <t>Juvenile Staff</t>
  </si>
  <si>
    <t>1 per Room**</t>
  </si>
  <si>
    <t>Hospital Staff</t>
  </si>
  <si>
    <t>Hospital Waiting Room</t>
  </si>
  <si>
    <t>Dental Patients</t>
  </si>
  <si>
    <t>Dental Staff</t>
  </si>
  <si>
    <t>Chiropractors</t>
  </si>
  <si>
    <t>One Family Dwelling</t>
  </si>
  <si>
    <t>1 per Dwelling</t>
  </si>
  <si>
    <t>Three Family Dwelling</t>
  </si>
  <si>
    <t>Meeting Halls, Galleries, Libraries, Banquet Halls, Funeral Parlors, Gymnasiums without permanent seating</t>
  </si>
  <si>
    <t>Hotel &amp; Motel</t>
  </si>
  <si>
    <t>1 per Guest Room</t>
  </si>
  <si>
    <t>Bed &amp; Breakfast</t>
  </si>
  <si>
    <t>1 per Every 3 Guest Rooms</t>
  </si>
  <si>
    <t>Adult Day Care</t>
  </si>
  <si>
    <t>1 per 20 Including Staff</t>
  </si>
  <si>
    <t>Assisted Living</t>
  </si>
  <si>
    <t>Assisted Staff</t>
  </si>
  <si>
    <t>Ticket Booths</t>
  </si>
  <si>
    <t>None required if accessible facilities are located within 400 feet</t>
  </si>
  <si>
    <t>Pumping Equipment</t>
  </si>
  <si>
    <t>1 Accessible unisex/gender-neutral restroom within the facility</t>
  </si>
  <si>
    <r>
      <t xml:space="preserve">Indoor Recreational Facilities, Rinks, Swimming Pools, Gymnasiums and Others </t>
    </r>
    <r>
      <rPr>
        <i/>
        <sz val="11"/>
        <color theme="1"/>
        <rFont val="Calibri"/>
        <family val="2"/>
        <scheme val="minor"/>
      </rPr>
      <t>Without</t>
    </r>
    <r>
      <rPr>
        <sz val="11"/>
        <color theme="1"/>
        <rFont val="Calibri"/>
        <family val="2"/>
        <scheme val="minor"/>
      </rPr>
      <t xml:space="preserve"> Spectator Seating (Patrons &amp; Staff)</t>
    </r>
  </si>
  <si>
    <r>
      <t xml:space="preserve">Indoor Recreational Facilities, Rinks, Swimming Pools, Gymnasiums and Others </t>
    </r>
    <r>
      <rPr>
        <i/>
        <sz val="11"/>
        <color theme="1"/>
        <rFont val="Calibri"/>
        <family val="2"/>
        <scheme val="minor"/>
      </rPr>
      <t>With</t>
    </r>
    <r>
      <rPr>
        <sz val="11"/>
        <color theme="1"/>
        <rFont val="Calibri"/>
        <family val="2"/>
        <scheme val="minor"/>
      </rPr>
      <t xml:space="preserve"> Spectator Seating (Patrons &amp; Staff)</t>
    </r>
  </si>
  <si>
    <t>Outdoor Stadiums and Indoor Arenas for Professional Sproting Events (Patrons &amp; Staff)</t>
  </si>
  <si>
    <t>Quasi Professional Higher Education Outdoor Stadiums and Indoor Arenas (Patrons &amp; Staff)</t>
  </si>
  <si>
    <t>Secondary School Outdoor Stadiums and Indoor Arena (Patrons &amp; Staff)</t>
  </si>
  <si>
    <t>Health Clubs and Spas With or Without Swimming Pools</t>
  </si>
  <si>
    <t>*One unisex shower allowed if total number of patrons ans staff at any time does not exceed twenty.</t>
  </si>
  <si>
    <t>Casino Gaming Areas</t>
  </si>
  <si>
    <t>Places of Business</t>
  </si>
  <si>
    <t>Buildings Offering Service Type Transactions.  Banks, Salons, Laundries, Verterinary Clinics, Offices, Shops, Service Stations, and similaer usage (Patrons &amp; Staff)</t>
  </si>
  <si>
    <t>Public and Private Pre-School and Day Care</t>
  </si>
  <si>
    <t>One single user restroom allowed for up to 20 children and staff combined.</t>
  </si>
  <si>
    <t>Public and Private Schools, Kindergarten, Elementary, Middle &amp; High School</t>
  </si>
  <si>
    <t>Public &amp; Private Post-Secondary Schools including Staff</t>
  </si>
  <si>
    <t>Instrial, Warehousing, Research &amp; Development facilities</t>
  </si>
  <si>
    <t>Buildings &amp; warehouses where employees assemble or process products that may be stored and/or shipped</t>
  </si>
  <si>
    <t>Institutional Facilities</t>
  </si>
  <si>
    <t>Correctional Facilities / Prisons</t>
  </si>
  <si>
    <t>Detention Centers, Correctional Facilities and Juvenile Centers</t>
  </si>
  <si>
    <t>Medical Facilities</t>
  </si>
  <si>
    <t>Hospitals &amp; Nursing Homes, Addiction Recover Centers, Pychiatric centers and similar Patients</t>
  </si>
  <si>
    <t>Waiting Rooms for Visitors</t>
  </si>
  <si>
    <t>Doctor/Dental offices, labs, and similar facilities where procedures may be performed</t>
  </si>
  <si>
    <t>Patients</t>
  </si>
  <si>
    <t>Chiropractors, physical therapy and similar facilities where medical procedures are not performed ##</t>
  </si>
  <si>
    <t>Mercantile Facilities</t>
  </si>
  <si>
    <t>Retail Stores, Supermarkets, Shopping Centers, Big Box Stores Covered Malls, and similar types accessible to the public</t>
  </si>
  <si>
    <t>Residential Buildings</t>
  </si>
  <si>
    <t>One and Two Family Dwellings</t>
  </si>
  <si>
    <t>1 Kitchen Sink per Dwelling</t>
  </si>
  <si>
    <t>10.10(8)(a)(1): At least one washing machine connection.  If only one washing machine connection is provided, it shall be located so that each occupant in the dwelling has access to the washing machine that may be affixed to the washing machine connection.</t>
  </si>
  <si>
    <t>Dwellings Three Family and Above</t>
  </si>
  <si>
    <t>10.10(8)(a)(2)(a): One washing machine connection for every 10 dwelling units, or fraction thereof.</t>
  </si>
  <si>
    <t>Hotels, Motels, Inns and Similar</t>
  </si>
  <si>
    <t>10.10(8)(a)(2)(b): In dormatories, one washing machine connection for every 10 dwelling units or fraction thereof.  For purposes of post-secondary school residential dormatories, the Board considers one dwelling unit to be equivalent to 4 students.</t>
  </si>
  <si>
    <t>Dormatories, Boarding Houses, Soroities, Fraternities, and similar Facilities</t>
  </si>
  <si>
    <t>Custodial Adult Day Care</t>
  </si>
  <si>
    <t>Assisted Living Facilities</t>
  </si>
  <si>
    <t>Small Occupied Structures</t>
  </si>
  <si>
    <t>Ticket Booths, Guard Shacks, and Similar Facilities</t>
  </si>
  <si>
    <t>Unoccupied Structures</t>
  </si>
  <si>
    <t>Pumping Equipment, Sub-Stations, and Similar Facilities</t>
  </si>
  <si>
    <t>Storage Facilities</t>
  </si>
  <si>
    <t>**: Patrons and Staff may be combined to determine total number of fixtures.</t>
  </si>
  <si>
    <t>##: Nursing Homes: 1 toilet and 1 lavatory with direct access from each bedroom shared by maximum of 8 people.  (May be Unisex/gender-neutral)</t>
  </si>
  <si>
    <t>URINALS</t>
  </si>
  <si>
    <t>IPC</t>
  </si>
  <si>
    <t>Sports Arenas, Stadiums, Conventions Halls, Etc.</t>
  </si>
  <si>
    <t>Sports Arenas</t>
  </si>
  <si>
    <t>One for each set of restrooms (High-Low)</t>
  </si>
  <si>
    <t>(1) High-Low for each set of male and female restrooms</t>
  </si>
  <si>
    <t>Food Establishments</t>
  </si>
  <si>
    <t>(1) for each set of restrooms if water is not provided</t>
  </si>
  <si>
    <t>Employee Only</t>
  </si>
  <si>
    <t>Notes:</t>
  </si>
  <si>
    <t>Selling Motor Fuel</t>
  </si>
  <si>
    <t>1. Can substite up to 50% of required W.C.'s for urinals (890.Appendix A, Footnote 2).</t>
  </si>
  <si>
    <t>Elementary</t>
  </si>
  <si>
    <t>2. Bottled drinking is allowed to be substituded for Fountain (890.Appendix A, Footnote 4).</t>
  </si>
  <si>
    <t>Nursery</t>
  </si>
  <si>
    <t>Hosp. Ind. Room</t>
  </si>
  <si>
    <t>Theaters, Auditoriums, Other Facilities for Specator Events</t>
  </si>
  <si>
    <t>Hosp. Ward Room</t>
  </si>
  <si>
    <t>Prison Cell</t>
  </si>
  <si>
    <t>Prison Dorm</t>
  </si>
  <si>
    <t>Other than Hosp.</t>
  </si>
  <si>
    <t>Single Dwelling</t>
  </si>
  <si>
    <t>1 per dwelling or unit</t>
  </si>
  <si>
    <t>Food Establishments, Pubs, Louges, Nightclubs, and Places Serving Foor or Liquid to be Consumed on the Premises</t>
  </si>
  <si>
    <t>Food Service establishents with no m,ore than 10 combined employees and seats (for patrons) at any one time need not to provide public restrooms, provided that the emplyee restrooms are accessible and made available to the public.</t>
  </si>
  <si>
    <t>Worship Places and Funeral Homes</t>
  </si>
  <si>
    <t>Office Buildings / Public Buildings</t>
  </si>
  <si>
    <t>All facilities for Employee Use</t>
  </si>
  <si>
    <t>The entry in Table B (This table) entitled "All Facilities for Employee Use" shall be used to determine the minimum number of fixtures required for employees in hopspitals, penal/other institutions, and all other buildings/facilities that do not appear this this Table.</t>
  </si>
  <si>
    <t>Businesses Selling Motor Fuel to the Public</t>
  </si>
  <si>
    <t>Businesses that sell motor fuel but do not have any employees working as attendants are not required to provide public restrooms (Title 77, Section 890.Appendix A, Footnote 10).</t>
  </si>
  <si>
    <t>Seconday, Colleges, Universities, Adult Centers, Etc.</t>
  </si>
  <si>
    <t>Note that (1) Lavy is required in exercise rooms.</t>
  </si>
  <si>
    <t>Child Daycare Facilities</t>
  </si>
  <si>
    <t>Nursery and Preshcool Center, Toddlers (16-36) Months (Excludes Infants 0-15 Months)</t>
  </si>
  <si>
    <t>In Day Care Centers providing restroom training facilities for occupants ages three and younger where continuous adult supervision is provided, restrooms are not required to be seperated into facilities for males and females, and are allowed to contain multiple lavatories and water closets as required by this Part.  Public restrooms shall be required for everyone over the age of three seperate from the restroom training facilities as required by this Part.</t>
  </si>
  <si>
    <t>Hospital Individual Room</t>
  </si>
  <si>
    <t>Hospital Ward Room</t>
  </si>
  <si>
    <t>Penal Institution for Prisoner Use Cell</t>
  </si>
  <si>
    <t>Penal Institution for Prisoner Use Dormitories</t>
  </si>
  <si>
    <t>Other Than Hospitals or Penal Institutions (on each floor)</t>
  </si>
  <si>
    <t>Mercantile Units, Malls, Stores, Etc.</t>
  </si>
  <si>
    <t>Minimum (1) Drinking for each set of male and female restrooms.</t>
  </si>
  <si>
    <t>Single Dwelling or Unit of Multiple Dwelling; Condo or Apartment; or Hotel/Motel Unit</t>
  </si>
  <si>
    <t>(1) Dbl. Kitchen Sink; or Single Bowl - 24"x21"x6-1/2" minimum; (1) Laundry Tray or (1) Clothes Washer connection for each (10) Units</t>
  </si>
  <si>
    <t>The kitchen sink and laundry tray  or connection for the washer are not required for the hotel/motel unit.</t>
  </si>
  <si>
    <t>Dormitories</t>
  </si>
  <si>
    <t>The total number of bathing facilities shall include one bathtub for males and one bathtub for females or one individual user restroom with a bathtub.</t>
  </si>
  <si>
    <t>Manual Occupant Load</t>
  </si>
  <si>
    <t>"Can substitute up to 67% of required fixtures"</t>
  </si>
  <si>
    <t>Emplyee Use (CA &amp; UPC Only)</t>
  </si>
  <si>
    <t>water closets</t>
  </si>
  <si>
    <t>lavatories</t>
  </si>
  <si>
    <t>2021 - 2018 IPC</t>
  </si>
  <si>
    <t>2009 - 2015 IPC</t>
  </si>
  <si>
    <t>California</t>
  </si>
  <si>
    <t>Plumbing Code:</t>
  </si>
  <si>
    <t>Business (2018-2024 IBC &amp; 2025 CBC)</t>
  </si>
  <si>
    <t>1. 2021 WA State Building Code, 2902.5.1: Occupant loads with 30 or less persons do not require a drinking fountain.</t>
  </si>
  <si>
    <t>2. 2022 Oregan Structural Speciality Code, Section 2902.2(2): Occupants loads with 30 or less only require a single user restroom.</t>
  </si>
  <si>
    <t>3. UT State Construction Code: IPC, Section 413.5: Floor drains required in all public restrooms.</t>
  </si>
  <si>
    <t>4. LA Plumbing Code, Section 413.5: Floor drains required in all public restrooms.</t>
  </si>
  <si>
    <t>1. Georgia removed the requirement for a service sink entirely.  (Table 403.1)</t>
  </si>
  <si>
    <t>2. Georgia does not require drinking fountains in buildings with an occupant load of 25 or fewer. (Section 410.2)</t>
  </si>
  <si>
    <t>1. Oregon: Single User restrooms in structures are allowed for 30 or fewer occupants (IBC 2902.2, Exception 2)</t>
  </si>
  <si>
    <t>2. Oregon: Single User restrooms in Business occupancy are allowed for 50 or fewer occupants (IBC 2902.2, Exception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</si>
</sst>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rgb="FFFF0000"/>
      <name val="Calibri"/>
      <family val="2"/>
      <scheme val="minor"/>
    </font>
    <font>
      <sz val="14"/>
      <color theme="1"/>
      <name val="Calibri"/>
      <family val="2"/>
      <scheme val="minor"/>
    </font>
    <font>
      <sz val="9"/>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sz val="11"/>
      <color rgb="FF0070C0"/>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i/>
      <sz val="11"/>
      <color theme="1"/>
      <name val="Calibri"/>
      <family val="2"/>
      <scheme val="minor"/>
    </font>
    <font>
      <b/>
      <i/>
      <sz val="11"/>
      <color theme="1"/>
      <name val="Calibri"/>
      <family val="2"/>
      <scheme val="minor"/>
    </font>
    <font>
      <b/>
      <sz val="12"/>
      <color rgb="FFFF0000"/>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style="thin">
        <color indexed="64"/>
      </left>
      <right style="thin">
        <color indexed="64"/>
      </right>
      <top style="medium">
        <color indexed="64"/>
      </top>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s>
  <cellStyleXfs count="1">
    <xf numFmtId="0" fontId="0" fillId="0" borderId="0"/>
  </cellStyleXfs>
  <cellXfs count="367">
    <xf numFmtId="0" fontId="0" fillId="0" borderId="0" xfId="0"/>
    <xf numFmtId="0" fontId="0" fillId="0" borderId="0" xfId="0" applyAlignment="1">
      <alignment horizontal="center" vertical="center"/>
    </xf>
    <xf numFmtId="1" fontId="0" fillId="0" borderId="0" xfId="0" applyNumberFormat="1"/>
    <xf numFmtId="1" fontId="0" fillId="0" borderId="0" xfId="0" applyNumberFormat="1" applyAlignment="1">
      <alignment horizontal="center" vertical="center"/>
    </xf>
    <xf numFmtId="1" fontId="0" fillId="0" borderId="1" xfId="0" applyNumberFormat="1" applyBorder="1" applyAlignment="1">
      <alignment horizontal="center" vertical="center"/>
    </xf>
    <xf numFmtId="0" fontId="0" fillId="0" borderId="0" xfId="0" applyAlignment="1">
      <alignment horizontal="right" vertical="center"/>
    </xf>
    <xf numFmtId="0" fontId="0" fillId="0" borderId="1" xfId="0" applyBorder="1" applyAlignment="1">
      <alignment horizontal="center" vertical="center"/>
    </xf>
    <xf numFmtId="0" fontId="1" fillId="0" borderId="0" xfId="0" applyFont="1" applyAlignment="1">
      <alignment vertical="center"/>
    </xf>
    <xf numFmtId="0" fontId="0" fillId="0" borderId="27" xfId="0" applyBorder="1" applyAlignment="1">
      <alignment horizontal="center" vertical="center" wrapText="1"/>
    </xf>
    <xf numFmtId="0" fontId="0" fillId="0" borderId="9" xfId="0" applyBorder="1" applyAlignment="1">
      <alignment horizontal="center" vertical="center" wrapText="1"/>
    </xf>
    <xf numFmtId="0" fontId="0" fillId="0" borderId="32" xfId="0" applyBorder="1" applyAlignment="1">
      <alignment horizontal="center" vertical="center" wrapText="1"/>
    </xf>
    <xf numFmtId="0" fontId="0" fillId="0" borderId="8" xfId="0" applyBorder="1" applyAlignment="1">
      <alignment horizontal="center" vertical="center"/>
    </xf>
    <xf numFmtId="0" fontId="0" fillId="0" borderId="9" xfId="0" applyBorder="1" applyAlignment="1">
      <alignment horizontal="center" vertical="center"/>
    </xf>
    <xf numFmtId="0" fontId="7" fillId="0" borderId="0" xfId="0" applyFont="1"/>
    <xf numFmtId="0" fontId="0" fillId="0" borderId="3" xfId="0" applyBorder="1" applyAlignment="1">
      <alignment horizontal="center" vertical="center"/>
    </xf>
    <xf numFmtId="0" fontId="8" fillId="0" borderId="0" xfId="0" applyFont="1" applyAlignment="1">
      <alignment horizontal="center" vertical="center"/>
    </xf>
    <xf numFmtId="1" fontId="8" fillId="0" borderId="0" xfId="0" applyNumberFormat="1" applyFont="1" applyAlignment="1">
      <alignment horizontal="center" vertical="center"/>
    </xf>
    <xf numFmtId="0" fontId="6" fillId="0" borderId="0" xfId="0" applyFont="1"/>
    <xf numFmtId="0" fontId="9" fillId="0" borderId="9" xfId="0" applyFont="1" applyBorder="1" applyAlignment="1">
      <alignment horizontal="center" vertical="center" wrapText="1"/>
    </xf>
    <xf numFmtId="0" fontId="9" fillId="0" borderId="0" xfId="0" applyFont="1" applyAlignment="1">
      <alignment horizontal="center" vertical="center" wrapText="1"/>
    </xf>
    <xf numFmtId="0" fontId="0" fillId="0" borderId="21" xfId="0" applyBorder="1" applyAlignment="1">
      <alignment horizontal="left" vertical="center"/>
    </xf>
    <xf numFmtId="1" fontId="6" fillId="0" borderId="15" xfId="0" applyNumberFormat="1" applyFont="1" applyBorder="1" applyAlignment="1">
      <alignment horizontal="right" vertical="center"/>
    </xf>
    <xf numFmtId="0" fontId="0" fillId="0" borderId="14" xfId="0" applyBorder="1" applyAlignment="1">
      <alignment horizontal="left" vertical="center"/>
    </xf>
    <xf numFmtId="1" fontId="0" fillId="0" borderId="15" xfId="0" applyNumberFormat="1" applyBorder="1" applyAlignment="1">
      <alignment horizontal="right" vertical="center"/>
    </xf>
    <xf numFmtId="1" fontId="0" fillId="0" borderId="15" xfId="0" applyNumberFormat="1" applyBorder="1"/>
    <xf numFmtId="0" fontId="0" fillId="0" borderId="50" xfId="0" applyBorder="1" applyAlignment="1">
      <alignment horizontal="center"/>
    </xf>
    <xf numFmtId="0" fontId="0" fillId="0" borderId="33" xfId="0"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1" fontId="0" fillId="0" borderId="15" xfId="0" applyNumberFormat="1" applyBorder="1" applyAlignment="1">
      <alignment horizontal="center" vertical="center"/>
    </xf>
    <xf numFmtId="0" fontId="0" fillId="0" borderId="41" xfId="0" applyBorder="1" applyAlignment="1">
      <alignment horizontal="center" vertical="center"/>
    </xf>
    <xf numFmtId="1" fontId="0" fillId="0" borderId="42" xfId="0" applyNumberFormat="1" applyBorder="1" applyAlignment="1">
      <alignment horizontal="center" vertical="center"/>
    </xf>
    <xf numFmtId="1" fontId="0" fillId="0" borderId="41" xfId="0" applyNumberFormat="1" applyBorder="1" applyAlignment="1">
      <alignment horizontal="center" vertical="center"/>
    </xf>
    <xf numFmtId="1" fontId="0" fillId="0" borderId="43" xfId="0" applyNumberFormat="1" applyBorder="1" applyAlignment="1">
      <alignment horizontal="center" vertical="center"/>
    </xf>
    <xf numFmtId="1" fontId="0" fillId="0" borderId="27" xfId="0" applyNumberFormat="1" applyBorder="1" applyAlignment="1">
      <alignment horizontal="center" vertical="center"/>
    </xf>
    <xf numFmtId="1" fontId="0" fillId="0" borderId="44" xfId="0" applyNumberFormat="1" applyBorder="1" applyAlignment="1">
      <alignment horizontal="center" vertical="center"/>
    </xf>
    <xf numFmtId="0" fontId="0" fillId="0" borderId="42" xfId="0" applyBorder="1" applyAlignment="1">
      <alignment horizontal="center" vertical="center"/>
    </xf>
    <xf numFmtId="0" fontId="0" fillId="0" borderId="44" xfId="0" applyBorder="1" applyAlignment="1">
      <alignment horizontal="center" vertical="center"/>
    </xf>
    <xf numFmtId="0" fontId="0" fillId="0" borderId="43" xfId="0" applyBorder="1" applyAlignment="1">
      <alignment horizontal="center" vertical="center"/>
    </xf>
    <xf numFmtId="0" fontId="0" fillId="0" borderId="0" xfId="0" quotePrefix="1"/>
    <xf numFmtId="0" fontId="6" fillId="2" borderId="8" xfId="0" applyFont="1" applyFill="1" applyBorder="1" applyAlignment="1">
      <alignment horizontal="center" vertical="center"/>
    </xf>
    <xf numFmtId="0" fontId="6" fillId="2" borderId="1" xfId="0" applyFont="1" applyFill="1" applyBorder="1" applyAlignment="1">
      <alignment horizontal="center" vertical="center"/>
    </xf>
    <xf numFmtId="0" fontId="1" fillId="0" borderId="0" xfId="0" applyFont="1"/>
    <xf numFmtId="0" fontId="0" fillId="0" borderId="19" xfId="0" applyBorder="1" applyAlignment="1">
      <alignment horizontal="left" vertical="center"/>
    </xf>
    <xf numFmtId="0" fontId="0" fillId="0" borderId="61" xfId="0" applyBorder="1" applyAlignment="1">
      <alignment horizontal="center" vertical="center"/>
    </xf>
    <xf numFmtId="0" fontId="6" fillId="2" borderId="61" xfId="0" applyFont="1" applyFill="1" applyBorder="1" applyAlignment="1">
      <alignment horizontal="center" vertical="center"/>
    </xf>
    <xf numFmtId="1" fontId="0" fillId="0" borderId="20" xfId="0" applyNumberFormat="1" applyBorder="1" applyAlignment="1">
      <alignment horizontal="right" vertical="center"/>
    </xf>
    <xf numFmtId="1" fontId="13" fillId="0" borderId="62" xfId="0" applyNumberFormat="1" applyFont="1" applyBorder="1"/>
    <xf numFmtId="0" fontId="0" fillId="0" borderId="0" xfId="0" applyAlignment="1">
      <alignment horizontal="right"/>
    </xf>
    <xf numFmtId="0" fontId="0" fillId="0" borderId="10" xfId="0" applyBorder="1" applyAlignment="1">
      <alignment horizontal="center" vertical="center"/>
    </xf>
    <xf numFmtId="0" fontId="0" fillId="0" borderId="28" xfId="0" applyBorder="1" applyAlignment="1">
      <alignment horizontal="center" vertical="center"/>
    </xf>
    <xf numFmtId="0" fontId="0" fillId="0" borderId="41" xfId="0" applyBorder="1" applyAlignment="1">
      <alignment vertical="center" wrapText="1"/>
    </xf>
    <xf numFmtId="0" fontId="0" fillId="0" borderId="0" xfId="0" applyAlignment="1">
      <alignment vertical="center" wrapText="1"/>
    </xf>
    <xf numFmtId="0" fontId="6" fillId="0" borderId="0" xfId="0" applyFont="1" applyAlignment="1">
      <alignment vertical="center" wrapText="1"/>
    </xf>
    <xf numFmtId="0" fontId="0" fillId="0" borderId="40" xfId="0" applyBorder="1" applyAlignment="1">
      <alignment horizontal="center"/>
    </xf>
    <xf numFmtId="0" fontId="0" fillId="0" borderId="11" xfId="0" applyBorder="1" applyAlignment="1">
      <alignment horizontal="center" vertical="center"/>
    </xf>
    <xf numFmtId="0" fontId="0" fillId="0" borderId="13" xfId="0" applyBorder="1" applyAlignment="1">
      <alignment horizontal="center" vertical="center"/>
    </xf>
    <xf numFmtId="0" fontId="0" fillId="0" borderId="41" xfId="0" applyBorder="1"/>
    <xf numFmtId="0" fontId="0" fillId="0" borderId="42" xfId="0" applyBorder="1"/>
    <xf numFmtId="0" fontId="0" fillId="0" borderId="43" xfId="0" applyBorder="1"/>
    <xf numFmtId="0" fontId="0" fillId="0" borderId="44" xfId="0" applyBorder="1"/>
    <xf numFmtId="0" fontId="0" fillId="0" borderId="68" xfId="0" applyBorder="1" applyAlignment="1">
      <alignment horizontal="center" vertical="center"/>
    </xf>
    <xf numFmtId="0" fontId="0" fillId="0" borderId="69" xfId="0" applyBorder="1" applyAlignment="1">
      <alignment horizontal="center" vertical="center"/>
    </xf>
    <xf numFmtId="0" fontId="0" fillId="0" borderId="70" xfId="0" applyBorder="1" applyAlignment="1">
      <alignment horizontal="center" vertical="center"/>
    </xf>
    <xf numFmtId="0" fontId="0" fillId="0" borderId="62" xfId="0" applyBorder="1" applyAlignment="1">
      <alignment horizontal="center" vertical="center"/>
    </xf>
    <xf numFmtId="0" fontId="0" fillId="0" borderId="63" xfId="0" applyBorder="1"/>
    <xf numFmtId="0" fontId="4" fillId="0" borderId="43" xfId="0" applyFont="1" applyBorder="1" applyAlignment="1">
      <alignment horizontal="right" vertical="center"/>
    </xf>
    <xf numFmtId="0" fontId="4" fillId="0" borderId="44" xfId="0" applyFont="1" applyBorder="1" applyAlignment="1">
      <alignment horizontal="right" vertical="center"/>
    </xf>
    <xf numFmtId="0" fontId="10" fillId="0" borderId="25" xfId="0" applyFont="1" applyBorder="1" applyAlignment="1">
      <alignment horizontal="center"/>
    </xf>
    <xf numFmtId="0" fontId="10" fillId="0" borderId="48" xfId="0" applyFont="1" applyBorder="1" applyAlignment="1">
      <alignment horizontal="center"/>
    </xf>
    <xf numFmtId="0" fontId="10" fillId="0" borderId="26" xfId="0" applyFont="1" applyBorder="1" applyAlignment="1">
      <alignment horizontal="center"/>
    </xf>
    <xf numFmtId="0" fontId="4" fillId="0" borderId="32" xfId="0" applyFont="1" applyBorder="1" applyAlignment="1">
      <alignment horizontal="center" vertical="center"/>
    </xf>
    <xf numFmtId="0" fontId="4" fillId="0" borderId="49" xfId="0" applyFont="1" applyBorder="1" applyAlignment="1">
      <alignment horizontal="center" vertical="center"/>
    </xf>
    <xf numFmtId="0" fontId="4" fillId="0" borderId="37" xfId="0" applyFont="1" applyBorder="1" applyAlignment="1">
      <alignment horizontal="center" vertical="center"/>
    </xf>
    <xf numFmtId="0" fontId="0" fillId="0" borderId="50" xfId="0" applyBorder="1" applyAlignment="1">
      <alignment horizontal="left" vertical="center"/>
    </xf>
    <xf numFmtId="0" fontId="0" fillId="0" borderId="35" xfId="0" applyBorder="1" applyAlignment="1">
      <alignment horizontal="left" vertical="center"/>
    </xf>
    <xf numFmtId="0" fontId="0" fillId="0" borderId="33" xfId="0" applyBorder="1" applyAlignment="1">
      <alignment horizontal="left" vertical="center"/>
    </xf>
    <xf numFmtId="0" fontId="0" fillId="0" borderId="51" xfId="0" applyBorder="1" applyAlignment="1">
      <alignment horizontal="left" vertical="center"/>
    </xf>
    <xf numFmtId="0" fontId="0" fillId="0" borderId="36" xfId="0" applyBorder="1" applyAlignment="1">
      <alignment horizontal="left" vertical="center"/>
    </xf>
    <xf numFmtId="0" fontId="0" fillId="0" borderId="34" xfId="0" applyBorder="1" applyAlignment="1">
      <alignment horizontal="left" vertical="center"/>
    </xf>
    <xf numFmtId="0" fontId="2" fillId="0" borderId="39" xfId="0" applyFont="1" applyBorder="1" applyAlignment="1">
      <alignment horizontal="center" vertical="center" textRotation="90" wrapText="1"/>
    </xf>
    <xf numFmtId="0" fontId="2" fillId="0" borderId="40" xfId="0" applyFont="1" applyBorder="1" applyAlignment="1">
      <alignment horizontal="center" vertical="center" textRotation="90" wrapText="1"/>
    </xf>
    <xf numFmtId="0" fontId="2" fillId="0" borderId="41" xfId="0" applyFont="1" applyBorder="1" applyAlignment="1">
      <alignment horizontal="center" vertical="center" textRotation="90" wrapText="1"/>
    </xf>
    <xf numFmtId="0" fontId="2" fillId="0" borderId="42" xfId="0" applyFont="1" applyBorder="1" applyAlignment="1">
      <alignment horizontal="center" vertical="center" textRotation="90" wrapText="1"/>
    </xf>
    <xf numFmtId="0" fontId="2" fillId="0" borderId="43" xfId="0" applyFont="1" applyBorder="1" applyAlignment="1">
      <alignment horizontal="center" vertical="center" textRotation="90" wrapText="1"/>
    </xf>
    <xf numFmtId="0" fontId="2" fillId="0" borderId="44" xfId="0" applyFont="1" applyBorder="1" applyAlignment="1">
      <alignment horizontal="center" vertical="center" textRotation="90" wrapText="1"/>
    </xf>
    <xf numFmtId="0" fontId="0" fillId="0" borderId="38" xfId="0" applyBorder="1" applyAlignment="1">
      <alignment horizontal="center" vertical="center" wrapText="1"/>
    </xf>
    <xf numFmtId="0" fontId="0" fillId="0" borderId="45" xfId="0" applyBorder="1" applyAlignment="1">
      <alignment horizontal="center" vertical="center" wrapText="1"/>
    </xf>
    <xf numFmtId="0" fontId="0" fillId="0" borderId="46" xfId="0" applyBorder="1" applyAlignment="1">
      <alignment horizontal="center"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24" xfId="0" applyBorder="1" applyAlignment="1">
      <alignment horizontal="left" vertical="center" wrapText="1"/>
    </xf>
    <xf numFmtId="1" fontId="0" fillId="0" borderId="6" xfId="0" applyNumberFormat="1" applyBorder="1" applyAlignment="1" applyProtection="1">
      <alignment horizontal="center" vertical="center" wrapText="1"/>
      <protection hidden="1"/>
    </xf>
    <xf numFmtId="1" fontId="0" fillId="0" borderId="7" xfId="0" applyNumberFormat="1" applyBorder="1" applyAlignment="1" applyProtection="1">
      <alignment horizontal="center" vertical="center" wrapText="1"/>
      <protection hidden="1"/>
    </xf>
    <xf numFmtId="1" fontId="0" fillId="0" borderId="24" xfId="0" applyNumberFormat="1" applyBorder="1" applyAlignment="1" applyProtection="1">
      <alignment horizontal="center" vertical="center" wrapText="1"/>
      <protection hidden="1"/>
    </xf>
    <xf numFmtId="1" fontId="0" fillId="0" borderId="3" xfId="0" applyNumberFormat="1" applyBorder="1" applyAlignment="1" applyProtection="1">
      <alignment horizontal="center" vertical="center" wrapText="1"/>
      <protection hidden="1"/>
    </xf>
    <xf numFmtId="1" fontId="0" fillId="2" borderId="14" xfId="0" applyNumberFormat="1" applyFill="1" applyBorder="1" applyAlignment="1">
      <alignment horizontal="center" vertical="center" wrapText="1"/>
    </xf>
    <xf numFmtId="1" fontId="0" fillId="2" borderId="15" xfId="0" applyNumberFormat="1" applyFill="1" applyBorder="1" applyAlignment="1">
      <alignment horizontal="center" vertical="center" wrapText="1"/>
    </xf>
    <xf numFmtId="1" fontId="0" fillId="0" borderId="16" xfId="0" applyNumberFormat="1" applyBorder="1" applyAlignment="1" applyProtection="1">
      <alignment horizontal="center" vertical="center" wrapText="1"/>
      <protection hidden="1"/>
    </xf>
    <xf numFmtId="1" fontId="0" fillId="0" borderId="17" xfId="0" applyNumberFormat="1" applyBorder="1" applyAlignment="1" applyProtection="1">
      <alignment horizontal="center" vertical="center" wrapText="1"/>
      <protection hidden="1"/>
    </xf>
    <xf numFmtId="1" fontId="0" fillId="0" borderId="47" xfId="0" applyNumberFormat="1" applyBorder="1" applyAlignment="1" applyProtection="1">
      <alignment horizontal="center" vertical="center" wrapText="1"/>
      <protection hidden="1"/>
    </xf>
    <xf numFmtId="0" fontId="0" fillId="2" borderId="4" xfId="0" applyFill="1" applyBorder="1" applyAlignment="1">
      <alignment horizontal="center" vertical="center" wrapText="1"/>
    </xf>
    <xf numFmtId="0" fontId="0" fillId="2" borderId="16" xfId="0" applyFill="1" applyBorder="1" applyAlignment="1">
      <alignment horizontal="center" vertical="center" wrapText="1"/>
    </xf>
    <xf numFmtId="0" fontId="0" fillId="2" borderId="5" xfId="0" applyFill="1" applyBorder="1" applyAlignment="1">
      <alignment horizontal="center" vertical="center" wrapText="1"/>
    </xf>
    <xf numFmtId="0" fontId="0" fillId="2" borderId="17" xfId="0" applyFill="1" applyBorder="1" applyAlignment="1">
      <alignment horizontal="center" vertical="center" wrapText="1"/>
    </xf>
    <xf numFmtId="0" fontId="0" fillId="2" borderId="23" xfId="0" applyFill="1" applyBorder="1" applyAlignment="1">
      <alignment horizontal="center" vertical="center" wrapText="1"/>
    </xf>
    <xf numFmtId="0" fontId="0" fillId="2" borderId="47" xfId="0" applyFill="1" applyBorder="1" applyAlignment="1">
      <alignment horizontal="center" vertical="center" wrapText="1"/>
    </xf>
    <xf numFmtId="0" fontId="0" fillId="0" borderId="16" xfId="0" applyBorder="1" applyAlignment="1" applyProtection="1">
      <alignment horizontal="center" vertical="center" wrapText="1"/>
      <protection hidden="1"/>
    </xf>
    <xf numFmtId="0" fontId="0" fillId="0" borderId="17" xfId="0" applyBorder="1" applyAlignment="1" applyProtection="1">
      <alignment horizontal="center" vertical="center" wrapText="1"/>
      <protection hidden="1"/>
    </xf>
    <xf numFmtId="0" fontId="0" fillId="0" borderId="18" xfId="0" applyBorder="1" applyAlignment="1" applyProtection="1">
      <alignment horizontal="center" vertical="center" wrapText="1"/>
      <protection hidden="1"/>
    </xf>
    <xf numFmtId="0" fontId="0" fillId="0" borderId="10" xfId="0" applyBorder="1" applyAlignment="1">
      <alignment horizontal="center" vertical="center" wrapText="1"/>
    </xf>
    <xf numFmtId="0" fontId="0" fillId="0" borderId="1" xfId="0" applyBorder="1" applyAlignment="1">
      <alignment horizontal="left" vertical="center" wrapText="1"/>
    </xf>
    <xf numFmtId="1" fontId="0" fillId="0" borderId="1" xfId="0" applyNumberFormat="1" applyBorder="1" applyAlignment="1" applyProtection="1">
      <alignment horizontal="center" vertical="center" wrapText="1"/>
      <protection hidden="1"/>
    </xf>
    <xf numFmtId="0" fontId="0" fillId="0" borderId="1" xfId="0" applyBorder="1" applyAlignment="1" applyProtection="1">
      <alignment horizontal="center" vertical="center" wrapText="1"/>
      <protection hidden="1"/>
    </xf>
    <xf numFmtId="1" fontId="0" fillId="0" borderId="15" xfId="0" applyNumberFormat="1" applyBorder="1" applyAlignment="1" applyProtection="1">
      <alignment horizontal="center" vertical="center" wrapText="1"/>
      <protection hidden="1"/>
    </xf>
    <xf numFmtId="0" fontId="0" fillId="0" borderId="3" xfId="0" applyBorder="1" applyAlignment="1" applyProtection="1">
      <alignment horizontal="center" vertical="center" wrapText="1"/>
      <protection hidden="1"/>
    </xf>
    <xf numFmtId="0" fontId="0" fillId="2" borderId="21" xfId="0" applyFill="1" applyBorder="1" applyAlignment="1">
      <alignment horizontal="center" vertical="center" wrapText="1"/>
    </xf>
    <xf numFmtId="0" fontId="0" fillId="2" borderId="18" xfId="0" applyFill="1" applyBorder="1" applyAlignment="1">
      <alignment horizontal="center" vertical="center" wrapText="1"/>
    </xf>
    <xf numFmtId="0" fontId="0" fillId="2" borderId="14" xfId="0" applyFill="1" applyBorder="1" applyAlignment="1">
      <alignment horizontal="center" vertical="center" wrapText="1"/>
    </xf>
    <xf numFmtId="0" fontId="0" fillId="2" borderId="15" xfId="0" applyFill="1" applyBorder="1" applyAlignment="1">
      <alignment horizontal="center" vertical="center" wrapText="1"/>
    </xf>
    <xf numFmtId="1" fontId="6" fillId="0" borderId="1" xfId="0" applyNumberFormat="1" applyFont="1" applyBorder="1" applyAlignment="1" applyProtection="1">
      <alignment horizontal="center" vertical="center" wrapText="1"/>
      <protection hidden="1"/>
    </xf>
    <xf numFmtId="1" fontId="0" fillId="0" borderId="18" xfId="0" applyNumberFormat="1" applyBorder="1" applyAlignment="1" applyProtection="1">
      <alignment horizontal="center" vertical="center" wrapText="1"/>
      <protection hidden="1"/>
    </xf>
    <xf numFmtId="0" fontId="2" fillId="0" borderId="11" xfId="0" applyFont="1" applyBorder="1" applyAlignment="1">
      <alignment horizontal="center" vertical="center" textRotation="90" wrapText="1"/>
    </xf>
    <xf numFmtId="0" fontId="2" fillId="0" borderId="13" xfId="0" applyFont="1" applyBorder="1" applyAlignment="1">
      <alignment horizontal="center" vertical="center" textRotation="90" wrapText="1"/>
    </xf>
    <xf numFmtId="0" fontId="2" fillId="0" borderId="14" xfId="0" applyFont="1" applyBorder="1" applyAlignment="1">
      <alignment horizontal="center" vertical="center" textRotation="90" wrapText="1"/>
    </xf>
    <xf numFmtId="0" fontId="2" fillId="0" borderId="15" xfId="0" applyFont="1" applyBorder="1" applyAlignment="1">
      <alignment horizontal="center" vertical="center" textRotation="90" wrapText="1"/>
    </xf>
    <xf numFmtId="0" fontId="2" fillId="0" borderId="19" xfId="0" applyFont="1" applyBorder="1" applyAlignment="1">
      <alignment horizontal="center" vertical="center" textRotation="90" wrapText="1"/>
    </xf>
    <xf numFmtId="0" fontId="2" fillId="0" borderId="20" xfId="0" applyFont="1" applyBorder="1" applyAlignment="1">
      <alignment horizontal="center" vertical="center" textRotation="90" wrapText="1"/>
    </xf>
    <xf numFmtId="0" fontId="0" fillId="0" borderId="14" xfId="0" applyBorder="1" applyAlignment="1">
      <alignment horizontal="center" vertical="center" wrapText="1"/>
    </xf>
    <xf numFmtId="1" fontId="0" fillId="0" borderId="8" xfId="0" applyNumberFormat="1" applyBorder="1" applyAlignment="1" applyProtection="1">
      <alignment horizontal="center" vertical="center" wrapText="1"/>
      <protection hidden="1"/>
    </xf>
    <xf numFmtId="0" fontId="0" fillId="0" borderId="21" xfId="0" applyBorder="1" applyAlignment="1">
      <alignment horizontal="center" vertical="center" wrapText="1"/>
    </xf>
    <xf numFmtId="0" fontId="0" fillId="0" borderId="8" xfId="0" applyBorder="1" applyAlignment="1">
      <alignment horizontal="left" vertical="center" wrapText="1"/>
    </xf>
    <xf numFmtId="0" fontId="0" fillId="0" borderId="50" xfId="0" applyBorder="1" applyAlignment="1">
      <alignment horizontal="center"/>
    </xf>
    <xf numFmtId="0" fontId="0" fillId="0" borderId="35" xfId="0" applyBorder="1" applyAlignment="1">
      <alignment horizontal="center"/>
    </xf>
    <xf numFmtId="0" fontId="0" fillId="0" borderId="11" xfId="0" applyBorder="1" applyAlignment="1">
      <alignment horizontal="center" vertical="center" wrapText="1"/>
    </xf>
    <xf numFmtId="0" fontId="0" fillId="0" borderId="13" xfId="0"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9" fillId="0" borderId="39" xfId="0" applyFont="1" applyBorder="1" applyAlignment="1">
      <alignment horizontal="center" vertical="center" wrapText="1"/>
    </xf>
    <xf numFmtId="0" fontId="9" fillId="0" borderId="40" xfId="0" applyFont="1" applyBorder="1" applyAlignment="1">
      <alignment horizontal="center" vertical="center" wrapText="1"/>
    </xf>
    <xf numFmtId="0" fontId="9" fillId="0" borderId="43" xfId="0" applyFont="1" applyBorder="1" applyAlignment="1">
      <alignment horizontal="center" vertical="center" wrapText="1"/>
    </xf>
    <xf numFmtId="0" fontId="9" fillId="0" borderId="44" xfId="0" applyFont="1" applyBorder="1" applyAlignment="1">
      <alignment horizontal="center" vertical="center" wrapText="1"/>
    </xf>
    <xf numFmtId="1" fontId="2" fillId="2" borderId="32" xfId="0" applyNumberFormat="1" applyFont="1" applyFill="1" applyBorder="1" applyAlignment="1">
      <alignment horizontal="center" vertical="center" wrapText="1"/>
    </xf>
    <xf numFmtId="0" fontId="2" fillId="2" borderId="37" xfId="0" applyFont="1" applyFill="1"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1" fontId="0" fillId="0" borderId="12" xfId="0" applyNumberFormat="1" applyBorder="1" applyAlignment="1" applyProtection="1">
      <alignment horizontal="center" vertical="center" wrapText="1"/>
      <protection hidden="1"/>
    </xf>
    <xf numFmtId="1" fontId="0" fillId="0" borderId="13" xfId="0" applyNumberFormat="1" applyBorder="1" applyAlignment="1" applyProtection="1">
      <alignment horizontal="center" vertical="center" wrapText="1"/>
      <protection hidden="1"/>
    </xf>
    <xf numFmtId="0" fontId="0" fillId="2" borderId="11" xfId="0" applyFill="1" applyBorder="1" applyAlignment="1">
      <alignment horizontal="center" vertical="center"/>
    </xf>
    <xf numFmtId="0" fontId="0" fillId="2" borderId="14" xfId="0" applyFill="1" applyBorder="1" applyAlignment="1">
      <alignment horizontal="center" vertical="center"/>
    </xf>
    <xf numFmtId="0" fontId="0" fillId="2" borderId="13" xfId="0" applyFill="1" applyBorder="1" applyAlignment="1">
      <alignment horizontal="center" vertical="center"/>
    </xf>
    <xf numFmtId="0" fontId="0" fillId="2" borderId="15" xfId="0" applyFill="1" applyBorder="1" applyAlignment="1">
      <alignment horizontal="center" vertical="center"/>
    </xf>
    <xf numFmtId="0" fontId="0" fillId="0" borderId="22"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left" vertical="center" wrapText="1"/>
    </xf>
    <xf numFmtId="0" fontId="5" fillId="0" borderId="28" xfId="0" applyFont="1" applyBorder="1" applyAlignment="1">
      <alignment horizontal="center" vertical="center" wrapText="1"/>
    </xf>
    <xf numFmtId="0" fontId="5" fillId="0" borderId="29"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center" vertical="center"/>
    </xf>
    <xf numFmtId="0" fontId="3" fillId="0" borderId="25" xfId="0" applyFont="1" applyBorder="1" applyAlignment="1">
      <alignment horizontal="center" vertical="center" wrapText="1"/>
    </xf>
    <xf numFmtId="0" fontId="3" fillId="0" borderId="26" xfId="0" applyFont="1" applyBorder="1" applyAlignment="1">
      <alignment horizontal="center" vertical="center" wrapText="1"/>
    </xf>
    <xf numFmtId="1" fontId="0" fillId="2" borderId="57" xfId="0" applyNumberFormat="1" applyFill="1" applyBorder="1" applyAlignment="1">
      <alignment horizontal="center" vertical="center" wrapText="1"/>
    </xf>
    <xf numFmtId="1" fontId="0" fillId="2" borderId="59" xfId="0" applyNumberFormat="1" applyFill="1" applyBorder="1" applyAlignment="1">
      <alignment horizontal="center" vertical="center" wrapText="1"/>
    </xf>
    <xf numFmtId="1" fontId="0" fillId="2" borderId="41" xfId="0" applyNumberFormat="1" applyFill="1" applyBorder="1" applyAlignment="1">
      <alignment horizontal="center" vertical="center" wrapText="1"/>
    </xf>
    <xf numFmtId="1" fontId="0" fillId="2" borderId="42" xfId="0" applyNumberFormat="1" applyFill="1" applyBorder="1" applyAlignment="1">
      <alignment horizontal="center" vertical="center" wrapText="1"/>
    </xf>
    <xf numFmtId="1" fontId="0" fillId="2" borderId="58" xfId="0" applyNumberFormat="1" applyFill="1" applyBorder="1" applyAlignment="1">
      <alignment horizontal="center" vertical="center" wrapText="1"/>
    </xf>
    <xf numFmtId="1" fontId="0" fillId="2" borderId="52" xfId="0" applyNumberFormat="1" applyFill="1" applyBorder="1" applyAlignment="1">
      <alignment horizontal="center" vertical="center" wrapText="1"/>
    </xf>
    <xf numFmtId="1" fontId="0" fillId="0" borderId="53" xfId="0" applyNumberFormat="1" applyBorder="1" applyAlignment="1" applyProtection="1">
      <alignment horizontal="center" vertical="center" wrapText="1"/>
      <protection hidden="1"/>
    </xf>
    <xf numFmtId="1" fontId="0" fillId="0" borderId="4" xfId="0" applyNumberFormat="1" applyBorder="1" applyAlignment="1" applyProtection="1">
      <alignment horizontal="center" vertical="center" wrapText="1"/>
      <protection hidden="1"/>
    </xf>
    <xf numFmtId="1" fontId="0" fillId="0" borderId="54" xfId="0" applyNumberFormat="1" applyBorder="1" applyAlignment="1" applyProtection="1">
      <alignment horizontal="center" vertical="center" wrapText="1"/>
      <protection hidden="1"/>
    </xf>
    <xf numFmtId="1" fontId="0" fillId="0" borderId="5" xfId="0" applyNumberFormat="1" applyBorder="1" applyAlignment="1" applyProtection="1">
      <alignment horizontal="center" vertical="center" wrapText="1"/>
      <protection hidden="1"/>
    </xf>
    <xf numFmtId="1" fontId="0" fillId="0" borderId="55" xfId="0" applyNumberFormat="1" applyBorder="1" applyAlignment="1" applyProtection="1">
      <alignment horizontal="center" vertical="center" wrapText="1"/>
      <protection hidden="1"/>
    </xf>
    <xf numFmtId="1" fontId="0" fillId="0" borderId="56" xfId="0" applyNumberFormat="1" applyBorder="1" applyAlignment="1" applyProtection="1">
      <alignment horizontal="center" vertical="center" wrapText="1"/>
      <protection hidden="1"/>
    </xf>
    <xf numFmtId="0" fontId="0" fillId="0" borderId="53" xfId="0" applyBorder="1" applyAlignment="1">
      <alignment horizontal="left" vertical="center" wrapText="1"/>
    </xf>
    <xf numFmtId="0" fontId="0" fillId="0" borderId="4" xfId="0" applyBorder="1" applyAlignment="1">
      <alignment horizontal="left" vertical="center" wrapText="1"/>
    </xf>
    <xf numFmtId="0" fontId="0" fillId="0" borderId="54" xfId="0" applyBorder="1" applyAlignment="1">
      <alignment horizontal="left" vertical="center" wrapText="1"/>
    </xf>
    <xf numFmtId="0" fontId="0" fillId="0" borderId="5" xfId="0" applyBorder="1" applyAlignment="1">
      <alignment horizontal="left" vertical="center" wrapText="1"/>
    </xf>
    <xf numFmtId="0" fontId="0" fillId="0" borderId="55" xfId="0" applyBorder="1" applyAlignment="1">
      <alignment horizontal="left" vertical="center" wrapText="1"/>
    </xf>
    <xf numFmtId="0" fontId="0" fillId="0" borderId="56" xfId="0" applyBorder="1" applyAlignment="1">
      <alignment horizontal="left" vertical="center" wrapText="1"/>
    </xf>
    <xf numFmtId="0" fontId="0" fillId="0" borderId="53" xfId="0" applyBorder="1" applyAlignment="1" applyProtection="1">
      <alignment horizontal="center" vertical="center" wrapText="1"/>
      <protection hidden="1"/>
    </xf>
    <xf numFmtId="0" fontId="0" fillId="0" borderId="4" xfId="0" applyBorder="1" applyAlignment="1" applyProtection="1">
      <alignment horizontal="center" vertical="center" wrapText="1"/>
      <protection hidden="1"/>
    </xf>
    <xf numFmtId="0" fontId="0" fillId="0" borderId="54" xfId="0" applyBorder="1" applyAlignment="1" applyProtection="1">
      <alignment horizontal="center" vertical="center" wrapText="1"/>
      <protection hidden="1"/>
    </xf>
    <xf numFmtId="0" fontId="0" fillId="0" borderId="5" xfId="0" applyBorder="1" applyAlignment="1" applyProtection="1">
      <alignment horizontal="center" vertical="center" wrapText="1"/>
      <protection hidden="1"/>
    </xf>
    <xf numFmtId="0" fontId="0" fillId="0" borderId="55" xfId="0" applyBorder="1" applyAlignment="1" applyProtection="1">
      <alignment horizontal="center" vertical="center" wrapText="1"/>
      <protection hidden="1"/>
    </xf>
    <xf numFmtId="0" fontId="0" fillId="0" borderId="56" xfId="0" applyBorder="1" applyAlignment="1" applyProtection="1">
      <alignment horizontal="center" vertical="center" wrapText="1"/>
      <protection hidden="1"/>
    </xf>
    <xf numFmtId="0" fontId="0" fillId="0" borderId="6" xfId="0" applyBorder="1" applyAlignment="1" applyProtection="1">
      <alignment horizontal="center" vertical="center" wrapText="1"/>
      <protection hidden="1"/>
    </xf>
    <xf numFmtId="0" fontId="0" fillId="0" borderId="7" xfId="0" applyBorder="1" applyAlignment="1" applyProtection="1">
      <alignment horizontal="center" vertical="center" wrapText="1"/>
      <protection hidden="1"/>
    </xf>
    <xf numFmtId="0" fontId="0" fillId="0" borderId="8" xfId="0" applyBorder="1" applyAlignment="1" applyProtection="1">
      <alignment horizontal="center" vertical="center" wrapText="1"/>
      <protection hidden="1"/>
    </xf>
    <xf numFmtId="0" fontId="0" fillId="0" borderId="53" xfId="0" applyBorder="1" applyAlignment="1">
      <alignment horizontal="center" vertical="center" wrapText="1"/>
    </xf>
    <xf numFmtId="0" fontId="0" fillId="0" borderId="4" xfId="0" applyBorder="1" applyAlignment="1">
      <alignment horizontal="center" vertical="center" wrapText="1"/>
    </xf>
    <xf numFmtId="0" fontId="0" fillId="0" borderId="54" xfId="0" applyBorder="1" applyAlignment="1">
      <alignment horizontal="center" vertical="center" wrapText="1"/>
    </xf>
    <xf numFmtId="0" fontId="0" fillId="0" borderId="5" xfId="0" applyBorder="1" applyAlignment="1">
      <alignment horizontal="center" vertical="center" wrapText="1"/>
    </xf>
    <xf numFmtId="0" fontId="0" fillId="0" borderId="55" xfId="0" applyBorder="1" applyAlignment="1">
      <alignment horizontal="center" vertical="center" wrapText="1"/>
    </xf>
    <xf numFmtId="0" fontId="0" fillId="0" borderId="56" xfId="0" applyBorder="1" applyAlignment="1">
      <alignment horizontal="center" vertical="center" wrapText="1"/>
    </xf>
    <xf numFmtId="0" fontId="1" fillId="0" borderId="53" xfId="0" applyFont="1" applyBorder="1" applyAlignment="1">
      <alignment horizontal="left" vertical="center" wrapText="1"/>
    </xf>
    <xf numFmtId="0" fontId="1" fillId="0" borderId="4" xfId="0" applyFont="1" applyBorder="1" applyAlignment="1">
      <alignment horizontal="left" vertical="center" wrapText="1"/>
    </xf>
    <xf numFmtId="0" fontId="1" fillId="0" borderId="54" xfId="0" applyFont="1" applyBorder="1" applyAlignment="1">
      <alignment horizontal="left" vertical="center" wrapText="1"/>
    </xf>
    <xf numFmtId="0" fontId="1" fillId="0" borderId="5" xfId="0" applyFont="1" applyBorder="1" applyAlignment="1">
      <alignment horizontal="left" vertical="center" wrapText="1"/>
    </xf>
    <xf numFmtId="0" fontId="1" fillId="0" borderId="55" xfId="0" applyFont="1" applyBorder="1" applyAlignment="1">
      <alignment horizontal="left" vertical="center" wrapText="1"/>
    </xf>
    <xf numFmtId="0" fontId="1" fillId="0" borderId="56" xfId="0" applyFont="1" applyBorder="1" applyAlignment="1">
      <alignment horizontal="left" vertical="center" wrapText="1"/>
    </xf>
    <xf numFmtId="1" fontId="1" fillId="0" borderId="53" xfId="0" applyNumberFormat="1" applyFont="1" applyBorder="1" applyAlignment="1" applyProtection="1">
      <alignment horizontal="center" vertical="center" wrapText="1"/>
      <protection hidden="1"/>
    </xf>
    <xf numFmtId="1" fontId="1" fillId="0" borderId="4" xfId="0" applyNumberFormat="1" applyFont="1" applyBorder="1" applyAlignment="1" applyProtection="1">
      <alignment horizontal="center" vertical="center" wrapText="1"/>
      <protection hidden="1"/>
    </xf>
    <xf numFmtId="1" fontId="1" fillId="0" borderId="54" xfId="0" applyNumberFormat="1" applyFont="1" applyBorder="1" applyAlignment="1" applyProtection="1">
      <alignment horizontal="center" vertical="center" wrapText="1"/>
      <protection hidden="1"/>
    </xf>
    <xf numFmtId="1" fontId="1" fillId="0" borderId="5" xfId="0" applyNumberFormat="1" applyFont="1" applyBorder="1" applyAlignment="1" applyProtection="1">
      <alignment horizontal="center" vertical="center" wrapText="1"/>
      <protection hidden="1"/>
    </xf>
    <xf numFmtId="1" fontId="1" fillId="0" borderId="55" xfId="0" applyNumberFormat="1" applyFont="1" applyBorder="1" applyAlignment="1" applyProtection="1">
      <alignment horizontal="center" vertical="center" wrapText="1"/>
      <protection hidden="1"/>
    </xf>
    <xf numFmtId="1" fontId="1" fillId="0" borderId="56" xfId="0" applyNumberFormat="1" applyFont="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hidden="1"/>
    </xf>
    <xf numFmtId="1" fontId="1" fillId="0" borderId="7" xfId="0" applyNumberFormat="1" applyFont="1" applyBorder="1" applyAlignment="1" applyProtection="1">
      <alignment horizontal="center" vertical="center" wrapText="1"/>
      <protection hidden="1"/>
    </xf>
    <xf numFmtId="1" fontId="1" fillId="0" borderId="8" xfId="0" applyNumberFormat="1" applyFont="1" applyBorder="1" applyAlignment="1" applyProtection="1">
      <alignment horizontal="center" vertical="center" wrapText="1"/>
      <protection hidden="1"/>
    </xf>
    <xf numFmtId="1" fontId="1" fillId="0" borderId="16" xfId="0" applyNumberFormat="1" applyFont="1" applyBorder="1" applyAlignment="1" applyProtection="1">
      <alignment horizontal="center" vertical="center" wrapText="1"/>
      <protection hidden="1"/>
    </xf>
    <xf numFmtId="1" fontId="1" fillId="0" borderId="17" xfId="0" applyNumberFormat="1" applyFont="1" applyBorder="1" applyAlignment="1" applyProtection="1">
      <alignment horizontal="center" vertical="center" wrapText="1"/>
      <protection hidden="1"/>
    </xf>
    <xf numFmtId="1" fontId="1" fillId="0" borderId="18" xfId="0" applyNumberFormat="1" applyFont="1" applyBorder="1" applyAlignment="1" applyProtection="1">
      <alignment horizontal="center" vertical="center" wrapText="1"/>
      <protection hidden="1"/>
    </xf>
    <xf numFmtId="1" fontId="6" fillId="2" borderId="57" xfId="0" applyNumberFormat="1" applyFont="1" applyFill="1" applyBorder="1" applyAlignment="1">
      <alignment horizontal="center" vertical="center" wrapText="1"/>
    </xf>
    <xf numFmtId="1" fontId="6" fillId="2" borderId="59" xfId="0" applyNumberFormat="1" applyFont="1" applyFill="1" applyBorder="1" applyAlignment="1">
      <alignment horizontal="center" vertical="center" wrapText="1"/>
    </xf>
    <xf numFmtId="1" fontId="6" fillId="2" borderId="41" xfId="0" applyNumberFormat="1" applyFont="1" applyFill="1" applyBorder="1" applyAlignment="1">
      <alignment horizontal="center" vertical="center" wrapText="1"/>
    </xf>
    <xf numFmtId="1" fontId="6" fillId="2" borderId="42" xfId="0" applyNumberFormat="1" applyFont="1" applyFill="1" applyBorder="1" applyAlignment="1">
      <alignment horizontal="center" vertical="center" wrapText="1"/>
    </xf>
    <xf numFmtId="1" fontId="6" fillId="2" borderId="58" xfId="0" applyNumberFormat="1" applyFont="1" applyFill="1" applyBorder="1" applyAlignment="1">
      <alignment horizontal="center" vertical="center" wrapText="1"/>
    </xf>
    <xf numFmtId="1" fontId="6" fillId="2" borderId="52" xfId="0" applyNumberFormat="1"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45"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 xfId="0" applyFont="1" applyBorder="1" applyAlignment="1">
      <alignment horizontal="left" vertical="center" wrapText="1"/>
    </xf>
    <xf numFmtId="1" fontId="1" fillId="0" borderId="1" xfId="0" applyNumberFormat="1" applyFont="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hidden="1"/>
    </xf>
    <xf numFmtId="0" fontId="1" fillId="0" borderId="10" xfId="0" applyFont="1" applyBorder="1" applyAlignment="1">
      <alignment horizontal="center" vertical="center" wrapText="1"/>
    </xf>
    <xf numFmtId="0" fontId="1" fillId="0" borderId="1" xfId="0" applyFont="1" applyBorder="1" applyAlignment="1" applyProtection="1">
      <alignment horizontal="center" vertical="center" wrapText="1"/>
      <protection hidden="1"/>
    </xf>
    <xf numFmtId="0" fontId="1" fillId="0" borderId="16" xfId="0" applyFont="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hidden="1"/>
    </xf>
    <xf numFmtId="0" fontId="1" fillId="0" borderId="18" xfId="0" applyFont="1" applyBorder="1" applyAlignment="1" applyProtection="1">
      <alignment horizontal="center" vertical="center" wrapText="1"/>
      <protection hidden="1"/>
    </xf>
    <xf numFmtId="0" fontId="0" fillId="0" borderId="57" xfId="0" applyBorder="1" applyAlignment="1">
      <alignment horizontal="left" vertical="center" wrapText="1"/>
    </xf>
    <xf numFmtId="0" fontId="0" fillId="0" borderId="60" xfId="0" applyBorder="1" applyAlignment="1">
      <alignment horizontal="left" vertical="center" wrapText="1"/>
    </xf>
    <xf numFmtId="0" fontId="0" fillId="0" borderId="41" xfId="0" applyBorder="1" applyAlignment="1">
      <alignment horizontal="left" vertical="center" wrapText="1"/>
    </xf>
    <xf numFmtId="0" fontId="0" fillId="0" borderId="0" xfId="0" applyAlignment="1">
      <alignment horizontal="left" vertical="center" wrapText="1"/>
    </xf>
    <xf numFmtId="0" fontId="0" fillId="0" borderId="58" xfId="0" applyBorder="1" applyAlignment="1">
      <alignment horizontal="left" vertical="center" wrapText="1"/>
    </xf>
    <xf numFmtId="0" fontId="0" fillId="0" borderId="2" xfId="0" applyBorder="1" applyAlignment="1">
      <alignment horizontal="left" vertical="center" wrapText="1"/>
    </xf>
    <xf numFmtId="1" fontId="1" fillId="0" borderId="60"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0" fontId="0" fillId="0" borderId="33" xfId="0" applyBorder="1" applyAlignment="1">
      <alignment horizontal="center"/>
    </xf>
    <xf numFmtId="1" fontId="0" fillId="2" borderId="38" xfId="0" applyNumberFormat="1" applyFill="1" applyBorder="1" applyAlignment="1">
      <alignment horizontal="center" vertical="center" wrapText="1"/>
    </xf>
    <xf numFmtId="1" fontId="0" fillId="2" borderId="45" xfId="0" applyNumberFormat="1" applyFill="1" applyBorder="1" applyAlignment="1">
      <alignment horizontal="center" vertical="center" wrapText="1"/>
    </xf>
    <xf numFmtId="1" fontId="0" fillId="2" borderId="21" xfId="0" applyNumberFormat="1" applyFill="1" applyBorder="1" applyAlignment="1">
      <alignment horizontal="center" vertical="center" wrapText="1"/>
    </xf>
    <xf numFmtId="1" fontId="0" fillId="2" borderId="16" xfId="0" applyNumberFormat="1" applyFill="1" applyBorder="1" applyAlignment="1">
      <alignment horizontal="center" vertical="center" wrapText="1"/>
    </xf>
    <xf numFmtId="1" fontId="0" fillId="2" borderId="17" xfId="0" applyNumberFormat="1" applyFill="1" applyBorder="1" applyAlignment="1">
      <alignment horizontal="center" vertical="center" wrapText="1"/>
    </xf>
    <xf numFmtId="1" fontId="0" fillId="2" borderId="18" xfId="0" applyNumberFormat="1" applyFill="1" applyBorder="1" applyAlignment="1">
      <alignment horizontal="center" vertical="center" wrapText="1"/>
    </xf>
    <xf numFmtId="0" fontId="0" fillId="2" borderId="57" xfId="0" applyFill="1" applyBorder="1" applyAlignment="1">
      <alignment horizontal="center" vertical="center" wrapText="1"/>
    </xf>
    <xf numFmtId="0" fontId="0" fillId="2" borderId="41" xfId="0" applyFill="1" applyBorder="1" applyAlignment="1">
      <alignment horizontal="center" vertical="center" wrapText="1"/>
    </xf>
    <xf numFmtId="0" fontId="0" fillId="2" borderId="43" xfId="0" applyFill="1" applyBorder="1" applyAlignment="1">
      <alignment horizontal="center" vertical="center" wrapText="1"/>
    </xf>
    <xf numFmtId="0" fontId="0" fillId="2" borderId="58" xfId="0" applyFill="1" applyBorder="1" applyAlignment="1">
      <alignment horizontal="center" vertical="center" wrapText="1"/>
    </xf>
    <xf numFmtId="0" fontId="0" fillId="0" borderId="4" xfId="0" applyBorder="1" applyAlignment="1">
      <alignment horizontal="center" vertical="center"/>
    </xf>
    <xf numFmtId="0" fontId="2" fillId="0" borderId="21" xfId="0" applyFont="1" applyBorder="1" applyAlignment="1">
      <alignment horizontal="center" vertical="center" textRotation="90" wrapText="1"/>
    </xf>
    <xf numFmtId="0" fontId="2" fillId="0" borderId="18" xfId="0" applyFont="1" applyBorder="1" applyAlignment="1">
      <alignment horizontal="center" vertical="center" textRotation="90"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24" xfId="0" applyBorder="1" applyAlignment="1">
      <alignment horizontal="center" vertical="center" wrapText="1"/>
    </xf>
    <xf numFmtId="0" fontId="0" fillId="0" borderId="14" xfId="0" applyBorder="1" applyAlignment="1">
      <alignment horizontal="left" vertical="center" wrapText="1"/>
    </xf>
    <xf numFmtId="0" fontId="0" fillId="2" borderId="22" xfId="0" applyFill="1" applyBorder="1" applyAlignment="1">
      <alignment horizontal="center" vertical="center"/>
    </xf>
    <xf numFmtId="0" fontId="0" fillId="2" borderId="10" xfId="0" applyFill="1" applyBorder="1" applyAlignment="1">
      <alignment horizontal="center" vertical="center"/>
    </xf>
    <xf numFmtId="0" fontId="0" fillId="0" borderId="11" xfId="0" applyBorder="1" applyAlignment="1">
      <alignment horizontal="left" vertical="center" wrapText="1"/>
    </xf>
    <xf numFmtId="0" fontId="0" fillId="2" borderId="10" xfId="0" applyFill="1" applyBorder="1" applyAlignment="1">
      <alignment horizontal="center" vertical="center" wrapText="1"/>
    </xf>
    <xf numFmtId="1" fontId="0" fillId="2" borderId="10" xfId="0" applyNumberFormat="1" applyFill="1" applyBorder="1" applyAlignment="1">
      <alignment horizontal="center" vertical="center" wrapText="1"/>
    </xf>
    <xf numFmtId="1" fontId="0" fillId="2" borderId="22" xfId="0" applyNumberFormat="1" applyFill="1" applyBorder="1" applyAlignment="1">
      <alignment horizontal="center" vertical="center" wrapText="1"/>
    </xf>
    <xf numFmtId="1" fontId="0" fillId="2" borderId="4" xfId="0" applyNumberFormat="1" applyFill="1" applyBorder="1" applyAlignment="1">
      <alignment horizontal="center" vertical="center" wrapText="1"/>
    </xf>
    <xf numFmtId="0" fontId="0" fillId="0" borderId="1" xfId="0" applyBorder="1" applyAlignment="1">
      <alignment horizontal="center" vertical="center" wrapText="1"/>
    </xf>
    <xf numFmtId="1" fontId="0" fillId="2" borderId="60" xfId="0" applyNumberFormat="1" applyFill="1" applyBorder="1" applyAlignment="1">
      <alignment horizontal="center" vertical="center" wrapText="1"/>
    </xf>
    <xf numFmtId="1" fontId="0" fillId="2" borderId="0" xfId="0" applyNumberFormat="1" applyFill="1" applyAlignment="1">
      <alignment horizontal="center" vertical="center" wrapText="1"/>
    </xf>
    <xf numFmtId="1" fontId="0" fillId="2" borderId="2" xfId="0" applyNumberFormat="1" applyFill="1" applyBorder="1" applyAlignment="1">
      <alignment horizontal="center" vertical="center" wrapText="1"/>
    </xf>
    <xf numFmtId="1" fontId="0" fillId="2" borderId="47" xfId="0" applyNumberFormat="1" applyFill="1" applyBorder="1" applyAlignment="1">
      <alignment horizontal="center" vertical="center" wrapText="1"/>
    </xf>
    <xf numFmtId="0" fontId="8" fillId="0" borderId="49" xfId="0" applyFont="1" applyBorder="1" applyAlignment="1">
      <alignment horizontal="center" vertical="center" wrapText="1"/>
    </xf>
    <xf numFmtId="0" fontId="8" fillId="0" borderId="37" xfId="0" applyFont="1" applyBorder="1" applyAlignment="1">
      <alignment horizontal="center" vertical="center" wrapText="1"/>
    </xf>
    <xf numFmtId="0" fontId="0" fillId="0" borderId="15" xfId="0" applyBorder="1" applyAlignment="1">
      <alignment horizontal="center" vertical="center" wrapText="1"/>
    </xf>
    <xf numFmtId="1" fontId="0" fillId="0" borderId="1" xfId="0" applyNumberFormat="1" applyBorder="1" applyAlignment="1">
      <alignment horizontal="center" vertical="center" wrapText="1"/>
    </xf>
    <xf numFmtId="1" fontId="0" fillId="2" borderId="5" xfId="0" applyNumberFormat="1" applyFill="1" applyBorder="1" applyAlignment="1">
      <alignment horizontal="center" vertical="center" wrapText="1"/>
    </xf>
    <xf numFmtId="1" fontId="0" fillId="2" borderId="56" xfId="0" applyNumberFormat="1" applyFill="1" applyBorder="1" applyAlignment="1">
      <alignment horizontal="center" vertical="center" wrapText="1"/>
    </xf>
    <xf numFmtId="0" fontId="0" fillId="0" borderId="63" xfId="0" applyBorder="1" applyAlignment="1">
      <alignment horizontal="left" vertical="center" wrapText="1"/>
    </xf>
    <xf numFmtId="0" fontId="0" fillId="0" borderId="40" xfId="0" applyBorder="1" applyAlignment="1">
      <alignment horizontal="left" vertical="center" wrapText="1"/>
    </xf>
    <xf numFmtId="0" fontId="0" fillId="0" borderId="42" xfId="0" applyBorder="1" applyAlignment="1">
      <alignment horizontal="left" vertical="center" wrapText="1"/>
    </xf>
    <xf numFmtId="0" fontId="0" fillId="0" borderId="27" xfId="0" applyBorder="1" applyAlignment="1">
      <alignment horizontal="left" vertical="center" wrapText="1"/>
    </xf>
    <xf numFmtId="0" fontId="0" fillId="0" borderId="44" xfId="0" applyBorder="1" applyAlignment="1">
      <alignment horizontal="left" vertical="center" wrapText="1"/>
    </xf>
    <xf numFmtId="0" fontId="0" fillId="0" borderId="57" xfId="0" applyBorder="1" applyAlignment="1">
      <alignment horizontal="center" vertical="center" wrapText="1"/>
    </xf>
    <xf numFmtId="0" fontId="0" fillId="0" borderId="41" xfId="0" applyBorder="1" applyAlignment="1">
      <alignment horizontal="center" vertical="center" wrapText="1"/>
    </xf>
    <xf numFmtId="0" fontId="0" fillId="0" borderId="58" xfId="0" applyBorder="1" applyAlignment="1">
      <alignment horizontal="center" vertical="center" wrapText="1"/>
    </xf>
    <xf numFmtId="0" fontId="6" fillId="0" borderId="63" xfId="0" applyFont="1" applyBorder="1" applyAlignment="1">
      <alignment horizontal="left" vertical="center" wrapText="1"/>
    </xf>
    <xf numFmtId="0" fontId="6" fillId="0" borderId="40" xfId="0" applyFont="1" applyBorder="1" applyAlignment="1">
      <alignment horizontal="left" vertical="center" wrapText="1"/>
    </xf>
    <xf numFmtId="0" fontId="6" fillId="0" borderId="0" xfId="0" applyFont="1" applyAlignment="1">
      <alignment horizontal="left" vertical="center" wrapText="1"/>
    </xf>
    <xf numFmtId="0" fontId="6" fillId="0" borderId="42" xfId="0" applyFont="1" applyBorder="1" applyAlignment="1">
      <alignment horizontal="left" vertical="center" wrapText="1"/>
    </xf>
    <xf numFmtId="0" fontId="6" fillId="0" borderId="27" xfId="0" applyFont="1" applyBorder="1" applyAlignment="1">
      <alignment horizontal="left" vertical="center" wrapText="1"/>
    </xf>
    <xf numFmtId="0" fontId="6" fillId="0" borderId="44" xfId="0" applyFont="1" applyBorder="1" applyAlignment="1">
      <alignment horizontal="left" vertical="center" wrapText="1"/>
    </xf>
    <xf numFmtId="0" fontId="0" fillId="0" borderId="19" xfId="0" applyBorder="1" applyAlignment="1">
      <alignment horizontal="left" vertical="center" wrapText="1"/>
    </xf>
    <xf numFmtId="0" fontId="0" fillId="0" borderId="61" xfId="0" applyBorder="1" applyAlignment="1">
      <alignment horizontal="left" vertical="center" wrapText="1"/>
    </xf>
    <xf numFmtId="0" fontId="2" fillId="0" borderId="39" xfId="0" applyFont="1" applyBorder="1" applyAlignment="1">
      <alignment horizontal="center" vertical="center" textRotation="90"/>
    </xf>
    <xf numFmtId="0" fontId="2" fillId="0" borderId="40" xfId="0" applyFont="1" applyBorder="1" applyAlignment="1">
      <alignment horizontal="center" vertical="center" textRotation="90"/>
    </xf>
    <xf numFmtId="0" fontId="2" fillId="0" borderId="41" xfId="0" applyFont="1" applyBorder="1" applyAlignment="1">
      <alignment horizontal="center" vertical="center" textRotation="90"/>
    </xf>
    <xf numFmtId="0" fontId="2" fillId="0" borderId="42" xfId="0" applyFont="1" applyBorder="1" applyAlignment="1">
      <alignment horizontal="center" vertical="center" textRotation="90"/>
    </xf>
    <xf numFmtId="0" fontId="2" fillId="0" borderId="43" xfId="0" applyFont="1" applyBorder="1" applyAlignment="1">
      <alignment horizontal="center" vertical="center" textRotation="90"/>
    </xf>
    <xf numFmtId="0" fontId="2" fillId="0" borderId="44" xfId="0" applyFont="1" applyBorder="1" applyAlignment="1">
      <alignment horizontal="center" vertical="center" textRotation="90"/>
    </xf>
    <xf numFmtId="1" fontId="0" fillId="2" borderId="27" xfId="0" applyNumberFormat="1" applyFill="1" applyBorder="1" applyAlignment="1">
      <alignment horizontal="center" vertical="center" wrapText="1"/>
    </xf>
    <xf numFmtId="0" fontId="0" fillId="0" borderId="61" xfId="0" applyBorder="1" applyAlignment="1">
      <alignment horizontal="center" vertical="center" wrapText="1"/>
    </xf>
    <xf numFmtId="0" fontId="0" fillId="0" borderId="12" xfId="0" applyBorder="1" applyAlignment="1">
      <alignment horizontal="center" vertical="center" wrapText="1"/>
    </xf>
    <xf numFmtId="0" fontId="0" fillId="0" borderId="16" xfId="0" applyBorder="1" applyAlignment="1">
      <alignment horizontal="center" vertical="center" wrapText="1"/>
    </xf>
    <xf numFmtId="1" fontId="0" fillId="2" borderId="39" xfId="0" applyNumberFormat="1" applyFill="1" applyBorder="1" applyAlignment="1">
      <alignment horizontal="center" vertical="center" wrapText="1"/>
    </xf>
    <xf numFmtId="1" fontId="0" fillId="2" borderId="66" xfId="0" applyNumberFormat="1" applyFill="1" applyBorder="1" applyAlignment="1">
      <alignment horizontal="center" vertical="center" wrapText="1"/>
    </xf>
    <xf numFmtId="1" fontId="0" fillId="0" borderId="31" xfId="0" applyNumberFormat="1" applyBorder="1" applyAlignment="1">
      <alignment horizontal="center" vertical="center" wrapText="1"/>
    </xf>
    <xf numFmtId="1" fontId="0" fillId="0" borderId="30" xfId="0" applyNumberFormat="1" applyBorder="1" applyAlignment="1">
      <alignment horizontal="center" vertical="center" wrapText="1"/>
    </xf>
    <xf numFmtId="1" fontId="0" fillId="0" borderId="54" xfId="0" applyNumberFormat="1" applyBorder="1" applyAlignment="1">
      <alignment horizontal="center" vertical="center" wrapText="1"/>
    </xf>
    <xf numFmtId="1" fontId="0" fillId="0" borderId="5" xfId="0" applyNumberFormat="1" applyBorder="1" applyAlignment="1">
      <alignment horizontal="center" vertical="center" wrapText="1"/>
    </xf>
    <xf numFmtId="0" fontId="0" fillId="0" borderId="38" xfId="0" applyBorder="1" applyAlignment="1">
      <alignment horizontal="left" vertical="center" wrapText="1"/>
    </xf>
    <xf numFmtId="1" fontId="0" fillId="2" borderId="19" xfId="0" applyNumberFormat="1" applyFill="1" applyBorder="1" applyAlignment="1">
      <alignment horizontal="center" vertical="center" wrapText="1"/>
    </xf>
    <xf numFmtId="1" fontId="0" fillId="2" borderId="20" xfId="0" applyNumberFormat="1" applyFill="1" applyBorder="1" applyAlignment="1">
      <alignment horizontal="center" vertical="center" wrapText="1"/>
    </xf>
    <xf numFmtId="1" fontId="0" fillId="0" borderId="16" xfId="0" applyNumberFormat="1" applyBorder="1" applyAlignment="1">
      <alignment horizontal="center" vertical="center" wrapText="1"/>
    </xf>
    <xf numFmtId="1" fontId="0" fillId="0" borderId="17" xfId="0" applyNumberFormat="1" applyBorder="1" applyAlignment="1">
      <alignment horizontal="center" vertical="center" wrapText="1"/>
    </xf>
    <xf numFmtId="1" fontId="0" fillId="0" borderId="47" xfId="0" applyNumberFormat="1" applyBorder="1" applyAlignment="1">
      <alignment horizontal="center" vertical="center" wrapText="1"/>
    </xf>
    <xf numFmtId="1" fontId="0" fillId="0" borderId="12" xfId="0" applyNumberFormat="1" applyBorder="1" applyAlignment="1">
      <alignment horizontal="center" vertical="center" wrapText="1"/>
    </xf>
    <xf numFmtId="1" fontId="0" fillId="0" borderId="66" xfId="0" applyNumberFormat="1" applyBorder="1" applyAlignment="1">
      <alignment horizontal="center" vertical="center" wrapText="1"/>
    </xf>
    <xf numFmtId="1" fontId="0" fillId="0" borderId="18" xfId="0" applyNumberFormat="1" applyBorder="1" applyAlignment="1">
      <alignment horizontal="center" vertical="center" wrapText="1"/>
    </xf>
    <xf numFmtId="1" fontId="0" fillId="0" borderId="64" xfId="0" applyNumberFormat="1" applyBorder="1" applyAlignment="1">
      <alignment horizontal="center" vertical="center" wrapText="1"/>
    </xf>
    <xf numFmtId="1" fontId="0" fillId="0" borderId="7" xfId="0" applyNumberFormat="1" applyBorder="1" applyAlignment="1">
      <alignment horizontal="center" vertical="center" wrapText="1"/>
    </xf>
    <xf numFmtId="1" fontId="0" fillId="0" borderId="8" xfId="0" applyNumberFormat="1" applyBorder="1" applyAlignment="1">
      <alignment horizontal="center" vertical="center" wrapText="1"/>
    </xf>
    <xf numFmtId="0" fontId="0" fillId="0" borderId="21" xfId="0" applyBorder="1" applyAlignment="1">
      <alignment horizontal="left" vertical="center" wrapText="1"/>
    </xf>
    <xf numFmtId="1" fontId="0" fillId="0" borderId="15" xfId="0" applyNumberFormat="1" applyBorder="1" applyAlignment="1">
      <alignment horizontal="center" vertical="center" wrapText="1"/>
    </xf>
    <xf numFmtId="1" fontId="0" fillId="2" borderId="13" xfId="0" applyNumberFormat="1" applyFill="1" applyBorder="1" applyAlignment="1">
      <alignment horizontal="center" vertical="center" wrapText="1"/>
    </xf>
    <xf numFmtId="1" fontId="0" fillId="2" borderId="65" xfId="0" applyNumberFormat="1" applyFill="1" applyBorder="1" applyAlignment="1">
      <alignment horizontal="center" vertical="center" wrapText="1"/>
    </xf>
    <xf numFmtId="1" fontId="0" fillId="3" borderId="60" xfId="0" applyNumberFormat="1" applyFill="1" applyBorder="1" applyAlignment="1">
      <alignment horizontal="center" vertical="center" wrapText="1"/>
    </xf>
    <xf numFmtId="1" fontId="0" fillId="3" borderId="59" xfId="0" applyNumberFormat="1" applyFill="1" applyBorder="1" applyAlignment="1">
      <alignment horizontal="center" vertical="center" wrapText="1"/>
    </xf>
    <xf numFmtId="1" fontId="0" fillId="3" borderId="0" xfId="0" applyNumberFormat="1" applyFill="1" applyAlignment="1">
      <alignment horizontal="center" vertical="center" wrapText="1"/>
    </xf>
    <xf numFmtId="1" fontId="0" fillId="3" borderId="42" xfId="0" applyNumberFormat="1" applyFill="1" applyBorder="1" applyAlignment="1">
      <alignment horizontal="center" vertical="center" wrapText="1"/>
    </xf>
    <xf numFmtId="1" fontId="0" fillId="3" borderId="2" xfId="0" applyNumberFormat="1" applyFill="1" applyBorder="1" applyAlignment="1">
      <alignment horizontal="center" vertical="center" wrapText="1"/>
    </xf>
    <xf numFmtId="1" fontId="0" fillId="3" borderId="52" xfId="0" applyNumberFormat="1" applyFill="1" applyBorder="1" applyAlignment="1">
      <alignment horizontal="center" vertical="center" wrapText="1"/>
    </xf>
    <xf numFmtId="0" fontId="0" fillId="0" borderId="60" xfId="0" applyBorder="1" applyAlignment="1">
      <alignment horizontal="center" vertical="center" wrapText="1"/>
    </xf>
    <xf numFmtId="0" fontId="0" fillId="0" borderId="59" xfId="0" applyBorder="1" applyAlignment="1">
      <alignment horizontal="center" vertical="center" wrapText="1"/>
    </xf>
    <xf numFmtId="0" fontId="0" fillId="0" borderId="0" xfId="0" applyAlignment="1">
      <alignment horizontal="center" vertical="center" wrapText="1"/>
    </xf>
    <xf numFmtId="0" fontId="0" fillId="0" borderId="42" xfId="0" applyBorder="1" applyAlignment="1">
      <alignment horizontal="center" vertical="center" wrapText="1"/>
    </xf>
    <xf numFmtId="0" fontId="0" fillId="0" borderId="2" xfId="0" applyBorder="1" applyAlignment="1">
      <alignment horizontal="center" vertical="center" wrapText="1"/>
    </xf>
    <xf numFmtId="0" fontId="0" fillId="0" borderId="52" xfId="0" applyBorder="1" applyAlignment="1">
      <alignment horizontal="center" vertical="center" wrapText="1"/>
    </xf>
    <xf numFmtId="0" fontId="0" fillId="0" borderId="39" xfId="0" applyBorder="1" applyAlignment="1">
      <alignment horizontal="left" vertical="center" wrapText="1"/>
    </xf>
    <xf numFmtId="0" fontId="0" fillId="0" borderId="43" xfId="0" applyBorder="1" applyAlignment="1">
      <alignment horizontal="left" vertical="center" wrapText="1"/>
    </xf>
    <xf numFmtId="1" fontId="0" fillId="0" borderId="64" xfId="0" applyNumberFormat="1" applyBorder="1" applyAlignment="1" applyProtection="1">
      <alignment horizontal="center" vertical="center" wrapText="1"/>
      <protection hidden="1"/>
    </xf>
    <xf numFmtId="0" fontId="2" fillId="0" borderId="57" xfId="0" applyFont="1" applyBorder="1" applyAlignment="1">
      <alignment horizontal="center" vertical="center" textRotation="90" wrapText="1"/>
    </xf>
    <xf numFmtId="0" fontId="2" fillId="0" borderId="59" xfId="0" applyFont="1" applyBorder="1" applyAlignment="1">
      <alignment horizontal="center" vertical="center" textRotation="90" wrapText="1"/>
    </xf>
    <xf numFmtId="0" fontId="0" fillId="0" borderId="63" xfId="0" applyBorder="1" applyAlignment="1">
      <alignment horizontal="center"/>
    </xf>
    <xf numFmtId="0" fontId="0" fillId="0" borderId="40" xfId="0" applyBorder="1" applyAlignment="1">
      <alignment horizontal="center"/>
    </xf>
    <xf numFmtId="1" fontId="0" fillId="2" borderId="67" xfId="0" applyNumberFormat="1" applyFill="1" applyBorder="1" applyAlignment="1">
      <alignment horizontal="center" vertical="center" wrapText="1"/>
    </xf>
    <xf numFmtId="1" fontId="0" fillId="2" borderId="46" xfId="0" applyNumberFormat="1" applyFill="1" applyBorder="1" applyAlignment="1">
      <alignment horizontal="center" vertical="center" wrapText="1"/>
    </xf>
    <xf numFmtId="1" fontId="0" fillId="0" borderId="66" xfId="0" applyNumberFormat="1" applyBorder="1" applyAlignment="1" applyProtection="1">
      <alignment horizontal="center" vertical="center" wrapText="1"/>
      <protection hidden="1"/>
    </xf>
    <xf numFmtId="1" fontId="0" fillId="2" borderId="30" xfId="0" applyNumberFormat="1" applyFill="1" applyBorder="1" applyAlignment="1">
      <alignment horizontal="center" vertical="center" wrapText="1"/>
    </xf>
    <xf numFmtId="0" fontId="0" fillId="0" borderId="30" xfId="0" applyBorder="1" applyAlignment="1">
      <alignment horizontal="left" vertical="center" wrapText="1"/>
    </xf>
    <xf numFmtId="1" fontId="0" fillId="0" borderId="6" xfId="0" applyNumberFormat="1" applyBorder="1" applyAlignment="1">
      <alignment horizontal="center" vertical="center" wrapText="1"/>
    </xf>
    <xf numFmtId="1" fontId="0" fillId="0" borderId="4" xfId="0" applyNumberFormat="1" applyBorder="1" applyAlignment="1">
      <alignment horizontal="center" vertical="center" wrapText="1"/>
    </xf>
    <xf numFmtId="1" fontId="0" fillId="0" borderId="56" xfId="0" applyNumberFormat="1" applyBorder="1" applyAlignment="1">
      <alignment horizontal="center" vertical="center" wrapText="1"/>
    </xf>
    <xf numFmtId="0" fontId="0" fillId="0" borderId="23" xfId="0" applyBorder="1" applyAlignment="1">
      <alignment horizontal="left" vertical="center" wrapText="1"/>
    </xf>
    <xf numFmtId="0" fontId="0" fillId="0" borderId="8" xfId="0" applyBorder="1" applyAlignment="1">
      <alignment horizontal="center" vertical="center" wrapText="1"/>
    </xf>
    <xf numFmtId="0" fontId="0" fillId="0" borderId="23" xfId="0" applyBorder="1" applyAlignment="1">
      <alignment horizontal="center" vertical="center" wrapText="1"/>
    </xf>
    <xf numFmtId="1" fontId="0" fillId="0" borderId="53" xfId="0" applyNumberFormat="1" applyBorder="1" applyAlignment="1">
      <alignment horizontal="center" vertical="center" wrapText="1"/>
    </xf>
    <xf numFmtId="1" fontId="0" fillId="0" borderId="55" xfId="0" applyNumberFormat="1"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2" borderId="38" xfId="0" applyFill="1" applyBorder="1" applyAlignment="1">
      <alignment horizontal="center" vertical="center" wrapText="1"/>
    </xf>
    <xf numFmtId="0" fontId="0" fillId="0" borderId="2" xfId="0" applyBorder="1" applyAlignment="1">
      <alignment horizontal="center"/>
    </xf>
    <xf numFmtId="0" fontId="9" fillId="0" borderId="32" xfId="0" applyFont="1" applyBorder="1" applyAlignment="1">
      <alignment horizontal="center" vertical="center" wrapText="1"/>
    </xf>
    <xf numFmtId="0" fontId="9" fillId="0" borderId="37" xfId="0" applyFont="1" applyBorder="1" applyAlignment="1">
      <alignment horizontal="center" vertical="center" wrapText="1"/>
    </xf>
    <xf numFmtId="0" fontId="2" fillId="2" borderId="3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workbookViewId="0">
      <selection activeCell="C3" sqref="C3"/>
    </sheetView>
  </sheetViews>
  <sheetFormatPr defaultRowHeight="15" x14ac:dyDescent="0.25"/>
  <cols>
    <col min="1" max="1" width="34.7109375" customWidth="1"/>
    <col min="2" max="2" width="10.85546875" customWidth="1"/>
    <col min="3" max="3" width="13.140625" customWidth="1"/>
  </cols>
  <sheetData>
    <row r="1" spans="1:9" ht="19.5" thickBot="1" x14ac:dyDescent="0.35">
      <c r="A1" s="68" t="s">
        <v>0</v>
      </c>
      <c r="B1" s="69"/>
      <c r="C1" s="69"/>
      <c r="D1" s="70"/>
      <c r="F1" s="17"/>
      <c r="G1" s="17"/>
      <c r="H1" s="17"/>
      <c r="I1" s="17"/>
    </row>
    <row r="2" spans="1:9" ht="48" thickBot="1" x14ac:dyDescent="0.3">
      <c r="A2" s="18" t="s">
        <v>1</v>
      </c>
      <c r="B2" s="18" t="s">
        <v>2</v>
      </c>
      <c r="C2" s="18" t="s">
        <v>3</v>
      </c>
      <c r="D2" s="18" t="s">
        <v>4</v>
      </c>
      <c r="F2" s="19"/>
    </row>
    <row r="3" spans="1:9" ht="15.75" thickBot="1" x14ac:dyDescent="0.3">
      <c r="A3" s="20" t="s">
        <v>5</v>
      </c>
      <c r="B3" s="11" t="s">
        <v>6</v>
      </c>
      <c r="C3" s="40">
        <v>0</v>
      </c>
      <c r="D3" s="21">
        <f>ROUNDUP((C3/300),0)</f>
        <v>0</v>
      </c>
      <c r="F3" s="71" t="s">
        <v>7</v>
      </c>
      <c r="G3" s="72"/>
      <c r="H3" s="72"/>
      <c r="I3" s="73"/>
    </row>
    <row r="4" spans="1:9" x14ac:dyDescent="0.25">
      <c r="A4" s="20" t="s">
        <v>8</v>
      </c>
      <c r="B4" s="11" t="s">
        <v>9</v>
      </c>
      <c r="C4" s="40">
        <v>0</v>
      </c>
      <c r="D4" s="23">
        <f>ROUNDUP((C4/20),0)</f>
        <v>0</v>
      </c>
      <c r="F4" s="74" t="s">
        <v>10</v>
      </c>
      <c r="G4" s="75"/>
      <c r="H4" s="75"/>
      <c r="I4" s="76"/>
    </row>
    <row r="5" spans="1:9" ht="15.75" thickBot="1" x14ac:dyDescent="0.3">
      <c r="A5" s="20" t="s">
        <v>11</v>
      </c>
      <c r="B5" s="11" t="s">
        <v>6</v>
      </c>
      <c r="C5" s="40">
        <v>0</v>
      </c>
      <c r="D5" s="23">
        <f>ROUNDUP((C5/300),0)</f>
        <v>0</v>
      </c>
      <c r="F5" s="77" t="s">
        <v>12</v>
      </c>
      <c r="G5" s="78"/>
      <c r="H5" s="78"/>
      <c r="I5" s="79"/>
    </row>
    <row r="6" spans="1:9" x14ac:dyDescent="0.25">
      <c r="A6" s="20" t="s">
        <v>13</v>
      </c>
      <c r="B6" s="11" t="s">
        <v>14</v>
      </c>
      <c r="C6" s="40">
        <v>0</v>
      </c>
      <c r="D6" s="23">
        <f>ROUNDUP((C6/100),0)</f>
        <v>0</v>
      </c>
    </row>
    <row r="7" spans="1:9" x14ac:dyDescent="0.25">
      <c r="A7" s="20" t="s">
        <v>15</v>
      </c>
      <c r="B7" s="11" t="s">
        <v>16</v>
      </c>
      <c r="C7" s="40">
        <v>0</v>
      </c>
      <c r="D7" s="23">
        <f>ROUNDUP((C7/15),0)</f>
        <v>0</v>
      </c>
    </row>
    <row r="8" spans="1:9" x14ac:dyDescent="0.25">
      <c r="A8" s="22" t="s">
        <v>17</v>
      </c>
      <c r="B8" s="6" t="s">
        <v>18</v>
      </c>
      <c r="C8" s="41">
        <v>0</v>
      </c>
      <c r="D8" s="23">
        <f>ROUNDUP((C8/11),0)</f>
        <v>0</v>
      </c>
    </row>
    <row r="9" spans="1:9" x14ac:dyDescent="0.25">
      <c r="A9" s="22" t="s">
        <v>19</v>
      </c>
      <c r="B9" s="6" t="s">
        <v>20</v>
      </c>
      <c r="C9" s="41">
        <v>0</v>
      </c>
      <c r="D9" s="23">
        <f>ROUNDUP((C9/15),0)</f>
        <v>0</v>
      </c>
      <c r="E9" t="s">
        <v>21</v>
      </c>
    </row>
    <row r="10" spans="1:9" x14ac:dyDescent="0.25">
      <c r="A10" s="22" t="s">
        <v>22</v>
      </c>
      <c r="B10" s="6" t="s">
        <v>23</v>
      </c>
      <c r="C10" s="41">
        <v>0</v>
      </c>
      <c r="D10" s="23">
        <f>ROUNDUP((C10/7),0)</f>
        <v>0</v>
      </c>
    </row>
    <row r="11" spans="1:9" x14ac:dyDescent="0.25">
      <c r="A11" s="22" t="s">
        <v>24</v>
      </c>
      <c r="B11" s="6" t="s">
        <v>25</v>
      </c>
      <c r="C11" s="41">
        <v>0</v>
      </c>
      <c r="D11" s="23">
        <f>ROUNDUP((C11/5),0)</f>
        <v>0</v>
      </c>
    </row>
    <row r="12" spans="1:9" x14ac:dyDescent="0.25">
      <c r="A12" s="22" t="s">
        <v>26</v>
      </c>
      <c r="B12" s="6" t="s">
        <v>14</v>
      </c>
      <c r="C12" s="41">
        <v>0</v>
      </c>
      <c r="D12" s="23">
        <f>ROUNDUP((C12/100),0)</f>
        <v>0</v>
      </c>
    </row>
    <row r="13" spans="1:9" x14ac:dyDescent="0.25">
      <c r="A13" s="22" t="s">
        <v>488</v>
      </c>
      <c r="B13" s="6" t="s">
        <v>27</v>
      </c>
      <c r="C13" s="41">
        <v>0</v>
      </c>
      <c r="D13" s="24">
        <f>ROUNDUP((C13/150),0)</f>
        <v>0</v>
      </c>
    </row>
    <row r="14" spans="1:9" x14ac:dyDescent="0.25">
      <c r="A14" s="22" t="s">
        <v>28</v>
      </c>
      <c r="B14" s="6" t="s">
        <v>29</v>
      </c>
      <c r="C14" s="41">
        <v>0</v>
      </c>
      <c r="D14" s="23">
        <f>ROUNDUP((C14/40),0)</f>
        <v>0</v>
      </c>
    </row>
    <row r="15" spans="1:9" x14ac:dyDescent="0.25">
      <c r="A15" s="22" t="s">
        <v>30</v>
      </c>
      <c r="B15" s="6" t="s">
        <v>31</v>
      </c>
      <c r="C15" s="41">
        <v>0</v>
      </c>
      <c r="D15" s="23">
        <f>ROUNDUP((C15/35),0)</f>
        <v>0</v>
      </c>
    </row>
    <row r="16" spans="1:9" x14ac:dyDescent="0.25">
      <c r="A16" s="22" t="s">
        <v>32</v>
      </c>
      <c r="B16" s="6" t="s">
        <v>33</v>
      </c>
      <c r="C16" s="41">
        <v>0</v>
      </c>
      <c r="D16" s="23">
        <f>ROUNDUP((C16/50),0)</f>
        <v>0</v>
      </c>
    </row>
    <row r="17" spans="1:4" x14ac:dyDescent="0.25">
      <c r="A17" s="22" t="s">
        <v>34</v>
      </c>
      <c r="B17" s="6" t="s">
        <v>35</v>
      </c>
      <c r="C17" s="41">
        <v>0</v>
      </c>
      <c r="D17" s="23">
        <f>ROUNDUP((C17/20),0)</f>
        <v>0</v>
      </c>
    </row>
    <row r="18" spans="1:4" x14ac:dyDescent="0.25">
      <c r="A18" s="22" t="s">
        <v>36</v>
      </c>
      <c r="B18" s="6" t="s">
        <v>37</v>
      </c>
      <c r="C18" s="41">
        <v>0</v>
      </c>
      <c r="D18" s="23">
        <f>ROUNDUP((C18/50),0)</f>
        <v>0</v>
      </c>
    </row>
    <row r="19" spans="1:4" x14ac:dyDescent="0.25">
      <c r="A19" s="22" t="s">
        <v>38</v>
      </c>
      <c r="B19" s="6" t="s">
        <v>33</v>
      </c>
      <c r="C19" s="41">
        <v>0</v>
      </c>
      <c r="D19" s="23">
        <f>ROUNDUP((C19/50),0)</f>
        <v>0</v>
      </c>
    </row>
    <row r="20" spans="1:4" x14ac:dyDescent="0.25">
      <c r="A20" s="22" t="s">
        <v>39</v>
      </c>
      <c r="B20" s="6" t="s">
        <v>40</v>
      </c>
      <c r="C20" s="41">
        <v>0</v>
      </c>
      <c r="D20" s="23">
        <f>ROUNDUP((C20/240),0)</f>
        <v>0</v>
      </c>
    </row>
    <row r="21" spans="1:4" x14ac:dyDescent="0.25">
      <c r="A21" s="22" t="s">
        <v>41</v>
      </c>
      <c r="B21" s="6" t="s">
        <v>14</v>
      </c>
      <c r="C21" s="41">
        <v>0</v>
      </c>
      <c r="D21" s="23">
        <f>ROUNDUP((C21/100),0)</f>
        <v>0</v>
      </c>
    </row>
    <row r="22" spans="1:4" x14ac:dyDescent="0.25">
      <c r="A22" s="22" t="s">
        <v>42</v>
      </c>
      <c r="B22" s="6" t="s">
        <v>43</v>
      </c>
      <c r="C22" s="41">
        <v>0</v>
      </c>
      <c r="D22" s="23">
        <f>ROUNDUP((C22/120),0)</f>
        <v>0</v>
      </c>
    </row>
    <row r="23" spans="1:4" x14ac:dyDescent="0.25">
      <c r="A23" s="22" t="s">
        <v>44</v>
      </c>
      <c r="B23" s="6" t="s">
        <v>45</v>
      </c>
      <c r="C23" s="41">
        <v>0</v>
      </c>
      <c r="D23" s="23">
        <f>ROUNDUP((C23/200),0)</f>
        <v>0</v>
      </c>
    </row>
    <row r="24" spans="1:4" x14ac:dyDescent="0.25">
      <c r="A24" s="22" t="s">
        <v>46</v>
      </c>
      <c r="B24" s="6" t="s">
        <v>37</v>
      </c>
      <c r="C24" s="41">
        <v>0</v>
      </c>
      <c r="D24" s="23">
        <f>ROUNDUP((C24/50),0)</f>
        <v>0</v>
      </c>
    </row>
    <row r="25" spans="1:4" x14ac:dyDescent="0.25">
      <c r="A25" s="22" t="s">
        <v>47</v>
      </c>
      <c r="B25" s="6" t="s">
        <v>48</v>
      </c>
      <c r="C25" s="41">
        <v>0</v>
      </c>
      <c r="D25" s="23">
        <f>ROUNDUP((C25/100),0)</f>
        <v>0</v>
      </c>
    </row>
    <row r="26" spans="1:4" x14ac:dyDescent="0.25">
      <c r="A26" s="22" t="s">
        <v>49</v>
      </c>
      <c r="B26" s="6" t="s">
        <v>37</v>
      </c>
      <c r="C26" s="41">
        <v>0</v>
      </c>
      <c r="D26" s="23">
        <f>ROUNDUP((C26/50),0)</f>
        <v>0</v>
      </c>
    </row>
    <row r="27" spans="1:4" x14ac:dyDescent="0.25">
      <c r="A27" s="22" t="s">
        <v>50</v>
      </c>
      <c r="B27" s="6" t="s">
        <v>14</v>
      </c>
      <c r="C27" s="41">
        <v>0</v>
      </c>
      <c r="D27" s="23">
        <f>ROUNDUP((C27/100),0)</f>
        <v>0</v>
      </c>
    </row>
    <row r="28" spans="1:4" x14ac:dyDescent="0.25">
      <c r="A28" s="22" t="s">
        <v>51</v>
      </c>
      <c r="B28" s="6" t="s">
        <v>33</v>
      </c>
      <c r="C28" s="41">
        <v>0</v>
      </c>
      <c r="D28" s="23">
        <f>ROUNDUP((C28/50),0)</f>
        <v>0</v>
      </c>
    </row>
    <row r="29" spans="1:4" x14ac:dyDescent="0.25">
      <c r="A29" s="22" t="s">
        <v>52</v>
      </c>
      <c r="B29" s="6" t="s">
        <v>53</v>
      </c>
      <c r="C29" s="41">
        <v>0</v>
      </c>
      <c r="D29" s="23">
        <f>ROUNDUP((C29/60),0)</f>
        <v>0</v>
      </c>
    </row>
    <row r="30" spans="1:4" x14ac:dyDescent="0.25">
      <c r="A30" s="22" t="s">
        <v>54</v>
      </c>
      <c r="B30" s="6" t="s">
        <v>6</v>
      </c>
      <c r="C30" s="41">
        <v>0</v>
      </c>
      <c r="D30" s="23">
        <f>ROUNDUP((C30/300),0)</f>
        <v>0</v>
      </c>
    </row>
    <row r="31" spans="1:4" x14ac:dyDescent="0.25">
      <c r="A31" s="22" t="s">
        <v>55</v>
      </c>
      <c r="B31" s="6" t="s">
        <v>45</v>
      </c>
      <c r="C31" s="41">
        <v>0</v>
      </c>
      <c r="D31" s="23">
        <f>ROUNDUP((C31/200),0)</f>
        <v>0</v>
      </c>
    </row>
    <row r="32" spans="1:4" x14ac:dyDescent="0.25">
      <c r="A32" s="22" t="s">
        <v>56</v>
      </c>
      <c r="B32" s="6" t="s">
        <v>20</v>
      </c>
      <c r="C32" s="41">
        <v>0</v>
      </c>
      <c r="D32" s="23">
        <f>ROUNDUP((C32/15),0)</f>
        <v>0</v>
      </c>
    </row>
    <row r="33" spans="1:4" ht="15.75" thickBot="1" x14ac:dyDescent="0.3">
      <c r="A33" s="43" t="s">
        <v>57</v>
      </c>
      <c r="B33" s="44" t="s">
        <v>58</v>
      </c>
      <c r="C33" s="45">
        <v>0</v>
      </c>
      <c r="D33" s="46">
        <f>ROUNDUP((C33/500),0)</f>
        <v>0</v>
      </c>
    </row>
    <row r="34" spans="1:4" ht="16.5" thickBot="1" x14ac:dyDescent="0.3">
      <c r="B34" s="66" t="s">
        <v>59</v>
      </c>
      <c r="C34" s="67"/>
      <c r="D34" s="47">
        <f>SUM(D3:D33)</f>
        <v>0</v>
      </c>
    </row>
  </sheetData>
  <mergeCells count="5">
    <mergeCell ref="B34:C34"/>
    <mergeCell ref="A1:D1"/>
    <mergeCell ref="F3:I3"/>
    <mergeCell ref="F4:I4"/>
    <mergeCell ref="F5:I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65539-86B8-4536-8FAC-A5C8BEF903E5}">
  <dimension ref="A1:AB177"/>
  <sheetViews>
    <sheetView zoomScale="85" zoomScaleNormal="85" workbookViewId="0">
      <pane xSplit="15" ySplit="2" topLeftCell="P3" activePane="bottomRight" state="frozen"/>
      <selection pane="topRight" activeCell="P1" sqref="P1"/>
      <selection pane="bottomLeft" activeCell="A3" sqref="A3"/>
      <selection pane="bottomRight" activeCell="Q5" sqref="Q5:R5"/>
    </sheetView>
  </sheetViews>
  <sheetFormatPr defaultRowHeight="15" x14ac:dyDescent="0.25"/>
  <cols>
    <col min="1" max="1" width="7.28515625" customWidth="1"/>
    <col min="2" max="2" width="7.140625" customWidth="1"/>
    <col min="3" max="3" width="11" customWidth="1"/>
    <col min="4" max="5" width="9.7109375" customWidth="1"/>
    <col min="6" max="7" width="10.7109375" customWidth="1"/>
    <col min="8" max="8" width="14.7109375" customWidth="1"/>
    <col min="9" max="10" width="10.7109375" customWidth="1"/>
    <col min="12" max="13" width="15.7109375" customWidth="1"/>
    <col min="17" max="18" width="10.7109375" customWidth="1"/>
    <col min="19" max="19" width="13.5703125" customWidth="1"/>
    <col min="21" max="23" width="8.85546875" hidden="1" customWidth="1"/>
    <col min="24" max="24" width="9.85546875" hidden="1" customWidth="1"/>
    <col min="25" max="28" width="8.85546875" hidden="1" customWidth="1"/>
  </cols>
  <sheetData>
    <row r="1" spans="1:28" ht="31.9" customHeight="1" thickBot="1" x14ac:dyDescent="0.3">
      <c r="A1" s="134" t="s">
        <v>60</v>
      </c>
      <c r="B1" s="135"/>
      <c r="C1" s="138" t="s">
        <v>61</v>
      </c>
      <c r="D1" s="134" t="s">
        <v>62</v>
      </c>
      <c r="E1" s="135"/>
      <c r="F1" s="146" t="s">
        <v>63</v>
      </c>
      <c r="G1" s="147"/>
      <c r="H1" s="148" t="s">
        <v>64</v>
      </c>
      <c r="I1" s="150" t="s">
        <v>65</v>
      </c>
      <c r="J1" s="151"/>
      <c r="K1" s="161" t="s">
        <v>66</v>
      </c>
      <c r="L1" s="148" t="s">
        <v>67</v>
      </c>
      <c r="M1" s="163" t="s">
        <v>68</v>
      </c>
      <c r="N1" s="165" t="s">
        <v>69</v>
      </c>
      <c r="O1" s="166"/>
      <c r="P1" s="13"/>
      <c r="W1" s="132" t="s">
        <v>70</v>
      </c>
      <c r="X1" s="133"/>
      <c r="Y1" s="132" t="s">
        <v>71</v>
      </c>
      <c r="Z1" s="133"/>
      <c r="AA1" s="25" t="s">
        <v>72</v>
      </c>
      <c r="AB1" s="25" t="s">
        <v>73</v>
      </c>
    </row>
    <row r="2" spans="1:28" ht="15.75" thickBot="1" x14ac:dyDescent="0.3">
      <c r="A2" s="136"/>
      <c r="B2" s="137"/>
      <c r="C2" s="139"/>
      <c r="D2" s="136"/>
      <c r="E2" s="137"/>
      <c r="F2" s="8" t="s">
        <v>74</v>
      </c>
      <c r="G2" s="9" t="s">
        <v>75</v>
      </c>
      <c r="H2" s="149"/>
      <c r="I2" s="9" t="s">
        <v>74</v>
      </c>
      <c r="J2" s="10" t="s">
        <v>75</v>
      </c>
      <c r="K2" s="162"/>
      <c r="L2" s="149"/>
      <c r="M2" s="164"/>
      <c r="N2" s="12" t="s">
        <v>74</v>
      </c>
      <c r="O2" s="12" t="s">
        <v>75</v>
      </c>
      <c r="P2" s="13"/>
      <c r="W2" s="27" t="s">
        <v>76</v>
      </c>
      <c r="X2" s="6" t="s">
        <v>76</v>
      </c>
      <c r="Y2" s="27" t="s">
        <v>76</v>
      </c>
      <c r="Z2" s="27" t="s">
        <v>76</v>
      </c>
      <c r="AA2" s="27" t="s">
        <v>77</v>
      </c>
      <c r="AB2" s="27" t="s">
        <v>77</v>
      </c>
    </row>
    <row r="3" spans="1:28" x14ac:dyDescent="0.25">
      <c r="A3" s="80" t="s">
        <v>78</v>
      </c>
      <c r="B3" s="81"/>
      <c r="C3" s="158" t="s">
        <v>79</v>
      </c>
      <c r="D3" s="160" t="s">
        <v>80</v>
      </c>
      <c r="E3" s="160"/>
      <c r="F3" s="152" t="str">
        <f>IF(AND(OR(N3&gt;0,O3&gt;0),N3+O3&lt;=15),"Single restroom okay for 15 or less (IPC 403.2(2))",IF(AND(OR(N3&gt;0,O3&gt;0),N3+O3&gt;Q5),W4,IF(AND(OR(N3&gt;0,O3&gt;0),N3+O3&lt;Q5),W4,IF(Q5&lt;=15,"Single restroom okay for 15 or less (IPC 403.2(2))",W4))))</f>
        <v>Single restroom okay for 15 or less (IPC 403.2(2))</v>
      </c>
      <c r="G3" s="152" t="str">
        <f>IF(F3="Single restroom okay for 15 or less (IPC 403.2(2))","-",X4)</f>
        <v>-</v>
      </c>
      <c r="H3" s="152" t="s">
        <v>81</v>
      </c>
      <c r="I3" s="152">
        <f>Y4</f>
        <v>0</v>
      </c>
      <c r="J3" s="152" t="str">
        <f>IF(F3="Single restroom okay for 15 or less (IPC 403.2(2))","-",Z4)</f>
        <v>-</v>
      </c>
      <c r="K3" s="152" t="s">
        <v>82</v>
      </c>
      <c r="L3" s="152" t="str">
        <f>IF(F3="Single restroom okay for 15 or less (IPC 403.2(2))","15 or less Fountain exempt(IPC 410.2)",AA4)</f>
        <v>15 or less Fountain exempt(IPC 410.2)</v>
      </c>
      <c r="M3" s="153" t="s">
        <v>83</v>
      </c>
      <c r="N3" s="154">
        <v>0</v>
      </c>
      <c r="O3" s="156">
        <f>N3</f>
        <v>0</v>
      </c>
      <c r="P3" s="13"/>
      <c r="Q3" s="140" t="s">
        <v>84</v>
      </c>
      <c r="R3" s="141"/>
      <c r="V3" s="2"/>
      <c r="W3" s="27" t="s">
        <v>85</v>
      </c>
      <c r="X3" s="4" t="s">
        <v>86</v>
      </c>
      <c r="Y3" s="27" t="s">
        <v>85</v>
      </c>
      <c r="Z3" s="4" t="s">
        <v>86</v>
      </c>
      <c r="AA3" s="27" t="s">
        <v>72</v>
      </c>
      <c r="AB3" s="27" t="s">
        <v>73</v>
      </c>
    </row>
    <row r="4" spans="1:28" ht="15.75" thickBot="1" x14ac:dyDescent="0.3">
      <c r="A4" s="82"/>
      <c r="B4" s="83"/>
      <c r="C4" s="159"/>
      <c r="D4" s="111"/>
      <c r="E4" s="111"/>
      <c r="F4" s="112"/>
      <c r="G4" s="112"/>
      <c r="H4" s="112"/>
      <c r="I4" s="112"/>
      <c r="J4" s="112"/>
      <c r="K4" s="112"/>
      <c r="L4" s="112"/>
      <c r="M4" s="114"/>
      <c r="N4" s="155"/>
      <c r="O4" s="157"/>
      <c r="P4" s="13"/>
      <c r="Q4" s="142"/>
      <c r="R4" s="143"/>
      <c r="U4" s="5" t="s">
        <v>87</v>
      </c>
      <c r="V4" t="s">
        <v>88</v>
      </c>
      <c r="W4" s="30">
        <f>IF(N3&gt;0,ROUNDUP((N3/125),0),ROUNDUP((Q8/125),0))</f>
        <v>0</v>
      </c>
      <c r="X4" s="1">
        <f>IF(O3&gt;0,ROUNDUP((O3/65),0),ROUNDUP((R8/65),0))</f>
        <v>0</v>
      </c>
      <c r="Y4" s="32">
        <f>IF(N3&gt;0,ROUNDUP((N3/200),0),ROUNDUP((Q8/200),0))</f>
        <v>0</v>
      </c>
      <c r="Z4" s="1">
        <f>IF(O3&gt;0,ROUNDUP((O3/200),0),ROUNDUP((R8/200),0))</f>
        <v>0</v>
      </c>
      <c r="AA4" s="32">
        <f>IF(OR(N3&gt;0,O3&gt;0),ROUNDUP((N3+O3)/500,0),ROUNDUP(Q5/500,0))</f>
        <v>0</v>
      </c>
      <c r="AB4" s="30" t="s">
        <v>82</v>
      </c>
    </row>
    <row r="5" spans="1:28" ht="19.5" thickBot="1" x14ac:dyDescent="0.3">
      <c r="A5" s="82"/>
      <c r="B5" s="83"/>
      <c r="C5" s="159"/>
      <c r="D5" s="111"/>
      <c r="E5" s="111"/>
      <c r="F5" s="112"/>
      <c r="G5" s="112"/>
      <c r="H5" s="112"/>
      <c r="I5" s="112"/>
      <c r="J5" s="112"/>
      <c r="K5" s="112"/>
      <c r="L5" s="112"/>
      <c r="M5" s="114"/>
      <c r="N5" s="155"/>
      <c r="O5" s="157"/>
      <c r="P5" s="13"/>
      <c r="Q5" s="144">
        <f>'Occupant Calculator'!D34</f>
        <v>0</v>
      </c>
      <c r="R5" s="145"/>
      <c r="U5" s="5" t="s">
        <v>89</v>
      </c>
      <c r="V5" t="s">
        <v>90</v>
      </c>
      <c r="W5" s="30">
        <f>IF(N9&gt;0,ROUNDUP((N9/40),0),ROUNDUP((Q8/40),0))</f>
        <v>0</v>
      </c>
      <c r="X5" s="1">
        <f>IF(O9&gt;0,ROUNDUP((O9/40),0),ROUNDUP((R8/40),0))</f>
        <v>0</v>
      </c>
      <c r="Y5" s="30">
        <f>IF(N9&gt;0,ROUNDUP((N9/75),0),ROUNDUP((Q8/75),0))</f>
        <v>0</v>
      </c>
      <c r="Z5" s="1">
        <f>IF(O9&gt;0,ROUNDUP((O9/75),0),ROUNDUP((R8/75),0))</f>
        <v>0</v>
      </c>
      <c r="AA5" s="32">
        <f>IF(OR(N9&gt;0,O9&gt;0),ROUNDUP((N9+O9)/500,0),ROUNDUP(Q5/500,0))</f>
        <v>0</v>
      </c>
      <c r="AB5" s="30" t="s">
        <v>82</v>
      </c>
    </row>
    <row r="6" spans="1:28" ht="14.45" customHeight="1" x14ac:dyDescent="0.25">
      <c r="A6" s="82"/>
      <c r="B6" s="83"/>
      <c r="C6" s="159"/>
      <c r="D6" s="111"/>
      <c r="E6" s="111"/>
      <c r="F6" s="112"/>
      <c r="G6" s="112"/>
      <c r="H6" s="112"/>
      <c r="I6" s="112"/>
      <c r="J6" s="112"/>
      <c r="K6" s="112"/>
      <c r="L6" s="112"/>
      <c r="M6" s="114"/>
      <c r="N6" s="155"/>
      <c r="O6" s="157"/>
      <c r="Q6" s="1"/>
      <c r="R6" s="1"/>
      <c r="U6" s="5" t="s">
        <v>91</v>
      </c>
      <c r="V6" t="s">
        <v>90</v>
      </c>
      <c r="W6" s="30">
        <f>IF(N15&gt;0,ROUNDUP((N15/75),0),ROUNDUP((Q8/75),0))</f>
        <v>0</v>
      </c>
      <c r="X6" s="1">
        <f>IF(O15&gt;0,ROUNDUP((O15/75),0),ROUNDUP((R8/75),0))</f>
        <v>0</v>
      </c>
      <c r="Y6" s="30">
        <f>IF(N15&gt;0,ROUNDUP((N15/200),0),ROUNDUP((Q8/200),0))</f>
        <v>0</v>
      </c>
      <c r="Z6" s="1">
        <f>IF(O15&gt;0,ROUNDUP((O15/200),0),ROUNDUP((R8/200),0))</f>
        <v>0</v>
      </c>
      <c r="AA6" s="32">
        <f>IF(OR(N15&gt;0,O15&gt;0),ROUNDUP((N15+O15)/500,0),ROUNDUP(Q5/500,0))</f>
        <v>0</v>
      </c>
      <c r="AB6" s="30" t="s">
        <v>82</v>
      </c>
    </row>
    <row r="7" spans="1:28" ht="15.75" x14ac:dyDescent="0.25">
      <c r="A7" s="82"/>
      <c r="B7" s="83"/>
      <c r="C7" s="159"/>
      <c r="D7" s="111"/>
      <c r="E7" s="111"/>
      <c r="F7" s="112"/>
      <c r="G7" s="112"/>
      <c r="H7" s="112"/>
      <c r="I7" s="112"/>
      <c r="J7" s="112"/>
      <c r="K7" s="112"/>
      <c r="L7" s="112"/>
      <c r="M7" s="114"/>
      <c r="N7" s="155"/>
      <c r="O7" s="157"/>
      <c r="Q7" s="15" t="s">
        <v>74</v>
      </c>
      <c r="R7" s="15" t="s">
        <v>75</v>
      </c>
      <c r="U7" s="5" t="s">
        <v>92</v>
      </c>
      <c r="V7" t="s">
        <v>93</v>
      </c>
      <c r="W7" s="30">
        <f>IF(N21&gt;0,ROUNDUP((N21/125),0),ROUNDUP((Q8/125),0))</f>
        <v>0</v>
      </c>
      <c r="X7" s="1">
        <f>IF(O21&gt;0,ROUNDUP((O21/65),0),ROUNDUP((R8/65),0))</f>
        <v>0</v>
      </c>
      <c r="Y7" s="32">
        <f>IF(N21&gt;0,ROUNDUP((N21/200),0),ROUNDUP((Q8/200),0))</f>
        <v>0</v>
      </c>
      <c r="Z7" s="1">
        <f>IF(O21&gt;0,ROUNDUP((O21/200),0),ROUNDUP((R8/200),0))</f>
        <v>0</v>
      </c>
      <c r="AA7" s="32">
        <f>IF(OR(N21&gt;0,O21&gt;0),ROUNDUP((N21+O21)/500,0),ROUNDUP(Q5/500,0))</f>
        <v>0</v>
      </c>
      <c r="AB7" s="30" t="s">
        <v>82</v>
      </c>
    </row>
    <row r="8" spans="1:28" ht="16.149999999999999" customHeight="1" x14ac:dyDescent="0.25">
      <c r="A8" s="82"/>
      <c r="B8" s="83"/>
      <c r="C8" s="159"/>
      <c r="D8" s="111"/>
      <c r="E8" s="111"/>
      <c r="F8" s="112"/>
      <c r="G8" s="112"/>
      <c r="H8" s="92"/>
      <c r="I8" s="112"/>
      <c r="J8" s="92"/>
      <c r="K8" s="112"/>
      <c r="L8" s="112"/>
      <c r="M8" s="98"/>
      <c r="N8" s="155"/>
      <c r="O8" s="157"/>
      <c r="Q8" s="16">
        <f>ROUNDUP((Q5/2),1)</f>
        <v>0</v>
      </c>
      <c r="R8" s="16">
        <f>ROUNDUP((Q5/2),1)</f>
        <v>0</v>
      </c>
      <c r="U8" s="5" t="s">
        <v>94</v>
      </c>
      <c r="V8" t="s">
        <v>93</v>
      </c>
      <c r="W8" s="30">
        <f>IF(AND(N31&gt;0,N31&lt;=400),(ROUNDUP(N31/100,0)),IF(N31&gt;400,(ROUNDUP(N31/250,0))+3,IF(AND(Q8&gt;0,Q8&lt;=400),(ROUNDUP(Q8/100,0)),IF(Q8&gt;400,(ROUNDUP(Q8/250,0))+3,0))))</f>
        <v>0</v>
      </c>
      <c r="X8" s="1">
        <f>IF(AND(O31&gt;0,O31&lt;=400),(ROUNDUP(O31/50,0)),IF(O31&gt;400,(ROUNDUP(O31/150,0))+5,IF(AND(R8&gt;0,R8&lt;=400),(ROUNDUP(R8/50,0)),IF(R8&gt;400,(ROUNDUP(R8/150,0))+5,0))))</f>
        <v>0</v>
      </c>
      <c r="Y8" s="30">
        <f>IF(AND(N31&gt;0,N31&lt;=250),1,IF(AND(N31&gt;250,N31&lt;=500),2,IF(AND(N31&gt;500,N31&lt;=750),3,IF(N31&gt;750,(ROUNDUP(N31/500,0)+2),IF(AND(Q8&gt;0,Q8&lt;=250),1,IF(AND(Q8&gt;250,Q8&lt;=500),2,IF(AND(Q8&gt;500,Q8&lt;=750),3,IF(Q8&gt;750,(ROUNDUP(Q8/500,0)+2),0))))))))</f>
        <v>0</v>
      </c>
      <c r="Z8" s="1">
        <f>IF(AND(O31&gt;0,O31&lt;=250),1,IF(AND(O31&gt;250,O31&lt;=500),2,IF(AND(O31&gt;500,O31&lt;=750),3,IF(O31&gt;750,(ROUNDUP(O31/500,0)+2),IF(AND(R8&gt;0,R8&lt;=250),1,IF(AND(R8&gt;250,R8&lt;=500),2,IF(AND(R8&gt;500,R8&lt;=750),3,IF(R8&gt;750,(ROUNDUP(R8/500,0)+2),0))))))))</f>
        <v>0</v>
      </c>
      <c r="AA8" s="32">
        <f>IF(OR(N31&gt;0,O31&gt;0),ROUNDUP((N31+O31)/1000,0),ROUNDUP(Q5/1000,0))</f>
        <v>0</v>
      </c>
      <c r="AB8" s="30" t="s">
        <v>82</v>
      </c>
    </row>
    <row r="9" spans="1:28" ht="14.45" customHeight="1" x14ac:dyDescent="0.25">
      <c r="A9" s="82"/>
      <c r="B9" s="83"/>
      <c r="C9" s="110" t="s">
        <v>95</v>
      </c>
      <c r="D9" s="111" t="s">
        <v>96</v>
      </c>
      <c r="E9" s="111"/>
      <c r="F9" s="112" t="str">
        <f>IF(AND(OR(N9&gt;0,O9&gt;0),N9+O9&lt;=15),"Single restroom okay for 15 or less (IPC 403.2(2))",IF(AND(OR(N9&gt;0,O9&gt;0),N9+O9&gt;Q5),W5,IF(AND(OR(N9&gt;0,O9&gt;0),N9+O9&lt;Q5),W5,IF(Q5&lt;=15,"Single restroom okay for 15 or less (IPC 403.2(2))",W5))))</f>
        <v>Single restroom okay for 15 or less (IPC 403.2(2))</v>
      </c>
      <c r="G9" s="112" t="str">
        <f>IF(F9="Single restroom okay for 15 or less (IPC 403.2(2))","-",X5)</f>
        <v>-</v>
      </c>
      <c r="H9" s="112" t="s">
        <v>81</v>
      </c>
      <c r="I9" s="112">
        <f>Y5</f>
        <v>0</v>
      </c>
      <c r="J9" s="112" t="str">
        <f>IF(F9="Single restroom okay for 15 or less (IPC 403.2(2))","-",Z5)</f>
        <v>-</v>
      </c>
      <c r="K9" s="112" t="s">
        <v>82</v>
      </c>
      <c r="L9" s="112" t="str">
        <f>IF(F9="Single restroom okay for 15 or less (IPC 403.2(2))","15 or less Fountain exempt(IPC 410.2)",AA5)</f>
        <v>15 or less Fountain exempt(IPC 410.2)</v>
      </c>
      <c r="M9" s="114" t="s">
        <v>83</v>
      </c>
      <c r="N9" s="118">
        <v>0</v>
      </c>
      <c r="O9" s="119">
        <f>N9</f>
        <v>0</v>
      </c>
      <c r="U9" s="5" t="s">
        <v>97</v>
      </c>
      <c r="V9" t="s">
        <v>93</v>
      </c>
      <c r="W9" s="30">
        <f>IF(N37&gt;0,ROUNDUP((N37/50),0),ROUNDUP((Q8/500),0))</f>
        <v>0</v>
      </c>
      <c r="X9" s="1">
        <f>ROUNDUP((R8/500),0)</f>
        <v>0</v>
      </c>
      <c r="Y9" s="30">
        <f>IF(N37&gt;0,ROUNDUP((N37/750),0),ROUNDUP((Q8/750),0))</f>
        <v>0</v>
      </c>
      <c r="Z9" s="1">
        <f>IF(O37&gt;0,ROUNDUP((O37/750),0),ROUNDUP((R8/750),0))</f>
        <v>0</v>
      </c>
      <c r="AA9" s="32">
        <f>IF(OR(N37&gt;0,O37&gt;0),ROUNDUP((N37+O37)/1000,0),ROUNDUP(Q5/1000,0))</f>
        <v>0</v>
      </c>
      <c r="AB9" s="30" t="s">
        <v>82</v>
      </c>
    </row>
    <row r="10" spans="1:28" x14ac:dyDescent="0.25">
      <c r="A10" s="82"/>
      <c r="B10" s="83"/>
      <c r="C10" s="110"/>
      <c r="D10" s="111"/>
      <c r="E10" s="111"/>
      <c r="F10" s="112"/>
      <c r="G10" s="112"/>
      <c r="H10" s="112"/>
      <c r="I10" s="112"/>
      <c r="J10" s="112"/>
      <c r="K10" s="112"/>
      <c r="L10" s="112"/>
      <c r="M10" s="114"/>
      <c r="N10" s="118"/>
      <c r="O10" s="119"/>
      <c r="U10" s="5" t="s">
        <v>98</v>
      </c>
      <c r="V10" t="s">
        <v>93</v>
      </c>
      <c r="W10" s="30">
        <f>IF(N43&gt;0,ROUNDUP((N43/150),0),ROUNDUP((Q8/150),0))</f>
        <v>0</v>
      </c>
      <c r="X10" s="1">
        <f>ROUNDUP((R8/75),0)</f>
        <v>0</v>
      </c>
      <c r="Y10" s="30">
        <f>IF(N43&gt;0,ROUNDUP((N43/200),0),ROUNDUP((Q8/200),0))</f>
        <v>0</v>
      </c>
      <c r="Z10" s="1">
        <f>IF(O43&gt;0,ROUNDUP((O43/200),0),ROUNDUP((R8/200),0))</f>
        <v>0</v>
      </c>
      <c r="AA10" s="32">
        <f>IF(OR(N43&gt;0,O43&gt;0),ROUNDUP((N43+O43)/1000,0),ROUNDUP(Q5/1000,0))</f>
        <v>0</v>
      </c>
      <c r="AB10" s="30" t="s">
        <v>82</v>
      </c>
    </row>
    <row r="11" spans="1:28" x14ac:dyDescent="0.25">
      <c r="A11" s="82"/>
      <c r="B11" s="83"/>
      <c r="C11" s="110"/>
      <c r="D11" s="111"/>
      <c r="E11" s="111"/>
      <c r="F11" s="112"/>
      <c r="G11" s="112"/>
      <c r="H11" s="112"/>
      <c r="I11" s="112"/>
      <c r="J11" s="112"/>
      <c r="K11" s="112"/>
      <c r="L11" s="112"/>
      <c r="M11" s="114"/>
      <c r="N11" s="118"/>
      <c r="O11" s="119"/>
      <c r="U11" s="5" t="s">
        <v>99</v>
      </c>
      <c r="V11" t="s">
        <v>100</v>
      </c>
      <c r="W11" s="30">
        <f>IF(AND(N49&gt;0,N49&lt;=1500),(ROUNDUP(N49/75,0)),IF(N49&gt;1500,(ROUNDUP(N49/120,0))+8,IF(AND(Q8&gt;0,Q8&lt;=1500),(ROUNDUP(Q8/75,0)),IF(Q8&gt;1500,(ROUNDUP(Q8/120,0))+8,0))))</f>
        <v>0</v>
      </c>
      <c r="X11" s="1">
        <f>IF(AND(O49&gt;0,O49&lt;=1520),(ROUNDUP(O49/40,0)),IF(O49&gt;1520,(ROUNDUP(O49/60,0))+12,IF(AND(R8&gt;0,R8&lt;=1520),(ROUNDUP(R8/40,0)),IF(R8&gt;1520,(ROUNDUP(R8/60,0))+12,0))))</f>
        <v>0</v>
      </c>
      <c r="Y11" s="30">
        <f>IF(N49&lt;0,ROUNDUP((N49/200),0),ROUNDUP((Q8/200),0))</f>
        <v>0</v>
      </c>
      <c r="Z11" s="1">
        <f>IF(O49&gt;0,ROUNDUP((O49/150),0),ROUNDUP((R8/150),0))</f>
        <v>0</v>
      </c>
      <c r="AA11" s="32">
        <f>IF(OR(N49&gt;0,O49&gt;0),ROUNDUP((N49+O49)/1000,0),ROUNDUP(Q5/1000,0))</f>
        <v>0</v>
      </c>
      <c r="AB11" s="30" t="s">
        <v>82</v>
      </c>
    </row>
    <row r="12" spans="1:28" x14ac:dyDescent="0.25">
      <c r="A12" s="82"/>
      <c r="B12" s="83"/>
      <c r="C12" s="110"/>
      <c r="D12" s="111"/>
      <c r="E12" s="111"/>
      <c r="F12" s="112"/>
      <c r="G12" s="112"/>
      <c r="H12" s="112"/>
      <c r="I12" s="112"/>
      <c r="J12" s="112"/>
      <c r="K12" s="112"/>
      <c r="L12" s="112"/>
      <c r="M12" s="114"/>
      <c r="N12" s="118"/>
      <c r="O12" s="119"/>
      <c r="U12" s="5" t="s">
        <v>101</v>
      </c>
      <c r="V12" t="s">
        <v>102</v>
      </c>
      <c r="W12" s="30">
        <f>IF(AND(N55&gt;0,N55&lt;=1500),(ROUNDUP(N55/75,0)),IF(N55&gt;1500,(ROUNDUP(N55/120,0))+8,IF(AND(Q8&gt;0,Q8&lt;=1500),(ROUNDUP(Q8/75,0)),IF(Q8&gt;1500,(ROUNDUP(Q8/120,0))+8,0))))</f>
        <v>0</v>
      </c>
      <c r="X12" s="1">
        <f>IF(AND(O55&gt;0,O55&lt;=1520),(ROUNDUP(O55/40,0)),IF(O55&gt;1520,(ROUNDUP(O55/60,0))+12,IF(AND(R8&gt;0,R8&lt;=1520),(ROUNDUP(R8/40,0)),IF(R8&gt;1520,(ROUNDUP(R8/60,0))+12,0))))</f>
        <v>0</v>
      </c>
      <c r="Y12" s="30">
        <f>IF(N55&gt;0,ROUNDUP((N55/200),0),ROUNDUP((Q8/200),0))</f>
        <v>0</v>
      </c>
      <c r="Z12" s="1">
        <f>IF(O55&gt;0,ROUNDUP((O55/150),0),ROUNDUP((R8/150),0))</f>
        <v>0</v>
      </c>
      <c r="AA12" s="32">
        <f>IF(OR(N55&gt;0,O55&gt;0),ROUNDUP((N55+O55)/1000,0),ROUNDUP(Q5/1000,0))</f>
        <v>0</v>
      </c>
      <c r="AB12" s="30" t="s">
        <v>82</v>
      </c>
    </row>
    <row r="13" spans="1:28" x14ac:dyDescent="0.25">
      <c r="A13" s="82"/>
      <c r="B13" s="83"/>
      <c r="C13" s="110"/>
      <c r="D13" s="111"/>
      <c r="E13" s="111"/>
      <c r="F13" s="112"/>
      <c r="G13" s="112"/>
      <c r="H13" s="112"/>
      <c r="I13" s="112"/>
      <c r="J13" s="112"/>
      <c r="K13" s="112"/>
      <c r="L13" s="112"/>
      <c r="M13" s="114"/>
      <c r="N13" s="118"/>
      <c r="O13" s="119"/>
      <c r="U13" s="5" t="s">
        <v>103</v>
      </c>
      <c r="V13" t="s">
        <v>104</v>
      </c>
      <c r="W13" s="30">
        <f>IF(AND(N62&gt;0,N62&lt;=25),1,IF(AND(N62&gt;25,N62&lt;=50),2,IF(N62&gt;50,(ROUNDUP(N62/50,0)+1),IF(AND(Q8&gt;0,Q8&lt;=25),1,IF(AND(Q8&gt;25,Q8&lt;=50),2,IF(Q8&gt;50,(ROUNDUP(Q8/50,0)+1),0))))))</f>
        <v>0</v>
      </c>
      <c r="X13" s="1">
        <f>IF(AND(O62&gt;0,O62&lt;=25),1,IF(AND(O62&gt;25,O62&lt;=50),2,IF(O62&gt;50,(ROUNDUP(O62/50,0)+1),IF(AND(R8&gt;0,R8&lt;=25),1,IF(AND(R8&gt;25,R8&lt;=50),2,IF(R8&gt;50,(ROUNDUP(R8/50,0)+1),0))))))</f>
        <v>0</v>
      </c>
      <c r="Y13" s="30">
        <f>IF(AND(N62&gt;0,N62&lt;=40),1,IF(AND(N62&gt;40,N62&lt;=80),2,IF(N62&gt;80,(ROUNDUP(N62/80,0)+1),IF(AND(Q8&gt;0,Q8&lt;=40),1,IF(AND(Q8&gt;40,Q8&lt;=80),2,IF(Q8&gt;80,(ROUNDUP(Q8/80,0)+1),0))))))</f>
        <v>0</v>
      </c>
      <c r="Z13" s="1">
        <f>IF(AND(O62&gt;0,O62&lt;=40),1,IF(AND(O62&gt;40,O62&lt;=80),2,IF(O62&gt;80,(ROUNDUP(O62/80,0)+1),IF(AND(R8&gt;0,R8&lt;=40),1,IF(AND(R8&gt;40,R8&lt;=80),2,IF(R8&gt;80,(ROUNDUP(R8/80,0)+1),0))))))</f>
        <v>0</v>
      </c>
      <c r="AA13" s="32">
        <f>IF(OR(N62&gt;0,O62&gt;0),ROUNDUP((N62+O62)/100,0),ROUNDUP(Q5/100,0))</f>
        <v>0</v>
      </c>
      <c r="AB13" s="30" t="s">
        <v>82</v>
      </c>
    </row>
    <row r="14" spans="1:28" x14ac:dyDescent="0.25">
      <c r="A14" s="82"/>
      <c r="B14" s="83"/>
      <c r="C14" s="110"/>
      <c r="D14" s="111"/>
      <c r="E14" s="111"/>
      <c r="F14" s="112"/>
      <c r="G14" s="112"/>
      <c r="H14" s="112"/>
      <c r="I14" s="112"/>
      <c r="J14" s="112"/>
      <c r="K14" s="112"/>
      <c r="L14" s="112"/>
      <c r="M14" s="114"/>
      <c r="N14" s="118"/>
      <c r="O14" s="119"/>
      <c r="U14" s="5" t="s">
        <v>105</v>
      </c>
      <c r="V14" t="s">
        <v>106</v>
      </c>
      <c r="W14" s="30">
        <f>IF(N73&gt;0,ROUNDUP((N73/50),0),ROUNDUP((Q8/50),0))</f>
        <v>0</v>
      </c>
      <c r="X14" s="1">
        <f>IF(O73&gt;0,ROUNDUP((O73/50),0),ROUNDUP((R8/50),0))</f>
        <v>0</v>
      </c>
      <c r="Y14" s="30">
        <f>IF(N73&gt;0,ROUNDUP((N73/50),0),ROUNDUP((Q8/50),0))</f>
        <v>0</v>
      </c>
      <c r="Z14" s="1">
        <f>IF(O73&gt;0,ROUNDUP((O73/50),0),ROUNDUP((R8/50),0))</f>
        <v>0</v>
      </c>
      <c r="AA14" s="32">
        <f>IF(OR(N73&gt;0,O73&gt;0),ROUNDUP((N73+O73)/100,0),ROUNDUP(Q5/100,0))</f>
        <v>0</v>
      </c>
      <c r="AB14" s="30" t="s">
        <v>82</v>
      </c>
    </row>
    <row r="15" spans="1:28" ht="15" customHeight="1" x14ac:dyDescent="0.25">
      <c r="A15" s="82"/>
      <c r="B15" s="83"/>
      <c r="C15" s="110"/>
      <c r="D15" s="111" t="s">
        <v>107</v>
      </c>
      <c r="E15" s="111"/>
      <c r="F15" s="112" t="str">
        <f>IF(AND(OR(N15&gt;0,O15&gt;0),N15+O15&lt;=15),"Single restroom okay for 15 or less (IPC 403.2(2))",IF(AND(OR(N15&gt;0,O15&gt;0),N15+O15&gt;Q5),W6,IF(AND(OR(N15&gt;0,O15&gt;0),N15+O15&lt;Q5),W6,IF(Q5&lt;=15,"Single restroom okay for 15 or less (IPC 403.2(2))",W6))))</f>
        <v>Single restroom okay for 15 or less (IPC 403.2(2))</v>
      </c>
      <c r="G15" s="112" t="str">
        <f>IF(F15="Single restroom okay for 15 or less (IPC 403.2(2))","-",X6)</f>
        <v>-</v>
      </c>
      <c r="H15" s="112" t="s">
        <v>81</v>
      </c>
      <c r="I15" s="112">
        <f>Y6</f>
        <v>0</v>
      </c>
      <c r="J15" s="112" t="str">
        <f>IF(F15="Single restroom okay for 15 or less (IPC 403.2(2))","-",Z6)</f>
        <v>-</v>
      </c>
      <c r="K15" s="112" t="s">
        <v>82</v>
      </c>
      <c r="L15" s="112" t="str">
        <f>IF(F15="Single restroom okay for 15 or less (IPC 403.2(2))","15 or less Fountain exempt(IPC 410.2)",AA6)</f>
        <v>15 or less Fountain exempt(IPC 410.2)</v>
      </c>
      <c r="M15" s="121" t="s">
        <v>83</v>
      </c>
      <c r="N15" s="96">
        <v>0</v>
      </c>
      <c r="O15" s="97">
        <f>N15</f>
        <v>0</v>
      </c>
      <c r="U15" s="5" t="s">
        <v>108</v>
      </c>
      <c r="V15" t="s">
        <v>109</v>
      </c>
      <c r="W15" s="30">
        <f>IF(N79&gt;0,ROUNDUP((N79/100),0),ROUNDUP((Q8/100),0))</f>
        <v>0</v>
      </c>
      <c r="X15" s="1">
        <f>IF(O79&gt;0,ROUNDUP((O79/100),0),ROUNDUP((R8/100),0))</f>
        <v>0</v>
      </c>
      <c r="Y15" s="30">
        <f>IF(N79&gt;0,ROUNDUP((N79/100),0),ROUNDUP((Q8/100),0))</f>
        <v>0</v>
      </c>
      <c r="Z15" s="1">
        <f>IF(O79&gt;0,ROUNDUP((O79/100),0),ROUNDUP((R8/100),0))</f>
        <v>0</v>
      </c>
      <c r="AA15" s="32">
        <f>IF(OR(N79&gt;0,O79&gt;0),ROUNDUP((N79+O79)/400,0),ROUNDUP(Q5/400,0))</f>
        <v>0</v>
      </c>
      <c r="AB15" s="30" t="s">
        <v>110</v>
      </c>
    </row>
    <row r="16" spans="1:28" x14ac:dyDescent="0.25">
      <c r="A16" s="82"/>
      <c r="B16" s="83"/>
      <c r="C16" s="110"/>
      <c r="D16" s="111"/>
      <c r="E16" s="111"/>
      <c r="F16" s="112"/>
      <c r="G16" s="112"/>
      <c r="H16" s="112"/>
      <c r="I16" s="112"/>
      <c r="J16" s="112"/>
      <c r="K16" s="112"/>
      <c r="L16" s="112"/>
      <c r="M16" s="114"/>
      <c r="N16" s="96"/>
      <c r="O16" s="97"/>
      <c r="U16" s="5" t="s">
        <v>111</v>
      </c>
      <c r="V16" t="s">
        <v>112</v>
      </c>
      <c r="W16" s="30">
        <f>IF(N86&gt;0,ROUNDUP((N86/10),0),ROUNDUP((Q8/10),0))</f>
        <v>0</v>
      </c>
      <c r="X16" s="1">
        <f>IF(O86&gt;0,ROUNDUP((O86/10),0),ROUNDUP((R8/10),0))</f>
        <v>0</v>
      </c>
      <c r="Y16" s="30">
        <f>IF(N86&gt;0,ROUNDUP((N86/10),0),ROUNDUP((Q8/10),0))</f>
        <v>0</v>
      </c>
      <c r="Z16" s="1">
        <f>IF(O86&gt;0,ROUNDUP((O86/10),0),ROUNDUP((R8/10),0))</f>
        <v>0</v>
      </c>
      <c r="AA16" s="32">
        <f>IF(OR(N86&gt;0,O86&gt;0),ROUNDUP((N86+O86)/100,0),ROUNDUP(Q5/100,0))</f>
        <v>0</v>
      </c>
      <c r="AB16" s="30">
        <f>IF(OR(N86&gt;0,O86&gt;0),ROUNDUP((N86+O86)/8,0),ROUNDUP(Q5/8,0))</f>
        <v>0</v>
      </c>
    </row>
    <row r="17" spans="1:28" ht="14.45" customHeight="1" x14ac:dyDescent="0.25">
      <c r="A17" s="82"/>
      <c r="B17" s="83"/>
      <c r="C17" s="110"/>
      <c r="D17" s="111"/>
      <c r="E17" s="111"/>
      <c r="F17" s="112"/>
      <c r="G17" s="112"/>
      <c r="H17" s="112"/>
      <c r="I17" s="112"/>
      <c r="J17" s="112"/>
      <c r="K17" s="112"/>
      <c r="L17" s="112"/>
      <c r="M17" s="114"/>
      <c r="N17" s="96"/>
      <c r="O17" s="97"/>
      <c r="U17" s="5" t="s">
        <v>113</v>
      </c>
      <c r="V17" t="s">
        <v>114</v>
      </c>
      <c r="W17" s="30">
        <f>IF(N96&gt;0,ROUNDUP((N96/25),0),ROUNDUP((Q8/25),0))</f>
        <v>0</v>
      </c>
      <c r="X17" s="1">
        <f>IF(O96&gt;0,ROUNDUP((O96/25),0),ROUNDUP((R8/25),0))</f>
        <v>0</v>
      </c>
      <c r="Y17" s="30">
        <f>IF(N96&gt;0,ROUNDUP((N96/35),0),ROUNDUP((Q8/35),0))</f>
        <v>0</v>
      </c>
      <c r="Z17" s="1">
        <f>IF(O96&gt;0,ROUNDUP((O96/35),0),ROUNDUP((R8/35),0))</f>
        <v>0</v>
      </c>
      <c r="AA17" s="32">
        <f>IF(OR(N96&gt;0,O96&gt;0),ROUNDUP((N96+O96)/100,0),ROUNDUP(Q5/100,0))</f>
        <v>0</v>
      </c>
      <c r="AB17" s="30" t="s">
        <v>82</v>
      </c>
    </row>
    <row r="18" spans="1:28" x14ac:dyDescent="0.25">
      <c r="A18" s="82"/>
      <c r="B18" s="83"/>
      <c r="C18" s="110"/>
      <c r="D18" s="111"/>
      <c r="E18" s="111"/>
      <c r="F18" s="112"/>
      <c r="G18" s="112"/>
      <c r="H18" s="112"/>
      <c r="I18" s="112"/>
      <c r="J18" s="112"/>
      <c r="K18" s="112"/>
      <c r="L18" s="112"/>
      <c r="M18" s="114"/>
      <c r="N18" s="96"/>
      <c r="O18" s="97"/>
      <c r="U18" s="5" t="s">
        <v>115</v>
      </c>
      <c r="V18" t="s">
        <v>114</v>
      </c>
      <c r="W18" s="30">
        <f>IF(N102&gt;0,ROUNDUP((N102/75),0),ROUNDUP((Q8/75),0))</f>
        <v>0</v>
      </c>
      <c r="X18" s="1">
        <f>IF(O102&gt;0,ROUNDUP((O102/75),0),ROUNDUP((R8/75),0))</f>
        <v>0</v>
      </c>
      <c r="Y18" s="30">
        <f>IF(N102&gt;0,ROUNDUP((N102/100),0),ROUNDUP((Q8/100),0))</f>
        <v>0</v>
      </c>
      <c r="Z18" s="1">
        <f>IF(O102&gt;0,ROUNDUP((O102/100),0),ROUNDUP((R8/100),0))</f>
        <v>0</v>
      </c>
      <c r="AA18" s="32">
        <f>IF(OR(N102&gt;0,O102&gt;0),ROUNDUP((N102+O102)/500,0),ROUNDUP(Q5/500,0))</f>
        <v>0</v>
      </c>
      <c r="AB18" s="30" t="s">
        <v>82</v>
      </c>
    </row>
    <row r="19" spans="1:28" x14ac:dyDescent="0.25">
      <c r="A19" s="82"/>
      <c r="B19" s="83"/>
      <c r="C19" s="110"/>
      <c r="D19" s="111"/>
      <c r="E19" s="111"/>
      <c r="F19" s="112"/>
      <c r="G19" s="112"/>
      <c r="H19" s="112"/>
      <c r="I19" s="112"/>
      <c r="J19" s="112"/>
      <c r="K19" s="112"/>
      <c r="L19" s="112"/>
      <c r="M19" s="114"/>
      <c r="N19" s="96"/>
      <c r="O19" s="97"/>
      <c r="U19" s="5" t="s">
        <v>116</v>
      </c>
      <c r="V19" t="s">
        <v>117</v>
      </c>
      <c r="W19" s="30">
        <f>IF(N111&gt;0,ROUNDUP((N111/15),0),ROUNDUP((Q8/15),0))</f>
        <v>0</v>
      </c>
      <c r="X19" s="1">
        <f>IF(O111&gt;0,ROUNDUP((O111/15),0),ROUNDUP((R8/15),0))</f>
        <v>0</v>
      </c>
      <c r="Y19" s="30">
        <f>IF(N111&gt;0,ROUNDUP((N111/15),0),ROUNDUP((Q8/15),0))</f>
        <v>0</v>
      </c>
      <c r="Z19" s="1">
        <f>IF(O111&gt;0,ROUNDUP((O111/15),0),ROUNDUP((R8/15),0))</f>
        <v>0</v>
      </c>
      <c r="AA19" s="32">
        <f>IF(OR(N111&gt;0,O111&gt;0),ROUNDUP((N111+O111)/100,0),ROUNDUP(Q5/100,0))</f>
        <v>0</v>
      </c>
      <c r="AB19" s="30">
        <f>IF(OR(N111&gt;0,O111&gt;0),ROUNDUP((N111+O111)/15,0),ROUNDUP(Q5/15,0))</f>
        <v>0</v>
      </c>
    </row>
    <row r="20" spans="1:28" x14ac:dyDescent="0.25">
      <c r="A20" s="82"/>
      <c r="B20" s="83"/>
      <c r="C20" s="110"/>
      <c r="D20" s="111"/>
      <c r="E20" s="111"/>
      <c r="F20" s="112"/>
      <c r="G20" s="112"/>
      <c r="H20" s="112"/>
      <c r="I20" s="112"/>
      <c r="J20" s="112"/>
      <c r="K20" s="112"/>
      <c r="L20" s="112"/>
      <c r="M20" s="114"/>
      <c r="N20" s="96"/>
      <c r="O20" s="97"/>
      <c r="U20" s="5" t="s">
        <v>113</v>
      </c>
      <c r="V20" t="s">
        <v>117</v>
      </c>
      <c r="W20" s="30">
        <f>IF(N117&gt;0,ROUNDUP((N117/25),0),ROUNDUP((Q8/25),0))</f>
        <v>0</v>
      </c>
      <c r="X20" s="1">
        <f>IF(O117&gt;0,ROUNDUP((O117/25),0),ROUNDUP((R8/25),0))</f>
        <v>0</v>
      </c>
      <c r="Y20" s="30">
        <f>IF(N117&gt;0,ROUNDUP((N117/35),0),ROUNDUP((Q8/35),0))</f>
        <v>0</v>
      </c>
      <c r="Z20" s="1">
        <f>IF(O117&gt;0,ROUNDUP((O117/35),0),ROUNDUP((R8/35),0))</f>
        <v>0</v>
      </c>
      <c r="AA20" s="32">
        <f>IF(OR(N117&gt;0,O117&gt;0),ROUNDUP((N117+O117)/100,0),ROUNDUP(Q5/100,0))</f>
        <v>0</v>
      </c>
      <c r="AB20" s="30" t="s">
        <v>82</v>
      </c>
    </row>
    <row r="21" spans="1:28" x14ac:dyDescent="0.25">
      <c r="A21" s="82"/>
      <c r="B21" s="83"/>
      <c r="C21" s="110" t="s">
        <v>118</v>
      </c>
      <c r="D21" s="111" t="s">
        <v>119</v>
      </c>
      <c r="E21" s="111"/>
      <c r="F21" s="112" t="str">
        <f>IF(AND(OR(N21&gt;0,O21&gt;0),N21+O21&lt;=15),"Single restroom okay for 15 or less (IPC 403.2(2))",IF(AND(OR(N21&gt;0,O21&gt;0),N21+O21&gt;Q5),W7,IF(AND(OR(N21&gt;0,O21&gt;0),N21+O21&lt;Q5),W7,IF(Q5&lt;=15,"Single restroom okay for 15 or less (IPC 403.2(2))",W7))))</f>
        <v>Single restroom okay for 15 or less (IPC 403.2(2))</v>
      </c>
      <c r="G21" s="112" t="str">
        <f>IF(F21="Single restroom okay for 15 or less (IPC 403.2(2))","-",X7)</f>
        <v>-</v>
      </c>
      <c r="H21" s="112" t="s">
        <v>81</v>
      </c>
      <c r="I21" s="112">
        <f>Y7</f>
        <v>0</v>
      </c>
      <c r="J21" s="112" t="str">
        <f>IF(F21="Single restroom okay for 15 or less (IPC 403.2(2))","-",Z7)</f>
        <v>-</v>
      </c>
      <c r="K21" s="112" t="s">
        <v>82</v>
      </c>
      <c r="L21" s="112" t="str">
        <f>IF(F21="Single restroom okay for 15 or less (IPC 403.2(2))","15 or less Fountain exempt(IPC 410.2)",AA7)</f>
        <v>15 or less Fountain exempt(IPC 410.2)</v>
      </c>
      <c r="M21" s="114" t="s">
        <v>83</v>
      </c>
      <c r="N21" s="96">
        <v>0</v>
      </c>
      <c r="O21" s="97">
        <f>N21</f>
        <v>0</v>
      </c>
      <c r="U21" s="5" t="s">
        <v>120</v>
      </c>
      <c r="V21" t="s">
        <v>121</v>
      </c>
      <c r="W21" s="30">
        <f>IF(N123&gt;0,ROUNDUP((N123/15),0),ROUNDUP((Q8/15),0))</f>
        <v>0</v>
      </c>
      <c r="X21" s="1">
        <f>IF(O123&gt;0,ROUNDUP((O123/15),0),ROUNDUP((R8/15),0))</f>
        <v>0</v>
      </c>
      <c r="Y21" s="30">
        <f>IF(N123&gt;0,ROUNDUP((N123/15),0),ROUNDUP((Q8/15),0))</f>
        <v>0</v>
      </c>
      <c r="Z21" s="1">
        <f>IF(O123&gt;0,ROUNDUP((O123/15),0),ROUNDUP((R8/15),0))</f>
        <v>0</v>
      </c>
      <c r="AA21" s="32">
        <f>IF(OR(N123&gt;0,O123&gt;0),ROUNDUP((N123+O123)/100,0),ROUNDUP(Q5/100,0))</f>
        <v>0</v>
      </c>
      <c r="AB21" s="30">
        <v>1</v>
      </c>
    </row>
    <row r="22" spans="1:28" ht="14.45" customHeight="1" x14ac:dyDescent="0.25">
      <c r="A22" s="82"/>
      <c r="B22" s="83"/>
      <c r="C22" s="110"/>
      <c r="D22" s="111"/>
      <c r="E22" s="111"/>
      <c r="F22" s="112"/>
      <c r="G22" s="112"/>
      <c r="H22" s="112"/>
      <c r="I22" s="112"/>
      <c r="J22" s="112"/>
      <c r="K22" s="112"/>
      <c r="L22" s="112"/>
      <c r="M22" s="114"/>
      <c r="N22" s="96"/>
      <c r="O22" s="97"/>
      <c r="U22" s="5" t="s">
        <v>122</v>
      </c>
      <c r="V22" t="s">
        <v>123</v>
      </c>
      <c r="W22" s="30">
        <f>IF(N129&gt;0,ROUNDUP((N129/500),0),ROUNDUP((Q8/500),0))</f>
        <v>0</v>
      </c>
      <c r="X22" s="1">
        <f>IF(O129&gt;0,ROUNDUP((O129/500),0),ROUNDUP((R8/500),0))</f>
        <v>0</v>
      </c>
      <c r="Y22" s="30">
        <f>IF(N129&gt;0,ROUNDUP((N129/750),0),ROUNDUP((Q8/750),0))</f>
        <v>0</v>
      </c>
      <c r="Z22" s="1">
        <f>IF(O129&gt;0,ROUNDUP((O129/750),0),ROUNDUP((R8/750),0))</f>
        <v>0</v>
      </c>
      <c r="AA22" s="32">
        <f>IF(OR(N129&gt;0,O129&gt;0),ROUNDUP((N129+O129)/1000,0),ROUNDUP(Q5/1000,0))</f>
        <v>0</v>
      </c>
      <c r="AB22" s="30" t="s">
        <v>82</v>
      </c>
    </row>
    <row r="23" spans="1:28" x14ac:dyDescent="0.25">
      <c r="A23" s="82"/>
      <c r="B23" s="83"/>
      <c r="C23" s="110"/>
      <c r="D23" s="111"/>
      <c r="E23" s="111"/>
      <c r="F23" s="112"/>
      <c r="G23" s="112"/>
      <c r="H23" s="112"/>
      <c r="I23" s="112"/>
      <c r="J23" s="112"/>
      <c r="K23" s="112"/>
      <c r="L23" s="112"/>
      <c r="M23" s="114"/>
      <c r="N23" s="96"/>
      <c r="O23" s="97"/>
      <c r="U23" s="5" t="s">
        <v>124</v>
      </c>
      <c r="V23" t="s">
        <v>125</v>
      </c>
      <c r="W23" s="30">
        <f>IF(N140&gt;0,ROUNDUP((N140/10),0),ROUNDUP((Q5/10),0))</f>
        <v>0</v>
      </c>
      <c r="X23" s="1">
        <f>IF(N140&gt;0,ROUNDUP((N140/10),0),ROUNDUP((R8/10),0))</f>
        <v>0</v>
      </c>
      <c r="Y23" s="30">
        <f>IF(N140&gt;0,ROUNDUP((N140/10),0),ROUNDUP((Q5/10),0))</f>
        <v>0</v>
      </c>
      <c r="Z23" s="1" t="s">
        <v>82</v>
      </c>
      <c r="AA23" s="32">
        <f>IF(N140&gt;0,ROUNDUP(N140/100,0),ROUNDUP(Q5/100,0))</f>
        <v>0</v>
      </c>
      <c r="AB23" s="30">
        <f>IF(N140&gt;0,ROUNDUP(N140/8,0),ROUNDUP(Q5/8,0))</f>
        <v>0</v>
      </c>
    </row>
    <row r="24" spans="1:28" x14ac:dyDescent="0.25">
      <c r="A24" s="82"/>
      <c r="B24" s="83"/>
      <c r="C24" s="110"/>
      <c r="D24" s="111"/>
      <c r="E24" s="111"/>
      <c r="F24" s="112"/>
      <c r="G24" s="112"/>
      <c r="H24" s="112"/>
      <c r="I24" s="112"/>
      <c r="J24" s="112"/>
      <c r="K24" s="112"/>
      <c r="L24" s="112"/>
      <c r="M24" s="114"/>
      <c r="N24" s="96"/>
      <c r="O24" s="97"/>
      <c r="U24" s="5" t="s">
        <v>126</v>
      </c>
      <c r="V24" t="s">
        <v>127</v>
      </c>
      <c r="W24" s="30">
        <f>IF(N156&gt;0,ROUNDUP((N156/10),0),ROUNDUP((Q5/10),0))</f>
        <v>0</v>
      </c>
      <c r="X24" s="1">
        <f>IF(N156&gt;0,ROUNDUP((N156/10),0),ROUNDUP((R8/10),0))</f>
        <v>0</v>
      </c>
      <c r="Y24" s="30">
        <f>IF(N156&gt;0,ROUNDUP((N156/10),0),ROUNDUP((Q5/10),0))</f>
        <v>0</v>
      </c>
      <c r="Z24" s="1" t="s">
        <v>82</v>
      </c>
      <c r="AA24" s="32">
        <f>IF(N156&gt;0,ROUNDUP(N156/100,0),ROUNDUP(Q5/100,0))</f>
        <v>0</v>
      </c>
      <c r="AB24" s="30">
        <f>IF(N156&gt;0,ROUNDUP(N156/8,0),ROUNDUP(Q5/8,0))</f>
        <v>0</v>
      </c>
    </row>
    <row r="25" spans="1:28" ht="15.75" thickBot="1" x14ac:dyDescent="0.3">
      <c r="A25" s="82"/>
      <c r="B25" s="83"/>
      <c r="C25" s="110"/>
      <c r="D25" s="111"/>
      <c r="E25" s="111"/>
      <c r="F25" s="112"/>
      <c r="G25" s="112"/>
      <c r="H25" s="112"/>
      <c r="I25" s="112"/>
      <c r="J25" s="112"/>
      <c r="K25" s="112"/>
      <c r="L25" s="112"/>
      <c r="M25" s="114"/>
      <c r="N25" s="96"/>
      <c r="O25" s="97"/>
      <c r="U25" s="5" t="s">
        <v>128</v>
      </c>
      <c r="V25" t="s">
        <v>129</v>
      </c>
      <c r="W25" s="33">
        <f>IF(N171&gt;0,ROUNDUP((N171/100),0),ROUNDUP((Q5/100),0))</f>
        <v>0</v>
      </c>
      <c r="X25" s="34">
        <f>IF(N171&gt;0,ROUNDUP((N171/100),0),ROUNDUP((R8/100),0))</f>
        <v>0</v>
      </c>
      <c r="Y25" s="33">
        <f>IF(N171&gt;0,ROUNDUP((N171/100),0),ROUNDUP((Q5/100),0))</f>
        <v>0</v>
      </c>
      <c r="Z25" s="34" t="s">
        <v>82</v>
      </c>
      <c r="AA25" s="33">
        <f>IF(N171&gt;0,ROUNDUP(N171/1000,0),ROUNDUP(Q5/1000,0))</f>
        <v>0</v>
      </c>
      <c r="AB25" s="38" t="s">
        <v>110</v>
      </c>
    </row>
    <row r="26" spans="1:28" x14ac:dyDescent="0.25">
      <c r="A26" s="82"/>
      <c r="B26" s="83"/>
      <c r="C26" s="110"/>
      <c r="D26" s="111"/>
      <c r="E26" s="111"/>
      <c r="F26" s="112"/>
      <c r="G26" s="112"/>
      <c r="H26" s="112"/>
      <c r="I26" s="112"/>
      <c r="J26" s="112"/>
      <c r="K26" s="112"/>
      <c r="L26" s="112"/>
      <c r="M26" s="114"/>
      <c r="N26" s="96"/>
      <c r="O26" s="97"/>
    </row>
    <row r="27" spans="1:28" x14ac:dyDescent="0.25">
      <c r="A27" s="82"/>
      <c r="B27" s="83"/>
      <c r="C27" s="110"/>
      <c r="D27" s="111"/>
      <c r="E27" s="111"/>
      <c r="F27" s="112"/>
      <c r="G27" s="112"/>
      <c r="H27" s="112"/>
      <c r="I27" s="112"/>
      <c r="J27" s="112"/>
      <c r="K27" s="112"/>
      <c r="L27" s="112"/>
      <c r="M27" s="114"/>
      <c r="N27" s="96"/>
      <c r="O27" s="97"/>
    </row>
    <row r="28" spans="1:28" x14ac:dyDescent="0.25">
      <c r="A28" s="82"/>
      <c r="B28" s="83"/>
      <c r="C28" s="110"/>
      <c r="D28" s="111"/>
      <c r="E28" s="111"/>
      <c r="F28" s="112"/>
      <c r="G28" s="112"/>
      <c r="H28" s="112"/>
      <c r="I28" s="112"/>
      <c r="J28" s="112"/>
      <c r="K28" s="112"/>
      <c r="L28" s="112"/>
      <c r="M28" s="114"/>
      <c r="N28" s="96"/>
      <c r="O28" s="97"/>
    </row>
    <row r="29" spans="1:28" x14ac:dyDescent="0.25">
      <c r="A29" s="82"/>
      <c r="B29" s="83"/>
      <c r="C29" s="110"/>
      <c r="D29" s="111"/>
      <c r="E29" s="111"/>
      <c r="F29" s="112"/>
      <c r="G29" s="112"/>
      <c r="H29" s="112"/>
      <c r="I29" s="112"/>
      <c r="J29" s="112"/>
      <c r="K29" s="112"/>
      <c r="L29" s="112"/>
      <c r="M29" s="114"/>
      <c r="N29" s="96"/>
      <c r="O29" s="97"/>
    </row>
    <row r="30" spans="1:28" x14ac:dyDescent="0.25">
      <c r="A30" s="82"/>
      <c r="B30" s="83"/>
      <c r="C30" s="110"/>
      <c r="D30" s="111"/>
      <c r="E30" s="111"/>
      <c r="F30" s="112"/>
      <c r="G30" s="112"/>
      <c r="H30" s="112"/>
      <c r="I30" s="112"/>
      <c r="J30" s="112"/>
      <c r="K30" s="112"/>
      <c r="L30" s="112"/>
      <c r="M30" s="98"/>
      <c r="N30" s="96"/>
      <c r="O30" s="97"/>
    </row>
    <row r="31" spans="1:28" ht="14.45" customHeight="1" x14ac:dyDescent="0.25">
      <c r="A31" s="82"/>
      <c r="B31" s="83"/>
      <c r="C31" s="110"/>
      <c r="D31" s="111" t="s">
        <v>130</v>
      </c>
      <c r="E31" s="111"/>
      <c r="F31" s="112" t="str">
        <f>IF(AND(OR(N31&gt;0,O31&gt;0),N31+O31&lt;=15),"Single restroom okay for 15 or less (IPC 403.2(2))",IF(AND(OR(N31&gt;0,O31&gt;0),N31+O31&gt;Q5),W8,IF(AND(OR(N31&gt;0,O31&gt;0),N31+O31&lt;Q5),W8,IF(Q5&lt;=15,"Single restroom okay for 15 or less (IPC 403.2(2))",W8))))</f>
        <v>Single restroom okay for 15 or less (IPC 403.2(2))</v>
      </c>
      <c r="G31" s="112" t="str">
        <f>IF(F31="Single restroom okay for 15 or less (IPC 403.2(2))","-",X8)</f>
        <v>-</v>
      </c>
      <c r="H31" s="112" t="s">
        <v>81</v>
      </c>
      <c r="I31" s="112">
        <f>Y8</f>
        <v>0</v>
      </c>
      <c r="J31" s="112" t="str">
        <f>IF(F31="Single restroom okay for 15 or less (IPC 403.2(2))","-",Z8)</f>
        <v>-</v>
      </c>
      <c r="K31" s="112" t="s">
        <v>82</v>
      </c>
      <c r="L31" s="112" t="str">
        <f>IF(F31="Single restroom okay for 15 or less (IPC 403.2(2))","15 or less Fountain exempt(IPC 410.2)",AA8)</f>
        <v>15 or less Fountain exempt(IPC 410.2)</v>
      </c>
      <c r="M31" s="114" t="s">
        <v>83</v>
      </c>
      <c r="N31" s="96">
        <v>0</v>
      </c>
      <c r="O31" s="97">
        <f>N31</f>
        <v>0</v>
      </c>
    </row>
    <row r="32" spans="1:28" x14ac:dyDescent="0.25">
      <c r="A32" s="82"/>
      <c r="B32" s="83"/>
      <c r="C32" s="110"/>
      <c r="D32" s="111"/>
      <c r="E32" s="111"/>
      <c r="F32" s="112"/>
      <c r="G32" s="112"/>
      <c r="H32" s="112"/>
      <c r="I32" s="112"/>
      <c r="J32" s="112"/>
      <c r="K32" s="112"/>
      <c r="L32" s="112"/>
      <c r="M32" s="114"/>
      <c r="N32" s="96"/>
      <c r="O32" s="97"/>
    </row>
    <row r="33" spans="1:16" x14ac:dyDescent="0.25">
      <c r="A33" s="82"/>
      <c r="B33" s="83"/>
      <c r="C33" s="110"/>
      <c r="D33" s="111"/>
      <c r="E33" s="111"/>
      <c r="F33" s="112"/>
      <c r="G33" s="112"/>
      <c r="H33" s="112"/>
      <c r="I33" s="112"/>
      <c r="J33" s="112"/>
      <c r="K33" s="112"/>
      <c r="L33" s="112"/>
      <c r="M33" s="114"/>
      <c r="N33" s="96"/>
      <c r="O33" s="97"/>
    </row>
    <row r="34" spans="1:16" ht="14.45" customHeight="1" x14ac:dyDescent="0.25">
      <c r="A34" s="82"/>
      <c r="B34" s="83"/>
      <c r="C34" s="110"/>
      <c r="D34" s="111"/>
      <c r="E34" s="111"/>
      <c r="F34" s="112"/>
      <c r="G34" s="112"/>
      <c r="H34" s="112"/>
      <c r="I34" s="112"/>
      <c r="J34" s="112"/>
      <c r="K34" s="112"/>
      <c r="L34" s="112"/>
      <c r="M34" s="114"/>
      <c r="N34" s="96"/>
      <c r="O34" s="97"/>
    </row>
    <row r="35" spans="1:16" x14ac:dyDescent="0.25">
      <c r="A35" s="82"/>
      <c r="B35" s="83"/>
      <c r="C35" s="110"/>
      <c r="D35" s="111"/>
      <c r="E35" s="111"/>
      <c r="F35" s="112"/>
      <c r="G35" s="112"/>
      <c r="H35" s="112"/>
      <c r="I35" s="112"/>
      <c r="J35" s="112"/>
      <c r="K35" s="112"/>
      <c r="L35" s="112"/>
      <c r="M35" s="114"/>
      <c r="N35" s="96"/>
      <c r="O35" s="97"/>
    </row>
    <row r="36" spans="1:16" x14ac:dyDescent="0.25">
      <c r="A36" s="82"/>
      <c r="B36" s="83"/>
      <c r="C36" s="110"/>
      <c r="D36" s="111"/>
      <c r="E36" s="111"/>
      <c r="F36" s="112"/>
      <c r="G36" s="112"/>
      <c r="H36" s="92"/>
      <c r="I36" s="112"/>
      <c r="J36" s="112"/>
      <c r="K36" s="112"/>
      <c r="L36" s="112"/>
      <c r="M36" s="114"/>
      <c r="N36" s="96"/>
      <c r="O36" s="97"/>
    </row>
    <row r="37" spans="1:16" ht="14.45" customHeight="1" x14ac:dyDescent="0.25">
      <c r="A37" s="82"/>
      <c r="B37" s="83"/>
      <c r="C37" s="110"/>
      <c r="D37" s="111" t="s">
        <v>131</v>
      </c>
      <c r="E37" s="111"/>
      <c r="F37" s="112" t="str">
        <f>IF(AND(OR(N37&gt;0,O37&gt;0),N37+O37&lt;=15),"Single restroom okay for 15 or less (IPC 403.2(2))",IF(AND(OR(N37&gt;0,O37&gt;0),N37+O37&gt;Q5),W9,IF(AND(OR(N37&gt;0,O37&gt;0),N37+O37&lt;Q5),W9,IF(Q5&lt;=15,"Single restroom okay for 15 or less (IPC 403.2(2))",W9))))</f>
        <v>Single restroom okay for 15 or less (IPC 403.2(2))</v>
      </c>
      <c r="G37" s="112" t="str">
        <f>IF(F37="Single restroom okay for 15 or less (IPC 403.2(2))","-",X9)</f>
        <v>-</v>
      </c>
      <c r="H37" s="112" t="s">
        <v>81</v>
      </c>
      <c r="I37" s="112">
        <f>Y9</f>
        <v>0</v>
      </c>
      <c r="J37" s="112" t="str">
        <f>IF(F37="Single restroom okay for 15 or less (IPC 403.2(2))","-",Z9)</f>
        <v>-</v>
      </c>
      <c r="K37" s="112" t="s">
        <v>82</v>
      </c>
      <c r="L37" s="112" t="str">
        <f>IF(F37="Single restroom okay for 15 or less (IPC 403.2(2))","15 or less Fountain exempt(IPC 410.2)",AA9)</f>
        <v>15 or less Fountain exempt(IPC 410.2)</v>
      </c>
      <c r="M37" s="121" t="s">
        <v>83</v>
      </c>
      <c r="N37" s="96">
        <v>0</v>
      </c>
      <c r="O37" s="97">
        <f>N37</f>
        <v>0</v>
      </c>
    </row>
    <row r="38" spans="1:16" x14ac:dyDescent="0.25">
      <c r="A38" s="82"/>
      <c r="B38" s="83"/>
      <c r="C38" s="110"/>
      <c r="D38" s="111"/>
      <c r="E38" s="111"/>
      <c r="F38" s="112"/>
      <c r="G38" s="112"/>
      <c r="H38" s="112"/>
      <c r="I38" s="112"/>
      <c r="J38" s="112"/>
      <c r="K38" s="112"/>
      <c r="L38" s="112"/>
      <c r="M38" s="114"/>
      <c r="N38" s="96"/>
      <c r="O38" s="97"/>
    </row>
    <row r="39" spans="1:16" x14ac:dyDescent="0.25">
      <c r="A39" s="82"/>
      <c r="B39" s="83"/>
      <c r="C39" s="110"/>
      <c r="D39" s="111"/>
      <c r="E39" s="111"/>
      <c r="F39" s="112"/>
      <c r="G39" s="112"/>
      <c r="H39" s="112"/>
      <c r="I39" s="112"/>
      <c r="J39" s="112"/>
      <c r="K39" s="112"/>
      <c r="L39" s="112"/>
      <c r="M39" s="114"/>
      <c r="N39" s="96"/>
      <c r="O39" s="97"/>
    </row>
    <row r="40" spans="1:16" x14ac:dyDescent="0.25">
      <c r="A40" s="82"/>
      <c r="B40" s="83"/>
      <c r="C40" s="110"/>
      <c r="D40" s="111"/>
      <c r="E40" s="111"/>
      <c r="F40" s="112"/>
      <c r="G40" s="112"/>
      <c r="H40" s="112"/>
      <c r="I40" s="112"/>
      <c r="J40" s="112"/>
      <c r="K40" s="112"/>
      <c r="L40" s="112"/>
      <c r="M40" s="114"/>
      <c r="N40" s="96"/>
      <c r="O40" s="97"/>
    </row>
    <row r="41" spans="1:16" x14ac:dyDescent="0.25">
      <c r="A41" s="82"/>
      <c r="B41" s="83"/>
      <c r="C41" s="110"/>
      <c r="D41" s="111"/>
      <c r="E41" s="111"/>
      <c r="F41" s="112"/>
      <c r="G41" s="112"/>
      <c r="H41" s="112"/>
      <c r="I41" s="112"/>
      <c r="J41" s="112"/>
      <c r="K41" s="112"/>
      <c r="L41" s="112"/>
      <c r="M41" s="114"/>
      <c r="N41" s="96"/>
      <c r="O41" s="97"/>
    </row>
    <row r="42" spans="1:16" x14ac:dyDescent="0.25">
      <c r="A42" s="82"/>
      <c r="B42" s="83"/>
      <c r="C42" s="110"/>
      <c r="D42" s="111"/>
      <c r="E42" s="111"/>
      <c r="F42" s="112"/>
      <c r="G42" s="112"/>
      <c r="H42" s="92"/>
      <c r="I42" s="112"/>
      <c r="J42" s="112"/>
      <c r="K42" s="112"/>
      <c r="L42" s="112"/>
      <c r="M42" s="98"/>
      <c r="N42" s="96"/>
      <c r="O42" s="97"/>
    </row>
    <row r="43" spans="1:16" ht="15" customHeight="1" x14ac:dyDescent="0.25">
      <c r="A43" s="82"/>
      <c r="B43" s="83"/>
      <c r="C43" s="110"/>
      <c r="D43" s="111" t="s">
        <v>132</v>
      </c>
      <c r="E43" s="111"/>
      <c r="F43" s="112" t="str">
        <f>IF(AND(OR(N43&gt;0,O43&gt;0),N43+O43&lt;=15),"Single restroom okay for 15 or less (IPC 403.2(2))",IF(AND(OR(N43&gt;0,O43&gt;0),N43+O43&gt;Q5),W10,IF(AND(OR(N43&gt;0,O43&gt;0),N43+O43&lt;Q5),W10,IF(Q5&lt;=15,"Single restroom okay for 15 or less (IPC 403.2(2))",W10))))</f>
        <v>Single restroom okay for 15 or less (IPC 403.2(2))</v>
      </c>
      <c r="G43" s="112" t="str">
        <f>IF(F43="Single restroom okay for 15 or less (IPC 403.2(2))","-",X10)</f>
        <v>-</v>
      </c>
      <c r="H43" s="112" t="s">
        <v>81</v>
      </c>
      <c r="I43" s="112">
        <f>Y10</f>
        <v>0</v>
      </c>
      <c r="J43" s="112" t="str">
        <f>IF(F43="Single restroom okay for 15 or less (IPC 403.2(2))","-",Z10)</f>
        <v>-</v>
      </c>
      <c r="K43" s="112" t="s">
        <v>82</v>
      </c>
      <c r="L43" s="112" t="str">
        <f>IF(F43="Single restroom okay for 15 or less (IPC 403.2(2))","15 or less Fountain exempt(IPC 410.2)",AA10)</f>
        <v>15 or less Fountain exempt(IPC 410.2)</v>
      </c>
      <c r="M43" s="114" t="s">
        <v>83</v>
      </c>
      <c r="N43" s="96">
        <v>0</v>
      </c>
      <c r="O43" s="97">
        <f>N43</f>
        <v>0</v>
      </c>
      <c r="P43" s="7"/>
    </row>
    <row r="44" spans="1:16" x14ac:dyDescent="0.25">
      <c r="A44" s="82"/>
      <c r="B44" s="83"/>
      <c r="C44" s="110"/>
      <c r="D44" s="111"/>
      <c r="E44" s="111"/>
      <c r="F44" s="112"/>
      <c r="G44" s="112"/>
      <c r="H44" s="112"/>
      <c r="I44" s="112"/>
      <c r="J44" s="112"/>
      <c r="K44" s="112"/>
      <c r="L44" s="112"/>
      <c r="M44" s="114"/>
      <c r="N44" s="96"/>
      <c r="O44" s="97"/>
      <c r="P44" s="7"/>
    </row>
    <row r="45" spans="1:16" ht="14.45" customHeight="1" x14ac:dyDescent="0.25">
      <c r="A45" s="82"/>
      <c r="B45" s="83"/>
      <c r="C45" s="110"/>
      <c r="D45" s="111"/>
      <c r="E45" s="111"/>
      <c r="F45" s="112"/>
      <c r="G45" s="112"/>
      <c r="H45" s="112"/>
      <c r="I45" s="112"/>
      <c r="J45" s="112"/>
      <c r="K45" s="112"/>
      <c r="L45" s="112"/>
      <c r="M45" s="114"/>
      <c r="N45" s="96"/>
      <c r="O45" s="97"/>
      <c r="P45" s="7"/>
    </row>
    <row r="46" spans="1:16" x14ac:dyDescent="0.25">
      <c r="A46" s="82"/>
      <c r="B46" s="83"/>
      <c r="C46" s="110"/>
      <c r="D46" s="111"/>
      <c r="E46" s="111"/>
      <c r="F46" s="112"/>
      <c r="G46" s="112"/>
      <c r="H46" s="112"/>
      <c r="I46" s="112"/>
      <c r="J46" s="112"/>
      <c r="K46" s="112"/>
      <c r="L46" s="112"/>
      <c r="M46" s="114"/>
      <c r="N46" s="96"/>
      <c r="O46" s="97"/>
      <c r="P46" s="7"/>
    </row>
    <row r="47" spans="1:16" x14ac:dyDescent="0.25">
      <c r="A47" s="82"/>
      <c r="B47" s="83"/>
      <c r="C47" s="110"/>
      <c r="D47" s="111"/>
      <c r="E47" s="111"/>
      <c r="F47" s="112"/>
      <c r="G47" s="112"/>
      <c r="H47" s="112"/>
      <c r="I47" s="112"/>
      <c r="J47" s="112"/>
      <c r="K47" s="112"/>
      <c r="L47" s="112"/>
      <c r="M47" s="114"/>
      <c r="N47" s="96"/>
      <c r="O47" s="97"/>
      <c r="P47" s="7"/>
    </row>
    <row r="48" spans="1:16" x14ac:dyDescent="0.25">
      <c r="A48" s="82"/>
      <c r="B48" s="83"/>
      <c r="C48" s="110"/>
      <c r="D48" s="111"/>
      <c r="E48" s="111"/>
      <c r="F48" s="112"/>
      <c r="G48" s="112"/>
      <c r="H48" s="92"/>
      <c r="I48" s="112"/>
      <c r="J48" s="112"/>
      <c r="K48" s="112"/>
      <c r="L48" s="112"/>
      <c r="M48" s="114"/>
      <c r="N48" s="96"/>
      <c r="O48" s="97"/>
      <c r="P48" s="7"/>
    </row>
    <row r="49" spans="1:17" ht="14.45" customHeight="1" x14ac:dyDescent="0.25">
      <c r="A49" s="82"/>
      <c r="B49" s="83"/>
      <c r="C49" s="110" t="s">
        <v>133</v>
      </c>
      <c r="D49" s="111" t="s">
        <v>134</v>
      </c>
      <c r="E49" s="111"/>
      <c r="F49" s="112" t="str">
        <f>IF(AND(OR(N49&gt;0,O49&gt;0),N49+O49&lt;=15),"Single restroom okay for 15 or less (IPC 403.2(2))",IF(AND(OR(N49&gt;0,O49&gt;0),N49+O49&gt;Q5),W11,IF(AND(OR(N49&gt;0,O49&gt;0),N49+O49&lt;Q5),W11,IF(Q5&lt;=15,"Single restroom okay for 15 or less (IPC 403.2(2))",W11))))</f>
        <v>Single restroom okay for 15 or less (IPC 403.2(2))</v>
      </c>
      <c r="G49" s="112" t="str">
        <f>IF(F49="Single restroom okay for 15 or less (IPC 403.2(2))","-",X11)</f>
        <v>-</v>
      </c>
      <c r="H49" s="112" t="s">
        <v>81</v>
      </c>
      <c r="I49" s="112">
        <f>Y11</f>
        <v>0</v>
      </c>
      <c r="J49" s="112" t="str">
        <f>IF(F49="Single restroom okay for 15 or less (IPC 403.2(2))","-",Z11)</f>
        <v>-</v>
      </c>
      <c r="K49" s="112" t="s">
        <v>82</v>
      </c>
      <c r="L49" s="112" t="str">
        <f>IF(F49="Single restroom okay for 15 or less (IPC 403.2(2))","15 or less Fountain exempt(IPC 410.2)",AA11)</f>
        <v>15 or less Fountain exempt(IPC 410.2)</v>
      </c>
      <c r="M49" s="121" t="s">
        <v>83</v>
      </c>
      <c r="N49" s="96">
        <v>0</v>
      </c>
      <c r="O49" s="97">
        <f>N49</f>
        <v>0</v>
      </c>
      <c r="P49" s="7"/>
    </row>
    <row r="50" spans="1:17" x14ac:dyDescent="0.25">
      <c r="A50" s="82"/>
      <c r="B50" s="83"/>
      <c r="C50" s="110"/>
      <c r="D50" s="111"/>
      <c r="E50" s="111"/>
      <c r="F50" s="112"/>
      <c r="G50" s="112"/>
      <c r="H50" s="112"/>
      <c r="I50" s="112"/>
      <c r="J50" s="112"/>
      <c r="K50" s="112"/>
      <c r="L50" s="112"/>
      <c r="M50" s="114"/>
      <c r="N50" s="96"/>
      <c r="O50" s="97"/>
      <c r="P50" s="7"/>
    </row>
    <row r="51" spans="1:17" x14ac:dyDescent="0.25">
      <c r="A51" s="82"/>
      <c r="B51" s="83"/>
      <c r="C51" s="110"/>
      <c r="D51" s="111"/>
      <c r="E51" s="111"/>
      <c r="F51" s="112"/>
      <c r="G51" s="112"/>
      <c r="H51" s="112"/>
      <c r="I51" s="112"/>
      <c r="J51" s="112"/>
      <c r="K51" s="112"/>
      <c r="L51" s="112"/>
      <c r="M51" s="114"/>
      <c r="N51" s="96"/>
      <c r="O51" s="97"/>
      <c r="P51" s="7"/>
    </row>
    <row r="52" spans="1:17" x14ac:dyDescent="0.25">
      <c r="A52" s="82"/>
      <c r="B52" s="83"/>
      <c r="C52" s="110"/>
      <c r="D52" s="111"/>
      <c r="E52" s="111"/>
      <c r="F52" s="112"/>
      <c r="G52" s="112"/>
      <c r="H52" s="112"/>
      <c r="I52" s="112"/>
      <c r="J52" s="112"/>
      <c r="K52" s="112"/>
      <c r="L52" s="112"/>
      <c r="M52" s="114"/>
      <c r="N52" s="96"/>
      <c r="O52" s="97"/>
      <c r="P52" s="7"/>
    </row>
    <row r="53" spans="1:17" x14ac:dyDescent="0.25">
      <c r="A53" s="82"/>
      <c r="B53" s="83"/>
      <c r="C53" s="110"/>
      <c r="D53" s="111"/>
      <c r="E53" s="111"/>
      <c r="F53" s="112"/>
      <c r="G53" s="112"/>
      <c r="H53" s="112"/>
      <c r="I53" s="112"/>
      <c r="J53" s="112"/>
      <c r="K53" s="112"/>
      <c r="L53" s="112"/>
      <c r="M53" s="114"/>
      <c r="N53" s="96"/>
      <c r="O53" s="97"/>
      <c r="P53" s="7"/>
      <c r="Q53" s="39"/>
    </row>
    <row r="54" spans="1:17" x14ac:dyDescent="0.25">
      <c r="A54" s="82"/>
      <c r="B54" s="83"/>
      <c r="C54" s="110"/>
      <c r="D54" s="111"/>
      <c r="E54" s="111"/>
      <c r="F54" s="112"/>
      <c r="G54" s="112"/>
      <c r="H54" s="92"/>
      <c r="I54" s="112"/>
      <c r="J54" s="112"/>
      <c r="K54" s="112"/>
      <c r="L54" s="112"/>
      <c r="M54" s="114"/>
      <c r="N54" s="96"/>
      <c r="O54" s="97"/>
    </row>
    <row r="55" spans="1:17" ht="14.45" customHeight="1" x14ac:dyDescent="0.25">
      <c r="A55" s="82"/>
      <c r="B55" s="83"/>
      <c r="C55" s="128" t="s">
        <v>135</v>
      </c>
      <c r="D55" s="111" t="s">
        <v>136</v>
      </c>
      <c r="E55" s="111"/>
      <c r="F55" s="112" t="str">
        <f>IF(AND(OR(N55&gt;0,O55&gt;0),N55+O55&lt;=15),"Single restroom okay for 15 or less (IPC 403.2(2))",IF(AND(OR(N55&gt;0,O55&gt;0),N55+O55&gt;Q5),W12,IF(AND(OR(N55&gt;0,O55&gt;0),N55+O55&lt;Q5),W12,IF(Q5&lt;=15,"Single restroom okay for 15 or less (IPC 403.2(2))",W12))))</f>
        <v>Single restroom okay for 15 or less (IPC 403.2(2))</v>
      </c>
      <c r="G55" s="112" t="str">
        <f>IF(F55="Single restroom okay for 15 or less (IPC 403.2(2))","-",X12)</f>
        <v>-</v>
      </c>
      <c r="H55" s="112" t="s">
        <v>81</v>
      </c>
      <c r="I55" s="112">
        <f>Y12</f>
        <v>0</v>
      </c>
      <c r="J55" s="112" t="str">
        <f>IF(F55="Single restroom okay for 15 or less (IPC 403.2(2))","-",Z12)</f>
        <v>-</v>
      </c>
      <c r="K55" s="112" t="s">
        <v>82</v>
      </c>
      <c r="L55" s="112" t="str">
        <f>IF(F55="Single restroom okay for 15 or less (IPC 403.2(2))","15 or less Fountain exempt(IPC 410.2)",AA12)</f>
        <v>15 or less Fountain exempt(IPC 410.2)</v>
      </c>
      <c r="M55" s="114" t="s">
        <v>83</v>
      </c>
      <c r="N55" s="96">
        <v>0</v>
      </c>
      <c r="O55" s="97">
        <f>N55</f>
        <v>0</v>
      </c>
    </row>
    <row r="56" spans="1:17" x14ac:dyDescent="0.25">
      <c r="A56" s="82"/>
      <c r="B56" s="83"/>
      <c r="C56" s="128"/>
      <c r="D56" s="111"/>
      <c r="E56" s="111"/>
      <c r="F56" s="112"/>
      <c r="G56" s="112"/>
      <c r="H56" s="112"/>
      <c r="I56" s="112"/>
      <c r="J56" s="112"/>
      <c r="K56" s="112"/>
      <c r="L56" s="112"/>
      <c r="M56" s="114"/>
      <c r="N56" s="96"/>
      <c r="O56" s="97"/>
    </row>
    <row r="57" spans="1:17" x14ac:dyDescent="0.25">
      <c r="A57" s="82"/>
      <c r="B57" s="83"/>
      <c r="C57" s="128"/>
      <c r="D57" s="111"/>
      <c r="E57" s="111"/>
      <c r="F57" s="112"/>
      <c r="G57" s="112"/>
      <c r="H57" s="112"/>
      <c r="I57" s="112"/>
      <c r="J57" s="112"/>
      <c r="K57" s="112"/>
      <c r="L57" s="112"/>
      <c r="M57" s="114"/>
      <c r="N57" s="96"/>
      <c r="O57" s="97"/>
    </row>
    <row r="58" spans="1:17" x14ac:dyDescent="0.25">
      <c r="A58" s="82"/>
      <c r="B58" s="83"/>
      <c r="C58" s="128"/>
      <c r="D58" s="111"/>
      <c r="E58" s="111"/>
      <c r="F58" s="112"/>
      <c r="G58" s="112"/>
      <c r="H58" s="112"/>
      <c r="I58" s="112"/>
      <c r="J58" s="112"/>
      <c r="K58" s="112"/>
      <c r="L58" s="112"/>
      <c r="M58" s="114"/>
      <c r="N58" s="96"/>
      <c r="O58" s="97"/>
    </row>
    <row r="59" spans="1:17" x14ac:dyDescent="0.25">
      <c r="A59" s="82"/>
      <c r="B59" s="83"/>
      <c r="C59" s="128"/>
      <c r="D59" s="111"/>
      <c r="E59" s="111"/>
      <c r="F59" s="112"/>
      <c r="G59" s="112"/>
      <c r="H59" s="112"/>
      <c r="I59" s="112"/>
      <c r="J59" s="112"/>
      <c r="K59" s="112"/>
      <c r="L59" s="112"/>
      <c r="M59" s="114"/>
      <c r="N59" s="96"/>
      <c r="O59" s="97"/>
    </row>
    <row r="60" spans="1:17" x14ac:dyDescent="0.25">
      <c r="A60" s="82"/>
      <c r="B60" s="83"/>
      <c r="C60" s="128"/>
      <c r="D60" s="111"/>
      <c r="E60" s="111"/>
      <c r="F60" s="112"/>
      <c r="G60" s="112"/>
      <c r="H60" s="112"/>
      <c r="I60" s="112"/>
      <c r="J60" s="112"/>
      <c r="K60" s="112"/>
      <c r="L60" s="112"/>
      <c r="M60" s="114"/>
      <c r="N60" s="96"/>
      <c r="O60" s="97"/>
    </row>
    <row r="61" spans="1:17" ht="14.45" customHeight="1" thickBot="1" x14ac:dyDescent="0.3">
      <c r="A61" s="84"/>
      <c r="B61" s="85"/>
      <c r="C61" s="128"/>
      <c r="D61" s="111"/>
      <c r="E61" s="111"/>
      <c r="F61" s="112"/>
      <c r="G61" s="112"/>
      <c r="H61" s="112"/>
      <c r="I61" s="112"/>
      <c r="J61" s="112"/>
      <c r="K61" s="112"/>
      <c r="L61" s="112"/>
      <c r="M61" s="114"/>
      <c r="N61" s="96"/>
      <c r="O61" s="97"/>
    </row>
    <row r="62" spans="1:17" x14ac:dyDescent="0.25">
      <c r="A62" s="122" t="s">
        <v>137</v>
      </c>
      <c r="B62" s="123"/>
      <c r="C62" s="130" t="s">
        <v>138</v>
      </c>
      <c r="D62" s="131" t="s">
        <v>139</v>
      </c>
      <c r="E62" s="131"/>
      <c r="F62" s="129" t="str">
        <f>IF(AND(OR(N62&gt;0,O62&gt;0),N62+O62&lt;=15),"Single restroom okay for 15 or less (IPC 403.2(2))",IF(AND(OR(N62&gt;0,O62&gt;0),N62+O62&gt;Q5),W13,IF(AND(OR(N62&gt;0,O62&gt;0),N62+O62&lt;Q5),W13,IF(Q5&lt;=15,"Single restroom okay for 15 or less (IPC 403.2(2))",W13))))</f>
        <v>Single restroom okay for 15 or less (IPC 403.2(2))</v>
      </c>
      <c r="G62" s="129" t="str">
        <f>IF(F62="Single restroom okay for 15 or less (IPC 403.2(2))","-",X13)</f>
        <v>-</v>
      </c>
      <c r="H62" s="129" t="s">
        <v>140</v>
      </c>
      <c r="I62" s="129">
        <f>Y13</f>
        <v>0</v>
      </c>
      <c r="J62" s="129" t="str">
        <f>IF(F62="Single restroom okay for 15 or less (IPC 403.2(2))","-",Z13)</f>
        <v>-</v>
      </c>
      <c r="K62" s="129" t="s">
        <v>82</v>
      </c>
      <c r="L62" s="129" t="str">
        <f>IF(F62="Single restroom okay for 15 or less (IPC 403.2(2))","15 or less Fountain exempt(IPC 410.2)",AA13)</f>
        <v>15 or less Fountain exempt(IPC 410.2)</v>
      </c>
      <c r="M62" s="114" t="str">
        <f>IF(F62="Single restroom okay for 15 or less (IPC 403.2(2))","15 or less Service sink exempt (IPC 403.1(e))","1 service sink")</f>
        <v>15 or less Service sink exempt (IPC 403.1(e))</v>
      </c>
      <c r="N62" s="96">
        <v>0</v>
      </c>
      <c r="O62" s="97">
        <f>N62</f>
        <v>0</v>
      </c>
    </row>
    <row r="63" spans="1:17" ht="14.45" customHeight="1" x14ac:dyDescent="0.25">
      <c r="A63" s="124"/>
      <c r="B63" s="125"/>
      <c r="C63" s="128"/>
      <c r="D63" s="111"/>
      <c r="E63" s="111"/>
      <c r="F63" s="112"/>
      <c r="G63" s="112"/>
      <c r="H63" s="112"/>
      <c r="I63" s="112"/>
      <c r="J63" s="112"/>
      <c r="K63" s="112"/>
      <c r="L63" s="112"/>
      <c r="M63" s="114"/>
      <c r="N63" s="96"/>
      <c r="O63" s="97"/>
    </row>
    <row r="64" spans="1:17" x14ac:dyDescent="0.25">
      <c r="A64" s="124"/>
      <c r="B64" s="125"/>
      <c r="C64" s="128"/>
      <c r="D64" s="111"/>
      <c r="E64" s="111"/>
      <c r="F64" s="112"/>
      <c r="G64" s="112"/>
      <c r="H64" s="112"/>
      <c r="I64" s="112"/>
      <c r="J64" s="112"/>
      <c r="K64" s="112"/>
      <c r="L64" s="112"/>
      <c r="M64" s="114"/>
      <c r="N64" s="96"/>
      <c r="O64" s="97"/>
    </row>
    <row r="65" spans="1:23" x14ac:dyDescent="0.25">
      <c r="A65" s="124"/>
      <c r="B65" s="125"/>
      <c r="C65" s="128"/>
      <c r="D65" s="111"/>
      <c r="E65" s="111"/>
      <c r="F65" s="112"/>
      <c r="G65" s="112"/>
      <c r="H65" s="112"/>
      <c r="I65" s="112"/>
      <c r="J65" s="112"/>
      <c r="K65" s="112"/>
      <c r="L65" s="112"/>
      <c r="M65" s="114"/>
      <c r="N65" s="96"/>
      <c r="O65" s="97"/>
      <c r="U65" s="1"/>
      <c r="V65" s="1"/>
      <c r="W65" s="1"/>
    </row>
    <row r="66" spans="1:23" x14ac:dyDescent="0.25">
      <c r="A66" s="124"/>
      <c r="B66" s="125"/>
      <c r="C66" s="128"/>
      <c r="D66" s="111"/>
      <c r="E66" s="111"/>
      <c r="F66" s="112"/>
      <c r="G66" s="112"/>
      <c r="H66" s="112"/>
      <c r="I66" s="112"/>
      <c r="J66" s="112"/>
      <c r="K66" s="112"/>
      <c r="L66" s="112"/>
      <c r="M66" s="114"/>
      <c r="N66" s="96"/>
      <c r="O66" s="97"/>
      <c r="U66" s="1"/>
      <c r="V66" s="1"/>
      <c r="W66" s="1"/>
    </row>
    <row r="67" spans="1:23" x14ac:dyDescent="0.25">
      <c r="A67" s="124"/>
      <c r="B67" s="125"/>
      <c r="C67" s="128"/>
      <c r="D67" s="111"/>
      <c r="E67" s="111"/>
      <c r="F67" s="112"/>
      <c r="G67" s="112"/>
      <c r="H67" s="112"/>
      <c r="I67" s="112"/>
      <c r="J67" s="112"/>
      <c r="K67" s="112"/>
      <c r="L67" s="112"/>
      <c r="M67" s="114"/>
      <c r="N67" s="96"/>
      <c r="O67" s="97"/>
    </row>
    <row r="68" spans="1:23" x14ac:dyDescent="0.25">
      <c r="A68" s="124"/>
      <c r="B68" s="125"/>
      <c r="C68" s="128"/>
      <c r="D68" s="111"/>
      <c r="E68" s="111"/>
      <c r="F68" s="112"/>
      <c r="G68" s="112"/>
      <c r="H68" s="112"/>
      <c r="I68" s="112"/>
      <c r="J68" s="112"/>
      <c r="K68" s="112"/>
      <c r="L68" s="112"/>
      <c r="M68" s="114"/>
      <c r="N68" s="96"/>
      <c r="O68" s="97"/>
    </row>
    <row r="69" spans="1:23" x14ac:dyDescent="0.25">
      <c r="A69" s="124"/>
      <c r="B69" s="125"/>
      <c r="C69" s="128"/>
      <c r="D69" s="111"/>
      <c r="E69" s="111"/>
      <c r="F69" s="112"/>
      <c r="G69" s="112"/>
      <c r="H69" s="112"/>
      <c r="I69" s="112"/>
      <c r="J69" s="112"/>
      <c r="K69" s="112"/>
      <c r="L69" s="112"/>
      <c r="M69" s="114"/>
      <c r="N69" s="96"/>
      <c r="O69" s="97"/>
    </row>
    <row r="70" spans="1:23" x14ac:dyDescent="0.25">
      <c r="A70" s="124"/>
      <c r="B70" s="125"/>
      <c r="C70" s="128"/>
      <c r="D70" s="111"/>
      <c r="E70" s="111"/>
      <c r="F70" s="112"/>
      <c r="G70" s="112"/>
      <c r="H70" s="112"/>
      <c r="I70" s="112"/>
      <c r="J70" s="112"/>
      <c r="K70" s="112"/>
      <c r="L70" s="112"/>
      <c r="M70" s="114"/>
      <c r="N70" s="96"/>
      <c r="O70" s="97"/>
      <c r="T70" s="2"/>
    </row>
    <row r="71" spans="1:23" x14ac:dyDescent="0.25">
      <c r="A71" s="124"/>
      <c r="B71" s="125"/>
      <c r="C71" s="128"/>
      <c r="D71" s="111"/>
      <c r="E71" s="111"/>
      <c r="F71" s="112"/>
      <c r="G71" s="112"/>
      <c r="H71" s="112"/>
      <c r="I71" s="112"/>
      <c r="J71" s="112"/>
      <c r="K71" s="112"/>
      <c r="L71" s="112"/>
      <c r="M71" s="114"/>
      <c r="N71" s="96"/>
      <c r="O71" s="97"/>
      <c r="S71" s="5"/>
    </row>
    <row r="72" spans="1:23" ht="15.75" thickBot="1" x14ac:dyDescent="0.3">
      <c r="A72" s="126"/>
      <c r="B72" s="127"/>
      <c r="C72" s="86"/>
      <c r="D72" s="89"/>
      <c r="E72" s="89"/>
      <c r="F72" s="92"/>
      <c r="G72" s="92"/>
      <c r="H72" s="92"/>
      <c r="I72" s="92"/>
      <c r="J72" s="92"/>
      <c r="K72" s="92"/>
      <c r="L72" s="92"/>
      <c r="M72" s="114"/>
      <c r="N72" s="96"/>
      <c r="O72" s="97"/>
      <c r="S72" s="5"/>
    </row>
    <row r="73" spans="1:23" ht="14.45" customHeight="1" x14ac:dyDescent="0.25">
      <c r="A73" s="122" t="s">
        <v>141</v>
      </c>
      <c r="B73" s="123"/>
      <c r="C73" s="128" t="s">
        <v>142</v>
      </c>
      <c r="D73" s="111" t="s">
        <v>143</v>
      </c>
      <c r="E73" s="111"/>
      <c r="F73" s="112" t="str">
        <f>IF(AND(OR(N73&gt;0,O73&gt;0),N73+O73&lt;=15),"Single restroom okay for 15 or less (IPC 403.2(2))",IF(AND(OR(N73&gt;0,O73&gt;0),N73+O73&gt;Q5),W14,IF(AND(OR(N73&gt;0,O73&gt;0),N73+O73&lt;Q5),W14,IF(Q5&lt;=15,"Single restroom okay for 15 or less (IPC 403.2(2))",W14))))</f>
        <v>Single restroom okay for 15 or less (IPC 403.2(2))</v>
      </c>
      <c r="G73" s="112" t="str">
        <f>IF(F73="Single restroom okay for 15 or less (IPC 403.2(2))","-",X14)</f>
        <v>-</v>
      </c>
      <c r="H73" s="112" t="s">
        <v>81</v>
      </c>
      <c r="I73" s="112">
        <f>Y14</f>
        <v>0</v>
      </c>
      <c r="J73" s="112" t="str">
        <f>IF(F73="Single restroom okay for 15 or less (IPC 403.2(2))","-",Z14)</f>
        <v>-</v>
      </c>
      <c r="K73" s="112" t="s">
        <v>82</v>
      </c>
      <c r="L73" s="112" t="str">
        <f>IF(F73="Single restroom okay for 15 or less (IPC 403.2(2))","15 or less Fountain exempt(IPC 410.2)",AA14)</f>
        <v>15 or less Fountain exempt(IPC 410.2)</v>
      </c>
      <c r="M73" s="121" t="s">
        <v>83</v>
      </c>
      <c r="N73" s="96">
        <v>0</v>
      </c>
      <c r="O73" s="97">
        <f>N73</f>
        <v>0</v>
      </c>
      <c r="S73" s="5"/>
    </row>
    <row r="74" spans="1:23" x14ac:dyDescent="0.25">
      <c r="A74" s="124"/>
      <c r="B74" s="125"/>
      <c r="C74" s="128"/>
      <c r="D74" s="111"/>
      <c r="E74" s="111"/>
      <c r="F74" s="112"/>
      <c r="G74" s="112"/>
      <c r="H74" s="112"/>
      <c r="I74" s="112"/>
      <c r="J74" s="112"/>
      <c r="K74" s="112"/>
      <c r="L74" s="112"/>
      <c r="M74" s="114"/>
      <c r="N74" s="96"/>
      <c r="O74" s="97"/>
      <c r="S74" s="5"/>
    </row>
    <row r="75" spans="1:23" x14ac:dyDescent="0.25">
      <c r="A75" s="124"/>
      <c r="B75" s="125"/>
      <c r="C75" s="128"/>
      <c r="D75" s="111"/>
      <c r="E75" s="111"/>
      <c r="F75" s="112"/>
      <c r="G75" s="112"/>
      <c r="H75" s="112"/>
      <c r="I75" s="112"/>
      <c r="J75" s="112"/>
      <c r="K75" s="112"/>
      <c r="L75" s="112"/>
      <c r="M75" s="114"/>
      <c r="N75" s="96"/>
      <c r="O75" s="97"/>
      <c r="S75" s="5"/>
    </row>
    <row r="76" spans="1:23" x14ac:dyDescent="0.25">
      <c r="A76" s="124"/>
      <c r="B76" s="125"/>
      <c r="C76" s="128"/>
      <c r="D76" s="111"/>
      <c r="E76" s="111"/>
      <c r="F76" s="112"/>
      <c r="G76" s="112"/>
      <c r="H76" s="112"/>
      <c r="I76" s="112"/>
      <c r="J76" s="112"/>
      <c r="K76" s="112"/>
      <c r="L76" s="112"/>
      <c r="M76" s="114"/>
      <c r="N76" s="96"/>
      <c r="O76" s="97"/>
      <c r="S76" s="5"/>
    </row>
    <row r="77" spans="1:23" x14ac:dyDescent="0.25">
      <c r="A77" s="124"/>
      <c r="B77" s="125"/>
      <c r="C77" s="128"/>
      <c r="D77" s="111"/>
      <c r="E77" s="111"/>
      <c r="F77" s="112"/>
      <c r="G77" s="112"/>
      <c r="H77" s="112"/>
      <c r="I77" s="112"/>
      <c r="J77" s="112"/>
      <c r="K77" s="112"/>
      <c r="L77" s="112"/>
      <c r="M77" s="114"/>
      <c r="N77" s="96"/>
      <c r="O77" s="97"/>
      <c r="S77" s="5"/>
    </row>
    <row r="78" spans="1:23" ht="14.45" customHeight="1" thickBot="1" x14ac:dyDescent="0.3">
      <c r="A78" s="126"/>
      <c r="B78" s="127"/>
      <c r="C78" s="128"/>
      <c r="D78" s="111"/>
      <c r="E78" s="111"/>
      <c r="F78" s="112"/>
      <c r="G78" s="112"/>
      <c r="H78" s="112"/>
      <c r="I78" s="112"/>
      <c r="J78" s="112"/>
      <c r="K78" s="112"/>
      <c r="L78" s="112"/>
      <c r="M78" s="114"/>
      <c r="N78" s="96"/>
      <c r="O78" s="97"/>
      <c r="S78" s="5"/>
    </row>
    <row r="79" spans="1:23" x14ac:dyDescent="0.25">
      <c r="A79" s="122" t="s">
        <v>144</v>
      </c>
      <c r="B79" s="123"/>
      <c r="C79" s="110" t="s">
        <v>145</v>
      </c>
      <c r="D79" s="111" t="s">
        <v>146</v>
      </c>
      <c r="E79" s="111"/>
      <c r="F79" s="112" t="str">
        <f>IF(AND(OR(N79&gt;0,O79&gt;0),N79+O79&lt;=15),"Single restroom okay for 15 or less (IPC 403.2(2))",IF(AND(OR(N79&gt;0,O79&gt;0),N79+O79&gt;Q5),W15,IF(AND(OR(N79&gt;0,O79&gt;0),N79+O79&lt;Q5),W15,IF(Q5&lt;=15,"Single restroom okay for 15 or less (IPC 403.2(2))",W15))))</f>
        <v>Single restroom okay for 15 or less (IPC 403.2(2))</v>
      </c>
      <c r="G79" s="112" t="str">
        <f>IF(F79="Single restroom okay for 15 or less (IPC 403.2(2))","-",X15)</f>
        <v>-</v>
      </c>
      <c r="H79" s="112" t="s">
        <v>140</v>
      </c>
      <c r="I79" s="112">
        <f>Y15</f>
        <v>0</v>
      </c>
      <c r="J79" s="112" t="str">
        <f>IF(F79="Single restroom okay for 15 or less (IPC 403.2(2))","-",Z15)</f>
        <v>-</v>
      </c>
      <c r="K79" s="112" t="str">
        <f>AB15</f>
        <v>See section 411 if eyewash stations are provided</v>
      </c>
      <c r="L79" s="112" t="str">
        <f>IF(F79="Single restroom okay for 15 or less (IPC 403.2(2))","15 or less Fountain exempt(IPC 410.2)",AA15)</f>
        <v>15 or less Fountain exempt(IPC 410.2)</v>
      </c>
      <c r="M79" s="114" t="s">
        <v>83</v>
      </c>
      <c r="N79" s="96">
        <v>0</v>
      </c>
      <c r="O79" s="97">
        <f>N79</f>
        <v>0</v>
      </c>
      <c r="S79" s="5"/>
    </row>
    <row r="80" spans="1:23" x14ac:dyDescent="0.25">
      <c r="A80" s="124"/>
      <c r="B80" s="125"/>
      <c r="C80" s="110"/>
      <c r="D80" s="111"/>
      <c r="E80" s="111"/>
      <c r="F80" s="112"/>
      <c r="G80" s="112"/>
      <c r="H80" s="112"/>
      <c r="I80" s="112"/>
      <c r="J80" s="112"/>
      <c r="K80" s="112"/>
      <c r="L80" s="112"/>
      <c r="M80" s="114"/>
      <c r="N80" s="96"/>
      <c r="O80" s="97"/>
      <c r="S80" s="5"/>
    </row>
    <row r="81" spans="1:19" x14ac:dyDescent="0.25">
      <c r="A81" s="124"/>
      <c r="B81" s="125"/>
      <c r="C81" s="110"/>
      <c r="D81" s="111"/>
      <c r="E81" s="111"/>
      <c r="F81" s="112"/>
      <c r="G81" s="112"/>
      <c r="H81" s="112"/>
      <c r="I81" s="112"/>
      <c r="J81" s="112"/>
      <c r="K81" s="112"/>
      <c r="L81" s="112"/>
      <c r="M81" s="114"/>
      <c r="N81" s="96"/>
      <c r="O81" s="97"/>
      <c r="Q81" s="13"/>
      <c r="R81" s="13"/>
      <c r="S81" s="5"/>
    </row>
    <row r="82" spans="1:19" x14ac:dyDescent="0.25">
      <c r="A82" s="124"/>
      <c r="B82" s="125"/>
      <c r="C82" s="110"/>
      <c r="D82" s="111"/>
      <c r="E82" s="111"/>
      <c r="F82" s="112"/>
      <c r="G82" s="112"/>
      <c r="H82" s="112"/>
      <c r="I82" s="112"/>
      <c r="J82" s="112"/>
      <c r="K82" s="112"/>
      <c r="L82" s="112"/>
      <c r="M82" s="114"/>
      <c r="N82" s="96"/>
      <c r="O82" s="97"/>
      <c r="S82" s="5"/>
    </row>
    <row r="83" spans="1:19" x14ac:dyDescent="0.25">
      <c r="A83" s="124"/>
      <c r="B83" s="125"/>
      <c r="C83" s="110"/>
      <c r="D83" s="111"/>
      <c r="E83" s="111"/>
      <c r="F83" s="112"/>
      <c r="G83" s="112"/>
      <c r="H83" s="112"/>
      <c r="I83" s="112"/>
      <c r="J83" s="112"/>
      <c r="K83" s="112"/>
      <c r="L83" s="112"/>
      <c r="M83" s="114"/>
      <c r="N83" s="96"/>
      <c r="O83" s="97"/>
      <c r="S83" s="5"/>
    </row>
    <row r="84" spans="1:19" x14ac:dyDescent="0.25">
      <c r="A84" s="124"/>
      <c r="B84" s="125"/>
      <c r="C84" s="110"/>
      <c r="D84" s="111"/>
      <c r="E84" s="111"/>
      <c r="F84" s="112"/>
      <c r="G84" s="112"/>
      <c r="H84" s="112"/>
      <c r="I84" s="112"/>
      <c r="J84" s="112"/>
      <c r="K84" s="112"/>
      <c r="L84" s="112"/>
      <c r="M84" s="114"/>
      <c r="N84" s="96"/>
      <c r="O84" s="97"/>
      <c r="S84" s="5"/>
    </row>
    <row r="85" spans="1:19" ht="14.45" customHeight="1" thickBot="1" x14ac:dyDescent="0.3">
      <c r="A85" s="126"/>
      <c r="B85" s="127"/>
      <c r="C85" s="110"/>
      <c r="D85" s="111"/>
      <c r="E85" s="111"/>
      <c r="F85" s="112"/>
      <c r="G85" s="112"/>
      <c r="H85" s="112"/>
      <c r="I85" s="112"/>
      <c r="J85" s="112"/>
      <c r="K85" s="112"/>
      <c r="L85" s="112"/>
      <c r="M85" s="114"/>
      <c r="N85" s="96"/>
      <c r="O85" s="97"/>
      <c r="S85" s="5"/>
    </row>
    <row r="86" spans="1:19" x14ac:dyDescent="0.25">
      <c r="A86" s="122" t="s">
        <v>147</v>
      </c>
      <c r="B86" s="123"/>
      <c r="C86" s="110" t="s">
        <v>148</v>
      </c>
      <c r="D86" s="111" t="s">
        <v>149</v>
      </c>
      <c r="E86" s="111"/>
      <c r="F86" s="112" t="str">
        <f>IF(AND(OR(N86&gt;0,O86&gt;0),N86+O86&lt;=15),"Single restroom okay for 15 or less (IPC 403.2(2))",IF(AND(OR(N86&gt;0,O86&gt;0),N86+O86&gt;Q5),W16,IF(AND(OR(N86&gt;0,O86&gt;0),N86+O86&lt;Q5),W16,IF(Q5&lt;=15,"Single restroom okay for 15 or less (IPC 403.2(2))",W16))))</f>
        <v>Single restroom okay for 15 or less (IPC 403.2(2))</v>
      </c>
      <c r="G86" s="112" t="str">
        <f>IF(F86="Single restroom okay for 15 or less (IPC 403.2(2))","-",X16)</f>
        <v>-</v>
      </c>
      <c r="H86" s="112" t="s">
        <v>140</v>
      </c>
      <c r="I86" s="112">
        <f>Y16</f>
        <v>0</v>
      </c>
      <c r="J86" s="112" t="str">
        <f>IF(F86="Single restroom okay for 15 or less (IPC 403.2(2))","-",Z16)</f>
        <v>-</v>
      </c>
      <c r="K86" s="112">
        <f>AB16</f>
        <v>0</v>
      </c>
      <c r="L86" s="112" t="str">
        <f>IF(F86="Single restroom okay for 15 or less (IPC 403.2(2))","15 or less Fountain exempt(IPC 410.2)",AA16)</f>
        <v>15 or less Fountain exempt(IPC 410.2)</v>
      </c>
      <c r="M86" s="121" t="s">
        <v>83</v>
      </c>
      <c r="N86" s="96">
        <v>0</v>
      </c>
      <c r="O86" s="97">
        <f>N86</f>
        <v>0</v>
      </c>
      <c r="S86" s="5"/>
    </row>
    <row r="87" spans="1:19" x14ac:dyDescent="0.25">
      <c r="A87" s="124"/>
      <c r="B87" s="125"/>
      <c r="C87" s="110"/>
      <c r="D87" s="111"/>
      <c r="E87" s="111"/>
      <c r="F87" s="112"/>
      <c r="G87" s="112"/>
      <c r="H87" s="112"/>
      <c r="I87" s="112"/>
      <c r="J87" s="112"/>
      <c r="K87" s="112"/>
      <c r="L87" s="112"/>
      <c r="M87" s="114"/>
      <c r="N87" s="96"/>
      <c r="O87" s="97"/>
      <c r="S87" s="5"/>
    </row>
    <row r="88" spans="1:19" x14ac:dyDescent="0.25">
      <c r="A88" s="124"/>
      <c r="B88" s="125"/>
      <c r="C88" s="110"/>
      <c r="D88" s="111"/>
      <c r="E88" s="111"/>
      <c r="F88" s="112"/>
      <c r="G88" s="112"/>
      <c r="H88" s="112"/>
      <c r="I88" s="112"/>
      <c r="J88" s="112"/>
      <c r="K88" s="112"/>
      <c r="L88" s="112"/>
      <c r="M88" s="114"/>
      <c r="N88" s="96"/>
      <c r="O88" s="97"/>
      <c r="S88" s="5"/>
    </row>
    <row r="89" spans="1:19" x14ac:dyDescent="0.25">
      <c r="A89" s="124"/>
      <c r="B89" s="125"/>
      <c r="C89" s="110"/>
      <c r="D89" s="111"/>
      <c r="E89" s="111"/>
      <c r="F89" s="112"/>
      <c r="G89" s="112"/>
      <c r="H89" s="112"/>
      <c r="I89" s="112"/>
      <c r="J89" s="112"/>
      <c r="K89" s="112"/>
      <c r="L89" s="112"/>
      <c r="M89" s="114"/>
      <c r="N89" s="96"/>
      <c r="O89" s="97"/>
      <c r="P89" s="7"/>
      <c r="S89" s="5"/>
    </row>
    <row r="90" spans="1:19" x14ac:dyDescent="0.25">
      <c r="A90" s="124"/>
      <c r="B90" s="125"/>
      <c r="C90" s="110"/>
      <c r="D90" s="111"/>
      <c r="E90" s="111"/>
      <c r="F90" s="112"/>
      <c r="G90" s="112"/>
      <c r="H90" s="112"/>
      <c r="I90" s="112"/>
      <c r="J90" s="112"/>
      <c r="K90" s="112"/>
      <c r="L90" s="112"/>
      <c r="M90" s="114"/>
      <c r="N90" s="96"/>
      <c r="O90" s="97"/>
      <c r="P90" s="7"/>
      <c r="S90" s="5"/>
    </row>
    <row r="91" spans="1:19" ht="14.45" customHeight="1" x14ac:dyDescent="0.25">
      <c r="A91" s="124"/>
      <c r="B91" s="125"/>
      <c r="C91" s="110"/>
      <c r="D91" s="111"/>
      <c r="E91" s="111"/>
      <c r="F91" s="112"/>
      <c r="G91" s="112"/>
      <c r="H91" s="112"/>
      <c r="I91" s="112"/>
      <c r="J91" s="112"/>
      <c r="K91" s="112"/>
      <c r="L91" s="112"/>
      <c r="M91" s="114"/>
      <c r="N91" s="96"/>
      <c r="O91" s="97"/>
      <c r="S91" s="5"/>
    </row>
    <row r="92" spans="1:19" x14ac:dyDescent="0.25">
      <c r="A92" s="124"/>
      <c r="B92" s="125"/>
      <c r="C92" s="110" t="s">
        <v>150</v>
      </c>
      <c r="D92" s="111" t="s">
        <v>151</v>
      </c>
      <c r="E92" s="111"/>
      <c r="F92" s="113" t="s">
        <v>152</v>
      </c>
      <c r="G92" s="113"/>
      <c r="H92" s="113" t="s">
        <v>82</v>
      </c>
      <c r="I92" s="113" t="s">
        <v>152</v>
      </c>
      <c r="J92" s="113"/>
      <c r="K92" s="112">
        <f>IF(OR(N92&gt;0,O92&gt;0),ROUNDUP((N92+O92)/15,0),ROUNDUP(Q5/15,0))</f>
        <v>0</v>
      </c>
      <c r="L92" s="112">
        <f>IF(OR(N92&gt;0,O92&gt;0),ROUNDUP((N92+O92)/100,0),ROUNDUP(Q5/100,0))</f>
        <v>0</v>
      </c>
      <c r="M92" s="107" t="s">
        <v>83</v>
      </c>
      <c r="N92" s="96">
        <v>0</v>
      </c>
      <c r="O92" s="97">
        <f>N92</f>
        <v>0</v>
      </c>
      <c r="S92" s="5"/>
    </row>
    <row r="93" spans="1:19" x14ac:dyDescent="0.25">
      <c r="A93" s="124"/>
      <c r="B93" s="125"/>
      <c r="C93" s="110"/>
      <c r="D93" s="111"/>
      <c r="E93" s="111"/>
      <c r="F93" s="113"/>
      <c r="G93" s="113"/>
      <c r="H93" s="113"/>
      <c r="I93" s="113"/>
      <c r="J93" s="113"/>
      <c r="K93" s="112"/>
      <c r="L93" s="112"/>
      <c r="M93" s="108"/>
      <c r="N93" s="96"/>
      <c r="O93" s="97"/>
      <c r="S93" s="5"/>
    </row>
    <row r="94" spans="1:19" x14ac:dyDescent="0.25">
      <c r="A94" s="124"/>
      <c r="B94" s="125"/>
      <c r="C94" s="110"/>
      <c r="D94" s="111"/>
      <c r="E94" s="111"/>
      <c r="F94" s="113"/>
      <c r="G94" s="113"/>
      <c r="H94" s="113"/>
      <c r="I94" s="113"/>
      <c r="J94" s="113"/>
      <c r="K94" s="112"/>
      <c r="L94" s="112"/>
      <c r="M94" s="108"/>
      <c r="N94" s="96"/>
      <c r="O94" s="97"/>
      <c r="S94" s="5"/>
    </row>
    <row r="95" spans="1:19" x14ac:dyDescent="0.25">
      <c r="A95" s="124"/>
      <c r="B95" s="125"/>
      <c r="C95" s="110"/>
      <c r="D95" s="111"/>
      <c r="E95" s="111"/>
      <c r="F95" s="113"/>
      <c r="G95" s="113"/>
      <c r="H95" s="113"/>
      <c r="I95" s="113"/>
      <c r="J95" s="113"/>
      <c r="K95" s="112"/>
      <c r="L95" s="112"/>
      <c r="M95" s="109"/>
      <c r="N95" s="96"/>
      <c r="O95" s="97"/>
      <c r="S95" s="5"/>
    </row>
    <row r="96" spans="1:19" ht="14.45" customHeight="1" x14ac:dyDescent="0.25">
      <c r="A96" s="124"/>
      <c r="B96" s="125"/>
      <c r="C96" s="110"/>
      <c r="D96" s="111" t="s">
        <v>153</v>
      </c>
      <c r="E96" s="111"/>
      <c r="F96" s="112" t="str">
        <f>IF(AND(OR(N96&gt;0,O96&gt;0),N96+O96&lt;=15),"Single restroom okay for 15 or less (IPC 403.2(2))",IF(AND(OR(N96&gt;0,O96&gt;0),N96+O96&gt;Q5),W17,IF(AND(OR(N96&gt;0,O96&gt;0),N96+O96&lt;Q5),W17,IF(Q5&lt;=15,"Single restroom okay for 15 or less (IPC 403.2(2))",W17))))</f>
        <v>Single restroom okay for 15 or less (IPC 403.2(2))</v>
      </c>
      <c r="G96" s="112" t="str">
        <f>IF(F96="Single restroom okay for 15 or less (IPC 403.2(2))","-",X17)</f>
        <v>-</v>
      </c>
      <c r="H96" s="112" t="s">
        <v>82</v>
      </c>
      <c r="I96" s="112">
        <f>Y17</f>
        <v>0</v>
      </c>
      <c r="J96" s="112" t="str">
        <f>IF(F96="Single restroom okay for 15 or less (IPC 403.2(2))","-",Z17)</f>
        <v>-</v>
      </c>
      <c r="K96" s="112" t="s">
        <v>82</v>
      </c>
      <c r="L96" s="112" t="str">
        <f>IF(AND(OR(N96&gt;0,O96&gt;0),N96+O96&lt;=15),"15 or less Fountain exempt(IPC 410.2)",IF(Q5&lt;=15,"15 or less Fountain exempt(IPC 410.2)",AA17))</f>
        <v>15 or less Fountain exempt(IPC 410.2)</v>
      </c>
      <c r="M96" s="114" t="s">
        <v>82</v>
      </c>
      <c r="N96" s="96">
        <v>0</v>
      </c>
      <c r="O96" s="97">
        <f>N96</f>
        <v>0</v>
      </c>
    </row>
    <row r="97" spans="1:15" ht="14.45" customHeight="1" x14ac:dyDescent="0.25">
      <c r="A97" s="124"/>
      <c r="B97" s="125"/>
      <c r="C97" s="110"/>
      <c r="D97" s="111"/>
      <c r="E97" s="111"/>
      <c r="F97" s="112"/>
      <c r="G97" s="112"/>
      <c r="H97" s="112"/>
      <c r="I97" s="112"/>
      <c r="J97" s="112"/>
      <c r="K97" s="112"/>
      <c r="L97" s="112"/>
      <c r="M97" s="114"/>
      <c r="N97" s="96"/>
      <c r="O97" s="97"/>
    </row>
    <row r="98" spans="1:15" ht="14.45" customHeight="1" x14ac:dyDescent="0.25">
      <c r="A98" s="124"/>
      <c r="B98" s="125"/>
      <c r="C98" s="110"/>
      <c r="D98" s="111"/>
      <c r="E98" s="111"/>
      <c r="F98" s="112"/>
      <c r="G98" s="112"/>
      <c r="H98" s="112"/>
      <c r="I98" s="112"/>
      <c r="J98" s="112"/>
      <c r="K98" s="112"/>
      <c r="L98" s="112"/>
      <c r="M98" s="114"/>
      <c r="N98" s="96"/>
      <c r="O98" s="97"/>
    </row>
    <row r="99" spans="1:15" ht="14.45" customHeight="1" x14ac:dyDescent="0.25">
      <c r="A99" s="124"/>
      <c r="B99" s="125"/>
      <c r="C99" s="110"/>
      <c r="D99" s="111"/>
      <c r="E99" s="111"/>
      <c r="F99" s="112"/>
      <c r="G99" s="112"/>
      <c r="H99" s="112"/>
      <c r="I99" s="112"/>
      <c r="J99" s="112"/>
      <c r="K99" s="112"/>
      <c r="L99" s="112"/>
      <c r="M99" s="114"/>
      <c r="N99" s="96"/>
      <c r="O99" s="97"/>
    </row>
    <row r="100" spans="1:15" x14ac:dyDescent="0.25">
      <c r="A100" s="124"/>
      <c r="B100" s="125"/>
      <c r="C100" s="110"/>
      <c r="D100" s="111"/>
      <c r="E100" s="111"/>
      <c r="F100" s="112"/>
      <c r="G100" s="112"/>
      <c r="H100" s="112"/>
      <c r="I100" s="112"/>
      <c r="J100" s="112"/>
      <c r="K100" s="112"/>
      <c r="L100" s="112"/>
      <c r="M100" s="114"/>
      <c r="N100" s="96"/>
      <c r="O100" s="97"/>
    </row>
    <row r="101" spans="1:15" x14ac:dyDescent="0.25">
      <c r="A101" s="124"/>
      <c r="B101" s="125"/>
      <c r="C101" s="110"/>
      <c r="D101" s="111"/>
      <c r="E101" s="111"/>
      <c r="F101" s="112"/>
      <c r="G101" s="112"/>
      <c r="H101" s="112"/>
      <c r="I101" s="112"/>
      <c r="J101" s="112"/>
      <c r="K101" s="112"/>
      <c r="L101" s="112"/>
      <c r="M101" s="114"/>
      <c r="N101" s="96"/>
      <c r="O101" s="97"/>
    </row>
    <row r="102" spans="1:15" x14ac:dyDescent="0.25">
      <c r="A102" s="124"/>
      <c r="B102" s="125"/>
      <c r="C102" s="110"/>
      <c r="D102" s="111" t="s">
        <v>154</v>
      </c>
      <c r="E102" s="111"/>
      <c r="F102" s="112" t="str">
        <f>IF(AND(OR(N102&gt;0,O102&gt;0),N102+O102&lt;=15),"Single restroom okay for 15 or less (IPC 403.2(2))",IF(AND(OR(N102&gt;0,O102&gt;0),N102+O102&gt;Q5),W18,IF(AND(OR(N102&gt;0,O102&gt;0),N102+O102&lt;Q5),W18,IF(Q5&lt;=15,"Single restroom okay for 15 or less (IPC 403.2(2))",W18))))</f>
        <v>Single restroom okay for 15 or less (IPC 403.2(2))</v>
      </c>
      <c r="G102" s="112" t="str">
        <f>IF(F102="Single restroom okay for 15 or less (IPC 403.2(2))","-",X18)</f>
        <v>-</v>
      </c>
      <c r="H102" s="112" t="s">
        <v>82</v>
      </c>
      <c r="I102" s="112">
        <f>Y18</f>
        <v>0</v>
      </c>
      <c r="J102" s="112" t="str">
        <f>IF(F102="Single restroom okay for 15 or less (IPC 403.2(2))","-",Z18)</f>
        <v>-</v>
      </c>
      <c r="K102" s="112" t="s">
        <v>82</v>
      </c>
      <c r="L102" s="112" t="str">
        <f>IF(AND(OR(N102&gt;0,O102&gt;0),N102+O102&lt;=15),"15 or less Fountain exempt(IPC 410.2)",IF(Q5&lt;=15,"15 or less Fountain exempt(IPC 410.2)",AA18))</f>
        <v>15 or less Fountain exempt(IPC 410.2)</v>
      </c>
      <c r="M102" s="114" t="s">
        <v>82</v>
      </c>
      <c r="N102" s="96">
        <v>0</v>
      </c>
      <c r="O102" s="97">
        <f>N102</f>
        <v>0</v>
      </c>
    </row>
    <row r="103" spans="1:15" x14ac:dyDescent="0.25">
      <c r="A103" s="124"/>
      <c r="B103" s="125"/>
      <c r="C103" s="110"/>
      <c r="D103" s="111"/>
      <c r="E103" s="111"/>
      <c r="F103" s="112"/>
      <c r="G103" s="112"/>
      <c r="H103" s="112"/>
      <c r="I103" s="112"/>
      <c r="J103" s="112"/>
      <c r="K103" s="112"/>
      <c r="L103" s="112"/>
      <c r="M103" s="114"/>
      <c r="N103" s="96"/>
      <c r="O103" s="97"/>
    </row>
    <row r="104" spans="1:15" x14ac:dyDescent="0.25">
      <c r="A104" s="124"/>
      <c r="B104" s="125"/>
      <c r="C104" s="110"/>
      <c r="D104" s="111"/>
      <c r="E104" s="111"/>
      <c r="F104" s="112"/>
      <c r="G104" s="112"/>
      <c r="H104" s="112"/>
      <c r="I104" s="112"/>
      <c r="J104" s="112"/>
      <c r="K104" s="112"/>
      <c r="L104" s="112"/>
      <c r="M104" s="114"/>
      <c r="N104" s="96"/>
      <c r="O104" s="97"/>
    </row>
    <row r="105" spans="1:15" x14ac:dyDescent="0.25">
      <c r="A105" s="124"/>
      <c r="B105" s="125"/>
      <c r="C105" s="110"/>
      <c r="D105" s="111"/>
      <c r="E105" s="111"/>
      <c r="F105" s="112"/>
      <c r="G105" s="112"/>
      <c r="H105" s="112"/>
      <c r="I105" s="112"/>
      <c r="J105" s="112"/>
      <c r="K105" s="112"/>
      <c r="L105" s="112"/>
      <c r="M105" s="114"/>
      <c r="N105" s="96"/>
      <c r="O105" s="97"/>
    </row>
    <row r="106" spans="1:15" x14ac:dyDescent="0.25">
      <c r="A106" s="124"/>
      <c r="B106" s="125"/>
      <c r="C106" s="110"/>
      <c r="D106" s="111"/>
      <c r="E106" s="111"/>
      <c r="F106" s="112"/>
      <c r="G106" s="112"/>
      <c r="H106" s="112"/>
      <c r="I106" s="112"/>
      <c r="J106" s="112"/>
      <c r="K106" s="112"/>
      <c r="L106" s="112"/>
      <c r="M106" s="114"/>
      <c r="N106" s="96"/>
      <c r="O106" s="97"/>
    </row>
    <row r="107" spans="1:15" x14ac:dyDescent="0.25">
      <c r="A107" s="124"/>
      <c r="B107" s="125"/>
      <c r="C107" s="110"/>
      <c r="D107" s="111"/>
      <c r="E107" s="111"/>
      <c r="F107" s="112"/>
      <c r="G107" s="112"/>
      <c r="H107" s="112"/>
      <c r="I107" s="112"/>
      <c r="J107" s="112"/>
      <c r="K107" s="112"/>
      <c r="L107" s="112"/>
      <c r="M107" s="114"/>
      <c r="N107" s="96"/>
      <c r="O107" s="97"/>
    </row>
    <row r="108" spans="1:15" x14ac:dyDescent="0.25">
      <c r="A108" s="124"/>
      <c r="B108" s="125"/>
      <c r="C108" s="110" t="s">
        <v>155</v>
      </c>
      <c r="D108" s="111" t="s">
        <v>156</v>
      </c>
      <c r="E108" s="111"/>
      <c r="F108" s="113" t="s">
        <v>157</v>
      </c>
      <c r="G108" s="113"/>
      <c r="H108" s="113" t="s">
        <v>82</v>
      </c>
      <c r="I108" s="113" t="s">
        <v>157</v>
      </c>
      <c r="J108" s="113"/>
      <c r="K108" s="112" t="s">
        <v>158</v>
      </c>
      <c r="L108" s="112" t="str">
        <f>"1 per 100"</f>
        <v>1 per 100</v>
      </c>
      <c r="M108" s="107" t="s">
        <v>83</v>
      </c>
      <c r="N108" s="96">
        <v>0</v>
      </c>
      <c r="O108" s="97">
        <f>N108</f>
        <v>0</v>
      </c>
    </row>
    <row r="109" spans="1:15" x14ac:dyDescent="0.25">
      <c r="A109" s="124"/>
      <c r="B109" s="125"/>
      <c r="C109" s="110"/>
      <c r="D109" s="111"/>
      <c r="E109" s="111"/>
      <c r="F109" s="113"/>
      <c r="G109" s="113"/>
      <c r="H109" s="113"/>
      <c r="I109" s="113"/>
      <c r="J109" s="113"/>
      <c r="K109" s="112"/>
      <c r="L109" s="112"/>
      <c r="M109" s="108"/>
      <c r="N109" s="96"/>
      <c r="O109" s="97"/>
    </row>
    <row r="110" spans="1:15" ht="14.45" customHeight="1" x14ac:dyDescent="0.25">
      <c r="A110" s="124"/>
      <c r="B110" s="125"/>
      <c r="C110" s="110"/>
      <c r="D110" s="111"/>
      <c r="E110" s="111"/>
      <c r="F110" s="113"/>
      <c r="G110" s="113"/>
      <c r="H110" s="113"/>
      <c r="I110" s="113"/>
      <c r="J110" s="113"/>
      <c r="K110" s="112"/>
      <c r="L110" s="112"/>
      <c r="M110" s="109"/>
      <c r="N110" s="96"/>
      <c r="O110" s="97"/>
    </row>
    <row r="111" spans="1:15" x14ac:dyDescent="0.25">
      <c r="A111" s="124"/>
      <c r="B111" s="125"/>
      <c r="C111" s="110"/>
      <c r="D111" s="111" t="s">
        <v>159</v>
      </c>
      <c r="E111" s="111"/>
      <c r="F111" s="112" t="str">
        <f>IF(AND(OR(N111&gt;0,O111&gt;0),N111+O111&lt;=15),"Single restroom okay for 15 or less (IPC 403.2(2))",IF(AND(OR(N111&gt;0,O111&gt;0),N111+O111&gt;Q5),W19,IF(AND(OR(N111&gt;0,O111&gt;0),N111+O111&lt;Q5),W19,IF(Q5&lt;=15,"Single restroom okay for 15 or less (IPC 403.2(2))",W19))))</f>
        <v>Single restroom okay for 15 or less (IPC 403.2(2))</v>
      </c>
      <c r="G111" s="112" t="str">
        <f>IF(F111="Single restroom okay for 15 or less (IPC 403.2(2))","-",X19)</f>
        <v>-</v>
      </c>
      <c r="H111" s="112" t="s">
        <v>82</v>
      </c>
      <c r="I111" s="112">
        <f>Y19</f>
        <v>0</v>
      </c>
      <c r="J111" s="112" t="str">
        <f>IF(F111="Single restroom okay for 15 or less (IPC 403.2(2))","-",Z19)</f>
        <v>-</v>
      </c>
      <c r="K111" s="112">
        <f>AB19</f>
        <v>0</v>
      </c>
      <c r="L111" s="112" t="str">
        <f>IF(F111="Single restroom okay for 15 or less (IPC 403.2(2))","15 or less Fountain exempt(IPC 410.2)",AA19)</f>
        <v>15 or less Fountain exempt(IPC 410.2)</v>
      </c>
      <c r="M111" s="114" t="s">
        <v>83</v>
      </c>
      <c r="N111" s="96">
        <v>0</v>
      </c>
      <c r="O111" s="97">
        <f>N111</f>
        <v>0</v>
      </c>
    </row>
    <row r="112" spans="1:15" x14ac:dyDescent="0.25">
      <c r="A112" s="124"/>
      <c r="B112" s="125"/>
      <c r="C112" s="110"/>
      <c r="D112" s="111"/>
      <c r="E112" s="111"/>
      <c r="F112" s="112"/>
      <c r="G112" s="112"/>
      <c r="H112" s="112"/>
      <c r="I112" s="112"/>
      <c r="J112" s="112"/>
      <c r="K112" s="112"/>
      <c r="L112" s="112"/>
      <c r="M112" s="114"/>
      <c r="N112" s="96"/>
      <c r="O112" s="97"/>
    </row>
    <row r="113" spans="1:15" x14ac:dyDescent="0.25">
      <c r="A113" s="124"/>
      <c r="B113" s="125"/>
      <c r="C113" s="110"/>
      <c r="D113" s="111"/>
      <c r="E113" s="111"/>
      <c r="F113" s="112"/>
      <c r="G113" s="112"/>
      <c r="H113" s="112"/>
      <c r="I113" s="112"/>
      <c r="J113" s="112"/>
      <c r="K113" s="112"/>
      <c r="L113" s="112"/>
      <c r="M113" s="114"/>
      <c r="N113" s="96"/>
      <c r="O113" s="97"/>
    </row>
    <row r="114" spans="1:15" x14ac:dyDescent="0.25">
      <c r="A114" s="124"/>
      <c r="B114" s="125"/>
      <c r="C114" s="110"/>
      <c r="D114" s="111"/>
      <c r="E114" s="111"/>
      <c r="F114" s="112"/>
      <c r="G114" s="112"/>
      <c r="H114" s="112"/>
      <c r="I114" s="112"/>
      <c r="J114" s="112"/>
      <c r="K114" s="112"/>
      <c r="L114" s="112"/>
      <c r="M114" s="114"/>
      <c r="N114" s="96"/>
      <c r="O114" s="97"/>
    </row>
    <row r="115" spans="1:15" x14ac:dyDescent="0.25">
      <c r="A115" s="124"/>
      <c r="B115" s="125"/>
      <c r="C115" s="110"/>
      <c r="D115" s="111"/>
      <c r="E115" s="111"/>
      <c r="F115" s="112"/>
      <c r="G115" s="112"/>
      <c r="H115" s="112"/>
      <c r="I115" s="112"/>
      <c r="J115" s="112"/>
      <c r="K115" s="112"/>
      <c r="L115" s="112"/>
      <c r="M115" s="114"/>
      <c r="N115" s="96"/>
      <c r="O115" s="97"/>
    </row>
    <row r="116" spans="1:15" x14ac:dyDescent="0.25">
      <c r="A116" s="124"/>
      <c r="B116" s="125"/>
      <c r="C116" s="110"/>
      <c r="D116" s="111"/>
      <c r="E116" s="111"/>
      <c r="F116" s="112"/>
      <c r="G116" s="112"/>
      <c r="H116" s="112"/>
      <c r="I116" s="112"/>
      <c r="J116" s="112"/>
      <c r="K116" s="112"/>
      <c r="L116" s="112"/>
      <c r="M116" s="114"/>
      <c r="N116" s="96"/>
      <c r="O116" s="97"/>
    </row>
    <row r="117" spans="1:15" ht="14.45" customHeight="1" x14ac:dyDescent="0.25">
      <c r="A117" s="124"/>
      <c r="B117" s="125"/>
      <c r="C117" s="110"/>
      <c r="D117" s="111" t="s">
        <v>160</v>
      </c>
      <c r="E117" s="111"/>
      <c r="F117" s="112" t="str">
        <f>IF(AND(OR(N117&gt;0,O117&gt;0),N117+O117&lt;=15),"Single restroom okay for 15 or less (IPC 403.2(2))",IF(AND(OR(N117&gt;0,O117&gt;0),N117+O117&gt;Q5),W20,IF(AND(OR(N117&gt;0,O117&gt;0),N117+O117&lt;Q5),W20,IF(Q5&lt;=15,"Single restroom okay for 15 or less (IPC 403.2(2))",W20))))</f>
        <v>Single restroom okay for 15 or less (IPC 403.2(2))</v>
      </c>
      <c r="G117" s="112" t="str">
        <f>IF(F117="Single restroom okay for 15 or less (IPC 403.2(2))","-",X20)</f>
        <v>-</v>
      </c>
      <c r="H117" s="112" t="s">
        <v>82</v>
      </c>
      <c r="I117" s="112">
        <f>Y20</f>
        <v>0</v>
      </c>
      <c r="J117" s="112" t="str">
        <f>IF(F117="Single restroom okay for 15 or less (IPC 403.2(2))","-",Z20)</f>
        <v>-</v>
      </c>
      <c r="K117" s="112" t="s">
        <v>82</v>
      </c>
      <c r="L117" s="112" t="str">
        <f>IF(F117="Single restroom okay for 15 or less (IPC 403.2(2))","15 or less Fountain exempt(IPC 410.2)",AA20)</f>
        <v>15 or less Fountain exempt(IPC 410.2)</v>
      </c>
      <c r="M117" s="114" t="s">
        <v>82</v>
      </c>
      <c r="N117" s="96">
        <v>0</v>
      </c>
      <c r="O117" s="97">
        <f>N117</f>
        <v>0</v>
      </c>
    </row>
    <row r="118" spans="1:15" ht="14.45" customHeight="1" x14ac:dyDescent="0.25">
      <c r="A118" s="124"/>
      <c r="B118" s="125"/>
      <c r="C118" s="110"/>
      <c r="D118" s="111"/>
      <c r="E118" s="111"/>
      <c r="F118" s="112"/>
      <c r="G118" s="112"/>
      <c r="H118" s="112"/>
      <c r="I118" s="112"/>
      <c r="J118" s="112"/>
      <c r="K118" s="112"/>
      <c r="L118" s="112"/>
      <c r="M118" s="114"/>
      <c r="N118" s="96"/>
      <c r="O118" s="97"/>
    </row>
    <row r="119" spans="1:15" ht="14.45" customHeight="1" x14ac:dyDescent="0.25">
      <c r="A119" s="124"/>
      <c r="B119" s="125"/>
      <c r="C119" s="110"/>
      <c r="D119" s="111"/>
      <c r="E119" s="111"/>
      <c r="F119" s="112"/>
      <c r="G119" s="112"/>
      <c r="H119" s="112"/>
      <c r="I119" s="112"/>
      <c r="J119" s="112"/>
      <c r="K119" s="112"/>
      <c r="L119" s="112"/>
      <c r="M119" s="114"/>
      <c r="N119" s="96"/>
      <c r="O119" s="97"/>
    </row>
    <row r="120" spans="1:15" ht="14.45" customHeight="1" x14ac:dyDescent="0.25">
      <c r="A120" s="124"/>
      <c r="B120" s="125"/>
      <c r="C120" s="110"/>
      <c r="D120" s="111"/>
      <c r="E120" s="111"/>
      <c r="F120" s="112"/>
      <c r="G120" s="112"/>
      <c r="H120" s="112"/>
      <c r="I120" s="112"/>
      <c r="J120" s="112"/>
      <c r="K120" s="112"/>
      <c r="L120" s="112"/>
      <c r="M120" s="114"/>
      <c r="N120" s="96"/>
      <c r="O120" s="97"/>
    </row>
    <row r="121" spans="1:15" x14ac:dyDescent="0.25">
      <c r="A121" s="124"/>
      <c r="B121" s="125"/>
      <c r="C121" s="110"/>
      <c r="D121" s="111"/>
      <c r="E121" s="111"/>
      <c r="F121" s="112"/>
      <c r="G121" s="112"/>
      <c r="H121" s="112"/>
      <c r="I121" s="112"/>
      <c r="J121" s="112"/>
      <c r="K121" s="112"/>
      <c r="L121" s="112"/>
      <c r="M121" s="114"/>
      <c r="N121" s="96"/>
      <c r="O121" s="97"/>
    </row>
    <row r="122" spans="1:15" x14ac:dyDescent="0.25">
      <c r="A122" s="124"/>
      <c r="B122" s="125"/>
      <c r="C122" s="110"/>
      <c r="D122" s="111"/>
      <c r="E122" s="111"/>
      <c r="F122" s="112"/>
      <c r="G122" s="112"/>
      <c r="H122" s="112"/>
      <c r="I122" s="112"/>
      <c r="J122" s="112"/>
      <c r="K122" s="112"/>
      <c r="L122" s="112"/>
      <c r="M122" s="114"/>
      <c r="N122" s="96"/>
      <c r="O122" s="97"/>
    </row>
    <row r="123" spans="1:15" x14ac:dyDescent="0.25">
      <c r="A123" s="124"/>
      <c r="B123" s="125"/>
      <c r="C123" s="110" t="s">
        <v>161</v>
      </c>
      <c r="D123" s="111" t="s">
        <v>162</v>
      </c>
      <c r="E123" s="111"/>
      <c r="F123" s="112" t="str">
        <f>IF(AND(OR(N123&gt;0,O123&gt;0),N123+O123&lt;=15),"Single restroom okay for 15 or less (IPC 403.2(2))",IF(AND(OR(N123&gt;0,O123&gt;0),N123+O123&gt;Q5),W21,IF(AND(OR(N123&gt;0,O123&gt;0),N123+O123&lt;Q5),W21,IF(Q5&lt;=15,"Single restroom okay for 15 or less (IPC 403.2(2))",W21))))</f>
        <v>Single restroom okay for 15 or less (IPC 403.2(2))</v>
      </c>
      <c r="G123" s="112" t="str">
        <f>IF(F123="Single restroom okay for 15 or less (IPC 403.2(2))","-",X21)</f>
        <v>-</v>
      </c>
      <c r="H123" s="112" t="s">
        <v>82</v>
      </c>
      <c r="I123" s="112">
        <f>Y21</f>
        <v>0</v>
      </c>
      <c r="J123" s="112" t="str">
        <f>IF(F123="Single restroom okay for 15 or less (IPC 403.2(2))","-",Z21)</f>
        <v>-</v>
      </c>
      <c r="K123" s="112">
        <f>AB21</f>
        <v>1</v>
      </c>
      <c r="L123" s="112" t="str">
        <f>IF(F123="Single restroom okay for 15 or less (IPC 403.2(2))","15 or less Fountain exempt(IPC 410.2)",AA21)</f>
        <v>15 or less Fountain exempt(IPC 410.2)</v>
      </c>
      <c r="M123" s="107" t="s">
        <v>83</v>
      </c>
      <c r="N123" s="96">
        <v>0</v>
      </c>
      <c r="O123" s="97">
        <f>N123</f>
        <v>0</v>
      </c>
    </row>
    <row r="124" spans="1:15" x14ac:dyDescent="0.25">
      <c r="A124" s="124"/>
      <c r="B124" s="125"/>
      <c r="C124" s="110"/>
      <c r="D124" s="111"/>
      <c r="E124" s="111"/>
      <c r="F124" s="112"/>
      <c r="G124" s="112"/>
      <c r="H124" s="112"/>
      <c r="I124" s="112"/>
      <c r="J124" s="112"/>
      <c r="K124" s="112"/>
      <c r="L124" s="112"/>
      <c r="M124" s="108"/>
      <c r="N124" s="96"/>
      <c r="O124" s="97"/>
    </row>
    <row r="125" spans="1:15" x14ac:dyDescent="0.25">
      <c r="A125" s="124"/>
      <c r="B125" s="125"/>
      <c r="C125" s="110"/>
      <c r="D125" s="111"/>
      <c r="E125" s="111"/>
      <c r="F125" s="112"/>
      <c r="G125" s="112"/>
      <c r="H125" s="112"/>
      <c r="I125" s="112"/>
      <c r="J125" s="112"/>
      <c r="K125" s="112"/>
      <c r="L125" s="112"/>
      <c r="M125" s="108"/>
      <c r="N125" s="96"/>
      <c r="O125" s="97"/>
    </row>
    <row r="126" spans="1:15" x14ac:dyDescent="0.25">
      <c r="A126" s="124"/>
      <c r="B126" s="125"/>
      <c r="C126" s="110"/>
      <c r="D126" s="111"/>
      <c r="E126" s="111"/>
      <c r="F126" s="112"/>
      <c r="G126" s="112"/>
      <c r="H126" s="112"/>
      <c r="I126" s="112"/>
      <c r="J126" s="112"/>
      <c r="K126" s="112"/>
      <c r="L126" s="112"/>
      <c r="M126" s="108"/>
      <c r="N126" s="96"/>
      <c r="O126" s="97"/>
    </row>
    <row r="127" spans="1:15" x14ac:dyDescent="0.25">
      <c r="A127" s="124"/>
      <c r="B127" s="125"/>
      <c r="C127" s="110"/>
      <c r="D127" s="111"/>
      <c r="E127" s="111"/>
      <c r="F127" s="112"/>
      <c r="G127" s="112"/>
      <c r="H127" s="112"/>
      <c r="I127" s="112"/>
      <c r="J127" s="112"/>
      <c r="K127" s="112"/>
      <c r="L127" s="112"/>
      <c r="M127" s="108"/>
      <c r="N127" s="96"/>
      <c r="O127" s="97"/>
    </row>
    <row r="128" spans="1:15" ht="15.75" thickBot="1" x14ac:dyDescent="0.3">
      <c r="A128" s="126"/>
      <c r="B128" s="127"/>
      <c r="C128" s="110"/>
      <c r="D128" s="111"/>
      <c r="E128" s="111"/>
      <c r="F128" s="112"/>
      <c r="G128" s="112"/>
      <c r="H128" s="112"/>
      <c r="I128" s="112"/>
      <c r="J128" s="112"/>
      <c r="K128" s="112"/>
      <c r="L128" s="112"/>
      <c r="M128" s="109"/>
      <c r="N128" s="96"/>
      <c r="O128" s="97"/>
    </row>
    <row r="129" spans="1:15" x14ac:dyDescent="0.25">
      <c r="A129" s="80" t="s">
        <v>163</v>
      </c>
      <c r="B129" s="81"/>
      <c r="C129" s="110" t="s">
        <v>164</v>
      </c>
      <c r="D129" s="111" t="s">
        <v>165</v>
      </c>
      <c r="E129" s="111"/>
      <c r="F129" s="112" t="str">
        <f>IF(AND(OR(N129&gt;0,O129&gt;0),N129+O129&lt;=100),"Single restroom okay for 100 or less (IPC 403.2(3))",IF(AND(OR(N129&gt;0,O129&gt;0),N129+O129&gt;Q5),W22,IF(AND(OR(N129&gt;0,O129&gt;0),N129+O129&lt;Q5),W22,IF(Q5&lt;=100,"Single restroom okay for 100 or less (IPC 403.2(3))",W22))))</f>
        <v>Single restroom okay for 100 or less (IPC 403.2(3))</v>
      </c>
      <c r="G129" s="112" t="str">
        <f>IF(F129="Single restroom okay for 100 or less (IPC 403.2(3))","-",X22)</f>
        <v>-</v>
      </c>
      <c r="H129" s="112" t="s">
        <v>140</v>
      </c>
      <c r="I129" s="112">
        <f>Y22</f>
        <v>0</v>
      </c>
      <c r="J129" s="112" t="str">
        <f>IF(F129="Single restroom okay for 100 or less (IPC 403.2(3))","-",Z22)</f>
        <v>-</v>
      </c>
      <c r="K129" s="112" t="s">
        <v>82</v>
      </c>
      <c r="L129" s="120" t="str">
        <f>IF(AND(OR(N129&gt;0,O129&gt;0),N129+O129&lt;=15),"15 or less Fountain exempt(IPC 410.2)",IF(Q5&lt;=15,"15 or less Fountain exempt(IPC 410.2)",AA22))</f>
        <v>15 or less Fountain exempt(IPC 410.2)</v>
      </c>
      <c r="M129" s="95" t="str">
        <f>IF(AND(OR(N129&gt;0,O129&gt;0),N129+O129&lt;=15),"15 or less Service sink exempt (IPC 403.1(e))",IF(Q5&lt;=15,"15 or less Service sink exempt (IPC 403.1(e))","1 service sink"))</f>
        <v>15 or less Service sink exempt (IPC 403.1(e))</v>
      </c>
      <c r="N129" s="96">
        <v>0</v>
      </c>
      <c r="O129" s="97">
        <f>N129</f>
        <v>0</v>
      </c>
    </row>
    <row r="130" spans="1:15" x14ac:dyDescent="0.25">
      <c r="A130" s="82"/>
      <c r="B130" s="83"/>
      <c r="C130" s="110"/>
      <c r="D130" s="111"/>
      <c r="E130" s="111"/>
      <c r="F130" s="112"/>
      <c r="G130" s="112"/>
      <c r="H130" s="112"/>
      <c r="I130" s="112"/>
      <c r="J130" s="112"/>
      <c r="K130" s="112"/>
      <c r="L130" s="120"/>
      <c r="M130" s="95"/>
      <c r="N130" s="96"/>
      <c r="O130" s="97"/>
    </row>
    <row r="131" spans="1:15" x14ac:dyDescent="0.25">
      <c r="A131" s="82"/>
      <c r="B131" s="83"/>
      <c r="C131" s="110"/>
      <c r="D131" s="111"/>
      <c r="E131" s="111"/>
      <c r="F131" s="112"/>
      <c r="G131" s="112"/>
      <c r="H131" s="112"/>
      <c r="I131" s="112"/>
      <c r="J131" s="112"/>
      <c r="K131" s="112"/>
      <c r="L131" s="120"/>
      <c r="M131" s="95"/>
      <c r="N131" s="96"/>
      <c r="O131" s="97"/>
    </row>
    <row r="132" spans="1:15" x14ac:dyDescent="0.25">
      <c r="A132" s="82"/>
      <c r="B132" s="83"/>
      <c r="C132" s="110"/>
      <c r="D132" s="111"/>
      <c r="E132" s="111"/>
      <c r="F132" s="112"/>
      <c r="G132" s="112"/>
      <c r="H132" s="112"/>
      <c r="I132" s="112"/>
      <c r="J132" s="112"/>
      <c r="K132" s="112"/>
      <c r="L132" s="120"/>
      <c r="M132" s="95"/>
      <c r="N132" s="96"/>
      <c r="O132" s="97"/>
    </row>
    <row r="133" spans="1:15" x14ac:dyDescent="0.25">
      <c r="A133" s="82"/>
      <c r="B133" s="83"/>
      <c r="C133" s="110"/>
      <c r="D133" s="111"/>
      <c r="E133" s="111"/>
      <c r="F133" s="112"/>
      <c r="G133" s="112"/>
      <c r="H133" s="112"/>
      <c r="I133" s="112"/>
      <c r="J133" s="112"/>
      <c r="K133" s="112"/>
      <c r="L133" s="120"/>
      <c r="M133" s="95"/>
      <c r="N133" s="96"/>
      <c r="O133" s="97"/>
    </row>
    <row r="134" spans="1:15" ht="14.45" customHeight="1" x14ac:dyDescent="0.25">
      <c r="A134" s="82"/>
      <c r="B134" s="83"/>
      <c r="C134" s="110"/>
      <c r="D134" s="111"/>
      <c r="E134" s="111"/>
      <c r="F134" s="112"/>
      <c r="G134" s="112"/>
      <c r="H134" s="112"/>
      <c r="I134" s="112"/>
      <c r="J134" s="112"/>
      <c r="K134" s="112"/>
      <c r="L134" s="120"/>
      <c r="M134" s="95"/>
      <c r="N134" s="96"/>
      <c r="O134" s="97"/>
    </row>
    <row r="135" spans="1:15" ht="14.45" customHeight="1" x14ac:dyDescent="0.25">
      <c r="A135" s="82"/>
      <c r="B135" s="83"/>
      <c r="C135" s="110"/>
      <c r="D135" s="111"/>
      <c r="E135" s="111"/>
      <c r="F135" s="112"/>
      <c r="G135" s="112"/>
      <c r="H135" s="112"/>
      <c r="I135" s="112"/>
      <c r="J135" s="112"/>
      <c r="K135" s="112"/>
      <c r="L135" s="120"/>
      <c r="M135" s="95"/>
      <c r="N135" s="96"/>
      <c r="O135" s="97"/>
    </row>
    <row r="136" spans="1:15" ht="15.75" thickBot="1" x14ac:dyDescent="0.3">
      <c r="A136" s="84"/>
      <c r="B136" s="85"/>
      <c r="C136" s="110"/>
      <c r="D136" s="111"/>
      <c r="E136" s="111"/>
      <c r="F136" s="112"/>
      <c r="G136" s="112"/>
      <c r="H136" s="112"/>
      <c r="I136" s="112"/>
      <c r="J136" s="112"/>
      <c r="K136" s="112"/>
      <c r="L136" s="120"/>
      <c r="M136" s="95"/>
      <c r="N136" s="96"/>
      <c r="O136" s="97"/>
    </row>
    <row r="137" spans="1:15" x14ac:dyDescent="0.25">
      <c r="A137" s="80" t="s">
        <v>55</v>
      </c>
      <c r="B137" s="81"/>
      <c r="C137" s="110" t="s">
        <v>166</v>
      </c>
      <c r="D137" s="111" t="s">
        <v>167</v>
      </c>
      <c r="E137" s="111"/>
      <c r="F137" s="113" t="s">
        <v>168</v>
      </c>
      <c r="G137" s="113"/>
      <c r="H137" s="113" t="s">
        <v>82</v>
      </c>
      <c r="I137" s="113" t="s">
        <v>168</v>
      </c>
      <c r="J137" s="113"/>
      <c r="K137" s="113" t="s">
        <v>168</v>
      </c>
      <c r="L137" s="113" t="s">
        <v>82</v>
      </c>
      <c r="M137" s="107" t="s">
        <v>83</v>
      </c>
      <c r="N137" s="96" t="s">
        <v>82</v>
      </c>
      <c r="O137" s="97"/>
    </row>
    <row r="138" spans="1:15" x14ac:dyDescent="0.25">
      <c r="A138" s="82"/>
      <c r="B138" s="83"/>
      <c r="C138" s="110"/>
      <c r="D138" s="111"/>
      <c r="E138" s="111"/>
      <c r="F138" s="113"/>
      <c r="G138" s="113"/>
      <c r="H138" s="113"/>
      <c r="I138" s="113"/>
      <c r="J138" s="113"/>
      <c r="K138" s="113"/>
      <c r="L138" s="113"/>
      <c r="M138" s="108"/>
      <c r="N138" s="96"/>
      <c r="O138" s="97"/>
    </row>
    <row r="139" spans="1:15" x14ac:dyDescent="0.25">
      <c r="A139" s="82"/>
      <c r="B139" s="83"/>
      <c r="C139" s="110"/>
      <c r="D139" s="111"/>
      <c r="E139" s="111"/>
      <c r="F139" s="113"/>
      <c r="G139" s="113"/>
      <c r="H139" s="113"/>
      <c r="I139" s="113"/>
      <c r="J139" s="113"/>
      <c r="K139" s="113"/>
      <c r="L139" s="113"/>
      <c r="M139" s="109"/>
      <c r="N139" s="96"/>
      <c r="O139" s="97"/>
    </row>
    <row r="140" spans="1:15" x14ac:dyDescent="0.25">
      <c r="A140" s="82"/>
      <c r="B140" s="83"/>
      <c r="C140" s="110" t="s">
        <v>169</v>
      </c>
      <c r="D140" s="111" t="s">
        <v>170</v>
      </c>
      <c r="E140" s="111"/>
      <c r="F140" s="112">
        <f>W23</f>
        <v>0</v>
      </c>
      <c r="G140" s="112"/>
      <c r="H140" s="113" t="s">
        <v>82</v>
      </c>
      <c r="I140" s="112">
        <f>Y23</f>
        <v>0</v>
      </c>
      <c r="J140" s="112"/>
      <c r="K140" s="112">
        <f>AB23</f>
        <v>0</v>
      </c>
      <c r="L140" s="112" t="str">
        <f>IF(AND(N140&gt;0,N140&lt;=15),"15 or less Fountain exempt(IPC 410.2)",IF(Q5&lt;=15,"15 or less Fountain exempt(IPC 410.2)",AA23))</f>
        <v>15 or less Fountain exempt(IPC 410.2)</v>
      </c>
      <c r="M140" s="114" t="s">
        <v>83</v>
      </c>
      <c r="N140" s="96">
        <v>0</v>
      </c>
      <c r="O140" s="97"/>
    </row>
    <row r="141" spans="1:15" x14ac:dyDescent="0.25">
      <c r="A141" s="82"/>
      <c r="B141" s="83"/>
      <c r="C141" s="110"/>
      <c r="D141" s="111"/>
      <c r="E141" s="111"/>
      <c r="F141" s="112"/>
      <c r="G141" s="112"/>
      <c r="H141" s="113"/>
      <c r="I141" s="112"/>
      <c r="J141" s="112"/>
      <c r="K141" s="112"/>
      <c r="L141" s="112"/>
      <c r="M141" s="114"/>
      <c r="N141" s="96"/>
      <c r="O141" s="97"/>
    </row>
    <row r="142" spans="1:15" ht="14.45" customHeight="1" x14ac:dyDescent="0.25">
      <c r="A142" s="82"/>
      <c r="B142" s="83"/>
      <c r="C142" s="110"/>
      <c r="D142" s="111"/>
      <c r="E142" s="111"/>
      <c r="F142" s="112"/>
      <c r="G142" s="112"/>
      <c r="H142" s="113"/>
      <c r="I142" s="112"/>
      <c r="J142" s="112"/>
      <c r="K142" s="112"/>
      <c r="L142" s="112"/>
      <c r="M142" s="114"/>
      <c r="N142" s="96"/>
      <c r="O142" s="97"/>
    </row>
    <row r="143" spans="1:15" x14ac:dyDescent="0.25">
      <c r="A143" s="82"/>
      <c r="B143" s="83"/>
      <c r="C143" s="110"/>
      <c r="D143" s="111"/>
      <c r="E143" s="111"/>
      <c r="F143" s="112"/>
      <c r="G143" s="112"/>
      <c r="H143" s="113"/>
      <c r="I143" s="112"/>
      <c r="J143" s="112"/>
      <c r="K143" s="112"/>
      <c r="L143" s="112"/>
      <c r="M143" s="114"/>
      <c r="N143" s="96"/>
      <c r="O143" s="97"/>
    </row>
    <row r="144" spans="1:15" x14ac:dyDescent="0.25">
      <c r="A144" s="82"/>
      <c r="B144" s="83"/>
      <c r="C144" s="110"/>
      <c r="D144" s="111"/>
      <c r="E144" s="111"/>
      <c r="F144" s="112"/>
      <c r="G144" s="112"/>
      <c r="H144" s="113"/>
      <c r="I144" s="112"/>
      <c r="J144" s="112"/>
      <c r="K144" s="112"/>
      <c r="L144" s="112"/>
      <c r="M144" s="114"/>
      <c r="N144" s="96"/>
      <c r="O144" s="97"/>
    </row>
    <row r="145" spans="1:15" x14ac:dyDescent="0.25">
      <c r="A145" s="82"/>
      <c r="B145" s="83"/>
      <c r="C145" s="110"/>
      <c r="D145" s="111" t="s">
        <v>171</v>
      </c>
      <c r="E145" s="111"/>
      <c r="F145" s="113" t="s">
        <v>172</v>
      </c>
      <c r="G145" s="113"/>
      <c r="H145" s="113" t="s">
        <v>82</v>
      </c>
      <c r="I145" s="113" t="s">
        <v>172</v>
      </c>
      <c r="J145" s="113"/>
      <c r="K145" s="113" t="s">
        <v>172</v>
      </c>
      <c r="L145" s="113" t="s">
        <v>82</v>
      </c>
      <c r="M145" s="115" t="s">
        <v>173</v>
      </c>
      <c r="N145" s="116" t="s">
        <v>82</v>
      </c>
      <c r="O145" s="117"/>
    </row>
    <row r="146" spans="1:15" x14ac:dyDescent="0.25">
      <c r="A146" s="82"/>
      <c r="B146" s="83"/>
      <c r="C146" s="110"/>
      <c r="D146" s="111"/>
      <c r="E146" s="111"/>
      <c r="F146" s="113"/>
      <c r="G146" s="113"/>
      <c r="H146" s="113"/>
      <c r="I146" s="113"/>
      <c r="J146" s="113"/>
      <c r="K146" s="113"/>
      <c r="L146" s="113"/>
      <c r="M146" s="115"/>
      <c r="N146" s="118"/>
      <c r="O146" s="119"/>
    </row>
    <row r="147" spans="1:15" x14ac:dyDescent="0.25">
      <c r="A147" s="82"/>
      <c r="B147" s="83"/>
      <c r="C147" s="110"/>
      <c r="D147" s="111"/>
      <c r="E147" s="111"/>
      <c r="F147" s="113"/>
      <c r="G147" s="113"/>
      <c r="H147" s="113"/>
      <c r="I147" s="113"/>
      <c r="J147" s="113"/>
      <c r="K147" s="113"/>
      <c r="L147" s="113"/>
      <c r="M147" s="115"/>
      <c r="N147" s="118"/>
      <c r="O147" s="119"/>
    </row>
    <row r="148" spans="1:15" x14ac:dyDescent="0.25">
      <c r="A148" s="82"/>
      <c r="B148" s="83"/>
      <c r="C148" s="110"/>
      <c r="D148" s="111"/>
      <c r="E148" s="111"/>
      <c r="F148" s="113"/>
      <c r="G148" s="113"/>
      <c r="H148" s="113"/>
      <c r="I148" s="113"/>
      <c r="J148" s="113"/>
      <c r="K148" s="113"/>
      <c r="L148" s="113"/>
      <c r="M148" s="115"/>
      <c r="N148" s="118"/>
      <c r="O148" s="119"/>
    </row>
    <row r="149" spans="1:15" x14ac:dyDescent="0.25">
      <c r="A149" s="82"/>
      <c r="B149" s="83"/>
      <c r="C149" s="110"/>
      <c r="D149" s="111"/>
      <c r="E149" s="111"/>
      <c r="F149" s="113"/>
      <c r="G149" s="113"/>
      <c r="H149" s="113"/>
      <c r="I149" s="113"/>
      <c r="J149" s="113"/>
      <c r="K149" s="113"/>
      <c r="L149" s="113"/>
      <c r="M149" s="115"/>
      <c r="N149" s="118"/>
      <c r="O149" s="119"/>
    </row>
    <row r="150" spans="1:15" x14ac:dyDescent="0.25">
      <c r="A150" s="82"/>
      <c r="B150" s="83"/>
      <c r="C150" s="110"/>
      <c r="D150" s="111"/>
      <c r="E150" s="111"/>
      <c r="F150" s="113"/>
      <c r="G150" s="113"/>
      <c r="H150" s="113"/>
      <c r="I150" s="113"/>
      <c r="J150" s="113"/>
      <c r="K150" s="113"/>
      <c r="L150" s="113"/>
      <c r="M150" s="115"/>
      <c r="N150" s="118"/>
      <c r="O150" s="119"/>
    </row>
    <row r="151" spans="1:15" x14ac:dyDescent="0.25">
      <c r="A151" s="82"/>
      <c r="B151" s="83"/>
      <c r="C151" s="110"/>
      <c r="D151" s="111"/>
      <c r="E151" s="111"/>
      <c r="F151" s="113"/>
      <c r="G151" s="113"/>
      <c r="H151" s="113"/>
      <c r="I151" s="113"/>
      <c r="J151" s="113"/>
      <c r="K151" s="113"/>
      <c r="L151" s="113"/>
      <c r="M151" s="115"/>
      <c r="N151" s="118"/>
      <c r="O151" s="119"/>
    </row>
    <row r="152" spans="1:15" x14ac:dyDescent="0.25">
      <c r="A152" s="82"/>
      <c r="B152" s="83"/>
      <c r="C152" s="110"/>
      <c r="D152" s="111"/>
      <c r="E152" s="111"/>
      <c r="F152" s="113"/>
      <c r="G152" s="113"/>
      <c r="H152" s="113"/>
      <c r="I152" s="113"/>
      <c r="J152" s="113"/>
      <c r="K152" s="113"/>
      <c r="L152" s="113"/>
      <c r="M152" s="115"/>
      <c r="N152" s="118"/>
      <c r="O152" s="119"/>
    </row>
    <row r="153" spans="1:15" x14ac:dyDescent="0.25">
      <c r="A153" s="82"/>
      <c r="B153" s="83"/>
      <c r="C153" s="110"/>
      <c r="D153" s="111"/>
      <c r="E153" s="111"/>
      <c r="F153" s="113"/>
      <c r="G153" s="113"/>
      <c r="H153" s="113"/>
      <c r="I153" s="113"/>
      <c r="J153" s="113"/>
      <c r="K153" s="113"/>
      <c r="L153" s="113"/>
      <c r="M153" s="115"/>
      <c r="N153" s="118"/>
      <c r="O153" s="119"/>
    </row>
    <row r="154" spans="1:15" x14ac:dyDescent="0.25">
      <c r="A154" s="82"/>
      <c r="B154" s="83"/>
      <c r="C154" s="110"/>
      <c r="D154" s="111"/>
      <c r="E154" s="111"/>
      <c r="F154" s="113"/>
      <c r="G154" s="113"/>
      <c r="H154" s="113"/>
      <c r="I154" s="113"/>
      <c r="J154" s="113"/>
      <c r="K154" s="113"/>
      <c r="L154" s="113"/>
      <c r="M154" s="115"/>
      <c r="N154" s="118"/>
      <c r="O154" s="119"/>
    </row>
    <row r="155" spans="1:15" x14ac:dyDescent="0.25">
      <c r="A155" s="82"/>
      <c r="B155" s="83"/>
      <c r="C155" s="110"/>
      <c r="D155" s="111"/>
      <c r="E155" s="111"/>
      <c r="F155" s="113"/>
      <c r="G155" s="113"/>
      <c r="H155" s="113"/>
      <c r="I155" s="113"/>
      <c r="J155" s="113"/>
      <c r="K155" s="113"/>
      <c r="L155" s="113"/>
      <c r="M155" s="115"/>
      <c r="N155" s="118"/>
      <c r="O155" s="119"/>
    </row>
    <row r="156" spans="1:15" x14ac:dyDescent="0.25">
      <c r="A156" s="82"/>
      <c r="B156" s="83"/>
      <c r="C156" s="110" t="s">
        <v>174</v>
      </c>
      <c r="D156" s="111" t="s">
        <v>175</v>
      </c>
      <c r="E156" s="111"/>
      <c r="F156" s="112">
        <f>W24</f>
        <v>0</v>
      </c>
      <c r="G156" s="112"/>
      <c r="H156" s="113" t="s">
        <v>82</v>
      </c>
      <c r="I156" s="112">
        <f>Y24</f>
        <v>0</v>
      </c>
      <c r="J156" s="112"/>
      <c r="K156" s="112">
        <f>AB24</f>
        <v>0</v>
      </c>
      <c r="L156" s="112" t="str">
        <f>IF(AND(N156&gt;0,N156&lt;=15),"15 or less Fountain exempt(IPC 410.2)",IF(Q5&lt;=15,"15 or less Fountain exempt(IPC 410.2)",AA24))</f>
        <v>15 or less Fountain exempt(IPC 410.2)</v>
      </c>
      <c r="M156" s="107" t="s">
        <v>83</v>
      </c>
      <c r="N156" s="96">
        <v>0</v>
      </c>
      <c r="O156" s="97"/>
    </row>
    <row r="157" spans="1:15" x14ac:dyDescent="0.25">
      <c r="A157" s="82"/>
      <c r="B157" s="83"/>
      <c r="C157" s="110"/>
      <c r="D157" s="111"/>
      <c r="E157" s="111"/>
      <c r="F157" s="112"/>
      <c r="G157" s="112"/>
      <c r="H157" s="113"/>
      <c r="I157" s="112"/>
      <c r="J157" s="112"/>
      <c r="K157" s="112"/>
      <c r="L157" s="112"/>
      <c r="M157" s="108"/>
      <c r="N157" s="96"/>
      <c r="O157" s="97"/>
    </row>
    <row r="158" spans="1:15" x14ac:dyDescent="0.25">
      <c r="A158" s="82"/>
      <c r="B158" s="83"/>
      <c r="C158" s="110"/>
      <c r="D158" s="111"/>
      <c r="E158" s="111"/>
      <c r="F158" s="112"/>
      <c r="G158" s="112"/>
      <c r="H158" s="113"/>
      <c r="I158" s="112"/>
      <c r="J158" s="112"/>
      <c r="K158" s="112"/>
      <c r="L158" s="112"/>
      <c r="M158" s="108"/>
      <c r="N158" s="96"/>
      <c r="O158" s="97"/>
    </row>
    <row r="159" spans="1:15" x14ac:dyDescent="0.25">
      <c r="A159" s="82"/>
      <c r="B159" s="83"/>
      <c r="C159" s="110"/>
      <c r="D159" s="111"/>
      <c r="E159" s="111"/>
      <c r="F159" s="112"/>
      <c r="G159" s="112"/>
      <c r="H159" s="113"/>
      <c r="I159" s="112"/>
      <c r="J159" s="112"/>
      <c r="K159" s="112"/>
      <c r="L159" s="112"/>
      <c r="M159" s="109"/>
      <c r="N159" s="96"/>
      <c r="O159" s="97"/>
    </row>
    <row r="160" spans="1:15" x14ac:dyDescent="0.25">
      <c r="A160" s="82"/>
      <c r="B160" s="83"/>
      <c r="C160" s="110"/>
      <c r="D160" s="111" t="s">
        <v>176</v>
      </c>
      <c r="E160" s="111"/>
      <c r="F160" s="113" t="s">
        <v>172</v>
      </c>
      <c r="G160" s="113"/>
      <c r="H160" s="113" t="s">
        <v>82</v>
      </c>
      <c r="I160" s="113" t="s">
        <v>172</v>
      </c>
      <c r="J160" s="113"/>
      <c r="K160" s="113" t="s">
        <v>172</v>
      </c>
      <c r="L160" s="112" t="s">
        <v>82</v>
      </c>
      <c r="M160" s="95" t="s">
        <v>177</v>
      </c>
      <c r="N160" s="96" t="s">
        <v>82</v>
      </c>
      <c r="O160" s="97"/>
    </row>
    <row r="161" spans="1:15" x14ac:dyDescent="0.25">
      <c r="A161" s="82"/>
      <c r="B161" s="83"/>
      <c r="C161" s="110"/>
      <c r="D161" s="111"/>
      <c r="E161" s="111"/>
      <c r="F161" s="113"/>
      <c r="G161" s="113"/>
      <c r="H161" s="113"/>
      <c r="I161" s="113"/>
      <c r="J161" s="113"/>
      <c r="K161" s="113"/>
      <c r="L161" s="112"/>
      <c r="M161" s="95"/>
      <c r="N161" s="96"/>
      <c r="O161" s="97"/>
    </row>
    <row r="162" spans="1:15" x14ac:dyDescent="0.25">
      <c r="A162" s="82"/>
      <c r="B162" s="83"/>
      <c r="C162" s="110"/>
      <c r="D162" s="111"/>
      <c r="E162" s="111"/>
      <c r="F162" s="113"/>
      <c r="G162" s="113"/>
      <c r="H162" s="113"/>
      <c r="I162" s="113"/>
      <c r="J162" s="113"/>
      <c r="K162" s="113"/>
      <c r="L162" s="112"/>
      <c r="M162" s="95"/>
      <c r="N162" s="96"/>
      <c r="O162" s="97"/>
    </row>
    <row r="163" spans="1:15" x14ac:dyDescent="0.25">
      <c r="A163" s="82"/>
      <c r="B163" s="83"/>
      <c r="C163" s="110"/>
      <c r="D163" s="111"/>
      <c r="E163" s="111"/>
      <c r="F163" s="113"/>
      <c r="G163" s="113"/>
      <c r="H163" s="113"/>
      <c r="I163" s="113"/>
      <c r="J163" s="113"/>
      <c r="K163" s="113"/>
      <c r="L163" s="112"/>
      <c r="M163" s="95"/>
      <c r="N163" s="96"/>
      <c r="O163" s="97"/>
    </row>
    <row r="164" spans="1:15" x14ac:dyDescent="0.25">
      <c r="A164" s="82"/>
      <c r="B164" s="83"/>
      <c r="C164" s="110"/>
      <c r="D164" s="111"/>
      <c r="E164" s="111"/>
      <c r="F164" s="113"/>
      <c r="G164" s="113"/>
      <c r="H164" s="113"/>
      <c r="I164" s="113"/>
      <c r="J164" s="113"/>
      <c r="K164" s="113"/>
      <c r="L164" s="112"/>
      <c r="M164" s="95"/>
      <c r="N164" s="96"/>
      <c r="O164" s="97"/>
    </row>
    <row r="165" spans="1:15" ht="14.45" customHeight="1" x14ac:dyDescent="0.25">
      <c r="A165" s="82"/>
      <c r="B165" s="83"/>
      <c r="C165" s="110"/>
      <c r="D165" s="111"/>
      <c r="E165" s="111"/>
      <c r="F165" s="113"/>
      <c r="G165" s="113"/>
      <c r="H165" s="113"/>
      <c r="I165" s="113"/>
      <c r="J165" s="113"/>
      <c r="K165" s="113"/>
      <c r="L165" s="112"/>
      <c r="M165" s="95"/>
      <c r="N165" s="96"/>
      <c r="O165" s="97"/>
    </row>
    <row r="166" spans="1:15" x14ac:dyDescent="0.25">
      <c r="A166" s="82"/>
      <c r="B166" s="83"/>
      <c r="C166" s="110"/>
      <c r="D166" s="111"/>
      <c r="E166" s="111"/>
      <c r="F166" s="113"/>
      <c r="G166" s="113"/>
      <c r="H166" s="113"/>
      <c r="I166" s="113"/>
      <c r="J166" s="113"/>
      <c r="K166" s="113"/>
      <c r="L166" s="112"/>
      <c r="M166" s="95"/>
      <c r="N166" s="96"/>
      <c r="O166" s="97"/>
    </row>
    <row r="167" spans="1:15" x14ac:dyDescent="0.25">
      <c r="A167" s="82"/>
      <c r="B167" s="83"/>
      <c r="C167" s="110"/>
      <c r="D167" s="111"/>
      <c r="E167" s="111"/>
      <c r="F167" s="113"/>
      <c r="G167" s="113"/>
      <c r="H167" s="113"/>
      <c r="I167" s="113"/>
      <c r="J167" s="113"/>
      <c r="K167" s="113"/>
      <c r="L167" s="112"/>
      <c r="M167" s="95"/>
      <c r="N167" s="96"/>
      <c r="O167" s="97"/>
    </row>
    <row r="168" spans="1:15" x14ac:dyDescent="0.25">
      <c r="A168" s="82"/>
      <c r="B168" s="83"/>
      <c r="C168" s="110"/>
      <c r="D168" s="111"/>
      <c r="E168" s="111"/>
      <c r="F168" s="113"/>
      <c r="G168" s="113"/>
      <c r="H168" s="113"/>
      <c r="I168" s="113"/>
      <c r="J168" s="113"/>
      <c r="K168" s="113"/>
      <c r="L168" s="112"/>
      <c r="M168" s="95"/>
      <c r="N168" s="96"/>
      <c r="O168" s="97"/>
    </row>
    <row r="169" spans="1:15" x14ac:dyDescent="0.25">
      <c r="A169" s="82"/>
      <c r="B169" s="83"/>
      <c r="C169" s="110"/>
      <c r="D169" s="111"/>
      <c r="E169" s="111"/>
      <c r="F169" s="113"/>
      <c r="G169" s="113"/>
      <c r="H169" s="113"/>
      <c r="I169" s="113"/>
      <c r="J169" s="113"/>
      <c r="K169" s="113"/>
      <c r="L169" s="112"/>
      <c r="M169" s="95"/>
      <c r="N169" s="96"/>
      <c r="O169" s="97"/>
    </row>
    <row r="170" spans="1:15" ht="15.75" thickBot="1" x14ac:dyDescent="0.3">
      <c r="A170" s="82"/>
      <c r="B170" s="83"/>
      <c r="C170" s="110"/>
      <c r="D170" s="111"/>
      <c r="E170" s="111"/>
      <c r="F170" s="113"/>
      <c r="G170" s="113"/>
      <c r="H170" s="113"/>
      <c r="I170" s="113"/>
      <c r="J170" s="113"/>
      <c r="K170" s="113"/>
      <c r="L170" s="112"/>
      <c r="M170" s="95"/>
      <c r="N170" s="96"/>
      <c r="O170" s="97"/>
    </row>
    <row r="171" spans="1:15" x14ac:dyDescent="0.25">
      <c r="A171" s="80" t="s">
        <v>178</v>
      </c>
      <c r="B171" s="81"/>
      <c r="C171" s="86" t="s">
        <v>179</v>
      </c>
      <c r="D171" s="89" t="s">
        <v>180</v>
      </c>
      <c r="E171" s="89"/>
      <c r="F171" s="92" t="str">
        <f>IF(AND(N171&gt;0,N171&lt;=15),"Single restroom okay for 15 or less (IPC 403.2(2))",IF(AND(N171&gt;0,N171&gt;Q5),W25,IF(AND(N171&gt;0,N171&lt;Q5),W25,IF(Q5&lt;=15,"Single restroom okay for 15 or less (IPC 403.2(2))",W25))))</f>
        <v>Single restroom okay for 15 or less (IPC 403.2(2))</v>
      </c>
      <c r="G171" s="92"/>
      <c r="H171" s="92" t="s">
        <v>82</v>
      </c>
      <c r="I171" s="92">
        <f>Y25</f>
        <v>0</v>
      </c>
      <c r="J171" s="92"/>
      <c r="K171" s="92" t="str">
        <f>AB25</f>
        <v>See section 411 if eyewash stations are provided</v>
      </c>
      <c r="L171" s="92" t="str">
        <f>IF(AND(N171&gt;0,N171&lt;=15),"15 or less Fountain exempt(IPC 410.2)",IF(Q5&lt;=15,"15 or less Fountain exempt(IPC 410.2)",#REF!))</f>
        <v>15 or less Fountain exempt(IPC 410.2)</v>
      </c>
      <c r="M171" s="98" t="s">
        <v>83</v>
      </c>
      <c r="N171" s="101">
        <v>0</v>
      </c>
      <c r="O171" s="102"/>
    </row>
    <row r="172" spans="1:15" x14ac:dyDescent="0.25">
      <c r="A172" s="82"/>
      <c r="B172" s="83"/>
      <c r="C172" s="87"/>
      <c r="D172" s="90"/>
      <c r="E172" s="90"/>
      <c r="F172" s="93"/>
      <c r="G172" s="93"/>
      <c r="H172" s="93"/>
      <c r="I172" s="93"/>
      <c r="J172" s="93"/>
      <c r="K172" s="93"/>
      <c r="L172" s="93"/>
      <c r="M172" s="99"/>
      <c r="N172" s="103"/>
      <c r="O172" s="104"/>
    </row>
    <row r="173" spans="1:15" x14ac:dyDescent="0.25">
      <c r="A173" s="82"/>
      <c r="B173" s="83"/>
      <c r="C173" s="87"/>
      <c r="D173" s="90"/>
      <c r="E173" s="90"/>
      <c r="F173" s="93"/>
      <c r="G173" s="93"/>
      <c r="H173" s="93"/>
      <c r="I173" s="93"/>
      <c r="J173" s="93"/>
      <c r="K173" s="93"/>
      <c r="L173" s="93"/>
      <c r="M173" s="99"/>
      <c r="N173" s="103"/>
      <c r="O173" s="104"/>
    </row>
    <row r="174" spans="1:15" x14ac:dyDescent="0.25">
      <c r="A174" s="82"/>
      <c r="B174" s="83"/>
      <c r="C174" s="87"/>
      <c r="D174" s="90"/>
      <c r="E174" s="90"/>
      <c r="F174" s="93"/>
      <c r="G174" s="93"/>
      <c r="H174" s="93"/>
      <c r="I174" s="93"/>
      <c r="J174" s="93"/>
      <c r="K174" s="93"/>
      <c r="L174" s="93"/>
      <c r="M174" s="99"/>
      <c r="N174" s="103"/>
      <c r="O174" s="104"/>
    </row>
    <row r="175" spans="1:15" x14ac:dyDescent="0.25">
      <c r="A175" s="82"/>
      <c r="B175" s="83"/>
      <c r="C175" s="87"/>
      <c r="D175" s="90"/>
      <c r="E175" s="90"/>
      <c r="F175" s="93"/>
      <c r="G175" s="93"/>
      <c r="H175" s="93"/>
      <c r="I175" s="93"/>
      <c r="J175" s="93"/>
      <c r="K175" s="93"/>
      <c r="L175" s="93"/>
      <c r="M175" s="99"/>
      <c r="N175" s="103"/>
      <c r="O175" s="104"/>
    </row>
    <row r="176" spans="1:15" x14ac:dyDescent="0.25">
      <c r="A176" s="82"/>
      <c r="B176" s="83"/>
      <c r="C176" s="87"/>
      <c r="D176" s="90"/>
      <c r="E176" s="90"/>
      <c r="F176" s="93"/>
      <c r="G176" s="93"/>
      <c r="H176" s="93"/>
      <c r="I176" s="93"/>
      <c r="J176" s="93"/>
      <c r="K176" s="93"/>
      <c r="L176" s="93"/>
      <c r="M176" s="99"/>
      <c r="N176" s="103"/>
      <c r="O176" s="104"/>
    </row>
    <row r="177" spans="1:15" ht="15.75" thickBot="1" x14ac:dyDescent="0.3">
      <c r="A177" s="84"/>
      <c r="B177" s="85"/>
      <c r="C177" s="88"/>
      <c r="D177" s="91"/>
      <c r="E177" s="91"/>
      <c r="F177" s="94"/>
      <c r="G177" s="94"/>
      <c r="H177" s="94"/>
      <c r="I177" s="94"/>
      <c r="J177" s="94"/>
      <c r="K177" s="94"/>
      <c r="L177" s="94"/>
      <c r="M177" s="100"/>
      <c r="N177" s="105"/>
      <c r="O177" s="106"/>
    </row>
  </sheetData>
  <mergeCells count="314">
    <mergeCell ref="F1:G1"/>
    <mergeCell ref="H1:H2"/>
    <mergeCell ref="I1:J1"/>
    <mergeCell ref="K3:K8"/>
    <mergeCell ref="L3:L8"/>
    <mergeCell ref="M3:M8"/>
    <mergeCell ref="N3:N8"/>
    <mergeCell ref="O3:O8"/>
    <mergeCell ref="A3:B61"/>
    <mergeCell ref="C3:C8"/>
    <mergeCell ref="D3:E8"/>
    <mergeCell ref="F3:F8"/>
    <mergeCell ref="G3:G8"/>
    <mergeCell ref="H3:H8"/>
    <mergeCell ref="I3:I8"/>
    <mergeCell ref="J3:J8"/>
    <mergeCell ref="K1:K2"/>
    <mergeCell ref="L1:L2"/>
    <mergeCell ref="M1:M2"/>
    <mergeCell ref="N1:O1"/>
    <mergeCell ref="H9:H14"/>
    <mergeCell ref="I9:I14"/>
    <mergeCell ref="D31:E36"/>
    <mergeCell ref="F31:F36"/>
    <mergeCell ref="W1:X1"/>
    <mergeCell ref="Y1:Z1"/>
    <mergeCell ref="A1:B2"/>
    <mergeCell ref="C1:C2"/>
    <mergeCell ref="D1:E2"/>
    <mergeCell ref="Q3:R4"/>
    <mergeCell ref="Q5:R5"/>
    <mergeCell ref="D15:E20"/>
    <mergeCell ref="F15:F20"/>
    <mergeCell ref="G15:G20"/>
    <mergeCell ref="H15:H20"/>
    <mergeCell ref="I15:I20"/>
    <mergeCell ref="J15:J20"/>
    <mergeCell ref="K15:K20"/>
    <mergeCell ref="L15:L20"/>
    <mergeCell ref="J9:J14"/>
    <mergeCell ref="K9:K14"/>
    <mergeCell ref="L9:L14"/>
    <mergeCell ref="M9:M14"/>
    <mergeCell ref="N9:N14"/>
    <mergeCell ref="O9:O14"/>
    <mergeCell ref="D9:E14"/>
    <mergeCell ref="F9:F14"/>
    <mergeCell ref="G9:G14"/>
    <mergeCell ref="H31:H36"/>
    <mergeCell ref="I31:I36"/>
    <mergeCell ref="M15:M20"/>
    <mergeCell ref="N15:N20"/>
    <mergeCell ref="O15:O20"/>
    <mergeCell ref="C21:C48"/>
    <mergeCell ref="D21:E30"/>
    <mergeCell ref="F21:F30"/>
    <mergeCell ref="G21:G30"/>
    <mergeCell ref="H21:H30"/>
    <mergeCell ref="I21:I30"/>
    <mergeCell ref="J21:J30"/>
    <mergeCell ref="C9:C20"/>
    <mergeCell ref="J31:J36"/>
    <mergeCell ref="K31:K36"/>
    <mergeCell ref="L31:L36"/>
    <mergeCell ref="M31:M36"/>
    <mergeCell ref="N31:N36"/>
    <mergeCell ref="O31:O36"/>
    <mergeCell ref="K21:K30"/>
    <mergeCell ref="L21:L30"/>
    <mergeCell ref="M21:M30"/>
    <mergeCell ref="N21:N30"/>
    <mergeCell ref="O21:O30"/>
    <mergeCell ref="J37:J42"/>
    <mergeCell ref="D43:E48"/>
    <mergeCell ref="F43:F48"/>
    <mergeCell ref="G43:G48"/>
    <mergeCell ref="H43:H48"/>
    <mergeCell ref="I43:I48"/>
    <mergeCell ref="D37:E42"/>
    <mergeCell ref="F37:F42"/>
    <mergeCell ref="G37:G42"/>
    <mergeCell ref="H37:H42"/>
    <mergeCell ref="I37:I42"/>
    <mergeCell ref="G31:G36"/>
    <mergeCell ref="J49:J54"/>
    <mergeCell ref="K49:K54"/>
    <mergeCell ref="L49:L54"/>
    <mergeCell ref="M49:M54"/>
    <mergeCell ref="N49:N54"/>
    <mergeCell ref="O49:O54"/>
    <mergeCell ref="C49:C54"/>
    <mergeCell ref="D49:E54"/>
    <mergeCell ref="F49:F54"/>
    <mergeCell ref="G49:G54"/>
    <mergeCell ref="H49:H54"/>
    <mergeCell ref="I49:I54"/>
    <mergeCell ref="J43:J48"/>
    <mergeCell ref="K43:K48"/>
    <mergeCell ref="L43:L48"/>
    <mergeCell ref="M43:M48"/>
    <mergeCell ref="N43:N48"/>
    <mergeCell ref="O43:O48"/>
    <mergeCell ref="K37:K42"/>
    <mergeCell ref="L37:L42"/>
    <mergeCell ref="M37:M42"/>
    <mergeCell ref="N37:N42"/>
    <mergeCell ref="O37:O42"/>
    <mergeCell ref="J55:J61"/>
    <mergeCell ref="K55:K61"/>
    <mergeCell ref="L55:L61"/>
    <mergeCell ref="M55:M61"/>
    <mergeCell ref="N55:N61"/>
    <mergeCell ref="O55:O61"/>
    <mergeCell ref="C55:C61"/>
    <mergeCell ref="D55:E61"/>
    <mergeCell ref="F55:F61"/>
    <mergeCell ref="G55:G61"/>
    <mergeCell ref="H55:H61"/>
    <mergeCell ref="I55:I61"/>
    <mergeCell ref="O62:O72"/>
    <mergeCell ref="A73:B78"/>
    <mergeCell ref="C73:C78"/>
    <mergeCell ref="D73:E78"/>
    <mergeCell ref="F73:F78"/>
    <mergeCell ref="G73:G78"/>
    <mergeCell ref="H73:H78"/>
    <mergeCell ref="I73:I78"/>
    <mergeCell ref="J73:J78"/>
    <mergeCell ref="K73:K78"/>
    <mergeCell ref="I62:I72"/>
    <mergeCell ref="J62:J72"/>
    <mergeCell ref="K62:K72"/>
    <mergeCell ref="L62:L72"/>
    <mergeCell ref="M62:M72"/>
    <mergeCell ref="N62:N72"/>
    <mergeCell ref="A62:B72"/>
    <mergeCell ref="C62:C72"/>
    <mergeCell ref="D62:E72"/>
    <mergeCell ref="F62:F72"/>
    <mergeCell ref="G62:G72"/>
    <mergeCell ref="H62:H72"/>
    <mergeCell ref="L73:L78"/>
    <mergeCell ref="M73:M78"/>
    <mergeCell ref="N73:N78"/>
    <mergeCell ref="O73:O78"/>
    <mergeCell ref="A79:B85"/>
    <mergeCell ref="C79:C85"/>
    <mergeCell ref="D79:E85"/>
    <mergeCell ref="F79:F85"/>
    <mergeCell ref="G79:G85"/>
    <mergeCell ref="H79:H85"/>
    <mergeCell ref="O79:O85"/>
    <mergeCell ref="I79:I85"/>
    <mergeCell ref="J79:J85"/>
    <mergeCell ref="K79:K85"/>
    <mergeCell ref="L79:L85"/>
    <mergeCell ref="M79:M85"/>
    <mergeCell ref="N79:N85"/>
    <mergeCell ref="A86:B128"/>
    <mergeCell ref="C86:C91"/>
    <mergeCell ref="D86:E91"/>
    <mergeCell ref="F86:F91"/>
    <mergeCell ref="G86:G91"/>
    <mergeCell ref="H86:H91"/>
    <mergeCell ref="I86:I91"/>
    <mergeCell ref="J86:J91"/>
    <mergeCell ref="K86:K91"/>
    <mergeCell ref="J96:J101"/>
    <mergeCell ref="J102:J107"/>
    <mergeCell ref="K102:K107"/>
    <mergeCell ref="C123:C128"/>
    <mergeCell ref="D123:E128"/>
    <mergeCell ref="F123:F128"/>
    <mergeCell ref="G123:G128"/>
    <mergeCell ref="H123:H128"/>
    <mergeCell ref="I123:I128"/>
    <mergeCell ref="L86:L91"/>
    <mergeCell ref="M86:M91"/>
    <mergeCell ref="N86:N91"/>
    <mergeCell ref="O86:O91"/>
    <mergeCell ref="C92:C107"/>
    <mergeCell ref="D92:E95"/>
    <mergeCell ref="F92:G95"/>
    <mergeCell ref="H92:H95"/>
    <mergeCell ref="I92:J95"/>
    <mergeCell ref="K92:K95"/>
    <mergeCell ref="D102:E107"/>
    <mergeCell ref="F102:F107"/>
    <mergeCell ref="G102:G107"/>
    <mergeCell ref="H102:H107"/>
    <mergeCell ref="I102:I107"/>
    <mergeCell ref="L92:L95"/>
    <mergeCell ref="M92:M95"/>
    <mergeCell ref="N92:N95"/>
    <mergeCell ref="O92:O95"/>
    <mergeCell ref="D96:E101"/>
    <mergeCell ref="F96:F101"/>
    <mergeCell ref="G96:G101"/>
    <mergeCell ref="H96:H101"/>
    <mergeCell ref="I96:I101"/>
    <mergeCell ref="L102:L107"/>
    <mergeCell ref="M102:M107"/>
    <mergeCell ref="N102:N107"/>
    <mergeCell ref="O102:O107"/>
    <mergeCell ref="K96:K101"/>
    <mergeCell ref="L96:L101"/>
    <mergeCell ref="M96:M101"/>
    <mergeCell ref="N96:N101"/>
    <mergeCell ref="O96:O101"/>
    <mergeCell ref="O111:O116"/>
    <mergeCell ref="D117:E122"/>
    <mergeCell ref="F117:F122"/>
    <mergeCell ref="G117:G122"/>
    <mergeCell ref="H117:H122"/>
    <mergeCell ref="I117:I122"/>
    <mergeCell ref="J117:J122"/>
    <mergeCell ref="L108:L110"/>
    <mergeCell ref="M108:M110"/>
    <mergeCell ref="N108:N110"/>
    <mergeCell ref="O108:O110"/>
    <mergeCell ref="D111:E116"/>
    <mergeCell ref="F111:F116"/>
    <mergeCell ref="G111:G116"/>
    <mergeCell ref="H111:H116"/>
    <mergeCell ref="I111:I116"/>
    <mergeCell ref="J111:J116"/>
    <mergeCell ref="D108:E110"/>
    <mergeCell ref="F108:G110"/>
    <mergeCell ref="H108:H110"/>
    <mergeCell ref="I108:J110"/>
    <mergeCell ref="K108:K110"/>
    <mergeCell ref="K111:K116"/>
    <mergeCell ref="K117:K122"/>
    <mergeCell ref="L111:L116"/>
    <mergeCell ref="M111:M116"/>
    <mergeCell ref="N111:N116"/>
    <mergeCell ref="C108:C122"/>
    <mergeCell ref="J123:J128"/>
    <mergeCell ref="K123:K128"/>
    <mergeCell ref="L123:L128"/>
    <mergeCell ref="M123:M128"/>
    <mergeCell ref="N123:N128"/>
    <mergeCell ref="O123:O128"/>
    <mergeCell ref="L117:L122"/>
    <mergeCell ref="M117:M122"/>
    <mergeCell ref="N117:N122"/>
    <mergeCell ref="O117:O122"/>
    <mergeCell ref="O129:O136"/>
    <mergeCell ref="A137:B170"/>
    <mergeCell ref="C137:C139"/>
    <mergeCell ref="D137:E139"/>
    <mergeCell ref="F137:G139"/>
    <mergeCell ref="H137:H139"/>
    <mergeCell ref="I137:J139"/>
    <mergeCell ref="K137:K139"/>
    <mergeCell ref="L137:L139"/>
    <mergeCell ref="M137:M139"/>
    <mergeCell ref="I129:I136"/>
    <mergeCell ref="J129:J136"/>
    <mergeCell ref="K129:K136"/>
    <mergeCell ref="L129:L136"/>
    <mergeCell ref="M129:M136"/>
    <mergeCell ref="N129:N136"/>
    <mergeCell ref="A129:B136"/>
    <mergeCell ref="C129:C136"/>
    <mergeCell ref="D129:E136"/>
    <mergeCell ref="F129:F136"/>
    <mergeCell ref="G129:G136"/>
    <mergeCell ref="H129:H136"/>
    <mergeCell ref="N137:O139"/>
    <mergeCell ref="C140:C155"/>
    <mergeCell ref="D140:E144"/>
    <mergeCell ref="F140:G144"/>
    <mergeCell ref="H140:H144"/>
    <mergeCell ref="I140:J144"/>
    <mergeCell ref="K140:K144"/>
    <mergeCell ref="L140:L144"/>
    <mergeCell ref="M140:M144"/>
    <mergeCell ref="N140:O144"/>
    <mergeCell ref="D145:E155"/>
    <mergeCell ref="F145:G155"/>
    <mergeCell ref="H145:H155"/>
    <mergeCell ref="I145:J155"/>
    <mergeCell ref="K145:K155"/>
    <mergeCell ref="L145:L155"/>
    <mergeCell ref="M145:M155"/>
    <mergeCell ref="N145:O155"/>
    <mergeCell ref="M156:M159"/>
    <mergeCell ref="N156:O159"/>
    <mergeCell ref="C156:C170"/>
    <mergeCell ref="D156:E159"/>
    <mergeCell ref="F156:G159"/>
    <mergeCell ref="H156:H159"/>
    <mergeCell ref="I156:J159"/>
    <mergeCell ref="K156:K159"/>
    <mergeCell ref="L156:L159"/>
    <mergeCell ref="F160:G170"/>
    <mergeCell ref="H160:H170"/>
    <mergeCell ref="I160:J170"/>
    <mergeCell ref="K160:K170"/>
    <mergeCell ref="L160:L170"/>
    <mergeCell ref="D160:E170"/>
    <mergeCell ref="A171:B177"/>
    <mergeCell ref="C171:C177"/>
    <mergeCell ref="D171:E177"/>
    <mergeCell ref="F171:G177"/>
    <mergeCell ref="H171:H177"/>
    <mergeCell ref="I171:J177"/>
    <mergeCell ref="K171:K177"/>
    <mergeCell ref="M160:M170"/>
    <mergeCell ref="N160:O170"/>
    <mergeCell ref="L171:L177"/>
    <mergeCell ref="M171:M177"/>
    <mergeCell ref="N171:O17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99425-6A61-41A0-A050-F6AD7666A9B3}">
  <dimension ref="A1:AB167"/>
  <sheetViews>
    <sheetView zoomScale="85" zoomScaleNormal="85" workbookViewId="0">
      <pane xSplit="15" ySplit="2" topLeftCell="P3" activePane="bottomRight" state="frozen"/>
      <selection pane="topRight" activeCell="P1" sqref="P1"/>
      <selection pane="bottomLeft" activeCell="A3" sqref="A3"/>
      <selection pane="bottomRight" activeCell="Q5" sqref="Q5:R5"/>
    </sheetView>
  </sheetViews>
  <sheetFormatPr defaultRowHeight="15" x14ac:dyDescent="0.25"/>
  <cols>
    <col min="1" max="1" width="7.28515625" customWidth="1"/>
    <col min="2" max="2" width="7.140625" customWidth="1"/>
    <col min="3" max="3" width="11" customWidth="1"/>
    <col min="4" max="5" width="9.7109375" customWidth="1"/>
    <col min="6" max="7" width="10.7109375" customWidth="1"/>
    <col min="8" max="8" width="14.7109375" customWidth="1"/>
    <col min="9" max="10" width="10.7109375" customWidth="1"/>
    <col min="12" max="13" width="15.7109375" customWidth="1"/>
    <col min="17" max="18" width="10.7109375" customWidth="1"/>
    <col min="19" max="19" width="13.5703125" customWidth="1"/>
    <col min="21" max="23" width="8.85546875" hidden="1" customWidth="1"/>
    <col min="24" max="24" width="9.85546875" hidden="1" customWidth="1"/>
    <col min="25" max="28" width="8.85546875" hidden="1" customWidth="1"/>
  </cols>
  <sheetData>
    <row r="1" spans="1:28" ht="31.9" customHeight="1" thickBot="1" x14ac:dyDescent="0.3">
      <c r="A1" s="134" t="s">
        <v>60</v>
      </c>
      <c r="B1" s="135"/>
      <c r="C1" s="138" t="s">
        <v>61</v>
      </c>
      <c r="D1" s="134" t="s">
        <v>62</v>
      </c>
      <c r="E1" s="135"/>
      <c r="F1" s="146" t="s">
        <v>63</v>
      </c>
      <c r="G1" s="147"/>
      <c r="H1" s="148" t="s">
        <v>64</v>
      </c>
      <c r="I1" s="150" t="s">
        <v>65</v>
      </c>
      <c r="J1" s="151"/>
      <c r="K1" s="161" t="s">
        <v>66</v>
      </c>
      <c r="L1" s="148" t="s">
        <v>67</v>
      </c>
      <c r="M1" s="163" t="s">
        <v>68</v>
      </c>
      <c r="N1" s="165" t="s">
        <v>69</v>
      </c>
      <c r="O1" s="166"/>
      <c r="P1" s="13"/>
      <c r="W1" s="132" t="s">
        <v>70</v>
      </c>
      <c r="X1" s="133"/>
      <c r="Y1" s="132" t="s">
        <v>71</v>
      </c>
      <c r="Z1" s="133"/>
      <c r="AA1" s="25" t="s">
        <v>72</v>
      </c>
      <c r="AB1" s="25" t="s">
        <v>73</v>
      </c>
    </row>
    <row r="2" spans="1:28" ht="15.75" thickBot="1" x14ac:dyDescent="0.3">
      <c r="A2" s="136"/>
      <c r="B2" s="137"/>
      <c r="C2" s="139"/>
      <c r="D2" s="136"/>
      <c r="E2" s="137"/>
      <c r="F2" s="8" t="s">
        <v>74</v>
      </c>
      <c r="G2" s="9" t="s">
        <v>75</v>
      </c>
      <c r="H2" s="149"/>
      <c r="I2" s="9" t="s">
        <v>74</v>
      </c>
      <c r="J2" s="10" t="s">
        <v>75</v>
      </c>
      <c r="K2" s="162"/>
      <c r="L2" s="149"/>
      <c r="M2" s="164"/>
      <c r="N2" s="12" t="s">
        <v>74</v>
      </c>
      <c r="O2" s="12" t="s">
        <v>75</v>
      </c>
      <c r="P2" s="13"/>
      <c r="W2" s="27" t="s">
        <v>76</v>
      </c>
      <c r="X2" s="6" t="s">
        <v>76</v>
      </c>
      <c r="Y2" s="27" t="s">
        <v>76</v>
      </c>
      <c r="Z2" s="27" t="s">
        <v>76</v>
      </c>
      <c r="AA2" s="27" t="s">
        <v>77</v>
      </c>
      <c r="AB2" s="27" t="s">
        <v>77</v>
      </c>
    </row>
    <row r="3" spans="1:28" ht="14.45" customHeight="1" x14ac:dyDescent="0.25">
      <c r="A3" s="80" t="s">
        <v>78</v>
      </c>
      <c r="B3" s="81"/>
      <c r="C3" s="158" t="s">
        <v>79</v>
      </c>
      <c r="D3" s="160" t="s">
        <v>80</v>
      </c>
      <c r="E3" s="160"/>
      <c r="F3" s="152" t="str">
        <f>IF(AND(OR(N3&gt;0,O3&gt;0),N3+O3&lt;=15),"Single restroom okay for 15 or less (IPC 403.2(2))",IF(AND(OR(N3&gt;0,O3&gt;0),N3+O3&gt;Q5),W4,IF(AND(OR(N3&gt;0,O3&gt;0),N3+O3&lt;Q5),W4,IF(Q5&lt;=15,"Single restroom okay for 15 or less (IPC 403.2(2))",W4))))</f>
        <v>Single restroom okay for 15 or less (IPC 403.2(2))</v>
      </c>
      <c r="G3" s="152" t="str">
        <f>IF(F3="Single restroom okay for 15 or less (IPC 403.2(2))","-",X4)</f>
        <v>-</v>
      </c>
      <c r="H3" s="152" t="s">
        <v>181</v>
      </c>
      <c r="I3" s="152">
        <f>Y4</f>
        <v>0</v>
      </c>
      <c r="J3" s="152" t="str">
        <f>IF(F3="Single restroom okay for 15 or less (IPC 403.2(2))","-",Z4)</f>
        <v>-</v>
      </c>
      <c r="K3" s="152" t="s">
        <v>82</v>
      </c>
      <c r="L3" s="152" t="str">
        <f>IF(F3="Single restroom okay for 15 or less (IPC 403.2(2))","15 or less Fountain exempt(IPC 410.2)",AA4)</f>
        <v>15 or less Fountain exempt(IPC 410.2)</v>
      </c>
      <c r="M3" s="153" t="s">
        <v>83</v>
      </c>
      <c r="N3" s="154">
        <v>0</v>
      </c>
      <c r="O3" s="156">
        <f>N3</f>
        <v>0</v>
      </c>
      <c r="P3" s="13"/>
      <c r="Q3" s="140" t="s">
        <v>84</v>
      </c>
      <c r="R3" s="141"/>
      <c r="V3" s="2"/>
      <c r="W3" s="27" t="s">
        <v>85</v>
      </c>
      <c r="X3" s="4" t="s">
        <v>86</v>
      </c>
      <c r="Y3" s="27" t="s">
        <v>85</v>
      </c>
      <c r="Z3" s="4" t="s">
        <v>86</v>
      </c>
      <c r="AA3" s="27" t="s">
        <v>72</v>
      </c>
      <c r="AB3" s="27" t="s">
        <v>73</v>
      </c>
    </row>
    <row r="4" spans="1:28" ht="15.75" thickBot="1" x14ac:dyDescent="0.3">
      <c r="A4" s="82"/>
      <c r="B4" s="83"/>
      <c r="C4" s="159"/>
      <c r="D4" s="111"/>
      <c r="E4" s="111"/>
      <c r="F4" s="112"/>
      <c r="G4" s="112"/>
      <c r="H4" s="112"/>
      <c r="I4" s="112"/>
      <c r="J4" s="112"/>
      <c r="K4" s="112"/>
      <c r="L4" s="112"/>
      <c r="M4" s="114"/>
      <c r="N4" s="155"/>
      <c r="O4" s="157"/>
      <c r="P4" s="13"/>
      <c r="Q4" s="142"/>
      <c r="R4" s="143"/>
      <c r="U4" s="5" t="s">
        <v>87</v>
      </c>
      <c r="V4" t="s">
        <v>88</v>
      </c>
      <c r="W4" s="30">
        <f>IF(N3&gt;0,ROUNDUP((N3/125),0),ROUNDUP((Q8/125),0))</f>
        <v>0</v>
      </c>
      <c r="X4" s="1">
        <f>IF(O3&gt;0,ROUNDUP((O3/65),0),ROUNDUP((R8/65),0))</f>
        <v>0</v>
      </c>
      <c r="Y4" s="32">
        <f>IF(N3&gt;0,ROUNDUP((N3/200),0),ROUNDUP((Q8/200),0))</f>
        <v>0</v>
      </c>
      <c r="Z4" s="1">
        <f>IF(O3&gt;0,ROUNDUP((O3/200),0),ROUNDUP((R8/200),0))</f>
        <v>0</v>
      </c>
      <c r="AA4" s="32">
        <f>IF(OR(N3&gt;0,O3&gt;0),ROUNDUP((N3+O3)/500,0),ROUNDUP(Q5/500,0))</f>
        <v>0</v>
      </c>
      <c r="AB4" s="30" t="s">
        <v>82</v>
      </c>
    </row>
    <row r="5" spans="1:28" ht="19.5" thickBot="1" x14ac:dyDescent="0.3">
      <c r="A5" s="82"/>
      <c r="B5" s="83"/>
      <c r="C5" s="159"/>
      <c r="D5" s="111"/>
      <c r="E5" s="111"/>
      <c r="F5" s="112"/>
      <c r="G5" s="112"/>
      <c r="H5" s="112"/>
      <c r="I5" s="112"/>
      <c r="J5" s="112"/>
      <c r="K5" s="112"/>
      <c r="L5" s="112"/>
      <c r="M5" s="114"/>
      <c r="N5" s="155"/>
      <c r="O5" s="157"/>
      <c r="P5" s="13"/>
      <c r="Q5" s="144">
        <f>'Occupant Calculator'!D34</f>
        <v>0</v>
      </c>
      <c r="R5" s="145"/>
      <c r="U5" s="5" t="s">
        <v>89</v>
      </c>
      <c r="V5" t="s">
        <v>90</v>
      </c>
      <c r="W5" s="30">
        <f>IF(N9&gt;0,ROUNDUP((N9/40),0),ROUNDUP((Q8/40),0))</f>
        <v>0</v>
      </c>
      <c r="X5" s="1">
        <f>IF(O9&gt;0,ROUNDUP((O9/40),0),ROUNDUP((R8/40),0))</f>
        <v>0</v>
      </c>
      <c r="Y5" s="30">
        <f>IF(N9&gt;0,ROUNDUP((N9/75),0),ROUNDUP((Q8/75),0))</f>
        <v>0</v>
      </c>
      <c r="Z5" s="1">
        <f>IF(O9&gt;0,ROUNDUP((O9/75),0),ROUNDUP((R8/75),0))</f>
        <v>0</v>
      </c>
      <c r="AA5" s="32">
        <f>IF(OR(N9&gt;0,O9&gt;0),ROUNDUP((N9+O9)/500,0),ROUNDUP(Q5/500,0))</f>
        <v>0</v>
      </c>
      <c r="AB5" s="30" t="s">
        <v>82</v>
      </c>
    </row>
    <row r="6" spans="1:28" ht="14.45" customHeight="1" x14ac:dyDescent="0.25">
      <c r="A6" s="82"/>
      <c r="B6" s="83"/>
      <c r="C6" s="159"/>
      <c r="D6" s="111"/>
      <c r="E6" s="111"/>
      <c r="F6" s="112"/>
      <c r="G6" s="112"/>
      <c r="H6" s="112"/>
      <c r="I6" s="112"/>
      <c r="J6" s="112"/>
      <c r="K6" s="112"/>
      <c r="L6" s="112"/>
      <c r="M6" s="114"/>
      <c r="N6" s="155"/>
      <c r="O6" s="157"/>
      <c r="Q6" s="1"/>
      <c r="R6" s="1"/>
      <c r="U6" s="5" t="s">
        <v>91</v>
      </c>
      <c r="V6" t="s">
        <v>90</v>
      </c>
      <c r="W6" s="30">
        <f>IF(N15&gt;0,ROUNDUP((N15/75),0),ROUNDUP((Q8/75),0))</f>
        <v>0</v>
      </c>
      <c r="X6" s="1">
        <f>IF(O15&gt;0,ROUNDUP((O15/75),0),ROUNDUP((R8/75),0))</f>
        <v>0</v>
      </c>
      <c r="Y6" s="30">
        <f>IF(N15&gt;0,ROUNDUP((N15/200),0),ROUNDUP((Q8/200),0))</f>
        <v>0</v>
      </c>
      <c r="Z6" s="1">
        <f>IF(O15&gt;0,ROUNDUP((O15/200),0),ROUNDUP((R8/200),0))</f>
        <v>0</v>
      </c>
      <c r="AA6" s="32">
        <f>IF(OR(N15&gt;0,O15&gt;0),ROUNDUP((N15+O15)/500,0),ROUNDUP(Q5/500,0))</f>
        <v>0</v>
      </c>
      <c r="AB6" s="30" t="s">
        <v>82</v>
      </c>
    </row>
    <row r="7" spans="1:28" ht="15.75" x14ac:dyDescent="0.25">
      <c r="A7" s="82"/>
      <c r="B7" s="83"/>
      <c r="C7" s="159"/>
      <c r="D7" s="111"/>
      <c r="E7" s="111"/>
      <c r="F7" s="112"/>
      <c r="G7" s="112"/>
      <c r="H7" s="112"/>
      <c r="I7" s="112"/>
      <c r="J7" s="112"/>
      <c r="K7" s="112"/>
      <c r="L7" s="112"/>
      <c r="M7" s="114"/>
      <c r="N7" s="155"/>
      <c r="O7" s="157"/>
      <c r="Q7" s="15" t="s">
        <v>74</v>
      </c>
      <c r="R7" s="15" t="s">
        <v>75</v>
      </c>
      <c r="U7" s="5" t="s">
        <v>92</v>
      </c>
      <c r="V7" t="s">
        <v>93</v>
      </c>
      <c r="W7" s="30">
        <f>IF(N21&gt;0,ROUNDUP((N21/125),0),ROUNDUP((Q8/125),0))</f>
        <v>0</v>
      </c>
      <c r="X7" s="1">
        <f>IF(O21&gt;0,ROUNDUP((O21/65),0),ROUNDUP((R8/65),0))</f>
        <v>0</v>
      </c>
      <c r="Y7" s="32">
        <f>IF(N21&gt;0,ROUNDUP((N21/200),0),ROUNDUP((Q8/200),0))</f>
        <v>0</v>
      </c>
      <c r="Z7" s="1">
        <f>IF(O21&gt;0,ROUNDUP((O21/200),0),ROUNDUP((R8/200),0))</f>
        <v>0</v>
      </c>
      <c r="AA7" s="32">
        <f>IF(OR(N21&gt;0,O21&gt;0),ROUNDUP((N21+O21)/500,0),ROUNDUP(Q5/500,0))</f>
        <v>0</v>
      </c>
      <c r="AB7" s="30" t="s">
        <v>82</v>
      </c>
    </row>
    <row r="8" spans="1:28" ht="16.149999999999999" customHeight="1" x14ac:dyDescent="0.25">
      <c r="A8" s="82"/>
      <c r="B8" s="83"/>
      <c r="C8" s="159"/>
      <c r="D8" s="111"/>
      <c r="E8" s="111"/>
      <c r="F8" s="112"/>
      <c r="G8" s="112"/>
      <c r="H8" s="112"/>
      <c r="I8" s="112"/>
      <c r="J8" s="112"/>
      <c r="K8" s="112"/>
      <c r="L8" s="112"/>
      <c r="M8" s="98"/>
      <c r="N8" s="155"/>
      <c r="O8" s="157"/>
      <c r="Q8" s="16">
        <f>ROUNDUP((Q5/2),1)</f>
        <v>0</v>
      </c>
      <c r="R8" s="16">
        <f>ROUNDUP((Q5/2),1)</f>
        <v>0</v>
      </c>
      <c r="U8" s="5" t="s">
        <v>94</v>
      </c>
      <c r="V8" t="s">
        <v>93</v>
      </c>
      <c r="W8" s="30">
        <f>IF(AND(N31&gt;0,N31&lt;=400),(ROUNDUP(N31/100,0)),IF(N31&gt;400,(ROUNDUP(N31/250,0))+3,IF(AND(Q8&gt;0,Q8&lt;=400),(ROUNDUP(Q8/100,0)),IF(Q8&gt;400,(ROUNDUP(Q8/250,0))+3,0))))</f>
        <v>0</v>
      </c>
      <c r="X8" s="1">
        <f>IF(AND(O31&gt;0,O31&lt;=400),(ROUNDUP(O31/50,0)),IF(O31&gt;400,(ROUNDUP(O31/150,0))+5,IF(AND(R8&gt;0,R8&lt;=400),(ROUNDUP(R8/50,0)),IF(R8&gt;400,(ROUNDUP(R8/150,0))+5,0))))</f>
        <v>0</v>
      </c>
      <c r="Y8" s="30">
        <f>IF(AND(N31&gt;0,N31&lt;=250),1,IF(AND(N31&gt;250,N31&lt;=500),2,IF(AND(N31&gt;500,N31&lt;=750),3,IF(N31&gt;750,(ROUNDUP(N31/500,0)+2),IF(AND(Q8&gt;0,Q8&lt;=250),1,IF(AND(Q8&gt;250,Q8&lt;=500),2,IF(AND(Q8&gt;500,Q8&lt;=750),3,IF(Q8&gt;750,(ROUNDUP(Q8/500,0)+2),0))))))))</f>
        <v>0</v>
      </c>
      <c r="Z8" s="1">
        <f>IF(AND(O31&gt;0,O31&lt;=250),1,IF(AND(O31&gt;250,O31&lt;=500),2,IF(AND(O31&gt;500,O31&lt;=750),3,IF(O31&gt;750,(ROUNDUP(O31/500,0)+2),IF(AND(R8&gt;0,R8&lt;=250),1,IF(AND(R8&gt;250,R8&lt;=500),2,IF(AND(R8&gt;500,R8&lt;=750),3,IF(R8&gt;750,(ROUNDUP(R8/500,0)+2),0))))))))</f>
        <v>0</v>
      </c>
      <c r="AA8" s="32">
        <f>IF(OR(N31&gt;0,O31&gt;0),ROUNDUP((N31+O31)/1000,0),ROUNDUP(Q5/1000,0))</f>
        <v>0</v>
      </c>
      <c r="AB8" s="30" t="s">
        <v>82</v>
      </c>
    </row>
    <row r="9" spans="1:28" ht="14.45" customHeight="1" x14ac:dyDescent="0.25">
      <c r="A9" s="82"/>
      <c r="B9" s="83"/>
      <c r="C9" s="110" t="s">
        <v>95</v>
      </c>
      <c r="D9" s="111" t="s">
        <v>96</v>
      </c>
      <c r="E9" s="111"/>
      <c r="F9" s="112" t="str">
        <f>IF(AND(OR(N9&gt;0,O9&gt;0),N9+O9&lt;=15),"Single restroom okay for 15 or less (IPC 403.2(2))",IF(AND(OR(N9&gt;0,O9&gt;0),N9+O9&gt;Q5),W5,IF(AND(OR(N9&gt;0,O9&gt;0),N9+O9&lt;Q5),W5,IF(Q5&lt;=15,"Single restroom okay for 15 or less (IPC 403.2(2))",W5))))</f>
        <v>Single restroom okay for 15 or less (IPC 403.2(2))</v>
      </c>
      <c r="G9" s="112" t="str">
        <f>IF(F9="Single restroom okay for 15 or less (IPC 403.2(2))","-",X5)</f>
        <v>-</v>
      </c>
      <c r="H9" s="112" t="s">
        <v>181</v>
      </c>
      <c r="I9" s="112">
        <f>Y5</f>
        <v>0</v>
      </c>
      <c r="J9" s="112" t="str">
        <f>IF(F9="Single restroom okay for 15 or less (IPC 403.2(2))","-",Z5)</f>
        <v>-</v>
      </c>
      <c r="K9" s="112" t="s">
        <v>82</v>
      </c>
      <c r="L9" s="112" t="str">
        <f>IF(F9="Single restroom okay for 15 or less (IPC 403.2(2))","15 or less Fountain exempt(IPC 410.2)",AA5)</f>
        <v>15 or less Fountain exempt(IPC 410.2)</v>
      </c>
      <c r="M9" s="114" t="s">
        <v>83</v>
      </c>
      <c r="N9" s="118">
        <v>0</v>
      </c>
      <c r="O9" s="119">
        <f>N9</f>
        <v>0</v>
      </c>
      <c r="U9" s="5" t="s">
        <v>97</v>
      </c>
      <c r="V9" t="s">
        <v>93</v>
      </c>
      <c r="W9" s="30">
        <f>IF(N37&gt;0,ROUNDUP((N37/50),0),ROUNDUP((Q8/500),0))</f>
        <v>0</v>
      </c>
      <c r="X9" s="1">
        <f>ROUNDUP((R8/500),0)</f>
        <v>0</v>
      </c>
      <c r="Y9" s="30">
        <f>IF(N37&gt;0,ROUNDUP((N37/750),0),ROUNDUP((Q8/750),0))</f>
        <v>0</v>
      </c>
      <c r="Z9" s="1">
        <f>IF(O37&gt;0,ROUNDUP((O37/750),0),ROUNDUP((R8/750),0))</f>
        <v>0</v>
      </c>
      <c r="AA9" s="32">
        <f>IF(OR(N37&gt;0,O37&gt;0),ROUNDUP((N37+O37)/1000,0),ROUNDUP(Q5/1000,0))</f>
        <v>0</v>
      </c>
      <c r="AB9" s="30" t="s">
        <v>82</v>
      </c>
    </row>
    <row r="10" spans="1:28" x14ac:dyDescent="0.25">
      <c r="A10" s="82"/>
      <c r="B10" s="83"/>
      <c r="C10" s="110"/>
      <c r="D10" s="111"/>
      <c r="E10" s="111"/>
      <c r="F10" s="112"/>
      <c r="G10" s="112"/>
      <c r="H10" s="112"/>
      <c r="I10" s="112"/>
      <c r="J10" s="112"/>
      <c r="K10" s="112"/>
      <c r="L10" s="112"/>
      <c r="M10" s="114"/>
      <c r="N10" s="118"/>
      <c r="O10" s="119"/>
      <c r="U10" s="5" t="s">
        <v>98</v>
      </c>
      <c r="V10" t="s">
        <v>93</v>
      </c>
      <c r="W10" s="30">
        <f>IF(N43&gt;0,ROUNDUP((N43/150),0),ROUNDUP((Q8/150),0))</f>
        <v>0</v>
      </c>
      <c r="X10" s="1">
        <f>ROUNDUP((R8/75),0)</f>
        <v>0</v>
      </c>
      <c r="Y10" s="30">
        <f>IF(N43&gt;0,ROUNDUP((N43/200),0),ROUNDUP((Q8/200),0))</f>
        <v>0</v>
      </c>
      <c r="Z10" s="1">
        <f>IF(O43&gt;0,ROUNDUP((O43/200),0),ROUNDUP((R8/200),0))</f>
        <v>0</v>
      </c>
      <c r="AA10" s="32">
        <f>IF(OR(N43&gt;0,O43&gt;0),ROUNDUP((N43+O43)/1000,0),ROUNDUP(Q5/1000,0))</f>
        <v>0</v>
      </c>
      <c r="AB10" s="30" t="s">
        <v>82</v>
      </c>
    </row>
    <row r="11" spans="1:28" x14ac:dyDescent="0.25">
      <c r="A11" s="82"/>
      <c r="B11" s="83"/>
      <c r="C11" s="110"/>
      <c r="D11" s="111"/>
      <c r="E11" s="111"/>
      <c r="F11" s="112"/>
      <c r="G11" s="112"/>
      <c r="H11" s="112"/>
      <c r="I11" s="112"/>
      <c r="J11" s="112"/>
      <c r="K11" s="112"/>
      <c r="L11" s="112"/>
      <c r="M11" s="114"/>
      <c r="N11" s="118"/>
      <c r="O11" s="119"/>
      <c r="U11" s="5" t="s">
        <v>99</v>
      </c>
      <c r="V11" t="s">
        <v>100</v>
      </c>
      <c r="W11" s="30">
        <f>IF(AND(N49&gt;0,N49&lt;=1500),(ROUNDUP(N49/75,0)),IF(N49&gt;1500,(ROUNDUP(N49/120,0))+8,IF(AND(Q8&gt;0,Q8&lt;=1500),(ROUNDUP(Q8/75,0)),IF(Q8&gt;1500,(ROUNDUP(Q8/120,0))+8,0))))</f>
        <v>0</v>
      </c>
      <c r="X11" s="1">
        <f>IF(AND(O49&gt;0,O49&lt;=1520),(ROUNDUP(O49/40,0)),IF(O49&gt;1520,(ROUNDUP(O49/60,0))+12,IF(AND(R8&gt;0,R8&lt;=1520),(ROUNDUP(R8/40,0)),IF(R8&gt;1520,(ROUNDUP(R8/60,0))+12,0))))</f>
        <v>0</v>
      </c>
      <c r="Y11" s="30">
        <f>IF(N49&lt;0,ROUNDUP((N49/200),0),ROUNDUP((Q8/200),0))</f>
        <v>0</v>
      </c>
      <c r="Z11" s="1">
        <f>IF(O49&gt;0,ROUNDUP((O49/150),0),ROUNDUP((R8/150),0))</f>
        <v>0</v>
      </c>
      <c r="AA11" s="32">
        <f>IF(OR(N49&gt;0,O49&gt;0),ROUNDUP((N49+O49)/1000,0),ROUNDUP(Q5/1000,0))</f>
        <v>0</v>
      </c>
      <c r="AB11" s="30" t="s">
        <v>82</v>
      </c>
    </row>
    <row r="12" spans="1:28" x14ac:dyDescent="0.25">
      <c r="A12" s="82"/>
      <c r="B12" s="83"/>
      <c r="C12" s="110"/>
      <c r="D12" s="111"/>
      <c r="E12" s="111"/>
      <c r="F12" s="112"/>
      <c r="G12" s="112"/>
      <c r="H12" s="112"/>
      <c r="I12" s="112"/>
      <c r="J12" s="112"/>
      <c r="K12" s="112"/>
      <c r="L12" s="112"/>
      <c r="M12" s="114"/>
      <c r="N12" s="118"/>
      <c r="O12" s="119"/>
      <c r="U12" s="5" t="s">
        <v>101</v>
      </c>
      <c r="V12" t="s">
        <v>102</v>
      </c>
      <c r="W12" s="30">
        <f>IF(AND(N55&gt;0,N55&lt;=1500),(ROUNDUP(N55/75,0)),IF(N55&gt;1500,(ROUNDUP(N55/120,0))+8,IF(AND(Q8&gt;0,Q8&lt;=1500),(ROUNDUP(Q8/75,0)),IF(Q8&gt;1500,(ROUNDUP(Q8/120,0))+8,0))))</f>
        <v>0</v>
      </c>
      <c r="X12" s="1">
        <f>IF(AND(O55&gt;0,O55&lt;=1520),(ROUNDUP(O55/40,0)),IF(O55&gt;1520,(ROUNDUP(O55/60,0))+12,IF(AND(R8&gt;0,R8&lt;=1520),(ROUNDUP(R8/40,0)),IF(R8&gt;1520,(ROUNDUP(R8/60,0))+12,0))))</f>
        <v>0</v>
      </c>
      <c r="Y12" s="30">
        <f>IF(N55&gt;0,ROUNDUP((N55/200),0),ROUNDUP((Q8/200),0))</f>
        <v>0</v>
      </c>
      <c r="Z12" s="1">
        <f>IF(O55&gt;0,ROUNDUP((O55/150),0),ROUNDUP((R8/150),0))</f>
        <v>0</v>
      </c>
      <c r="AA12" s="32">
        <f>IF(OR(N55&gt;0,O55&gt;0),ROUNDUP((N55+O55)/1000,0),ROUNDUP(Q5/1000,0))</f>
        <v>0</v>
      </c>
      <c r="AB12" s="30" t="s">
        <v>82</v>
      </c>
    </row>
    <row r="13" spans="1:28" x14ac:dyDescent="0.25">
      <c r="A13" s="82"/>
      <c r="B13" s="83"/>
      <c r="C13" s="110"/>
      <c r="D13" s="111"/>
      <c r="E13" s="111"/>
      <c r="F13" s="112"/>
      <c r="G13" s="112"/>
      <c r="H13" s="112"/>
      <c r="I13" s="112"/>
      <c r="J13" s="112"/>
      <c r="K13" s="112"/>
      <c r="L13" s="112"/>
      <c r="M13" s="114"/>
      <c r="N13" s="118"/>
      <c r="O13" s="119"/>
      <c r="U13" s="5" t="s">
        <v>103</v>
      </c>
      <c r="V13" t="s">
        <v>104</v>
      </c>
      <c r="W13" s="30">
        <f>IF(AND(N62&gt;0,N62&lt;=25),1,IF(AND(N62&gt;25,N62&lt;=50),2,IF(N62&gt;50,(ROUNDUP(N62/50,0)+1),IF(AND(Q8&gt;0,Q8&lt;=25),1,IF(AND(Q8&gt;25,Q8&lt;=50),2,IF(Q8&gt;50,(ROUNDUP(Q8/50,0)+1),0))))))</f>
        <v>0</v>
      </c>
      <c r="X13" s="1">
        <f>IF(AND(O62&gt;0,O62&lt;=25),1,IF(AND(O62&gt;25,O62&lt;=50),2,IF(O62&gt;50,(ROUNDUP(O62/50,0)+1),IF(AND(R8&gt;0,R8&lt;=25),1,IF(AND(R8&gt;25,R8&lt;=50),2,IF(R8&gt;50,(ROUNDUP(R8/50,0)+1),0))))))</f>
        <v>0</v>
      </c>
      <c r="Y13" s="30">
        <f>IF(AND(N62&gt;0,N62&lt;=40),1,IF(AND(N62&gt;40,N62&lt;=80),2,IF(N62&gt;80,(ROUNDUP(N62/80,0)+1),IF(AND(Q8&gt;0,Q8&lt;=40),1,IF(AND(Q8&gt;40,Q8&lt;=80),2,IF(Q8&gt;80,(ROUNDUP(Q8/80,0)+1),0))))))</f>
        <v>0</v>
      </c>
      <c r="Z13" s="1">
        <f>IF(AND(O62&gt;0,O62&lt;=40),1,IF(AND(O62&gt;40,O62&lt;=80),2,IF(O62&gt;80,(ROUNDUP(O62/80,0)+1),IF(AND(R8&gt;0,R8&lt;=40),1,IF(AND(R8&gt;40,R8&lt;=80),2,IF(R8&gt;80,(ROUNDUP(R8/80,0)+1),0))))))</f>
        <v>0</v>
      </c>
      <c r="AA13" s="32">
        <f>IF(OR(N62&gt;0,O62&gt;0),ROUNDUP((N62+O62)/100,0),ROUNDUP(Q5/100,0))</f>
        <v>0</v>
      </c>
      <c r="AB13" s="30" t="s">
        <v>82</v>
      </c>
    </row>
    <row r="14" spans="1:28" x14ac:dyDescent="0.25">
      <c r="A14" s="82"/>
      <c r="B14" s="83"/>
      <c r="C14" s="110"/>
      <c r="D14" s="111"/>
      <c r="E14" s="111"/>
      <c r="F14" s="112"/>
      <c r="G14" s="112"/>
      <c r="H14" s="112"/>
      <c r="I14" s="112"/>
      <c r="J14" s="112"/>
      <c r="K14" s="112"/>
      <c r="L14" s="112"/>
      <c r="M14" s="114"/>
      <c r="N14" s="118"/>
      <c r="O14" s="119"/>
      <c r="U14" s="5" t="s">
        <v>105</v>
      </c>
      <c r="V14" t="s">
        <v>106</v>
      </c>
      <c r="W14" s="30">
        <f>IF(N74&gt;0,ROUNDUP((N74/50),0),ROUNDUP((Q8/50),0))</f>
        <v>0</v>
      </c>
      <c r="X14" s="1">
        <f>IF(O74&gt;0,ROUNDUP((O74/50),0),ROUNDUP((R8/50),0))</f>
        <v>0</v>
      </c>
      <c r="Y14" s="30">
        <f>IF(N74&gt;0,ROUNDUP((N74/50),0),ROUNDUP((Q8/50),0))</f>
        <v>0</v>
      </c>
      <c r="Z14" s="1">
        <f>IF(O74&gt;0,ROUNDUP((O74/50),0),ROUNDUP((R8/50),0))</f>
        <v>0</v>
      </c>
      <c r="AA14" s="32">
        <f>IF(OR(N74&gt;0,O74&gt;0),ROUNDUP((N74+O74)/100,0),ROUNDUP(Q5/100,0))</f>
        <v>0</v>
      </c>
      <c r="AB14" s="30" t="s">
        <v>82</v>
      </c>
    </row>
    <row r="15" spans="1:28" ht="14.45" customHeight="1" x14ac:dyDescent="0.25">
      <c r="A15" s="82"/>
      <c r="B15" s="83"/>
      <c r="C15" s="110"/>
      <c r="D15" s="111" t="s">
        <v>107</v>
      </c>
      <c r="E15" s="111"/>
      <c r="F15" s="112" t="str">
        <f>IF(AND(OR(N15&gt;0,O15&gt;0),N15+O15&lt;=15),"Single restroom okay for 15 or less (IPC 403.2(2))",IF(AND(OR(N15&gt;0,O15&gt;0),N15+O15&gt;Q5),W6,IF(AND(OR(N15&gt;0,O15&gt;0),N15+O15&lt;Q5),W6,IF(Q5&lt;=15,"Single restroom okay for 15 or less (IPC 403.2(2))",W6))))</f>
        <v>Single restroom okay for 15 or less (IPC 403.2(2))</v>
      </c>
      <c r="G15" s="112" t="str">
        <f>IF(F15="Single restroom okay for 15 or less (IPC 403.2(2))","-",X6)</f>
        <v>-</v>
      </c>
      <c r="H15" s="112" t="s">
        <v>181</v>
      </c>
      <c r="I15" s="112">
        <f>Y6</f>
        <v>0</v>
      </c>
      <c r="J15" s="112" t="str">
        <f>IF(F15="Single restroom okay for 15 or less (IPC 403.2(2))","-",Z6)</f>
        <v>-</v>
      </c>
      <c r="K15" s="112" t="s">
        <v>82</v>
      </c>
      <c r="L15" s="112" t="str">
        <f>IF(F15="Single restroom okay for 15 or less (IPC 403.2(2))","15 or less Fountain exempt(IPC 410.2)",AA6)</f>
        <v>15 or less Fountain exempt(IPC 410.2)</v>
      </c>
      <c r="M15" s="121" t="s">
        <v>83</v>
      </c>
      <c r="N15" s="96">
        <v>0</v>
      </c>
      <c r="O15" s="97">
        <f>N15</f>
        <v>0</v>
      </c>
      <c r="U15" s="5" t="s">
        <v>108</v>
      </c>
      <c r="V15" t="s">
        <v>109</v>
      </c>
      <c r="W15" s="30">
        <f>IF(N80&gt;0,ROUNDUP((N80/100),0),ROUNDUP((Q8/100),0))</f>
        <v>0</v>
      </c>
      <c r="X15" s="1">
        <f>IF(O80&gt;0,ROUNDUP((O80/100),0),ROUNDUP((R8/100),0))</f>
        <v>0</v>
      </c>
      <c r="Y15" s="30">
        <f>IF(N80&gt;0,ROUNDUP((N80/100),0),ROUNDUP((Q8/100),0))</f>
        <v>0</v>
      </c>
      <c r="Z15" s="1">
        <f>IF(O80&gt;0,ROUNDUP((O80/100),0),ROUNDUP((R8/100),0))</f>
        <v>0</v>
      </c>
      <c r="AA15" s="32">
        <f>IF(OR(N80&gt;0,O80&gt;0),ROUNDUP((N80+O80)/400,0),ROUNDUP(Q5/400,0))</f>
        <v>0</v>
      </c>
      <c r="AB15" s="30" t="s">
        <v>110</v>
      </c>
    </row>
    <row r="16" spans="1:28" x14ac:dyDescent="0.25">
      <c r="A16" s="82"/>
      <c r="B16" s="83"/>
      <c r="C16" s="110"/>
      <c r="D16" s="111"/>
      <c r="E16" s="111"/>
      <c r="F16" s="112"/>
      <c r="G16" s="112"/>
      <c r="H16" s="112"/>
      <c r="I16" s="112"/>
      <c r="J16" s="112"/>
      <c r="K16" s="112"/>
      <c r="L16" s="112"/>
      <c r="M16" s="114"/>
      <c r="N16" s="96"/>
      <c r="O16" s="97"/>
      <c r="U16" s="5" t="s">
        <v>111</v>
      </c>
      <c r="V16" t="s">
        <v>112</v>
      </c>
      <c r="W16" s="30">
        <f>IF(N87&gt;0,ROUNDUP((N87/10),0),ROUNDUP((Q8/10),0))</f>
        <v>0</v>
      </c>
      <c r="X16" s="1">
        <f>IF(O87&gt;0,ROUNDUP((O87/10),0),ROUNDUP((R8/10),0))</f>
        <v>0</v>
      </c>
      <c r="Y16" s="30">
        <f>IF(N87&gt;0,ROUNDUP((N87/10),0),ROUNDUP((Q8/10),0))</f>
        <v>0</v>
      </c>
      <c r="Z16" s="1">
        <f>IF(O87&gt;0,ROUNDUP((O87/10),0),ROUNDUP((R8/10),0))</f>
        <v>0</v>
      </c>
      <c r="AA16" s="32">
        <f>IF(OR(N87&gt;0,O87&gt;0),ROUNDUP((N87+O87)/100,0),ROUNDUP(Q5/100,0))</f>
        <v>0</v>
      </c>
      <c r="AB16" s="30">
        <f>IF(OR(N87&gt;0,O87&gt;0),ROUNDUP((N87+O87)/8,0),ROUNDUP(Q5/8,0))</f>
        <v>0</v>
      </c>
    </row>
    <row r="17" spans="1:28" ht="14.45" customHeight="1" x14ac:dyDescent="0.25">
      <c r="A17" s="82"/>
      <c r="B17" s="83"/>
      <c r="C17" s="110"/>
      <c r="D17" s="111"/>
      <c r="E17" s="111"/>
      <c r="F17" s="112"/>
      <c r="G17" s="112"/>
      <c r="H17" s="112"/>
      <c r="I17" s="112"/>
      <c r="J17" s="112"/>
      <c r="K17" s="112"/>
      <c r="L17" s="112"/>
      <c r="M17" s="114"/>
      <c r="N17" s="96"/>
      <c r="O17" s="97"/>
      <c r="U17" s="5" t="s">
        <v>113</v>
      </c>
      <c r="V17" t="s">
        <v>114</v>
      </c>
      <c r="W17" s="30">
        <f>IF(N96&gt;0,ROUNDUP((N96/25),0),ROUNDUP((Q8/25),0))</f>
        <v>0</v>
      </c>
      <c r="X17" s="1">
        <f>IF(O96&gt;0,ROUNDUP((O96/25),0),ROUNDUP((R8/25),0))</f>
        <v>0</v>
      </c>
      <c r="Y17" s="30">
        <f>IF(N96&gt;0,ROUNDUP((N96/35),0),ROUNDUP((Q8/35),0))</f>
        <v>0</v>
      </c>
      <c r="Z17" s="1">
        <f>IF(O96&gt;0,ROUNDUP((O96/35),0),ROUNDUP((R8/35),0))</f>
        <v>0</v>
      </c>
      <c r="AA17" s="32">
        <f>IF(OR(N96&gt;0,O96&gt;0),ROUNDUP((N96+O96)/100,0),ROUNDUP(Q5/100,0))</f>
        <v>0</v>
      </c>
      <c r="AB17" s="30" t="s">
        <v>82</v>
      </c>
    </row>
    <row r="18" spans="1:28" x14ac:dyDescent="0.25">
      <c r="A18" s="82"/>
      <c r="B18" s="83"/>
      <c r="C18" s="110"/>
      <c r="D18" s="111"/>
      <c r="E18" s="111"/>
      <c r="F18" s="112"/>
      <c r="G18" s="112"/>
      <c r="H18" s="112"/>
      <c r="I18" s="112"/>
      <c r="J18" s="112"/>
      <c r="K18" s="112"/>
      <c r="L18" s="112"/>
      <c r="M18" s="114"/>
      <c r="N18" s="96"/>
      <c r="O18" s="97"/>
      <c r="U18" s="5" t="s">
        <v>115</v>
      </c>
      <c r="V18" t="s">
        <v>114</v>
      </c>
      <c r="W18" s="30">
        <f>IF(N102&gt;0,ROUNDUP((N102/75),0),ROUNDUP((Q8/75),0))</f>
        <v>0</v>
      </c>
      <c r="X18" s="1">
        <f>IF(O102&gt;0,ROUNDUP((O102/75),0),ROUNDUP((R8/75),0))</f>
        <v>0</v>
      </c>
      <c r="Y18" s="30">
        <f>IF(N102&gt;0,ROUNDUP((N102/100),0),ROUNDUP((Q8/100),0))</f>
        <v>0</v>
      </c>
      <c r="Z18" s="1">
        <f>IF(O102&gt;0,ROUNDUP((O102/100),0),ROUNDUP((R8/100),0))</f>
        <v>0</v>
      </c>
      <c r="AA18" s="32">
        <f>IF(OR(N102&gt;0,O102&gt;0),ROUNDUP((N102+O102)/500,0),ROUNDUP(Q5/500,0))</f>
        <v>0</v>
      </c>
      <c r="AB18" s="30" t="s">
        <v>82</v>
      </c>
    </row>
    <row r="19" spans="1:28" x14ac:dyDescent="0.25">
      <c r="A19" s="82"/>
      <c r="B19" s="83"/>
      <c r="C19" s="110"/>
      <c r="D19" s="111"/>
      <c r="E19" s="111"/>
      <c r="F19" s="112"/>
      <c r="G19" s="112"/>
      <c r="H19" s="112"/>
      <c r="I19" s="112"/>
      <c r="J19" s="112"/>
      <c r="K19" s="112"/>
      <c r="L19" s="112"/>
      <c r="M19" s="114"/>
      <c r="N19" s="96"/>
      <c r="O19" s="97"/>
      <c r="U19" s="5" t="s">
        <v>116</v>
      </c>
      <c r="V19" t="s">
        <v>117</v>
      </c>
      <c r="W19" s="30">
        <f>IF(N111&gt;0,ROUNDUP((N111/15),0),ROUNDUP((Q8/15),0))</f>
        <v>0</v>
      </c>
      <c r="X19" s="1">
        <f>IF(O111&gt;0,ROUNDUP((O111/15),0),ROUNDUP((R8/15),0))</f>
        <v>0</v>
      </c>
      <c r="Y19" s="30">
        <f>IF(N111&gt;0,ROUNDUP((N111/15),0),ROUNDUP((Q8/15),0))</f>
        <v>0</v>
      </c>
      <c r="Z19" s="1">
        <f>IF(O111&gt;0,ROUNDUP((O111/15),0),ROUNDUP((R8/15),0))</f>
        <v>0</v>
      </c>
      <c r="AA19" s="32">
        <f>IF(OR(N111&gt;0,O111&gt;0),ROUNDUP((N111+O111)/100,0),ROUNDUP(Q5/100,0))</f>
        <v>0</v>
      </c>
      <c r="AB19" s="30">
        <f>IF(OR(N111&gt;0,O111&gt;0),ROUNDUP((N111+O111)/15,0),ROUNDUP(Q5/15,0))</f>
        <v>0</v>
      </c>
    </row>
    <row r="20" spans="1:28" x14ac:dyDescent="0.25">
      <c r="A20" s="82"/>
      <c r="B20" s="83"/>
      <c r="C20" s="110"/>
      <c r="D20" s="111"/>
      <c r="E20" s="111"/>
      <c r="F20" s="112"/>
      <c r="G20" s="112"/>
      <c r="H20" s="112"/>
      <c r="I20" s="112"/>
      <c r="J20" s="112"/>
      <c r="K20" s="112"/>
      <c r="L20" s="112"/>
      <c r="M20" s="114"/>
      <c r="N20" s="96"/>
      <c r="O20" s="97"/>
      <c r="U20" s="5" t="s">
        <v>113</v>
      </c>
      <c r="V20" t="s">
        <v>117</v>
      </c>
      <c r="W20" s="30">
        <f>IF(N117&gt;0,ROUNDUP((N117/25),0),ROUNDUP((Q8/25),0))</f>
        <v>0</v>
      </c>
      <c r="X20" s="1">
        <f>IF(O117&gt;0,ROUNDUP((O117/25),0),ROUNDUP((R8/25),0))</f>
        <v>0</v>
      </c>
      <c r="Y20" s="30">
        <f>IF(N117&gt;0,ROUNDUP((N117/35),0),ROUNDUP((Q8/35),0))</f>
        <v>0</v>
      </c>
      <c r="Z20" s="1">
        <f>IF(O117&gt;0,ROUNDUP((O117/35),0),ROUNDUP((R8/35),0))</f>
        <v>0</v>
      </c>
      <c r="AA20" s="32">
        <f>IF(OR(N117&gt;0,O117&gt;0),ROUNDUP((N117+O117)/100,0),ROUNDUP(Q5/100,0))</f>
        <v>0</v>
      </c>
      <c r="AB20" s="30" t="s">
        <v>82</v>
      </c>
    </row>
    <row r="21" spans="1:28" ht="14.45" customHeight="1" x14ac:dyDescent="0.25">
      <c r="A21" s="82"/>
      <c r="B21" s="83"/>
      <c r="C21" s="110" t="s">
        <v>118</v>
      </c>
      <c r="D21" s="111" t="s">
        <v>119</v>
      </c>
      <c r="E21" s="111"/>
      <c r="F21" s="112" t="str">
        <f>IF(AND(OR(N21&gt;0,O21&gt;0),N21+O21&lt;=15),"Single restroom okay for 15 or less (IPC 403.2(2))",IF(AND(OR(N21&gt;0,O21&gt;0),N21+O21&gt;Q5),W7,IF(AND(OR(N21&gt;0,O21&gt;0),N21+O21&lt;Q5),W7,IF(Q5&lt;=15,"Single restroom okay for 15 or less (IPC 403.2(2))",W7))))</f>
        <v>Single restroom okay for 15 or less (IPC 403.2(2))</v>
      </c>
      <c r="G21" s="112" t="str">
        <f>IF(F21="Single restroom okay for 15 or less (IPC 403.2(2))","-",X7)</f>
        <v>-</v>
      </c>
      <c r="H21" s="112" t="s">
        <v>181</v>
      </c>
      <c r="I21" s="112">
        <f>Y7</f>
        <v>0</v>
      </c>
      <c r="J21" s="112" t="str">
        <f>IF(F21="Single restroom okay for 15 or less (IPC 403.2(2))","-",Z7)</f>
        <v>-</v>
      </c>
      <c r="K21" s="112" t="s">
        <v>82</v>
      </c>
      <c r="L21" s="112" t="str">
        <f>IF(F21="Single restroom okay for 15 or less (IPC 403.2(2))","15 or less Fountain exempt(IPC 410.2)",AA7)</f>
        <v>15 or less Fountain exempt(IPC 410.2)</v>
      </c>
      <c r="M21" s="114" t="s">
        <v>83</v>
      </c>
      <c r="N21" s="96">
        <v>0</v>
      </c>
      <c r="O21" s="97">
        <f>N21</f>
        <v>0</v>
      </c>
      <c r="U21" s="5" t="s">
        <v>120</v>
      </c>
      <c r="V21" t="s">
        <v>121</v>
      </c>
      <c r="W21" s="30">
        <f>IF(N123&gt;0,ROUNDUP((N123/15),0),ROUNDUP((Q8/15),0))</f>
        <v>0</v>
      </c>
      <c r="X21" s="1">
        <f>IF(O123&gt;0,ROUNDUP((O123/15),0),ROUNDUP((R8/15),0))</f>
        <v>0</v>
      </c>
      <c r="Y21" s="30">
        <f>IF(N123&gt;0,ROUNDUP((N123/15),0),ROUNDUP((Q8/15),0))</f>
        <v>0</v>
      </c>
      <c r="Z21" s="1">
        <f>IF(O123&gt;0,ROUNDUP((O123/15),0),ROUNDUP((R8/15),0))</f>
        <v>0</v>
      </c>
      <c r="AA21" s="32">
        <f>IF(OR(N123&gt;0,O123&gt;0),ROUNDUP((N123+O123)/100,0),ROUNDUP(Q5/100,0))</f>
        <v>0</v>
      </c>
      <c r="AB21" s="30">
        <v>1</v>
      </c>
    </row>
    <row r="22" spans="1:28" ht="14.45" customHeight="1" x14ac:dyDescent="0.25">
      <c r="A22" s="82"/>
      <c r="B22" s="83"/>
      <c r="C22" s="110"/>
      <c r="D22" s="111"/>
      <c r="E22" s="111"/>
      <c r="F22" s="112"/>
      <c r="G22" s="112"/>
      <c r="H22" s="112"/>
      <c r="I22" s="112"/>
      <c r="J22" s="112"/>
      <c r="K22" s="112"/>
      <c r="L22" s="112"/>
      <c r="M22" s="114"/>
      <c r="N22" s="96"/>
      <c r="O22" s="97"/>
      <c r="U22" s="5" t="s">
        <v>122</v>
      </c>
      <c r="V22" t="s">
        <v>123</v>
      </c>
      <c r="W22" s="30">
        <f>IF(N129&gt;0,ROUNDUP((N129/500),0),ROUNDUP((Q8/500),0))</f>
        <v>0</v>
      </c>
      <c r="X22" s="1">
        <f>IF(O129&gt;0,ROUNDUP((O129/500),0),ROUNDUP((R8/500),0))</f>
        <v>0</v>
      </c>
      <c r="Y22" s="30">
        <f>IF(N129&gt;0,ROUNDUP((N129/750),0),ROUNDUP((Q8/750),0))</f>
        <v>0</v>
      </c>
      <c r="Z22" s="1">
        <f>IF(O129&gt;0,ROUNDUP((O129/750),0),ROUNDUP((R8/750),0))</f>
        <v>0</v>
      </c>
      <c r="AA22" s="32">
        <f>IF(OR(N129&gt;0,O129&gt;0),ROUNDUP((N129+O129)/1000,0),ROUNDUP(Q5/1000,0))</f>
        <v>0</v>
      </c>
      <c r="AB22" s="30" t="s">
        <v>82</v>
      </c>
    </row>
    <row r="23" spans="1:28" x14ac:dyDescent="0.25">
      <c r="A23" s="82"/>
      <c r="B23" s="83"/>
      <c r="C23" s="110"/>
      <c r="D23" s="111"/>
      <c r="E23" s="111"/>
      <c r="F23" s="112"/>
      <c r="G23" s="112"/>
      <c r="H23" s="112"/>
      <c r="I23" s="112"/>
      <c r="J23" s="112"/>
      <c r="K23" s="112"/>
      <c r="L23" s="112"/>
      <c r="M23" s="114"/>
      <c r="N23" s="96"/>
      <c r="O23" s="97"/>
      <c r="U23" s="5" t="s">
        <v>124</v>
      </c>
      <c r="V23" t="s">
        <v>125</v>
      </c>
      <c r="W23" s="30">
        <f>IF(N140&gt;0,ROUNDUP((N140/10),0),ROUNDUP((Q5/10),0))</f>
        <v>0</v>
      </c>
      <c r="X23" s="1">
        <f>IF(N140&gt;0,ROUNDUP((N140/10),0),ROUNDUP((R8/10),0))</f>
        <v>0</v>
      </c>
      <c r="Y23" s="30">
        <f>IF(N140&gt;0,ROUNDUP((N140/10),0),ROUNDUP((Q5/10),0))</f>
        <v>0</v>
      </c>
      <c r="Z23" s="1" t="s">
        <v>82</v>
      </c>
      <c r="AA23" s="32">
        <f>IF(N140&gt;0,ROUNDUP(N140/100,0),ROUNDUP(Q5/100,0))</f>
        <v>0</v>
      </c>
      <c r="AB23" s="30">
        <f>IF(N140&gt;0,ROUNDUP(N140/8,0),ROUNDUP(Q5/8,0))</f>
        <v>0</v>
      </c>
    </row>
    <row r="24" spans="1:28" x14ac:dyDescent="0.25">
      <c r="A24" s="82"/>
      <c r="B24" s="83"/>
      <c r="C24" s="110"/>
      <c r="D24" s="111"/>
      <c r="E24" s="111"/>
      <c r="F24" s="112"/>
      <c r="G24" s="112"/>
      <c r="H24" s="112"/>
      <c r="I24" s="112"/>
      <c r="J24" s="112"/>
      <c r="K24" s="112"/>
      <c r="L24" s="112"/>
      <c r="M24" s="114"/>
      <c r="N24" s="96"/>
      <c r="O24" s="97"/>
      <c r="U24" s="5" t="s">
        <v>126</v>
      </c>
      <c r="V24" t="s">
        <v>127</v>
      </c>
      <c r="W24" s="30">
        <f>IF(N151&gt;0,ROUNDUP((N151/10),0),ROUNDUP((Q5/10),0))</f>
        <v>0</v>
      </c>
      <c r="X24" s="1">
        <f>IF(N151&gt;0,ROUNDUP((N151/10),0),ROUNDUP((R8/10),0))</f>
        <v>0</v>
      </c>
      <c r="Y24" s="30">
        <f>IF(N151&gt;0,ROUNDUP((N151/10),0),ROUNDUP((Q5/10),0))</f>
        <v>0</v>
      </c>
      <c r="Z24" s="1" t="s">
        <v>82</v>
      </c>
      <c r="AA24" s="32">
        <f>IF(N151&gt;0,ROUNDUP(N151/100,0),ROUNDUP(Q5/100,0))</f>
        <v>0</v>
      </c>
      <c r="AB24" s="30">
        <f>ROUNDUP((Q5/8),0)</f>
        <v>0</v>
      </c>
    </row>
    <row r="25" spans="1:28" ht="15.75" thickBot="1" x14ac:dyDescent="0.3">
      <c r="A25" s="82"/>
      <c r="B25" s="83"/>
      <c r="C25" s="110"/>
      <c r="D25" s="111"/>
      <c r="E25" s="111"/>
      <c r="F25" s="112"/>
      <c r="G25" s="112"/>
      <c r="H25" s="112"/>
      <c r="I25" s="112"/>
      <c r="J25" s="112"/>
      <c r="K25" s="112"/>
      <c r="L25" s="112"/>
      <c r="M25" s="114"/>
      <c r="N25" s="96"/>
      <c r="O25" s="97"/>
      <c r="U25" s="5" t="s">
        <v>128</v>
      </c>
      <c r="V25" t="s">
        <v>129</v>
      </c>
      <c r="W25" s="33">
        <f>IF(N161&gt;0,ROUNDUP((N161/100),0),ROUNDUP((Q5/100),0))</f>
        <v>0</v>
      </c>
      <c r="X25" s="34">
        <f>IF(N161&gt;0,ROUNDUP((N161/100),0),ROUNDUP((R8/100),0))</f>
        <v>0</v>
      </c>
      <c r="Y25" s="33">
        <f>IF(N161&gt;0,ROUNDUP((N161/100),0),ROUNDUP((Q5/100),0))</f>
        <v>0</v>
      </c>
      <c r="Z25" s="34" t="s">
        <v>82</v>
      </c>
      <c r="AA25" s="33">
        <f>IF(N161&gt;0,ROUNDUP(N161/1000,0),ROUNDUP(Q5/1000,0))</f>
        <v>0</v>
      </c>
      <c r="AB25" s="38" t="s">
        <v>110</v>
      </c>
    </row>
    <row r="26" spans="1:28" x14ac:dyDescent="0.25">
      <c r="A26" s="82"/>
      <c r="B26" s="83"/>
      <c r="C26" s="110"/>
      <c r="D26" s="111"/>
      <c r="E26" s="111"/>
      <c r="F26" s="112"/>
      <c r="G26" s="112"/>
      <c r="H26" s="112"/>
      <c r="I26" s="112"/>
      <c r="J26" s="112"/>
      <c r="K26" s="112"/>
      <c r="L26" s="112"/>
      <c r="M26" s="114"/>
      <c r="N26" s="96"/>
      <c r="O26" s="97"/>
    </row>
    <row r="27" spans="1:28" x14ac:dyDescent="0.25">
      <c r="A27" s="82"/>
      <c r="B27" s="83"/>
      <c r="C27" s="110"/>
      <c r="D27" s="111"/>
      <c r="E27" s="111"/>
      <c r="F27" s="112"/>
      <c r="G27" s="112"/>
      <c r="H27" s="112"/>
      <c r="I27" s="112"/>
      <c r="J27" s="112"/>
      <c r="K27" s="112"/>
      <c r="L27" s="112"/>
      <c r="M27" s="114"/>
      <c r="N27" s="96"/>
      <c r="O27" s="97"/>
    </row>
    <row r="28" spans="1:28" x14ac:dyDescent="0.25">
      <c r="A28" s="82"/>
      <c r="B28" s="83"/>
      <c r="C28" s="110"/>
      <c r="D28" s="111"/>
      <c r="E28" s="111"/>
      <c r="F28" s="112"/>
      <c r="G28" s="112"/>
      <c r="H28" s="112"/>
      <c r="I28" s="112"/>
      <c r="J28" s="112"/>
      <c r="K28" s="112"/>
      <c r="L28" s="112"/>
      <c r="M28" s="114"/>
      <c r="N28" s="96"/>
      <c r="O28" s="97"/>
    </row>
    <row r="29" spans="1:28" x14ac:dyDescent="0.25">
      <c r="A29" s="82"/>
      <c r="B29" s="83"/>
      <c r="C29" s="110"/>
      <c r="D29" s="111"/>
      <c r="E29" s="111"/>
      <c r="F29" s="112"/>
      <c r="G29" s="112"/>
      <c r="H29" s="112"/>
      <c r="I29" s="112"/>
      <c r="J29" s="112"/>
      <c r="K29" s="112"/>
      <c r="L29" s="112"/>
      <c r="M29" s="114"/>
      <c r="N29" s="96"/>
      <c r="O29" s="97"/>
    </row>
    <row r="30" spans="1:28" x14ac:dyDescent="0.25">
      <c r="A30" s="82"/>
      <c r="B30" s="83"/>
      <c r="C30" s="110"/>
      <c r="D30" s="111"/>
      <c r="E30" s="111"/>
      <c r="F30" s="112"/>
      <c r="G30" s="112"/>
      <c r="H30" s="112"/>
      <c r="I30" s="112"/>
      <c r="J30" s="112"/>
      <c r="K30" s="112"/>
      <c r="L30" s="112"/>
      <c r="M30" s="98"/>
      <c r="N30" s="96"/>
      <c r="O30" s="97"/>
    </row>
    <row r="31" spans="1:28" ht="14.45" customHeight="1" x14ac:dyDescent="0.25">
      <c r="A31" s="82"/>
      <c r="B31" s="83"/>
      <c r="C31" s="110"/>
      <c r="D31" s="111" t="s">
        <v>130</v>
      </c>
      <c r="E31" s="111"/>
      <c r="F31" s="112" t="str">
        <f>IF(AND(OR(N31&gt;0,O31&gt;0),N31+O31&lt;=15),"Single restroom okay for 15 or less (IPC 403.2(2))",IF(AND(OR(N31&gt;0,O31&gt;0),N31+O31&gt;Q5),W8,IF(AND(OR(N31&gt;0,O31&gt;0),N31+O31&lt;Q5),W8,IF(Q5&lt;=15,"Single restroom okay for 15 or less (IPC 403.2(2))",W8))))</f>
        <v>Single restroom okay for 15 or less (IPC 403.2(2))</v>
      </c>
      <c r="G31" s="112" t="str">
        <f>IF(F31="Single restroom okay for 15 or less (IPC 403.2(2))","-",X8)</f>
        <v>-</v>
      </c>
      <c r="H31" s="112" t="s">
        <v>181</v>
      </c>
      <c r="I31" s="112">
        <f>Y8</f>
        <v>0</v>
      </c>
      <c r="J31" s="112" t="str">
        <f>IF(F31="Single restroom okay for 15 or less (IPC 403.2(2))","-",Z8)</f>
        <v>-</v>
      </c>
      <c r="K31" s="112" t="s">
        <v>82</v>
      </c>
      <c r="L31" s="112" t="str">
        <f>IF(F31="Single restroom okay for 15 or less (IPC 403.2(2))","15 or less Fountain exempt(IPC 410.2)",AA8)</f>
        <v>15 or less Fountain exempt(IPC 410.2)</v>
      </c>
      <c r="M31" s="114" t="s">
        <v>83</v>
      </c>
      <c r="N31" s="96">
        <v>0</v>
      </c>
      <c r="O31" s="97">
        <f>N31</f>
        <v>0</v>
      </c>
    </row>
    <row r="32" spans="1:28" x14ac:dyDescent="0.25">
      <c r="A32" s="82"/>
      <c r="B32" s="83"/>
      <c r="C32" s="110"/>
      <c r="D32" s="111"/>
      <c r="E32" s="111"/>
      <c r="F32" s="112"/>
      <c r="G32" s="112"/>
      <c r="H32" s="112"/>
      <c r="I32" s="112"/>
      <c r="J32" s="112"/>
      <c r="K32" s="112"/>
      <c r="L32" s="112"/>
      <c r="M32" s="114"/>
      <c r="N32" s="96"/>
      <c r="O32" s="97"/>
    </row>
    <row r="33" spans="1:16" x14ac:dyDescent="0.25">
      <c r="A33" s="82"/>
      <c r="B33" s="83"/>
      <c r="C33" s="110"/>
      <c r="D33" s="111"/>
      <c r="E33" s="111"/>
      <c r="F33" s="112"/>
      <c r="G33" s="112"/>
      <c r="H33" s="112"/>
      <c r="I33" s="112"/>
      <c r="J33" s="112"/>
      <c r="K33" s="112"/>
      <c r="L33" s="112"/>
      <c r="M33" s="114"/>
      <c r="N33" s="96"/>
      <c r="O33" s="97"/>
    </row>
    <row r="34" spans="1:16" ht="14.45" customHeight="1" x14ac:dyDescent="0.25">
      <c r="A34" s="82"/>
      <c r="B34" s="83"/>
      <c r="C34" s="110"/>
      <c r="D34" s="111"/>
      <c r="E34" s="111"/>
      <c r="F34" s="112"/>
      <c r="G34" s="112"/>
      <c r="H34" s="112"/>
      <c r="I34" s="112"/>
      <c r="J34" s="112"/>
      <c r="K34" s="112"/>
      <c r="L34" s="112"/>
      <c r="M34" s="114"/>
      <c r="N34" s="96"/>
      <c r="O34" s="97"/>
    </row>
    <row r="35" spans="1:16" x14ac:dyDescent="0.25">
      <c r="A35" s="82"/>
      <c r="B35" s="83"/>
      <c r="C35" s="110"/>
      <c r="D35" s="111"/>
      <c r="E35" s="111"/>
      <c r="F35" s="112"/>
      <c r="G35" s="112"/>
      <c r="H35" s="112"/>
      <c r="I35" s="112"/>
      <c r="J35" s="112"/>
      <c r="K35" s="112"/>
      <c r="L35" s="112"/>
      <c r="M35" s="114"/>
      <c r="N35" s="96"/>
      <c r="O35" s="97"/>
    </row>
    <row r="36" spans="1:16" x14ac:dyDescent="0.25">
      <c r="A36" s="82"/>
      <c r="B36" s="83"/>
      <c r="C36" s="110"/>
      <c r="D36" s="111"/>
      <c r="E36" s="111"/>
      <c r="F36" s="112"/>
      <c r="G36" s="112"/>
      <c r="H36" s="112"/>
      <c r="I36" s="112"/>
      <c r="J36" s="112"/>
      <c r="K36" s="112"/>
      <c r="L36" s="112"/>
      <c r="M36" s="114"/>
      <c r="N36" s="96"/>
      <c r="O36" s="97"/>
    </row>
    <row r="37" spans="1:16" ht="14.45" customHeight="1" x14ac:dyDescent="0.25">
      <c r="A37" s="82"/>
      <c r="B37" s="83"/>
      <c r="C37" s="110"/>
      <c r="D37" s="111" t="s">
        <v>131</v>
      </c>
      <c r="E37" s="111"/>
      <c r="F37" s="112" t="str">
        <f>IF(AND(OR(N37&gt;0,O37&gt;0),N37+O37&lt;=15),"Single restroom okay for 15 or less (IPC 403.2(2))",IF(AND(OR(N37&gt;0,O37&gt;0),N37+O37&gt;Q5),W9,IF(AND(OR(N37&gt;0,O37&gt;0),N37+O37&lt;Q5),W9,IF(Q5&lt;=15,"Single restroom okay for 15 or less (IPC 403.2(2))",W9))))</f>
        <v>Single restroom okay for 15 or less (IPC 403.2(2))</v>
      </c>
      <c r="G37" s="112" t="str">
        <f>IF(F37="Single restroom okay for 15 or less (IPC 403.2(2))","-",X9)</f>
        <v>-</v>
      </c>
      <c r="H37" s="112" t="s">
        <v>181</v>
      </c>
      <c r="I37" s="112">
        <f>Y9</f>
        <v>0</v>
      </c>
      <c r="J37" s="112" t="str">
        <f>IF(F37="Single restroom okay for 15 or less (IPC 403.2(2))","-",Z9)</f>
        <v>-</v>
      </c>
      <c r="K37" s="112" t="s">
        <v>82</v>
      </c>
      <c r="L37" s="112" t="str">
        <f>IF(F37="Single restroom okay for 15 or less (IPC 403.2(2))","15 or less Fountain exempt(IPC 410.2)",AA9)</f>
        <v>15 or less Fountain exempt(IPC 410.2)</v>
      </c>
      <c r="M37" s="121" t="s">
        <v>83</v>
      </c>
      <c r="N37" s="96">
        <v>0</v>
      </c>
      <c r="O37" s="97">
        <f>N37</f>
        <v>0</v>
      </c>
    </row>
    <row r="38" spans="1:16" x14ac:dyDescent="0.25">
      <c r="A38" s="82"/>
      <c r="B38" s="83"/>
      <c r="C38" s="110"/>
      <c r="D38" s="111"/>
      <c r="E38" s="111"/>
      <c r="F38" s="112"/>
      <c r="G38" s="112"/>
      <c r="H38" s="112"/>
      <c r="I38" s="112"/>
      <c r="J38" s="112"/>
      <c r="K38" s="112"/>
      <c r="L38" s="112"/>
      <c r="M38" s="114"/>
      <c r="N38" s="96"/>
      <c r="O38" s="97"/>
    </row>
    <row r="39" spans="1:16" x14ac:dyDescent="0.25">
      <c r="A39" s="82"/>
      <c r="B39" s="83"/>
      <c r="C39" s="110"/>
      <c r="D39" s="111"/>
      <c r="E39" s="111"/>
      <c r="F39" s="112"/>
      <c r="G39" s="112"/>
      <c r="H39" s="112"/>
      <c r="I39" s="112"/>
      <c r="J39" s="112"/>
      <c r="K39" s="112"/>
      <c r="L39" s="112"/>
      <c r="M39" s="114"/>
      <c r="N39" s="96"/>
      <c r="O39" s="97"/>
    </row>
    <row r="40" spans="1:16" x14ac:dyDescent="0.25">
      <c r="A40" s="82"/>
      <c r="B40" s="83"/>
      <c r="C40" s="110"/>
      <c r="D40" s="111"/>
      <c r="E40" s="111"/>
      <c r="F40" s="112"/>
      <c r="G40" s="112"/>
      <c r="H40" s="112"/>
      <c r="I40" s="112"/>
      <c r="J40" s="112"/>
      <c r="K40" s="112"/>
      <c r="L40" s="112"/>
      <c r="M40" s="114"/>
      <c r="N40" s="96"/>
      <c r="O40" s="97"/>
    </row>
    <row r="41" spans="1:16" x14ac:dyDescent="0.25">
      <c r="A41" s="82"/>
      <c r="B41" s="83"/>
      <c r="C41" s="110"/>
      <c r="D41" s="111"/>
      <c r="E41" s="111"/>
      <c r="F41" s="112"/>
      <c r="G41" s="112"/>
      <c r="H41" s="112"/>
      <c r="I41" s="112"/>
      <c r="J41" s="112"/>
      <c r="K41" s="112"/>
      <c r="L41" s="112"/>
      <c r="M41" s="114"/>
      <c r="N41" s="96"/>
      <c r="O41" s="97"/>
    </row>
    <row r="42" spans="1:16" x14ac:dyDescent="0.25">
      <c r="A42" s="82"/>
      <c r="B42" s="83"/>
      <c r="C42" s="110"/>
      <c r="D42" s="111"/>
      <c r="E42" s="111"/>
      <c r="F42" s="112"/>
      <c r="G42" s="112"/>
      <c r="H42" s="112"/>
      <c r="I42" s="112"/>
      <c r="J42" s="112"/>
      <c r="K42" s="112"/>
      <c r="L42" s="112"/>
      <c r="M42" s="98"/>
      <c r="N42" s="96"/>
      <c r="O42" s="97"/>
    </row>
    <row r="43" spans="1:16" ht="14.45" customHeight="1" x14ac:dyDescent="0.25">
      <c r="A43" s="82"/>
      <c r="B43" s="83"/>
      <c r="C43" s="110"/>
      <c r="D43" s="111" t="s">
        <v>132</v>
      </c>
      <c r="E43" s="111"/>
      <c r="F43" s="112" t="str">
        <f>IF(AND(OR(N43&gt;0,O43&gt;0),N43+O43&lt;=15),"Single restroom okay for 15 or less (IPC 403.2(2))",IF(AND(OR(N43&gt;0,O43&gt;0),N43+O43&gt;Q5),W10,IF(AND(OR(N43&gt;0,O43&gt;0),N43+O43&lt;Q5),W10,IF(Q5&lt;=15,"Single restroom okay for 15 or less (IPC 403.2(2))",W10))))</f>
        <v>Single restroom okay for 15 or less (IPC 403.2(2))</v>
      </c>
      <c r="G43" s="112" t="str">
        <f>IF(F43="Single restroom okay for 15 or less (IPC 403.2(2))","-",X10)</f>
        <v>-</v>
      </c>
      <c r="H43" s="112" t="s">
        <v>181</v>
      </c>
      <c r="I43" s="112">
        <f>Y10</f>
        <v>0</v>
      </c>
      <c r="J43" s="112" t="str">
        <f>IF(F43="Single restroom okay for 15 or less (IPC 403.2(2))","-",Z10)</f>
        <v>-</v>
      </c>
      <c r="K43" s="112" t="s">
        <v>82</v>
      </c>
      <c r="L43" s="112" t="str">
        <f>IF(F43="Single restroom okay for 15 or less (IPC 403.2(2))","15 or less Fountain exempt(IPC 410.2)",AA10)</f>
        <v>15 or less Fountain exempt(IPC 410.2)</v>
      </c>
      <c r="M43" s="114" t="s">
        <v>83</v>
      </c>
      <c r="N43" s="96">
        <v>0</v>
      </c>
      <c r="O43" s="97">
        <f>N43</f>
        <v>0</v>
      </c>
      <c r="P43" s="7"/>
    </row>
    <row r="44" spans="1:16" x14ac:dyDescent="0.25">
      <c r="A44" s="82"/>
      <c r="B44" s="83"/>
      <c r="C44" s="110"/>
      <c r="D44" s="111"/>
      <c r="E44" s="111"/>
      <c r="F44" s="112"/>
      <c r="G44" s="112"/>
      <c r="H44" s="112"/>
      <c r="I44" s="112"/>
      <c r="J44" s="112"/>
      <c r="K44" s="112"/>
      <c r="L44" s="112"/>
      <c r="M44" s="114"/>
      <c r="N44" s="96"/>
      <c r="O44" s="97"/>
      <c r="P44" s="7"/>
    </row>
    <row r="45" spans="1:16" ht="14.45" customHeight="1" x14ac:dyDescent="0.25">
      <c r="A45" s="82"/>
      <c r="B45" s="83"/>
      <c r="C45" s="110"/>
      <c r="D45" s="111"/>
      <c r="E45" s="111"/>
      <c r="F45" s="112"/>
      <c r="G45" s="112"/>
      <c r="H45" s="112"/>
      <c r="I45" s="112"/>
      <c r="J45" s="112"/>
      <c r="K45" s="112"/>
      <c r="L45" s="112"/>
      <c r="M45" s="114"/>
      <c r="N45" s="96"/>
      <c r="O45" s="97"/>
      <c r="P45" s="7"/>
    </row>
    <row r="46" spans="1:16" x14ac:dyDescent="0.25">
      <c r="A46" s="82"/>
      <c r="B46" s="83"/>
      <c r="C46" s="110"/>
      <c r="D46" s="111"/>
      <c r="E46" s="111"/>
      <c r="F46" s="112"/>
      <c r="G46" s="112"/>
      <c r="H46" s="112"/>
      <c r="I46" s="112"/>
      <c r="J46" s="112"/>
      <c r="K46" s="112"/>
      <c r="L46" s="112"/>
      <c r="M46" s="114"/>
      <c r="N46" s="96"/>
      <c r="O46" s="97"/>
      <c r="P46" s="7"/>
    </row>
    <row r="47" spans="1:16" x14ac:dyDescent="0.25">
      <c r="A47" s="82"/>
      <c r="B47" s="83"/>
      <c r="C47" s="110"/>
      <c r="D47" s="111"/>
      <c r="E47" s="111"/>
      <c r="F47" s="112"/>
      <c r="G47" s="112"/>
      <c r="H47" s="112"/>
      <c r="I47" s="112"/>
      <c r="J47" s="112"/>
      <c r="K47" s="112"/>
      <c r="L47" s="112"/>
      <c r="M47" s="114"/>
      <c r="N47" s="96"/>
      <c r="O47" s="97"/>
      <c r="P47" s="7"/>
    </row>
    <row r="48" spans="1:16" x14ac:dyDescent="0.25">
      <c r="A48" s="82"/>
      <c r="B48" s="83"/>
      <c r="C48" s="110"/>
      <c r="D48" s="111"/>
      <c r="E48" s="111"/>
      <c r="F48" s="112"/>
      <c r="G48" s="112"/>
      <c r="H48" s="112"/>
      <c r="I48" s="112"/>
      <c r="J48" s="112"/>
      <c r="K48" s="112"/>
      <c r="L48" s="112"/>
      <c r="M48" s="114"/>
      <c r="N48" s="96"/>
      <c r="O48" s="97"/>
      <c r="P48" s="7"/>
    </row>
    <row r="49" spans="1:17" ht="14.45" customHeight="1" x14ac:dyDescent="0.25">
      <c r="A49" s="82"/>
      <c r="B49" s="83"/>
      <c r="C49" s="110" t="s">
        <v>133</v>
      </c>
      <c r="D49" s="111" t="s">
        <v>134</v>
      </c>
      <c r="E49" s="111"/>
      <c r="F49" s="112" t="str">
        <f>IF(AND(OR(N49&gt;0,O49&gt;0),N49+O49&lt;=15),"Single restroom okay for 15 or less (IPC 403.2(2))",IF(AND(OR(N49&gt;0,O49&gt;0),N49+O49&gt;Q5),W11,IF(AND(OR(N49&gt;0,O49&gt;0),N49+O49&lt;Q5),W11,IF(Q5&lt;=15,"Single restroom okay for 15 or less (IPC 403.2(2))",W11))))</f>
        <v>Single restroom okay for 15 or less (IPC 403.2(2))</v>
      </c>
      <c r="G49" s="112" t="str">
        <f>IF(F49="Single restroom okay for 15 or less (IPC 403.2(2))","-",X11)</f>
        <v>-</v>
      </c>
      <c r="H49" s="112" t="s">
        <v>181</v>
      </c>
      <c r="I49" s="112">
        <f>Y11</f>
        <v>0</v>
      </c>
      <c r="J49" s="112" t="str">
        <f>IF(F49="Single restroom okay for 15 or less (IPC 403.2(2))","-",Z11)</f>
        <v>-</v>
      </c>
      <c r="K49" s="112" t="s">
        <v>82</v>
      </c>
      <c r="L49" s="112" t="str">
        <f>IF(F49="Single restroom okay for 15 or less (IPC 403.2(2))","15 or less Fountain exempt(IPC 410.2)",AA11)</f>
        <v>15 or less Fountain exempt(IPC 410.2)</v>
      </c>
      <c r="M49" s="121" t="s">
        <v>83</v>
      </c>
      <c r="N49" s="96">
        <v>0</v>
      </c>
      <c r="O49" s="97">
        <f>N49</f>
        <v>0</v>
      </c>
      <c r="P49" s="7"/>
    </row>
    <row r="50" spans="1:17" x14ac:dyDescent="0.25">
      <c r="A50" s="82"/>
      <c r="B50" s="83"/>
      <c r="C50" s="110"/>
      <c r="D50" s="111"/>
      <c r="E50" s="111"/>
      <c r="F50" s="112"/>
      <c r="G50" s="112"/>
      <c r="H50" s="112"/>
      <c r="I50" s="112"/>
      <c r="J50" s="112"/>
      <c r="K50" s="112"/>
      <c r="L50" s="112"/>
      <c r="M50" s="114"/>
      <c r="N50" s="96"/>
      <c r="O50" s="97"/>
      <c r="P50" s="7"/>
    </row>
    <row r="51" spans="1:17" x14ac:dyDescent="0.25">
      <c r="A51" s="82"/>
      <c r="B51" s="83"/>
      <c r="C51" s="110"/>
      <c r="D51" s="111"/>
      <c r="E51" s="111"/>
      <c r="F51" s="112"/>
      <c r="G51" s="112"/>
      <c r="H51" s="112"/>
      <c r="I51" s="112"/>
      <c r="J51" s="112"/>
      <c r="K51" s="112"/>
      <c r="L51" s="112"/>
      <c r="M51" s="114"/>
      <c r="N51" s="96"/>
      <c r="O51" s="97"/>
      <c r="P51" s="7"/>
    </row>
    <row r="52" spans="1:17" x14ac:dyDescent="0.25">
      <c r="A52" s="82"/>
      <c r="B52" s="83"/>
      <c r="C52" s="110"/>
      <c r="D52" s="111"/>
      <c r="E52" s="111"/>
      <c r="F52" s="112"/>
      <c r="G52" s="112"/>
      <c r="H52" s="112"/>
      <c r="I52" s="112"/>
      <c r="J52" s="112"/>
      <c r="K52" s="112"/>
      <c r="L52" s="112"/>
      <c r="M52" s="114"/>
      <c r="N52" s="96"/>
      <c r="O52" s="97"/>
      <c r="P52" s="7"/>
    </row>
    <row r="53" spans="1:17" x14ac:dyDescent="0.25">
      <c r="A53" s="82"/>
      <c r="B53" s="83"/>
      <c r="C53" s="110"/>
      <c r="D53" s="111"/>
      <c r="E53" s="111"/>
      <c r="F53" s="112"/>
      <c r="G53" s="112"/>
      <c r="H53" s="112"/>
      <c r="I53" s="112"/>
      <c r="J53" s="112"/>
      <c r="K53" s="112"/>
      <c r="L53" s="112"/>
      <c r="M53" s="114"/>
      <c r="N53" s="96"/>
      <c r="O53" s="97"/>
      <c r="P53" s="7"/>
      <c r="Q53" s="39"/>
    </row>
    <row r="54" spans="1:17" x14ac:dyDescent="0.25">
      <c r="A54" s="82"/>
      <c r="B54" s="83"/>
      <c r="C54" s="110"/>
      <c r="D54" s="111"/>
      <c r="E54" s="111"/>
      <c r="F54" s="112"/>
      <c r="G54" s="112"/>
      <c r="H54" s="112"/>
      <c r="I54" s="112"/>
      <c r="J54" s="112"/>
      <c r="K54" s="112"/>
      <c r="L54" s="112"/>
      <c r="M54" s="114"/>
      <c r="N54" s="96"/>
      <c r="O54" s="97"/>
    </row>
    <row r="55" spans="1:17" ht="14.45" customHeight="1" x14ac:dyDescent="0.25">
      <c r="A55" s="82"/>
      <c r="B55" s="83"/>
      <c r="C55" s="128" t="s">
        <v>135</v>
      </c>
      <c r="D55" s="111" t="s">
        <v>136</v>
      </c>
      <c r="E55" s="111"/>
      <c r="F55" s="112" t="str">
        <f>IF(AND(OR(N55&gt;0,O55&gt;0),N55+O55&lt;=15),"Single restroom okay for 15 or less (IPC 403.2(2))",IF(AND(OR(N55&gt;0,O55&gt;0),N55+O55&gt;Q5),W12,IF(AND(OR(N55&gt;0,O55&gt;0),N55+O55&lt;Q5),W12,IF(Q5&lt;=15,"Single restroom okay for 15 or less (IPC 403.2(2))",W12))))</f>
        <v>Single restroom okay for 15 or less (IPC 403.2(2))</v>
      </c>
      <c r="G55" s="112" t="str">
        <f>IF(F55="Single restroom okay for 15 or less (IPC 403.2(2))","-",X12)</f>
        <v>-</v>
      </c>
      <c r="H55" s="112" t="s">
        <v>181</v>
      </c>
      <c r="I55" s="112">
        <f>Y12</f>
        <v>0</v>
      </c>
      <c r="J55" s="112" t="str">
        <f>IF(F55="Single restroom okay for 15 or less (IPC 403.2(2))","-",Z12)</f>
        <v>-</v>
      </c>
      <c r="K55" s="112" t="s">
        <v>82</v>
      </c>
      <c r="L55" s="112" t="str">
        <f>IF(F55="Single restroom okay for 15 or less (IPC 403.2(2))","15 or less Fountain exempt(IPC 410.2)",AA12)</f>
        <v>15 or less Fountain exempt(IPC 410.2)</v>
      </c>
      <c r="M55" s="114" t="s">
        <v>83</v>
      </c>
      <c r="N55" s="96">
        <v>0</v>
      </c>
      <c r="O55" s="97">
        <f>N55</f>
        <v>0</v>
      </c>
    </row>
    <row r="56" spans="1:17" x14ac:dyDescent="0.25">
      <c r="A56" s="82"/>
      <c r="B56" s="83"/>
      <c r="C56" s="128"/>
      <c r="D56" s="111"/>
      <c r="E56" s="111"/>
      <c r="F56" s="112"/>
      <c r="G56" s="112"/>
      <c r="H56" s="112"/>
      <c r="I56" s="112"/>
      <c r="J56" s="112"/>
      <c r="K56" s="112"/>
      <c r="L56" s="112"/>
      <c r="M56" s="114"/>
      <c r="N56" s="96"/>
      <c r="O56" s="97"/>
    </row>
    <row r="57" spans="1:17" x14ac:dyDescent="0.25">
      <c r="A57" s="82"/>
      <c r="B57" s="83"/>
      <c r="C57" s="128"/>
      <c r="D57" s="111"/>
      <c r="E57" s="111"/>
      <c r="F57" s="112"/>
      <c r="G57" s="112"/>
      <c r="H57" s="112"/>
      <c r="I57" s="112"/>
      <c r="J57" s="112"/>
      <c r="K57" s="112"/>
      <c r="L57" s="112"/>
      <c r="M57" s="114"/>
      <c r="N57" s="96"/>
      <c r="O57" s="97"/>
    </row>
    <row r="58" spans="1:17" x14ac:dyDescent="0.25">
      <c r="A58" s="82"/>
      <c r="B58" s="83"/>
      <c r="C58" s="128"/>
      <c r="D58" s="111"/>
      <c r="E58" s="111"/>
      <c r="F58" s="112"/>
      <c r="G58" s="112"/>
      <c r="H58" s="112"/>
      <c r="I58" s="112"/>
      <c r="J58" s="112"/>
      <c r="K58" s="112"/>
      <c r="L58" s="112"/>
      <c r="M58" s="114"/>
      <c r="N58" s="96"/>
      <c r="O58" s="97"/>
    </row>
    <row r="59" spans="1:17" x14ac:dyDescent="0.25">
      <c r="A59" s="82"/>
      <c r="B59" s="83"/>
      <c r="C59" s="128"/>
      <c r="D59" s="111"/>
      <c r="E59" s="111"/>
      <c r="F59" s="112"/>
      <c r="G59" s="112"/>
      <c r="H59" s="112"/>
      <c r="I59" s="112"/>
      <c r="J59" s="112"/>
      <c r="K59" s="112"/>
      <c r="L59" s="112"/>
      <c r="M59" s="114"/>
      <c r="N59" s="96"/>
      <c r="O59" s="97"/>
    </row>
    <row r="60" spans="1:17" x14ac:dyDescent="0.25">
      <c r="A60" s="82"/>
      <c r="B60" s="83"/>
      <c r="C60" s="128"/>
      <c r="D60" s="111"/>
      <c r="E60" s="111"/>
      <c r="F60" s="112"/>
      <c r="G60" s="112"/>
      <c r="H60" s="112"/>
      <c r="I60" s="112"/>
      <c r="J60" s="112"/>
      <c r="K60" s="112"/>
      <c r="L60" s="112"/>
      <c r="M60" s="114"/>
      <c r="N60" s="96"/>
      <c r="O60" s="97"/>
    </row>
    <row r="61" spans="1:17" ht="14.45" customHeight="1" thickBot="1" x14ac:dyDescent="0.3">
      <c r="A61" s="84"/>
      <c r="B61" s="85"/>
      <c r="C61" s="128"/>
      <c r="D61" s="111"/>
      <c r="E61" s="111"/>
      <c r="F61" s="112"/>
      <c r="G61" s="112"/>
      <c r="H61" s="112"/>
      <c r="I61" s="112"/>
      <c r="J61" s="112"/>
      <c r="K61" s="112"/>
      <c r="L61" s="112"/>
      <c r="M61" s="114"/>
      <c r="N61" s="96"/>
      <c r="O61" s="97"/>
    </row>
    <row r="62" spans="1:17" x14ac:dyDescent="0.25">
      <c r="A62" s="122" t="s">
        <v>137</v>
      </c>
      <c r="B62" s="123"/>
      <c r="C62" s="130" t="s">
        <v>138</v>
      </c>
      <c r="D62" s="131" t="s">
        <v>139</v>
      </c>
      <c r="E62" s="131"/>
      <c r="F62" s="129" t="str">
        <f>IF(AND(OR(N62&gt;0,O62&gt;0),N62+O62&lt;=25),"Single restroom okay for 25 or less (IPC 403.2(2))",IF(AND(OR(N62&gt;0,O62&gt;0),N62+O62&gt;Q5),W13,IF(AND(OR(N62&gt;0,O62&gt;0),N62+O62&lt;Q5),W13,IF(Q5&lt;=25,"Single restroom okay for 25 or less (IPC 403.2(2))",W13))))</f>
        <v>Single restroom okay for 25 or less (IPC 403.2(2))</v>
      </c>
      <c r="G62" s="129" t="str">
        <f>IF(F62="Single restroom okay for 25 or less (IPC 403.2(2))","-",X13)</f>
        <v>-</v>
      </c>
      <c r="H62" s="129" t="s">
        <v>182</v>
      </c>
      <c r="I62" s="129">
        <f>Y13</f>
        <v>0</v>
      </c>
      <c r="J62" s="129" t="str">
        <f>IF(F62="Single restroom okay for 25 or less (IPC 403.2(2))","-",Z13)</f>
        <v>-</v>
      </c>
      <c r="K62" s="129" t="s">
        <v>82</v>
      </c>
      <c r="L62" s="129" t="str">
        <f>IF(AND(OR(N62&gt;0,O62&gt;0),N62+O62&lt;=15),"15 or less Fountain exempt(IPC 410.2)",IF(AND(OR(N62&gt;0,O62&gt;0),N62+O62&gt;Q5),AA13,IF(AND(OR(N62&gt;0,O62&gt;0),N62+O62&lt;Q5),AA13,IF(Q5&lt;=25,"15 or less Fountain exempt(IPC 410.2)",AA13))))</f>
        <v>15 or less Fountain exempt(IPC 410.2)</v>
      </c>
      <c r="M62" s="114" t="str">
        <f>IF(AND(OR(N62&gt;0,O62&gt;0),((N62+O62)&lt;=15)),"15 or less Service sink exempt (IPC 403.1(e))",IF(AND(OR(N62&gt;0,O62&gt;0),N62+O62&gt;Q5),"1 service sink",IF(AND(OR(N62&gt;0,O62&gt;0),N62+O62&lt;Q5),"1 service sink",IF(Q5&lt;=15,"15 or less Service sink exempt (IPC 403.1(e))","1 service sink"))))</f>
        <v>15 or less Service sink exempt (IPC 403.1(e))</v>
      </c>
      <c r="N62" s="96">
        <v>0</v>
      </c>
      <c r="O62" s="97">
        <f>N62</f>
        <v>0</v>
      </c>
    </row>
    <row r="63" spans="1:17" ht="14.45" customHeight="1" x14ac:dyDescent="0.25">
      <c r="A63" s="124"/>
      <c r="B63" s="125"/>
      <c r="C63" s="128"/>
      <c r="D63" s="111"/>
      <c r="E63" s="111"/>
      <c r="F63" s="112"/>
      <c r="G63" s="112"/>
      <c r="H63" s="112"/>
      <c r="I63" s="112"/>
      <c r="J63" s="112"/>
      <c r="K63" s="112"/>
      <c r="L63" s="112"/>
      <c r="M63" s="114"/>
      <c r="N63" s="96"/>
      <c r="O63" s="97"/>
    </row>
    <row r="64" spans="1:17" x14ac:dyDescent="0.25">
      <c r="A64" s="124"/>
      <c r="B64" s="125"/>
      <c r="C64" s="128"/>
      <c r="D64" s="111"/>
      <c r="E64" s="111"/>
      <c r="F64" s="112"/>
      <c r="G64" s="112"/>
      <c r="H64" s="112"/>
      <c r="I64" s="112"/>
      <c r="J64" s="112"/>
      <c r="K64" s="112"/>
      <c r="L64" s="112"/>
      <c r="M64" s="114"/>
      <c r="N64" s="96"/>
      <c r="O64" s="97"/>
    </row>
    <row r="65" spans="1:23" x14ac:dyDescent="0.25">
      <c r="A65" s="124"/>
      <c r="B65" s="125"/>
      <c r="C65" s="128"/>
      <c r="D65" s="111"/>
      <c r="E65" s="111"/>
      <c r="F65" s="112"/>
      <c r="G65" s="112"/>
      <c r="H65" s="112"/>
      <c r="I65" s="112"/>
      <c r="J65" s="112"/>
      <c r="K65" s="112"/>
      <c r="L65" s="112"/>
      <c r="M65" s="114"/>
      <c r="N65" s="96"/>
      <c r="O65" s="97"/>
    </row>
    <row r="66" spans="1:23" x14ac:dyDescent="0.25">
      <c r="A66" s="124"/>
      <c r="B66" s="125"/>
      <c r="C66" s="128"/>
      <c r="D66" s="111"/>
      <c r="E66" s="111"/>
      <c r="F66" s="112"/>
      <c r="G66" s="112"/>
      <c r="H66" s="112"/>
      <c r="I66" s="112"/>
      <c r="J66" s="112"/>
      <c r="K66" s="112"/>
      <c r="L66" s="112"/>
      <c r="M66" s="114"/>
      <c r="N66" s="96"/>
      <c r="O66" s="97"/>
      <c r="U66" s="1"/>
      <c r="V66" s="1"/>
      <c r="W66" s="1"/>
    </row>
    <row r="67" spans="1:23" x14ac:dyDescent="0.25">
      <c r="A67" s="124"/>
      <c r="B67" s="125"/>
      <c r="C67" s="128"/>
      <c r="D67" s="111"/>
      <c r="E67" s="111"/>
      <c r="F67" s="112"/>
      <c r="G67" s="112"/>
      <c r="H67" s="112"/>
      <c r="I67" s="112"/>
      <c r="J67" s="112"/>
      <c r="K67" s="112"/>
      <c r="L67" s="112"/>
      <c r="M67" s="114"/>
      <c r="N67" s="96"/>
      <c r="O67" s="97"/>
      <c r="U67" s="1"/>
      <c r="V67" s="1"/>
      <c r="W67" s="1"/>
    </row>
    <row r="68" spans="1:23" x14ac:dyDescent="0.25">
      <c r="A68" s="124"/>
      <c r="B68" s="125"/>
      <c r="C68" s="128"/>
      <c r="D68" s="111"/>
      <c r="E68" s="111"/>
      <c r="F68" s="112"/>
      <c r="G68" s="112"/>
      <c r="H68" s="112"/>
      <c r="I68" s="112"/>
      <c r="J68" s="112"/>
      <c r="K68" s="112"/>
      <c r="L68" s="112"/>
      <c r="M68" s="114"/>
      <c r="N68" s="96"/>
      <c r="O68" s="97"/>
    </row>
    <row r="69" spans="1:23" x14ac:dyDescent="0.25">
      <c r="A69" s="124"/>
      <c r="B69" s="125"/>
      <c r="C69" s="128"/>
      <c r="D69" s="111"/>
      <c r="E69" s="111"/>
      <c r="F69" s="112"/>
      <c r="G69" s="112"/>
      <c r="H69" s="112"/>
      <c r="I69" s="112"/>
      <c r="J69" s="112"/>
      <c r="K69" s="112"/>
      <c r="L69" s="112"/>
      <c r="M69" s="114"/>
      <c r="N69" s="96"/>
      <c r="O69" s="97"/>
    </row>
    <row r="70" spans="1:23" x14ac:dyDescent="0.25">
      <c r="A70" s="124"/>
      <c r="B70" s="125"/>
      <c r="C70" s="128"/>
      <c r="D70" s="111"/>
      <c r="E70" s="111"/>
      <c r="F70" s="112"/>
      <c r="G70" s="112"/>
      <c r="H70" s="112"/>
      <c r="I70" s="112"/>
      <c r="J70" s="112"/>
      <c r="K70" s="112"/>
      <c r="L70" s="112"/>
      <c r="M70" s="114"/>
      <c r="N70" s="96"/>
      <c r="O70" s="97"/>
    </row>
    <row r="71" spans="1:23" x14ac:dyDescent="0.25">
      <c r="A71" s="124"/>
      <c r="B71" s="125"/>
      <c r="C71" s="128"/>
      <c r="D71" s="111"/>
      <c r="E71" s="111"/>
      <c r="F71" s="112"/>
      <c r="G71" s="112"/>
      <c r="H71" s="112"/>
      <c r="I71" s="112"/>
      <c r="J71" s="112"/>
      <c r="K71" s="112"/>
      <c r="L71" s="112"/>
      <c r="M71" s="114"/>
      <c r="N71" s="96"/>
      <c r="O71" s="97"/>
      <c r="T71" s="2"/>
    </row>
    <row r="72" spans="1:23" x14ac:dyDescent="0.25">
      <c r="A72" s="124"/>
      <c r="B72" s="125"/>
      <c r="C72" s="128"/>
      <c r="D72" s="111"/>
      <c r="E72" s="111"/>
      <c r="F72" s="112"/>
      <c r="G72" s="112"/>
      <c r="H72" s="112"/>
      <c r="I72" s="112"/>
      <c r="J72" s="112"/>
      <c r="K72" s="112"/>
      <c r="L72" s="112"/>
      <c r="M72" s="114"/>
      <c r="N72" s="96"/>
      <c r="O72" s="97"/>
      <c r="S72" s="5"/>
    </row>
    <row r="73" spans="1:23" ht="15.75" thickBot="1" x14ac:dyDescent="0.3">
      <c r="A73" s="126"/>
      <c r="B73" s="127"/>
      <c r="C73" s="86"/>
      <c r="D73" s="89"/>
      <c r="E73" s="89"/>
      <c r="F73" s="92"/>
      <c r="G73" s="92"/>
      <c r="H73" s="92"/>
      <c r="I73" s="92"/>
      <c r="J73" s="92"/>
      <c r="K73" s="92"/>
      <c r="L73" s="92"/>
      <c r="M73" s="114"/>
      <c r="N73" s="96"/>
      <c r="O73" s="97"/>
      <c r="S73" s="5"/>
    </row>
    <row r="74" spans="1:23" ht="14.45" customHeight="1" x14ac:dyDescent="0.25">
      <c r="A74" s="122" t="s">
        <v>141</v>
      </c>
      <c r="B74" s="123"/>
      <c r="C74" s="128" t="s">
        <v>142</v>
      </c>
      <c r="D74" s="111" t="s">
        <v>143</v>
      </c>
      <c r="E74" s="111"/>
      <c r="F74" s="112" t="str">
        <f>IF(AND(OR(N74&gt;0,O74&gt;0),N74+O74&lt;=15),"Single restroom okay for 15 or less (IPC 403.2(2))",IF(AND(OR(N74&gt;0,O74&gt;0),N74+O74&gt;Q5),W14,IF(AND(OR(N74&gt;0,O74&gt;0),N74+O74&lt;Q5),W14,IF(Q5&lt;=15,"Single restroom okay for 15 or less (IPC 403.2(2))",W14))))</f>
        <v>Single restroom okay for 15 or less (IPC 403.2(2))</v>
      </c>
      <c r="G74" s="112" t="str">
        <f>IF(F74="Single restroom okay for 15 or less (IPC 403.2(2))","-",X14)</f>
        <v>-</v>
      </c>
      <c r="H74" s="112" t="s">
        <v>181</v>
      </c>
      <c r="I74" s="112">
        <f>Y14</f>
        <v>0</v>
      </c>
      <c r="J74" s="112" t="str">
        <f>IF(F74="Single restroom okay for 15 or less (IPC 403.2(2))","-",Z14)</f>
        <v>-</v>
      </c>
      <c r="K74" s="112" t="s">
        <v>82</v>
      </c>
      <c r="L74" s="112" t="str">
        <f>IF(F74="Single restroom okay for 15 or less (IPC 403.2(2))","15 or less Fountain exempt(IPC 410.2)",AA14)</f>
        <v>15 or less Fountain exempt(IPC 410.2)</v>
      </c>
      <c r="M74" s="121" t="s">
        <v>83</v>
      </c>
      <c r="N74" s="96">
        <v>0</v>
      </c>
      <c r="O74" s="97">
        <f>N74</f>
        <v>0</v>
      </c>
      <c r="S74" s="5"/>
    </row>
    <row r="75" spans="1:23" x14ac:dyDescent="0.25">
      <c r="A75" s="124"/>
      <c r="B75" s="125"/>
      <c r="C75" s="128"/>
      <c r="D75" s="111"/>
      <c r="E75" s="111"/>
      <c r="F75" s="112"/>
      <c r="G75" s="112"/>
      <c r="H75" s="112"/>
      <c r="I75" s="112"/>
      <c r="J75" s="112"/>
      <c r="K75" s="112"/>
      <c r="L75" s="112"/>
      <c r="M75" s="114"/>
      <c r="N75" s="96"/>
      <c r="O75" s="97"/>
      <c r="S75" s="5"/>
    </row>
    <row r="76" spans="1:23" x14ac:dyDescent="0.25">
      <c r="A76" s="124"/>
      <c r="B76" s="125"/>
      <c r="C76" s="128"/>
      <c r="D76" s="111"/>
      <c r="E76" s="111"/>
      <c r="F76" s="112"/>
      <c r="G76" s="112"/>
      <c r="H76" s="112"/>
      <c r="I76" s="112"/>
      <c r="J76" s="112"/>
      <c r="K76" s="112"/>
      <c r="L76" s="112"/>
      <c r="M76" s="114"/>
      <c r="N76" s="96"/>
      <c r="O76" s="97"/>
      <c r="S76" s="5"/>
    </row>
    <row r="77" spans="1:23" x14ac:dyDescent="0.25">
      <c r="A77" s="124"/>
      <c r="B77" s="125"/>
      <c r="C77" s="128"/>
      <c r="D77" s="111"/>
      <c r="E77" s="111"/>
      <c r="F77" s="112"/>
      <c r="G77" s="112"/>
      <c r="H77" s="112"/>
      <c r="I77" s="112"/>
      <c r="J77" s="112"/>
      <c r="K77" s="112"/>
      <c r="L77" s="112"/>
      <c r="M77" s="114"/>
      <c r="N77" s="96"/>
      <c r="O77" s="97"/>
      <c r="S77" s="5"/>
    </row>
    <row r="78" spans="1:23" x14ac:dyDescent="0.25">
      <c r="A78" s="124"/>
      <c r="B78" s="125"/>
      <c r="C78" s="128"/>
      <c r="D78" s="111"/>
      <c r="E78" s="111"/>
      <c r="F78" s="112"/>
      <c r="G78" s="112"/>
      <c r="H78" s="112"/>
      <c r="I78" s="112"/>
      <c r="J78" s="112"/>
      <c r="K78" s="112"/>
      <c r="L78" s="112"/>
      <c r="M78" s="114"/>
      <c r="N78" s="96"/>
      <c r="O78" s="97"/>
      <c r="S78" s="5"/>
    </row>
    <row r="79" spans="1:23" ht="14.45" customHeight="1" thickBot="1" x14ac:dyDescent="0.3">
      <c r="A79" s="126"/>
      <c r="B79" s="127"/>
      <c r="C79" s="128"/>
      <c r="D79" s="111"/>
      <c r="E79" s="111"/>
      <c r="F79" s="112"/>
      <c r="G79" s="112"/>
      <c r="H79" s="112"/>
      <c r="I79" s="112"/>
      <c r="J79" s="112"/>
      <c r="K79" s="112"/>
      <c r="L79" s="112"/>
      <c r="M79" s="114"/>
      <c r="N79" s="96"/>
      <c r="O79" s="97"/>
      <c r="S79" s="5"/>
    </row>
    <row r="80" spans="1:23" x14ac:dyDescent="0.25">
      <c r="A80" s="122" t="s">
        <v>144</v>
      </c>
      <c r="B80" s="123"/>
      <c r="C80" s="110" t="s">
        <v>145</v>
      </c>
      <c r="D80" s="111" t="s">
        <v>146</v>
      </c>
      <c r="E80" s="111"/>
      <c r="F80" s="112" t="str">
        <f>IF(AND(OR(N80&gt;0,O80&gt;0),N80+O80&lt;=15),"Single restroom okay for 15 or less (IPC 403.2(2))",IF(AND(OR(N80&gt;0,O80&gt;0),N80+O80&gt;Q5),W15,IF(AND(OR(N80&gt;0,O80&gt;0),N80+O80&lt;Q5),W15,IF(Q5&lt;=15,"Single restroom okay for 15 or less (IPC 403.2(2))",W15))))</f>
        <v>Single restroom okay for 15 or less (IPC 403.2(2))</v>
      </c>
      <c r="G80" s="112" t="str">
        <f>IF(F80="Single restroom okay for 15 or less (IPC 403.2(2))","-",X15)</f>
        <v>-</v>
      </c>
      <c r="H80" s="112" t="s">
        <v>183</v>
      </c>
      <c r="I80" s="112">
        <f>Y15</f>
        <v>0</v>
      </c>
      <c r="J80" s="112" t="str">
        <f>IF(F80="Single restroom okay for 15 or less (IPC 403.2(2))","-",Z15)</f>
        <v>-</v>
      </c>
      <c r="K80" s="112" t="str">
        <f>AB15</f>
        <v>See section 411 if eyewash stations are provided</v>
      </c>
      <c r="L80" s="112" t="str">
        <f>IF(F80="Single restroom okay for 15 or less (IPC 403.2(2))","15 or less Fountain exempt(IPC 410.2)",AA15)</f>
        <v>15 or less Fountain exempt(IPC 410.2)</v>
      </c>
      <c r="M80" s="114" t="s">
        <v>83</v>
      </c>
      <c r="N80" s="96">
        <v>0</v>
      </c>
      <c r="O80" s="97">
        <f>N80</f>
        <v>0</v>
      </c>
      <c r="S80" s="5"/>
    </row>
    <row r="81" spans="1:19" x14ac:dyDescent="0.25">
      <c r="A81" s="124"/>
      <c r="B81" s="125"/>
      <c r="C81" s="110"/>
      <c r="D81" s="111"/>
      <c r="E81" s="111"/>
      <c r="F81" s="112"/>
      <c r="G81" s="112"/>
      <c r="H81" s="112"/>
      <c r="I81" s="112"/>
      <c r="J81" s="112"/>
      <c r="K81" s="112"/>
      <c r="L81" s="112"/>
      <c r="M81" s="114"/>
      <c r="N81" s="96"/>
      <c r="O81" s="97"/>
      <c r="S81" s="5"/>
    </row>
    <row r="82" spans="1:19" x14ac:dyDescent="0.25">
      <c r="A82" s="124"/>
      <c r="B82" s="125"/>
      <c r="C82" s="110"/>
      <c r="D82" s="111"/>
      <c r="E82" s="111"/>
      <c r="F82" s="112"/>
      <c r="G82" s="112"/>
      <c r="H82" s="112"/>
      <c r="I82" s="112"/>
      <c r="J82" s="112"/>
      <c r="K82" s="112"/>
      <c r="L82" s="112"/>
      <c r="M82" s="114"/>
      <c r="N82" s="96"/>
      <c r="O82" s="97"/>
      <c r="Q82" s="13"/>
      <c r="R82" s="13"/>
      <c r="S82" s="5"/>
    </row>
    <row r="83" spans="1:19" x14ac:dyDescent="0.25">
      <c r="A83" s="124"/>
      <c r="B83" s="125"/>
      <c r="C83" s="110"/>
      <c r="D83" s="111"/>
      <c r="E83" s="111"/>
      <c r="F83" s="112"/>
      <c r="G83" s="112"/>
      <c r="H83" s="112"/>
      <c r="I83" s="112"/>
      <c r="J83" s="112"/>
      <c r="K83" s="112"/>
      <c r="L83" s="112"/>
      <c r="M83" s="114"/>
      <c r="N83" s="96"/>
      <c r="O83" s="97"/>
      <c r="S83" s="5"/>
    </row>
    <row r="84" spans="1:19" x14ac:dyDescent="0.25">
      <c r="A84" s="124"/>
      <c r="B84" s="125"/>
      <c r="C84" s="110"/>
      <c r="D84" s="111"/>
      <c r="E84" s="111"/>
      <c r="F84" s="112"/>
      <c r="G84" s="112"/>
      <c r="H84" s="112"/>
      <c r="I84" s="112"/>
      <c r="J84" s="112"/>
      <c r="K84" s="112"/>
      <c r="L84" s="112"/>
      <c r="M84" s="114"/>
      <c r="N84" s="96"/>
      <c r="O84" s="97"/>
      <c r="S84" s="5"/>
    </row>
    <row r="85" spans="1:19" x14ac:dyDescent="0.25">
      <c r="A85" s="124"/>
      <c r="B85" s="125"/>
      <c r="C85" s="110"/>
      <c r="D85" s="111"/>
      <c r="E85" s="111"/>
      <c r="F85" s="112"/>
      <c r="G85" s="112"/>
      <c r="H85" s="112"/>
      <c r="I85" s="112"/>
      <c r="J85" s="112"/>
      <c r="K85" s="112"/>
      <c r="L85" s="112"/>
      <c r="M85" s="114"/>
      <c r="N85" s="96"/>
      <c r="O85" s="97"/>
      <c r="S85" s="5"/>
    </row>
    <row r="86" spans="1:19" ht="14.45" customHeight="1" thickBot="1" x14ac:dyDescent="0.3">
      <c r="A86" s="126"/>
      <c r="B86" s="127"/>
      <c r="C86" s="110"/>
      <c r="D86" s="111"/>
      <c r="E86" s="111"/>
      <c r="F86" s="112"/>
      <c r="G86" s="112"/>
      <c r="H86" s="112"/>
      <c r="I86" s="112"/>
      <c r="J86" s="112"/>
      <c r="K86" s="112"/>
      <c r="L86" s="112"/>
      <c r="M86" s="114"/>
      <c r="N86" s="96"/>
      <c r="O86" s="97"/>
      <c r="S86" s="5"/>
    </row>
    <row r="87" spans="1:19" ht="15" customHeight="1" x14ac:dyDescent="0.25">
      <c r="A87" s="122" t="s">
        <v>147</v>
      </c>
      <c r="B87" s="123"/>
      <c r="C87" s="110" t="s">
        <v>148</v>
      </c>
      <c r="D87" s="111" t="s">
        <v>149</v>
      </c>
      <c r="E87" s="111"/>
      <c r="F87" s="112" t="str">
        <f>IF(AND(OR(N87&gt;0,O87&gt;0),N87+O87&lt;=15),"Single restroom okay for 15 or less (IPC 403.2(2))",IF(AND(OR(N87&gt;0,O87&gt;0),N87+O87&gt;Q5),W16,IF(AND(OR(N87&gt;0,O87&gt;0),N87+O87&lt;Q5),W16,IF(Q5&lt;=15,"Single restroom okay for 15 or less (IPC 403.2(2))",W16))))</f>
        <v>Single restroom okay for 15 or less (IPC 403.2(2))</v>
      </c>
      <c r="G87" s="112" t="str">
        <f>IF(F87="Single restroom okay for 15 or less (IPC 403.2(2))","-",X16)</f>
        <v>-</v>
      </c>
      <c r="H87" s="112" t="s">
        <v>182</v>
      </c>
      <c r="I87" s="112">
        <f>Y16</f>
        <v>0</v>
      </c>
      <c r="J87" s="112" t="str">
        <f>IF(F87="Single restroom okay for 15 or less (IPC 403.2(2))","-",Z16)</f>
        <v>-</v>
      </c>
      <c r="K87" s="112">
        <f>AB16</f>
        <v>0</v>
      </c>
      <c r="L87" s="112" t="str">
        <f>IF(F87="Single restroom okay for 15 or less (IPC 403.2(2))","15 or less Fountain exempt(IPC 410.2)",AA16)</f>
        <v>15 or less Fountain exempt(IPC 410.2)</v>
      </c>
      <c r="M87" s="121" t="s">
        <v>83</v>
      </c>
      <c r="N87" s="96">
        <v>0</v>
      </c>
      <c r="O87" s="97">
        <f>N87</f>
        <v>0</v>
      </c>
      <c r="S87" s="5"/>
    </row>
    <row r="88" spans="1:19" x14ac:dyDescent="0.25">
      <c r="A88" s="124"/>
      <c r="B88" s="125"/>
      <c r="C88" s="110"/>
      <c r="D88" s="111"/>
      <c r="E88" s="111"/>
      <c r="F88" s="112"/>
      <c r="G88" s="112"/>
      <c r="H88" s="112"/>
      <c r="I88" s="112"/>
      <c r="J88" s="112"/>
      <c r="K88" s="112"/>
      <c r="L88" s="112"/>
      <c r="M88" s="114"/>
      <c r="N88" s="96"/>
      <c r="O88" s="97"/>
      <c r="S88" s="5"/>
    </row>
    <row r="89" spans="1:19" x14ac:dyDescent="0.25">
      <c r="A89" s="124"/>
      <c r="B89" s="125"/>
      <c r="C89" s="110"/>
      <c r="D89" s="111"/>
      <c r="E89" s="111"/>
      <c r="F89" s="112"/>
      <c r="G89" s="112"/>
      <c r="H89" s="112"/>
      <c r="I89" s="112"/>
      <c r="J89" s="112"/>
      <c r="K89" s="112"/>
      <c r="L89" s="112"/>
      <c r="M89" s="114"/>
      <c r="N89" s="96"/>
      <c r="O89" s="97"/>
      <c r="S89" s="5"/>
    </row>
    <row r="90" spans="1:19" x14ac:dyDescent="0.25">
      <c r="A90" s="124"/>
      <c r="B90" s="125"/>
      <c r="C90" s="110"/>
      <c r="D90" s="111"/>
      <c r="E90" s="111"/>
      <c r="F90" s="112"/>
      <c r="G90" s="112"/>
      <c r="H90" s="112"/>
      <c r="I90" s="112"/>
      <c r="J90" s="112"/>
      <c r="K90" s="112"/>
      <c r="L90" s="112"/>
      <c r="M90" s="114"/>
      <c r="N90" s="96"/>
      <c r="O90" s="97"/>
      <c r="P90" s="7"/>
      <c r="S90" s="5"/>
    </row>
    <row r="91" spans="1:19" x14ac:dyDescent="0.25">
      <c r="A91" s="124"/>
      <c r="B91" s="125"/>
      <c r="C91" s="110"/>
      <c r="D91" s="111"/>
      <c r="E91" s="111"/>
      <c r="F91" s="112"/>
      <c r="G91" s="112"/>
      <c r="H91" s="112"/>
      <c r="I91" s="112"/>
      <c r="J91" s="112"/>
      <c r="K91" s="112"/>
      <c r="L91" s="112"/>
      <c r="M91" s="114"/>
      <c r="N91" s="96"/>
      <c r="O91" s="97"/>
      <c r="P91" s="7"/>
      <c r="S91" s="5"/>
    </row>
    <row r="92" spans="1:19" ht="14.45" customHeight="1" x14ac:dyDescent="0.25">
      <c r="A92" s="124"/>
      <c r="B92" s="125"/>
      <c r="C92" s="110"/>
      <c r="D92" s="111"/>
      <c r="E92" s="111"/>
      <c r="F92" s="112"/>
      <c r="G92" s="112"/>
      <c r="H92" s="112"/>
      <c r="I92" s="112"/>
      <c r="J92" s="112"/>
      <c r="K92" s="112"/>
      <c r="L92" s="112"/>
      <c r="M92" s="114"/>
      <c r="N92" s="96"/>
      <c r="O92" s="97"/>
      <c r="S92" s="5"/>
    </row>
    <row r="93" spans="1:19" x14ac:dyDescent="0.25">
      <c r="A93" s="124"/>
      <c r="B93" s="125"/>
      <c r="C93" s="110" t="s">
        <v>150</v>
      </c>
      <c r="D93" s="111" t="s">
        <v>151</v>
      </c>
      <c r="E93" s="111"/>
      <c r="F93" s="113" t="s">
        <v>152</v>
      </c>
      <c r="G93" s="113"/>
      <c r="H93" s="113" t="s">
        <v>82</v>
      </c>
      <c r="I93" s="113" t="s">
        <v>152</v>
      </c>
      <c r="J93" s="113"/>
      <c r="K93" s="112">
        <f>IF(OR(N93&gt;0,O93&gt;0),ROUNDUP((N93+O93)/15,0),ROUNDUP(Q5/15,0))</f>
        <v>0</v>
      </c>
      <c r="L93" s="112">
        <f>IF(OR(N93&gt;0,O93&gt;0),ROUNDUP((N93+O93)/100,0),ROUNDUP(Q5/100,0))</f>
        <v>0</v>
      </c>
      <c r="M93" s="107" t="s">
        <v>83</v>
      </c>
      <c r="N93" s="96">
        <v>0</v>
      </c>
      <c r="O93" s="97">
        <f>N93</f>
        <v>0</v>
      </c>
      <c r="S93" s="5"/>
    </row>
    <row r="94" spans="1:19" x14ac:dyDescent="0.25">
      <c r="A94" s="124"/>
      <c r="B94" s="125"/>
      <c r="C94" s="110"/>
      <c r="D94" s="111"/>
      <c r="E94" s="111"/>
      <c r="F94" s="113"/>
      <c r="G94" s="113"/>
      <c r="H94" s="113"/>
      <c r="I94" s="113"/>
      <c r="J94" s="113"/>
      <c r="K94" s="112"/>
      <c r="L94" s="112"/>
      <c r="M94" s="108"/>
      <c r="N94" s="96"/>
      <c r="O94" s="97"/>
      <c r="S94" s="5"/>
    </row>
    <row r="95" spans="1:19" x14ac:dyDescent="0.25">
      <c r="A95" s="124"/>
      <c r="B95" s="125"/>
      <c r="C95" s="110"/>
      <c r="D95" s="111"/>
      <c r="E95" s="111"/>
      <c r="F95" s="113"/>
      <c r="G95" s="113"/>
      <c r="H95" s="113"/>
      <c r="I95" s="113"/>
      <c r="J95" s="113"/>
      <c r="K95" s="112"/>
      <c r="L95" s="112"/>
      <c r="M95" s="109"/>
      <c r="N95" s="96"/>
      <c r="O95" s="97"/>
      <c r="S95" s="5"/>
    </row>
    <row r="96" spans="1:19" ht="14.45" customHeight="1" x14ac:dyDescent="0.25">
      <c r="A96" s="124"/>
      <c r="B96" s="125"/>
      <c r="C96" s="110"/>
      <c r="D96" s="111" t="s">
        <v>153</v>
      </c>
      <c r="E96" s="111"/>
      <c r="F96" s="112" t="str">
        <f>IF(AND(OR(N96&gt;0,O96&gt;0),N96+O96&lt;=15),"Single restroom okay for 15 or less (IPC 403.2(2))",IF(AND(OR(N96&gt;0,O96&gt;0),N96+O96&gt;Q5),W17,IF(AND(OR(N96&gt;0,O96&gt;0),N96+O96&lt;Q5),W17,IF(Q5&lt;=15,"Single restroom okay for 15 or less (IPC 403.2(2))",W17))))</f>
        <v>Single restroom okay for 15 or less (IPC 403.2(2))</v>
      </c>
      <c r="G96" s="112" t="str">
        <f>IF(F96="Single restroom okay for 15 or less (IPC 403.2(2))","-",X17)</f>
        <v>-</v>
      </c>
      <c r="H96" s="112" t="s">
        <v>82</v>
      </c>
      <c r="I96" s="112">
        <f>Y17</f>
        <v>0</v>
      </c>
      <c r="J96" s="112" t="str">
        <f>IF(F96="Single restroom okay for 15 or less (IPC 403.2(2))","-",Z17)</f>
        <v>-</v>
      </c>
      <c r="K96" s="112" t="s">
        <v>82</v>
      </c>
      <c r="L96" s="112" t="str">
        <f>IF(AND(OR(N96&gt;0,O96&gt;0),N96+O96&lt;=15),"15 or less Fountain exempt(IPC 410.2)",IF(Q5&lt;=15,"15 or less Fountain exempt(IPC 410.2)",AA17))</f>
        <v>15 or less Fountain exempt(IPC 410.2)</v>
      </c>
      <c r="M96" s="114" t="s">
        <v>82</v>
      </c>
      <c r="N96" s="96">
        <v>0</v>
      </c>
      <c r="O96" s="97">
        <f>N96</f>
        <v>0</v>
      </c>
    </row>
    <row r="97" spans="1:15" ht="14.45" customHeight="1" x14ac:dyDescent="0.25">
      <c r="A97" s="124"/>
      <c r="B97" s="125"/>
      <c r="C97" s="110"/>
      <c r="D97" s="111"/>
      <c r="E97" s="111"/>
      <c r="F97" s="112"/>
      <c r="G97" s="112"/>
      <c r="H97" s="112"/>
      <c r="I97" s="112"/>
      <c r="J97" s="112"/>
      <c r="K97" s="112"/>
      <c r="L97" s="112"/>
      <c r="M97" s="114"/>
      <c r="N97" s="96"/>
      <c r="O97" s="97"/>
    </row>
    <row r="98" spans="1:15" ht="14.45" customHeight="1" x14ac:dyDescent="0.25">
      <c r="A98" s="124"/>
      <c r="B98" s="125"/>
      <c r="C98" s="110"/>
      <c r="D98" s="111"/>
      <c r="E98" s="111"/>
      <c r="F98" s="112"/>
      <c r="G98" s="112"/>
      <c r="H98" s="112"/>
      <c r="I98" s="112"/>
      <c r="J98" s="112"/>
      <c r="K98" s="112"/>
      <c r="L98" s="112"/>
      <c r="M98" s="114"/>
      <c r="N98" s="96"/>
      <c r="O98" s="97"/>
    </row>
    <row r="99" spans="1:15" ht="14.45" customHeight="1" x14ac:dyDescent="0.25">
      <c r="A99" s="124"/>
      <c r="B99" s="125"/>
      <c r="C99" s="110"/>
      <c r="D99" s="111"/>
      <c r="E99" s="111"/>
      <c r="F99" s="112"/>
      <c r="G99" s="112"/>
      <c r="H99" s="112"/>
      <c r="I99" s="112"/>
      <c r="J99" s="112"/>
      <c r="K99" s="112"/>
      <c r="L99" s="112"/>
      <c r="M99" s="114"/>
      <c r="N99" s="96"/>
      <c r="O99" s="97"/>
    </row>
    <row r="100" spans="1:15" x14ac:dyDescent="0.25">
      <c r="A100" s="124"/>
      <c r="B100" s="125"/>
      <c r="C100" s="110"/>
      <c r="D100" s="111"/>
      <c r="E100" s="111"/>
      <c r="F100" s="112"/>
      <c r="G100" s="112"/>
      <c r="H100" s="112"/>
      <c r="I100" s="112"/>
      <c r="J100" s="112"/>
      <c r="K100" s="112"/>
      <c r="L100" s="112"/>
      <c r="M100" s="114"/>
      <c r="N100" s="96"/>
      <c r="O100" s="97"/>
    </row>
    <row r="101" spans="1:15" x14ac:dyDescent="0.25">
      <c r="A101" s="124"/>
      <c r="B101" s="125"/>
      <c r="C101" s="110"/>
      <c r="D101" s="111"/>
      <c r="E101" s="111"/>
      <c r="F101" s="112"/>
      <c r="G101" s="112"/>
      <c r="H101" s="112"/>
      <c r="I101" s="112"/>
      <c r="J101" s="112"/>
      <c r="K101" s="112"/>
      <c r="L101" s="112"/>
      <c r="M101" s="114"/>
      <c r="N101" s="96"/>
      <c r="O101" s="97"/>
    </row>
    <row r="102" spans="1:15" x14ac:dyDescent="0.25">
      <c r="A102" s="124"/>
      <c r="B102" s="125"/>
      <c r="C102" s="110"/>
      <c r="D102" s="111" t="s">
        <v>154</v>
      </c>
      <c r="E102" s="111"/>
      <c r="F102" s="112" t="str">
        <f>IF(AND(OR(N102&gt;0,O102&gt;0),N102+O102&lt;=15),"Single restroom okay for 15 or less (IPC 403.2(2))",IF(AND(OR(N102&gt;0,O102&gt;0),N102+O102&gt;Q5),W18,IF(AND(OR(N102&gt;0,O102&gt;0),N102+O102&lt;Q5),W18,IF(Q5&lt;=15,"Single restroom okay for 15 or less (IPC 403.2(2))",W18))))</f>
        <v>Single restroom okay for 15 or less (IPC 403.2(2))</v>
      </c>
      <c r="G102" s="112" t="str">
        <f>IF(F102="Single restroom okay for 15 or less (IPC 403.2(2))","-",X18)</f>
        <v>-</v>
      </c>
      <c r="H102" s="112" t="s">
        <v>82</v>
      </c>
      <c r="I102" s="112">
        <f>Y18</f>
        <v>0</v>
      </c>
      <c r="J102" s="112" t="str">
        <f>IF(F102="Single restroom okay for 15 or less (IPC 403.2(2))","-",Z18)</f>
        <v>-</v>
      </c>
      <c r="K102" s="112" t="s">
        <v>82</v>
      </c>
      <c r="L102" s="112" t="str">
        <f>IF(AND(OR(N102&gt;0,O102&gt;0),N102+O102&lt;=15),"15 or less Fountain exempt(IPC 410.2)",IF(Q5&lt;=15,"15 or less Fountain exempt(IPC 410.2)",AA18))</f>
        <v>15 or less Fountain exempt(IPC 410.2)</v>
      </c>
      <c r="M102" s="114" t="s">
        <v>82</v>
      </c>
      <c r="N102" s="96">
        <v>0</v>
      </c>
      <c r="O102" s="97">
        <f>N102</f>
        <v>0</v>
      </c>
    </row>
    <row r="103" spans="1:15" x14ac:dyDescent="0.25">
      <c r="A103" s="124"/>
      <c r="B103" s="125"/>
      <c r="C103" s="110"/>
      <c r="D103" s="111"/>
      <c r="E103" s="111"/>
      <c r="F103" s="112"/>
      <c r="G103" s="112"/>
      <c r="H103" s="112"/>
      <c r="I103" s="112"/>
      <c r="J103" s="112"/>
      <c r="K103" s="112"/>
      <c r="L103" s="112"/>
      <c r="M103" s="114"/>
      <c r="N103" s="96"/>
      <c r="O103" s="97"/>
    </row>
    <row r="104" spans="1:15" x14ac:dyDescent="0.25">
      <c r="A104" s="124"/>
      <c r="B104" s="125"/>
      <c r="C104" s="110"/>
      <c r="D104" s="111"/>
      <c r="E104" s="111"/>
      <c r="F104" s="112"/>
      <c r="G104" s="112"/>
      <c r="H104" s="112"/>
      <c r="I104" s="112"/>
      <c r="J104" s="112"/>
      <c r="K104" s="112"/>
      <c r="L104" s="112"/>
      <c r="M104" s="114"/>
      <c r="N104" s="96"/>
      <c r="O104" s="97"/>
    </row>
    <row r="105" spans="1:15" x14ac:dyDescent="0.25">
      <c r="A105" s="124"/>
      <c r="B105" s="125"/>
      <c r="C105" s="110"/>
      <c r="D105" s="111"/>
      <c r="E105" s="111"/>
      <c r="F105" s="112"/>
      <c r="G105" s="112"/>
      <c r="H105" s="112"/>
      <c r="I105" s="112"/>
      <c r="J105" s="112"/>
      <c r="K105" s="112"/>
      <c r="L105" s="112"/>
      <c r="M105" s="114"/>
      <c r="N105" s="96"/>
      <c r="O105" s="97"/>
    </row>
    <row r="106" spans="1:15" x14ac:dyDescent="0.25">
      <c r="A106" s="124"/>
      <c r="B106" s="125"/>
      <c r="C106" s="110"/>
      <c r="D106" s="111"/>
      <c r="E106" s="111"/>
      <c r="F106" s="112"/>
      <c r="G106" s="112"/>
      <c r="H106" s="112"/>
      <c r="I106" s="112"/>
      <c r="J106" s="112"/>
      <c r="K106" s="112"/>
      <c r="L106" s="112"/>
      <c r="M106" s="114"/>
      <c r="N106" s="96"/>
      <c r="O106" s="97"/>
    </row>
    <row r="107" spans="1:15" x14ac:dyDescent="0.25">
      <c r="A107" s="124"/>
      <c r="B107" s="125"/>
      <c r="C107" s="110"/>
      <c r="D107" s="111"/>
      <c r="E107" s="111"/>
      <c r="F107" s="112"/>
      <c r="G107" s="112"/>
      <c r="H107" s="112"/>
      <c r="I107" s="112"/>
      <c r="J107" s="112"/>
      <c r="K107" s="112"/>
      <c r="L107" s="112"/>
      <c r="M107" s="114"/>
      <c r="N107" s="96"/>
      <c r="O107" s="97"/>
    </row>
    <row r="108" spans="1:15" x14ac:dyDescent="0.25">
      <c r="A108" s="124"/>
      <c r="B108" s="125"/>
      <c r="C108" s="110" t="s">
        <v>155</v>
      </c>
      <c r="D108" s="111" t="s">
        <v>156</v>
      </c>
      <c r="E108" s="111"/>
      <c r="F108" s="113" t="s">
        <v>157</v>
      </c>
      <c r="G108" s="113"/>
      <c r="H108" s="113" t="s">
        <v>82</v>
      </c>
      <c r="I108" s="113" t="s">
        <v>157</v>
      </c>
      <c r="J108" s="113"/>
      <c r="K108" s="112" t="s">
        <v>158</v>
      </c>
      <c r="L108" s="112" t="str">
        <f>"1 per 100"</f>
        <v>1 per 100</v>
      </c>
      <c r="M108" s="107" t="s">
        <v>83</v>
      </c>
      <c r="N108" s="96">
        <v>0</v>
      </c>
      <c r="O108" s="97">
        <f>N108</f>
        <v>0</v>
      </c>
    </row>
    <row r="109" spans="1:15" x14ac:dyDescent="0.25">
      <c r="A109" s="124"/>
      <c r="B109" s="125"/>
      <c r="C109" s="110"/>
      <c r="D109" s="111"/>
      <c r="E109" s="111"/>
      <c r="F109" s="113"/>
      <c r="G109" s="113"/>
      <c r="H109" s="113"/>
      <c r="I109" s="113"/>
      <c r="J109" s="113"/>
      <c r="K109" s="112"/>
      <c r="L109" s="112"/>
      <c r="M109" s="108"/>
      <c r="N109" s="96"/>
      <c r="O109" s="97"/>
    </row>
    <row r="110" spans="1:15" ht="14.45" customHeight="1" x14ac:dyDescent="0.25">
      <c r="A110" s="124"/>
      <c r="B110" s="125"/>
      <c r="C110" s="110"/>
      <c r="D110" s="111"/>
      <c r="E110" s="111"/>
      <c r="F110" s="113"/>
      <c r="G110" s="113"/>
      <c r="H110" s="113"/>
      <c r="I110" s="113"/>
      <c r="J110" s="113"/>
      <c r="K110" s="112"/>
      <c r="L110" s="112"/>
      <c r="M110" s="109"/>
      <c r="N110" s="96"/>
      <c r="O110" s="97"/>
    </row>
    <row r="111" spans="1:15" x14ac:dyDescent="0.25">
      <c r="A111" s="124"/>
      <c r="B111" s="125"/>
      <c r="C111" s="110"/>
      <c r="D111" s="111" t="s">
        <v>159</v>
      </c>
      <c r="E111" s="111"/>
      <c r="F111" s="112" t="str">
        <f>IF(AND(OR(N111&gt;0,O111&gt;0),N111+O111&lt;=15),"Single restroom okay for 15 or less (IPC 403.2(2))",IF(AND(OR(N111&gt;0,O111&gt;0),N111+O111&gt;Q5),W19,IF(AND(OR(N111&gt;0,O111&gt;0),N111+O111&lt;Q5),W19,IF(Q5&lt;=15,"Single restroom okay for 15 or less (IPC 403.2(2))",W19))))</f>
        <v>Single restroom okay for 15 or less (IPC 403.2(2))</v>
      </c>
      <c r="G111" s="112" t="str">
        <f>IF(F111="Single restroom okay for 15 or less (IPC 403.2(2))","-",X19)</f>
        <v>-</v>
      </c>
      <c r="H111" s="112" t="s">
        <v>82</v>
      </c>
      <c r="I111" s="112">
        <f>Y19</f>
        <v>0</v>
      </c>
      <c r="J111" s="112" t="str">
        <f>IF(F111="Single restroom okay for 15 or less (IPC 403.2(2))","-",Z18)</f>
        <v>-</v>
      </c>
      <c r="K111" s="112">
        <f>AB19</f>
        <v>0</v>
      </c>
      <c r="L111" s="112" t="str">
        <f>IF(F111="Single restroom okay for 15 or less (IPC 403.2(2))","15 or less Fountain exempt(IPC 410.2)",AA19)</f>
        <v>15 or less Fountain exempt(IPC 410.2)</v>
      </c>
      <c r="M111" s="114" t="s">
        <v>83</v>
      </c>
      <c r="N111" s="96">
        <v>0</v>
      </c>
      <c r="O111" s="97">
        <f>N111</f>
        <v>0</v>
      </c>
    </row>
    <row r="112" spans="1:15" x14ac:dyDescent="0.25">
      <c r="A112" s="124"/>
      <c r="B112" s="125"/>
      <c r="C112" s="110"/>
      <c r="D112" s="111"/>
      <c r="E112" s="111"/>
      <c r="F112" s="112"/>
      <c r="G112" s="112"/>
      <c r="H112" s="112"/>
      <c r="I112" s="112"/>
      <c r="J112" s="112"/>
      <c r="K112" s="112"/>
      <c r="L112" s="112"/>
      <c r="M112" s="114"/>
      <c r="N112" s="96"/>
      <c r="O112" s="97"/>
    </row>
    <row r="113" spans="1:15" x14ac:dyDescent="0.25">
      <c r="A113" s="124"/>
      <c r="B113" s="125"/>
      <c r="C113" s="110"/>
      <c r="D113" s="111"/>
      <c r="E113" s="111"/>
      <c r="F113" s="112"/>
      <c r="G113" s="112"/>
      <c r="H113" s="112"/>
      <c r="I113" s="112"/>
      <c r="J113" s="112"/>
      <c r="K113" s="112"/>
      <c r="L113" s="112"/>
      <c r="M113" s="114"/>
      <c r="N113" s="96"/>
      <c r="O113" s="97"/>
    </row>
    <row r="114" spans="1:15" x14ac:dyDescent="0.25">
      <c r="A114" s="124"/>
      <c r="B114" s="125"/>
      <c r="C114" s="110"/>
      <c r="D114" s="111"/>
      <c r="E114" s="111"/>
      <c r="F114" s="112"/>
      <c r="G114" s="112"/>
      <c r="H114" s="112"/>
      <c r="I114" s="112"/>
      <c r="J114" s="112"/>
      <c r="K114" s="112"/>
      <c r="L114" s="112"/>
      <c r="M114" s="114"/>
      <c r="N114" s="96"/>
      <c r="O114" s="97"/>
    </row>
    <row r="115" spans="1:15" x14ac:dyDescent="0.25">
      <c r="A115" s="124"/>
      <c r="B115" s="125"/>
      <c r="C115" s="110"/>
      <c r="D115" s="111"/>
      <c r="E115" s="111"/>
      <c r="F115" s="112"/>
      <c r="G115" s="112"/>
      <c r="H115" s="112"/>
      <c r="I115" s="112"/>
      <c r="J115" s="112"/>
      <c r="K115" s="112"/>
      <c r="L115" s="112"/>
      <c r="M115" s="114"/>
      <c r="N115" s="96"/>
      <c r="O115" s="97"/>
    </row>
    <row r="116" spans="1:15" x14ac:dyDescent="0.25">
      <c r="A116" s="124"/>
      <c r="B116" s="125"/>
      <c r="C116" s="110"/>
      <c r="D116" s="111"/>
      <c r="E116" s="111"/>
      <c r="F116" s="112"/>
      <c r="G116" s="112"/>
      <c r="H116" s="112"/>
      <c r="I116" s="112"/>
      <c r="J116" s="112"/>
      <c r="K116" s="112"/>
      <c r="L116" s="112"/>
      <c r="M116" s="114"/>
      <c r="N116" s="96"/>
      <c r="O116" s="97"/>
    </row>
    <row r="117" spans="1:15" ht="14.45" customHeight="1" x14ac:dyDescent="0.25">
      <c r="A117" s="124"/>
      <c r="B117" s="125"/>
      <c r="C117" s="110"/>
      <c r="D117" s="111" t="s">
        <v>160</v>
      </c>
      <c r="E117" s="111"/>
      <c r="F117" s="112" t="str">
        <f>IF(AND(OR(N117&gt;0,O117&gt;0),N117+O117&lt;=15),"Single restroom okay for 15 or less (IPC 403.2(2))",IF(AND(OR(N117&gt;0,O117&gt;0),N117+O117&gt;Q5),W20,IF(AND(OR(N117&gt;0,O117&gt;0),N117+O117&lt;Q5),W20,IF(Q5&lt;=15,"Single restroom okay for 15 or less (IPC 403.2(2))",W20))))</f>
        <v>Single restroom okay for 15 or less (IPC 403.2(2))</v>
      </c>
      <c r="G117" s="112" t="str">
        <f>IF(F117="Single restroom okay for 15 or less (IPC 403.2(2))","-",X20)</f>
        <v>-</v>
      </c>
      <c r="H117" s="112" t="s">
        <v>82</v>
      </c>
      <c r="I117" s="112">
        <f>Y20</f>
        <v>0</v>
      </c>
      <c r="J117" s="112" t="str">
        <f>IF(F117="Single restroom okay for 15 or less (IPC 403.2(2))","-",Z20)</f>
        <v>-</v>
      </c>
      <c r="K117" s="112" t="s">
        <v>82</v>
      </c>
      <c r="L117" s="112" t="str">
        <f>IF(F117="Single restroom okay for 15 or less (IPC 403.2(2))","15 or less Fountain exempt(IPC 410.2)",AA20)</f>
        <v>15 or less Fountain exempt(IPC 410.2)</v>
      </c>
      <c r="M117" s="114" t="s">
        <v>82</v>
      </c>
      <c r="N117" s="96">
        <v>0</v>
      </c>
      <c r="O117" s="97">
        <f>N117</f>
        <v>0</v>
      </c>
    </row>
    <row r="118" spans="1:15" ht="14.45" customHeight="1" x14ac:dyDescent="0.25">
      <c r="A118" s="124"/>
      <c r="B118" s="125"/>
      <c r="C118" s="110"/>
      <c r="D118" s="111"/>
      <c r="E118" s="111"/>
      <c r="F118" s="112"/>
      <c r="G118" s="112"/>
      <c r="H118" s="112"/>
      <c r="I118" s="112"/>
      <c r="J118" s="112"/>
      <c r="K118" s="112"/>
      <c r="L118" s="112"/>
      <c r="M118" s="114"/>
      <c r="N118" s="96"/>
      <c r="O118" s="97"/>
    </row>
    <row r="119" spans="1:15" ht="14.45" customHeight="1" x14ac:dyDescent="0.25">
      <c r="A119" s="124"/>
      <c r="B119" s="125"/>
      <c r="C119" s="110"/>
      <c r="D119" s="111"/>
      <c r="E119" s="111"/>
      <c r="F119" s="112"/>
      <c r="G119" s="112"/>
      <c r="H119" s="112"/>
      <c r="I119" s="112"/>
      <c r="J119" s="112"/>
      <c r="K119" s="112"/>
      <c r="L119" s="112"/>
      <c r="M119" s="114"/>
      <c r="N119" s="96"/>
      <c r="O119" s="97"/>
    </row>
    <row r="120" spans="1:15" ht="14.45" customHeight="1" x14ac:dyDescent="0.25">
      <c r="A120" s="124"/>
      <c r="B120" s="125"/>
      <c r="C120" s="110"/>
      <c r="D120" s="111"/>
      <c r="E120" s="111"/>
      <c r="F120" s="112"/>
      <c r="G120" s="112"/>
      <c r="H120" s="112"/>
      <c r="I120" s="112"/>
      <c r="J120" s="112"/>
      <c r="K120" s="112"/>
      <c r="L120" s="112"/>
      <c r="M120" s="114"/>
      <c r="N120" s="96"/>
      <c r="O120" s="97"/>
    </row>
    <row r="121" spans="1:15" x14ac:dyDescent="0.25">
      <c r="A121" s="124"/>
      <c r="B121" s="125"/>
      <c r="C121" s="110"/>
      <c r="D121" s="111"/>
      <c r="E121" s="111"/>
      <c r="F121" s="112"/>
      <c r="G121" s="112"/>
      <c r="H121" s="112"/>
      <c r="I121" s="112"/>
      <c r="J121" s="112"/>
      <c r="K121" s="112"/>
      <c r="L121" s="112"/>
      <c r="M121" s="114"/>
      <c r="N121" s="96"/>
      <c r="O121" s="97"/>
    </row>
    <row r="122" spans="1:15" x14ac:dyDescent="0.25">
      <c r="A122" s="124"/>
      <c r="B122" s="125"/>
      <c r="C122" s="110"/>
      <c r="D122" s="111"/>
      <c r="E122" s="111"/>
      <c r="F122" s="112"/>
      <c r="G122" s="112"/>
      <c r="H122" s="112"/>
      <c r="I122" s="112"/>
      <c r="J122" s="112"/>
      <c r="K122" s="112"/>
      <c r="L122" s="112"/>
      <c r="M122" s="114"/>
      <c r="N122" s="96"/>
      <c r="O122" s="97"/>
    </row>
    <row r="123" spans="1:15" x14ac:dyDescent="0.25">
      <c r="A123" s="124"/>
      <c r="B123" s="125"/>
      <c r="C123" s="110" t="s">
        <v>161</v>
      </c>
      <c r="D123" s="111" t="s">
        <v>162</v>
      </c>
      <c r="E123" s="111"/>
      <c r="F123" s="112" t="str">
        <f>IF(AND(OR(N123&gt;0,O123&gt;0),N123+O123&lt;=15),"Single restroom okay for 15 or less (IPC 403.2(2))",IF(AND(OR(N123&gt;0,O123&gt;0),N123+O123&gt;Q5),W21,IF(AND(OR(N123&gt;0,O123&gt;0),N123+O123&lt;Q5),W21,IF(Q5&lt;=15,"Single restroom okay for 15 or less (IPC 403.2(2))",W21))))</f>
        <v>Single restroom okay for 15 or less (IPC 403.2(2))</v>
      </c>
      <c r="G123" s="112" t="str">
        <f>IF(F123="Single restroom okay for 15 or less (IPC 403.2(2))","-",X21)</f>
        <v>-</v>
      </c>
      <c r="H123" s="112" t="s">
        <v>82</v>
      </c>
      <c r="I123" s="112">
        <f>Y21</f>
        <v>0</v>
      </c>
      <c r="J123" s="112">
        <f>Z21</f>
        <v>0</v>
      </c>
      <c r="K123" s="112">
        <f>AB21</f>
        <v>1</v>
      </c>
      <c r="L123" s="112" t="str">
        <f>IF(F123="Single restroom okay for 15 or less (IPC 403.2(2))","15 or less Fountain exempt(IPC 410.2)",AA21)</f>
        <v>15 or less Fountain exempt(IPC 410.2)</v>
      </c>
      <c r="M123" s="107" t="s">
        <v>83</v>
      </c>
      <c r="N123" s="96">
        <v>0</v>
      </c>
      <c r="O123" s="97">
        <f>N123</f>
        <v>0</v>
      </c>
    </row>
    <row r="124" spans="1:15" x14ac:dyDescent="0.25">
      <c r="A124" s="124"/>
      <c r="B124" s="125"/>
      <c r="C124" s="110"/>
      <c r="D124" s="111"/>
      <c r="E124" s="111"/>
      <c r="F124" s="112"/>
      <c r="G124" s="112"/>
      <c r="H124" s="112"/>
      <c r="I124" s="112"/>
      <c r="J124" s="112"/>
      <c r="K124" s="112"/>
      <c r="L124" s="112"/>
      <c r="M124" s="108"/>
      <c r="N124" s="96"/>
      <c r="O124" s="97"/>
    </row>
    <row r="125" spans="1:15" x14ac:dyDescent="0.25">
      <c r="A125" s="124"/>
      <c r="B125" s="125"/>
      <c r="C125" s="110"/>
      <c r="D125" s="111"/>
      <c r="E125" s="111"/>
      <c r="F125" s="112"/>
      <c r="G125" s="112"/>
      <c r="H125" s="112"/>
      <c r="I125" s="112"/>
      <c r="J125" s="112"/>
      <c r="K125" s="112"/>
      <c r="L125" s="112"/>
      <c r="M125" s="108"/>
      <c r="N125" s="96"/>
      <c r="O125" s="97"/>
    </row>
    <row r="126" spans="1:15" x14ac:dyDescent="0.25">
      <c r="A126" s="124"/>
      <c r="B126" s="125"/>
      <c r="C126" s="110"/>
      <c r="D126" s="111"/>
      <c r="E126" s="111"/>
      <c r="F126" s="112"/>
      <c r="G126" s="112"/>
      <c r="H126" s="112"/>
      <c r="I126" s="112"/>
      <c r="J126" s="112"/>
      <c r="K126" s="112"/>
      <c r="L126" s="112"/>
      <c r="M126" s="108"/>
      <c r="N126" s="96"/>
      <c r="O126" s="97"/>
    </row>
    <row r="127" spans="1:15" x14ac:dyDescent="0.25">
      <c r="A127" s="124"/>
      <c r="B127" s="125"/>
      <c r="C127" s="110"/>
      <c r="D127" s="111"/>
      <c r="E127" s="111"/>
      <c r="F127" s="112"/>
      <c r="G127" s="112"/>
      <c r="H127" s="112"/>
      <c r="I127" s="112"/>
      <c r="J127" s="112"/>
      <c r="K127" s="112"/>
      <c r="L127" s="112"/>
      <c r="M127" s="108"/>
      <c r="N127" s="96"/>
      <c r="O127" s="97"/>
    </row>
    <row r="128" spans="1:15" ht="15.75" thickBot="1" x14ac:dyDescent="0.3">
      <c r="A128" s="126"/>
      <c r="B128" s="127"/>
      <c r="C128" s="110"/>
      <c r="D128" s="111"/>
      <c r="E128" s="111"/>
      <c r="F128" s="112"/>
      <c r="G128" s="112"/>
      <c r="H128" s="112"/>
      <c r="I128" s="112"/>
      <c r="J128" s="112"/>
      <c r="K128" s="112"/>
      <c r="L128" s="112"/>
      <c r="M128" s="109"/>
      <c r="N128" s="96"/>
      <c r="O128" s="97"/>
    </row>
    <row r="129" spans="1:15" ht="14.45" customHeight="1" x14ac:dyDescent="0.25">
      <c r="A129" s="80" t="s">
        <v>163</v>
      </c>
      <c r="B129" s="81"/>
      <c r="C129" s="110" t="s">
        <v>164</v>
      </c>
      <c r="D129" s="111" t="s">
        <v>165</v>
      </c>
      <c r="E129" s="111"/>
      <c r="F129" s="112" t="str">
        <f>IF(AND(OR(N129&gt;0,O129&gt;0),N129+O129&lt;=100),"Single restroom okay for 100 or less (IPC 403.2(3))",IF(AND(OR(N129&gt;0,O129&gt;0),N129+O129&gt;Q5),W22,IF(AND(OR(N129&gt;0,O129&gt;0),N129+O129&lt;Q5),W22,IF(Q5&lt;=100,"Single restroom okay for 100 or less (IPC 403.2(3))",W22))))</f>
        <v>Single restroom okay for 100 or less (IPC 403.2(3))</v>
      </c>
      <c r="G129" s="112" t="str">
        <f>IF(F129="Single restroom okay for 100 or less (IPC 403.2(3))","-",X22)</f>
        <v>-</v>
      </c>
      <c r="H129" s="112" t="s">
        <v>182</v>
      </c>
      <c r="I129" s="112">
        <f>Y22</f>
        <v>0</v>
      </c>
      <c r="J129" s="112" t="str">
        <f>IF(F129="Single restroom okay for 100 or less (IPC 403.2(3))","-",Z22)</f>
        <v>-</v>
      </c>
      <c r="K129" s="112" t="s">
        <v>82</v>
      </c>
      <c r="L129" s="120" t="str">
        <f>IF(AND(OR(N129&gt;0,O129&gt;0),N129+O129&lt;=15),"15 or less Fountain exempt(IPC 410.2)",IF(AND(OR(N129&gt;0,O129&gt;0),N129+O129&gt;Q5),AA22,IF(AND(OR(N129&gt;0,O129&gt;0),N129+O129&lt;Q5),AA22,IF(Q5&lt;=15,"15 or less Fountain exempt(IPC 410.2)",AA22))))</f>
        <v>15 or less Fountain exempt(IPC 410.2)</v>
      </c>
      <c r="M129" s="95" t="str">
        <f>IF(AND(OR(N129&gt;0,O129&gt;0),N129+O129&lt;=15),"15 or less Service sink exempt (IPC 403.1(e))",IF(AND(OR(N129&gt;0,O129&gt;0),N129+O129&gt;Q5),"1 service sink",IF(AND(OR(N129&gt;0,O129&gt;0),N129+O129&lt;Q5),"1 service sink",IF(Q5&lt;=15,"15 or less Service sink exempt (IPC 403.1(e))","1 service sink"))))</f>
        <v>15 or less Service sink exempt (IPC 403.1(e))</v>
      </c>
      <c r="N129" s="96">
        <v>0</v>
      </c>
      <c r="O129" s="97">
        <f>N129</f>
        <v>0</v>
      </c>
    </row>
    <row r="130" spans="1:15" x14ac:dyDescent="0.25">
      <c r="A130" s="82"/>
      <c r="B130" s="83"/>
      <c r="C130" s="110"/>
      <c r="D130" s="111"/>
      <c r="E130" s="111"/>
      <c r="F130" s="112"/>
      <c r="G130" s="112"/>
      <c r="H130" s="112"/>
      <c r="I130" s="112"/>
      <c r="J130" s="112"/>
      <c r="K130" s="112"/>
      <c r="L130" s="120"/>
      <c r="M130" s="95"/>
      <c r="N130" s="96"/>
      <c r="O130" s="97"/>
    </row>
    <row r="131" spans="1:15" x14ac:dyDescent="0.25">
      <c r="A131" s="82"/>
      <c r="B131" s="83"/>
      <c r="C131" s="110"/>
      <c r="D131" s="111"/>
      <c r="E131" s="111"/>
      <c r="F131" s="112"/>
      <c r="G131" s="112"/>
      <c r="H131" s="112"/>
      <c r="I131" s="112"/>
      <c r="J131" s="112"/>
      <c r="K131" s="112"/>
      <c r="L131" s="120"/>
      <c r="M131" s="95"/>
      <c r="N131" s="96"/>
      <c r="O131" s="97"/>
    </row>
    <row r="132" spans="1:15" x14ac:dyDescent="0.25">
      <c r="A132" s="82"/>
      <c r="B132" s="83"/>
      <c r="C132" s="110"/>
      <c r="D132" s="111"/>
      <c r="E132" s="111"/>
      <c r="F132" s="112"/>
      <c r="G132" s="112"/>
      <c r="H132" s="112"/>
      <c r="I132" s="112"/>
      <c r="J132" s="112"/>
      <c r="K132" s="112"/>
      <c r="L132" s="120"/>
      <c r="M132" s="95"/>
      <c r="N132" s="96"/>
      <c r="O132" s="97"/>
    </row>
    <row r="133" spans="1:15" x14ac:dyDescent="0.25">
      <c r="A133" s="82"/>
      <c r="B133" s="83"/>
      <c r="C133" s="110"/>
      <c r="D133" s="111"/>
      <c r="E133" s="111"/>
      <c r="F133" s="112"/>
      <c r="G133" s="112"/>
      <c r="H133" s="112"/>
      <c r="I133" s="112"/>
      <c r="J133" s="112"/>
      <c r="K133" s="112"/>
      <c r="L133" s="120"/>
      <c r="M133" s="95"/>
      <c r="N133" s="96"/>
      <c r="O133" s="97"/>
    </row>
    <row r="134" spans="1:15" ht="14.45" customHeight="1" x14ac:dyDescent="0.25">
      <c r="A134" s="82"/>
      <c r="B134" s="83"/>
      <c r="C134" s="110"/>
      <c r="D134" s="111"/>
      <c r="E134" s="111"/>
      <c r="F134" s="112"/>
      <c r="G134" s="112"/>
      <c r="H134" s="112"/>
      <c r="I134" s="112"/>
      <c r="J134" s="112"/>
      <c r="K134" s="112"/>
      <c r="L134" s="120"/>
      <c r="M134" s="95"/>
      <c r="N134" s="96"/>
      <c r="O134" s="97"/>
    </row>
    <row r="135" spans="1:15" ht="14.45" customHeight="1" x14ac:dyDescent="0.25">
      <c r="A135" s="82"/>
      <c r="B135" s="83"/>
      <c r="C135" s="110"/>
      <c r="D135" s="111"/>
      <c r="E135" s="111"/>
      <c r="F135" s="112"/>
      <c r="G135" s="112"/>
      <c r="H135" s="112"/>
      <c r="I135" s="112"/>
      <c r="J135" s="112"/>
      <c r="K135" s="112"/>
      <c r="L135" s="120"/>
      <c r="M135" s="95"/>
      <c r="N135" s="96"/>
      <c r="O135" s="97"/>
    </row>
    <row r="136" spans="1:15" ht="15.75" thickBot="1" x14ac:dyDescent="0.3">
      <c r="A136" s="84"/>
      <c r="B136" s="85"/>
      <c r="C136" s="110"/>
      <c r="D136" s="111"/>
      <c r="E136" s="111"/>
      <c r="F136" s="112"/>
      <c r="G136" s="112"/>
      <c r="H136" s="112"/>
      <c r="I136" s="112"/>
      <c r="J136" s="112"/>
      <c r="K136" s="112"/>
      <c r="L136" s="120"/>
      <c r="M136" s="95"/>
      <c r="N136" s="96"/>
      <c r="O136" s="97"/>
    </row>
    <row r="137" spans="1:15" x14ac:dyDescent="0.25">
      <c r="A137" s="80" t="s">
        <v>55</v>
      </c>
      <c r="B137" s="81"/>
      <c r="C137" s="110" t="s">
        <v>166</v>
      </c>
      <c r="D137" s="111" t="s">
        <v>167</v>
      </c>
      <c r="E137" s="111"/>
      <c r="F137" s="113" t="s">
        <v>168</v>
      </c>
      <c r="G137" s="113"/>
      <c r="H137" s="113" t="s">
        <v>82</v>
      </c>
      <c r="I137" s="113" t="s">
        <v>168</v>
      </c>
      <c r="J137" s="113"/>
      <c r="K137" s="113" t="s">
        <v>168</v>
      </c>
      <c r="L137" s="113" t="s">
        <v>82</v>
      </c>
      <c r="M137" s="107" t="s">
        <v>83</v>
      </c>
      <c r="N137" s="96" t="s">
        <v>82</v>
      </c>
      <c r="O137" s="97"/>
    </row>
    <row r="138" spans="1:15" x14ac:dyDescent="0.25">
      <c r="A138" s="82"/>
      <c r="B138" s="83"/>
      <c r="C138" s="110"/>
      <c r="D138" s="111"/>
      <c r="E138" s="111"/>
      <c r="F138" s="113"/>
      <c r="G138" s="113"/>
      <c r="H138" s="113"/>
      <c r="I138" s="113"/>
      <c r="J138" s="113"/>
      <c r="K138" s="113"/>
      <c r="L138" s="113"/>
      <c r="M138" s="108"/>
      <c r="N138" s="96"/>
      <c r="O138" s="97"/>
    </row>
    <row r="139" spans="1:15" x14ac:dyDescent="0.25">
      <c r="A139" s="82"/>
      <c r="B139" s="83"/>
      <c r="C139" s="110"/>
      <c r="D139" s="111"/>
      <c r="E139" s="111"/>
      <c r="F139" s="113"/>
      <c r="G139" s="113"/>
      <c r="H139" s="113"/>
      <c r="I139" s="113"/>
      <c r="J139" s="113"/>
      <c r="K139" s="113"/>
      <c r="L139" s="113"/>
      <c r="M139" s="109"/>
      <c r="N139" s="96"/>
      <c r="O139" s="97"/>
    </row>
    <row r="140" spans="1:15" x14ac:dyDescent="0.25">
      <c r="A140" s="82"/>
      <c r="B140" s="83"/>
      <c r="C140" s="110" t="s">
        <v>169</v>
      </c>
      <c r="D140" s="111" t="s">
        <v>170</v>
      </c>
      <c r="E140" s="111"/>
      <c r="F140" s="112">
        <f>W23</f>
        <v>0</v>
      </c>
      <c r="G140" s="112"/>
      <c r="H140" s="113" t="s">
        <v>82</v>
      </c>
      <c r="I140" s="112">
        <f>Y23</f>
        <v>0</v>
      </c>
      <c r="J140" s="112"/>
      <c r="K140" s="112">
        <f>AB23</f>
        <v>0</v>
      </c>
      <c r="L140" s="112" t="str">
        <f>IF(AND(N140&gt;0,N140&lt;=15),"15 or less Fountain exempt(IPC 410.2)",IF(Q5&lt;=15,"15 or less Fountain exempt(IPC 410.2)",AA23))</f>
        <v>15 or less Fountain exempt(IPC 410.2)</v>
      </c>
      <c r="M140" s="114" t="s">
        <v>83</v>
      </c>
      <c r="N140" s="96">
        <v>0</v>
      </c>
      <c r="O140" s="97"/>
    </row>
    <row r="141" spans="1:15" x14ac:dyDescent="0.25">
      <c r="A141" s="82"/>
      <c r="B141" s="83"/>
      <c r="C141" s="110"/>
      <c r="D141" s="111"/>
      <c r="E141" s="111"/>
      <c r="F141" s="112"/>
      <c r="G141" s="112"/>
      <c r="H141" s="113"/>
      <c r="I141" s="112"/>
      <c r="J141" s="112"/>
      <c r="K141" s="112"/>
      <c r="L141" s="112"/>
      <c r="M141" s="114"/>
      <c r="N141" s="96"/>
      <c r="O141" s="97"/>
    </row>
    <row r="142" spans="1:15" ht="14.45" customHeight="1" x14ac:dyDescent="0.25">
      <c r="A142" s="82"/>
      <c r="B142" s="83"/>
      <c r="C142" s="110"/>
      <c r="D142" s="111"/>
      <c r="E142" s="111"/>
      <c r="F142" s="112"/>
      <c r="G142" s="112"/>
      <c r="H142" s="113"/>
      <c r="I142" s="112"/>
      <c r="J142" s="112"/>
      <c r="K142" s="112"/>
      <c r="L142" s="112"/>
      <c r="M142" s="114"/>
      <c r="N142" s="96"/>
      <c r="O142" s="97"/>
    </row>
    <row r="143" spans="1:15" x14ac:dyDescent="0.25">
      <c r="A143" s="82"/>
      <c r="B143" s="83"/>
      <c r="C143" s="110"/>
      <c r="D143" s="111"/>
      <c r="E143" s="111"/>
      <c r="F143" s="112"/>
      <c r="G143" s="112"/>
      <c r="H143" s="113"/>
      <c r="I143" s="112"/>
      <c r="J143" s="112"/>
      <c r="K143" s="112"/>
      <c r="L143" s="112"/>
      <c r="M143" s="114"/>
      <c r="N143" s="96"/>
      <c r="O143" s="97"/>
    </row>
    <row r="144" spans="1:15" x14ac:dyDescent="0.25">
      <c r="A144" s="82"/>
      <c r="B144" s="83"/>
      <c r="C144" s="110"/>
      <c r="D144" s="111"/>
      <c r="E144" s="111"/>
      <c r="F144" s="112"/>
      <c r="G144" s="112"/>
      <c r="H144" s="113"/>
      <c r="I144" s="112"/>
      <c r="J144" s="112"/>
      <c r="K144" s="112"/>
      <c r="L144" s="112"/>
      <c r="M144" s="114"/>
      <c r="N144" s="96"/>
      <c r="O144" s="97"/>
    </row>
    <row r="145" spans="1:15" x14ac:dyDescent="0.25">
      <c r="A145" s="82"/>
      <c r="B145" s="83"/>
      <c r="C145" s="110"/>
      <c r="D145" s="111" t="s">
        <v>171</v>
      </c>
      <c r="E145" s="111"/>
      <c r="F145" s="113" t="s">
        <v>172</v>
      </c>
      <c r="G145" s="113"/>
      <c r="H145" s="113" t="s">
        <v>82</v>
      </c>
      <c r="I145" s="113" t="s">
        <v>172</v>
      </c>
      <c r="J145" s="113"/>
      <c r="K145" s="113" t="s">
        <v>172</v>
      </c>
      <c r="L145" s="113" t="s">
        <v>82</v>
      </c>
      <c r="M145" s="115" t="s">
        <v>173</v>
      </c>
      <c r="N145" s="116" t="s">
        <v>82</v>
      </c>
      <c r="O145" s="117"/>
    </row>
    <row r="146" spans="1:15" x14ac:dyDescent="0.25">
      <c r="A146" s="82"/>
      <c r="B146" s="83"/>
      <c r="C146" s="110"/>
      <c r="D146" s="111"/>
      <c r="E146" s="111"/>
      <c r="F146" s="113"/>
      <c r="G146" s="113"/>
      <c r="H146" s="113"/>
      <c r="I146" s="113"/>
      <c r="J146" s="113"/>
      <c r="K146" s="113"/>
      <c r="L146" s="113"/>
      <c r="M146" s="115"/>
      <c r="N146" s="118"/>
      <c r="O146" s="119"/>
    </row>
    <row r="147" spans="1:15" x14ac:dyDescent="0.25">
      <c r="A147" s="82"/>
      <c r="B147" s="83"/>
      <c r="C147" s="110"/>
      <c r="D147" s="111"/>
      <c r="E147" s="111"/>
      <c r="F147" s="113"/>
      <c r="G147" s="113"/>
      <c r="H147" s="113"/>
      <c r="I147" s="113"/>
      <c r="J147" s="113"/>
      <c r="K147" s="113"/>
      <c r="L147" s="113"/>
      <c r="M147" s="115"/>
      <c r="N147" s="118"/>
      <c r="O147" s="119"/>
    </row>
    <row r="148" spans="1:15" x14ac:dyDescent="0.25">
      <c r="A148" s="82"/>
      <c r="B148" s="83"/>
      <c r="C148" s="110"/>
      <c r="D148" s="111"/>
      <c r="E148" s="111"/>
      <c r="F148" s="113"/>
      <c r="G148" s="113"/>
      <c r="H148" s="113"/>
      <c r="I148" s="113"/>
      <c r="J148" s="113"/>
      <c r="K148" s="113"/>
      <c r="L148" s="113"/>
      <c r="M148" s="115"/>
      <c r="N148" s="118"/>
      <c r="O148" s="119"/>
    </row>
    <row r="149" spans="1:15" x14ac:dyDescent="0.25">
      <c r="A149" s="82"/>
      <c r="B149" s="83"/>
      <c r="C149" s="110"/>
      <c r="D149" s="111"/>
      <c r="E149" s="111"/>
      <c r="F149" s="113"/>
      <c r="G149" s="113"/>
      <c r="H149" s="113"/>
      <c r="I149" s="113"/>
      <c r="J149" s="113"/>
      <c r="K149" s="113"/>
      <c r="L149" s="113"/>
      <c r="M149" s="115"/>
      <c r="N149" s="118"/>
      <c r="O149" s="119"/>
    </row>
    <row r="150" spans="1:15" x14ac:dyDescent="0.25">
      <c r="A150" s="82"/>
      <c r="B150" s="83"/>
      <c r="C150" s="110"/>
      <c r="D150" s="111"/>
      <c r="E150" s="111"/>
      <c r="F150" s="113"/>
      <c r="G150" s="113"/>
      <c r="H150" s="113"/>
      <c r="I150" s="113"/>
      <c r="J150" s="113"/>
      <c r="K150" s="113"/>
      <c r="L150" s="113"/>
      <c r="M150" s="115"/>
      <c r="N150" s="118"/>
      <c r="O150" s="119"/>
    </row>
    <row r="151" spans="1:15" x14ac:dyDescent="0.25">
      <c r="A151" s="82"/>
      <c r="B151" s="83"/>
      <c r="C151" s="110" t="s">
        <v>174</v>
      </c>
      <c r="D151" s="111" t="s">
        <v>175</v>
      </c>
      <c r="E151" s="111"/>
      <c r="F151" s="112">
        <f>W24</f>
        <v>0</v>
      </c>
      <c r="G151" s="112"/>
      <c r="H151" s="113" t="s">
        <v>82</v>
      </c>
      <c r="I151" s="112">
        <f>Y24</f>
        <v>0</v>
      </c>
      <c r="J151" s="112"/>
      <c r="K151" s="112">
        <f>AB24</f>
        <v>0</v>
      </c>
      <c r="L151" s="112" t="str">
        <f>IF(AND(N151&gt;0,N151&lt;=15),"15 or less Fountain exempt(IPC 410.2)",IF(Q5&lt;=15,"15 or less Fountain exempt(IPC 410.2)",AA24))</f>
        <v>15 or less Fountain exempt(IPC 410.2)</v>
      </c>
      <c r="M151" s="107" t="s">
        <v>83</v>
      </c>
      <c r="N151" s="96">
        <v>0</v>
      </c>
      <c r="O151" s="97"/>
    </row>
    <row r="152" spans="1:15" x14ac:dyDescent="0.25">
      <c r="A152" s="82"/>
      <c r="B152" s="83"/>
      <c r="C152" s="110"/>
      <c r="D152" s="111"/>
      <c r="E152" s="111"/>
      <c r="F152" s="112"/>
      <c r="G152" s="112"/>
      <c r="H152" s="113"/>
      <c r="I152" s="112"/>
      <c r="J152" s="112"/>
      <c r="K152" s="112"/>
      <c r="L152" s="112"/>
      <c r="M152" s="108"/>
      <c r="N152" s="96"/>
      <c r="O152" s="97"/>
    </row>
    <row r="153" spans="1:15" x14ac:dyDescent="0.25">
      <c r="A153" s="82"/>
      <c r="B153" s="83"/>
      <c r="C153" s="110"/>
      <c r="D153" s="111"/>
      <c r="E153" s="111"/>
      <c r="F153" s="112"/>
      <c r="G153" s="112"/>
      <c r="H153" s="113"/>
      <c r="I153" s="112"/>
      <c r="J153" s="112"/>
      <c r="K153" s="112"/>
      <c r="L153" s="112"/>
      <c r="M153" s="108"/>
      <c r="N153" s="96"/>
      <c r="O153" s="97"/>
    </row>
    <row r="154" spans="1:15" x14ac:dyDescent="0.25">
      <c r="A154" s="82"/>
      <c r="B154" s="83"/>
      <c r="C154" s="110"/>
      <c r="D154" s="111"/>
      <c r="E154" s="111"/>
      <c r="F154" s="112"/>
      <c r="G154" s="112"/>
      <c r="H154" s="113"/>
      <c r="I154" s="112"/>
      <c r="J154" s="112"/>
      <c r="K154" s="112"/>
      <c r="L154" s="112"/>
      <c r="M154" s="109"/>
      <c r="N154" s="96"/>
      <c r="O154" s="97"/>
    </row>
    <row r="155" spans="1:15" x14ac:dyDescent="0.25">
      <c r="A155" s="82"/>
      <c r="B155" s="83"/>
      <c r="C155" s="110"/>
      <c r="D155" s="111" t="s">
        <v>176</v>
      </c>
      <c r="E155" s="111"/>
      <c r="F155" s="113" t="s">
        <v>172</v>
      </c>
      <c r="G155" s="113"/>
      <c r="H155" s="113" t="s">
        <v>82</v>
      </c>
      <c r="I155" s="113" t="s">
        <v>172</v>
      </c>
      <c r="J155" s="113"/>
      <c r="K155" s="113" t="s">
        <v>172</v>
      </c>
      <c r="L155" s="112" t="s">
        <v>82</v>
      </c>
      <c r="M155" s="95" t="s">
        <v>177</v>
      </c>
      <c r="N155" s="96" t="s">
        <v>82</v>
      </c>
      <c r="O155" s="97"/>
    </row>
    <row r="156" spans="1:15" x14ac:dyDescent="0.25">
      <c r="A156" s="82"/>
      <c r="B156" s="83"/>
      <c r="C156" s="110"/>
      <c r="D156" s="111"/>
      <c r="E156" s="111"/>
      <c r="F156" s="113"/>
      <c r="G156" s="113"/>
      <c r="H156" s="113"/>
      <c r="I156" s="113"/>
      <c r="J156" s="113"/>
      <c r="K156" s="113"/>
      <c r="L156" s="112"/>
      <c r="M156" s="95"/>
      <c r="N156" s="96"/>
      <c r="O156" s="97"/>
    </row>
    <row r="157" spans="1:15" x14ac:dyDescent="0.25">
      <c r="A157" s="82"/>
      <c r="B157" s="83"/>
      <c r="C157" s="110"/>
      <c r="D157" s="111"/>
      <c r="E157" s="111"/>
      <c r="F157" s="113"/>
      <c r="G157" s="113"/>
      <c r="H157" s="113"/>
      <c r="I157" s="113"/>
      <c r="J157" s="113"/>
      <c r="K157" s="113"/>
      <c r="L157" s="112"/>
      <c r="M157" s="95"/>
      <c r="N157" s="96"/>
      <c r="O157" s="97"/>
    </row>
    <row r="158" spans="1:15" x14ac:dyDescent="0.25">
      <c r="A158" s="82"/>
      <c r="B158" s="83"/>
      <c r="C158" s="110"/>
      <c r="D158" s="111"/>
      <c r="E158" s="111"/>
      <c r="F158" s="113"/>
      <c r="G158" s="113"/>
      <c r="H158" s="113"/>
      <c r="I158" s="113"/>
      <c r="J158" s="113"/>
      <c r="K158" s="113"/>
      <c r="L158" s="112"/>
      <c r="M158" s="95"/>
      <c r="N158" s="96"/>
      <c r="O158" s="97"/>
    </row>
    <row r="159" spans="1:15" x14ac:dyDescent="0.25">
      <c r="A159" s="82"/>
      <c r="B159" s="83"/>
      <c r="C159" s="110"/>
      <c r="D159" s="111"/>
      <c r="E159" s="111"/>
      <c r="F159" s="113"/>
      <c r="G159" s="113"/>
      <c r="H159" s="113"/>
      <c r="I159" s="113"/>
      <c r="J159" s="113"/>
      <c r="K159" s="113"/>
      <c r="L159" s="112"/>
      <c r="M159" s="95"/>
      <c r="N159" s="96"/>
      <c r="O159" s="97"/>
    </row>
    <row r="160" spans="1:15" ht="15.75" thickBot="1" x14ac:dyDescent="0.3">
      <c r="A160" s="82"/>
      <c r="B160" s="83"/>
      <c r="C160" s="110"/>
      <c r="D160" s="111"/>
      <c r="E160" s="111"/>
      <c r="F160" s="113"/>
      <c r="G160" s="113"/>
      <c r="H160" s="113"/>
      <c r="I160" s="113"/>
      <c r="J160" s="113"/>
      <c r="K160" s="113"/>
      <c r="L160" s="112"/>
      <c r="M160" s="95"/>
      <c r="N160" s="96"/>
      <c r="O160" s="97"/>
    </row>
    <row r="161" spans="1:15" x14ac:dyDescent="0.25">
      <c r="A161" s="80" t="s">
        <v>178</v>
      </c>
      <c r="B161" s="81"/>
      <c r="C161" s="86" t="s">
        <v>179</v>
      </c>
      <c r="D161" s="89" t="s">
        <v>180</v>
      </c>
      <c r="E161" s="89"/>
      <c r="F161" s="92" t="str">
        <f>IF(AND(N161&gt;0,N161&lt;=15),"Single restroom okay for 15 or less (IPC 403.2(2))",IF(AND(N161&gt;0,N161&gt;Q5),W25,IF(AND(N161&gt;0,N161&lt;Q5),W25,IF(Q5&lt;=15,"Single restroom okay for 15 or less (IPC 403.2(2))",W25))))</f>
        <v>Single restroom okay for 15 or less (IPC 403.2(2))</v>
      </c>
      <c r="G161" s="92"/>
      <c r="H161" s="92" t="s">
        <v>82</v>
      </c>
      <c r="I161" s="92">
        <f>Y25</f>
        <v>0</v>
      </c>
      <c r="J161" s="92"/>
      <c r="K161" s="92" t="str">
        <f>AB25</f>
        <v>See section 411 if eyewash stations are provided</v>
      </c>
      <c r="L161" s="92" t="str">
        <f>IF(AND(N161&gt;0,N161&lt;=15),"15 or less Fountain exempt(IPC 410.2)",IF(Q5&lt;=15,"15 or less Fountain exempt(IPC 410.2)",#REF!))</f>
        <v>15 or less Fountain exempt(IPC 410.2)</v>
      </c>
      <c r="M161" s="98" t="s">
        <v>83</v>
      </c>
      <c r="N161" s="101">
        <v>0</v>
      </c>
      <c r="O161" s="102"/>
    </row>
    <row r="162" spans="1:15" x14ac:dyDescent="0.25">
      <c r="A162" s="82"/>
      <c r="B162" s="83"/>
      <c r="C162" s="87"/>
      <c r="D162" s="90"/>
      <c r="E162" s="90"/>
      <c r="F162" s="93"/>
      <c r="G162" s="93"/>
      <c r="H162" s="93"/>
      <c r="I162" s="93"/>
      <c r="J162" s="93"/>
      <c r="K162" s="93"/>
      <c r="L162" s="93"/>
      <c r="M162" s="99"/>
      <c r="N162" s="103"/>
      <c r="O162" s="104"/>
    </row>
    <row r="163" spans="1:15" x14ac:dyDescent="0.25">
      <c r="A163" s="82"/>
      <c r="B163" s="83"/>
      <c r="C163" s="87"/>
      <c r="D163" s="90"/>
      <c r="E163" s="90"/>
      <c r="F163" s="93"/>
      <c r="G163" s="93"/>
      <c r="H163" s="93"/>
      <c r="I163" s="93"/>
      <c r="J163" s="93"/>
      <c r="K163" s="93"/>
      <c r="L163" s="93"/>
      <c r="M163" s="99"/>
      <c r="N163" s="103"/>
      <c r="O163" s="104"/>
    </row>
    <row r="164" spans="1:15" x14ac:dyDescent="0.25">
      <c r="A164" s="82"/>
      <c r="B164" s="83"/>
      <c r="C164" s="87"/>
      <c r="D164" s="90"/>
      <c r="E164" s="90"/>
      <c r="F164" s="93"/>
      <c r="G164" s="93"/>
      <c r="H164" s="93"/>
      <c r="I164" s="93"/>
      <c r="J164" s="93"/>
      <c r="K164" s="93"/>
      <c r="L164" s="93"/>
      <c r="M164" s="99"/>
      <c r="N164" s="103"/>
      <c r="O164" s="104"/>
    </row>
    <row r="165" spans="1:15" x14ac:dyDescent="0.25">
      <c r="A165" s="82"/>
      <c r="B165" s="83"/>
      <c r="C165" s="87"/>
      <c r="D165" s="90"/>
      <c r="E165" s="90"/>
      <c r="F165" s="93"/>
      <c r="G165" s="93"/>
      <c r="H165" s="93"/>
      <c r="I165" s="93"/>
      <c r="J165" s="93"/>
      <c r="K165" s="93"/>
      <c r="L165" s="93"/>
      <c r="M165" s="99"/>
      <c r="N165" s="103"/>
      <c r="O165" s="104"/>
    </row>
    <row r="166" spans="1:15" x14ac:dyDescent="0.25">
      <c r="A166" s="82"/>
      <c r="B166" s="83"/>
      <c r="C166" s="87"/>
      <c r="D166" s="90"/>
      <c r="E166" s="90"/>
      <c r="F166" s="93"/>
      <c r="G166" s="93"/>
      <c r="H166" s="93"/>
      <c r="I166" s="93"/>
      <c r="J166" s="93"/>
      <c r="K166" s="93"/>
      <c r="L166" s="93"/>
      <c r="M166" s="99"/>
      <c r="N166" s="103"/>
      <c r="O166" s="104"/>
    </row>
    <row r="167" spans="1:15" ht="15.75" thickBot="1" x14ac:dyDescent="0.3">
      <c r="A167" s="84"/>
      <c r="B167" s="85"/>
      <c r="C167" s="88"/>
      <c r="D167" s="91"/>
      <c r="E167" s="91"/>
      <c r="F167" s="94"/>
      <c r="G167" s="94"/>
      <c r="H167" s="94"/>
      <c r="I167" s="94"/>
      <c r="J167" s="94"/>
      <c r="K167" s="94"/>
      <c r="L167" s="94"/>
      <c r="M167" s="100"/>
      <c r="N167" s="105"/>
      <c r="O167" s="106"/>
    </row>
  </sheetData>
  <mergeCells count="314">
    <mergeCell ref="L161:L167"/>
    <mergeCell ref="M161:M167"/>
    <mergeCell ref="N161:O167"/>
    <mergeCell ref="A161:B167"/>
    <mergeCell ref="C161:C167"/>
    <mergeCell ref="D161:E167"/>
    <mergeCell ref="F161:G167"/>
    <mergeCell ref="H161:H167"/>
    <mergeCell ref="I161:J167"/>
    <mergeCell ref="K161:K167"/>
    <mergeCell ref="M151:M154"/>
    <mergeCell ref="N151:O154"/>
    <mergeCell ref="D155:E160"/>
    <mergeCell ref="F155:G160"/>
    <mergeCell ref="H155:H160"/>
    <mergeCell ref="I155:J160"/>
    <mergeCell ref="K155:K160"/>
    <mergeCell ref="L155:L160"/>
    <mergeCell ref="M155:M160"/>
    <mergeCell ref="N155:O160"/>
    <mergeCell ref="C151:C160"/>
    <mergeCell ref="D151:E154"/>
    <mergeCell ref="F151:G154"/>
    <mergeCell ref="H151:H154"/>
    <mergeCell ref="I151:J154"/>
    <mergeCell ref="K151:K154"/>
    <mergeCell ref="L151:L154"/>
    <mergeCell ref="D145:E150"/>
    <mergeCell ref="F145:G150"/>
    <mergeCell ref="H145:H150"/>
    <mergeCell ref="I145:J150"/>
    <mergeCell ref="K145:K150"/>
    <mergeCell ref="F129:F136"/>
    <mergeCell ref="G129:G136"/>
    <mergeCell ref="H129:H136"/>
    <mergeCell ref="N137:O139"/>
    <mergeCell ref="C140:C150"/>
    <mergeCell ref="D140:E144"/>
    <mergeCell ref="F140:G144"/>
    <mergeCell ref="H140:H144"/>
    <mergeCell ref="I140:J144"/>
    <mergeCell ref="K140:K144"/>
    <mergeCell ref="L140:L144"/>
    <mergeCell ref="M140:M144"/>
    <mergeCell ref="N140:O144"/>
    <mergeCell ref="L145:L150"/>
    <mergeCell ref="M145:M150"/>
    <mergeCell ref="N145:O150"/>
    <mergeCell ref="O123:O128"/>
    <mergeCell ref="L117:L122"/>
    <mergeCell ref="M117:M122"/>
    <mergeCell ref="N117:N122"/>
    <mergeCell ref="O117:O122"/>
    <mergeCell ref="O129:O136"/>
    <mergeCell ref="A137:B160"/>
    <mergeCell ref="C137:C139"/>
    <mergeCell ref="D137:E139"/>
    <mergeCell ref="F137:G139"/>
    <mergeCell ref="H137:H139"/>
    <mergeCell ref="I137:J139"/>
    <mergeCell ref="K137:K139"/>
    <mergeCell ref="L137:L139"/>
    <mergeCell ref="M137:M139"/>
    <mergeCell ref="I129:I136"/>
    <mergeCell ref="J129:J136"/>
    <mergeCell ref="K129:K136"/>
    <mergeCell ref="L129:L136"/>
    <mergeCell ref="M129:M136"/>
    <mergeCell ref="N129:N136"/>
    <mergeCell ref="A129:B136"/>
    <mergeCell ref="C129:C136"/>
    <mergeCell ref="D129:E136"/>
    <mergeCell ref="L111:L116"/>
    <mergeCell ref="M111:M116"/>
    <mergeCell ref="N111:N116"/>
    <mergeCell ref="C108:C122"/>
    <mergeCell ref="J123:J128"/>
    <mergeCell ref="K123:K128"/>
    <mergeCell ref="L123:L128"/>
    <mergeCell ref="M123:M128"/>
    <mergeCell ref="N123:N128"/>
    <mergeCell ref="O111:O116"/>
    <mergeCell ref="D117:E122"/>
    <mergeCell ref="F117:F122"/>
    <mergeCell ref="G117:G122"/>
    <mergeCell ref="H117:H122"/>
    <mergeCell ref="I117:I122"/>
    <mergeCell ref="J117:J122"/>
    <mergeCell ref="L108:L110"/>
    <mergeCell ref="M108:M110"/>
    <mergeCell ref="N108:N110"/>
    <mergeCell ref="O108:O110"/>
    <mergeCell ref="D111:E116"/>
    <mergeCell ref="F111:F116"/>
    <mergeCell ref="G111:G116"/>
    <mergeCell ref="H111:H116"/>
    <mergeCell ref="I111:I116"/>
    <mergeCell ref="J111:J116"/>
    <mergeCell ref="D108:E110"/>
    <mergeCell ref="F108:G110"/>
    <mergeCell ref="H108:H110"/>
    <mergeCell ref="I108:J110"/>
    <mergeCell ref="K108:K110"/>
    <mergeCell ref="K111:K116"/>
    <mergeCell ref="K117:K122"/>
    <mergeCell ref="L102:L107"/>
    <mergeCell ref="M102:M107"/>
    <mergeCell ref="N102:N107"/>
    <mergeCell ref="O102:O107"/>
    <mergeCell ref="K96:K101"/>
    <mergeCell ref="L96:L101"/>
    <mergeCell ref="M96:M101"/>
    <mergeCell ref="N96:N101"/>
    <mergeCell ref="O96:O101"/>
    <mergeCell ref="L87:L92"/>
    <mergeCell ref="M87:M92"/>
    <mergeCell ref="N87:N92"/>
    <mergeCell ref="O87:O92"/>
    <mergeCell ref="C93:C107"/>
    <mergeCell ref="D93:E95"/>
    <mergeCell ref="F93:G95"/>
    <mergeCell ref="H93:H95"/>
    <mergeCell ref="I93:J95"/>
    <mergeCell ref="K93:K95"/>
    <mergeCell ref="D102:E107"/>
    <mergeCell ref="F102:F107"/>
    <mergeCell ref="G102:G107"/>
    <mergeCell ref="H102:H107"/>
    <mergeCell ref="I102:I107"/>
    <mergeCell ref="L93:L95"/>
    <mergeCell ref="M93:M95"/>
    <mergeCell ref="N93:N95"/>
    <mergeCell ref="O93:O95"/>
    <mergeCell ref="D96:E101"/>
    <mergeCell ref="F96:F101"/>
    <mergeCell ref="G96:G101"/>
    <mergeCell ref="H96:H101"/>
    <mergeCell ref="I96:I101"/>
    <mergeCell ref="A87:B128"/>
    <mergeCell ref="C87:C92"/>
    <mergeCell ref="D87:E92"/>
    <mergeCell ref="F87:F92"/>
    <mergeCell ref="G87:G92"/>
    <mergeCell ref="H87:H92"/>
    <mergeCell ref="I87:I92"/>
    <mergeCell ref="J87:J92"/>
    <mergeCell ref="K87:K92"/>
    <mergeCell ref="J96:J101"/>
    <mergeCell ref="J102:J107"/>
    <mergeCell ref="K102:K107"/>
    <mergeCell ref="C123:C128"/>
    <mergeCell ref="D123:E128"/>
    <mergeCell ref="F123:F128"/>
    <mergeCell ref="G123:G128"/>
    <mergeCell ref="H123:H128"/>
    <mergeCell ref="I123:I128"/>
    <mergeCell ref="N74:N79"/>
    <mergeCell ref="O74:O79"/>
    <mergeCell ref="A80:B86"/>
    <mergeCell ref="C80:C86"/>
    <mergeCell ref="D80:E86"/>
    <mergeCell ref="F80:F86"/>
    <mergeCell ref="G80:G86"/>
    <mergeCell ref="H80:H86"/>
    <mergeCell ref="O80:O86"/>
    <mergeCell ref="I80:I86"/>
    <mergeCell ref="J80:J86"/>
    <mergeCell ref="K80:K86"/>
    <mergeCell ref="L80:L86"/>
    <mergeCell ref="M80:M86"/>
    <mergeCell ref="N80:N86"/>
    <mergeCell ref="O62:O73"/>
    <mergeCell ref="A74:B79"/>
    <mergeCell ref="C74:C79"/>
    <mergeCell ref="D74:E79"/>
    <mergeCell ref="F74:F79"/>
    <mergeCell ref="G74:G79"/>
    <mergeCell ref="H74:H79"/>
    <mergeCell ref="I74:I79"/>
    <mergeCell ref="J74:J79"/>
    <mergeCell ref="K74:K79"/>
    <mergeCell ref="I62:I73"/>
    <mergeCell ref="J62:J73"/>
    <mergeCell ref="K62:K73"/>
    <mergeCell ref="L62:L73"/>
    <mergeCell ref="M62:M73"/>
    <mergeCell ref="N62:N73"/>
    <mergeCell ref="A62:B73"/>
    <mergeCell ref="C62:C73"/>
    <mergeCell ref="D62:E73"/>
    <mergeCell ref="F62:F73"/>
    <mergeCell ref="G62:G73"/>
    <mergeCell ref="H62:H73"/>
    <mergeCell ref="L74:L79"/>
    <mergeCell ref="M74:M79"/>
    <mergeCell ref="N43:N48"/>
    <mergeCell ref="O43:O48"/>
    <mergeCell ref="J55:J61"/>
    <mergeCell ref="K55:K61"/>
    <mergeCell ref="L55:L61"/>
    <mergeCell ref="M55:M61"/>
    <mergeCell ref="N55:N61"/>
    <mergeCell ref="O55:O61"/>
    <mergeCell ref="C55:C61"/>
    <mergeCell ref="D55:E61"/>
    <mergeCell ref="F55:F61"/>
    <mergeCell ref="G55:G61"/>
    <mergeCell ref="H55:H61"/>
    <mergeCell ref="I55:I61"/>
    <mergeCell ref="D43:E48"/>
    <mergeCell ref="F43:F48"/>
    <mergeCell ref="G43:G48"/>
    <mergeCell ref="H43:H48"/>
    <mergeCell ref="I43:I48"/>
    <mergeCell ref="J43:J48"/>
    <mergeCell ref="K43:K48"/>
    <mergeCell ref="L43:L48"/>
    <mergeCell ref="M43:M48"/>
    <mergeCell ref="J49:J54"/>
    <mergeCell ref="K49:K54"/>
    <mergeCell ref="L49:L54"/>
    <mergeCell ref="M49:M54"/>
    <mergeCell ref="N49:N54"/>
    <mergeCell ref="O49:O54"/>
    <mergeCell ref="C49:C54"/>
    <mergeCell ref="D49:E54"/>
    <mergeCell ref="F49:F54"/>
    <mergeCell ref="G49:G54"/>
    <mergeCell ref="H49:H54"/>
    <mergeCell ref="I49:I54"/>
    <mergeCell ref="K37:K42"/>
    <mergeCell ref="L37:L42"/>
    <mergeCell ref="M37:M42"/>
    <mergeCell ref="N21:N30"/>
    <mergeCell ref="O21:O30"/>
    <mergeCell ref="D31:E36"/>
    <mergeCell ref="F31:F36"/>
    <mergeCell ref="G31:G36"/>
    <mergeCell ref="H31:H36"/>
    <mergeCell ref="I31:I36"/>
    <mergeCell ref="J31:J36"/>
    <mergeCell ref="K31:K36"/>
    <mergeCell ref="L31:L36"/>
    <mergeCell ref="M31:M36"/>
    <mergeCell ref="N31:N36"/>
    <mergeCell ref="O31:O36"/>
    <mergeCell ref="D37:E42"/>
    <mergeCell ref="F37:F42"/>
    <mergeCell ref="G37:G42"/>
    <mergeCell ref="H37:H42"/>
    <mergeCell ref="I37:I42"/>
    <mergeCell ref="J37:J42"/>
    <mergeCell ref="N37:N42"/>
    <mergeCell ref="O37:O42"/>
    <mergeCell ref="G9:G14"/>
    <mergeCell ref="H9:H14"/>
    <mergeCell ref="I9:I14"/>
    <mergeCell ref="D15:E20"/>
    <mergeCell ref="F15:F20"/>
    <mergeCell ref="G15:G20"/>
    <mergeCell ref="H15:H20"/>
    <mergeCell ref="O15:O20"/>
    <mergeCell ref="C21:C48"/>
    <mergeCell ref="D21:E30"/>
    <mergeCell ref="F21:F30"/>
    <mergeCell ref="G21:G30"/>
    <mergeCell ref="H21:H30"/>
    <mergeCell ref="I21:I30"/>
    <mergeCell ref="J21:J30"/>
    <mergeCell ref="K21:K30"/>
    <mergeCell ref="L21:L30"/>
    <mergeCell ref="I15:I20"/>
    <mergeCell ref="J15:J20"/>
    <mergeCell ref="K15:K20"/>
    <mergeCell ref="L15:L20"/>
    <mergeCell ref="M15:M20"/>
    <mergeCell ref="N15:N20"/>
    <mergeCell ref="M21:M30"/>
    <mergeCell ref="K3:K8"/>
    <mergeCell ref="L3:L8"/>
    <mergeCell ref="M3:M8"/>
    <mergeCell ref="N3:N8"/>
    <mergeCell ref="O3:O8"/>
    <mergeCell ref="Q3:R4"/>
    <mergeCell ref="Q5:R5"/>
    <mergeCell ref="A3:B61"/>
    <mergeCell ref="C3:C8"/>
    <mergeCell ref="D3:E8"/>
    <mergeCell ref="F3:F8"/>
    <mergeCell ref="G3:G8"/>
    <mergeCell ref="H3:H8"/>
    <mergeCell ref="I3:I8"/>
    <mergeCell ref="J3:J8"/>
    <mergeCell ref="J9:J14"/>
    <mergeCell ref="K9:K14"/>
    <mergeCell ref="L9:L14"/>
    <mergeCell ref="M9:M14"/>
    <mergeCell ref="N9:N14"/>
    <mergeCell ref="O9:O14"/>
    <mergeCell ref="C9:C20"/>
    <mergeCell ref="D9:E14"/>
    <mergeCell ref="F9:F14"/>
    <mergeCell ref="K1:K2"/>
    <mergeCell ref="L1:L2"/>
    <mergeCell ref="M1:M2"/>
    <mergeCell ref="N1:O1"/>
    <mergeCell ref="W1:X1"/>
    <mergeCell ref="Y1:Z1"/>
    <mergeCell ref="A1:B2"/>
    <mergeCell ref="C1:C2"/>
    <mergeCell ref="D1:E2"/>
    <mergeCell ref="F1:G1"/>
    <mergeCell ref="H1:H2"/>
    <mergeCell ref="I1:J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4155A-4DC3-434C-B7B1-BBF4D9534C5A}">
  <dimension ref="A1:AB160"/>
  <sheetViews>
    <sheetView zoomScale="85" zoomScaleNormal="85" workbookViewId="0">
      <pane xSplit="15" ySplit="2" topLeftCell="P3" activePane="bottomRight" state="frozen"/>
      <selection pane="topRight" activeCell="P1" sqref="P1"/>
      <selection pane="bottomLeft" activeCell="A3" sqref="A3"/>
      <selection pane="bottomRight" activeCell="Q5" sqref="Q5:R5"/>
    </sheetView>
  </sheetViews>
  <sheetFormatPr defaultRowHeight="15" x14ac:dyDescent="0.25"/>
  <cols>
    <col min="1" max="1" width="7.28515625" customWidth="1"/>
    <col min="2" max="2" width="7.140625" customWidth="1"/>
    <col min="3" max="3" width="11" customWidth="1"/>
    <col min="4" max="5" width="9.7109375" customWidth="1"/>
    <col min="6" max="7" width="10.7109375" customWidth="1"/>
    <col min="8" max="8" width="14.7109375" customWidth="1"/>
    <col min="9" max="10" width="10.7109375" customWidth="1"/>
    <col min="12" max="13" width="15.7109375" customWidth="1"/>
    <col min="17" max="18" width="10.7109375" customWidth="1"/>
    <col min="19" max="19" width="13.5703125" customWidth="1"/>
    <col min="21" max="23" width="8.85546875" hidden="1" customWidth="1"/>
    <col min="24" max="24" width="9.85546875" hidden="1" customWidth="1"/>
    <col min="25" max="28" width="8.85546875" hidden="1" customWidth="1"/>
  </cols>
  <sheetData>
    <row r="1" spans="1:28" ht="31.9" customHeight="1" thickBot="1" x14ac:dyDescent="0.3">
      <c r="A1" s="134" t="s">
        <v>60</v>
      </c>
      <c r="B1" s="135"/>
      <c r="C1" s="138" t="s">
        <v>61</v>
      </c>
      <c r="D1" s="134" t="s">
        <v>62</v>
      </c>
      <c r="E1" s="135"/>
      <c r="F1" s="146" t="s">
        <v>63</v>
      </c>
      <c r="G1" s="147"/>
      <c r="H1" s="148" t="s">
        <v>64</v>
      </c>
      <c r="I1" s="150" t="s">
        <v>65</v>
      </c>
      <c r="J1" s="151"/>
      <c r="K1" s="161" t="s">
        <v>66</v>
      </c>
      <c r="L1" s="148" t="s">
        <v>67</v>
      </c>
      <c r="M1" s="163" t="s">
        <v>68</v>
      </c>
      <c r="N1" s="165" t="s">
        <v>69</v>
      </c>
      <c r="O1" s="166"/>
      <c r="P1" s="13"/>
      <c r="W1" s="132" t="s">
        <v>70</v>
      </c>
      <c r="X1" s="133"/>
      <c r="Y1" s="132" t="s">
        <v>71</v>
      </c>
      <c r="Z1" s="133"/>
      <c r="AA1" s="25" t="s">
        <v>72</v>
      </c>
      <c r="AB1" s="25" t="s">
        <v>73</v>
      </c>
    </row>
    <row r="2" spans="1:28" ht="15.75" thickBot="1" x14ac:dyDescent="0.3">
      <c r="A2" s="136"/>
      <c r="B2" s="137"/>
      <c r="C2" s="139"/>
      <c r="D2" s="136"/>
      <c r="E2" s="137"/>
      <c r="F2" s="8" t="s">
        <v>74</v>
      </c>
      <c r="G2" s="9" t="s">
        <v>75</v>
      </c>
      <c r="H2" s="149"/>
      <c r="I2" s="9" t="s">
        <v>74</v>
      </c>
      <c r="J2" s="10" t="s">
        <v>75</v>
      </c>
      <c r="K2" s="162"/>
      <c r="L2" s="149"/>
      <c r="M2" s="164"/>
      <c r="N2" s="12" t="s">
        <v>74</v>
      </c>
      <c r="O2" s="12" t="s">
        <v>75</v>
      </c>
      <c r="P2" s="13"/>
      <c r="W2" s="27" t="s">
        <v>76</v>
      </c>
      <c r="X2" s="6" t="s">
        <v>76</v>
      </c>
      <c r="Y2" s="27" t="s">
        <v>76</v>
      </c>
      <c r="Z2" s="27" t="s">
        <v>76</v>
      </c>
      <c r="AA2" s="27" t="s">
        <v>77</v>
      </c>
      <c r="AB2" s="27" t="s">
        <v>77</v>
      </c>
    </row>
    <row r="3" spans="1:28" x14ac:dyDescent="0.25">
      <c r="A3" s="80" t="s">
        <v>78</v>
      </c>
      <c r="B3" s="81"/>
      <c r="C3" s="158" t="s">
        <v>79</v>
      </c>
      <c r="D3" s="160" t="s">
        <v>80</v>
      </c>
      <c r="E3" s="160"/>
      <c r="F3" s="152" t="str">
        <f>IF(AND(OR(N3&gt;0,O3&gt;0),N3+O3&lt;=15),"Single restroom okay for 15 or less (IPC 403.2(2))",IF(AND(OR(N3&gt;0,O3&gt;0),N3+O3&gt;Q5),W4,IF(AND(OR(N3&gt;0,O3&gt;0),N3+O3&lt;Q5),W4,IF(Q5&lt;=15,"Single restroom okay for 15 or less (IPC 403.2(2))",W4))))</f>
        <v>Single restroom okay for 15 or less (IPC 403.2(2))</v>
      </c>
      <c r="G3" s="152" t="str">
        <f>IF(F3="Single restroom okay for 15 or less (IPC 403.2(2))","-",X4)</f>
        <v>-</v>
      </c>
      <c r="H3" s="152" t="s">
        <v>181</v>
      </c>
      <c r="I3" s="152">
        <f>Y4</f>
        <v>0</v>
      </c>
      <c r="J3" s="152" t="str">
        <f>IF(F3="Single restroom okay for 15 or less (IPC 403.2(2))","-",Z4)</f>
        <v>-</v>
      </c>
      <c r="K3" s="152" t="s">
        <v>82</v>
      </c>
      <c r="L3" s="152" t="str">
        <f>IF(F3="Single restroom okay for 15 or less (IPC 403.2(2))","15 or less Fountain exempt(IPC 410.2)",AA4)</f>
        <v>15 or less Fountain exempt(IPC 410.2)</v>
      </c>
      <c r="M3" s="153" t="s">
        <v>83</v>
      </c>
      <c r="N3" s="154">
        <v>0</v>
      </c>
      <c r="O3" s="156">
        <f>N3</f>
        <v>0</v>
      </c>
      <c r="P3" s="13"/>
      <c r="Q3" s="140" t="s">
        <v>84</v>
      </c>
      <c r="R3" s="141"/>
      <c r="V3" s="2"/>
      <c r="W3" s="27" t="s">
        <v>85</v>
      </c>
      <c r="X3" s="4" t="s">
        <v>86</v>
      </c>
      <c r="Y3" s="27" t="s">
        <v>85</v>
      </c>
      <c r="Z3" s="4" t="s">
        <v>86</v>
      </c>
      <c r="AA3" s="27" t="s">
        <v>72</v>
      </c>
      <c r="AB3" s="27" t="s">
        <v>73</v>
      </c>
    </row>
    <row r="4" spans="1:28" ht="15.75" thickBot="1" x14ac:dyDescent="0.3">
      <c r="A4" s="82"/>
      <c r="B4" s="83"/>
      <c r="C4" s="159"/>
      <c r="D4" s="111"/>
      <c r="E4" s="111"/>
      <c r="F4" s="112"/>
      <c r="G4" s="112"/>
      <c r="H4" s="112"/>
      <c r="I4" s="112"/>
      <c r="J4" s="112"/>
      <c r="K4" s="112"/>
      <c r="L4" s="112"/>
      <c r="M4" s="114"/>
      <c r="N4" s="155"/>
      <c r="O4" s="157"/>
      <c r="P4" s="13"/>
      <c r="Q4" s="142"/>
      <c r="R4" s="143"/>
      <c r="U4" s="5" t="s">
        <v>87</v>
      </c>
      <c r="V4" t="s">
        <v>88</v>
      </c>
      <c r="W4" s="30">
        <f>IF(N3&gt;0,ROUNDUP((N3/125),0),ROUNDUP((Q8/125),0))</f>
        <v>0</v>
      </c>
      <c r="X4" s="1">
        <f>IF(O3&gt;0,ROUNDUP((O3/65),0),ROUNDUP((R8/65),0))</f>
        <v>0</v>
      </c>
      <c r="Y4" s="32">
        <f>IF(N3&gt;0,ROUNDUP((N3/200),0),ROUNDUP((Q8/200),0))</f>
        <v>0</v>
      </c>
      <c r="Z4" s="1">
        <f>IF(O3&gt;0,ROUNDUP((O3/200),0),ROUNDUP((R8/200),0))</f>
        <v>0</v>
      </c>
      <c r="AA4" s="32">
        <f>IF(OR(N3&gt;0,O3&gt;0),ROUNDUP((N3+O3)/500,0),ROUNDUP(Q5/500,0))</f>
        <v>0</v>
      </c>
      <c r="AB4" s="30" t="s">
        <v>82</v>
      </c>
    </row>
    <row r="5" spans="1:28" ht="19.5" thickBot="1" x14ac:dyDescent="0.3">
      <c r="A5" s="82"/>
      <c r="B5" s="83"/>
      <c r="C5" s="159"/>
      <c r="D5" s="111"/>
      <c r="E5" s="111"/>
      <c r="F5" s="112"/>
      <c r="G5" s="112"/>
      <c r="H5" s="112"/>
      <c r="I5" s="112"/>
      <c r="J5" s="112"/>
      <c r="K5" s="112"/>
      <c r="L5" s="112"/>
      <c r="M5" s="114"/>
      <c r="N5" s="155"/>
      <c r="O5" s="157"/>
      <c r="P5" s="13"/>
      <c r="Q5" s="144">
        <f>'Occupant Calculator'!D34</f>
        <v>0</v>
      </c>
      <c r="R5" s="145"/>
      <c r="U5" s="5" t="s">
        <v>89</v>
      </c>
      <c r="V5" t="s">
        <v>90</v>
      </c>
      <c r="W5" s="30">
        <f>IF(N9&gt;0,ROUNDUP((N9/40),0),ROUNDUP((Q8/40),0))</f>
        <v>0</v>
      </c>
      <c r="X5" s="1">
        <f>IF(O9&gt;0,ROUNDUP((O9/40),0),ROUNDUP((R8/40),0))</f>
        <v>0</v>
      </c>
      <c r="Y5" s="30">
        <f>IF(N9&gt;0,ROUNDUP((N9/75),0),ROUNDUP((Q8/75),0))</f>
        <v>0</v>
      </c>
      <c r="Z5" s="1">
        <f>IF(O9&gt;0,ROUNDUP((O9/75),0),ROUNDUP((R8/75),0))</f>
        <v>0</v>
      </c>
      <c r="AA5" s="32">
        <f>IF(OR(N9&gt;0,O9&gt;0),ROUNDUP((N9+O9)/500,0),ROUNDUP(Q5/500,0))</f>
        <v>0</v>
      </c>
      <c r="AB5" s="30" t="s">
        <v>82</v>
      </c>
    </row>
    <row r="6" spans="1:28" ht="14.45" customHeight="1" x14ac:dyDescent="0.25">
      <c r="A6" s="82"/>
      <c r="B6" s="83"/>
      <c r="C6" s="159"/>
      <c r="D6" s="111"/>
      <c r="E6" s="111"/>
      <c r="F6" s="112"/>
      <c r="G6" s="112"/>
      <c r="H6" s="112"/>
      <c r="I6" s="112"/>
      <c r="J6" s="112"/>
      <c r="K6" s="112"/>
      <c r="L6" s="112"/>
      <c r="M6" s="114"/>
      <c r="N6" s="155"/>
      <c r="O6" s="157"/>
      <c r="Q6" s="1"/>
      <c r="R6" s="1"/>
      <c r="U6" s="5" t="s">
        <v>91</v>
      </c>
      <c r="V6" t="s">
        <v>90</v>
      </c>
      <c r="W6" s="30">
        <f>IF(N15&gt;0,ROUNDUP((N15/75),0),ROUNDUP((Q8/75),0))</f>
        <v>0</v>
      </c>
      <c r="X6" s="1">
        <f>IF(O15&gt;0,ROUNDUP((O15/75),0),ROUNDUP((R8/75),0))</f>
        <v>0</v>
      </c>
      <c r="Y6" s="30">
        <f>IF(N15&gt;0,ROUNDUP((N15/200),0),ROUNDUP((Q8/200),0))</f>
        <v>0</v>
      </c>
      <c r="Z6" s="1">
        <f>IF(O15&gt;0,ROUNDUP((O15/200),0),ROUNDUP((R8/200),0))</f>
        <v>0</v>
      </c>
      <c r="AA6" s="32">
        <f>IF(OR(N15&gt;0,O15&gt;0),ROUNDUP((N15+O15)/500,0),ROUNDUP(Q5/500,0))</f>
        <v>0</v>
      </c>
      <c r="AB6" s="30" t="s">
        <v>82</v>
      </c>
    </row>
    <row r="7" spans="1:28" ht="15.75" x14ac:dyDescent="0.25">
      <c r="A7" s="82"/>
      <c r="B7" s="83"/>
      <c r="C7" s="159"/>
      <c r="D7" s="111"/>
      <c r="E7" s="111"/>
      <c r="F7" s="112"/>
      <c r="G7" s="112"/>
      <c r="H7" s="112"/>
      <c r="I7" s="112"/>
      <c r="J7" s="112"/>
      <c r="K7" s="112"/>
      <c r="L7" s="112"/>
      <c r="M7" s="114"/>
      <c r="N7" s="155"/>
      <c r="O7" s="157"/>
      <c r="Q7" s="15" t="s">
        <v>74</v>
      </c>
      <c r="R7" s="15" t="s">
        <v>75</v>
      </c>
      <c r="U7" s="5" t="s">
        <v>92</v>
      </c>
      <c r="V7" t="s">
        <v>93</v>
      </c>
      <c r="W7" s="30">
        <f>IF(N21&gt;0,ROUNDUP((N21/125),0),ROUNDUP((Q8/125),0))</f>
        <v>0</v>
      </c>
      <c r="X7" s="1">
        <f>IF(O21&gt;0,ROUNDUP((O21/65),0),ROUNDUP((R8/65),0))</f>
        <v>0</v>
      </c>
      <c r="Y7" s="32">
        <f>IF(N21&gt;0,ROUNDUP((N21/200),0),ROUNDUP((Q8/200),0))</f>
        <v>0</v>
      </c>
      <c r="Z7" s="1">
        <f>IF(O21&gt;0,ROUNDUP((O21/200),0),ROUNDUP((R8/200),0))</f>
        <v>0</v>
      </c>
      <c r="AA7" s="32">
        <f>IF(OR(N21&gt;0,O21&gt;0),ROUNDUP((N21+O21)/500,0),ROUNDUP(Q5/500,0))</f>
        <v>0</v>
      </c>
      <c r="AB7" s="30" t="s">
        <v>82</v>
      </c>
    </row>
    <row r="8" spans="1:28" ht="16.149999999999999" customHeight="1" x14ac:dyDescent="0.25">
      <c r="A8" s="82"/>
      <c r="B8" s="83"/>
      <c r="C8" s="159"/>
      <c r="D8" s="111"/>
      <c r="E8" s="111"/>
      <c r="F8" s="112"/>
      <c r="G8" s="112"/>
      <c r="H8" s="112"/>
      <c r="I8" s="112"/>
      <c r="J8" s="112"/>
      <c r="K8" s="112"/>
      <c r="L8" s="112"/>
      <c r="M8" s="98"/>
      <c r="N8" s="155"/>
      <c r="O8" s="157"/>
      <c r="Q8" s="16">
        <f>ROUNDUP((Q5/2),1)</f>
        <v>0</v>
      </c>
      <c r="R8" s="16">
        <f>ROUNDUP((Q5/2),1)</f>
        <v>0</v>
      </c>
      <c r="U8" s="5" t="s">
        <v>94</v>
      </c>
      <c r="V8" t="s">
        <v>93</v>
      </c>
      <c r="W8" s="30">
        <f>IF(AND(N31&gt;0,N31&lt;=400),(ROUNDUP(N31/100,0)),IF(N31&gt;400,(ROUNDUP(N31/250,0))+3,IF(AND(Q8&gt;0,Q8&lt;=400),(ROUNDUP(Q8/100,0)),IF(Q8&gt;400,(ROUNDUP(Q8/250,0))+3,0))))</f>
        <v>0</v>
      </c>
      <c r="X8" s="1">
        <f>IF(AND(O31&gt;0,O31&lt;=400),(ROUNDUP(O31/50,0)),IF(O31&gt;400,(ROUNDUP(O31/150,0))+5,IF(AND(R8&gt;0,R8&lt;=400),(ROUNDUP(R8/50,0)),IF(R8&gt;400,(ROUNDUP(R8/150,0))+5,0))))</f>
        <v>0</v>
      </c>
      <c r="Y8" s="30">
        <f>IF(AND(N31&gt;0,N31&lt;=250),1,IF(AND(N31&gt;250,N31&lt;=500),2,IF(AND(N31&gt;500,N31&lt;=750),3,IF(N31&gt;750,(ROUNDUP(N31/500,0)+2),IF(AND(Q8&gt;0,Q8&lt;=250),1,IF(AND(Q8&gt;250,Q8&lt;=500),2,IF(AND(Q8&gt;500,Q8&lt;=750),3,IF(Q8&gt;750,(ROUNDUP(Q8/500,0)+2),0))))))))</f>
        <v>0</v>
      </c>
      <c r="Z8" s="1">
        <f>IF(AND(O31&gt;0,O31&lt;=250),1,IF(AND(O31&gt;250,O31&lt;=500),2,IF(AND(O31&gt;500,O31&lt;=750),3,IF(O31&gt;750,(ROUNDUP(O31/500,0)+2),IF(AND(R8&gt;0,R8&lt;=250),1,IF(AND(R8&gt;250,R8&lt;=500),2,IF(AND(R8&gt;500,R8&lt;=750),3,IF(R8&gt;750,(ROUNDUP(R8/500,0)+2),0))))))))</f>
        <v>0</v>
      </c>
      <c r="AA8" s="32">
        <f>IF(OR(N31&gt;0,O31&gt;0),ROUNDUP((N31+O31)/1000,0),ROUNDUP(Q5/1000,0))</f>
        <v>0</v>
      </c>
      <c r="AB8" s="30" t="s">
        <v>82</v>
      </c>
    </row>
    <row r="9" spans="1:28" ht="14.45" customHeight="1" x14ac:dyDescent="0.25">
      <c r="A9" s="82"/>
      <c r="B9" s="83"/>
      <c r="C9" s="110" t="s">
        <v>95</v>
      </c>
      <c r="D9" s="111" t="s">
        <v>96</v>
      </c>
      <c r="E9" s="111"/>
      <c r="F9" s="112" t="str">
        <f>IF(AND(OR(N9&gt;0,O9&gt;0),N9+O9&lt;=15),"Single restroom okay for 15 or less (IPC 403.2(2))",IF(AND(OR(N9&gt;0,O9&gt;0),N9+O9&gt;Q5),W5,IF(AND(OR(N9&gt;0,O9&gt;0),N9+O9&lt;Q5),W5,IF(Q5&lt;=15,"Single restroom okay for 15 or less (IPC 403.2(2))",W5))))</f>
        <v>Single restroom okay for 15 or less (IPC 403.2(2))</v>
      </c>
      <c r="G9" s="112" t="str">
        <f>IF(F9="Single restroom okay for 15 or less (IPC 403.2(2))","-",X5)</f>
        <v>-</v>
      </c>
      <c r="H9" s="112" t="s">
        <v>181</v>
      </c>
      <c r="I9" s="112">
        <f>Y5</f>
        <v>0</v>
      </c>
      <c r="J9" s="112" t="str">
        <f>IF(F9="Single restroom okay for 15 or less (IPC 403.2(2))","-",Z5)</f>
        <v>-</v>
      </c>
      <c r="K9" s="112" t="s">
        <v>82</v>
      </c>
      <c r="L9" s="112" t="str">
        <f>IF(F9="Single restroom okay for 15 or less (IPC 403.2(2))","15 or less Fountain exempt(IPC 410.2)",AA5)</f>
        <v>15 or less Fountain exempt(IPC 410.2)</v>
      </c>
      <c r="M9" s="114" t="s">
        <v>83</v>
      </c>
      <c r="N9" s="118">
        <v>0</v>
      </c>
      <c r="O9" s="119">
        <f>N9</f>
        <v>0</v>
      </c>
      <c r="U9" s="5" t="s">
        <v>97</v>
      </c>
      <c r="V9" t="s">
        <v>93</v>
      </c>
      <c r="W9" s="30">
        <f>IF(N37&gt;0,ROUNDUP((N37/50),0),ROUNDUP((Q8/500),0))</f>
        <v>0</v>
      </c>
      <c r="X9" s="1">
        <f>ROUNDUP((R8/500),0)</f>
        <v>0</v>
      </c>
      <c r="Y9" s="30">
        <f>IF(N37&gt;0,ROUNDUP((N37/750),0),ROUNDUP((Q8/750),0))</f>
        <v>0</v>
      </c>
      <c r="Z9" s="1">
        <f>IF(O37&gt;0,ROUNDUP((O37/750),0),ROUNDUP((R8/750),0))</f>
        <v>0</v>
      </c>
      <c r="AA9" s="32">
        <f>IF(OR(N37&gt;0,O37&gt;0),ROUNDUP((N37+O37)/1000,0),ROUNDUP(Q5/1000,0))</f>
        <v>0</v>
      </c>
      <c r="AB9" s="30" t="s">
        <v>82</v>
      </c>
    </row>
    <row r="10" spans="1:28" x14ac:dyDescent="0.25">
      <c r="A10" s="82"/>
      <c r="B10" s="83"/>
      <c r="C10" s="110"/>
      <c r="D10" s="111"/>
      <c r="E10" s="111"/>
      <c r="F10" s="112"/>
      <c r="G10" s="112"/>
      <c r="H10" s="112"/>
      <c r="I10" s="112"/>
      <c r="J10" s="112"/>
      <c r="K10" s="112"/>
      <c r="L10" s="112"/>
      <c r="M10" s="114"/>
      <c r="N10" s="118"/>
      <c r="O10" s="119"/>
      <c r="P10" t="s">
        <v>440</v>
      </c>
      <c r="U10" s="5" t="s">
        <v>98</v>
      </c>
      <c r="V10" t="s">
        <v>93</v>
      </c>
      <c r="W10" s="30">
        <f>IF(N43&gt;0,ROUNDUP((N43/150),0),ROUNDUP((Q8/150),0))</f>
        <v>0</v>
      </c>
      <c r="X10" s="1">
        <f>ROUNDUP((R8/75),0)</f>
        <v>0</v>
      </c>
      <c r="Y10" s="30">
        <f>IF(N43&gt;0,ROUNDUP((N43/200),0),ROUNDUP((Q8/200),0))</f>
        <v>0</v>
      </c>
      <c r="Z10" s="1">
        <f>IF(O43&gt;0,ROUNDUP((O43/200),0),ROUNDUP((R8/200),0))</f>
        <v>0</v>
      </c>
      <c r="AA10" s="32">
        <f>IF(OR(N43&gt;0,O43&gt;0),ROUNDUP((N43+O43)/1000,0),ROUNDUP(Q5/1000,0))</f>
        <v>0</v>
      </c>
      <c r="AB10" s="30" t="s">
        <v>82</v>
      </c>
    </row>
    <row r="11" spans="1:28" x14ac:dyDescent="0.25">
      <c r="A11" s="82"/>
      <c r="B11" s="83"/>
      <c r="C11" s="110"/>
      <c r="D11" s="111"/>
      <c r="E11" s="111"/>
      <c r="F11" s="112"/>
      <c r="G11" s="112"/>
      <c r="H11" s="112"/>
      <c r="I11" s="112"/>
      <c r="J11" s="112"/>
      <c r="K11" s="112"/>
      <c r="L11" s="112"/>
      <c r="M11" s="114"/>
      <c r="N11" s="118"/>
      <c r="O11" s="119"/>
      <c r="P11" t="s">
        <v>489</v>
      </c>
      <c r="U11" s="5" t="s">
        <v>99</v>
      </c>
      <c r="V11" t="s">
        <v>100</v>
      </c>
      <c r="W11" s="30">
        <f>IF(AND(N49&gt;0,N49&lt;=1500),(ROUNDUP(N49/75,0)),IF(N49&gt;1500,(ROUNDUP(N49/120,0))+8,IF(AND(Q8&gt;0,Q8&lt;=1500),(ROUNDUP(Q8/75,0)),IF(Q8&gt;1500,(ROUNDUP(Q8/120,0))+8,0))))</f>
        <v>0</v>
      </c>
      <c r="X11" s="1">
        <f>IF(AND(O49&gt;0,O49&lt;=1520),(ROUNDUP(O49/40,0)),IF(O49&gt;1520,(ROUNDUP(O49/60,0))+12,IF(AND(R8&gt;0,R8&lt;=1520),(ROUNDUP(R8/40,0)),IF(R8&gt;1520,(ROUNDUP(R8/60,0))+12,0))))</f>
        <v>0</v>
      </c>
      <c r="Y11" s="30">
        <f>IF(N49&lt;0,ROUNDUP((N49/200),0),ROUNDUP((Q8/200),0))</f>
        <v>0</v>
      </c>
      <c r="Z11" s="1">
        <f>IF(O49&gt;0,ROUNDUP((O49/150),0),ROUNDUP((R8/150),0))</f>
        <v>0</v>
      </c>
      <c r="AA11" s="32">
        <f>IF(OR(N49&gt;0,O49&gt;0),ROUNDUP((N49+O49)/1000,0),ROUNDUP(Q5/1000,0))</f>
        <v>0</v>
      </c>
      <c r="AB11" s="30" t="s">
        <v>82</v>
      </c>
    </row>
    <row r="12" spans="1:28" x14ac:dyDescent="0.25">
      <c r="A12" s="82"/>
      <c r="B12" s="83"/>
      <c r="C12" s="110"/>
      <c r="D12" s="111"/>
      <c r="E12" s="111"/>
      <c r="F12" s="112"/>
      <c r="G12" s="112"/>
      <c r="H12" s="112"/>
      <c r="I12" s="112"/>
      <c r="J12" s="112"/>
      <c r="K12" s="112"/>
      <c r="L12" s="112"/>
      <c r="M12" s="114"/>
      <c r="N12" s="118"/>
      <c r="O12" s="119"/>
      <c r="P12" t="s">
        <v>490</v>
      </c>
      <c r="U12" s="5" t="s">
        <v>101</v>
      </c>
      <c r="V12" t="s">
        <v>102</v>
      </c>
      <c r="W12" s="30">
        <f>IF(AND(N55&gt;0,N55&lt;=1500),(ROUNDUP(N55/75,0)),IF(N55&gt;1500,(ROUNDUP(N55/120,0))+8,IF(AND(Q8&gt;0,Q8&lt;=1500),(ROUNDUP(Q8/75,0)),IF(Q8&gt;1500,(ROUNDUP(Q8/120,0))+8,0))))</f>
        <v>0</v>
      </c>
      <c r="X12" s="1">
        <f>IF(AND(O55&gt;0,O55&lt;=1520),(ROUNDUP(O55/40,0)),IF(O55&gt;1520,(ROUNDUP(O55/60,0))+12,IF(AND(R8&gt;0,R8&lt;=1520),(ROUNDUP(R8/40,0)),IF(R8&gt;1520,(ROUNDUP(R8/60,0))+12,0))))</f>
        <v>0</v>
      </c>
      <c r="Y12" s="30">
        <f>IF(N55&gt;0,ROUNDUP((N55/200),0),ROUNDUP((Q8/200),0))</f>
        <v>0</v>
      </c>
      <c r="Z12" s="1">
        <f>IF(O55&gt;0,ROUNDUP((O55/150),0),ROUNDUP((R8/150),0))</f>
        <v>0</v>
      </c>
      <c r="AA12" s="32">
        <f>IF(OR(N55&gt;0,O55&gt;0),ROUNDUP((N55+O55)/1000,0),ROUNDUP(Q5/1000,0))</f>
        <v>0</v>
      </c>
      <c r="AB12" s="30" t="s">
        <v>82</v>
      </c>
    </row>
    <row r="13" spans="1:28" x14ac:dyDescent="0.25">
      <c r="A13" s="82"/>
      <c r="B13" s="83"/>
      <c r="C13" s="110"/>
      <c r="D13" s="111"/>
      <c r="E13" s="111"/>
      <c r="F13" s="112"/>
      <c r="G13" s="112"/>
      <c r="H13" s="112"/>
      <c r="I13" s="112"/>
      <c r="J13" s="112"/>
      <c r="K13" s="112"/>
      <c r="L13" s="112"/>
      <c r="M13" s="114"/>
      <c r="N13" s="118"/>
      <c r="O13" s="119"/>
      <c r="P13" t="s">
        <v>491</v>
      </c>
      <c r="U13" s="5" t="s">
        <v>103</v>
      </c>
      <c r="V13" t="s">
        <v>104</v>
      </c>
      <c r="W13" s="30">
        <f>IF(AND(N62&gt;0,N62&lt;=25),1,IF(AND(N62&gt;25,N62&lt;=50),2,IF(N62&gt;50,(ROUNDUP(N62/50,0)+1),IF(AND(Q5&gt;0,Q5&lt;=25),1,IF(AND(Q5&gt;25,Q5&lt;=50),2,IF(Q5&gt;50,(ROUNDUP(Q5/50,0)+1),0))))))</f>
        <v>0</v>
      </c>
      <c r="X13" s="1" t="s">
        <v>82</v>
      </c>
      <c r="Y13" s="30">
        <f>IF(AND(N62&gt;0,N62&lt;=40),1,IF(AND(N62&gt;40,N62&lt;=80),2,IF(N62&gt;80,(ROUNDUP(N62/80,0)+1),IF(AND(Q5&gt;0,Q5&lt;=40),1,IF(AND(Q5&gt;40,Q5&lt;=80),2,IF(Q5&gt;80,(ROUNDUP(Q5/80,0)+1),0))))))</f>
        <v>0</v>
      </c>
      <c r="Z13" s="1" t="s">
        <v>82</v>
      </c>
      <c r="AA13" s="32">
        <f>IF(N62&gt;0,ROUNDUP(N62/100,0),ROUNDUP(Q5/100,0))</f>
        <v>0</v>
      </c>
      <c r="AB13" s="30" t="s">
        <v>82</v>
      </c>
    </row>
    <row r="14" spans="1:28" x14ac:dyDescent="0.25">
      <c r="A14" s="82"/>
      <c r="B14" s="83"/>
      <c r="C14" s="110"/>
      <c r="D14" s="111"/>
      <c r="E14" s="111"/>
      <c r="F14" s="112"/>
      <c r="G14" s="112"/>
      <c r="H14" s="112"/>
      <c r="I14" s="112"/>
      <c r="J14" s="112"/>
      <c r="K14" s="112"/>
      <c r="L14" s="112"/>
      <c r="M14" s="114"/>
      <c r="N14" s="118"/>
      <c r="O14" s="119"/>
      <c r="P14" t="s">
        <v>492</v>
      </c>
      <c r="U14" s="5" t="s">
        <v>105</v>
      </c>
      <c r="V14" t="s">
        <v>106</v>
      </c>
      <c r="W14" s="30">
        <f>IF(N73&gt;0,ROUNDUP((N73/50),0),ROUNDUP((Q5/50),0))</f>
        <v>0</v>
      </c>
      <c r="X14" s="1" t="s">
        <v>82</v>
      </c>
      <c r="Y14" s="30">
        <f>IF(N73&gt;0,ROUNDUP((N73/50),0),ROUNDUP((Q5/50),0))</f>
        <v>0</v>
      </c>
      <c r="Z14" s="1" t="s">
        <v>82</v>
      </c>
      <c r="AA14" s="32">
        <f>IF(N73&gt;0,ROUNDUP(N73/100,0),ROUNDUP(Q5/100,0))</f>
        <v>0</v>
      </c>
      <c r="AB14" s="30" t="s">
        <v>82</v>
      </c>
    </row>
    <row r="15" spans="1:28" ht="15" customHeight="1" x14ac:dyDescent="0.25">
      <c r="A15" s="82"/>
      <c r="B15" s="83"/>
      <c r="C15" s="110"/>
      <c r="D15" s="111" t="s">
        <v>107</v>
      </c>
      <c r="E15" s="111"/>
      <c r="F15" s="112" t="str">
        <f>IF(AND(OR(N15&gt;0,O15&gt;0),N15+O15&lt;=15),"Single restroom okay for 15 or less (IPC 403.2(2))",IF(AND(OR(N15&gt;0,O15&gt;0),N15+O15&gt;Q5),W6,IF(AND(OR(N15&gt;0,O15&gt;0),N15+O15&lt;Q5),W6,IF(Q5&lt;=15,"Single restroom okay for 15 or less (IPC 403.2(2))",W6))))</f>
        <v>Single restroom okay for 15 or less (IPC 403.2(2))</v>
      </c>
      <c r="G15" s="112" t="str">
        <f>IF(F15="Single restroom okay for 15 or less (IPC 403.2(2))","-",X6)</f>
        <v>-</v>
      </c>
      <c r="H15" s="112" t="s">
        <v>181</v>
      </c>
      <c r="I15" s="112">
        <f>Y6</f>
        <v>0</v>
      </c>
      <c r="J15" s="112" t="str">
        <f>IF(F15="Single restroom okay for 15 or less (IPC 403.2(2))","-",Z6)</f>
        <v>-</v>
      </c>
      <c r="K15" s="112" t="s">
        <v>82</v>
      </c>
      <c r="L15" s="112" t="str">
        <f>IF(F15="Single restroom okay for 15 or less (IPC 403.2(2))","15 or less Fountain exempt(IPC 410.2)",AA6)</f>
        <v>15 or less Fountain exempt(IPC 410.2)</v>
      </c>
      <c r="M15" s="121" t="s">
        <v>83</v>
      </c>
      <c r="N15" s="96">
        <v>0</v>
      </c>
      <c r="O15" s="97">
        <f>N15</f>
        <v>0</v>
      </c>
      <c r="U15" s="5" t="s">
        <v>108</v>
      </c>
      <c r="V15" t="s">
        <v>109</v>
      </c>
      <c r="W15" s="30">
        <f>IF(N79&gt;0,ROUNDUP((N79/100),0),ROUNDUP((Q5/100),0))</f>
        <v>0</v>
      </c>
      <c r="X15" s="1" t="s">
        <v>82</v>
      </c>
      <c r="Y15" s="30">
        <f>IF(N79&gt;0,ROUNDUP((N79/100),0),ROUNDUP((Q5/100),0))</f>
        <v>0</v>
      </c>
      <c r="Z15" s="1" t="s">
        <v>82</v>
      </c>
      <c r="AA15" s="32">
        <f>IF(N79&gt;0,ROUNDUP(N79/400,0),ROUNDUP(Q5/400,0))</f>
        <v>0</v>
      </c>
      <c r="AB15" s="30" t="s">
        <v>110</v>
      </c>
    </row>
    <row r="16" spans="1:28" x14ac:dyDescent="0.25">
      <c r="A16" s="82"/>
      <c r="B16" s="83"/>
      <c r="C16" s="110"/>
      <c r="D16" s="111"/>
      <c r="E16" s="111"/>
      <c r="F16" s="112"/>
      <c r="G16" s="112"/>
      <c r="H16" s="112"/>
      <c r="I16" s="112"/>
      <c r="J16" s="112"/>
      <c r="K16" s="112"/>
      <c r="L16" s="112"/>
      <c r="M16" s="114"/>
      <c r="N16" s="96"/>
      <c r="O16" s="97"/>
      <c r="U16" s="5" t="s">
        <v>111</v>
      </c>
      <c r="V16" t="s">
        <v>112</v>
      </c>
      <c r="W16" s="30">
        <f>IF(N86&gt;0,ROUNDUP((N86/10),0),ROUNDUP((Q5/10),0))</f>
        <v>0</v>
      </c>
      <c r="X16" s="1" t="s">
        <v>82</v>
      </c>
      <c r="Y16" s="30">
        <f>IF(N86&gt;0,ROUNDUP((N86/10),0),ROUNDUP((Q5/10),0))</f>
        <v>0</v>
      </c>
      <c r="Z16" s="1" t="s">
        <v>82</v>
      </c>
      <c r="AA16" s="32">
        <f>IF(N86&gt;0,ROUNDUP(N86/100,0),ROUNDUP(Q5/100,0))</f>
        <v>0</v>
      </c>
      <c r="AB16" s="30">
        <f>IF(N86&gt;0,ROUNDUP(N86/8,0),ROUNDUP(Q5/8,0))</f>
        <v>0</v>
      </c>
    </row>
    <row r="17" spans="1:28" ht="14.45" customHeight="1" x14ac:dyDescent="0.25">
      <c r="A17" s="82"/>
      <c r="B17" s="83"/>
      <c r="C17" s="110"/>
      <c r="D17" s="111"/>
      <c r="E17" s="111"/>
      <c r="F17" s="112"/>
      <c r="G17" s="112"/>
      <c r="H17" s="112"/>
      <c r="I17" s="112"/>
      <c r="J17" s="112"/>
      <c r="K17" s="112"/>
      <c r="L17" s="112"/>
      <c r="M17" s="114"/>
      <c r="N17" s="96"/>
      <c r="O17" s="97"/>
      <c r="U17" s="5" t="s">
        <v>113</v>
      </c>
      <c r="V17" t="s">
        <v>114</v>
      </c>
      <c r="W17" s="30">
        <f>IF(N95&gt;0,ROUNDUP((N95/25),0),ROUNDUP((Q5/25),0))</f>
        <v>0</v>
      </c>
      <c r="X17" s="1" t="s">
        <v>82</v>
      </c>
      <c r="Y17" s="30">
        <f>IF(N95&gt;0,ROUNDUP((N95/35),0),ROUNDUP((Q5/35),0))</f>
        <v>0</v>
      </c>
      <c r="Z17" s="1" t="s">
        <v>82</v>
      </c>
      <c r="AA17" s="32">
        <f>IF(N95&gt;0,ROUNDUP(N95/100,0),ROUNDUP(Q5/100,0))</f>
        <v>0</v>
      </c>
      <c r="AB17" s="30" t="s">
        <v>82</v>
      </c>
    </row>
    <row r="18" spans="1:28" x14ac:dyDescent="0.25">
      <c r="A18" s="82"/>
      <c r="B18" s="83"/>
      <c r="C18" s="110"/>
      <c r="D18" s="111"/>
      <c r="E18" s="111"/>
      <c r="F18" s="112"/>
      <c r="G18" s="112"/>
      <c r="H18" s="112"/>
      <c r="I18" s="112"/>
      <c r="J18" s="112"/>
      <c r="K18" s="112"/>
      <c r="L18" s="112"/>
      <c r="M18" s="114"/>
      <c r="N18" s="96"/>
      <c r="O18" s="97"/>
      <c r="U18" s="5" t="s">
        <v>115</v>
      </c>
      <c r="V18" t="s">
        <v>114</v>
      </c>
      <c r="W18" s="30">
        <f>IF(N99&gt;0,ROUNDUP((N99/75),0),ROUNDUP((Q5/75),0))</f>
        <v>0</v>
      </c>
      <c r="X18" s="1" t="s">
        <v>82</v>
      </c>
      <c r="Y18" s="30">
        <f>IF(N99&gt;0,ROUNDUP((N99/100),0),ROUNDUP((Q5/100),0))</f>
        <v>0</v>
      </c>
      <c r="Z18" s="1" t="s">
        <v>82</v>
      </c>
      <c r="AA18" s="32">
        <f>IF(N99&gt;0,ROUNDUP(N99/500,0),ROUNDUP(Q5/500,0))</f>
        <v>0</v>
      </c>
      <c r="AB18" s="30" t="s">
        <v>82</v>
      </c>
    </row>
    <row r="19" spans="1:28" x14ac:dyDescent="0.25">
      <c r="A19" s="82"/>
      <c r="B19" s="83"/>
      <c r="C19" s="110"/>
      <c r="D19" s="111"/>
      <c r="E19" s="111"/>
      <c r="F19" s="112"/>
      <c r="G19" s="112"/>
      <c r="H19" s="112"/>
      <c r="I19" s="112"/>
      <c r="J19" s="112"/>
      <c r="K19" s="112"/>
      <c r="L19" s="112"/>
      <c r="M19" s="114"/>
      <c r="N19" s="96"/>
      <c r="O19" s="97"/>
      <c r="U19" s="5" t="s">
        <v>116</v>
      </c>
      <c r="V19" t="s">
        <v>117</v>
      </c>
      <c r="W19" s="30">
        <f>IF(N105&gt;0,ROUNDUP((N105/15),0),ROUNDUP((Q5/15),0))</f>
        <v>0</v>
      </c>
      <c r="X19" s="1" t="s">
        <v>82</v>
      </c>
      <c r="Y19" s="30">
        <f>IF(N105&gt;0,ROUNDUP((N105/15),0),ROUNDUP((Q5/15),0))</f>
        <v>0</v>
      </c>
      <c r="Z19" s="1" t="s">
        <v>82</v>
      </c>
      <c r="AA19" s="32">
        <f>IF(N105&gt;0,ROUNDUP(N105/100,0),ROUNDUP(Q5/100,0))</f>
        <v>0</v>
      </c>
      <c r="AB19" s="30">
        <f>IF(N105&gt;0,ROUNDUP(N105/15,0),ROUNDUP(Q5/15,0))</f>
        <v>0</v>
      </c>
    </row>
    <row r="20" spans="1:28" x14ac:dyDescent="0.25">
      <c r="A20" s="82"/>
      <c r="B20" s="83"/>
      <c r="C20" s="110"/>
      <c r="D20" s="111"/>
      <c r="E20" s="111"/>
      <c r="F20" s="112"/>
      <c r="G20" s="112"/>
      <c r="H20" s="112"/>
      <c r="I20" s="112"/>
      <c r="J20" s="112"/>
      <c r="K20" s="112"/>
      <c r="L20" s="112"/>
      <c r="M20" s="114"/>
      <c r="N20" s="96"/>
      <c r="O20" s="97"/>
      <c r="U20" s="5" t="s">
        <v>113</v>
      </c>
      <c r="V20" t="s">
        <v>117</v>
      </c>
      <c r="W20" s="30">
        <f>IF(N109&gt;0,ROUNDUP((N109/25),0),ROUNDUP((Q5/25),0))</f>
        <v>0</v>
      </c>
      <c r="X20" s="1" t="s">
        <v>82</v>
      </c>
      <c r="Y20" s="30">
        <f>IF(N109&gt;0,ROUNDUP((N109/35),0),ROUNDUP((Q5/35),0))</f>
        <v>0</v>
      </c>
      <c r="Z20" s="1" t="s">
        <v>82</v>
      </c>
      <c r="AA20" s="32">
        <f>IF(N109&gt;0,ROUNDUP(N109/100,0),ROUNDUP(Q5/100,0))</f>
        <v>0</v>
      </c>
      <c r="AB20" s="30" t="s">
        <v>82</v>
      </c>
    </row>
    <row r="21" spans="1:28" x14ac:dyDescent="0.25">
      <c r="A21" s="82"/>
      <c r="B21" s="83"/>
      <c r="C21" s="110" t="s">
        <v>118</v>
      </c>
      <c r="D21" s="111" t="s">
        <v>119</v>
      </c>
      <c r="E21" s="111"/>
      <c r="F21" s="112" t="str">
        <f>IF(AND(OR(N21&gt;0,O21&gt;0),N21+O21&lt;=15),"Single restroom okay for 15 or less (IPC 403.2(2))",IF(AND(OR(N21&gt;0,O21&gt;0),N21+O21&gt;Q5),W7,IF(AND(OR(N21&gt;0,O21&gt;0),N21+O21&lt;Q5),W7,IF(Q5&lt;=15,"Single restroom okay for 15 or less (IPC 403.2(2))",W7))))</f>
        <v>Single restroom okay for 15 or less (IPC 403.2(2))</v>
      </c>
      <c r="G21" s="112" t="str">
        <f>IF(F21="Single restroom okay for 15 or less (IPC 403.2(2))","-",X7)</f>
        <v>-</v>
      </c>
      <c r="H21" s="112" t="s">
        <v>181</v>
      </c>
      <c r="I21" s="112">
        <f>Y7</f>
        <v>0</v>
      </c>
      <c r="J21" s="112" t="str">
        <f>IF(F21="Single restroom okay for 15 or less (IPC 403.2(2))","-",Z7)</f>
        <v>-</v>
      </c>
      <c r="K21" s="112" t="s">
        <v>82</v>
      </c>
      <c r="L21" s="112" t="str">
        <f>IF(F21="Single restroom okay for 15 or less (IPC 403.2(2))","15 or less Fountain exempt(IPC 410.2)",AA7)</f>
        <v>15 or less Fountain exempt(IPC 410.2)</v>
      </c>
      <c r="M21" s="114" t="s">
        <v>83</v>
      </c>
      <c r="N21" s="96">
        <v>0</v>
      </c>
      <c r="O21" s="97">
        <f>N21</f>
        <v>0</v>
      </c>
      <c r="U21" s="5" t="s">
        <v>120</v>
      </c>
      <c r="V21" t="s">
        <v>121</v>
      </c>
      <c r="W21" s="30">
        <f>IF(N113&gt;0,ROUNDUP((N113/15),0),ROUNDUP((Q5/15),0))</f>
        <v>0</v>
      </c>
      <c r="X21" s="1" t="s">
        <v>82</v>
      </c>
      <c r="Y21" s="30">
        <f>IF(N113&gt;0,ROUNDUP((N113/15),0),ROUNDUP((Q5/15),0))</f>
        <v>0</v>
      </c>
      <c r="Z21" s="1" t="s">
        <v>82</v>
      </c>
      <c r="AA21" s="32">
        <f>IF(N113&gt;0,ROUNDUP(N113/100,0),ROUNDUP(Q5/100,0))</f>
        <v>0</v>
      </c>
      <c r="AB21" s="30">
        <v>1</v>
      </c>
    </row>
    <row r="22" spans="1:28" ht="14.45" customHeight="1" x14ac:dyDescent="0.25">
      <c r="A22" s="82"/>
      <c r="B22" s="83"/>
      <c r="C22" s="110"/>
      <c r="D22" s="111"/>
      <c r="E22" s="111"/>
      <c r="F22" s="112"/>
      <c r="G22" s="112"/>
      <c r="H22" s="112"/>
      <c r="I22" s="112"/>
      <c r="J22" s="112"/>
      <c r="K22" s="112"/>
      <c r="L22" s="112"/>
      <c r="M22" s="114"/>
      <c r="N22" s="96"/>
      <c r="O22" s="97"/>
      <c r="U22" s="5" t="s">
        <v>122</v>
      </c>
      <c r="V22" t="s">
        <v>123</v>
      </c>
      <c r="W22" s="30">
        <f>IF(N117&gt;0,ROUNDUP((N117/500),0),ROUNDUP((Q5/500),0))</f>
        <v>0</v>
      </c>
      <c r="X22" s="1" t="s">
        <v>82</v>
      </c>
      <c r="Y22" s="30">
        <f>IF(N117&gt;0,ROUNDUP((N117/750),0),ROUNDUP((Q5/750),0))</f>
        <v>0</v>
      </c>
      <c r="Z22" s="1" t="s">
        <v>82</v>
      </c>
      <c r="AA22" s="32">
        <f>IF(N117&gt;0,ROUNDUP(N117/1000,0),ROUNDUP(Q5/1000,0))</f>
        <v>0</v>
      </c>
      <c r="AB22" s="30" t="s">
        <v>82</v>
      </c>
    </row>
    <row r="23" spans="1:28" ht="14.45" customHeight="1" x14ac:dyDescent="0.25">
      <c r="A23" s="82"/>
      <c r="B23" s="83"/>
      <c r="C23" s="110"/>
      <c r="D23" s="111"/>
      <c r="E23" s="111"/>
      <c r="F23" s="112"/>
      <c r="G23" s="112"/>
      <c r="H23" s="112"/>
      <c r="I23" s="112"/>
      <c r="J23" s="112"/>
      <c r="K23" s="112"/>
      <c r="L23" s="112"/>
      <c r="M23" s="114"/>
      <c r="N23" s="96"/>
      <c r="O23" s="97"/>
      <c r="U23" s="5" t="s">
        <v>124</v>
      </c>
      <c r="V23" t="s">
        <v>125</v>
      </c>
      <c r="W23" s="30">
        <f>IF(N128&gt;0,ROUNDUP((N128/10),0),ROUNDUP((Q5/10),0))</f>
        <v>0</v>
      </c>
      <c r="X23" s="1" t="s">
        <v>82</v>
      </c>
      <c r="Y23" s="30">
        <f>IF(N128&gt;0,ROUNDUP((N128/10),0),ROUNDUP((Q5/10),0))</f>
        <v>0</v>
      </c>
      <c r="Z23" s="1" t="s">
        <v>82</v>
      </c>
      <c r="AA23" s="32">
        <f>IF(N128&gt;0,ROUNDUP(N128/100,0),ROUNDUP(Q5/100,0))</f>
        <v>0</v>
      </c>
      <c r="AB23" s="30">
        <f>IF(N128&gt;0,ROUNDUP(N128/8,0),ROUNDUP(Q5/8,0))</f>
        <v>0</v>
      </c>
    </row>
    <row r="24" spans="1:28" ht="14.45" customHeight="1" x14ac:dyDescent="0.25">
      <c r="A24" s="82"/>
      <c r="B24" s="83"/>
      <c r="C24" s="110"/>
      <c r="D24" s="111"/>
      <c r="E24" s="111"/>
      <c r="F24" s="112"/>
      <c r="G24" s="112"/>
      <c r="H24" s="112"/>
      <c r="I24" s="112"/>
      <c r="J24" s="112"/>
      <c r="K24" s="112"/>
      <c r="L24" s="112"/>
      <c r="M24" s="114"/>
      <c r="N24" s="96"/>
      <c r="O24" s="97"/>
      <c r="U24" s="5" t="s">
        <v>126</v>
      </c>
      <c r="V24" t="s">
        <v>127</v>
      </c>
      <c r="W24" s="30">
        <f>IF(N139&gt;0,ROUNDUP((N139/10),0),ROUNDUP((Q5/10),0))</f>
        <v>0</v>
      </c>
      <c r="X24" s="1" t="s">
        <v>82</v>
      </c>
      <c r="Y24" s="30">
        <f>IF(N139&gt;0,ROUNDUP((N139/10),0),ROUNDUP((Q5/10),0))</f>
        <v>0</v>
      </c>
      <c r="Z24" s="1" t="s">
        <v>82</v>
      </c>
      <c r="AA24" s="32">
        <f>IF(N139&gt;0,ROUNDUP(N139/100,0),ROUNDUP(Q5/100,0))</f>
        <v>0</v>
      </c>
      <c r="AB24" s="30">
        <f>IF(N139&gt;0,ROUNDUP(N139/8,0),ROUNDUP(Q5/8,0))</f>
        <v>0</v>
      </c>
    </row>
    <row r="25" spans="1:28" x14ac:dyDescent="0.25">
      <c r="A25" s="82"/>
      <c r="B25" s="83"/>
      <c r="C25" s="110"/>
      <c r="D25" s="111"/>
      <c r="E25" s="111"/>
      <c r="F25" s="112"/>
      <c r="G25" s="112"/>
      <c r="H25" s="112"/>
      <c r="I25" s="112"/>
      <c r="J25" s="112"/>
      <c r="K25" s="112"/>
      <c r="L25" s="112"/>
      <c r="M25" s="114"/>
      <c r="N25" s="96"/>
      <c r="O25" s="97"/>
      <c r="U25" s="5" t="s">
        <v>126</v>
      </c>
      <c r="V25" t="s">
        <v>184</v>
      </c>
      <c r="W25" s="30">
        <f>IF(N149&gt;0,ROUNDUP((N149/10),0),ROUNDUP((Q5/10),0))</f>
        <v>0</v>
      </c>
      <c r="X25" s="1" t="s">
        <v>82</v>
      </c>
      <c r="Y25" s="30">
        <f>IF(N149&gt;0,ROUNDUP((N149/10),0),ROUNDUP((Q5/10),0))</f>
        <v>0</v>
      </c>
      <c r="Z25" s="1" t="s">
        <v>82</v>
      </c>
      <c r="AA25" s="32">
        <f>IF(N149&gt;0,ROUNDUP(N149/100,0),ROUNDUP(Q5/100,0))</f>
        <v>0</v>
      </c>
      <c r="AB25" s="30">
        <f>IF(N149&gt;0,ROUNDUP(N149/8,0),ROUNDUP(Q5/8,0))</f>
        <v>0</v>
      </c>
    </row>
    <row r="26" spans="1:28" ht="15.75" thickBot="1" x14ac:dyDescent="0.3">
      <c r="A26" s="82"/>
      <c r="B26" s="83"/>
      <c r="C26" s="110"/>
      <c r="D26" s="111"/>
      <c r="E26" s="111"/>
      <c r="F26" s="112"/>
      <c r="G26" s="112"/>
      <c r="H26" s="112"/>
      <c r="I26" s="112"/>
      <c r="J26" s="112"/>
      <c r="K26" s="112"/>
      <c r="L26" s="112"/>
      <c r="M26" s="114"/>
      <c r="N26" s="96"/>
      <c r="O26" s="97"/>
      <c r="U26" s="5" t="s">
        <v>128</v>
      </c>
      <c r="V26" t="s">
        <v>129</v>
      </c>
      <c r="W26" s="33">
        <f>IF(N154&gt;0,ROUNDUP((N154/100),0),ROUNDUP((Q5/100),0))</f>
        <v>0</v>
      </c>
      <c r="X26" s="34" t="s">
        <v>82</v>
      </c>
      <c r="Y26" s="33">
        <f>IF(N154&gt;0,ROUNDUP((N154/100),0),ROUNDUP((Q5/100),0))</f>
        <v>0</v>
      </c>
      <c r="Z26" s="34" t="s">
        <v>82</v>
      </c>
      <c r="AA26" s="33">
        <f>IF(N154&gt;0,ROUNDUP(N154/100,0),ROUNDUP(Q5/100,0))</f>
        <v>0</v>
      </c>
      <c r="AB26" s="38" t="s">
        <v>110</v>
      </c>
    </row>
    <row r="27" spans="1:28" x14ac:dyDescent="0.25">
      <c r="A27" s="82"/>
      <c r="B27" s="83"/>
      <c r="C27" s="110"/>
      <c r="D27" s="111"/>
      <c r="E27" s="111"/>
      <c r="F27" s="112"/>
      <c r="G27" s="112"/>
      <c r="H27" s="112"/>
      <c r="I27" s="112"/>
      <c r="J27" s="112"/>
      <c r="K27" s="112"/>
      <c r="L27" s="112"/>
      <c r="M27" s="114"/>
      <c r="N27" s="96"/>
      <c r="O27" s="97"/>
    </row>
    <row r="28" spans="1:28" x14ac:dyDescent="0.25">
      <c r="A28" s="82"/>
      <c r="B28" s="83"/>
      <c r="C28" s="110"/>
      <c r="D28" s="111"/>
      <c r="E28" s="111"/>
      <c r="F28" s="112"/>
      <c r="G28" s="112"/>
      <c r="H28" s="112"/>
      <c r="I28" s="112"/>
      <c r="J28" s="112"/>
      <c r="K28" s="112"/>
      <c r="L28" s="112"/>
      <c r="M28" s="114"/>
      <c r="N28" s="96"/>
      <c r="O28" s="97"/>
    </row>
    <row r="29" spans="1:28" x14ac:dyDescent="0.25">
      <c r="A29" s="82"/>
      <c r="B29" s="83"/>
      <c r="C29" s="110"/>
      <c r="D29" s="111"/>
      <c r="E29" s="111"/>
      <c r="F29" s="112"/>
      <c r="G29" s="112"/>
      <c r="H29" s="112"/>
      <c r="I29" s="112"/>
      <c r="J29" s="112"/>
      <c r="K29" s="112"/>
      <c r="L29" s="112"/>
      <c r="M29" s="114"/>
      <c r="N29" s="96"/>
      <c r="O29" s="97"/>
    </row>
    <row r="30" spans="1:28" x14ac:dyDescent="0.25">
      <c r="A30" s="82"/>
      <c r="B30" s="83"/>
      <c r="C30" s="110"/>
      <c r="D30" s="111"/>
      <c r="E30" s="111"/>
      <c r="F30" s="112"/>
      <c r="G30" s="112"/>
      <c r="H30" s="112"/>
      <c r="I30" s="112"/>
      <c r="J30" s="112"/>
      <c r="K30" s="112"/>
      <c r="L30" s="112"/>
      <c r="M30" s="98"/>
      <c r="N30" s="96"/>
      <c r="O30" s="97"/>
    </row>
    <row r="31" spans="1:28" ht="14.45" customHeight="1" x14ac:dyDescent="0.25">
      <c r="A31" s="82"/>
      <c r="B31" s="83"/>
      <c r="C31" s="110"/>
      <c r="D31" s="111" t="s">
        <v>130</v>
      </c>
      <c r="E31" s="111"/>
      <c r="F31" s="112" t="str">
        <f>IF(AND(OR(N31&gt;0,O31&gt;0),N31+O31&lt;=15),"Single restroom okay for 15 or less (IPC 403.2(2))",IF(AND(OR(N31&gt;0,O31&gt;0),N31+O31&gt;Q5),W8,IF(AND(OR(N31&gt;0,O31&gt;0),N31+O31&lt;Q5),W8,IF(Q5&lt;=15,"Single restroom okay for 15 or less (IPC 403.2(2))",W8))))</f>
        <v>Single restroom okay for 15 or less (IPC 403.2(2))</v>
      </c>
      <c r="G31" s="112" t="str">
        <f>IF(F31="Single restroom okay for 15 or less (IPC 403.2(2))","-",X8)</f>
        <v>-</v>
      </c>
      <c r="H31" s="112" t="s">
        <v>181</v>
      </c>
      <c r="I31" s="112">
        <f>Y8</f>
        <v>0</v>
      </c>
      <c r="J31" s="112" t="str">
        <f>IF(F31="Single restroom okay for 15 or less (IPC 403.2(2))","-",Z8)</f>
        <v>-</v>
      </c>
      <c r="K31" s="112" t="s">
        <v>82</v>
      </c>
      <c r="L31" s="112" t="str">
        <f>IF(F31="Single restroom okay for 15 or less (IPC 403.2(2))","15 or less Fountain exempt(IPC 410.2)",AA8)</f>
        <v>15 or less Fountain exempt(IPC 410.2)</v>
      </c>
      <c r="M31" s="114" t="s">
        <v>83</v>
      </c>
      <c r="N31" s="96">
        <v>0</v>
      </c>
      <c r="O31" s="97">
        <f>N31</f>
        <v>0</v>
      </c>
    </row>
    <row r="32" spans="1:28" x14ac:dyDescent="0.25">
      <c r="A32" s="82"/>
      <c r="B32" s="83"/>
      <c r="C32" s="110"/>
      <c r="D32" s="111"/>
      <c r="E32" s="111"/>
      <c r="F32" s="112"/>
      <c r="G32" s="112"/>
      <c r="H32" s="112"/>
      <c r="I32" s="112"/>
      <c r="J32" s="112"/>
      <c r="K32" s="112"/>
      <c r="L32" s="112"/>
      <c r="M32" s="114"/>
      <c r="N32" s="96"/>
      <c r="O32" s="97"/>
    </row>
    <row r="33" spans="1:16" x14ac:dyDescent="0.25">
      <c r="A33" s="82"/>
      <c r="B33" s="83"/>
      <c r="C33" s="110"/>
      <c r="D33" s="111"/>
      <c r="E33" s="111"/>
      <c r="F33" s="112"/>
      <c r="G33" s="112"/>
      <c r="H33" s="112"/>
      <c r="I33" s="112"/>
      <c r="J33" s="112"/>
      <c r="K33" s="112"/>
      <c r="L33" s="112"/>
      <c r="M33" s="114"/>
      <c r="N33" s="96"/>
      <c r="O33" s="97"/>
    </row>
    <row r="34" spans="1:16" ht="14.45" customHeight="1" x14ac:dyDescent="0.25">
      <c r="A34" s="82"/>
      <c r="B34" s="83"/>
      <c r="C34" s="110"/>
      <c r="D34" s="111"/>
      <c r="E34" s="111"/>
      <c r="F34" s="112"/>
      <c r="G34" s="112"/>
      <c r="H34" s="112"/>
      <c r="I34" s="112"/>
      <c r="J34" s="112"/>
      <c r="K34" s="112"/>
      <c r="L34" s="112"/>
      <c r="M34" s="114"/>
      <c r="N34" s="96"/>
      <c r="O34" s="97"/>
    </row>
    <row r="35" spans="1:16" x14ac:dyDescent="0.25">
      <c r="A35" s="82"/>
      <c r="B35" s="83"/>
      <c r="C35" s="110"/>
      <c r="D35" s="111"/>
      <c r="E35" s="111"/>
      <c r="F35" s="112"/>
      <c r="G35" s="112"/>
      <c r="H35" s="112"/>
      <c r="I35" s="112"/>
      <c r="J35" s="112"/>
      <c r="K35" s="112"/>
      <c r="L35" s="112"/>
      <c r="M35" s="114"/>
      <c r="N35" s="96"/>
      <c r="O35" s="97"/>
    </row>
    <row r="36" spans="1:16" x14ac:dyDescent="0.25">
      <c r="A36" s="82"/>
      <c r="B36" s="83"/>
      <c r="C36" s="110"/>
      <c r="D36" s="111"/>
      <c r="E36" s="111"/>
      <c r="F36" s="112"/>
      <c r="G36" s="112"/>
      <c r="H36" s="112"/>
      <c r="I36" s="112"/>
      <c r="J36" s="112"/>
      <c r="K36" s="112"/>
      <c r="L36" s="112"/>
      <c r="M36" s="114"/>
      <c r="N36" s="96"/>
      <c r="O36" s="97"/>
    </row>
    <row r="37" spans="1:16" ht="14.45" customHeight="1" x14ac:dyDescent="0.25">
      <c r="A37" s="82"/>
      <c r="B37" s="83"/>
      <c r="C37" s="110"/>
      <c r="D37" s="111" t="s">
        <v>131</v>
      </c>
      <c r="E37" s="111"/>
      <c r="F37" s="112" t="str">
        <f>IF(AND(OR(N37&gt;0,O37&gt;0),N37+O37&lt;=15),"Single restroom okay for 15 or less (IPC 403.2(2))",IF(AND(OR(N37&gt;0,O37&gt;0),N37+O37&gt;Q5),W9,IF(AND(OR(N37&gt;0,O37&gt;0),N37+O37&lt;Q5),W9,IF(Q5&lt;=15,"Single restroom okay for 15 or less (IPC 403.2(2))",W9))))</f>
        <v>Single restroom okay for 15 or less (IPC 403.2(2))</v>
      </c>
      <c r="G37" s="112" t="str">
        <f>IF(F37="Single restroom okay for 15 or less (IPC 403.2(2))","-",X9)</f>
        <v>-</v>
      </c>
      <c r="H37" s="112" t="s">
        <v>181</v>
      </c>
      <c r="I37" s="112">
        <f>Y9</f>
        <v>0</v>
      </c>
      <c r="J37" s="112" t="str">
        <f>IF(F37="Single restroom okay for 15 or less (IPC 403.2(2))","-",Z9)</f>
        <v>-</v>
      </c>
      <c r="K37" s="112" t="s">
        <v>82</v>
      </c>
      <c r="L37" s="112" t="str">
        <f>IF(F37="Single restroom okay for 15 or less (IPC 403.2(2))","15 or less Fountain exempt(IPC 410.2)",AA9)</f>
        <v>15 or less Fountain exempt(IPC 410.2)</v>
      </c>
      <c r="M37" s="121" t="s">
        <v>83</v>
      </c>
      <c r="N37" s="96">
        <v>0</v>
      </c>
      <c r="O37" s="97">
        <f>N37</f>
        <v>0</v>
      </c>
    </row>
    <row r="38" spans="1:16" x14ac:dyDescent="0.25">
      <c r="A38" s="82"/>
      <c r="B38" s="83"/>
      <c r="C38" s="110"/>
      <c r="D38" s="111"/>
      <c r="E38" s="111"/>
      <c r="F38" s="112"/>
      <c r="G38" s="112"/>
      <c r="H38" s="112"/>
      <c r="I38" s="112"/>
      <c r="J38" s="112"/>
      <c r="K38" s="112"/>
      <c r="L38" s="112"/>
      <c r="M38" s="114"/>
      <c r="N38" s="96"/>
      <c r="O38" s="97"/>
    </row>
    <row r="39" spans="1:16" x14ac:dyDescent="0.25">
      <c r="A39" s="82"/>
      <c r="B39" s="83"/>
      <c r="C39" s="110"/>
      <c r="D39" s="111"/>
      <c r="E39" s="111"/>
      <c r="F39" s="112"/>
      <c r="G39" s="112"/>
      <c r="H39" s="112"/>
      <c r="I39" s="112"/>
      <c r="J39" s="112"/>
      <c r="K39" s="112"/>
      <c r="L39" s="112"/>
      <c r="M39" s="114"/>
      <c r="N39" s="96"/>
      <c r="O39" s="97"/>
    </row>
    <row r="40" spans="1:16" x14ac:dyDescent="0.25">
      <c r="A40" s="82"/>
      <c r="B40" s="83"/>
      <c r="C40" s="110"/>
      <c r="D40" s="111"/>
      <c r="E40" s="111"/>
      <c r="F40" s="112"/>
      <c r="G40" s="112"/>
      <c r="H40" s="112"/>
      <c r="I40" s="112"/>
      <c r="J40" s="112"/>
      <c r="K40" s="112"/>
      <c r="L40" s="112"/>
      <c r="M40" s="114"/>
      <c r="N40" s="96"/>
      <c r="O40" s="97"/>
    </row>
    <row r="41" spans="1:16" x14ac:dyDescent="0.25">
      <c r="A41" s="82"/>
      <c r="B41" s="83"/>
      <c r="C41" s="110"/>
      <c r="D41" s="111"/>
      <c r="E41" s="111"/>
      <c r="F41" s="112"/>
      <c r="G41" s="112"/>
      <c r="H41" s="112"/>
      <c r="I41" s="112"/>
      <c r="J41" s="112"/>
      <c r="K41" s="112"/>
      <c r="L41" s="112"/>
      <c r="M41" s="114"/>
      <c r="N41" s="96"/>
      <c r="O41" s="97"/>
    </row>
    <row r="42" spans="1:16" x14ac:dyDescent="0.25">
      <c r="A42" s="82"/>
      <c r="B42" s="83"/>
      <c r="C42" s="110"/>
      <c r="D42" s="111"/>
      <c r="E42" s="111"/>
      <c r="F42" s="112"/>
      <c r="G42" s="112"/>
      <c r="H42" s="112"/>
      <c r="I42" s="112"/>
      <c r="J42" s="112"/>
      <c r="K42" s="112"/>
      <c r="L42" s="112"/>
      <c r="M42" s="98"/>
      <c r="N42" s="96"/>
      <c r="O42" s="97"/>
    </row>
    <row r="43" spans="1:16" ht="15" customHeight="1" x14ac:dyDescent="0.25">
      <c r="A43" s="82"/>
      <c r="B43" s="83"/>
      <c r="C43" s="110"/>
      <c r="D43" s="111" t="s">
        <v>132</v>
      </c>
      <c r="E43" s="111"/>
      <c r="F43" s="112" t="str">
        <f>IF(AND(OR(N43&gt;0,O43&gt;0),N43+O43&lt;=15),"Single restroom okay for 15 or less (IPC 403.2(2))",IF(AND(OR(N43&gt;0,O43&gt;0),N43+O43&gt;Q5),W10,IF(AND(OR(N43&gt;0,O43&gt;0),N43+O43&lt;Q5),W10,IF(Q5&lt;=15,"Single restroom okay for 15 or less (IPC 403.2(2))",W10))))</f>
        <v>Single restroom okay for 15 or less (IPC 403.2(2))</v>
      </c>
      <c r="G43" s="112" t="str">
        <f>IF(F43="Single restroom okay for 15 or less (IPC 403.2(2))","-",X10)</f>
        <v>-</v>
      </c>
      <c r="H43" s="112" t="s">
        <v>181</v>
      </c>
      <c r="I43" s="112">
        <f>Y10</f>
        <v>0</v>
      </c>
      <c r="J43" s="112">
        <f>Z10</f>
        <v>0</v>
      </c>
      <c r="K43" s="112" t="s">
        <v>82</v>
      </c>
      <c r="L43" s="112" t="str">
        <f>IF(F43="Single restroom okay for 15 or less (IPC 403.2(2))","15 or less Fountain exempt(IPC 410.2)",AA10)</f>
        <v>15 or less Fountain exempt(IPC 410.2)</v>
      </c>
      <c r="M43" s="114" t="s">
        <v>83</v>
      </c>
      <c r="N43" s="96">
        <v>0</v>
      </c>
      <c r="O43" s="97">
        <f>N43</f>
        <v>0</v>
      </c>
      <c r="P43" s="7"/>
    </row>
    <row r="44" spans="1:16" x14ac:dyDescent="0.25">
      <c r="A44" s="82"/>
      <c r="B44" s="83"/>
      <c r="C44" s="110"/>
      <c r="D44" s="111"/>
      <c r="E44" s="111"/>
      <c r="F44" s="112"/>
      <c r="G44" s="112"/>
      <c r="H44" s="112"/>
      <c r="I44" s="112"/>
      <c r="J44" s="112"/>
      <c r="K44" s="112"/>
      <c r="L44" s="112"/>
      <c r="M44" s="114"/>
      <c r="N44" s="96"/>
      <c r="O44" s="97"/>
      <c r="P44" s="7"/>
    </row>
    <row r="45" spans="1:16" ht="14.45" customHeight="1" x14ac:dyDescent="0.25">
      <c r="A45" s="82"/>
      <c r="B45" s="83"/>
      <c r="C45" s="110"/>
      <c r="D45" s="111"/>
      <c r="E45" s="111"/>
      <c r="F45" s="112"/>
      <c r="G45" s="112"/>
      <c r="H45" s="112"/>
      <c r="I45" s="112"/>
      <c r="J45" s="112"/>
      <c r="K45" s="112"/>
      <c r="L45" s="112"/>
      <c r="M45" s="114"/>
      <c r="N45" s="96"/>
      <c r="O45" s="97"/>
      <c r="P45" s="7"/>
    </row>
    <row r="46" spans="1:16" x14ac:dyDescent="0.25">
      <c r="A46" s="82"/>
      <c r="B46" s="83"/>
      <c r="C46" s="110"/>
      <c r="D46" s="111"/>
      <c r="E46" s="111"/>
      <c r="F46" s="112"/>
      <c r="G46" s="112"/>
      <c r="H46" s="112"/>
      <c r="I46" s="112"/>
      <c r="J46" s="112"/>
      <c r="K46" s="112"/>
      <c r="L46" s="112"/>
      <c r="M46" s="114"/>
      <c r="N46" s="96"/>
      <c r="O46" s="97"/>
      <c r="P46" s="7"/>
    </row>
    <row r="47" spans="1:16" x14ac:dyDescent="0.25">
      <c r="A47" s="82"/>
      <c r="B47" s="83"/>
      <c r="C47" s="110"/>
      <c r="D47" s="111"/>
      <c r="E47" s="111"/>
      <c r="F47" s="112"/>
      <c r="G47" s="112"/>
      <c r="H47" s="112"/>
      <c r="I47" s="112"/>
      <c r="J47" s="112"/>
      <c r="K47" s="112"/>
      <c r="L47" s="112"/>
      <c r="M47" s="114"/>
      <c r="N47" s="96"/>
      <c r="O47" s="97"/>
      <c r="P47" s="7"/>
    </row>
    <row r="48" spans="1:16" x14ac:dyDescent="0.25">
      <c r="A48" s="82"/>
      <c r="B48" s="83"/>
      <c r="C48" s="110"/>
      <c r="D48" s="111"/>
      <c r="E48" s="111"/>
      <c r="F48" s="112"/>
      <c r="G48" s="112"/>
      <c r="H48" s="112"/>
      <c r="I48" s="112"/>
      <c r="J48" s="112"/>
      <c r="K48" s="112"/>
      <c r="L48" s="112"/>
      <c r="M48" s="114"/>
      <c r="N48" s="96"/>
      <c r="O48" s="97"/>
      <c r="P48" s="7"/>
    </row>
    <row r="49" spans="1:17" ht="14.45" customHeight="1" x14ac:dyDescent="0.25">
      <c r="A49" s="82"/>
      <c r="B49" s="83"/>
      <c r="C49" s="110" t="s">
        <v>133</v>
      </c>
      <c r="D49" s="111" t="s">
        <v>134</v>
      </c>
      <c r="E49" s="111"/>
      <c r="F49" s="112" t="str">
        <f>IF(AND(OR(N49&gt;0,O49&gt;0),N49+O49&lt;=15),"Single restroom okay for 15 or less (IPC 403.2(2))",IF(AND(OR(N49&gt;0,O49&gt;0),N49+O49&gt;Q5),W11,IF(AND(OR(N49&gt;0,O49&gt;0),N49+O49&lt;Q5),W11,IF(Q5&lt;=15,"Single restroom okay for 15 or less (IPC 403.2(2))",W11))))</f>
        <v>Single restroom okay for 15 or less (IPC 403.2(2))</v>
      </c>
      <c r="G49" s="112" t="str">
        <f>IF(F49="Single restroom okay for 15 or less (IPC 403.2(2))","-",X11)</f>
        <v>-</v>
      </c>
      <c r="H49" s="112" t="s">
        <v>181</v>
      </c>
      <c r="I49" s="112">
        <f>Y11</f>
        <v>0</v>
      </c>
      <c r="J49" s="112" t="str">
        <f>IF(F49="Single restroom okay for 15 or less (IPC 403.2(2))","-",Z11)</f>
        <v>-</v>
      </c>
      <c r="K49" s="112" t="s">
        <v>82</v>
      </c>
      <c r="L49" s="112" t="str">
        <f>IF(F49="Single restroom okay for 15 or less (IPC 403.2(2))","15 or less Fountain exempt(IPC 410.2)",AA11)</f>
        <v>15 or less Fountain exempt(IPC 410.2)</v>
      </c>
      <c r="M49" s="121" t="s">
        <v>83</v>
      </c>
      <c r="N49" s="96">
        <v>0</v>
      </c>
      <c r="O49" s="97">
        <f>N49</f>
        <v>0</v>
      </c>
      <c r="P49" s="7"/>
    </row>
    <row r="50" spans="1:17" x14ac:dyDescent="0.25">
      <c r="A50" s="82"/>
      <c r="B50" s="83"/>
      <c r="C50" s="110"/>
      <c r="D50" s="111"/>
      <c r="E50" s="111"/>
      <c r="F50" s="112"/>
      <c r="G50" s="112"/>
      <c r="H50" s="112"/>
      <c r="I50" s="112"/>
      <c r="J50" s="112"/>
      <c r="K50" s="112"/>
      <c r="L50" s="112"/>
      <c r="M50" s="114"/>
      <c r="N50" s="96"/>
      <c r="O50" s="97"/>
      <c r="P50" s="7"/>
    </row>
    <row r="51" spans="1:17" x14ac:dyDescent="0.25">
      <c r="A51" s="82"/>
      <c r="B51" s="83"/>
      <c r="C51" s="110"/>
      <c r="D51" s="111"/>
      <c r="E51" s="111"/>
      <c r="F51" s="112"/>
      <c r="G51" s="112"/>
      <c r="H51" s="112"/>
      <c r="I51" s="112"/>
      <c r="J51" s="112"/>
      <c r="K51" s="112"/>
      <c r="L51" s="112"/>
      <c r="M51" s="114"/>
      <c r="N51" s="96"/>
      <c r="O51" s="97"/>
      <c r="P51" s="7"/>
    </row>
    <row r="52" spans="1:17" x14ac:dyDescent="0.25">
      <c r="A52" s="82"/>
      <c r="B52" s="83"/>
      <c r="C52" s="110"/>
      <c r="D52" s="111"/>
      <c r="E52" s="111"/>
      <c r="F52" s="112"/>
      <c r="G52" s="112"/>
      <c r="H52" s="112"/>
      <c r="I52" s="112"/>
      <c r="J52" s="112"/>
      <c r="K52" s="112"/>
      <c r="L52" s="112"/>
      <c r="M52" s="114"/>
      <c r="N52" s="96"/>
      <c r="O52" s="97"/>
      <c r="P52" s="7"/>
    </row>
    <row r="53" spans="1:17" x14ac:dyDescent="0.25">
      <c r="A53" s="82"/>
      <c r="B53" s="83"/>
      <c r="C53" s="110"/>
      <c r="D53" s="111"/>
      <c r="E53" s="111"/>
      <c r="F53" s="112"/>
      <c r="G53" s="112"/>
      <c r="H53" s="112"/>
      <c r="I53" s="112"/>
      <c r="J53" s="112"/>
      <c r="K53" s="112"/>
      <c r="L53" s="112"/>
      <c r="M53" s="114"/>
      <c r="N53" s="96"/>
      <c r="O53" s="97"/>
      <c r="P53" s="7"/>
      <c r="Q53" s="39"/>
    </row>
    <row r="54" spans="1:17" x14ac:dyDescent="0.25">
      <c r="A54" s="82"/>
      <c r="B54" s="83"/>
      <c r="C54" s="110"/>
      <c r="D54" s="111"/>
      <c r="E54" s="111"/>
      <c r="F54" s="112"/>
      <c r="G54" s="112"/>
      <c r="H54" s="112"/>
      <c r="I54" s="112"/>
      <c r="J54" s="112"/>
      <c r="K54" s="112"/>
      <c r="L54" s="112"/>
      <c r="M54" s="114"/>
      <c r="N54" s="96"/>
      <c r="O54" s="97"/>
    </row>
    <row r="55" spans="1:17" ht="14.45" customHeight="1" x14ac:dyDescent="0.25">
      <c r="A55" s="82"/>
      <c r="B55" s="83"/>
      <c r="C55" s="128" t="s">
        <v>135</v>
      </c>
      <c r="D55" s="111" t="s">
        <v>136</v>
      </c>
      <c r="E55" s="111"/>
      <c r="F55" s="112" t="str">
        <f>IF(AND(OR(N55&gt;0,O55&gt;0),N55+O55&lt;=15),"Single restroom okay for 15 or less (IPC 403.2(2))",IF(AND(OR(N55&gt;0,O55&gt;0),N55+O55&gt;Q5),W12,IF(AND(OR(N55&gt;0,O55&gt;0),N55+O55&lt;Q5),W12,IF(Q5&lt;=15,"Single restroom okay for 15 or less (IPC 403.2(2))",W12))))</f>
        <v>Single restroom okay for 15 or less (IPC 403.2(2))</v>
      </c>
      <c r="G55" s="112" t="str">
        <f>IF(F55="Single restroom okay for 15 or less (IPC 403.2(2))","-",X12)</f>
        <v>-</v>
      </c>
      <c r="H55" s="112" t="s">
        <v>181</v>
      </c>
      <c r="I55" s="112">
        <f>Y12</f>
        <v>0</v>
      </c>
      <c r="J55" s="112" t="str">
        <f>IF(F55="Single restroom okay for 15 or less (IPC 403.2(2))","-",Z12)</f>
        <v>-</v>
      </c>
      <c r="K55" s="112" t="s">
        <v>82</v>
      </c>
      <c r="L55" s="112" t="str">
        <f>IF(F55="Single restroom okay for 15 or less (IPC 403.2(2))","15 or less Fountain exempt(IPC 410.2)",AA12)</f>
        <v>15 or less Fountain exempt(IPC 410.2)</v>
      </c>
      <c r="M55" s="114" t="s">
        <v>83</v>
      </c>
      <c r="N55" s="96">
        <v>0</v>
      </c>
      <c r="O55" s="97">
        <f>N55</f>
        <v>0</v>
      </c>
    </row>
    <row r="56" spans="1:17" x14ac:dyDescent="0.25">
      <c r="A56" s="82"/>
      <c r="B56" s="83"/>
      <c r="C56" s="128"/>
      <c r="D56" s="111"/>
      <c r="E56" s="111"/>
      <c r="F56" s="112"/>
      <c r="G56" s="112"/>
      <c r="H56" s="112"/>
      <c r="I56" s="112"/>
      <c r="J56" s="112"/>
      <c r="K56" s="112"/>
      <c r="L56" s="112"/>
      <c r="M56" s="114"/>
      <c r="N56" s="96"/>
      <c r="O56" s="97"/>
    </row>
    <row r="57" spans="1:17" x14ac:dyDescent="0.25">
      <c r="A57" s="82"/>
      <c r="B57" s="83"/>
      <c r="C57" s="128"/>
      <c r="D57" s="111"/>
      <c r="E57" s="111"/>
      <c r="F57" s="112"/>
      <c r="G57" s="112"/>
      <c r="H57" s="112"/>
      <c r="I57" s="112"/>
      <c r="J57" s="112"/>
      <c r="K57" s="112"/>
      <c r="L57" s="112"/>
      <c r="M57" s="114"/>
      <c r="N57" s="96"/>
      <c r="O57" s="97"/>
    </row>
    <row r="58" spans="1:17" x14ac:dyDescent="0.25">
      <c r="A58" s="82"/>
      <c r="B58" s="83"/>
      <c r="C58" s="128"/>
      <c r="D58" s="111"/>
      <c r="E58" s="111"/>
      <c r="F58" s="112"/>
      <c r="G58" s="112"/>
      <c r="H58" s="112"/>
      <c r="I58" s="112"/>
      <c r="J58" s="112"/>
      <c r="K58" s="112"/>
      <c r="L58" s="112"/>
      <c r="M58" s="114"/>
      <c r="N58" s="96"/>
      <c r="O58" s="97"/>
    </row>
    <row r="59" spans="1:17" x14ac:dyDescent="0.25">
      <c r="A59" s="82"/>
      <c r="B59" s="83"/>
      <c r="C59" s="128"/>
      <c r="D59" s="111"/>
      <c r="E59" s="111"/>
      <c r="F59" s="112"/>
      <c r="G59" s="112"/>
      <c r="H59" s="112"/>
      <c r="I59" s="112"/>
      <c r="J59" s="112"/>
      <c r="K59" s="112"/>
      <c r="L59" s="112"/>
      <c r="M59" s="114"/>
      <c r="N59" s="96"/>
      <c r="O59" s="97"/>
    </row>
    <row r="60" spans="1:17" x14ac:dyDescent="0.25">
      <c r="A60" s="82"/>
      <c r="B60" s="83"/>
      <c r="C60" s="128"/>
      <c r="D60" s="111"/>
      <c r="E60" s="111"/>
      <c r="F60" s="112"/>
      <c r="G60" s="112"/>
      <c r="H60" s="112"/>
      <c r="I60" s="112"/>
      <c r="J60" s="112"/>
      <c r="K60" s="112"/>
      <c r="L60" s="112"/>
      <c r="M60" s="114"/>
      <c r="N60" s="96"/>
      <c r="O60" s="97"/>
    </row>
    <row r="61" spans="1:17" ht="14.45" customHeight="1" thickBot="1" x14ac:dyDescent="0.3">
      <c r="A61" s="84"/>
      <c r="B61" s="85"/>
      <c r="C61" s="128"/>
      <c r="D61" s="111"/>
      <c r="E61" s="111"/>
      <c r="F61" s="112"/>
      <c r="G61" s="112"/>
      <c r="H61" s="112"/>
      <c r="I61" s="112"/>
      <c r="J61" s="112"/>
      <c r="K61" s="112"/>
      <c r="L61" s="112"/>
      <c r="M61" s="114"/>
      <c r="N61" s="96"/>
      <c r="O61" s="97"/>
    </row>
    <row r="62" spans="1:17" ht="14.45" customHeight="1" x14ac:dyDescent="0.25">
      <c r="A62" s="122" t="s">
        <v>137</v>
      </c>
      <c r="B62" s="123"/>
      <c r="C62" s="130" t="s">
        <v>138</v>
      </c>
      <c r="D62" s="131" t="s">
        <v>139</v>
      </c>
      <c r="E62" s="131"/>
      <c r="F62" s="173" t="str">
        <f>IF(AND(N62&gt;0,N62&lt;=25),"Single restroom okay for 25 or less (IPC 403.2(2))",IF(AND(N62&gt;0,N62&gt;Q5),W13,IF(AND(N62&gt;0,N62&lt;Q5),W13,IF(Q5&lt;=25,"Single restroom okay for 25 or less (IPC 403.2(2))",W13))))</f>
        <v>Single restroom okay for 25 or less (IPC 403.2(2))</v>
      </c>
      <c r="G62" s="174"/>
      <c r="H62" s="129" t="s">
        <v>182</v>
      </c>
      <c r="I62" s="173">
        <f>Y13</f>
        <v>0</v>
      </c>
      <c r="J62" s="174"/>
      <c r="K62" s="129" t="s">
        <v>82</v>
      </c>
      <c r="L62" s="129" t="str">
        <f>IF(AND(N62&gt;0,N62&lt;=15),"15 or less Fountain exempt(IPC 410.2)",IF(N62&gt;15,AA13,IF(Q5&lt;=15,"15 or less Fountain exempt(IPC 410.2)",AA13)))</f>
        <v>15 or less Fountain exempt(IPC 410.2)</v>
      </c>
      <c r="M62" s="114" t="str">
        <f>IF(AND(N62&gt;0,N62&lt;=15),"15 or less Service sink exempt (IPC 403.1(e))",IF(N62&gt;15,"1 service sink",IF(Q5&lt;=15,"15 or less Service sink exempt (IPC 403.1(e))","1 service sink")))</f>
        <v>15 or less Service sink exempt (IPC 403.1(e))</v>
      </c>
      <c r="N62" s="167">
        <v>0</v>
      </c>
      <c r="O62" s="168"/>
    </row>
    <row r="63" spans="1:17" ht="14.45" customHeight="1" x14ac:dyDescent="0.25">
      <c r="A63" s="124"/>
      <c r="B63" s="125"/>
      <c r="C63" s="128"/>
      <c r="D63" s="111"/>
      <c r="E63" s="111"/>
      <c r="F63" s="175"/>
      <c r="G63" s="176"/>
      <c r="H63" s="112"/>
      <c r="I63" s="175"/>
      <c r="J63" s="176"/>
      <c r="K63" s="112"/>
      <c r="L63" s="112"/>
      <c r="M63" s="114"/>
      <c r="N63" s="169"/>
      <c r="O63" s="170"/>
    </row>
    <row r="64" spans="1:17" x14ac:dyDescent="0.25">
      <c r="A64" s="124"/>
      <c r="B64" s="125"/>
      <c r="C64" s="128"/>
      <c r="D64" s="111"/>
      <c r="E64" s="111"/>
      <c r="F64" s="175"/>
      <c r="G64" s="176"/>
      <c r="H64" s="112"/>
      <c r="I64" s="175"/>
      <c r="J64" s="176"/>
      <c r="K64" s="112"/>
      <c r="L64" s="112"/>
      <c r="M64" s="114"/>
      <c r="N64" s="169"/>
      <c r="O64" s="170"/>
    </row>
    <row r="65" spans="1:23" x14ac:dyDescent="0.25">
      <c r="A65" s="124"/>
      <c r="B65" s="125"/>
      <c r="C65" s="128"/>
      <c r="D65" s="111"/>
      <c r="E65" s="111"/>
      <c r="F65" s="175"/>
      <c r="G65" s="176"/>
      <c r="H65" s="112"/>
      <c r="I65" s="175"/>
      <c r="J65" s="176"/>
      <c r="K65" s="112"/>
      <c r="L65" s="112"/>
      <c r="M65" s="114"/>
      <c r="N65" s="169"/>
      <c r="O65" s="170"/>
    </row>
    <row r="66" spans="1:23" x14ac:dyDescent="0.25">
      <c r="A66" s="124"/>
      <c r="B66" s="125"/>
      <c r="C66" s="128"/>
      <c r="D66" s="111"/>
      <c r="E66" s="111"/>
      <c r="F66" s="175"/>
      <c r="G66" s="176"/>
      <c r="H66" s="112"/>
      <c r="I66" s="175"/>
      <c r="J66" s="176"/>
      <c r="K66" s="112"/>
      <c r="L66" s="112"/>
      <c r="M66" s="114"/>
      <c r="N66" s="169"/>
      <c r="O66" s="170"/>
      <c r="U66" s="1"/>
      <c r="V66" s="1"/>
      <c r="W66" s="1"/>
    </row>
    <row r="67" spans="1:23" x14ac:dyDescent="0.25">
      <c r="A67" s="124"/>
      <c r="B67" s="125"/>
      <c r="C67" s="128"/>
      <c r="D67" s="111"/>
      <c r="E67" s="111"/>
      <c r="F67" s="175"/>
      <c r="G67" s="176"/>
      <c r="H67" s="112"/>
      <c r="I67" s="175"/>
      <c r="J67" s="176"/>
      <c r="K67" s="112"/>
      <c r="L67" s="112"/>
      <c r="M67" s="114"/>
      <c r="N67" s="169"/>
      <c r="O67" s="170"/>
      <c r="U67" s="1"/>
      <c r="V67" s="1"/>
      <c r="W67" s="1"/>
    </row>
    <row r="68" spans="1:23" x14ac:dyDescent="0.25">
      <c r="A68" s="124"/>
      <c r="B68" s="125"/>
      <c r="C68" s="128"/>
      <c r="D68" s="111"/>
      <c r="E68" s="111"/>
      <c r="F68" s="175"/>
      <c r="G68" s="176"/>
      <c r="H68" s="112"/>
      <c r="I68" s="175"/>
      <c r="J68" s="176"/>
      <c r="K68" s="112"/>
      <c r="L68" s="112"/>
      <c r="M68" s="114"/>
      <c r="N68" s="169"/>
      <c r="O68" s="170"/>
    </row>
    <row r="69" spans="1:23" x14ac:dyDescent="0.25">
      <c r="A69" s="124"/>
      <c r="B69" s="125"/>
      <c r="C69" s="128"/>
      <c r="D69" s="111"/>
      <c r="E69" s="111"/>
      <c r="F69" s="175"/>
      <c r="G69" s="176"/>
      <c r="H69" s="112"/>
      <c r="I69" s="175"/>
      <c r="J69" s="176"/>
      <c r="K69" s="112"/>
      <c r="L69" s="112"/>
      <c r="M69" s="114"/>
      <c r="N69" s="169"/>
      <c r="O69" s="170"/>
    </row>
    <row r="70" spans="1:23" x14ac:dyDescent="0.25">
      <c r="A70" s="124"/>
      <c r="B70" s="125"/>
      <c r="C70" s="128"/>
      <c r="D70" s="111"/>
      <c r="E70" s="111"/>
      <c r="F70" s="175"/>
      <c r="G70" s="176"/>
      <c r="H70" s="112"/>
      <c r="I70" s="175"/>
      <c r="J70" s="176"/>
      <c r="K70" s="112"/>
      <c r="L70" s="112"/>
      <c r="M70" s="114"/>
      <c r="N70" s="169"/>
      <c r="O70" s="170"/>
      <c r="T70" s="2"/>
    </row>
    <row r="71" spans="1:23" x14ac:dyDescent="0.25">
      <c r="A71" s="124"/>
      <c r="B71" s="125"/>
      <c r="C71" s="128"/>
      <c r="D71" s="111"/>
      <c r="E71" s="111"/>
      <c r="F71" s="175"/>
      <c r="G71" s="176"/>
      <c r="H71" s="112"/>
      <c r="I71" s="175"/>
      <c r="J71" s="176"/>
      <c r="K71" s="112"/>
      <c r="L71" s="112"/>
      <c r="M71" s="114"/>
      <c r="N71" s="169"/>
      <c r="O71" s="170"/>
      <c r="S71" s="5"/>
    </row>
    <row r="72" spans="1:23" ht="15.75" thickBot="1" x14ac:dyDescent="0.3">
      <c r="A72" s="126"/>
      <c r="B72" s="127"/>
      <c r="C72" s="86"/>
      <c r="D72" s="89"/>
      <c r="E72" s="89"/>
      <c r="F72" s="177"/>
      <c r="G72" s="178"/>
      <c r="H72" s="92"/>
      <c r="I72" s="177"/>
      <c r="J72" s="178"/>
      <c r="K72" s="92"/>
      <c r="L72" s="92"/>
      <c r="M72" s="114"/>
      <c r="N72" s="171"/>
      <c r="O72" s="172"/>
      <c r="S72" s="5"/>
    </row>
    <row r="73" spans="1:23" ht="14.45" customHeight="1" x14ac:dyDescent="0.25">
      <c r="A73" s="122" t="s">
        <v>141</v>
      </c>
      <c r="B73" s="123"/>
      <c r="C73" s="128" t="s">
        <v>142</v>
      </c>
      <c r="D73" s="111" t="s">
        <v>143</v>
      </c>
      <c r="E73" s="111"/>
      <c r="F73" s="173" t="str">
        <f>IF(AND(N73&gt;0,N73&lt;=15),"Single restroom okay for 15 or less (IPC 403.2(2))",IF(AND(N73&gt;0,N73&gt;Q5),W14,IF(AND(N73&gt;0,N73&lt;Q5),W14,IF(Q5&lt;=15,"Single restroom okay for 15 or less (IPC 403.2(2))",W14))))</f>
        <v>Single restroom okay for 15 or less (IPC 403.2(2))</v>
      </c>
      <c r="G73" s="174"/>
      <c r="H73" s="112" t="s">
        <v>181</v>
      </c>
      <c r="I73" s="173">
        <f>Y14</f>
        <v>0</v>
      </c>
      <c r="J73" s="174"/>
      <c r="K73" s="112" t="s">
        <v>82</v>
      </c>
      <c r="L73" s="112" t="str">
        <f>IF(F73="Single restroom okay for 15 or less (IPC 403.2(2))","15 or less Fountain exempt(IPC 410.2)",AA14)</f>
        <v>15 or less Fountain exempt(IPC 410.2)</v>
      </c>
      <c r="M73" s="121" t="s">
        <v>83</v>
      </c>
      <c r="N73" s="167">
        <v>0</v>
      </c>
      <c r="O73" s="168"/>
      <c r="S73" s="5"/>
    </row>
    <row r="74" spans="1:23" x14ac:dyDescent="0.25">
      <c r="A74" s="124"/>
      <c r="B74" s="125"/>
      <c r="C74" s="128"/>
      <c r="D74" s="111"/>
      <c r="E74" s="111"/>
      <c r="F74" s="175"/>
      <c r="G74" s="176"/>
      <c r="H74" s="112"/>
      <c r="I74" s="175"/>
      <c r="J74" s="176"/>
      <c r="K74" s="112"/>
      <c r="L74" s="112"/>
      <c r="M74" s="114"/>
      <c r="N74" s="169"/>
      <c r="O74" s="170"/>
      <c r="S74" s="5"/>
    </row>
    <row r="75" spans="1:23" x14ac:dyDescent="0.25">
      <c r="A75" s="124"/>
      <c r="B75" s="125"/>
      <c r="C75" s="128"/>
      <c r="D75" s="111"/>
      <c r="E75" s="111"/>
      <c r="F75" s="175"/>
      <c r="G75" s="176"/>
      <c r="H75" s="112"/>
      <c r="I75" s="175"/>
      <c r="J75" s="176"/>
      <c r="K75" s="112"/>
      <c r="L75" s="112"/>
      <c r="M75" s="114"/>
      <c r="N75" s="169"/>
      <c r="O75" s="170"/>
      <c r="S75" s="5"/>
    </row>
    <row r="76" spans="1:23" x14ac:dyDescent="0.25">
      <c r="A76" s="124"/>
      <c r="B76" s="125"/>
      <c r="C76" s="128"/>
      <c r="D76" s="111"/>
      <c r="E76" s="111"/>
      <c r="F76" s="175"/>
      <c r="G76" s="176"/>
      <c r="H76" s="112"/>
      <c r="I76" s="175"/>
      <c r="J76" s="176"/>
      <c r="K76" s="112"/>
      <c r="L76" s="112"/>
      <c r="M76" s="114"/>
      <c r="N76" s="169"/>
      <c r="O76" s="170"/>
      <c r="S76" s="5"/>
    </row>
    <row r="77" spans="1:23" x14ac:dyDescent="0.25">
      <c r="A77" s="124"/>
      <c r="B77" s="125"/>
      <c r="C77" s="128"/>
      <c r="D77" s="111"/>
      <c r="E77" s="111"/>
      <c r="F77" s="175"/>
      <c r="G77" s="176"/>
      <c r="H77" s="112"/>
      <c r="I77" s="175"/>
      <c r="J77" s="176"/>
      <c r="K77" s="112"/>
      <c r="L77" s="112"/>
      <c r="M77" s="114"/>
      <c r="N77" s="169"/>
      <c r="O77" s="170"/>
      <c r="S77" s="5"/>
    </row>
    <row r="78" spans="1:23" ht="14.45" customHeight="1" thickBot="1" x14ac:dyDescent="0.3">
      <c r="A78" s="126"/>
      <c r="B78" s="127"/>
      <c r="C78" s="128"/>
      <c r="D78" s="111"/>
      <c r="E78" s="111"/>
      <c r="F78" s="177"/>
      <c r="G78" s="178"/>
      <c r="H78" s="112"/>
      <c r="I78" s="177"/>
      <c r="J78" s="178"/>
      <c r="K78" s="112"/>
      <c r="L78" s="112"/>
      <c r="M78" s="114"/>
      <c r="N78" s="171"/>
      <c r="O78" s="172"/>
      <c r="S78" s="5"/>
    </row>
    <row r="79" spans="1:23" ht="14.45" customHeight="1" x14ac:dyDescent="0.25">
      <c r="A79" s="122" t="s">
        <v>144</v>
      </c>
      <c r="B79" s="123"/>
      <c r="C79" s="110" t="s">
        <v>145</v>
      </c>
      <c r="D79" s="111" t="s">
        <v>146</v>
      </c>
      <c r="E79" s="111"/>
      <c r="F79" s="173" t="str">
        <f>IF(AND(N79&gt;0,N79&lt;=15),"Single restroom okay for 15 or less (IPC 403.2(2))",IF(AND(N79&gt;0,N79&gt;Q5),W15,IF(AND(N79&gt;0,N79&lt;Q5),W15,IF(Q5&lt;=15,"Single restroom okay for 15 or less (IPC 403.2(2))",W15))))</f>
        <v>Single restroom okay for 15 or less (IPC 403.2(2))</v>
      </c>
      <c r="G79" s="174"/>
      <c r="H79" s="112" t="s">
        <v>182</v>
      </c>
      <c r="I79" s="173">
        <f>Y15</f>
        <v>0</v>
      </c>
      <c r="J79" s="174"/>
      <c r="K79" s="112" t="str">
        <f>AB15</f>
        <v>See section 411 if eyewash stations are provided</v>
      </c>
      <c r="L79" s="112" t="str">
        <f>IF(F79="Single restroom okay for 15 or less (IPC 403.2(2))","15 or less Fountain exempt(IPC 410.2)",AA15)</f>
        <v>15 or less Fountain exempt(IPC 410.2)</v>
      </c>
      <c r="M79" s="114" t="s">
        <v>83</v>
      </c>
      <c r="N79" s="167">
        <v>0</v>
      </c>
      <c r="O79" s="168"/>
      <c r="S79" s="5"/>
    </row>
    <row r="80" spans="1:23" x14ac:dyDescent="0.25">
      <c r="A80" s="124"/>
      <c r="B80" s="125"/>
      <c r="C80" s="110"/>
      <c r="D80" s="111"/>
      <c r="E80" s="111"/>
      <c r="F80" s="175"/>
      <c r="G80" s="176"/>
      <c r="H80" s="112"/>
      <c r="I80" s="175"/>
      <c r="J80" s="176"/>
      <c r="K80" s="112"/>
      <c r="L80" s="112"/>
      <c r="M80" s="114"/>
      <c r="N80" s="169"/>
      <c r="O80" s="170"/>
      <c r="S80" s="5"/>
    </row>
    <row r="81" spans="1:19" x14ac:dyDescent="0.25">
      <c r="A81" s="124"/>
      <c r="B81" s="125"/>
      <c r="C81" s="110"/>
      <c r="D81" s="111"/>
      <c r="E81" s="111"/>
      <c r="F81" s="175"/>
      <c r="G81" s="176"/>
      <c r="H81" s="112"/>
      <c r="I81" s="175"/>
      <c r="J81" s="176"/>
      <c r="K81" s="112"/>
      <c r="L81" s="112"/>
      <c r="M81" s="114"/>
      <c r="N81" s="169"/>
      <c r="O81" s="170"/>
      <c r="Q81" s="13"/>
      <c r="R81" s="13"/>
      <c r="S81" s="5"/>
    </row>
    <row r="82" spans="1:19" x14ac:dyDescent="0.25">
      <c r="A82" s="124"/>
      <c r="B82" s="125"/>
      <c r="C82" s="110"/>
      <c r="D82" s="111"/>
      <c r="E82" s="111"/>
      <c r="F82" s="175"/>
      <c r="G82" s="176"/>
      <c r="H82" s="112"/>
      <c r="I82" s="175"/>
      <c r="J82" s="176"/>
      <c r="K82" s="112"/>
      <c r="L82" s="112"/>
      <c r="M82" s="114"/>
      <c r="N82" s="169"/>
      <c r="O82" s="170"/>
      <c r="S82" s="5"/>
    </row>
    <row r="83" spans="1:19" x14ac:dyDescent="0.25">
      <c r="A83" s="124"/>
      <c r="B83" s="125"/>
      <c r="C83" s="110"/>
      <c r="D83" s="111"/>
      <c r="E83" s="111"/>
      <c r="F83" s="175"/>
      <c r="G83" s="176"/>
      <c r="H83" s="112"/>
      <c r="I83" s="175"/>
      <c r="J83" s="176"/>
      <c r="K83" s="112"/>
      <c r="L83" s="112"/>
      <c r="M83" s="114"/>
      <c r="N83" s="169"/>
      <c r="O83" s="170"/>
      <c r="S83" s="5"/>
    </row>
    <row r="84" spans="1:19" x14ac:dyDescent="0.25">
      <c r="A84" s="124"/>
      <c r="B84" s="125"/>
      <c r="C84" s="110"/>
      <c r="D84" s="111"/>
      <c r="E84" s="111"/>
      <c r="F84" s="175"/>
      <c r="G84" s="176"/>
      <c r="H84" s="112"/>
      <c r="I84" s="175"/>
      <c r="J84" s="176"/>
      <c r="K84" s="112"/>
      <c r="L84" s="112"/>
      <c r="M84" s="114"/>
      <c r="N84" s="169"/>
      <c r="O84" s="170"/>
      <c r="S84" s="5"/>
    </row>
    <row r="85" spans="1:19" ht="14.45" customHeight="1" thickBot="1" x14ac:dyDescent="0.3">
      <c r="A85" s="126"/>
      <c r="B85" s="127"/>
      <c r="C85" s="110"/>
      <c r="D85" s="111"/>
      <c r="E85" s="111"/>
      <c r="F85" s="177"/>
      <c r="G85" s="178"/>
      <c r="H85" s="112"/>
      <c r="I85" s="177"/>
      <c r="J85" s="178"/>
      <c r="K85" s="112"/>
      <c r="L85" s="112"/>
      <c r="M85" s="114"/>
      <c r="N85" s="171"/>
      <c r="O85" s="172"/>
      <c r="S85" s="5"/>
    </row>
    <row r="86" spans="1:19" ht="14.45" customHeight="1" x14ac:dyDescent="0.25">
      <c r="A86" s="122" t="s">
        <v>147</v>
      </c>
      <c r="B86" s="123"/>
      <c r="C86" s="110" t="s">
        <v>148</v>
      </c>
      <c r="D86" s="111" t="s">
        <v>149</v>
      </c>
      <c r="E86" s="111"/>
      <c r="F86" s="173" t="str">
        <f>IF(AND(N86&gt;0,N86&lt;=15),"Single restroom okay for 15 or less (IPC 403.2(2))",IF(AND(N86&gt;15,Q5&lt;=15),W16,IF(Q5&lt;=15,"Single restroom okay for 15 or less (IPC 403.2(2))",W16)))</f>
        <v>Single restroom okay for 15 or less (IPC 403.2(2))</v>
      </c>
      <c r="G86" s="174"/>
      <c r="H86" s="112" t="s">
        <v>182</v>
      </c>
      <c r="I86" s="173">
        <f>Y16</f>
        <v>0</v>
      </c>
      <c r="J86" s="174"/>
      <c r="K86" s="112">
        <f>AB16</f>
        <v>0</v>
      </c>
      <c r="L86" s="112" t="str">
        <f>IF(F86="Single restroom okay for 15 or less (IPC 403.2(2))","15 or less Fountain exempt(IPC 410.2)",AA16)</f>
        <v>15 or less Fountain exempt(IPC 410.2)</v>
      </c>
      <c r="M86" s="121" t="s">
        <v>83</v>
      </c>
      <c r="N86" s="167">
        <v>0</v>
      </c>
      <c r="O86" s="168"/>
      <c r="S86" s="5"/>
    </row>
    <row r="87" spans="1:19" x14ac:dyDescent="0.25">
      <c r="A87" s="124"/>
      <c r="B87" s="125"/>
      <c r="C87" s="110"/>
      <c r="D87" s="111"/>
      <c r="E87" s="111"/>
      <c r="F87" s="175"/>
      <c r="G87" s="176"/>
      <c r="H87" s="112"/>
      <c r="I87" s="175"/>
      <c r="J87" s="176"/>
      <c r="K87" s="112"/>
      <c r="L87" s="112"/>
      <c r="M87" s="114"/>
      <c r="N87" s="169"/>
      <c r="O87" s="170"/>
      <c r="S87" s="5"/>
    </row>
    <row r="88" spans="1:19" x14ac:dyDescent="0.25">
      <c r="A88" s="124"/>
      <c r="B88" s="125"/>
      <c r="C88" s="110"/>
      <c r="D88" s="111"/>
      <c r="E88" s="111"/>
      <c r="F88" s="175"/>
      <c r="G88" s="176"/>
      <c r="H88" s="112"/>
      <c r="I88" s="175"/>
      <c r="J88" s="176"/>
      <c r="K88" s="112"/>
      <c r="L88" s="112"/>
      <c r="M88" s="114"/>
      <c r="N88" s="169"/>
      <c r="O88" s="170"/>
      <c r="S88" s="5"/>
    </row>
    <row r="89" spans="1:19" x14ac:dyDescent="0.25">
      <c r="A89" s="124"/>
      <c r="B89" s="125"/>
      <c r="C89" s="110"/>
      <c r="D89" s="111"/>
      <c r="E89" s="111"/>
      <c r="F89" s="175"/>
      <c r="G89" s="176"/>
      <c r="H89" s="112"/>
      <c r="I89" s="175"/>
      <c r="J89" s="176"/>
      <c r="K89" s="112"/>
      <c r="L89" s="112"/>
      <c r="M89" s="114"/>
      <c r="N89" s="169"/>
      <c r="O89" s="170"/>
      <c r="P89" s="7"/>
      <c r="S89" s="5"/>
    </row>
    <row r="90" spans="1:19" x14ac:dyDescent="0.25">
      <c r="A90" s="124"/>
      <c r="B90" s="125"/>
      <c r="C90" s="110"/>
      <c r="D90" s="111"/>
      <c r="E90" s="111"/>
      <c r="F90" s="175"/>
      <c r="G90" s="176"/>
      <c r="H90" s="112"/>
      <c r="I90" s="175"/>
      <c r="J90" s="176"/>
      <c r="K90" s="112"/>
      <c r="L90" s="112"/>
      <c r="M90" s="114"/>
      <c r="N90" s="169"/>
      <c r="O90" s="170"/>
      <c r="P90" s="7"/>
      <c r="S90" s="5"/>
    </row>
    <row r="91" spans="1:19" ht="14.45" customHeight="1" x14ac:dyDescent="0.25">
      <c r="A91" s="124"/>
      <c r="B91" s="125"/>
      <c r="C91" s="110"/>
      <c r="D91" s="111"/>
      <c r="E91" s="111"/>
      <c r="F91" s="177"/>
      <c r="G91" s="178"/>
      <c r="H91" s="112"/>
      <c r="I91" s="177"/>
      <c r="J91" s="178"/>
      <c r="K91" s="112"/>
      <c r="L91" s="112"/>
      <c r="M91" s="114"/>
      <c r="N91" s="171"/>
      <c r="O91" s="172"/>
      <c r="S91" s="5"/>
    </row>
    <row r="92" spans="1:19" ht="14.45" customHeight="1" x14ac:dyDescent="0.25">
      <c r="A92" s="124"/>
      <c r="B92" s="125"/>
      <c r="C92" s="110" t="s">
        <v>150</v>
      </c>
      <c r="D92" s="111" t="s">
        <v>151</v>
      </c>
      <c r="E92" s="111"/>
      <c r="F92" s="113" t="s">
        <v>152</v>
      </c>
      <c r="G92" s="113"/>
      <c r="H92" s="113" t="s">
        <v>82</v>
      </c>
      <c r="I92" s="113" t="s">
        <v>152</v>
      </c>
      <c r="J92" s="113"/>
      <c r="K92" s="112">
        <f>IF(N92&gt;0,ROUNDUP(N92/15,0),ROUNDUP(Q5/15,0))</f>
        <v>0</v>
      </c>
      <c r="L92" s="112">
        <f>IF(OR(N92&gt;0,O92&gt;0),ROUNDUP((N92+O92)/100,0),ROUNDUP(Q5/100,0))</f>
        <v>0</v>
      </c>
      <c r="M92" s="107" t="s">
        <v>83</v>
      </c>
      <c r="N92" s="167">
        <v>0</v>
      </c>
      <c r="O92" s="168"/>
      <c r="S92" s="5"/>
    </row>
    <row r="93" spans="1:19" x14ac:dyDescent="0.25">
      <c r="A93" s="124"/>
      <c r="B93" s="125"/>
      <c r="C93" s="110"/>
      <c r="D93" s="111"/>
      <c r="E93" s="111"/>
      <c r="F93" s="113"/>
      <c r="G93" s="113"/>
      <c r="H93" s="113"/>
      <c r="I93" s="113"/>
      <c r="J93" s="113"/>
      <c r="K93" s="112"/>
      <c r="L93" s="112"/>
      <c r="M93" s="108"/>
      <c r="N93" s="169"/>
      <c r="O93" s="170"/>
      <c r="S93" s="5"/>
    </row>
    <row r="94" spans="1:19" x14ac:dyDescent="0.25">
      <c r="A94" s="124"/>
      <c r="B94" s="125"/>
      <c r="C94" s="110"/>
      <c r="D94" s="111"/>
      <c r="E94" s="111"/>
      <c r="F94" s="113"/>
      <c r="G94" s="113"/>
      <c r="H94" s="113"/>
      <c r="I94" s="113"/>
      <c r="J94" s="113"/>
      <c r="K94" s="112"/>
      <c r="L94" s="112"/>
      <c r="M94" s="109"/>
      <c r="N94" s="171"/>
      <c r="O94" s="172"/>
      <c r="S94" s="5"/>
    </row>
    <row r="95" spans="1:19" ht="14.45" customHeight="1" x14ac:dyDescent="0.25">
      <c r="A95" s="124"/>
      <c r="B95" s="125"/>
      <c r="C95" s="110"/>
      <c r="D95" s="111" t="s">
        <v>153</v>
      </c>
      <c r="E95" s="111"/>
      <c r="F95" s="173" t="str">
        <f>IF(AND(N95&gt;N95&lt;=15),"Single restroom okay for 15 or less (IPC 403.2(2))",IF(AND(N95&gt;15,Q5&lt;=15),W17,IF(Q5&lt;=15,"Single restroom okay for 15 or less (IPC 403.2(2))",W17)))</f>
        <v>Single restroom okay for 15 or less (IPC 403.2(2))</v>
      </c>
      <c r="G95" s="174"/>
      <c r="H95" s="112" t="s">
        <v>82</v>
      </c>
      <c r="I95" s="173">
        <f>Y17</f>
        <v>0</v>
      </c>
      <c r="J95" s="174"/>
      <c r="K95" s="112" t="s">
        <v>82</v>
      </c>
      <c r="L95" s="112" t="str">
        <f>IF(AND(N95&gt;0,N95&lt;=15),"15 or less Fountain exempt(IPC 410.2)",IF(Q5&lt;=15,"15 or less Fountain exempt(IPC 410.2)",AA17))</f>
        <v>15 or less Fountain exempt(IPC 410.2)</v>
      </c>
      <c r="M95" s="114" t="s">
        <v>82</v>
      </c>
      <c r="N95" s="167">
        <v>0</v>
      </c>
      <c r="O95" s="168"/>
    </row>
    <row r="96" spans="1:19" ht="14.45" customHeight="1" x14ac:dyDescent="0.25">
      <c r="A96" s="124"/>
      <c r="B96" s="125"/>
      <c r="C96" s="110"/>
      <c r="D96" s="111"/>
      <c r="E96" s="111"/>
      <c r="F96" s="175"/>
      <c r="G96" s="176"/>
      <c r="H96" s="112"/>
      <c r="I96" s="175"/>
      <c r="J96" s="176"/>
      <c r="K96" s="112"/>
      <c r="L96" s="112"/>
      <c r="M96" s="114"/>
      <c r="N96" s="169"/>
      <c r="O96" s="170"/>
    </row>
    <row r="97" spans="1:15" x14ac:dyDescent="0.25">
      <c r="A97" s="124"/>
      <c r="B97" s="125"/>
      <c r="C97" s="110"/>
      <c r="D97" s="111"/>
      <c r="E97" s="111"/>
      <c r="F97" s="175"/>
      <c r="G97" s="176"/>
      <c r="H97" s="112"/>
      <c r="I97" s="175"/>
      <c r="J97" s="176"/>
      <c r="K97" s="112"/>
      <c r="L97" s="112"/>
      <c r="M97" s="114"/>
      <c r="N97" s="169"/>
      <c r="O97" s="170"/>
    </row>
    <row r="98" spans="1:15" x14ac:dyDescent="0.25">
      <c r="A98" s="124"/>
      <c r="B98" s="125"/>
      <c r="C98" s="110"/>
      <c r="D98" s="111"/>
      <c r="E98" s="111"/>
      <c r="F98" s="177"/>
      <c r="G98" s="178"/>
      <c r="H98" s="112"/>
      <c r="I98" s="177"/>
      <c r="J98" s="178"/>
      <c r="K98" s="112"/>
      <c r="L98" s="112"/>
      <c r="M98" s="114"/>
      <c r="N98" s="171"/>
      <c r="O98" s="172"/>
    </row>
    <row r="99" spans="1:15" ht="14.45" customHeight="1" x14ac:dyDescent="0.25">
      <c r="A99" s="124"/>
      <c r="B99" s="125"/>
      <c r="C99" s="110"/>
      <c r="D99" s="111" t="s">
        <v>154</v>
      </c>
      <c r="E99" s="111"/>
      <c r="F99" s="173" t="str">
        <f>IF(AND(N99&gt;0,N99&lt;=15),"Single restroom okay for 15 or less (IPC 403.2(2))",IF(AND(N99&gt;15,Q5&lt;=15),W18,IF(Q5&lt;=15,"Single restroom okay for 15 or less (IPC 403.2(2))",W18)))</f>
        <v>Single restroom okay for 15 or less (IPC 403.2(2))</v>
      </c>
      <c r="G99" s="174"/>
      <c r="H99" s="112" t="s">
        <v>82</v>
      </c>
      <c r="I99" s="173">
        <f>Y18</f>
        <v>0</v>
      </c>
      <c r="J99" s="174"/>
      <c r="K99" s="112" t="s">
        <v>82</v>
      </c>
      <c r="L99" s="112" t="str">
        <f>IF(AND(N99&gt;0,N99&lt;=15),"15 or less Fountain exempt(IPC 410.2)",IF(Q5&lt;=15,"15 or less Fountain exempt(IPC 410.2)",AA18))</f>
        <v>15 or less Fountain exempt(IPC 410.2)</v>
      </c>
      <c r="M99" s="114" t="s">
        <v>82</v>
      </c>
      <c r="N99" s="167">
        <v>0</v>
      </c>
      <c r="O99" s="168"/>
    </row>
    <row r="100" spans="1:15" x14ac:dyDescent="0.25">
      <c r="A100" s="124"/>
      <c r="B100" s="125"/>
      <c r="C100" s="110"/>
      <c r="D100" s="111"/>
      <c r="E100" s="111"/>
      <c r="F100" s="175"/>
      <c r="G100" s="176"/>
      <c r="H100" s="112"/>
      <c r="I100" s="175"/>
      <c r="J100" s="176"/>
      <c r="K100" s="112"/>
      <c r="L100" s="112"/>
      <c r="M100" s="114"/>
      <c r="N100" s="169"/>
      <c r="O100" s="170"/>
    </row>
    <row r="101" spans="1:15" x14ac:dyDescent="0.25">
      <c r="A101" s="124"/>
      <c r="B101" s="125"/>
      <c r="C101" s="110"/>
      <c r="D101" s="111"/>
      <c r="E101" s="111"/>
      <c r="F101" s="177"/>
      <c r="G101" s="178"/>
      <c r="H101" s="112"/>
      <c r="I101" s="177"/>
      <c r="J101" s="178"/>
      <c r="K101" s="112"/>
      <c r="L101" s="112"/>
      <c r="M101" s="114"/>
      <c r="N101" s="171"/>
      <c r="O101" s="172"/>
    </row>
    <row r="102" spans="1:15" x14ac:dyDescent="0.25">
      <c r="A102" s="124"/>
      <c r="B102" s="125"/>
      <c r="C102" s="110" t="s">
        <v>155</v>
      </c>
      <c r="D102" s="111" t="s">
        <v>156</v>
      </c>
      <c r="E102" s="111"/>
      <c r="F102" s="113" t="s">
        <v>157</v>
      </c>
      <c r="G102" s="113"/>
      <c r="H102" s="113" t="s">
        <v>82</v>
      </c>
      <c r="I102" s="113" t="s">
        <v>157</v>
      </c>
      <c r="J102" s="113"/>
      <c r="K102" s="112" t="s">
        <v>158</v>
      </c>
      <c r="L102" s="112" t="str">
        <f>"1 per 100"</f>
        <v>1 per 100</v>
      </c>
      <c r="M102" s="107" t="s">
        <v>83</v>
      </c>
      <c r="N102" s="167">
        <v>0</v>
      </c>
      <c r="O102" s="168"/>
    </row>
    <row r="103" spans="1:15" x14ac:dyDescent="0.25">
      <c r="A103" s="124"/>
      <c r="B103" s="125"/>
      <c r="C103" s="110"/>
      <c r="D103" s="111"/>
      <c r="E103" s="111"/>
      <c r="F103" s="113"/>
      <c r="G103" s="113"/>
      <c r="H103" s="113"/>
      <c r="I103" s="113"/>
      <c r="J103" s="113"/>
      <c r="K103" s="112"/>
      <c r="L103" s="112"/>
      <c r="M103" s="108"/>
      <c r="N103" s="169"/>
      <c r="O103" s="170"/>
    </row>
    <row r="104" spans="1:15" ht="14.45" customHeight="1" x14ac:dyDescent="0.25">
      <c r="A104" s="124"/>
      <c r="B104" s="125"/>
      <c r="C104" s="110"/>
      <c r="D104" s="111"/>
      <c r="E104" s="111"/>
      <c r="F104" s="113"/>
      <c r="G104" s="113"/>
      <c r="H104" s="113"/>
      <c r="I104" s="113"/>
      <c r="J104" s="113"/>
      <c r="K104" s="112"/>
      <c r="L104" s="112"/>
      <c r="M104" s="109"/>
      <c r="N104" s="171"/>
      <c r="O104" s="172"/>
    </row>
    <row r="105" spans="1:15" ht="14.45" customHeight="1" x14ac:dyDescent="0.25">
      <c r="A105" s="124"/>
      <c r="B105" s="125"/>
      <c r="C105" s="110"/>
      <c r="D105" s="111" t="s">
        <v>159</v>
      </c>
      <c r="E105" s="111"/>
      <c r="F105" s="173" t="str">
        <f>IF(AND(N105&gt;0,N105&lt;=15),"Single restroom okay for 15 or less (IPC 403.2(2))",IF(AND(N105&gt;15,Q5&lt;=15),W19,IF(Q5&lt;=15,"Single restroom okay for 15 or less (IPC 403.2(2))",W19)))</f>
        <v>Single restroom okay for 15 or less (IPC 403.2(2))</v>
      </c>
      <c r="G105" s="174"/>
      <c r="H105" s="112" t="s">
        <v>82</v>
      </c>
      <c r="I105" s="173">
        <f>Y19</f>
        <v>0</v>
      </c>
      <c r="J105" s="174"/>
      <c r="K105" s="112">
        <f>AB19</f>
        <v>0</v>
      </c>
      <c r="L105" s="112" t="str">
        <f>IF(F105="Single restroom okay for 15 or less (IPC 403.2(2))","15 or less Fountain exempt(IPC 410.2)",AA19)</f>
        <v>15 or less Fountain exempt(IPC 410.2)</v>
      </c>
      <c r="M105" s="114" t="s">
        <v>83</v>
      </c>
      <c r="N105" s="167">
        <v>0</v>
      </c>
      <c r="O105" s="168"/>
    </row>
    <row r="106" spans="1:15" x14ac:dyDescent="0.25">
      <c r="A106" s="124"/>
      <c r="B106" s="125"/>
      <c r="C106" s="110"/>
      <c r="D106" s="111"/>
      <c r="E106" s="111"/>
      <c r="F106" s="175"/>
      <c r="G106" s="176"/>
      <c r="H106" s="112"/>
      <c r="I106" s="175"/>
      <c r="J106" s="176"/>
      <c r="K106" s="112"/>
      <c r="L106" s="112"/>
      <c r="M106" s="114"/>
      <c r="N106" s="169"/>
      <c r="O106" s="170"/>
    </row>
    <row r="107" spans="1:15" x14ac:dyDescent="0.25">
      <c r="A107" s="124"/>
      <c r="B107" s="125"/>
      <c r="C107" s="110"/>
      <c r="D107" s="111"/>
      <c r="E107" s="111"/>
      <c r="F107" s="175"/>
      <c r="G107" s="176"/>
      <c r="H107" s="112"/>
      <c r="I107" s="175"/>
      <c r="J107" s="176"/>
      <c r="K107" s="112"/>
      <c r="L107" s="112"/>
      <c r="M107" s="114"/>
      <c r="N107" s="169"/>
      <c r="O107" s="170"/>
    </row>
    <row r="108" spans="1:15" x14ac:dyDescent="0.25">
      <c r="A108" s="124"/>
      <c r="B108" s="125"/>
      <c r="C108" s="110"/>
      <c r="D108" s="111"/>
      <c r="E108" s="111"/>
      <c r="F108" s="177"/>
      <c r="G108" s="178"/>
      <c r="H108" s="112"/>
      <c r="I108" s="177"/>
      <c r="J108" s="178"/>
      <c r="K108" s="112"/>
      <c r="L108" s="112"/>
      <c r="M108" s="114"/>
      <c r="N108" s="171"/>
      <c r="O108" s="172"/>
    </row>
    <row r="109" spans="1:15" ht="14.45" customHeight="1" x14ac:dyDescent="0.25">
      <c r="A109" s="124"/>
      <c r="B109" s="125"/>
      <c r="C109" s="110"/>
      <c r="D109" s="111" t="s">
        <v>160</v>
      </c>
      <c r="E109" s="111"/>
      <c r="F109" s="173" t="str">
        <f>IF(AND(N109&gt;0,N109&lt;=15),"Single restroom okay for 15 or less (IPC 403.2(2))",IF(AND(N109&gt;15,Q5&lt;=15),W20,IF(Q5&lt;=15,"Single restroom okay for 15 or less (IPC 403.2(2))",W20)))</f>
        <v>Single restroom okay for 15 or less (IPC 403.2(2))</v>
      </c>
      <c r="G109" s="174"/>
      <c r="H109" s="112" t="s">
        <v>82</v>
      </c>
      <c r="I109" s="173">
        <f>Y20</f>
        <v>0</v>
      </c>
      <c r="J109" s="174"/>
      <c r="K109" s="112" t="s">
        <v>82</v>
      </c>
      <c r="L109" s="112" t="str">
        <f>IF(F109="Single restroom okay for 15 or less (IPC 403.2(2))","15 or less Fountain exempt(IPC 410.2)",AA20)</f>
        <v>15 or less Fountain exempt(IPC 410.2)</v>
      </c>
      <c r="M109" s="114" t="s">
        <v>82</v>
      </c>
      <c r="N109" s="167">
        <v>0</v>
      </c>
      <c r="O109" s="168"/>
    </row>
    <row r="110" spans="1:15" ht="14.45" customHeight="1" x14ac:dyDescent="0.25">
      <c r="A110" s="124"/>
      <c r="B110" s="125"/>
      <c r="C110" s="110"/>
      <c r="D110" s="111"/>
      <c r="E110" s="111"/>
      <c r="F110" s="175"/>
      <c r="G110" s="176"/>
      <c r="H110" s="112"/>
      <c r="I110" s="175"/>
      <c r="J110" s="176"/>
      <c r="K110" s="112"/>
      <c r="L110" s="112"/>
      <c r="M110" s="114"/>
      <c r="N110" s="169"/>
      <c r="O110" s="170"/>
    </row>
    <row r="111" spans="1:15" x14ac:dyDescent="0.25">
      <c r="A111" s="124"/>
      <c r="B111" s="125"/>
      <c r="C111" s="110"/>
      <c r="D111" s="111"/>
      <c r="E111" s="111"/>
      <c r="F111" s="175"/>
      <c r="G111" s="176"/>
      <c r="H111" s="112"/>
      <c r="I111" s="175"/>
      <c r="J111" s="176"/>
      <c r="K111" s="112"/>
      <c r="L111" s="112"/>
      <c r="M111" s="114"/>
      <c r="N111" s="169"/>
      <c r="O111" s="170"/>
    </row>
    <row r="112" spans="1:15" x14ac:dyDescent="0.25">
      <c r="A112" s="124"/>
      <c r="B112" s="125"/>
      <c r="C112" s="110"/>
      <c r="D112" s="111"/>
      <c r="E112" s="111"/>
      <c r="F112" s="177"/>
      <c r="G112" s="178"/>
      <c r="H112" s="112"/>
      <c r="I112" s="177"/>
      <c r="J112" s="178"/>
      <c r="K112" s="112"/>
      <c r="L112" s="112"/>
      <c r="M112" s="114"/>
      <c r="N112" s="171"/>
      <c r="O112" s="172"/>
    </row>
    <row r="113" spans="1:15" ht="14.45" customHeight="1" x14ac:dyDescent="0.25">
      <c r="A113" s="124"/>
      <c r="B113" s="125"/>
      <c r="C113" s="110" t="s">
        <v>161</v>
      </c>
      <c r="D113" s="111" t="s">
        <v>162</v>
      </c>
      <c r="E113" s="111"/>
      <c r="F113" s="173" t="str">
        <f>IF(AND(N113&gt;0,N113&lt;=15),"Single restroom okay for 15 or less (IPC 403.2(2))",IF(AND(N113&gt;15,Q5&lt;=15),W21,IF(Q5&lt;=15,"Single restroom okay for 15 or less (IPC 403.2(2))",W21)))</f>
        <v>Single restroom okay for 15 or less (IPC 403.2(2))</v>
      </c>
      <c r="G113" s="174"/>
      <c r="H113" s="112" t="s">
        <v>82</v>
      </c>
      <c r="I113" s="173">
        <f>Y21</f>
        <v>0</v>
      </c>
      <c r="J113" s="174"/>
      <c r="K113" s="112">
        <f>AB21</f>
        <v>1</v>
      </c>
      <c r="L113" s="112" t="str">
        <f>IF(F113="Single restroom okay for 15 or less (IPC 403.2(2))","15 or less Fountain exempt(IPC 410.2)",AA21)</f>
        <v>15 or less Fountain exempt(IPC 410.2)</v>
      </c>
      <c r="M113" s="107" t="s">
        <v>83</v>
      </c>
      <c r="N113" s="167">
        <v>0</v>
      </c>
      <c r="O113" s="168"/>
    </row>
    <row r="114" spans="1:15" ht="14.45" customHeight="1" x14ac:dyDescent="0.25">
      <c r="A114" s="124"/>
      <c r="B114" s="125"/>
      <c r="C114" s="110"/>
      <c r="D114" s="111"/>
      <c r="E114" s="111"/>
      <c r="F114" s="175"/>
      <c r="G114" s="176"/>
      <c r="H114" s="112"/>
      <c r="I114" s="175"/>
      <c r="J114" s="176"/>
      <c r="K114" s="112"/>
      <c r="L114" s="112"/>
      <c r="M114" s="108"/>
      <c r="N114" s="169"/>
      <c r="O114" s="170"/>
    </row>
    <row r="115" spans="1:15" x14ac:dyDescent="0.25">
      <c r="A115" s="124"/>
      <c r="B115" s="125"/>
      <c r="C115" s="110"/>
      <c r="D115" s="111"/>
      <c r="E115" s="111"/>
      <c r="F115" s="175"/>
      <c r="G115" s="176"/>
      <c r="H115" s="112"/>
      <c r="I115" s="175"/>
      <c r="J115" s="176"/>
      <c r="K115" s="112"/>
      <c r="L115" s="112"/>
      <c r="M115" s="108"/>
      <c r="N115" s="169"/>
      <c r="O115" s="170"/>
    </row>
    <row r="116" spans="1:15" ht="15.75" thickBot="1" x14ac:dyDescent="0.3">
      <c r="A116" s="126"/>
      <c r="B116" s="127"/>
      <c r="C116" s="110"/>
      <c r="D116" s="111"/>
      <c r="E116" s="111"/>
      <c r="F116" s="177"/>
      <c r="G116" s="178"/>
      <c r="H116" s="112"/>
      <c r="I116" s="177"/>
      <c r="J116" s="178"/>
      <c r="K116" s="112"/>
      <c r="L116" s="112"/>
      <c r="M116" s="109"/>
      <c r="N116" s="171"/>
      <c r="O116" s="172"/>
    </row>
    <row r="117" spans="1:15" ht="14.45" customHeight="1" x14ac:dyDescent="0.25">
      <c r="A117" s="80" t="s">
        <v>163</v>
      </c>
      <c r="B117" s="81"/>
      <c r="C117" s="110" t="s">
        <v>164</v>
      </c>
      <c r="D117" s="111" t="s">
        <v>165</v>
      </c>
      <c r="E117" s="111"/>
      <c r="F117" s="173" t="str">
        <f>IF(AND(N117&gt;0,N117&lt;=100),"Single restroom okay for 100 or less (IPC 403.2(3))",IF(AND(N117&gt;100,Q5&lt;=100),W22,IF(Q5&lt;=100,"Single restroom okay for 100 or less (IPC 403.2(3))",W22)))</f>
        <v>Single restroom okay for 100 or less (IPC 403.2(3))</v>
      </c>
      <c r="G117" s="174"/>
      <c r="H117" s="112" t="s">
        <v>182</v>
      </c>
      <c r="I117" s="173">
        <f>Y22</f>
        <v>0</v>
      </c>
      <c r="J117" s="174"/>
      <c r="K117" s="112" t="s">
        <v>82</v>
      </c>
      <c r="L117" s="120" t="str">
        <f>IF(AND(N117&gt;0,N117&lt;=15),"15 or less Fountain exempt(IPC 410.2)",IF(N117&gt;15,AA22,IF(Q5&lt;=15,"15 or less Fountain exempt(IPC 410.2)",AA22)))</f>
        <v>15 or less Fountain exempt(IPC 410.2)</v>
      </c>
      <c r="M117" s="95" t="str">
        <f>IF(AND(N117&gt;0,N117&lt;=15),"15 or less Service sink exempt (IPC 403.1(e))",IF(N117&gt;15,"1 service sink",IF(Q5&lt;=15,"15 or less Service sink exempt (IPC 403.1(e))","1 service sink")))</f>
        <v>15 or less Service sink exempt (IPC 403.1(e))</v>
      </c>
      <c r="N117" s="167">
        <v>0</v>
      </c>
      <c r="O117" s="168"/>
    </row>
    <row r="118" spans="1:15" x14ac:dyDescent="0.25">
      <c r="A118" s="82"/>
      <c r="B118" s="83"/>
      <c r="C118" s="110"/>
      <c r="D118" s="111"/>
      <c r="E118" s="111"/>
      <c r="F118" s="175"/>
      <c r="G118" s="176"/>
      <c r="H118" s="112"/>
      <c r="I118" s="175"/>
      <c r="J118" s="176"/>
      <c r="K118" s="112"/>
      <c r="L118" s="120"/>
      <c r="M118" s="95"/>
      <c r="N118" s="169"/>
      <c r="O118" s="170"/>
    </row>
    <row r="119" spans="1:15" x14ac:dyDescent="0.25">
      <c r="A119" s="82"/>
      <c r="B119" s="83"/>
      <c r="C119" s="110"/>
      <c r="D119" s="111"/>
      <c r="E119" s="111"/>
      <c r="F119" s="175"/>
      <c r="G119" s="176"/>
      <c r="H119" s="112"/>
      <c r="I119" s="175"/>
      <c r="J119" s="176"/>
      <c r="K119" s="112"/>
      <c r="L119" s="120"/>
      <c r="M119" s="95"/>
      <c r="N119" s="169"/>
      <c r="O119" s="170"/>
    </row>
    <row r="120" spans="1:15" x14ac:dyDescent="0.25">
      <c r="A120" s="82"/>
      <c r="B120" s="83"/>
      <c r="C120" s="110"/>
      <c r="D120" s="111"/>
      <c r="E120" s="111"/>
      <c r="F120" s="175"/>
      <c r="G120" s="176"/>
      <c r="H120" s="112"/>
      <c r="I120" s="175"/>
      <c r="J120" s="176"/>
      <c r="K120" s="112"/>
      <c r="L120" s="120"/>
      <c r="M120" s="95"/>
      <c r="N120" s="169"/>
      <c r="O120" s="170"/>
    </row>
    <row r="121" spans="1:15" x14ac:dyDescent="0.25">
      <c r="A121" s="82"/>
      <c r="B121" s="83"/>
      <c r="C121" s="110"/>
      <c r="D121" s="111"/>
      <c r="E121" s="111"/>
      <c r="F121" s="175"/>
      <c r="G121" s="176"/>
      <c r="H121" s="112"/>
      <c r="I121" s="175"/>
      <c r="J121" s="176"/>
      <c r="K121" s="112"/>
      <c r="L121" s="120"/>
      <c r="M121" s="95"/>
      <c r="N121" s="169"/>
      <c r="O121" s="170"/>
    </row>
    <row r="122" spans="1:15" ht="14.45" customHeight="1" x14ac:dyDescent="0.25">
      <c r="A122" s="82"/>
      <c r="B122" s="83"/>
      <c r="C122" s="110"/>
      <c r="D122" s="111"/>
      <c r="E122" s="111"/>
      <c r="F122" s="175"/>
      <c r="G122" s="176"/>
      <c r="H122" s="112"/>
      <c r="I122" s="175"/>
      <c r="J122" s="176"/>
      <c r="K122" s="112"/>
      <c r="L122" s="120"/>
      <c r="M122" s="95"/>
      <c r="N122" s="169"/>
      <c r="O122" s="170"/>
    </row>
    <row r="123" spans="1:15" ht="14.45" customHeight="1" x14ac:dyDescent="0.25">
      <c r="A123" s="82"/>
      <c r="B123" s="83"/>
      <c r="C123" s="110"/>
      <c r="D123" s="111"/>
      <c r="E123" s="111"/>
      <c r="F123" s="175"/>
      <c r="G123" s="176"/>
      <c r="H123" s="112"/>
      <c r="I123" s="175"/>
      <c r="J123" s="176"/>
      <c r="K123" s="112"/>
      <c r="L123" s="120"/>
      <c r="M123" s="95"/>
      <c r="N123" s="169"/>
      <c r="O123" s="170"/>
    </row>
    <row r="124" spans="1:15" ht="15.75" thickBot="1" x14ac:dyDescent="0.3">
      <c r="A124" s="84"/>
      <c r="B124" s="85"/>
      <c r="C124" s="110"/>
      <c r="D124" s="111"/>
      <c r="E124" s="111"/>
      <c r="F124" s="177"/>
      <c r="G124" s="178"/>
      <c r="H124" s="112"/>
      <c r="I124" s="177"/>
      <c r="J124" s="178"/>
      <c r="K124" s="112"/>
      <c r="L124" s="120"/>
      <c r="M124" s="95"/>
      <c r="N124" s="171"/>
      <c r="O124" s="172"/>
    </row>
    <row r="125" spans="1:15" ht="14.45" customHeight="1" x14ac:dyDescent="0.25">
      <c r="A125" s="80" t="s">
        <v>55</v>
      </c>
      <c r="B125" s="81"/>
      <c r="C125" s="110" t="s">
        <v>166</v>
      </c>
      <c r="D125" s="111" t="s">
        <v>167</v>
      </c>
      <c r="E125" s="111"/>
      <c r="F125" s="113" t="s">
        <v>168</v>
      </c>
      <c r="G125" s="113"/>
      <c r="H125" s="113" t="s">
        <v>82</v>
      </c>
      <c r="I125" s="113" t="s">
        <v>168</v>
      </c>
      <c r="J125" s="113"/>
      <c r="K125" s="113" t="s">
        <v>168</v>
      </c>
      <c r="L125" s="113" t="s">
        <v>82</v>
      </c>
      <c r="M125" s="107" t="s">
        <v>83</v>
      </c>
      <c r="N125" s="96" t="s">
        <v>82</v>
      </c>
      <c r="O125" s="97"/>
    </row>
    <row r="126" spans="1:15" x14ac:dyDescent="0.25">
      <c r="A126" s="82"/>
      <c r="B126" s="83"/>
      <c r="C126" s="110"/>
      <c r="D126" s="111"/>
      <c r="E126" s="111"/>
      <c r="F126" s="113"/>
      <c r="G126" s="113"/>
      <c r="H126" s="113"/>
      <c r="I126" s="113"/>
      <c r="J126" s="113"/>
      <c r="K126" s="113"/>
      <c r="L126" s="113"/>
      <c r="M126" s="108"/>
      <c r="N126" s="96"/>
      <c r="O126" s="97"/>
    </row>
    <row r="127" spans="1:15" x14ac:dyDescent="0.25">
      <c r="A127" s="82"/>
      <c r="B127" s="83"/>
      <c r="C127" s="110"/>
      <c r="D127" s="111"/>
      <c r="E127" s="111"/>
      <c r="F127" s="113"/>
      <c r="G127" s="113"/>
      <c r="H127" s="113"/>
      <c r="I127" s="113"/>
      <c r="J127" s="113"/>
      <c r="K127" s="113"/>
      <c r="L127" s="113"/>
      <c r="M127" s="109"/>
      <c r="N127" s="96"/>
      <c r="O127" s="97"/>
    </row>
    <row r="128" spans="1:15" x14ac:dyDescent="0.25">
      <c r="A128" s="82"/>
      <c r="B128" s="83"/>
      <c r="C128" s="110" t="s">
        <v>169</v>
      </c>
      <c r="D128" s="111" t="s">
        <v>170</v>
      </c>
      <c r="E128" s="111"/>
      <c r="F128" s="112">
        <f>W23</f>
        <v>0</v>
      </c>
      <c r="G128" s="112"/>
      <c r="H128" s="113" t="s">
        <v>82</v>
      </c>
      <c r="I128" s="112">
        <f>Y23</f>
        <v>0</v>
      </c>
      <c r="J128" s="112"/>
      <c r="K128" s="112">
        <f>AB23</f>
        <v>0</v>
      </c>
      <c r="L128" s="112" t="str">
        <f>IF(AND(N128&gt;0,N128&lt;=15),"15 or less Fountain exempt(IPC 410.2)",IF(Q5&lt;=15,"15 or less Fountain exempt(IPC 410.2)",AA23))</f>
        <v>15 or less Fountain exempt(IPC 410.2)</v>
      </c>
      <c r="M128" s="114" t="s">
        <v>83</v>
      </c>
      <c r="N128" s="96">
        <v>0</v>
      </c>
      <c r="O128" s="97"/>
    </row>
    <row r="129" spans="1:15" x14ac:dyDescent="0.25">
      <c r="A129" s="82"/>
      <c r="B129" s="83"/>
      <c r="C129" s="110"/>
      <c r="D129" s="111"/>
      <c r="E129" s="111"/>
      <c r="F129" s="112"/>
      <c r="G129" s="112"/>
      <c r="H129" s="113"/>
      <c r="I129" s="112"/>
      <c r="J129" s="112"/>
      <c r="K129" s="112"/>
      <c r="L129" s="112"/>
      <c r="M129" s="114"/>
      <c r="N129" s="96"/>
      <c r="O129" s="97"/>
    </row>
    <row r="130" spans="1:15" ht="14.45" customHeight="1" x14ac:dyDescent="0.25">
      <c r="A130" s="82"/>
      <c r="B130" s="83"/>
      <c r="C130" s="110"/>
      <c r="D130" s="111"/>
      <c r="E130" s="111"/>
      <c r="F130" s="112"/>
      <c r="G130" s="112"/>
      <c r="H130" s="113"/>
      <c r="I130" s="112"/>
      <c r="J130" s="112"/>
      <c r="K130" s="112"/>
      <c r="L130" s="112"/>
      <c r="M130" s="114"/>
      <c r="N130" s="96"/>
      <c r="O130" s="97"/>
    </row>
    <row r="131" spans="1:15" x14ac:dyDescent="0.25">
      <c r="A131" s="82"/>
      <c r="B131" s="83"/>
      <c r="C131" s="110"/>
      <c r="D131" s="111"/>
      <c r="E131" s="111"/>
      <c r="F131" s="112"/>
      <c r="G131" s="112"/>
      <c r="H131" s="113"/>
      <c r="I131" s="112"/>
      <c r="J131" s="112"/>
      <c r="K131" s="112"/>
      <c r="L131" s="112"/>
      <c r="M131" s="114"/>
      <c r="N131" s="96"/>
      <c r="O131" s="97"/>
    </row>
    <row r="132" spans="1:15" x14ac:dyDescent="0.25">
      <c r="A132" s="82"/>
      <c r="B132" s="83"/>
      <c r="C132" s="110"/>
      <c r="D132" s="111"/>
      <c r="E132" s="111"/>
      <c r="F132" s="112"/>
      <c r="G132" s="112"/>
      <c r="H132" s="113"/>
      <c r="I132" s="112"/>
      <c r="J132" s="112"/>
      <c r="K132" s="112"/>
      <c r="L132" s="112"/>
      <c r="M132" s="114"/>
      <c r="N132" s="96"/>
      <c r="O132" s="97"/>
    </row>
    <row r="133" spans="1:15" x14ac:dyDescent="0.25">
      <c r="A133" s="82"/>
      <c r="B133" s="83"/>
      <c r="C133" s="110"/>
      <c r="D133" s="111" t="s">
        <v>171</v>
      </c>
      <c r="E133" s="111"/>
      <c r="F133" s="113" t="s">
        <v>172</v>
      </c>
      <c r="G133" s="113"/>
      <c r="H133" s="113" t="s">
        <v>82</v>
      </c>
      <c r="I133" s="113" t="s">
        <v>172</v>
      </c>
      <c r="J133" s="113"/>
      <c r="K133" s="113" t="s">
        <v>172</v>
      </c>
      <c r="L133" s="113" t="s">
        <v>82</v>
      </c>
      <c r="M133" s="115" t="s">
        <v>173</v>
      </c>
      <c r="N133" s="116" t="s">
        <v>82</v>
      </c>
      <c r="O133" s="117"/>
    </row>
    <row r="134" spans="1:15" x14ac:dyDescent="0.25">
      <c r="A134" s="82"/>
      <c r="B134" s="83"/>
      <c r="C134" s="110"/>
      <c r="D134" s="111"/>
      <c r="E134" s="111"/>
      <c r="F134" s="113"/>
      <c r="G134" s="113"/>
      <c r="H134" s="113"/>
      <c r="I134" s="113"/>
      <c r="J134" s="113"/>
      <c r="K134" s="113"/>
      <c r="L134" s="113"/>
      <c r="M134" s="115"/>
      <c r="N134" s="118"/>
      <c r="O134" s="119"/>
    </row>
    <row r="135" spans="1:15" x14ac:dyDescent="0.25">
      <c r="A135" s="82"/>
      <c r="B135" s="83"/>
      <c r="C135" s="110"/>
      <c r="D135" s="111"/>
      <c r="E135" s="111"/>
      <c r="F135" s="113"/>
      <c r="G135" s="113"/>
      <c r="H135" s="113"/>
      <c r="I135" s="113"/>
      <c r="J135" s="113"/>
      <c r="K135" s="113"/>
      <c r="L135" s="113"/>
      <c r="M135" s="115"/>
      <c r="N135" s="118"/>
      <c r="O135" s="119"/>
    </row>
    <row r="136" spans="1:15" x14ac:dyDescent="0.25">
      <c r="A136" s="82"/>
      <c r="B136" s="83"/>
      <c r="C136" s="110"/>
      <c r="D136" s="111"/>
      <c r="E136" s="111"/>
      <c r="F136" s="113"/>
      <c r="G136" s="113"/>
      <c r="H136" s="113"/>
      <c r="I136" s="113"/>
      <c r="J136" s="113"/>
      <c r="K136" s="113"/>
      <c r="L136" s="113"/>
      <c r="M136" s="115"/>
      <c r="N136" s="118"/>
      <c r="O136" s="119"/>
    </row>
    <row r="137" spans="1:15" x14ac:dyDescent="0.25">
      <c r="A137" s="82"/>
      <c r="B137" s="83"/>
      <c r="C137" s="110"/>
      <c r="D137" s="111"/>
      <c r="E137" s="111"/>
      <c r="F137" s="113"/>
      <c r="G137" s="113"/>
      <c r="H137" s="113"/>
      <c r="I137" s="113"/>
      <c r="J137" s="113"/>
      <c r="K137" s="113"/>
      <c r="L137" s="113"/>
      <c r="M137" s="115"/>
      <c r="N137" s="118"/>
      <c r="O137" s="119"/>
    </row>
    <row r="138" spans="1:15" x14ac:dyDescent="0.25">
      <c r="A138" s="82"/>
      <c r="B138" s="83"/>
      <c r="C138" s="110"/>
      <c r="D138" s="111"/>
      <c r="E138" s="111"/>
      <c r="F138" s="113"/>
      <c r="G138" s="113"/>
      <c r="H138" s="113"/>
      <c r="I138" s="113"/>
      <c r="J138" s="113"/>
      <c r="K138" s="113"/>
      <c r="L138" s="113"/>
      <c r="M138" s="115"/>
      <c r="N138" s="118"/>
      <c r="O138" s="119"/>
    </row>
    <row r="139" spans="1:15" x14ac:dyDescent="0.25">
      <c r="A139" s="82"/>
      <c r="B139" s="83"/>
      <c r="C139" s="86" t="s">
        <v>174</v>
      </c>
      <c r="D139" s="111" t="s">
        <v>175</v>
      </c>
      <c r="E139" s="111"/>
      <c r="F139" s="112">
        <f>W24</f>
        <v>0</v>
      </c>
      <c r="G139" s="112"/>
      <c r="H139" s="113" t="s">
        <v>82</v>
      </c>
      <c r="I139" s="112">
        <f>Y24</f>
        <v>0</v>
      </c>
      <c r="J139" s="112"/>
      <c r="K139" s="112">
        <f>AB24</f>
        <v>0</v>
      </c>
      <c r="L139" s="112" t="str">
        <f>IF(AND(N139&gt;0,N139&lt;=15),"15 or less Fountain exempt(IPC 410.2)",IF(Q5&lt;=15,"15 or less Fountain exempt(IPC 410.2)",AA24))</f>
        <v>15 or less Fountain exempt(IPC 410.2)</v>
      </c>
      <c r="M139" s="107" t="s">
        <v>83</v>
      </c>
      <c r="N139" s="96">
        <v>0</v>
      </c>
      <c r="O139" s="97"/>
    </row>
    <row r="140" spans="1:15" x14ac:dyDescent="0.25">
      <c r="A140" s="82"/>
      <c r="B140" s="83"/>
      <c r="C140" s="87"/>
      <c r="D140" s="111"/>
      <c r="E140" s="111"/>
      <c r="F140" s="112"/>
      <c r="G140" s="112"/>
      <c r="H140" s="113"/>
      <c r="I140" s="112"/>
      <c r="J140" s="112"/>
      <c r="K140" s="112"/>
      <c r="L140" s="112"/>
      <c r="M140" s="108"/>
      <c r="N140" s="96"/>
      <c r="O140" s="97"/>
    </row>
    <row r="141" spans="1:15" x14ac:dyDescent="0.25">
      <c r="A141" s="82"/>
      <c r="B141" s="83"/>
      <c r="C141" s="87"/>
      <c r="D141" s="111"/>
      <c r="E141" s="111"/>
      <c r="F141" s="112"/>
      <c r="G141" s="112"/>
      <c r="H141" s="113"/>
      <c r="I141" s="112"/>
      <c r="J141" s="112"/>
      <c r="K141" s="112"/>
      <c r="L141" s="112"/>
      <c r="M141" s="108"/>
      <c r="N141" s="96"/>
      <c r="O141" s="97"/>
    </row>
    <row r="142" spans="1:15" x14ac:dyDescent="0.25">
      <c r="A142" s="82"/>
      <c r="B142" s="83"/>
      <c r="C142" s="87"/>
      <c r="D142" s="111"/>
      <c r="E142" s="111"/>
      <c r="F142" s="112"/>
      <c r="G142" s="112"/>
      <c r="H142" s="113"/>
      <c r="I142" s="112"/>
      <c r="J142" s="112"/>
      <c r="K142" s="112"/>
      <c r="L142" s="112"/>
      <c r="M142" s="109"/>
      <c r="N142" s="96"/>
      <c r="O142" s="97"/>
    </row>
    <row r="143" spans="1:15" ht="14.45" customHeight="1" x14ac:dyDescent="0.25">
      <c r="A143" s="82"/>
      <c r="B143" s="83"/>
      <c r="C143" s="87"/>
      <c r="D143" s="179" t="s">
        <v>176</v>
      </c>
      <c r="E143" s="180"/>
      <c r="F143" s="185" t="s">
        <v>172</v>
      </c>
      <c r="G143" s="186"/>
      <c r="H143" s="191" t="s">
        <v>82</v>
      </c>
      <c r="I143" s="185" t="s">
        <v>172</v>
      </c>
      <c r="J143" s="186"/>
      <c r="K143" s="191" t="s">
        <v>172</v>
      </c>
      <c r="L143" s="92" t="s">
        <v>82</v>
      </c>
      <c r="M143" s="98" t="s">
        <v>177</v>
      </c>
      <c r="N143" s="167" t="s">
        <v>82</v>
      </c>
      <c r="O143" s="168"/>
    </row>
    <row r="144" spans="1:15" x14ac:dyDescent="0.25">
      <c r="A144" s="82"/>
      <c r="B144" s="83"/>
      <c r="C144" s="87"/>
      <c r="D144" s="181"/>
      <c r="E144" s="182"/>
      <c r="F144" s="187"/>
      <c r="G144" s="188"/>
      <c r="H144" s="192"/>
      <c r="I144" s="187"/>
      <c r="J144" s="188"/>
      <c r="K144" s="192"/>
      <c r="L144" s="93"/>
      <c r="M144" s="99"/>
      <c r="N144" s="169"/>
      <c r="O144" s="170"/>
    </row>
    <row r="145" spans="1:15" x14ac:dyDescent="0.25">
      <c r="A145" s="82"/>
      <c r="B145" s="83"/>
      <c r="C145" s="87"/>
      <c r="D145" s="181"/>
      <c r="E145" s="182"/>
      <c r="F145" s="187"/>
      <c r="G145" s="188"/>
      <c r="H145" s="192"/>
      <c r="I145" s="187"/>
      <c r="J145" s="188"/>
      <c r="K145" s="192"/>
      <c r="L145" s="93"/>
      <c r="M145" s="99"/>
      <c r="N145" s="169"/>
      <c r="O145" s="170"/>
    </row>
    <row r="146" spans="1:15" x14ac:dyDescent="0.25">
      <c r="A146" s="82"/>
      <c r="B146" s="83"/>
      <c r="C146" s="87"/>
      <c r="D146" s="181"/>
      <c r="E146" s="182"/>
      <c r="F146" s="187"/>
      <c r="G146" s="188"/>
      <c r="H146" s="192"/>
      <c r="I146" s="187"/>
      <c r="J146" s="188"/>
      <c r="K146" s="192"/>
      <c r="L146" s="93"/>
      <c r="M146" s="99"/>
      <c r="N146" s="169"/>
      <c r="O146" s="170"/>
    </row>
    <row r="147" spans="1:15" x14ac:dyDescent="0.25">
      <c r="A147" s="82"/>
      <c r="B147" s="83"/>
      <c r="C147" s="87"/>
      <c r="D147" s="181"/>
      <c r="E147" s="182"/>
      <c r="F147" s="187"/>
      <c r="G147" s="188"/>
      <c r="H147" s="192"/>
      <c r="I147" s="187"/>
      <c r="J147" s="188"/>
      <c r="K147" s="192"/>
      <c r="L147" s="93"/>
      <c r="M147" s="99"/>
      <c r="N147" s="169"/>
      <c r="O147" s="170"/>
    </row>
    <row r="148" spans="1:15" x14ac:dyDescent="0.25">
      <c r="A148" s="82"/>
      <c r="B148" s="83"/>
      <c r="C148" s="130"/>
      <c r="D148" s="183"/>
      <c r="E148" s="184"/>
      <c r="F148" s="189"/>
      <c r="G148" s="190"/>
      <c r="H148" s="193"/>
      <c r="I148" s="189"/>
      <c r="J148" s="190"/>
      <c r="K148" s="193"/>
      <c r="L148" s="129"/>
      <c r="M148" s="121"/>
      <c r="N148" s="171"/>
      <c r="O148" s="172"/>
    </row>
    <row r="149" spans="1:15" x14ac:dyDescent="0.25">
      <c r="A149" s="82"/>
      <c r="B149" s="83"/>
      <c r="C149" s="86" t="s">
        <v>185</v>
      </c>
      <c r="D149" s="179" t="s">
        <v>175</v>
      </c>
      <c r="E149" s="180"/>
      <c r="F149" s="185">
        <f>W25</f>
        <v>0</v>
      </c>
      <c r="G149" s="186"/>
      <c r="H149" s="191" t="s">
        <v>82</v>
      </c>
      <c r="I149" s="185">
        <f>Y25</f>
        <v>0</v>
      </c>
      <c r="J149" s="186"/>
      <c r="K149" s="191">
        <f>AB25</f>
        <v>0</v>
      </c>
      <c r="L149" s="92">
        <f>AA25</f>
        <v>0</v>
      </c>
      <c r="M149" s="98" t="s">
        <v>83</v>
      </c>
      <c r="N149" s="167">
        <v>0</v>
      </c>
      <c r="O149" s="168"/>
    </row>
    <row r="150" spans="1:15" x14ac:dyDescent="0.25">
      <c r="A150" s="82"/>
      <c r="B150" s="83"/>
      <c r="C150" s="87"/>
      <c r="D150" s="181"/>
      <c r="E150" s="182"/>
      <c r="F150" s="187"/>
      <c r="G150" s="188"/>
      <c r="H150" s="192"/>
      <c r="I150" s="187"/>
      <c r="J150" s="188"/>
      <c r="K150" s="192"/>
      <c r="L150" s="93"/>
      <c r="M150" s="99"/>
      <c r="N150" s="169"/>
      <c r="O150" s="170"/>
    </row>
    <row r="151" spans="1:15" x14ac:dyDescent="0.25">
      <c r="A151" s="82"/>
      <c r="B151" s="83"/>
      <c r="C151" s="87"/>
      <c r="D151" s="181"/>
      <c r="E151" s="182"/>
      <c r="F151" s="187"/>
      <c r="G151" s="188"/>
      <c r="H151" s="192"/>
      <c r="I151" s="187"/>
      <c r="J151" s="188"/>
      <c r="K151" s="192"/>
      <c r="L151" s="93"/>
      <c r="M151" s="99"/>
      <c r="N151" s="169"/>
      <c r="O151" s="170"/>
    </row>
    <row r="152" spans="1:15" x14ac:dyDescent="0.25">
      <c r="A152" s="82"/>
      <c r="B152" s="83"/>
      <c r="C152" s="87"/>
      <c r="D152" s="181"/>
      <c r="E152" s="182"/>
      <c r="F152" s="187"/>
      <c r="G152" s="188"/>
      <c r="H152" s="192"/>
      <c r="I152" s="187"/>
      <c r="J152" s="188"/>
      <c r="K152" s="192"/>
      <c r="L152" s="93"/>
      <c r="M152" s="99"/>
      <c r="N152" s="169"/>
      <c r="O152" s="170"/>
    </row>
    <row r="153" spans="1:15" ht="15.75" thickBot="1" x14ac:dyDescent="0.3">
      <c r="A153" s="82"/>
      <c r="B153" s="83"/>
      <c r="C153" s="130"/>
      <c r="D153" s="183"/>
      <c r="E153" s="184"/>
      <c r="F153" s="189"/>
      <c r="G153" s="190"/>
      <c r="H153" s="193"/>
      <c r="I153" s="189"/>
      <c r="J153" s="190"/>
      <c r="K153" s="193"/>
      <c r="L153" s="129"/>
      <c r="M153" s="121"/>
      <c r="N153" s="171"/>
      <c r="O153" s="172"/>
    </row>
    <row r="154" spans="1:15" x14ac:dyDescent="0.25">
      <c r="A154" s="80" t="s">
        <v>178</v>
      </c>
      <c r="B154" s="81"/>
      <c r="C154" s="86" t="s">
        <v>179</v>
      </c>
      <c r="D154" s="89" t="s">
        <v>180</v>
      </c>
      <c r="E154" s="89"/>
      <c r="F154" s="92" t="str">
        <f>IF(AND(N154&gt;0,N154&lt;=15),"Single restroom okay for 15 or less (IPC 403.2(2))",IF(AND(N154&gt;15,Q5&lt;=15),W26,IF(Q5&lt;=15,"Single restroom okay for 15 or less (IPC 403.2(2))",W26)))</f>
        <v>Single restroom okay for 15 or less (IPC 403.2(2))</v>
      </c>
      <c r="G154" s="92"/>
      <c r="H154" s="92" t="s">
        <v>82</v>
      </c>
      <c r="I154" s="92">
        <f>Y26</f>
        <v>0</v>
      </c>
      <c r="J154" s="92"/>
      <c r="K154" s="92" t="str">
        <f>AB26</f>
        <v>See section 411 if eyewash stations are provided</v>
      </c>
      <c r="L154" s="92" t="str">
        <f>IF(AND(N154&gt;0,N154&lt;=15),"15 or less Fountain exempt(IPC 410.2)",IF(Q5&lt;=15,"15 or less Fountain exempt(IPC 410.2)",AA25))</f>
        <v>15 or less Fountain exempt(IPC 410.2)</v>
      </c>
      <c r="M154" s="98" t="s">
        <v>83</v>
      </c>
      <c r="N154" s="101">
        <v>0</v>
      </c>
      <c r="O154" s="102"/>
    </row>
    <row r="155" spans="1:15" x14ac:dyDescent="0.25">
      <c r="A155" s="82"/>
      <c r="B155" s="83"/>
      <c r="C155" s="87"/>
      <c r="D155" s="90"/>
      <c r="E155" s="90"/>
      <c r="F155" s="93"/>
      <c r="G155" s="93"/>
      <c r="H155" s="93"/>
      <c r="I155" s="93"/>
      <c r="J155" s="93"/>
      <c r="K155" s="93"/>
      <c r="L155" s="93"/>
      <c r="M155" s="99"/>
      <c r="N155" s="103"/>
      <c r="O155" s="104"/>
    </row>
    <row r="156" spans="1:15" x14ac:dyDescent="0.25">
      <c r="A156" s="82"/>
      <c r="B156" s="83"/>
      <c r="C156" s="87"/>
      <c r="D156" s="90"/>
      <c r="E156" s="90"/>
      <c r="F156" s="93"/>
      <c r="G156" s="93"/>
      <c r="H156" s="93"/>
      <c r="I156" s="93"/>
      <c r="J156" s="93"/>
      <c r="K156" s="93"/>
      <c r="L156" s="93"/>
      <c r="M156" s="99"/>
      <c r="N156" s="103"/>
      <c r="O156" s="104"/>
    </row>
    <row r="157" spans="1:15" x14ac:dyDescent="0.25">
      <c r="A157" s="82"/>
      <c r="B157" s="83"/>
      <c r="C157" s="87"/>
      <c r="D157" s="90"/>
      <c r="E157" s="90"/>
      <c r="F157" s="93"/>
      <c r="G157" s="93"/>
      <c r="H157" s="93"/>
      <c r="I157" s="93"/>
      <c r="J157" s="93"/>
      <c r="K157" s="93"/>
      <c r="L157" s="93"/>
      <c r="M157" s="99"/>
      <c r="N157" s="103"/>
      <c r="O157" s="104"/>
    </row>
    <row r="158" spans="1:15" x14ac:dyDescent="0.25">
      <c r="A158" s="82"/>
      <c r="B158" s="83"/>
      <c r="C158" s="87"/>
      <c r="D158" s="90"/>
      <c r="E158" s="90"/>
      <c r="F158" s="93"/>
      <c r="G158" s="93"/>
      <c r="H158" s="93"/>
      <c r="I158" s="93"/>
      <c r="J158" s="93"/>
      <c r="K158" s="93"/>
      <c r="L158" s="93"/>
      <c r="M158" s="99"/>
      <c r="N158" s="103"/>
      <c r="O158" s="104"/>
    </row>
    <row r="159" spans="1:15" x14ac:dyDescent="0.25">
      <c r="A159" s="82"/>
      <c r="B159" s="83"/>
      <c r="C159" s="87"/>
      <c r="D159" s="90"/>
      <c r="E159" s="90"/>
      <c r="F159" s="93"/>
      <c r="G159" s="93"/>
      <c r="H159" s="93"/>
      <c r="I159" s="93"/>
      <c r="J159" s="93"/>
      <c r="K159" s="93"/>
      <c r="L159" s="93"/>
      <c r="M159" s="99"/>
      <c r="N159" s="103"/>
      <c r="O159" s="104"/>
    </row>
    <row r="160" spans="1:15" ht="15.75" thickBot="1" x14ac:dyDescent="0.3">
      <c r="A160" s="84"/>
      <c r="B160" s="85"/>
      <c r="C160" s="88"/>
      <c r="D160" s="91"/>
      <c r="E160" s="91"/>
      <c r="F160" s="94"/>
      <c r="G160" s="94"/>
      <c r="H160" s="94"/>
      <c r="I160" s="94"/>
      <c r="J160" s="94"/>
      <c r="K160" s="94"/>
      <c r="L160" s="94"/>
      <c r="M160" s="100"/>
      <c r="N160" s="105"/>
      <c r="O160" s="106"/>
    </row>
  </sheetData>
  <mergeCells count="291">
    <mergeCell ref="F113:G116"/>
    <mergeCell ref="I113:J116"/>
    <mergeCell ref="N113:O116"/>
    <mergeCell ref="F117:G124"/>
    <mergeCell ref="I117:J124"/>
    <mergeCell ref="N117:O124"/>
    <mergeCell ref="F99:G101"/>
    <mergeCell ref="I99:J101"/>
    <mergeCell ref="N99:O101"/>
    <mergeCell ref="N102:O104"/>
    <mergeCell ref="F105:G108"/>
    <mergeCell ref="I105:J108"/>
    <mergeCell ref="N105:O108"/>
    <mergeCell ref="K117:K124"/>
    <mergeCell ref="L117:L124"/>
    <mergeCell ref="M117:M124"/>
    <mergeCell ref="F109:G112"/>
    <mergeCell ref="H105:H108"/>
    <mergeCell ref="F125:G127"/>
    <mergeCell ref="H125:H127"/>
    <mergeCell ref="I125:J127"/>
    <mergeCell ref="K125:K127"/>
    <mergeCell ref="L154:L160"/>
    <mergeCell ref="M154:M160"/>
    <mergeCell ref="F62:G72"/>
    <mergeCell ref="I62:J72"/>
    <mergeCell ref="N62:O72"/>
    <mergeCell ref="F73:G78"/>
    <mergeCell ref="N73:O78"/>
    <mergeCell ref="I73:J78"/>
    <mergeCell ref="F79:G85"/>
    <mergeCell ref="L105:L108"/>
    <mergeCell ref="M105:M108"/>
    <mergeCell ref="L102:L104"/>
    <mergeCell ref="M102:M104"/>
    <mergeCell ref="K99:K101"/>
    <mergeCell ref="L99:L101"/>
    <mergeCell ref="F86:G91"/>
    <mergeCell ref="I86:J91"/>
    <mergeCell ref="N86:O91"/>
    <mergeCell ref="F95:G98"/>
    <mergeCell ref="I95:J98"/>
    <mergeCell ref="I128:J132"/>
    <mergeCell ref="K128:K132"/>
    <mergeCell ref="I149:J153"/>
    <mergeCell ref="K149:K153"/>
    <mergeCell ref="N95:O98"/>
    <mergeCell ref="N92:O94"/>
    <mergeCell ref="L86:L91"/>
    <mergeCell ref="M86:M91"/>
    <mergeCell ref="K79:K85"/>
    <mergeCell ref="L79:L85"/>
    <mergeCell ref="M133:M138"/>
    <mergeCell ref="N133:O138"/>
    <mergeCell ref="N139:O142"/>
    <mergeCell ref="N125:O127"/>
    <mergeCell ref="N128:O132"/>
    <mergeCell ref="L125:L127"/>
    <mergeCell ref="M125:M127"/>
    <mergeCell ref="L133:L138"/>
    <mergeCell ref="L128:L132"/>
    <mergeCell ref="M128:M132"/>
    <mergeCell ref="K109:K112"/>
    <mergeCell ref="I109:J112"/>
    <mergeCell ref="N109:O112"/>
    <mergeCell ref="I143:J148"/>
    <mergeCell ref="K143:K148"/>
    <mergeCell ref="L143:L148"/>
    <mergeCell ref="M143:M148"/>
    <mergeCell ref="N143:O148"/>
    <mergeCell ref="A154:B160"/>
    <mergeCell ref="C154:C160"/>
    <mergeCell ref="D154:E160"/>
    <mergeCell ref="F154:G160"/>
    <mergeCell ref="H154:H160"/>
    <mergeCell ref="I154:J160"/>
    <mergeCell ref="K154:K160"/>
    <mergeCell ref="A125:B153"/>
    <mergeCell ref="C125:C127"/>
    <mergeCell ref="D125:E127"/>
    <mergeCell ref="D133:E138"/>
    <mergeCell ref="F133:G138"/>
    <mergeCell ref="H133:H138"/>
    <mergeCell ref="I133:J138"/>
    <mergeCell ref="K133:K138"/>
    <mergeCell ref="C128:C138"/>
    <mergeCell ref="D128:E132"/>
    <mergeCell ref="F128:G132"/>
    <mergeCell ref="H128:H132"/>
    <mergeCell ref="M149:M153"/>
    <mergeCell ref="C102:C112"/>
    <mergeCell ref="D102:E104"/>
    <mergeCell ref="F102:G104"/>
    <mergeCell ref="H102:H104"/>
    <mergeCell ref="I102:J104"/>
    <mergeCell ref="K102:K104"/>
    <mergeCell ref="K105:K108"/>
    <mergeCell ref="N154:O160"/>
    <mergeCell ref="D139:E142"/>
    <mergeCell ref="F139:G142"/>
    <mergeCell ref="H139:H142"/>
    <mergeCell ref="I139:J142"/>
    <mergeCell ref="K139:K142"/>
    <mergeCell ref="L139:L142"/>
    <mergeCell ref="M139:M142"/>
    <mergeCell ref="C139:C148"/>
    <mergeCell ref="D143:E148"/>
    <mergeCell ref="D149:E153"/>
    <mergeCell ref="C149:C153"/>
    <mergeCell ref="F143:G148"/>
    <mergeCell ref="F149:G153"/>
    <mergeCell ref="H143:H148"/>
    <mergeCell ref="H149:H153"/>
    <mergeCell ref="L149:L153"/>
    <mergeCell ref="L92:L94"/>
    <mergeCell ref="M92:M94"/>
    <mergeCell ref="D95:E98"/>
    <mergeCell ref="H95:H98"/>
    <mergeCell ref="M99:M101"/>
    <mergeCell ref="K95:K98"/>
    <mergeCell ref="L95:L98"/>
    <mergeCell ref="M95:M98"/>
    <mergeCell ref="A117:B124"/>
    <mergeCell ref="C117:C124"/>
    <mergeCell ref="D117:E124"/>
    <mergeCell ref="H117:H124"/>
    <mergeCell ref="K113:K116"/>
    <mergeCell ref="L113:L116"/>
    <mergeCell ref="M113:M116"/>
    <mergeCell ref="L109:L112"/>
    <mergeCell ref="M109:M112"/>
    <mergeCell ref="C113:C116"/>
    <mergeCell ref="D113:E116"/>
    <mergeCell ref="H113:H116"/>
    <mergeCell ref="D109:E112"/>
    <mergeCell ref="H109:H112"/>
    <mergeCell ref="A86:B116"/>
    <mergeCell ref="D105:E108"/>
    <mergeCell ref="C92:C101"/>
    <mergeCell ref="D92:E94"/>
    <mergeCell ref="F92:G94"/>
    <mergeCell ref="H92:H94"/>
    <mergeCell ref="I92:J94"/>
    <mergeCell ref="K92:K94"/>
    <mergeCell ref="C86:C91"/>
    <mergeCell ref="D86:E91"/>
    <mergeCell ref="H86:H91"/>
    <mergeCell ref="K86:K91"/>
    <mergeCell ref="D99:E101"/>
    <mergeCell ref="H99:H101"/>
    <mergeCell ref="M79:M85"/>
    <mergeCell ref="I79:J85"/>
    <mergeCell ref="N79:O85"/>
    <mergeCell ref="L73:L78"/>
    <mergeCell ref="M73:M78"/>
    <mergeCell ref="A79:B85"/>
    <mergeCell ref="C79:C85"/>
    <mergeCell ref="D79:E85"/>
    <mergeCell ref="H79:H85"/>
    <mergeCell ref="A73:B78"/>
    <mergeCell ref="C73:C78"/>
    <mergeCell ref="D73:E78"/>
    <mergeCell ref="H73:H78"/>
    <mergeCell ref="K73:K78"/>
    <mergeCell ref="A62:B72"/>
    <mergeCell ref="C62:C72"/>
    <mergeCell ref="D62:E72"/>
    <mergeCell ref="H62:H72"/>
    <mergeCell ref="J55:J61"/>
    <mergeCell ref="K55:K61"/>
    <mergeCell ref="L55:L61"/>
    <mergeCell ref="M55:M61"/>
    <mergeCell ref="A3:B61"/>
    <mergeCell ref="C3:C8"/>
    <mergeCell ref="D3:E8"/>
    <mergeCell ref="F3:F8"/>
    <mergeCell ref="G3:G8"/>
    <mergeCell ref="H3:H8"/>
    <mergeCell ref="I3:I8"/>
    <mergeCell ref="J3:J8"/>
    <mergeCell ref="C55:C61"/>
    <mergeCell ref="D55:E61"/>
    <mergeCell ref="F55:F61"/>
    <mergeCell ref="G55:G61"/>
    <mergeCell ref="H55:H61"/>
    <mergeCell ref="C49:C54"/>
    <mergeCell ref="D49:E54"/>
    <mergeCell ref="F49:F54"/>
    <mergeCell ref="G49:G54"/>
    <mergeCell ref="H49:H54"/>
    <mergeCell ref="I49:I54"/>
    <mergeCell ref="K62:K72"/>
    <mergeCell ref="L62:L72"/>
    <mergeCell ref="M62:M72"/>
    <mergeCell ref="N55:N61"/>
    <mergeCell ref="O55:O61"/>
    <mergeCell ref="M49:M54"/>
    <mergeCell ref="N49:N54"/>
    <mergeCell ref="O49:O54"/>
    <mergeCell ref="I55:I61"/>
    <mergeCell ref="J49:J54"/>
    <mergeCell ref="K49:K54"/>
    <mergeCell ref="L49:L54"/>
    <mergeCell ref="D31:E36"/>
    <mergeCell ref="F31:F36"/>
    <mergeCell ref="G31:G36"/>
    <mergeCell ref="H31:H36"/>
    <mergeCell ref="I31:I36"/>
    <mergeCell ref="J31:J36"/>
    <mergeCell ref="K31:K36"/>
    <mergeCell ref="L31:L36"/>
    <mergeCell ref="M31:M36"/>
    <mergeCell ref="J37:J42"/>
    <mergeCell ref="J43:J48"/>
    <mergeCell ref="K43:K48"/>
    <mergeCell ref="L43:L48"/>
    <mergeCell ref="M21:M30"/>
    <mergeCell ref="N21:N30"/>
    <mergeCell ref="O21:O30"/>
    <mergeCell ref="N31:N36"/>
    <mergeCell ref="O31:O36"/>
    <mergeCell ref="M43:M48"/>
    <mergeCell ref="N43:N48"/>
    <mergeCell ref="O43:O48"/>
    <mergeCell ref="K37:K42"/>
    <mergeCell ref="L37:L42"/>
    <mergeCell ref="M37:M42"/>
    <mergeCell ref="N37:N42"/>
    <mergeCell ref="O37:O42"/>
    <mergeCell ref="J15:J20"/>
    <mergeCell ref="K15:K20"/>
    <mergeCell ref="L15:L20"/>
    <mergeCell ref="M15:M20"/>
    <mergeCell ref="N15:N20"/>
    <mergeCell ref="C21:C48"/>
    <mergeCell ref="D21:E30"/>
    <mergeCell ref="F21:F30"/>
    <mergeCell ref="G21:G30"/>
    <mergeCell ref="H21:H30"/>
    <mergeCell ref="I21:I30"/>
    <mergeCell ref="J21:J30"/>
    <mergeCell ref="K21:K30"/>
    <mergeCell ref="L21:L30"/>
    <mergeCell ref="D43:E48"/>
    <mergeCell ref="F43:F48"/>
    <mergeCell ref="G43:G48"/>
    <mergeCell ref="H43:H48"/>
    <mergeCell ref="I43:I48"/>
    <mergeCell ref="D37:E42"/>
    <mergeCell ref="F37:F42"/>
    <mergeCell ref="G37:G42"/>
    <mergeCell ref="H37:H42"/>
    <mergeCell ref="I37:I42"/>
    <mergeCell ref="Q3:R4"/>
    <mergeCell ref="Q5:R5"/>
    <mergeCell ref="K1:K2"/>
    <mergeCell ref="L1:L2"/>
    <mergeCell ref="M1:M2"/>
    <mergeCell ref="N1:O1"/>
    <mergeCell ref="W1:X1"/>
    <mergeCell ref="Y1:Z1"/>
    <mergeCell ref="J9:J14"/>
    <mergeCell ref="K9:K14"/>
    <mergeCell ref="L9:L14"/>
    <mergeCell ref="M9:M14"/>
    <mergeCell ref="N9:N14"/>
    <mergeCell ref="O9:O14"/>
    <mergeCell ref="N149:O153"/>
    <mergeCell ref="A1:B2"/>
    <mergeCell ref="C1:C2"/>
    <mergeCell ref="D1:E2"/>
    <mergeCell ref="F1:G1"/>
    <mergeCell ref="H1:H2"/>
    <mergeCell ref="I1:J1"/>
    <mergeCell ref="K3:K8"/>
    <mergeCell ref="L3:L8"/>
    <mergeCell ref="M3:M8"/>
    <mergeCell ref="N3:N8"/>
    <mergeCell ref="O3:O8"/>
    <mergeCell ref="C9:C20"/>
    <mergeCell ref="D9:E14"/>
    <mergeCell ref="F9:F14"/>
    <mergeCell ref="G9:G14"/>
    <mergeCell ref="H9:H14"/>
    <mergeCell ref="I9:I14"/>
    <mergeCell ref="D15:E20"/>
    <mergeCell ref="F15:F20"/>
    <mergeCell ref="G15:G20"/>
    <mergeCell ref="H15:H20"/>
    <mergeCell ref="O15:O20"/>
    <mergeCell ref="I15:I20"/>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83C83-AEF6-4056-87F5-B006E0FC3AA8}">
  <dimension ref="A1:AB198"/>
  <sheetViews>
    <sheetView zoomScale="85" zoomScaleNormal="85" workbookViewId="0">
      <pane xSplit="15" ySplit="2" topLeftCell="P3" activePane="bottomRight" state="frozen"/>
      <selection pane="topRight" activeCell="P1" sqref="P1"/>
      <selection pane="bottomLeft" activeCell="A3" sqref="A3"/>
      <selection pane="bottomRight" activeCell="P14" sqref="P14"/>
    </sheetView>
  </sheetViews>
  <sheetFormatPr defaultRowHeight="15" x14ac:dyDescent="0.25"/>
  <cols>
    <col min="1" max="1" width="7.28515625" customWidth="1"/>
    <col min="2" max="2" width="7.140625" customWidth="1"/>
    <col min="3" max="3" width="11" customWidth="1"/>
    <col min="4" max="5" width="9.7109375" customWidth="1"/>
    <col min="6" max="7" width="10.7109375" customWidth="1"/>
    <col min="8" max="8" width="14.7109375" customWidth="1"/>
    <col min="9" max="10" width="10.7109375" customWidth="1"/>
    <col min="12" max="13" width="15.7109375" customWidth="1"/>
    <col min="17" max="18" width="10.7109375" customWidth="1"/>
    <col min="19" max="19" width="13.5703125" customWidth="1"/>
    <col min="21" max="23" width="8.85546875" hidden="1" customWidth="1"/>
    <col min="24" max="24" width="9.85546875" hidden="1" customWidth="1"/>
    <col min="25" max="28" width="8.85546875" hidden="1" customWidth="1"/>
  </cols>
  <sheetData>
    <row r="1" spans="1:28" ht="31.9" customHeight="1" thickBot="1" x14ac:dyDescent="0.3">
      <c r="A1" s="134" t="s">
        <v>60</v>
      </c>
      <c r="B1" s="135"/>
      <c r="C1" s="138" t="s">
        <v>61</v>
      </c>
      <c r="D1" s="134" t="s">
        <v>62</v>
      </c>
      <c r="E1" s="135"/>
      <c r="F1" s="146" t="s">
        <v>63</v>
      </c>
      <c r="G1" s="147"/>
      <c r="H1" s="148" t="s">
        <v>64</v>
      </c>
      <c r="I1" s="150" t="s">
        <v>65</v>
      </c>
      <c r="J1" s="151"/>
      <c r="K1" s="161" t="s">
        <v>66</v>
      </c>
      <c r="L1" s="148" t="s">
        <v>67</v>
      </c>
      <c r="M1" s="163" t="s">
        <v>68</v>
      </c>
      <c r="N1" s="165" t="s">
        <v>69</v>
      </c>
      <c r="O1" s="166"/>
      <c r="P1" s="13"/>
      <c r="W1" s="132" t="s">
        <v>70</v>
      </c>
      <c r="X1" s="133"/>
      <c r="Y1" s="132" t="s">
        <v>71</v>
      </c>
      <c r="Z1" s="133"/>
      <c r="AA1" s="25" t="s">
        <v>72</v>
      </c>
      <c r="AB1" s="25" t="s">
        <v>73</v>
      </c>
    </row>
    <row r="2" spans="1:28" ht="15.75" thickBot="1" x14ac:dyDescent="0.3">
      <c r="A2" s="136"/>
      <c r="B2" s="137"/>
      <c r="C2" s="139"/>
      <c r="D2" s="136"/>
      <c r="E2" s="137"/>
      <c r="F2" s="8" t="s">
        <v>74</v>
      </c>
      <c r="G2" s="9" t="s">
        <v>75</v>
      </c>
      <c r="H2" s="149"/>
      <c r="I2" s="9" t="s">
        <v>74</v>
      </c>
      <c r="J2" s="10" t="s">
        <v>75</v>
      </c>
      <c r="K2" s="162"/>
      <c r="L2" s="149"/>
      <c r="M2" s="164"/>
      <c r="N2" s="12" t="s">
        <v>74</v>
      </c>
      <c r="O2" s="12" t="s">
        <v>75</v>
      </c>
      <c r="P2" s="13"/>
      <c r="W2" s="27" t="s">
        <v>186</v>
      </c>
      <c r="X2" s="27" t="s">
        <v>186</v>
      </c>
      <c r="Y2" s="27" t="s">
        <v>186</v>
      </c>
      <c r="Z2" s="27" t="s">
        <v>186</v>
      </c>
      <c r="AA2" s="27" t="s">
        <v>77</v>
      </c>
      <c r="AB2" s="27" t="s">
        <v>77</v>
      </c>
    </row>
    <row r="3" spans="1:28" ht="14.45" customHeight="1" x14ac:dyDescent="0.25">
      <c r="A3" s="80" t="s">
        <v>78</v>
      </c>
      <c r="B3" s="81"/>
      <c r="C3" s="158" t="s">
        <v>79</v>
      </c>
      <c r="D3" s="160" t="s">
        <v>80</v>
      </c>
      <c r="E3" s="160"/>
      <c r="F3" s="152" t="str">
        <f>IF(AND(OR(N3&gt;0,O3&gt;0),N3+O3&lt;=15),"Single restroom okay for 15 or less (IPC 403.2(2))",IF(AND(OR(N3&gt;0,O3&gt;0),N3+O3&gt;Q5),W4,IF(AND(OR(N3&gt;0,O3&gt;0),N3+O3&lt;Q5),W4,IF(Q5&lt;=15,"Single restroom okay for 15 or less (IPC 403.2(2))",W4))))</f>
        <v>Single restroom okay for 15 or less (IPC 403.2(2))</v>
      </c>
      <c r="G3" s="152" t="str">
        <f>IF(F3="Single restroom okay for 15 or less (IPC 403.2(2))","-",X4)</f>
        <v>-</v>
      </c>
      <c r="H3" s="152" t="s">
        <v>181</v>
      </c>
      <c r="I3" s="152">
        <f>Y4</f>
        <v>0</v>
      </c>
      <c r="J3" s="152" t="str">
        <f>IF(F3="Single restroom okay for 15 or less (IPC 403.2(2))","-",Z4)</f>
        <v>-</v>
      </c>
      <c r="K3" s="152" t="s">
        <v>82</v>
      </c>
      <c r="L3" s="152" t="str">
        <f>IF(F3="Single restroom okay for 15 or less (IPC 403.2(2))","15 or less Fountain exempt(IPC 410.2)",AA4)</f>
        <v>15 or less Fountain exempt(IPC 410.2)</v>
      </c>
      <c r="M3" s="153" t="s">
        <v>83</v>
      </c>
      <c r="N3" s="154">
        <v>0</v>
      </c>
      <c r="O3" s="156">
        <f>N3</f>
        <v>0</v>
      </c>
      <c r="P3" s="13"/>
      <c r="Q3" s="140" t="s">
        <v>84</v>
      </c>
      <c r="R3" s="141"/>
      <c r="V3" s="2"/>
      <c r="W3" s="27" t="s">
        <v>85</v>
      </c>
      <c r="X3" s="4" t="s">
        <v>86</v>
      </c>
      <c r="Y3" s="27" t="s">
        <v>85</v>
      </c>
      <c r="Z3" s="4" t="s">
        <v>86</v>
      </c>
      <c r="AA3" s="27" t="s">
        <v>72</v>
      </c>
      <c r="AB3" s="27" t="s">
        <v>73</v>
      </c>
    </row>
    <row r="4" spans="1:28" ht="15.75" thickBot="1" x14ac:dyDescent="0.3">
      <c r="A4" s="82"/>
      <c r="B4" s="83"/>
      <c r="C4" s="159"/>
      <c r="D4" s="111"/>
      <c r="E4" s="111"/>
      <c r="F4" s="112"/>
      <c r="G4" s="112"/>
      <c r="H4" s="112"/>
      <c r="I4" s="112"/>
      <c r="J4" s="112"/>
      <c r="K4" s="112"/>
      <c r="L4" s="112"/>
      <c r="M4" s="114"/>
      <c r="N4" s="155"/>
      <c r="O4" s="157"/>
      <c r="P4" s="13"/>
      <c r="Q4" s="142"/>
      <c r="R4" s="143"/>
      <c r="U4" s="5" t="s">
        <v>87</v>
      </c>
      <c r="V4" t="s">
        <v>88</v>
      </c>
      <c r="W4" s="30">
        <f>IF(N3&gt;0,ROUNDUP((N3/125),0),ROUNDUP((Q8/125),0))</f>
        <v>0</v>
      </c>
      <c r="X4" s="1">
        <f>IF(O3&gt;0,ROUNDUP((O3/65),0),ROUNDUP((R8/65),0))</f>
        <v>0</v>
      </c>
      <c r="Y4" s="32">
        <f>IF(N3&gt;0,ROUNDUP((N3/200),0),ROUNDUP((Q8/200),0))</f>
        <v>0</v>
      </c>
      <c r="Z4" s="1">
        <f>IF(O3&gt;0,ROUNDUP((O3/200),0),ROUNDUP((R8/200),0))</f>
        <v>0</v>
      </c>
      <c r="AA4" s="32">
        <f>IF(OR(N3&gt;0,O3&gt;0),ROUNDUP((N3+O3)/500,0),ROUNDUP(Q5/500,0))</f>
        <v>0</v>
      </c>
      <c r="AB4" s="30" t="s">
        <v>82</v>
      </c>
    </row>
    <row r="5" spans="1:28" ht="19.5" thickBot="1" x14ac:dyDescent="0.3">
      <c r="A5" s="82"/>
      <c r="B5" s="83"/>
      <c r="C5" s="159"/>
      <c r="D5" s="111"/>
      <c r="E5" s="111"/>
      <c r="F5" s="112"/>
      <c r="G5" s="112"/>
      <c r="H5" s="112"/>
      <c r="I5" s="112"/>
      <c r="J5" s="112"/>
      <c r="K5" s="112"/>
      <c r="L5" s="112"/>
      <c r="M5" s="114"/>
      <c r="N5" s="155"/>
      <c r="O5" s="157"/>
      <c r="P5" s="13"/>
      <c r="Q5" s="144">
        <f>'Occupant Calculator'!D34</f>
        <v>0</v>
      </c>
      <c r="R5" s="145"/>
      <c r="U5" s="5" t="s">
        <v>89</v>
      </c>
      <c r="V5" t="s">
        <v>90</v>
      </c>
      <c r="W5" s="30">
        <f>IF(N9&gt;0,ROUNDUP((N9/40),0),ROUNDUP((Q8/40),0))</f>
        <v>0</v>
      </c>
      <c r="X5" s="1">
        <f>IF(O9&gt;0,ROUNDUP((O9/40),0),ROUNDUP((R8/40),0))</f>
        <v>0</v>
      </c>
      <c r="Y5" s="30">
        <f>IF(N9&gt;0,ROUNDUP((N9/75),0),ROUNDUP((Q8/75),0))</f>
        <v>0</v>
      </c>
      <c r="Z5" s="1">
        <f>IF(O9&gt;0,ROUNDUP((O9/75),0),ROUNDUP((R8/75),0))</f>
        <v>0</v>
      </c>
      <c r="AA5" s="32">
        <f>IF(OR(N9&gt;0,O9&gt;0),ROUNDUP((N9+O9)/500,0),ROUNDUP(Q5/500,0))</f>
        <v>0</v>
      </c>
      <c r="AB5" s="30" t="s">
        <v>82</v>
      </c>
    </row>
    <row r="6" spans="1:28" ht="14.45" customHeight="1" x14ac:dyDescent="0.25">
      <c r="A6" s="82"/>
      <c r="B6" s="83"/>
      <c r="C6" s="159"/>
      <c r="D6" s="111"/>
      <c r="E6" s="111"/>
      <c r="F6" s="112"/>
      <c r="G6" s="112"/>
      <c r="H6" s="112"/>
      <c r="I6" s="112"/>
      <c r="J6" s="112"/>
      <c r="K6" s="112"/>
      <c r="L6" s="112"/>
      <c r="M6" s="114"/>
      <c r="N6" s="155"/>
      <c r="O6" s="157"/>
      <c r="Q6" s="1"/>
      <c r="R6" s="1"/>
      <c r="U6" s="5" t="s">
        <v>91</v>
      </c>
      <c r="V6" t="s">
        <v>90</v>
      </c>
      <c r="W6" s="30">
        <f>IF(N15&gt;0,ROUNDUP((N15/75),0),ROUNDUP((Q8/75),0))</f>
        <v>0</v>
      </c>
      <c r="X6" s="1">
        <f>IF(O15&gt;0,ROUNDUP((O15/75),0),ROUNDUP((R8/75),0))</f>
        <v>0</v>
      </c>
      <c r="Y6" s="30">
        <f>IF(N15&gt;0,ROUNDUP((N15/200),0),ROUNDUP((Q8/200),0))</f>
        <v>0</v>
      </c>
      <c r="Z6" s="1">
        <f>IF(O15&gt;0,ROUNDUP((O15/200),0),ROUNDUP((R8/200),0))</f>
        <v>0</v>
      </c>
      <c r="AA6" s="32">
        <f>IF(OR(N15&gt;0,O15&gt;0),ROUNDUP((N15+O15)/500,0),ROUNDUP(Q5/500,0))</f>
        <v>0</v>
      </c>
      <c r="AB6" s="30" t="s">
        <v>82</v>
      </c>
    </row>
    <row r="7" spans="1:28" ht="15.75" x14ac:dyDescent="0.25">
      <c r="A7" s="82"/>
      <c r="B7" s="83"/>
      <c r="C7" s="159"/>
      <c r="D7" s="111"/>
      <c r="E7" s="111"/>
      <c r="F7" s="112"/>
      <c r="G7" s="112"/>
      <c r="H7" s="112"/>
      <c r="I7" s="112"/>
      <c r="J7" s="112"/>
      <c r="K7" s="112"/>
      <c r="L7" s="112"/>
      <c r="M7" s="114"/>
      <c r="N7" s="155"/>
      <c r="O7" s="157"/>
      <c r="Q7" s="15" t="s">
        <v>74</v>
      </c>
      <c r="R7" s="15" t="s">
        <v>75</v>
      </c>
      <c r="U7" s="5" t="s">
        <v>92</v>
      </c>
      <c r="V7" t="s">
        <v>93</v>
      </c>
      <c r="W7" s="30">
        <f>IF(N21&gt;0,ROUNDUP((N21/125),0),ROUNDUP((Q8/125),0))</f>
        <v>0</v>
      </c>
      <c r="X7" s="1">
        <f>IF(O21&gt;0,ROUNDUP((O21/65),0),ROUNDUP((R8/65),0))</f>
        <v>0</v>
      </c>
      <c r="Y7" s="32">
        <f>IF(N21&gt;0,ROUNDUP((N21/200),0),ROUNDUP((Q8/200),0))</f>
        <v>0</v>
      </c>
      <c r="Z7" s="1">
        <f>IF(O21&gt;0,ROUNDUP((O21/200),0),ROUNDUP((R8/200),0))</f>
        <v>0</v>
      </c>
      <c r="AA7" s="32">
        <f>IF(OR(N21&gt;0,O21&gt;0),ROUNDUP((N21+O21)/500,0),ROUNDUP(Q5/500,0))</f>
        <v>0</v>
      </c>
      <c r="AB7" s="30" t="s">
        <v>82</v>
      </c>
    </row>
    <row r="8" spans="1:28" ht="16.149999999999999" customHeight="1" x14ac:dyDescent="0.25">
      <c r="A8" s="82"/>
      <c r="B8" s="83"/>
      <c r="C8" s="159"/>
      <c r="D8" s="111"/>
      <c r="E8" s="111"/>
      <c r="F8" s="112"/>
      <c r="G8" s="112"/>
      <c r="H8" s="112"/>
      <c r="I8" s="112"/>
      <c r="J8" s="112"/>
      <c r="K8" s="112"/>
      <c r="L8" s="112"/>
      <c r="M8" s="98"/>
      <c r="N8" s="155"/>
      <c r="O8" s="157"/>
      <c r="Q8" s="16">
        <f>ROUNDUP((Q5/2),1)</f>
        <v>0</v>
      </c>
      <c r="R8" s="16">
        <f>ROUNDUP((Q5/2),1)</f>
        <v>0</v>
      </c>
      <c r="U8" s="5" t="s">
        <v>94</v>
      </c>
      <c r="V8" t="s">
        <v>93</v>
      </c>
      <c r="W8" s="30">
        <f>IF(AND(N30&gt;0,N30&lt;=400),(ROUNDUP(N30/100,0)),IF(N30&gt;400,(ROUNDUP(N30/250,0))+3,IF(AND(Q8&gt;0,Q8&lt;=400),(ROUNDUP(Q8/100,0)),IF(Q8&gt;400,(ROUNDUP(Q8/250,0))+3,0))))</f>
        <v>0</v>
      </c>
      <c r="X8" s="1">
        <f>IF(AND(O30&gt;0,O30&lt;=400),(ROUNDUP(O30/50,0)),IF(O30&gt;400,(ROUNDUP(O30/150,0))+5,IF(AND(R8&gt;0,R8&lt;=400),(ROUNDUP(R8/50,0)),IF(R8&gt;400,(ROUNDUP(R8/150,0))+5,0))))</f>
        <v>0</v>
      </c>
      <c r="Y8" s="30">
        <f>IF(AND(N30&gt;0,N30&lt;=250),1,IF(AND(N30&gt;250,N30&lt;=500),2,IF(AND(N30&gt;500,N30&lt;=750),3,IF(N30&gt;750,(ROUNDUP(N30/500,0)+2),IF(AND(Q8&gt;0,Q8&lt;=250),1,IF(AND(Q8&gt;250,Q8&lt;=500),2,IF(AND(Q8&gt;500,Q8&lt;=750),3,IF(Q8&gt;750,(ROUNDUP(Q8/500,0)+2),0))))))))</f>
        <v>0</v>
      </c>
      <c r="Z8" s="1">
        <f>IF(AND(O30&gt;0,O30&lt;=250),1,IF(AND(O30&gt;250,O30&lt;=500),2,IF(AND(O30&gt;500,O30&lt;=750),3,IF(O30&gt;750,(ROUNDUP(O30/500,0)+2),IF(AND(R8&gt;0,R8&lt;=250),1,IF(AND(R8&gt;250,R8&lt;=500),2,IF(AND(R8&gt;500,R8&lt;=750),3,IF(R8&gt;750,(ROUNDUP(R8/500,0)+2),0))))))))</f>
        <v>0</v>
      </c>
      <c r="AA8" s="32">
        <f>IF(OR(N32&gt;0,O32&gt;0),ROUNDUP((N32+O32)/1000,0),ROUNDUP(Q5/1000,0))</f>
        <v>0</v>
      </c>
      <c r="AB8" s="30" t="s">
        <v>82</v>
      </c>
    </row>
    <row r="9" spans="1:28" ht="14.45" customHeight="1" x14ac:dyDescent="0.25">
      <c r="A9" s="82"/>
      <c r="B9" s="83"/>
      <c r="C9" s="110" t="s">
        <v>95</v>
      </c>
      <c r="D9" s="111" t="s">
        <v>96</v>
      </c>
      <c r="E9" s="111"/>
      <c r="F9" s="112" t="str">
        <f>IF(AND(OR(N9&gt;0,O9&gt;0),N9+O9&lt;=15),"Single restroom okay for 15 or less (IPC 403.2(2))",IF(AND(OR(N9&gt;0,O9&gt;0),N9+O9&gt;Q5),W5,IF(AND(OR(N9&gt;0,O9&gt;0),N9+O9&lt;Q5),W5,IF(Q5&lt;=15,"Single restroom okay for 15 or less (IPC 403.2(2))",W5))))</f>
        <v>Single restroom okay for 15 or less (IPC 403.2(2))</v>
      </c>
      <c r="G9" s="112" t="str">
        <f>IF(F9="Single restroom okay for 15 or less (IPC 403.2(2))","-",X5)</f>
        <v>-</v>
      </c>
      <c r="H9" s="112" t="s">
        <v>181</v>
      </c>
      <c r="I9" s="112">
        <f>Y5</f>
        <v>0</v>
      </c>
      <c r="J9" s="112" t="str">
        <f>IF(F9="Single restroom okay for 15 or less (IPC 403.2(2))","-",Z5)</f>
        <v>-</v>
      </c>
      <c r="K9" s="112" t="s">
        <v>82</v>
      </c>
      <c r="L9" s="112" t="str">
        <f>IF(F9="Single restroom okay for 15 or less (IPC 403.2(2))","15 or less Fountain exempt(IPC 410.2)",AA5)</f>
        <v>15 or less Fountain exempt(IPC 410.2)</v>
      </c>
      <c r="M9" s="114" t="s">
        <v>83</v>
      </c>
      <c r="N9" s="118">
        <v>0</v>
      </c>
      <c r="O9" s="119">
        <f>N9</f>
        <v>0</v>
      </c>
      <c r="U9" s="5" t="s">
        <v>97</v>
      </c>
      <c r="V9" t="s">
        <v>93</v>
      </c>
      <c r="W9" s="30">
        <f>IF(N36&gt;0,ROUNDUP((N36/50),0),ROUNDUP((Q8/500),0))</f>
        <v>0</v>
      </c>
      <c r="X9" s="1">
        <f>ROUNDUP((R8/500),0)</f>
        <v>0</v>
      </c>
      <c r="Y9" s="30">
        <f>IF(N36&gt;0,ROUNDUP((N36/750),0),ROUNDUP((Q8/750),0))</f>
        <v>0</v>
      </c>
      <c r="Z9" s="1">
        <f>IF(O36&gt;0,ROUNDUP((O36/750),0),ROUNDUP((R8/750),0))</f>
        <v>0</v>
      </c>
      <c r="AA9" s="32">
        <f>IF(OR(N38&gt;0,O38&gt;0),ROUNDUP((N38+O38)/1000,0),ROUNDUP(Q5/1000,0))</f>
        <v>0</v>
      </c>
      <c r="AB9" s="30" t="s">
        <v>82</v>
      </c>
    </row>
    <row r="10" spans="1:28" x14ac:dyDescent="0.25">
      <c r="A10" s="82"/>
      <c r="B10" s="83"/>
      <c r="C10" s="110"/>
      <c r="D10" s="111"/>
      <c r="E10" s="111"/>
      <c r="F10" s="112"/>
      <c r="G10" s="112"/>
      <c r="H10" s="112"/>
      <c r="I10" s="112"/>
      <c r="J10" s="112"/>
      <c r="K10" s="112"/>
      <c r="L10" s="112"/>
      <c r="M10" s="114"/>
      <c r="N10" s="118"/>
      <c r="O10" s="119"/>
      <c r="U10" s="5" t="s">
        <v>98</v>
      </c>
      <c r="V10" t="s">
        <v>93</v>
      </c>
      <c r="W10" s="30">
        <f>IF(N42&gt;0,ROUNDUP((N42/150),0),ROUNDUP((Q8/150),0))</f>
        <v>0</v>
      </c>
      <c r="X10" s="1">
        <f>ROUNDUP((R8/75),0)</f>
        <v>0</v>
      </c>
      <c r="Y10" s="30">
        <f>IF(N42&gt;0,ROUNDUP((N42/200),0),ROUNDUP((Q8/200),0))</f>
        <v>0</v>
      </c>
      <c r="Z10" s="1">
        <f>IF(O42&gt;0,ROUNDUP((O42/200),0),ROUNDUP((R8/200),0))</f>
        <v>0</v>
      </c>
      <c r="AA10" s="32">
        <f>IF(OR(N44&gt;0,O44&gt;0),ROUNDUP((N44+O44)/1000,0),ROUNDUP(Q5/1000,0))</f>
        <v>0</v>
      </c>
      <c r="AB10" s="30" t="s">
        <v>82</v>
      </c>
    </row>
    <row r="11" spans="1:28" x14ac:dyDescent="0.25">
      <c r="A11" s="82"/>
      <c r="B11" s="83"/>
      <c r="C11" s="110"/>
      <c r="D11" s="111"/>
      <c r="E11" s="111"/>
      <c r="F11" s="112"/>
      <c r="G11" s="112"/>
      <c r="H11" s="112"/>
      <c r="I11" s="112"/>
      <c r="J11" s="112"/>
      <c r="K11" s="112"/>
      <c r="L11" s="112"/>
      <c r="M11" s="114"/>
      <c r="N11" s="118"/>
      <c r="O11" s="119"/>
      <c r="P11" t="s">
        <v>187</v>
      </c>
      <c r="U11" s="5" t="s">
        <v>99</v>
      </c>
      <c r="V11" t="s">
        <v>100</v>
      </c>
      <c r="W11" s="30">
        <f>IF(AND(N48&gt;0,N48&lt;=1500),(ROUNDUP(N48/75,0)),IF(N48&gt;1500,(ROUNDUP(N48/120,0))+8,IF(AND(Q8&gt;0,Q8&lt;=1500),(ROUNDUP(Q8/75,0)),IF(Q8&gt;1500,(ROUNDUP(Q8/120,0))+8,0))))</f>
        <v>0</v>
      </c>
      <c r="X11" s="1">
        <f>IF(AND(O48&gt;0,O48&lt;=1520),(ROUNDUP(O48/40,0)),IF(O48&gt;1520,(ROUNDUP(O48/60,0))+12,IF(AND(R8&gt;0,R8&lt;=1520),(ROUNDUP(R8/40,0)),IF(R8&gt;1520,(ROUNDUP(R8/60,0))+12,0))))</f>
        <v>0</v>
      </c>
      <c r="Y11" s="30">
        <f>IF(N48&lt;0,ROUNDUP((N48/200),0),ROUNDUP((Q8/200),0))</f>
        <v>0</v>
      </c>
      <c r="Z11" s="1">
        <f>IF(O48&gt;0,ROUNDUP((O48/150),0),ROUNDUP((R8/150),0))</f>
        <v>0</v>
      </c>
      <c r="AA11" s="32">
        <f>IF(OR(N50&gt;0,O50&gt;0),ROUNDUP((N50+O50)/1000,0),ROUNDUP(Q5/1000,0))</f>
        <v>0</v>
      </c>
      <c r="AB11" s="30" t="s">
        <v>82</v>
      </c>
    </row>
    <row r="12" spans="1:28" x14ac:dyDescent="0.25">
      <c r="A12" s="82"/>
      <c r="B12" s="83"/>
      <c r="C12" s="110"/>
      <c r="D12" s="111"/>
      <c r="E12" s="111"/>
      <c r="F12" s="112"/>
      <c r="G12" s="112"/>
      <c r="H12" s="112"/>
      <c r="I12" s="112"/>
      <c r="J12" s="112"/>
      <c r="K12" s="112"/>
      <c r="L12" s="112"/>
      <c r="M12" s="114"/>
      <c r="N12" s="118"/>
      <c r="O12" s="119"/>
      <c r="U12" s="5" t="s">
        <v>101</v>
      </c>
      <c r="V12" t="s">
        <v>102</v>
      </c>
      <c r="W12" s="30">
        <f>IF(AND(N54&gt;0,N54&lt;=1500),(ROUNDUP(N54/75,0)),IF(N54&gt;1500,(ROUNDUP(N54/120,0))+8,IF(AND(Q8&gt;0,Q8&lt;=1500),(ROUNDUP(Q8/75,0)),IF(Q8&gt;1500,(ROUNDUP(Q8/120,0))+8,0))))</f>
        <v>0</v>
      </c>
      <c r="X12" s="1">
        <f>IF(AND(O54&gt;0,O54&lt;=1520),(ROUNDUP(O54/40,0)),IF(O54&gt;1520,(ROUNDUP(O54/60,0))+12,IF(AND(R8&gt;0,R8&lt;=1520),(ROUNDUP(R8/40,0)),IF(R8&gt;1520,(ROUNDUP(R8/60,0))+12,0))))</f>
        <v>0</v>
      </c>
      <c r="Y12" s="30">
        <f>IF(N54&gt;0,ROUNDUP((N54/200),0),ROUNDUP((Q8/200),0))</f>
        <v>0</v>
      </c>
      <c r="Z12" s="1">
        <f>IF(O54&gt;0,ROUNDUP((O54/150),0),ROUNDUP((R8/150),0))</f>
        <v>0</v>
      </c>
      <c r="AA12" s="32">
        <f>IF(OR(N56&gt;0,O56&gt;0),ROUNDUP((N56+O56)/1000,0),ROUNDUP(Q5/1000,0))</f>
        <v>0</v>
      </c>
      <c r="AB12" s="30" t="s">
        <v>82</v>
      </c>
    </row>
    <row r="13" spans="1:28" x14ac:dyDescent="0.25">
      <c r="A13" s="82"/>
      <c r="B13" s="83"/>
      <c r="C13" s="110"/>
      <c r="D13" s="111"/>
      <c r="E13" s="111"/>
      <c r="F13" s="112"/>
      <c r="G13" s="112"/>
      <c r="H13" s="112"/>
      <c r="I13" s="112"/>
      <c r="J13" s="112"/>
      <c r="K13" s="112"/>
      <c r="L13" s="112"/>
      <c r="M13" s="114"/>
      <c r="N13" s="118"/>
      <c r="O13" s="119"/>
      <c r="U13" s="5" t="s">
        <v>103</v>
      </c>
      <c r="V13" t="s">
        <v>104</v>
      </c>
      <c r="W13" s="30">
        <f>IF(AND(N61&gt;0,N61&lt;=25),1,IF(AND(N61&gt;25,N61&lt;=50),2,IF(N61&gt;50,(ROUNDUP(N61/50,0)+1),IF(AND(Q5&gt;0,Q5&lt;=25),1,IF(AND(Q5&gt;25,Q5&lt;=50),2,IF(Q5&gt;50,(ROUNDUP(Q5/50,0)+1),0))))))</f>
        <v>0</v>
      </c>
      <c r="X13" s="1" t="s">
        <v>82</v>
      </c>
      <c r="Y13" s="30">
        <f>IF(AND(N61&gt;0,N61&lt;=40),1,IF(AND(N61&gt;40,N61&lt;=80),2,IF(N61&gt;80,(ROUNDUP(N61/80,0)+1),IF(AND(Q5&gt;0,Q5&lt;=40),1,IF(AND(Q5&gt;40,Q5&lt;=80),2,IF(Q5&gt;80,(ROUNDUP(Q5/80,0)+1),0))))))</f>
        <v>0</v>
      </c>
      <c r="Z13" s="1" t="s">
        <v>82</v>
      </c>
      <c r="AA13" s="32">
        <f>IF(N61&gt;0,ROUNDUP(N61/100,0),ROUNDUP(Q5/100,0))</f>
        <v>0</v>
      </c>
      <c r="AB13" s="30" t="s">
        <v>82</v>
      </c>
    </row>
    <row r="14" spans="1:28" x14ac:dyDescent="0.25">
      <c r="A14" s="82"/>
      <c r="B14" s="83"/>
      <c r="C14" s="110"/>
      <c r="D14" s="111"/>
      <c r="E14" s="111"/>
      <c r="F14" s="112"/>
      <c r="G14" s="112"/>
      <c r="H14" s="112"/>
      <c r="I14" s="112"/>
      <c r="J14" s="112"/>
      <c r="K14" s="112"/>
      <c r="L14" s="112"/>
      <c r="M14" s="114"/>
      <c r="N14" s="118"/>
      <c r="O14" s="119"/>
      <c r="P14" t="s">
        <v>7</v>
      </c>
      <c r="U14" s="5" t="s">
        <v>188</v>
      </c>
      <c r="V14" t="s">
        <v>104</v>
      </c>
      <c r="W14" s="30">
        <f>IF(AND(N74&gt;0,N74&lt;=25),1,IF(AND(N74&gt;25,N74&lt;=50),2,IF(N74&gt;50,(ROUNDUP(N74/50,0)+1),IF(AND(Q5&gt;0,Q5&lt;=25),1,IF(AND(Q5&gt;25,Q5&lt;=50),2,IF(Q5&gt;50,(ROUNDUP(Q5/50,0)+1),0))))))</f>
        <v>0</v>
      </c>
      <c r="X14" s="1" t="s">
        <v>82</v>
      </c>
      <c r="Y14" s="30">
        <f>IF(N74&gt;0,ROUNDUP((N74/50),0),ROUNDUP((Q5/50),0))</f>
        <v>0</v>
      </c>
      <c r="Z14" s="1" t="s">
        <v>82</v>
      </c>
      <c r="AA14" s="32">
        <f>IF(N74&gt;0,ROUNDUP(N74/100,0),ROUNDUP(Q5/100,0))</f>
        <v>0</v>
      </c>
      <c r="AB14" s="30" t="s">
        <v>82</v>
      </c>
    </row>
    <row r="15" spans="1:28" ht="14.45" customHeight="1" x14ac:dyDescent="0.25">
      <c r="A15" s="82"/>
      <c r="B15" s="83"/>
      <c r="C15" s="110"/>
      <c r="D15" s="111" t="s">
        <v>107</v>
      </c>
      <c r="E15" s="111"/>
      <c r="F15" s="112" t="str">
        <f>IF(AND(OR(N15&gt;0,O15&gt;0),N15+O15&lt;=15),"Single restroom okay for 15 or less (IPC 403.2(2))",IF(AND(OR(N15&gt;0,O15&gt;0),N15+O15&gt;Q5),W6,IF(AND(OR(N15&gt;0,O15&gt;0),N15+O15&lt;Q5),W6,IF(Q5&lt;=15,"Single restroom okay for 15 or less (IPC 403.2(2))",W6))))</f>
        <v>Single restroom okay for 15 or less (IPC 403.2(2))</v>
      </c>
      <c r="G15" s="112" t="str">
        <f>IF(F15="Single restroom okay for 15 or less (IPC 403.2(2))","-",X6)</f>
        <v>-</v>
      </c>
      <c r="H15" s="112" t="s">
        <v>181</v>
      </c>
      <c r="I15" s="112">
        <f>Y6</f>
        <v>0</v>
      </c>
      <c r="J15" s="112" t="str">
        <f>IF(F15="Single restroom okay for 15 or less (IPC 403.2(2))","-",Z6)</f>
        <v>-</v>
      </c>
      <c r="K15" s="112" t="s">
        <v>82</v>
      </c>
      <c r="L15" s="112" t="str">
        <f>IF(F15="Single restroom okay for 15 or less (IPC 403.2(2))","15 or less Fountain exempt(IPC 410.2)",AA6)</f>
        <v>15 or less Fountain exempt(IPC 410.2)</v>
      </c>
      <c r="M15" s="121" t="s">
        <v>83</v>
      </c>
      <c r="N15" s="96">
        <v>0</v>
      </c>
      <c r="O15" s="97">
        <f>N15</f>
        <v>0</v>
      </c>
      <c r="P15" t="s">
        <v>493</v>
      </c>
      <c r="U15" s="5" t="s">
        <v>105</v>
      </c>
      <c r="V15" t="s">
        <v>106</v>
      </c>
      <c r="W15" s="30">
        <f>IF(N80&gt;0,ROUNDUP((N80/50),0),ROUNDUP((Q5/50),0))</f>
        <v>0</v>
      </c>
      <c r="X15" s="1" t="s">
        <v>82</v>
      </c>
      <c r="Y15" s="30">
        <f>IF(N80&gt;0,ROUNDUP((N80/50),0),ROUNDUP((Q5/50),0))</f>
        <v>0</v>
      </c>
      <c r="Z15" s="1" t="s">
        <v>82</v>
      </c>
      <c r="AA15" s="32">
        <f>IF(N80&gt;0,ROUNDUP(N80/100,0),ROUNDUP(Q5/100,0))</f>
        <v>0</v>
      </c>
      <c r="AB15" s="30" t="s">
        <v>82</v>
      </c>
    </row>
    <row r="16" spans="1:28" x14ac:dyDescent="0.25">
      <c r="A16" s="82"/>
      <c r="B16" s="83"/>
      <c r="C16" s="110"/>
      <c r="D16" s="111"/>
      <c r="E16" s="111"/>
      <c r="F16" s="112"/>
      <c r="G16" s="112"/>
      <c r="H16" s="112"/>
      <c r="I16" s="112"/>
      <c r="J16" s="112"/>
      <c r="K16" s="112"/>
      <c r="L16" s="112"/>
      <c r="M16" s="114"/>
      <c r="N16" s="96"/>
      <c r="O16" s="97"/>
      <c r="P16" t="s">
        <v>494</v>
      </c>
      <c r="U16" s="5" t="s">
        <v>108</v>
      </c>
      <c r="V16" t="s">
        <v>109</v>
      </c>
      <c r="W16" s="30">
        <f>IF(N86&gt;0,ROUNDUP((N86/100),0),ROUNDUP((Q5/100),0))</f>
        <v>0</v>
      </c>
      <c r="X16" s="1" t="s">
        <v>82</v>
      </c>
      <c r="Y16" s="30">
        <f>IF(N86&gt;0,ROUNDUP((N86/100),0),ROUNDUP((Q5/100),0))</f>
        <v>0</v>
      </c>
      <c r="Z16" s="1" t="s">
        <v>82</v>
      </c>
      <c r="AA16" s="32">
        <f>IF(N86&gt;0,ROUNDUP(N86/400,0),ROUNDUP((Q5/400),0))</f>
        <v>0</v>
      </c>
      <c r="AB16" s="30" t="s">
        <v>110</v>
      </c>
    </row>
    <row r="17" spans="1:28" ht="14.45" customHeight="1" x14ac:dyDescent="0.25">
      <c r="A17" s="82"/>
      <c r="B17" s="83"/>
      <c r="C17" s="110"/>
      <c r="D17" s="111"/>
      <c r="E17" s="111"/>
      <c r="F17" s="112"/>
      <c r="G17" s="112"/>
      <c r="H17" s="112"/>
      <c r="I17" s="112"/>
      <c r="J17" s="112"/>
      <c r="K17" s="112"/>
      <c r="L17" s="112"/>
      <c r="M17" s="114"/>
      <c r="N17" s="96"/>
      <c r="O17" s="97"/>
      <c r="U17" s="5" t="s">
        <v>189</v>
      </c>
      <c r="V17" t="s">
        <v>82</v>
      </c>
      <c r="W17" s="30">
        <f>IF(N93&gt;0,ROUNDUP((N93/10),0),ROUNDUP((Q5/10),0))</f>
        <v>0</v>
      </c>
      <c r="X17" s="1" t="s">
        <v>82</v>
      </c>
      <c r="Y17" s="30">
        <f>IF(N93&gt;0,ROUNDUP((N93/10),0),ROUNDUP((Q5/10),0))</f>
        <v>0</v>
      </c>
      <c r="Z17" s="1" t="s">
        <v>82</v>
      </c>
      <c r="AA17" s="32">
        <f>IF(N93&gt;0,ROUNDUP(N93/100,0),ROUNDUP((Q5/100),0))</f>
        <v>0</v>
      </c>
      <c r="AB17" s="30">
        <f>ROUNDUP((Q5/8),0)</f>
        <v>0</v>
      </c>
    </row>
    <row r="18" spans="1:28" x14ac:dyDescent="0.25">
      <c r="A18" s="82"/>
      <c r="B18" s="83"/>
      <c r="C18" s="110"/>
      <c r="D18" s="111"/>
      <c r="E18" s="111"/>
      <c r="F18" s="112"/>
      <c r="G18" s="112"/>
      <c r="H18" s="112"/>
      <c r="I18" s="112"/>
      <c r="J18" s="112"/>
      <c r="K18" s="112"/>
      <c r="L18" s="112"/>
      <c r="M18" s="114"/>
      <c r="N18" s="96"/>
      <c r="O18" s="97"/>
      <c r="U18" s="5" t="s">
        <v>190</v>
      </c>
      <c r="V18" t="s">
        <v>82</v>
      </c>
      <c r="W18" s="30" t="s">
        <v>191</v>
      </c>
      <c r="X18" s="1" t="s">
        <v>82</v>
      </c>
      <c r="Y18" s="30" t="s">
        <v>191</v>
      </c>
      <c r="Z18" s="1" t="s">
        <v>82</v>
      </c>
      <c r="AA18" s="32" t="s">
        <v>82</v>
      </c>
      <c r="AB18" s="30" t="s">
        <v>192</v>
      </c>
    </row>
    <row r="19" spans="1:28" x14ac:dyDescent="0.25">
      <c r="A19" s="82"/>
      <c r="B19" s="83"/>
      <c r="C19" s="110"/>
      <c r="D19" s="111"/>
      <c r="E19" s="111"/>
      <c r="F19" s="112"/>
      <c r="G19" s="112"/>
      <c r="H19" s="112"/>
      <c r="I19" s="112"/>
      <c r="J19" s="112"/>
      <c r="K19" s="112"/>
      <c r="L19" s="112"/>
      <c r="M19" s="114"/>
      <c r="N19" s="96"/>
      <c r="O19" s="97"/>
      <c r="U19" s="5" t="s">
        <v>193</v>
      </c>
      <c r="V19" t="s">
        <v>82</v>
      </c>
      <c r="W19" s="30" t="s">
        <v>194</v>
      </c>
      <c r="X19" s="1" t="s">
        <v>82</v>
      </c>
      <c r="Y19" s="30" t="s">
        <v>194</v>
      </c>
      <c r="Z19" s="1" t="s">
        <v>82</v>
      </c>
      <c r="AA19" s="32" t="s">
        <v>195</v>
      </c>
      <c r="AB19" s="30" t="s">
        <v>194</v>
      </c>
    </row>
    <row r="20" spans="1:28" x14ac:dyDescent="0.25">
      <c r="A20" s="82"/>
      <c r="B20" s="83"/>
      <c r="C20" s="110"/>
      <c r="D20" s="111"/>
      <c r="E20" s="111"/>
      <c r="F20" s="112"/>
      <c r="G20" s="112"/>
      <c r="H20" s="112"/>
      <c r="I20" s="112"/>
      <c r="J20" s="112"/>
      <c r="K20" s="112"/>
      <c r="L20" s="112"/>
      <c r="M20" s="114"/>
      <c r="N20" s="96"/>
      <c r="O20" s="97"/>
      <c r="U20" s="5" t="s">
        <v>196</v>
      </c>
      <c r="V20" t="s">
        <v>82</v>
      </c>
      <c r="W20" s="30">
        <f>IF(N107&gt;0,ROUNDUP((N107/60),0),ROUNDUP((Q5/60),0))</f>
        <v>0</v>
      </c>
      <c r="X20" s="1" t="s">
        <v>82</v>
      </c>
      <c r="Y20" s="30">
        <f>IF(N107&gt;0,ROUNDUP((N107/60),0),ROUNDUP((Q5/60),0))</f>
        <v>0</v>
      </c>
      <c r="Z20" s="1" t="s">
        <v>82</v>
      </c>
      <c r="AA20" s="32">
        <f>IF(N107&gt;0,ROUNDUP(N107/100,0),ROUNDUP((Q5/100),0))</f>
        <v>0</v>
      </c>
      <c r="AB20" s="30" t="s">
        <v>82</v>
      </c>
    </row>
    <row r="21" spans="1:28" ht="14.45" customHeight="1" x14ac:dyDescent="0.25">
      <c r="A21" s="82"/>
      <c r="B21" s="83"/>
      <c r="C21" s="110" t="s">
        <v>118</v>
      </c>
      <c r="D21" s="111" t="s">
        <v>119</v>
      </c>
      <c r="E21" s="111"/>
      <c r="F21" s="92" t="str">
        <f>IF(AND(OR(N21&gt;0,O21&gt;0),N21+O21&lt;=15),"Single restroom okay for 15 or less (IPC 403.2(2))",IF(AND(OR(N21&gt;0,O21&gt;0),N21+O21&gt;Q5),W7,IF(AND(OR(N21&gt;0,O21&gt;0),N21+O21&lt;Q5),W7,IF(Q5&lt;=15,"Single restroom okay for 15 or less (IPC 403.2(2))",W7))))</f>
        <v>Single restroom okay for 15 or less (IPC 403.2(2))</v>
      </c>
      <c r="G21" s="92" t="str">
        <f>IF(F21="Single restroom okay for 15 or less (IPC 403.2(2))","-",X7)</f>
        <v>-</v>
      </c>
      <c r="H21" s="112" t="s">
        <v>181</v>
      </c>
      <c r="I21" s="112">
        <f>Y7</f>
        <v>0</v>
      </c>
      <c r="J21" s="112" t="str">
        <f>IF(F21="Single restroom okay for 15 or less (IPC 403.2(2))","-",Z7)</f>
        <v>-</v>
      </c>
      <c r="K21" s="112" t="s">
        <v>82</v>
      </c>
      <c r="L21" s="112" t="str">
        <f>IF(F21="Single restroom okay for 15 or less (IPC 403.2(2))","15 or less Fountain exempt(IPC 410.2)",AA7)</f>
        <v>15 or less Fountain exempt(IPC 410.2)</v>
      </c>
      <c r="M21" s="114" t="s">
        <v>83</v>
      </c>
      <c r="N21" s="96">
        <v>0</v>
      </c>
      <c r="O21" s="97">
        <f>N21</f>
        <v>0</v>
      </c>
      <c r="U21" s="5" t="s">
        <v>197</v>
      </c>
      <c r="V21" t="s">
        <v>82</v>
      </c>
      <c r="W21" s="30">
        <f>IF(N110&gt;0,ROUNDUP((N110/75),0),ROUNDUP((Q5/75),0))</f>
        <v>0</v>
      </c>
      <c r="X21" s="1" t="s">
        <v>82</v>
      </c>
      <c r="Y21" s="30">
        <f>IF(N110&gt;0,ROUNDUP((N110/75),0),ROUNDUP((Q5/75),0))</f>
        <v>0</v>
      </c>
      <c r="Z21" s="1" t="s">
        <v>82</v>
      </c>
      <c r="AA21" s="32" t="s">
        <v>82</v>
      </c>
      <c r="AB21" s="30" t="s">
        <v>82</v>
      </c>
    </row>
    <row r="22" spans="1:28" ht="14.45" customHeight="1" x14ac:dyDescent="0.25">
      <c r="A22" s="82"/>
      <c r="B22" s="83"/>
      <c r="C22" s="110"/>
      <c r="D22" s="111"/>
      <c r="E22" s="111"/>
      <c r="F22" s="93"/>
      <c r="G22" s="93"/>
      <c r="H22" s="112"/>
      <c r="I22" s="112"/>
      <c r="J22" s="112"/>
      <c r="K22" s="112"/>
      <c r="L22" s="112"/>
      <c r="M22" s="114"/>
      <c r="N22" s="96"/>
      <c r="O22" s="97"/>
      <c r="U22" s="5" t="s">
        <v>198</v>
      </c>
      <c r="V22" t="s">
        <v>82</v>
      </c>
      <c r="W22" s="30" t="s">
        <v>199</v>
      </c>
      <c r="X22" s="1" t="s">
        <v>82</v>
      </c>
      <c r="Y22" s="30" t="s">
        <v>199</v>
      </c>
      <c r="Z22" s="1" t="s">
        <v>82</v>
      </c>
      <c r="AA22" s="32" t="s">
        <v>82</v>
      </c>
      <c r="AB22" s="30" t="s">
        <v>192</v>
      </c>
    </row>
    <row r="23" spans="1:28" x14ac:dyDescent="0.25">
      <c r="A23" s="82"/>
      <c r="B23" s="83"/>
      <c r="C23" s="110"/>
      <c r="D23" s="111"/>
      <c r="E23" s="111"/>
      <c r="F23" s="93"/>
      <c r="G23" s="93"/>
      <c r="H23" s="112"/>
      <c r="I23" s="112"/>
      <c r="J23" s="112"/>
      <c r="K23" s="112"/>
      <c r="L23" s="112"/>
      <c r="M23" s="114"/>
      <c r="N23" s="96"/>
      <c r="O23" s="97"/>
      <c r="U23" s="5" t="s">
        <v>200</v>
      </c>
      <c r="V23" t="s">
        <v>82</v>
      </c>
      <c r="W23" s="30">
        <f>IF(N128&gt;0,ROUNDUP((N128/60),0),ROUNDUP((Q5/60),0))</f>
        <v>0</v>
      </c>
      <c r="X23" s="1" t="s">
        <v>82</v>
      </c>
      <c r="Y23" s="30">
        <f>IF(N128&gt;0,ROUNDUP((N128/60),0),ROUNDUP((Q5/60),0))</f>
        <v>0</v>
      </c>
      <c r="Z23" s="1" t="s">
        <v>82</v>
      </c>
      <c r="AA23" s="32">
        <f>IF(N116&gt;0,ROUNDUP(N116/100,0),ROUNDUP((Q5/100),0))</f>
        <v>0</v>
      </c>
      <c r="AB23" s="30" t="s">
        <v>82</v>
      </c>
    </row>
    <row r="24" spans="1:28" x14ac:dyDescent="0.25">
      <c r="A24" s="82"/>
      <c r="B24" s="83"/>
      <c r="C24" s="110"/>
      <c r="D24" s="111"/>
      <c r="E24" s="111"/>
      <c r="F24" s="93"/>
      <c r="G24" s="93"/>
      <c r="H24" s="112"/>
      <c r="I24" s="112"/>
      <c r="J24" s="112"/>
      <c r="K24" s="112"/>
      <c r="L24" s="112"/>
      <c r="M24" s="114"/>
      <c r="N24" s="96"/>
      <c r="O24" s="97"/>
      <c r="U24" s="5"/>
      <c r="W24" s="30"/>
      <c r="X24" s="1"/>
      <c r="Y24" s="30"/>
      <c r="Z24" s="1"/>
      <c r="AA24" s="32"/>
      <c r="AB24" s="30"/>
    </row>
    <row r="25" spans="1:28" x14ac:dyDescent="0.25">
      <c r="A25" s="82"/>
      <c r="B25" s="83"/>
      <c r="C25" s="110"/>
      <c r="D25" s="111"/>
      <c r="E25" s="111"/>
      <c r="F25" s="93"/>
      <c r="G25" s="93"/>
      <c r="H25" s="112"/>
      <c r="I25" s="112"/>
      <c r="J25" s="112"/>
      <c r="K25" s="112"/>
      <c r="L25" s="112"/>
      <c r="M25" s="114"/>
      <c r="N25" s="96"/>
      <c r="O25" s="97"/>
      <c r="U25" s="5" t="s">
        <v>201</v>
      </c>
      <c r="V25" t="s">
        <v>82</v>
      </c>
      <c r="W25" s="30">
        <f>IF(N132&gt;0,ROUNDUP((N132/75),0),ROUNDUP((Q5/75),0))</f>
        <v>0</v>
      </c>
      <c r="X25" s="1" t="s">
        <v>82</v>
      </c>
      <c r="Y25" s="30">
        <f>IF(N132&gt;0,ROUNDUP((N132/75),0),ROUNDUP((Q5/75),0))</f>
        <v>0</v>
      </c>
      <c r="Z25" s="1" t="s">
        <v>82</v>
      </c>
      <c r="AA25" s="32" t="s">
        <v>82</v>
      </c>
      <c r="AB25" s="30" t="s">
        <v>82</v>
      </c>
    </row>
    <row r="26" spans="1:28" x14ac:dyDescent="0.25">
      <c r="A26" s="82"/>
      <c r="B26" s="83"/>
      <c r="C26" s="110"/>
      <c r="D26" s="111"/>
      <c r="E26" s="111"/>
      <c r="F26" s="93"/>
      <c r="G26" s="93"/>
      <c r="H26" s="112"/>
      <c r="I26" s="112"/>
      <c r="J26" s="112"/>
      <c r="K26" s="112"/>
      <c r="L26" s="112"/>
      <c r="M26" s="114"/>
      <c r="N26" s="96"/>
      <c r="O26" s="97"/>
      <c r="U26" s="5" t="s">
        <v>202</v>
      </c>
      <c r="V26" t="s">
        <v>82</v>
      </c>
      <c r="W26" s="30" t="s">
        <v>203</v>
      </c>
      <c r="X26" s="1" t="s">
        <v>82</v>
      </c>
      <c r="Y26" s="30" t="s">
        <v>203</v>
      </c>
      <c r="Z26" s="1" t="s">
        <v>82</v>
      </c>
      <c r="AA26" s="32" t="s">
        <v>82</v>
      </c>
      <c r="AB26" s="30" t="s">
        <v>204</v>
      </c>
    </row>
    <row r="27" spans="1:28" x14ac:dyDescent="0.25">
      <c r="A27" s="82"/>
      <c r="B27" s="83"/>
      <c r="C27" s="110"/>
      <c r="D27" s="111"/>
      <c r="E27" s="111"/>
      <c r="F27" s="93"/>
      <c r="G27" s="93"/>
      <c r="H27" s="112"/>
      <c r="I27" s="112"/>
      <c r="J27" s="112"/>
      <c r="K27" s="112"/>
      <c r="L27" s="112"/>
      <c r="M27" s="114"/>
      <c r="N27" s="96"/>
      <c r="O27" s="97"/>
      <c r="U27" s="5" t="s">
        <v>205</v>
      </c>
      <c r="V27" t="s">
        <v>82</v>
      </c>
      <c r="W27" s="30" t="s">
        <v>206</v>
      </c>
      <c r="X27" s="1" t="s">
        <v>82</v>
      </c>
      <c r="Y27" s="30" t="s">
        <v>207</v>
      </c>
      <c r="Z27" s="1" t="s">
        <v>82</v>
      </c>
      <c r="AA27" s="32">
        <f>IF(N125&gt;0,ROUNDUP(N125/100,0),ROUNDUP((Q5/100),0))</f>
        <v>0</v>
      </c>
      <c r="AB27" s="30" t="s">
        <v>82</v>
      </c>
    </row>
    <row r="28" spans="1:28" x14ac:dyDescent="0.25">
      <c r="A28" s="82"/>
      <c r="B28" s="83"/>
      <c r="C28" s="110"/>
      <c r="D28" s="111"/>
      <c r="E28" s="111"/>
      <c r="F28" s="93"/>
      <c r="G28" s="93"/>
      <c r="H28" s="112"/>
      <c r="I28" s="112"/>
      <c r="J28" s="112"/>
      <c r="K28" s="112"/>
      <c r="L28" s="112"/>
      <c r="M28" s="114"/>
      <c r="N28" s="96"/>
      <c r="O28" s="97"/>
      <c r="U28" s="5" t="s">
        <v>208</v>
      </c>
      <c r="V28" t="s">
        <v>82</v>
      </c>
      <c r="W28" s="30" t="s">
        <v>209</v>
      </c>
      <c r="X28" s="1" t="s">
        <v>82</v>
      </c>
      <c r="Y28" s="30" t="s">
        <v>210</v>
      </c>
      <c r="Z28" s="1" t="s">
        <v>82</v>
      </c>
      <c r="AA28" s="32">
        <f>IF(N128&gt;0,ROUNDUP(N128/100,0),ROUNDUP((Q5/100),0))</f>
        <v>0</v>
      </c>
      <c r="AB28" s="30" t="s">
        <v>82</v>
      </c>
    </row>
    <row r="29" spans="1:28" x14ac:dyDescent="0.25">
      <c r="A29" s="82"/>
      <c r="B29" s="83"/>
      <c r="C29" s="110"/>
      <c r="D29" s="111"/>
      <c r="E29" s="111"/>
      <c r="F29" s="129"/>
      <c r="G29" s="129"/>
      <c r="H29" s="112"/>
      <c r="I29" s="112"/>
      <c r="J29" s="112"/>
      <c r="K29" s="112"/>
      <c r="L29" s="112"/>
      <c r="M29" s="98"/>
      <c r="N29" s="96"/>
      <c r="O29" s="97"/>
      <c r="U29" s="5" t="s">
        <v>211</v>
      </c>
      <c r="V29" t="s">
        <v>82</v>
      </c>
      <c r="W29" s="30" t="s">
        <v>212</v>
      </c>
      <c r="X29" s="1" t="s">
        <v>82</v>
      </c>
      <c r="Y29" s="30" t="s">
        <v>210</v>
      </c>
      <c r="Z29" s="1" t="s">
        <v>82</v>
      </c>
      <c r="AA29" s="32">
        <f>IF(N132&gt;0,ROUNDUP(N132/500,0),ROUNDUP((Q5/500),0))</f>
        <v>0</v>
      </c>
      <c r="AB29" s="30" t="s">
        <v>82</v>
      </c>
    </row>
    <row r="30" spans="1:28" ht="14.45" customHeight="1" x14ac:dyDescent="0.25">
      <c r="A30" s="82"/>
      <c r="B30" s="83"/>
      <c r="C30" s="110"/>
      <c r="D30" s="111" t="s">
        <v>130</v>
      </c>
      <c r="E30" s="111"/>
      <c r="F30" s="92" t="str">
        <f>IF(AND(OR(N30&gt;0,O30&gt;0),N30+O30&lt;=15),"Single restroom okay for 15 or less (IPC 403.2(2))",IF(AND(OR(N30&gt;0,O30&gt;0),N30+O30&gt;Q5),W8,IF(AND(OR(N30&gt;0,O30&gt;0),N30+O30&lt;Q5),W8,IF(Q5&lt;=15,"Single restroom okay for 15 or less (IPC 403.2(2))",W8))))</f>
        <v>Single restroom okay for 15 or less (IPC 403.2(2))</v>
      </c>
      <c r="G30" s="92" t="str">
        <f>IF(F30="Single restroom okay for 15 or less (IPC 403.2(2))","-",X8)</f>
        <v>-</v>
      </c>
      <c r="H30" s="112" t="s">
        <v>181</v>
      </c>
      <c r="I30" s="112">
        <f>Y8</f>
        <v>0</v>
      </c>
      <c r="J30" s="112" t="str">
        <f>IF(F30="Single restroom okay for 15 or less (IPC 403.2(2))","-",Z8)</f>
        <v>-</v>
      </c>
      <c r="K30" s="112" t="s">
        <v>82</v>
      </c>
      <c r="L30" s="112" t="str">
        <f>IF(F30="Single restroom okay for 15 or less (IPC 403.2(2))","15 or less Fountain exempt(IPC 410.2)",AA8)</f>
        <v>15 or less Fountain exempt(IPC 410.2)</v>
      </c>
      <c r="M30" s="114" t="s">
        <v>83</v>
      </c>
      <c r="N30" s="96">
        <v>0</v>
      </c>
      <c r="O30" s="97">
        <f>N30</f>
        <v>0</v>
      </c>
      <c r="U30" s="5" t="s">
        <v>213</v>
      </c>
      <c r="V30" t="s">
        <v>82</v>
      </c>
      <c r="W30" s="30">
        <f>IF(N139&gt;0,ROUNDUP((N139/15),0),ROUNDUP((Q5/15),0))</f>
        <v>0</v>
      </c>
      <c r="X30" s="1"/>
      <c r="Y30" s="30">
        <f>IF(N139&gt;0,ROUNDUP((N139/15),0),ROUNDUP((Q5/15),0))</f>
        <v>0</v>
      </c>
      <c r="Z30" s="1"/>
      <c r="AA30" s="30">
        <f>IF(N139&gt;0,ROUNDUP((N139/100),0),ROUNDUP((Q5/100),0))</f>
        <v>0</v>
      </c>
      <c r="AB30" s="30">
        <f>IF(N139&gt;0,ROUNDUP((N139/15),0),ROUNDUP((Q5/15),0))</f>
        <v>0</v>
      </c>
    </row>
    <row r="31" spans="1:28" x14ac:dyDescent="0.25">
      <c r="A31" s="82"/>
      <c r="B31" s="83"/>
      <c r="C31" s="110"/>
      <c r="D31" s="111"/>
      <c r="E31" s="111"/>
      <c r="F31" s="93"/>
      <c r="G31" s="93"/>
      <c r="H31" s="112"/>
      <c r="I31" s="112"/>
      <c r="J31" s="112"/>
      <c r="K31" s="112"/>
      <c r="L31" s="112"/>
      <c r="M31" s="114"/>
      <c r="N31" s="96"/>
      <c r="O31" s="97"/>
      <c r="U31" s="5" t="s">
        <v>126</v>
      </c>
      <c r="V31" t="s">
        <v>117</v>
      </c>
      <c r="W31" s="30">
        <f>IF(N142&gt;0,ROUNDUP((N142/15),0),ROUNDUP((Q5/15),0))</f>
        <v>0</v>
      </c>
      <c r="X31" s="1" t="s">
        <v>82</v>
      </c>
      <c r="Y31" s="30">
        <f>IF(N142&gt;0,ROUNDUP((N142/15),0),ROUNDUP((Q5/15),0))</f>
        <v>0</v>
      </c>
      <c r="Z31" s="1" t="s">
        <v>82</v>
      </c>
      <c r="AA31" s="32">
        <f>IF(N142&gt;0,ROUNDUP((N142/100),0),ROUNDUP((Q5/100),0))</f>
        <v>0</v>
      </c>
      <c r="AB31" s="30">
        <f>IF(N142&gt;0,ROUNDUP((N142/15),0),ROUNDUP((Q5/15),0))</f>
        <v>0</v>
      </c>
    </row>
    <row r="32" spans="1:28" ht="14.45" customHeight="1" x14ac:dyDescent="0.25">
      <c r="A32" s="82"/>
      <c r="B32" s="83"/>
      <c r="C32" s="110"/>
      <c r="D32" s="111"/>
      <c r="E32" s="111"/>
      <c r="F32" s="93"/>
      <c r="G32" s="93"/>
      <c r="H32" s="112"/>
      <c r="I32" s="112"/>
      <c r="J32" s="112"/>
      <c r="K32" s="112"/>
      <c r="L32" s="112"/>
      <c r="M32" s="114"/>
      <c r="N32" s="96"/>
      <c r="O32" s="97"/>
      <c r="U32" s="5" t="s">
        <v>113</v>
      </c>
      <c r="V32" t="s">
        <v>117</v>
      </c>
      <c r="W32" s="30">
        <f>IF(N145&gt;0,ROUNDUP((N145/25),0),ROUNDUP((Q5/25),0))</f>
        <v>0</v>
      </c>
      <c r="X32" s="1" t="s">
        <v>82</v>
      </c>
      <c r="Y32" s="30">
        <f>IF(N145&gt;0,ROUNDUP((N145/35),0),ROUNDUP((Q5/35),0))</f>
        <v>0</v>
      </c>
      <c r="Z32" s="1" t="s">
        <v>82</v>
      </c>
      <c r="AA32" s="32">
        <f>IF(N145&gt;0,ROUNDUP((N145/100),0),ROUNDUP((Q5/100),0))</f>
        <v>0</v>
      </c>
      <c r="AB32" s="30">
        <f>IF(N145&gt;0,ROUNDUP((N145/15),0),ROUNDUP((Q5/15),0))</f>
        <v>0</v>
      </c>
    </row>
    <row r="33" spans="1:28" ht="14.45" customHeight="1" x14ac:dyDescent="0.25">
      <c r="A33" s="82"/>
      <c r="B33" s="83"/>
      <c r="C33" s="110"/>
      <c r="D33" s="111"/>
      <c r="E33" s="111"/>
      <c r="F33" s="93"/>
      <c r="G33" s="93"/>
      <c r="H33" s="112"/>
      <c r="I33" s="112"/>
      <c r="J33" s="112"/>
      <c r="K33" s="112"/>
      <c r="L33" s="112"/>
      <c r="M33" s="114"/>
      <c r="N33" s="96"/>
      <c r="O33" s="97"/>
      <c r="U33" s="5" t="s">
        <v>120</v>
      </c>
      <c r="V33" t="s">
        <v>121</v>
      </c>
      <c r="W33" s="30">
        <f>IF(N148&gt;0,ROUNDUP((N148/15),0),ROUNDUP((Q5/15),0))</f>
        <v>0</v>
      </c>
      <c r="X33" s="1" t="s">
        <v>82</v>
      </c>
      <c r="Y33" s="30">
        <f>IF(N148&gt;0,ROUNDUP((N148/15),0),ROUNDUP((Q5/15),0))</f>
        <v>0</v>
      </c>
      <c r="Z33" s="1" t="s">
        <v>82</v>
      </c>
      <c r="AA33" s="32">
        <f>IF(N148&gt;0,ROUNDUP((N148/100),0),ROUNDUP((Q5/100),0))</f>
        <v>0</v>
      </c>
      <c r="AB33" s="30">
        <v>1</v>
      </c>
    </row>
    <row r="34" spans="1:28" x14ac:dyDescent="0.25">
      <c r="A34" s="82"/>
      <c r="B34" s="83"/>
      <c r="C34" s="110"/>
      <c r="D34" s="111"/>
      <c r="E34" s="111"/>
      <c r="F34" s="93"/>
      <c r="G34" s="93"/>
      <c r="H34" s="112"/>
      <c r="I34" s="112"/>
      <c r="J34" s="112"/>
      <c r="K34" s="112"/>
      <c r="L34" s="112"/>
      <c r="M34" s="114"/>
      <c r="N34" s="96"/>
      <c r="O34" s="97"/>
      <c r="U34" s="5" t="s">
        <v>122</v>
      </c>
      <c r="V34" t="s">
        <v>123</v>
      </c>
      <c r="W34" s="30">
        <f>IF(N151&gt;0,ROUNDUP((N151/500),0),ROUNDUP((Q5/500),0))</f>
        <v>0</v>
      </c>
      <c r="X34" s="1" t="s">
        <v>82</v>
      </c>
      <c r="Y34" s="30">
        <f>IF(N151&gt;0,ROUNDUP((N151/750),0),ROUNDUP((Q5/750),0))</f>
        <v>0</v>
      </c>
      <c r="Z34" s="1" t="s">
        <v>82</v>
      </c>
      <c r="AA34" s="32">
        <f>IF(N151&gt;0,ROUNDUP((N151/1000),0),ROUNDUP((Q5/1000),0))</f>
        <v>0</v>
      </c>
      <c r="AB34" s="30" t="s">
        <v>82</v>
      </c>
    </row>
    <row r="35" spans="1:28" x14ac:dyDescent="0.25">
      <c r="A35" s="82"/>
      <c r="B35" s="83"/>
      <c r="C35" s="110"/>
      <c r="D35" s="111"/>
      <c r="E35" s="111"/>
      <c r="F35" s="129"/>
      <c r="G35" s="129"/>
      <c r="H35" s="112"/>
      <c r="I35" s="112"/>
      <c r="J35" s="112"/>
      <c r="K35" s="112"/>
      <c r="L35" s="112"/>
      <c r="M35" s="114"/>
      <c r="N35" s="96"/>
      <c r="O35" s="97"/>
      <c r="U35" s="5" t="s">
        <v>124</v>
      </c>
      <c r="V35" t="s">
        <v>125</v>
      </c>
      <c r="W35" s="30">
        <f>IF(N164&gt;0,ROUNDUP((N164/10),0),ROUNDUP((Q5/10),0))</f>
        <v>0</v>
      </c>
      <c r="X35" s="1" t="s">
        <v>82</v>
      </c>
      <c r="Y35" s="30">
        <f>IF(N164&gt;0,ROUNDUP((N164/10),0),ROUNDUP((Q5/10),0))</f>
        <v>0</v>
      </c>
      <c r="Z35" s="1" t="s">
        <v>82</v>
      </c>
      <c r="AA35" s="32">
        <f>IF(N164&gt;0,ROUNDUP((N164/100),0),ROUNDUP((Q5/100),0))</f>
        <v>0</v>
      </c>
      <c r="AB35" s="30">
        <f>ROUNDUP((Q5/8),0)</f>
        <v>0</v>
      </c>
    </row>
    <row r="36" spans="1:28" ht="14.45" customHeight="1" x14ac:dyDescent="0.25">
      <c r="A36" s="82"/>
      <c r="B36" s="83"/>
      <c r="C36" s="110"/>
      <c r="D36" s="111" t="s">
        <v>131</v>
      </c>
      <c r="E36" s="111"/>
      <c r="F36" s="92" t="str">
        <f>IF(AND(OR(N36&gt;0,O36&gt;0),N36+O36&lt;=15),"Single restroom okay for 15 or less (IPC 403.2(2))",IF(AND(OR(N36&gt;0,O36&gt;0),N36+O36&gt;Q5),W9,IF(AND(OR(N36&gt;0,O36&gt;0),N36+O36&lt;Q5),W9,IF(Q5&lt;=15,"Single restroom okay for 15 or less (IPC 403.2(2))",W9))))</f>
        <v>Single restroom okay for 15 or less (IPC 403.2(2))</v>
      </c>
      <c r="G36" s="92" t="str">
        <f>IF(F36="Single restroom okay for 15 or less (IPC 403.2(2))","-",X9)</f>
        <v>-</v>
      </c>
      <c r="H36" s="112" t="s">
        <v>181</v>
      </c>
      <c r="I36" s="112">
        <f>Y9</f>
        <v>0</v>
      </c>
      <c r="J36" s="112" t="str">
        <f>IF(F36="Single restroom okay for 15 or less (IPC 403.2(2))","-",Z9)</f>
        <v>-</v>
      </c>
      <c r="K36" s="112" t="s">
        <v>82</v>
      </c>
      <c r="L36" s="112" t="str">
        <f>IF(F36="Single restroom okay for 15 or less (IPC 403.2(2))","15 or less Fountain exempt(IPC 410.2)",AA9)</f>
        <v>15 or less Fountain exempt(IPC 410.2)</v>
      </c>
      <c r="M36" s="121" t="s">
        <v>83</v>
      </c>
      <c r="N36" s="96">
        <v>0</v>
      </c>
      <c r="O36" s="97">
        <f>N36</f>
        <v>0</v>
      </c>
      <c r="U36" s="5" t="s">
        <v>214</v>
      </c>
      <c r="V36" t="s">
        <v>125</v>
      </c>
      <c r="W36" s="32" t="s">
        <v>82</v>
      </c>
      <c r="X36" s="3" t="s">
        <v>82</v>
      </c>
      <c r="Y36" s="32" t="s">
        <v>82</v>
      </c>
      <c r="Z36" s="3" t="s">
        <v>82</v>
      </c>
      <c r="AA36" s="32" t="s">
        <v>82</v>
      </c>
      <c r="AB36" s="30" t="s">
        <v>82</v>
      </c>
    </row>
    <row r="37" spans="1:28" x14ac:dyDescent="0.25">
      <c r="A37" s="82"/>
      <c r="B37" s="83"/>
      <c r="C37" s="110"/>
      <c r="D37" s="111"/>
      <c r="E37" s="111"/>
      <c r="F37" s="93"/>
      <c r="G37" s="93"/>
      <c r="H37" s="112"/>
      <c r="I37" s="112"/>
      <c r="J37" s="112"/>
      <c r="K37" s="112"/>
      <c r="L37" s="112"/>
      <c r="M37" s="114"/>
      <c r="N37" s="96"/>
      <c r="O37" s="97"/>
      <c r="U37" s="5" t="s">
        <v>126</v>
      </c>
      <c r="V37" t="s">
        <v>127</v>
      </c>
      <c r="W37" s="30">
        <f>IF(N176&gt;0,ROUNDUP((N176/10),0),ROUNDUP((Q5/10),0))</f>
        <v>0</v>
      </c>
      <c r="X37" s="1" t="s">
        <v>82</v>
      </c>
      <c r="Y37" s="30">
        <f>IF(N176&gt;0,ROUNDUP((N176/10),0),ROUNDUP((Q5/10),0))</f>
        <v>0</v>
      </c>
      <c r="Z37" s="1" t="s">
        <v>82</v>
      </c>
      <c r="AA37" s="32" t="s">
        <v>82</v>
      </c>
      <c r="AB37" s="30">
        <f>IF(N176&gt;0,ROUNDUP((N176/8),0),ROUNDUP((Q5/8),0))</f>
        <v>0</v>
      </c>
    </row>
    <row r="38" spans="1:28" ht="15" customHeight="1" x14ac:dyDescent="0.25">
      <c r="A38" s="82"/>
      <c r="B38" s="83"/>
      <c r="C38" s="110"/>
      <c r="D38" s="111"/>
      <c r="E38" s="111"/>
      <c r="F38" s="93"/>
      <c r="G38" s="93"/>
      <c r="H38" s="112"/>
      <c r="I38" s="112"/>
      <c r="J38" s="112"/>
      <c r="K38" s="112"/>
      <c r="L38" s="112"/>
      <c r="M38" s="114"/>
      <c r="N38" s="96"/>
      <c r="O38" s="97"/>
      <c r="U38" s="5" t="s">
        <v>126</v>
      </c>
      <c r="V38" t="s">
        <v>184</v>
      </c>
      <c r="W38" s="30">
        <f>IF(N187&gt;0,ROUNDUP((N187/10),0),ROUNDUP((Q5/10),0))</f>
        <v>0</v>
      </c>
      <c r="X38" s="1" t="s">
        <v>82</v>
      </c>
      <c r="Y38" s="30">
        <f>IF(N187&gt;0,ROUNDUP((N187/10),0),ROUNDUP((Q5/10),0))</f>
        <v>0</v>
      </c>
      <c r="Z38" s="1" t="s">
        <v>82</v>
      </c>
      <c r="AA38" s="32">
        <f>IF(N187&gt;0,ROUNDUP(N187/100,0),ROUNDUP(Q5/100,0))</f>
        <v>0</v>
      </c>
      <c r="AB38" s="30">
        <f>IF(N187&gt;0,ROUNDUP(N187/8,0),ROUNDUP(Q5/8,0))</f>
        <v>0</v>
      </c>
    </row>
    <row r="39" spans="1:28" ht="15.75" thickBot="1" x14ac:dyDescent="0.3">
      <c r="A39" s="82"/>
      <c r="B39" s="83"/>
      <c r="C39" s="110"/>
      <c r="D39" s="111"/>
      <c r="E39" s="111"/>
      <c r="F39" s="93"/>
      <c r="G39" s="93"/>
      <c r="H39" s="112"/>
      <c r="I39" s="112"/>
      <c r="J39" s="112"/>
      <c r="K39" s="112"/>
      <c r="L39" s="112"/>
      <c r="M39" s="114"/>
      <c r="N39" s="96"/>
      <c r="O39" s="97"/>
      <c r="U39" s="5" t="s">
        <v>128</v>
      </c>
      <c r="V39" t="s">
        <v>129</v>
      </c>
      <c r="W39" s="33">
        <f>IF(N192&gt;0,ROUNDUP((N192/100),0),ROUNDUP((Q5/100),0))</f>
        <v>0</v>
      </c>
      <c r="X39" s="34" t="s">
        <v>82</v>
      </c>
      <c r="Y39" s="33">
        <f>IF(N192&gt;0,ROUNDUP((N192/100),0),ROUNDUP((Q5/100),0))</f>
        <v>0</v>
      </c>
      <c r="Z39" s="34" t="s">
        <v>82</v>
      </c>
      <c r="AA39" s="33">
        <f>IF(N192&gt;0,ROUNDUP(N192/1000,0),ROUNDUP(Q5/1000,0))</f>
        <v>0</v>
      </c>
      <c r="AB39" s="38" t="s">
        <v>110</v>
      </c>
    </row>
    <row r="40" spans="1:28" x14ac:dyDescent="0.25">
      <c r="A40" s="82"/>
      <c r="B40" s="83"/>
      <c r="C40" s="110"/>
      <c r="D40" s="111"/>
      <c r="E40" s="111"/>
      <c r="F40" s="93"/>
      <c r="G40" s="93"/>
      <c r="H40" s="112"/>
      <c r="I40" s="112"/>
      <c r="J40" s="112"/>
      <c r="K40" s="112"/>
      <c r="L40" s="112"/>
      <c r="M40" s="114"/>
      <c r="N40" s="96"/>
      <c r="O40" s="97"/>
    </row>
    <row r="41" spans="1:28" x14ac:dyDescent="0.25">
      <c r="A41" s="82"/>
      <c r="B41" s="83"/>
      <c r="C41" s="110"/>
      <c r="D41" s="111"/>
      <c r="E41" s="111"/>
      <c r="F41" s="129"/>
      <c r="G41" s="129"/>
      <c r="H41" s="112"/>
      <c r="I41" s="112"/>
      <c r="J41" s="112"/>
      <c r="K41" s="112"/>
      <c r="L41" s="112"/>
      <c r="M41" s="98"/>
      <c r="N41" s="96"/>
      <c r="O41" s="97"/>
    </row>
    <row r="42" spans="1:28" ht="14.45" customHeight="1" x14ac:dyDescent="0.25">
      <c r="A42" s="82"/>
      <c r="B42" s="83"/>
      <c r="C42" s="110"/>
      <c r="D42" s="111" t="s">
        <v>132</v>
      </c>
      <c r="E42" s="111"/>
      <c r="F42" s="92" t="str">
        <f>IF(AND(OR(N42&gt;0,O42&gt;0),N42+O42&lt;=15),"Single restroom okay for 15 or less (IPC 403.2(2))",IF(AND(OR(N42&gt;0,O42&gt;0),N42+O42&gt;Q5),W10,IF(AND(OR(N42&gt;0,O42&gt;0),N42+O42&lt;Q5),W10,IF(Q5&lt;=15,"Single restroom okay for 15 or less (IPC 403.2(2))",W10))))</f>
        <v>Single restroom okay for 15 or less (IPC 403.2(2))</v>
      </c>
      <c r="G42" s="92" t="str">
        <f>IF(F42="Single restroom okay for 15 or less (IPC 403.2(2))","-",X10)</f>
        <v>-</v>
      </c>
      <c r="H42" s="112" t="s">
        <v>181</v>
      </c>
      <c r="I42" s="112">
        <f>Y10</f>
        <v>0</v>
      </c>
      <c r="J42" s="112" t="str">
        <f>IF(F42="Single restroom okay for 15 or less (IPC 403.2(2))","-",Z10)</f>
        <v>-</v>
      </c>
      <c r="K42" s="112" t="s">
        <v>82</v>
      </c>
      <c r="L42" s="112" t="str">
        <f>IF(F42="Single restroom okay for 15 or less (IPC 403.2(2))","15 or less Fountain exempt(IPC 410.2)",AA10)</f>
        <v>15 or less Fountain exempt(IPC 410.2)</v>
      </c>
      <c r="M42" s="114" t="s">
        <v>83</v>
      </c>
      <c r="N42" s="96">
        <v>0</v>
      </c>
      <c r="O42" s="97">
        <f>N42</f>
        <v>0</v>
      </c>
      <c r="P42" s="7"/>
    </row>
    <row r="43" spans="1:28" x14ac:dyDescent="0.25">
      <c r="A43" s="82"/>
      <c r="B43" s="83"/>
      <c r="C43" s="110"/>
      <c r="D43" s="111"/>
      <c r="E43" s="111"/>
      <c r="F43" s="93"/>
      <c r="G43" s="93"/>
      <c r="H43" s="112"/>
      <c r="I43" s="112"/>
      <c r="J43" s="112"/>
      <c r="K43" s="112"/>
      <c r="L43" s="112"/>
      <c r="M43" s="114"/>
      <c r="N43" s="96"/>
      <c r="O43" s="97"/>
      <c r="P43" s="7"/>
    </row>
    <row r="44" spans="1:28" ht="14.45" customHeight="1" x14ac:dyDescent="0.25">
      <c r="A44" s="82"/>
      <c r="B44" s="83"/>
      <c r="C44" s="110"/>
      <c r="D44" s="111"/>
      <c r="E44" s="111"/>
      <c r="F44" s="93"/>
      <c r="G44" s="93"/>
      <c r="H44" s="112"/>
      <c r="I44" s="112"/>
      <c r="J44" s="112"/>
      <c r="K44" s="112"/>
      <c r="L44" s="112"/>
      <c r="M44" s="114"/>
      <c r="N44" s="96"/>
      <c r="O44" s="97"/>
      <c r="P44" s="7"/>
    </row>
    <row r="45" spans="1:28" x14ac:dyDescent="0.25">
      <c r="A45" s="82"/>
      <c r="B45" s="83"/>
      <c r="C45" s="110"/>
      <c r="D45" s="111"/>
      <c r="E45" s="111"/>
      <c r="F45" s="93"/>
      <c r="G45" s="93"/>
      <c r="H45" s="112"/>
      <c r="I45" s="112"/>
      <c r="J45" s="112"/>
      <c r="K45" s="112"/>
      <c r="L45" s="112"/>
      <c r="M45" s="114"/>
      <c r="N45" s="96"/>
      <c r="O45" s="97"/>
      <c r="P45" s="7"/>
    </row>
    <row r="46" spans="1:28" x14ac:dyDescent="0.25">
      <c r="A46" s="82"/>
      <c r="B46" s="83"/>
      <c r="C46" s="110"/>
      <c r="D46" s="111"/>
      <c r="E46" s="111"/>
      <c r="F46" s="93"/>
      <c r="G46" s="93"/>
      <c r="H46" s="112"/>
      <c r="I46" s="112"/>
      <c r="J46" s="112"/>
      <c r="K46" s="112"/>
      <c r="L46" s="112"/>
      <c r="M46" s="114"/>
      <c r="N46" s="96"/>
      <c r="O46" s="97"/>
      <c r="P46" s="7"/>
    </row>
    <row r="47" spans="1:28" x14ac:dyDescent="0.25">
      <c r="A47" s="82"/>
      <c r="B47" s="83"/>
      <c r="C47" s="110"/>
      <c r="D47" s="111"/>
      <c r="E47" s="111"/>
      <c r="F47" s="129"/>
      <c r="G47" s="129"/>
      <c r="H47" s="112"/>
      <c r="I47" s="112"/>
      <c r="J47" s="112"/>
      <c r="K47" s="112"/>
      <c r="L47" s="112"/>
      <c r="M47" s="114"/>
      <c r="N47" s="96"/>
      <c r="O47" s="97"/>
      <c r="P47" s="7"/>
    </row>
    <row r="48" spans="1:28" ht="14.45" customHeight="1" x14ac:dyDescent="0.25">
      <c r="A48" s="82"/>
      <c r="B48" s="83"/>
      <c r="C48" s="110" t="s">
        <v>133</v>
      </c>
      <c r="D48" s="111" t="s">
        <v>134</v>
      </c>
      <c r="E48" s="111"/>
      <c r="F48" s="92" t="str">
        <f>IF(AND(OR(N48&gt;0,O48&gt;0),N48+O48&lt;=15),"Single restroom okay for 15 or less (IPC 403.2(2))",IF(Q5&lt;=15,"Single restroom okay for 15 or less (IPC 403.2(2))",W11))</f>
        <v>Single restroom okay for 15 or less (IPC 403.2(2))</v>
      </c>
      <c r="G48" s="92" t="str">
        <f>IF(F48="Single restroom okay for 15 or less (IPC 403.2(2))","-",X11)</f>
        <v>-</v>
      </c>
      <c r="H48" s="112" t="s">
        <v>181</v>
      </c>
      <c r="I48" s="112">
        <f>Y11</f>
        <v>0</v>
      </c>
      <c r="J48" s="112" t="str">
        <f>IF(F48="Single restroom okay for 15 or less (IPC 403.2(2))","-",Z11)</f>
        <v>-</v>
      </c>
      <c r="K48" s="112" t="s">
        <v>82</v>
      </c>
      <c r="L48" s="112" t="str">
        <f>IF(F48="Single restroom okay for 15 or less (IPC 403.2(2))","15 or less Fountain exempt(IPC 410.2)",AA11)</f>
        <v>15 or less Fountain exempt(IPC 410.2)</v>
      </c>
      <c r="M48" s="121" t="s">
        <v>83</v>
      </c>
      <c r="N48" s="96">
        <v>0</v>
      </c>
      <c r="O48" s="97">
        <f>N48</f>
        <v>0</v>
      </c>
      <c r="P48" s="7"/>
    </row>
    <row r="49" spans="1:17" x14ac:dyDescent="0.25">
      <c r="A49" s="82"/>
      <c r="B49" s="83"/>
      <c r="C49" s="110"/>
      <c r="D49" s="111"/>
      <c r="E49" s="111"/>
      <c r="F49" s="93"/>
      <c r="G49" s="93"/>
      <c r="H49" s="112"/>
      <c r="I49" s="112"/>
      <c r="J49" s="112"/>
      <c r="K49" s="112"/>
      <c r="L49" s="112"/>
      <c r="M49" s="114"/>
      <c r="N49" s="96"/>
      <c r="O49" s="97"/>
      <c r="P49" s="7"/>
    </row>
    <row r="50" spans="1:17" ht="14.45" customHeight="1" x14ac:dyDescent="0.25">
      <c r="A50" s="82"/>
      <c r="B50" s="83"/>
      <c r="C50" s="110"/>
      <c r="D50" s="111"/>
      <c r="E50" s="111"/>
      <c r="F50" s="93"/>
      <c r="G50" s="93"/>
      <c r="H50" s="112"/>
      <c r="I50" s="112"/>
      <c r="J50" s="112"/>
      <c r="K50" s="112"/>
      <c r="L50" s="112"/>
      <c r="M50" s="114"/>
      <c r="N50" s="96"/>
      <c r="O50" s="97"/>
      <c r="P50" s="7"/>
    </row>
    <row r="51" spans="1:17" x14ac:dyDescent="0.25">
      <c r="A51" s="82"/>
      <c r="B51" s="83"/>
      <c r="C51" s="110"/>
      <c r="D51" s="111"/>
      <c r="E51" s="111"/>
      <c r="F51" s="93"/>
      <c r="G51" s="93"/>
      <c r="H51" s="112"/>
      <c r="I51" s="112"/>
      <c r="J51" s="112"/>
      <c r="K51" s="112"/>
      <c r="L51" s="112"/>
      <c r="M51" s="114"/>
      <c r="N51" s="96"/>
      <c r="O51" s="97"/>
      <c r="P51" s="7"/>
    </row>
    <row r="52" spans="1:17" x14ac:dyDescent="0.25">
      <c r="A52" s="82"/>
      <c r="B52" s="83"/>
      <c r="C52" s="110"/>
      <c r="D52" s="111"/>
      <c r="E52" s="111"/>
      <c r="F52" s="93"/>
      <c r="G52" s="93"/>
      <c r="H52" s="112"/>
      <c r="I52" s="112"/>
      <c r="J52" s="112"/>
      <c r="K52" s="112"/>
      <c r="L52" s="112"/>
      <c r="M52" s="114"/>
      <c r="N52" s="96"/>
      <c r="O52" s="97"/>
      <c r="P52" s="7"/>
      <c r="Q52" s="39"/>
    </row>
    <row r="53" spans="1:17" x14ac:dyDescent="0.25">
      <c r="A53" s="82"/>
      <c r="B53" s="83"/>
      <c r="C53" s="110"/>
      <c r="D53" s="111"/>
      <c r="E53" s="111"/>
      <c r="F53" s="129"/>
      <c r="G53" s="129"/>
      <c r="H53" s="112"/>
      <c r="I53" s="112"/>
      <c r="J53" s="112"/>
      <c r="K53" s="112"/>
      <c r="L53" s="112"/>
      <c r="M53" s="114"/>
      <c r="N53" s="96"/>
      <c r="O53" s="97"/>
    </row>
    <row r="54" spans="1:17" ht="14.45" customHeight="1" x14ac:dyDescent="0.25">
      <c r="A54" s="82"/>
      <c r="B54" s="83"/>
      <c r="C54" s="128" t="s">
        <v>135</v>
      </c>
      <c r="D54" s="111" t="s">
        <v>136</v>
      </c>
      <c r="E54" s="111"/>
      <c r="F54" s="92" t="str">
        <f>IF(AND(OR(N54&gt;0,O54&gt;0),N54+O54&lt;=15),"Single restroom okay for 15 or less (IPC 403.2(2))",IF(AND(OR(N54&gt;0,O54&gt;0),N54+O54&gt;Q5),W12,IF(AND(OR(N54&gt;0,O54&gt;0),N54+O54&lt;Q5),W12,IF(Q5&lt;=15,"Single restroom okay for 15 or less (IPC 403.2(2))",W12))))</f>
        <v>Single restroom okay for 15 or less (IPC 403.2(2))</v>
      </c>
      <c r="G54" s="92" t="str">
        <f>IF(F54="Single restroom okay for 15 or less (IPC 403.2(2))","-",X12)</f>
        <v>-</v>
      </c>
      <c r="H54" s="112" t="s">
        <v>181</v>
      </c>
      <c r="I54" s="112">
        <f>Y12</f>
        <v>0</v>
      </c>
      <c r="J54" s="112" t="str">
        <f>IF(F54="Single restroom okay for 15 or less (IPC 403.2(2))","-",Z12)</f>
        <v>-</v>
      </c>
      <c r="K54" s="112" t="s">
        <v>82</v>
      </c>
      <c r="L54" s="112" t="str">
        <f>IF(F54="Single restroom okay for 15 or less (IPC 403.2(2))","15 or less Fountain exempt(IPC 410.2)",AA12)</f>
        <v>15 or less Fountain exempt(IPC 410.2)</v>
      </c>
      <c r="M54" s="114" t="s">
        <v>83</v>
      </c>
      <c r="N54" s="96">
        <v>0</v>
      </c>
      <c r="O54" s="97">
        <f>N54</f>
        <v>0</v>
      </c>
    </row>
    <row r="55" spans="1:17" x14ac:dyDescent="0.25">
      <c r="A55" s="82"/>
      <c r="B55" s="83"/>
      <c r="C55" s="128"/>
      <c r="D55" s="111"/>
      <c r="E55" s="111"/>
      <c r="F55" s="93"/>
      <c r="G55" s="93"/>
      <c r="H55" s="112"/>
      <c r="I55" s="112"/>
      <c r="J55" s="112"/>
      <c r="K55" s="112"/>
      <c r="L55" s="112"/>
      <c r="M55" s="114"/>
      <c r="N55" s="96"/>
      <c r="O55" s="97"/>
    </row>
    <row r="56" spans="1:17" ht="14.45" customHeight="1" x14ac:dyDescent="0.25">
      <c r="A56" s="82"/>
      <c r="B56" s="83"/>
      <c r="C56" s="128"/>
      <c r="D56" s="111"/>
      <c r="E56" s="111"/>
      <c r="F56" s="93"/>
      <c r="G56" s="93"/>
      <c r="H56" s="112"/>
      <c r="I56" s="112"/>
      <c r="J56" s="112"/>
      <c r="K56" s="112"/>
      <c r="L56" s="112"/>
      <c r="M56" s="114"/>
      <c r="N56" s="96"/>
      <c r="O56" s="97"/>
    </row>
    <row r="57" spans="1:17" x14ac:dyDescent="0.25">
      <c r="A57" s="82"/>
      <c r="B57" s="83"/>
      <c r="C57" s="128"/>
      <c r="D57" s="111"/>
      <c r="E57" s="111"/>
      <c r="F57" s="93"/>
      <c r="G57" s="93"/>
      <c r="H57" s="112"/>
      <c r="I57" s="112"/>
      <c r="J57" s="112"/>
      <c r="K57" s="112"/>
      <c r="L57" s="112"/>
      <c r="M57" s="114"/>
      <c r="N57" s="96"/>
      <c r="O57" s="97"/>
    </row>
    <row r="58" spans="1:17" x14ac:dyDescent="0.25">
      <c r="A58" s="82"/>
      <c r="B58" s="83"/>
      <c r="C58" s="128"/>
      <c r="D58" s="111"/>
      <c r="E58" s="111"/>
      <c r="F58" s="93"/>
      <c r="G58" s="93"/>
      <c r="H58" s="112"/>
      <c r="I58" s="112"/>
      <c r="J58" s="112"/>
      <c r="K58" s="112"/>
      <c r="L58" s="112"/>
      <c r="M58" s="114"/>
      <c r="N58" s="96"/>
      <c r="O58" s="97"/>
    </row>
    <row r="59" spans="1:17" x14ac:dyDescent="0.25">
      <c r="A59" s="82"/>
      <c r="B59" s="83"/>
      <c r="C59" s="128"/>
      <c r="D59" s="111"/>
      <c r="E59" s="111"/>
      <c r="F59" s="93"/>
      <c r="G59" s="93"/>
      <c r="H59" s="112"/>
      <c r="I59" s="112"/>
      <c r="J59" s="112"/>
      <c r="K59" s="112"/>
      <c r="L59" s="112"/>
      <c r="M59" s="114"/>
      <c r="N59" s="96"/>
      <c r="O59" s="97"/>
    </row>
    <row r="60" spans="1:17" ht="14.45" customHeight="1" thickBot="1" x14ac:dyDescent="0.3">
      <c r="A60" s="84"/>
      <c r="B60" s="85"/>
      <c r="C60" s="128"/>
      <c r="D60" s="111"/>
      <c r="E60" s="111"/>
      <c r="F60" s="129"/>
      <c r="G60" s="129"/>
      <c r="H60" s="112"/>
      <c r="I60" s="112"/>
      <c r="J60" s="112"/>
      <c r="K60" s="112"/>
      <c r="L60" s="112"/>
      <c r="M60" s="114"/>
      <c r="N60" s="96"/>
      <c r="O60" s="97"/>
    </row>
    <row r="61" spans="1:17" ht="14.45" customHeight="1" x14ac:dyDescent="0.25">
      <c r="A61" s="122" t="s">
        <v>137</v>
      </c>
      <c r="B61" s="123"/>
      <c r="C61" s="130" t="s">
        <v>138</v>
      </c>
      <c r="D61" s="179" t="s">
        <v>215</v>
      </c>
      <c r="E61" s="180"/>
      <c r="F61" s="173" t="str">
        <f>IF(AND(N61&gt;0,N61&lt;=25),"Single restroom okay for 25 or less (IPC 403.2(2))",IF(AND(N61&gt;0,N61&gt;Q5),W13,IF(AND(N61&gt;0,N61&lt;Q5),W13,IF(Q5&lt;=25,"Single restroom okay for 25 or less (IPC 403.2(2))",W13))))</f>
        <v>Single restroom okay for 25 or less (IPC 403.2(2))</v>
      </c>
      <c r="G61" s="174"/>
      <c r="H61" s="92" t="s">
        <v>182</v>
      </c>
      <c r="I61" s="173">
        <f>Y13</f>
        <v>0</v>
      </c>
      <c r="J61" s="174"/>
      <c r="K61" s="92" t="s">
        <v>82</v>
      </c>
      <c r="L61" s="92" t="str">
        <f>IF(AND(N61&gt;0,N61&lt;=15),"15 or less Fountain exempt(IPC 410.2)",IF(N61&gt;15,AA13,IF(Q5&lt;=15,"15 or less Fountain exempt(IPC 410.2)",AA13)))</f>
        <v>15 or less Fountain exempt(IPC 410.2)</v>
      </c>
      <c r="M61" s="98" t="str">
        <f>IF(AND(N61&gt;0,N61&lt;=15),"15 or less Service sink exempt (IPC 403.1(e))",IF(N61&gt;15,"1 service sink",IF(Q5&lt;=15,"15 or less Service sink exempt (IPC 403.1(e))","1 service sink")))</f>
        <v>15 or less Service sink exempt (IPC 403.1(e))</v>
      </c>
      <c r="N61" s="167">
        <v>0</v>
      </c>
      <c r="O61" s="168"/>
    </row>
    <row r="62" spans="1:17" ht="14.45" customHeight="1" x14ac:dyDescent="0.25">
      <c r="A62" s="124"/>
      <c r="B62" s="125"/>
      <c r="C62" s="128"/>
      <c r="D62" s="181"/>
      <c r="E62" s="182"/>
      <c r="F62" s="175"/>
      <c r="G62" s="176"/>
      <c r="H62" s="93"/>
      <c r="I62" s="175"/>
      <c r="J62" s="176"/>
      <c r="K62" s="93"/>
      <c r="L62" s="93"/>
      <c r="M62" s="99"/>
      <c r="N62" s="169"/>
      <c r="O62" s="170"/>
    </row>
    <row r="63" spans="1:17" ht="14.45" customHeight="1" x14ac:dyDescent="0.25">
      <c r="A63" s="124"/>
      <c r="B63" s="125"/>
      <c r="C63" s="128"/>
      <c r="D63" s="181"/>
      <c r="E63" s="182"/>
      <c r="F63" s="175"/>
      <c r="G63" s="176"/>
      <c r="H63" s="93"/>
      <c r="I63" s="175"/>
      <c r="J63" s="176"/>
      <c r="K63" s="93"/>
      <c r="L63" s="93"/>
      <c r="M63" s="99"/>
      <c r="N63" s="169"/>
      <c r="O63" s="170"/>
    </row>
    <row r="64" spans="1:17" x14ac:dyDescent="0.25">
      <c r="A64" s="124"/>
      <c r="B64" s="125"/>
      <c r="C64" s="128"/>
      <c r="D64" s="181"/>
      <c r="E64" s="182"/>
      <c r="F64" s="175"/>
      <c r="G64" s="176"/>
      <c r="H64" s="93"/>
      <c r="I64" s="175"/>
      <c r="J64" s="176"/>
      <c r="K64" s="93"/>
      <c r="L64" s="93"/>
      <c r="M64" s="99"/>
      <c r="N64" s="169"/>
      <c r="O64" s="170"/>
    </row>
    <row r="65" spans="1:20" x14ac:dyDescent="0.25">
      <c r="A65" s="124"/>
      <c r="B65" s="125"/>
      <c r="C65" s="128"/>
      <c r="D65" s="181"/>
      <c r="E65" s="182"/>
      <c r="F65" s="175"/>
      <c r="G65" s="176"/>
      <c r="H65" s="93"/>
      <c r="I65" s="175"/>
      <c r="J65" s="176"/>
      <c r="K65" s="93"/>
      <c r="L65" s="93"/>
      <c r="M65" s="99"/>
      <c r="N65" s="169"/>
      <c r="O65" s="170"/>
    </row>
    <row r="66" spans="1:20" x14ac:dyDescent="0.25">
      <c r="A66" s="124"/>
      <c r="B66" s="125"/>
      <c r="C66" s="128"/>
      <c r="D66" s="181"/>
      <c r="E66" s="182"/>
      <c r="F66" s="175"/>
      <c r="G66" s="176"/>
      <c r="H66" s="93"/>
      <c r="I66" s="175"/>
      <c r="J66" s="176"/>
      <c r="K66" s="93"/>
      <c r="L66" s="93"/>
      <c r="M66" s="99"/>
      <c r="N66" s="169"/>
      <c r="O66" s="170"/>
    </row>
    <row r="67" spans="1:20" x14ac:dyDescent="0.25">
      <c r="A67" s="124"/>
      <c r="B67" s="125"/>
      <c r="C67" s="128"/>
      <c r="D67" s="181"/>
      <c r="E67" s="182"/>
      <c r="F67" s="175"/>
      <c r="G67" s="176"/>
      <c r="H67" s="93"/>
      <c r="I67" s="175"/>
      <c r="J67" s="176"/>
      <c r="K67" s="93"/>
      <c r="L67" s="93"/>
      <c r="M67" s="99"/>
      <c r="N67" s="169"/>
      <c r="O67" s="170"/>
    </row>
    <row r="68" spans="1:20" x14ac:dyDescent="0.25">
      <c r="A68" s="124"/>
      <c r="B68" s="125"/>
      <c r="C68" s="128"/>
      <c r="D68" s="181"/>
      <c r="E68" s="182"/>
      <c r="F68" s="175"/>
      <c r="G68" s="176"/>
      <c r="H68" s="93"/>
      <c r="I68" s="175"/>
      <c r="J68" s="176"/>
      <c r="K68" s="93"/>
      <c r="L68" s="93"/>
      <c r="M68" s="99"/>
      <c r="N68" s="169"/>
      <c r="O68" s="170"/>
    </row>
    <row r="69" spans="1:20" x14ac:dyDescent="0.25">
      <c r="A69" s="124"/>
      <c r="B69" s="125"/>
      <c r="C69" s="128"/>
      <c r="D69" s="181"/>
      <c r="E69" s="182"/>
      <c r="F69" s="175"/>
      <c r="G69" s="176"/>
      <c r="H69" s="93"/>
      <c r="I69" s="175"/>
      <c r="J69" s="176"/>
      <c r="K69" s="93"/>
      <c r="L69" s="93"/>
      <c r="M69" s="99"/>
      <c r="N69" s="169"/>
      <c r="O69" s="170"/>
    </row>
    <row r="70" spans="1:20" x14ac:dyDescent="0.25">
      <c r="A70" s="124"/>
      <c r="B70" s="125"/>
      <c r="C70" s="128"/>
      <c r="D70" s="181"/>
      <c r="E70" s="182"/>
      <c r="F70" s="175"/>
      <c r="G70" s="176"/>
      <c r="H70" s="93"/>
      <c r="I70" s="175"/>
      <c r="J70" s="176"/>
      <c r="K70" s="93"/>
      <c r="L70" s="93"/>
      <c r="M70" s="99"/>
      <c r="N70" s="169"/>
      <c r="O70" s="170"/>
    </row>
    <row r="71" spans="1:20" x14ac:dyDescent="0.25">
      <c r="A71" s="124"/>
      <c r="B71" s="125"/>
      <c r="C71" s="128"/>
      <c r="D71" s="181"/>
      <c r="E71" s="182"/>
      <c r="F71" s="175"/>
      <c r="G71" s="176"/>
      <c r="H71" s="93"/>
      <c r="I71" s="175"/>
      <c r="J71" s="176"/>
      <c r="K71" s="93"/>
      <c r="L71" s="93"/>
      <c r="M71" s="99"/>
      <c r="N71" s="169"/>
      <c r="O71" s="170"/>
    </row>
    <row r="72" spans="1:20" x14ac:dyDescent="0.25">
      <c r="A72" s="124"/>
      <c r="B72" s="125"/>
      <c r="C72" s="128"/>
      <c r="D72" s="181"/>
      <c r="E72" s="182"/>
      <c r="F72" s="175"/>
      <c r="G72" s="176"/>
      <c r="H72" s="93"/>
      <c r="I72" s="175"/>
      <c r="J72" s="176"/>
      <c r="K72" s="93"/>
      <c r="L72" s="93"/>
      <c r="M72" s="99"/>
      <c r="N72" s="169"/>
      <c r="O72" s="170"/>
    </row>
    <row r="73" spans="1:20" x14ac:dyDescent="0.25">
      <c r="A73" s="124"/>
      <c r="B73" s="125"/>
      <c r="C73" s="128"/>
      <c r="D73" s="183"/>
      <c r="E73" s="184"/>
      <c r="F73" s="177"/>
      <c r="G73" s="178"/>
      <c r="H73" s="129"/>
      <c r="I73" s="175"/>
      <c r="J73" s="176"/>
      <c r="K73" s="129"/>
      <c r="L73" s="129"/>
      <c r="M73" s="121"/>
      <c r="N73" s="169"/>
      <c r="O73" s="170"/>
    </row>
    <row r="74" spans="1:20" x14ac:dyDescent="0.25">
      <c r="A74" s="124"/>
      <c r="B74" s="125"/>
      <c r="C74" s="128"/>
      <c r="D74" s="200" t="s">
        <v>216</v>
      </c>
      <c r="E74" s="201"/>
      <c r="F74" s="206" t="str">
        <f>IF(AND(N74&gt;0,N74&lt;=25),"Single restroom okay for 25 or less (IPC 403.2(2))",IF(AND(N74&gt;25,Q5&lt;=25),W14,IF(Q5&lt;=25,"Single restroom okay for 25 or less (IPC 403.2(2))",W14)))</f>
        <v>Single restroom okay for 25 or less (IPC 403.2(2))</v>
      </c>
      <c r="G74" s="207"/>
      <c r="H74" s="212" t="s">
        <v>182</v>
      </c>
      <c r="I74" s="206">
        <f>Y14</f>
        <v>0</v>
      </c>
      <c r="J74" s="207"/>
      <c r="K74" s="212" t="s">
        <v>82</v>
      </c>
      <c r="L74" s="212" t="str">
        <f>IF(AND(N74&gt;0,N74&lt;=15),"15 or less Fountain exempt(IPC 410.2)",IF(N74&gt;15,AA14,IF(Q5&lt;=15,"15 or less Fountain exempt(IPC 410.2)",AA14)))</f>
        <v>15 or less Fountain exempt(IPC 410.2)</v>
      </c>
      <c r="M74" s="215" t="str">
        <f>IF(AND(N74&gt;0,N74&lt;=15),"15 or less Service sink exempt (IPC 403.1(e))",IF(N74&gt;15,"1 service sink",IF(Q5&lt;=15,"15 or less Service sink exempt (IPC 403.1(e))","1 service sink")))</f>
        <v>15 or less Service sink exempt (IPC 403.1(e))</v>
      </c>
      <c r="N74" s="218">
        <v>0</v>
      </c>
      <c r="O74" s="219"/>
    </row>
    <row r="75" spans="1:20" x14ac:dyDescent="0.25">
      <c r="A75" s="124"/>
      <c r="B75" s="125"/>
      <c r="C75" s="128"/>
      <c r="D75" s="202"/>
      <c r="E75" s="203"/>
      <c r="F75" s="208"/>
      <c r="G75" s="209"/>
      <c r="H75" s="213"/>
      <c r="I75" s="208"/>
      <c r="J75" s="209"/>
      <c r="K75" s="213"/>
      <c r="L75" s="213"/>
      <c r="M75" s="216"/>
      <c r="N75" s="220"/>
      <c r="O75" s="221"/>
    </row>
    <row r="76" spans="1:20" x14ac:dyDescent="0.25">
      <c r="A76" s="124"/>
      <c r="B76" s="125"/>
      <c r="C76" s="128"/>
      <c r="D76" s="202"/>
      <c r="E76" s="203"/>
      <c r="F76" s="208"/>
      <c r="G76" s="209"/>
      <c r="H76" s="213"/>
      <c r="I76" s="208"/>
      <c r="J76" s="209"/>
      <c r="K76" s="213"/>
      <c r="L76" s="213"/>
      <c r="M76" s="216"/>
      <c r="N76" s="220"/>
      <c r="O76" s="221"/>
    </row>
    <row r="77" spans="1:20" x14ac:dyDescent="0.25">
      <c r="A77" s="124"/>
      <c r="B77" s="125"/>
      <c r="C77" s="128"/>
      <c r="D77" s="202"/>
      <c r="E77" s="203"/>
      <c r="F77" s="208"/>
      <c r="G77" s="209"/>
      <c r="H77" s="213"/>
      <c r="I77" s="208"/>
      <c r="J77" s="209"/>
      <c r="K77" s="213"/>
      <c r="L77" s="213"/>
      <c r="M77" s="216"/>
      <c r="N77" s="220"/>
      <c r="O77" s="221"/>
      <c r="T77" s="2"/>
    </row>
    <row r="78" spans="1:20" x14ac:dyDescent="0.25">
      <c r="A78" s="124"/>
      <c r="B78" s="125"/>
      <c r="C78" s="128"/>
      <c r="D78" s="202"/>
      <c r="E78" s="203"/>
      <c r="F78" s="208"/>
      <c r="G78" s="209"/>
      <c r="H78" s="213"/>
      <c r="I78" s="208"/>
      <c r="J78" s="209"/>
      <c r="K78" s="213"/>
      <c r="L78" s="213"/>
      <c r="M78" s="216"/>
      <c r="N78" s="220"/>
      <c r="O78" s="221"/>
      <c r="S78" s="5"/>
    </row>
    <row r="79" spans="1:20" ht="15.75" thickBot="1" x14ac:dyDescent="0.3">
      <c r="A79" s="126"/>
      <c r="B79" s="127"/>
      <c r="C79" s="86"/>
      <c r="D79" s="204"/>
      <c r="E79" s="205"/>
      <c r="F79" s="210"/>
      <c r="G79" s="211"/>
      <c r="H79" s="214"/>
      <c r="I79" s="210"/>
      <c r="J79" s="211"/>
      <c r="K79" s="214"/>
      <c r="L79" s="214"/>
      <c r="M79" s="217"/>
      <c r="N79" s="222"/>
      <c r="O79" s="223"/>
      <c r="S79" s="5"/>
    </row>
    <row r="80" spans="1:20" ht="14.45" customHeight="1" x14ac:dyDescent="0.25">
      <c r="A80" s="122" t="s">
        <v>141</v>
      </c>
      <c r="B80" s="123"/>
      <c r="C80" s="128" t="s">
        <v>142</v>
      </c>
      <c r="D80" s="111" t="s">
        <v>143</v>
      </c>
      <c r="E80" s="111"/>
      <c r="F80" s="173" t="str">
        <f>IF(AND(N80&gt;0,N80&lt;=15),"Single restroom okay for 15 or less (IPC 403.2(2))",IF(AND(N80&gt;15,Q5&lt;=15),W15,IF(Q5&lt;=15,"Single restroom okay for 15 or less (IPC 403.2(2))",W15)))</f>
        <v>Single restroom okay for 15 or less (IPC 403.2(2))</v>
      </c>
      <c r="G80" s="174"/>
      <c r="H80" s="112" t="s">
        <v>181</v>
      </c>
      <c r="I80" s="173">
        <f>Y15</f>
        <v>0</v>
      </c>
      <c r="J80" s="174"/>
      <c r="K80" s="112" t="s">
        <v>82</v>
      </c>
      <c r="L80" s="112" t="str">
        <f>IF(F80="Single restroom okay for 15 or less (IPC 403.2(2))","15 or less Fountain exempt(IPC 410.2)",AA15)</f>
        <v>15 or less Fountain exempt(IPC 410.2)</v>
      </c>
      <c r="M80" s="121" t="s">
        <v>83</v>
      </c>
      <c r="N80" s="167">
        <v>0</v>
      </c>
      <c r="O80" s="168"/>
      <c r="S80" s="5"/>
    </row>
    <row r="81" spans="1:23" x14ac:dyDescent="0.25">
      <c r="A81" s="124"/>
      <c r="B81" s="125"/>
      <c r="C81" s="128"/>
      <c r="D81" s="111"/>
      <c r="E81" s="111"/>
      <c r="F81" s="175"/>
      <c r="G81" s="176"/>
      <c r="H81" s="112"/>
      <c r="I81" s="175"/>
      <c r="J81" s="176"/>
      <c r="K81" s="112"/>
      <c r="L81" s="112"/>
      <c r="M81" s="114"/>
      <c r="N81" s="169"/>
      <c r="O81" s="170"/>
      <c r="S81" s="5"/>
    </row>
    <row r="82" spans="1:23" x14ac:dyDescent="0.25">
      <c r="A82" s="124"/>
      <c r="B82" s="125"/>
      <c r="C82" s="128"/>
      <c r="D82" s="111"/>
      <c r="E82" s="111"/>
      <c r="F82" s="175"/>
      <c r="G82" s="176"/>
      <c r="H82" s="112"/>
      <c r="I82" s="175"/>
      <c r="J82" s="176"/>
      <c r="K82" s="112"/>
      <c r="L82" s="112"/>
      <c r="M82" s="114"/>
      <c r="N82" s="169"/>
      <c r="O82" s="170"/>
      <c r="S82" s="5"/>
    </row>
    <row r="83" spans="1:23" x14ac:dyDescent="0.25">
      <c r="A83" s="124"/>
      <c r="B83" s="125"/>
      <c r="C83" s="128"/>
      <c r="D83" s="111"/>
      <c r="E83" s="111"/>
      <c r="F83" s="175"/>
      <c r="G83" s="176"/>
      <c r="H83" s="112"/>
      <c r="I83" s="175"/>
      <c r="J83" s="176"/>
      <c r="K83" s="112"/>
      <c r="L83" s="112"/>
      <c r="M83" s="114"/>
      <c r="N83" s="169"/>
      <c r="O83" s="170"/>
      <c r="S83" s="5"/>
    </row>
    <row r="84" spans="1:23" x14ac:dyDescent="0.25">
      <c r="A84" s="124"/>
      <c r="B84" s="125"/>
      <c r="C84" s="128"/>
      <c r="D84" s="111"/>
      <c r="E84" s="111"/>
      <c r="F84" s="175"/>
      <c r="G84" s="176"/>
      <c r="H84" s="112"/>
      <c r="I84" s="175"/>
      <c r="J84" s="176"/>
      <c r="K84" s="112"/>
      <c r="L84" s="112"/>
      <c r="M84" s="114"/>
      <c r="N84" s="169"/>
      <c r="O84" s="170"/>
      <c r="S84" s="5"/>
    </row>
    <row r="85" spans="1:23" ht="14.45" customHeight="1" thickBot="1" x14ac:dyDescent="0.3">
      <c r="A85" s="126"/>
      <c r="B85" s="127"/>
      <c r="C85" s="128"/>
      <c r="D85" s="111"/>
      <c r="E85" s="111"/>
      <c r="F85" s="177"/>
      <c r="G85" s="178"/>
      <c r="H85" s="112"/>
      <c r="I85" s="177"/>
      <c r="J85" s="178"/>
      <c r="K85" s="112"/>
      <c r="L85" s="112"/>
      <c r="M85" s="114"/>
      <c r="N85" s="171"/>
      <c r="O85" s="172"/>
      <c r="S85" s="5"/>
    </row>
    <row r="86" spans="1:23" x14ac:dyDescent="0.25">
      <c r="A86" s="122" t="s">
        <v>144</v>
      </c>
      <c r="B86" s="123"/>
      <c r="C86" s="110" t="s">
        <v>145</v>
      </c>
      <c r="D86" s="111" t="s">
        <v>146</v>
      </c>
      <c r="E86" s="111"/>
      <c r="F86" s="173" t="str">
        <f>IF(AND(N86&gt;0,N86&lt;=15),"Single restroom okay for 15 or less (IPC 403.2(2))",IF(AND(N86&gt;15,Q5&lt;=15),W16,IF(Q5&lt;=15,"Single restroom okay for 15 or less (IPC 403.2(2))",W16)))</f>
        <v>Single restroom okay for 15 or less (IPC 403.2(2))</v>
      </c>
      <c r="G86" s="174"/>
      <c r="H86" s="112" t="s">
        <v>217</v>
      </c>
      <c r="I86" s="173">
        <f>Y16</f>
        <v>0</v>
      </c>
      <c r="J86" s="174"/>
      <c r="K86" s="112" t="str">
        <f>AB16</f>
        <v>See section 411 if eyewash stations are provided</v>
      </c>
      <c r="L86" s="112" t="str">
        <f>IF(F86="Single restroom okay for 15 or less (IPC 403.2(2))","15 or less Fountain exempt(IPC 410.2)",AA16)</f>
        <v>15 or less Fountain exempt(IPC 410.2)</v>
      </c>
      <c r="M86" s="114" t="s">
        <v>83</v>
      </c>
      <c r="N86" s="167">
        <v>0</v>
      </c>
      <c r="O86" s="168"/>
      <c r="S86" s="5"/>
    </row>
    <row r="87" spans="1:23" x14ac:dyDescent="0.25">
      <c r="A87" s="124"/>
      <c r="B87" s="125"/>
      <c r="C87" s="110"/>
      <c r="D87" s="111"/>
      <c r="E87" s="111"/>
      <c r="F87" s="175"/>
      <c r="G87" s="176"/>
      <c r="H87" s="112"/>
      <c r="I87" s="175"/>
      <c r="J87" s="176"/>
      <c r="K87" s="112"/>
      <c r="L87" s="112"/>
      <c r="M87" s="114"/>
      <c r="N87" s="169"/>
      <c r="O87" s="170"/>
      <c r="S87" s="5"/>
      <c r="U87" s="1"/>
      <c r="V87" s="1"/>
      <c r="W87" s="1"/>
    </row>
    <row r="88" spans="1:23" x14ac:dyDescent="0.25">
      <c r="A88" s="124"/>
      <c r="B88" s="125"/>
      <c r="C88" s="110"/>
      <c r="D88" s="111"/>
      <c r="E88" s="111"/>
      <c r="F88" s="175"/>
      <c r="G88" s="176"/>
      <c r="H88" s="112"/>
      <c r="I88" s="175"/>
      <c r="J88" s="176"/>
      <c r="K88" s="112"/>
      <c r="L88" s="112"/>
      <c r="M88" s="114"/>
      <c r="N88" s="169"/>
      <c r="O88" s="170"/>
      <c r="Q88" s="13"/>
      <c r="R88" s="13"/>
      <c r="S88" s="5"/>
      <c r="U88" s="1"/>
      <c r="V88" s="1"/>
      <c r="W88" s="1"/>
    </row>
    <row r="89" spans="1:23" x14ac:dyDescent="0.25">
      <c r="A89" s="124"/>
      <c r="B89" s="125"/>
      <c r="C89" s="110"/>
      <c r="D89" s="111"/>
      <c r="E89" s="111"/>
      <c r="F89" s="175"/>
      <c r="G89" s="176"/>
      <c r="H89" s="112"/>
      <c r="I89" s="175"/>
      <c r="J89" s="176"/>
      <c r="K89" s="112"/>
      <c r="L89" s="112"/>
      <c r="M89" s="114"/>
      <c r="N89" s="169"/>
      <c r="O89" s="170"/>
      <c r="S89" s="5"/>
    </row>
    <row r="90" spans="1:23" x14ac:dyDescent="0.25">
      <c r="A90" s="124"/>
      <c r="B90" s="125"/>
      <c r="C90" s="110"/>
      <c r="D90" s="111"/>
      <c r="E90" s="111"/>
      <c r="F90" s="175"/>
      <c r="G90" s="176"/>
      <c r="H90" s="112"/>
      <c r="I90" s="175"/>
      <c r="J90" s="176"/>
      <c r="K90" s="112"/>
      <c r="L90" s="112"/>
      <c r="M90" s="114"/>
      <c r="N90" s="169"/>
      <c r="O90" s="170"/>
      <c r="S90" s="5"/>
    </row>
    <row r="91" spans="1:23" x14ac:dyDescent="0.25">
      <c r="A91" s="124"/>
      <c r="B91" s="125"/>
      <c r="C91" s="110"/>
      <c r="D91" s="111"/>
      <c r="E91" s="111"/>
      <c r="F91" s="175"/>
      <c r="G91" s="176"/>
      <c r="H91" s="112"/>
      <c r="I91" s="175"/>
      <c r="J91" s="176"/>
      <c r="K91" s="112"/>
      <c r="L91" s="112"/>
      <c r="M91" s="114"/>
      <c r="N91" s="169"/>
      <c r="O91" s="170"/>
      <c r="S91" s="5"/>
    </row>
    <row r="92" spans="1:23" ht="14.45" customHeight="1" thickBot="1" x14ac:dyDescent="0.3">
      <c r="A92" s="126"/>
      <c r="B92" s="127"/>
      <c r="C92" s="110"/>
      <c r="D92" s="111"/>
      <c r="E92" s="111"/>
      <c r="F92" s="177"/>
      <c r="G92" s="178"/>
      <c r="H92" s="112"/>
      <c r="I92" s="177"/>
      <c r="J92" s="178"/>
      <c r="K92" s="112"/>
      <c r="L92" s="112"/>
      <c r="M92" s="114"/>
      <c r="N92" s="171"/>
      <c r="O92" s="172"/>
      <c r="S92" s="5"/>
    </row>
    <row r="93" spans="1:23" x14ac:dyDescent="0.25">
      <c r="A93" s="122" t="s">
        <v>147</v>
      </c>
      <c r="B93" s="123"/>
      <c r="C93" s="110" t="s">
        <v>82</v>
      </c>
      <c r="D93" s="111" t="s">
        <v>218</v>
      </c>
      <c r="E93" s="111"/>
      <c r="F93" s="173" t="str">
        <f>IF(AND(N93&gt;0,N93&lt;=15),"Single restroom okay for 15 or less (IPC 403.2(2))",IF(AND(N93&gt;15,Q5&lt;=15),W17,IF(Q5&lt;=15,"Single restroom okay for 15 or less (IPC 403.2(2))",W17)))</f>
        <v>Single restroom okay for 15 or less (IPC 403.2(2))</v>
      </c>
      <c r="G93" s="174"/>
      <c r="H93" s="112" t="s">
        <v>182</v>
      </c>
      <c r="I93" s="173">
        <f>Y17</f>
        <v>0</v>
      </c>
      <c r="J93" s="174"/>
      <c r="K93" s="112">
        <f>AB17</f>
        <v>0</v>
      </c>
      <c r="L93" s="112" t="str">
        <f>IF(F93="Single restroom okay for 15 or less (IPC 403.2(2))","15 or less Fountain exempt(IPC 410.2)",AA17)</f>
        <v>15 or less Fountain exempt(IPC 410.2)</v>
      </c>
      <c r="M93" s="121" t="s">
        <v>83</v>
      </c>
      <c r="N93" s="167">
        <v>0</v>
      </c>
      <c r="O93" s="168"/>
      <c r="S93" s="5"/>
    </row>
    <row r="94" spans="1:23" x14ac:dyDescent="0.25">
      <c r="A94" s="124"/>
      <c r="B94" s="125"/>
      <c r="C94" s="110"/>
      <c r="D94" s="111"/>
      <c r="E94" s="111"/>
      <c r="F94" s="175"/>
      <c r="G94" s="176"/>
      <c r="H94" s="112"/>
      <c r="I94" s="175"/>
      <c r="J94" s="176"/>
      <c r="K94" s="112"/>
      <c r="L94" s="112"/>
      <c r="M94" s="114"/>
      <c r="N94" s="169"/>
      <c r="O94" s="170"/>
      <c r="S94" s="5"/>
    </row>
    <row r="95" spans="1:23" x14ac:dyDescent="0.25">
      <c r="A95" s="124"/>
      <c r="B95" s="125"/>
      <c r="C95" s="110"/>
      <c r="D95" s="111"/>
      <c r="E95" s="111"/>
      <c r="F95" s="175"/>
      <c r="G95" s="176"/>
      <c r="H95" s="112"/>
      <c r="I95" s="175"/>
      <c r="J95" s="176"/>
      <c r="K95" s="112"/>
      <c r="L95" s="112"/>
      <c r="M95" s="114"/>
      <c r="N95" s="169"/>
      <c r="O95" s="170"/>
      <c r="S95" s="5"/>
    </row>
    <row r="96" spans="1:23" x14ac:dyDescent="0.25">
      <c r="A96" s="124"/>
      <c r="B96" s="125"/>
      <c r="C96" s="110"/>
      <c r="D96" s="111"/>
      <c r="E96" s="111"/>
      <c r="F96" s="175"/>
      <c r="G96" s="176"/>
      <c r="H96" s="112"/>
      <c r="I96" s="175"/>
      <c r="J96" s="176"/>
      <c r="K96" s="112"/>
      <c r="L96" s="112"/>
      <c r="M96" s="114"/>
      <c r="N96" s="169"/>
      <c r="O96" s="170"/>
      <c r="P96" s="7"/>
      <c r="S96" s="5"/>
    </row>
    <row r="97" spans="1:19" x14ac:dyDescent="0.25">
      <c r="A97" s="124"/>
      <c r="B97" s="125"/>
      <c r="C97" s="110"/>
      <c r="D97" s="111"/>
      <c r="E97" s="111"/>
      <c r="F97" s="175"/>
      <c r="G97" s="176"/>
      <c r="H97" s="112"/>
      <c r="I97" s="175"/>
      <c r="J97" s="176"/>
      <c r="K97" s="112"/>
      <c r="L97" s="112"/>
      <c r="M97" s="114"/>
      <c r="N97" s="169"/>
      <c r="O97" s="170"/>
      <c r="P97" s="7"/>
      <c r="S97" s="5"/>
    </row>
    <row r="98" spans="1:19" x14ac:dyDescent="0.25">
      <c r="A98" s="124"/>
      <c r="B98" s="125"/>
      <c r="C98" s="110"/>
      <c r="D98" s="111"/>
      <c r="E98" s="111"/>
      <c r="F98" s="175"/>
      <c r="G98" s="176"/>
      <c r="H98" s="112"/>
      <c r="I98" s="175"/>
      <c r="J98" s="176"/>
      <c r="K98" s="112"/>
      <c r="L98" s="112"/>
      <c r="M98" s="114"/>
      <c r="N98" s="169"/>
      <c r="O98" s="170"/>
      <c r="P98" s="7"/>
      <c r="S98" s="5"/>
    </row>
    <row r="99" spans="1:19" x14ac:dyDescent="0.25">
      <c r="A99" s="124"/>
      <c r="B99" s="125"/>
      <c r="C99" s="110"/>
      <c r="D99" s="111"/>
      <c r="E99" s="111"/>
      <c r="F99" s="175"/>
      <c r="G99" s="176"/>
      <c r="H99" s="112"/>
      <c r="I99" s="175"/>
      <c r="J99" s="176"/>
      <c r="K99" s="112"/>
      <c r="L99" s="112"/>
      <c r="M99" s="114"/>
      <c r="N99" s="169"/>
      <c r="O99" s="170"/>
      <c r="P99" s="7"/>
      <c r="S99" s="5"/>
    </row>
    <row r="100" spans="1:19" ht="14.45" customHeight="1" x14ac:dyDescent="0.25">
      <c r="A100" s="124"/>
      <c r="B100" s="125"/>
      <c r="C100" s="110"/>
      <c r="D100" s="111"/>
      <c r="E100" s="111"/>
      <c r="F100" s="177"/>
      <c r="G100" s="178"/>
      <c r="H100" s="112"/>
      <c r="I100" s="177"/>
      <c r="J100" s="178"/>
      <c r="K100" s="112"/>
      <c r="L100" s="112"/>
      <c r="M100" s="114"/>
      <c r="N100" s="171"/>
      <c r="O100" s="172"/>
      <c r="S100" s="5"/>
    </row>
    <row r="101" spans="1:19" ht="14.45" customHeight="1" x14ac:dyDescent="0.25">
      <c r="A101" s="124"/>
      <c r="B101" s="125"/>
      <c r="C101" s="230" t="s">
        <v>219</v>
      </c>
      <c r="D101" s="227" t="s">
        <v>220</v>
      </c>
      <c r="E101" s="227"/>
      <c r="F101" s="231" t="str">
        <f>W18</f>
        <v>1 per (2) Sleeping Units</v>
      </c>
      <c r="G101" s="231"/>
      <c r="H101" s="231" t="s">
        <v>82</v>
      </c>
      <c r="I101" s="231" t="s">
        <v>221</v>
      </c>
      <c r="J101" s="231"/>
      <c r="K101" s="228" t="str">
        <f>AB18</f>
        <v>1 per (8) Sleeping Units</v>
      </c>
      <c r="L101" s="228" t="s">
        <v>82</v>
      </c>
      <c r="M101" s="232" t="s">
        <v>82</v>
      </c>
      <c r="N101" s="167" t="s">
        <v>82</v>
      </c>
      <c r="O101" s="168"/>
      <c r="S101" s="5"/>
    </row>
    <row r="102" spans="1:19" x14ac:dyDescent="0.25">
      <c r="A102" s="124"/>
      <c r="B102" s="125"/>
      <c r="C102" s="230"/>
      <c r="D102" s="227"/>
      <c r="E102" s="227"/>
      <c r="F102" s="231"/>
      <c r="G102" s="231"/>
      <c r="H102" s="231"/>
      <c r="I102" s="231"/>
      <c r="J102" s="231"/>
      <c r="K102" s="228"/>
      <c r="L102" s="228"/>
      <c r="M102" s="233"/>
      <c r="N102" s="169"/>
      <c r="O102" s="170"/>
      <c r="S102" s="5"/>
    </row>
    <row r="103" spans="1:19" x14ac:dyDescent="0.25">
      <c r="A103" s="124"/>
      <c r="B103" s="125"/>
      <c r="C103" s="230"/>
      <c r="D103" s="227"/>
      <c r="E103" s="227"/>
      <c r="F103" s="231"/>
      <c r="G103" s="231"/>
      <c r="H103" s="231"/>
      <c r="I103" s="231"/>
      <c r="J103" s="231"/>
      <c r="K103" s="228"/>
      <c r="L103" s="228"/>
      <c r="M103" s="234"/>
      <c r="N103" s="171"/>
      <c r="O103" s="172"/>
      <c r="S103" s="5"/>
    </row>
    <row r="104" spans="1:19" ht="14.45" customHeight="1" x14ac:dyDescent="0.25">
      <c r="A104" s="124"/>
      <c r="B104" s="125"/>
      <c r="C104" s="230"/>
      <c r="D104" s="227" t="s">
        <v>222</v>
      </c>
      <c r="E104" s="227"/>
      <c r="F104" s="206" t="str">
        <f>W19</f>
        <v>1 per Dwelling Unit</v>
      </c>
      <c r="G104" s="207"/>
      <c r="H104" s="228" t="s">
        <v>82</v>
      </c>
      <c r="I104" s="206" t="str">
        <f>Y19</f>
        <v>1 per Dwelling Unit</v>
      </c>
      <c r="J104" s="207"/>
      <c r="K104" s="228" t="str">
        <f>AB19</f>
        <v>1 per Dwelling Unit</v>
      </c>
      <c r="L104" s="228">
        <f>AA27</f>
        <v>0</v>
      </c>
      <c r="M104" s="229" t="str">
        <f>AA19</f>
        <v>1 kitchen sink per Dwelling Unit</v>
      </c>
      <c r="N104" s="167" t="s">
        <v>82</v>
      </c>
      <c r="O104" s="168"/>
    </row>
    <row r="105" spans="1:19" x14ac:dyDescent="0.25">
      <c r="A105" s="124"/>
      <c r="B105" s="125"/>
      <c r="C105" s="230"/>
      <c r="D105" s="227"/>
      <c r="E105" s="227"/>
      <c r="F105" s="208"/>
      <c r="G105" s="209"/>
      <c r="H105" s="228"/>
      <c r="I105" s="208"/>
      <c r="J105" s="209"/>
      <c r="K105" s="228"/>
      <c r="L105" s="228"/>
      <c r="M105" s="229"/>
      <c r="N105" s="169"/>
      <c r="O105" s="170"/>
    </row>
    <row r="106" spans="1:19" x14ac:dyDescent="0.25">
      <c r="A106" s="124"/>
      <c r="B106" s="125"/>
      <c r="C106" s="230"/>
      <c r="D106" s="227"/>
      <c r="E106" s="227"/>
      <c r="F106" s="210"/>
      <c r="G106" s="211"/>
      <c r="H106" s="228"/>
      <c r="I106" s="210"/>
      <c r="J106" s="211"/>
      <c r="K106" s="228"/>
      <c r="L106" s="228"/>
      <c r="M106" s="229"/>
      <c r="N106" s="171"/>
      <c r="O106" s="172"/>
    </row>
    <row r="107" spans="1:19" ht="14.45" customHeight="1" x14ac:dyDescent="0.25">
      <c r="A107" s="124"/>
      <c r="B107" s="125"/>
      <c r="C107" s="230"/>
      <c r="D107" s="200" t="s">
        <v>223</v>
      </c>
      <c r="E107" s="201"/>
      <c r="F107" s="206">
        <f>W20</f>
        <v>0</v>
      </c>
      <c r="G107" s="207"/>
      <c r="H107" s="212" t="s">
        <v>82</v>
      </c>
      <c r="I107" s="206">
        <f>Y20</f>
        <v>0</v>
      </c>
      <c r="J107" s="207"/>
      <c r="K107" s="212" t="s">
        <v>82</v>
      </c>
      <c r="L107" s="212">
        <f>AA20</f>
        <v>0</v>
      </c>
      <c r="M107" s="215" t="s">
        <v>224</v>
      </c>
      <c r="N107" s="167">
        <v>0</v>
      </c>
      <c r="O107" s="168"/>
    </row>
    <row r="108" spans="1:19" x14ac:dyDescent="0.25">
      <c r="A108" s="124"/>
      <c r="B108" s="125"/>
      <c r="C108" s="230"/>
      <c r="D108" s="202"/>
      <c r="E108" s="203"/>
      <c r="F108" s="208"/>
      <c r="G108" s="209"/>
      <c r="H108" s="213"/>
      <c r="I108" s="208"/>
      <c r="J108" s="209"/>
      <c r="K108" s="213"/>
      <c r="L108" s="213"/>
      <c r="M108" s="216"/>
      <c r="N108" s="169"/>
      <c r="O108" s="170"/>
    </row>
    <row r="109" spans="1:19" x14ac:dyDescent="0.25">
      <c r="A109" s="124"/>
      <c r="B109" s="125"/>
      <c r="C109" s="230"/>
      <c r="D109" s="204"/>
      <c r="E109" s="205"/>
      <c r="F109" s="210"/>
      <c r="G109" s="211"/>
      <c r="H109" s="214"/>
      <c r="I109" s="210"/>
      <c r="J109" s="211"/>
      <c r="K109" s="214"/>
      <c r="L109" s="214"/>
      <c r="M109" s="217"/>
      <c r="N109" s="171"/>
      <c r="O109" s="172"/>
    </row>
    <row r="110" spans="1:19" x14ac:dyDescent="0.25">
      <c r="A110" s="124"/>
      <c r="B110" s="125"/>
      <c r="C110" s="230"/>
      <c r="D110" s="200" t="s">
        <v>225</v>
      </c>
      <c r="E110" s="201"/>
      <c r="F110" s="206">
        <f>W21</f>
        <v>0</v>
      </c>
      <c r="G110" s="207"/>
      <c r="H110" s="212" t="s">
        <v>82</v>
      </c>
      <c r="I110" s="206">
        <f>Y21</f>
        <v>0</v>
      </c>
      <c r="J110" s="207"/>
      <c r="K110" s="212" t="s">
        <v>82</v>
      </c>
      <c r="L110" s="212" t="s">
        <v>82</v>
      </c>
      <c r="M110" s="215" t="s">
        <v>82</v>
      </c>
      <c r="N110" s="167">
        <v>0</v>
      </c>
      <c r="O110" s="168"/>
    </row>
    <row r="111" spans="1:19" x14ac:dyDescent="0.25">
      <c r="A111" s="124"/>
      <c r="B111" s="125"/>
      <c r="C111" s="230"/>
      <c r="D111" s="202"/>
      <c r="E111" s="203"/>
      <c r="F111" s="208"/>
      <c r="G111" s="209"/>
      <c r="H111" s="213"/>
      <c r="I111" s="208"/>
      <c r="J111" s="209"/>
      <c r="K111" s="213"/>
      <c r="L111" s="213"/>
      <c r="M111" s="216"/>
      <c r="N111" s="169"/>
      <c r="O111" s="170"/>
    </row>
    <row r="112" spans="1:19" x14ac:dyDescent="0.25">
      <c r="A112" s="124"/>
      <c r="B112" s="125"/>
      <c r="C112" s="230"/>
      <c r="D112" s="204"/>
      <c r="E112" s="205"/>
      <c r="F112" s="210"/>
      <c r="G112" s="211"/>
      <c r="H112" s="214"/>
      <c r="I112" s="210"/>
      <c r="J112" s="211"/>
      <c r="K112" s="214"/>
      <c r="L112" s="214"/>
      <c r="M112" s="217"/>
      <c r="N112" s="171"/>
      <c r="O112" s="172"/>
    </row>
    <row r="113" spans="1:15" x14ac:dyDescent="0.25">
      <c r="A113" s="124"/>
      <c r="B113" s="125"/>
      <c r="C113" s="224" t="s">
        <v>226</v>
      </c>
      <c r="D113" s="227" t="s">
        <v>220</v>
      </c>
      <c r="E113" s="227"/>
      <c r="F113" s="206" t="str">
        <f>W22</f>
        <v>1 per (2) care recipient sleeping units</v>
      </c>
      <c r="G113" s="207"/>
      <c r="H113" s="212" t="s">
        <v>82</v>
      </c>
      <c r="I113" s="206" t="str">
        <f>Y22</f>
        <v>1 per (2) care recipient sleeping units</v>
      </c>
      <c r="J113" s="207"/>
      <c r="K113" s="212" t="str">
        <f>AB22</f>
        <v>1 per (8) Sleeping Units</v>
      </c>
      <c r="L113" s="212" t="s">
        <v>82</v>
      </c>
      <c r="M113" s="215" t="s">
        <v>82</v>
      </c>
      <c r="N113" s="167" t="s">
        <v>82</v>
      </c>
      <c r="O113" s="168"/>
    </row>
    <row r="114" spans="1:15" x14ac:dyDescent="0.25">
      <c r="A114" s="124"/>
      <c r="B114" s="125"/>
      <c r="C114" s="225"/>
      <c r="D114" s="227"/>
      <c r="E114" s="227"/>
      <c r="F114" s="208"/>
      <c r="G114" s="209"/>
      <c r="H114" s="213"/>
      <c r="I114" s="208"/>
      <c r="J114" s="209"/>
      <c r="K114" s="213"/>
      <c r="L114" s="213"/>
      <c r="M114" s="216"/>
      <c r="N114" s="169"/>
      <c r="O114" s="170"/>
    </row>
    <row r="115" spans="1:15" x14ac:dyDescent="0.25">
      <c r="A115" s="124"/>
      <c r="B115" s="125"/>
      <c r="C115" s="225"/>
      <c r="D115" s="227"/>
      <c r="E115" s="227"/>
      <c r="F115" s="210"/>
      <c r="G115" s="211"/>
      <c r="H115" s="214"/>
      <c r="I115" s="210"/>
      <c r="J115" s="211"/>
      <c r="K115" s="214"/>
      <c r="L115" s="214"/>
      <c r="M115" s="217"/>
      <c r="N115" s="171"/>
      <c r="O115" s="172"/>
    </row>
    <row r="116" spans="1:15" x14ac:dyDescent="0.25">
      <c r="A116" s="124"/>
      <c r="B116" s="125"/>
      <c r="C116" s="225"/>
      <c r="D116" s="200" t="s">
        <v>223</v>
      </c>
      <c r="E116" s="201"/>
      <c r="F116" s="206">
        <f>W23</f>
        <v>0</v>
      </c>
      <c r="G116" s="207"/>
      <c r="H116" s="212" t="s">
        <v>82</v>
      </c>
      <c r="I116" s="206">
        <f>Y23</f>
        <v>0</v>
      </c>
      <c r="J116" s="207"/>
      <c r="K116" s="212" t="s">
        <v>82</v>
      </c>
      <c r="L116" s="212">
        <f>AA23</f>
        <v>0</v>
      </c>
      <c r="M116" s="215" t="s">
        <v>224</v>
      </c>
      <c r="N116" s="167">
        <v>0</v>
      </c>
      <c r="O116" s="168"/>
    </row>
    <row r="117" spans="1:15" x14ac:dyDescent="0.25">
      <c r="A117" s="124"/>
      <c r="B117" s="125"/>
      <c r="C117" s="225"/>
      <c r="D117" s="202"/>
      <c r="E117" s="203"/>
      <c r="F117" s="208"/>
      <c r="G117" s="209"/>
      <c r="H117" s="213"/>
      <c r="I117" s="208"/>
      <c r="J117" s="209"/>
      <c r="K117" s="213"/>
      <c r="L117" s="213"/>
      <c r="M117" s="216"/>
      <c r="N117" s="169"/>
      <c r="O117" s="170"/>
    </row>
    <row r="118" spans="1:15" x14ac:dyDescent="0.25">
      <c r="A118" s="124"/>
      <c r="B118" s="125"/>
      <c r="C118" s="225"/>
      <c r="D118" s="204"/>
      <c r="E118" s="205"/>
      <c r="F118" s="210"/>
      <c r="G118" s="211"/>
      <c r="H118" s="214"/>
      <c r="I118" s="210"/>
      <c r="J118" s="211"/>
      <c r="K118" s="214"/>
      <c r="L118" s="214"/>
      <c r="M118" s="217"/>
      <c r="N118" s="171"/>
      <c r="O118" s="172"/>
    </row>
    <row r="119" spans="1:15" x14ac:dyDescent="0.25">
      <c r="A119" s="124"/>
      <c r="B119" s="125"/>
      <c r="C119" s="225"/>
      <c r="D119" s="200" t="s">
        <v>225</v>
      </c>
      <c r="E119" s="201"/>
      <c r="F119" s="206">
        <f>W25</f>
        <v>0</v>
      </c>
      <c r="G119" s="207"/>
      <c r="H119" s="212" t="s">
        <v>82</v>
      </c>
      <c r="I119" s="206">
        <f>Y25</f>
        <v>0</v>
      </c>
      <c r="J119" s="207"/>
      <c r="K119" s="212" t="s">
        <v>82</v>
      </c>
      <c r="L119" s="212" t="s">
        <v>82</v>
      </c>
      <c r="M119" s="216" t="s">
        <v>82</v>
      </c>
      <c r="N119" s="167">
        <v>0</v>
      </c>
      <c r="O119" s="168"/>
    </row>
    <row r="120" spans="1:15" x14ac:dyDescent="0.25">
      <c r="A120" s="124"/>
      <c r="B120" s="125"/>
      <c r="C120" s="225"/>
      <c r="D120" s="202"/>
      <c r="E120" s="203"/>
      <c r="F120" s="208"/>
      <c r="G120" s="209"/>
      <c r="H120" s="213"/>
      <c r="I120" s="208"/>
      <c r="J120" s="209"/>
      <c r="K120" s="213"/>
      <c r="L120" s="213"/>
      <c r="M120" s="216"/>
      <c r="N120" s="169"/>
      <c r="O120" s="170"/>
    </row>
    <row r="121" spans="1:15" x14ac:dyDescent="0.25">
      <c r="A121" s="124"/>
      <c r="B121" s="125"/>
      <c r="C121" s="226"/>
      <c r="D121" s="204"/>
      <c r="E121" s="205"/>
      <c r="F121" s="210"/>
      <c r="G121" s="211"/>
      <c r="H121" s="214"/>
      <c r="I121" s="210"/>
      <c r="J121" s="211"/>
      <c r="K121" s="214"/>
      <c r="L121" s="214"/>
      <c r="M121" s="217"/>
      <c r="N121" s="171"/>
      <c r="O121" s="172"/>
    </row>
    <row r="122" spans="1:15" x14ac:dyDescent="0.25">
      <c r="A122" s="124"/>
      <c r="B122" s="125"/>
      <c r="C122" s="224" t="s">
        <v>227</v>
      </c>
      <c r="D122" s="227" t="s">
        <v>220</v>
      </c>
      <c r="E122" s="227"/>
      <c r="F122" s="206" t="str">
        <f>W26</f>
        <v>1 per care recipient sleeping unit</v>
      </c>
      <c r="G122" s="207"/>
      <c r="H122" s="212" t="s">
        <v>82</v>
      </c>
      <c r="I122" s="206" t="str">
        <f>Y26</f>
        <v>1 per care recipient sleeping unit</v>
      </c>
      <c r="J122" s="207"/>
      <c r="K122" s="212" t="s">
        <v>82</v>
      </c>
      <c r="L122" s="212" t="s">
        <v>82</v>
      </c>
      <c r="M122" s="215" t="s">
        <v>82</v>
      </c>
      <c r="N122" s="167" t="s">
        <v>82</v>
      </c>
      <c r="O122" s="168"/>
    </row>
    <row r="123" spans="1:15" x14ac:dyDescent="0.25">
      <c r="A123" s="124"/>
      <c r="B123" s="125"/>
      <c r="C123" s="225"/>
      <c r="D123" s="227"/>
      <c r="E123" s="227"/>
      <c r="F123" s="208"/>
      <c r="G123" s="209"/>
      <c r="H123" s="213"/>
      <c r="I123" s="208"/>
      <c r="J123" s="209"/>
      <c r="K123" s="213"/>
      <c r="L123" s="213"/>
      <c r="M123" s="216"/>
      <c r="N123" s="169"/>
      <c r="O123" s="170"/>
    </row>
    <row r="124" spans="1:15" x14ac:dyDescent="0.25">
      <c r="A124" s="124"/>
      <c r="B124" s="125"/>
      <c r="C124" s="225"/>
      <c r="D124" s="227"/>
      <c r="E124" s="227"/>
      <c r="F124" s="210"/>
      <c r="G124" s="211"/>
      <c r="H124" s="214"/>
      <c r="I124" s="210"/>
      <c r="J124" s="211"/>
      <c r="K124" s="214"/>
      <c r="L124" s="214"/>
      <c r="M124" s="217"/>
      <c r="N124" s="171"/>
      <c r="O124" s="172"/>
    </row>
    <row r="125" spans="1:15" x14ac:dyDescent="0.25">
      <c r="A125" s="124"/>
      <c r="B125" s="125"/>
      <c r="C125" s="225"/>
      <c r="D125" s="200" t="s">
        <v>228</v>
      </c>
      <c r="E125" s="201"/>
      <c r="F125" s="206" t="str">
        <f>W27</f>
        <v>1 per (25) care recipient treatment rooms</v>
      </c>
      <c r="G125" s="207"/>
      <c r="H125" s="212" t="s">
        <v>82</v>
      </c>
      <c r="I125" s="206" t="str">
        <f>Y27</f>
        <v>1 per (50) care recipient treatment rooms</v>
      </c>
      <c r="J125" s="207"/>
      <c r="K125" s="212" t="s">
        <v>82</v>
      </c>
      <c r="L125" s="212">
        <f>AA27</f>
        <v>0</v>
      </c>
      <c r="M125" s="215" t="s">
        <v>82</v>
      </c>
      <c r="N125" s="167">
        <v>0</v>
      </c>
      <c r="O125" s="168"/>
    </row>
    <row r="126" spans="1:15" x14ac:dyDescent="0.25">
      <c r="A126" s="124"/>
      <c r="B126" s="125"/>
      <c r="C126" s="225"/>
      <c r="D126" s="202"/>
      <c r="E126" s="203"/>
      <c r="F126" s="208"/>
      <c r="G126" s="209"/>
      <c r="H126" s="213"/>
      <c r="I126" s="208"/>
      <c r="J126" s="209"/>
      <c r="K126" s="213"/>
      <c r="L126" s="213"/>
      <c r="M126" s="216"/>
      <c r="N126" s="169"/>
      <c r="O126" s="170"/>
    </row>
    <row r="127" spans="1:15" x14ac:dyDescent="0.25">
      <c r="A127" s="124"/>
      <c r="B127" s="125"/>
      <c r="C127" s="225"/>
      <c r="D127" s="204"/>
      <c r="E127" s="205"/>
      <c r="F127" s="210"/>
      <c r="G127" s="211"/>
      <c r="H127" s="214"/>
      <c r="I127" s="210"/>
      <c r="J127" s="211"/>
      <c r="K127" s="214"/>
      <c r="L127" s="214"/>
      <c r="M127" s="217"/>
      <c r="N127" s="171"/>
      <c r="O127" s="172"/>
    </row>
    <row r="128" spans="1:15" x14ac:dyDescent="0.25">
      <c r="A128" s="124"/>
      <c r="B128" s="125"/>
      <c r="C128" s="225"/>
      <c r="D128" s="200" t="s">
        <v>223</v>
      </c>
      <c r="E128" s="201"/>
      <c r="F128" s="206" t="str">
        <f>W28</f>
        <v>1 per (25) care recipient sleeping unit or treatment room</v>
      </c>
      <c r="G128" s="207"/>
      <c r="H128" s="212" t="s">
        <v>82</v>
      </c>
      <c r="I128" s="206" t="str">
        <f>Y28</f>
        <v>1 per (50) care recipient sleeping or treatment room</v>
      </c>
      <c r="J128" s="241"/>
      <c r="K128" s="207"/>
      <c r="L128" s="212">
        <f>AA28</f>
        <v>0</v>
      </c>
      <c r="M128" s="215" t="s">
        <v>224</v>
      </c>
      <c r="N128" s="167">
        <v>0</v>
      </c>
      <c r="O128" s="168"/>
    </row>
    <row r="129" spans="1:15" x14ac:dyDescent="0.25">
      <c r="A129" s="124"/>
      <c r="B129" s="125"/>
      <c r="C129" s="225"/>
      <c r="D129" s="202"/>
      <c r="E129" s="203"/>
      <c r="F129" s="208"/>
      <c r="G129" s="209"/>
      <c r="H129" s="213"/>
      <c r="I129" s="208"/>
      <c r="J129" s="242"/>
      <c r="K129" s="209"/>
      <c r="L129" s="213"/>
      <c r="M129" s="216"/>
      <c r="N129" s="169"/>
      <c r="O129" s="170"/>
    </row>
    <row r="130" spans="1:15" x14ac:dyDescent="0.25">
      <c r="A130" s="124"/>
      <c r="B130" s="125"/>
      <c r="C130" s="225"/>
      <c r="D130" s="202"/>
      <c r="E130" s="203"/>
      <c r="F130" s="208"/>
      <c r="G130" s="209"/>
      <c r="H130" s="213"/>
      <c r="I130" s="208"/>
      <c r="J130" s="242"/>
      <c r="K130" s="209"/>
      <c r="L130" s="213"/>
      <c r="M130" s="216"/>
      <c r="N130" s="169"/>
      <c r="O130" s="170"/>
    </row>
    <row r="131" spans="1:15" x14ac:dyDescent="0.25">
      <c r="A131" s="124"/>
      <c r="B131" s="125"/>
      <c r="C131" s="225"/>
      <c r="D131" s="204"/>
      <c r="E131" s="205"/>
      <c r="F131" s="210"/>
      <c r="G131" s="211"/>
      <c r="H131" s="214"/>
      <c r="I131" s="210"/>
      <c r="J131" s="243"/>
      <c r="K131" s="211"/>
      <c r="L131" s="214"/>
      <c r="M131" s="217"/>
      <c r="N131" s="171"/>
      <c r="O131" s="172"/>
    </row>
    <row r="132" spans="1:15" x14ac:dyDescent="0.25">
      <c r="A132" s="124"/>
      <c r="B132" s="125"/>
      <c r="C132" s="225"/>
      <c r="D132" s="200" t="s">
        <v>225</v>
      </c>
      <c r="E132" s="201"/>
      <c r="F132" s="206" t="str">
        <f>W29</f>
        <v>1 per (75) care recipient sleeping unit or treatment room</v>
      </c>
      <c r="G132" s="207"/>
      <c r="H132" s="212" t="s">
        <v>82</v>
      </c>
      <c r="I132" s="206" t="str">
        <f>Y29</f>
        <v>1 per (50) care recipient sleeping or treatment room</v>
      </c>
      <c r="J132" s="241"/>
      <c r="K132" s="207"/>
      <c r="L132" s="212">
        <f>AA29</f>
        <v>0</v>
      </c>
      <c r="M132" s="215" t="s">
        <v>82</v>
      </c>
      <c r="N132" s="167">
        <v>0</v>
      </c>
      <c r="O132" s="168"/>
    </row>
    <row r="133" spans="1:15" x14ac:dyDescent="0.25">
      <c r="A133" s="124"/>
      <c r="B133" s="125"/>
      <c r="C133" s="225"/>
      <c r="D133" s="202"/>
      <c r="E133" s="203"/>
      <c r="F133" s="208"/>
      <c r="G133" s="209"/>
      <c r="H133" s="213"/>
      <c r="I133" s="208"/>
      <c r="J133" s="242"/>
      <c r="K133" s="209"/>
      <c r="L133" s="213"/>
      <c r="M133" s="216"/>
      <c r="N133" s="169"/>
      <c r="O133" s="170"/>
    </row>
    <row r="134" spans="1:15" x14ac:dyDescent="0.25">
      <c r="A134" s="124"/>
      <c r="B134" s="125"/>
      <c r="C134" s="225"/>
      <c r="D134" s="202"/>
      <c r="E134" s="203"/>
      <c r="F134" s="208"/>
      <c r="G134" s="209"/>
      <c r="H134" s="213"/>
      <c r="I134" s="208"/>
      <c r="J134" s="242"/>
      <c r="K134" s="209"/>
      <c r="L134" s="213"/>
      <c r="M134" s="216"/>
      <c r="N134" s="169"/>
      <c r="O134" s="170"/>
    </row>
    <row r="135" spans="1:15" x14ac:dyDescent="0.25">
      <c r="A135" s="124"/>
      <c r="B135" s="125"/>
      <c r="C135" s="226"/>
      <c r="D135" s="204"/>
      <c r="E135" s="205"/>
      <c r="F135" s="210"/>
      <c r="G135" s="211"/>
      <c r="H135" s="214"/>
      <c r="I135" s="210"/>
      <c r="J135" s="243"/>
      <c r="K135" s="211"/>
      <c r="L135" s="214"/>
      <c r="M135" s="217"/>
      <c r="N135" s="171"/>
      <c r="O135" s="172"/>
    </row>
    <row r="136" spans="1:15" ht="14.45" customHeight="1" x14ac:dyDescent="0.25">
      <c r="A136" s="124"/>
      <c r="B136" s="125"/>
      <c r="C136" s="235" t="s">
        <v>229</v>
      </c>
      <c r="D136" s="236"/>
      <c r="E136" s="180"/>
      <c r="F136" s="113" t="s">
        <v>157</v>
      </c>
      <c r="G136" s="113"/>
      <c r="H136" s="113" t="s">
        <v>82</v>
      </c>
      <c r="I136" s="113" t="s">
        <v>157</v>
      </c>
      <c r="J136" s="113"/>
      <c r="K136" s="112" t="s">
        <v>158</v>
      </c>
      <c r="L136" s="112" t="str">
        <f>"1 per 100"</f>
        <v>1 per 100</v>
      </c>
      <c r="M136" s="107" t="s">
        <v>83</v>
      </c>
      <c r="N136" s="167">
        <v>0</v>
      </c>
      <c r="O136" s="168"/>
    </row>
    <row r="137" spans="1:15" x14ac:dyDescent="0.25">
      <c r="A137" s="124"/>
      <c r="B137" s="125"/>
      <c r="C137" s="237"/>
      <c r="D137" s="238"/>
      <c r="E137" s="182"/>
      <c r="F137" s="113"/>
      <c r="G137" s="113"/>
      <c r="H137" s="113"/>
      <c r="I137" s="113"/>
      <c r="J137" s="113"/>
      <c r="K137" s="112"/>
      <c r="L137" s="112"/>
      <c r="M137" s="108"/>
      <c r="N137" s="169"/>
      <c r="O137" s="170"/>
    </row>
    <row r="138" spans="1:15" ht="14.45" customHeight="1" x14ac:dyDescent="0.25">
      <c r="A138" s="124"/>
      <c r="B138" s="125"/>
      <c r="C138" s="239"/>
      <c r="D138" s="240"/>
      <c r="E138" s="184"/>
      <c r="F138" s="113"/>
      <c r="G138" s="113"/>
      <c r="H138" s="113"/>
      <c r="I138" s="113"/>
      <c r="J138" s="113"/>
      <c r="K138" s="112"/>
      <c r="L138" s="112"/>
      <c r="M138" s="109"/>
      <c r="N138" s="171"/>
      <c r="O138" s="172"/>
    </row>
    <row r="139" spans="1:15" ht="14.45" customHeight="1" x14ac:dyDescent="0.25">
      <c r="A139" s="124"/>
      <c r="B139" s="125"/>
      <c r="C139" s="86" t="s">
        <v>159</v>
      </c>
      <c r="D139" s="179" t="s">
        <v>230</v>
      </c>
      <c r="E139" s="180"/>
      <c r="F139" s="173" t="str">
        <f>IF(AND(N139&gt;0,N139&lt;=15),"Single restroom okay for 15 or less (IPC 403.2(2))",IF(AND(N139&gt;15,Q5&lt;=15),W30,IF(Q5&lt;=15,"Single restroom okay for 15 or less (IPC 403.2(2))",W30)))</f>
        <v>Single restroom okay for 15 or less (IPC 403.2(2))</v>
      </c>
      <c r="G139" s="174"/>
      <c r="H139" s="92" t="s">
        <v>82</v>
      </c>
      <c r="I139" s="173">
        <f>Y30</f>
        <v>0</v>
      </c>
      <c r="J139" s="174"/>
      <c r="K139" s="92">
        <f>AB31</f>
        <v>0</v>
      </c>
      <c r="L139" s="92" t="str">
        <f>IF(F139="Single restroom okay for 15 or less (IPC 403.2(2))","15 or less Fountain exempt(IPC 410.2)",AA30)</f>
        <v>15 or less Fountain exempt(IPC 410.2)</v>
      </c>
      <c r="M139" s="98" t="s">
        <v>83</v>
      </c>
      <c r="N139" s="167">
        <v>0</v>
      </c>
      <c r="O139" s="168"/>
    </row>
    <row r="140" spans="1:15" x14ac:dyDescent="0.25">
      <c r="A140" s="124"/>
      <c r="B140" s="125"/>
      <c r="C140" s="87"/>
      <c r="D140" s="181"/>
      <c r="E140" s="182"/>
      <c r="F140" s="175"/>
      <c r="G140" s="176"/>
      <c r="H140" s="93"/>
      <c r="I140" s="175"/>
      <c r="J140" s="176"/>
      <c r="K140" s="93"/>
      <c r="L140" s="93"/>
      <c r="M140" s="99"/>
      <c r="N140" s="169"/>
      <c r="O140" s="170"/>
    </row>
    <row r="141" spans="1:15" x14ac:dyDescent="0.25">
      <c r="A141" s="124"/>
      <c r="B141" s="125"/>
      <c r="C141" s="87"/>
      <c r="D141" s="183"/>
      <c r="E141" s="184"/>
      <c r="F141" s="177"/>
      <c r="G141" s="178"/>
      <c r="H141" s="129"/>
      <c r="I141" s="177"/>
      <c r="J141" s="178"/>
      <c r="K141" s="129"/>
      <c r="L141" s="129"/>
      <c r="M141" s="121"/>
      <c r="N141" s="171"/>
      <c r="O141" s="172"/>
    </row>
    <row r="142" spans="1:15" x14ac:dyDescent="0.25">
      <c r="A142" s="124"/>
      <c r="B142" s="125"/>
      <c r="C142" s="87"/>
      <c r="D142" s="200" t="s">
        <v>231</v>
      </c>
      <c r="E142" s="201"/>
      <c r="F142" s="208" t="str">
        <f>IF(AND(N142&gt;0,N142&lt;=15),"Single restroom okay for 15 or less (IPC 403.2(2))",IF(AND(N142&gt;15,Q5&lt;=15),W31,IF(Q5&lt;=15,"Single restroom okay for 15 or less (IPC 403.2(2))",W31)))</f>
        <v>Single restroom okay for 15 or less (IPC 403.2(2))</v>
      </c>
      <c r="G142" s="209"/>
      <c r="H142" s="212"/>
      <c r="I142" s="208">
        <f>Y31</f>
        <v>0</v>
      </c>
      <c r="J142" s="209"/>
      <c r="K142" s="212">
        <f>AB31</f>
        <v>0</v>
      </c>
      <c r="L142" s="212" t="str">
        <f>IF(F142="Single restroom okay for 15 or less (IPC 403.2(2))","15 or less Fountain exempt(IPC 410.2)",AA31)</f>
        <v>15 or less Fountain exempt(IPC 410.2)</v>
      </c>
      <c r="M142" s="215" t="s">
        <v>83</v>
      </c>
      <c r="N142" s="169">
        <v>0</v>
      </c>
      <c r="O142" s="170"/>
    </row>
    <row r="143" spans="1:15" x14ac:dyDescent="0.25">
      <c r="A143" s="124"/>
      <c r="B143" s="125"/>
      <c r="C143" s="87"/>
      <c r="D143" s="202"/>
      <c r="E143" s="203"/>
      <c r="F143" s="208"/>
      <c r="G143" s="209"/>
      <c r="H143" s="213"/>
      <c r="I143" s="208"/>
      <c r="J143" s="209"/>
      <c r="K143" s="213"/>
      <c r="L143" s="213"/>
      <c r="M143" s="216"/>
      <c r="N143" s="169"/>
      <c r="O143" s="170"/>
    </row>
    <row r="144" spans="1:15" x14ac:dyDescent="0.25">
      <c r="A144" s="124"/>
      <c r="B144" s="125"/>
      <c r="C144" s="87"/>
      <c r="D144" s="204"/>
      <c r="E144" s="205"/>
      <c r="F144" s="210"/>
      <c r="G144" s="211"/>
      <c r="H144" s="214"/>
      <c r="I144" s="210"/>
      <c r="J144" s="211"/>
      <c r="K144" s="214"/>
      <c r="L144" s="214"/>
      <c r="M144" s="217"/>
      <c r="N144" s="171"/>
      <c r="O144" s="172"/>
    </row>
    <row r="145" spans="1:15" ht="14.45" customHeight="1" x14ac:dyDescent="0.25">
      <c r="A145" s="124"/>
      <c r="B145" s="125"/>
      <c r="C145" s="87"/>
      <c r="D145" s="111" t="s">
        <v>160</v>
      </c>
      <c r="E145" s="111"/>
      <c r="F145" s="173" t="str">
        <f>IF(AND(N145&gt;0,N145&lt;=15),"Single restroom okay for 15 or less (IPC 403.2(2))",IF(AND(N145&gt;15,Q5&lt;=15),W32,IF(Q5&lt;=15,"Single restroom okay for 15 or less (IPC 403.2(2))",W32)))</f>
        <v>Single restroom okay for 15 or less (IPC 403.2(2))</v>
      </c>
      <c r="G145" s="174"/>
      <c r="H145" s="112" t="s">
        <v>82</v>
      </c>
      <c r="I145" s="173">
        <f>Y32</f>
        <v>0</v>
      </c>
      <c r="J145" s="174"/>
      <c r="K145" s="112" t="s">
        <v>82</v>
      </c>
      <c r="L145" s="112" t="str">
        <f>IF(F145="Single restroom okay for 15 or less (IPC 403.2(2))","15 or less Fountain exempt(IPC 410.2)",AA32)</f>
        <v>15 or less Fountain exempt(IPC 410.2)</v>
      </c>
      <c r="M145" s="98" t="s">
        <v>82</v>
      </c>
      <c r="N145" s="167">
        <v>0</v>
      </c>
      <c r="O145" s="168"/>
    </row>
    <row r="146" spans="1:15" x14ac:dyDescent="0.25">
      <c r="A146" s="124"/>
      <c r="B146" s="125"/>
      <c r="C146" s="87"/>
      <c r="D146" s="111"/>
      <c r="E146" s="111"/>
      <c r="F146" s="175"/>
      <c r="G146" s="176"/>
      <c r="H146" s="112"/>
      <c r="I146" s="175"/>
      <c r="J146" s="176"/>
      <c r="K146" s="112"/>
      <c r="L146" s="112"/>
      <c r="M146" s="99"/>
      <c r="N146" s="169"/>
      <c r="O146" s="170"/>
    </row>
    <row r="147" spans="1:15" x14ac:dyDescent="0.25">
      <c r="A147" s="124"/>
      <c r="B147" s="125"/>
      <c r="C147" s="130"/>
      <c r="D147" s="111"/>
      <c r="E147" s="111"/>
      <c r="F147" s="177"/>
      <c r="G147" s="178"/>
      <c r="H147" s="112"/>
      <c r="I147" s="177"/>
      <c r="J147" s="178"/>
      <c r="K147" s="112"/>
      <c r="L147" s="112"/>
      <c r="M147" s="121"/>
      <c r="N147" s="171"/>
      <c r="O147" s="172"/>
    </row>
    <row r="148" spans="1:15" x14ac:dyDescent="0.25">
      <c r="A148" s="124"/>
      <c r="B148" s="125"/>
      <c r="C148" s="110" t="s">
        <v>161</v>
      </c>
      <c r="D148" s="111" t="s">
        <v>162</v>
      </c>
      <c r="E148" s="111"/>
      <c r="F148" s="173" t="str">
        <f>IF(AND(N148&gt;0,N148&lt;=15),"Single restroom okay for 15 or less (IPC 403.2(2))",IF(AND(N148&gt;15,Q5&lt;=15),W33,IF(Q5&lt;=15,"Single restroom okay for 15 or less (IPC 403.2(2))",W33)))</f>
        <v>Single restroom okay for 15 or less (IPC 403.2(2))</v>
      </c>
      <c r="G148" s="174"/>
      <c r="H148" s="112" t="s">
        <v>82</v>
      </c>
      <c r="I148" s="173">
        <f>Y33</f>
        <v>0</v>
      </c>
      <c r="J148" s="174"/>
      <c r="K148" s="112">
        <f>AB33</f>
        <v>1</v>
      </c>
      <c r="L148" s="112" t="str">
        <f>IF(F148="Single restroom okay for 15 or less (IPC 403.2(2))","15 or less Fountain exempt(IPC 410.2)",AA33)</f>
        <v>15 or less Fountain exempt(IPC 410.2)</v>
      </c>
      <c r="M148" s="107" t="s">
        <v>83</v>
      </c>
      <c r="N148" s="167">
        <v>0</v>
      </c>
      <c r="O148" s="168"/>
    </row>
    <row r="149" spans="1:15" x14ac:dyDescent="0.25">
      <c r="A149" s="124"/>
      <c r="B149" s="125"/>
      <c r="C149" s="110"/>
      <c r="D149" s="111"/>
      <c r="E149" s="111"/>
      <c r="F149" s="175"/>
      <c r="G149" s="176"/>
      <c r="H149" s="112"/>
      <c r="I149" s="175"/>
      <c r="J149" s="176"/>
      <c r="K149" s="112"/>
      <c r="L149" s="112"/>
      <c r="M149" s="108"/>
      <c r="N149" s="169"/>
      <c r="O149" s="170"/>
    </row>
    <row r="150" spans="1:15" ht="15.75" thickBot="1" x14ac:dyDescent="0.3">
      <c r="A150" s="126"/>
      <c r="B150" s="127"/>
      <c r="C150" s="110"/>
      <c r="D150" s="111"/>
      <c r="E150" s="111"/>
      <c r="F150" s="177"/>
      <c r="G150" s="178"/>
      <c r="H150" s="112"/>
      <c r="I150" s="177"/>
      <c r="J150" s="178"/>
      <c r="K150" s="112"/>
      <c r="L150" s="112"/>
      <c r="M150" s="109"/>
      <c r="N150" s="171"/>
      <c r="O150" s="172"/>
    </row>
    <row r="151" spans="1:15" ht="14.45" customHeight="1" x14ac:dyDescent="0.25">
      <c r="A151" s="80" t="s">
        <v>163</v>
      </c>
      <c r="B151" s="81"/>
      <c r="C151" s="110" t="s">
        <v>164</v>
      </c>
      <c r="D151" s="111" t="s">
        <v>165</v>
      </c>
      <c r="E151" s="111"/>
      <c r="F151" s="173" t="str">
        <f>IF(AND(N151&gt;0,N151&lt;=100),"Single restroom okay for 100 or less (IPC 403.2(3))",IF(AND(N151&gt;100,Q5&lt;=100),W34,IF(Q5&lt;=100,"Single restroom okay for 100 or less (IPC 403.2(3))",W34)))</f>
        <v>Single restroom okay for 100 or less (IPC 403.2(3))</v>
      </c>
      <c r="G151" s="174"/>
      <c r="H151" s="112" t="s">
        <v>182</v>
      </c>
      <c r="I151" s="173">
        <f>Y34</f>
        <v>0</v>
      </c>
      <c r="J151" s="174"/>
      <c r="K151" s="112" t="s">
        <v>82</v>
      </c>
      <c r="L151" s="120" t="str">
        <f>IF(AND(N151&gt;0,N151&lt;=15),"15 or less Fountain exempt(IPC 410.2)",IF(N151&gt;15,AA34,IF(Q5&lt;=15,"15 or less Fountain exempt(IPC 410.2)",AA34)))</f>
        <v>15 or less Fountain exempt(IPC 410.2)</v>
      </c>
      <c r="M151" s="95" t="str">
        <f>IF(AND(N151&gt;0,N151&lt;=15),"15 or less Service sink exempt (IPC 403.1(e))",IF(N151&gt;15,"1 service sink",IF(Q5&lt;=15,"15 or less Service sink exempt (IPC 403.1(e))","1 service sink")))</f>
        <v>15 or less Service sink exempt (IPC 403.1(e))</v>
      </c>
      <c r="N151" s="167">
        <v>0</v>
      </c>
      <c r="O151" s="168"/>
    </row>
    <row r="152" spans="1:15" x14ac:dyDescent="0.25">
      <c r="A152" s="82"/>
      <c r="B152" s="83"/>
      <c r="C152" s="110"/>
      <c r="D152" s="111"/>
      <c r="E152" s="111"/>
      <c r="F152" s="175"/>
      <c r="G152" s="176"/>
      <c r="H152" s="112"/>
      <c r="I152" s="175"/>
      <c r="J152" s="176"/>
      <c r="K152" s="112"/>
      <c r="L152" s="120"/>
      <c r="M152" s="95"/>
      <c r="N152" s="169"/>
      <c r="O152" s="170"/>
    </row>
    <row r="153" spans="1:15" x14ac:dyDescent="0.25">
      <c r="A153" s="82"/>
      <c r="B153" s="83"/>
      <c r="C153" s="110"/>
      <c r="D153" s="111"/>
      <c r="E153" s="111"/>
      <c r="F153" s="175"/>
      <c r="G153" s="176"/>
      <c r="H153" s="112"/>
      <c r="I153" s="175"/>
      <c r="J153" s="176"/>
      <c r="K153" s="112"/>
      <c r="L153" s="120"/>
      <c r="M153" s="95"/>
      <c r="N153" s="169"/>
      <c r="O153" s="170"/>
    </row>
    <row r="154" spans="1:15" x14ac:dyDescent="0.25">
      <c r="A154" s="82"/>
      <c r="B154" s="83"/>
      <c r="C154" s="110"/>
      <c r="D154" s="111"/>
      <c r="E154" s="111"/>
      <c r="F154" s="175"/>
      <c r="G154" s="176"/>
      <c r="H154" s="112"/>
      <c r="I154" s="175"/>
      <c r="J154" s="176"/>
      <c r="K154" s="112"/>
      <c r="L154" s="120"/>
      <c r="M154" s="95"/>
      <c r="N154" s="169"/>
      <c r="O154" s="170"/>
    </row>
    <row r="155" spans="1:15" x14ac:dyDescent="0.25">
      <c r="A155" s="82"/>
      <c r="B155" s="83"/>
      <c r="C155" s="110"/>
      <c r="D155" s="111"/>
      <c r="E155" s="111"/>
      <c r="F155" s="175"/>
      <c r="G155" s="176"/>
      <c r="H155" s="112"/>
      <c r="I155" s="175"/>
      <c r="J155" s="176"/>
      <c r="K155" s="112"/>
      <c r="L155" s="120"/>
      <c r="M155" s="95"/>
      <c r="N155" s="169"/>
      <c r="O155" s="170"/>
    </row>
    <row r="156" spans="1:15" ht="14.45" customHeight="1" x14ac:dyDescent="0.25">
      <c r="A156" s="82"/>
      <c r="B156" s="83"/>
      <c r="C156" s="110"/>
      <c r="D156" s="111"/>
      <c r="E156" s="111"/>
      <c r="F156" s="175"/>
      <c r="G156" s="176"/>
      <c r="H156" s="112"/>
      <c r="I156" s="175"/>
      <c r="J156" s="176"/>
      <c r="K156" s="112"/>
      <c r="L156" s="120"/>
      <c r="M156" s="95"/>
      <c r="N156" s="169"/>
      <c r="O156" s="170"/>
    </row>
    <row r="157" spans="1:15" ht="14.45" customHeight="1" x14ac:dyDescent="0.25">
      <c r="A157" s="82"/>
      <c r="B157" s="83"/>
      <c r="C157" s="110"/>
      <c r="D157" s="111"/>
      <c r="E157" s="111"/>
      <c r="F157" s="175"/>
      <c r="G157" s="176"/>
      <c r="H157" s="112"/>
      <c r="I157" s="175"/>
      <c r="J157" s="176"/>
      <c r="K157" s="112"/>
      <c r="L157" s="120"/>
      <c r="M157" s="95"/>
      <c r="N157" s="169"/>
      <c r="O157" s="170"/>
    </row>
    <row r="158" spans="1:15" ht="15.75" thickBot="1" x14ac:dyDescent="0.3">
      <c r="A158" s="84"/>
      <c r="B158" s="85"/>
      <c r="C158" s="110"/>
      <c r="D158" s="111"/>
      <c r="E158" s="111"/>
      <c r="F158" s="177"/>
      <c r="G158" s="178"/>
      <c r="H158" s="112"/>
      <c r="I158" s="177"/>
      <c r="J158" s="178"/>
      <c r="K158" s="112"/>
      <c r="L158" s="120"/>
      <c r="M158" s="95"/>
      <c r="N158" s="171"/>
      <c r="O158" s="172"/>
    </row>
    <row r="159" spans="1:15" x14ac:dyDescent="0.25">
      <c r="A159" s="80" t="s">
        <v>55</v>
      </c>
      <c r="B159" s="81"/>
      <c r="C159" s="110" t="s">
        <v>166</v>
      </c>
      <c r="D159" s="111" t="s">
        <v>167</v>
      </c>
      <c r="E159" s="111"/>
      <c r="F159" s="113" t="s">
        <v>232</v>
      </c>
      <c r="G159" s="113"/>
      <c r="H159" s="113" t="s">
        <v>82</v>
      </c>
      <c r="I159" s="113" t="s">
        <v>232</v>
      </c>
      <c r="J159" s="113"/>
      <c r="K159" s="113" t="s">
        <v>232</v>
      </c>
      <c r="L159" s="113" t="s">
        <v>82</v>
      </c>
      <c r="M159" s="107" t="s">
        <v>83</v>
      </c>
      <c r="N159" s="96" t="s">
        <v>82</v>
      </c>
      <c r="O159" s="97"/>
    </row>
    <row r="160" spans="1:15" x14ac:dyDescent="0.25">
      <c r="A160" s="82"/>
      <c r="B160" s="83"/>
      <c r="C160" s="110"/>
      <c r="D160" s="111"/>
      <c r="E160" s="111"/>
      <c r="F160" s="113"/>
      <c r="G160" s="113"/>
      <c r="H160" s="113"/>
      <c r="I160" s="113"/>
      <c r="J160" s="113"/>
      <c r="K160" s="113"/>
      <c r="L160" s="113"/>
      <c r="M160" s="108"/>
      <c r="N160" s="96"/>
      <c r="O160" s="97"/>
    </row>
    <row r="161" spans="1:15" x14ac:dyDescent="0.25">
      <c r="A161" s="82"/>
      <c r="B161" s="83"/>
      <c r="C161" s="110"/>
      <c r="D161" s="111"/>
      <c r="E161" s="111"/>
      <c r="F161" s="113"/>
      <c r="G161" s="113"/>
      <c r="H161" s="113"/>
      <c r="I161" s="113"/>
      <c r="J161" s="113"/>
      <c r="K161" s="113"/>
      <c r="L161" s="113"/>
      <c r="M161" s="108"/>
      <c r="N161" s="96"/>
      <c r="O161" s="97"/>
    </row>
    <row r="162" spans="1:15" x14ac:dyDescent="0.25">
      <c r="A162" s="82"/>
      <c r="B162" s="83"/>
      <c r="C162" s="110"/>
      <c r="D162" s="111"/>
      <c r="E162" s="111"/>
      <c r="F162" s="113"/>
      <c r="G162" s="113"/>
      <c r="H162" s="113"/>
      <c r="I162" s="113"/>
      <c r="J162" s="113"/>
      <c r="K162" s="113"/>
      <c r="L162" s="113"/>
      <c r="M162" s="108"/>
      <c r="N162" s="96"/>
      <c r="O162" s="97"/>
    </row>
    <row r="163" spans="1:15" x14ac:dyDescent="0.25">
      <c r="A163" s="82"/>
      <c r="B163" s="83"/>
      <c r="C163" s="110"/>
      <c r="D163" s="111"/>
      <c r="E163" s="111"/>
      <c r="F163" s="113"/>
      <c r="G163" s="113"/>
      <c r="H163" s="113"/>
      <c r="I163" s="113"/>
      <c r="J163" s="113"/>
      <c r="K163" s="113"/>
      <c r="L163" s="113"/>
      <c r="M163" s="109"/>
      <c r="N163" s="96"/>
      <c r="O163" s="97"/>
    </row>
    <row r="164" spans="1:15" x14ac:dyDescent="0.25">
      <c r="A164" s="82"/>
      <c r="B164" s="83"/>
      <c r="C164" s="110" t="s">
        <v>169</v>
      </c>
      <c r="D164" s="111" t="s">
        <v>170</v>
      </c>
      <c r="E164" s="111"/>
      <c r="F164" s="112">
        <f>W35</f>
        <v>0</v>
      </c>
      <c r="G164" s="112"/>
      <c r="H164" s="113" t="s">
        <v>82</v>
      </c>
      <c r="I164" s="112">
        <f>Y35</f>
        <v>0</v>
      </c>
      <c r="J164" s="112"/>
      <c r="K164" s="112">
        <f>AB35</f>
        <v>0</v>
      </c>
      <c r="L164" s="112" t="str">
        <f>IF(AND(N164&gt;0,N164&lt;=15),"15 or less Fountain exempt(IPC 410.2)",IF(Q5&lt;=15,"15 or less Fountain exempt(IPC 410.2)",AA35))</f>
        <v>15 or less Fountain exempt(IPC 410.2)</v>
      </c>
      <c r="M164" s="114" t="s">
        <v>83</v>
      </c>
      <c r="N164" s="96">
        <v>0</v>
      </c>
      <c r="O164" s="97"/>
    </row>
    <row r="165" spans="1:15" x14ac:dyDescent="0.25">
      <c r="A165" s="82"/>
      <c r="B165" s="83"/>
      <c r="C165" s="110"/>
      <c r="D165" s="111"/>
      <c r="E165" s="111"/>
      <c r="F165" s="112"/>
      <c r="G165" s="112"/>
      <c r="H165" s="113"/>
      <c r="I165" s="112"/>
      <c r="J165" s="112"/>
      <c r="K165" s="112"/>
      <c r="L165" s="112"/>
      <c r="M165" s="114"/>
      <c r="N165" s="96"/>
      <c r="O165" s="97"/>
    </row>
    <row r="166" spans="1:15" ht="14.45" customHeight="1" x14ac:dyDescent="0.25">
      <c r="A166" s="82"/>
      <c r="B166" s="83"/>
      <c r="C166" s="110"/>
      <c r="D166" s="111"/>
      <c r="E166" s="111"/>
      <c r="F166" s="112"/>
      <c r="G166" s="112"/>
      <c r="H166" s="113"/>
      <c r="I166" s="112"/>
      <c r="J166" s="112"/>
      <c r="K166" s="112"/>
      <c r="L166" s="112"/>
      <c r="M166" s="114"/>
      <c r="N166" s="96"/>
      <c r="O166" s="97"/>
    </row>
    <row r="167" spans="1:15" x14ac:dyDescent="0.25">
      <c r="A167" s="82"/>
      <c r="B167" s="83"/>
      <c r="C167" s="110"/>
      <c r="D167" s="111"/>
      <c r="E167" s="111"/>
      <c r="F167" s="112"/>
      <c r="G167" s="112"/>
      <c r="H167" s="113"/>
      <c r="I167" s="112"/>
      <c r="J167" s="112"/>
      <c r="K167" s="112"/>
      <c r="L167" s="112"/>
      <c r="M167" s="114"/>
      <c r="N167" s="96"/>
      <c r="O167" s="97"/>
    </row>
    <row r="168" spans="1:15" x14ac:dyDescent="0.25">
      <c r="A168" s="82"/>
      <c r="B168" s="83"/>
      <c r="C168" s="110"/>
      <c r="D168" s="111"/>
      <c r="E168" s="111"/>
      <c r="F168" s="112"/>
      <c r="G168" s="112"/>
      <c r="H168" s="113"/>
      <c r="I168" s="112"/>
      <c r="J168" s="112"/>
      <c r="K168" s="112"/>
      <c r="L168" s="112"/>
      <c r="M168" s="114"/>
      <c r="N168" s="96"/>
      <c r="O168" s="97"/>
    </row>
    <row r="169" spans="1:15" x14ac:dyDescent="0.25">
      <c r="A169" s="82"/>
      <c r="B169" s="83"/>
      <c r="C169" s="110"/>
      <c r="D169" s="111" t="s">
        <v>171</v>
      </c>
      <c r="E169" s="111"/>
      <c r="F169" s="113" t="s">
        <v>233</v>
      </c>
      <c r="G169" s="113"/>
      <c r="H169" s="113" t="s">
        <v>82</v>
      </c>
      <c r="I169" s="113" t="s">
        <v>233</v>
      </c>
      <c r="J169" s="113"/>
      <c r="K169" s="113" t="s">
        <v>233</v>
      </c>
      <c r="L169" s="113" t="s">
        <v>82</v>
      </c>
      <c r="M169" s="115" t="s">
        <v>173</v>
      </c>
      <c r="N169" s="116" t="s">
        <v>82</v>
      </c>
      <c r="O169" s="117"/>
    </row>
    <row r="170" spans="1:15" x14ac:dyDescent="0.25">
      <c r="A170" s="82"/>
      <c r="B170" s="83"/>
      <c r="C170" s="110"/>
      <c r="D170" s="111"/>
      <c r="E170" s="111"/>
      <c r="F170" s="113"/>
      <c r="G170" s="113"/>
      <c r="H170" s="113"/>
      <c r="I170" s="113"/>
      <c r="J170" s="113"/>
      <c r="K170" s="113"/>
      <c r="L170" s="113"/>
      <c r="M170" s="115"/>
      <c r="N170" s="118"/>
      <c r="O170" s="119"/>
    </row>
    <row r="171" spans="1:15" x14ac:dyDescent="0.25">
      <c r="A171" s="82"/>
      <c r="B171" s="83"/>
      <c r="C171" s="110"/>
      <c r="D171" s="111"/>
      <c r="E171" s="111"/>
      <c r="F171" s="113"/>
      <c r="G171" s="113"/>
      <c r="H171" s="113"/>
      <c r="I171" s="113"/>
      <c r="J171" s="113"/>
      <c r="K171" s="113"/>
      <c r="L171" s="113"/>
      <c r="M171" s="115"/>
      <c r="N171" s="118"/>
      <c r="O171" s="119"/>
    </row>
    <row r="172" spans="1:15" x14ac:dyDescent="0.25">
      <c r="A172" s="82"/>
      <c r="B172" s="83"/>
      <c r="C172" s="110"/>
      <c r="D172" s="111"/>
      <c r="E172" s="111"/>
      <c r="F172" s="113"/>
      <c r="G172" s="113"/>
      <c r="H172" s="113"/>
      <c r="I172" s="113"/>
      <c r="J172" s="113"/>
      <c r="K172" s="113"/>
      <c r="L172" s="113"/>
      <c r="M172" s="115"/>
      <c r="N172" s="118"/>
      <c r="O172" s="119"/>
    </row>
    <row r="173" spans="1:15" x14ac:dyDescent="0.25">
      <c r="A173" s="82"/>
      <c r="B173" s="83"/>
      <c r="C173" s="110"/>
      <c r="D173" s="111"/>
      <c r="E173" s="111"/>
      <c r="F173" s="113"/>
      <c r="G173" s="113"/>
      <c r="H173" s="113"/>
      <c r="I173" s="113"/>
      <c r="J173" s="113"/>
      <c r="K173" s="113"/>
      <c r="L173" s="113"/>
      <c r="M173" s="115"/>
      <c r="N173" s="118"/>
      <c r="O173" s="119"/>
    </row>
    <row r="174" spans="1:15" x14ac:dyDescent="0.25">
      <c r="A174" s="82"/>
      <c r="B174" s="83"/>
      <c r="C174" s="110"/>
      <c r="D174" s="111"/>
      <c r="E174" s="111"/>
      <c r="F174" s="113"/>
      <c r="G174" s="113"/>
      <c r="H174" s="113"/>
      <c r="I174" s="113"/>
      <c r="J174" s="113"/>
      <c r="K174" s="113"/>
      <c r="L174" s="113"/>
      <c r="M174" s="115"/>
      <c r="N174" s="118"/>
      <c r="O174" s="119"/>
    </row>
    <row r="175" spans="1:15" x14ac:dyDescent="0.25">
      <c r="A175" s="82"/>
      <c r="B175" s="83"/>
      <c r="C175" s="110"/>
      <c r="D175" s="111"/>
      <c r="E175" s="111"/>
      <c r="F175" s="113"/>
      <c r="G175" s="113"/>
      <c r="H175" s="113"/>
      <c r="I175" s="113"/>
      <c r="J175" s="113"/>
      <c r="K175" s="113"/>
      <c r="L175" s="113"/>
      <c r="M175" s="115"/>
      <c r="N175" s="118"/>
      <c r="O175" s="119"/>
    </row>
    <row r="176" spans="1:15" x14ac:dyDescent="0.25">
      <c r="A176" s="82"/>
      <c r="B176" s="83"/>
      <c r="C176" s="86" t="s">
        <v>174</v>
      </c>
      <c r="D176" s="111" t="s">
        <v>234</v>
      </c>
      <c r="E176" s="111"/>
      <c r="F176" s="112">
        <f>W37</f>
        <v>0</v>
      </c>
      <c r="G176" s="112"/>
      <c r="H176" s="113" t="s">
        <v>82</v>
      </c>
      <c r="I176" s="112">
        <f>Y37</f>
        <v>0</v>
      </c>
      <c r="J176" s="112"/>
      <c r="K176" s="112">
        <f>AB37</f>
        <v>0</v>
      </c>
      <c r="L176" s="112" t="s">
        <v>82</v>
      </c>
      <c r="M176" s="107" t="s">
        <v>235</v>
      </c>
      <c r="N176" s="96">
        <v>0</v>
      </c>
      <c r="O176" s="97"/>
    </row>
    <row r="177" spans="1:15" x14ac:dyDescent="0.25">
      <c r="A177" s="82"/>
      <c r="B177" s="83"/>
      <c r="C177" s="87"/>
      <c r="D177" s="111"/>
      <c r="E177" s="111"/>
      <c r="F177" s="112"/>
      <c r="G177" s="112"/>
      <c r="H177" s="113"/>
      <c r="I177" s="112"/>
      <c r="J177" s="112"/>
      <c r="K177" s="112"/>
      <c r="L177" s="112"/>
      <c r="M177" s="108"/>
      <c r="N177" s="96"/>
      <c r="O177" s="97"/>
    </row>
    <row r="178" spans="1:15" x14ac:dyDescent="0.25">
      <c r="A178" s="82"/>
      <c r="B178" s="83"/>
      <c r="C178" s="87"/>
      <c r="D178" s="111"/>
      <c r="E178" s="111"/>
      <c r="F178" s="112"/>
      <c r="G178" s="112"/>
      <c r="H178" s="113"/>
      <c r="I178" s="112"/>
      <c r="J178" s="112"/>
      <c r="K178" s="112"/>
      <c r="L178" s="112"/>
      <c r="M178" s="108"/>
      <c r="N178" s="96"/>
      <c r="O178" s="97"/>
    </row>
    <row r="179" spans="1:15" x14ac:dyDescent="0.25">
      <c r="A179" s="82"/>
      <c r="B179" s="83"/>
      <c r="C179" s="87"/>
      <c r="D179" s="111"/>
      <c r="E179" s="111"/>
      <c r="F179" s="112"/>
      <c r="G179" s="112"/>
      <c r="H179" s="113"/>
      <c r="I179" s="112"/>
      <c r="J179" s="112"/>
      <c r="K179" s="112"/>
      <c r="L179" s="112"/>
      <c r="M179" s="108"/>
      <c r="N179" s="96"/>
      <c r="O179" s="97"/>
    </row>
    <row r="180" spans="1:15" x14ac:dyDescent="0.25">
      <c r="A180" s="82"/>
      <c r="B180" s="83"/>
      <c r="C180" s="87"/>
      <c r="D180" s="111"/>
      <c r="E180" s="111"/>
      <c r="F180" s="112"/>
      <c r="G180" s="112"/>
      <c r="H180" s="113"/>
      <c r="I180" s="112"/>
      <c r="J180" s="112"/>
      <c r="K180" s="112"/>
      <c r="L180" s="112"/>
      <c r="M180" s="109"/>
      <c r="N180" s="96"/>
      <c r="O180" s="97"/>
    </row>
    <row r="181" spans="1:15" ht="14.45" customHeight="1" x14ac:dyDescent="0.25">
      <c r="A181" s="82"/>
      <c r="B181" s="83"/>
      <c r="C181" s="87"/>
      <c r="D181" s="194" t="s">
        <v>176</v>
      </c>
      <c r="E181" s="195"/>
      <c r="F181" s="185" t="s">
        <v>172</v>
      </c>
      <c r="G181" s="186"/>
      <c r="H181" s="191" t="s">
        <v>82</v>
      </c>
      <c r="I181" s="185" t="s">
        <v>172</v>
      </c>
      <c r="J181" s="186"/>
      <c r="K181" s="185" t="s">
        <v>172</v>
      </c>
      <c r="L181" s="186"/>
      <c r="M181" s="98" t="s">
        <v>177</v>
      </c>
      <c r="N181" s="167" t="s">
        <v>82</v>
      </c>
      <c r="O181" s="168"/>
    </row>
    <row r="182" spans="1:15" x14ac:dyDescent="0.25">
      <c r="A182" s="82"/>
      <c r="B182" s="83"/>
      <c r="C182" s="87"/>
      <c r="D182" s="196"/>
      <c r="E182" s="197"/>
      <c r="F182" s="187"/>
      <c r="G182" s="188"/>
      <c r="H182" s="192"/>
      <c r="I182" s="187"/>
      <c r="J182" s="188"/>
      <c r="K182" s="187"/>
      <c r="L182" s="188"/>
      <c r="M182" s="99"/>
      <c r="N182" s="169"/>
      <c r="O182" s="170"/>
    </row>
    <row r="183" spans="1:15" x14ac:dyDescent="0.25">
      <c r="A183" s="82"/>
      <c r="B183" s="83"/>
      <c r="C183" s="87"/>
      <c r="D183" s="196"/>
      <c r="E183" s="197"/>
      <c r="F183" s="187"/>
      <c r="G183" s="188"/>
      <c r="H183" s="192"/>
      <c r="I183" s="187"/>
      <c r="J183" s="188"/>
      <c r="K183" s="187"/>
      <c r="L183" s="188"/>
      <c r="M183" s="99"/>
      <c r="N183" s="169"/>
      <c r="O183" s="170"/>
    </row>
    <row r="184" spans="1:15" x14ac:dyDescent="0.25">
      <c r="A184" s="82"/>
      <c r="B184" s="83"/>
      <c r="C184" s="87"/>
      <c r="D184" s="196"/>
      <c r="E184" s="197"/>
      <c r="F184" s="187"/>
      <c r="G184" s="188"/>
      <c r="H184" s="192"/>
      <c r="I184" s="187"/>
      <c r="J184" s="188"/>
      <c r="K184" s="187"/>
      <c r="L184" s="188"/>
      <c r="M184" s="99"/>
      <c r="N184" s="169"/>
      <c r="O184" s="170"/>
    </row>
    <row r="185" spans="1:15" x14ac:dyDescent="0.25">
      <c r="A185" s="82"/>
      <c r="B185" s="83"/>
      <c r="C185" s="87"/>
      <c r="D185" s="196"/>
      <c r="E185" s="197"/>
      <c r="F185" s="187"/>
      <c r="G185" s="188"/>
      <c r="H185" s="192"/>
      <c r="I185" s="187"/>
      <c r="J185" s="188"/>
      <c r="K185" s="187"/>
      <c r="L185" s="188"/>
      <c r="M185" s="99"/>
      <c r="N185" s="169"/>
      <c r="O185" s="170"/>
    </row>
    <row r="186" spans="1:15" x14ac:dyDescent="0.25">
      <c r="A186" s="82"/>
      <c r="B186" s="83"/>
      <c r="C186" s="130"/>
      <c r="D186" s="198"/>
      <c r="E186" s="199"/>
      <c r="F186" s="189"/>
      <c r="G186" s="190"/>
      <c r="H186" s="193"/>
      <c r="I186" s="189"/>
      <c r="J186" s="190"/>
      <c r="K186" s="189"/>
      <c r="L186" s="190"/>
      <c r="M186" s="121"/>
      <c r="N186" s="171"/>
      <c r="O186" s="172"/>
    </row>
    <row r="187" spans="1:15" x14ac:dyDescent="0.25">
      <c r="A187" s="82"/>
      <c r="B187" s="83"/>
      <c r="C187" s="86" t="s">
        <v>185</v>
      </c>
      <c r="D187" s="179" t="s">
        <v>175</v>
      </c>
      <c r="E187" s="180"/>
      <c r="F187" s="185">
        <f>W38</f>
        <v>0</v>
      </c>
      <c r="G187" s="186"/>
      <c r="H187" s="191" t="s">
        <v>82</v>
      </c>
      <c r="I187" s="185">
        <f>Y38</f>
        <v>0</v>
      </c>
      <c r="J187" s="186"/>
      <c r="K187" s="191">
        <f>AB38</f>
        <v>0</v>
      </c>
      <c r="L187" s="92">
        <f>AA38</f>
        <v>0</v>
      </c>
      <c r="M187" s="98" t="s">
        <v>83</v>
      </c>
      <c r="N187" s="167">
        <v>0</v>
      </c>
      <c r="O187" s="168"/>
    </row>
    <row r="188" spans="1:15" x14ac:dyDescent="0.25">
      <c r="A188" s="82"/>
      <c r="B188" s="83"/>
      <c r="C188" s="87"/>
      <c r="D188" s="181"/>
      <c r="E188" s="182"/>
      <c r="F188" s="187"/>
      <c r="G188" s="188"/>
      <c r="H188" s="192"/>
      <c r="I188" s="187"/>
      <c r="J188" s="188"/>
      <c r="K188" s="192"/>
      <c r="L188" s="93"/>
      <c r="M188" s="99"/>
      <c r="N188" s="169"/>
      <c r="O188" s="170"/>
    </row>
    <row r="189" spans="1:15" x14ac:dyDescent="0.25">
      <c r="A189" s="82"/>
      <c r="B189" s="83"/>
      <c r="C189" s="87"/>
      <c r="D189" s="181"/>
      <c r="E189" s="182"/>
      <c r="F189" s="187"/>
      <c r="G189" s="188"/>
      <c r="H189" s="192"/>
      <c r="I189" s="187"/>
      <c r="J189" s="188"/>
      <c r="K189" s="192"/>
      <c r="L189" s="93"/>
      <c r="M189" s="99"/>
      <c r="N189" s="169"/>
      <c r="O189" s="170"/>
    </row>
    <row r="190" spans="1:15" x14ac:dyDescent="0.25">
      <c r="A190" s="82"/>
      <c r="B190" s="83"/>
      <c r="C190" s="87"/>
      <c r="D190" s="181"/>
      <c r="E190" s="182"/>
      <c r="F190" s="187"/>
      <c r="G190" s="188"/>
      <c r="H190" s="192"/>
      <c r="I190" s="187"/>
      <c r="J190" s="188"/>
      <c r="K190" s="192"/>
      <c r="L190" s="93"/>
      <c r="M190" s="99"/>
      <c r="N190" s="169"/>
      <c r="O190" s="170"/>
    </row>
    <row r="191" spans="1:15" ht="15.75" thickBot="1" x14ac:dyDescent="0.3">
      <c r="A191" s="82"/>
      <c r="B191" s="83"/>
      <c r="C191" s="130"/>
      <c r="D191" s="183"/>
      <c r="E191" s="184"/>
      <c r="F191" s="189"/>
      <c r="G191" s="190"/>
      <c r="H191" s="193"/>
      <c r="I191" s="189"/>
      <c r="J191" s="190"/>
      <c r="K191" s="193"/>
      <c r="L191" s="129"/>
      <c r="M191" s="121"/>
      <c r="N191" s="171"/>
      <c r="O191" s="172"/>
    </row>
    <row r="192" spans="1:15" x14ac:dyDescent="0.25">
      <c r="A192" s="80" t="s">
        <v>178</v>
      </c>
      <c r="B192" s="81"/>
      <c r="C192" s="86" t="s">
        <v>179</v>
      </c>
      <c r="D192" s="89" t="s">
        <v>180</v>
      </c>
      <c r="E192" s="89"/>
      <c r="F192" s="92" t="str">
        <f>IF(AND(N192&gt;0,N192&lt;=15),"Single restroom okay for 15 or less (IPC 403.2(2))",IF(AND(N192&gt;15,Q5&lt;=15),W39,IF(Q5&lt;=15,"Single restroom okay for 15 or less (IPC 403.2(2))",W39)))</f>
        <v>Single restroom okay for 15 or less (IPC 403.2(2))</v>
      </c>
      <c r="G192" s="92"/>
      <c r="H192" s="92" t="s">
        <v>82</v>
      </c>
      <c r="I192" s="92">
        <f>Y39</f>
        <v>0</v>
      </c>
      <c r="J192" s="92"/>
      <c r="K192" s="92" t="str">
        <f>AB39</f>
        <v>See section 411 if eyewash stations are provided</v>
      </c>
      <c r="L192" s="92" t="str">
        <f>IF(AND(N192&gt;0,N192&lt;=15),"15 or less Fountain exempt(IPC 410.2)",IF(Q5&lt;=15,"15 or less Fountain exempt(IPC 410.2)",AA39))</f>
        <v>15 or less Fountain exempt(IPC 410.2)</v>
      </c>
      <c r="M192" s="98" t="s">
        <v>83</v>
      </c>
      <c r="N192" s="101">
        <v>0</v>
      </c>
      <c r="O192" s="102"/>
    </row>
    <row r="193" spans="1:15" x14ac:dyDescent="0.25">
      <c r="A193" s="82"/>
      <c r="B193" s="83"/>
      <c r="C193" s="87"/>
      <c r="D193" s="90"/>
      <c r="E193" s="90"/>
      <c r="F193" s="93"/>
      <c r="G193" s="93"/>
      <c r="H193" s="93"/>
      <c r="I193" s="93"/>
      <c r="J193" s="93"/>
      <c r="K193" s="93"/>
      <c r="L193" s="93"/>
      <c r="M193" s="99"/>
      <c r="N193" s="103"/>
      <c r="O193" s="104"/>
    </row>
    <row r="194" spans="1:15" x14ac:dyDescent="0.25">
      <c r="A194" s="82"/>
      <c r="B194" s="83"/>
      <c r="C194" s="87"/>
      <c r="D194" s="90"/>
      <c r="E194" s="90"/>
      <c r="F194" s="93"/>
      <c r="G194" s="93"/>
      <c r="H194" s="93"/>
      <c r="I194" s="93"/>
      <c r="J194" s="93"/>
      <c r="K194" s="93"/>
      <c r="L194" s="93"/>
      <c r="M194" s="99"/>
      <c r="N194" s="103"/>
      <c r="O194" s="104"/>
    </row>
    <row r="195" spans="1:15" x14ac:dyDescent="0.25">
      <c r="A195" s="82"/>
      <c r="B195" s="83"/>
      <c r="C195" s="87"/>
      <c r="D195" s="90"/>
      <c r="E195" s="90"/>
      <c r="F195" s="93"/>
      <c r="G195" s="93"/>
      <c r="H195" s="93"/>
      <c r="I195" s="93"/>
      <c r="J195" s="93"/>
      <c r="K195" s="93"/>
      <c r="L195" s="93"/>
      <c r="M195" s="99"/>
      <c r="N195" s="103"/>
      <c r="O195" s="104"/>
    </row>
    <row r="196" spans="1:15" x14ac:dyDescent="0.25">
      <c r="A196" s="82"/>
      <c r="B196" s="83"/>
      <c r="C196" s="87"/>
      <c r="D196" s="90"/>
      <c r="E196" s="90"/>
      <c r="F196" s="93"/>
      <c r="G196" s="93"/>
      <c r="H196" s="93"/>
      <c r="I196" s="93"/>
      <c r="J196" s="93"/>
      <c r="K196" s="93"/>
      <c r="L196" s="93"/>
      <c r="M196" s="99"/>
      <c r="N196" s="103"/>
      <c r="O196" s="104"/>
    </row>
    <row r="197" spans="1:15" x14ac:dyDescent="0.25">
      <c r="A197" s="82"/>
      <c r="B197" s="83"/>
      <c r="C197" s="87"/>
      <c r="D197" s="90"/>
      <c r="E197" s="90"/>
      <c r="F197" s="93"/>
      <c r="G197" s="93"/>
      <c r="H197" s="93"/>
      <c r="I197" s="93"/>
      <c r="J197" s="93"/>
      <c r="K197" s="93"/>
      <c r="L197" s="93"/>
      <c r="M197" s="99"/>
      <c r="N197" s="103"/>
      <c r="O197" s="104"/>
    </row>
    <row r="198" spans="1:15" ht="15.75" thickBot="1" x14ac:dyDescent="0.3">
      <c r="A198" s="84"/>
      <c r="B198" s="85"/>
      <c r="C198" s="88"/>
      <c r="D198" s="91"/>
      <c r="E198" s="91"/>
      <c r="F198" s="94"/>
      <c r="G198" s="94"/>
      <c r="H198" s="94"/>
      <c r="I198" s="94"/>
      <c r="J198" s="94"/>
      <c r="K198" s="94"/>
      <c r="L198" s="94"/>
      <c r="M198" s="100"/>
      <c r="N198" s="105"/>
      <c r="O198" s="106"/>
    </row>
  </sheetData>
  <mergeCells count="370">
    <mergeCell ref="L139:L141"/>
    <mergeCell ref="M139:M141"/>
    <mergeCell ref="H142:H144"/>
    <mergeCell ref="I142:J144"/>
    <mergeCell ref="K142:K144"/>
    <mergeCell ref="L142:L144"/>
    <mergeCell ref="M142:M144"/>
    <mergeCell ref="L145:L147"/>
    <mergeCell ref="M145:M147"/>
    <mergeCell ref="N125:O127"/>
    <mergeCell ref="D128:E131"/>
    <mergeCell ref="F128:G131"/>
    <mergeCell ref="D132:E135"/>
    <mergeCell ref="F132:G135"/>
    <mergeCell ref="H128:H131"/>
    <mergeCell ref="H132:H135"/>
    <mergeCell ref="D125:E127"/>
    <mergeCell ref="F125:G127"/>
    <mergeCell ref="H125:H127"/>
    <mergeCell ref="I125:J127"/>
    <mergeCell ref="K125:K127"/>
    <mergeCell ref="L125:L127"/>
    <mergeCell ref="L128:L131"/>
    <mergeCell ref="M128:M131"/>
    <mergeCell ref="N128:O131"/>
    <mergeCell ref="L132:L135"/>
    <mergeCell ref="M132:M135"/>
    <mergeCell ref="N132:O135"/>
    <mergeCell ref="I128:K131"/>
    <mergeCell ref="I132:K135"/>
    <mergeCell ref="M125:M127"/>
    <mergeCell ref="N122:O124"/>
    <mergeCell ref="L116:L118"/>
    <mergeCell ref="M116:M118"/>
    <mergeCell ref="K119:K121"/>
    <mergeCell ref="L119:L121"/>
    <mergeCell ref="M119:M121"/>
    <mergeCell ref="L113:L115"/>
    <mergeCell ref="M113:M115"/>
    <mergeCell ref="K113:K115"/>
    <mergeCell ref="K116:K118"/>
    <mergeCell ref="L122:L124"/>
    <mergeCell ref="M122:M124"/>
    <mergeCell ref="N110:O112"/>
    <mergeCell ref="H107:H109"/>
    <mergeCell ref="D107:E109"/>
    <mergeCell ref="I107:J109"/>
    <mergeCell ref="I116:J118"/>
    <mergeCell ref="I119:J121"/>
    <mergeCell ref="D113:E115"/>
    <mergeCell ref="F113:G115"/>
    <mergeCell ref="H113:H115"/>
    <mergeCell ref="I113:J115"/>
    <mergeCell ref="N113:O115"/>
    <mergeCell ref="N116:O118"/>
    <mergeCell ref="N119:O121"/>
    <mergeCell ref="N107:O109"/>
    <mergeCell ref="D110:E112"/>
    <mergeCell ref="F110:G112"/>
    <mergeCell ref="H110:H112"/>
    <mergeCell ref="I110:J112"/>
    <mergeCell ref="N192:O198"/>
    <mergeCell ref="A159:B191"/>
    <mergeCell ref="N181:O186"/>
    <mergeCell ref="N187:O191"/>
    <mergeCell ref="D61:E73"/>
    <mergeCell ref="F61:G73"/>
    <mergeCell ref="H61:H73"/>
    <mergeCell ref="I61:J73"/>
    <mergeCell ref="K61:K73"/>
    <mergeCell ref="L61:L73"/>
    <mergeCell ref="L176:L180"/>
    <mergeCell ref="M176:M180"/>
    <mergeCell ref="N176:O180"/>
    <mergeCell ref="D176:E180"/>
    <mergeCell ref="F176:G180"/>
    <mergeCell ref="H176:H180"/>
    <mergeCell ref="I176:J180"/>
    <mergeCell ref="K176:K180"/>
    <mergeCell ref="M164:M168"/>
    <mergeCell ref="N164:O168"/>
    <mergeCell ref="D169:E175"/>
    <mergeCell ref="F169:G175"/>
    <mergeCell ref="H169:H175"/>
    <mergeCell ref="I169:J175"/>
    <mergeCell ref="A192:B198"/>
    <mergeCell ref="C192:C198"/>
    <mergeCell ref="D192:E198"/>
    <mergeCell ref="F192:G198"/>
    <mergeCell ref="H192:H198"/>
    <mergeCell ref="I192:J198"/>
    <mergeCell ref="K192:K198"/>
    <mergeCell ref="L192:L198"/>
    <mergeCell ref="M192:M198"/>
    <mergeCell ref="M169:M175"/>
    <mergeCell ref="N169:O175"/>
    <mergeCell ref="L159:L163"/>
    <mergeCell ref="M159:M163"/>
    <mergeCell ref="N159:O163"/>
    <mergeCell ref="C164:C175"/>
    <mergeCell ref="D164:E168"/>
    <mergeCell ref="F164:G168"/>
    <mergeCell ref="H164:H168"/>
    <mergeCell ref="I164:J168"/>
    <mergeCell ref="K164:K168"/>
    <mergeCell ref="L164:L168"/>
    <mergeCell ref="C159:C163"/>
    <mergeCell ref="D159:E163"/>
    <mergeCell ref="F159:G163"/>
    <mergeCell ref="H159:H163"/>
    <mergeCell ref="I159:J163"/>
    <mergeCell ref="K159:K163"/>
    <mergeCell ref="K169:K175"/>
    <mergeCell ref="L169:L175"/>
    <mergeCell ref="N148:O150"/>
    <mergeCell ref="A151:B158"/>
    <mergeCell ref="C151:C158"/>
    <mergeCell ref="D151:E158"/>
    <mergeCell ref="F151:G158"/>
    <mergeCell ref="H151:H158"/>
    <mergeCell ref="I151:J158"/>
    <mergeCell ref="K151:K158"/>
    <mergeCell ref="C148:C150"/>
    <mergeCell ref="D148:E150"/>
    <mergeCell ref="F148:G150"/>
    <mergeCell ref="H148:H150"/>
    <mergeCell ref="I148:J150"/>
    <mergeCell ref="K148:K150"/>
    <mergeCell ref="L151:L158"/>
    <mergeCell ref="M151:M158"/>
    <mergeCell ref="N151:O158"/>
    <mergeCell ref="A93:B150"/>
    <mergeCell ref="C93:C100"/>
    <mergeCell ref="D93:E100"/>
    <mergeCell ref="F93:G100"/>
    <mergeCell ref="H93:H100"/>
    <mergeCell ref="I93:J100"/>
    <mergeCell ref="K93:K100"/>
    <mergeCell ref="N145:O147"/>
    <mergeCell ref="D139:E141"/>
    <mergeCell ref="L136:L138"/>
    <mergeCell ref="M136:M138"/>
    <mergeCell ref="N136:O138"/>
    <mergeCell ref="F136:G138"/>
    <mergeCell ref="H136:H138"/>
    <mergeCell ref="I136:J138"/>
    <mergeCell ref="K136:K138"/>
    <mergeCell ref="C136:E138"/>
    <mergeCell ref="F139:G141"/>
    <mergeCell ref="D142:E144"/>
    <mergeCell ref="C139:C147"/>
    <mergeCell ref="F142:G144"/>
    <mergeCell ref="H139:H141"/>
    <mergeCell ref="I139:J141"/>
    <mergeCell ref="K139:K141"/>
    <mergeCell ref="N139:O141"/>
    <mergeCell ref="N142:O144"/>
    <mergeCell ref="D145:E147"/>
    <mergeCell ref="F145:G147"/>
    <mergeCell ref="H145:H147"/>
    <mergeCell ref="I145:J147"/>
    <mergeCell ref="K145:K147"/>
    <mergeCell ref="L148:L150"/>
    <mergeCell ref="M148:M150"/>
    <mergeCell ref="K110:K112"/>
    <mergeCell ref="L110:L112"/>
    <mergeCell ref="M110:M112"/>
    <mergeCell ref="N93:O100"/>
    <mergeCell ref="C101:C112"/>
    <mergeCell ref="D101:E103"/>
    <mergeCell ref="F101:G103"/>
    <mergeCell ref="H101:H103"/>
    <mergeCell ref="I101:J103"/>
    <mergeCell ref="K101:K103"/>
    <mergeCell ref="N104:O106"/>
    <mergeCell ref="F107:G109"/>
    <mergeCell ref="L101:L103"/>
    <mergeCell ref="M101:M103"/>
    <mergeCell ref="N101:O103"/>
    <mergeCell ref="D104:E106"/>
    <mergeCell ref="F104:G106"/>
    <mergeCell ref="H104:H106"/>
    <mergeCell ref="I104:J106"/>
    <mergeCell ref="K104:K106"/>
    <mergeCell ref="C113:C121"/>
    <mergeCell ref="K122:K124"/>
    <mergeCell ref="C122:C135"/>
    <mergeCell ref="D122:E124"/>
    <mergeCell ref="F122:G124"/>
    <mergeCell ref="K80:K85"/>
    <mergeCell ref="L80:L85"/>
    <mergeCell ref="M80:M85"/>
    <mergeCell ref="L93:L100"/>
    <mergeCell ref="M93:M100"/>
    <mergeCell ref="L104:L106"/>
    <mergeCell ref="M104:M106"/>
    <mergeCell ref="K107:K109"/>
    <mergeCell ref="L107:L109"/>
    <mergeCell ref="M107:M109"/>
    <mergeCell ref="D116:E118"/>
    <mergeCell ref="D119:E121"/>
    <mergeCell ref="F116:G118"/>
    <mergeCell ref="F119:G121"/>
    <mergeCell ref="H116:H118"/>
    <mergeCell ref="H119:H121"/>
    <mergeCell ref="H122:H124"/>
    <mergeCell ref="I122:J124"/>
    <mergeCell ref="M74:M79"/>
    <mergeCell ref="N74:O79"/>
    <mergeCell ref="N80:O85"/>
    <mergeCell ref="A86:B92"/>
    <mergeCell ref="C86:C92"/>
    <mergeCell ref="D86:E92"/>
    <mergeCell ref="F86:G92"/>
    <mergeCell ref="H86:H92"/>
    <mergeCell ref="I86:J92"/>
    <mergeCell ref="A80:B85"/>
    <mergeCell ref="C80:C85"/>
    <mergeCell ref="D80:E85"/>
    <mergeCell ref="F80:G85"/>
    <mergeCell ref="H80:H85"/>
    <mergeCell ref="I80:J85"/>
    <mergeCell ref="K86:K92"/>
    <mergeCell ref="L86:L92"/>
    <mergeCell ref="M86:M92"/>
    <mergeCell ref="N86:O92"/>
    <mergeCell ref="N42:N47"/>
    <mergeCell ref="O42:O47"/>
    <mergeCell ref="A61:B79"/>
    <mergeCell ref="C61:C79"/>
    <mergeCell ref="J54:J60"/>
    <mergeCell ref="K54:K60"/>
    <mergeCell ref="L54:L60"/>
    <mergeCell ref="M54:M60"/>
    <mergeCell ref="N54:N60"/>
    <mergeCell ref="O54:O60"/>
    <mergeCell ref="C54:C60"/>
    <mergeCell ref="D54:E60"/>
    <mergeCell ref="F54:F60"/>
    <mergeCell ref="G54:G60"/>
    <mergeCell ref="H54:H60"/>
    <mergeCell ref="I54:I60"/>
    <mergeCell ref="M61:M73"/>
    <mergeCell ref="N61:O73"/>
    <mergeCell ref="D74:E79"/>
    <mergeCell ref="F74:G79"/>
    <mergeCell ref="H74:H79"/>
    <mergeCell ref="I74:J79"/>
    <mergeCell ref="K74:K79"/>
    <mergeCell ref="L74:L79"/>
    <mergeCell ref="D42:E47"/>
    <mergeCell ref="F42:F47"/>
    <mergeCell ref="G42:G47"/>
    <mergeCell ref="H42:H47"/>
    <mergeCell ref="I42:I47"/>
    <mergeCell ref="J42:J47"/>
    <mergeCell ref="K42:K47"/>
    <mergeCell ref="L42:L47"/>
    <mergeCell ref="M42:M47"/>
    <mergeCell ref="J48:J53"/>
    <mergeCell ref="K48:K53"/>
    <mergeCell ref="L48:L53"/>
    <mergeCell ref="M48:M53"/>
    <mergeCell ref="N48:N53"/>
    <mergeCell ref="O48:O53"/>
    <mergeCell ref="C48:C53"/>
    <mergeCell ref="D48:E53"/>
    <mergeCell ref="F48:F53"/>
    <mergeCell ref="G48:G53"/>
    <mergeCell ref="H48:H53"/>
    <mergeCell ref="I48:I53"/>
    <mergeCell ref="K36:K41"/>
    <mergeCell ref="L36:L41"/>
    <mergeCell ref="M36:M41"/>
    <mergeCell ref="N21:N29"/>
    <mergeCell ref="O21:O29"/>
    <mergeCell ref="D30:E35"/>
    <mergeCell ref="F30:F35"/>
    <mergeCell ref="G30:G35"/>
    <mergeCell ref="H30:H35"/>
    <mergeCell ref="I30:I35"/>
    <mergeCell ref="J30:J35"/>
    <mergeCell ref="K30:K35"/>
    <mergeCell ref="L30:L35"/>
    <mergeCell ref="M30:M35"/>
    <mergeCell ref="N30:N35"/>
    <mergeCell ref="O30:O35"/>
    <mergeCell ref="D36:E41"/>
    <mergeCell ref="F36:F41"/>
    <mergeCell ref="G36:G41"/>
    <mergeCell ref="H36:H41"/>
    <mergeCell ref="I36:I41"/>
    <mergeCell ref="J36:J41"/>
    <mergeCell ref="N36:N41"/>
    <mergeCell ref="O36:O41"/>
    <mergeCell ref="G9:G14"/>
    <mergeCell ref="H9:H14"/>
    <mergeCell ref="I9:I14"/>
    <mergeCell ref="D15:E20"/>
    <mergeCell ref="F15:F20"/>
    <mergeCell ref="G15:G20"/>
    <mergeCell ref="H15:H20"/>
    <mergeCell ref="O15:O20"/>
    <mergeCell ref="C21:C47"/>
    <mergeCell ref="D21:E29"/>
    <mergeCell ref="F21:F29"/>
    <mergeCell ref="G21:G29"/>
    <mergeCell ref="H21:H29"/>
    <mergeCell ref="I21:I29"/>
    <mergeCell ref="J21:J29"/>
    <mergeCell ref="K21:K29"/>
    <mergeCell ref="L21:L29"/>
    <mergeCell ref="I15:I20"/>
    <mergeCell ref="J15:J20"/>
    <mergeCell ref="K15:K20"/>
    <mergeCell ref="L15:L20"/>
    <mergeCell ref="M15:M20"/>
    <mergeCell ref="N15:N20"/>
    <mergeCell ref="M21:M29"/>
    <mergeCell ref="K3:K8"/>
    <mergeCell ref="L3:L8"/>
    <mergeCell ref="M3:M8"/>
    <mergeCell ref="N3:N8"/>
    <mergeCell ref="O3:O8"/>
    <mergeCell ref="Q3:R4"/>
    <mergeCell ref="Q5:R5"/>
    <mergeCell ref="A3:B60"/>
    <mergeCell ref="C3:C8"/>
    <mergeCell ref="D3:E8"/>
    <mergeCell ref="F3:F8"/>
    <mergeCell ref="G3:G8"/>
    <mergeCell ref="H3:H8"/>
    <mergeCell ref="I3:I8"/>
    <mergeCell ref="J3:J8"/>
    <mergeCell ref="J9:J14"/>
    <mergeCell ref="K9:K14"/>
    <mergeCell ref="L9:L14"/>
    <mergeCell ref="M9:M14"/>
    <mergeCell ref="N9:N14"/>
    <mergeCell ref="O9:O14"/>
    <mergeCell ref="C9:C20"/>
    <mergeCell ref="D9:E14"/>
    <mergeCell ref="F9:F14"/>
    <mergeCell ref="K1:K2"/>
    <mergeCell ref="L1:L2"/>
    <mergeCell ref="M1:M2"/>
    <mergeCell ref="N1:O1"/>
    <mergeCell ref="W1:X1"/>
    <mergeCell ref="Y1:Z1"/>
    <mergeCell ref="A1:B2"/>
    <mergeCell ref="C1:C2"/>
    <mergeCell ref="D1:E2"/>
    <mergeCell ref="F1:G1"/>
    <mergeCell ref="H1:H2"/>
    <mergeCell ref="I1:J1"/>
    <mergeCell ref="C176:C186"/>
    <mergeCell ref="M181:M186"/>
    <mergeCell ref="D181:E186"/>
    <mergeCell ref="F181:G186"/>
    <mergeCell ref="H181:H186"/>
    <mergeCell ref="I181:J186"/>
    <mergeCell ref="K181:L186"/>
    <mergeCell ref="C187:C191"/>
    <mergeCell ref="D187:E191"/>
    <mergeCell ref="F187:G191"/>
    <mergeCell ref="H187:H191"/>
    <mergeCell ref="I187:J191"/>
    <mergeCell ref="K187:K191"/>
    <mergeCell ref="L187:L191"/>
    <mergeCell ref="M187:M19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5472D-2546-4144-8F6C-08F0336E6A64}">
  <dimension ref="A1:AC205"/>
  <sheetViews>
    <sheetView zoomScale="85" zoomScaleNormal="85" workbookViewId="0">
      <pane xSplit="15" ySplit="2" topLeftCell="P3" activePane="bottomRight" state="frozen"/>
      <selection pane="topRight" activeCell="P1" sqref="P1"/>
      <selection pane="bottomLeft" activeCell="A3" sqref="A3"/>
      <selection pane="bottomRight" activeCell="P18" sqref="P18"/>
    </sheetView>
  </sheetViews>
  <sheetFormatPr defaultRowHeight="15" x14ac:dyDescent="0.25"/>
  <cols>
    <col min="1" max="1" width="7.28515625" customWidth="1"/>
    <col min="2" max="2" width="7.140625" customWidth="1"/>
    <col min="3" max="3" width="11" customWidth="1"/>
    <col min="4" max="5" width="9.7109375" customWidth="1"/>
    <col min="6" max="7" width="10.7109375" customWidth="1"/>
    <col min="8" max="8" width="14.7109375" customWidth="1"/>
    <col min="9" max="10" width="10.7109375" customWidth="1"/>
    <col min="11" max="11" width="11.28515625" customWidth="1"/>
    <col min="12" max="13" width="15.7109375" customWidth="1"/>
    <col min="17" max="18" width="10.7109375" customWidth="1"/>
    <col min="19" max="19" width="13.5703125" customWidth="1"/>
    <col min="21" max="29" width="8.85546875" hidden="1" customWidth="1"/>
  </cols>
  <sheetData>
    <row r="1" spans="1:29" ht="31.9" customHeight="1" thickBot="1" x14ac:dyDescent="0.3">
      <c r="A1" s="134" t="s">
        <v>60</v>
      </c>
      <c r="B1" s="135"/>
      <c r="C1" s="138" t="s">
        <v>61</v>
      </c>
      <c r="D1" s="134" t="s">
        <v>62</v>
      </c>
      <c r="E1" s="135"/>
      <c r="F1" s="146" t="s">
        <v>63</v>
      </c>
      <c r="G1" s="147"/>
      <c r="H1" s="148" t="s">
        <v>64</v>
      </c>
      <c r="I1" s="150" t="s">
        <v>65</v>
      </c>
      <c r="J1" s="151"/>
      <c r="K1" s="161" t="s">
        <v>66</v>
      </c>
      <c r="L1" s="148" t="s">
        <v>67</v>
      </c>
      <c r="M1" s="163" t="s">
        <v>68</v>
      </c>
      <c r="N1" s="165" t="s">
        <v>69</v>
      </c>
      <c r="O1" s="166"/>
      <c r="P1" s="13"/>
      <c r="W1" s="133" t="s">
        <v>70</v>
      </c>
      <c r="X1" s="133"/>
      <c r="Y1" s="244"/>
      <c r="Z1" s="133" t="s">
        <v>236</v>
      </c>
      <c r="AA1" s="244"/>
      <c r="AB1" s="26" t="s">
        <v>237</v>
      </c>
      <c r="AC1" s="26" t="s">
        <v>238</v>
      </c>
    </row>
    <row r="2" spans="1:29" ht="15.75" thickBot="1" x14ac:dyDescent="0.3">
      <c r="A2" s="136"/>
      <c r="B2" s="137"/>
      <c r="C2" s="139"/>
      <c r="D2" s="136"/>
      <c r="E2" s="137"/>
      <c r="F2" s="8" t="s">
        <v>74</v>
      </c>
      <c r="G2" s="9" t="s">
        <v>75</v>
      </c>
      <c r="H2" s="149"/>
      <c r="I2" s="9" t="s">
        <v>74</v>
      </c>
      <c r="J2" s="10" t="s">
        <v>75</v>
      </c>
      <c r="K2" s="162"/>
      <c r="L2" s="149"/>
      <c r="M2" s="164"/>
      <c r="N2" s="12" t="s">
        <v>74</v>
      </c>
      <c r="O2" s="12" t="s">
        <v>75</v>
      </c>
      <c r="P2" s="13"/>
      <c r="W2" s="6" t="s">
        <v>239</v>
      </c>
      <c r="X2" s="14" t="s">
        <v>239</v>
      </c>
      <c r="Y2" s="28" t="s">
        <v>239</v>
      </c>
      <c r="Z2" s="6" t="s">
        <v>239</v>
      </c>
      <c r="AA2" s="28" t="s">
        <v>239</v>
      </c>
      <c r="AB2" s="28" t="s">
        <v>239</v>
      </c>
      <c r="AC2" s="28" t="s">
        <v>239</v>
      </c>
    </row>
    <row r="3" spans="1:29" ht="14.45" customHeight="1" x14ac:dyDescent="0.25">
      <c r="A3" s="80" t="s">
        <v>78</v>
      </c>
      <c r="B3" s="81"/>
      <c r="C3" s="158" t="s">
        <v>79</v>
      </c>
      <c r="D3" s="160" t="s">
        <v>240</v>
      </c>
      <c r="E3" s="160"/>
      <c r="F3" s="152" t="str">
        <f>IF(AND(OR(N3&gt;0,O3&gt;0),N3+O3&lt;=10),"Single restroom okay for 10 or less (422.2(2))",IF(AND(OR(N3&gt;0,O3&gt;0),N3+O3&gt;Q5),W4,IF(AND(OR(N3&gt;0,O3&gt;0),N3+O3&lt;Q5),W4,IF(Q5&lt;=10,"Single restroom okay for 10 or less (422.2(2))",W4))))</f>
        <v>Single restroom okay for 10 or less (422.2(2))</v>
      </c>
      <c r="G3" s="152" t="str">
        <f>IF(F3="Single restroom okay for 10 or less (422.2(2))","-",Y4)</f>
        <v>-</v>
      </c>
      <c r="H3" s="152" t="s">
        <v>241</v>
      </c>
      <c r="I3" s="152">
        <f>Z4</f>
        <v>0</v>
      </c>
      <c r="J3" s="152" t="str">
        <f>IF(F3="Single restroom okay for 10 or less (422.2(2))","-",AA4)</f>
        <v>-</v>
      </c>
      <c r="K3" s="152" t="s">
        <v>82</v>
      </c>
      <c r="L3" s="152" t="str">
        <f>IF(AND(OR(N3&gt;0,O3&gt;0),N3+O3&lt;=30),"30 or less Fountain exempt(415.2)",IF(AND(OR(N3&gt;0,O3&gt;0),N3+O3&gt;Q5),AB4,IF(AND(OR(N3&gt;0,O3&gt;0),N3+O3&lt;Q5),AB4,IF(Q5&lt;=30,"30 or less Fountain exempt(415.2)",AB4))))</f>
        <v>30 or less Fountain exempt(415.2)</v>
      </c>
      <c r="M3" s="153" t="str">
        <f>IF(AND(OR(N3&gt;0,O3&gt;0),((N3+O3)&lt;=15)),"15 or less Service sink exempt (UPC Table 422.1, footnote 6)",IF(AND(OR(N3&gt;0,O3&gt;0),N3+O3&gt;Q5),"1 service sink",IF(AND(OR(N3&gt;0,O3&gt;0),N3+O3&lt;Q5),"1 service sink",IF(Q5&lt;=15,"15 or less Service sink exempt (UPC Table 422.1, footnote 6)","1 service or laundry sink"))))</f>
        <v>15 or less Service sink exempt (UPC Table 422.1, footnote 6)</v>
      </c>
      <c r="N3" s="154">
        <v>0</v>
      </c>
      <c r="O3" s="156">
        <f>N3</f>
        <v>0</v>
      </c>
      <c r="P3" s="13"/>
      <c r="Q3" s="140" t="s">
        <v>84</v>
      </c>
      <c r="R3" s="141"/>
      <c r="V3" s="2"/>
      <c r="W3" s="6" t="s">
        <v>85</v>
      </c>
      <c r="X3" s="6" t="s">
        <v>242</v>
      </c>
      <c r="Y3" s="29" t="s">
        <v>86</v>
      </c>
      <c r="Z3" s="6" t="s">
        <v>85</v>
      </c>
      <c r="AA3" s="29" t="s">
        <v>86</v>
      </c>
      <c r="AB3" s="28" t="s">
        <v>72</v>
      </c>
      <c r="AC3" s="28" t="s">
        <v>73</v>
      </c>
    </row>
    <row r="4" spans="1:29" ht="15.75" thickBot="1" x14ac:dyDescent="0.3">
      <c r="A4" s="82"/>
      <c r="B4" s="83"/>
      <c r="C4" s="159"/>
      <c r="D4" s="111"/>
      <c r="E4" s="111"/>
      <c r="F4" s="112"/>
      <c r="G4" s="112"/>
      <c r="H4" s="112"/>
      <c r="I4" s="112"/>
      <c r="J4" s="112"/>
      <c r="K4" s="112"/>
      <c r="L4" s="112"/>
      <c r="M4" s="114"/>
      <c r="N4" s="155"/>
      <c r="O4" s="157"/>
      <c r="P4" s="13"/>
      <c r="Q4" s="142"/>
      <c r="R4" s="143"/>
      <c r="U4" s="5"/>
      <c r="V4" t="s">
        <v>88</v>
      </c>
      <c r="W4" s="1">
        <f>IF(AND(N3&gt;0,N3&lt;=100),1,IF(AND(N3&gt;100,N3&lt;=200),2,IF(AND(N3&gt;200,N3&lt;=400),3,IF(N3&gt;400,(ROUNDUP(N3/500,1))+3,IF(AND(Q8&gt;0,Q8&lt;=100),1,IF(AND(Q8&gt;100,Q8&lt;=200),2,IF(AND(Q8&gt;200,Q8&lt;=400),3,IF(Q8&gt;400,(ROUNDUP(Q8/500,1))+3,0))))))))</f>
        <v>0</v>
      </c>
      <c r="X4" s="3">
        <f>IF(AND(N3&gt;0,N3&lt;=200),1,IF(AND(N3&gt;200,N3&lt;=300),2,IF(AND(N3&gt;300,N3&lt;=400),3,IF(AND(N3&gt;400,N3&lt;=600),6,IF(N3&gt;600,(ROUNDUP(N3/300,0))+2,IF(AND(Q8&gt;0,Q8&lt;=200),1,IF(AND(Q8&gt;200,Q8&lt;=300),2,IF(AND(Q8&gt;300,Q8&lt;=400),3,IF(AND(Q8&gt;400,Q8&lt;=600),6,IF(Q8&gt;600,(ROUNDUP(Q8/300,0))+2,0))))))))))</f>
        <v>0</v>
      </c>
      <c r="Y4" s="31">
        <f>IF(AND(O3&gt;0,O3&lt;=25),1,IF(AND(O3&gt;25,O3&lt;=50),2,IF(AND(O3&gt;50,O3&lt;=100),3,IF(AND(O3&gt;100,O3&lt;=200),4,IF(AND(O3&gt;200,O3&lt;=300),6,IF(AND(O3&gt;300,O3&lt;=400),8,IF(O3&gt;400,(ROUNDUP(O3/125,0))+5,IF(AND(R8&gt;0,R8&lt;=25),1,IF(AND(R8&gt;25,R8&lt;=50),2,IF(AND(R8&gt;50,R8&lt;=100),3,IF(AND(R8&gt;100,R8&lt;=200),4,IF(AND(R8&gt;200,R8&lt;=300),6,IF(AND(R8&gt;300,R8&lt;=400),8,IF(R8&gt;400,(ROUNDUP(R8/125,0))+5,0))))))))))))))</f>
        <v>0</v>
      </c>
      <c r="Z4" s="1">
        <f>IF(AND(N3&gt;0,N3&lt;=200),1,IF(AND(N3&gt;200,N3&lt;=400),2,IF(AND(N3&gt;400,N3&lt;=600),3,IF(AND(N3&gt;600,N3&lt;=750),4,IF(N3&gt;750,(ROUNDUP(N3/250,0)+1),IF(AND(Q8&gt;0,Q8&lt;=200),1,IF(AND(Q8&gt;200,Q8&lt;=400),2,IF(AND(Q8&gt;400,Q8&lt;=600),3,IF(AND(Q8&gt;600,Q8&lt;=750),4,IF(Q8&gt;750,(ROUNDUP(Q8/250,0)+1),0))))))))))</f>
        <v>0</v>
      </c>
      <c r="AA4" s="31">
        <f>IF(AND(O3&gt;0,O3&lt;=100),1,IF(AND(O3&gt;100,O3&lt;=200),2,IF(AND(O3&gt;200,O3&lt;=300),4,IF(AND(O3&gt;300,O3&lt;=500),5,IF(AND(O3&gt;500,O3&lt;=750),6,IF(O3&gt;750,(ROUNDUP(O3/200,0)+3),IF(AND(R8&gt;0,R8&lt;=100),1,IF(AND(R8&gt;100,R8&lt;=200),2,IF(AND(R8&gt;200,R8&lt;=300),4,IF(AND(R8&gt;300,R8&lt;=500),5,IF(AND(R8&gt;500,R8&lt;=750),6,IF(R8&gt;750,(ROUNDUP(R8/200,0)+3),0))))))))))))</f>
        <v>0</v>
      </c>
      <c r="AB4" s="36">
        <f>IF(AND((N3+O3)&gt;0,(N3+O3)&lt;=250),1,IF(AND((N3+O3)&gt;250,(N3+O3)&lt;=500),2,IF(AND((N3+O3)&gt;500,(N3+O3)&lt;=750),3,IF((N3+O3)&gt;750,(ROUNDUP((N3+O3)/500,0)+2),IF(AND(Q5&gt;0,Q5&lt;=250),1,IF(AND(Q5&gt;250,Q5&lt;=500),2,IF(AND(Q5&gt;500,Q5&lt;=750),3,IF(Q5&gt;750,(ROUNDUP(Q5/500,0)+2),0))))))))</f>
        <v>0</v>
      </c>
      <c r="AC4" s="36" t="s">
        <v>82</v>
      </c>
    </row>
    <row r="5" spans="1:29" ht="19.5" thickBot="1" x14ac:dyDescent="0.3">
      <c r="A5" s="82"/>
      <c r="B5" s="83"/>
      <c r="C5" s="159"/>
      <c r="D5" s="111"/>
      <c r="E5" s="111"/>
      <c r="F5" s="112"/>
      <c r="G5" s="112"/>
      <c r="H5" s="112"/>
      <c r="I5" s="112"/>
      <c r="J5" s="112"/>
      <c r="K5" s="112"/>
      <c r="L5" s="112"/>
      <c r="M5" s="114"/>
      <c r="N5" s="155"/>
      <c r="O5" s="157"/>
      <c r="P5" s="13"/>
      <c r="Q5" s="144">
        <f>'Occupant Calculator'!D34</f>
        <v>0</v>
      </c>
      <c r="R5" s="145"/>
      <c r="U5" s="5"/>
      <c r="V5" t="s">
        <v>90</v>
      </c>
      <c r="W5" s="1">
        <f>IF(AND(N10&gt;0,N10&lt;=50),1,IF(AND(N10&gt;50,N10&lt;=150),2,IF(AND(N10&gt;150,N10&lt;=300),3,IF(AND(N10&gt;300,N10&lt;=400),4,IF(N10&gt;400,(ROUNDUP(N10/250,1))+3,IF(AND(Q8&gt;0,Q8&lt;=50),1,IF(AND(Q8&gt;50,Q8&lt;=150),2,IF(AND(Q8&gt;150,Q8&lt;=300),3,IF(AND(Q8&gt;300,Q8&lt;=400),4,IF(Q8&gt;400,(ROUNDUP(Q8/250,1))+3,0))))))))))</f>
        <v>0</v>
      </c>
      <c r="X5" s="3">
        <f>IF(AND(N10&gt;0,N10&lt;=200),1,IF(AND(N10&gt;200,N10&lt;=300),2,IF(AND(N10&gt;300,N10&lt;=400),3,IF(AND(N10&gt;400,N10&lt;=600),6,IF(N10&gt;600,(ROUNDUP(N10/300,0))+2,IF(AND(Q8&gt;0,Q8&lt;=200),1,IF(AND(Q8&gt;200,Q8&lt;=300),2,IF(AND(Q8&gt;300,Q8&lt;=400),3,IF(AND(Q8&gt;400,Q8&lt;=600),6,IF(Q8&gt;600,(ROUNDUP(Q8/300,0))+2,0))))))))))</f>
        <v>0</v>
      </c>
      <c r="Y5" s="31">
        <f>IF(AND(O10&gt;0,O10&lt;=25),1,IF(AND(O10&gt;25,O10&lt;=50),2,IF(AND(O10&gt;50,O10&lt;=100),3,IF(AND(O10&gt;100,O10&lt;=200),4,IF(AND(O10&gt;200,O10&lt;=300),6,IF(AND(O10&gt;300,O10&lt;=400),8,IF(O10&gt;400,(ROUNDUP(O10/125,1))+5,IF(AND(R8&gt;0,R8&lt;=25),1,IF(AND(R8&gt;25,R8&lt;=50),2,IF(AND(R8&gt;50,R8&lt;=100),3,IF(AND(R8&gt;100,R8&lt;=200),4,IF(AND(R8&gt;200,R8&lt;=300),6,IF(AND(R8&gt;300,R8&lt;=400),8,IF(R8&gt;400,(ROUNDUP(R8/125,1))+5,0))))))))))))))</f>
        <v>0</v>
      </c>
      <c r="Z5" s="1">
        <f>IF(AND(N10&gt;0,N10&lt;=150),1,IF(AND(N10&gt;150,N10&lt;=200),2,IF(AND(N10&gt;200,N10&lt;=400),3,IF(N10&gt;400,(ROUNDUP(N10/250,0)+2),IF(AND(Q8&gt;0,Q8&lt;=150),1,IF(AND(Q8&gt;150,Q8&lt;=200),2,IF(AND(Q8&gt;200,Q8&lt;=400),3,IF(Q8&gt;400,(ROUNDUP(Q8/250,0)+2),0))))))))</f>
        <v>0</v>
      </c>
      <c r="AA5" s="36">
        <f>IF(AND(O10&gt;0,O10&lt;=100),1,IF(AND(O10&gt;100,O10&lt;=200),2,IF(AND(O10&gt;200,O10&lt;=300),4,IF(AND(O10&gt;300,O10&lt;=500),5,IF(AND(O10&gt;500,O10&lt;=750),6,IF(O10&gt;750,(ROUNDUP(O10/200,0)+3),IF(AND(R8&gt;0,R8&lt;=100),1,IF(AND(R8&gt;100,R8&lt;=200),2,IF(AND(R8&gt;200,R8&lt;=300),4,IF(AND(R8&gt;300,R8&lt;=500),5,IF(AND(R8&gt;500,R8&lt;=750),6,IF(R8&gt;750,(ROUNDUP(R8/200,0)+3),0))))))))))))</f>
        <v>0</v>
      </c>
      <c r="AB5" s="36">
        <f>IF(AND((N10+O10)&gt;0,(N10+O10)&lt;=250),1,IF(AND((N10+O10)&gt;250,(N10+O10)&lt;=500),2,IF(AND((N10+O10)&gt;500,(N10+O10)&lt;=750),3,IF((N10+O10)&gt;750,(ROUNDUP((N10+O10)/500,0)+2),IF(AND(Q5&gt;0,Q5&lt;=250),1,IF(AND(Q5&gt;250,Q5&lt;=500),2,IF(AND(Q5&gt;500,Q5&lt;=750),3,IF(Q5&gt;750,(ROUNDUP(Q5/500,0)+2),0))))))))</f>
        <v>0</v>
      </c>
      <c r="AC5" s="36" t="s">
        <v>82</v>
      </c>
    </row>
    <row r="6" spans="1:29" ht="14.45" customHeight="1" x14ac:dyDescent="0.25">
      <c r="A6" s="82"/>
      <c r="B6" s="83"/>
      <c r="C6" s="159"/>
      <c r="D6" s="111"/>
      <c r="E6" s="111"/>
      <c r="F6" s="112"/>
      <c r="G6" s="112"/>
      <c r="H6" s="112"/>
      <c r="I6" s="112"/>
      <c r="J6" s="112"/>
      <c r="K6" s="112"/>
      <c r="L6" s="112"/>
      <c r="M6" s="114"/>
      <c r="N6" s="155"/>
      <c r="O6" s="157"/>
      <c r="Q6" s="1"/>
      <c r="R6" s="1"/>
      <c r="U6" s="5"/>
      <c r="V6" t="s">
        <v>93</v>
      </c>
      <c r="W6" s="1">
        <f>IF(AND(N16&gt;0,N16&lt;=100),1,IF(AND(N16&gt;100,N16&lt;=200),2,IF(AND(N16&gt;200,N16&lt;=400),3,IF(N16&gt;400,(ROUNDUP(N16/500,1))+3,IF(AND(Q8&gt;0,Q8&lt;=100),1,IF(AND(Q8&gt;100,Q8&lt;=200),2,IF(AND(Q8&gt;200,Q8&lt;=400),3,IF(Q8&gt;400,(ROUNDUP(Q8/500,1))+3,0))))))))</f>
        <v>0</v>
      </c>
      <c r="X6" s="3">
        <f>IF(AND(N16&gt;0,N16&lt;=200),1,IF(AND(N16&gt;200,N16&lt;=300),2,IF(AND(N16&gt;300,N16&lt;=400),3,IF(AND(N16&gt;400,N16&lt;=600),6,IF(N16&gt;600,(ROUNDUP(N16/300,0))+2,IF(AND(Q8&gt;0,Q8&lt;=200),1,IF(AND(Q8&gt;200,Q8&lt;=300),2,IF(AND(Q8&gt;300,Q8&lt;=400),3,IF(AND(Q8&gt;400,Q8&lt;=600),6,IF(Q8&gt;600,(ROUNDUP(Q8/300,0))+2,0))))))))))</f>
        <v>0</v>
      </c>
      <c r="Y6" s="31">
        <f>IF(AND(O16&gt;0,O16&lt;=25),1,IF(AND(O16&gt;25,O16&lt;=50),2,IF(AND(O16&gt;50,O16&lt;=100),3,IF(AND(O16&gt;100,O16&lt;=200),4,IF(AND(O16&gt;200,O16&lt;=300),6,IF(AND(O16&gt;300,O16&lt;=400),8,IF(O16&gt;400,(ROUNDUP(O16/125,1))+5,IF(AND(R8&gt;0,R8&lt;=25),1,IF(AND(R8&gt;25,R8&lt;=50),2,IF(AND(R8&gt;50,R8&lt;=100),3,IF(AND(R8&gt;100,R8&lt;=200),4,IF(AND(R8&gt;200,R8&lt;=300),6,IF(AND(R8&gt;300,R8&lt;=400),8,IF(R8&gt;400,(ROUNDUP(R8/125,1))+5,0))))))))))))))</f>
        <v>0</v>
      </c>
      <c r="Z6" s="1">
        <f>IF(AND(N16&gt;0,N16&lt;=200),1,IF(AND(N16&gt;200,N16&lt;=400),2,IF(AND(N16&gt;400,N16&lt;=600),3,IF(AND(N16&gt;600,N16&lt;=750),4,IF(N16&gt;750,(ROUNDUP(N16/250,0)+1),IF(AND(Q8&gt;0,Q8&lt;=200),1,IF(AND(Q8&gt;200,Q8&lt;=400),2,IF(AND(Q8&gt;400,Q8&lt;=600),3,IF(AND(Q8&gt;600,Q8&lt;=750),4,IF(Q8&gt;750,(ROUNDUP(Q8/250,0)+1),0))))))))))</f>
        <v>0</v>
      </c>
      <c r="AA6" s="31">
        <f>IF(AND(O16&gt;0,O16&lt;=100),1,IF(AND(O16&gt;100,O16&lt;=200),2,IF(AND(O16&gt;200,O16&lt;=300),4,IF(AND(O16&gt;300,O16&lt;=500),5,IF(AND(O16&gt;500,O16&lt;=750),6,IF(O16&gt;750,(ROUNDUP(O16/200,0)+3),IF(AND(R8&gt;0,R8&lt;=100),1,IF(AND(R8&gt;100,R8&lt;=200),2,IF(AND(R8&gt;200,R8&lt;=300),4,IF(AND(R8&gt;300,R8&lt;=500),5,IF(AND(R8&gt;500,R8&lt;=750),6,IF(R8&gt;750,(ROUNDUP(R8/200,0)+3),0))))))))))))</f>
        <v>0</v>
      </c>
      <c r="AB6" s="36">
        <f>IF(AND((N16+O16)&gt;0,(N16+O16)&lt;=250),1,IF(AND((N16+O16)&gt;250,(N16+O16)&lt;=500),2,IF(AND((N16+O16)&gt;500,(N16+O16)&lt;=750),3,IF((N16+O16)&gt;750,(ROUNDUP((N16+O16)/500,0)+2),IF(AND(Q5&gt;0,Q5&lt;=250),1,IF(AND(Q5&gt;250,Q5&lt;=500),2,IF(AND(Q5&gt;500,Q5&lt;=750),3,IF(Q5&gt;750,(ROUNDUP(Q5/500,0)+2),0))))))))</f>
        <v>0</v>
      </c>
      <c r="AC6" s="36" t="s">
        <v>82</v>
      </c>
    </row>
    <row r="7" spans="1:29" ht="15.75" x14ac:dyDescent="0.25">
      <c r="A7" s="82"/>
      <c r="B7" s="83"/>
      <c r="C7" s="159"/>
      <c r="D7" s="111"/>
      <c r="E7" s="111"/>
      <c r="F7" s="112"/>
      <c r="G7" s="112"/>
      <c r="H7" s="112"/>
      <c r="I7" s="112"/>
      <c r="J7" s="112"/>
      <c r="K7" s="112"/>
      <c r="L7" s="112"/>
      <c r="M7" s="114"/>
      <c r="N7" s="155"/>
      <c r="O7" s="157"/>
      <c r="Q7" s="15" t="s">
        <v>74</v>
      </c>
      <c r="R7" s="15" t="s">
        <v>75</v>
      </c>
      <c r="U7" s="5"/>
      <c r="V7" t="s">
        <v>100</v>
      </c>
      <c r="W7" s="1">
        <f>IF(AND(N28&gt;0,N28&lt;=100),1,IF(AND(N28&gt;100,N28&lt;=200),2,IF(AND(N28&gt;200,N28&lt;=400),3,IF(N28&gt;400,(ROUNDUP(N28/500,1))+3,IF(AND(Q8&gt;0,Q8&lt;=100),1,IF(AND(Q8&gt;100,Q8&lt;=200),2,IF(AND(Q8&gt;200,Q8&lt;=400),3,IF(Q8&gt;400,(ROUNDUP(Q8/500,1))+3,0))))))))</f>
        <v>0</v>
      </c>
      <c r="X7" s="3">
        <f>IF(AND(N28&gt;0,N28&lt;=200),1,IF(AND(N28&gt;200,N28&lt;=300),2,IF(AND(N28&gt;300,N28&lt;=400),3,IF(AND(N28&gt;400,N28&lt;=600),6,IF(N28&gt;600,(ROUNDUP(N28/300,0))+2,IF(AND(Q8&gt;0,Q8&lt;=200),1,IF(AND(Q8&gt;200,Q8&lt;=300),2,IF(AND(Q8&gt;300,Q8&lt;=400),3,IF(AND(Q8&gt;400,Q8&lt;=600),6,IF(Q8&gt;600,(ROUNDUP(Q8/300,0))+2,0))))))))))</f>
        <v>0</v>
      </c>
      <c r="Y7" s="31">
        <f>IF(AND(O28&gt;0,O28&lt;=25),1,IF(AND(O28&gt;25,O28&lt;=50),2,IF(AND(O28&gt;50,O28&lt;=100),3,IF(AND(O28&gt;100,O28&lt;=200),4,IF(AND(O28&gt;200,O28&lt;=300),6,IF(AND(O28&gt;300,O28&lt;=400),8,IF(O28&gt;400,(ROUNDUP(O28/125,1))+5,IF(AND(R8&gt;0,R8&lt;=25),1,IF(AND(R8&gt;25,R8&lt;=50),2,IF(AND(R8&gt;50,R8&lt;=100),3,IF(AND(R8&gt;100,R8&lt;=200),4,IF(AND(R8&gt;200,R8&lt;=300),6,IF(AND(R8&gt;300,R8&lt;=400),8,IF(R8&gt;400,(ROUNDUP(R8/125,1))+5,0))))))))))))))</f>
        <v>0</v>
      </c>
      <c r="Z7" s="1">
        <f>IF(AND(N28&gt;0,N28&lt;=200),1,IF(AND(N28&gt;200,N28&lt;=400),2,IF(AND(N28&gt;400,N28&lt;=600),3,IF(AND(N28&gt;600,N28&lt;=750),4,IF(N28&gt;750,(ROUNDUP(N28/250,0)+1),IF(AND(Q8&gt;0,Q8&lt;=200),1,IF(AND(Q8&gt;200,Q8&lt;=400),2,IF(AND(Q8&gt;400,Q8&lt;=600),3,IF(AND(Q8&gt;600,Q8&lt;=750),4,IF(Q8&gt;750,(ROUNDUP(Q8/250,0)+1),0))))))))))</f>
        <v>0</v>
      </c>
      <c r="AA7" s="36">
        <f>IF(AND(O28&gt;0,O28&lt;=100),1,IF(AND(O28&gt;100,O28&lt;=200),2,IF(AND(O28&gt;200,O28&lt;=300),4,IF(AND(O28&gt;300,O28&lt;=500),5,IF(AND(O28&gt;500,O28&lt;=750),6,IF(O28&gt;750,(ROUNDUP(O28/200,0)+3),IF(AND(R8&gt;0,R8&lt;=100),1,IF(AND(R8&gt;100,R8&lt;=200),2,IF(AND(R8&gt;200,R8&lt;=300),4,IF(AND(R8&gt;300,R8&lt;=500),5,IF(AND(R8&gt;500,R8&lt;=750),6,IF(R8&gt;750,(ROUNDUP(R8/200,0)+3),0))))))))))))</f>
        <v>0</v>
      </c>
      <c r="AB7" s="36">
        <f>IF(AND((N28+O28)&gt;0,(N28+O28)&lt;=250),1,IF(AND((N28+O28)&gt;250,(N28+O28)&lt;=500),2,IF(AND((N28+O28)&gt;500,(N28+O28)&lt;=750),3,IF((N28+O28)&gt;750,(ROUNDUP((N28+O28)/500,0)+2),IF(AND(Q5&gt;0,Q5&lt;=250),1,IF(AND(Q5&gt;250,Q5&lt;=500),2,IF(AND(Q5&gt;500,Q5&lt;=750),3,IF(Q5&gt;750,(ROUNDUP(Q5/500,0)+2),0))))))))</f>
        <v>0</v>
      </c>
      <c r="AC7" s="36" t="s">
        <v>82</v>
      </c>
    </row>
    <row r="8" spans="1:29" ht="15.75" x14ac:dyDescent="0.25">
      <c r="A8" s="82"/>
      <c r="B8" s="83"/>
      <c r="C8" s="159"/>
      <c r="D8" s="111"/>
      <c r="E8" s="111"/>
      <c r="F8" s="112"/>
      <c r="G8" s="112"/>
      <c r="H8" s="112"/>
      <c r="I8" s="112"/>
      <c r="J8" s="112"/>
      <c r="K8" s="112"/>
      <c r="L8" s="112"/>
      <c r="M8" s="98"/>
      <c r="N8" s="155"/>
      <c r="O8" s="157"/>
      <c r="Q8" s="16">
        <f>ROUNDUP((Q5/2),1)</f>
        <v>0</v>
      </c>
      <c r="R8" s="16">
        <f>ROUNDUP((Q5/2),1)</f>
        <v>0</v>
      </c>
      <c r="U8" s="5"/>
      <c r="W8" s="1"/>
      <c r="X8" s="3"/>
      <c r="Y8" s="31"/>
      <c r="Z8" s="1"/>
      <c r="AA8" s="36"/>
      <c r="AB8" s="36"/>
      <c r="AC8" s="36"/>
    </row>
    <row r="9" spans="1:29" ht="16.149999999999999" customHeight="1" x14ac:dyDescent="0.25">
      <c r="A9" s="82"/>
      <c r="B9" s="83"/>
      <c r="C9" s="159"/>
      <c r="D9" s="111"/>
      <c r="E9" s="111"/>
      <c r="F9" s="112"/>
      <c r="G9" s="112"/>
      <c r="H9" s="112"/>
      <c r="I9" s="112"/>
      <c r="J9" s="112"/>
      <c r="K9" s="112"/>
      <c r="L9" s="112"/>
      <c r="M9" s="98"/>
      <c r="N9" s="155"/>
      <c r="O9" s="157"/>
      <c r="U9" s="5"/>
      <c r="V9" t="s">
        <v>102</v>
      </c>
      <c r="W9" s="1">
        <f>IF(AND(N38&gt;0,N38&lt;=100),1,IF(AND(N38&gt;100,N38&lt;=200),2,IF(AND(N38&gt;200,N38&lt;=400),3,IF(N38&gt;400,(ROUNDUP(N38/500,1))+3,IF(AND(Q8&gt;0,Q8&lt;=100),1,IF(AND(Q8&gt;100,Q8&lt;=200),2,IF(AND(Q8&gt;200,Q8&lt;=400),3,IF(Q8&gt;400,(ROUNDUP(Q8/500,1))+3,0))))))))</f>
        <v>0</v>
      </c>
      <c r="X9" s="3">
        <f>IF(AND(N38&gt;0,N38&lt;=200),1,IF(AND(N38&gt;200,N38&lt;=300),2,IF(AND(N38&gt;300,N38&lt;=400),3,IF(AND(N38&gt;400,N38&lt;=600),6,IF(N38&gt;600,(ROUNDUP(N38/300,0))+2,IF(AND(Q8&gt;0,Q8&lt;=200),1,IF(AND(Q8&gt;200,Q8&lt;=300),2,IF(AND(Q8&gt;300,Q8&lt;=400),3,IF(AND(Q8&gt;400,Q8&lt;=600),6,IF(Q8&gt;600,(ROUNDUP(Q8/300,0))+2,0))))))))))</f>
        <v>0</v>
      </c>
      <c r="Y9" s="31">
        <f>IF(AND(O38&gt;0,O38&lt;=25),1,IF(AND(O38&gt;25,O38&lt;=50),2,IF(AND(O38&gt;50,O38&lt;=100),3,IF(AND(O38&gt;100,O38&lt;=200),4,IF(AND(O38&gt;200,O38&lt;=300),6,IF(AND(O38&gt;300,O38&lt;=400),8,IF(O38&gt;400,(ROUNDUP(#REF!/125,1))+5,IF(AND(R8&gt;0,R8&lt;=25),1,IF(AND(R8&gt;25,R8&lt;=50),2,IF(AND(R8&gt;50,R8&lt;=100),3,IF(AND(R8&gt;100,R8&lt;=200),4,IF(AND(R8&gt;200,R8&lt;=300),6,IF(AND(R8&gt;300,R8&lt;=400),8,IF(R8&gt;400,(ROUNDUP(R8/125,1))+5,0))))))))))))))</f>
        <v>0</v>
      </c>
      <c r="Z9" s="1">
        <f>IF(AND(N38&gt;0,N38&lt;=200),1,IF(AND(N38&gt;200,N38&lt;=400),2,IF(AND(N38&gt;400,N38&lt;=600),3,IF(AND(N38&gt;600,N38&lt;=750),4,IF(N38&gt;750,(ROUNDUP(N38/250,0)+1),IF(AND(Q8&gt;0,Q8&lt;=200),1,IF(AND(Q8&gt;200,Q8&lt;=400),2,IF(AND(Q8&gt;400,Q8&lt;=600),3,IF(AND(Q8&gt;600,Q8&lt;=750),4,IF(Q8&gt;750,(ROUNDUP(Q8/250,0)+1),0))))))))))</f>
        <v>0</v>
      </c>
      <c r="AA9" s="36">
        <f>IF(AND(O38&gt;0,O38&lt;=100),1,IF(AND(O38&gt;100,O38&lt;=200),2,IF(AND(O38&gt;200,O38&lt;=300),4,IF(AND(O38&gt;300,O38&lt;=500),5,IF(AND(O38&gt;500,O38&lt;=750),6,IF(O38&gt;750,(ROUNDUP(O38/200,0)+3),IF(AND(R8&gt;0,R8&lt;=100),1,IF(AND(R8&gt;100,R8&lt;=200),2,IF(AND(R8&gt;200,R8&lt;=300),4,IF(AND(R8&gt;300,R8&lt;=500),5,IF(AND(R8&gt;500,R8&lt;=750),6,IF(R8&gt;750,(ROUNDUP(R8/200,0)+3),0))))))))))))</f>
        <v>0</v>
      </c>
      <c r="AB9" s="36">
        <f>IF(AND((N38+O38)&gt;0,(N38+O38)&lt;=250),1,IF(AND((N38+O38)&gt;250,(N38+O38)&lt;=500),2,IF(AND((N38+O38)&gt;500,(N38+O38)&lt;=750),3,IF((N38+O38)&gt;750,(ROUNDUP((N38+O38)/500,0)+2),IF(AND(Q5&gt;0,Q5&lt;=250),1,IF(AND(Q5&gt;250,Q5&lt;=500),2,IF(AND(Q5&gt;500,Q5&lt;=750),3,IF(Q5&gt;750,(ROUNDUP(Q5/500,0)+2),0))))))))</f>
        <v>0</v>
      </c>
      <c r="AC9" s="36" t="s">
        <v>82</v>
      </c>
    </row>
    <row r="10" spans="1:29" ht="14.45" customHeight="1" x14ac:dyDescent="0.25">
      <c r="A10" s="82"/>
      <c r="B10" s="83"/>
      <c r="C10" s="86" t="s">
        <v>95</v>
      </c>
      <c r="D10" s="111" t="s">
        <v>243</v>
      </c>
      <c r="E10" s="111"/>
      <c r="F10" s="112" t="str">
        <f>IF(AND(OR(N10&gt;0,O10&gt;0),N10+O10&lt;=10),"Single restroom okay for 10 or less (422.2(2))",IF(AND(OR(N10&gt;0,O10&gt;0),N10+O10&gt;Q5),W5,IF(AND(OR(N10&gt;0,O10&gt;0),N10+O3&lt;Q5),W5,IF(Q5&lt;=10,"Single restroom okay for 10 or less (422.2(2))",W5))))</f>
        <v>Single restroom okay for 10 or less (422.2(2))</v>
      </c>
      <c r="G10" s="112" t="str">
        <f>IF(F10="Single restroom okay for 10 or less (422.2(2))","-",Y5)</f>
        <v>-</v>
      </c>
      <c r="H10" s="112" t="s">
        <v>241</v>
      </c>
      <c r="I10" s="112">
        <f>Z5</f>
        <v>0</v>
      </c>
      <c r="J10" s="112" t="str">
        <f>IF(F10="Single restroom okay for 10 or less (422.2(2))","-",AA5)</f>
        <v>-</v>
      </c>
      <c r="K10" s="112" t="s">
        <v>82</v>
      </c>
      <c r="L10" s="112" t="str">
        <f>IF(AND(OR(N10&gt;0,O10&gt;0),N10+O10&lt;=30),"30 or less Fountain exempt(415.2)",IF(AND(OR(N10&gt;0,O10&gt;0),N10+O10&gt;Q5),AB5,IF(AND(OR(N10&gt;0,O10&gt;0),N10+O10&lt;Q5),AB5,IF(Q5&lt;=30,"30 or less Fountain exempt(415.2)",AB5))))</f>
        <v>30 or less Fountain exempt(415.2)</v>
      </c>
      <c r="M10" s="114" t="str">
        <f>IF(AND(OR(N10&gt;0,O10&gt;0),((N10+O10)&lt;=15)),"15 or less Service sink exempt (UPC Table 422.1, footnote 6)",IF(AND(OR(N10&gt;0,O10&gt;0),N10+O10&gt;Q5),"1 service sink",IF(AND(OR(N10&gt;0,O10&gt;0),N10+O10&lt;Q5),"1 service sink",IF(Q5&lt;=15,"15 or less Service sink exempt (UPC Table 422.1, footnote 6)","1 service or laundry sink"))))</f>
        <v>15 or less Service sink exempt (UPC Table 422.1, footnote 6)</v>
      </c>
      <c r="N10" s="118">
        <v>0</v>
      </c>
      <c r="O10" s="119">
        <f>N10</f>
        <v>0</v>
      </c>
      <c r="U10" s="5"/>
      <c r="V10" t="s">
        <v>104</v>
      </c>
      <c r="W10" s="1">
        <f>IF(AND(N45&gt;0,N45&lt;=50),1,IF(AND(N45&gt;50,N45&lt;=100),2,IF(AND(N45&gt;100,N45&lt;=200),3,IF(AND(N45&gt;200,N45&lt;=400),4,IF(N45&gt;400,(ROUNDUP(N45/500,1))+3,IF(AND(Q8&gt;0,Q8&lt;=50),1,IF(AND(Q8&gt;50,Q8&lt;=100),2,IF(AND(Q8&gt;100,Q8&lt;=200),3,IF(AND(Q8&gt;200,Q8&lt;=400),4,IF(Q8&gt;400,(ROUNDUP(Q8/500,1))+3,0))))))))))</f>
        <v>0</v>
      </c>
      <c r="X10" s="3">
        <f>IF(AND(N45&gt;0,N45&lt;=200),1,IF(AND(N45&gt;200,N45&lt;=300),2,IF(AND(N45&gt;300,N45&lt;=400),3,IF(AND(N45&gt;400,N45&lt;=600),6,IF(N45&gt;600,(ROUNDUP(N45/300,0))+2,IF(AND(Q8&gt;0,Q8&lt;=200),1,IF(AND(Q8&gt;200,Q8&lt;=300),2,IF(AND(Q8&gt;300,Q8&lt;=400),3,IF(AND(Q8&gt;400,Q8&lt;=600),6,IF(Q8&gt;600,(ROUNDUP(Q8/300,0))+2,0))))))))))</f>
        <v>0</v>
      </c>
      <c r="Y10" s="31">
        <f>IF(AND(O45&gt;0,O45&lt;=15),1,IF(AND(O45&gt;15,O45&lt;=30),2,IF(AND(O45&gt;30,O45&lt;=50),3,IF(AND(O45&gt;50,O45&lt;=100),4,IF(AND(O45&gt;100,O45&lt;=200),8,IF(AND(O45&gt;100,O45&lt;=400),11,IF(O45&gt;400,ROUNDUP(O45/150,0)+8,IF(AND(R8&gt;0,R8&lt;=15),1,IF(AND(R8&gt;15,R8&lt;=30),2,IF(AND(R8&gt;30,R8&lt;=50),3,IF(AND(R8&gt;50,R8&lt;=100),4,IF(AND(R8&gt;100,R8&lt;=200),8,IF(AND(R8&gt;100,R8&lt;=400),11,IF(R8&gt;400,ROUNDUP(R8/150,0)+8,0))))))))))))))</f>
        <v>0</v>
      </c>
      <c r="Z10" s="1">
        <f>IF(AND(N45&gt;0,N45&lt;=75),1,IF(AND(N45&gt;75,N45&lt;=150),2,IF(AND(N45&gt;150,N45&lt;=200),3,IF(AND(N45&gt;200,N45&lt;=300),4,IF(AND(N45&gt;300,N45&lt;=400),5,IF(N45&gt;400,(ROUNDUP(N45/250,0)+4),IF(AND(Q8&gt;0,Q8&lt;=75),1,IF(AND(Q8&gt;75,Q8&lt;=150),2,IF(AND(Q8&gt;150,Q8&lt;=200),3,IF(AND(Q8&gt;200,Q8&lt;=300),4,IF(AND(Q8&gt;300,Q8&lt;=400),5,IF(Q8&gt;400,(ROUNDUP(Q8/250,0)+4),0))))))))))))</f>
        <v>0</v>
      </c>
      <c r="AA10" s="36">
        <f>IF(AND(O45&gt;0,O45&lt;=50),1,IF(AND(O45&gt;50,O45&lt;=100),2,IF(AND(O45&gt;100,O45&lt;=150),3,IF(AND(O45&gt;150,O45&lt;=200),4,IF(AND(O45&gt;200,O45&lt;=300),5,IF(AND(O45&gt;300,O45&lt;=400),6,IF(O45&gt;400,(ROUNDUP(O45/200,0)+4),IF(AND(R8&gt;0,R8&lt;=50),1,IF(AND(R8&gt;50,R8&lt;=100),2,IF(AND(R8&gt;100,R8&lt;=150),3,IF(AND(R8&gt;150,R8&lt;=200),4,IF(AND(R8&gt;200,R8&lt;=300),5,IF(AND(R8&gt;300,R8&lt;=400),6,IF(R8&gt;400,(ROUNDUP(R8/200,0)+4),0))))))))))))))</f>
        <v>0</v>
      </c>
      <c r="AB10" s="36">
        <f>IF(OR(N45&gt;0,O45&gt;0),ROUNDUP((N45+O45)/150,0),ROUNDUP(Q5/150,0))</f>
        <v>0</v>
      </c>
      <c r="AC10" s="36" t="s">
        <v>82</v>
      </c>
    </row>
    <row r="11" spans="1:29" x14ac:dyDescent="0.25">
      <c r="A11" s="82"/>
      <c r="B11" s="83"/>
      <c r="C11" s="87"/>
      <c r="D11" s="111"/>
      <c r="E11" s="111"/>
      <c r="F11" s="112"/>
      <c r="G11" s="112"/>
      <c r="H11" s="112"/>
      <c r="I11" s="112"/>
      <c r="J11" s="112"/>
      <c r="K11" s="112"/>
      <c r="L11" s="112"/>
      <c r="M11" s="114"/>
      <c r="N11" s="118"/>
      <c r="O11" s="119"/>
      <c r="U11" s="5"/>
      <c r="V11" t="s">
        <v>106</v>
      </c>
      <c r="W11" s="1">
        <f>IF(N67&gt;0,ROUNDUP((N67/50),0),ROUNDUP((Q8/50),0))</f>
        <v>0</v>
      </c>
      <c r="X11" s="3">
        <f>IF(N67&gt;0,ROUNDUP((N67/100),0),ROUNDUP((Q8/100),0))</f>
        <v>0</v>
      </c>
      <c r="Y11" s="31">
        <f>IF(O67&gt;0,ROUNDUP((O67/30),0),ROUNDUP((R8/30),0))</f>
        <v>0</v>
      </c>
      <c r="Z11" s="1">
        <f>IF(N67&gt;0,ROUNDUP((N67/40),0),ROUNDUP((Q8/40),0))</f>
        <v>0</v>
      </c>
      <c r="AA11" s="36">
        <f>IF(O67&gt;0,ROUNDUP((O67/40),0),ROUNDUP((R8/40),0))</f>
        <v>0</v>
      </c>
      <c r="AB11" s="36">
        <f>IF(OR(N67&gt;0,O67&gt;0),ROUNDUP((N67+O67)/150,0),ROUNDUP(Q5/150,0))</f>
        <v>0</v>
      </c>
      <c r="AC11" s="36" t="s">
        <v>82</v>
      </c>
    </row>
    <row r="12" spans="1:29" x14ac:dyDescent="0.25">
      <c r="A12" s="82"/>
      <c r="B12" s="83"/>
      <c r="C12" s="87"/>
      <c r="D12" s="111"/>
      <c r="E12" s="111"/>
      <c r="F12" s="112"/>
      <c r="G12" s="112"/>
      <c r="H12" s="112"/>
      <c r="I12" s="112"/>
      <c r="J12" s="112"/>
      <c r="K12" s="112"/>
      <c r="L12" s="112"/>
      <c r="M12" s="114"/>
      <c r="N12" s="118"/>
      <c r="O12" s="119"/>
      <c r="U12" s="5"/>
      <c r="V12" t="s">
        <v>109</v>
      </c>
      <c r="W12" s="1">
        <f>IF(AND(N73&gt;0,N73&lt;=50),1,IF(AND(N73&gt;50,N73&lt;=75),2,IF(AND(N73&gt;75,N73&lt;=100),3,IF(N73&gt;100,(ROUNDUP(N73/40,1))+1,IF(AND(Q8&gt;0,Q8&lt;=50),1,IF(AND(Q8&gt;50,Q8&lt;=75),2,IF(AND(Q8&gt;75,Q8&lt;=100),3,IF(Q8&gt;100,(ROUNDUP(Q8/40,1))+1,0))))))))</f>
        <v>0</v>
      </c>
      <c r="X12" s="3" t="s">
        <v>82</v>
      </c>
      <c r="Y12" s="31">
        <f>IF(AND(O73&gt;0,O73&lt;=50),1,IF(AND(O73&gt;50,O73&lt;=75),2,IF(AND(O73&gt;75,O73&lt;=100),3,IF(O73&gt;100,(ROUNDUP(O73/40,1))+1,IF(AND(R8&gt;0,R8&lt;=50),1,IF(AND(R8&gt;50,R8&lt;=75),2,IF(AND(R8&gt;75,R8&lt;=100),3,IF(R8&gt;100,(ROUNDUP(R8/40,1))+1,0))))))))</f>
        <v>0</v>
      </c>
      <c r="Z12" s="1">
        <f>IF(AND(N73&gt;0,N73&lt;=50),1,IF(AND(N73&gt;50,N73&lt;=75),2,IF(AND(N73&gt;75,N73&lt;=100),3,IF(N73&gt;100,(ROUNDUP(N73/40,1))+1,IF(AND(Q8&gt;0,Q8&lt;=50),1,IF(AND(Q8&gt;50,Q8&lt;=75),2,IF(AND(Q8&gt;75,Q8&lt;=100),3,IF(Q8&gt;100,(ROUNDUP(Q8/40,1))+1,0))))))))</f>
        <v>0</v>
      </c>
      <c r="AA12" s="36">
        <f>IF(AND(O73&gt;0,O73&lt;=50),1,IF(AND(O73&gt;50,O73&lt;=75),2,IF(AND(O73&gt;75,O73&lt;=100),3,IF(O73&gt;100,(ROUNDUP(O73/40,1))+1,IF(AND(R8&gt;0,R8&lt;=50),1,IF(AND(R8&gt;50,R8&lt;=75),2,IF(AND(R8&gt;75,R8&lt;=100),3,IF(R8&gt;100,(ROUNDUP(R8/40,1))+1,0))))))))</f>
        <v>0</v>
      </c>
      <c r="AB12" s="36">
        <f>IF(AND((N73+O73)&gt;0,(N73+O73)&lt;=250),1,IF(AND((N73+O73)&gt;250,(N73+O73)&lt;=500),2,IF(AND((N73+O73)&gt;500,(N73+O73)&lt;=750),3,IF((N73+O73)&gt;750,(ROUNDUP((N73+O73)/500,0)+2),IF(AND(Q5&gt;0,Q5&lt;=250),1,IF(AND(Q5&gt;250,Q5&lt;=500),2,IF(AND(Q5&gt;500,Q5&lt;=750),3,IF(Q5&gt;750,(ROUNDUP(Q5/500,0)+2),0))))))))</f>
        <v>0</v>
      </c>
      <c r="AC12" s="36" t="s">
        <v>82</v>
      </c>
    </row>
    <row r="13" spans="1:29" x14ac:dyDescent="0.25">
      <c r="A13" s="82"/>
      <c r="B13" s="83"/>
      <c r="C13" s="87"/>
      <c r="D13" s="111"/>
      <c r="E13" s="111"/>
      <c r="F13" s="112"/>
      <c r="G13" s="112"/>
      <c r="H13" s="112"/>
      <c r="I13" s="112"/>
      <c r="J13" s="112"/>
      <c r="K13" s="112"/>
      <c r="L13" s="112"/>
      <c r="M13" s="114"/>
      <c r="N13" s="118"/>
      <c r="O13" s="119"/>
      <c r="U13" s="5"/>
      <c r="V13" t="s">
        <v>112</v>
      </c>
      <c r="W13" s="1">
        <f>IF(N80&gt;0,ROUNDUP((N80/15),0),ROUNDUP((Q8/15),0))</f>
        <v>0</v>
      </c>
      <c r="X13" s="3">
        <f>IF(N80&gt;0,ROUNDUP((N80/15),0),ROUNDUP((Q8/15),0))</f>
        <v>0</v>
      </c>
      <c r="Y13" s="31">
        <f>IF(O80&gt;0,ROUNDUP((O80/15),0),ROUNDUP((R8/15),0))</f>
        <v>0</v>
      </c>
      <c r="Z13" s="1">
        <f>IF(N80&gt;0,ROUNDUP((N80/15),0),ROUNDUP((Q8/15),0))</f>
        <v>0</v>
      </c>
      <c r="AA13" s="36">
        <f>IF(O80&gt;0,ROUNDUP((O80/15),0),ROUNDUP((R8/15),0))</f>
        <v>0</v>
      </c>
      <c r="AB13" s="36">
        <f>IF(OR(N80&gt;0,O80&gt;0),ROUNDUP((N80+O80)/150,0),ROUNDUP(Q5/150,0))</f>
        <v>0</v>
      </c>
      <c r="AC13" s="36">
        <f>IF(OR(N80&gt;0,O80&gt;0),ROUNDUP((N80+O80)/8,0),ROUNDUP(Q5/8,0))</f>
        <v>0</v>
      </c>
    </row>
    <row r="14" spans="1:29" x14ac:dyDescent="0.25">
      <c r="A14" s="82"/>
      <c r="B14" s="83"/>
      <c r="C14" s="87"/>
      <c r="D14" s="111"/>
      <c r="E14" s="111"/>
      <c r="F14" s="112"/>
      <c r="G14" s="112"/>
      <c r="H14" s="112"/>
      <c r="I14" s="112"/>
      <c r="J14" s="112"/>
      <c r="K14" s="112"/>
      <c r="L14" s="112"/>
      <c r="M14" s="114"/>
      <c r="N14" s="118"/>
      <c r="O14" s="119"/>
      <c r="U14" s="5" t="s">
        <v>244</v>
      </c>
      <c r="V14" t="s">
        <v>114</v>
      </c>
      <c r="W14" s="1" t="s">
        <v>152</v>
      </c>
      <c r="X14" s="3" t="s">
        <v>82</v>
      </c>
      <c r="Y14" s="31" t="s">
        <v>82</v>
      </c>
      <c r="Z14" s="1" t="s">
        <v>152</v>
      </c>
      <c r="AA14" s="36" t="s">
        <v>82</v>
      </c>
      <c r="AB14" s="36">
        <f>IF(N90&gt;0,ROUNDUP(N90/150,0),ROUNDUP(Q5/150,0))</f>
        <v>0</v>
      </c>
      <c r="AC14" s="1" t="s">
        <v>152</v>
      </c>
    </row>
    <row r="15" spans="1:29" x14ac:dyDescent="0.25">
      <c r="A15" s="82"/>
      <c r="B15" s="83"/>
      <c r="C15" s="130"/>
      <c r="D15" s="111"/>
      <c r="E15" s="111"/>
      <c r="F15" s="112"/>
      <c r="G15" s="112"/>
      <c r="H15" s="112"/>
      <c r="I15" s="112"/>
      <c r="J15" s="112"/>
      <c r="K15" s="112"/>
      <c r="L15" s="112"/>
      <c r="M15" s="114"/>
      <c r="N15" s="118"/>
      <c r="O15" s="119"/>
      <c r="P15" t="s">
        <v>7</v>
      </c>
      <c r="U15" s="5" t="s">
        <v>245</v>
      </c>
      <c r="V15" t="s">
        <v>114</v>
      </c>
      <c r="W15" s="1">
        <f>IF(N94&gt;0,ROUNDUP((N94/8),0),ROUNDUP((Q5/8),0))</f>
        <v>0</v>
      </c>
      <c r="X15" s="3"/>
      <c r="Y15" s="31"/>
      <c r="Z15" s="1">
        <f>IF(N94&gt;0,ROUNDUP((N94/10),0),ROUNDUP((Q5/10),0))</f>
        <v>0</v>
      </c>
      <c r="AA15" s="36"/>
      <c r="AB15" s="36">
        <f>IF(N94&gt;0,ROUNDUP((N94/150),0),ROUNDUP((Q5/150),0))</f>
        <v>0</v>
      </c>
      <c r="AC15" s="36">
        <f>IF(N94&gt;0,ROUNDUP((N94/20),0),ROUNDUP((Q5/20),0))</f>
        <v>0</v>
      </c>
    </row>
    <row r="16" spans="1:29" x14ac:dyDescent="0.25">
      <c r="A16" s="82"/>
      <c r="B16" s="83"/>
      <c r="C16" s="86" t="s">
        <v>118</v>
      </c>
      <c r="D16" s="111" t="s">
        <v>246</v>
      </c>
      <c r="E16" s="111"/>
      <c r="F16" s="112" t="str">
        <f>IF(AND(OR(N16&gt;0,O16&gt;0),N16+O16&lt;=10),"Single restroom okay for 10 or less (422.2(2))",IF(AND(OR(N16&gt;0,O16&gt;0),N16+O16&gt;Q5),W6,IF(AND(OR(N16&gt;0,O16&gt;0),N16+O16&lt;Q5),W6,IF(Q5&lt;=10,"Single restroom okay for 10 or less (422.2(2))",W6))))</f>
        <v>Single restroom okay for 10 or less (422.2(2))</v>
      </c>
      <c r="G16" s="112" t="str">
        <f>IF(F16="Single restroom okay for 10 or less (422.2(2))","-",Y6)</f>
        <v>-</v>
      </c>
      <c r="H16" s="112" t="s">
        <v>241</v>
      </c>
      <c r="I16" s="112">
        <f>Z6</f>
        <v>0</v>
      </c>
      <c r="J16" s="112" t="str">
        <f>IF(F16="Single restroom okay for 10 or less (422.2(2))","-",AA6)</f>
        <v>-</v>
      </c>
      <c r="K16" s="112" t="s">
        <v>82</v>
      </c>
      <c r="L16" s="112" t="str">
        <f>IF(AND(OR(N16&gt;0,O16&gt;0),N16+O16&lt;=30),"30 or less Fountain exempt(415.2)",IF(AND(OR(N16&gt;0,O16&gt;0),N16+O16&gt;Q5),AB6,IF(AND(OR(N16&gt;0,O16&gt;0),N16+O16&lt;Q5),AB6,IF(Q5&lt;=30,"30 or less Fountain exempt(415.2)",AB6))))</f>
        <v>30 or less Fountain exempt(415.2)</v>
      </c>
      <c r="M16" s="114" t="str">
        <f>IF(AND(OR(N16&gt;0,O16&gt;0),((N16+O16)&lt;=15)),"15 or less Service sink exempt (UPC Table 422.1, footnote 6)",IF(AND(OR(N16&gt;0,O16&gt;0),N16+O16&gt;Q5),"1 service sink",IF(AND(OR(N16&gt;0,O16&gt;0),N16+O16&lt;Q5),"1 service sink",IF(Q5&lt;=15,"15 or less Service sink exempt (UPC Table 422.1, footnote 6)","1 service or laundry sink"))))</f>
        <v>15 or less Service sink exempt (UPC Table 422.1, footnote 6)</v>
      </c>
      <c r="N16" s="96">
        <v>0</v>
      </c>
      <c r="O16" s="97">
        <f>N16</f>
        <v>0</v>
      </c>
      <c r="P16" t="s">
        <v>495</v>
      </c>
      <c r="U16" s="5" t="s">
        <v>113</v>
      </c>
      <c r="V16" t="s">
        <v>114</v>
      </c>
      <c r="W16" s="1">
        <f>IF(AND(N103&gt;0,N103&lt;=15),1,IF(AND(N103&gt;15,N103&lt;=35),2,IF(AND(N103&gt;35,N103&lt;=55),3,IF(N103&gt;55,(ROUNDUP(N103/40,0))+2,IF(AND(Q8&gt;0,Q8&lt;=15),1,IF(AND(Q8&gt;15,Q8&lt;=35),2,IF(AND(Q8&gt;35,Q8&lt;=55),3,IF(Q8&gt;55,(ROUNDUP(Q8/40,0))+2,0))))))))</f>
        <v>0</v>
      </c>
      <c r="X16" s="3" t="s">
        <v>82</v>
      </c>
      <c r="Y16" s="31">
        <f>IF(AND(O103&gt;0,O103&lt;=15),1,IF(AND(O103&gt;15,O103&lt;=35),2,IF(AND(O103&gt;35,O103&lt;=55),3,IF(O103&gt;55,(ROUNDUP(O103/40,0))+2,IF(AND(R8&gt;0,R8&lt;=15),1,IF(AND(R8&gt;15,R8&lt;=35),2,IF(AND(R8&gt;35,R8&lt;=55),3,IF(R8&gt;55,(ROUNDUP(R8/40,0))+2,0))))))))</f>
        <v>0</v>
      </c>
      <c r="Z16" s="1">
        <f>IF(N103&gt;0,ROUNDUP((N103/40),0),ROUNDUP((Q8/40),0))</f>
        <v>0</v>
      </c>
      <c r="AA16" s="36">
        <f>IF(O103&gt;0,ROUNDUP((O103/40),0),ROUNDUP((R8/40),0))</f>
        <v>0</v>
      </c>
      <c r="AB16" s="36" t="s">
        <v>82</v>
      </c>
      <c r="AC16" s="36" t="s">
        <v>82</v>
      </c>
    </row>
    <row r="17" spans="1:29" x14ac:dyDescent="0.25">
      <c r="A17" s="82"/>
      <c r="B17" s="83"/>
      <c r="C17" s="87"/>
      <c r="D17" s="111"/>
      <c r="E17" s="111"/>
      <c r="F17" s="112"/>
      <c r="G17" s="112"/>
      <c r="H17" s="112"/>
      <c r="I17" s="112"/>
      <c r="J17" s="112"/>
      <c r="K17" s="112"/>
      <c r="L17" s="112"/>
      <c r="M17" s="114"/>
      <c r="N17" s="96"/>
      <c r="O17" s="97"/>
      <c r="P17" t="s">
        <v>496</v>
      </c>
      <c r="U17" s="5" t="s">
        <v>115</v>
      </c>
      <c r="V17" t="s">
        <v>114</v>
      </c>
      <c r="W17" s="1" t="s">
        <v>82</v>
      </c>
      <c r="X17" s="3" t="s">
        <v>82</v>
      </c>
      <c r="Y17" s="31" t="s">
        <v>82</v>
      </c>
      <c r="Z17" s="1" t="s">
        <v>82</v>
      </c>
      <c r="AA17" s="36" t="s">
        <v>82</v>
      </c>
      <c r="AB17" s="36" t="s">
        <v>82</v>
      </c>
      <c r="AC17" s="36" t="s">
        <v>82</v>
      </c>
    </row>
    <row r="18" spans="1:29" ht="14.45" customHeight="1" x14ac:dyDescent="0.25">
      <c r="A18" s="82"/>
      <c r="B18" s="83"/>
      <c r="C18" s="87"/>
      <c r="D18" s="111"/>
      <c r="E18" s="111"/>
      <c r="F18" s="112"/>
      <c r="G18" s="112"/>
      <c r="H18" s="112"/>
      <c r="I18" s="112"/>
      <c r="J18" s="112"/>
      <c r="K18" s="112"/>
      <c r="L18" s="112"/>
      <c r="M18" s="114"/>
      <c r="N18" s="96"/>
      <c r="O18" s="97"/>
      <c r="U18" s="5" t="s">
        <v>247</v>
      </c>
      <c r="V18" t="s">
        <v>117</v>
      </c>
      <c r="W18" s="1" t="s">
        <v>82</v>
      </c>
      <c r="X18" s="3" t="s">
        <v>82</v>
      </c>
      <c r="Y18" s="31" t="s">
        <v>82</v>
      </c>
      <c r="Z18" s="1" t="s">
        <v>82</v>
      </c>
      <c r="AA18" s="36" t="s">
        <v>82</v>
      </c>
      <c r="AB18" s="36" t="s">
        <v>82</v>
      </c>
      <c r="AC18" s="36">
        <f>IF(N110&gt;0,ROUNDUP((N110/20),0),ROUNDUP((Q5/20),0))</f>
        <v>0</v>
      </c>
    </row>
    <row r="19" spans="1:29" x14ac:dyDescent="0.25">
      <c r="A19" s="82"/>
      <c r="B19" s="83"/>
      <c r="C19" s="87"/>
      <c r="D19" s="111"/>
      <c r="E19" s="111"/>
      <c r="F19" s="112"/>
      <c r="G19" s="112"/>
      <c r="H19" s="112"/>
      <c r="I19" s="112"/>
      <c r="J19" s="112"/>
      <c r="K19" s="112"/>
      <c r="L19" s="112"/>
      <c r="M19" s="114"/>
      <c r="N19" s="96"/>
      <c r="O19" s="97"/>
      <c r="U19" s="5" t="s">
        <v>248</v>
      </c>
      <c r="V19" t="s">
        <v>117</v>
      </c>
      <c r="W19" s="1">
        <f>IF(N113&gt;0,ROUNDUP((N113/8),0),ROUNDUP((Q5/8),0))</f>
        <v>0</v>
      </c>
      <c r="X19" s="3" t="s">
        <v>82</v>
      </c>
      <c r="Y19" s="31" t="s">
        <v>82</v>
      </c>
      <c r="Z19" s="1">
        <f>IF(N113&gt;0,ROUNDUP((N113/10),0),ROUNDUP((Q5/10),0))</f>
        <v>0</v>
      </c>
      <c r="AA19" s="36" t="s">
        <v>82</v>
      </c>
      <c r="AB19" s="36"/>
      <c r="AC19" s="36">
        <f>IF(OR(N113&gt;0,O113&gt;0),ROUNDUP((N113+O113)/8,0),ROUNDUP(Q5/8,0))</f>
        <v>0</v>
      </c>
    </row>
    <row r="20" spans="1:29" x14ac:dyDescent="0.25">
      <c r="A20" s="82"/>
      <c r="B20" s="83"/>
      <c r="C20" s="87"/>
      <c r="D20" s="111"/>
      <c r="E20" s="111"/>
      <c r="F20" s="112"/>
      <c r="G20" s="112"/>
      <c r="H20" s="112"/>
      <c r="I20" s="112"/>
      <c r="J20" s="112"/>
      <c r="K20" s="112"/>
      <c r="L20" s="112"/>
      <c r="M20" s="114"/>
      <c r="N20" s="96"/>
      <c r="O20" s="97"/>
      <c r="U20" s="5" t="s">
        <v>113</v>
      </c>
      <c r="V20" t="s">
        <v>117</v>
      </c>
      <c r="W20" s="1">
        <f>IF(AND(N117&gt;0,N117&lt;=15),1,IF(AND(N117&gt;15,N117&lt;=35),2,IF(AND(N117&gt;35,N117&lt;=55),3,IF(N117&gt;55,(ROUNDUP(N117/40,0))+2,IF(AND(Q8&gt;0,Q8&lt;=15),1,IF(AND(Q8&gt;15,Q8&lt;=35),2,IF(AND(Q8&gt;35,Q8&lt;=55),3,IF(Q8&gt;55,(ROUNDUP(Q8/40,0))+2,0))))))))</f>
        <v>0</v>
      </c>
      <c r="X20" s="3" t="s">
        <v>82</v>
      </c>
      <c r="Y20" s="31">
        <f>IF(AND(O117&gt;0,O117&lt;=15),1,IF(AND(O117&gt;15,O117&lt;=35),2,IF(AND(O117&gt;35,O117&lt;=55),3,IF(O117&gt;55,(ROUNDUP(O117/40,0))+2,IF(AND(R8&gt;0,R8&lt;=15),1,IF(AND(R8&gt;15,R8&lt;=35),2,IF(AND(R8&gt;35,R8&lt;=55),3,IF(R8&gt;55,(ROUNDUP(R8/40,0))+2,0))))))))</f>
        <v>0</v>
      </c>
      <c r="Z20" s="1">
        <f>IF(N117&gt;0,ROUNDUP((N117/40),0),ROUNDUP((Q8/40),0))</f>
        <v>0</v>
      </c>
      <c r="AA20" s="36">
        <f>IF(O117&gt;0,ROUNDUP((O117/40),0),ROUNDUP((R8/40),0))</f>
        <v>0</v>
      </c>
      <c r="AB20" s="36">
        <f>IF(OR(N117&gt;0,O117&gt;0),ROUNDUP((N117+O117)/150,0),ROUNDUP(Q5/150,0))</f>
        <v>0</v>
      </c>
      <c r="AC20" s="36" t="s">
        <v>82</v>
      </c>
    </row>
    <row r="21" spans="1:29" x14ac:dyDescent="0.25">
      <c r="A21" s="82"/>
      <c r="B21" s="83"/>
      <c r="C21" s="87"/>
      <c r="D21" s="111"/>
      <c r="E21" s="111"/>
      <c r="F21" s="112"/>
      <c r="G21" s="112"/>
      <c r="H21" s="112"/>
      <c r="I21" s="112"/>
      <c r="J21" s="112"/>
      <c r="K21" s="112"/>
      <c r="L21" s="112"/>
      <c r="M21" s="114"/>
      <c r="N21" s="96"/>
      <c r="O21" s="97"/>
      <c r="U21" s="5"/>
      <c r="V21" t="s">
        <v>121</v>
      </c>
      <c r="W21" s="1">
        <f>IF(AND(N122&gt;0,N122&lt;=15),1,IF(AND(N122&gt;15,N122&lt;=35),2,IF(AND(N122&gt;35,N122&lt;=55),3,IF(N122&gt;55,(ROUNDUP(N122/40,0))+2,IF(AND(Q8&gt;0,Q8&lt;=15),1,IF(AND(Q8&gt;15,Q8&lt;=35),2,IF(AND(Q8&gt;35,Q8&lt;=55),3,IF(Q8&gt;55,(ROUNDUP(Q8/40,0))+2,0))))))))</f>
        <v>0</v>
      </c>
      <c r="X21" s="3" t="s">
        <v>82</v>
      </c>
      <c r="Y21" s="31">
        <f>IF(AND(O122&gt;0,O122&lt;=15),1,IF(AND(O122&gt;15,O122&lt;=35),2,IF(AND(O122&gt;35,O122&lt;=55),3,IF(O122&gt;55,(ROUNDUP(O122/40,0))+2,IF(AND(R8&gt;0,R8&lt;=15),1,IF(AND(R8&gt;15,R8&lt;=35),2,IF(AND(R8&gt;35,R8&lt;=55),3,IF(R8&gt;55,(ROUNDUP(R8/40,0))+2,0))))))))</f>
        <v>0</v>
      </c>
      <c r="Z21" s="1">
        <f>IF(N122&gt;0,ROUNDUP((N122/40),0),ROUNDUP((Q8/40),0))</f>
        <v>0</v>
      </c>
      <c r="AA21" s="36">
        <f>IF(O122&gt;0,ROUNDUP((O122/40),0),ROUNDUP((R8/40),0))</f>
        <v>0</v>
      </c>
      <c r="AB21" s="36">
        <f>ROUNDUP((Q5/150),0)</f>
        <v>0</v>
      </c>
      <c r="AC21" s="36" t="s">
        <v>82</v>
      </c>
    </row>
    <row r="22" spans="1:29" x14ac:dyDescent="0.25">
      <c r="A22" s="82"/>
      <c r="B22" s="83"/>
      <c r="C22" s="87"/>
      <c r="D22" s="111"/>
      <c r="E22" s="111"/>
      <c r="F22" s="112"/>
      <c r="G22" s="112"/>
      <c r="H22" s="112"/>
      <c r="I22" s="112"/>
      <c r="J22" s="112"/>
      <c r="K22" s="112"/>
      <c r="L22" s="112"/>
      <c r="M22" s="114"/>
      <c r="N22" s="96"/>
      <c r="O22" s="97"/>
      <c r="U22" s="5"/>
      <c r="V22" t="s">
        <v>123</v>
      </c>
      <c r="W22" s="1">
        <f>IF(AND(N128&gt;0,N128&lt;=100),1,IF(AND(N128&gt;100,N128&lt;=200),2,IF(AND(N128&gt;200,N128&lt;=400),3,IF(N128&gt;400,(ROUNDUP(N128/500,0))+3,IF(AND(Q8&gt;0,Q8&lt;=100),1,IF(AND(Q8&gt;100,Q8&lt;=200),2,IF(AND(Q8&gt;200,Q8&lt;=400),3,IF(Q8&gt;400,(ROUNDUP(Q8/500,0))+3,0))))))))</f>
        <v>0</v>
      </c>
      <c r="X22" s="3">
        <f>IF(AND(Q8&gt;0,Q8&lt;=200),0,IF(AND(Q8&gt;200,Q8&lt;=400),1,IF(Q8&gt;200,(ROUNDUP(Q8/500,0))+1,0)))</f>
        <v>0</v>
      </c>
      <c r="Y22" s="31">
        <f>IF(AND(O128&gt;0,O128&lt;=100),1,IF(AND(O128&gt;100,O128&lt;=200),2,IF(AND(O128&gt;200,O128&lt;=300),4,IF(AND(O128&gt;300,O128&lt;=400),5,IF(O128&gt;400,(ROUNDUP(O128/200,1))+4,IF(AND(R8&gt;0,R8&lt;=100),1,IF(AND(R8&gt;100,R8&lt;=200),2,IF(AND(R8&gt;200,R8&lt;=300),4,IF(AND(R8&gt;300,R8&lt;=400),5,IF(R8&gt;400,(ROUNDUP(R8/200,1))+4,0))))))))))</f>
        <v>0</v>
      </c>
      <c r="Z22" s="1">
        <f>IF(AND(N128&gt;0,N128&lt;=200),1,IF(AND(N128&gt;200,N128&lt;=400),2,IF(N128&gt;400,(ROUNDUP(N128/500,1))+2,IF(AND(Q8&gt;0,Q8&lt;=200),1,IF(AND(Q8&gt;200,Q8&lt;=400),2,IF(Q8&gt;400,(ROUNDUP(Q8/500,1))+2,0))))))</f>
        <v>0</v>
      </c>
      <c r="AA22" s="36">
        <f>IF(AND(O128&gt;0,O128&lt;=200),1,IF(AND(O128&gt;200,O128&lt;=300),2,IF(AND(O128&gt;300,O128&lt;=400),3,IF(O128&gt;400,(ROUNDUP(O128/400,1))+2,IF(AND(R8&gt;0,R8&lt;=200),1,IF(AND(R8&gt;200,R8&lt;=300),2,IF(AND(R8&gt;300,R8&lt;=400),3,IF(R8&gt;400,(ROUNDUP(R8/400,1))+2,0))))))))</f>
        <v>0</v>
      </c>
      <c r="AB22" s="36">
        <f>IF(AND((N128+O128)&gt;0,(N128+O128)&lt;=250),1,IF(AND((N128+O128)&gt;250,(N128+O128)&lt;=500),2,IF(AND((N128+O128)&gt;500,(N128+O128)&lt;=750),3,IF((N128+O128)&gt;750,(ROUNDUP((N128+O128)/500,0)+2),IF(AND(Q5&gt;0,Q5&lt;=250),1,IF(AND(Q5&gt;250,Q5&lt;=500),2,IF(AND(Q5&gt;500,Q5&lt;=750),3,IF(Q5&gt;750,(ROUNDUP(Q5/500,0)+2),0))))))))</f>
        <v>0</v>
      </c>
      <c r="AC22" s="36" t="s">
        <v>82</v>
      </c>
    </row>
    <row r="23" spans="1:29" x14ac:dyDescent="0.25">
      <c r="A23" s="82"/>
      <c r="B23" s="83"/>
      <c r="C23" s="87"/>
      <c r="D23" s="111"/>
      <c r="E23" s="111"/>
      <c r="F23" s="112"/>
      <c r="G23" s="112"/>
      <c r="H23" s="112"/>
      <c r="I23" s="112"/>
      <c r="J23" s="112"/>
      <c r="K23" s="112"/>
      <c r="L23" s="112"/>
      <c r="M23" s="114"/>
      <c r="N23" s="96"/>
      <c r="O23" s="97"/>
      <c r="U23" s="5" t="s">
        <v>124</v>
      </c>
      <c r="V23" t="s">
        <v>125</v>
      </c>
      <c r="W23" s="1">
        <f>IF(AND(N141&gt;0,N141&lt;=20),ROUNDUP((N141/10),0),IF(N141&gt;20,ROUNDUP((N141/20),0)+3,IF(Q8&lt;=20,ROUNDUP((Q8/10),0),IF(Q8&gt;20,ROUNDUP((Q8/20)+3,0)))))</f>
        <v>0</v>
      </c>
      <c r="X23" s="3">
        <f>IF(N141&gt;0,ROUNDUP((N141/25),0),ROUNDUP((Q8/25),0))</f>
        <v>0</v>
      </c>
      <c r="Y23" s="31">
        <f>IF(AND(O141&gt;0,O141&lt;=20),ROUNDUP((O141/8),0),IF(N162&gt;20,ROUNDUP((N162/20),0)+3,IF(R8&lt;=20,ROUNDUP((R8/8),0),IF(R8&gt;20,ROUNDUP((R8/20)+3,0)))))</f>
        <v>0</v>
      </c>
      <c r="Z23" s="1">
        <f>IF(N141&gt;0,ROUNDUP((N141/12),0),ROUNDUP((Q5/12),0))</f>
        <v>0</v>
      </c>
      <c r="AA23" s="36">
        <f>IF(N141&gt;0,ROUNDUP((N141/12),0),ROUNDUP((Q5/12),0))</f>
        <v>0</v>
      </c>
      <c r="AB23" s="36">
        <f>IF(OR(N141&gt;0,O141&gt;0),ROUNDUP((N141+O141)/150,0),ROUNDUP(Q5/150,0))</f>
        <v>0</v>
      </c>
      <c r="AC23" s="36">
        <f>IF(OR(N141&gt;0,O141&gt;0),ROUNDUP((N141+O141)/8,0),ROUNDUP(Q5/8,0))</f>
        <v>0</v>
      </c>
    </row>
    <row r="24" spans="1:29" x14ac:dyDescent="0.25">
      <c r="A24" s="82"/>
      <c r="B24" s="83"/>
      <c r="C24" s="87"/>
      <c r="D24" s="111"/>
      <c r="E24" s="111"/>
      <c r="F24" s="112"/>
      <c r="G24" s="112"/>
      <c r="H24" s="112"/>
      <c r="I24" s="112"/>
      <c r="J24" s="112"/>
      <c r="K24" s="112"/>
      <c r="L24" s="112"/>
      <c r="M24" s="114"/>
      <c r="N24" s="96"/>
      <c r="O24" s="97"/>
      <c r="U24" s="5" t="s">
        <v>214</v>
      </c>
      <c r="V24" t="s">
        <v>125</v>
      </c>
      <c r="W24" s="3">
        <f>IF(AND(N146&gt;0,N146&lt;=15),1,IF(AND(N146&gt;15,N146&lt;=35),2,IF(AND(N146&gt;35,N146&lt;=55),3,IF(N146&gt;55,(ROUNDUP(N146/40,0))+2,IF(AND(Q8&gt;0,Q8&lt;=15),1,IF(AND(Q8&gt;15,Q8&lt;=35),2,IF(AND(Q8&gt;35,Q8&lt;=55),3,IF(Q8&gt;55,(ROUNDUP(Q8/40,0))+2,0))))))))</f>
        <v>0</v>
      </c>
      <c r="X24" s="3" t="s">
        <v>82</v>
      </c>
      <c r="Y24" s="31">
        <f>IF(AND(O146&gt;0,O146&lt;=15),1,IF(AND(O146&gt;15,O146&lt;=35),2,IF(AND(O146&gt;35,O146&lt;=55),3,IF(O146&gt;55,(ROUNDUP(O146/40,0))+2,IF(AND(R8&gt;0,R8&lt;=15),1,IF(AND(R8&gt;15,R8&lt;=35),2,IF(AND(R8&gt;35,R8&lt;=55),3,IF(R8&gt;55,(ROUNDUP(R8/40,0))+2,0))))))))</f>
        <v>0</v>
      </c>
      <c r="Z24" s="3">
        <f>IF(N146&gt;0,ROUNDUP((N146/40),0),ROUNDUP((Q8/40),0))</f>
        <v>0</v>
      </c>
      <c r="AA24" s="31">
        <f>IF(O146&gt;0,ROUNDUP((O146/40),0),ROUNDUP((R8/40),0))</f>
        <v>0</v>
      </c>
      <c r="AB24" s="31" t="s">
        <v>82</v>
      </c>
      <c r="AC24" s="36" t="s">
        <v>82</v>
      </c>
    </row>
    <row r="25" spans="1:29" x14ac:dyDescent="0.25">
      <c r="A25" s="82"/>
      <c r="B25" s="83"/>
      <c r="C25" s="87"/>
      <c r="D25" s="111"/>
      <c r="E25" s="111"/>
      <c r="F25" s="112"/>
      <c r="G25" s="112"/>
      <c r="H25" s="112"/>
      <c r="I25" s="112"/>
      <c r="J25" s="112"/>
      <c r="K25" s="112"/>
      <c r="L25" s="112"/>
      <c r="M25" s="114"/>
      <c r="N25" s="96"/>
      <c r="O25" s="97"/>
      <c r="U25" s="5" t="s">
        <v>249</v>
      </c>
      <c r="V25" t="s">
        <v>127</v>
      </c>
      <c r="W25" s="1">
        <f>IF(AND(N162&gt;0,N162&lt;=20),ROUNDUP((N162/10),0),IF(N162&gt;20,ROUNDUP((N162/20),0)+3,IF(Q8&lt;=20,ROUNDUP((Q8/10),0),IF(Q8&gt;20,ROUNDUP((Q8/20)+3,0)))))</f>
        <v>0</v>
      </c>
      <c r="X25" s="3" t="s">
        <v>82</v>
      </c>
      <c r="Y25" s="31">
        <f>IF(AND(N162&gt;0,N162&lt;=20),ROUNDUP((N162/8),0),IF(N162&gt;20,ROUNDUP((N162/20),0)+3,IF(R8&lt;=20,ROUNDUP((R8/8),0),IF(R8&gt;20,ROUNDUP((R8/20)+3,0)))))</f>
        <v>0</v>
      </c>
      <c r="Z25" s="1">
        <f>IF(N162&gt;0,ROUNDUP((N162/12),0),ROUNDUP((Q8/12),0))</f>
        <v>0</v>
      </c>
      <c r="AA25" s="36">
        <f>IF(N162&gt;0,ROUNDUP((N162/12),0),ROUNDUP((R8/12),0))</f>
        <v>0</v>
      </c>
      <c r="AB25" s="36">
        <f>IF(OR(N162&gt;0,O162&gt;0),ROUNDUP((N162+O162)/150,0),ROUNDUP(Q5/150,0))</f>
        <v>0</v>
      </c>
      <c r="AC25" s="36">
        <f>IF(OR(N162&gt;0,O162&gt;0),ROUNDUP((N162+O162)/8,0),ROUNDUP(Q5/8,0))</f>
        <v>0</v>
      </c>
    </row>
    <row r="26" spans="1:29" x14ac:dyDescent="0.25">
      <c r="A26" s="82"/>
      <c r="B26" s="83"/>
      <c r="C26" s="87"/>
      <c r="D26" s="111"/>
      <c r="E26" s="111"/>
      <c r="F26" s="112"/>
      <c r="G26" s="112"/>
      <c r="H26" s="112"/>
      <c r="I26" s="112"/>
      <c r="J26" s="112"/>
      <c r="K26" s="112"/>
      <c r="L26" s="112"/>
      <c r="M26" s="114"/>
      <c r="N26" s="96"/>
      <c r="O26" s="97"/>
      <c r="U26" s="5" t="s">
        <v>250</v>
      </c>
      <c r="V26" t="s">
        <v>127</v>
      </c>
      <c r="W26" s="1">
        <f>IF(AND(N162&gt;0,N162&lt;=20),ROUNDUP((N162/10),0),IF(N162&gt;20,ROUNDUP((N162/20),0)+3,IF(Q8&lt;=20,ROUNDUP((Q8/10),0),IF(Q8&gt;20,ROUNDUP((Q8/20)+3,0)))))</f>
        <v>0</v>
      </c>
      <c r="X26" s="3" t="s">
        <v>82</v>
      </c>
      <c r="Y26" s="31">
        <f>IF(AND(O162&gt;0,O162&lt;=20),ROUNDUP((O162/8),0),IF(O162&gt;20,ROUNDUP((O162/20),0)+3,IF(R8&lt;=20,ROUNDUP((R8/8),0),IF(R8&gt;20,ROUNDUP((R8/20)+3,0)))))</f>
        <v>0</v>
      </c>
      <c r="Z26" s="1">
        <f>IF(N162&gt;0,ROUNDUP((N162/12),0),ROUNDUP((Q8/12),0))</f>
        <v>0</v>
      </c>
      <c r="AA26" s="36">
        <f>IF(N162&gt;0,ROUNDUP((N162/12),0),ROUNDUP((R8/12),0))</f>
        <v>0</v>
      </c>
      <c r="AB26" s="36">
        <f>ROUNDUP((Q5/150),0)</f>
        <v>0</v>
      </c>
      <c r="AC26" s="36" t="s">
        <v>251</v>
      </c>
    </row>
    <row r="27" spans="1:29" ht="14.45" customHeight="1" x14ac:dyDescent="0.25">
      <c r="A27" s="82"/>
      <c r="B27" s="83"/>
      <c r="C27" s="130"/>
      <c r="D27" s="111"/>
      <c r="E27" s="111"/>
      <c r="F27" s="112"/>
      <c r="G27" s="112"/>
      <c r="H27" s="112"/>
      <c r="I27" s="112"/>
      <c r="J27" s="112"/>
      <c r="K27" s="112"/>
      <c r="L27" s="112"/>
      <c r="M27" s="114"/>
      <c r="N27" s="96"/>
      <c r="O27" s="97"/>
      <c r="U27" s="5"/>
      <c r="V27" t="s">
        <v>184</v>
      </c>
      <c r="W27" s="1">
        <f>IF(AND(N178&gt;0,N178&lt;=20),ROUNDUP((N178/10),0),IF(N178&gt;20,ROUNDUP((N178/20),0)+3,IF(Q8&lt;=20,ROUNDUP((Q8/10),0),IF(Q8&gt;20,ROUNDUP((Q8/20)+3,0)))))</f>
        <v>0</v>
      </c>
      <c r="X27" s="3" t="s">
        <v>82</v>
      </c>
      <c r="Y27" s="31">
        <f>IF(N178&lt;=20,ROUNDUP((N178/8),0),IF(N178&gt;20,ROUNDUP((N178/20)+3,IF(R8&lt;=20,ROUNDUP((R8/8),0),IF(R8&gt;20,ROUNDUP((R8/20)+3,0))))))</f>
        <v>0</v>
      </c>
      <c r="Z27" s="1">
        <f>IF(N178&gt;0,ROUNDUP((N178/12),0),ROUNDUP((Q8/12),0))</f>
        <v>0</v>
      </c>
      <c r="AA27" s="36">
        <f>IF(N178&gt;0,ROUNDUP((N178/12),0),ROUNDUP((R8/12),0))</f>
        <v>0</v>
      </c>
      <c r="AB27" s="36">
        <f>IF(OR(N178&gt;0,O178&gt;0),ROUNDUP((N178+O178)/150,0),ROUNDUP(Q5/150,0))</f>
        <v>0</v>
      </c>
      <c r="AC27" s="36">
        <f>IF(OR(N178&gt;0,O178&gt;0),ROUNDUP((N178+O178)/8,0),ROUNDUP(Q5/8,0))</f>
        <v>0</v>
      </c>
    </row>
    <row r="28" spans="1:29" ht="15.75" thickBot="1" x14ac:dyDescent="0.3">
      <c r="A28" s="82"/>
      <c r="B28" s="83"/>
      <c r="C28" s="110" t="s">
        <v>133</v>
      </c>
      <c r="D28" s="111" t="s">
        <v>252</v>
      </c>
      <c r="E28" s="111"/>
      <c r="F28" s="112" t="str">
        <f>IF(AND(OR(N28&gt;0,O28&gt;0),N28+O28&lt;=10),"Single restroom okay for 10 or less (422.2(2))",IF(AND(OR(N28&gt;0,O28&gt;0),N28+O28&gt;Q5),W7,IF(AND(OR(N28&gt;0,O28&gt;0),N28+O28&lt;Q5),W7,IF(Q5&lt;=10,"Single restroom okay for 10 or less (422.2(2))",W7))))</f>
        <v>Single restroom okay for 10 or less (422.2(2))</v>
      </c>
      <c r="G28" s="112" t="str">
        <f>IF(F28="Single restroom okay for 10 or less (422.2(2))","-",Y7)</f>
        <v>-</v>
      </c>
      <c r="H28" s="112" t="s">
        <v>241</v>
      </c>
      <c r="I28" s="112">
        <f>Z7</f>
        <v>0</v>
      </c>
      <c r="J28" s="112" t="str">
        <f>IF(F28="Single restroom okay for 10 or less (422.2(2))","-",AA7)</f>
        <v>-</v>
      </c>
      <c r="K28" s="112" t="s">
        <v>82</v>
      </c>
      <c r="L28" s="112" t="str">
        <f>IF(AND(OR(N28&gt;0,O28&gt;0),N28+O28&lt;=30),"30 or less Fountain exempt(415.2)",IF(AND(OR(N28&gt;0,O28&gt;0),N28+O28&gt;Q5),AB7,IF(AND(OR(N28&gt;0,O28&gt;0),N28+O28&lt;Q5),AB7,IF(Q5&lt;=30,"30 or less Fountain exempt(415.2)",AB7))))</f>
        <v>30 or less Fountain exempt(415.2)</v>
      </c>
      <c r="M28" s="121" t="str">
        <f>IF(AND(OR(N28&gt;0,O28&gt;0),((N28+O28)&lt;=15)),"15 or less Service sink exempt (UPC Table 422.1, footnote 6)",IF(AND(OR(N28&gt;0,O28&gt;0),N28+O28&gt;Q5),"1 service sink",IF(AND(OR(N28&gt;0,O28&gt;0),N28+O28&lt;Q5),"1 service sink",IF(Q5&lt;=15,"15 or less Service sink exempt (UPC Table 422.1, footnote 6)","1 service or laundry sink"))))</f>
        <v>15 or less Service sink exempt (UPC Table 422.1, footnote 6)</v>
      </c>
      <c r="N28" s="96">
        <v>0</v>
      </c>
      <c r="O28" s="97">
        <f>N28</f>
        <v>0</v>
      </c>
      <c r="U28" s="5"/>
      <c r="V28" t="s">
        <v>129</v>
      </c>
      <c r="W28" s="34">
        <f>IF(AND(N183&gt;0,N183&lt;=100),1,IF(AND(N183&gt;100,N183&lt;=200),2,IF(AND(N183&gt;200,N183&lt;=400),3,IF(N183&gt;400,(ROUNDUP(N183/500,0))+3,IF(AND(Q8&gt;0,Q8&lt;=100),1,IF(AND(Q8&gt;100,Q8&lt;=200),2,IF(AND(Q8&gt;200,Q8&lt;=400),3,IF(Q8&gt;400,(ROUNDUP(Q8/500,0))+3,0))))))))</f>
        <v>0</v>
      </c>
      <c r="X28" s="34" t="s">
        <v>82</v>
      </c>
      <c r="Y28" s="35">
        <f>IF(AND(N183&gt;0,N183&lt;=100),1,IF(AND(N183&gt;100,N183&lt;=200),2,IF(AND(N183&gt;200,N183&lt;=400),3,IF(N183&gt;400,(ROUNDUP(N183/150,0))+5,IF(AND(R8&gt;0,R8&lt;=100),1,IF(AND(R8&gt;100,R8&lt;=200),2,IF(AND(R8&gt;200,R8&lt;=400),3,IF(R8&gt;400,(ROUNDUP(R8/150,0))+5,0))))))))</f>
        <v>0</v>
      </c>
      <c r="Z28" s="34">
        <f>IF(AND(N183&gt;0,N183&lt;=200),1,IF(AND(N183&gt;200,N183&lt;=400),2,IF(AND(N183&gt;400,N183&lt;=750),3,IF(N183&gt;750,(ROUNDUP(N183/500,1))+2,IF(AND(Q8&gt;0,Q8&lt;=200),1,IF(AND(Q8&gt;200,Q8&lt;=400),2,IF(AND(Q8&gt;400,Q8&lt;=750),3,IF(Q8&gt;750,(ROUNDUP(Q8/500,1))+2,0))))))))</f>
        <v>0</v>
      </c>
      <c r="AA28" s="35">
        <f>IF(AND(N183&gt;0,N183&lt;=200),1,IF(AND(N183&gt;200,N183&lt;=400),2,IF(AND(N183&gt;400,N183&lt;=750),3,IF(N183&gt;750,(ROUNDUP(N183/500,1))+2,IF(AND(R8&gt;0,R8&lt;=200),1,IF(AND(R8&gt;200,R8&lt;=400),2,IF(AND(R8&gt;400,R8&lt;=750),3,IF(R8&gt;750,(ROUNDUP(R8/500,1))+2,0))))))))</f>
        <v>0</v>
      </c>
      <c r="AB28" s="37">
        <f>IF(AND((N183+O183)&gt;0,(N128+O128)&lt;=250),1,IF(AND((N183+O183)&gt;250,(N183+O183)&lt;=500),2,IF(AND((N183+O183)&gt;500,(N183+O183)&lt;=750),3,IF((N183+O183)&gt;750,(ROUNDUP((N183+O183)/500,0)+2),IF(AND(Q5&gt;0,Q5&lt;=250),1,IF(AND(Q5&gt;250,Q5&lt;=500),2,IF(AND(Q5&gt;500,Q5&lt;=750),3,IF(Q5&gt;750,(ROUNDUP(Q5/500,0)+2),0))))))))</f>
        <v>0</v>
      </c>
      <c r="AC28" s="37" t="s">
        <v>82</v>
      </c>
    </row>
    <row r="29" spans="1:29" x14ac:dyDescent="0.25">
      <c r="A29" s="82"/>
      <c r="B29" s="83"/>
      <c r="C29" s="110"/>
      <c r="D29" s="111"/>
      <c r="E29" s="111"/>
      <c r="F29" s="112"/>
      <c r="G29" s="112"/>
      <c r="H29" s="112"/>
      <c r="I29" s="112"/>
      <c r="J29" s="112"/>
      <c r="K29" s="112"/>
      <c r="L29" s="112"/>
      <c r="M29" s="121"/>
      <c r="N29" s="96"/>
      <c r="O29" s="97"/>
    </row>
    <row r="30" spans="1:29" x14ac:dyDescent="0.25">
      <c r="A30" s="82"/>
      <c r="B30" s="83"/>
      <c r="C30" s="110"/>
      <c r="D30" s="111"/>
      <c r="E30" s="111"/>
      <c r="F30" s="112"/>
      <c r="G30" s="112"/>
      <c r="H30" s="112"/>
      <c r="I30" s="112"/>
      <c r="J30" s="112"/>
      <c r="K30" s="112"/>
      <c r="L30" s="112"/>
      <c r="M30" s="114"/>
      <c r="N30" s="96"/>
      <c r="O30" s="97"/>
    </row>
    <row r="31" spans="1:29" x14ac:dyDescent="0.25">
      <c r="A31" s="82"/>
      <c r="B31" s="83"/>
      <c r="C31" s="110"/>
      <c r="D31" s="111"/>
      <c r="E31" s="111"/>
      <c r="F31" s="112"/>
      <c r="G31" s="112"/>
      <c r="H31" s="112"/>
      <c r="I31" s="112"/>
      <c r="J31" s="112"/>
      <c r="K31" s="112"/>
      <c r="L31" s="112"/>
      <c r="M31" s="114"/>
      <c r="N31" s="96"/>
      <c r="O31" s="97"/>
    </row>
    <row r="32" spans="1:29" x14ac:dyDescent="0.25">
      <c r="A32" s="82"/>
      <c r="B32" s="83"/>
      <c r="C32" s="110"/>
      <c r="D32" s="111"/>
      <c r="E32" s="111"/>
      <c r="F32" s="112"/>
      <c r="G32" s="112"/>
      <c r="H32" s="112"/>
      <c r="I32" s="112"/>
      <c r="J32" s="112"/>
      <c r="K32" s="112"/>
      <c r="L32" s="112"/>
      <c r="M32" s="114"/>
      <c r="N32" s="96"/>
      <c r="O32" s="97"/>
    </row>
    <row r="33" spans="1:15" x14ac:dyDescent="0.25">
      <c r="A33" s="82"/>
      <c r="B33" s="83"/>
      <c r="C33" s="110"/>
      <c r="D33" s="111"/>
      <c r="E33" s="111"/>
      <c r="F33" s="112"/>
      <c r="G33" s="112"/>
      <c r="H33" s="112"/>
      <c r="I33" s="112"/>
      <c r="J33" s="112"/>
      <c r="K33" s="112"/>
      <c r="L33" s="112"/>
      <c r="M33" s="114"/>
      <c r="N33" s="96"/>
      <c r="O33" s="97"/>
    </row>
    <row r="34" spans="1:15" x14ac:dyDescent="0.25">
      <c r="A34" s="82"/>
      <c r="B34" s="83"/>
      <c r="C34" s="110"/>
      <c r="D34" s="111"/>
      <c r="E34" s="111"/>
      <c r="F34" s="112"/>
      <c r="G34" s="112"/>
      <c r="H34" s="112"/>
      <c r="I34" s="112"/>
      <c r="J34" s="112"/>
      <c r="K34" s="112"/>
      <c r="L34" s="112"/>
      <c r="M34" s="114"/>
      <c r="N34" s="96"/>
      <c r="O34" s="97"/>
    </row>
    <row r="35" spans="1:15" x14ac:dyDescent="0.25">
      <c r="A35" s="82"/>
      <c r="B35" s="83"/>
      <c r="C35" s="110"/>
      <c r="D35" s="111"/>
      <c r="E35" s="111"/>
      <c r="F35" s="112"/>
      <c r="G35" s="112"/>
      <c r="H35" s="112"/>
      <c r="I35" s="112"/>
      <c r="J35" s="112"/>
      <c r="K35" s="112"/>
      <c r="L35" s="112"/>
      <c r="M35" s="114"/>
      <c r="N35" s="96"/>
      <c r="O35" s="97"/>
    </row>
    <row r="36" spans="1:15" x14ac:dyDescent="0.25">
      <c r="A36" s="82"/>
      <c r="B36" s="83"/>
      <c r="C36" s="110"/>
      <c r="D36" s="111"/>
      <c r="E36" s="111"/>
      <c r="F36" s="112"/>
      <c r="G36" s="112"/>
      <c r="H36" s="112"/>
      <c r="I36" s="112"/>
      <c r="J36" s="112"/>
      <c r="K36" s="112"/>
      <c r="L36" s="112"/>
      <c r="M36" s="114"/>
      <c r="N36" s="96"/>
      <c r="O36" s="97"/>
    </row>
    <row r="37" spans="1:15" x14ac:dyDescent="0.25">
      <c r="A37" s="82"/>
      <c r="B37" s="83"/>
      <c r="C37" s="110"/>
      <c r="D37" s="111"/>
      <c r="E37" s="111"/>
      <c r="F37" s="112"/>
      <c r="G37" s="112"/>
      <c r="H37" s="112"/>
      <c r="I37" s="112"/>
      <c r="J37" s="112"/>
      <c r="K37" s="112"/>
      <c r="L37" s="112"/>
      <c r="M37" s="114"/>
      <c r="N37" s="96"/>
      <c r="O37" s="97"/>
    </row>
    <row r="38" spans="1:15" ht="14.45" customHeight="1" x14ac:dyDescent="0.25">
      <c r="A38" s="82"/>
      <c r="B38" s="83"/>
      <c r="C38" s="128" t="s">
        <v>135</v>
      </c>
      <c r="D38" s="111" t="s">
        <v>253</v>
      </c>
      <c r="E38" s="111"/>
      <c r="F38" s="112" t="str">
        <f>IF(AND(OR(N38&gt;0,O38&gt;0),N38+O38&lt;=10),"Single restroom okay for 10 or less (422.2(2))",IF(AND(OR(N38&gt;0,O38&gt;0),N38+O38&gt;Q5),W9,IF(AND(OR(N38&gt;0,O38&gt;0),N38+O38&lt;Q5),W9,IF(Q5&lt;=10,"Single restroom okay for 10 or less (422.2(2))",W9))))</f>
        <v>Single restroom okay for 10 or less (422.2(2))</v>
      </c>
      <c r="G38" s="112" t="str">
        <f>IF(F38="Single restroom okay for 10 or less (422.2(2))","-",Y9)</f>
        <v>-</v>
      </c>
      <c r="H38" s="112" t="s">
        <v>241</v>
      </c>
      <c r="I38" s="112">
        <f>Z9</f>
        <v>0</v>
      </c>
      <c r="J38" s="112" t="str">
        <f>IF(F38="Single restroom okay for 10 or less (422.2(2))","-",AA9)</f>
        <v>-</v>
      </c>
      <c r="K38" s="112" t="s">
        <v>82</v>
      </c>
      <c r="L38" s="112" t="str">
        <f>IF(AND(OR(N38&gt;0,O38&gt;0),N38+O38&lt;=30),"30 or less Fountain exempt(415.2)",IF(AND(OR(N38&gt;0,O38&gt;0),N38+O38&gt;Q5),AB9,IF(AND(OR(N38&gt;0,O38&gt;0),N38+O38&lt;Q5),AB9,IF(Q5&lt;=30,"30 or less Fountain exempt(415.2)",AB9))))</f>
        <v>30 or less Fountain exempt(415.2)</v>
      </c>
      <c r="M38" s="114" t="str">
        <f>IF(AND(OR(N38&gt;0,O38&gt;0),((N38+O38)&lt;=15)),"15 or less Service sink exempt (UPC Table 422.1, footnote 6)",IF(AND(OR(N38&gt;0,O38&gt;0),N38+O38&gt;Q5),"1 service sink",IF(AND(OR(N38&gt;0,O38&gt;0),N38+O38&lt;Q5),"1 service sink",IF(Q5&lt;=15,"15 or less Service sink exempt (UPC Table 422.1, footnote 6)","1 service or laundry sink"))))</f>
        <v>15 or less Service sink exempt (UPC Table 422.1, footnote 6)</v>
      </c>
      <c r="N38" s="96">
        <v>0</v>
      </c>
      <c r="O38" s="97">
        <f>N38</f>
        <v>0</v>
      </c>
    </row>
    <row r="39" spans="1:15" x14ac:dyDescent="0.25">
      <c r="A39" s="82"/>
      <c r="B39" s="83"/>
      <c r="C39" s="128"/>
      <c r="D39" s="111"/>
      <c r="E39" s="111"/>
      <c r="F39" s="112"/>
      <c r="G39" s="112"/>
      <c r="H39" s="112"/>
      <c r="I39" s="112"/>
      <c r="J39" s="112"/>
      <c r="K39" s="112"/>
      <c r="L39" s="112"/>
      <c r="M39" s="114"/>
      <c r="N39" s="96"/>
      <c r="O39" s="97"/>
    </row>
    <row r="40" spans="1:15" x14ac:dyDescent="0.25">
      <c r="A40" s="82"/>
      <c r="B40" s="83"/>
      <c r="C40" s="128"/>
      <c r="D40" s="111"/>
      <c r="E40" s="111"/>
      <c r="F40" s="112"/>
      <c r="G40" s="112"/>
      <c r="H40" s="112"/>
      <c r="I40" s="112"/>
      <c r="J40" s="112"/>
      <c r="K40" s="112"/>
      <c r="L40" s="112"/>
      <c r="M40" s="114"/>
      <c r="N40" s="96"/>
      <c r="O40" s="97"/>
    </row>
    <row r="41" spans="1:15" ht="14.45" customHeight="1" x14ac:dyDescent="0.25">
      <c r="A41" s="82"/>
      <c r="B41" s="83"/>
      <c r="C41" s="128"/>
      <c r="D41" s="111"/>
      <c r="E41" s="111"/>
      <c r="F41" s="112"/>
      <c r="G41" s="112"/>
      <c r="H41" s="112"/>
      <c r="I41" s="112"/>
      <c r="J41" s="112"/>
      <c r="K41" s="112"/>
      <c r="L41" s="112"/>
      <c r="M41" s="114"/>
      <c r="N41" s="96"/>
      <c r="O41" s="97"/>
    </row>
    <row r="42" spans="1:15" x14ac:dyDescent="0.25">
      <c r="A42" s="82"/>
      <c r="B42" s="83"/>
      <c r="C42" s="128"/>
      <c r="D42" s="111"/>
      <c r="E42" s="111"/>
      <c r="F42" s="112"/>
      <c r="G42" s="112"/>
      <c r="H42" s="112"/>
      <c r="I42" s="112"/>
      <c r="J42" s="112"/>
      <c r="K42" s="112"/>
      <c r="L42" s="112"/>
      <c r="M42" s="114"/>
      <c r="N42" s="96"/>
      <c r="O42" s="97"/>
    </row>
    <row r="43" spans="1:15" x14ac:dyDescent="0.25">
      <c r="A43" s="82"/>
      <c r="B43" s="83"/>
      <c r="C43" s="128"/>
      <c r="D43" s="111"/>
      <c r="E43" s="111"/>
      <c r="F43" s="112"/>
      <c r="G43" s="112"/>
      <c r="H43" s="112"/>
      <c r="I43" s="112"/>
      <c r="J43" s="112"/>
      <c r="K43" s="112"/>
      <c r="L43" s="112"/>
      <c r="M43" s="114"/>
      <c r="N43" s="96"/>
      <c r="O43" s="97"/>
    </row>
    <row r="44" spans="1:15" ht="14.45" customHeight="1" thickBot="1" x14ac:dyDescent="0.3">
      <c r="A44" s="82"/>
      <c r="B44" s="83"/>
      <c r="C44" s="128"/>
      <c r="D44" s="111"/>
      <c r="E44" s="111"/>
      <c r="F44" s="112"/>
      <c r="G44" s="112"/>
      <c r="H44" s="112"/>
      <c r="I44" s="112"/>
      <c r="J44" s="112"/>
      <c r="K44" s="112"/>
      <c r="L44" s="112"/>
      <c r="M44" s="114"/>
      <c r="N44" s="96"/>
      <c r="O44" s="97"/>
    </row>
    <row r="45" spans="1:15" x14ac:dyDescent="0.25">
      <c r="A45" s="122" t="s">
        <v>137</v>
      </c>
      <c r="B45" s="123"/>
      <c r="C45" s="130" t="s">
        <v>138</v>
      </c>
      <c r="D45" s="131" t="s">
        <v>254</v>
      </c>
      <c r="E45" s="131"/>
      <c r="F45" s="129" t="str">
        <f>IF(AND(OR(N45&gt;0,O45&gt;0),N45+O45&lt;=50),"Single restroom okay for 50 or less (422.2(3))",IF(AND(OR(N45&gt;0,O45&gt;0),N45+O45&gt;Q5),W10,IF(AND(OR(N45&gt;0,O45&gt;0),N45+O45&lt;Q5),W10,IF(Q5&lt;=50,"Single restroom okay for 50 or less (422.2(3))",W10))))</f>
        <v>Single restroom okay for 50 or less (422.2(3))</v>
      </c>
      <c r="G45" s="129" t="str">
        <f>IF(F45="Single restroom okay for 50 or less (422.2(3))","-",Y10)</f>
        <v>-</v>
      </c>
      <c r="H45" s="129" t="s">
        <v>241</v>
      </c>
      <c r="I45" s="129">
        <f>Z10</f>
        <v>0</v>
      </c>
      <c r="J45" s="129" t="str">
        <f>IF(F45="Single restroom okay for 50 or less (422.2(3))","-",AA10)</f>
        <v>-</v>
      </c>
      <c r="K45" s="129" t="s">
        <v>82</v>
      </c>
      <c r="L45" s="129" t="str">
        <f>IF(AND(OR(N45&gt;0,O45&gt;0),N45+O45&lt;=30),"30 or less Fountain exempt(415.2)",IF(AND(OR(N45&gt;0,O45&gt;0),N45+O45&gt;Q5),AB10,IF(AND(OR(N45&gt;0,O45&gt;0),N45+O45&lt;Q5),AB10,IF(Q5&lt;=30,"30 or less Fountain exempt(415.2)",AB10))))</f>
        <v>30 or less Fountain exempt(415.2)</v>
      </c>
      <c r="M45" s="114" t="str">
        <f>IF(AND(OR(N45&gt;0,O45&gt;0),((N45+O45)&lt;=15)),"15 or less Service sink exempt (UPC Table 422.1, footnote 6)",IF(AND(OR(N45&gt;0,O45&gt;0),N45+O45&gt;Q5),"1 service sink",IF(AND(OR(N45&gt;0,O45&gt;0),N45+O45&lt;Q5),"1 service sink",IF(Q5&lt;=15,"15 or less Service sink exempt (UPC Table 422.1, footnote 6)","1 service or laundry sink"))))</f>
        <v>15 or less Service sink exempt (UPC Table 422.1, footnote 6)</v>
      </c>
      <c r="N45" s="96">
        <v>0</v>
      </c>
      <c r="O45" s="97">
        <f>N45</f>
        <v>0</v>
      </c>
    </row>
    <row r="46" spans="1:15" x14ac:dyDescent="0.25">
      <c r="A46" s="124"/>
      <c r="B46" s="125"/>
      <c r="C46" s="128"/>
      <c r="D46" s="111"/>
      <c r="E46" s="111"/>
      <c r="F46" s="112"/>
      <c r="G46" s="112"/>
      <c r="H46" s="112"/>
      <c r="I46" s="112"/>
      <c r="J46" s="112"/>
      <c r="K46" s="112"/>
      <c r="L46" s="112"/>
      <c r="M46" s="114"/>
      <c r="N46" s="96"/>
      <c r="O46" s="97"/>
    </row>
    <row r="47" spans="1:15" x14ac:dyDescent="0.25">
      <c r="A47" s="124"/>
      <c r="B47" s="125"/>
      <c r="C47" s="128"/>
      <c r="D47" s="111"/>
      <c r="E47" s="111"/>
      <c r="F47" s="112"/>
      <c r="G47" s="112"/>
      <c r="H47" s="112"/>
      <c r="I47" s="112"/>
      <c r="J47" s="112"/>
      <c r="K47" s="112"/>
      <c r="L47" s="112"/>
      <c r="M47" s="114"/>
      <c r="N47" s="96"/>
      <c r="O47" s="97"/>
    </row>
    <row r="48" spans="1:15" x14ac:dyDescent="0.25">
      <c r="A48" s="124"/>
      <c r="B48" s="125"/>
      <c r="C48" s="128"/>
      <c r="D48" s="111"/>
      <c r="E48" s="111"/>
      <c r="F48" s="112"/>
      <c r="G48" s="112"/>
      <c r="H48" s="112"/>
      <c r="I48" s="112"/>
      <c r="J48" s="112"/>
      <c r="K48" s="112"/>
      <c r="L48" s="112"/>
      <c r="M48" s="114"/>
      <c r="N48" s="96"/>
      <c r="O48" s="97"/>
    </row>
    <row r="49" spans="1:16" x14ac:dyDescent="0.25">
      <c r="A49" s="124"/>
      <c r="B49" s="125"/>
      <c r="C49" s="128"/>
      <c r="D49" s="111"/>
      <c r="E49" s="111"/>
      <c r="F49" s="112"/>
      <c r="G49" s="112"/>
      <c r="H49" s="112"/>
      <c r="I49" s="112"/>
      <c r="J49" s="112"/>
      <c r="K49" s="112"/>
      <c r="L49" s="112"/>
      <c r="M49" s="114"/>
      <c r="N49" s="96"/>
      <c r="O49" s="97"/>
    </row>
    <row r="50" spans="1:16" x14ac:dyDescent="0.25">
      <c r="A50" s="124"/>
      <c r="B50" s="125"/>
      <c r="C50" s="128"/>
      <c r="D50" s="111"/>
      <c r="E50" s="111"/>
      <c r="F50" s="112"/>
      <c r="G50" s="112"/>
      <c r="H50" s="112"/>
      <c r="I50" s="112"/>
      <c r="J50" s="112"/>
      <c r="K50" s="112"/>
      <c r="L50" s="112"/>
      <c r="M50" s="114"/>
      <c r="N50" s="96"/>
      <c r="O50" s="97"/>
    </row>
    <row r="51" spans="1:16" x14ac:dyDescent="0.25">
      <c r="A51" s="124"/>
      <c r="B51" s="125"/>
      <c r="C51" s="128"/>
      <c r="D51" s="111"/>
      <c r="E51" s="111"/>
      <c r="F51" s="112"/>
      <c r="G51" s="112"/>
      <c r="H51" s="112"/>
      <c r="I51" s="112"/>
      <c r="J51" s="112"/>
      <c r="K51" s="112"/>
      <c r="L51" s="112"/>
      <c r="M51" s="114"/>
      <c r="N51" s="96"/>
      <c r="O51" s="97"/>
    </row>
    <row r="52" spans="1:16" x14ac:dyDescent="0.25">
      <c r="A52" s="124"/>
      <c r="B52" s="125"/>
      <c r="C52" s="128"/>
      <c r="D52" s="111"/>
      <c r="E52" s="111"/>
      <c r="F52" s="112"/>
      <c r="G52" s="112"/>
      <c r="H52" s="112"/>
      <c r="I52" s="112"/>
      <c r="J52" s="112"/>
      <c r="K52" s="112"/>
      <c r="L52" s="112"/>
      <c r="M52" s="114"/>
      <c r="N52" s="96"/>
      <c r="O52" s="97"/>
    </row>
    <row r="53" spans="1:16" x14ac:dyDescent="0.25">
      <c r="A53" s="124"/>
      <c r="B53" s="125"/>
      <c r="C53" s="128"/>
      <c r="D53" s="111"/>
      <c r="E53" s="111"/>
      <c r="F53" s="112"/>
      <c r="G53" s="112"/>
      <c r="H53" s="112"/>
      <c r="I53" s="112"/>
      <c r="J53" s="112"/>
      <c r="K53" s="112"/>
      <c r="L53" s="112"/>
      <c r="M53" s="114"/>
      <c r="N53" s="96"/>
      <c r="O53" s="97"/>
    </row>
    <row r="54" spans="1:16" x14ac:dyDescent="0.25">
      <c r="A54" s="124"/>
      <c r="B54" s="125"/>
      <c r="C54" s="128"/>
      <c r="D54" s="111"/>
      <c r="E54" s="111"/>
      <c r="F54" s="112"/>
      <c r="G54" s="112"/>
      <c r="H54" s="112"/>
      <c r="I54" s="112"/>
      <c r="J54" s="112"/>
      <c r="K54" s="112"/>
      <c r="L54" s="112"/>
      <c r="M54" s="114"/>
      <c r="N54" s="96"/>
      <c r="O54" s="97"/>
    </row>
    <row r="55" spans="1:16" x14ac:dyDescent="0.25">
      <c r="A55" s="124"/>
      <c r="B55" s="125"/>
      <c r="C55" s="128"/>
      <c r="D55" s="111"/>
      <c r="E55" s="111"/>
      <c r="F55" s="112"/>
      <c r="G55" s="112"/>
      <c r="H55" s="112"/>
      <c r="I55" s="112"/>
      <c r="J55" s="112"/>
      <c r="K55" s="112"/>
      <c r="L55" s="112"/>
      <c r="M55" s="114"/>
      <c r="N55" s="96"/>
      <c r="O55" s="97"/>
    </row>
    <row r="56" spans="1:16" x14ac:dyDescent="0.25">
      <c r="A56" s="124"/>
      <c r="B56" s="125"/>
      <c r="C56" s="128"/>
      <c r="D56" s="111"/>
      <c r="E56" s="111"/>
      <c r="F56" s="112"/>
      <c r="G56" s="112"/>
      <c r="H56" s="112"/>
      <c r="I56" s="112"/>
      <c r="J56" s="112"/>
      <c r="K56" s="112"/>
      <c r="L56" s="112"/>
      <c r="M56" s="114"/>
      <c r="N56" s="96"/>
      <c r="O56" s="97"/>
    </row>
    <row r="57" spans="1:16" x14ac:dyDescent="0.25">
      <c r="A57" s="124"/>
      <c r="B57" s="125"/>
      <c r="C57" s="128"/>
      <c r="D57" s="111"/>
      <c r="E57" s="111"/>
      <c r="F57" s="112"/>
      <c r="G57" s="112"/>
      <c r="H57" s="112"/>
      <c r="I57" s="112"/>
      <c r="J57" s="112"/>
      <c r="K57" s="112"/>
      <c r="L57" s="112"/>
      <c r="M57" s="114"/>
      <c r="N57" s="96"/>
      <c r="O57" s="97"/>
    </row>
    <row r="58" spans="1:16" x14ac:dyDescent="0.25">
      <c r="A58" s="124"/>
      <c r="B58" s="125"/>
      <c r="C58" s="128"/>
      <c r="D58" s="111"/>
      <c r="E58" s="111"/>
      <c r="F58" s="112"/>
      <c r="G58" s="112"/>
      <c r="H58" s="112"/>
      <c r="I58" s="112"/>
      <c r="J58" s="112"/>
      <c r="K58" s="112"/>
      <c r="L58" s="112"/>
      <c r="M58" s="114"/>
      <c r="N58" s="96"/>
      <c r="O58" s="97"/>
    </row>
    <row r="59" spans="1:16" x14ac:dyDescent="0.25">
      <c r="A59" s="124"/>
      <c r="B59" s="125"/>
      <c r="C59" s="128"/>
      <c r="D59" s="111"/>
      <c r="E59" s="111"/>
      <c r="F59" s="112"/>
      <c r="G59" s="112"/>
      <c r="H59" s="112"/>
      <c r="I59" s="112"/>
      <c r="J59" s="112"/>
      <c r="K59" s="112"/>
      <c r="L59" s="112"/>
      <c r="M59" s="114"/>
      <c r="N59" s="96"/>
      <c r="O59" s="97"/>
    </row>
    <row r="60" spans="1:16" x14ac:dyDescent="0.25">
      <c r="A60" s="124"/>
      <c r="B60" s="125"/>
      <c r="C60" s="128"/>
      <c r="D60" s="111"/>
      <c r="E60" s="111"/>
      <c r="F60" s="112"/>
      <c r="G60" s="112"/>
      <c r="H60" s="112"/>
      <c r="I60" s="112"/>
      <c r="J60" s="112"/>
      <c r="K60" s="112"/>
      <c r="L60" s="112"/>
      <c r="M60" s="114"/>
      <c r="N60" s="96"/>
      <c r="O60" s="97"/>
    </row>
    <row r="61" spans="1:16" x14ac:dyDescent="0.25">
      <c r="A61" s="124"/>
      <c r="B61" s="125"/>
      <c r="C61" s="128"/>
      <c r="D61" s="111"/>
      <c r="E61" s="111"/>
      <c r="F61" s="112"/>
      <c r="G61" s="112"/>
      <c r="H61" s="112"/>
      <c r="I61" s="112"/>
      <c r="J61" s="112"/>
      <c r="K61" s="112"/>
      <c r="L61" s="112"/>
      <c r="M61" s="114"/>
      <c r="N61" s="96"/>
      <c r="O61" s="97"/>
      <c r="P61" s="7"/>
    </row>
    <row r="62" spans="1:16" x14ac:dyDescent="0.25">
      <c r="A62" s="124"/>
      <c r="B62" s="125"/>
      <c r="C62" s="128"/>
      <c r="D62" s="111"/>
      <c r="E62" s="111"/>
      <c r="F62" s="112"/>
      <c r="G62" s="112"/>
      <c r="H62" s="112"/>
      <c r="I62" s="112"/>
      <c r="J62" s="112"/>
      <c r="K62" s="112"/>
      <c r="L62" s="112"/>
      <c r="M62" s="114"/>
      <c r="N62" s="96"/>
      <c r="O62" s="97"/>
      <c r="P62" s="7"/>
    </row>
    <row r="63" spans="1:16" ht="14.45" customHeight="1" x14ac:dyDescent="0.25">
      <c r="A63" s="124"/>
      <c r="B63" s="125"/>
      <c r="C63" s="128"/>
      <c r="D63" s="111"/>
      <c r="E63" s="111"/>
      <c r="F63" s="112"/>
      <c r="G63" s="112"/>
      <c r="H63" s="112"/>
      <c r="I63" s="112"/>
      <c r="J63" s="112"/>
      <c r="K63" s="112"/>
      <c r="L63" s="112"/>
      <c r="M63" s="114"/>
      <c r="N63" s="96"/>
      <c r="O63" s="97"/>
      <c r="P63" s="7"/>
    </row>
    <row r="64" spans="1:16" x14ac:dyDescent="0.25">
      <c r="A64" s="124"/>
      <c r="B64" s="125"/>
      <c r="C64" s="128"/>
      <c r="D64" s="111"/>
      <c r="E64" s="111"/>
      <c r="F64" s="112"/>
      <c r="G64" s="112"/>
      <c r="H64" s="112"/>
      <c r="I64" s="112"/>
      <c r="J64" s="112"/>
      <c r="K64" s="112"/>
      <c r="L64" s="112"/>
      <c r="M64" s="114"/>
      <c r="N64" s="96"/>
      <c r="O64" s="97"/>
      <c r="P64" s="7"/>
    </row>
    <row r="65" spans="1:17" x14ac:dyDescent="0.25">
      <c r="A65" s="124"/>
      <c r="B65" s="125"/>
      <c r="C65" s="128"/>
      <c r="D65" s="111"/>
      <c r="E65" s="111"/>
      <c r="F65" s="112"/>
      <c r="G65" s="112"/>
      <c r="H65" s="112"/>
      <c r="I65" s="112"/>
      <c r="J65" s="112"/>
      <c r="K65" s="112"/>
      <c r="L65" s="112"/>
      <c r="M65" s="114"/>
      <c r="N65" s="96"/>
      <c r="O65" s="97"/>
      <c r="P65" s="7"/>
    </row>
    <row r="66" spans="1:17" ht="15.75" thickBot="1" x14ac:dyDescent="0.3">
      <c r="A66" s="126"/>
      <c r="B66" s="127"/>
      <c r="C66" s="86"/>
      <c r="D66" s="89"/>
      <c r="E66" s="89"/>
      <c r="F66" s="92"/>
      <c r="G66" s="92"/>
      <c r="H66" s="92"/>
      <c r="I66" s="92"/>
      <c r="J66" s="92"/>
      <c r="K66" s="92"/>
      <c r="L66" s="92"/>
      <c r="M66" s="114"/>
      <c r="N66" s="96"/>
      <c r="O66" s="97"/>
      <c r="P66" s="7"/>
    </row>
    <row r="67" spans="1:17" ht="14.45" customHeight="1" x14ac:dyDescent="0.25">
      <c r="A67" s="122" t="s">
        <v>141</v>
      </c>
      <c r="B67" s="123"/>
      <c r="C67" s="128" t="s">
        <v>142</v>
      </c>
      <c r="D67" s="111" t="s">
        <v>255</v>
      </c>
      <c r="E67" s="111"/>
      <c r="F67" s="112" t="str">
        <f>IF(AND(OR(N67&gt;0,O67&gt;0),N67+O67&lt;=10),"Single restroom okay for 10 or less (422.2(2))",IF(AND(OR(N67&gt;0,O67&gt;0),N67+O67&gt;Q5),W11,IF(AND(OR(N67&gt;0,O67&gt;0),N67+O67&lt;Q5),W11,IF(Q5&lt;=10,"Single restroom okay for 10 or less (422.2(2))",W11))))</f>
        <v>Single restroom okay for 10 or less (422.2(2))</v>
      </c>
      <c r="G67" s="112" t="str">
        <f>IF(F67="Single restroom okay for 10 or less (422.2(2))","-",Y11)</f>
        <v>-</v>
      </c>
      <c r="H67" s="112" t="s">
        <v>241</v>
      </c>
      <c r="I67" s="112">
        <f>Z11</f>
        <v>0</v>
      </c>
      <c r="J67" s="112" t="str">
        <f>IF(F67="Single restroom okay for 10 or less (422.2(2))","-",AA11)</f>
        <v>-</v>
      </c>
      <c r="K67" s="112" t="s">
        <v>82</v>
      </c>
      <c r="L67" s="112" t="str">
        <f>IF(AND(OR(N67&gt;0,O67&gt;0),N67+O67&lt;=30),"30 or less Fountain exempt(415.2)",IF(AND(OR(N67&gt;0,O67&gt;0),N67+O67&gt;Q5),AB11,IF(AND(OR(N67&gt;0,O67&gt;0),N67+O67&lt;Q5),AB11,IF(Q5&lt;=30,"30 or less Fountain exempt(415.2)",AB11))))</f>
        <v>30 or less Fountain exempt(415.2)</v>
      </c>
      <c r="M67" s="121" t="str">
        <f>IF(AND(OR(N67&gt;0,O67&gt;0),((N67+O67)&lt;=15)),"15 or less Service sink exempt (UPC Table 422.1, footnote 6)",IF(AND(OR(N67&gt;0,O67&gt;0),N67+O67&gt;Q5),"1 service sink",IF(AND(OR(N67&gt;0,O67&gt;0),N67+O67&lt;Q5),"1 service sink",IF(Q5&lt;=15,"15 or less Service sink exempt (UPC Table 422.1, footnote 6)","1 service or laundry sink"))))</f>
        <v>15 or less Service sink exempt (UPC Table 422.1, footnote 6)</v>
      </c>
      <c r="N67" s="96">
        <v>0</v>
      </c>
      <c r="O67" s="97">
        <f>N67</f>
        <v>0</v>
      </c>
      <c r="P67" s="7"/>
    </row>
    <row r="68" spans="1:17" x14ac:dyDescent="0.25">
      <c r="A68" s="124"/>
      <c r="B68" s="125"/>
      <c r="C68" s="128"/>
      <c r="D68" s="111"/>
      <c r="E68" s="111"/>
      <c r="F68" s="112"/>
      <c r="G68" s="112"/>
      <c r="H68" s="112"/>
      <c r="I68" s="112"/>
      <c r="J68" s="112"/>
      <c r="K68" s="112"/>
      <c r="L68" s="112"/>
      <c r="M68" s="114"/>
      <c r="N68" s="96"/>
      <c r="O68" s="97"/>
      <c r="P68" s="7"/>
    </row>
    <row r="69" spans="1:17" x14ac:dyDescent="0.25">
      <c r="A69" s="124"/>
      <c r="B69" s="125"/>
      <c r="C69" s="128"/>
      <c r="D69" s="111"/>
      <c r="E69" s="111"/>
      <c r="F69" s="112"/>
      <c r="G69" s="112"/>
      <c r="H69" s="112"/>
      <c r="I69" s="112"/>
      <c r="J69" s="112"/>
      <c r="K69" s="112"/>
      <c r="L69" s="112"/>
      <c r="M69" s="114"/>
      <c r="N69" s="96"/>
      <c r="O69" s="97"/>
      <c r="P69" s="7"/>
    </row>
    <row r="70" spans="1:17" x14ac:dyDescent="0.25">
      <c r="A70" s="124"/>
      <c r="B70" s="125"/>
      <c r="C70" s="128"/>
      <c r="D70" s="111"/>
      <c r="E70" s="111"/>
      <c r="F70" s="112"/>
      <c r="G70" s="112"/>
      <c r="H70" s="112"/>
      <c r="I70" s="112"/>
      <c r="J70" s="112"/>
      <c r="K70" s="112"/>
      <c r="L70" s="112"/>
      <c r="M70" s="114"/>
      <c r="N70" s="96"/>
      <c r="O70" s="97"/>
      <c r="P70" s="7"/>
    </row>
    <row r="71" spans="1:17" x14ac:dyDescent="0.25">
      <c r="A71" s="124"/>
      <c r="B71" s="125"/>
      <c r="C71" s="128"/>
      <c r="D71" s="111"/>
      <c r="E71" s="111"/>
      <c r="F71" s="112"/>
      <c r="G71" s="112"/>
      <c r="H71" s="112"/>
      <c r="I71" s="112"/>
      <c r="J71" s="112"/>
      <c r="K71" s="112"/>
      <c r="L71" s="112"/>
      <c r="M71" s="114"/>
      <c r="N71" s="96"/>
      <c r="O71" s="97"/>
      <c r="P71" s="7"/>
      <c r="Q71" s="39"/>
    </row>
    <row r="72" spans="1:17" ht="15.75" thickBot="1" x14ac:dyDescent="0.3">
      <c r="A72" s="126"/>
      <c r="B72" s="127"/>
      <c r="C72" s="128"/>
      <c r="D72" s="111"/>
      <c r="E72" s="111"/>
      <c r="F72" s="112"/>
      <c r="G72" s="112"/>
      <c r="H72" s="112"/>
      <c r="I72" s="112"/>
      <c r="J72" s="112"/>
      <c r="K72" s="112"/>
      <c r="L72" s="112"/>
      <c r="M72" s="114"/>
      <c r="N72" s="96"/>
      <c r="O72" s="97"/>
    </row>
    <row r="73" spans="1:17" ht="14.45" customHeight="1" x14ac:dyDescent="0.25">
      <c r="A73" s="122" t="s">
        <v>144</v>
      </c>
      <c r="B73" s="123"/>
      <c r="C73" s="110" t="s">
        <v>145</v>
      </c>
      <c r="D73" s="111" t="s">
        <v>256</v>
      </c>
      <c r="E73" s="111"/>
      <c r="F73" s="112" t="str">
        <f>IF(AND(OR(N73&gt;0,O73&gt;0),N73+O73&lt;=10),"Single restroom okay for 10 or less (422.2(2))",IF(AND(OR(N73&gt;0,O73&gt;0),N73+O73&gt;Q5),W12,IF(AND(OR(N73&gt;0,O73&gt;0),N73+O73&lt;Q5),W12,IF(Q5&lt;=10,"Single restroom okay for 10 or less (422.2(2))",W12))))</f>
        <v>Single restroom okay for 10 or less (422.2(2))</v>
      </c>
      <c r="G73" s="112" t="str">
        <f>IF(F73="Single restroom okay for 10 or less (422.2(2))","-",Y12)</f>
        <v>-</v>
      </c>
      <c r="H73" s="112" t="s">
        <v>241</v>
      </c>
      <c r="I73" s="112">
        <f>Z12</f>
        <v>0</v>
      </c>
      <c r="J73" s="112" t="str">
        <f>IF(F73="Single restroom okay for 10 or less (422.2(2))","-",AA12)</f>
        <v>-</v>
      </c>
      <c r="K73" s="112" t="str">
        <f>AC12</f>
        <v>-</v>
      </c>
      <c r="L73" s="112" t="str">
        <f>IF(AND(OR(N73&gt;0,O73&gt;0),N73+O73&lt;=30),"30 or less Fountain exempt(415.2)",IF(AND(OR(N73&gt;0,O73&gt;0),N73+O73&gt;Q5),AB12,IF(AND(OR(N73&gt;0,O73&gt;0),N73+O73&lt;Q5),AB12,IF(Q5&lt;=30,"30 or less Fountain exempt(415.2)",AB12))))</f>
        <v>30 or less Fountain exempt(415.2)</v>
      </c>
      <c r="M73" s="114" t="str">
        <f>IF(AND(OR(N73&gt;0,O73&gt;0),((N73+O73)&lt;=15)),"15 or less Service sink exempt (UPC Table 422.1, footnote 6)",IF(AND(OR(N73&gt;0,O73&gt;0),N73+O73&gt;Q5),"1 service sink",IF(AND(OR(N73&gt;0,O73&gt;0),N73+O73&lt;Q5),"1 service sink",IF(Q5&lt;=15,"15 or less Service sink exempt (UPC Table 422.1, footnote 6)","1 service or laundry sink"))))</f>
        <v>15 or less Service sink exempt (UPC Table 422.1, footnote 6)</v>
      </c>
      <c r="N73" s="96">
        <v>0</v>
      </c>
      <c r="O73" s="97">
        <f>N73</f>
        <v>0</v>
      </c>
    </row>
    <row r="74" spans="1:17" x14ac:dyDescent="0.25">
      <c r="A74" s="124"/>
      <c r="B74" s="125"/>
      <c r="C74" s="110"/>
      <c r="D74" s="111"/>
      <c r="E74" s="111"/>
      <c r="F74" s="112"/>
      <c r="G74" s="112"/>
      <c r="H74" s="112"/>
      <c r="I74" s="112"/>
      <c r="J74" s="112"/>
      <c r="K74" s="112"/>
      <c r="L74" s="112"/>
      <c r="M74" s="114"/>
      <c r="N74" s="96"/>
      <c r="O74" s="97"/>
    </row>
    <row r="75" spans="1:17" x14ac:dyDescent="0.25">
      <c r="A75" s="124"/>
      <c r="B75" s="125"/>
      <c r="C75" s="110"/>
      <c r="D75" s="111"/>
      <c r="E75" s="111"/>
      <c r="F75" s="112"/>
      <c r="G75" s="112"/>
      <c r="H75" s="112"/>
      <c r="I75" s="112"/>
      <c r="J75" s="112"/>
      <c r="K75" s="112"/>
      <c r="L75" s="112"/>
      <c r="M75" s="114"/>
      <c r="N75" s="96"/>
      <c r="O75" s="97"/>
    </row>
    <row r="76" spans="1:17" x14ac:dyDescent="0.25">
      <c r="A76" s="124"/>
      <c r="B76" s="125"/>
      <c r="C76" s="110"/>
      <c r="D76" s="111"/>
      <c r="E76" s="111"/>
      <c r="F76" s="112"/>
      <c r="G76" s="112"/>
      <c r="H76" s="112"/>
      <c r="I76" s="112"/>
      <c r="J76" s="112"/>
      <c r="K76" s="112"/>
      <c r="L76" s="112"/>
      <c r="M76" s="114"/>
      <c r="N76" s="96"/>
      <c r="O76" s="97"/>
    </row>
    <row r="77" spans="1:17" x14ac:dyDescent="0.25">
      <c r="A77" s="124"/>
      <c r="B77" s="125"/>
      <c r="C77" s="110"/>
      <c r="D77" s="111"/>
      <c r="E77" s="111"/>
      <c r="F77" s="112"/>
      <c r="G77" s="112"/>
      <c r="H77" s="112"/>
      <c r="I77" s="112"/>
      <c r="J77" s="112"/>
      <c r="K77" s="112"/>
      <c r="L77" s="112"/>
      <c r="M77" s="114"/>
      <c r="N77" s="96"/>
      <c r="O77" s="97"/>
    </row>
    <row r="78" spans="1:17" x14ac:dyDescent="0.25">
      <c r="A78" s="124"/>
      <c r="B78" s="125"/>
      <c r="C78" s="110"/>
      <c r="D78" s="111"/>
      <c r="E78" s="111"/>
      <c r="F78" s="112"/>
      <c r="G78" s="112"/>
      <c r="H78" s="112"/>
      <c r="I78" s="112"/>
      <c r="J78" s="112"/>
      <c r="K78" s="112"/>
      <c r="L78" s="112"/>
      <c r="M78" s="114"/>
      <c r="N78" s="96"/>
      <c r="O78" s="97"/>
    </row>
    <row r="79" spans="1:17" ht="14.45" customHeight="1" thickBot="1" x14ac:dyDescent="0.3">
      <c r="A79" s="126"/>
      <c r="B79" s="127"/>
      <c r="C79" s="110"/>
      <c r="D79" s="111"/>
      <c r="E79" s="111"/>
      <c r="F79" s="112"/>
      <c r="G79" s="112"/>
      <c r="H79" s="112"/>
      <c r="I79" s="112"/>
      <c r="J79" s="112"/>
      <c r="K79" s="112"/>
      <c r="L79" s="112"/>
      <c r="M79" s="114"/>
      <c r="N79" s="96"/>
      <c r="O79" s="97"/>
    </row>
    <row r="80" spans="1:17" ht="14.45" customHeight="1" x14ac:dyDescent="0.25">
      <c r="A80" s="122" t="s">
        <v>147</v>
      </c>
      <c r="B80" s="123"/>
      <c r="C80" s="86" t="s">
        <v>148</v>
      </c>
      <c r="D80" s="179" t="s">
        <v>257</v>
      </c>
      <c r="E80" s="180"/>
      <c r="F80" s="112" t="str">
        <f>IF(AND(OR(N80&gt;0,O80&gt;0),N80+O80&lt;=10),"Single restroom okay for 10 or less (422.2(2))",IF(AND(OR(N80&gt;0,O80&gt;0),N80+O80&gt;Q5),W13,IF(AND(OR(N80&gt;0,O80&gt;0),N80+O80&lt;Q5),W13,IF(Q5&lt;=10,"Single restroom okay for 10 or less (422.2(2))",W13))))</f>
        <v>Single restroom okay for 10 or less (422.2(2))</v>
      </c>
      <c r="G80" s="112" t="str">
        <f>IF(F80="Single restroom okay for 10 or less (422.2(2))","-",Y13)</f>
        <v>-</v>
      </c>
      <c r="H80" s="112" t="s">
        <v>241</v>
      </c>
      <c r="I80" s="112">
        <f>Z13</f>
        <v>0</v>
      </c>
      <c r="J80" s="112" t="str">
        <f>IF(F80="Single restroom okay for 10 or less (422.2(2))","-",AA13)</f>
        <v>-</v>
      </c>
      <c r="K80" s="112">
        <f>AC13</f>
        <v>0</v>
      </c>
      <c r="L80" s="112">
        <f>AB13</f>
        <v>0</v>
      </c>
      <c r="M80" s="121" t="str">
        <f>IF(AND(OR(N80&gt;0,O80&gt;0),((N80+O80)&lt;=15)),"15 or less Service sink exempt (UPC Table 422.1, footnote 6)",IF(AND(OR(N80&gt;0,O80&gt;0),N80+O80&gt;Q5),"1 service sink",IF(AND(OR(N80&gt;0,O80&gt;0),N80+O80&lt;Q5),"1 service sink",IF(Q5&lt;=15,"15 or less Service sink exempt (UPC Table 422.1, footnote 6)","1 service or laundry sink"))))</f>
        <v>15 or less Service sink exempt (UPC Table 422.1, footnote 6)</v>
      </c>
      <c r="N80" s="96">
        <v>0</v>
      </c>
      <c r="O80" s="97">
        <f>N80</f>
        <v>0</v>
      </c>
    </row>
    <row r="81" spans="1:24" ht="14.45" customHeight="1" x14ac:dyDescent="0.25">
      <c r="A81" s="124"/>
      <c r="B81" s="125"/>
      <c r="C81" s="87"/>
      <c r="D81" s="181"/>
      <c r="E81" s="182"/>
      <c r="F81" s="112"/>
      <c r="G81" s="112"/>
      <c r="H81" s="112"/>
      <c r="I81" s="112"/>
      <c r="J81" s="112"/>
      <c r="K81" s="112"/>
      <c r="L81" s="112"/>
      <c r="M81" s="114"/>
      <c r="N81" s="96"/>
      <c r="O81" s="97"/>
    </row>
    <row r="82" spans="1:24" x14ac:dyDescent="0.25">
      <c r="A82" s="124"/>
      <c r="B82" s="125"/>
      <c r="C82" s="87"/>
      <c r="D82" s="181"/>
      <c r="E82" s="182"/>
      <c r="F82" s="112"/>
      <c r="G82" s="112"/>
      <c r="H82" s="112"/>
      <c r="I82" s="112"/>
      <c r="J82" s="112"/>
      <c r="K82" s="112"/>
      <c r="L82" s="112"/>
      <c r="M82" s="114"/>
      <c r="N82" s="96"/>
      <c r="O82" s="97"/>
    </row>
    <row r="83" spans="1:24" x14ac:dyDescent="0.25">
      <c r="A83" s="124"/>
      <c r="B83" s="125"/>
      <c r="C83" s="87"/>
      <c r="D83" s="181"/>
      <c r="E83" s="182"/>
      <c r="F83" s="112"/>
      <c r="G83" s="112"/>
      <c r="H83" s="112"/>
      <c r="I83" s="112"/>
      <c r="J83" s="112"/>
      <c r="K83" s="112"/>
      <c r="L83" s="112"/>
      <c r="M83" s="114"/>
      <c r="N83" s="96"/>
      <c r="O83" s="97"/>
      <c r="U83" s="1"/>
      <c r="V83" s="1"/>
    </row>
    <row r="84" spans="1:24" x14ac:dyDescent="0.25">
      <c r="A84" s="124"/>
      <c r="B84" s="125"/>
      <c r="C84" s="87"/>
      <c r="D84" s="181"/>
      <c r="E84" s="182"/>
      <c r="F84" s="112"/>
      <c r="G84" s="112"/>
      <c r="H84" s="112"/>
      <c r="I84" s="112"/>
      <c r="J84" s="112"/>
      <c r="K84" s="112"/>
      <c r="L84" s="112"/>
      <c r="M84" s="114"/>
      <c r="N84" s="96"/>
      <c r="O84" s="97"/>
      <c r="U84" s="1"/>
      <c r="V84" s="1"/>
    </row>
    <row r="85" spans="1:24" x14ac:dyDescent="0.25">
      <c r="A85" s="124"/>
      <c r="B85" s="125"/>
      <c r="C85" s="87"/>
      <c r="D85" s="181"/>
      <c r="E85" s="182"/>
      <c r="F85" s="112"/>
      <c r="G85" s="112"/>
      <c r="H85" s="112"/>
      <c r="I85" s="112"/>
      <c r="J85" s="112"/>
      <c r="K85" s="112"/>
      <c r="L85" s="112"/>
      <c r="M85" s="114"/>
      <c r="N85" s="96"/>
      <c r="O85" s="97"/>
      <c r="W85" s="1"/>
      <c r="X85" s="1"/>
    </row>
    <row r="86" spans="1:24" x14ac:dyDescent="0.25">
      <c r="A86" s="124"/>
      <c r="B86" s="125"/>
      <c r="C86" s="87"/>
      <c r="D86" s="181"/>
      <c r="E86" s="182"/>
      <c r="F86" s="112"/>
      <c r="G86" s="112"/>
      <c r="H86" s="112"/>
      <c r="I86" s="112"/>
      <c r="J86" s="112"/>
      <c r="K86" s="112"/>
      <c r="L86" s="112"/>
      <c r="M86" s="114"/>
      <c r="N86" s="96"/>
      <c r="O86" s="97"/>
      <c r="W86" s="1"/>
      <c r="X86" s="1"/>
    </row>
    <row r="87" spans="1:24" x14ac:dyDescent="0.25">
      <c r="A87" s="124"/>
      <c r="B87" s="125"/>
      <c r="C87" s="87"/>
      <c r="D87" s="181"/>
      <c r="E87" s="182"/>
      <c r="F87" s="112"/>
      <c r="G87" s="112"/>
      <c r="H87" s="112"/>
      <c r="I87" s="112"/>
      <c r="J87" s="112"/>
      <c r="K87" s="112"/>
      <c r="L87" s="112"/>
      <c r="M87" s="114"/>
      <c r="N87" s="96"/>
      <c r="O87" s="97"/>
      <c r="W87" s="1"/>
      <c r="X87" s="1"/>
    </row>
    <row r="88" spans="1:24" x14ac:dyDescent="0.25">
      <c r="A88" s="124"/>
      <c r="B88" s="125"/>
      <c r="C88" s="87"/>
      <c r="D88" s="181"/>
      <c r="E88" s="182"/>
      <c r="F88" s="112"/>
      <c r="G88" s="112"/>
      <c r="H88" s="112"/>
      <c r="I88" s="112"/>
      <c r="J88" s="112"/>
      <c r="K88" s="112"/>
      <c r="L88" s="112"/>
      <c r="M88" s="114"/>
      <c r="N88" s="96"/>
      <c r="O88" s="97"/>
      <c r="W88" s="1"/>
      <c r="X88" s="1"/>
    </row>
    <row r="89" spans="1:24" x14ac:dyDescent="0.25">
      <c r="A89" s="124"/>
      <c r="B89" s="125"/>
      <c r="C89" s="130"/>
      <c r="D89" s="183"/>
      <c r="E89" s="184"/>
      <c r="F89" s="112"/>
      <c r="G89" s="112"/>
      <c r="H89" s="112"/>
      <c r="I89" s="112"/>
      <c r="J89" s="112"/>
      <c r="K89" s="112"/>
      <c r="L89" s="112"/>
      <c r="M89" s="114"/>
      <c r="N89" s="96"/>
      <c r="O89" s="97"/>
      <c r="W89" s="1"/>
      <c r="X89" s="1"/>
    </row>
    <row r="90" spans="1:24" ht="14.45" customHeight="1" x14ac:dyDescent="0.25">
      <c r="A90" s="124"/>
      <c r="B90" s="125"/>
      <c r="C90" s="110" t="s">
        <v>150</v>
      </c>
      <c r="D90" s="111" t="s">
        <v>258</v>
      </c>
      <c r="E90" s="111"/>
      <c r="F90" s="185" t="s">
        <v>152</v>
      </c>
      <c r="G90" s="186"/>
      <c r="H90" s="191" t="s">
        <v>82</v>
      </c>
      <c r="I90" s="185" t="s">
        <v>152</v>
      </c>
      <c r="J90" s="186"/>
      <c r="K90" s="92" t="str">
        <f>AC14</f>
        <v>1 per room</v>
      </c>
      <c r="L90" s="92">
        <f>IF(N90&gt;0,ROUNDUP(N90/150,0),ROUNDUP(Q5/150,0))</f>
        <v>0</v>
      </c>
      <c r="M90" s="107" t="str">
        <f>IF(AND(OR(N90&gt;0,N94&gt;0),((N90+N94)&lt;=15)),"15 or less Service sink exempt (UPC Table 422.1, footnote 6)",IF(AND(OR(N90&gt;0,N94&gt;0),N90+N94&gt;Q5),"1 service sink",IF(AND(OR(N90&gt;0,N94&gt;0),N90+N94&lt;Q5),"1 service sink",IF(Q5&lt;=15,"15 or less Service sink exempt (UPC Table 422.1, footnote 6)","1 service or laundry sink"))))</f>
        <v>15 or less Service sink exempt (UPC Table 422.1, footnote 6)</v>
      </c>
      <c r="N90" s="167">
        <v>0</v>
      </c>
      <c r="O90" s="168"/>
      <c r="W90" s="1"/>
      <c r="X90" s="1"/>
    </row>
    <row r="91" spans="1:24" x14ac:dyDescent="0.25">
      <c r="A91" s="124"/>
      <c r="B91" s="125"/>
      <c r="C91" s="110"/>
      <c r="D91" s="111"/>
      <c r="E91" s="111"/>
      <c r="F91" s="187"/>
      <c r="G91" s="188"/>
      <c r="H91" s="192"/>
      <c r="I91" s="187"/>
      <c r="J91" s="188"/>
      <c r="K91" s="93"/>
      <c r="L91" s="93"/>
      <c r="M91" s="108"/>
      <c r="N91" s="169"/>
      <c r="O91" s="170"/>
      <c r="W91" s="1"/>
      <c r="X91" s="1"/>
    </row>
    <row r="92" spans="1:24" x14ac:dyDescent="0.25">
      <c r="A92" s="124"/>
      <c r="B92" s="125"/>
      <c r="C92" s="110"/>
      <c r="D92" s="111"/>
      <c r="E92" s="111"/>
      <c r="F92" s="187"/>
      <c r="G92" s="188"/>
      <c r="H92" s="192"/>
      <c r="I92" s="187"/>
      <c r="J92" s="188"/>
      <c r="K92" s="93"/>
      <c r="L92" s="93"/>
      <c r="M92" s="108"/>
      <c r="N92" s="169"/>
      <c r="O92" s="170"/>
      <c r="W92" s="1"/>
      <c r="X92" s="1"/>
    </row>
    <row r="93" spans="1:24" x14ac:dyDescent="0.25">
      <c r="A93" s="124"/>
      <c r="B93" s="125"/>
      <c r="C93" s="110"/>
      <c r="D93" s="111"/>
      <c r="E93" s="111"/>
      <c r="F93" s="189"/>
      <c r="G93" s="190"/>
      <c r="H93" s="193"/>
      <c r="I93" s="189"/>
      <c r="J93" s="190"/>
      <c r="K93" s="129"/>
      <c r="L93" s="129"/>
      <c r="M93" s="108"/>
      <c r="N93" s="171"/>
      <c r="O93" s="172"/>
      <c r="W93" s="1"/>
      <c r="X93" s="1"/>
    </row>
    <row r="94" spans="1:24" x14ac:dyDescent="0.25">
      <c r="A94" s="124"/>
      <c r="B94" s="125"/>
      <c r="C94" s="110"/>
      <c r="D94" s="111"/>
      <c r="E94" s="111"/>
      <c r="F94" s="185" t="str">
        <f>IF(AND(N94&gt;0,N94&lt;=10),"Single restroom okay for 10 or less (422.2(2))",IF(AND(N94&gt;0,N94&gt;Q5),W13,IF(AND(N94&gt;0,N94&lt;Q5),W13,IF(Q5&lt;=10,"Single restroom okay for 10 or less (422.2(2))",W13))))</f>
        <v>Single restroom okay for 10 or less (422.2(2))</v>
      </c>
      <c r="G94" s="186"/>
      <c r="H94" s="191" t="s">
        <v>82</v>
      </c>
      <c r="I94" s="185">
        <f>Z15</f>
        <v>0</v>
      </c>
      <c r="J94" s="186"/>
      <c r="K94" s="92">
        <f>AC15</f>
        <v>0</v>
      </c>
      <c r="L94" s="92">
        <f>AB15</f>
        <v>0</v>
      </c>
      <c r="M94" s="108"/>
      <c r="N94" s="167">
        <v>0</v>
      </c>
      <c r="O94" s="168"/>
      <c r="W94" s="1"/>
      <c r="X94" s="1"/>
    </row>
    <row r="95" spans="1:24" x14ac:dyDescent="0.25">
      <c r="A95" s="124"/>
      <c r="B95" s="125"/>
      <c r="C95" s="110"/>
      <c r="D95" s="111"/>
      <c r="E95" s="111"/>
      <c r="F95" s="187"/>
      <c r="G95" s="188"/>
      <c r="H95" s="192"/>
      <c r="I95" s="187"/>
      <c r="J95" s="188"/>
      <c r="K95" s="93"/>
      <c r="L95" s="93"/>
      <c r="M95" s="108"/>
      <c r="N95" s="169"/>
      <c r="O95" s="170"/>
      <c r="W95" s="1"/>
      <c r="X95" s="1"/>
    </row>
    <row r="96" spans="1:24" x14ac:dyDescent="0.25">
      <c r="A96" s="124"/>
      <c r="B96" s="125"/>
      <c r="C96" s="110"/>
      <c r="D96" s="111"/>
      <c r="E96" s="111"/>
      <c r="F96" s="189"/>
      <c r="G96" s="190"/>
      <c r="H96" s="193"/>
      <c r="I96" s="189"/>
      <c r="J96" s="190"/>
      <c r="K96" s="129"/>
      <c r="L96" s="129"/>
      <c r="M96" s="109"/>
      <c r="N96" s="171"/>
      <c r="O96" s="172"/>
      <c r="T96" s="2"/>
      <c r="W96" s="1"/>
      <c r="X96" s="1"/>
    </row>
    <row r="97" spans="1:24" x14ac:dyDescent="0.25">
      <c r="A97" s="124"/>
      <c r="B97" s="125"/>
      <c r="C97" s="110"/>
      <c r="D97" s="111" t="s">
        <v>259</v>
      </c>
      <c r="E97" s="111"/>
      <c r="F97" s="173" t="s">
        <v>152</v>
      </c>
      <c r="G97" s="174"/>
      <c r="H97" s="112" t="s">
        <v>82</v>
      </c>
      <c r="I97" s="173" t="s">
        <v>152</v>
      </c>
      <c r="J97" s="174"/>
      <c r="K97" s="112" t="s">
        <v>82</v>
      </c>
      <c r="L97" s="112" t="s">
        <v>152</v>
      </c>
      <c r="M97" s="114" t="s">
        <v>82</v>
      </c>
      <c r="N97" s="167" t="s">
        <v>82</v>
      </c>
      <c r="O97" s="168"/>
      <c r="S97" s="5"/>
      <c r="W97" s="1"/>
      <c r="X97" s="1"/>
    </row>
    <row r="98" spans="1:24" x14ac:dyDescent="0.25">
      <c r="A98" s="124"/>
      <c r="B98" s="125"/>
      <c r="C98" s="110"/>
      <c r="D98" s="111"/>
      <c r="E98" s="111"/>
      <c r="F98" s="175"/>
      <c r="G98" s="176"/>
      <c r="H98" s="112"/>
      <c r="I98" s="175"/>
      <c r="J98" s="176"/>
      <c r="K98" s="112"/>
      <c r="L98" s="112"/>
      <c r="M98" s="114"/>
      <c r="N98" s="169"/>
      <c r="O98" s="170"/>
      <c r="S98" s="5"/>
      <c r="W98" s="1"/>
      <c r="X98" s="1"/>
    </row>
    <row r="99" spans="1:24" x14ac:dyDescent="0.25">
      <c r="A99" s="124"/>
      <c r="B99" s="125"/>
      <c r="C99" s="110"/>
      <c r="D99" s="111"/>
      <c r="E99" s="111"/>
      <c r="F99" s="175"/>
      <c r="G99" s="176"/>
      <c r="H99" s="112"/>
      <c r="I99" s="175"/>
      <c r="J99" s="176"/>
      <c r="K99" s="112"/>
      <c r="L99" s="112"/>
      <c r="M99" s="114"/>
      <c r="N99" s="169"/>
      <c r="O99" s="170"/>
      <c r="S99" s="5"/>
    </row>
    <row r="100" spans="1:24" x14ac:dyDescent="0.25">
      <c r="A100" s="124"/>
      <c r="B100" s="125"/>
      <c r="C100" s="110"/>
      <c r="D100" s="111"/>
      <c r="E100" s="111"/>
      <c r="F100" s="175"/>
      <c r="G100" s="176"/>
      <c r="H100" s="112"/>
      <c r="I100" s="175"/>
      <c r="J100" s="176"/>
      <c r="K100" s="112"/>
      <c r="L100" s="112"/>
      <c r="M100" s="114"/>
      <c r="N100" s="169"/>
      <c r="O100" s="170"/>
      <c r="S100" s="5"/>
    </row>
    <row r="101" spans="1:24" x14ac:dyDescent="0.25">
      <c r="A101" s="124"/>
      <c r="B101" s="125"/>
      <c r="C101" s="110"/>
      <c r="D101" s="111"/>
      <c r="E101" s="111"/>
      <c r="F101" s="175"/>
      <c r="G101" s="176"/>
      <c r="H101" s="112"/>
      <c r="I101" s="175"/>
      <c r="J101" s="176"/>
      <c r="K101" s="112"/>
      <c r="L101" s="112"/>
      <c r="M101" s="114"/>
      <c r="N101" s="169"/>
      <c r="O101" s="170"/>
      <c r="S101" s="5"/>
    </row>
    <row r="102" spans="1:24" x14ac:dyDescent="0.25">
      <c r="A102" s="124"/>
      <c r="B102" s="125"/>
      <c r="C102" s="110"/>
      <c r="D102" s="111"/>
      <c r="E102" s="111"/>
      <c r="F102" s="177"/>
      <c r="G102" s="178"/>
      <c r="H102" s="112"/>
      <c r="I102" s="177"/>
      <c r="J102" s="178"/>
      <c r="K102" s="112"/>
      <c r="L102" s="112"/>
      <c r="M102" s="114"/>
      <c r="N102" s="171"/>
      <c r="O102" s="172"/>
      <c r="S102" s="5"/>
    </row>
    <row r="103" spans="1:24" ht="14.45" customHeight="1" x14ac:dyDescent="0.25">
      <c r="A103" s="124"/>
      <c r="B103" s="125"/>
      <c r="C103" s="110"/>
      <c r="D103" s="111" t="s">
        <v>153</v>
      </c>
      <c r="E103" s="111"/>
      <c r="F103" s="112" t="str">
        <f>IF(AND(OR(N103&gt;0,O103&gt;0),N103+O103&lt;=10),"Single restroom okay for 10 or less (422.2(2))",IF(AND(OR(N103&gt;0,O103&gt;0),N103+O103&gt;Q5),W16,IF(AND(OR(N103&gt;0,O103&gt;0),N103+O103&lt;Q5),W16,IF(Q5&lt;=10,"Single restroom okay for 10 or less (422.2(2))",W16))))</f>
        <v>Single restroom okay for 10 or less (422.2(2))</v>
      </c>
      <c r="G103" s="112" t="str">
        <f>IF(F103="Single restroom okay for 10 or less (422.2(2))","-",Y16)</f>
        <v>-</v>
      </c>
      <c r="H103" s="112" t="s">
        <v>82</v>
      </c>
      <c r="I103" s="112">
        <f>Z16</f>
        <v>0</v>
      </c>
      <c r="J103" s="112" t="str">
        <f>IF(F103="Single restroom okay for 10 or less (422.2(2))","-",AA16)</f>
        <v>-</v>
      </c>
      <c r="K103" s="112" t="s">
        <v>82</v>
      </c>
      <c r="L103" s="112" t="s">
        <v>82</v>
      </c>
      <c r="M103" s="114" t="s">
        <v>82</v>
      </c>
      <c r="N103" s="96">
        <v>0</v>
      </c>
      <c r="O103" s="97">
        <f>N103</f>
        <v>0</v>
      </c>
      <c r="S103" s="5"/>
    </row>
    <row r="104" spans="1:24" ht="14.45" customHeight="1" x14ac:dyDescent="0.25">
      <c r="A104" s="124"/>
      <c r="B104" s="125"/>
      <c r="C104" s="110"/>
      <c r="D104" s="111"/>
      <c r="E104" s="111"/>
      <c r="F104" s="112"/>
      <c r="G104" s="112"/>
      <c r="H104" s="112"/>
      <c r="I104" s="112"/>
      <c r="J104" s="112"/>
      <c r="K104" s="112"/>
      <c r="L104" s="112"/>
      <c r="M104" s="114"/>
      <c r="N104" s="96"/>
      <c r="O104" s="97"/>
      <c r="S104" s="5"/>
    </row>
    <row r="105" spans="1:24" x14ac:dyDescent="0.25">
      <c r="A105" s="124"/>
      <c r="B105" s="125"/>
      <c r="C105" s="110"/>
      <c r="D105" s="111"/>
      <c r="E105" s="111"/>
      <c r="F105" s="112"/>
      <c r="G105" s="112"/>
      <c r="H105" s="112"/>
      <c r="I105" s="112"/>
      <c r="J105" s="112"/>
      <c r="K105" s="112"/>
      <c r="L105" s="112"/>
      <c r="M105" s="114"/>
      <c r="N105" s="96"/>
      <c r="O105" s="97"/>
      <c r="S105" s="5"/>
    </row>
    <row r="106" spans="1:24" x14ac:dyDescent="0.25">
      <c r="A106" s="124"/>
      <c r="B106" s="125"/>
      <c r="C106" s="110"/>
      <c r="D106" s="111"/>
      <c r="E106" s="111"/>
      <c r="F106" s="112"/>
      <c r="G106" s="112"/>
      <c r="H106" s="112"/>
      <c r="I106" s="112"/>
      <c r="J106" s="112"/>
      <c r="K106" s="112"/>
      <c r="L106" s="112"/>
      <c r="M106" s="114"/>
      <c r="N106" s="96"/>
      <c r="O106" s="97"/>
      <c r="S106" s="5"/>
      <c r="W106" s="1"/>
      <c r="X106" s="1"/>
    </row>
    <row r="107" spans="1:24" x14ac:dyDescent="0.25">
      <c r="A107" s="124"/>
      <c r="B107" s="125"/>
      <c r="C107" s="110"/>
      <c r="D107" s="111"/>
      <c r="E107" s="111"/>
      <c r="F107" s="112"/>
      <c r="G107" s="112"/>
      <c r="H107" s="112"/>
      <c r="I107" s="112"/>
      <c r="J107" s="112"/>
      <c r="K107" s="112"/>
      <c r="L107" s="112"/>
      <c r="M107" s="114"/>
      <c r="N107" s="96"/>
      <c r="O107" s="97"/>
      <c r="S107" s="5"/>
      <c r="W107" s="1"/>
      <c r="X107" s="1"/>
    </row>
    <row r="108" spans="1:24" x14ac:dyDescent="0.25">
      <c r="A108" s="124"/>
      <c r="B108" s="125"/>
      <c r="C108" s="110"/>
      <c r="D108" s="111"/>
      <c r="E108" s="111"/>
      <c r="F108" s="112"/>
      <c r="G108" s="112"/>
      <c r="H108" s="112"/>
      <c r="I108" s="112"/>
      <c r="J108" s="112"/>
      <c r="K108" s="112"/>
      <c r="L108" s="112"/>
      <c r="M108" s="114"/>
      <c r="N108" s="96"/>
      <c r="O108" s="97"/>
      <c r="S108" s="5"/>
      <c r="W108" s="1"/>
      <c r="X108" s="1"/>
    </row>
    <row r="109" spans="1:24" x14ac:dyDescent="0.25">
      <c r="A109" s="124"/>
      <c r="B109" s="125"/>
      <c r="C109" s="110"/>
      <c r="D109" s="111"/>
      <c r="E109" s="111"/>
      <c r="F109" s="112"/>
      <c r="G109" s="112"/>
      <c r="H109" s="112"/>
      <c r="I109" s="112"/>
      <c r="J109" s="112"/>
      <c r="K109" s="112"/>
      <c r="L109" s="112"/>
      <c r="M109" s="114"/>
      <c r="N109" s="96"/>
      <c r="O109" s="97"/>
      <c r="S109" s="5"/>
      <c r="W109" s="1"/>
      <c r="X109" s="1"/>
    </row>
    <row r="110" spans="1:24" x14ac:dyDescent="0.25">
      <c r="A110" s="124"/>
      <c r="B110" s="125"/>
      <c r="C110" s="110" t="s">
        <v>155</v>
      </c>
      <c r="D110" s="111" t="s">
        <v>156</v>
      </c>
      <c r="E110" s="111"/>
      <c r="F110" s="113" t="s">
        <v>157</v>
      </c>
      <c r="G110" s="113"/>
      <c r="H110" s="113" t="s">
        <v>82</v>
      </c>
      <c r="I110" s="113" t="s">
        <v>157</v>
      </c>
      <c r="J110" s="113"/>
      <c r="K110" s="112">
        <f>AC18</f>
        <v>0</v>
      </c>
      <c r="L110" s="112" t="s">
        <v>260</v>
      </c>
      <c r="M110" s="107" t="s">
        <v>82</v>
      </c>
      <c r="N110" s="167">
        <v>0</v>
      </c>
      <c r="O110" s="168"/>
      <c r="S110" s="5"/>
      <c r="W110" s="1"/>
      <c r="X110" s="1"/>
    </row>
    <row r="111" spans="1:24" ht="14.45" customHeight="1" x14ac:dyDescent="0.25">
      <c r="A111" s="124"/>
      <c r="B111" s="125"/>
      <c r="C111" s="110"/>
      <c r="D111" s="111"/>
      <c r="E111" s="111"/>
      <c r="F111" s="113"/>
      <c r="G111" s="113"/>
      <c r="H111" s="113"/>
      <c r="I111" s="113"/>
      <c r="J111" s="113"/>
      <c r="K111" s="112"/>
      <c r="L111" s="112"/>
      <c r="M111" s="108"/>
      <c r="N111" s="169"/>
      <c r="O111" s="170"/>
      <c r="S111" s="5"/>
      <c r="W111" s="1"/>
      <c r="X111" s="1"/>
    </row>
    <row r="112" spans="1:24" x14ac:dyDescent="0.25">
      <c r="A112" s="124"/>
      <c r="B112" s="125"/>
      <c r="C112" s="110"/>
      <c r="D112" s="111"/>
      <c r="E112" s="111"/>
      <c r="F112" s="113"/>
      <c r="G112" s="113"/>
      <c r="H112" s="113"/>
      <c r="I112" s="113"/>
      <c r="J112" s="113"/>
      <c r="K112" s="112"/>
      <c r="L112" s="112"/>
      <c r="M112" s="109"/>
      <c r="N112" s="171"/>
      <c r="O112" s="172"/>
      <c r="S112" s="5"/>
      <c r="W112" s="1"/>
      <c r="X112" s="1"/>
    </row>
    <row r="113" spans="1:24" ht="14.45" customHeight="1" x14ac:dyDescent="0.25">
      <c r="A113" s="124"/>
      <c r="B113" s="125"/>
      <c r="C113" s="110"/>
      <c r="D113" s="111" t="s">
        <v>261</v>
      </c>
      <c r="E113" s="111"/>
      <c r="F113" s="173" t="str">
        <f>IF(AND(OR(N113&gt;0,O113&gt;0),N113+O113&lt;=10),"Single restroom okay for 10 or less (422.2(2))",IF(AND(OR(N113&gt;0,O113&gt;0),N113+O113&gt;Q5),W19,IF(AND(OR(N113&gt;0,O113&gt;0),N113+O113&lt;Q5),W19,IF(Q5&lt;=10,"Single restroom okay for 10 or less (422.2(2))",W19))))</f>
        <v>Single restroom okay for 10 or less (422.2(2))</v>
      </c>
      <c r="G113" s="174"/>
      <c r="H113" s="112" t="s">
        <v>82</v>
      </c>
      <c r="I113" s="173">
        <f>Z19</f>
        <v>0</v>
      </c>
      <c r="J113" s="174"/>
      <c r="K113" s="112">
        <f>AC19</f>
        <v>0</v>
      </c>
      <c r="L113" s="112" t="s">
        <v>262</v>
      </c>
      <c r="M113" s="114" t="str">
        <f>IF(AND(OR(N113&gt;0,O113&gt;0),((N113+O113)&lt;=15)),"15 or less Service sink exempt (UPC Table 422.1, footnote 6)",IF(AND(OR(N113&gt;0,O113&gt;0),N113+O113&gt;Q5),"1 service sink",IF(AND(OR(N113&gt;0,O113&gt;0),N113+O113&lt;Q5),"1 service sink",IF(Q5&lt;=15,"15 or less Service sink exempt (UPC Table 422.1, footnote 6)","1 service or laundry sink"))))</f>
        <v>15 or less Service sink exempt (UPC Table 422.1, footnote 6)</v>
      </c>
      <c r="N113" s="96">
        <v>0</v>
      </c>
      <c r="O113" s="97">
        <f>N113</f>
        <v>0</v>
      </c>
      <c r="S113" s="5"/>
      <c r="W113" s="1"/>
      <c r="X113" s="1"/>
    </row>
    <row r="114" spans="1:24" x14ac:dyDescent="0.25">
      <c r="A114" s="124"/>
      <c r="B114" s="125"/>
      <c r="C114" s="110"/>
      <c r="D114" s="111"/>
      <c r="E114" s="111"/>
      <c r="F114" s="175"/>
      <c r="G114" s="176"/>
      <c r="H114" s="112"/>
      <c r="I114" s="175"/>
      <c r="J114" s="176"/>
      <c r="K114" s="112"/>
      <c r="L114" s="112"/>
      <c r="M114" s="114"/>
      <c r="N114" s="96"/>
      <c r="O114" s="97"/>
      <c r="Q114" s="13"/>
      <c r="R114" s="13"/>
      <c r="S114" s="5"/>
      <c r="W114" s="1"/>
      <c r="X114" s="1"/>
    </row>
    <row r="115" spans="1:24" x14ac:dyDescent="0.25">
      <c r="A115" s="124"/>
      <c r="B115" s="125"/>
      <c r="C115" s="110"/>
      <c r="D115" s="111"/>
      <c r="E115" s="111"/>
      <c r="F115" s="175"/>
      <c r="G115" s="176"/>
      <c r="H115" s="112"/>
      <c r="I115" s="175"/>
      <c r="J115" s="176"/>
      <c r="K115" s="112"/>
      <c r="L115" s="112"/>
      <c r="M115" s="114"/>
      <c r="N115" s="96"/>
      <c r="O115" s="97"/>
      <c r="S115" s="5"/>
      <c r="W115" s="1"/>
      <c r="X115" s="1"/>
    </row>
    <row r="116" spans="1:24" x14ac:dyDescent="0.25">
      <c r="A116" s="124"/>
      <c r="B116" s="125"/>
      <c r="C116" s="110"/>
      <c r="D116" s="111"/>
      <c r="E116" s="111"/>
      <c r="F116" s="177"/>
      <c r="G116" s="178"/>
      <c r="H116" s="112"/>
      <c r="I116" s="177"/>
      <c r="J116" s="178"/>
      <c r="K116" s="112"/>
      <c r="L116" s="112"/>
      <c r="M116" s="114"/>
      <c r="N116" s="96"/>
      <c r="O116" s="97"/>
      <c r="S116" s="5"/>
      <c r="W116" s="1"/>
      <c r="X116" s="1"/>
    </row>
    <row r="117" spans="1:24" x14ac:dyDescent="0.25">
      <c r="A117" s="124"/>
      <c r="B117" s="125"/>
      <c r="C117" s="110"/>
      <c r="D117" s="111" t="s">
        <v>160</v>
      </c>
      <c r="E117" s="111"/>
      <c r="F117" s="112" t="str">
        <f>IF(AND(OR(N117&gt;0,O117&gt;0),N117+O117&lt;=10),"Single restroom okay for 10 or less (422.2(2))",IF(Q5&lt;=10,"Single restroom okay for 10 or less (422.2(2))",W20))</f>
        <v>Single restroom okay for 10 or less (422.2(2))</v>
      </c>
      <c r="G117" s="112" t="str">
        <f>IF(F117="Single restroom okay for 10 or less (422.2(2))","-",Y20)</f>
        <v>-</v>
      </c>
      <c r="H117" s="112" t="s">
        <v>82</v>
      </c>
      <c r="I117" s="112">
        <f>Z20</f>
        <v>0</v>
      </c>
      <c r="J117" s="112" t="str">
        <f>IF(F117="Single restroom okay for 10 or less (422.2(2))","-",AA20)</f>
        <v>-</v>
      </c>
      <c r="K117" s="112" t="s">
        <v>82</v>
      </c>
      <c r="L117" s="112" t="str">
        <f>IF(AND(OR(N117&gt;0,O117&gt;0),N117+O117&lt;=30),"30 or less Fountain exempt(415.2)",IF(AND(OR(N117&gt;0,O117&gt;0),N117+O117&gt;Q5),AB20,IF(AND(OR(N117&gt;0,O117&gt;0),N117+O117&lt;Q5),AB20,IF(Q5&lt;=30,"30 or less Fountain exempt(415.2)",AB20))))</f>
        <v>30 or less Fountain exempt(415.2)</v>
      </c>
      <c r="M117" s="114" t="s">
        <v>82</v>
      </c>
      <c r="N117" s="96">
        <v>0</v>
      </c>
      <c r="O117" s="97">
        <f>N117</f>
        <v>0</v>
      </c>
      <c r="S117" s="5"/>
      <c r="W117" s="1"/>
      <c r="X117" s="1"/>
    </row>
    <row r="118" spans="1:24" x14ac:dyDescent="0.25">
      <c r="A118" s="124"/>
      <c r="B118" s="125"/>
      <c r="C118" s="110"/>
      <c r="D118" s="111"/>
      <c r="E118" s="111"/>
      <c r="F118" s="112"/>
      <c r="G118" s="112"/>
      <c r="H118" s="112"/>
      <c r="I118" s="112"/>
      <c r="J118" s="112"/>
      <c r="K118" s="112"/>
      <c r="L118" s="112"/>
      <c r="M118" s="114"/>
      <c r="N118" s="96"/>
      <c r="O118" s="97"/>
      <c r="S118" s="5"/>
      <c r="W118" s="1"/>
      <c r="X118" s="1"/>
    </row>
    <row r="119" spans="1:24" x14ac:dyDescent="0.25">
      <c r="A119" s="124"/>
      <c r="B119" s="125"/>
      <c r="C119" s="110"/>
      <c r="D119" s="111"/>
      <c r="E119" s="111"/>
      <c r="F119" s="112"/>
      <c r="G119" s="112"/>
      <c r="H119" s="112"/>
      <c r="I119" s="112"/>
      <c r="J119" s="112"/>
      <c r="K119" s="112"/>
      <c r="L119" s="112"/>
      <c r="M119" s="114"/>
      <c r="N119" s="96"/>
      <c r="O119" s="97"/>
      <c r="S119" s="5"/>
      <c r="W119" s="1"/>
      <c r="X119" s="1"/>
    </row>
    <row r="120" spans="1:24" ht="14.45" customHeight="1" x14ac:dyDescent="0.25">
      <c r="A120" s="124"/>
      <c r="B120" s="125"/>
      <c r="C120" s="110"/>
      <c r="D120" s="111"/>
      <c r="E120" s="111"/>
      <c r="F120" s="112"/>
      <c r="G120" s="112"/>
      <c r="H120" s="112"/>
      <c r="I120" s="112"/>
      <c r="J120" s="112"/>
      <c r="K120" s="112"/>
      <c r="L120" s="112"/>
      <c r="M120" s="114"/>
      <c r="N120" s="96"/>
      <c r="O120" s="97"/>
      <c r="S120" s="5"/>
      <c r="W120" s="1"/>
      <c r="X120" s="1"/>
    </row>
    <row r="121" spans="1:24" x14ac:dyDescent="0.25">
      <c r="A121" s="124"/>
      <c r="B121" s="125"/>
      <c r="C121" s="110"/>
      <c r="D121" s="111"/>
      <c r="E121" s="111"/>
      <c r="F121" s="112"/>
      <c r="G121" s="112"/>
      <c r="H121" s="112"/>
      <c r="I121" s="112"/>
      <c r="J121" s="112"/>
      <c r="K121" s="112"/>
      <c r="L121" s="112"/>
      <c r="M121" s="114"/>
      <c r="N121" s="96"/>
      <c r="O121" s="97"/>
      <c r="S121" s="5"/>
      <c r="W121" s="1"/>
      <c r="X121" s="1"/>
    </row>
    <row r="122" spans="1:24" x14ac:dyDescent="0.25">
      <c r="A122" s="124"/>
      <c r="B122" s="125"/>
      <c r="C122" s="110" t="s">
        <v>161</v>
      </c>
      <c r="D122" s="111" t="s">
        <v>263</v>
      </c>
      <c r="E122" s="111"/>
      <c r="F122" s="112" t="str">
        <f>IF(AND(OR(N122&gt;0,O122&gt;0),N122+O122&lt;=10),"Single restroom okay for 10 or less (422.2(2))",IF(AND(OR(N122&gt;0,O122&gt;0),N122+O122&gt;Q5),W21,IF(AND(OR(N122&gt;0,O122&gt;0),N122+O122&lt;Q5),W21,IF(Q5&lt;=10,"Single restroom okay for 10 or less (422.2(2))",W21))))</f>
        <v>Single restroom okay for 10 or less (422.2(2))</v>
      </c>
      <c r="G122" s="112" t="str">
        <f>IF(F122="Single restroom okay for 10 or less (422.2(2))","-",Y21)</f>
        <v>-</v>
      </c>
      <c r="H122" s="112" t="s">
        <v>82</v>
      </c>
      <c r="I122" s="112">
        <f>Z21</f>
        <v>0</v>
      </c>
      <c r="J122" s="112" t="str">
        <f>IF(F122="Single restroom okay for 10 or less (422.2(2))","-",AA21)</f>
        <v>-</v>
      </c>
      <c r="K122" s="112" t="str">
        <f>AC21</f>
        <v>-</v>
      </c>
      <c r="L122" s="112" t="str">
        <f>IF(AND(OR(N122&gt;0,O122&gt;0),N122+O122&lt;=30),"30 or less Fountain exempt(415.2)",IF(AND(OR(N122&gt;0,O122&gt;0),N122+O122&gt;Q5),AB21,IF(AND(OR(N122&gt;0,O122&gt;0),N122+O122&lt;Q5),AB21,IF(Q5&lt;=30,"30 or less Fountain exempt(415.2)",AB21))))</f>
        <v>30 or less Fountain exempt(415.2)</v>
      </c>
      <c r="M122" s="107" t="str">
        <f>IF(AND(OR(N122&gt;0,O122&gt;0),((N122+O122)&lt;=15)),"15 or less Service sink exempt (UPC Table 422.1, footnote 6)",IF(AND(OR(N122&gt;0,O122&gt;0),N122+O122&gt;Q5),"1 service sink",IF(AND(OR(N122&gt;0,O122&gt;0),N122+O122&lt;Q5),"1 service sink",IF(Q5&lt;=15,"15 or less Service sink exempt (UPC Table 422.1, footnote 6)","1 service or laundry sink"))))</f>
        <v>15 or less Service sink exempt (UPC Table 422.1, footnote 6)</v>
      </c>
      <c r="N122" s="96">
        <v>0</v>
      </c>
      <c r="O122" s="97">
        <f>N122</f>
        <v>0</v>
      </c>
      <c r="S122" s="5"/>
      <c r="W122" s="1"/>
      <c r="X122" s="1"/>
    </row>
    <row r="123" spans="1:24" x14ac:dyDescent="0.25">
      <c r="A123" s="124"/>
      <c r="B123" s="125"/>
      <c r="C123" s="110"/>
      <c r="D123" s="111"/>
      <c r="E123" s="111"/>
      <c r="F123" s="112"/>
      <c r="G123" s="112"/>
      <c r="H123" s="112"/>
      <c r="I123" s="112"/>
      <c r="J123" s="112"/>
      <c r="K123" s="112"/>
      <c r="L123" s="112"/>
      <c r="M123" s="108"/>
      <c r="N123" s="96"/>
      <c r="O123" s="97"/>
      <c r="S123" s="5"/>
      <c r="W123" s="1"/>
      <c r="X123" s="1"/>
    </row>
    <row r="124" spans="1:24" x14ac:dyDescent="0.25">
      <c r="A124" s="124"/>
      <c r="B124" s="125"/>
      <c r="C124" s="110"/>
      <c r="D124" s="111"/>
      <c r="E124" s="111"/>
      <c r="F124" s="112"/>
      <c r="G124" s="112"/>
      <c r="H124" s="112"/>
      <c r="I124" s="112"/>
      <c r="J124" s="112"/>
      <c r="K124" s="112"/>
      <c r="L124" s="112"/>
      <c r="M124" s="108"/>
      <c r="N124" s="96"/>
      <c r="O124" s="97"/>
      <c r="S124" s="5"/>
      <c r="W124" s="1"/>
      <c r="X124" s="1"/>
    </row>
    <row r="125" spans="1:24" x14ac:dyDescent="0.25">
      <c r="A125" s="124"/>
      <c r="B125" s="125"/>
      <c r="C125" s="110"/>
      <c r="D125" s="111"/>
      <c r="E125" s="111"/>
      <c r="F125" s="112"/>
      <c r="G125" s="112"/>
      <c r="H125" s="112"/>
      <c r="I125" s="112"/>
      <c r="J125" s="112"/>
      <c r="K125" s="112"/>
      <c r="L125" s="112"/>
      <c r="M125" s="108"/>
      <c r="N125" s="96"/>
      <c r="O125" s="97"/>
      <c r="S125" s="5"/>
      <c r="W125" s="1"/>
      <c r="X125" s="1"/>
    </row>
    <row r="126" spans="1:24" x14ac:dyDescent="0.25">
      <c r="A126" s="124"/>
      <c r="B126" s="125"/>
      <c r="C126" s="110"/>
      <c r="D126" s="111"/>
      <c r="E126" s="111"/>
      <c r="F126" s="112"/>
      <c r="G126" s="112"/>
      <c r="H126" s="112"/>
      <c r="I126" s="112"/>
      <c r="J126" s="112"/>
      <c r="K126" s="112"/>
      <c r="L126" s="112"/>
      <c r="M126" s="108"/>
      <c r="N126" s="96"/>
      <c r="O126" s="97"/>
      <c r="S126" s="5"/>
      <c r="W126" s="1"/>
      <c r="X126" s="1"/>
    </row>
    <row r="127" spans="1:24" ht="15.75" thickBot="1" x14ac:dyDescent="0.3">
      <c r="A127" s="126"/>
      <c r="B127" s="127"/>
      <c r="C127" s="110"/>
      <c r="D127" s="111"/>
      <c r="E127" s="111"/>
      <c r="F127" s="112"/>
      <c r="G127" s="112"/>
      <c r="H127" s="112"/>
      <c r="I127" s="112"/>
      <c r="J127" s="112"/>
      <c r="K127" s="112"/>
      <c r="L127" s="112"/>
      <c r="M127" s="109"/>
      <c r="N127" s="96"/>
      <c r="O127" s="97"/>
      <c r="P127" s="7"/>
      <c r="S127" s="5"/>
      <c r="W127" s="1"/>
      <c r="X127" s="1"/>
    </row>
    <row r="128" spans="1:24" x14ac:dyDescent="0.25">
      <c r="A128" s="80" t="s">
        <v>163</v>
      </c>
      <c r="B128" s="81"/>
      <c r="C128" s="110" t="s">
        <v>164</v>
      </c>
      <c r="D128" s="111" t="s">
        <v>264</v>
      </c>
      <c r="E128" s="111"/>
      <c r="F128" s="112" t="str">
        <f>IF(AND(OR(N128&gt;0,O128&gt;0),N128+O128&lt;=50),"Single restroom okay for 50 or less (422.2(3))",IF(AND(OR(N128&gt;0,O128&gt;0),N128+O128&gt;Q5),W22,IF(AND(OR(N128&gt;0,O128&gt;0),N128+O128&lt;Q5),W22,IF(Q5&lt;=50,"Single restroom okay for 50 or less (422.2(3))",W22))))</f>
        <v>Single restroom okay for 50 or less (422.2(3))</v>
      </c>
      <c r="G128" s="112" t="str">
        <f>IF(F128="Single restroom okay for 50 or less (422.2(3))","-",Y22)</f>
        <v>-</v>
      </c>
      <c r="H128" s="112" t="s">
        <v>241</v>
      </c>
      <c r="I128" s="112">
        <f>Z22</f>
        <v>0</v>
      </c>
      <c r="J128" s="112">
        <f>IF(F128="Single restroom okay for 10 or less (422.2(2))","-",AA22)</f>
        <v>0</v>
      </c>
      <c r="K128" s="112" t="s">
        <v>82</v>
      </c>
      <c r="L128" s="120" t="str">
        <f>IF(AND(OR(N128&gt;0,O128&gt;0),N128+O128&lt;=30),"30 or less Fountain exempt(415.2)",IF(AND(OR(N128&gt;0,O128&gt;0),N128+O128&gt;Q5),AB22,IF(AND(OR(N128&gt;0,O128&gt;0),N128+O128&lt;Q5),AB22,IF(Q5&lt;=30,"30 or less Fountain exempt(415.2)",AB22))))</f>
        <v>30 or less Fountain exempt(415.2)</v>
      </c>
      <c r="M128" s="95" t="str">
        <f>IF(AND(OR(N128&gt;0,O128&gt;0),((N128+O128)&lt;=15)),"15 or less Service sink exempt (UPC Table 422.1, footnote 6)",IF(AND(OR(N128&gt;0,O128&gt;0),N128+O128&gt;Q5),"1 service sink",IF(AND(OR(N128&gt;0,O128&gt;0),N128+O128&lt;Q5),"1 service sink",IF(Q5&lt;=15,"15 or less Service sink exempt (UPC Table 422.1, footnote 6)","1 service or laundry sink"))))</f>
        <v>15 or less Service sink exempt (UPC Table 422.1, footnote 6)</v>
      </c>
      <c r="N128" s="96">
        <v>0</v>
      </c>
      <c r="O128" s="97">
        <f>N128</f>
        <v>0</v>
      </c>
      <c r="P128" s="7"/>
      <c r="S128" s="5"/>
      <c r="W128" s="1"/>
      <c r="X128" s="1"/>
    </row>
    <row r="129" spans="1:19" ht="14.45" customHeight="1" x14ac:dyDescent="0.25">
      <c r="A129" s="82"/>
      <c r="B129" s="83"/>
      <c r="C129" s="110"/>
      <c r="D129" s="111"/>
      <c r="E129" s="111"/>
      <c r="F129" s="112"/>
      <c r="G129" s="112"/>
      <c r="H129" s="112"/>
      <c r="I129" s="112"/>
      <c r="J129" s="112"/>
      <c r="K129" s="112"/>
      <c r="L129" s="120"/>
      <c r="M129" s="95"/>
      <c r="N129" s="96"/>
      <c r="O129" s="97"/>
      <c r="S129" s="5"/>
    </row>
    <row r="130" spans="1:19" x14ac:dyDescent="0.25">
      <c r="A130" s="82"/>
      <c r="B130" s="83"/>
      <c r="C130" s="110"/>
      <c r="D130" s="111"/>
      <c r="E130" s="111"/>
      <c r="F130" s="112"/>
      <c r="G130" s="112"/>
      <c r="H130" s="112"/>
      <c r="I130" s="112"/>
      <c r="J130" s="112"/>
      <c r="K130" s="112"/>
      <c r="L130" s="120"/>
      <c r="M130" s="95"/>
      <c r="N130" s="96"/>
      <c r="O130" s="97"/>
      <c r="S130" s="5"/>
    </row>
    <row r="131" spans="1:19" x14ac:dyDescent="0.25">
      <c r="A131" s="82"/>
      <c r="B131" s="83"/>
      <c r="C131" s="110"/>
      <c r="D131" s="111"/>
      <c r="E131" s="111"/>
      <c r="F131" s="112"/>
      <c r="G131" s="112"/>
      <c r="H131" s="112"/>
      <c r="I131" s="112"/>
      <c r="J131" s="112"/>
      <c r="K131" s="112"/>
      <c r="L131" s="120"/>
      <c r="M131" s="95"/>
      <c r="N131" s="96"/>
      <c r="O131" s="97"/>
      <c r="S131" s="5"/>
    </row>
    <row r="132" spans="1:19" x14ac:dyDescent="0.25">
      <c r="A132" s="82"/>
      <c r="B132" s="83"/>
      <c r="C132" s="110"/>
      <c r="D132" s="111"/>
      <c r="E132" s="111"/>
      <c r="F132" s="112"/>
      <c r="G132" s="112"/>
      <c r="H132" s="112"/>
      <c r="I132" s="112"/>
      <c r="J132" s="112"/>
      <c r="K132" s="112"/>
      <c r="L132" s="120"/>
      <c r="M132" s="95"/>
      <c r="N132" s="96"/>
      <c r="O132" s="97"/>
      <c r="S132" s="5"/>
    </row>
    <row r="133" spans="1:19" ht="14.45" customHeight="1" x14ac:dyDescent="0.25">
      <c r="A133" s="82"/>
      <c r="B133" s="83"/>
      <c r="C133" s="110"/>
      <c r="D133" s="111"/>
      <c r="E133" s="111"/>
      <c r="F133" s="112"/>
      <c r="G133" s="112"/>
      <c r="H133" s="112"/>
      <c r="I133" s="112"/>
      <c r="J133" s="112"/>
      <c r="K133" s="112"/>
      <c r="L133" s="120"/>
      <c r="M133" s="95"/>
      <c r="N133" s="96"/>
      <c r="O133" s="97"/>
    </row>
    <row r="134" spans="1:19" x14ac:dyDescent="0.25">
      <c r="A134" s="82"/>
      <c r="B134" s="83"/>
      <c r="C134" s="110"/>
      <c r="D134" s="111"/>
      <c r="E134" s="111"/>
      <c r="F134" s="112"/>
      <c r="G134" s="112"/>
      <c r="H134" s="112"/>
      <c r="I134" s="112"/>
      <c r="J134" s="112"/>
      <c r="K134" s="112"/>
      <c r="L134" s="120"/>
      <c r="M134" s="95"/>
      <c r="N134" s="96"/>
      <c r="O134" s="97"/>
    </row>
    <row r="135" spans="1:19" ht="15.75" thickBot="1" x14ac:dyDescent="0.3">
      <c r="A135" s="84"/>
      <c r="B135" s="85"/>
      <c r="C135" s="110"/>
      <c r="D135" s="111"/>
      <c r="E135" s="111"/>
      <c r="F135" s="112"/>
      <c r="G135" s="112"/>
      <c r="H135" s="112"/>
      <c r="I135" s="112"/>
      <c r="J135" s="112"/>
      <c r="K135" s="112"/>
      <c r="L135" s="120"/>
      <c r="M135" s="95"/>
      <c r="N135" s="96"/>
      <c r="O135" s="97"/>
    </row>
    <row r="136" spans="1:19" ht="14.45" customHeight="1" x14ac:dyDescent="0.25">
      <c r="A136" s="80" t="s">
        <v>55</v>
      </c>
      <c r="B136" s="81"/>
      <c r="C136" s="110" t="s">
        <v>166</v>
      </c>
      <c r="D136" s="111" t="s">
        <v>265</v>
      </c>
      <c r="E136" s="111"/>
      <c r="F136" s="113" t="s">
        <v>266</v>
      </c>
      <c r="G136" s="113"/>
      <c r="H136" s="113" t="s">
        <v>82</v>
      </c>
      <c r="I136" s="113" t="s">
        <v>266</v>
      </c>
      <c r="J136" s="113"/>
      <c r="K136" s="113" t="s">
        <v>266</v>
      </c>
      <c r="L136" s="113" t="s">
        <v>82</v>
      </c>
      <c r="M136" s="107" t="s">
        <v>267</v>
      </c>
      <c r="N136" s="96" t="s">
        <v>82</v>
      </c>
      <c r="O136" s="97"/>
    </row>
    <row r="137" spans="1:19" x14ac:dyDescent="0.25">
      <c r="A137" s="82"/>
      <c r="B137" s="83"/>
      <c r="C137" s="110"/>
      <c r="D137" s="111"/>
      <c r="E137" s="111"/>
      <c r="F137" s="113"/>
      <c r="G137" s="113"/>
      <c r="H137" s="113"/>
      <c r="I137" s="113"/>
      <c r="J137" s="113"/>
      <c r="K137" s="113"/>
      <c r="L137" s="113"/>
      <c r="M137" s="108"/>
      <c r="N137" s="96"/>
      <c r="O137" s="97"/>
    </row>
    <row r="138" spans="1:19" x14ac:dyDescent="0.25">
      <c r="A138" s="82"/>
      <c r="B138" s="83"/>
      <c r="C138" s="110"/>
      <c r="D138" s="111"/>
      <c r="E138" s="111"/>
      <c r="F138" s="113"/>
      <c r="G138" s="113"/>
      <c r="H138" s="113"/>
      <c r="I138" s="113"/>
      <c r="J138" s="113"/>
      <c r="K138" s="113"/>
      <c r="L138" s="113"/>
      <c r="M138" s="108"/>
      <c r="N138" s="96"/>
      <c r="O138" s="97"/>
    </row>
    <row r="139" spans="1:19" x14ac:dyDescent="0.25">
      <c r="A139" s="82"/>
      <c r="B139" s="83"/>
      <c r="C139" s="110"/>
      <c r="D139" s="111"/>
      <c r="E139" s="111"/>
      <c r="F139" s="113"/>
      <c r="G139" s="113"/>
      <c r="H139" s="113"/>
      <c r="I139" s="113"/>
      <c r="J139" s="113"/>
      <c r="K139" s="113"/>
      <c r="L139" s="113"/>
      <c r="M139" s="108"/>
      <c r="N139" s="96"/>
      <c r="O139" s="97"/>
    </row>
    <row r="140" spans="1:19" x14ac:dyDescent="0.25">
      <c r="A140" s="82"/>
      <c r="B140" s="83"/>
      <c r="C140" s="110"/>
      <c r="D140" s="111"/>
      <c r="E140" s="111"/>
      <c r="F140" s="113"/>
      <c r="G140" s="113"/>
      <c r="H140" s="113"/>
      <c r="I140" s="113"/>
      <c r="J140" s="113"/>
      <c r="K140" s="113"/>
      <c r="L140" s="113"/>
      <c r="M140" s="109"/>
      <c r="N140" s="96"/>
      <c r="O140" s="97"/>
    </row>
    <row r="141" spans="1:19" ht="14.45" customHeight="1" x14ac:dyDescent="0.25">
      <c r="A141" s="82"/>
      <c r="B141" s="83"/>
      <c r="C141" s="110" t="s">
        <v>169</v>
      </c>
      <c r="D141" s="111" t="s">
        <v>170</v>
      </c>
      <c r="E141" s="111"/>
      <c r="F141" s="92" t="str">
        <f>IF(AND(N141&gt;0,N122&lt;=10),"Single restroom okay for 10 or less (422.2(2))",IF(AND(N141&gt;0,N141&gt;Q5),W23,IF(AND(N141&gt;0,N141&lt;Q5),W23,IF(Q5&lt;=10,"Single restroom okay for 10 or less (422.2(2))",W23))))</f>
        <v>Single restroom okay for 10 or less (422.2(2))</v>
      </c>
      <c r="G141" s="92" t="str">
        <f>IF(F141="Single restroom okay for 10 or less (422.2(2))","-",Y23)</f>
        <v>-</v>
      </c>
      <c r="H141" s="113" t="s">
        <v>82</v>
      </c>
      <c r="I141" s="92">
        <f>Z23</f>
        <v>0</v>
      </c>
      <c r="J141" s="92" t="str">
        <f>IF(F141="Single restroom okay for 10 or less (422.2(2))","-",AA23)</f>
        <v>-</v>
      </c>
      <c r="K141" s="112">
        <f>AC23</f>
        <v>0</v>
      </c>
      <c r="L141" s="112" t="str">
        <f>IF(AND(OR(N141&gt;0,O141&gt;0),N141+O141&lt;=30),"30 or less Fountain exempt(415.2)",IF(AND(OR(N141&gt;0,O141&gt;0),N141+O141&gt;Q5),AB23,IF(AND(OR(N141&gt;0,O141&gt;0),N141+O141&lt;Q5),AB23,IF(Q5&lt;=30,"30 or less Fountain exempt(415.2)",AB23))))</f>
        <v>30 or less Fountain exempt(415.2)</v>
      </c>
      <c r="M141" s="107" t="s">
        <v>267</v>
      </c>
      <c r="N141" s="245">
        <v>0</v>
      </c>
      <c r="O141" s="168">
        <v>0</v>
      </c>
    </row>
    <row r="142" spans="1:19" x14ac:dyDescent="0.25">
      <c r="A142" s="82"/>
      <c r="B142" s="83"/>
      <c r="C142" s="110"/>
      <c r="D142" s="111"/>
      <c r="E142" s="111"/>
      <c r="F142" s="93"/>
      <c r="G142" s="93"/>
      <c r="H142" s="113"/>
      <c r="I142" s="93"/>
      <c r="J142" s="93"/>
      <c r="K142" s="112"/>
      <c r="L142" s="112"/>
      <c r="M142" s="108"/>
      <c r="N142" s="246"/>
      <c r="O142" s="170"/>
    </row>
    <row r="143" spans="1:19" ht="14.45" customHeight="1" x14ac:dyDescent="0.25">
      <c r="A143" s="82"/>
      <c r="B143" s="83"/>
      <c r="C143" s="110"/>
      <c r="D143" s="111"/>
      <c r="E143" s="111"/>
      <c r="F143" s="93"/>
      <c r="G143" s="93"/>
      <c r="H143" s="113"/>
      <c r="I143" s="93"/>
      <c r="J143" s="93"/>
      <c r="K143" s="112"/>
      <c r="L143" s="112"/>
      <c r="M143" s="108"/>
      <c r="N143" s="246"/>
      <c r="O143" s="170"/>
    </row>
    <row r="144" spans="1:19" x14ac:dyDescent="0.25">
      <c r="A144" s="82"/>
      <c r="B144" s="83"/>
      <c r="C144" s="110"/>
      <c r="D144" s="111"/>
      <c r="E144" s="111"/>
      <c r="F144" s="93"/>
      <c r="G144" s="93"/>
      <c r="H144" s="113"/>
      <c r="I144" s="93"/>
      <c r="J144" s="93"/>
      <c r="K144" s="112"/>
      <c r="L144" s="112"/>
      <c r="M144" s="108"/>
      <c r="N144" s="246"/>
      <c r="O144" s="170"/>
    </row>
    <row r="145" spans="1:15" x14ac:dyDescent="0.25">
      <c r="A145" s="82"/>
      <c r="B145" s="83"/>
      <c r="C145" s="110"/>
      <c r="D145" s="111"/>
      <c r="E145" s="111"/>
      <c r="F145" s="129"/>
      <c r="G145" s="129"/>
      <c r="H145" s="113"/>
      <c r="I145" s="129"/>
      <c r="J145" s="129"/>
      <c r="K145" s="112"/>
      <c r="L145" s="112"/>
      <c r="M145" s="108"/>
      <c r="N145" s="247"/>
      <c r="O145" s="172"/>
    </row>
    <row r="146" spans="1:15" x14ac:dyDescent="0.25">
      <c r="A146" s="82"/>
      <c r="B146" s="83"/>
      <c r="C146" s="110"/>
      <c r="D146" s="111" t="s">
        <v>268</v>
      </c>
      <c r="E146" s="111"/>
      <c r="F146" s="112" t="str">
        <f>IF(AND(OR(N146&gt;0,O146&gt;0),N146+O146&lt;=10),"Single restroom okay for 10 or less (422.2(2))",IF(AND(OR(N146&gt;0,O146&gt;0),N146+O146&gt;Q5),W24,IF(AND(OR(N146&gt;0,O146&gt;0),N146+O146&lt;Q5),W24,IF(Q5&lt;=10,"Single restroom okay for 10 or less (422.2(2))",W24))))</f>
        <v>Single restroom okay for 10 or less (422.2(2))</v>
      </c>
      <c r="G146" s="112" t="str">
        <f>IF(F146="Single restroom okay for 10 or less (422.2(2))","-",Y24)</f>
        <v>-</v>
      </c>
      <c r="H146" s="112" t="s">
        <v>82</v>
      </c>
      <c r="I146" s="112">
        <f>Z24</f>
        <v>0</v>
      </c>
      <c r="J146" s="112" t="str">
        <f>IF(F146="Single restroom okay for 10 or less (422.2(2))","-",AA24)</f>
        <v>-</v>
      </c>
      <c r="K146" s="112" t="s">
        <v>82</v>
      </c>
      <c r="L146" s="112" t="s">
        <v>82</v>
      </c>
      <c r="M146" s="108"/>
      <c r="N146" s="96">
        <v>0</v>
      </c>
      <c r="O146" s="97">
        <f>N146</f>
        <v>0</v>
      </c>
    </row>
    <row r="147" spans="1:15" x14ac:dyDescent="0.25">
      <c r="A147" s="82"/>
      <c r="B147" s="83"/>
      <c r="C147" s="110"/>
      <c r="D147" s="111"/>
      <c r="E147" s="111"/>
      <c r="F147" s="112"/>
      <c r="G147" s="112"/>
      <c r="H147" s="112"/>
      <c r="I147" s="112"/>
      <c r="J147" s="112"/>
      <c r="K147" s="112"/>
      <c r="L147" s="112"/>
      <c r="M147" s="108"/>
      <c r="N147" s="96"/>
      <c r="O147" s="97"/>
    </row>
    <row r="148" spans="1:15" x14ac:dyDescent="0.25">
      <c r="A148" s="82"/>
      <c r="B148" s="83"/>
      <c r="C148" s="110"/>
      <c r="D148" s="111"/>
      <c r="E148" s="111"/>
      <c r="F148" s="112"/>
      <c r="G148" s="112"/>
      <c r="H148" s="112"/>
      <c r="I148" s="112"/>
      <c r="J148" s="112"/>
      <c r="K148" s="112"/>
      <c r="L148" s="112"/>
      <c r="M148" s="108"/>
      <c r="N148" s="96"/>
      <c r="O148" s="97"/>
    </row>
    <row r="149" spans="1:15" x14ac:dyDescent="0.25">
      <c r="A149" s="82"/>
      <c r="B149" s="83"/>
      <c r="C149" s="110"/>
      <c r="D149" s="111"/>
      <c r="E149" s="111"/>
      <c r="F149" s="112"/>
      <c r="G149" s="112"/>
      <c r="H149" s="112"/>
      <c r="I149" s="112"/>
      <c r="J149" s="112"/>
      <c r="K149" s="112"/>
      <c r="L149" s="112"/>
      <c r="M149" s="108"/>
      <c r="N149" s="96"/>
      <c r="O149" s="97"/>
    </row>
    <row r="150" spans="1:15" ht="14.45" customHeight="1" x14ac:dyDescent="0.25">
      <c r="A150" s="82"/>
      <c r="B150" s="83"/>
      <c r="C150" s="110"/>
      <c r="D150" s="111"/>
      <c r="E150" s="111"/>
      <c r="F150" s="112"/>
      <c r="G150" s="112"/>
      <c r="H150" s="112"/>
      <c r="I150" s="112"/>
      <c r="J150" s="112"/>
      <c r="K150" s="112"/>
      <c r="L150" s="112"/>
      <c r="M150" s="109"/>
      <c r="N150" s="96"/>
      <c r="O150" s="97"/>
    </row>
    <row r="151" spans="1:15" ht="14.45" customHeight="1" x14ac:dyDescent="0.25">
      <c r="A151" s="82"/>
      <c r="B151" s="83"/>
      <c r="C151" s="110"/>
      <c r="D151" s="111" t="s">
        <v>171</v>
      </c>
      <c r="E151" s="111"/>
      <c r="F151" s="113" t="s">
        <v>269</v>
      </c>
      <c r="G151" s="113"/>
      <c r="H151" s="113" t="s">
        <v>82</v>
      </c>
      <c r="I151" s="113" t="s">
        <v>269</v>
      </c>
      <c r="J151" s="113"/>
      <c r="K151" s="113" t="s">
        <v>269</v>
      </c>
      <c r="L151" s="113" t="s">
        <v>82</v>
      </c>
      <c r="M151" s="115" t="s">
        <v>270</v>
      </c>
      <c r="N151" s="116" t="s">
        <v>82</v>
      </c>
      <c r="O151" s="117"/>
    </row>
    <row r="152" spans="1:15" x14ac:dyDescent="0.25">
      <c r="A152" s="82"/>
      <c r="B152" s="83"/>
      <c r="C152" s="110"/>
      <c r="D152" s="111"/>
      <c r="E152" s="111"/>
      <c r="F152" s="113"/>
      <c r="G152" s="113"/>
      <c r="H152" s="113"/>
      <c r="I152" s="113"/>
      <c r="J152" s="113"/>
      <c r="K152" s="113"/>
      <c r="L152" s="113"/>
      <c r="M152" s="115"/>
      <c r="N152" s="118"/>
      <c r="O152" s="119"/>
    </row>
    <row r="153" spans="1:15" x14ac:dyDescent="0.25">
      <c r="A153" s="82"/>
      <c r="B153" s="83"/>
      <c r="C153" s="110"/>
      <c r="D153" s="111"/>
      <c r="E153" s="111"/>
      <c r="F153" s="113"/>
      <c r="G153" s="113"/>
      <c r="H153" s="113"/>
      <c r="I153" s="113"/>
      <c r="J153" s="113"/>
      <c r="K153" s="113"/>
      <c r="L153" s="113"/>
      <c r="M153" s="115"/>
      <c r="N153" s="118"/>
      <c r="O153" s="119"/>
    </row>
    <row r="154" spans="1:15" x14ac:dyDescent="0.25">
      <c r="A154" s="82"/>
      <c r="B154" s="83"/>
      <c r="C154" s="110"/>
      <c r="D154" s="111"/>
      <c r="E154" s="111"/>
      <c r="F154" s="113"/>
      <c r="G154" s="113"/>
      <c r="H154" s="113"/>
      <c r="I154" s="113"/>
      <c r="J154" s="113"/>
      <c r="K154" s="113"/>
      <c r="L154" s="113"/>
      <c r="M154" s="115"/>
      <c r="N154" s="118"/>
      <c r="O154" s="119"/>
    </row>
    <row r="155" spans="1:15" x14ac:dyDescent="0.25">
      <c r="A155" s="82"/>
      <c r="B155" s="83"/>
      <c r="C155" s="110"/>
      <c r="D155" s="111"/>
      <c r="E155" s="111"/>
      <c r="F155" s="113"/>
      <c r="G155" s="113"/>
      <c r="H155" s="113"/>
      <c r="I155" s="113"/>
      <c r="J155" s="113"/>
      <c r="K155" s="113"/>
      <c r="L155" s="113"/>
      <c r="M155" s="115"/>
      <c r="N155" s="118"/>
      <c r="O155" s="119"/>
    </row>
    <row r="156" spans="1:15" ht="14.45" customHeight="1" x14ac:dyDescent="0.25">
      <c r="A156" s="82"/>
      <c r="B156" s="83"/>
      <c r="C156" s="110"/>
      <c r="D156" s="111"/>
      <c r="E156" s="111"/>
      <c r="F156" s="113"/>
      <c r="G156" s="113"/>
      <c r="H156" s="113"/>
      <c r="I156" s="113"/>
      <c r="J156" s="113"/>
      <c r="K156" s="113"/>
      <c r="L156" s="113"/>
      <c r="M156" s="115"/>
      <c r="N156" s="118"/>
      <c r="O156" s="119"/>
    </row>
    <row r="157" spans="1:15" x14ac:dyDescent="0.25">
      <c r="A157" s="82"/>
      <c r="B157" s="83"/>
      <c r="C157" s="110"/>
      <c r="D157" s="111"/>
      <c r="E157" s="111"/>
      <c r="F157" s="113"/>
      <c r="G157" s="113"/>
      <c r="H157" s="113"/>
      <c r="I157" s="113"/>
      <c r="J157" s="113"/>
      <c r="K157" s="113"/>
      <c r="L157" s="113"/>
      <c r="M157" s="115"/>
      <c r="N157" s="118"/>
      <c r="O157" s="119"/>
    </row>
    <row r="158" spans="1:15" x14ac:dyDescent="0.25">
      <c r="A158" s="82"/>
      <c r="B158" s="83"/>
      <c r="C158" s="110"/>
      <c r="D158" s="111"/>
      <c r="E158" s="111"/>
      <c r="F158" s="113"/>
      <c r="G158" s="113"/>
      <c r="H158" s="113"/>
      <c r="I158" s="113"/>
      <c r="J158" s="113"/>
      <c r="K158" s="113"/>
      <c r="L158" s="113"/>
      <c r="M158" s="115"/>
      <c r="N158" s="118"/>
      <c r="O158" s="119"/>
    </row>
    <row r="159" spans="1:15" x14ac:dyDescent="0.25">
      <c r="A159" s="82"/>
      <c r="B159" s="83"/>
      <c r="C159" s="110"/>
      <c r="D159" s="111"/>
      <c r="E159" s="111"/>
      <c r="F159" s="113"/>
      <c r="G159" s="113"/>
      <c r="H159" s="113"/>
      <c r="I159" s="113"/>
      <c r="J159" s="113"/>
      <c r="K159" s="113"/>
      <c r="L159" s="113"/>
      <c r="M159" s="115"/>
      <c r="N159" s="118"/>
      <c r="O159" s="119"/>
    </row>
    <row r="160" spans="1:15" x14ac:dyDescent="0.25">
      <c r="A160" s="82"/>
      <c r="B160" s="83"/>
      <c r="C160" s="110"/>
      <c r="D160" s="111"/>
      <c r="E160" s="111"/>
      <c r="F160" s="113"/>
      <c r="G160" s="113"/>
      <c r="H160" s="113"/>
      <c r="I160" s="113"/>
      <c r="J160" s="113"/>
      <c r="K160" s="113"/>
      <c r="L160" s="113"/>
      <c r="M160" s="115"/>
      <c r="N160" s="118"/>
      <c r="O160" s="119"/>
    </row>
    <row r="161" spans="1:15" ht="14.45" customHeight="1" x14ac:dyDescent="0.25">
      <c r="A161" s="82"/>
      <c r="B161" s="83"/>
      <c r="C161" s="110"/>
      <c r="D161" s="111"/>
      <c r="E161" s="111"/>
      <c r="F161" s="113"/>
      <c r="G161" s="113"/>
      <c r="H161" s="113"/>
      <c r="I161" s="113"/>
      <c r="J161" s="113"/>
      <c r="K161" s="113"/>
      <c r="L161" s="113"/>
      <c r="M161" s="115"/>
      <c r="N161" s="118"/>
      <c r="O161" s="119"/>
    </row>
    <row r="162" spans="1:15" ht="14.45" customHeight="1" x14ac:dyDescent="0.25">
      <c r="A162" s="82"/>
      <c r="B162" s="83"/>
      <c r="C162" s="110" t="s">
        <v>174</v>
      </c>
      <c r="D162" s="111" t="s">
        <v>271</v>
      </c>
      <c r="E162" s="111"/>
      <c r="F162" s="92">
        <f>W25</f>
        <v>0</v>
      </c>
      <c r="G162" s="92">
        <f>Y24</f>
        <v>0</v>
      </c>
      <c r="H162" s="113" t="s">
        <v>82</v>
      </c>
      <c r="I162" s="92">
        <f>Z25</f>
        <v>0</v>
      </c>
      <c r="J162" s="92">
        <f>AA25</f>
        <v>0</v>
      </c>
      <c r="K162" s="112">
        <f>AC25</f>
        <v>0</v>
      </c>
      <c r="L162" s="112" t="str">
        <f>IF(AND(OR(N162&gt;0,O162&gt;0),N162+O162&lt;=30),"30 or less Fountain exempt(415.2)",IF(AND(OR(N162&gt;0,O162&gt;0),N162+O162&gt;Q5),AB25,IF(AND(OR(N162&gt;0,O162&gt;0),N162+O162&lt;Q5),AB25,IF(Q5&lt;=30,"30 or less Fountain exempt(415.2)",AB25))))</f>
        <v>30 or less Fountain exempt(415.2)</v>
      </c>
      <c r="M162" s="107" t="s">
        <v>267</v>
      </c>
      <c r="N162" s="245">
        <v>0</v>
      </c>
      <c r="O162" s="248">
        <f>N162</f>
        <v>0</v>
      </c>
    </row>
    <row r="163" spans="1:15" ht="14.45" customHeight="1" x14ac:dyDescent="0.25">
      <c r="A163" s="82"/>
      <c r="B163" s="83"/>
      <c r="C163" s="110"/>
      <c r="D163" s="111"/>
      <c r="E163" s="111"/>
      <c r="F163" s="93"/>
      <c r="G163" s="93"/>
      <c r="H163" s="113"/>
      <c r="I163" s="93"/>
      <c r="J163" s="93"/>
      <c r="K163" s="112"/>
      <c r="L163" s="112"/>
      <c r="M163" s="108"/>
      <c r="N163" s="246"/>
      <c r="O163" s="249"/>
    </row>
    <row r="164" spans="1:15" ht="14.45" customHeight="1" x14ac:dyDescent="0.25">
      <c r="A164" s="82"/>
      <c r="B164" s="83"/>
      <c r="C164" s="110"/>
      <c r="D164" s="111"/>
      <c r="E164" s="111"/>
      <c r="F164" s="93"/>
      <c r="G164" s="93"/>
      <c r="H164" s="113"/>
      <c r="I164" s="93"/>
      <c r="J164" s="93"/>
      <c r="K164" s="112"/>
      <c r="L164" s="112"/>
      <c r="M164" s="108"/>
      <c r="N164" s="246"/>
      <c r="O164" s="249"/>
    </row>
    <row r="165" spans="1:15" x14ac:dyDescent="0.25">
      <c r="A165" s="82"/>
      <c r="B165" s="83"/>
      <c r="C165" s="110"/>
      <c r="D165" s="111"/>
      <c r="E165" s="111"/>
      <c r="F165" s="93"/>
      <c r="G165" s="93"/>
      <c r="H165" s="113"/>
      <c r="I165" s="93"/>
      <c r="J165" s="93"/>
      <c r="K165" s="112"/>
      <c r="L165" s="112"/>
      <c r="M165" s="108"/>
      <c r="N165" s="246"/>
      <c r="O165" s="249"/>
    </row>
    <row r="166" spans="1:15" x14ac:dyDescent="0.25">
      <c r="A166" s="82"/>
      <c r="B166" s="83"/>
      <c r="C166" s="110"/>
      <c r="D166" s="111"/>
      <c r="E166" s="111"/>
      <c r="F166" s="129"/>
      <c r="G166" s="129"/>
      <c r="H166" s="113"/>
      <c r="I166" s="129"/>
      <c r="J166" s="129"/>
      <c r="K166" s="112"/>
      <c r="L166" s="112"/>
      <c r="M166" s="109"/>
      <c r="N166" s="247"/>
      <c r="O166" s="250"/>
    </row>
    <row r="167" spans="1:15" ht="14.45" customHeight="1" x14ac:dyDescent="0.25">
      <c r="A167" s="82"/>
      <c r="B167" s="83"/>
      <c r="C167" s="110"/>
      <c r="D167" s="111" t="s">
        <v>272</v>
      </c>
      <c r="E167" s="111"/>
      <c r="F167" s="113" t="s">
        <v>251</v>
      </c>
      <c r="G167" s="113"/>
      <c r="H167" s="113" t="s">
        <v>82</v>
      </c>
      <c r="I167" s="113" t="s">
        <v>251</v>
      </c>
      <c r="J167" s="113"/>
      <c r="K167" s="113" t="s">
        <v>251</v>
      </c>
      <c r="L167" s="112" t="s">
        <v>82</v>
      </c>
      <c r="M167" s="95" t="s">
        <v>273</v>
      </c>
      <c r="N167" s="96" t="s">
        <v>82</v>
      </c>
      <c r="O167" s="97"/>
    </row>
    <row r="168" spans="1:15" x14ac:dyDescent="0.25">
      <c r="A168" s="82"/>
      <c r="B168" s="83"/>
      <c r="C168" s="110"/>
      <c r="D168" s="111"/>
      <c r="E168" s="111"/>
      <c r="F168" s="113"/>
      <c r="G168" s="113"/>
      <c r="H168" s="113"/>
      <c r="I168" s="113"/>
      <c r="J168" s="113"/>
      <c r="K168" s="113"/>
      <c r="L168" s="112"/>
      <c r="M168" s="95"/>
      <c r="N168" s="96"/>
      <c r="O168" s="97"/>
    </row>
    <row r="169" spans="1:15" x14ac:dyDescent="0.25">
      <c r="A169" s="82"/>
      <c r="B169" s="83"/>
      <c r="C169" s="110"/>
      <c r="D169" s="111"/>
      <c r="E169" s="111"/>
      <c r="F169" s="113"/>
      <c r="G169" s="113"/>
      <c r="H169" s="113"/>
      <c r="I169" s="113"/>
      <c r="J169" s="113"/>
      <c r="K169" s="113"/>
      <c r="L169" s="112"/>
      <c r="M169" s="95"/>
      <c r="N169" s="96"/>
      <c r="O169" s="97"/>
    </row>
    <row r="170" spans="1:15" x14ac:dyDescent="0.25">
      <c r="A170" s="82"/>
      <c r="B170" s="83"/>
      <c r="C170" s="110"/>
      <c r="D170" s="111"/>
      <c r="E170" s="111"/>
      <c r="F170" s="113"/>
      <c r="G170" s="113"/>
      <c r="H170" s="113"/>
      <c r="I170" s="113"/>
      <c r="J170" s="113"/>
      <c r="K170" s="113"/>
      <c r="L170" s="112"/>
      <c r="M170" s="95"/>
      <c r="N170" s="96"/>
      <c r="O170" s="97"/>
    </row>
    <row r="171" spans="1:15" ht="14.45" customHeight="1" x14ac:dyDescent="0.25">
      <c r="A171" s="82"/>
      <c r="B171" s="83"/>
      <c r="C171" s="110"/>
      <c r="D171" s="111"/>
      <c r="E171" s="111"/>
      <c r="F171" s="113"/>
      <c r="G171" s="113"/>
      <c r="H171" s="113"/>
      <c r="I171" s="113"/>
      <c r="J171" s="113"/>
      <c r="K171" s="113"/>
      <c r="L171" s="112"/>
      <c r="M171" s="95"/>
      <c r="N171" s="96"/>
      <c r="O171" s="97"/>
    </row>
    <row r="172" spans="1:15" x14ac:dyDescent="0.25">
      <c r="A172" s="82"/>
      <c r="B172" s="83"/>
      <c r="C172" s="110"/>
      <c r="D172" s="111"/>
      <c r="E172" s="111"/>
      <c r="F172" s="113"/>
      <c r="G172" s="113"/>
      <c r="H172" s="113"/>
      <c r="I172" s="113"/>
      <c r="J172" s="113"/>
      <c r="K172" s="113"/>
      <c r="L172" s="112"/>
      <c r="M172" s="95"/>
      <c r="N172" s="96"/>
      <c r="O172" s="97"/>
    </row>
    <row r="173" spans="1:15" x14ac:dyDescent="0.25">
      <c r="A173" s="82"/>
      <c r="B173" s="83"/>
      <c r="C173" s="110"/>
      <c r="D173" s="111"/>
      <c r="E173" s="111"/>
      <c r="F173" s="113"/>
      <c r="G173" s="113"/>
      <c r="H173" s="113"/>
      <c r="I173" s="113"/>
      <c r="J173" s="113"/>
      <c r="K173" s="113"/>
      <c r="L173" s="112"/>
      <c r="M173" s="95"/>
      <c r="N173" s="96"/>
      <c r="O173" s="97"/>
    </row>
    <row r="174" spans="1:15" x14ac:dyDescent="0.25">
      <c r="A174" s="82"/>
      <c r="B174" s="83"/>
      <c r="C174" s="110"/>
      <c r="D174" s="111"/>
      <c r="E174" s="111"/>
      <c r="F174" s="113"/>
      <c r="G174" s="113"/>
      <c r="H174" s="113"/>
      <c r="I174" s="113"/>
      <c r="J174" s="113"/>
      <c r="K174" s="113"/>
      <c r="L174" s="112"/>
      <c r="M174" s="95"/>
      <c r="N174" s="96"/>
      <c r="O174" s="97"/>
    </row>
    <row r="175" spans="1:15" x14ac:dyDescent="0.25">
      <c r="A175" s="82"/>
      <c r="B175" s="83"/>
      <c r="C175" s="110"/>
      <c r="D175" s="111"/>
      <c r="E175" s="111"/>
      <c r="F175" s="113"/>
      <c r="G175" s="113"/>
      <c r="H175" s="113"/>
      <c r="I175" s="113"/>
      <c r="J175" s="113"/>
      <c r="K175" s="113"/>
      <c r="L175" s="112"/>
      <c r="M175" s="95"/>
      <c r="N175" s="96"/>
      <c r="O175" s="97"/>
    </row>
    <row r="176" spans="1:15" ht="14.45" customHeight="1" x14ac:dyDescent="0.25">
      <c r="A176" s="82"/>
      <c r="B176" s="83"/>
      <c r="C176" s="110"/>
      <c r="D176" s="111"/>
      <c r="E176" s="111"/>
      <c r="F176" s="113"/>
      <c r="G176" s="113"/>
      <c r="H176" s="113"/>
      <c r="I176" s="113"/>
      <c r="J176" s="113"/>
      <c r="K176" s="113"/>
      <c r="L176" s="112"/>
      <c r="M176" s="95"/>
      <c r="N176" s="96"/>
      <c r="O176" s="97"/>
    </row>
    <row r="177" spans="1:15" x14ac:dyDescent="0.25">
      <c r="A177" s="82"/>
      <c r="B177" s="83"/>
      <c r="C177" s="110"/>
      <c r="D177" s="111"/>
      <c r="E177" s="111"/>
      <c r="F177" s="113"/>
      <c r="G177" s="113"/>
      <c r="H177" s="113"/>
      <c r="I177" s="113"/>
      <c r="J177" s="113"/>
      <c r="K177" s="113"/>
      <c r="L177" s="112"/>
      <c r="M177" s="95"/>
      <c r="N177" s="96"/>
      <c r="O177" s="97"/>
    </row>
    <row r="178" spans="1:15" x14ac:dyDescent="0.25">
      <c r="A178" s="82"/>
      <c r="B178" s="83"/>
      <c r="C178" s="159" t="s">
        <v>185</v>
      </c>
      <c r="D178" s="111" t="s">
        <v>274</v>
      </c>
      <c r="E178" s="111"/>
      <c r="F178" s="92">
        <f>W27</f>
        <v>0</v>
      </c>
      <c r="G178" s="92">
        <f>Y27</f>
        <v>0</v>
      </c>
      <c r="H178" s="112" t="s">
        <v>82</v>
      </c>
      <c r="I178" s="92">
        <f>Z27</f>
        <v>0</v>
      </c>
      <c r="J178" s="92">
        <f>AA27</f>
        <v>0</v>
      </c>
      <c r="K178" s="112">
        <f>AC27</f>
        <v>0</v>
      </c>
      <c r="L178" s="112" t="str">
        <f>IF(AND(OR(N178&gt;0,O178&gt;0),N178+O178&lt;=30),"30 or less Fountain exempt(415.2)",IF(AND(OR(N178&gt;0,O178&gt;0),N178+O178&gt;Q5),AB27,IF(AND(OR(N178&gt;0,O178&gt;0),N178+O178&lt;Q5),AB27,IF(Q5&lt;=30,"30 or less Fountain exempt(415.2)",AB27))))</f>
        <v>30 or less Fountain exempt(415.2)</v>
      </c>
      <c r="M178" s="107" t="s">
        <v>267</v>
      </c>
      <c r="N178" s="251">
        <v>0</v>
      </c>
      <c r="O178" s="102">
        <f>N178</f>
        <v>0</v>
      </c>
    </row>
    <row r="179" spans="1:15" x14ac:dyDescent="0.25">
      <c r="A179" s="82"/>
      <c r="B179" s="83"/>
      <c r="C179" s="159"/>
      <c r="D179" s="111"/>
      <c r="E179" s="111"/>
      <c r="F179" s="93"/>
      <c r="G179" s="93"/>
      <c r="H179" s="112"/>
      <c r="I179" s="93"/>
      <c r="J179" s="93"/>
      <c r="K179" s="112"/>
      <c r="L179" s="112"/>
      <c r="M179" s="108"/>
      <c r="N179" s="252"/>
      <c r="O179" s="104"/>
    </row>
    <row r="180" spans="1:15" x14ac:dyDescent="0.25">
      <c r="A180" s="82"/>
      <c r="B180" s="83"/>
      <c r="C180" s="159"/>
      <c r="D180" s="111"/>
      <c r="E180" s="111"/>
      <c r="F180" s="93"/>
      <c r="G180" s="93"/>
      <c r="H180" s="112"/>
      <c r="I180" s="93"/>
      <c r="J180" s="93"/>
      <c r="K180" s="112"/>
      <c r="L180" s="112"/>
      <c r="M180" s="108"/>
      <c r="N180" s="252"/>
      <c r="O180" s="104"/>
    </row>
    <row r="181" spans="1:15" x14ac:dyDescent="0.25">
      <c r="A181" s="82"/>
      <c r="B181" s="83"/>
      <c r="C181" s="159"/>
      <c r="D181" s="111"/>
      <c r="E181" s="111"/>
      <c r="F181" s="93"/>
      <c r="G181" s="93"/>
      <c r="H181" s="112"/>
      <c r="I181" s="93"/>
      <c r="J181" s="93"/>
      <c r="K181" s="112"/>
      <c r="L181" s="112"/>
      <c r="M181" s="108"/>
      <c r="N181" s="252"/>
      <c r="O181" s="104"/>
    </row>
    <row r="182" spans="1:15" ht="15.75" thickBot="1" x14ac:dyDescent="0.3">
      <c r="A182" s="84"/>
      <c r="B182" s="85"/>
      <c r="C182" s="255"/>
      <c r="D182" s="89"/>
      <c r="E182" s="89"/>
      <c r="F182" s="129"/>
      <c r="G182" s="129"/>
      <c r="H182" s="92"/>
      <c r="I182" s="129"/>
      <c r="J182" s="129"/>
      <c r="K182" s="92"/>
      <c r="L182" s="92"/>
      <c r="M182" s="109"/>
      <c r="N182" s="254"/>
      <c r="O182" s="117"/>
    </row>
    <row r="183" spans="1:15" x14ac:dyDescent="0.25">
      <c r="A183" s="80" t="s">
        <v>178</v>
      </c>
      <c r="B183" s="81"/>
      <c r="C183" s="86" t="s">
        <v>179</v>
      </c>
      <c r="D183" s="89" t="s">
        <v>275</v>
      </c>
      <c r="E183" s="89"/>
      <c r="F183" s="92" t="str">
        <f>IF(AND(OR(N183&gt;0,O183&gt;0),N183+O183&lt;=10),"Single restroom okay for 10 or less (422.2(2))",IF(AND(OR(N183&gt;0,O183&gt;0),N183+O183&gt;Q5),W28,IF(AND(OR(N183&gt;0,O183&gt;0),N183+O183&lt;Q5),W28,IF(Q5&lt;=10,"Single restroom okay for 10 or less (422.2(2))",W28))))</f>
        <v>Single restroom okay for 10 or less (422.2(2))</v>
      </c>
      <c r="G183" s="92" t="str">
        <f>IF(F183="Single restroom okay for 10 or less (422.2(2))","-",Y28)</f>
        <v>-</v>
      </c>
      <c r="H183" s="92" t="s">
        <v>82</v>
      </c>
      <c r="I183" s="92">
        <f>-Z28</f>
        <v>0</v>
      </c>
      <c r="J183" s="92" t="str">
        <f>IF(F183="Single restroom okay for 10 or less (422.2(2))","-",AA28)</f>
        <v>-</v>
      </c>
      <c r="K183" s="92" t="s">
        <v>82</v>
      </c>
      <c r="L183" s="92" t="str">
        <f>IF(AND(OR(N183&gt;0,O183&gt;0),N183+O183&lt;=30),"30 or less Fountain exempt(415.2)",IF(AND(OR(N183&gt;0,O183&gt;0),N183+O183&gt;Q5),AB28,IF(AND(OR(N183&gt;0,O183&gt;0),N183+O183&lt;Q5),AB28,IF(Q5&lt;=30,"30 or less Fountain exempt(415.2)",AB28))))</f>
        <v>30 or less Fountain exempt(415.2)</v>
      </c>
      <c r="M183" s="98" t="str">
        <f>IF(AND(OR(N183&gt;0,O183&gt;0),((N183+O183)&lt;=15)),"15 or less Service sink exempt (UPC Table 422.1, footnote 6)",IF(AND(OR(N183&gt;0,O183&gt;0),N183+O183&gt;Q5),"1 service sink",IF(AND(OR(N183&gt;0,O183&gt;0),N183+O183&lt;Q5),"1 service sink",IF(Q5&lt;=15,"15 or less Service sink exempt (UPC Table 422.1, footnote 6)","1 service or laundry sink"))))</f>
        <v>15 or less Service sink exempt (UPC Table 422.1, footnote 6)</v>
      </c>
      <c r="N183" s="251">
        <v>0</v>
      </c>
      <c r="O183" s="102">
        <f>N183</f>
        <v>0</v>
      </c>
    </row>
    <row r="184" spans="1:15" x14ac:dyDescent="0.25">
      <c r="A184" s="82"/>
      <c r="B184" s="83"/>
      <c r="C184" s="87"/>
      <c r="D184" s="90"/>
      <c r="E184" s="90"/>
      <c r="F184" s="93"/>
      <c r="G184" s="93"/>
      <c r="H184" s="93"/>
      <c r="I184" s="93"/>
      <c r="J184" s="93"/>
      <c r="K184" s="93"/>
      <c r="L184" s="93"/>
      <c r="M184" s="99"/>
      <c r="N184" s="252"/>
      <c r="O184" s="104"/>
    </row>
    <row r="185" spans="1:15" x14ac:dyDescent="0.25">
      <c r="A185" s="82"/>
      <c r="B185" s="83"/>
      <c r="C185" s="87"/>
      <c r="D185" s="90"/>
      <c r="E185" s="90"/>
      <c r="F185" s="93"/>
      <c r="G185" s="93"/>
      <c r="H185" s="93"/>
      <c r="I185" s="93"/>
      <c r="J185" s="93"/>
      <c r="K185" s="93"/>
      <c r="L185" s="93"/>
      <c r="M185" s="99"/>
      <c r="N185" s="252"/>
      <c r="O185" s="104"/>
    </row>
    <row r="186" spans="1:15" x14ac:dyDescent="0.25">
      <c r="A186" s="82"/>
      <c r="B186" s="83"/>
      <c r="C186" s="87"/>
      <c r="D186" s="90"/>
      <c r="E186" s="90"/>
      <c r="F186" s="93"/>
      <c r="G186" s="93"/>
      <c r="H186" s="93"/>
      <c r="I186" s="93"/>
      <c r="J186" s="93"/>
      <c r="K186" s="93"/>
      <c r="L186" s="93"/>
      <c r="M186" s="99"/>
      <c r="N186" s="252"/>
      <c r="O186" s="104"/>
    </row>
    <row r="187" spans="1:15" x14ac:dyDescent="0.25">
      <c r="A187" s="82"/>
      <c r="B187" s="83"/>
      <c r="C187" s="87"/>
      <c r="D187" s="90"/>
      <c r="E187" s="90"/>
      <c r="F187" s="93"/>
      <c r="G187" s="93"/>
      <c r="H187" s="93"/>
      <c r="I187" s="93"/>
      <c r="J187" s="93"/>
      <c r="K187" s="93"/>
      <c r="L187" s="93"/>
      <c r="M187" s="99"/>
      <c r="N187" s="252"/>
      <c r="O187" s="104"/>
    </row>
    <row r="188" spans="1:15" x14ac:dyDescent="0.25">
      <c r="A188" s="82"/>
      <c r="B188" s="83"/>
      <c r="C188" s="87"/>
      <c r="D188" s="90"/>
      <c r="E188" s="90"/>
      <c r="F188" s="93"/>
      <c r="G188" s="93"/>
      <c r="H188" s="93"/>
      <c r="I188" s="93"/>
      <c r="J188" s="93"/>
      <c r="K188" s="93"/>
      <c r="L188" s="93"/>
      <c r="M188" s="99"/>
      <c r="N188" s="252"/>
      <c r="O188" s="104"/>
    </row>
    <row r="189" spans="1:15" ht="15.75" thickBot="1" x14ac:dyDescent="0.3">
      <c r="A189" s="84"/>
      <c r="B189" s="85"/>
      <c r="C189" s="88"/>
      <c r="D189" s="91"/>
      <c r="E189" s="91"/>
      <c r="F189" s="94"/>
      <c r="G189" s="94"/>
      <c r="H189" s="94"/>
      <c r="I189" s="94"/>
      <c r="J189" s="94"/>
      <c r="K189" s="94"/>
      <c r="L189" s="94"/>
      <c r="M189" s="100"/>
      <c r="N189" s="253"/>
      <c r="O189" s="106"/>
    </row>
    <row r="198" ht="14.45" customHeight="1" x14ac:dyDescent="0.25"/>
    <row r="205" ht="14.45" customHeight="1" x14ac:dyDescent="0.25"/>
  </sheetData>
  <mergeCells count="300">
    <mergeCell ref="O183:O189"/>
    <mergeCell ref="I183:I189"/>
    <mergeCell ref="J183:J189"/>
    <mergeCell ref="K183:K189"/>
    <mergeCell ref="L183:L189"/>
    <mergeCell ref="M183:M189"/>
    <mergeCell ref="N183:N189"/>
    <mergeCell ref="I178:I182"/>
    <mergeCell ref="A183:B189"/>
    <mergeCell ref="C183:C189"/>
    <mergeCell ref="D183:E189"/>
    <mergeCell ref="F183:F189"/>
    <mergeCell ref="G183:G189"/>
    <mergeCell ref="H183:H189"/>
    <mergeCell ref="M178:M182"/>
    <mergeCell ref="N178:N182"/>
    <mergeCell ref="O178:O182"/>
    <mergeCell ref="C178:C182"/>
    <mergeCell ref="D178:E182"/>
    <mergeCell ref="F178:F182"/>
    <mergeCell ref="G178:G182"/>
    <mergeCell ref="H178:H182"/>
    <mergeCell ref="J178:J182"/>
    <mergeCell ref="K178:K182"/>
    <mergeCell ref="L178:L182"/>
    <mergeCell ref="I151:J161"/>
    <mergeCell ref="K151:K161"/>
    <mergeCell ref="L151:L161"/>
    <mergeCell ref="K167:K177"/>
    <mergeCell ref="L167:L177"/>
    <mergeCell ref="M167:M177"/>
    <mergeCell ref="M151:M161"/>
    <mergeCell ref="N151:O161"/>
    <mergeCell ref="M162:M166"/>
    <mergeCell ref="N162:N166"/>
    <mergeCell ref="O162:O166"/>
    <mergeCell ref="K162:K166"/>
    <mergeCell ref="L162:L166"/>
    <mergeCell ref="N167:O177"/>
    <mergeCell ref="C162:C177"/>
    <mergeCell ref="D162:E166"/>
    <mergeCell ref="F162:F166"/>
    <mergeCell ref="G162:G166"/>
    <mergeCell ref="H162:H166"/>
    <mergeCell ref="I162:I166"/>
    <mergeCell ref="D167:E177"/>
    <mergeCell ref="F167:G177"/>
    <mergeCell ref="H167:H177"/>
    <mergeCell ref="I167:J177"/>
    <mergeCell ref="J162:J166"/>
    <mergeCell ref="I141:I145"/>
    <mergeCell ref="J141:J145"/>
    <mergeCell ref="N136:O140"/>
    <mergeCell ref="C141:C161"/>
    <mergeCell ref="D141:E145"/>
    <mergeCell ref="H141:H145"/>
    <mergeCell ref="K141:K145"/>
    <mergeCell ref="L141:L145"/>
    <mergeCell ref="M141:M150"/>
    <mergeCell ref="N141:N145"/>
    <mergeCell ref="O141:O145"/>
    <mergeCell ref="D146:E150"/>
    <mergeCell ref="F146:F150"/>
    <mergeCell ref="G146:G150"/>
    <mergeCell ref="H146:H150"/>
    <mergeCell ref="I146:I150"/>
    <mergeCell ref="J146:J150"/>
    <mergeCell ref="K146:K150"/>
    <mergeCell ref="L146:L150"/>
    <mergeCell ref="N146:N150"/>
    <mergeCell ref="O146:O150"/>
    <mergeCell ref="D151:E161"/>
    <mergeCell ref="F151:G161"/>
    <mergeCell ref="H151:H161"/>
    <mergeCell ref="A128:B135"/>
    <mergeCell ref="C128:C135"/>
    <mergeCell ref="D128:E135"/>
    <mergeCell ref="F128:F135"/>
    <mergeCell ref="G128:G135"/>
    <mergeCell ref="H128:H135"/>
    <mergeCell ref="O128:O135"/>
    <mergeCell ref="A136:B182"/>
    <mergeCell ref="C136:C140"/>
    <mergeCell ref="D136:E140"/>
    <mergeCell ref="F136:G140"/>
    <mergeCell ref="H136:H140"/>
    <mergeCell ref="I136:J140"/>
    <mergeCell ref="K136:K140"/>
    <mergeCell ref="L136:L140"/>
    <mergeCell ref="M136:M140"/>
    <mergeCell ref="I128:I135"/>
    <mergeCell ref="J128:J135"/>
    <mergeCell ref="K128:K135"/>
    <mergeCell ref="L128:L135"/>
    <mergeCell ref="M128:M135"/>
    <mergeCell ref="N128:N135"/>
    <mergeCell ref="F141:F145"/>
    <mergeCell ref="G141:G145"/>
    <mergeCell ref="K117:K121"/>
    <mergeCell ref="L117:L121"/>
    <mergeCell ref="M117:M121"/>
    <mergeCell ref="N117:N121"/>
    <mergeCell ref="O117:O121"/>
    <mergeCell ref="C122:C127"/>
    <mergeCell ref="D122:E127"/>
    <mergeCell ref="F122:F127"/>
    <mergeCell ref="G122:G127"/>
    <mergeCell ref="H122:H127"/>
    <mergeCell ref="I122:I127"/>
    <mergeCell ref="J122:J127"/>
    <mergeCell ref="K122:K127"/>
    <mergeCell ref="L122:L127"/>
    <mergeCell ref="M122:M127"/>
    <mergeCell ref="N122:N127"/>
    <mergeCell ref="O122:O127"/>
    <mergeCell ref="N103:N109"/>
    <mergeCell ref="O103:O109"/>
    <mergeCell ref="C110:C121"/>
    <mergeCell ref="D110:E112"/>
    <mergeCell ref="F110:G112"/>
    <mergeCell ref="H110:H112"/>
    <mergeCell ref="I110:J112"/>
    <mergeCell ref="K110:K112"/>
    <mergeCell ref="L110:L112"/>
    <mergeCell ref="M110:M112"/>
    <mergeCell ref="N110:O112"/>
    <mergeCell ref="D113:E116"/>
    <mergeCell ref="F113:G116"/>
    <mergeCell ref="H113:H116"/>
    <mergeCell ref="I113:J116"/>
    <mergeCell ref="K113:K116"/>
    <mergeCell ref="L113:L116"/>
    <mergeCell ref="M113:M116"/>
    <mergeCell ref="N113:N116"/>
    <mergeCell ref="O113:O116"/>
    <mergeCell ref="D117:E121"/>
    <mergeCell ref="F117:F121"/>
    <mergeCell ref="G117:G121"/>
    <mergeCell ref="H117:H121"/>
    <mergeCell ref="K103:K109"/>
    <mergeCell ref="L103:L109"/>
    <mergeCell ref="D97:E102"/>
    <mergeCell ref="F97:G102"/>
    <mergeCell ref="H97:H102"/>
    <mergeCell ref="I97:J102"/>
    <mergeCell ref="K97:K102"/>
    <mergeCell ref="L97:L102"/>
    <mergeCell ref="M103:M109"/>
    <mergeCell ref="K80:K89"/>
    <mergeCell ref="L80:L89"/>
    <mergeCell ref="M80:M89"/>
    <mergeCell ref="N80:N89"/>
    <mergeCell ref="O80:O89"/>
    <mergeCell ref="C90:C109"/>
    <mergeCell ref="D90:E96"/>
    <mergeCell ref="F90:G93"/>
    <mergeCell ref="H90:H93"/>
    <mergeCell ref="I90:J93"/>
    <mergeCell ref="K90:K93"/>
    <mergeCell ref="L90:L93"/>
    <mergeCell ref="M90:M96"/>
    <mergeCell ref="N90:O93"/>
    <mergeCell ref="F94:G96"/>
    <mergeCell ref="H94:H96"/>
    <mergeCell ref="I94:J96"/>
    <mergeCell ref="K94:K96"/>
    <mergeCell ref="L94:L96"/>
    <mergeCell ref="N94:O96"/>
    <mergeCell ref="M97:M102"/>
    <mergeCell ref="N97:O102"/>
    <mergeCell ref="D103:E109"/>
    <mergeCell ref="F103:F109"/>
    <mergeCell ref="A80:B127"/>
    <mergeCell ref="C80:C89"/>
    <mergeCell ref="D80:E89"/>
    <mergeCell ref="F80:F89"/>
    <mergeCell ref="G80:G89"/>
    <mergeCell ref="H80:H89"/>
    <mergeCell ref="I80:I89"/>
    <mergeCell ref="J80:J89"/>
    <mergeCell ref="H73:H79"/>
    <mergeCell ref="I73:I79"/>
    <mergeCell ref="J73:J79"/>
    <mergeCell ref="G103:G109"/>
    <mergeCell ref="H103:H109"/>
    <mergeCell ref="I103:I109"/>
    <mergeCell ref="J103:J109"/>
    <mergeCell ref="I117:I121"/>
    <mergeCell ref="J117:J121"/>
    <mergeCell ref="M67:M72"/>
    <mergeCell ref="N67:N72"/>
    <mergeCell ref="O67:O72"/>
    <mergeCell ref="A73:B79"/>
    <mergeCell ref="C73:C79"/>
    <mergeCell ref="D73:E79"/>
    <mergeCell ref="F73:F79"/>
    <mergeCell ref="G73:G79"/>
    <mergeCell ref="N73:N79"/>
    <mergeCell ref="O73:O79"/>
    <mergeCell ref="K73:K79"/>
    <mergeCell ref="L73:L79"/>
    <mergeCell ref="M73:M79"/>
    <mergeCell ref="A45:B66"/>
    <mergeCell ref="C45:C66"/>
    <mergeCell ref="D45:E66"/>
    <mergeCell ref="F45:F66"/>
    <mergeCell ref="G45:G66"/>
    <mergeCell ref="A3:B44"/>
    <mergeCell ref="N45:N66"/>
    <mergeCell ref="O45:O66"/>
    <mergeCell ref="A67:B72"/>
    <mergeCell ref="C67:C72"/>
    <mergeCell ref="D67:E72"/>
    <mergeCell ref="F67:F72"/>
    <mergeCell ref="G67:G72"/>
    <mergeCell ref="H67:H72"/>
    <mergeCell ref="I67:I72"/>
    <mergeCell ref="J67:J72"/>
    <mergeCell ref="H45:H66"/>
    <mergeCell ref="I45:I66"/>
    <mergeCell ref="J45:J66"/>
    <mergeCell ref="K45:K66"/>
    <mergeCell ref="L45:L66"/>
    <mergeCell ref="M45:M66"/>
    <mergeCell ref="K67:K72"/>
    <mergeCell ref="L67:L72"/>
    <mergeCell ref="N28:N37"/>
    <mergeCell ref="O28:O37"/>
    <mergeCell ref="C38:C44"/>
    <mergeCell ref="D38:E44"/>
    <mergeCell ref="F38:F44"/>
    <mergeCell ref="G38:G44"/>
    <mergeCell ref="H38:H44"/>
    <mergeCell ref="I38:I44"/>
    <mergeCell ref="J38:J44"/>
    <mergeCell ref="K38:K44"/>
    <mergeCell ref="L38:L44"/>
    <mergeCell ref="M38:M44"/>
    <mergeCell ref="N38:N44"/>
    <mergeCell ref="O38:O44"/>
    <mergeCell ref="N10:N15"/>
    <mergeCell ref="O10:O15"/>
    <mergeCell ref="C16:C27"/>
    <mergeCell ref="D16:E27"/>
    <mergeCell ref="F16:F27"/>
    <mergeCell ref="G16:G27"/>
    <mergeCell ref="H16:H27"/>
    <mergeCell ref="O16:O27"/>
    <mergeCell ref="C28:C37"/>
    <mergeCell ref="D28:E37"/>
    <mergeCell ref="F28:F37"/>
    <mergeCell ref="G28:G37"/>
    <mergeCell ref="H28:H37"/>
    <mergeCell ref="I28:I37"/>
    <mergeCell ref="J28:J37"/>
    <mergeCell ref="K28:K37"/>
    <mergeCell ref="L28:L37"/>
    <mergeCell ref="I16:I27"/>
    <mergeCell ref="J16:J27"/>
    <mergeCell ref="K16:K27"/>
    <mergeCell ref="L16:L27"/>
    <mergeCell ref="M16:M27"/>
    <mergeCell ref="N16:N27"/>
    <mergeCell ref="M28:M37"/>
    <mergeCell ref="O3:O9"/>
    <mergeCell ref="Q3:R4"/>
    <mergeCell ref="Q5:R5"/>
    <mergeCell ref="C10:C15"/>
    <mergeCell ref="D10:E15"/>
    <mergeCell ref="F10:F15"/>
    <mergeCell ref="G10:G15"/>
    <mergeCell ref="H10:H15"/>
    <mergeCell ref="I10:I15"/>
    <mergeCell ref="J10:J15"/>
    <mergeCell ref="I3:I9"/>
    <mergeCell ref="J3:J9"/>
    <mergeCell ref="K3:K9"/>
    <mergeCell ref="L3:L9"/>
    <mergeCell ref="M3:M9"/>
    <mergeCell ref="N3:N9"/>
    <mergeCell ref="C3:C9"/>
    <mergeCell ref="D3:E9"/>
    <mergeCell ref="F3:F9"/>
    <mergeCell ref="G3:G9"/>
    <mergeCell ref="H3:H9"/>
    <mergeCell ref="K10:K15"/>
    <mergeCell ref="L10:L15"/>
    <mergeCell ref="M10:M15"/>
    <mergeCell ref="K1:K2"/>
    <mergeCell ref="L1:L2"/>
    <mergeCell ref="M1:M2"/>
    <mergeCell ref="N1:O1"/>
    <mergeCell ref="W1:Y1"/>
    <mergeCell ref="Z1:AA1"/>
    <mergeCell ref="A1:B2"/>
    <mergeCell ref="C1:C2"/>
    <mergeCell ref="D1:E2"/>
    <mergeCell ref="F1:G1"/>
    <mergeCell ref="H1:H2"/>
    <mergeCell ref="I1:J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00FB3-9F2E-4FDD-97D0-D1195E49D017}">
  <dimension ref="A1:AB173"/>
  <sheetViews>
    <sheetView zoomScale="85" zoomScaleNormal="85" workbookViewId="0">
      <pane xSplit="15" ySplit="2" topLeftCell="P3" activePane="bottomRight" state="frozen"/>
      <selection pane="topRight" activeCell="Q5" sqref="Q5:R5"/>
      <selection pane="bottomLeft" activeCell="Q5" sqref="Q5:R5"/>
      <selection pane="bottomRight" activeCell="I3" sqref="I3:I9"/>
    </sheetView>
  </sheetViews>
  <sheetFormatPr defaultRowHeight="15" x14ac:dyDescent="0.25"/>
  <cols>
    <col min="1" max="1" width="7.28515625" customWidth="1"/>
    <col min="2" max="2" width="7.140625" customWidth="1"/>
    <col min="3" max="3" width="11" customWidth="1"/>
    <col min="4" max="5" width="9.7109375" customWidth="1"/>
    <col min="6" max="7" width="10.7109375" customWidth="1"/>
    <col min="8" max="8" width="14.7109375" customWidth="1"/>
    <col min="9" max="10" width="10.7109375" customWidth="1"/>
    <col min="11" max="11" width="12.7109375" customWidth="1"/>
    <col min="12" max="13" width="15.7109375" customWidth="1"/>
    <col min="16" max="18" width="10.7109375" customWidth="1"/>
    <col min="19" max="19" width="13.5703125" customWidth="1"/>
    <col min="21" max="28" width="8.85546875" hidden="1" customWidth="1"/>
  </cols>
  <sheetData>
    <row r="1" spans="1:28" ht="31.9" customHeight="1" thickBot="1" x14ac:dyDescent="0.3">
      <c r="A1" s="134" t="s">
        <v>60</v>
      </c>
      <c r="B1" s="135"/>
      <c r="C1" s="138" t="s">
        <v>61</v>
      </c>
      <c r="D1" s="134" t="s">
        <v>62</v>
      </c>
      <c r="E1" s="135"/>
      <c r="F1" s="146" t="s">
        <v>63</v>
      </c>
      <c r="G1" s="147"/>
      <c r="H1" s="148" t="s">
        <v>64</v>
      </c>
      <c r="I1" s="150" t="s">
        <v>65</v>
      </c>
      <c r="J1" s="151"/>
      <c r="K1" s="161" t="s">
        <v>66</v>
      </c>
      <c r="L1" s="148" t="s">
        <v>67</v>
      </c>
      <c r="M1" s="163" t="s">
        <v>68</v>
      </c>
      <c r="N1" s="165" t="s">
        <v>69</v>
      </c>
      <c r="O1" s="166"/>
      <c r="P1" s="13"/>
      <c r="W1" s="133" t="s">
        <v>276</v>
      </c>
      <c r="X1" s="244"/>
      <c r="Y1" s="133" t="s">
        <v>277</v>
      </c>
      <c r="Z1" s="244"/>
      <c r="AA1" s="26" t="s">
        <v>278</v>
      </c>
      <c r="AB1" s="26" t="s">
        <v>238</v>
      </c>
    </row>
    <row r="2" spans="1:28" ht="15.75" thickBot="1" x14ac:dyDescent="0.3">
      <c r="A2" s="136"/>
      <c r="B2" s="137"/>
      <c r="C2" s="139"/>
      <c r="D2" s="136"/>
      <c r="E2" s="137"/>
      <c r="F2" s="8" t="s">
        <v>74</v>
      </c>
      <c r="G2" s="9" t="s">
        <v>75</v>
      </c>
      <c r="H2" s="149"/>
      <c r="I2" s="9" t="s">
        <v>74</v>
      </c>
      <c r="J2" s="10" t="s">
        <v>75</v>
      </c>
      <c r="K2" s="162"/>
      <c r="L2" s="149"/>
      <c r="M2" s="164"/>
      <c r="N2" s="12" t="s">
        <v>74</v>
      </c>
      <c r="O2" s="12" t="s">
        <v>75</v>
      </c>
      <c r="P2" s="13"/>
      <c r="W2" s="6" t="s">
        <v>279</v>
      </c>
      <c r="X2" s="6" t="s">
        <v>279</v>
      </c>
      <c r="Y2" s="6" t="s">
        <v>279</v>
      </c>
      <c r="Z2" s="6" t="s">
        <v>279</v>
      </c>
      <c r="AA2" s="6" t="s">
        <v>279</v>
      </c>
      <c r="AB2" s="6" t="s">
        <v>279</v>
      </c>
    </row>
    <row r="3" spans="1:28" x14ac:dyDescent="0.25">
      <c r="A3" s="80" t="s">
        <v>78</v>
      </c>
      <c r="B3" s="81"/>
      <c r="C3" s="158" t="s">
        <v>79</v>
      </c>
      <c r="D3" s="160" t="s">
        <v>280</v>
      </c>
      <c r="E3" s="160"/>
      <c r="F3" s="152" t="str">
        <f>IF(AND(OR(N3&gt;0,O3&gt;0),N3+O3&lt;=15),"Single restroom okay for 15 or less (7.21.4(2))",IF(AND(OR(N3&gt;0,O3&gt;0),N3+O3&gt;Q5),W4,IF(AND(OR(N3&gt;0,O3&gt;0),N3+O3&lt;Q5),W4,IF(Q5&lt;=15,"Single restroom okay for 15 or less (7.21.4(2))",W4))))</f>
        <v>Single restroom okay for 15 or less (7.21.4(2))</v>
      </c>
      <c r="G3" s="152" t="str">
        <f>IF(F3="Single restroom okay for 15 or less (7.21.4(2))","-",X4)</f>
        <v>-</v>
      </c>
      <c r="H3" s="152" t="s">
        <v>281</v>
      </c>
      <c r="I3" s="152">
        <f>Y4</f>
        <v>0</v>
      </c>
      <c r="J3" s="152" t="str">
        <f>IF(F3="Single restroom okay for 15 or less (7.21.4(2))","-",Z4)</f>
        <v>-</v>
      </c>
      <c r="K3" s="152" t="s">
        <v>82</v>
      </c>
      <c r="L3" s="152">
        <f>AA4</f>
        <v>0</v>
      </c>
      <c r="M3" s="153" t="s">
        <v>224</v>
      </c>
      <c r="N3" s="154">
        <v>0</v>
      </c>
      <c r="O3" s="156">
        <f>N3</f>
        <v>0</v>
      </c>
      <c r="P3" s="13"/>
      <c r="Q3" s="140" t="s">
        <v>84</v>
      </c>
      <c r="R3" s="141"/>
      <c r="V3" s="2"/>
      <c r="W3" s="6" t="s">
        <v>85</v>
      </c>
      <c r="X3" s="29" t="s">
        <v>86</v>
      </c>
      <c r="Y3" s="6" t="s">
        <v>85</v>
      </c>
      <c r="Z3" s="29" t="s">
        <v>86</v>
      </c>
      <c r="AA3" s="28" t="s">
        <v>72</v>
      </c>
      <c r="AB3" s="28" t="s">
        <v>73</v>
      </c>
    </row>
    <row r="4" spans="1:28" ht="15.75" thickBot="1" x14ac:dyDescent="0.3">
      <c r="A4" s="82"/>
      <c r="B4" s="83"/>
      <c r="C4" s="159"/>
      <c r="D4" s="111"/>
      <c r="E4" s="111"/>
      <c r="F4" s="112"/>
      <c r="G4" s="112"/>
      <c r="H4" s="112"/>
      <c r="I4" s="112"/>
      <c r="J4" s="112"/>
      <c r="K4" s="112"/>
      <c r="L4" s="112"/>
      <c r="M4" s="114"/>
      <c r="N4" s="155"/>
      <c r="O4" s="157"/>
      <c r="P4" s="13"/>
      <c r="Q4" s="142"/>
      <c r="R4" s="143"/>
      <c r="U4" s="5" t="s">
        <v>87</v>
      </c>
      <c r="V4" t="s">
        <v>88</v>
      </c>
      <c r="W4" s="1">
        <f>IF(AND(N3&gt;0,N3&lt;=100),2,IF(AND(N3&gt;100,N3&lt;=200),3,IF(AND(N3&gt;200,N3&lt;=300),4,IF(N3&gt;300,(ROUNDUP(N3/300,0))+3,IF(AND(Q8&gt;0,Q8&lt;=100),2,IF(AND(Q8&gt;100,Q8&lt;=200),3,IF(AND(Q8&gt;200,Q8&lt;=300),4,IF(Q8&gt;300,(ROUNDUP(Q8/300,0))+3,0))))))))</f>
        <v>0</v>
      </c>
      <c r="X4" s="31">
        <f>IF(AND(O3&gt;0,O3&lt;=100),2,IF(AND(O3&gt;100,O3&lt;=200),3,IF(AND(O3&gt;200,O3&lt;=300),5,IF(AND(O3&gt;300,O3&lt;=600),7,IF(AND(O3&gt;600,O3&lt;=900),9,IF(AND(O3&gt;900,O3&lt;=1200),11,IF(AND(O3&gt;1200,O3&lt;=1500),13,IF(AND(O3&gt;1500,O3&lt;=1800),15,IF(AND(O3&gt;1800,O3&lt;=2100),17,IF(AND(O3&gt;2100,O3&lt;=2400),19,IF(AND(O3&gt;2400,O3&lt;=2700),21,IF(AND(O3&gt;2700,O3&lt;=3000),23,IF(AND(O3&gt;3000,O3&lt;=3300),25,IF(AND(O3&gt;3300,O3&lt;=3600),27,IF(AND(O3&gt;3600,O3&lt;=3900),29,IF(AND(O3&gt;3900,O3&lt;=4200),31,IF(AND(O3&gt;4200,O3&lt;=4500),33,IF(AND(O3&gt;4500,O3&lt;=4800),35,IF(AND(O3&gt;4800,O3&lt;=5100),37,IF(AND(O3&gt;5100,O3&lt;=5400),37,IF(AND(O3&gt;5400,O3&lt;=5700),39,IF(AND(O3&gt;5700,O3&lt;=6000),41,IF(AND(O3&gt;60000,O3&lt;=6300),43,IF(AND(O3&gt;6300,O3&lt;=6600),45,IF(AND(O3&gt;6600,O3&lt;=6900),47,IF(AND(O3&gt;6900,O3&lt;=7200),49,IF(AND(O3&gt;7200,O3&lt;=7500),51,IF(AND(O3&gt;7500,O3&lt;=7800),53,IF(AND(O3&gt;7800,O3&lt;=8100),55,IF(AND(R8&gt;0,R8&lt;=100),2,IF(AND(R8&gt;100,R8&lt;=200),3,IF(AND(R8&gt;200,R8&lt;=300),5,IF(AND(R8&gt;300,R8&lt;=600),7,IF(AND(R8&gt;600,R8&lt;=900),9,IF(AND(R8&gt;900,R8&lt;=1200),11,IF(AND(R8&gt;1200,R8&lt;=1500),13,IF(AND(R8&gt;1500,R8&lt;=1800),15,IF(AND(R8&gt;1800,R8&lt;=2100),17,IF(AND(R8&gt;2100,R8&lt;=2400),19,IF(AND(R8&gt;2400,R8&lt;=2700),21,IF(AND(R8&gt;2700,R8&lt;=3000),23,IF(AND(R8&gt;3000,R8&lt;=3300),25,IF(AND(R8&gt;3300,R8&lt;=3600),27,IF(AND(R8&gt;3600,R8&lt;=3900),29,IF(AND(R8&gt;3900,R8&lt;=4200),31,IF(AND(R8&gt;4200,R8&lt;=4500),33,IF(AND(R8&gt;4500,R8&lt;=4800),35,IF(AND(R8&gt;4800,R8&lt;=5100),37,IF(AND(R8&gt;5100,R8&lt;=5400),37,IF(AND(R8&gt;5400,R8&lt;=5700),39,IF(AND(R8&gt;5700,R8&lt;=6000),41,IF(AND(R8&gt;60000,R8&lt;=6300),43,IF(AND(R8&gt;6300,R8&lt;=6600),45,IF(AND(R8&gt;6600,R8&lt;=6900),47,IF(AND(R8&gt;6900,R8&lt;=7200),49,IF(AND(R8&gt;7200,R8&lt;=7500),51,IF(AND(R8&gt;7500,R8&lt;=7800),53,IF(AND(R8&gt;7800,R8&lt;=8100),55,0))))))))))))))))))))))))))))))))))))))))))))))))))))))))))</f>
        <v>0</v>
      </c>
      <c r="Y4" s="1">
        <f>IF(AND(N3&gt;0,N3&lt;=100),1,IF(AND(N3&gt;100,N3&lt;=200),2,IF(AND(N3&gt;200,N3&lt;=300),2,IF(N3&gt;300,(ROUNDUP(N3/300,0)+1),IF(AND(Q8&gt;0,Q8&lt;=100),1,IF(AND(Q8&gt;100,Q8&lt;=200),2,IF(AND(Q8&gt;200,Q8&lt;=300),2,IF(Q8&gt;300,(ROUNDUP(Q8/300,0)+1),0))))))))</f>
        <v>0</v>
      </c>
      <c r="Z4" s="31">
        <f>IF(AND(O3&gt;0,O3&lt;=100),1,IF(AND(O3&gt;100,O3&lt;=200),2,IF(AND(O3&gt;200,O3&lt;=300),3,IF(O3&gt;300,(ROUNDUP(O3/300,0)+2),IF(AND(R8&gt;0,R8&lt;=100),1,IF(AND(R8&gt;100,R8&lt;=200),2,IF(AND(R8&gt;200,R8&lt;=300),3,IF(R8&gt;300,(ROUNDUP(R8/300,0)+2),0))))))))</f>
        <v>0</v>
      </c>
      <c r="AA4" s="36">
        <f>IF(OR(N3&gt;0,O3&gt;0),ROUNDUP((N3+O3)/500,0),ROUNDUP(Q5/500,0))</f>
        <v>0</v>
      </c>
      <c r="AB4" s="36" t="s">
        <v>82</v>
      </c>
    </row>
    <row r="5" spans="1:28" ht="19.5" thickBot="1" x14ac:dyDescent="0.3">
      <c r="A5" s="82"/>
      <c r="B5" s="83"/>
      <c r="C5" s="159"/>
      <c r="D5" s="111"/>
      <c r="E5" s="111"/>
      <c r="F5" s="112"/>
      <c r="G5" s="112"/>
      <c r="H5" s="112"/>
      <c r="I5" s="112"/>
      <c r="J5" s="112"/>
      <c r="K5" s="112"/>
      <c r="L5" s="112"/>
      <c r="M5" s="114"/>
      <c r="N5" s="155"/>
      <c r="O5" s="157"/>
      <c r="P5" s="13"/>
      <c r="Q5" s="144">
        <f>'Occupant Calculator'!D34</f>
        <v>0</v>
      </c>
      <c r="R5" s="145"/>
      <c r="U5" s="5" t="s">
        <v>89</v>
      </c>
      <c r="V5" t="s">
        <v>90</v>
      </c>
      <c r="W5" s="1">
        <f>IF(AND(N10&gt;0,N10&lt;=25),1,IF(AND(N10&gt;25,N10&lt;=50),2,IF(AND(N10&gt;50,N10&lt;=100),3,IF(N10&gt;100,(ROUNDUP((N10-100)/200,0))+3,IF(AND(Q8&gt;0,Q8&lt;=25),1,IF(AND(Q8&gt;25,Q8&lt;=50),2,IF(AND(Q8&gt;50,Q8&lt;=100),3,IF(Q8&gt;100,(ROUNDUP((Q8-100)/200,0))+3,0))))))))</f>
        <v>0</v>
      </c>
      <c r="X5" s="31">
        <f>IF(AND(O10&gt;0,O10&lt;=25),1,IF(AND(O10&gt;25,O10&lt;=50),2,IF(AND(O10&gt;50,O10&lt;=100),3,IF(O10&gt;100,(ROUNDUP((O10-100)/200,0))+3,IF(AND(R8&gt;0,R8&lt;=25),1,IF(AND(R8&gt;25,R8&lt;=50),2,IF(AND(R8&gt;50,R8&lt;=100),3,IF(R8&gt;100,(ROUNDUP((R8-100)/200,0))+3,0))))))))</f>
        <v>0</v>
      </c>
      <c r="Y5" s="1">
        <f>IF(AND(N10&gt;0,N10&lt;=25),1,IF(AND(N10&gt;25,N10&lt;=50),2,IF(AND(N10&gt;50,N10&lt;=100),3,IF(N10&gt;100,(ROUNDUP((N10-100)/200,0))+3,IF(AND(Q8&gt;0,Q8&lt;=25),1,IF(AND(Q8&gt;25,Q8&lt;=50),2,IF(AND(Q8&gt;50,Q8&lt;=100),3,IF(Q8&gt;100,(ROUNDUP((Q8-100)/200,0))+3,0))))))))</f>
        <v>0</v>
      </c>
      <c r="Z5" s="36">
        <f>IF(AND(O10&gt;0,O10&lt;=25),1,IF(AND(O10&gt;25,O10&lt;=50),2,IF(AND(O10&gt;50,O10&lt;=100),3,IF(O10&gt;100,(ROUNDUP((O10-100)/200,0))+3,IF(AND(R8&gt;0,R8&lt;=25),1,IF(AND(R8&gt;25,R8&lt;=50),2,IF(AND(R8&gt;50,R8&lt;=100),3,IF(R8&gt;100,(ROUNDUP((R8-100)/200,0))+3,0))))))))</f>
        <v>0</v>
      </c>
      <c r="AA5" s="36">
        <f>IF(OR(N10&gt;0,O10&gt;0),ROUNDUP((N10+O10)/250,0),ROUNDUP(Q5/250,0))</f>
        <v>0</v>
      </c>
      <c r="AB5" s="36" t="s">
        <v>82</v>
      </c>
    </row>
    <row r="6" spans="1:28" ht="14.45" customHeight="1" x14ac:dyDescent="0.25">
      <c r="A6" s="82"/>
      <c r="B6" s="83"/>
      <c r="C6" s="159"/>
      <c r="D6" s="111"/>
      <c r="E6" s="111"/>
      <c r="F6" s="112"/>
      <c r="G6" s="112"/>
      <c r="H6" s="112"/>
      <c r="I6" s="112"/>
      <c r="J6" s="112"/>
      <c r="K6" s="112"/>
      <c r="L6" s="112"/>
      <c r="M6" s="114"/>
      <c r="N6" s="155"/>
      <c r="O6" s="157"/>
      <c r="Q6" s="1"/>
      <c r="R6" s="1"/>
      <c r="U6" s="5" t="s">
        <v>91</v>
      </c>
      <c r="V6" t="s">
        <v>90</v>
      </c>
      <c r="W6" s="1">
        <f>IF(AND(N16&gt;0,N16&lt;=50),1,IF(AND(N16&gt;50,N16&lt;=100),2,IF(AND(N16&gt;100,N16&lt;=200),3,IF(AND(N16&gt;200,N16&lt;=300),4,IF(N16&gt;300,(ROUNDUP((N16-300)/200,0))+4,IF(AND(Q8&gt;0,Q8&lt;=50),1,IF(AND(Q8&gt;50,Q8&lt;=100),2,IF(AND(Q8&gt;100,Q8&lt;=200),3,IF(AND(Q8&gt;200,Q8&lt;=300),4,IF(Q8&gt;300,(ROUNDUP((Q8-300)/200,0))+4,0))))))))))</f>
        <v>0</v>
      </c>
      <c r="X6" s="31">
        <f>IF(AND(O16&gt;0,O16&lt;=50),1,IF(AND(O16&gt;50,O16&lt;=100),2,IF(AND(O16&gt;100,O16&lt;=200),3,IF(AND(O16&gt;200,O16&lt;=300),4,IF(O16&gt;300,(ROUNDUP((O16-300)/200,0))+4,IF(AND(R8&gt;0,R8&lt;=50),1,IF(AND(R8&gt;50,R8&lt;=100),2,IF(AND(R8&gt;100,R8&lt;=200),3,IF(AND(R8&gt;200,R8&lt;=300),4,IF(R8&gt;300,(ROUNDUP((R8-300)/200,0))+4,0))))))))))</f>
        <v>0</v>
      </c>
      <c r="Y6" s="1">
        <f>IF(AND(N16&gt;0,N16&lt;=50),1,IF(AND(N16&gt;50,N16&lt;=200),2,IF(AND(N16&gt;200,N16&lt;=300),3,IF(N16&gt;300,(ROUNDUP((N16-300)/200,0))+3,IF(AND(Q8&gt;0,Q8&lt;=50),1,IF(AND(Q8&gt;50,Q8&lt;=200),2,IF(AND(Q8&gt;200,Q8&lt;=300),3,IF(Q8&gt;300,(ROUNDUP((Q8-300)/200,0))+3,0))))))))</f>
        <v>0</v>
      </c>
      <c r="Z6" s="36">
        <f>IF(AND(O16&gt;0,O16&lt;=50),1,IF(AND(O16&gt;50,O16&lt;=200),2,IF(AND(O16&gt;200,O16&lt;=300),3,IF(O16&gt;300,(ROUNDUP((O16-300)/200,0))+3,IF(AND(R8&gt;0,R8&lt;=50),1,IF(AND(R8&gt;50,R8&lt;=200),2,IF(AND(R8&gt;200,R8&lt;=300),3,IF(R8&gt;300,(ROUNDUP((R8-300)/200,0))+3,0))))))))</f>
        <v>0</v>
      </c>
      <c r="AA6" s="36">
        <f>IF(OR(N16&gt;0,O16&gt;0),ROUNDUP((N16+O16)/250,0),ROUNDUP(Q5/250,0))</f>
        <v>0</v>
      </c>
      <c r="AB6" s="36" t="s">
        <v>82</v>
      </c>
    </row>
    <row r="7" spans="1:28" ht="15.75" x14ac:dyDescent="0.25">
      <c r="A7" s="82"/>
      <c r="B7" s="83"/>
      <c r="C7" s="159"/>
      <c r="D7" s="111"/>
      <c r="E7" s="111"/>
      <c r="F7" s="112"/>
      <c r="G7" s="112"/>
      <c r="H7" s="112"/>
      <c r="I7" s="112"/>
      <c r="J7" s="112"/>
      <c r="K7" s="112"/>
      <c r="L7" s="112"/>
      <c r="M7" s="114"/>
      <c r="N7" s="155"/>
      <c r="O7" s="157"/>
      <c r="Q7" s="15" t="s">
        <v>74</v>
      </c>
      <c r="R7" s="15" t="s">
        <v>75</v>
      </c>
      <c r="U7" s="5" t="s">
        <v>282</v>
      </c>
      <c r="V7" t="s">
        <v>93</v>
      </c>
      <c r="W7" s="1">
        <f>IF(AND(N22&gt;0,N22&lt;=50),1,IF(AND(N22&gt;50,N22&lt;=150),2,IF(AND(N22&gt;150,N22&lt;=300),3,IF(N22&gt;300,(ROUNDUP((N22-300)/300,0))+3,IF(AND(Q8&gt;0,Q8&lt;=50),1,IF(AND(Q8&gt;50,Q8&lt;=150),2,IF(AND(Q8&gt;150,Q8&lt;=300),3,IF(Q8&gt;300,(ROUNDUP((Q8-300)/300,0))+3,0))))))))</f>
        <v>0</v>
      </c>
      <c r="X7" s="31">
        <f>IF(AND(O22&gt;0,O22&lt;=50),1,IF(AND(O22&gt;50,O22&lt;=150),2,IF(AND(O22&gt;150,O22&lt;=300),3,IF(O22&gt;300,(ROUNDUP((O22-300)/300,0))+3,IF(AND(R8&gt;0,R8&lt;=50),1,IF(AND(R8&gt;50,R8&lt;=150),2,IF(AND(R8&gt;150,R8&lt;=300),3,IF(R8&gt;300,(ROUNDUP((R8-300)/300,0))+3,0))))))))</f>
        <v>0</v>
      </c>
      <c r="Y7" s="1">
        <f>IF(AND(N22&gt;0,N22&lt;=50),1,IF(AND(N22&gt;50,N22&lt;=150),2,IF(AND(N22&gt;150,N22&lt;=300),3,IF(N22&gt;300,(ROUNDUP((N22-300)/300,0))+3,IF(AND(Q8&gt;0,Q8&lt;=50),1,IF(AND(Q8&gt;50,Q8&lt;=150),2,IF(AND(Q8&gt;150,Q8&lt;=300),3,IF(Q8&gt;300,(ROUNDUP((Q8-300)/300,0))+3,0))))))))</f>
        <v>0</v>
      </c>
      <c r="Z7" s="31">
        <f>IF(AND(O22&gt;0,O22&lt;=50),1,IF(AND(O22&gt;50,O22&lt;=150),2,IF(AND(O22&gt;150,O22&lt;=300),3,IF(O22&gt;300,(ROUNDUP((O22-300)/300,0))+3,IF(AND(R8&gt;0,R8&lt;=50),1,IF(AND(R8&gt;50,R8&lt;=150),2,IF(AND(R8&gt;150,R8&lt;=300),3,IF(R8&gt;300,(ROUNDUP((R8-300)/300,0))+3,0))))))))</f>
        <v>0</v>
      </c>
      <c r="AA7" s="36">
        <f>IF(OR(N22&gt;0,O22&gt;0),ROUNDUP((N22+O22)/500,0),ROUNDUP(Q5/500,0))</f>
        <v>0</v>
      </c>
      <c r="AB7" s="36" t="s">
        <v>82</v>
      </c>
    </row>
    <row r="8" spans="1:28" ht="15.75" x14ac:dyDescent="0.25">
      <c r="A8" s="82"/>
      <c r="B8" s="83"/>
      <c r="C8" s="159"/>
      <c r="D8" s="111"/>
      <c r="E8" s="111"/>
      <c r="F8" s="112"/>
      <c r="G8" s="112"/>
      <c r="H8" s="112"/>
      <c r="I8" s="112"/>
      <c r="J8" s="112"/>
      <c r="K8" s="112"/>
      <c r="L8" s="112"/>
      <c r="M8" s="98"/>
      <c r="N8" s="155"/>
      <c r="O8" s="157"/>
      <c r="Q8" s="16">
        <f>ROUNDUP((Q5/2),1)</f>
        <v>0</v>
      </c>
      <c r="R8" s="16">
        <f>ROUNDUP((Q5/2),1)</f>
        <v>0</v>
      </c>
      <c r="U8" s="5" t="s">
        <v>97</v>
      </c>
      <c r="V8" t="s">
        <v>93</v>
      </c>
      <c r="W8" s="1">
        <f>IF(AND(N32&gt;0,N32&lt;=100),1,IF(AND(N32&gt;100,N32&lt;=250),3,IF(AND(N32&gt;250,N32&lt;=500),5,IF(AND(N32&gt;500,N32&lt;=750),7,IF(AND(N32&gt;750,N32&lt;=1000),9,IF(AND(N32&gt;1000,N32&lt;=1250),11,IF(AND(N32&gt;1250,N32&lt;=1500),13,IF(AND(N32&gt;1500,N32&lt;=1750),15,IF(AND(N32&gt;1750,N32&lt;=2000),17,IF(AND(N32&gt;2000,N32&lt;=2250),19,IF(AND(N32&gt;2250,N32&lt;=2500),21,IF(AND(N32&gt;2500,N32&lt;=2750),23,IF(AND(N32&gt;2750,N32&lt;=3000),25,IF(AND(N32&gt;3000,N32&lt;=3250),27,IF(AND(N32&gt;3250,N32&lt;=3500),29,IF(AND(N32&gt;3500,N32&lt;=3750),31,IF(AND(N32&gt;3750,N32&lt;=4000),33,IF(AND(N32&gt;4250,N32&lt;=4500),35,IF(AND(N32&gt;4500,N32&lt;=4750),37,IF(AND(N32&gt;4750,N32&lt;=5000),39,IF(AND(N32&gt;5000,N32&lt;=5250),41,IF(AND(N32&gt;5250,N32&lt;=5500),43,IF(AND(N32&gt;5500,N32&lt;=5750),45,IF(AND(N32&gt;5750,N32&lt;=6000),47,IF(AND(Q8&gt;0,Q8&lt;=100),1,IF(AND(Q8&gt;100,Q8&lt;=250),3,IF(AND(Q8&gt;250,Q8&lt;=500),5,IF(AND(Q8&gt;500,Q8&lt;=750),7,IF(AND(Q8&gt;750,Q8&lt;=1000),9,IF(AND(Q8&gt;1000,Q8&lt;=1250),11,IF(AND(Q8&gt;1250,Q8&lt;=1500),13,IF(AND(Q8&gt;1500,Q8&lt;=1750),15,IF(AND(Q8&gt;1750,Q8&lt;=2000),17,IF(AND(Q8&gt;2000,Q8&lt;=2250),19,IF(AND(Q8&gt;2250,Q8&lt;=2500),21,IF(AND(Q8&gt;2500,Q8&lt;=2750),23,IF(AND(Q8&gt;2750,Q8&lt;=3000),25,IF(AND(Q8&gt;3000,Q8&lt;=3250),27,IF(AND(Q8&gt;3250,Q8&lt;=3500),29,IF(AND(Q8&gt;3500,Q8&lt;=3750),31,IF(AND(Q8&gt;3750,Q8&lt;=4000),33,IF(AND(Q8&gt;4250,Q8&lt;=4500),35,IF(AND(Q8&gt;4500,Q8&lt;=4750),37,IF(AND(Q8&gt;4750,Q8&lt;=5000),39,IF(AND(Q8&gt;5000,Q8&lt;=5250),41,IF(AND(Q8&gt;5250,Q8&lt;=5500),43,IF(AND(Q8&gt;5500,Q8&lt;=5750),45,IF(AND(Q8&gt;5750,Q8&lt;=6000),47,0))))))))))))))))))))))))))))))))))))))))))))))))</f>
        <v>0</v>
      </c>
      <c r="X8" s="31">
        <f>IF(AND(O32&gt;0,O32&lt;=100),1,IF(AND(O32&gt;100,O32&lt;=250),3,IF(AND(O32&gt;250,O32&lt;=500),5,IF(AND(O32&gt;500,O32&lt;=750),7,IF(AND(O32&gt;750,O32&lt;=1000),9,IF(AND(O32&gt;1000,O32&lt;=1250),11,IF(AND(O32&gt;1250,O32&lt;=1500),13,IF(AND(O32&gt;1500,O32&lt;=1750),15,IF(AND(O32&gt;1750,O32&lt;=2000),17,IF(AND(O32&gt;2000,O32&lt;=2250),19,IF(AND(O32&gt;2250,O32&lt;=2500),21,IF(AND(O32&gt;2500,O32&lt;=2750),23,IF(AND(O32&gt;2750,O32&lt;=3000),25,IF(AND(O32&gt;3000,O32&lt;=3250),27,IF(AND(O32&gt;3250,O32&lt;=3500),29,IF(AND(O32&gt;3500,O32&lt;=3750),31,IF(AND(O32&gt;3750,O32&lt;=4000),33,IF(AND(O32&gt;4250,O32&lt;=4500),35,IF(AND(O32&gt;4500,O32&lt;=4750),37,IF(AND(O32&gt;4750,O32&lt;=5000),39,IF(AND(O32&gt;5000,O32&lt;=5250),41,IF(AND(O32&gt;5250,O32&lt;=5500),43,IF(AND(O32&gt;5500,O32&lt;=5750),45,IF(AND(O32&gt;5750,O32&lt;=6000),47,IF(AND(R8&gt;0,R8&lt;=100),1,IF(AND(R8&gt;100,R8&lt;=250),3,IF(AND(R8&gt;250,R8&lt;=500),5,IF(AND(R8&gt;500,R8&lt;=750),7,IF(AND(R8&gt;750,R8&lt;=1000),9,IF(AND(R8&gt;1000,R8&lt;=1250),11,IF(AND(R8&gt;1250,R8&lt;=1500),13,IF(AND(R8&gt;1500,R8&lt;=1750),15,IF(AND(R8&gt;1750,R8&lt;=2000),17,IF(AND(R8&gt;2000,R8&lt;=2250),19,IF(AND(R8&gt;2250,R8&lt;=2500),21,IF(AND(R8&gt;2500,R8&lt;=2750),23,IF(AND(R8&gt;2750,R8&lt;=3000),25,IF(AND(R8&gt;3000,R8&lt;=3250),27,IF(AND(R8&gt;3250,R8&lt;=3500),29,IF(AND(R8&gt;3500,R8&lt;=3750),31,IF(AND(R8&gt;3750,R8&lt;=4000),33,IF(AND(R8&gt;4250,R8&lt;=4500),35,IF(AND(R8&gt;4500,R8&lt;=4750),37,IF(AND(R8&gt;4750,R8&lt;=5000),39,IF(AND(R8&gt;5000,R8&lt;=5250),41,IF(AND(R8&gt;5250,R8&lt;=5500),43,IF(AND(R8&gt;5500,R8&lt;=5750),45,IF(AND(R8&gt;5750,R8&lt;=6000),47,0))))))))))))))))))))))))))))))))))))))))))))))))</f>
        <v>0</v>
      </c>
      <c r="Y8" s="1">
        <f>IF(AND(N32&gt;0,N32&lt;=100),1,IF(AND(N32&gt;100,N32&lt;=250),2,IF(N32&gt;250,(ROUNDUP((N32-250)/250,0))+2,IF(AND(Q8&gt;0,Q8&lt;=100),1,IF(AND(Q8&gt;100,Q8&lt;=250),2,IF(Q8&gt;250,(ROUNDUP((Q8-250)/250,0))+2,0))))))</f>
        <v>0</v>
      </c>
      <c r="Z8" s="36">
        <f>IF(AND(O32&gt;0,O32&lt;=100),1,IF(AND(O32&gt;100,O32&lt;=250),2,IF(O32&gt;250,(ROUNDUP((O32-250)/250,0))+2,IF(AND(R8&gt;0,R8&lt;=100),1,IF(AND(R8&gt;100,R8&lt;=250),2,IF(R8&gt;250,(ROUNDUP((R8-250)/250,0))+2,0))))))</f>
        <v>0</v>
      </c>
      <c r="AA8" s="36">
        <f>IF(OR(N32&gt;0,O32&gt;0),ROUNDUP((N32+O32)/500,0),ROUNDUP(Q5/500,0))</f>
        <v>0</v>
      </c>
      <c r="AB8" s="36" t="s">
        <v>82</v>
      </c>
    </row>
    <row r="9" spans="1:28" ht="16.149999999999999" customHeight="1" x14ac:dyDescent="0.25">
      <c r="A9" s="82"/>
      <c r="B9" s="83"/>
      <c r="C9" s="159"/>
      <c r="D9" s="111"/>
      <c r="E9" s="111"/>
      <c r="F9" s="112"/>
      <c r="G9" s="112"/>
      <c r="H9" s="112"/>
      <c r="I9" s="112"/>
      <c r="J9" s="112"/>
      <c r="K9" s="112"/>
      <c r="L9" s="112"/>
      <c r="M9" s="98"/>
      <c r="N9" s="155"/>
      <c r="O9" s="157"/>
      <c r="U9" s="5" t="s">
        <v>98</v>
      </c>
      <c r="V9" t="s">
        <v>93</v>
      </c>
      <c r="W9" s="1">
        <f>IF(AND(N38&gt;0,N38&lt;=25),1,IF(AND(N38&gt;25,N38&lt;=150),2,IF(N38&gt;150,(ROUNDUP((N38-150)/150,0))+2,IF(AND(Q8&gt;0,Q8&lt;=25),1,IF(AND(Q8&gt;25,Q8&lt;=150),2,IF(Q8&gt;150,(ROUNDUP((Q8-150)/150,0))+2,0))))))</f>
        <v>0</v>
      </c>
      <c r="X9" s="31">
        <f>IF(AND(O38&gt;0,O38&lt;=25),1,IF(AND(O38&gt;25,O38&lt;=150),2,IF(O38&gt;150,(ROUNDUP((O38-150)/150,0))+2,IF(AND(R8&gt;0,R8&lt;=25),1,IF(AND(R8&gt;25,R8&lt;=150),2,IF(R8&gt;150,(ROUNDUP((R8-150)/150,0))+2,0))))))</f>
        <v>0</v>
      </c>
      <c r="Y9" s="1">
        <f>IF(AND(N38&gt;0,N38&lt;=25),1,IF(AND(N38&gt;25,N38&lt;=150),2,IF(N38&gt;150,(ROUNDUP((N38-150)/150,0))+2,IF(AND(Q8&gt;0,Q8&lt;=25),1,IF(AND(Q8&gt;25,Q8&lt;=150),2,IF(Q8&gt;150,(ROUNDUP((Q8-150)/150,0))+2,0))))))</f>
        <v>0</v>
      </c>
      <c r="Z9" s="36">
        <f>IF(AND(O38&gt;0,O38&lt;=25),1,IF(AND(O38&gt;25,O38&lt;=150),2,IF(O38&gt;150,(ROUNDUP((O38-150)/150,0))+2,IF(AND(R8&gt;0,R8&lt;=25),1,IF(AND(R8&gt;25,R8&lt;=150),2,IF(R8&gt;150,(ROUNDUP((R8-150)/150,0))+2,0))))))</f>
        <v>0</v>
      </c>
      <c r="AA9" s="36">
        <f>IF(OR(N38&gt;0,O38&gt;0),ROUNDUP((N38+O38)/500,0),ROUNDUP(Q5/500,0))</f>
        <v>0</v>
      </c>
      <c r="AB9" s="36" t="s">
        <v>82</v>
      </c>
    </row>
    <row r="10" spans="1:28" ht="14.45" customHeight="1" x14ac:dyDescent="0.25">
      <c r="A10" s="82"/>
      <c r="B10" s="83"/>
      <c r="C10" s="110" t="s">
        <v>95</v>
      </c>
      <c r="D10" s="111" t="s">
        <v>283</v>
      </c>
      <c r="E10" s="111"/>
      <c r="F10" s="112" t="str">
        <f>IF(AND(OR(N10&gt;0,O10&gt;0),N10+O10&lt;=15),"Single restroom okay for 15 or less (7.21.4(2))",IF(AND(OR(N10&gt;0,O10&gt;0),N10+O10&gt;Q5),W5,IF(Q5&lt;=15,"Single restroom okay for 15 or less (7.21.4(2))",W5)))</f>
        <v>Single restroom okay for 15 or less (7.21.4(2))</v>
      </c>
      <c r="G10" s="112" t="str">
        <f>IF(F10="Single restroom okay for 15 or less (7.21.4(2))","-",X5)</f>
        <v>-</v>
      </c>
      <c r="H10" s="112" t="s">
        <v>281</v>
      </c>
      <c r="I10" s="112">
        <f>Y5</f>
        <v>0</v>
      </c>
      <c r="J10" s="112" t="str">
        <f>IF(F10="Single restroom okay for 15 or less (7.21.4(2))","-",Z5)</f>
        <v>-</v>
      </c>
      <c r="K10" s="112" t="s">
        <v>82</v>
      </c>
      <c r="L10" s="112">
        <f>AA5</f>
        <v>0</v>
      </c>
      <c r="M10" s="114" t="s">
        <v>224</v>
      </c>
      <c r="N10" s="118">
        <v>0</v>
      </c>
      <c r="O10" s="119">
        <f>N10</f>
        <v>0</v>
      </c>
      <c r="U10" s="5" t="s">
        <v>284</v>
      </c>
      <c r="V10" t="s">
        <v>93</v>
      </c>
      <c r="W10" s="1">
        <f>IF(AND(N44&gt;0,N44&lt;=50),1,IF(AND(N44&gt;50,N44&lt;=100),2,IF(AND(N44&gt;100,N44&lt;=200),3,IF(AND(N44&gt;200,N44&lt;=400),5,IF(AND(N44&gt;400,N44&lt;=600),7,IF(AND(N44&gt;600,N44&lt;=800),9,IF(AND(N44&gt;800,N44&lt;=1000),11,IF(AND(N44&gt;1000,N44&lt;=1200),13,IF(AND(N44&gt;1200,N44&lt;=1400),15,IF(AND(N44&gt;1400,N44&lt;=1600),17,IF(AND(N44&gt;1600,N44&lt;=1800),19,IF(AND(N44&gt;1800,N44&lt;=2000),21,IF(AND(N44&gt;2000,N44&lt;=2200),23,IF(AND(N44&gt;2200,N44&lt;=2400),25,IF(AND(N44&gt;2400,N44&lt;=2600),27,IF(AND(N44&gt;2600,N44&lt;=2800),29,IF(AND(N44&gt;2800,N44&lt;=3000),31,IF(AND(N44&gt;3000,N44&lt;=3200),33,IF(AND(N44&gt;3200,N44&lt;=3400),35,IF(AND(N44&gt;3400,N44&lt;=3600),37,IF(AND(N44&gt;3600,N44&lt;=3800),39,IF(AND(N44&gt;3800,N44&lt;=4000),41,IF(AND(N44&gt;4000,N44&lt;=4200),43,IF(AND(N44&gt;4200,N44&lt;=4400),45,IF(AND(N44&gt;4400,N44&lt;=4600),47,IF(AND(N44&gt;4200,N44&lt;=4400),495,IF(AND(N44&gt;4400,N44&lt;=4600),51,IF(AND(N44&gt;4600,N44&lt;=4800),53,IF(AND(N44&gt;4800,N44&lt;=5000),55,IF(AND(Q8&gt;0,Q8&lt;=50),1,IF(AND(Q8&gt;50,Q8&lt;=100),2,IF(AND(Q8&gt;100,Q8&lt;=200),3,IF(AND(Q8&gt;200,Q8&lt;=400),5,IF(AND(Q8&gt;400,Q8&lt;=600),7,IF(AND(Q8&gt;600,Q8&lt;=800),9,IF(AND(Q8&gt;800,Q8&lt;=1000),11,IF(AND(Q8&gt;1000,Q8&lt;=1200),13,IF(AND(Q8&gt;1200,Q8&lt;=1400),15,IF(AND(Q8&gt;1400,Q8&lt;=1600),17,IF(AND(Q8&gt;1600,Q8&lt;=1800),19,IF(AND(Q8&gt;1800,Q8&lt;=2000),21,IF(AND(Q8&gt;2000,Q8&lt;=2200),23,IF(AND(Q8&gt;2200,Q8&lt;=2400),25,IF(AND(Q8&gt;2400,Q8&lt;=2600),27,IF(AND(Q8&gt;2600,Q8&lt;=2800),29,IF(AND(Q8&gt;2800,Q8&lt;=3000),31,IF(AND(Q8&gt;3000,Q8&lt;=3200),33,IF(AND(Q8&gt;3200,Q8&lt;=3400),35,IF(AND(Q8&gt;3400,Q8&lt;=3600),37,IF(AND(Q8&gt;3600,Q8&lt;=3800),39,IF(AND(Q8&gt;3800,Q8&lt;=4000),41,IF(AND(Q8&gt;4000,Q8&lt;=4200),43,IF(AND(Q8&gt;4200,Q8&lt;=4400),45,IF(AND(Q8&gt;4400,Q8&lt;=4600),47,IF(AND(Q8&gt;4200,Q8&lt;=4400),495,IF(AND(Q8&gt;4400,Q8&lt;=4600),51,IF(AND(Q8&gt;4600,Q8&lt;=4800),53,IF(AND(Q8&gt;4800,Q8&lt;=5000),55,0))))))))))))))))))))))))))))))))))))))))))))))))))))))))))</f>
        <v>0</v>
      </c>
      <c r="X10" s="31">
        <f>IF(AND(O44&gt;0,O44&lt;=50),1,IF(AND(O44&gt;50,O44&lt;=100),2,IF(AND(O44&gt;100,O44&lt;=200),3,IF(AND(O44&gt;200,O44&lt;=400),5,IF(AND(O44&gt;400,O44&lt;=600),7,IF(AND(O44&gt;600,O44&lt;=800),9,IF(AND(O44&gt;800,O44&lt;=1000),11,IF(AND(O44&gt;1000,O44&lt;=1200),13,IF(AND(O44&gt;1200,O44&lt;=1400),15,IF(AND(O44&gt;1400,O44&lt;=1600),17,IF(AND(O44&gt;1600,O44&lt;=1800),19,IF(AND(O44&gt;1800,O44&lt;=2000),21,IF(AND(O44&gt;2000,O44&lt;=2200),23,IF(AND(O44&gt;2200,O44&lt;=2400),25,IF(AND(O44&gt;2400,O44&lt;=2600),27,IF(AND(O44&gt;2600,O44&lt;=2800),29,IF(AND(O44&gt;2800,O44&lt;=3000),31,IF(AND(O44&gt;3000,O44&lt;=3200),33,IF(AND(O44&gt;3200,O44&lt;=3400),35,IF(AND(O44&gt;3400,O44&lt;=3600),37,IF(AND(O44&gt;3600,O44&lt;=3800),39,IF(AND(O44&gt;3800,O44&lt;=4000),41,IF(AND(O44&gt;4000,O44&lt;=4200),43,IF(AND(O44&gt;4200,O44&lt;=4400),45,IF(AND(O44&gt;4400,O44&lt;=4600),47,IF(AND(O44&gt;4200,O44&lt;=4400),495,IF(AND(O44&gt;4400,O44&lt;=4600),51,IF(AND(O44&gt;4600,O44&lt;=4800),53,IF(AND(O44&gt;4800,O44&lt;=5000),55,IF(AND(R8&gt;0,R8&lt;=50),1,IF(AND(R8&gt;50,R8&lt;=100),2,IF(AND(R8&gt;100,R8&lt;=200),3,IF(AND(R8&gt;200,R8&lt;=400),5,IF(AND(R8&gt;400,R8&lt;=600),7,IF(AND(R8&gt;600,R8&lt;=800),9,IF(AND(R8&gt;800,R8&lt;=1000),11,IF(AND(R8&gt;1000,R8&lt;=1200),13,IF(AND(R8&gt;1200,R8&lt;=1400),15,IF(AND(R8&gt;1400,R8&lt;=1600),17,IF(AND(R8&gt;1600,R8&lt;=1800),19,IF(AND(R8&gt;1800,R8&lt;=2000),21,IF(AND(R8&gt;2000,R8&lt;=2200),23,IF(AND(R8&gt;2200,R8&lt;=2400),25,IF(AND(R8&gt;2400,R8&lt;=2600),27,IF(AND(R8&gt;2600,R8&lt;=2800),29,IF(AND(R8&gt;2800,R8&lt;=3000),31,IF(AND(R8&gt;3000,R8&lt;=3200),33,IF(AND(R8&gt;3200,R8&lt;=3400),35,IF(AND(R8&gt;3400,R8&lt;=3600),37,IF(AND(R8&gt;3600,R8&lt;=3800),39,IF(AND(R8&gt;3800,R8&lt;=4000),41,IF(AND(R8&gt;4000,R8&lt;=4200),43,IF(AND(R8&gt;4200,R8&lt;=4400),45,IF(AND(R8&gt;4400,R8&lt;=4600),47,IF(AND(R8&gt;4200,R8&lt;=4400),495,IF(AND(R8&gt;4400,R8&lt;=4600),51,IF(AND(R8&gt;4600,R8&lt;=4800),53,IF(AND(R8&gt;4800,R8&lt;=5000),55,0))))))))))))))))))))))))))))))))))))))))))))))))))))))))))</f>
        <v>0</v>
      </c>
      <c r="Y10" s="1">
        <f>IF(AND(N44&gt;0,N44&lt;=50),1,IF(AND(N44&gt;50,N44&lt;=100),2,IF(AND(N44&gt;100,N44&lt;=200),3,IF(AND(N44&gt;200,N44&lt;=400),5,IF(AND(N44&gt;400,N44&lt;=600),7,IF(AND(N44&gt;600,N44&lt;=800),9,IF(AND(N44&gt;800,N44&lt;=1000),11,IF(AND(N44&gt;1000,N44&lt;=1200),13,IF(AND(N44&gt;1200,N44&lt;=1400),15,IF(AND(N44&gt;1400,N44&lt;=1600),17,IF(AND(N44&gt;1600,N44&lt;=1800),19,IF(AND(N44&gt;1800,N44&lt;=2000),21,IF(AND(N44&gt;2000,N44&lt;=2200),23,IF(AND(N44&gt;2200,N44&lt;=2400),25,IF(AND(N44&gt;2400,N44&lt;=2600),27,IF(AND(N44&gt;2600,N44&lt;=2800),29,IF(AND(N44&gt;2800,N44&lt;=3000),31,IF(AND(N44&gt;3000,N44&lt;=3200),33,IF(AND(N44&gt;3200,N44&lt;=3400),35,IF(AND(N44&gt;3400,N44&lt;=3600),37,IF(AND(N44&gt;3600,N44&lt;=3800),39,IF(AND(N44&gt;3800,N44&lt;=4000),41,IF(AND(N44&gt;4000,N44&lt;=4200),43,IF(AND(N44&gt;4200,N44&lt;=4400),45,IF(AND(N44&gt;4400,N44&lt;=4600),47,IF(AND(N44&gt;4200,N44&lt;=4400),495,IF(AND(N44&gt;4400,N44&lt;=4600),51,IF(AND(N44&gt;4600,N44&lt;=4800),53,IF(AND(N44&gt;4800,N44&lt;=5000),55,IF(AND(Q8&gt;0,Q8&lt;=50),1,IF(AND(Q8&gt;50,Q8&lt;=100),2,IF(AND(Q8&gt;100,Q8&lt;=200),3,IF(AND(Q8&gt;200,Q8&lt;=400),5,IF(AND(Q8&gt;400,Q8&lt;=600),7,IF(AND(Q8&gt;600,Q8&lt;=800),9,IF(AND(Q8&gt;800,Q8&lt;=1000),11,IF(AND(Q8&gt;1000,Q8&lt;=1200),13,IF(AND(Q8&gt;1200,Q8&lt;=1400),15,IF(AND(Q8&gt;1400,Q8&lt;=1600),17,IF(AND(Q8&gt;1600,Q8&lt;=1800),19,IF(AND(Q8&gt;1800,Q8&lt;=2000),21,IF(AND(Q8&gt;2000,Q8&lt;=2200),23,IF(AND(Q8&gt;2200,Q8&lt;=2400),25,IF(AND(Q8&gt;2400,Q8&lt;=2600),27,IF(AND(Q8&gt;2600,Q8&lt;=2800),29,IF(AND(Q8&gt;2800,Q8&lt;=3000),31,IF(AND(Q8&gt;3000,Q8&lt;=3200),33,IF(AND(Q8&gt;3200,Q8&lt;=3400),35,IF(AND(Q8&gt;3400,Q8&lt;=3600),37,IF(AND(Q8&gt;3600,Q8&lt;=3800),39,IF(AND(Q8&gt;3800,Q8&lt;=4000),41,IF(AND(Q8&gt;4000,Q8&lt;=4200),43,IF(AND(Q8&gt;4200,Q8&lt;=4400),45,IF(AND(Q8&gt;4400,Q8&lt;=4600),47,IF(AND(Q8&gt;4200,Q8&lt;=4400),495,IF(AND(Q8&gt;4400,Q8&lt;=4600),51,IF(AND(Q8&gt;4600,Q8&lt;=4800),53,IF(AND(Q8&gt;4800,Q8&lt;=5000),55,0))))))))))))))))))))))))))))))))))))))))))))))))))))))))))</f>
        <v>0</v>
      </c>
      <c r="Z10" s="36">
        <f>IF(AND(O44&gt;0,O44&lt;=50),1,IF(AND(O44&gt;50,O44&lt;=100),2,IF(AND(O44&gt;100,O44&lt;=200),3,IF(AND(O44&gt;200,O44&lt;=400),5,IF(AND(O44&gt;400,O44&lt;=600),7,IF(AND(O44&gt;600,O44&lt;=800),9,IF(AND(O44&gt;800,O44&lt;=1000),11,IF(AND(O44&gt;1000,O44&lt;=1200),13,IF(AND(O44&gt;1200,O44&lt;=1400),15,IF(AND(O44&gt;1400,O44&lt;=1600),17,IF(AND(O44&gt;1600,O44&lt;=1800),19,IF(AND(O44&gt;1800,O44&lt;=2000),21,IF(AND(O44&gt;2000,O44&lt;=2200),23,IF(AND(O44&gt;2200,O44&lt;=2400),25,IF(AND(O44&gt;2400,O44&lt;=2600),27,IF(AND(O44&gt;2600,O44&lt;=2800),29,IF(AND(O44&gt;2800,O44&lt;=3000),31,IF(AND(O44&gt;3000,O44&lt;=3200),33,IF(AND(O44&gt;3200,O44&lt;=3400),35,IF(AND(O44&gt;3400,O44&lt;=3600),37,IF(AND(O44&gt;3600,O44&lt;=3800),39,IF(AND(O44&gt;3800,O44&lt;=4000),41,IF(AND(O44&gt;4000,O44&lt;=4200),43,IF(AND(O44&gt;4200,O44&lt;=4400),45,IF(AND(O44&gt;4400,O44&lt;=4600),47,IF(AND(O44&gt;4200,O44&lt;=4400),495,IF(AND(O44&gt;4400,O44&lt;=4600),51,IF(AND(O44&gt;4600,O44&lt;=4800),53,IF(AND(O44&gt;4800,O44&lt;=5000),55,IF(AND(R8&gt;0,R8&lt;=50),1,IF(AND(R8&gt;50,R8&lt;=100),2,IF(AND(R8&gt;100,R8&lt;=200),3,IF(AND(R8&gt;200,R8&lt;=400),5,IF(AND(R8&gt;400,R8&lt;=600),7,IF(AND(R8&gt;600,R8&lt;=800),9,IF(AND(R8&gt;800,R8&lt;=1000),11,IF(AND(R8&gt;1000,R8&lt;=1200),13,IF(AND(R8&gt;1200,R8&lt;=1400),15,IF(AND(R8&gt;1400,R8&lt;=1600),17,IF(AND(R8&gt;1600,R8&lt;=1800),19,IF(AND(R8&gt;1800,R8&lt;=2000),21,IF(AND(R8&gt;2000,R8&lt;=2200),23,IF(AND(R8&gt;2200,R8&lt;=2400),25,IF(AND(R8&gt;2400,R8&lt;=2600),27,IF(AND(R8&gt;2600,R8&lt;=2800),29,IF(AND(R8&gt;2800,R8&lt;=3000),31,IF(AND(R8&gt;3000,R8&lt;=3200),33,IF(AND(R8&gt;3200,R8&lt;=3400),35,IF(AND(R8&gt;3400,R8&lt;=3600),37,IF(AND(R8&gt;3600,R8&lt;=3800),39,IF(AND(R8&gt;3800,R8&lt;=4000),41,IF(AND(R8&gt;4000,R8&lt;=4200),43,IF(AND(R8&gt;4200,R8&lt;=4400),45,IF(AND(R8&gt;4400,R8&lt;=4600),47,IF(AND(R8&gt;4200,R8&lt;=4400),495,IF(AND(R8&gt;4400,R8&lt;=4600),51,IF(AND(R8&gt;4600,R8&lt;=4800),53,IF(AND(R8&gt;4800,R8&lt;=5000),55,0))))))))))))))))))))))))))))))))))))))))))))))))))))))))))</f>
        <v>0</v>
      </c>
      <c r="AA10" s="36">
        <f>IF(OR(N44&gt;0,O44&gt;0),ROUNDUP((N44+O44)/200,0),ROUNDUP(Q5/200,0))</f>
        <v>0</v>
      </c>
      <c r="AB10" s="36" t="s">
        <v>82</v>
      </c>
    </row>
    <row r="11" spans="1:28" x14ac:dyDescent="0.25">
      <c r="A11" s="82"/>
      <c r="B11" s="83"/>
      <c r="C11" s="110"/>
      <c r="D11" s="111"/>
      <c r="E11" s="111"/>
      <c r="F11" s="112"/>
      <c r="G11" s="112"/>
      <c r="H11" s="112"/>
      <c r="I11" s="112"/>
      <c r="J11" s="112"/>
      <c r="K11" s="112"/>
      <c r="L11" s="112"/>
      <c r="M11" s="114"/>
      <c r="N11" s="118"/>
      <c r="O11" s="119"/>
      <c r="P11" s="42" t="s">
        <v>285</v>
      </c>
      <c r="U11" s="5" t="s">
        <v>99</v>
      </c>
      <c r="V11" t="s">
        <v>100</v>
      </c>
      <c r="W11" s="1">
        <f>IF(AND(N50&gt;0,N50&lt;=100),2,IF(AND(N50&gt;100,N50&lt;=200),4,IF(AND(N50&gt;200,N50&lt;=400),6,IF(AND(N50&gt;400,N50&lt;=800),8,IF(AND(N50&gt;800,N50&lt;=1200),10,IF(AND(N50&gt;1200,N50&lt;=1600),12,IF(AND(N50&gt;1600,N50&lt;=2000),14,IF(AND(N50&gt;2000,N50&lt;=2400),16,IF(AND(N50&gt;2400,N50&lt;=3000),18,IF(AND(N50&gt;3000,N50&lt;=3600),20,IF(AND(N50&gt;3600,N50&lt;=4000),22,IF(AND(N50&gt;4000,N50&lt;=4600),24,IF(AND(N50&gt;4600,N50&lt;=5200),26,IF(AND(Q8&gt;0,Q8&lt;=100),2,IF(AND(Q8&gt;100,Q8&lt;=200),4,IF(AND(Q8&gt;200,Q8&lt;=400),6,IF(AND(Q8&gt;400,Q8&lt;=800),8,IF(AND(Q8&gt;800,Q8&lt;=1200),10,IF(AND(Q8&gt;1200,Q8&lt;=1600),12,IF(AND(Q8&gt;1600,Q8&lt;=2000),14,IF(AND(Q8&gt;2000,Q8&lt;=2400),16,IF(AND(Q8&gt;2400,Q8&lt;=3000),18,IF(AND(Q8&gt;3000,Q8&lt;=3600),20,IF(AND(Q8&gt;3600,Q8&lt;=4000),22,IF(AND(Q8&gt;4000,Q8&lt;=4600),24,IF(AND(Q8&gt;4600,Q8&lt;=5200),26,0))))))))))))))))))))))))))</f>
        <v>0</v>
      </c>
      <c r="X11" s="36">
        <f>IF(AND(O50&gt;0,O50&lt;=100),2,IF(AND(O50&gt;100,O50&lt;=200),4,IF(AND(O50&gt;200,O50&lt;=400),6,IF(AND(O50&gt;400,O50&lt;=800),10,IF(AND(O50&gt;800,O50&lt;=1200),14,IF(AND(O50&gt;1200,O50&lt;=1600),18,IF(AND(O50&gt;1600,O50&lt;=2000),22,IF(AND(O50&gt;2000,O50&lt;=2400),26,IF(AND(O50&gt;2400,O50&lt;=3000),30,IF(AND(O50&gt;3000,O50&lt;=3600),34,IF(AND(O50&gt;3600,O50&lt;=4000),38,IF(AND(O50&gt;4000,O50&lt;=4600),42,IF(AND(O50&gt;4600,O50&lt;=5200),46,IF(AND(R8&gt;0,R8&lt;=100),2,IF(AND(R8&gt;100,R8&lt;=200),4,IF(AND(R8&gt;200,R8&lt;=400),6,IF(AND(R8&gt;400,R8&lt;=800),10,IF(AND(R8&gt;800,R8&lt;=1200),14,IF(AND(R8&gt;1200,R8&lt;=1600),18,IF(AND(R8&gt;1600,R8&lt;=2000),22,IF(AND(R8&gt;2000,R8&lt;=2400),26,IF(AND(R8&gt;2400,R8&lt;=3000),30,IF(AND(R8&gt;3000,R8&lt;=3600),34,IF(AND(R8&gt;3600,R8&lt;=4000),38,IF(AND(R8&gt;4000,R8&lt;=4600),42,IF(AND(R8&gt;4600,R8&lt;=5200),46,0))))))))))))))))))))))))))</f>
        <v>0</v>
      </c>
      <c r="Y11" s="1">
        <f>IF(AND(N50&gt;0,N50&lt;=100),2,IF(AND(N50&gt;100,N50&lt;=200),4,IF(AND(N50&gt;200,N50&lt;=400),6,IF(AND(N50&gt;400,N50&lt;=800),7,IF(AND(N50&gt;800,N50&lt;=1200),8,IF(AND(N50&gt;1200,N50&lt;=1600),9,IF(AND(N50&gt;1600,N50&lt;=2000),10,IF(AND(N50&gt;2000,N50&lt;=2400),11,IF(AND(N50&gt;2400,N50&lt;=3000),12,IF(AND(N50&gt;3000,N50&lt;=3600),13,IF(AND(N50&gt;3600,N50&lt;=4000),14,IF(AND(N50&gt;4000,N50&lt;=4600),15,IF(AND(N50&gt;4600,N50&lt;=5200),16,IF(AND(Q8&gt;0,Q8&lt;=100),2,IF(AND(Q8&gt;100,Q8&lt;=200),4,IF(AND(Q8&gt;200,Q8&lt;=400),6,IF(AND(Q8&gt;400,Q8&lt;=800),7,IF(AND(Q8&gt;800,Q8&lt;=1200),8,IF(AND(Q8&gt;1200,Q8&lt;=1600),9,IF(AND(Q8&gt;1600,Q8&lt;=2000),10,IF(AND(Q8&gt;2000,Q8&lt;=2400),11,IF(AND(Q8&gt;2400,Q8&lt;=3000),12,IF(AND(Q8&gt;3000,Q8&lt;=3600),13,IF(AND(Q8&gt;3600,Q8&lt;=4000),14,IF(AND(Q8&gt;4000,Q8&lt;=4600),15,IF(AND(Q8&gt;4600,Q8&lt;=5200),16,0))))))))))))))))))))))))))</f>
        <v>0</v>
      </c>
      <c r="Z11" s="36">
        <f>IF(AND(O50&gt;0,O50&lt;=100),2,IF(AND(O50&gt;100,O50&lt;=200),4,IF(AND(O50&gt;200,O50&lt;=400),6,IF(AND(O50&gt;400,O50&lt;=800),8,IF(AND(O50&gt;800,O50&lt;=1200),10,IF(AND(O50&gt;1200,O50&lt;=1600),12,IF(AND(O50&gt;1600,O50&lt;=2000),14,IF(AND(O50&gt;2000,O50&lt;=2400),16,IF(AND(O50&gt;2400,O50&lt;=3000),18,IF(AND(O50&gt;3000,O50&lt;=3600),20,IF(AND(O50&gt;3600,O50&lt;=4000),22,IF(AND(O50&gt;4000,O50&lt;=4600),24,IF(AND(O50&gt;4600,O50&lt;=5200),26,IF(AND(R8&gt;0,R8&lt;=100),2,IF(AND(R8&gt;100,R8&lt;=200),4,IF(AND(R8&gt;200,R8&lt;=400),6,IF(AND(R8&gt;400,R8&lt;=800),8,IF(AND(R8&gt;800,R8&lt;=1200),10,IF(AND(R8&gt;1200,R8&lt;=1600),12,IF(AND(R8&gt;1600,R8&lt;=2000),14,IF(AND(R8&gt;2000,R8&lt;=2400),16,IF(AND(R8&gt;2400,R8&lt;=3000),18,IF(AND(R8&gt;3000,R8&lt;=3600),20,IF(AND(R8&gt;3600,R8&lt;=4000),22,IF(AND(R8&gt;4000,R8&lt;=4600),24,IF(AND(R8&gt;4600,R8&lt;=5200),26,0))))))))))))))))))))))))))</f>
        <v>0</v>
      </c>
      <c r="AA11" s="36">
        <f>IF(OR(N50&gt;0,O50&gt;0),ROUNDUP((N50+O50)/500,0),ROUNDUP(Q5/500,0))</f>
        <v>0</v>
      </c>
      <c r="AB11" s="36" t="s">
        <v>82</v>
      </c>
    </row>
    <row r="12" spans="1:28" x14ac:dyDescent="0.25">
      <c r="A12" s="82"/>
      <c r="B12" s="83"/>
      <c r="C12" s="110"/>
      <c r="D12" s="111"/>
      <c r="E12" s="111"/>
      <c r="F12" s="112"/>
      <c r="G12" s="112"/>
      <c r="H12" s="112"/>
      <c r="I12" s="112"/>
      <c r="J12" s="112"/>
      <c r="K12" s="112"/>
      <c r="L12" s="112"/>
      <c r="M12" s="114"/>
      <c r="N12" s="118"/>
      <c r="O12" s="119"/>
      <c r="P12" s="42" t="s">
        <v>286</v>
      </c>
      <c r="U12" s="5" t="s">
        <v>101</v>
      </c>
      <c r="V12" t="s">
        <v>102</v>
      </c>
      <c r="W12" s="1">
        <f>IF(AND(N56&gt;0,N56&lt;=100),2,IF(AND(N56&gt;100,N56&lt;=200),4,IF(AND(N56&gt;200,N56&lt;=400),6,IF(AND(N56&gt;400,N56&lt;=800),8,IF(AND(N56&gt;800,N56&lt;=1200),10,IF(AND(N56&gt;1200,N56&lt;=1600),12,IF(AND(N56&gt;1600,N56&lt;=2000),14,IF(AND(N56&gt;2000,N56&lt;=2400),16,IF(AND(N56&gt;2400,N56&lt;=3000),18,IF(AND(N56&gt;3000,N56&lt;=3600),20,IF(AND(N56&gt;3600,N56&lt;=4000),22,IF(AND(N56&gt;4000,N56&lt;=4600),24,IF(AND(N56&gt;4600,N56&lt;=5200),26,IF(AND(Q8&gt;0,Q8&lt;=100),2,IF(AND(Q8&gt;100,Q8&lt;=200),4,IF(AND(Q8&gt;200,Q8&lt;=400),6,IF(AND(Q8&gt;400,Q8&lt;=800),8,IF(AND(Q8&gt;800,Q8&lt;=1200),10,IF(AND(Q8&gt;1200,Q8&lt;=1600),12,IF(AND(Q8&gt;1600,Q8&lt;=2000),14,IF(AND(Q8&gt;2000,Q8&lt;=2400),16,IF(AND(Q8&gt;2400,Q8&lt;=3000),18,IF(AND(Q8&gt;3000,Q8&lt;=3600),20,IF(AND(Q8&gt;3600,Q8&lt;=4000),22,IF(AND(Q8&gt;4000,Q8&lt;=4600),24,IF(AND(Q8&gt;4600,Q8&lt;=5200),26,0))))))))))))))))))))))))))</f>
        <v>0</v>
      </c>
      <c r="X12" s="31">
        <f>IF(AND(O56&gt;0,O56&lt;=100),2,IF(AND(O56&gt;100,O56&lt;=200),4,IF(AND(O56&gt;200,O56&lt;=400),6,IF(AND(O56&gt;400,O56&lt;=800),10,IF(AND(O56&gt;800,O56&lt;=1200),14,IF(AND(O56&gt;1200,O56&lt;=1600),18,IF(AND(O56&gt;1600,O56&lt;=2000),22,IF(AND(O56&gt;2000,O56&lt;=2400),26,IF(AND(O56&gt;2400,O56&lt;=3000),30,IF(AND(O56&gt;3000,O56&lt;=3600),34,IF(AND(O56&gt;3600,O56&lt;=4000),38,IF(AND(O56&gt;4000,O56&lt;=4600),42,IF(AND(O56&gt;4600,O56&lt;=5200),46,IF(AND(R8&gt;0,R8&lt;=100),2,IF(AND(R8&gt;100,R8&lt;=200),4,IF(AND(R8&gt;200,R8&lt;=400),6,IF(AND(R8&gt;400,R8&lt;=800),10,IF(AND(R8&gt;800,R8&lt;=1200),14,IF(AND(R8&gt;1200,R8&lt;=1600),18,IF(AND(R8&gt;1600,R8&lt;=2000),22,IF(AND(R8&gt;2000,R8&lt;=2400),26,IF(AND(R8&gt;2400,R8&lt;=3000),30,IF(AND(R8&gt;3000,R8&lt;=3600),34,IF(AND(R8&gt;3600,R8&lt;=4000),38,IF(AND(R8&gt;4000,R8&lt;=4600),42,IF(AND(R8&gt;4600,R8&lt;=5200),46,0))))))))))))))))))))))))))</f>
        <v>0</v>
      </c>
      <c r="Y12" s="1">
        <f>IF(AND(N56&gt;0,N56&lt;=100),2,IF(AND(N56&gt;100,N56&lt;=200),4,IF(AND(N56&gt;200,N56&lt;=400),6,IF(AND(N56&gt;400,N56&lt;=800),7,IF(AND(N56&gt;800,N56&lt;=1200),8,IF(AND(N56&gt;1200,N56&lt;=1600),9,IF(AND(N56&gt;1600,N56&lt;=2000),10,IF(AND(N56&gt;2000,N56&lt;=2400),11,IF(AND(N56&gt;2400,N56&lt;=3000),12,IF(AND(N56&gt;3000,N56&lt;=3600),13,IF(AND(N56&gt;3600,N56&lt;=4000),14,IF(AND(N56&gt;4000,N56&lt;=4600),15,IF(AND(N56&gt;4600,N56&lt;=5200),16,IF(AND(Q8&gt;0,Q8&lt;=100),2,IF(AND(Q8&gt;100,Q8&lt;=200),4,IF(AND(Q8&gt;200,Q8&lt;=400),6,IF(AND(Q8&gt;400,Q8&lt;=800),7,IF(AND(Q8&gt;800,Q8&lt;=1200),8,IF(AND(Q8&gt;1200,Q8&lt;=1600),9,IF(AND(Q8&gt;1600,Q8&lt;=2000),10,IF(AND(Q8&gt;2000,Q8&lt;=2400),11,IF(AND(Q8&gt;2400,Q8&lt;=3000),12,IF(AND(Q8&gt;3000,Q8&lt;=3600),13,IF(AND(Q8&gt;3600,Q8&lt;=4000),14,IF(AND(Q8&gt;4000,Q8&lt;=4600),15,IF(AND(Q8&gt;4600,Q8&lt;=5200),16,0))))))))))))))))))))))))))</f>
        <v>0</v>
      </c>
      <c r="Z12" s="36">
        <f>IF(AND(O56&gt;0,O56&lt;=100),2,IF(AND(O56&gt;100,O56&lt;=200),4,IF(AND(O56&gt;200,O56&lt;=400),6,IF(AND(O56&gt;400,O56&lt;=800),8,IF(AND(O56&gt;800,O56&lt;=1200),10,IF(AND(O56&gt;1200,O56&lt;=1600),12,IF(AND(O56&gt;1600,O56&lt;=2000),14,IF(AND(O56&gt;2000,O56&lt;=2400),16,IF(AND(O56&gt;2400,O56&lt;=3000),18,IF(AND(O56&gt;3000,O56&lt;=3600),20,IF(AND(O56&gt;3600,O56&lt;=4000),22,IF(AND(O56&gt;4000,O56&lt;=4600),24,IF(AND(O56&gt;4600,O56&lt;=5200),26,IF(AND(R8&gt;0,R8&lt;=100),2,IF(AND(R8&gt;100,R8&lt;=200),4,IF(AND(R8&gt;200,R8&lt;=400),6,IF(AND(R8&gt;400,R8&lt;=800),8,IF(AND(R8&gt;800,R8&lt;=1200),10,IF(AND(R8&gt;1200,R8&lt;=1600),12,IF(AND(R8&gt;1600,R8&lt;=2000),14,IF(AND(R8&gt;2000,R8&lt;=2400),16,IF(AND(R8&gt;2400,R8&lt;=3000),18,IF(AND(R8&gt;3000,R8&lt;=3600),20,IF(AND(R8&gt;3600,R8&lt;=4000),22,IF(AND(R8&gt;4000,R8&lt;=4600),24,IF(AND(R8&gt;4600,R8&lt;=5200),26,0))))))))))))))))))))))))))</f>
        <v>0</v>
      </c>
      <c r="AA12" s="36">
        <f>IF(OR(N56&gt;0,O56&gt;0),ROUNDUP((N56+O56)/1000,0),ROUNDUP(Q5/1000,0))</f>
        <v>0</v>
      </c>
      <c r="AB12" s="36" t="s">
        <v>82</v>
      </c>
    </row>
    <row r="13" spans="1:28" x14ac:dyDescent="0.25">
      <c r="A13" s="82"/>
      <c r="B13" s="83"/>
      <c r="C13" s="110"/>
      <c r="D13" s="111"/>
      <c r="E13" s="111"/>
      <c r="F13" s="112"/>
      <c r="G13" s="112"/>
      <c r="H13" s="112"/>
      <c r="I13" s="112"/>
      <c r="J13" s="112"/>
      <c r="K13" s="112"/>
      <c r="L13" s="112"/>
      <c r="M13" s="114"/>
      <c r="N13" s="118"/>
      <c r="O13" s="119"/>
      <c r="P13" s="42" t="s">
        <v>287</v>
      </c>
      <c r="U13" s="5" t="s">
        <v>103</v>
      </c>
      <c r="V13" t="s">
        <v>104</v>
      </c>
      <c r="W13" s="1">
        <f>IF(AND(N63&gt;0,N63&lt;=15),1,IF(AND(N63&gt;15,N63&lt;=50),2,IF(N63&gt;50,(ROUNDUP((N63-50)/50,0))+2,IF(AND(Q8&gt;0,Q8&lt;=15),1,IF(AND(Q8&gt;15,Q8&lt;=50),2,IF(Q8&gt;50,(ROUNDUP((Q8-50)/50,0))+2,0))))))</f>
        <v>0</v>
      </c>
      <c r="X13" s="31">
        <f>IF(AND(O63&gt;0,O63&lt;=15),1,IF(AND(O63&gt;15,O63&lt;=50),2,IF(O63&gt;50,(ROUNDUP((O63-50)/50,0))+2,IF(AND(R8&gt;0,R8&lt;=15),1,IF(AND(R8&gt;15,R8&lt;=50),2,IF(R8&gt;50,(ROUNDUP((R8-50)/50,0))+2,0))))))</f>
        <v>0</v>
      </c>
      <c r="Y13" s="1">
        <f>IF(AND(N63&gt;0,N63&lt;=50),1,IF(N63&gt;50,(ROUNDUP((N63-50)/50,0))+1,IF(AND(Q8&gt;0,Q8&lt;=50),1,IF(Q8&gt;50,(ROUNDUP((Q8-50)/50,0))+1,0))))</f>
        <v>0</v>
      </c>
      <c r="Z13" s="36">
        <f>IF(AND(O63&gt;0,O63&lt;=50),1,IF(O63&gt;50,(ROUNDUP((O63-50)/50,0))+1,IF(AND(R8&gt;0,R8&lt;=50),1,IF(R8&gt;50,(ROUNDUP((R8-50)/50,0))+1,0))))</f>
        <v>0</v>
      </c>
      <c r="AA13" s="36">
        <f>IF(OR(N63&gt;0,O63&gt;0),ROUNDUP((N63+O63)/100,0),ROUNDUP(Q5/100,0))</f>
        <v>0</v>
      </c>
      <c r="AB13" s="36" t="s">
        <v>82</v>
      </c>
    </row>
    <row r="14" spans="1:28" x14ac:dyDescent="0.25">
      <c r="A14" s="82"/>
      <c r="B14" s="83"/>
      <c r="C14" s="110"/>
      <c r="D14" s="111"/>
      <c r="E14" s="111"/>
      <c r="F14" s="112"/>
      <c r="G14" s="112"/>
      <c r="H14" s="112"/>
      <c r="I14" s="112"/>
      <c r="J14" s="112"/>
      <c r="K14" s="112"/>
      <c r="L14" s="112"/>
      <c r="M14" s="114"/>
      <c r="N14" s="118"/>
      <c r="O14" s="119"/>
      <c r="P14" s="42" t="s">
        <v>288</v>
      </c>
      <c r="U14" s="5" t="s">
        <v>289</v>
      </c>
      <c r="V14" t="s">
        <v>106</v>
      </c>
      <c r="W14" s="1">
        <f>IF(AND(N70&gt;0,N70&lt;=15),1,IF(AND(N70&gt;15,N70&lt;=30),2,IF(AND(N70&gt;30,N70&lt;=50),3,IF(AND(N70&gt;50,N70&lt;=75),4,IF(AND(N70&gt;75,N70&lt;=100),4,IF(N70&gt;100,(ROUNDUP((N70-100)/50,0))+4,IF(AND(Q8&gt;0,Q8&lt;=15),1,IF(AND(Q8&gt;15,Q8&lt;=30),2,IF(AND(Q8&gt;30,Q8&lt;=50),3,IF(AND(Q8&gt;50,Q8&lt;=75),4,IF(AND(Q8&gt;75,Q8&lt;=100),5,IF(Q8&gt;100,(ROUNDUP((Q8-100)/50,0))+4,0))))))))))))</f>
        <v>0</v>
      </c>
      <c r="X14" s="31">
        <f>IF(AND(O70&gt;0,O70&lt;=15),1,IF(AND(O70&gt;15,O70&lt;=30),2,IF(AND(O70&gt;30,O70&lt;=50),3,IF(AND(O70&gt;50,O70&lt;=75),4,IF(AND(O70&gt;75,O70&lt;=100),4,IF(O70&gt;100,(ROUNDUP((O70-100)/50,0))+4,IF(AND(R8&gt;0,R8&lt;=15),1,IF(AND(R8&gt;15,R8&lt;=30),2,IF(AND(R8&gt;30,R8&lt;=50),3,IF(AND(R8&gt;50,R8&lt;=75),4,IF(AND(R8&gt;75,R8&lt;=100),5,IF(R8&gt;100,(ROUNDUP((R8-100)/50,0))+4,0))))))))))))</f>
        <v>0</v>
      </c>
      <c r="Y14" s="1">
        <f>IF(AND(N70&gt;0,N70&lt;=15),1,IF(AND(N70&gt;15,N70&lt;=30),2,IF(AND(N70&gt;30,N70&lt;=50),3,IF(AND(N70&gt;50,N70&lt;=75),4,IF(AND(N70&gt;75,N70&lt;=100),4,IF(N70&gt;100,(ROUNDUP((N70-100)/50,0))+4,IF(AND(Q8&gt;0,Q8&lt;=15),1,IF(AND(Q8&gt;15,Q8&lt;=30),2,IF(AND(Q8&gt;30,Q8&lt;=50),3,IF(AND(Q8&gt;50,Q8&lt;=75),4,IF(AND(Q8&gt;75,Q8&lt;=100),5,IF(Q8&gt;100,(ROUNDUP((Q8-100)/50,0))+5,0))))))))))))</f>
        <v>0</v>
      </c>
      <c r="Z14" s="36">
        <f>IF(AND(O70&gt;0,O70&lt;=15),1,IF(AND(O70&gt;15,O70&lt;=30),2,IF(AND(O70&gt;30,O70&lt;=50),3,IF(AND(O70&gt;50,O70&lt;=75),4,IF(AND(O70&gt;75,O70&lt;=100),4,IF(O70&gt;100,(ROUNDUP((O70-100)/50,0))+4,IF(AND(R8&gt;0,R8&lt;=15),1,IF(AND(R8&gt;15,R8&lt;=30),2,IF(AND(R8&gt;30,R8&lt;=50),3,IF(AND(R8&gt;50,R8&lt;=75),4,IF(AND(R8&gt;75,R8&lt;=100),5,IF(R8&gt;100,(ROUNDUP((R8-100)/50,0))+5,0))))))))))))</f>
        <v>0</v>
      </c>
      <c r="AA14" s="36">
        <f>IF(OR(N70&gt;0,O70&gt;0),ROUNDUP((N70+O70)/100,0),ROUNDUP(Q5/100,0))</f>
        <v>0</v>
      </c>
      <c r="AB14" s="36" t="s">
        <v>82</v>
      </c>
    </row>
    <row r="15" spans="1:28" x14ac:dyDescent="0.25">
      <c r="A15" s="82"/>
      <c r="B15" s="83"/>
      <c r="C15" s="110"/>
      <c r="D15" s="111"/>
      <c r="E15" s="111"/>
      <c r="F15" s="112"/>
      <c r="G15" s="112"/>
      <c r="H15" s="112"/>
      <c r="I15" s="112"/>
      <c r="J15" s="112"/>
      <c r="K15" s="112"/>
      <c r="L15" s="112"/>
      <c r="M15" s="114"/>
      <c r="N15" s="118"/>
      <c r="O15" s="119"/>
      <c r="P15" s="42" t="s">
        <v>290</v>
      </c>
      <c r="U15" s="5" t="s">
        <v>291</v>
      </c>
      <c r="V15" t="s">
        <v>106</v>
      </c>
      <c r="W15" s="1">
        <f>IF(AND(N75&gt;0,N75&lt;=25),1,IF(AND(N75&gt;25,N75&lt;=50),2,IF(AND(N75&gt;50,N75&lt;=75),3,IF(AND(N75&gt;75,N75&lt;=100),4,IF(N75&gt;100,(ROUNDUP((N75-100)/50,0))+4,IF(AND(Q8&gt;0,Q8&lt;=25),1,IF(AND(Q8&gt;25,Q8&lt;=50),2,IF(AND(Q8&gt;50,Q8&lt;=75),3,IF(AND(Q8&gt;75,Q8&lt;=100),4,IF(Q8&gt;100,(ROUNDUP((Q8-100)/50,0))+4,0))))))))))</f>
        <v>0</v>
      </c>
      <c r="X15" s="31">
        <f>IF(AND(O75&gt;0,O75&lt;=25),1,IF(AND(O75&gt;25,O75&lt;=50),2,IF(AND(O75&gt;50,O75&lt;=75),3,IF(AND(O75&gt;75,O75&lt;=100),4,IF(O75&gt;100,(ROUNDUP((O75-100)/50,0))+4,IF(AND(R8&gt;0,R8&lt;=25),1,IF(AND(R8&gt;25,R8&lt;=50),2,IF(AND(R8&gt;50,R8&lt;=75),3,IF(AND(R8&gt;75,R8&lt;=100),4,IF(R8&gt;100,(ROUNDUP((R8-100)/50,0))+4,0))))))))))</f>
        <v>0</v>
      </c>
      <c r="Y15" s="1">
        <f>IF(AND(N75&gt;0,N75&lt;=25),1,IF(AND(N75&gt;25,N75&lt;=50),2,IF(AND(N75&gt;50,N75&lt;=75),3,IF(AND(N75&gt;75,N75&lt;=100),4,IF(N75&gt;100,(ROUNDUP((N75-100)/50,0))+4,IF(AND(Q8&gt;0,Q8&lt;=25),1,IF(AND(Q8&gt;25,Q8&lt;=50),2,IF(AND(Q8&gt;50,Q8&lt;=75),3,IF(AND(Q8&gt;75,Q8&lt;=100),4,IF(Q8&gt;100,(ROUNDUP((Q8-100)/50,0))+4,0))))))))))</f>
        <v>0</v>
      </c>
      <c r="Z15" s="36">
        <f>IF(AND(O75&gt;0,O75&lt;=25),1,IF(AND(O75&gt;25,O75&lt;=50),2,IF(AND(O75&gt;50,O75&lt;=75),3,IF(AND(O75&gt;75,O75&lt;=100),4,IF(O75&gt;100,(ROUNDUP((O75-100)/50,0))+4,IF(AND(R8&gt;0,R8&lt;=25),1,IF(AND(R8&gt;25,R8&lt;=50),2,IF(AND(R8&gt;50,R8&lt;=75),3,IF(AND(R8&gt;75,R8&lt;=100),4,IF(R8&gt;100,(ROUNDUP((R8-100)/50,0))+4,0))))))))))</f>
        <v>0</v>
      </c>
      <c r="AA15" s="36">
        <f>IF(OR(N75&gt;0,O75&gt;0),ROUNDUP((N75+O75)/100,0),ROUNDUP(Q5/100,0))</f>
        <v>0</v>
      </c>
      <c r="AB15" s="36" t="s">
        <v>82</v>
      </c>
    </row>
    <row r="16" spans="1:28" ht="15" customHeight="1" x14ac:dyDescent="0.25">
      <c r="A16" s="82"/>
      <c r="B16" s="83"/>
      <c r="C16" s="110"/>
      <c r="D16" s="111" t="s">
        <v>292</v>
      </c>
      <c r="E16" s="111"/>
      <c r="F16" s="112" t="str">
        <f>IF(AND(OR(N16&gt;0,O16&gt;0),N16+O16&lt;=15),"Single restroom okay for 15 or less (7.21.4(2))",IF(AND(OR(N16&gt;0,O16&gt;0),N16+O16&gt;Q5),W6,IF(Q5&lt;=15,"Single restroom okay for 15 or less (7.21.4(2))",W6)))</f>
        <v>Single restroom okay for 15 or less (7.21.4(2))</v>
      </c>
      <c r="G16" s="112" t="str">
        <f>IF(F16="Single restroom okay for 15 or less (7.21.4(2))","-",X6)</f>
        <v>-</v>
      </c>
      <c r="H16" s="112" t="s">
        <v>281</v>
      </c>
      <c r="I16" s="112">
        <f>Y6</f>
        <v>0</v>
      </c>
      <c r="J16" s="112" t="str">
        <f>IF(F16="Single restroom okay for 15 or less (7.21.4(2))","-",Z6)</f>
        <v>-</v>
      </c>
      <c r="K16" s="112" t="s">
        <v>82</v>
      </c>
      <c r="L16" s="112">
        <f>AA6</f>
        <v>0</v>
      </c>
      <c r="M16" s="121" t="s">
        <v>224</v>
      </c>
      <c r="N16" s="96">
        <v>0</v>
      </c>
      <c r="O16" s="97">
        <f>N16</f>
        <v>0</v>
      </c>
      <c r="P16" s="42" t="s">
        <v>293</v>
      </c>
      <c r="U16" s="5" t="s">
        <v>294</v>
      </c>
      <c r="V16" t="s">
        <v>106</v>
      </c>
      <c r="W16" s="1">
        <f>IF(AND(N80&gt;0,N80&lt;=30),1,IF(AND(N80&gt;30,N80&lt;=60),2,IF(AND(N80&gt;60,N80&lt;=100),3,IF(N80&gt;100,(ROUNDUP((N80-100)/50,0))+3,IF(AND(Q8&gt;0,Q8&lt;=30),1,IF(AND(Q8&gt;30,Q8&lt;=60),2,IF(AND(Q8&gt;60,Q8&lt;=100),3,IF(Q8&gt;100,(ROUNDUP((Q8-100)/50,0))+3,0))))))))</f>
        <v>0</v>
      </c>
      <c r="X16" s="31">
        <f>IF(AND(O80&gt;0,O80&lt;=30),1,IF(AND(O80&gt;30,O80&lt;=60),2,IF(AND(O80&gt;60,O80&lt;=100),3,IF(O80&gt;100,(ROUNDUP((O80-100)/50,0))+3,IF(AND(R8&gt;0,R8&lt;=30),1,IF(AND(R8&gt;30,R8&lt;=60),2,IF(AND(R8&gt;60,R8&lt;=100),3,IF(R8&gt;100,(ROUNDUP((R8-100)/50,0))+3,0))))))))</f>
        <v>0</v>
      </c>
      <c r="Y16" s="1">
        <f>IF(AND(N80&gt;0,N80&lt;=30),1,IF(AND(N80&gt;30,N80&lt;=60),2,IF(AND(N80&gt;60,N80&lt;=100),3,IF(N80&gt;100,(ROUNDUP((N80-100)/50,0))+3,IF(AND(Q8&gt;0,Q8&lt;=30),1,IF(AND(Q8&gt;30,Q8&lt;=60),2,IF(AND(Q8&gt;60,Q8&lt;=100),3,IF(Q8&gt;100,(ROUNDUP((Q8-100)/50,0))+3,0))))))))</f>
        <v>0</v>
      </c>
      <c r="Z16" s="36">
        <f>IF(AND(O80&gt;0,O80&lt;=30),1,IF(AND(O80&gt;30,O80&lt;=60),2,IF(AND(O80&gt;60,O80&lt;=100),3,IF(O80&gt;100,(ROUNDUP((O80-100)/50,0))+3,IF(AND(R8&gt;0,R8&lt;=30),1,IF(AND(R8&gt;30,R8&lt;=60),2,IF(AND(R8&gt;60,R8&lt;=100),3,IF(R8&gt;100,(ROUNDUP((R8-100)/50,0))+3,0))))))))</f>
        <v>0</v>
      </c>
      <c r="AA16" s="36">
        <f>IF(OR(N80&gt;0,O80&gt;0),ROUNDUP((N80+O80)/100,0),ROUNDUP(Q5/100,0))</f>
        <v>0</v>
      </c>
      <c r="AB16" s="36" t="s">
        <v>82</v>
      </c>
    </row>
    <row r="17" spans="1:28" x14ac:dyDescent="0.25">
      <c r="A17" s="82"/>
      <c r="B17" s="83"/>
      <c r="C17" s="110"/>
      <c r="D17" s="111"/>
      <c r="E17" s="111"/>
      <c r="F17" s="112"/>
      <c r="G17" s="112"/>
      <c r="H17" s="112"/>
      <c r="I17" s="112"/>
      <c r="J17" s="112"/>
      <c r="K17" s="112"/>
      <c r="L17" s="112"/>
      <c r="M17" s="114"/>
      <c r="N17" s="96"/>
      <c r="O17" s="97"/>
      <c r="P17" s="42" t="s">
        <v>295</v>
      </c>
      <c r="U17" s="5" t="s">
        <v>108</v>
      </c>
      <c r="V17" t="s">
        <v>109</v>
      </c>
      <c r="W17" s="1">
        <f>IF(AND(N85&gt;0,N85&lt;=25),1,IF(AND(N85&gt;25,N85&lt;=50),2,IF(AND(N85&gt;50,N85&lt;=100),3,IF(N85&gt;100,(ROUNDUP((N85-100)/100,0))+3,IF(AND(Q8&gt;0,Q8&lt;=25),1,IF(AND(Q8&gt;25,Q8&lt;=50),2,IF(AND(Q8&gt;50,Q8&lt;=100),3,IF(Q8&gt;100,(ROUNDUP((Q8-100)/100,0))+3,0))))))))</f>
        <v>0</v>
      </c>
      <c r="X17" s="31">
        <f>IF(AND(O85&gt;0,O85&lt;=25),1,IF(AND(O85&gt;25,O85&lt;=50),2,IF(AND(O85&gt;50,O85&lt;=100),3,IF(O85&gt;100,(ROUNDUP((O85-100)/100,0))+3,IF(AND(R8&gt;0,R8&lt;=25),1,IF(AND(R8&gt;25,R8&lt;=50),2,IF(AND(R8&gt;50,R8&lt;=100),3,IF(R8&gt;100,(ROUNDUP((R8-100)/100,0))+3,0))))))))</f>
        <v>0</v>
      </c>
      <c r="Y17" s="1">
        <f>IF(AND(N85&gt;0,N85&lt;=25),1,IF(AND(N85&gt;25,N85&lt;=50),2,IF(AND(N85&gt;50,N85&lt;=100),3,IF(N85&gt;100,(ROUNDUP((N85-100)/100,0))+3,IF(AND(Q8&gt;0,Q8&lt;=25),1,IF(AND(Q8&gt;25,Q8&lt;=50),2,IF(AND(Q8&gt;50,Q8&lt;=100),3,IF(Q8&gt;100,(ROUNDUP((Q8-100)/100,0))+3,0))))))))</f>
        <v>0</v>
      </c>
      <c r="Z17" s="36">
        <f>IF(AND(O85&gt;0,O85&lt;=25),1,IF(AND(O85&gt;25,O85&lt;=50),2,IF(AND(O85&gt;50,O85&lt;=100),3,IF(O85&gt;100,(ROUNDUP((O85-100)/100,0))+3,IF(AND(R8&gt;0,R8&lt;=25),1,IF(AND(R8&gt;25,R8&lt;=50),2,IF(AND(R8&gt;50,R8&lt;=100),3,IF(R8&gt;100,(ROUNDUP((R8-100)/100,0))+3,0))))))))</f>
        <v>0</v>
      </c>
      <c r="AA17" s="36">
        <f>IF(OR(N85&gt;0,O85&gt;0),ROUNDUP((N85+O85)/250,0),ROUNDUP(Q5/250,0))</f>
        <v>0</v>
      </c>
      <c r="AB17" s="36" t="s">
        <v>296</v>
      </c>
    </row>
    <row r="18" spans="1:28" ht="14.45" customHeight="1" x14ac:dyDescent="0.25">
      <c r="A18" s="82"/>
      <c r="B18" s="83"/>
      <c r="C18" s="110"/>
      <c r="D18" s="111"/>
      <c r="E18" s="111"/>
      <c r="F18" s="112"/>
      <c r="G18" s="112"/>
      <c r="H18" s="112"/>
      <c r="I18" s="112"/>
      <c r="J18" s="112"/>
      <c r="K18" s="112"/>
      <c r="L18" s="112"/>
      <c r="M18" s="114"/>
      <c r="N18" s="96"/>
      <c r="O18" s="97"/>
      <c r="U18" s="5" t="s">
        <v>111</v>
      </c>
      <c r="V18" t="s">
        <v>112</v>
      </c>
      <c r="W18" s="1">
        <f>IF(AND(N93&gt;0,N93&lt;=10),1,IF(N93&gt;10,(ROUNDUP((N93-10)/10,0))+1,IF(AND(Q8&gt;0,Q8&lt;=10),1,IF(Q8&gt;0,(ROUNDUP((Q8-10)/10,0))+1,0))))</f>
        <v>0</v>
      </c>
      <c r="X18" s="31">
        <f>IF(AND(O93&gt;0,O93&lt;=10),1,IF(O93&gt;10,(ROUNDUP((O93-10)/10,0))+1,IF(AND(R8&gt;0,R8&lt;=10),1,IF(R8&gt;10,(ROUNDUP((R8-10)/10,0))+1,0))))</f>
        <v>0</v>
      </c>
      <c r="Y18" s="1">
        <f>IF(AND(N93&gt;0,N93&lt;=10),1,IF(N93&gt;10,(ROUNDUP((N93-10)/10,0))+1,IF(AND(Q8&gt;0,Q8&lt;=10),1,IF(Q8&gt;0,(ROUNDUP((Q8-10)/10,0))+1,0))))</f>
        <v>0</v>
      </c>
      <c r="Z18" s="36">
        <f>IF(AND(O93&gt;0,O93&lt;=10),1,IF(O93&gt;10,(ROUNDUP((O93-10)/10,0))+1,IF(AND(R8&gt;0,R8&lt;=10),1,IF(R8&gt;10,(ROUNDUP((R8-10)/10,0))+1,0))))</f>
        <v>0</v>
      </c>
      <c r="AA18" s="36">
        <f>IF(OR(N93&gt;0,O93&gt;0),ROUNDUP((N93+O93)/100,0),ROUNDUP(Q5/100,0))</f>
        <v>0</v>
      </c>
      <c r="AB18" s="36">
        <f>IF(OR(N93&gt;0,O93&gt;0),ROUNDUP((N93+O93)/8,0),ROUNDUP(Q5/8,0))</f>
        <v>0</v>
      </c>
    </row>
    <row r="19" spans="1:28" x14ac:dyDescent="0.25">
      <c r="A19" s="82"/>
      <c r="B19" s="83"/>
      <c r="C19" s="110"/>
      <c r="D19" s="111"/>
      <c r="E19" s="111"/>
      <c r="F19" s="112"/>
      <c r="G19" s="112"/>
      <c r="H19" s="112"/>
      <c r="I19" s="112"/>
      <c r="J19" s="112"/>
      <c r="K19" s="112"/>
      <c r="L19" s="112"/>
      <c r="M19" s="114"/>
      <c r="N19" s="96"/>
      <c r="O19" s="97"/>
      <c r="U19" s="5" t="s">
        <v>113</v>
      </c>
      <c r="V19" t="s">
        <v>114</v>
      </c>
      <c r="W19" s="1">
        <f>IF(AND(N102&gt;0,N102&lt;=25),1,IF(AND(N102&gt;25,N102&lt;=50),2,IF(AND(N102&gt;50,N102&lt;=100),3,IF(N102&gt;100,(ROUNDUP((N102-100)/100,0))+3,IF(AND(Q8&gt;0,Q8&lt;=25),1,IF(AND(Q8&gt;25,Q8&lt;=50),2,IF(AND(Q8&gt;50,Q8&lt;=100),3,IF(Q8&gt;100,(ROUNDUP((Q8-100)/100,0))+3,0))))))))</f>
        <v>0</v>
      </c>
      <c r="X19" s="31">
        <f>IF(AND(O102&gt;0,O102&lt;=25),1,IF(AND(O102&gt;25,O102&lt;=50),2,IF(AND(O102&gt;50,O102&lt;=100),3,IF(O102&gt;100,(ROUNDUP((O102-100)/100,0))+3,IF(AND(R8&gt;0,R8&lt;=25),1,IF(AND(R8&gt;25,R8&lt;=50),2,IF(AND(R8&gt;50,R8&lt;=100),3,IF(R8&gt;100,(ROUNDUP((R8-100)/100,0))+3,0))))))))</f>
        <v>0</v>
      </c>
      <c r="Y19" s="1">
        <f>IF(AND(N102&gt;0,N102&lt;=50),1,IF(AND(N102&gt;50,N102&lt;=100),2,IF(N102&gt;100,(ROUNDUP((N102-100)/100,0))+2,IF(AND(Q8&gt;0,Q8&lt;=50),1,IF(AND(Q8&gt;50,Q8&lt;=100),2,IF(Q8&gt;100,(ROUNDUP((Q8-100)/100,0))+2,0))))))</f>
        <v>0</v>
      </c>
      <c r="Z19" s="36">
        <f>IF(AND(O102&gt;0,O102&lt;=50),1,IF(AND(O102&gt;50,O102&lt;=100),2,IF(O102&gt;100,(ROUNDUP((O102-100)/100,0))+2,IF(AND(R8&gt;0,R8&lt;=50),1,IF(AND(R8&gt;50,R8&lt;=100),2,IF(R8&gt;100,(ROUNDUP((R8-100)/100,0))+2,0))))))</f>
        <v>0</v>
      </c>
      <c r="AA19" s="36">
        <f>IF(OR(N102&gt;0,O102&gt;0),ROUNDUP((N102+O102)/100,0),ROUNDUP(Q5/100,0))</f>
        <v>0</v>
      </c>
      <c r="AB19" s="36" t="s">
        <v>82</v>
      </c>
    </row>
    <row r="20" spans="1:28" x14ac:dyDescent="0.25">
      <c r="A20" s="82"/>
      <c r="B20" s="83"/>
      <c r="C20" s="110"/>
      <c r="D20" s="111"/>
      <c r="E20" s="111"/>
      <c r="F20" s="112"/>
      <c r="G20" s="112"/>
      <c r="H20" s="112"/>
      <c r="I20" s="112"/>
      <c r="J20" s="112"/>
      <c r="K20" s="112"/>
      <c r="L20" s="112"/>
      <c r="M20" s="114"/>
      <c r="N20" s="96"/>
      <c r="O20" s="97"/>
      <c r="U20" s="5" t="s">
        <v>115</v>
      </c>
      <c r="V20" t="s">
        <v>114</v>
      </c>
      <c r="W20" s="1">
        <f>IF(AND(N107&gt;0,N107&lt;=50),1,IF(AND(N107&gt;50,N107&lt;=100),2,IF(N107&gt;100,(ROUNDUP((N107-100)/100,0))+2,IF(AND(Q8&gt;0,Q8&lt;=50),1,IF(AND(Q8&gt;50,Q8&lt;=100),2,IF(Q8&gt;100,(ROUNDUP((Q8-100)/100,0))+2,0))))))</f>
        <v>0</v>
      </c>
      <c r="X20" s="31">
        <f>IF(AND(O107&gt;0,O107&lt;=50),1,IF(AND(O107&gt;50,O107&lt;=100),2,IF(O107&gt;100,(ROUNDUP((O107-100)/100,0))+2,IF(AND(R8&gt;0,R8&lt;=50),1,IF(AND(R8&gt;50,R8&lt;=100),2,IF(R8&gt;100,(ROUNDUP((R8-100)/100,0))+2,0))))))</f>
        <v>0</v>
      </c>
      <c r="Y20" s="1">
        <f>IF(AND(N107&gt;0,N107&lt;=50),1,IF(AND(N107&gt;50,N107&lt;=100),2,IF(N107&gt;100,(ROUNDUP((N107-100)/100,0))+2,IF(AND(Q8&gt;0,Q8&lt;=50),1,IF(AND(Q8&gt;50,Q8&lt;=100),2,IF(Q8&gt;100,(ROUNDUP((Q8-100)/100,0))+2,0))))))</f>
        <v>0</v>
      </c>
      <c r="Z20" s="36">
        <f>IF(AND(O107&gt;0,O107&lt;=50),1,IF(AND(O107&gt;50,O107&lt;=100),2,IF(O107&gt;100,(ROUNDUP((O107-100)/100,0))+2,IF(AND(R8&gt;0,R8&lt;=50),1,IF(AND(R8&gt;50,R8&lt;=100),2,IF(R8&gt;100,(ROUNDUP((R8-100)/100,0))+2,0))))))</f>
        <v>0</v>
      </c>
      <c r="AA20" s="36">
        <f>IF(OR(N107&gt;0,O107&gt;0),ROUNDUP((N107+O107)/500,0),ROUNDUP(Q5/500,0))</f>
        <v>0</v>
      </c>
      <c r="AB20" s="36" t="s">
        <v>82</v>
      </c>
    </row>
    <row r="21" spans="1:28" x14ac:dyDescent="0.25">
      <c r="A21" s="82"/>
      <c r="B21" s="83"/>
      <c r="C21" s="110"/>
      <c r="D21" s="111"/>
      <c r="E21" s="111"/>
      <c r="F21" s="112"/>
      <c r="G21" s="112"/>
      <c r="H21" s="112"/>
      <c r="I21" s="112"/>
      <c r="J21" s="112"/>
      <c r="K21" s="112"/>
      <c r="L21" s="112"/>
      <c r="M21" s="114"/>
      <c r="N21" s="96"/>
      <c r="O21" s="97"/>
      <c r="U21" s="5" t="s">
        <v>297</v>
      </c>
      <c r="V21" t="s">
        <v>117</v>
      </c>
      <c r="W21" s="1">
        <f>IF(AND(N115&gt;0,N115&lt;=15),1,IF(AND(N115&gt;15,N115&lt;=30),2,IF(AND(N115&gt;30,N115&lt;=50),3,IF(AND(N115&gt;50,N115&lt;=75),4,IF(AND(N115&gt;75,N115&lt;=100),4,IF(N115&gt;100,(ROUNDUP((N115-100)/50,0))+4,IF(AND(Q8&gt;0,Q8&lt;=15),1,IF(AND(Q8&gt;15,Q8&lt;=30),2,IF(AND(Q8&gt;30,Q8&lt;=50),3,IF(AND(Q8&gt;50,Q8&lt;=75),4,IF(AND(Q8&gt;75,Q8&lt;=100),5,IF(Q8&gt;100,(ROUNDUP((Q8-100)/50,0))+4,0))))))))))))</f>
        <v>0</v>
      </c>
      <c r="X21" s="31">
        <f>IF(AND(O115&gt;0,O115&lt;=15),1,IF(AND(O115&gt;15,O115&lt;=30),2,IF(AND(O115&gt;30,O115&lt;=50),3,IF(AND(O115&gt;50,O115&lt;=75),4,IF(AND(O115&gt;75,O115&lt;=100),4,IF(O115&gt;100,(ROUNDUP((O115-100)/50,0))+4,IF(AND(R8&gt;0,R8&lt;=15),1,IF(AND(R8&gt;15,R8&lt;=30),2,IF(AND(R8&gt;30,R8&lt;=50),3,IF(AND(R8&gt;50,R8&lt;=75),4,IF(AND(R8&gt;75,R8&lt;=100),5,IF(R8&gt;100,(ROUNDUP((R8-100)/50,0))+4,0))))))))))))</f>
        <v>0</v>
      </c>
      <c r="Y21" s="1">
        <f>IF(AND(N115&gt;0,N115&lt;=15),1,IF(AND(N115&gt;15,N115&lt;=30),2,IF(AND(N115&gt;30,N115&lt;=50),3,IF(AND(N115&gt;50,N115&lt;=75),4,IF(AND(N115&gt;75,N115&lt;=100),4,IF(N115&gt;100,(ROUNDUP((N115-100)/50,0))+4,IF(AND(Q8&gt;0,Q8&lt;=15),1,IF(AND(Q8&gt;15,Q8&lt;=30),2,IF(AND(Q8&gt;30,Q8&lt;=50),3,IF(AND(Q8&gt;50,Q8&lt;=75),4,IF(AND(Q8&gt;75,Q8&lt;=100),5,IF(Q8&gt;100,(ROUNDUP((Q8-100)/50,0))+4,0))))))))))))</f>
        <v>0</v>
      </c>
      <c r="Z21" s="36">
        <f>IF(AND(O115&gt;0,O115&lt;=15),1,IF(AND(O115&gt;15,O115&lt;=30),2,IF(AND(O115&gt;30,O115&lt;=50),3,IF(AND(O115&gt;50,O115&lt;=75),4,IF(AND(O115&gt;75,O115&lt;=100),4,IF(O115&gt;100,(ROUNDUP((O115-100)/50,0))+4,IF(AND(R8&gt;0,R8&lt;=15),1,IF(AND(R8&gt;15,R8&lt;=30),2,IF(AND(R8&gt;30,R8&lt;=50),3,IF(AND(R8&gt;50,R8&lt;=75),4,IF(AND(R8&gt;75,R8&lt;=100),5,IF(R8&gt;100,(ROUNDUP((R8-100)/50,0))+4,0))))))))))))</f>
        <v>0</v>
      </c>
      <c r="AA21" s="36">
        <f>IF(OR(N115&gt;0,O115&gt;0),ROUNDUP((N115+O115)/100,0),ROUNDUP(Q5/100,0))</f>
        <v>0</v>
      </c>
      <c r="AB21" s="36">
        <f>IF(OR(N115&gt;0,O115&gt;0),ROUNDUP((N115+O115)/15,0),ROUNDUP(Q5/15,0))</f>
        <v>0</v>
      </c>
    </row>
    <row r="22" spans="1:28" x14ac:dyDescent="0.25">
      <c r="A22" s="82"/>
      <c r="B22" s="83"/>
      <c r="C22" s="110" t="s">
        <v>118</v>
      </c>
      <c r="D22" s="111" t="s">
        <v>298</v>
      </c>
      <c r="E22" s="111"/>
      <c r="F22" s="112" t="str">
        <f>IF(AND(OR(N22&gt;0,O22&gt;0),N22+O22&lt;=15),"Single restroom okay for 15 or less (7.21.4(2))",IF(AND(OR(N22&gt;0,O22&gt;0),N22+O22&gt;Q5),W7,IF(Q5&lt;=15,"Single restroom okay for 15 or less (7.21.4(2))",W7)))</f>
        <v>Single restroom okay for 15 or less (7.21.4(2))</v>
      </c>
      <c r="G22" s="112" t="str">
        <f>IF(F22="Single restroom okay for 15 or less (7.21.4(2))","-",X7)</f>
        <v>-</v>
      </c>
      <c r="H22" s="112" t="s">
        <v>281</v>
      </c>
      <c r="I22" s="112">
        <f>Y7</f>
        <v>0</v>
      </c>
      <c r="J22" s="112" t="str">
        <f>IF(F22="Single restroom okay for 15 or less (7.21.4(2))","-",Z7)</f>
        <v>-</v>
      </c>
      <c r="K22" s="112" t="s">
        <v>82</v>
      </c>
      <c r="L22" s="112">
        <f>AA7</f>
        <v>0</v>
      </c>
      <c r="M22" s="114" t="s">
        <v>224</v>
      </c>
      <c r="N22" s="96">
        <v>0</v>
      </c>
      <c r="O22" s="97">
        <f>N22</f>
        <v>0</v>
      </c>
      <c r="U22" s="5" t="s">
        <v>113</v>
      </c>
      <c r="V22" t="s">
        <v>117</v>
      </c>
      <c r="W22" s="1">
        <f>IF(AND(N120&gt;0,N120&lt;=25),1,IF(AND(N120&gt;25,N120&lt;=50),2,IF(AND(N120&gt;50,N120&lt;=100),3,IF(N120&gt;100,(ROUNDUP((N120-100)/50,0))+3,IF(AND(Q8&gt;0,Q8&lt;=25),1,IF(AND(Q8&gt;25,Q8&lt;=50),2,IF(AND(Q8&gt;50,Q8&lt;=100),3,IF(Q8&gt;100,(ROUNDUP((Q8-100)/50,0))+3,0))))))))</f>
        <v>0</v>
      </c>
      <c r="X22" s="31">
        <f>IF(AND(O120&gt;0,O120&lt;=25),1,IF(AND(O120&gt;25,O120&lt;=50),2,IF(AND(O120&gt;50,O120&lt;=100),3,IF(O120&gt;100,(ROUNDUP((O120-100)/50,0))+3,IF(AND(R8&gt;0,R8&lt;=25),1,IF(AND(R8&gt;25,R8&lt;=50),2,IF(AND(R8&gt;50,R8&lt;=100),3,IF(R8&gt;100,(ROUNDUP((R8-100)/50,0))+3,0))))))))</f>
        <v>0</v>
      </c>
      <c r="Y22" s="1">
        <f>IF(AND(N120&gt;0,N120&lt;=50),1,IF(AND(N120&gt;50,N120&lt;=100),2,IF(N120&gt;100,(ROUNDUP((N120-100)/50,0))+2,IF(AND(Q8&gt;0,Q8&lt;=50),1,IF(AND(Q8&gt;50,Q8&lt;=100),2,IF(Q8&gt;100,(ROUNDUP((Q8-100)/50,0))+2,0))))))</f>
        <v>0</v>
      </c>
      <c r="Z22" s="36">
        <f>IF(AND(O120&gt;0,O120&lt;=50),1,IF(AND(O120&gt;50,O120&lt;=100),2,IF(O120&gt;100,(ROUNDUP((O120-100)/50,0))+2,IF(AND(R8&gt;0,R8&lt;=50),1,IF(AND(R8&gt;50,R8&lt;=100),2,IF(R8&gt;100,(ROUNDUP((R8-100)/50,0))+2,0))))))</f>
        <v>0</v>
      </c>
      <c r="AA22" s="36">
        <f>IF(OR(N120&gt;0,O120&gt;0),ROUNDUP((N120+O120)/100,0),ROUNDUP(Q5/100,0))</f>
        <v>0</v>
      </c>
      <c r="AB22" s="36" t="s">
        <v>82</v>
      </c>
    </row>
    <row r="23" spans="1:28" ht="14.45" customHeight="1" x14ac:dyDescent="0.25">
      <c r="A23" s="82"/>
      <c r="B23" s="83"/>
      <c r="C23" s="110"/>
      <c r="D23" s="111"/>
      <c r="E23" s="111"/>
      <c r="F23" s="112"/>
      <c r="G23" s="112"/>
      <c r="H23" s="112"/>
      <c r="I23" s="112"/>
      <c r="J23" s="112"/>
      <c r="K23" s="112"/>
      <c r="L23" s="112"/>
      <c r="M23" s="114"/>
      <c r="N23" s="96"/>
      <c r="O23" s="97"/>
      <c r="U23" s="5" t="s">
        <v>299</v>
      </c>
      <c r="V23" t="s">
        <v>117</v>
      </c>
      <c r="W23" s="1">
        <f>IF(AND(N125&gt;0,N125&lt;=50),1,IF(AND(N125&gt;50,N125&lt;=100),2,IF(N125&gt;100,(ROUNDUP((N125-100)/100,0))+2,IF(AND(Q8&gt;0,Q8&lt;=50),1,IF(AND(Q8&gt;50,Q8&lt;=100),2,IF(Q8&gt;100,(ROUNDUP((Q8-100)/100,0))+2,0))))))</f>
        <v>0</v>
      </c>
      <c r="X23" s="31">
        <f>IF(AND(O125&gt;0,O125&lt;=50),1,IF(AND(O125&gt;50,O125&lt;=100),2,IF(O125&gt;100,(ROUNDUP((O125-100)/100,0))+2,IF(AND(R8&gt;0,R8&lt;=50),1,IF(AND(R8&gt;50,R8&lt;=100),2,IF(R8&gt;100,(ROUNDUP((R8-100)/100,0))+2,0))))))</f>
        <v>0</v>
      </c>
      <c r="Y23" s="1">
        <f>IF(AND(N125&gt;0,N125&lt;=50),1,IF(AND(N125&gt;50,N125&lt;=100),2,IF(N125&gt;100,(ROUNDUP((N125-100)/100,0))+2,IF(AND(Q8&gt;0,Q8&lt;=50),1,IF(AND(Q8&gt;50,Q8&lt;=100),2,IF(Q8&gt;100,(ROUNDUP((Q8-100)/100,0))+2,0))))))</f>
        <v>0</v>
      </c>
      <c r="Z23" s="36">
        <f>IF(AND(O125&gt;0,O125&lt;=50),1,IF(AND(O125&gt;50,O125&lt;=100),2,IF(O125&gt;100,(ROUNDUP((O125-100)/100,0))+2,IF(AND(R8&gt;0,R8&lt;=50),1,IF(AND(R8&gt;50,R8&lt;=100),2,IF(R8&gt;100,(ROUNDUP((R8-100)/100,0))+2,0))))))</f>
        <v>0</v>
      </c>
      <c r="AA23" s="36">
        <f>IF(OR(N125&gt;0,O125&gt;0),ROUNDUP((N125+O125)/500,0),ROUNDUP(Q5/500,0))</f>
        <v>0</v>
      </c>
      <c r="AB23" s="36" t="s">
        <v>82</v>
      </c>
    </row>
    <row r="24" spans="1:28" x14ac:dyDescent="0.25">
      <c r="A24" s="82"/>
      <c r="B24" s="83"/>
      <c r="C24" s="110"/>
      <c r="D24" s="111"/>
      <c r="E24" s="111"/>
      <c r="F24" s="112"/>
      <c r="G24" s="112"/>
      <c r="H24" s="112"/>
      <c r="I24" s="112"/>
      <c r="J24" s="112"/>
      <c r="K24" s="112"/>
      <c r="L24" s="112"/>
      <c r="M24" s="114"/>
      <c r="N24" s="96"/>
      <c r="O24" s="97"/>
      <c r="U24" s="5" t="s">
        <v>120</v>
      </c>
      <c r="V24" t="s">
        <v>121</v>
      </c>
      <c r="W24" s="1">
        <f>IF(AND(N130&gt;0,N130&lt;=15),1,IF(AND(N130&gt;15,N130&lt;=30),2,IF(AND(N130&gt;30,N130&lt;=50),3,IF(AND(N130&gt;50,N130&lt;=75),4,IF(AND(N130&gt;75,N130&lt;=100),4,IF(N130&gt;100,(ROUNDUP((N130-100)/50,0))+4,IF(AND(Q8&gt;0,Q8&lt;=15),1,IF(AND(Q8&gt;15,Q8&lt;=30),2,IF(AND(Q8&gt;30,Q8&lt;=50),3,IF(AND(Q8&gt;50,Q8&lt;=75),4,IF(AND(Q8&gt;75,Q8&lt;=100),5,IF(Q8&gt;100,(ROUNDUP((Q8-100)/50,0))+4,0))))))))))))</f>
        <v>0</v>
      </c>
      <c r="X24" s="31">
        <f>IF(AND(O130&gt;0,O130&lt;=15),1,IF(AND(O130&gt;15,O130&lt;=30),2,IF(AND(O130&gt;30,O130&lt;=50),3,IF(AND(O130&gt;50,O130&lt;=75),4,IF(AND(O130&gt;75,O130&lt;=100),4,IF(O130&gt;100,(ROUNDUP((O130-100)/50,0))+4,IF(AND(R8&gt;0,R8&lt;=15),1,IF(AND(R8&gt;15,R8&lt;=30),2,IF(AND(R8&gt;30,R8&lt;=50),3,IF(AND(R8&gt;50,R8&lt;=75),4,IF(AND(R8&gt;75,R8&lt;=100),5,IF(R8&gt;100,(ROUNDUP((R8-100)/50,0))+4,0))))))))))))</f>
        <v>0</v>
      </c>
      <c r="Y24" s="1">
        <f>IF(AND(N130&gt;0,N130&lt;=15),1,IF(AND(N130&gt;15,N130&lt;=30),2,IF(AND(N130&gt;30,N130&lt;=50),3,IF(AND(N130&gt;50,N130&lt;=75),4,IF(AND(N130&gt;75,N130&lt;=100),4,IF(N130&gt;100,(ROUNDUP((N130-100)/50,0))+4,IF(AND(Q8&gt;0,Q8&lt;=15),1,IF(AND(Q8&gt;15,Q8&lt;=30),2,IF(AND(Q8&gt;30,Q8&lt;=50),3,IF(AND(Q8&gt;50,Q8&lt;=75),4,IF(AND(Q8&gt;75,Q8&lt;=100),5,IF(Q8&gt;100,(ROUNDUP((Q8-100)/50,0))+4,0))))))))))))</f>
        <v>0</v>
      </c>
      <c r="Z24" s="36">
        <f>IF(AND(O130&gt;0,O130&lt;=15),1,IF(AND(O130&gt;15,O130&lt;=30),2,IF(AND(O130&gt;30,O130&lt;=50),3,IF(AND(O130&gt;50,O130&lt;=75),4,IF(AND(O130&gt;75,O130&lt;=100),4,IF(O130&gt;100,(ROUNDUP((O130-100)/50,0))+4,IF(AND(R8&gt;0,R8&lt;=15),1,IF(AND(R8&gt;15,R8&lt;=30),2,IF(AND(R8&gt;30,R8&lt;=50),3,IF(AND(R8&gt;50,R8&lt;=75),4,IF(AND(R8&gt;75,R8&lt;=100),5,IF(R8&gt;100,(ROUNDUP((R8-100)/50,0))+4,0))))))))))))</f>
        <v>0</v>
      </c>
      <c r="AA24" s="36">
        <f>IF(OR(N130&gt;0,O130&gt;0),ROUNDUP((N130+O130)/100,0),ROUNDUP(Q5/100,0))</f>
        <v>0</v>
      </c>
      <c r="AB24" s="36" t="s">
        <v>82</v>
      </c>
    </row>
    <row r="25" spans="1:28" x14ac:dyDescent="0.25">
      <c r="A25" s="82"/>
      <c r="B25" s="83"/>
      <c r="C25" s="110"/>
      <c r="D25" s="111"/>
      <c r="E25" s="111"/>
      <c r="F25" s="112"/>
      <c r="G25" s="112"/>
      <c r="H25" s="112"/>
      <c r="I25" s="112"/>
      <c r="J25" s="112"/>
      <c r="K25" s="112"/>
      <c r="L25" s="112"/>
      <c r="M25" s="114"/>
      <c r="N25" s="96"/>
      <c r="O25" s="97"/>
      <c r="U25" s="5" t="s">
        <v>122</v>
      </c>
      <c r="V25" t="s">
        <v>123</v>
      </c>
      <c r="W25" s="1">
        <f>IF(AND(N136&gt;0,N136&lt;=50),1,IF(AND(N136&gt;50,N136&lt;=150),2,IF(AND(N136&gt;150,N136&lt;=400),3,IF(N136&gt;400,(ROUNDUP((N136-400)/400,0))+3,IF(AND(Q8&gt;0,Q8&lt;=50),1,IF(AND(Q8&gt;50,Q8&lt;=150),2,IF(AND(Q8&gt;150,Q8&lt;=400),3,IF(Q8&gt;400,(ROUNDUP((Q8-400)/400,0))+3,0))))))))</f>
        <v>0</v>
      </c>
      <c r="X25" s="31">
        <f>IF(AND(O136&gt;0,O136&lt;=50),1,IF(AND(O136&gt;50,O136&lt;=150),2,IF(AND(O136&gt;150,O136&lt;=400),3,IF(O136&gt;400,(ROUNDUP((O136-400)/400,0))+3,IF(AND(R8&gt;0,R8&lt;=50),1,IF(AND(R8&gt;50,R8&lt;=150),2,IF(AND(R8&gt;150,R8&lt;=400),3,IF(R8&gt;400,(ROUNDUP((R8-400)/400,0))+3,0))))))))</f>
        <v>0</v>
      </c>
      <c r="Y25" s="1">
        <f>IF(AND(N136&gt;0,N136&lt;=150),1,IF(AND(N136&gt;150,N136&lt;=400),2,IF(N136&gt;400,(ROUNDUP((N136-400)/400,0))+2,IF(AND(Q8&gt;0,Q8&lt;=150),1,IF(AND(Q8&gt;150,Q8&lt;=400),2,IF(Q8&gt;400,(ROUNDUP((Q8-400)/400,0))+2,0))))))</f>
        <v>0</v>
      </c>
      <c r="Z25" s="36">
        <f>IF(AND(O136&gt;0,O136&lt;=150),1,IF(AND(O136&gt;150,O136&lt;=400),2,IF(O136&gt;400,(ROUNDUP((O136-400)/400,0))+2,IF(AND(R8&gt;0,R8&lt;=150),1,IF(AND(R8&gt;150,R8&lt;=400),2,IF(R8&gt;400,(ROUNDUP((R8-400)/400,0))+2,0))))))</f>
        <v>0</v>
      </c>
      <c r="AA25" s="36">
        <f>IF(OR(N136&gt;0,O136&gt;0),ROUNDUP((N136+O136)/500,0),ROUNDUP(Q5/500,0))</f>
        <v>0</v>
      </c>
      <c r="AB25" s="36" t="s">
        <v>82</v>
      </c>
    </row>
    <row r="26" spans="1:28" x14ac:dyDescent="0.25">
      <c r="A26" s="82"/>
      <c r="B26" s="83"/>
      <c r="C26" s="110"/>
      <c r="D26" s="111"/>
      <c r="E26" s="111"/>
      <c r="F26" s="112"/>
      <c r="G26" s="112"/>
      <c r="H26" s="112"/>
      <c r="I26" s="112"/>
      <c r="J26" s="112"/>
      <c r="K26" s="112"/>
      <c r="L26" s="112"/>
      <c r="M26" s="114"/>
      <c r="N26" s="96"/>
      <c r="O26" s="97"/>
      <c r="U26" s="5" t="s">
        <v>124</v>
      </c>
      <c r="V26" t="s">
        <v>125</v>
      </c>
      <c r="W26" s="1">
        <f>IF(AND(N147&gt;0,N147&lt;=10),2,IF(AND(N147&gt;11,N147&lt;=20),3,IF(AND(N147&gt;20,N147&lt;=40),5,IF(AND(N147&gt;40,N147&lt;=60),7,IF(AND(N147&gt;60,N147&lt;=80),9,IF(AND(N147&gt;80,N147&lt;=100),11,IF(AND(N147&gt;100,N147&lt;=120),13,IF(AND(N147&gt;120,N147&lt;=140),15,IF(AND(N147&gt;140,N147&lt;=160),17,IF(AND(N147&gt;160,N147&lt;=180),19,IF(AND(N147&gt;180,N147&lt;=200),21,IF(AND(N147&gt;200,N147&lt;=220),23,IF(AND(N147&gt;220,N147&lt;=240),25,IF(AND(N147&gt;240,N147&lt;=260),27,IF(AND(N147&gt;260,N147&lt;=280),29,IF(AND(N147&gt;280,N147&lt;=300),31,IF(AND(N147&gt;320,N147&lt;=340),33,IF(AND(N147&gt;340,N147&lt;=360),35,IF(AND(N147&gt;360,N147&lt;=380),37,IF(AND(N147&gt;380,N147&lt;=400),39,IF(AND(N147&gt;400,N147&lt;=420),41,IF(AND(N147&gt;420,N147&lt;=440),43,IF(AND(N147&gt;440,N147&lt;=460),45,IF(AND(N147&gt;460,N147&lt;=480),47,IF(AND(N147&gt;480,N147&lt;=500),49,IF(AND(Q8&gt;0,Q8&lt;=10),2,IF(AND(Q8&gt;11,Q8&lt;=20),3,IF(AND(Q8&gt;20,Q8&lt;=40),5,IF(AND(Q8&gt;40,Q8&lt;=60),7,IF(AND(Q8&gt;60,Q8&lt;=80),9,IF(AND(Q8&gt;80,Q8&lt;=100),11,IF(AND(Q8&gt;100,Q8&lt;=120),13,IF(AND(Q8&gt;120,Q8&lt;=140),15,IF(AND(Q8&gt;140,Q8&lt;=160),17,IF(AND(Q8&gt;160,Q8&lt;=180),19,IF(AND(Q8&gt;180,Q8&lt;=200),21,IF(AND(Q8&gt;200,Q8&lt;=220),23,IF(AND(Q8&gt;220,Q8&lt;=240),25,IF(AND(Q8&gt;240,Q8&lt;=260),27,IF(AND(Q8&gt;260,Q8&lt;=280),29,IF(AND(Q8&gt;280,Q8&lt;=300),31,IF(AND(Q8&gt;320,Q8&lt;=340),33,IF(AND(Q8&gt;340,Q8&lt;=360),35,IF(AND(Q8&gt;360,Q8&lt;=380),37,IF(AND(Q8&gt;380,Q8&lt;=400),39,IF(AND(Q8&gt;400,Q8&lt;=420),41,IF(AND(Q8&gt;420,Q8&lt;=440),43,IF(AND(Q8&gt;440,Q8&lt;=460),45,IF(AND(Q8&gt;460,Q8&lt;=480),47,IF(AND(Q8&gt;480,Q8&lt;=500),49,0))))))))))))))))))))))))))))))))))))))))))))))))))</f>
        <v>0</v>
      </c>
      <c r="X26" s="36">
        <f>IF(AND(O147&gt;0,O147&lt;=10),2,IF(AND(O147&gt;11,O147&lt;=20),3,IF(AND(O147&gt;20,O147&lt;=40),5,IF(AND(O147&gt;40,O147&lt;=60),7,IF(AND(O147&gt;60,O147&lt;=80),9,IF(AND(O147&gt;80,O147&lt;=100),11,IF(AND(O147&gt;100,O147&lt;=120),13,IF(AND(O147&gt;120,O147&lt;=140),15,IF(AND(O147&gt;140,O147&lt;=160),17,IF(AND(O147&gt;160,O147&lt;=180),19,IF(AND(O147&gt;180,O147&lt;=200),21,IF(AND(O147&gt;200,O147&lt;=220),23,IF(AND(O147&gt;220,O147&lt;=240),25,IF(AND(O147&gt;240,O147&lt;=260),27,IF(AND(O147&gt;260,O147&lt;=280),29,IF(AND(O147&gt;280,O147&lt;=300),31,IF(AND(O147&gt;320,O147&lt;=340),33,IF(AND(O147&gt;340,O147&lt;=360),35,IF(AND(O147&gt;360,O147&lt;=380),37,IF(AND(O147&gt;380,O147&lt;=400),39,IF(AND(O147&gt;400,O147&lt;=420),41,IF(AND(O147&gt;420,O147&lt;=440),43,IF(AND(O147&gt;440,O147&lt;=460),45,IF(AND(O147&gt;460,O147&lt;=480),47,IF(AND(O147&gt;480,O147&lt;=500),49,IF(AND(R8&gt;0,R8&lt;=10),2,IF(AND(R8&gt;11,R8&lt;=20),3,IF(AND(R8&gt;20,R8&lt;=40),5,IF(AND(R8&gt;40,R8&lt;=60),7,IF(AND(R8&gt;60,R8&lt;=80),9,IF(AND(R8&gt;80,R8&lt;=100),11,IF(AND(R8&gt;100,R8&lt;=120),13,IF(AND(R8&gt;120,R8&lt;=140),15,IF(AND(R8&gt;140,R8&lt;=160),17,IF(AND(R8&gt;160,R8&lt;=180),19,IF(AND(R8&gt;180,R8&lt;=200),21,IF(AND(R8&gt;200,R8&lt;=220),23,IF(AND(R8&gt;220,R8&lt;=240),25,IF(AND(R8&gt;240,R8&lt;=260),27,IF(AND(R8&gt;260,R8&lt;=280),29,IF(AND(R8&gt;280,R8&lt;=300),31,IF(AND(R8&gt;320,R8&lt;=340),33,IF(AND(R8&gt;340,R8&lt;=360),35,IF(AND(R8&gt;360,R8&lt;=380),37,IF(AND(R8&gt;380,R8&lt;=400),39,IF(AND(R8&gt;400,R8&lt;=420),41,IF(AND(R8&gt;420,R8&lt;=440),43,IF(AND(R8&gt;440,R8&lt;=460),45,IF(AND(R8&gt;460,R8&lt;=480),47,IF(AND(R8&gt;480,R8&lt;=500),49,0))))))))))))))))))))))))))))))))))))))))))))))))))</f>
        <v>0</v>
      </c>
      <c r="Y26" s="1">
        <f>IF(AND(N147&gt;0,N147&lt;=10),2,IF(AND(N147&gt;11,N147&lt;=20),3,IF(AND(N147&gt;20,N147&lt;=40),5,IF(AND(N147&gt;40,N147&lt;=60),7,IF(AND(N147&gt;60,N147&lt;=80),9,IF(AND(N147&gt;80,N147&lt;=100),11,IF(AND(N147&gt;100,N147&lt;=120),13,IF(AND(N147&gt;120,N147&lt;=140),15,IF(AND(N147&gt;140,N147&lt;=160),17,IF(AND(N147&gt;160,N147&lt;=180),19,IF(AND(N147&gt;180,N147&lt;=200),21,IF(AND(N147&gt;200,N147&lt;=220),23,IF(AND(N147&gt;220,N147&lt;=240),25,IF(AND(N147&gt;240,N147&lt;=260),27,IF(AND(N147&gt;260,N147&lt;=280),29,IF(AND(N147&gt;280,N147&lt;=300),31,IF(AND(N147&gt;320,N147&lt;=340),33,IF(AND(N147&gt;340,N147&lt;=360),35,IF(AND(N147&gt;360,N147&lt;=380),37,IF(AND(N147&gt;380,N147&lt;=400),39,IF(AND(N147&gt;400,N147&lt;=420),41,IF(AND(N147&gt;420,N147&lt;=440),43,IF(AND(N147&gt;440,N147&lt;=460),45,IF(AND(N147&gt;460,N147&lt;=480),47,IF(AND(N147&gt;480,N147&lt;=500),49,IF(AND(Q8&gt;0,Q8&lt;=10),2,IF(AND(Q8&gt;11,Q8&lt;=20),3,IF(AND(Q8&gt;20,Q8&lt;=40),5,IF(AND(Q8&gt;40,Q8&lt;=60),7,IF(AND(Q8&gt;60,Q8&lt;=80),9,IF(AND(Q8&gt;80,Q8&lt;=100),11,IF(AND(Q8&gt;100,Q8&lt;=120),13,IF(AND(Q8&gt;120,Q8&lt;=140),15,IF(AND(Q8&gt;140,Q8&lt;=160),17,IF(AND(Q8&gt;160,Q8&lt;=180),19,IF(AND(Q8&gt;180,Q8&lt;=200),21,IF(AND(Q8&gt;200,Q8&lt;=220),23,IF(AND(Q8&gt;220,Q8&lt;=240),25,IF(AND(Q8&gt;240,Q8&lt;=260),27,IF(AND(Q8&gt;260,Q8&lt;=280),29,IF(AND(Q8&gt;280,Q8&lt;=300),31,IF(AND(Q8&gt;320,Q8&lt;=340),33,IF(AND(Q8&gt;340,Q8&lt;=360),35,IF(AND(Q8&gt;360,Q8&lt;=380),37,IF(AND(Q8&gt;380,Q8&lt;=400),39,IF(AND(Q8&gt;400,Q8&lt;=420),41,IF(AND(Q8&gt;420,Q8&lt;=440),43,IF(AND(Q8&gt;440,Q8&lt;=460),45,IF(AND(Q8&gt;460,Q8&lt;=480),47,IF(AND(Q8&gt;480,Q8&lt;=500),49,0))))))))))))))))))))))))))))))))))))))))))))))))))</f>
        <v>0</v>
      </c>
      <c r="Z26" s="36">
        <f>IF(AND(O147&gt;0,O147&lt;=10),2,IF(AND(O147&gt;11,O147&lt;=20),3,IF(AND(O147&gt;20,O147&lt;=40),5,IF(AND(O147&gt;40,O147&lt;=60),7,IF(AND(O147&gt;60,O147&lt;=80),9,IF(AND(O147&gt;80,O147&lt;=100),11,IF(AND(O147&gt;100,O147&lt;=120),13,IF(AND(O147&gt;120,O147&lt;=140),15,IF(AND(O147&gt;140,O147&lt;=160),17,IF(AND(O147&gt;160,O147&lt;=180),19,IF(AND(O147&gt;180,O147&lt;=200),21,IF(AND(O147&gt;200,O147&lt;=220),23,IF(AND(O147&gt;220,O147&lt;=240),25,IF(AND(O147&gt;240,O147&lt;=260),27,IF(AND(O147&gt;260,O147&lt;=280),29,IF(AND(O147&gt;280,O147&lt;=300),31,IF(AND(O147&gt;320,O147&lt;=340),33,IF(AND(O147&gt;340,O147&lt;=360),35,IF(AND(O147&gt;360,O147&lt;=380),37,IF(AND(O147&gt;380,O147&lt;=400),39,IF(AND(O147&gt;400,O147&lt;=420),41,IF(AND(O147&gt;420,O147&lt;=440),43,IF(AND(O147&gt;440,O147&lt;=460),45,IF(AND(O147&gt;460,O147&lt;=480),47,IF(AND(O147&gt;480,O147&lt;=500),49,IF(AND(R8&gt;0,R8&lt;=10),2,IF(AND(R8&gt;11,R8&lt;=20),3,IF(AND(R8&gt;20,R8&lt;=40),5,IF(AND(R8&gt;40,R8&lt;=60),7,IF(AND(R8&gt;60,R8&lt;=80),9,IF(AND(R8&gt;80,R8&lt;=100),11,IF(AND(R8&gt;100,R8&lt;=120),13,IF(AND(R8&gt;120,R8&lt;=140),15,IF(AND(R8&gt;140,R8&lt;=160),17,IF(AND(R8&gt;160,R8&lt;=180),19,IF(AND(R8&gt;180,R8&lt;=200),21,IF(AND(R8&gt;200,R8&lt;=220),23,IF(AND(R8&gt;220,R8&lt;=240),25,IF(AND(R8&gt;240,R8&lt;=260),27,IF(AND(R8&gt;260,R8&lt;=280),29,IF(AND(R8&gt;280,R8&lt;=300),31,IF(AND(R8&gt;320,R8&lt;=340),33,IF(AND(R8&gt;340,R8&lt;=360),35,IF(AND(R8&gt;360,R8&lt;=380),37,IF(AND(R8&gt;380,R8&lt;=400),39,IF(AND(R8&gt;400,R8&lt;=420),41,IF(AND(R8&gt;420,R8&lt;=440),43,IF(AND(R8&gt;440,R8&lt;=460),45,IF(AND(R8&gt;460,R8&lt;=480),47,IF(AND(R8&gt;480,R8&lt;=500),49,0))))))))))))))))))))))))))))))))))))))))))))))))))</f>
        <v>0</v>
      </c>
      <c r="AA26" s="36">
        <f>IF(OR(N147&gt;0,O147&gt;0),ROUNDUP((N147+O147)/100,0),ROUNDUP(Q5/100,0))</f>
        <v>0</v>
      </c>
      <c r="AB26" s="36">
        <f>IF(OR(N147&gt;0,O147&gt;0),ROUNDUP((N147+O147)/8,0),ROUNDUP(Q5/8,0))</f>
        <v>0</v>
      </c>
    </row>
    <row r="27" spans="1:28" x14ac:dyDescent="0.25">
      <c r="A27" s="82"/>
      <c r="B27" s="83"/>
      <c r="C27" s="110"/>
      <c r="D27" s="111"/>
      <c r="E27" s="111"/>
      <c r="F27" s="112"/>
      <c r="G27" s="112"/>
      <c r="H27" s="112"/>
      <c r="I27" s="112"/>
      <c r="J27" s="112"/>
      <c r="K27" s="112"/>
      <c r="L27" s="112"/>
      <c r="M27" s="114"/>
      <c r="N27" s="96"/>
      <c r="O27" s="97"/>
      <c r="U27" s="5" t="s">
        <v>126</v>
      </c>
      <c r="V27" t="s">
        <v>127</v>
      </c>
      <c r="W27" s="1">
        <f>IF(AND(N162&gt;0,N162&lt;=10),1,IF(N162&gt;10,(ROUNDUP((N162-10)/10,0))+1,IF(AND(Q8&gt;0,Q8&lt;=10),1,IF(Q8&gt;10,(ROUNDUP((Q8-10)/10,0))+1,0))))</f>
        <v>0</v>
      </c>
      <c r="X27" s="31">
        <f>IF(AND(O162&gt;0,O162&lt;=10),1,IF(O162&gt;10,(ROUNDUP((O162-10)/10,0))+1,IF(AND(R8&gt;0,R8&lt;=10),1,IF(R8&gt;10,(ROUNDUP((R8-10)/10,0))+1,0))))</f>
        <v>0</v>
      </c>
      <c r="Y27" s="1">
        <f>IF(AND(N162&gt;0,N162&lt;=10),1,IF(N162&gt;10,(ROUNDUP((N162-10)/10,0))+1,IF(AND(Q8&gt;0,Q8&lt;=10),1,IF(Q8&gt;10,(ROUNDUP((Q8-10)/10,0))+1,0))))</f>
        <v>0</v>
      </c>
      <c r="Z27" s="36">
        <f>IF(AND(O162&gt;0,O162&lt;=10),1,IF(O162&gt;10,(ROUNDUP((O162-10)/10,0))+1,IF(AND(R8&gt;0,R8&lt;=10),1,IF(R8&gt;10,(ROUNDUP((R8-10)/10,0))+1,0))))</f>
        <v>0</v>
      </c>
      <c r="AA27" s="36">
        <f>IF(OR(N162&gt;0,O162&gt;0),ROUNDUP((N162+O162)/100,0),ROUNDUP(Q5/100,0))</f>
        <v>0</v>
      </c>
      <c r="AB27" s="36">
        <f>IF(OR(N162&gt;0,O162&gt;0),ROUNDUP((N162+O162)/8,0),ROUNDUP(Q5/8,0))</f>
        <v>0</v>
      </c>
    </row>
    <row r="28" spans="1:28" x14ac:dyDescent="0.25">
      <c r="A28" s="82"/>
      <c r="B28" s="83"/>
      <c r="C28" s="110"/>
      <c r="D28" s="111"/>
      <c r="E28" s="111"/>
      <c r="F28" s="112"/>
      <c r="G28" s="112"/>
      <c r="H28" s="112"/>
      <c r="I28" s="112"/>
      <c r="J28" s="112"/>
      <c r="K28" s="112"/>
      <c r="L28" s="112"/>
      <c r="M28" s="114"/>
      <c r="N28" s="96"/>
      <c r="O28" s="97"/>
      <c r="U28" s="5" t="s">
        <v>126</v>
      </c>
      <c r="V28" t="s">
        <v>184</v>
      </c>
      <c r="W28" s="1">
        <f>IF(AND(N165&gt;0,N165&lt;=10),1,IF(N165&gt;10,(ROUNDUP((N165-10)/10,0))+1,IF(AND(Q8&gt;0,Q8&lt;=10),1,IF(Q8&gt;10,(ROUNDUP((Q8-10)/10,0))+1,0))))</f>
        <v>0</v>
      </c>
      <c r="X28" s="31">
        <f>IF(AND(O165&gt;0,O165&lt;=10),1,IF(O165&gt;10,(ROUNDUP((O165-10)/10,0))+1,IF(AND(R8&gt;0,R8&lt;=10),1,IF(R8&gt;10,(ROUNDUP((R8-10)/10,0))+1,0))))</f>
        <v>0</v>
      </c>
      <c r="Y28" s="1">
        <f>IF(AND(N165&gt;0,N165&lt;=10),1,IF(N165&gt;10,(ROUNDUP((N165-10)/10,0))+1,IF(AND(Q8&gt;0,Q8&lt;=10),1,IF(Q8&gt;10,(ROUNDUP((Q8-10)/10,0))+1,0))))</f>
        <v>0</v>
      </c>
      <c r="Z28" s="36">
        <f>IF(AND(O165&gt;0,O165&lt;=10),1,IF(O165&gt;10,(ROUNDUP((O165-10)/10,0))+1,IF(AND(R8&gt;0,R8&lt;=10),1,IF(R8&gt;10,(ROUNDUP((R8-10)/10,0))+1,0))))</f>
        <v>0</v>
      </c>
      <c r="AA28" s="36">
        <f>IF(OR(N165&gt;0,O165&gt;0),ROUNDUP((N165+O165)/100,0),ROUNDUP(Q5/100,0))</f>
        <v>0</v>
      </c>
      <c r="AB28" s="36">
        <f>IF(OR(N165&gt;0,O165&gt;0),ROUNDUP((N165+O165)/8,0),ROUNDUP(Q5/8,0))</f>
        <v>0</v>
      </c>
    </row>
    <row r="29" spans="1:28" ht="15.75" thickBot="1" x14ac:dyDescent="0.3">
      <c r="A29" s="82"/>
      <c r="B29" s="83"/>
      <c r="C29" s="110"/>
      <c r="D29" s="111"/>
      <c r="E29" s="111"/>
      <c r="F29" s="112"/>
      <c r="G29" s="112"/>
      <c r="H29" s="112"/>
      <c r="I29" s="112"/>
      <c r="J29" s="112"/>
      <c r="K29" s="112"/>
      <c r="L29" s="112"/>
      <c r="M29" s="98"/>
      <c r="N29" s="96"/>
      <c r="O29" s="97"/>
      <c r="U29" s="5" t="s">
        <v>128</v>
      </c>
      <c r="V29" t="s">
        <v>129</v>
      </c>
      <c r="W29" s="34">
        <f>IF(AND(N168&gt;0,N168&lt;=50),1,IF(AND(N168&gt;50,N168&lt;=100),2,IF(N168&gt;100,(ROUNDUP((N168-100)/100,0))+2,IF(AND(Q8&gt;0,Q8&lt;=50),1,IF(AND(Q8&gt;50,Q8&lt;=100),2,IF(Q8&gt;100,(ROUNDUP((Q8-100)/100,0))+2,0))))))</f>
        <v>0</v>
      </c>
      <c r="X29" s="35">
        <f>IF(AND(O168&gt;0,O168&lt;=50),1,IF(AND(O168&gt;50,O168&lt;=100),2,IF(O168&gt;100,(ROUNDUP((O168-100)/100,0))+2,IF(AND(R8&gt;0,R8&lt;=50),1,IF(AND(R8&gt;50,R8&lt;=100),2,IF(R8&gt;100,(ROUNDUP((R8-100)/100,0))+2,0))))))</f>
        <v>0</v>
      </c>
      <c r="Y29" s="34">
        <f>IF(AND(N168&gt;0,N168&lt;=50),1,IF(AND(N168&gt;50,N168&lt;=100),2,IF(N168&gt;100,(ROUNDUP((N168-100)/100,0))+2,IF(AND(Q8&gt;0,Q8&lt;=50),1,IF(AND(Q8&gt;50,Q8&lt;=100),2,IF(Q8&gt;100,(ROUNDUP((Q8-100)/100,0))+2,0))))))</f>
        <v>0</v>
      </c>
      <c r="Z29" s="35">
        <f>IF(AND(O168&gt;0,O168&lt;=50),1,IF(AND(O168&gt;50,O168&lt;=100),2,IF(O168&gt;100,(ROUNDUP((O168-100)/100,0))+2,IF(AND(R8&gt;0,R8&lt;=50),1,IF(AND(R8&gt;50,R8&lt;=100),2,IF(R8&gt;100,(ROUNDUP((R8-100)/100,0))+2,0))))))</f>
        <v>0</v>
      </c>
      <c r="AA29" s="37">
        <f>IF(OR(N168&gt;0,O168&gt;0),ROUNDUP((N168+O168)/500,0),ROUNDUP(Q5/500,0))</f>
        <v>0</v>
      </c>
      <c r="AB29" s="37" t="s">
        <v>82</v>
      </c>
    </row>
    <row r="30" spans="1:28" x14ac:dyDescent="0.25">
      <c r="A30" s="82"/>
      <c r="B30" s="83"/>
      <c r="C30" s="110"/>
      <c r="D30" s="111"/>
      <c r="E30" s="111"/>
      <c r="F30" s="112"/>
      <c r="G30" s="112"/>
      <c r="H30" s="112"/>
      <c r="I30" s="112"/>
      <c r="J30" s="112"/>
      <c r="K30" s="112"/>
      <c r="L30" s="112"/>
      <c r="M30" s="98"/>
      <c r="N30" s="96"/>
      <c r="O30" s="97"/>
    </row>
    <row r="31" spans="1:28" x14ac:dyDescent="0.25">
      <c r="A31" s="82"/>
      <c r="B31" s="83"/>
      <c r="C31" s="110"/>
      <c r="D31" s="111"/>
      <c r="E31" s="111"/>
      <c r="F31" s="112"/>
      <c r="G31" s="112"/>
      <c r="H31" s="112"/>
      <c r="I31" s="112"/>
      <c r="J31" s="112"/>
      <c r="K31" s="112"/>
      <c r="L31" s="112"/>
      <c r="M31" s="98"/>
      <c r="N31" s="96"/>
      <c r="O31" s="97"/>
      <c r="U31" s="5"/>
      <c r="W31" s="3"/>
      <c r="X31" s="3"/>
      <c r="Y31" s="3"/>
      <c r="Z31" s="3"/>
      <c r="AA31" s="1"/>
      <c r="AB31" s="1"/>
    </row>
    <row r="32" spans="1:28" ht="14.45" customHeight="1" x14ac:dyDescent="0.25">
      <c r="A32" s="82"/>
      <c r="B32" s="83"/>
      <c r="C32" s="110"/>
      <c r="D32" s="111" t="s">
        <v>131</v>
      </c>
      <c r="E32" s="111"/>
      <c r="F32" s="112" t="str">
        <f>IF(AND(OR(N32&gt;0,O32&gt;0),N32+O32&lt;=15),"Single restroom okay for 15 or less (7.21.4(2))",IF(AND(OR(N32&gt;0,O32&gt;0),N32+O32&gt;Q5),W8,IF(Q5&lt;=15,"Single restroom okay for 15 or less (7.21.4(2))",W8)))</f>
        <v>Single restroom okay for 15 or less (7.21.4(2))</v>
      </c>
      <c r="G32" s="112" t="str">
        <f>IF(F32="Single restroom okay for 15 or less (7.21.4(2))","-",X8)</f>
        <v>-</v>
      </c>
      <c r="H32" s="112" t="s">
        <v>281</v>
      </c>
      <c r="I32" s="112">
        <f>Y8</f>
        <v>0</v>
      </c>
      <c r="J32" s="112" t="str">
        <f>IF(F32="Single restroom okay for 15 or less (7.21.4(2))","-",Z8)</f>
        <v>-</v>
      </c>
      <c r="K32" s="112" t="s">
        <v>82</v>
      </c>
      <c r="L32" s="112">
        <f>AA8</f>
        <v>0</v>
      </c>
      <c r="M32" s="114" t="s">
        <v>224</v>
      </c>
      <c r="N32" s="96">
        <v>0</v>
      </c>
      <c r="O32" s="97">
        <f>N32</f>
        <v>0</v>
      </c>
      <c r="U32" s="5"/>
      <c r="W32" s="3"/>
      <c r="X32" s="3"/>
      <c r="Y32" s="3"/>
      <c r="Z32" s="3"/>
      <c r="AA32" s="1"/>
      <c r="AB32" s="1"/>
    </row>
    <row r="33" spans="1:16" x14ac:dyDescent="0.25">
      <c r="A33" s="82"/>
      <c r="B33" s="83"/>
      <c r="C33" s="110"/>
      <c r="D33" s="111"/>
      <c r="E33" s="111"/>
      <c r="F33" s="112"/>
      <c r="G33" s="112"/>
      <c r="H33" s="112"/>
      <c r="I33" s="112"/>
      <c r="J33" s="112"/>
      <c r="K33" s="112"/>
      <c r="L33" s="112"/>
      <c r="M33" s="114"/>
      <c r="N33" s="96"/>
      <c r="O33" s="97"/>
    </row>
    <row r="34" spans="1:16" x14ac:dyDescent="0.25">
      <c r="A34" s="82"/>
      <c r="B34" s="83"/>
      <c r="C34" s="110"/>
      <c r="D34" s="111"/>
      <c r="E34" s="111"/>
      <c r="F34" s="112"/>
      <c r="G34" s="112"/>
      <c r="H34" s="112"/>
      <c r="I34" s="112"/>
      <c r="J34" s="112"/>
      <c r="K34" s="112"/>
      <c r="L34" s="112"/>
      <c r="M34" s="114"/>
      <c r="N34" s="96"/>
      <c r="O34" s="97"/>
    </row>
    <row r="35" spans="1:16" ht="14.45" customHeight="1" x14ac:dyDescent="0.25">
      <c r="A35" s="82"/>
      <c r="B35" s="83"/>
      <c r="C35" s="110"/>
      <c r="D35" s="111"/>
      <c r="E35" s="111"/>
      <c r="F35" s="112"/>
      <c r="G35" s="112"/>
      <c r="H35" s="112"/>
      <c r="I35" s="112"/>
      <c r="J35" s="112"/>
      <c r="K35" s="112"/>
      <c r="L35" s="112"/>
      <c r="M35" s="114"/>
      <c r="N35" s="96"/>
      <c r="O35" s="97"/>
    </row>
    <row r="36" spans="1:16" x14ac:dyDescent="0.25">
      <c r="A36" s="82"/>
      <c r="B36" s="83"/>
      <c r="C36" s="110"/>
      <c r="D36" s="111"/>
      <c r="E36" s="111"/>
      <c r="F36" s="112"/>
      <c r="G36" s="112"/>
      <c r="H36" s="112"/>
      <c r="I36" s="112"/>
      <c r="J36" s="112"/>
      <c r="K36" s="112"/>
      <c r="L36" s="112"/>
      <c r="M36" s="114"/>
      <c r="N36" s="96"/>
      <c r="O36" s="97"/>
    </row>
    <row r="37" spans="1:16" x14ac:dyDescent="0.25">
      <c r="A37" s="82"/>
      <c r="B37" s="83"/>
      <c r="C37" s="110"/>
      <c r="D37" s="111"/>
      <c r="E37" s="111"/>
      <c r="F37" s="112"/>
      <c r="G37" s="112"/>
      <c r="H37" s="112"/>
      <c r="I37" s="112"/>
      <c r="J37" s="112"/>
      <c r="K37" s="112"/>
      <c r="L37" s="112"/>
      <c r="M37" s="114"/>
      <c r="N37" s="96"/>
      <c r="O37" s="97"/>
    </row>
    <row r="38" spans="1:16" ht="14.45" customHeight="1" x14ac:dyDescent="0.25">
      <c r="A38" s="82"/>
      <c r="B38" s="83"/>
      <c r="C38" s="110"/>
      <c r="D38" s="111" t="s">
        <v>132</v>
      </c>
      <c r="E38" s="111"/>
      <c r="F38" s="112" t="str">
        <f>IF(AND(OR(N38&gt;0,O38&gt;0),N38+O38&lt;=15),"Single restroom okay for 15 or less (7.21.4(2))",IF(AND(OR(N38&gt;0,O38&gt;0),N38+O38&gt;Q5),W9,IF(Q5&lt;=15,"Single restroom okay for 15 or less (7.21.4(2))",W9)))</f>
        <v>Single restroom okay for 15 or less (7.21.4(2))</v>
      </c>
      <c r="G38" s="112" t="str">
        <f>IF(F38="Single restroom okay for 15 or less (7.21.4(2))","-",X9)</f>
        <v>-</v>
      </c>
      <c r="H38" s="112" t="s">
        <v>281</v>
      </c>
      <c r="I38" s="112">
        <f>Y9</f>
        <v>0</v>
      </c>
      <c r="J38" s="112" t="str">
        <f>IF(F38="Single restroom okay for 15 or less (7.21.4(2))","-",Z9)</f>
        <v>-</v>
      </c>
      <c r="K38" s="112" t="s">
        <v>82</v>
      </c>
      <c r="L38" s="112">
        <f>AA9</f>
        <v>0</v>
      </c>
      <c r="M38" s="121" t="s">
        <v>224</v>
      </c>
      <c r="N38" s="96">
        <v>0</v>
      </c>
      <c r="O38" s="97">
        <f>N38</f>
        <v>0</v>
      </c>
    </row>
    <row r="39" spans="1:16" x14ac:dyDescent="0.25">
      <c r="A39" s="82"/>
      <c r="B39" s="83"/>
      <c r="C39" s="110"/>
      <c r="D39" s="111"/>
      <c r="E39" s="111"/>
      <c r="F39" s="112"/>
      <c r="G39" s="112"/>
      <c r="H39" s="112"/>
      <c r="I39" s="112"/>
      <c r="J39" s="112"/>
      <c r="K39" s="112"/>
      <c r="L39" s="112"/>
      <c r="M39" s="114"/>
      <c r="N39" s="96"/>
      <c r="O39" s="97"/>
    </row>
    <row r="40" spans="1:16" x14ac:dyDescent="0.25">
      <c r="A40" s="82"/>
      <c r="B40" s="83"/>
      <c r="C40" s="110"/>
      <c r="D40" s="111"/>
      <c r="E40" s="111"/>
      <c r="F40" s="112"/>
      <c r="G40" s="112"/>
      <c r="H40" s="112"/>
      <c r="I40" s="112"/>
      <c r="J40" s="112"/>
      <c r="K40" s="112"/>
      <c r="L40" s="112"/>
      <c r="M40" s="114"/>
      <c r="N40" s="96"/>
      <c r="O40" s="97"/>
    </row>
    <row r="41" spans="1:16" x14ac:dyDescent="0.25">
      <c r="A41" s="82"/>
      <c r="B41" s="83"/>
      <c r="C41" s="110"/>
      <c r="D41" s="111"/>
      <c r="E41" s="111"/>
      <c r="F41" s="112"/>
      <c r="G41" s="112"/>
      <c r="H41" s="112"/>
      <c r="I41" s="112"/>
      <c r="J41" s="112"/>
      <c r="K41" s="112"/>
      <c r="L41" s="112"/>
      <c r="M41" s="114"/>
      <c r="N41" s="96"/>
      <c r="O41" s="97"/>
    </row>
    <row r="42" spans="1:16" x14ac:dyDescent="0.25">
      <c r="A42" s="82"/>
      <c r="B42" s="83"/>
      <c r="C42" s="110"/>
      <c r="D42" s="111"/>
      <c r="E42" s="111"/>
      <c r="F42" s="112"/>
      <c r="G42" s="112"/>
      <c r="H42" s="112"/>
      <c r="I42" s="112"/>
      <c r="J42" s="112"/>
      <c r="K42" s="112"/>
      <c r="L42" s="112"/>
      <c r="M42" s="114"/>
      <c r="N42" s="96"/>
      <c r="O42" s="97"/>
    </row>
    <row r="43" spans="1:16" x14ac:dyDescent="0.25">
      <c r="A43" s="82"/>
      <c r="B43" s="83"/>
      <c r="C43" s="110"/>
      <c r="D43" s="111"/>
      <c r="E43" s="111"/>
      <c r="F43" s="112"/>
      <c r="G43" s="112"/>
      <c r="H43" s="112"/>
      <c r="I43" s="112"/>
      <c r="J43" s="112"/>
      <c r="K43" s="112"/>
      <c r="L43" s="112"/>
      <c r="M43" s="98"/>
      <c r="N43" s="96"/>
      <c r="O43" s="97"/>
    </row>
    <row r="44" spans="1:16" ht="15" customHeight="1" x14ac:dyDescent="0.25">
      <c r="A44" s="82"/>
      <c r="B44" s="83"/>
      <c r="C44" s="110"/>
      <c r="D44" s="111" t="s">
        <v>300</v>
      </c>
      <c r="E44" s="111"/>
      <c r="F44" s="112" t="str">
        <f>IF(AND(OR(N44&gt;0,O44&gt;0),N44+O44&lt;=15),"Single restroom okay for 15 or less (7.21.4(2))",IF(AND(OR(N44&gt;0,O44&gt;0),N44+O44&gt;Q5),W10,IF(Q5&lt;=15,"Single restroom okay for 15 or less (7.21.4(2))",W10)))</f>
        <v>Single restroom okay for 15 or less (7.21.4(2))</v>
      </c>
      <c r="G44" s="112" t="str">
        <f>IF(F44="Single restroom okay for 15 or less (7.21.4(2))","-",#REF!)</f>
        <v>-</v>
      </c>
      <c r="H44" s="112" t="s">
        <v>281</v>
      </c>
      <c r="I44" s="112">
        <f>Y10</f>
        <v>0</v>
      </c>
      <c r="J44" s="112" t="str">
        <f>IF(F44="Single restroom okay for 15 or less (7.21.4(2))","-",Z10)</f>
        <v>-</v>
      </c>
      <c r="K44" s="112" t="s">
        <v>82</v>
      </c>
      <c r="L44" s="112">
        <f>AA10</f>
        <v>0</v>
      </c>
      <c r="M44" s="114" t="s">
        <v>224</v>
      </c>
      <c r="N44" s="96">
        <v>0</v>
      </c>
      <c r="O44" s="97">
        <f>N44</f>
        <v>0</v>
      </c>
      <c r="P44" s="7"/>
    </row>
    <row r="45" spans="1:16" x14ac:dyDescent="0.25">
      <c r="A45" s="82"/>
      <c r="B45" s="83"/>
      <c r="C45" s="110"/>
      <c r="D45" s="111"/>
      <c r="E45" s="111"/>
      <c r="F45" s="112"/>
      <c r="G45" s="112"/>
      <c r="H45" s="112"/>
      <c r="I45" s="112"/>
      <c r="J45" s="112"/>
      <c r="K45" s="112"/>
      <c r="L45" s="112"/>
      <c r="M45" s="114"/>
      <c r="N45" s="96"/>
      <c r="O45" s="97"/>
      <c r="P45" s="7"/>
    </row>
    <row r="46" spans="1:16" ht="14.45" customHeight="1" x14ac:dyDescent="0.25">
      <c r="A46" s="82"/>
      <c r="B46" s="83"/>
      <c r="C46" s="110"/>
      <c r="D46" s="111"/>
      <c r="E46" s="111"/>
      <c r="F46" s="112"/>
      <c r="G46" s="112"/>
      <c r="H46" s="112"/>
      <c r="I46" s="112"/>
      <c r="J46" s="112"/>
      <c r="K46" s="112"/>
      <c r="L46" s="112"/>
      <c r="M46" s="114"/>
      <c r="N46" s="96"/>
      <c r="O46" s="97"/>
      <c r="P46" s="7"/>
    </row>
    <row r="47" spans="1:16" x14ac:dyDescent="0.25">
      <c r="A47" s="82"/>
      <c r="B47" s="83"/>
      <c r="C47" s="110"/>
      <c r="D47" s="111"/>
      <c r="E47" s="111"/>
      <c r="F47" s="112"/>
      <c r="G47" s="112"/>
      <c r="H47" s="112"/>
      <c r="I47" s="112"/>
      <c r="J47" s="112"/>
      <c r="K47" s="112"/>
      <c r="L47" s="112"/>
      <c r="M47" s="114"/>
      <c r="N47" s="96"/>
      <c r="O47" s="97"/>
      <c r="P47" s="7"/>
    </row>
    <row r="48" spans="1:16" x14ac:dyDescent="0.25">
      <c r="A48" s="82"/>
      <c r="B48" s="83"/>
      <c r="C48" s="110"/>
      <c r="D48" s="111"/>
      <c r="E48" s="111"/>
      <c r="F48" s="112"/>
      <c r="G48" s="112"/>
      <c r="H48" s="112"/>
      <c r="I48" s="112"/>
      <c r="J48" s="112"/>
      <c r="K48" s="112"/>
      <c r="L48" s="112"/>
      <c r="M48" s="114"/>
      <c r="N48" s="96"/>
      <c r="O48" s="97"/>
      <c r="P48" s="7"/>
    </row>
    <row r="49" spans="1:17" x14ac:dyDescent="0.25">
      <c r="A49" s="82"/>
      <c r="B49" s="83"/>
      <c r="C49" s="110"/>
      <c r="D49" s="111"/>
      <c r="E49" s="111"/>
      <c r="F49" s="112"/>
      <c r="G49" s="112"/>
      <c r="H49" s="112"/>
      <c r="I49" s="112"/>
      <c r="J49" s="112"/>
      <c r="K49" s="112"/>
      <c r="L49" s="112"/>
      <c r="M49" s="114"/>
      <c r="N49" s="96"/>
      <c r="O49" s="97"/>
      <c r="P49" s="7"/>
    </row>
    <row r="50" spans="1:17" ht="14.45" customHeight="1" x14ac:dyDescent="0.25">
      <c r="A50" s="82"/>
      <c r="B50" s="83"/>
      <c r="C50" s="110" t="s">
        <v>133</v>
      </c>
      <c r="D50" s="111" t="s">
        <v>134</v>
      </c>
      <c r="E50" s="111"/>
      <c r="F50" s="112" t="str">
        <f>IF(AND(OR(N50&gt;0,O50&gt;0),N50+O50&lt;=15),"Single restroom okay for 15 or less (7.21.4(2))",IF(AND(OR(N50&gt;0,O50&gt;0),N50+O50&gt;Q5),W11,IF(Q5&lt;=15,"Single restroom okay for 15 or less (7.21.4(2))",W11)))</f>
        <v>Single restroom okay for 15 or less (7.21.4(2))</v>
      </c>
      <c r="G50" s="112" t="str">
        <f>IF(F50="Single restroom okay for 15 or less (7.21.4(2))","-",X11)</f>
        <v>-</v>
      </c>
      <c r="H50" s="112" t="s">
        <v>281</v>
      </c>
      <c r="I50" s="112">
        <f>Y11</f>
        <v>0</v>
      </c>
      <c r="J50" s="112" t="str">
        <f>IF(F50="Single restroom okay for 15 or less (7.21.4(2))","-",Z11)</f>
        <v>-</v>
      </c>
      <c r="K50" s="112" t="s">
        <v>82</v>
      </c>
      <c r="L50" s="112">
        <f>AA11</f>
        <v>0</v>
      </c>
      <c r="M50" s="121" t="s">
        <v>224</v>
      </c>
      <c r="N50" s="96">
        <v>0</v>
      </c>
      <c r="O50" s="97">
        <f>N50</f>
        <v>0</v>
      </c>
      <c r="P50" s="7"/>
    </row>
    <row r="51" spans="1:17" x14ac:dyDescent="0.25">
      <c r="A51" s="82"/>
      <c r="B51" s="83"/>
      <c r="C51" s="110"/>
      <c r="D51" s="111"/>
      <c r="E51" s="111"/>
      <c r="F51" s="112"/>
      <c r="G51" s="112"/>
      <c r="H51" s="112"/>
      <c r="I51" s="112"/>
      <c r="J51" s="112"/>
      <c r="K51" s="112"/>
      <c r="L51" s="112"/>
      <c r="M51" s="114"/>
      <c r="N51" s="96"/>
      <c r="O51" s="97"/>
      <c r="P51" s="7"/>
    </row>
    <row r="52" spans="1:17" x14ac:dyDescent="0.25">
      <c r="A52" s="82"/>
      <c r="B52" s="83"/>
      <c r="C52" s="110"/>
      <c r="D52" s="111"/>
      <c r="E52" s="111"/>
      <c r="F52" s="112"/>
      <c r="G52" s="112"/>
      <c r="H52" s="112"/>
      <c r="I52" s="112"/>
      <c r="J52" s="112"/>
      <c r="K52" s="112"/>
      <c r="L52" s="112"/>
      <c r="M52" s="114"/>
      <c r="N52" s="96"/>
      <c r="O52" s="97"/>
      <c r="P52" s="7"/>
    </row>
    <row r="53" spans="1:17" x14ac:dyDescent="0.25">
      <c r="A53" s="82"/>
      <c r="B53" s="83"/>
      <c r="C53" s="110"/>
      <c r="D53" s="111"/>
      <c r="E53" s="111"/>
      <c r="F53" s="112"/>
      <c r="G53" s="112"/>
      <c r="H53" s="112"/>
      <c r="I53" s="112"/>
      <c r="J53" s="112"/>
      <c r="K53" s="112"/>
      <c r="L53" s="112"/>
      <c r="M53" s="114"/>
      <c r="N53" s="96"/>
      <c r="O53" s="97"/>
      <c r="P53" s="7"/>
    </row>
    <row r="54" spans="1:17" x14ac:dyDescent="0.25">
      <c r="A54" s="82"/>
      <c r="B54" s="83"/>
      <c r="C54" s="110"/>
      <c r="D54" s="111"/>
      <c r="E54" s="111"/>
      <c r="F54" s="112"/>
      <c r="G54" s="112"/>
      <c r="H54" s="112"/>
      <c r="I54" s="112"/>
      <c r="J54" s="112"/>
      <c r="K54" s="112"/>
      <c r="L54" s="112"/>
      <c r="M54" s="114"/>
      <c r="N54" s="96"/>
      <c r="O54" s="97"/>
      <c r="P54" s="7"/>
      <c r="Q54" s="39"/>
    </row>
    <row r="55" spans="1:17" x14ac:dyDescent="0.25">
      <c r="A55" s="82"/>
      <c r="B55" s="83"/>
      <c r="C55" s="110"/>
      <c r="D55" s="111"/>
      <c r="E55" s="111"/>
      <c r="F55" s="112"/>
      <c r="G55" s="112"/>
      <c r="H55" s="112"/>
      <c r="I55" s="112"/>
      <c r="J55" s="112"/>
      <c r="K55" s="112"/>
      <c r="L55" s="112"/>
      <c r="M55" s="114"/>
      <c r="N55" s="96"/>
      <c r="O55" s="97"/>
    </row>
    <row r="56" spans="1:17" ht="14.45" customHeight="1" x14ac:dyDescent="0.25">
      <c r="A56" s="82"/>
      <c r="B56" s="83"/>
      <c r="C56" s="128" t="s">
        <v>135</v>
      </c>
      <c r="D56" s="111" t="s">
        <v>136</v>
      </c>
      <c r="E56" s="111"/>
      <c r="F56" s="112" t="str">
        <f>IF(AND(OR(N56&gt;0,O56&gt;0),N56+O56&lt;=15),"Single restroom okay for 15 or less (7.21.4(2))",IF(AND(OR(N56&gt;0,O56&gt;0),N56+O56&gt;Q5),W12,IF(Q5&lt;=15,"Single restroom okay for 15 or less (7.21.4(2))",W12)))</f>
        <v>Single restroom okay for 15 or less (7.21.4(2))</v>
      </c>
      <c r="G56" s="112" t="str">
        <f>IF(F56="Single restroom okay for 15 or less (7.21.4(2))","-",X12)</f>
        <v>-</v>
      </c>
      <c r="H56" s="112" t="s">
        <v>281</v>
      </c>
      <c r="I56" s="112">
        <f>Y12</f>
        <v>0</v>
      </c>
      <c r="J56" s="112" t="str">
        <f>IF(F56="Single restroom okay for 15 or less (7.21.4(2))","-",Z12)</f>
        <v>-</v>
      </c>
      <c r="K56" s="112" t="s">
        <v>82</v>
      </c>
      <c r="L56" s="112">
        <f>AA12</f>
        <v>0</v>
      </c>
      <c r="M56" s="114" t="s">
        <v>224</v>
      </c>
      <c r="N56" s="96">
        <v>0</v>
      </c>
      <c r="O56" s="97">
        <f>N56</f>
        <v>0</v>
      </c>
    </row>
    <row r="57" spans="1:17" x14ac:dyDescent="0.25">
      <c r="A57" s="82"/>
      <c r="B57" s="83"/>
      <c r="C57" s="128"/>
      <c r="D57" s="111"/>
      <c r="E57" s="111"/>
      <c r="F57" s="112"/>
      <c r="G57" s="112"/>
      <c r="H57" s="112"/>
      <c r="I57" s="112"/>
      <c r="J57" s="112"/>
      <c r="K57" s="112"/>
      <c r="L57" s="112"/>
      <c r="M57" s="114"/>
      <c r="N57" s="96"/>
      <c r="O57" s="97"/>
    </row>
    <row r="58" spans="1:17" x14ac:dyDescent="0.25">
      <c r="A58" s="82"/>
      <c r="B58" s="83"/>
      <c r="C58" s="128"/>
      <c r="D58" s="111"/>
      <c r="E58" s="111"/>
      <c r="F58" s="112"/>
      <c r="G58" s="112"/>
      <c r="H58" s="112"/>
      <c r="I58" s="112"/>
      <c r="J58" s="112"/>
      <c r="K58" s="112"/>
      <c r="L58" s="112"/>
      <c r="M58" s="114"/>
      <c r="N58" s="96"/>
      <c r="O58" s="97"/>
    </row>
    <row r="59" spans="1:17" x14ac:dyDescent="0.25">
      <c r="A59" s="82"/>
      <c r="B59" s="83"/>
      <c r="C59" s="128"/>
      <c r="D59" s="111"/>
      <c r="E59" s="111"/>
      <c r="F59" s="112"/>
      <c r="G59" s="112"/>
      <c r="H59" s="112"/>
      <c r="I59" s="112"/>
      <c r="J59" s="112"/>
      <c r="K59" s="112"/>
      <c r="L59" s="112"/>
      <c r="M59" s="114"/>
      <c r="N59" s="96"/>
      <c r="O59" s="97"/>
    </row>
    <row r="60" spans="1:17" x14ac:dyDescent="0.25">
      <c r="A60" s="82"/>
      <c r="B60" s="83"/>
      <c r="C60" s="128"/>
      <c r="D60" s="111"/>
      <c r="E60" s="111"/>
      <c r="F60" s="112"/>
      <c r="G60" s="112"/>
      <c r="H60" s="112"/>
      <c r="I60" s="112"/>
      <c r="J60" s="112"/>
      <c r="K60" s="112"/>
      <c r="L60" s="112"/>
      <c r="M60" s="114"/>
      <c r="N60" s="96"/>
      <c r="O60" s="97"/>
    </row>
    <row r="61" spans="1:17" x14ac:dyDescent="0.25">
      <c r="A61" s="82"/>
      <c r="B61" s="83"/>
      <c r="C61" s="128"/>
      <c r="D61" s="111"/>
      <c r="E61" s="111"/>
      <c r="F61" s="112"/>
      <c r="G61" s="112"/>
      <c r="H61" s="112"/>
      <c r="I61" s="112"/>
      <c r="J61" s="112"/>
      <c r="K61" s="112"/>
      <c r="L61" s="112"/>
      <c r="M61" s="114"/>
      <c r="N61" s="96"/>
      <c r="O61" s="97"/>
    </row>
    <row r="62" spans="1:17" ht="14.45" customHeight="1" thickBot="1" x14ac:dyDescent="0.3">
      <c r="A62" s="84"/>
      <c r="B62" s="85"/>
      <c r="C62" s="128"/>
      <c r="D62" s="111"/>
      <c r="E62" s="111"/>
      <c r="F62" s="112"/>
      <c r="G62" s="112"/>
      <c r="H62" s="112"/>
      <c r="I62" s="112"/>
      <c r="J62" s="112"/>
      <c r="K62" s="112"/>
      <c r="L62" s="112"/>
      <c r="M62" s="114"/>
      <c r="N62" s="96"/>
      <c r="O62" s="97"/>
    </row>
    <row r="63" spans="1:17" x14ac:dyDescent="0.25">
      <c r="A63" s="122" t="s">
        <v>137</v>
      </c>
      <c r="B63" s="123"/>
      <c r="C63" s="130" t="s">
        <v>138</v>
      </c>
      <c r="D63" s="131" t="s">
        <v>301</v>
      </c>
      <c r="E63" s="131"/>
      <c r="F63" s="129" t="str">
        <f>IF(AND(OR(N63&gt;0,O63&gt;0),N63+O63&lt;=15),"Single restroom okay for 15 or less (7.21.4(2))",IF(AND(OR(N63&gt;0,O63&gt;0),N63+O63&gt;Q5),W13,IF(Q5&lt;=15,"Single restroom okay for 15 or less (7.21.4(2))",W13)))</f>
        <v>Single restroom okay for 15 or less (7.21.4(2))</v>
      </c>
      <c r="G63" s="129" t="str">
        <f>IF(F63="Single restroom okay for 15 or less (7.21.4(2))","-",X13)</f>
        <v>-</v>
      </c>
      <c r="H63" s="129" t="s">
        <v>281</v>
      </c>
      <c r="I63" s="129">
        <f>Y13</f>
        <v>0</v>
      </c>
      <c r="J63" s="129" t="str">
        <f>IF(F63="Single restroom okay for 15 or less (7.21.4(2))","-",Z13)</f>
        <v>-</v>
      </c>
      <c r="K63" s="129" t="s">
        <v>82</v>
      </c>
      <c r="L63" s="129">
        <f>AA13</f>
        <v>0</v>
      </c>
      <c r="M63" s="114" t="s">
        <v>224</v>
      </c>
      <c r="N63" s="96">
        <v>0</v>
      </c>
      <c r="O63" s="97">
        <f>N63</f>
        <v>0</v>
      </c>
    </row>
    <row r="64" spans="1:17" ht="14.45" customHeight="1" x14ac:dyDescent="0.25">
      <c r="A64" s="124"/>
      <c r="B64" s="125"/>
      <c r="C64" s="128"/>
      <c r="D64" s="111"/>
      <c r="E64" s="111"/>
      <c r="F64" s="112"/>
      <c r="G64" s="112"/>
      <c r="H64" s="112"/>
      <c r="I64" s="112"/>
      <c r="J64" s="112"/>
      <c r="K64" s="112"/>
      <c r="L64" s="112"/>
      <c r="M64" s="114"/>
      <c r="N64" s="96"/>
      <c r="O64" s="97"/>
    </row>
    <row r="65" spans="1:23" x14ac:dyDescent="0.25">
      <c r="A65" s="124"/>
      <c r="B65" s="125"/>
      <c r="C65" s="128"/>
      <c r="D65" s="111"/>
      <c r="E65" s="111"/>
      <c r="F65" s="112"/>
      <c r="G65" s="112"/>
      <c r="H65" s="112"/>
      <c r="I65" s="112"/>
      <c r="J65" s="112"/>
      <c r="K65" s="112"/>
      <c r="L65" s="112"/>
      <c r="M65" s="114"/>
      <c r="N65" s="96"/>
      <c r="O65" s="97"/>
    </row>
    <row r="66" spans="1:23" x14ac:dyDescent="0.25">
      <c r="A66" s="124"/>
      <c r="B66" s="125"/>
      <c r="C66" s="128"/>
      <c r="D66" s="111"/>
      <c r="E66" s="111"/>
      <c r="F66" s="112"/>
      <c r="G66" s="112"/>
      <c r="H66" s="112"/>
      <c r="I66" s="112"/>
      <c r="J66" s="112"/>
      <c r="K66" s="112"/>
      <c r="L66" s="112"/>
      <c r="M66" s="114"/>
      <c r="N66" s="96"/>
      <c r="O66" s="97"/>
    </row>
    <row r="67" spans="1:23" x14ac:dyDescent="0.25">
      <c r="A67" s="124"/>
      <c r="B67" s="125"/>
      <c r="C67" s="128"/>
      <c r="D67" s="111"/>
      <c r="E67" s="111"/>
      <c r="F67" s="112"/>
      <c r="G67" s="112"/>
      <c r="H67" s="112"/>
      <c r="I67" s="112"/>
      <c r="J67" s="112"/>
      <c r="K67" s="112"/>
      <c r="L67" s="112"/>
      <c r="M67" s="114"/>
      <c r="N67" s="96"/>
      <c r="O67" s="97"/>
      <c r="T67" s="2"/>
    </row>
    <row r="68" spans="1:23" x14ac:dyDescent="0.25">
      <c r="A68" s="124"/>
      <c r="B68" s="125"/>
      <c r="C68" s="128"/>
      <c r="D68" s="111"/>
      <c r="E68" s="111"/>
      <c r="F68" s="112"/>
      <c r="G68" s="112"/>
      <c r="H68" s="112"/>
      <c r="I68" s="112"/>
      <c r="J68" s="112"/>
      <c r="K68" s="112"/>
      <c r="L68" s="112"/>
      <c r="M68" s="114"/>
      <c r="N68" s="96"/>
      <c r="O68" s="97"/>
      <c r="S68" s="5"/>
    </row>
    <row r="69" spans="1:23" ht="15.75" thickBot="1" x14ac:dyDescent="0.3">
      <c r="A69" s="126"/>
      <c r="B69" s="127"/>
      <c r="C69" s="86"/>
      <c r="D69" s="89"/>
      <c r="E69" s="89"/>
      <c r="F69" s="92"/>
      <c r="G69" s="92"/>
      <c r="H69" s="92"/>
      <c r="I69" s="92"/>
      <c r="J69" s="92"/>
      <c r="K69" s="92"/>
      <c r="L69" s="92"/>
      <c r="M69" s="114"/>
      <c r="N69" s="96"/>
      <c r="O69" s="97"/>
      <c r="S69" s="5"/>
      <c r="U69" s="1"/>
      <c r="V69" s="1"/>
    </row>
    <row r="70" spans="1:23" ht="14.45" customHeight="1" x14ac:dyDescent="0.25">
      <c r="A70" s="122" t="s">
        <v>141</v>
      </c>
      <c r="B70" s="123"/>
      <c r="C70" s="128" t="s">
        <v>142</v>
      </c>
      <c r="D70" s="179" t="s">
        <v>302</v>
      </c>
      <c r="E70" s="180"/>
      <c r="F70" s="92" t="str">
        <f>IF(AND(OR(N70&gt;0,O70&gt;0),N70+O70&lt;=15),"Single restroom okay for 15 or less (7.21.4(2))",IF(AND(OR(N70&gt;0,O70&gt;0),N70+O70&gt;Q5),W14,IF(Q5&lt;=15,"Single restroom okay for 15 or less (7.21.4(2))",W14)))</f>
        <v>Single restroom okay for 15 or less (7.21.4(2))</v>
      </c>
      <c r="G70" s="92" t="str">
        <f>IF(F70="Single restroom okay for 15 or less (7.21.4(2))","-",X14)</f>
        <v>-</v>
      </c>
      <c r="H70" s="112" t="s">
        <v>281</v>
      </c>
      <c r="I70" s="92">
        <f>Y15</f>
        <v>0</v>
      </c>
      <c r="J70" s="92" t="str">
        <f>IF(F70="Single restroom okay for 15 or less (7.21.4(2))","-",Z14)</f>
        <v>-</v>
      </c>
      <c r="K70" s="92" t="s">
        <v>82</v>
      </c>
      <c r="L70" s="92">
        <f>AA14</f>
        <v>0</v>
      </c>
      <c r="M70" s="98" t="s">
        <v>224</v>
      </c>
      <c r="N70" s="245">
        <v>0</v>
      </c>
      <c r="O70" s="248">
        <f>N70</f>
        <v>0</v>
      </c>
      <c r="S70" s="5"/>
      <c r="W70" s="1"/>
    </row>
    <row r="71" spans="1:23" ht="14.45" customHeight="1" x14ac:dyDescent="0.25">
      <c r="A71" s="256"/>
      <c r="B71" s="257"/>
      <c r="C71" s="128"/>
      <c r="D71" s="181"/>
      <c r="E71" s="182"/>
      <c r="F71" s="93"/>
      <c r="G71" s="93"/>
      <c r="H71" s="112"/>
      <c r="I71" s="93"/>
      <c r="J71" s="93"/>
      <c r="K71" s="93"/>
      <c r="L71" s="93"/>
      <c r="M71" s="99"/>
      <c r="N71" s="246"/>
      <c r="O71" s="249"/>
      <c r="S71" s="5"/>
      <c r="W71" s="1"/>
    </row>
    <row r="72" spans="1:23" ht="14.45" customHeight="1" x14ac:dyDescent="0.25">
      <c r="A72" s="256"/>
      <c r="B72" s="257"/>
      <c r="C72" s="128"/>
      <c r="D72" s="181"/>
      <c r="E72" s="182"/>
      <c r="F72" s="93"/>
      <c r="G72" s="93"/>
      <c r="H72" s="112"/>
      <c r="I72" s="93"/>
      <c r="J72" s="93"/>
      <c r="K72" s="93"/>
      <c r="L72" s="93"/>
      <c r="M72" s="99"/>
      <c r="N72" s="246"/>
      <c r="O72" s="249"/>
      <c r="S72" s="5"/>
      <c r="W72" s="1"/>
    </row>
    <row r="73" spans="1:23" ht="14.45" customHeight="1" x14ac:dyDescent="0.25">
      <c r="A73" s="256"/>
      <c r="B73" s="257"/>
      <c r="C73" s="128"/>
      <c r="D73" s="181"/>
      <c r="E73" s="182"/>
      <c r="F73" s="93"/>
      <c r="G73" s="93"/>
      <c r="H73" s="112"/>
      <c r="I73" s="93"/>
      <c r="J73" s="93"/>
      <c r="K73" s="93"/>
      <c r="L73" s="93"/>
      <c r="M73" s="99"/>
      <c r="N73" s="246"/>
      <c r="O73" s="249"/>
      <c r="S73" s="5"/>
      <c r="W73" s="1"/>
    </row>
    <row r="74" spans="1:23" ht="14.45" customHeight="1" x14ac:dyDescent="0.25">
      <c r="A74" s="256"/>
      <c r="B74" s="257"/>
      <c r="C74" s="128"/>
      <c r="D74" s="183"/>
      <c r="E74" s="184"/>
      <c r="F74" s="129"/>
      <c r="G74" s="129"/>
      <c r="H74" s="112"/>
      <c r="I74" s="129"/>
      <c r="J74" s="129"/>
      <c r="K74" s="129"/>
      <c r="L74" s="129"/>
      <c r="M74" s="121"/>
      <c r="N74" s="247"/>
      <c r="O74" s="250"/>
      <c r="S74" s="5"/>
      <c r="W74" s="1"/>
    </row>
    <row r="75" spans="1:23" ht="14.45" customHeight="1" x14ac:dyDescent="0.25">
      <c r="A75" s="256"/>
      <c r="B75" s="257"/>
      <c r="C75" s="128"/>
      <c r="D75" s="179" t="s">
        <v>303</v>
      </c>
      <c r="E75" s="180"/>
      <c r="F75" s="92" t="str">
        <f>IF(AND(OR(N75&gt;0,O75&gt;0),N75+O75&lt;=15),"Single restroom okay for 15 or less (7.21.4(2))",IF(AND(OR(N75&gt;0,O75&gt;0),N75+O75&gt;Q5),W15,IF(Q5&lt;=15,"Single restroom okay for 15 or less (7.21.4(2))",W15)))</f>
        <v>Single restroom okay for 15 or less (7.21.4(2))</v>
      </c>
      <c r="G75" s="92" t="str">
        <f>IF(F75="Single restroom okay for 15 or less (7.21.4(2))","-",X15)</f>
        <v>-</v>
      </c>
      <c r="H75" s="112"/>
      <c r="I75" s="92">
        <f>Y15</f>
        <v>0</v>
      </c>
      <c r="J75" s="92" t="str">
        <f>IF(F75="Single restroom okay for 15 or less (7.21.4(2))","-",Z15)</f>
        <v>-</v>
      </c>
      <c r="K75" s="92"/>
      <c r="L75" s="92">
        <f>AA15</f>
        <v>0</v>
      </c>
      <c r="M75" s="98" t="s">
        <v>224</v>
      </c>
      <c r="N75" s="245">
        <v>0</v>
      </c>
      <c r="O75" s="248">
        <f>N75</f>
        <v>0</v>
      </c>
      <c r="S75" s="5"/>
      <c r="W75" s="1"/>
    </row>
    <row r="76" spans="1:23" ht="14.45" customHeight="1" x14ac:dyDescent="0.25">
      <c r="A76" s="256"/>
      <c r="B76" s="257"/>
      <c r="C76" s="128"/>
      <c r="D76" s="181"/>
      <c r="E76" s="182"/>
      <c r="F76" s="93"/>
      <c r="G76" s="93"/>
      <c r="H76" s="112"/>
      <c r="I76" s="93"/>
      <c r="J76" s="93"/>
      <c r="K76" s="93"/>
      <c r="L76" s="93"/>
      <c r="M76" s="99"/>
      <c r="N76" s="246"/>
      <c r="O76" s="249"/>
      <c r="S76" s="5"/>
      <c r="W76" s="1"/>
    </row>
    <row r="77" spans="1:23" ht="14.45" customHeight="1" x14ac:dyDescent="0.25">
      <c r="A77" s="256"/>
      <c r="B77" s="257"/>
      <c r="C77" s="128"/>
      <c r="D77" s="181"/>
      <c r="E77" s="182"/>
      <c r="F77" s="93"/>
      <c r="G77" s="93"/>
      <c r="H77" s="112"/>
      <c r="I77" s="93"/>
      <c r="J77" s="93"/>
      <c r="K77" s="93"/>
      <c r="L77" s="93"/>
      <c r="M77" s="99"/>
      <c r="N77" s="246"/>
      <c r="O77" s="249"/>
      <c r="S77" s="5"/>
      <c r="W77" s="1"/>
    </row>
    <row r="78" spans="1:23" ht="14.45" customHeight="1" x14ac:dyDescent="0.25">
      <c r="A78" s="256"/>
      <c r="B78" s="257"/>
      <c r="C78" s="128"/>
      <c r="D78" s="181"/>
      <c r="E78" s="182"/>
      <c r="F78" s="93"/>
      <c r="G78" s="93"/>
      <c r="H78" s="112"/>
      <c r="I78" s="93"/>
      <c r="J78" s="93"/>
      <c r="K78" s="93"/>
      <c r="L78" s="93"/>
      <c r="M78" s="99"/>
      <c r="N78" s="246"/>
      <c r="O78" s="249"/>
      <c r="S78" s="5"/>
      <c r="W78" s="1"/>
    </row>
    <row r="79" spans="1:23" ht="14.45" customHeight="1" x14ac:dyDescent="0.25">
      <c r="A79" s="256"/>
      <c r="B79" s="257"/>
      <c r="C79" s="128"/>
      <c r="D79" s="183"/>
      <c r="E79" s="184"/>
      <c r="F79" s="129"/>
      <c r="G79" s="129"/>
      <c r="H79" s="112"/>
      <c r="I79" s="129"/>
      <c r="J79" s="129"/>
      <c r="K79" s="129"/>
      <c r="L79" s="129"/>
      <c r="M79" s="121"/>
      <c r="N79" s="247"/>
      <c r="O79" s="250"/>
      <c r="S79" s="5"/>
      <c r="W79" s="1"/>
    </row>
    <row r="80" spans="1:23" ht="14.45" customHeight="1" x14ac:dyDescent="0.25">
      <c r="A80" s="256"/>
      <c r="B80" s="257"/>
      <c r="C80" s="128"/>
      <c r="D80" s="179" t="s">
        <v>304</v>
      </c>
      <c r="E80" s="180"/>
      <c r="F80" s="92" t="str">
        <f>IF(AND(OR(N80&gt;0,O80&gt;0),N80+O80&lt;=15),"Single restroom okay for 15 or less (7.21.4(2))",IF(AND(OR(N80&gt;0,O80&gt;0),N80+O80&gt;Q5),W16,IF(Q5&lt;=15,"Single restroom okay for 15 or less (7.21.4(2))",W16)))</f>
        <v>Single restroom okay for 15 or less (7.21.4(2))</v>
      </c>
      <c r="G80" s="92" t="str">
        <f>IF(F80="Single restroom okay for 15 or less (7.21.4(2))","-",X16)</f>
        <v>-</v>
      </c>
      <c r="H80" s="112"/>
      <c r="I80" s="92">
        <f>Y16</f>
        <v>0</v>
      </c>
      <c r="J80" s="92" t="str">
        <f>IF(F80="Single restroom okay for 15 or less (7.21.4(2))","-",Z16)</f>
        <v>-</v>
      </c>
      <c r="K80" s="92"/>
      <c r="L80" s="92">
        <f>AA16</f>
        <v>0</v>
      </c>
      <c r="M80" s="98" t="s">
        <v>224</v>
      </c>
      <c r="N80" s="246">
        <v>0</v>
      </c>
      <c r="O80" s="248">
        <f>N80</f>
        <v>0</v>
      </c>
      <c r="S80" s="5"/>
      <c r="W80" s="1"/>
    </row>
    <row r="81" spans="1:23" ht="14.45" customHeight="1" x14ac:dyDescent="0.25">
      <c r="A81" s="256"/>
      <c r="B81" s="257"/>
      <c r="C81" s="128"/>
      <c r="D81" s="181"/>
      <c r="E81" s="182"/>
      <c r="F81" s="93"/>
      <c r="G81" s="93"/>
      <c r="H81" s="112"/>
      <c r="I81" s="93"/>
      <c r="J81" s="93"/>
      <c r="K81" s="93"/>
      <c r="L81" s="93"/>
      <c r="M81" s="99"/>
      <c r="N81" s="246"/>
      <c r="O81" s="249"/>
      <c r="S81" s="5"/>
      <c r="W81" s="1"/>
    </row>
    <row r="82" spans="1:23" ht="14.45" customHeight="1" x14ac:dyDescent="0.25">
      <c r="A82" s="256"/>
      <c r="B82" s="257"/>
      <c r="C82" s="128"/>
      <c r="D82" s="181"/>
      <c r="E82" s="182"/>
      <c r="F82" s="93"/>
      <c r="G82" s="93"/>
      <c r="H82" s="112"/>
      <c r="I82" s="93"/>
      <c r="J82" s="93"/>
      <c r="K82" s="93"/>
      <c r="L82" s="93"/>
      <c r="M82" s="99"/>
      <c r="N82" s="246"/>
      <c r="O82" s="249"/>
      <c r="S82" s="5"/>
      <c r="W82" s="1"/>
    </row>
    <row r="83" spans="1:23" ht="14.45" customHeight="1" x14ac:dyDescent="0.25">
      <c r="A83" s="256"/>
      <c r="B83" s="257"/>
      <c r="C83" s="128"/>
      <c r="D83" s="181"/>
      <c r="E83" s="182"/>
      <c r="F83" s="93"/>
      <c r="G83" s="93"/>
      <c r="H83" s="112"/>
      <c r="I83" s="93"/>
      <c r="J83" s="93"/>
      <c r="K83" s="93"/>
      <c r="L83" s="93"/>
      <c r="M83" s="99"/>
      <c r="N83" s="246"/>
      <c r="O83" s="249"/>
      <c r="S83" s="5"/>
      <c r="W83" s="1"/>
    </row>
    <row r="84" spans="1:23" ht="15.75" thickBot="1" x14ac:dyDescent="0.3">
      <c r="A84" s="124"/>
      <c r="B84" s="125"/>
      <c r="C84" s="128"/>
      <c r="D84" s="183"/>
      <c r="E84" s="184"/>
      <c r="F84" s="129"/>
      <c r="G84" s="129"/>
      <c r="H84" s="112"/>
      <c r="I84" s="129"/>
      <c r="J84" s="129"/>
      <c r="K84" s="129"/>
      <c r="L84" s="129"/>
      <c r="M84" s="121"/>
      <c r="N84" s="247"/>
      <c r="O84" s="250"/>
      <c r="S84" s="5"/>
      <c r="W84" s="1"/>
    </row>
    <row r="85" spans="1:23" x14ac:dyDescent="0.25">
      <c r="A85" s="122" t="s">
        <v>144</v>
      </c>
      <c r="B85" s="123"/>
      <c r="C85" s="110" t="s">
        <v>145</v>
      </c>
      <c r="D85" s="111" t="s">
        <v>305</v>
      </c>
      <c r="E85" s="111"/>
      <c r="F85" s="112" t="str">
        <f>IF(AND(OR(N85&gt;0,O85&gt;0),N85+O85&lt;=15),"Single restroom okay for 15 or less (7.21.4(2))",IF(AND(OR(N85&gt;0,O85&gt;0),N85+O85&gt;Q5),W17,IF(Q5&lt;=15,"Single restroom okay for 15 or less (7.21.4(2))",W17)))</f>
        <v>Single restroom okay for 15 or less (7.21.4(2))</v>
      </c>
      <c r="G85" s="112" t="str">
        <f>IF(F85="Single restroom okay for 15 or less (7.21.4(2))","-",X17)</f>
        <v>-</v>
      </c>
      <c r="H85" s="112" t="s">
        <v>281</v>
      </c>
      <c r="I85" s="112">
        <f>Y17</f>
        <v>0</v>
      </c>
      <c r="J85" s="112" t="str">
        <f>IF(F85="Single restroom okay for 15 or less (7.21.4(2))","-",Z17)</f>
        <v>-</v>
      </c>
      <c r="K85" s="112" t="str">
        <f>AB17</f>
        <v>1 emergency shower per 10 people exposed to skin contamination</v>
      </c>
      <c r="L85" s="112">
        <f>AA17</f>
        <v>0</v>
      </c>
      <c r="M85" s="114" t="s">
        <v>224</v>
      </c>
      <c r="N85" s="96">
        <v>0</v>
      </c>
      <c r="O85" s="97">
        <f>N85</f>
        <v>0</v>
      </c>
      <c r="S85" s="5"/>
      <c r="W85" s="1"/>
    </row>
    <row r="86" spans="1:23" x14ac:dyDescent="0.25">
      <c r="A86" s="124"/>
      <c r="B86" s="125"/>
      <c r="C86" s="110"/>
      <c r="D86" s="111"/>
      <c r="E86" s="111"/>
      <c r="F86" s="112"/>
      <c r="G86" s="112"/>
      <c r="H86" s="112"/>
      <c r="I86" s="112"/>
      <c r="J86" s="112"/>
      <c r="K86" s="112"/>
      <c r="L86" s="112"/>
      <c r="M86" s="114"/>
      <c r="N86" s="96"/>
      <c r="O86" s="97"/>
      <c r="S86" s="5"/>
      <c r="W86" s="1"/>
    </row>
    <row r="87" spans="1:23" x14ac:dyDescent="0.25">
      <c r="A87" s="124"/>
      <c r="B87" s="125"/>
      <c r="C87" s="110"/>
      <c r="D87" s="111"/>
      <c r="E87" s="111"/>
      <c r="F87" s="112"/>
      <c r="G87" s="112"/>
      <c r="H87" s="112"/>
      <c r="I87" s="112"/>
      <c r="J87" s="112"/>
      <c r="K87" s="112"/>
      <c r="L87" s="112"/>
      <c r="M87" s="114"/>
      <c r="N87" s="96"/>
      <c r="O87" s="97"/>
      <c r="Q87" s="13"/>
      <c r="R87" s="13"/>
      <c r="S87" s="5"/>
      <c r="W87" s="1"/>
    </row>
    <row r="88" spans="1:23" x14ac:dyDescent="0.25">
      <c r="A88" s="124"/>
      <c r="B88" s="125"/>
      <c r="C88" s="110"/>
      <c r="D88" s="111"/>
      <c r="E88" s="111"/>
      <c r="F88" s="112"/>
      <c r="G88" s="112"/>
      <c r="H88" s="112"/>
      <c r="I88" s="112"/>
      <c r="J88" s="112"/>
      <c r="K88" s="112"/>
      <c r="L88" s="112"/>
      <c r="M88" s="114"/>
      <c r="N88" s="96"/>
      <c r="O88" s="97"/>
      <c r="Q88" s="13"/>
      <c r="R88" s="13"/>
      <c r="S88" s="5"/>
      <c r="W88" s="1"/>
    </row>
    <row r="89" spans="1:23" x14ac:dyDescent="0.25">
      <c r="A89" s="124"/>
      <c r="B89" s="125"/>
      <c r="C89" s="110"/>
      <c r="D89" s="111"/>
      <c r="E89" s="111"/>
      <c r="F89" s="112"/>
      <c r="G89" s="112"/>
      <c r="H89" s="112"/>
      <c r="I89" s="112"/>
      <c r="J89" s="112"/>
      <c r="K89" s="112"/>
      <c r="L89" s="112"/>
      <c r="M89" s="114"/>
      <c r="N89" s="96"/>
      <c r="O89" s="97"/>
      <c r="S89" s="5"/>
      <c r="W89" s="1"/>
    </row>
    <row r="90" spans="1:23" x14ac:dyDescent="0.25">
      <c r="A90" s="124"/>
      <c r="B90" s="125"/>
      <c r="C90" s="110"/>
      <c r="D90" s="111"/>
      <c r="E90" s="111"/>
      <c r="F90" s="112"/>
      <c r="G90" s="112"/>
      <c r="H90" s="112"/>
      <c r="I90" s="112"/>
      <c r="J90" s="112"/>
      <c r="K90" s="112"/>
      <c r="L90" s="112"/>
      <c r="M90" s="114"/>
      <c r="N90" s="96"/>
      <c r="O90" s="97"/>
      <c r="S90" s="5"/>
      <c r="W90" s="1"/>
    </row>
    <row r="91" spans="1:23" x14ac:dyDescent="0.25">
      <c r="A91" s="124"/>
      <c r="B91" s="125"/>
      <c r="C91" s="110"/>
      <c r="D91" s="111"/>
      <c r="E91" s="111"/>
      <c r="F91" s="112"/>
      <c r="G91" s="112"/>
      <c r="H91" s="112"/>
      <c r="I91" s="112"/>
      <c r="J91" s="112"/>
      <c r="K91" s="112"/>
      <c r="L91" s="112"/>
      <c r="M91" s="114"/>
      <c r="N91" s="96"/>
      <c r="O91" s="97"/>
      <c r="S91" s="5"/>
      <c r="W91" s="1"/>
    </row>
    <row r="92" spans="1:23" ht="14.45" customHeight="1" thickBot="1" x14ac:dyDescent="0.3">
      <c r="A92" s="126"/>
      <c r="B92" s="127"/>
      <c r="C92" s="110"/>
      <c r="D92" s="111"/>
      <c r="E92" s="111"/>
      <c r="F92" s="112"/>
      <c r="G92" s="112"/>
      <c r="H92" s="112"/>
      <c r="I92" s="112"/>
      <c r="J92" s="112"/>
      <c r="K92" s="112"/>
      <c r="L92" s="112"/>
      <c r="M92" s="114"/>
      <c r="N92" s="96"/>
      <c r="O92" s="97"/>
      <c r="S92" s="5"/>
      <c r="W92" s="1"/>
    </row>
    <row r="93" spans="1:23" ht="15" customHeight="1" x14ac:dyDescent="0.25">
      <c r="A93" s="122" t="s">
        <v>147</v>
      </c>
      <c r="B93" s="123"/>
      <c r="C93" s="110" t="s">
        <v>148</v>
      </c>
      <c r="D93" s="111" t="s">
        <v>306</v>
      </c>
      <c r="E93" s="111"/>
      <c r="F93" s="112" t="str">
        <f>IF(AND(OR(N93&gt;0,O93&gt;0),N93+O93&lt;=15),"Single restroom okay for 15 or less (7.21.4(2))",IF(AND(OR(N93&gt;0,O93&gt;0),N93+O93&gt;Q5),W18,IF(Q5&lt;=15,"Single restroom okay for 15 or less (7.21.4(2))",W18)))</f>
        <v>Single restroom okay for 15 or less (7.21.4(2))</v>
      </c>
      <c r="G93" s="112" t="str">
        <f>IF(F93="Single restroom okay for 15 or less (7.21.4(2))","-",X18)</f>
        <v>-</v>
      </c>
      <c r="H93" s="112" t="s">
        <v>281</v>
      </c>
      <c r="I93" s="112">
        <f>Y18</f>
        <v>0</v>
      </c>
      <c r="J93" s="112" t="str">
        <f>IF(F93="Single restroom okay for 15 or less (7.21.4(2))","-",Z18)</f>
        <v>-</v>
      </c>
      <c r="K93" s="112">
        <f>AB18</f>
        <v>0</v>
      </c>
      <c r="L93" s="112">
        <f>AA18</f>
        <v>0</v>
      </c>
      <c r="M93" s="121" t="s">
        <v>224</v>
      </c>
      <c r="N93" s="96">
        <v>0</v>
      </c>
      <c r="O93" s="97">
        <f>N93</f>
        <v>0</v>
      </c>
      <c r="S93" s="5"/>
      <c r="W93" s="1"/>
    </row>
    <row r="94" spans="1:23" x14ac:dyDescent="0.25">
      <c r="A94" s="124"/>
      <c r="B94" s="125"/>
      <c r="C94" s="110"/>
      <c r="D94" s="111"/>
      <c r="E94" s="111"/>
      <c r="F94" s="112"/>
      <c r="G94" s="112"/>
      <c r="H94" s="112"/>
      <c r="I94" s="112"/>
      <c r="J94" s="112"/>
      <c r="K94" s="112"/>
      <c r="L94" s="112"/>
      <c r="M94" s="114"/>
      <c r="N94" s="96"/>
      <c r="O94" s="97"/>
      <c r="S94" s="5"/>
      <c r="W94" s="1"/>
    </row>
    <row r="95" spans="1:23" x14ac:dyDescent="0.25">
      <c r="A95" s="124"/>
      <c r="B95" s="125"/>
      <c r="C95" s="110"/>
      <c r="D95" s="111"/>
      <c r="E95" s="111"/>
      <c r="F95" s="112"/>
      <c r="G95" s="112"/>
      <c r="H95" s="112"/>
      <c r="I95" s="112"/>
      <c r="J95" s="112"/>
      <c r="K95" s="112"/>
      <c r="L95" s="112"/>
      <c r="M95" s="114"/>
      <c r="N95" s="96"/>
      <c r="O95" s="97"/>
      <c r="S95" s="5"/>
      <c r="W95" s="1"/>
    </row>
    <row r="96" spans="1:23" x14ac:dyDescent="0.25">
      <c r="A96" s="124"/>
      <c r="B96" s="125"/>
      <c r="C96" s="110"/>
      <c r="D96" s="111"/>
      <c r="E96" s="111"/>
      <c r="F96" s="112"/>
      <c r="G96" s="112"/>
      <c r="H96" s="112"/>
      <c r="I96" s="112"/>
      <c r="J96" s="112"/>
      <c r="K96" s="112"/>
      <c r="L96" s="112"/>
      <c r="M96" s="114"/>
      <c r="N96" s="96"/>
      <c r="O96" s="97"/>
      <c r="P96" s="7"/>
      <c r="S96" s="5"/>
      <c r="W96" s="1"/>
    </row>
    <row r="97" spans="1:23" x14ac:dyDescent="0.25">
      <c r="A97" s="124"/>
      <c r="B97" s="125"/>
      <c r="C97" s="110"/>
      <c r="D97" s="111"/>
      <c r="E97" s="111"/>
      <c r="F97" s="112"/>
      <c r="G97" s="112"/>
      <c r="H97" s="112"/>
      <c r="I97" s="112"/>
      <c r="J97" s="112"/>
      <c r="K97" s="112"/>
      <c r="L97" s="112"/>
      <c r="M97" s="114"/>
      <c r="N97" s="96"/>
      <c r="O97" s="97"/>
      <c r="P97" s="7"/>
      <c r="S97" s="5"/>
      <c r="W97" s="1"/>
    </row>
    <row r="98" spans="1:23" ht="14.45" customHeight="1" x14ac:dyDescent="0.25">
      <c r="A98" s="124"/>
      <c r="B98" s="125"/>
      <c r="C98" s="110"/>
      <c r="D98" s="111"/>
      <c r="E98" s="111"/>
      <c r="F98" s="112"/>
      <c r="G98" s="112"/>
      <c r="H98" s="112"/>
      <c r="I98" s="112"/>
      <c r="J98" s="112"/>
      <c r="K98" s="112"/>
      <c r="L98" s="112"/>
      <c r="M98" s="114"/>
      <c r="N98" s="96"/>
      <c r="O98" s="97"/>
      <c r="S98" s="5"/>
      <c r="W98" s="1"/>
    </row>
    <row r="99" spans="1:23" ht="14.45" customHeight="1" x14ac:dyDescent="0.25">
      <c r="A99" s="124"/>
      <c r="B99" s="125"/>
      <c r="C99" s="110" t="s">
        <v>150</v>
      </c>
      <c r="D99" s="111" t="s">
        <v>151</v>
      </c>
      <c r="E99" s="111"/>
      <c r="F99" s="113" t="s">
        <v>307</v>
      </c>
      <c r="G99" s="113"/>
      <c r="H99" s="113" t="s">
        <v>82</v>
      </c>
      <c r="I99" s="113" t="s">
        <v>307</v>
      </c>
      <c r="J99" s="113"/>
      <c r="K99" s="112" t="s">
        <v>307</v>
      </c>
      <c r="L99" s="112" t="s">
        <v>82</v>
      </c>
      <c r="M99" s="107" t="s">
        <v>82</v>
      </c>
      <c r="N99" s="96">
        <v>0</v>
      </c>
      <c r="O99" s="97">
        <f>N99</f>
        <v>0</v>
      </c>
      <c r="S99" s="5"/>
      <c r="W99" s="1"/>
    </row>
    <row r="100" spans="1:23" x14ac:dyDescent="0.25">
      <c r="A100" s="124"/>
      <c r="B100" s="125"/>
      <c r="C100" s="110"/>
      <c r="D100" s="111"/>
      <c r="E100" s="111"/>
      <c r="F100" s="113"/>
      <c r="G100" s="113"/>
      <c r="H100" s="113"/>
      <c r="I100" s="113"/>
      <c r="J100" s="113"/>
      <c r="K100" s="112"/>
      <c r="L100" s="112"/>
      <c r="M100" s="108"/>
      <c r="N100" s="96"/>
      <c r="O100" s="97"/>
      <c r="S100" s="5"/>
      <c r="W100" s="1"/>
    </row>
    <row r="101" spans="1:23" x14ac:dyDescent="0.25">
      <c r="A101" s="124"/>
      <c r="B101" s="125"/>
      <c r="C101" s="110"/>
      <c r="D101" s="111"/>
      <c r="E101" s="111"/>
      <c r="F101" s="113"/>
      <c r="G101" s="113"/>
      <c r="H101" s="113"/>
      <c r="I101" s="113"/>
      <c r="J101" s="113"/>
      <c r="K101" s="112"/>
      <c r="L101" s="112"/>
      <c r="M101" s="109"/>
      <c r="N101" s="96"/>
      <c r="O101" s="97"/>
      <c r="S101" s="5"/>
      <c r="W101" s="1"/>
    </row>
    <row r="102" spans="1:23" ht="14.45" customHeight="1" x14ac:dyDescent="0.25">
      <c r="A102" s="124"/>
      <c r="B102" s="125"/>
      <c r="C102" s="110"/>
      <c r="D102" s="111" t="s">
        <v>308</v>
      </c>
      <c r="E102" s="111"/>
      <c r="F102" s="112" t="str">
        <f>IF(AND(OR(N102&gt;0,O102&gt;0),N102+O102&lt;=15),"Single restroom okay for 15 or less (7.21.4(2))",IF(AND(OR(N102&gt;0,O102&gt;0),N102+O102&gt;Q5),W19,IF(Q5&lt;=15,"Single restroom okay for 15 or less (7.21.4(2))",W19)))</f>
        <v>Single restroom okay for 15 or less (7.21.4(2))</v>
      </c>
      <c r="G102" s="112" t="str">
        <f>IF(F102="Single restroom okay for 15 or less (7.21.4(2))","-",X19)</f>
        <v>-</v>
      </c>
      <c r="H102" s="112" t="s">
        <v>82</v>
      </c>
      <c r="I102" s="112">
        <f>Y19</f>
        <v>0</v>
      </c>
      <c r="J102" s="112" t="str">
        <f>IF(F102="Single restroom okay for 15 or less (7.21.4(2))","-",Z20)</f>
        <v>-</v>
      </c>
      <c r="K102" s="112" t="s">
        <v>82</v>
      </c>
      <c r="L102" s="112">
        <f>AA19</f>
        <v>0</v>
      </c>
      <c r="M102" s="114" t="s">
        <v>309</v>
      </c>
      <c r="N102" s="96">
        <v>0</v>
      </c>
      <c r="O102" s="97">
        <f>N102</f>
        <v>0</v>
      </c>
      <c r="W102" s="1"/>
    </row>
    <row r="103" spans="1:23" ht="14.45" customHeight="1" x14ac:dyDescent="0.25">
      <c r="A103" s="124"/>
      <c r="B103" s="125"/>
      <c r="C103" s="110"/>
      <c r="D103" s="111"/>
      <c r="E103" s="111"/>
      <c r="F103" s="112"/>
      <c r="G103" s="112"/>
      <c r="H103" s="112"/>
      <c r="I103" s="112"/>
      <c r="J103" s="112"/>
      <c r="K103" s="112"/>
      <c r="L103" s="112"/>
      <c r="M103" s="114"/>
      <c r="N103" s="96"/>
      <c r="O103" s="97"/>
      <c r="W103" s="1"/>
    </row>
    <row r="104" spans="1:23" ht="14.45" customHeight="1" x14ac:dyDescent="0.25">
      <c r="A104" s="124"/>
      <c r="B104" s="125"/>
      <c r="C104" s="110"/>
      <c r="D104" s="111"/>
      <c r="E104" s="111"/>
      <c r="F104" s="112"/>
      <c r="G104" s="112"/>
      <c r="H104" s="112"/>
      <c r="I104" s="112"/>
      <c r="J104" s="112"/>
      <c r="K104" s="112"/>
      <c r="L104" s="112"/>
      <c r="M104" s="114"/>
      <c r="N104" s="96"/>
      <c r="O104" s="97"/>
      <c r="W104" s="1"/>
    </row>
    <row r="105" spans="1:23" x14ac:dyDescent="0.25">
      <c r="A105" s="124"/>
      <c r="B105" s="125"/>
      <c r="C105" s="110"/>
      <c r="D105" s="111"/>
      <c r="E105" s="111"/>
      <c r="F105" s="112"/>
      <c r="G105" s="112"/>
      <c r="H105" s="112"/>
      <c r="I105" s="112"/>
      <c r="J105" s="112"/>
      <c r="K105" s="112"/>
      <c r="L105" s="112"/>
      <c r="M105" s="114"/>
      <c r="N105" s="96"/>
      <c r="O105" s="97"/>
      <c r="W105" s="1"/>
    </row>
    <row r="106" spans="1:23" x14ac:dyDescent="0.25">
      <c r="A106" s="124"/>
      <c r="B106" s="125"/>
      <c r="C106" s="110"/>
      <c r="D106" s="111"/>
      <c r="E106" s="111"/>
      <c r="F106" s="112"/>
      <c r="G106" s="112"/>
      <c r="H106" s="112"/>
      <c r="I106" s="112"/>
      <c r="J106" s="112"/>
      <c r="K106" s="112"/>
      <c r="L106" s="112"/>
      <c r="M106" s="114"/>
      <c r="N106" s="96"/>
      <c r="O106" s="97"/>
    </row>
    <row r="107" spans="1:23" x14ac:dyDescent="0.25">
      <c r="A107" s="124"/>
      <c r="B107" s="125"/>
      <c r="C107" s="110"/>
      <c r="D107" s="111" t="s">
        <v>310</v>
      </c>
      <c r="E107" s="111"/>
      <c r="F107" s="112" t="str">
        <f>IF(AND(OR(N107&gt;0,O107&gt;0),N107+O107&lt;=15),"Single restroom okay for 15 or less (7.21.4(2))",IF(AND(OR(N107&gt;0,O107&gt;0),N107+O107&gt;Q5),W20,IF(Q5&lt;=15,"Single restroom okay for 15 or less (7.21.4(2))",W20)))</f>
        <v>Single restroom okay for 15 or less (7.21.4(2))</v>
      </c>
      <c r="G107" s="112" t="str">
        <f>IF(F107="Single restroom okay for 15 or less (7.21.4(2))","-",X20)</f>
        <v>-</v>
      </c>
      <c r="H107" s="112" t="s">
        <v>82</v>
      </c>
      <c r="I107" s="112">
        <f>Y20</f>
        <v>0</v>
      </c>
      <c r="J107" s="112" t="str">
        <f>IF(F107="Single restroom okay for 15 or less (7.21.4(2))","-",Z20)</f>
        <v>-</v>
      </c>
      <c r="K107" s="112" t="s">
        <v>82</v>
      </c>
      <c r="L107" s="112">
        <f>AA20</f>
        <v>0</v>
      </c>
      <c r="M107" s="114" t="s">
        <v>82</v>
      </c>
      <c r="N107" s="96">
        <v>0</v>
      </c>
      <c r="O107" s="97">
        <f>N107</f>
        <v>0</v>
      </c>
    </row>
    <row r="108" spans="1:23" x14ac:dyDescent="0.25">
      <c r="A108" s="124"/>
      <c r="B108" s="125"/>
      <c r="C108" s="110"/>
      <c r="D108" s="111"/>
      <c r="E108" s="111"/>
      <c r="F108" s="112"/>
      <c r="G108" s="112"/>
      <c r="H108" s="112"/>
      <c r="I108" s="112"/>
      <c r="J108" s="112"/>
      <c r="K108" s="112"/>
      <c r="L108" s="112"/>
      <c r="M108" s="114"/>
      <c r="N108" s="96"/>
      <c r="O108" s="97"/>
    </row>
    <row r="109" spans="1:23" x14ac:dyDescent="0.25">
      <c r="A109" s="124"/>
      <c r="B109" s="125"/>
      <c r="C109" s="110"/>
      <c r="D109" s="111"/>
      <c r="E109" s="111"/>
      <c r="F109" s="112"/>
      <c r="G109" s="112"/>
      <c r="H109" s="112"/>
      <c r="I109" s="112"/>
      <c r="J109" s="112"/>
      <c r="K109" s="112"/>
      <c r="L109" s="112"/>
      <c r="M109" s="114"/>
      <c r="N109" s="96"/>
      <c r="O109" s="97"/>
    </row>
    <row r="110" spans="1:23" x14ac:dyDescent="0.25">
      <c r="A110" s="124"/>
      <c r="B110" s="125"/>
      <c r="C110" s="110"/>
      <c r="D110" s="111"/>
      <c r="E110" s="111"/>
      <c r="F110" s="112"/>
      <c r="G110" s="112"/>
      <c r="H110" s="112"/>
      <c r="I110" s="112"/>
      <c r="J110" s="112"/>
      <c r="K110" s="112"/>
      <c r="L110" s="112"/>
      <c r="M110" s="114"/>
      <c r="N110" s="96"/>
      <c r="O110" s="97"/>
    </row>
    <row r="111" spans="1:23" x14ac:dyDescent="0.25">
      <c r="A111" s="124"/>
      <c r="B111" s="125"/>
      <c r="C111" s="110"/>
      <c r="D111" s="111"/>
      <c r="E111" s="111"/>
      <c r="F111" s="112"/>
      <c r="G111" s="112"/>
      <c r="H111" s="112"/>
      <c r="I111" s="112"/>
      <c r="J111" s="112"/>
      <c r="K111" s="112"/>
      <c r="L111" s="112"/>
      <c r="M111" s="114"/>
      <c r="N111" s="96"/>
      <c r="O111" s="97"/>
    </row>
    <row r="112" spans="1:23" x14ac:dyDescent="0.25">
      <c r="A112" s="124"/>
      <c r="B112" s="125"/>
      <c r="C112" s="110" t="s">
        <v>155</v>
      </c>
      <c r="D112" s="111" t="s">
        <v>311</v>
      </c>
      <c r="E112" s="111"/>
      <c r="F112" s="113" t="s">
        <v>157</v>
      </c>
      <c r="G112" s="113"/>
      <c r="H112" s="113" t="s">
        <v>82</v>
      </c>
      <c r="I112" s="113" t="s">
        <v>157</v>
      </c>
      <c r="J112" s="113"/>
      <c r="K112" s="112" t="s">
        <v>158</v>
      </c>
      <c r="L112" s="112" t="str">
        <f>"1 per 100"</f>
        <v>1 per 100</v>
      </c>
      <c r="M112" s="107" t="s">
        <v>82</v>
      </c>
      <c r="N112" s="96">
        <v>0</v>
      </c>
      <c r="O112" s="97">
        <f>N112</f>
        <v>0</v>
      </c>
    </row>
    <row r="113" spans="1:15" x14ac:dyDescent="0.25">
      <c r="A113" s="124"/>
      <c r="B113" s="125"/>
      <c r="C113" s="110"/>
      <c r="D113" s="111"/>
      <c r="E113" s="111"/>
      <c r="F113" s="113"/>
      <c r="G113" s="113"/>
      <c r="H113" s="113"/>
      <c r="I113" s="113"/>
      <c r="J113" s="113"/>
      <c r="K113" s="112"/>
      <c r="L113" s="112"/>
      <c r="M113" s="108"/>
      <c r="N113" s="96"/>
      <c r="O113" s="97"/>
    </row>
    <row r="114" spans="1:15" ht="14.45" customHeight="1" x14ac:dyDescent="0.25">
      <c r="A114" s="124"/>
      <c r="B114" s="125"/>
      <c r="C114" s="110"/>
      <c r="D114" s="111"/>
      <c r="E114" s="111"/>
      <c r="F114" s="113"/>
      <c r="G114" s="113"/>
      <c r="H114" s="113"/>
      <c r="I114" s="113"/>
      <c r="J114" s="113"/>
      <c r="K114" s="112"/>
      <c r="L114" s="112"/>
      <c r="M114" s="109"/>
      <c r="N114" s="96"/>
      <c r="O114" s="97"/>
    </row>
    <row r="115" spans="1:15" x14ac:dyDescent="0.25">
      <c r="A115" s="124"/>
      <c r="B115" s="125"/>
      <c r="C115" s="110"/>
      <c r="D115" s="111" t="s">
        <v>312</v>
      </c>
      <c r="E115" s="111"/>
      <c r="F115" s="112" t="str">
        <f>IF(AND(OR(N115&gt;0,O115&gt;0),N115+O115&lt;=15),"Single restroom okay for 15 or less (7.21.4(2))",IF(AND(OR(N115&gt;0,O115&gt;0),N115+O115&gt;Q5),W21,IF(Q5&lt;=15,"Single restroom okay for 15 or less (7.21.4(2))",W21)))</f>
        <v>Single restroom okay for 15 or less (7.21.4(2))</v>
      </c>
      <c r="G115" s="112" t="str">
        <f>IF(F115="Single restroom okay for 15 or less (7.21.4(2))","-",X21)</f>
        <v>-</v>
      </c>
      <c r="H115" s="112" t="s">
        <v>82</v>
      </c>
      <c r="I115" s="112">
        <f>Y21</f>
        <v>0</v>
      </c>
      <c r="J115" s="112" t="str">
        <f>IF(F115="Single restroom okay for 15 or less (7.21.4(2))","-",Z21)</f>
        <v>-</v>
      </c>
      <c r="K115" s="112">
        <f>AB21</f>
        <v>0</v>
      </c>
      <c r="L115" s="112">
        <f>AA21</f>
        <v>0</v>
      </c>
      <c r="M115" s="114" t="s">
        <v>82</v>
      </c>
      <c r="N115" s="96">
        <v>0</v>
      </c>
      <c r="O115" s="97">
        <f>N115</f>
        <v>0</v>
      </c>
    </row>
    <row r="116" spans="1:15" x14ac:dyDescent="0.25">
      <c r="A116" s="124"/>
      <c r="B116" s="125"/>
      <c r="C116" s="110"/>
      <c r="D116" s="111"/>
      <c r="E116" s="111"/>
      <c r="F116" s="112"/>
      <c r="G116" s="112"/>
      <c r="H116" s="112"/>
      <c r="I116" s="112"/>
      <c r="J116" s="112"/>
      <c r="K116" s="112"/>
      <c r="L116" s="112"/>
      <c r="M116" s="114"/>
      <c r="N116" s="96"/>
      <c r="O116" s="97"/>
    </row>
    <row r="117" spans="1:15" x14ac:dyDescent="0.25">
      <c r="A117" s="124"/>
      <c r="B117" s="125"/>
      <c r="C117" s="110"/>
      <c r="D117" s="111"/>
      <c r="E117" s="111"/>
      <c r="F117" s="112"/>
      <c r="G117" s="112"/>
      <c r="H117" s="112"/>
      <c r="I117" s="112"/>
      <c r="J117" s="112"/>
      <c r="K117" s="112"/>
      <c r="L117" s="112"/>
      <c r="M117" s="114"/>
      <c r="N117" s="96"/>
      <c r="O117" s="97"/>
    </row>
    <row r="118" spans="1:15" x14ac:dyDescent="0.25">
      <c r="A118" s="124"/>
      <c r="B118" s="125"/>
      <c r="C118" s="110"/>
      <c r="D118" s="111"/>
      <c r="E118" s="111"/>
      <c r="F118" s="112"/>
      <c r="G118" s="112"/>
      <c r="H118" s="112"/>
      <c r="I118" s="112"/>
      <c r="J118" s="112"/>
      <c r="K118" s="112"/>
      <c r="L118" s="112"/>
      <c r="M118" s="114"/>
      <c r="N118" s="96"/>
      <c r="O118" s="97"/>
    </row>
    <row r="119" spans="1:15" x14ac:dyDescent="0.25">
      <c r="A119" s="124"/>
      <c r="B119" s="125"/>
      <c r="C119" s="110"/>
      <c r="D119" s="111"/>
      <c r="E119" s="111"/>
      <c r="F119" s="112"/>
      <c r="G119" s="112"/>
      <c r="H119" s="112"/>
      <c r="I119" s="112"/>
      <c r="J119" s="112"/>
      <c r="K119" s="112"/>
      <c r="L119" s="112"/>
      <c r="M119" s="114"/>
      <c r="N119" s="96"/>
      <c r="O119" s="97"/>
    </row>
    <row r="120" spans="1:15" ht="14.45" customHeight="1" x14ac:dyDescent="0.25">
      <c r="A120" s="124"/>
      <c r="B120" s="125"/>
      <c r="C120" s="110"/>
      <c r="D120" s="179" t="s">
        <v>313</v>
      </c>
      <c r="E120" s="180"/>
      <c r="F120" s="92" t="str">
        <f>IF(AND(OR(N120&gt;0,O120&gt;0),N120+O120&lt;=15),"Single restroom okay for 15 or less (7.21.4(2))",IF(AND(OR(N120&gt;0,O120&gt;0),N120+O120&gt;Q5),W22,IF(Q5&lt;=15,"Single restroom okay for 15 or less (7.21.4(2))",W22)))</f>
        <v>Single restroom okay for 15 or less (7.21.4(2))</v>
      </c>
      <c r="G120" s="92" t="str">
        <f>IF(F120="Single restroom okay for 15 or less (7.21.4(2))","-",X22)</f>
        <v>-</v>
      </c>
      <c r="H120" s="92" t="s">
        <v>82</v>
      </c>
      <c r="I120" s="92">
        <f>Y22</f>
        <v>0</v>
      </c>
      <c r="J120" s="92" t="str">
        <f>IF(F120="Single restroom okay for 15 or less (7.21.4(2))","-",Z22)</f>
        <v>-</v>
      </c>
      <c r="K120" s="92" t="s">
        <v>82</v>
      </c>
      <c r="L120" s="92">
        <f>AA22</f>
        <v>0</v>
      </c>
      <c r="M120" s="98" t="s">
        <v>224</v>
      </c>
      <c r="N120" s="245">
        <v>0</v>
      </c>
      <c r="O120" s="248">
        <f>N120</f>
        <v>0</v>
      </c>
    </row>
    <row r="121" spans="1:15" ht="14.45" customHeight="1" x14ac:dyDescent="0.25">
      <c r="A121" s="124"/>
      <c r="B121" s="125"/>
      <c r="C121" s="110"/>
      <c r="D121" s="181"/>
      <c r="E121" s="182"/>
      <c r="F121" s="93"/>
      <c r="G121" s="93"/>
      <c r="H121" s="93"/>
      <c r="I121" s="93"/>
      <c r="J121" s="93"/>
      <c r="K121" s="93"/>
      <c r="L121" s="93"/>
      <c r="M121" s="99"/>
      <c r="N121" s="246"/>
      <c r="O121" s="249"/>
    </row>
    <row r="122" spans="1:15" ht="14.45" customHeight="1" x14ac:dyDescent="0.25">
      <c r="A122" s="124"/>
      <c r="B122" s="125"/>
      <c r="C122" s="110"/>
      <c r="D122" s="181"/>
      <c r="E122" s="182"/>
      <c r="F122" s="93"/>
      <c r="G122" s="93"/>
      <c r="H122" s="93"/>
      <c r="I122" s="93"/>
      <c r="J122" s="93"/>
      <c r="K122" s="93"/>
      <c r="L122" s="93"/>
      <c r="M122" s="99"/>
      <c r="N122" s="246"/>
      <c r="O122" s="249"/>
    </row>
    <row r="123" spans="1:15" ht="14.45" customHeight="1" x14ac:dyDescent="0.25">
      <c r="A123" s="124"/>
      <c r="B123" s="125"/>
      <c r="C123" s="110"/>
      <c r="D123" s="181"/>
      <c r="E123" s="182"/>
      <c r="F123" s="93"/>
      <c r="G123" s="93"/>
      <c r="H123" s="93"/>
      <c r="I123" s="93"/>
      <c r="J123" s="93"/>
      <c r="K123" s="93"/>
      <c r="L123" s="93"/>
      <c r="M123" s="99"/>
      <c r="N123" s="246"/>
      <c r="O123" s="249"/>
    </row>
    <row r="124" spans="1:15" ht="14.45" customHeight="1" x14ac:dyDescent="0.25">
      <c r="A124" s="124"/>
      <c r="B124" s="125"/>
      <c r="C124" s="110"/>
      <c r="D124" s="183"/>
      <c r="E124" s="184"/>
      <c r="F124" s="129"/>
      <c r="G124" s="129"/>
      <c r="H124" s="129"/>
      <c r="I124" s="129"/>
      <c r="J124" s="129"/>
      <c r="K124" s="129"/>
      <c r="L124" s="129"/>
      <c r="M124" s="121"/>
      <c r="N124" s="247"/>
      <c r="O124" s="250"/>
    </row>
    <row r="125" spans="1:15" ht="14.45" customHeight="1" x14ac:dyDescent="0.25">
      <c r="A125" s="124"/>
      <c r="B125" s="125"/>
      <c r="C125" s="110"/>
      <c r="D125" s="179" t="s">
        <v>314</v>
      </c>
      <c r="E125" s="180"/>
      <c r="F125" s="92" t="str">
        <f>IF(AND(OR(N125&gt;0,O125&gt;0),N125+O125&lt;=15),"Single restroom okay for 15 or less (7.21.4(2))",IF(AND(OR(N125&gt;0,O125&gt;0),N125+O125&gt;Q5),W23,IF(Q5&lt;=15,"Single restroom okay for 15 or less (7.21.4(2))",W23)))</f>
        <v>Single restroom okay for 15 or less (7.21.4(2))</v>
      </c>
      <c r="G125" s="92" t="str">
        <f>IF(F125="Single restroom okay for 15 or less (7.21.4(2))","-",X23)</f>
        <v>-</v>
      </c>
      <c r="H125" s="92"/>
      <c r="I125" s="92">
        <f>Y23</f>
        <v>0</v>
      </c>
      <c r="J125" s="92" t="str">
        <f>IF(F125="Single restroom okay for 15 or less (7.21.4(2))","-",Z23)</f>
        <v>-</v>
      </c>
      <c r="K125" s="92"/>
      <c r="L125" s="92">
        <f>AA23</f>
        <v>0</v>
      </c>
      <c r="M125" s="98" t="s">
        <v>82</v>
      </c>
      <c r="N125" s="245">
        <v>0</v>
      </c>
      <c r="O125" s="248">
        <f>N125</f>
        <v>0</v>
      </c>
    </row>
    <row r="126" spans="1:15" ht="14.45" customHeight="1" x14ac:dyDescent="0.25">
      <c r="A126" s="124"/>
      <c r="B126" s="125"/>
      <c r="C126" s="110"/>
      <c r="D126" s="181"/>
      <c r="E126" s="182"/>
      <c r="F126" s="93"/>
      <c r="G126" s="93"/>
      <c r="H126" s="93"/>
      <c r="I126" s="93"/>
      <c r="J126" s="93"/>
      <c r="K126" s="93"/>
      <c r="L126" s="93"/>
      <c r="M126" s="99"/>
      <c r="N126" s="246"/>
      <c r="O126" s="249"/>
    </row>
    <row r="127" spans="1:15" ht="14.45" customHeight="1" x14ac:dyDescent="0.25">
      <c r="A127" s="124"/>
      <c r="B127" s="125"/>
      <c r="C127" s="110"/>
      <c r="D127" s="181"/>
      <c r="E127" s="182"/>
      <c r="F127" s="93"/>
      <c r="G127" s="93"/>
      <c r="H127" s="93"/>
      <c r="I127" s="93"/>
      <c r="J127" s="93"/>
      <c r="K127" s="93"/>
      <c r="L127" s="93"/>
      <c r="M127" s="99"/>
      <c r="N127" s="246"/>
      <c r="O127" s="249"/>
    </row>
    <row r="128" spans="1:15" x14ac:dyDescent="0.25">
      <c r="A128" s="124"/>
      <c r="B128" s="125"/>
      <c r="C128" s="110"/>
      <c r="D128" s="181"/>
      <c r="E128" s="182"/>
      <c r="F128" s="93"/>
      <c r="G128" s="93"/>
      <c r="H128" s="93"/>
      <c r="I128" s="93"/>
      <c r="J128" s="93"/>
      <c r="K128" s="93"/>
      <c r="L128" s="93"/>
      <c r="M128" s="99"/>
      <c r="N128" s="246"/>
      <c r="O128" s="249"/>
    </row>
    <row r="129" spans="1:15" x14ac:dyDescent="0.25">
      <c r="A129" s="124"/>
      <c r="B129" s="125"/>
      <c r="C129" s="110"/>
      <c r="D129" s="183"/>
      <c r="E129" s="184"/>
      <c r="F129" s="129"/>
      <c r="G129" s="129"/>
      <c r="H129" s="129"/>
      <c r="I129" s="129"/>
      <c r="J129" s="129"/>
      <c r="K129" s="129"/>
      <c r="L129" s="129"/>
      <c r="M129" s="121"/>
      <c r="N129" s="247"/>
      <c r="O129" s="250"/>
    </row>
    <row r="130" spans="1:15" x14ac:dyDescent="0.25">
      <c r="A130" s="124"/>
      <c r="B130" s="125"/>
      <c r="C130" s="110" t="s">
        <v>161</v>
      </c>
      <c r="D130" s="111" t="s">
        <v>315</v>
      </c>
      <c r="E130" s="111"/>
      <c r="F130" s="112" t="str">
        <f>IF(AND(OR(N130&gt;0,O130&gt;0),N130+O130&lt;=15),"Single restroom okay for 15 or less (7.21.4(2))",IF(AND(OR(N130&gt;0,O130&gt;0),N130+O130&gt;Q5),W24,IF(Q5&lt;=15,"Single restroom okay for 15 or less (7.21.4(2))",W24)))</f>
        <v>Single restroom okay for 15 or less (7.21.4(2))</v>
      </c>
      <c r="G130" s="112" t="str">
        <f>IF(F130="Single restroom okay for 15 or less (7.21.4(2))","-",X24)</f>
        <v>-</v>
      </c>
      <c r="H130" s="112" t="s">
        <v>82</v>
      </c>
      <c r="I130" s="112">
        <f>Y24</f>
        <v>0</v>
      </c>
      <c r="J130" s="112" t="str">
        <f>IF(F130="Single restroom okay for 15 or less (7.21.4(2))","-",Z24)</f>
        <v>-</v>
      </c>
      <c r="K130" s="112" t="str">
        <f>AB24</f>
        <v>-</v>
      </c>
      <c r="L130" s="112">
        <f>AA24</f>
        <v>0</v>
      </c>
      <c r="M130" s="107" t="s">
        <v>224</v>
      </c>
      <c r="N130" s="96">
        <v>0</v>
      </c>
      <c r="O130" s="97">
        <f>N130</f>
        <v>0</v>
      </c>
    </row>
    <row r="131" spans="1:15" x14ac:dyDescent="0.25">
      <c r="A131" s="124"/>
      <c r="B131" s="125"/>
      <c r="C131" s="110"/>
      <c r="D131" s="111"/>
      <c r="E131" s="111"/>
      <c r="F131" s="112"/>
      <c r="G131" s="112"/>
      <c r="H131" s="112"/>
      <c r="I131" s="112"/>
      <c r="J131" s="112"/>
      <c r="K131" s="112"/>
      <c r="L131" s="112"/>
      <c r="M131" s="108"/>
      <c r="N131" s="96"/>
      <c r="O131" s="97"/>
    </row>
    <row r="132" spans="1:15" x14ac:dyDescent="0.25">
      <c r="A132" s="124"/>
      <c r="B132" s="125"/>
      <c r="C132" s="110"/>
      <c r="D132" s="111"/>
      <c r="E132" s="111"/>
      <c r="F132" s="112"/>
      <c r="G132" s="112"/>
      <c r="H132" s="112"/>
      <c r="I132" s="112"/>
      <c r="J132" s="112"/>
      <c r="K132" s="112"/>
      <c r="L132" s="112"/>
      <c r="M132" s="108"/>
      <c r="N132" s="96"/>
      <c r="O132" s="97"/>
    </row>
    <row r="133" spans="1:15" x14ac:dyDescent="0.25">
      <c r="A133" s="124"/>
      <c r="B133" s="125"/>
      <c r="C133" s="110"/>
      <c r="D133" s="111"/>
      <c r="E133" s="111"/>
      <c r="F133" s="112"/>
      <c r="G133" s="112"/>
      <c r="H133" s="112"/>
      <c r="I133" s="112"/>
      <c r="J133" s="112"/>
      <c r="K133" s="112"/>
      <c r="L133" s="112"/>
      <c r="M133" s="108"/>
      <c r="N133" s="96"/>
      <c r="O133" s="97"/>
    </row>
    <row r="134" spans="1:15" x14ac:dyDescent="0.25">
      <c r="A134" s="124"/>
      <c r="B134" s="125"/>
      <c r="C134" s="110"/>
      <c r="D134" s="111"/>
      <c r="E134" s="111"/>
      <c r="F134" s="112"/>
      <c r="G134" s="112"/>
      <c r="H134" s="112"/>
      <c r="I134" s="112"/>
      <c r="J134" s="112"/>
      <c r="K134" s="112"/>
      <c r="L134" s="112"/>
      <c r="M134" s="108"/>
      <c r="N134" s="96"/>
      <c r="O134" s="97"/>
    </row>
    <row r="135" spans="1:15" ht="15.75" thickBot="1" x14ac:dyDescent="0.3">
      <c r="A135" s="126"/>
      <c r="B135" s="127"/>
      <c r="C135" s="110"/>
      <c r="D135" s="111"/>
      <c r="E135" s="111"/>
      <c r="F135" s="112"/>
      <c r="G135" s="112"/>
      <c r="H135" s="112"/>
      <c r="I135" s="112"/>
      <c r="J135" s="112"/>
      <c r="K135" s="112"/>
      <c r="L135" s="112"/>
      <c r="M135" s="109"/>
      <c r="N135" s="96"/>
      <c r="O135" s="97"/>
    </row>
    <row r="136" spans="1:15" ht="14.45" customHeight="1" x14ac:dyDescent="0.25">
      <c r="A136" s="80" t="s">
        <v>163</v>
      </c>
      <c r="B136" s="81"/>
      <c r="C136" s="110" t="s">
        <v>164</v>
      </c>
      <c r="D136" s="111" t="s">
        <v>316</v>
      </c>
      <c r="E136" s="111"/>
      <c r="F136" s="112" t="str">
        <f>IF(AND(OR(N136&gt;0,O136&gt;0),N136+O136&lt;=100),"Single restroom okay for 15 or less (7.21.4(2))",IF(AND(OR(N136&gt;0,O136&gt;0),N136+O136&gt;Q5),W25,IF(Q5&lt;=100,"Single restroom okay for 15 or less (7.21.4(2))",W25)))</f>
        <v>Single restroom okay for 15 or less (7.21.4(2))</v>
      </c>
      <c r="G136" s="112" t="str">
        <f>IF(F136="Single restroom okay for 15 or less (7.21.4(2))","-",X25)</f>
        <v>-</v>
      </c>
      <c r="H136" s="112" t="s">
        <v>281</v>
      </c>
      <c r="I136" s="112">
        <f>Y25</f>
        <v>0</v>
      </c>
      <c r="J136" s="112" t="str">
        <f>IF(F136="Single restroom okay for 15 or less (7.21.4(2))","-",Z25)</f>
        <v>-</v>
      </c>
      <c r="K136" s="112" t="s">
        <v>82</v>
      </c>
      <c r="L136" s="120">
        <f>AA25</f>
        <v>0</v>
      </c>
      <c r="M136" s="95" t="s">
        <v>224</v>
      </c>
      <c r="N136" s="96">
        <v>0</v>
      </c>
      <c r="O136" s="97">
        <f>N136</f>
        <v>0</v>
      </c>
    </row>
    <row r="137" spans="1:15" x14ac:dyDescent="0.25">
      <c r="A137" s="82"/>
      <c r="B137" s="83"/>
      <c r="C137" s="110"/>
      <c r="D137" s="111"/>
      <c r="E137" s="111"/>
      <c r="F137" s="112"/>
      <c r="G137" s="112"/>
      <c r="H137" s="112"/>
      <c r="I137" s="112"/>
      <c r="J137" s="112"/>
      <c r="K137" s="112"/>
      <c r="L137" s="120"/>
      <c r="M137" s="95"/>
      <c r="N137" s="96"/>
      <c r="O137" s="97"/>
    </row>
    <row r="138" spans="1:15" x14ac:dyDescent="0.25">
      <c r="A138" s="82"/>
      <c r="B138" s="83"/>
      <c r="C138" s="110"/>
      <c r="D138" s="111"/>
      <c r="E138" s="111"/>
      <c r="F138" s="112"/>
      <c r="G138" s="112"/>
      <c r="H138" s="112"/>
      <c r="I138" s="112"/>
      <c r="J138" s="112"/>
      <c r="K138" s="112"/>
      <c r="L138" s="120"/>
      <c r="M138" s="95"/>
      <c r="N138" s="96"/>
      <c r="O138" s="97"/>
    </row>
    <row r="139" spans="1:15" x14ac:dyDescent="0.25">
      <c r="A139" s="82"/>
      <c r="B139" s="83"/>
      <c r="C139" s="110"/>
      <c r="D139" s="111"/>
      <c r="E139" s="111"/>
      <c r="F139" s="112"/>
      <c r="G139" s="112"/>
      <c r="H139" s="112"/>
      <c r="I139" s="112"/>
      <c r="J139" s="112"/>
      <c r="K139" s="112"/>
      <c r="L139" s="120"/>
      <c r="M139" s="95"/>
      <c r="N139" s="96"/>
      <c r="O139" s="97"/>
    </row>
    <row r="140" spans="1:15" x14ac:dyDescent="0.25">
      <c r="A140" s="82"/>
      <c r="B140" s="83"/>
      <c r="C140" s="110"/>
      <c r="D140" s="111"/>
      <c r="E140" s="111"/>
      <c r="F140" s="112"/>
      <c r="G140" s="112"/>
      <c r="H140" s="112"/>
      <c r="I140" s="112"/>
      <c r="J140" s="112"/>
      <c r="K140" s="112"/>
      <c r="L140" s="120"/>
      <c r="M140" s="95"/>
      <c r="N140" s="96"/>
      <c r="O140" s="97"/>
    </row>
    <row r="141" spans="1:15" ht="14.45" customHeight="1" x14ac:dyDescent="0.25">
      <c r="A141" s="82"/>
      <c r="B141" s="83"/>
      <c r="C141" s="110"/>
      <c r="D141" s="111"/>
      <c r="E141" s="111"/>
      <c r="F141" s="112"/>
      <c r="G141" s="112"/>
      <c r="H141" s="112"/>
      <c r="I141" s="112"/>
      <c r="J141" s="112"/>
      <c r="K141" s="112"/>
      <c r="L141" s="120"/>
      <c r="M141" s="95"/>
      <c r="N141" s="96"/>
      <c r="O141" s="97"/>
    </row>
    <row r="142" spans="1:15" ht="14.45" customHeight="1" x14ac:dyDescent="0.25">
      <c r="A142" s="82"/>
      <c r="B142" s="83"/>
      <c r="C142" s="110"/>
      <c r="D142" s="111"/>
      <c r="E142" s="111"/>
      <c r="F142" s="112"/>
      <c r="G142" s="112"/>
      <c r="H142" s="112"/>
      <c r="I142" s="112"/>
      <c r="J142" s="112"/>
      <c r="K142" s="112"/>
      <c r="L142" s="120"/>
      <c r="M142" s="95"/>
      <c r="N142" s="96"/>
      <c r="O142" s="97"/>
    </row>
    <row r="143" spans="1:15" ht="15.75" thickBot="1" x14ac:dyDescent="0.3">
      <c r="A143" s="84"/>
      <c r="B143" s="85"/>
      <c r="C143" s="110"/>
      <c r="D143" s="111"/>
      <c r="E143" s="111"/>
      <c r="F143" s="112"/>
      <c r="G143" s="112"/>
      <c r="H143" s="112"/>
      <c r="I143" s="112"/>
      <c r="J143" s="112"/>
      <c r="K143" s="112"/>
      <c r="L143" s="120"/>
      <c r="M143" s="95"/>
      <c r="N143" s="96"/>
      <c r="O143" s="97"/>
    </row>
    <row r="144" spans="1:15" ht="14.45" customHeight="1" x14ac:dyDescent="0.25">
      <c r="A144" s="80" t="s">
        <v>55</v>
      </c>
      <c r="B144" s="81"/>
      <c r="C144" s="110" t="s">
        <v>166</v>
      </c>
      <c r="D144" s="111" t="s">
        <v>317</v>
      </c>
      <c r="E144" s="111"/>
      <c r="F144" s="113" t="s">
        <v>318</v>
      </c>
      <c r="G144" s="113"/>
      <c r="H144" s="113" t="s">
        <v>82</v>
      </c>
      <c r="I144" s="113" t="s">
        <v>318</v>
      </c>
      <c r="J144" s="113"/>
      <c r="K144" s="113" t="s">
        <v>318</v>
      </c>
      <c r="L144" s="113" t="s">
        <v>82</v>
      </c>
      <c r="M144" s="107" t="s">
        <v>224</v>
      </c>
      <c r="N144" s="96" t="s">
        <v>82</v>
      </c>
      <c r="O144" s="97"/>
    </row>
    <row r="145" spans="1:15" x14ac:dyDescent="0.25">
      <c r="A145" s="82"/>
      <c r="B145" s="83"/>
      <c r="C145" s="110"/>
      <c r="D145" s="111"/>
      <c r="E145" s="111"/>
      <c r="F145" s="113"/>
      <c r="G145" s="113"/>
      <c r="H145" s="113"/>
      <c r="I145" s="113"/>
      <c r="J145" s="113"/>
      <c r="K145" s="113"/>
      <c r="L145" s="113"/>
      <c r="M145" s="108"/>
      <c r="N145" s="96"/>
      <c r="O145" s="97"/>
    </row>
    <row r="146" spans="1:15" x14ac:dyDescent="0.25">
      <c r="A146" s="82"/>
      <c r="B146" s="83"/>
      <c r="C146" s="110"/>
      <c r="D146" s="111"/>
      <c r="E146" s="111"/>
      <c r="F146" s="113"/>
      <c r="G146" s="113"/>
      <c r="H146" s="113"/>
      <c r="I146" s="113"/>
      <c r="J146" s="113"/>
      <c r="K146" s="113"/>
      <c r="L146" s="113"/>
      <c r="M146" s="109"/>
      <c r="N146" s="96"/>
      <c r="O146" s="97"/>
    </row>
    <row r="147" spans="1:15" x14ac:dyDescent="0.25">
      <c r="A147" s="82"/>
      <c r="B147" s="83"/>
      <c r="C147" s="110" t="s">
        <v>169</v>
      </c>
      <c r="D147" s="111" t="s">
        <v>319</v>
      </c>
      <c r="E147" s="111"/>
      <c r="F147" s="92">
        <f>W26</f>
        <v>0</v>
      </c>
      <c r="G147" s="92">
        <f>X26</f>
        <v>0</v>
      </c>
      <c r="H147" s="113" t="s">
        <v>82</v>
      </c>
      <c r="I147" s="92">
        <f>Y26</f>
        <v>0</v>
      </c>
      <c r="J147" s="92">
        <f>Z26</f>
        <v>0</v>
      </c>
      <c r="K147" s="112">
        <f>AB26</f>
        <v>0</v>
      </c>
      <c r="L147" s="112">
        <f>AA26</f>
        <v>0</v>
      </c>
      <c r="M147" s="114" t="s">
        <v>224</v>
      </c>
      <c r="N147" s="245">
        <v>0</v>
      </c>
      <c r="O147" s="248">
        <f>N147</f>
        <v>0</v>
      </c>
    </row>
    <row r="148" spans="1:15" x14ac:dyDescent="0.25">
      <c r="A148" s="82"/>
      <c r="B148" s="83"/>
      <c r="C148" s="110"/>
      <c r="D148" s="111"/>
      <c r="E148" s="111"/>
      <c r="F148" s="93"/>
      <c r="G148" s="93"/>
      <c r="H148" s="113"/>
      <c r="I148" s="93"/>
      <c r="J148" s="93"/>
      <c r="K148" s="112"/>
      <c r="L148" s="112"/>
      <c r="M148" s="114"/>
      <c r="N148" s="246"/>
      <c r="O148" s="249"/>
    </row>
    <row r="149" spans="1:15" ht="14.45" customHeight="1" x14ac:dyDescent="0.25">
      <c r="A149" s="82"/>
      <c r="B149" s="83"/>
      <c r="C149" s="110"/>
      <c r="D149" s="111"/>
      <c r="E149" s="111"/>
      <c r="F149" s="93"/>
      <c r="G149" s="93"/>
      <c r="H149" s="113"/>
      <c r="I149" s="93"/>
      <c r="J149" s="93"/>
      <c r="K149" s="112"/>
      <c r="L149" s="112"/>
      <c r="M149" s="114"/>
      <c r="N149" s="246"/>
      <c r="O149" s="249"/>
    </row>
    <row r="150" spans="1:15" x14ac:dyDescent="0.25">
      <c r="A150" s="82"/>
      <c r="B150" s="83"/>
      <c r="C150" s="110"/>
      <c r="D150" s="111"/>
      <c r="E150" s="111"/>
      <c r="F150" s="93"/>
      <c r="G150" s="93"/>
      <c r="H150" s="113"/>
      <c r="I150" s="93"/>
      <c r="J150" s="93"/>
      <c r="K150" s="112"/>
      <c r="L150" s="112"/>
      <c r="M150" s="114"/>
      <c r="N150" s="246"/>
      <c r="O150" s="249"/>
    </row>
    <row r="151" spans="1:15" x14ac:dyDescent="0.25">
      <c r="A151" s="82"/>
      <c r="B151" s="83"/>
      <c r="C151" s="110"/>
      <c r="D151" s="111"/>
      <c r="E151" s="111"/>
      <c r="F151" s="129"/>
      <c r="G151" s="129"/>
      <c r="H151" s="113"/>
      <c r="I151" s="129"/>
      <c r="J151" s="129"/>
      <c r="K151" s="112"/>
      <c r="L151" s="112"/>
      <c r="M151" s="114"/>
      <c r="N151" s="247"/>
      <c r="O151" s="250"/>
    </row>
    <row r="152" spans="1:15" x14ac:dyDescent="0.25">
      <c r="A152" s="82"/>
      <c r="B152" s="83"/>
      <c r="C152" s="110"/>
      <c r="D152" s="111" t="s">
        <v>320</v>
      </c>
      <c r="E152" s="111"/>
      <c r="F152" s="173" t="s">
        <v>321</v>
      </c>
      <c r="G152" s="174"/>
      <c r="H152" s="112" t="s">
        <v>82</v>
      </c>
      <c r="I152" s="173" t="s">
        <v>321</v>
      </c>
      <c r="J152" s="174"/>
      <c r="K152" s="112" t="s">
        <v>321</v>
      </c>
      <c r="L152" s="112" t="s">
        <v>82</v>
      </c>
      <c r="M152" s="114" t="s">
        <v>322</v>
      </c>
      <c r="N152" s="167" t="s">
        <v>82</v>
      </c>
      <c r="O152" s="168"/>
    </row>
    <row r="153" spans="1:15" x14ac:dyDescent="0.25">
      <c r="A153" s="82"/>
      <c r="B153" s="83"/>
      <c r="C153" s="110"/>
      <c r="D153" s="111"/>
      <c r="E153" s="111"/>
      <c r="F153" s="175"/>
      <c r="G153" s="176"/>
      <c r="H153" s="112"/>
      <c r="I153" s="175"/>
      <c r="J153" s="176"/>
      <c r="K153" s="112"/>
      <c r="L153" s="112"/>
      <c r="M153" s="114"/>
      <c r="N153" s="169"/>
      <c r="O153" s="170"/>
    </row>
    <row r="154" spans="1:15" x14ac:dyDescent="0.25">
      <c r="A154" s="82"/>
      <c r="B154" s="83"/>
      <c r="C154" s="110"/>
      <c r="D154" s="111"/>
      <c r="E154" s="111"/>
      <c r="F154" s="175"/>
      <c r="G154" s="176"/>
      <c r="H154" s="112"/>
      <c r="I154" s="175"/>
      <c r="J154" s="176"/>
      <c r="K154" s="112"/>
      <c r="L154" s="112"/>
      <c r="M154" s="114"/>
      <c r="N154" s="169"/>
      <c r="O154" s="170"/>
    </row>
    <row r="155" spans="1:15" x14ac:dyDescent="0.25">
      <c r="A155" s="82"/>
      <c r="B155" s="83"/>
      <c r="C155" s="110"/>
      <c r="D155" s="111"/>
      <c r="E155" s="111"/>
      <c r="F155" s="175"/>
      <c r="G155" s="176"/>
      <c r="H155" s="112"/>
      <c r="I155" s="175"/>
      <c r="J155" s="176"/>
      <c r="K155" s="112"/>
      <c r="L155" s="112"/>
      <c r="M155" s="114"/>
      <c r="N155" s="169"/>
      <c r="O155" s="170"/>
    </row>
    <row r="156" spans="1:15" ht="14.45" customHeight="1" x14ac:dyDescent="0.25">
      <c r="A156" s="82"/>
      <c r="B156" s="83"/>
      <c r="C156" s="110"/>
      <c r="D156" s="111"/>
      <c r="E156" s="111"/>
      <c r="F156" s="177"/>
      <c r="G156" s="178"/>
      <c r="H156" s="112"/>
      <c r="I156" s="177"/>
      <c r="J156" s="178"/>
      <c r="K156" s="112"/>
      <c r="L156" s="112"/>
      <c r="M156" s="114"/>
      <c r="N156" s="171"/>
      <c r="O156" s="172"/>
    </row>
    <row r="157" spans="1:15" x14ac:dyDescent="0.25">
      <c r="A157" s="82"/>
      <c r="B157" s="83"/>
      <c r="C157" s="110"/>
      <c r="D157" s="111" t="s">
        <v>323</v>
      </c>
      <c r="E157" s="111"/>
      <c r="F157" s="113" t="s">
        <v>321</v>
      </c>
      <c r="G157" s="113"/>
      <c r="H157" s="113" t="s">
        <v>82</v>
      </c>
      <c r="I157" s="113" t="s">
        <v>321</v>
      </c>
      <c r="J157" s="113"/>
      <c r="K157" s="113" t="s">
        <v>321</v>
      </c>
      <c r="L157" s="113" t="s">
        <v>82</v>
      </c>
      <c r="M157" s="115" t="s">
        <v>324</v>
      </c>
      <c r="N157" s="116" t="s">
        <v>82</v>
      </c>
      <c r="O157" s="117"/>
    </row>
    <row r="158" spans="1:15" x14ac:dyDescent="0.25">
      <c r="A158" s="82"/>
      <c r="B158" s="83"/>
      <c r="C158" s="110"/>
      <c r="D158" s="111"/>
      <c r="E158" s="111"/>
      <c r="F158" s="113"/>
      <c r="G158" s="113"/>
      <c r="H158" s="113"/>
      <c r="I158" s="113"/>
      <c r="J158" s="113"/>
      <c r="K158" s="113"/>
      <c r="L158" s="113"/>
      <c r="M158" s="115"/>
      <c r="N158" s="118"/>
      <c r="O158" s="119"/>
    </row>
    <row r="159" spans="1:15" x14ac:dyDescent="0.25">
      <c r="A159" s="82"/>
      <c r="B159" s="83"/>
      <c r="C159" s="110"/>
      <c r="D159" s="111"/>
      <c r="E159" s="111"/>
      <c r="F159" s="113"/>
      <c r="G159" s="113"/>
      <c r="H159" s="113"/>
      <c r="I159" s="113"/>
      <c r="J159" s="113"/>
      <c r="K159" s="113"/>
      <c r="L159" s="113"/>
      <c r="M159" s="115"/>
      <c r="N159" s="118"/>
      <c r="O159" s="119"/>
    </row>
    <row r="160" spans="1:15" x14ac:dyDescent="0.25">
      <c r="A160" s="82"/>
      <c r="B160" s="83"/>
      <c r="C160" s="110"/>
      <c r="D160" s="111"/>
      <c r="E160" s="111"/>
      <c r="F160" s="113"/>
      <c r="G160" s="113"/>
      <c r="H160" s="113"/>
      <c r="I160" s="113"/>
      <c r="J160" s="113"/>
      <c r="K160" s="113"/>
      <c r="L160" s="113"/>
      <c r="M160" s="115"/>
      <c r="N160" s="118"/>
      <c r="O160" s="119"/>
    </row>
    <row r="161" spans="1:15" x14ac:dyDescent="0.25">
      <c r="A161" s="82"/>
      <c r="B161" s="83"/>
      <c r="C161" s="110"/>
      <c r="D161" s="111"/>
      <c r="E161" s="111"/>
      <c r="F161" s="113"/>
      <c r="G161" s="113"/>
      <c r="H161" s="113"/>
      <c r="I161" s="113"/>
      <c r="J161" s="113"/>
      <c r="K161" s="113"/>
      <c r="L161" s="113"/>
      <c r="M161" s="115"/>
      <c r="N161" s="118"/>
      <c r="O161" s="119"/>
    </row>
    <row r="162" spans="1:15" x14ac:dyDescent="0.25">
      <c r="A162" s="82"/>
      <c r="B162" s="83"/>
      <c r="C162" s="110" t="s">
        <v>174</v>
      </c>
      <c r="D162" s="111" t="s">
        <v>175</v>
      </c>
      <c r="E162" s="111"/>
      <c r="F162" s="92">
        <f>W27</f>
        <v>0</v>
      </c>
      <c r="G162" s="92">
        <f>X27</f>
        <v>0</v>
      </c>
      <c r="H162" s="113" t="s">
        <v>82</v>
      </c>
      <c r="I162" s="92">
        <f>Y27</f>
        <v>0</v>
      </c>
      <c r="J162" s="92">
        <f>Z27</f>
        <v>0</v>
      </c>
      <c r="K162" s="112">
        <f>AB27</f>
        <v>0</v>
      </c>
      <c r="L162" s="112">
        <f>AA27</f>
        <v>0</v>
      </c>
      <c r="M162" s="107" t="s">
        <v>224</v>
      </c>
      <c r="N162" s="245">
        <v>0</v>
      </c>
      <c r="O162" s="248">
        <f>N162</f>
        <v>0</v>
      </c>
    </row>
    <row r="163" spans="1:15" x14ac:dyDescent="0.25">
      <c r="A163" s="82"/>
      <c r="B163" s="83"/>
      <c r="C163" s="110"/>
      <c r="D163" s="111"/>
      <c r="E163" s="111"/>
      <c r="F163" s="93"/>
      <c r="G163" s="93"/>
      <c r="H163" s="113"/>
      <c r="I163" s="93"/>
      <c r="J163" s="93"/>
      <c r="K163" s="112"/>
      <c r="L163" s="112"/>
      <c r="M163" s="108"/>
      <c r="N163" s="246"/>
      <c r="O163" s="249"/>
    </row>
    <row r="164" spans="1:15" x14ac:dyDescent="0.25">
      <c r="A164" s="82"/>
      <c r="B164" s="83"/>
      <c r="C164" s="110"/>
      <c r="D164" s="111"/>
      <c r="E164" s="111"/>
      <c r="F164" s="129"/>
      <c r="G164" s="129"/>
      <c r="H164" s="113"/>
      <c r="I164" s="129"/>
      <c r="J164" s="129"/>
      <c r="K164" s="112"/>
      <c r="L164" s="112"/>
      <c r="M164" s="109"/>
      <c r="N164" s="247"/>
      <c r="O164" s="250"/>
    </row>
    <row r="165" spans="1:15" x14ac:dyDescent="0.25">
      <c r="A165" s="82"/>
      <c r="B165" s="83"/>
      <c r="C165" s="159" t="s">
        <v>185</v>
      </c>
      <c r="D165" s="111" t="s">
        <v>175</v>
      </c>
      <c r="E165" s="111"/>
      <c r="F165" s="92">
        <f>W28</f>
        <v>0</v>
      </c>
      <c r="G165" s="92">
        <f>X28</f>
        <v>0</v>
      </c>
      <c r="H165" s="112" t="s">
        <v>82</v>
      </c>
      <c r="I165" s="92">
        <f>Y27</f>
        <v>0</v>
      </c>
      <c r="J165" s="92">
        <f>Z28</f>
        <v>0</v>
      </c>
      <c r="K165" s="112">
        <f>AB28</f>
        <v>0</v>
      </c>
      <c r="L165" s="112">
        <f>AA28</f>
        <v>0</v>
      </c>
      <c r="M165" s="107" t="s">
        <v>83</v>
      </c>
      <c r="N165" s="251">
        <v>0</v>
      </c>
      <c r="O165" s="102">
        <f>N165</f>
        <v>0</v>
      </c>
    </row>
    <row r="166" spans="1:15" ht="14.45" customHeight="1" x14ac:dyDescent="0.25">
      <c r="A166" s="82"/>
      <c r="B166" s="83"/>
      <c r="C166" s="159"/>
      <c r="D166" s="111"/>
      <c r="E166" s="111"/>
      <c r="F166" s="93"/>
      <c r="G166" s="93"/>
      <c r="H166" s="112"/>
      <c r="I166" s="93"/>
      <c r="J166" s="93"/>
      <c r="K166" s="112"/>
      <c r="L166" s="112"/>
      <c r="M166" s="108"/>
      <c r="N166" s="252"/>
      <c r="O166" s="104"/>
    </row>
    <row r="167" spans="1:15" ht="15.75" thickBot="1" x14ac:dyDescent="0.3">
      <c r="A167" s="84"/>
      <c r="B167" s="85"/>
      <c r="C167" s="255"/>
      <c r="D167" s="89"/>
      <c r="E167" s="89"/>
      <c r="F167" s="129"/>
      <c r="G167" s="129"/>
      <c r="H167" s="92"/>
      <c r="I167" s="129"/>
      <c r="J167" s="129"/>
      <c r="K167" s="92"/>
      <c r="L167" s="92"/>
      <c r="M167" s="109"/>
      <c r="N167" s="254"/>
      <c r="O167" s="117"/>
    </row>
    <row r="168" spans="1:15" x14ac:dyDescent="0.25">
      <c r="A168" s="80" t="s">
        <v>178</v>
      </c>
      <c r="B168" s="81"/>
      <c r="C168" s="86" t="s">
        <v>179</v>
      </c>
      <c r="D168" s="258" t="s">
        <v>325</v>
      </c>
      <c r="E168" s="258"/>
      <c r="F168" s="92" t="str">
        <f>IF(AND(OR(N168&gt;0,O168&gt;0),N168+O168&lt;=100),"Single restroom okay for 15 or less (7.21.4(2))",IF(AND(OR(N168&gt;0,O168&gt;0),N168+O168&gt;Q5),W29,IF(Q5&lt;=100,"Single restroom okay for 15 or less (7.21.4(2))",W29)))</f>
        <v>Single restroom okay for 15 or less (7.21.4(2))</v>
      </c>
      <c r="G168" s="92" t="str">
        <f>IF(F168="Single restroom okay for 15 or less (7.21.4(2))","-",X29)</f>
        <v>-</v>
      </c>
      <c r="H168" s="92" t="s">
        <v>281</v>
      </c>
      <c r="I168" s="92">
        <f>Y29</f>
        <v>0</v>
      </c>
      <c r="J168" s="92" t="str">
        <f>IF(F168="Single restroom okay for 15 or less (7.21.4(2))","-",Z29)</f>
        <v>-</v>
      </c>
      <c r="K168" s="92" t="str">
        <f>AB29</f>
        <v>-</v>
      </c>
      <c r="L168" s="92">
        <f>AA29</f>
        <v>0</v>
      </c>
      <c r="M168" s="98" t="s">
        <v>83</v>
      </c>
      <c r="N168" s="251">
        <v>0</v>
      </c>
      <c r="O168" s="102">
        <f>N168</f>
        <v>0</v>
      </c>
    </row>
    <row r="169" spans="1:15" x14ac:dyDescent="0.25">
      <c r="A169" s="82"/>
      <c r="B169" s="83"/>
      <c r="C169" s="87"/>
      <c r="D169" s="259"/>
      <c r="E169" s="259"/>
      <c r="F169" s="93"/>
      <c r="G169" s="93"/>
      <c r="H169" s="93"/>
      <c r="I169" s="93"/>
      <c r="J169" s="93"/>
      <c r="K169" s="93"/>
      <c r="L169" s="93"/>
      <c r="M169" s="99"/>
      <c r="N169" s="252"/>
      <c r="O169" s="104"/>
    </row>
    <row r="170" spans="1:15" x14ac:dyDescent="0.25">
      <c r="A170" s="82"/>
      <c r="B170" s="83"/>
      <c r="C170" s="87"/>
      <c r="D170" s="259"/>
      <c r="E170" s="259"/>
      <c r="F170" s="93"/>
      <c r="G170" s="93"/>
      <c r="H170" s="93"/>
      <c r="I170" s="93"/>
      <c r="J170" s="93"/>
      <c r="K170" s="93"/>
      <c r="L170" s="93"/>
      <c r="M170" s="99"/>
      <c r="N170" s="252"/>
      <c r="O170" s="104"/>
    </row>
    <row r="171" spans="1:15" x14ac:dyDescent="0.25">
      <c r="A171" s="82"/>
      <c r="B171" s="83"/>
      <c r="C171" s="87"/>
      <c r="D171" s="259"/>
      <c r="E171" s="259"/>
      <c r="F171" s="93"/>
      <c r="G171" s="93"/>
      <c r="H171" s="93"/>
      <c r="I171" s="93"/>
      <c r="J171" s="93"/>
      <c r="K171" s="93"/>
      <c r="L171" s="93"/>
      <c r="M171" s="99"/>
      <c r="N171" s="252"/>
      <c r="O171" s="104"/>
    </row>
    <row r="172" spans="1:15" x14ac:dyDescent="0.25">
      <c r="A172" s="82"/>
      <c r="B172" s="83"/>
      <c r="C172" s="87"/>
      <c r="D172" s="259"/>
      <c r="E172" s="259"/>
      <c r="F172" s="93"/>
      <c r="G172" s="93"/>
      <c r="H172" s="93"/>
      <c r="I172" s="93"/>
      <c r="J172" s="93"/>
      <c r="K172" s="93"/>
      <c r="L172" s="93"/>
      <c r="M172" s="99"/>
      <c r="N172" s="252"/>
      <c r="O172" s="104"/>
    </row>
    <row r="173" spans="1:15" ht="15.75" thickBot="1" x14ac:dyDescent="0.3">
      <c r="A173" s="84"/>
      <c r="B173" s="85"/>
      <c r="C173" s="88"/>
      <c r="D173" s="260"/>
      <c r="E173" s="260"/>
      <c r="F173" s="94"/>
      <c r="G173" s="94"/>
      <c r="H173" s="94"/>
      <c r="I173" s="94"/>
      <c r="J173" s="94"/>
      <c r="K173" s="94"/>
      <c r="L173" s="94"/>
      <c r="M173" s="100"/>
      <c r="N173" s="253"/>
      <c r="O173" s="106"/>
    </row>
  </sheetData>
  <mergeCells count="366">
    <mergeCell ref="O93:O98"/>
    <mergeCell ref="O85:O92"/>
    <mergeCell ref="M93:M98"/>
    <mergeCell ref="N93:N98"/>
    <mergeCell ref="M168:M173"/>
    <mergeCell ref="N168:N173"/>
    <mergeCell ref="O168:O173"/>
    <mergeCell ref="F120:F124"/>
    <mergeCell ref="F125:F129"/>
    <mergeCell ref="G120:G124"/>
    <mergeCell ref="F168:F173"/>
    <mergeCell ref="G168:G173"/>
    <mergeCell ref="I168:I173"/>
    <mergeCell ref="J168:J173"/>
    <mergeCell ref="I165:I167"/>
    <mergeCell ref="J165:J167"/>
    <mergeCell ref="F162:F164"/>
    <mergeCell ref="G162:G164"/>
    <mergeCell ref="I162:I164"/>
    <mergeCell ref="J162:J164"/>
    <mergeCell ref="M120:M124"/>
    <mergeCell ref="M125:M129"/>
    <mergeCell ref="N120:N124"/>
    <mergeCell ref="N125:N129"/>
    <mergeCell ref="O75:O79"/>
    <mergeCell ref="N80:N84"/>
    <mergeCell ref="O80:O84"/>
    <mergeCell ref="M70:M74"/>
    <mergeCell ref="M75:M79"/>
    <mergeCell ref="M80:M84"/>
    <mergeCell ref="K70:K74"/>
    <mergeCell ref="K75:K79"/>
    <mergeCell ref="K80:K84"/>
    <mergeCell ref="L70:L74"/>
    <mergeCell ref="L75:L79"/>
    <mergeCell ref="L80:L84"/>
    <mergeCell ref="M130:M135"/>
    <mergeCell ref="F75:F79"/>
    <mergeCell ref="F80:F84"/>
    <mergeCell ref="G75:G79"/>
    <mergeCell ref="G80:G84"/>
    <mergeCell ref="I70:I74"/>
    <mergeCell ref="I75:I79"/>
    <mergeCell ref="I80:I84"/>
    <mergeCell ref="K168:K173"/>
    <mergeCell ref="L168:L173"/>
    <mergeCell ref="L112:L114"/>
    <mergeCell ref="K115:K119"/>
    <mergeCell ref="L99:L101"/>
    <mergeCell ref="L93:L98"/>
    <mergeCell ref="G125:G129"/>
    <mergeCell ref="H120:H124"/>
    <mergeCell ref="H125:H129"/>
    <mergeCell ref="J70:J74"/>
    <mergeCell ref="J75:J79"/>
    <mergeCell ref="J80:J84"/>
    <mergeCell ref="M112:M114"/>
    <mergeCell ref="F152:G156"/>
    <mergeCell ref="I152:J156"/>
    <mergeCell ref="F147:F151"/>
    <mergeCell ref="O136:O143"/>
    <mergeCell ref="L144:L146"/>
    <mergeCell ref="M144:M146"/>
    <mergeCell ref="I136:I143"/>
    <mergeCell ref="J136:J143"/>
    <mergeCell ref="K136:K143"/>
    <mergeCell ref="L136:L143"/>
    <mergeCell ref="M136:M143"/>
    <mergeCell ref="N136:N143"/>
    <mergeCell ref="L165:L167"/>
    <mergeCell ref="M165:M167"/>
    <mergeCell ref="N165:N167"/>
    <mergeCell ref="O165:O167"/>
    <mergeCell ref="M162:M164"/>
    <mergeCell ref="L157:L161"/>
    <mergeCell ref="M157:M161"/>
    <mergeCell ref="N157:O161"/>
    <mergeCell ref="N144:O146"/>
    <mergeCell ref="N152:O156"/>
    <mergeCell ref="N147:N151"/>
    <mergeCell ref="O147:O151"/>
    <mergeCell ref="N162:N164"/>
    <mergeCell ref="O162:O164"/>
    <mergeCell ref="L162:L164"/>
    <mergeCell ref="L152:L156"/>
    <mergeCell ref="M152:M156"/>
    <mergeCell ref="L147:L151"/>
    <mergeCell ref="M147:M151"/>
    <mergeCell ref="A168:B173"/>
    <mergeCell ref="C168:C173"/>
    <mergeCell ref="D168:E173"/>
    <mergeCell ref="H168:H173"/>
    <mergeCell ref="C165:C167"/>
    <mergeCell ref="D165:E167"/>
    <mergeCell ref="H165:H167"/>
    <mergeCell ref="K165:K167"/>
    <mergeCell ref="F165:F167"/>
    <mergeCell ref="G165:G167"/>
    <mergeCell ref="A144:B167"/>
    <mergeCell ref="C144:C146"/>
    <mergeCell ref="D144:E146"/>
    <mergeCell ref="F144:G146"/>
    <mergeCell ref="H144:H146"/>
    <mergeCell ref="I144:J146"/>
    <mergeCell ref="K144:K146"/>
    <mergeCell ref="G147:G151"/>
    <mergeCell ref="C162:C164"/>
    <mergeCell ref="D162:E164"/>
    <mergeCell ref="H162:H164"/>
    <mergeCell ref="K162:K164"/>
    <mergeCell ref="K152:K156"/>
    <mergeCell ref="D157:E161"/>
    <mergeCell ref="F157:G161"/>
    <mergeCell ref="H157:H161"/>
    <mergeCell ref="I157:J161"/>
    <mergeCell ref="K157:K161"/>
    <mergeCell ref="D152:E156"/>
    <mergeCell ref="H152:H156"/>
    <mergeCell ref="C147:C161"/>
    <mergeCell ref="D147:E151"/>
    <mergeCell ref="H147:H151"/>
    <mergeCell ref="K147:K151"/>
    <mergeCell ref="I147:I151"/>
    <mergeCell ref="J147:J151"/>
    <mergeCell ref="A136:B143"/>
    <mergeCell ref="C136:C143"/>
    <mergeCell ref="D136:E143"/>
    <mergeCell ref="F136:F143"/>
    <mergeCell ref="G136:G143"/>
    <mergeCell ref="H136:H143"/>
    <mergeCell ref="J130:J135"/>
    <mergeCell ref="K130:K135"/>
    <mergeCell ref="L130:L135"/>
    <mergeCell ref="A93:B135"/>
    <mergeCell ref="C93:C98"/>
    <mergeCell ref="D93:E98"/>
    <mergeCell ref="F93:F98"/>
    <mergeCell ref="G93:G98"/>
    <mergeCell ref="H93:H98"/>
    <mergeCell ref="I93:I98"/>
    <mergeCell ref="J93:J98"/>
    <mergeCell ref="K93:K98"/>
    <mergeCell ref="K120:K124"/>
    <mergeCell ref="K125:K129"/>
    <mergeCell ref="I120:I124"/>
    <mergeCell ref="I125:I129"/>
    <mergeCell ref="J120:J124"/>
    <mergeCell ref="J125:J129"/>
    <mergeCell ref="N130:N135"/>
    <mergeCell ref="O130:O135"/>
    <mergeCell ref="C130:C135"/>
    <mergeCell ref="D130:E135"/>
    <mergeCell ref="F130:F135"/>
    <mergeCell ref="G130:G135"/>
    <mergeCell ref="H130:H135"/>
    <mergeCell ref="I130:I135"/>
    <mergeCell ref="L115:L119"/>
    <mergeCell ref="M115:M119"/>
    <mergeCell ref="N115:N119"/>
    <mergeCell ref="O115:O119"/>
    <mergeCell ref="D115:E119"/>
    <mergeCell ref="F115:F119"/>
    <mergeCell ref="G115:G119"/>
    <mergeCell ref="H115:H119"/>
    <mergeCell ref="I115:I119"/>
    <mergeCell ref="J115:J119"/>
    <mergeCell ref="C112:C129"/>
    <mergeCell ref="D112:E114"/>
    <mergeCell ref="F112:G114"/>
    <mergeCell ref="H112:H114"/>
    <mergeCell ref="I112:J114"/>
    <mergeCell ref="K112:K114"/>
    <mergeCell ref="D120:E124"/>
    <mergeCell ref="D125:E129"/>
    <mergeCell ref="J107:J111"/>
    <mergeCell ref="K107:K111"/>
    <mergeCell ref="L107:L111"/>
    <mergeCell ref="M107:M111"/>
    <mergeCell ref="N107:N111"/>
    <mergeCell ref="O107:O111"/>
    <mergeCell ref="K102:K106"/>
    <mergeCell ref="L102:L106"/>
    <mergeCell ref="M102:M106"/>
    <mergeCell ref="N102:N106"/>
    <mergeCell ref="O102:O106"/>
    <mergeCell ref="D107:E111"/>
    <mergeCell ref="F107:F111"/>
    <mergeCell ref="G107:G111"/>
    <mergeCell ref="H107:H111"/>
    <mergeCell ref="I107:I111"/>
    <mergeCell ref="N112:N114"/>
    <mergeCell ref="O112:O114"/>
    <mergeCell ref="O120:O124"/>
    <mergeCell ref="O125:O129"/>
    <mergeCell ref="L120:L124"/>
    <mergeCell ref="L125:L129"/>
    <mergeCell ref="C99:C111"/>
    <mergeCell ref="D99:E101"/>
    <mergeCell ref="F99:G101"/>
    <mergeCell ref="H99:H101"/>
    <mergeCell ref="I99:J101"/>
    <mergeCell ref="K99:K101"/>
    <mergeCell ref="M99:M101"/>
    <mergeCell ref="N99:N101"/>
    <mergeCell ref="O99:O101"/>
    <mergeCell ref="D102:E106"/>
    <mergeCell ref="F102:F106"/>
    <mergeCell ref="G102:G106"/>
    <mergeCell ref="H102:H106"/>
    <mergeCell ref="I102:I106"/>
    <mergeCell ref="J102:J106"/>
    <mergeCell ref="I85:I92"/>
    <mergeCell ref="J85:J92"/>
    <mergeCell ref="K85:K92"/>
    <mergeCell ref="L85:L92"/>
    <mergeCell ref="M85:M92"/>
    <mergeCell ref="N85:N92"/>
    <mergeCell ref="A85:B92"/>
    <mergeCell ref="C85:C92"/>
    <mergeCell ref="D85:E92"/>
    <mergeCell ref="F85:F92"/>
    <mergeCell ref="G85:G92"/>
    <mergeCell ref="H85:H92"/>
    <mergeCell ref="O63:O69"/>
    <mergeCell ref="A70:B84"/>
    <mergeCell ref="C70:C84"/>
    <mergeCell ref="H70:H84"/>
    <mergeCell ref="I63:I69"/>
    <mergeCell ref="J63:J69"/>
    <mergeCell ref="K63:K69"/>
    <mergeCell ref="L63:L69"/>
    <mergeCell ref="M63:M69"/>
    <mergeCell ref="N63:N69"/>
    <mergeCell ref="A63:B69"/>
    <mergeCell ref="C63:C69"/>
    <mergeCell ref="D63:E69"/>
    <mergeCell ref="F63:F69"/>
    <mergeCell ref="G63:G69"/>
    <mergeCell ref="H63:H69"/>
    <mergeCell ref="D70:E74"/>
    <mergeCell ref="D75:E79"/>
    <mergeCell ref="D80:E84"/>
    <mergeCell ref="F70:F74"/>
    <mergeCell ref="G70:G74"/>
    <mergeCell ref="N70:N74"/>
    <mergeCell ref="O70:O74"/>
    <mergeCell ref="N75:N79"/>
    <mergeCell ref="N44:N49"/>
    <mergeCell ref="O44:O49"/>
    <mergeCell ref="J56:J62"/>
    <mergeCell ref="K56:K62"/>
    <mergeCell ref="L56:L62"/>
    <mergeCell ref="M56:M62"/>
    <mergeCell ref="N56:N62"/>
    <mergeCell ref="O56:O62"/>
    <mergeCell ref="C56:C62"/>
    <mergeCell ref="D56:E62"/>
    <mergeCell ref="F56:F62"/>
    <mergeCell ref="G56:G62"/>
    <mergeCell ref="H56:H62"/>
    <mergeCell ref="I56:I62"/>
    <mergeCell ref="D44:E49"/>
    <mergeCell ref="F44:F49"/>
    <mergeCell ref="G44:G49"/>
    <mergeCell ref="H44:H49"/>
    <mergeCell ref="I44:I49"/>
    <mergeCell ref="J44:J49"/>
    <mergeCell ref="K44:K49"/>
    <mergeCell ref="L44:L49"/>
    <mergeCell ref="M44:M49"/>
    <mergeCell ref="J50:J55"/>
    <mergeCell ref="K50:K55"/>
    <mergeCell ref="L50:L55"/>
    <mergeCell ref="M50:M55"/>
    <mergeCell ref="N50:N55"/>
    <mergeCell ref="O50:O55"/>
    <mergeCell ref="C50:C55"/>
    <mergeCell ref="D50:E55"/>
    <mergeCell ref="F50:F55"/>
    <mergeCell ref="G50:G55"/>
    <mergeCell ref="H50:H55"/>
    <mergeCell ref="I50:I55"/>
    <mergeCell ref="K38:K43"/>
    <mergeCell ref="L38:L43"/>
    <mergeCell ref="M38:M43"/>
    <mergeCell ref="N22:N31"/>
    <mergeCell ref="O22:O31"/>
    <mergeCell ref="D32:E37"/>
    <mergeCell ref="F32:F37"/>
    <mergeCell ref="G32:G37"/>
    <mergeCell ref="H32:H37"/>
    <mergeCell ref="I32:I37"/>
    <mergeCell ref="J32:J37"/>
    <mergeCell ref="K32:K37"/>
    <mergeCell ref="L32:L37"/>
    <mergeCell ref="M32:M37"/>
    <mergeCell ref="N32:N37"/>
    <mergeCell ref="O32:O37"/>
    <mergeCell ref="D38:E43"/>
    <mergeCell ref="F38:F43"/>
    <mergeCell ref="G38:G43"/>
    <mergeCell ref="H38:H43"/>
    <mergeCell ref="I38:I43"/>
    <mergeCell ref="J38:J43"/>
    <mergeCell ref="N38:N43"/>
    <mergeCell ref="O38:O43"/>
    <mergeCell ref="G10:G15"/>
    <mergeCell ref="H10:H15"/>
    <mergeCell ref="I10:I15"/>
    <mergeCell ref="D16:E21"/>
    <mergeCell ref="F16:F21"/>
    <mergeCell ref="G16:G21"/>
    <mergeCell ref="H16:H21"/>
    <mergeCell ref="O16:O21"/>
    <mergeCell ref="C22:C49"/>
    <mergeCell ref="D22:E31"/>
    <mergeCell ref="F22:F31"/>
    <mergeCell ref="G22:G31"/>
    <mergeCell ref="H22:H31"/>
    <mergeCell ref="I22:I31"/>
    <mergeCell ref="J22:J31"/>
    <mergeCell ref="K22:K31"/>
    <mergeCell ref="L22:L31"/>
    <mergeCell ref="I16:I21"/>
    <mergeCell ref="J16:J21"/>
    <mergeCell ref="K16:K21"/>
    <mergeCell ref="L16:L21"/>
    <mergeCell ref="M16:M21"/>
    <mergeCell ref="N16:N21"/>
    <mergeCell ref="M22:M31"/>
    <mergeCell ref="K3:K9"/>
    <mergeCell ref="L3:L9"/>
    <mergeCell ref="M3:M9"/>
    <mergeCell ref="N3:N9"/>
    <mergeCell ref="O3:O9"/>
    <mergeCell ref="Q3:R4"/>
    <mergeCell ref="Q5:R5"/>
    <mergeCell ref="A3:B62"/>
    <mergeCell ref="C3:C9"/>
    <mergeCell ref="D3:E9"/>
    <mergeCell ref="F3:F9"/>
    <mergeCell ref="G3:G9"/>
    <mergeCell ref="H3:H9"/>
    <mergeCell ref="I3:I9"/>
    <mergeCell ref="J3:J9"/>
    <mergeCell ref="J10:J15"/>
    <mergeCell ref="K10:K15"/>
    <mergeCell ref="L10:L15"/>
    <mergeCell ref="M10:M15"/>
    <mergeCell ref="N10:N15"/>
    <mergeCell ref="O10:O15"/>
    <mergeCell ref="C10:C21"/>
    <mergeCell ref="D10:E15"/>
    <mergeCell ref="F10:F15"/>
    <mergeCell ref="K1:K2"/>
    <mergeCell ref="L1:L2"/>
    <mergeCell ref="M1:M2"/>
    <mergeCell ref="N1:O1"/>
    <mergeCell ref="W1:X1"/>
    <mergeCell ref="Y1:Z1"/>
    <mergeCell ref="A1:B2"/>
    <mergeCell ref="C1:C2"/>
    <mergeCell ref="D1:E2"/>
    <mergeCell ref="F1:G1"/>
    <mergeCell ref="H1:H2"/>
    <mergeCell ref="I1:J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CE131-4855-46A0-84E1-96F18CA061D1}">
  <dimension ref="A1:AC328"/>
  <sheetViews>
    <sheetView zoomScale="85" zoomScaleNormal="85" workbookViewId="0">
      <pane xSplit="14" ySplit="2" topLeftCell="O3" activePane="bottomRight" state="frozen"/>
      <selection pane="topRight" activeCell="P1" sqref="P1"/>
      <selection pane="bottomLeft" activeCell="A3" sqref="A3"/>
      <selection pane="bottomRight" activeCell="P5" sqref="P5:Q5"/>
    </sheetView>
  </sheetViews>
  <sheetFormatPr defaultRowHeight="15" x14ac:dyDescent="0.25"/>
  <cols>
    <col min="1" max="1" width="7.28515625" customWidth="1"/>
    <col min="2" max="2" width="7.140625" customWidth="1"/>
    <col min="3" max="4" width="9.7109375" customWidth="1"/>
    <col min="5" max="6" width="10.7109375" customWidth="1"/>
    <col min="7" max="7" width="14.7109375" customWidth="1"/>
    <col min="8" max="9" width="10.7109375" customWidth="1"/>
    <col min="10" max="10" width="11.28515625" customWidth="1"/>
    <col min="11" max="12" width="15.7109375" customWidth="1"/>
    <col min="16" max="17" width="10.7109375" customWidth="1"/>
    <col min="18" max="18" width="13.5703125" customWidth="1"/>
    <col min="20" max="20" width="8.85546875" customWidth="1"/>
    <col min="21" max="27" width="8.85546875" hidden="1" customWidth="1"/>
  </cols>
  <sheetData>
    <row r="1" spans="1:29" ht="31.9" customHeight="1" thickBot="1" x14ac:dyDescent="0.3">
      <c r="A1" s="134" t="s">
        <v>60</v>
      </c>
      <c r="B1" s="135"/>
      <c r="C1" s="134" t="s">
        <v>62</v>
      </c>
      <c r="D1" s="135"/>
      <c r="E1" s="146" t="s">
        <v>63</v>
      </c>
      <c r="F1" s="147"/>
      <c r="G1" s="148" t="s">
        <v>64</v>
      </c>
      <c r="H1" s="150" t="s">
        <v>65</v>
      </c>
      <c r="I1" s="151"/>
      <c r="J1" s="161" t="s">
        <v>66</v>
      </c>
      <c r="K1" s="148" t="s">
        <v>67</v>
      </c>
      <c r="L1" s="163" t="s">
        <v>68</v>
      </c>
      <c r="M1" s="165" t="s">
        <v>69</v>
      </c>
      <c r="N1" s="166"/>
      <c r="O1" s="13"/>
      <c r="V1" s="133" t="s">
        <v>70</v>
      </c>
      <c r="W1" s="244"/>
      <c r="X1" s="133" t="s">
        <v>236</v>
      </c>
      <c r="Y1" s="244"/>
      <c r="Z1" s="26" t="s">
        <v>237</v>
      </c>
      <c r="AA1" s="26" t="s">
        <v>238</v>
      </c>
    </row>
    <row r="2" spans="1:29" ht="15.75" thickBot="1" x14ac:dyDescent="0.3">
      <c r="A2" s="136"/>
      <c r="B2" s="137"/>
      <c r="C2" s="136"/>
      <c r="D2" s="137"/>
      <c r="E2" s="8" t="s">
        <v>74</v>
      </c>
      <c r="F2" s="9" t="s">
        <v>75</v>
      </c>
      <c r="G2" s="149"/>
      <c r="H2" s="9" t="s">
        <v>74</v>
      </c>
      <c r="I2" s="10" t="s">
        <v>75</v>
      </c>
      <c r="J2" s="162"/>
      <c r="K2" s="149"/>
      <c r="L2" s="164"/>
      <c r="M2" s="12" t="s">
        <v>74</v>
      </c>
      <c r="N2" s="12" t="s">
        <v>75</v>
      </c>
      <c r="O2" s="13"/>
      <c r="V2" s="6" t="s">
        <v>326</v>
      </c>
      <c r="W2" s="6" t="s">
        <v>326</v>
      </c>
      <c r="X2" s="6" t="s">
        <v>326</v>
      </c>
      <c r="Y2" s="6" t="s">
        <v>326</v>
      </c>
      <c r="Z2" s="6" t="s">
        <v>326</v>
      </c>
      <c r="AA2" s="6" t="s">
        <v>326</v>
      </c>
    </row>
    <row r="3" spans="1:29" ht="14.45" customHeight="1" x14ac:dyDescent="0.25">
      <c r="A3" s="80" t="s">
        <v>327</v>
      </c>
      <c r="B3" s="81"/>
      <c r="C3" s="264" t="s">
        <v>328</v>
      </c>
      <c r="D3" s="160"/>
      <c r="E3" s="152" t="str">
        <f>V4</f>
        <v>-</v>
      </c>
      <c r="F3" s="152" t="str">
        <f>W4</f>
        <v>-</v>
      </c>
      <c r="G3" s="152" t="s">
        <v>82</v>
      </c>
      <c r="H3" s="152" t="str">
        <f>X4</f>
        <v>-</v>
      </c>
      <c r="I3" s="152" t="str">
        <f>Y4</f>
        <v>-</v>
      </c>
      <c r="J3" s="152" t="str">
        <f>AA4</f>
        <v>-</v>
      </c>
      <c r="K3" s="152" t="str">
        <f>Z4</f>
        <v>-</v>
      </c>
      <c r="L3" s="153" t="s">
        <v>82</v>
      </c>
      <c r="M3" s="262">
        <v>0</v>
      </c>
      <c r="N3" s="156">
        <f>M3</f>
        <v>0</v>
      </c>
      <c r="O3" s="13"/>
      <c r="P3" s="140" t="s">
        <v>84</v>
      </c>
      <c r="Q3" s="141"/>
      <c r="U3" s="2"/>
      <c r="V3" s="6" t="s">
        <v>85</v>
      </c>
      <c r="W3" s="29" t="s">
        <v>86</v>
      </c>
      <c r="X3" s="6" t="s">
        <v>85</v>
      </c>
      <c r="Y3" s="29" t="s">
        <v>86</v>
      </c>
      <c r="Z3" s="28" t="s">
        <v>72</v>
      </c>
      <c r="AA3" s="28" t="s">
        <v>73</v>
      </c>
    </row>
    <row r="4" spans="1:29" ht="15.75" thickBot="1" x14ac:dyDescent="0.3">
      <c r="A4" s="82"/>
      <c r="B4" s="83"/>
      <c r="C4" s="261"/>
      <c r="D4" s="111"/>
      <c r="E4" s="112"/>
      <c r="F4" s="112"/>
      <c r="G4" s="112"/>
      <c r="H4" s="112"/>
      <c r="I4" s="112"/>
      <c r="J4" s="112"/>
      <c r="K4" s="112"/>
      <c r="L4" s="114"/>
      <c r="M4" s="263"/>
      <c r="N4" s="157"/>
      <c r="O4" s="13"/>
      <c r="P4" s="142"/>
      <c r="Q4" s="143"/>
      <c r="T4" s="5"/>
      <c r="U4" s="48" t="s">
        <v>329</v>
      </c>
      <c r="V4" s="1" t="s">
        <v>82</v>
      </c>
      <c r="W4" s="1" t="s">
        <v>82</v>
      </c>
      <c r="X4" s="1" t="s">
        <v>82</v>
      </c>
      <c r="Y4" s="1" t="s">
        <v>82</v>
      </c>
      <c r="Z4" s="1" t="s">
        <v>82</v>
      </c>
      <c r="AA4" s="1" t="s">
        <v>82</v>
      </c>
    </row>
    <row r="5" spans="1:29" ht="19.5" thickBot="1" x14ac:dyDescent="0.3">
      <c r="A5" s="82"/>
      <c r="B5" s="83"/>
      <c r="C5" s="261"/>
      <c r="D5" s="111"/>
      <c r="E5" s="112"/>
      <c r="F5" s="112"/>
      <c r="G5" s="112"/>
      <c r="H5" s="112"/>
      <c r="I5" s="112"/>
      <c r="J5" s="112"/>
      <c r="K5" s="112"/>
      <c r="L5" s="114"/>
      <c r="M5" s="263"/>
      <c r="N5" s="157"/>
      <c r="O5" s="13"/>
      <c r="P5" s="144">
        <f>'Occupant Calculator'!D34</f>
        <v>0</v>
      </c>
      <c r="Q5" s="145"/>
      <c r="T5" s="5"/>
      <c r="U5" s="48" t="s">
        <v>330</v>
      </c>
      <c r="V5" s="1">
        <f>IF(M9&gt;0,ROUNDUP((M9/50),0),ROUNDUP((P8/50),0))</f>
        <v>0</v>
      </c>
      <c r="W5" s="31">
        <f>IF(N9&gt;0,ROUNDUP((N9/25),0),ROUNDUP((P5/25),0))</f>
        <v>0</v>
      </c>
      <c r="X5" s="1">
        <f>IF(M9&gt;0,ROUNDUP((M9/50),0),ROUNDUP((P8/50),0))</f>
        <v>0</v>
      </c>
      <c r="Y5" s="36">
        <f>IF(N9&gt;0,ROUNDUP((N9/50),0),ROUNDUP((Q8/50),0))</f>
        <v>0</v>
      </c>
      <c r="Z5" s="36" t="s">
        <v>331</v>
      </c>
      <c r="AA5" s="36" t="s">
        <v>82</v>
      </c>
      <c r="AC5" s="42"/>
    </row>
    <row r="6" spans="1:29" ht="14.45" customHeight="1" x14ac:dyDescent="0.25">
      <c r="A6" s="82"/>
      <c r="B6" s="83"/>
      <c r="C6" s="261"/>
      <c r="D6" s="111"/>
      <c r="E6" s="112"/>
      <c r="F6" s="112"/>
      <c r="G6" s="112"/>
      <c r="H6" s="112"/>
      <c r="I6" s="112"/>
      <c r="J6" s="112"/>
      <c r="K6" s="112"/>
      <c r="L6" s="114"/>
      <c r="M6" s="263"/>
      <c r="N6" s="157"/>
      <c r="P6" s="1"/>
      <c r="Q6" s="1"/>
      <c r="T6" s="5"/>
      <c r="U6" s="48" t="s">
        <v>332</v>
      </c>
      <c r="V6" s="1">
        <f>IF(AND(M15&gt;0,M15&lt;=200),(ROUNDUP(M15/50,0)),IF(AND(M15&gt;200,M15&lt;=2000),(ROUNDUP(M15/100,0)+2),IF(M15&gt;2000,(ROUNDUP(M15/200,0)+12),IF(AND(P8&gt;0,P8&lt;=200),(ROUNDUP(P8/50,0)),IF(AND(P8&gt;200,P8&lt;=2000),(ROUNDUP(P8/100,0)+2),IF(P8&gt;2000,(ROUNDUP(P8/200,0)+12),0))))))</f>
        <v>0</v>
      </c>
      <c r="W6" s="31">
        <f>IF(AND(N15&gt;0,N15&lt;=200),(ROUNDUP(N15/25,0)),IF(AND(N15&gt;200,N15&lt;=2000),(ROUNDUP(N15/50,0)+4),IF(N15&gt;2000,(ROUNDUP(N15/100,0)+24),IF(AND(Q8&gt;0,Q8&lt;=200),(ROUNDUP(Q8/25,0)),IF(AND(Q8&gt;200,Q8&lt;=2000),(ROUNDUP(Q8/50,0)+4),IF(Q8&gt;2000,(ROUNDUP(Q8/100,0)+24),0))))))</f>
        <v>0</v>
      </c>
      <c r="X6" s="1">
        <f>IF(M15&gt;0,ROUNDUP((M15/50),0),ROUNDUP((P8/50),0))</f>
        <v>0</v>
      </c>
      <c r="Y6" s="31">
        <f>IF(N15&gt;0,ROUNDUP((N15/50),0),ROUNDUP((Q8/50),0))</f>
        <v>0</v>
      </c>
      <c r="Z6" s="36" t="s">
        <v>331</v>
      </c>
      <c r="AA6" s="36" t="s">
        <v>82</v>
      </c>
    </row>
    <row r="7" spans="1:29" ht="15.75" x14ac:dyDescent="0.25">
      <c r="A7" s="82"/>
      <c r="B7" s="83"/>
      <c r="C7" s="261"/>
      <c r="D7" s="111"/>
      <c r="E7" s="112"/>
      <c r="F7" s="112"/>
      <c r="G7" s="112"/>
      <c r="H7" s="112"/>
      <c r="I7" s="112"/>
      <c r="J7" s="112"/>
      <c r="K7" s="112"/>
      <c r="L7" s="114"/>
      <c r="M7" s="263"/>
      <c r="N7" s="157"/>
      <c r="P7" s="15" t="s">
        <v>74</v>
      </c>
      <c r="Q7" s="15" t="s">
        <v>75</v>
      </c>
      <c r="T7" s="5"/>
      <c r="U7" s="48" t="s">
        <v>333</v>
      </c>
      <c r="V7" s="1">
        <f>IF(AND(M27&gt;0,M27&lt;=200),(ROUNDUP(M27/50,0)),IF(AND(M27&gt;200,M27&lt;=2000),(ROUNDUP(M27/100,0)+2),IF(M27&gt;2000,(ROUNDUP(M27/200,0)+12),IF(AND(P8&gt;0,P8&lt;=200),(ROUNDUP(P8/50,0)),IF(AND(P8&gt;200,P8&lt;=2000),(ROUNDUP(P8/100,0)+2),IF(P8&gt;2000,(ROUNDUP(P8/200,0)+12),0))))))</f>
        <v>0</v>
      </c>
      <c r="W7" s="31">
        <f>IF(AND(N27&gt;0,N27&lt;=200),(ROUNDUP(N27/25,0)),IF(AND(N27&gt;200,N27&lt;=2000),(ROUNDUP(N27/50,0)+4),IF(N27&gt;2000,(ROUNDUP(N27/100,0)+24),IF(AND(Q8&gt;0,Q8&lt;=200),(ROUNDUP(Q8/25,0)),IF(AND(Q8&gt;200,Q8&lt;=2000),(ROUNDUP(Q8/50,0)+4),IF(Q8&gt;2000,(ROUNDUP(Q8/100,0)+24),0))))))</f>
        <v>0</v>
      </c>
      <c r="X7" s="1">
        <f>IF(M27&gt;0,ROUNDUP((M27/50),0),ROUNDUP((P8/50),0))</f>
        <v>0</v>
      </c>
      <c r="Y7" s="36">
        <f>IF(N27&gt;0,ROUNDUP((N27/50),0),ROUNDUP((Q8/50),0))</f>
        <v>0</v>
      </c>
      <c r="Z7" s="36" t="s">
        <v>82</v>
      </c>
      <c r="AA7" s="36" t="s">
        <v>82</v>
      </c>
    </row>
    <row r="8" spans="1:29" ht="16.149999999999999" customHeight="1" thickBot="1" x14ac:dyDescent="0.3">
      <c r="A8" s="82"/>
      <c r="B8" s="83"/>
      <c r="C8" s="261"/>
      <c r="D8" s="111"/>
      <c r="E8" s="112"/>
      <c r="F8" s="112"/>
      <c r="G8" s="112"/>
      <c r="H8" s="112"/>
      <c r="I8" s="112"/>
      <c r="J8" s="112"/>
      <c r="K8" s="112"/>
      <c r="L8" s="98"/>
      <c r="M8" s="263"/>
      <c r="N8" s="157"/>
      <c r="P8" s="16">
        <f>ROUNDUP((P5/2),1)</f>
        <v>0</v>
      </c>
      <c r="Q8" s="16">
        <f>ROUNDUP((P5/2),1)</f>
        <v>0</v>
      </c>
      <c r="T8" s="5"/>
      <c r="U8" s="48" t="s">
        <v>334</v>
      </c>
      <c r="V8" s="1">
        <f>IF(AND(M37&gt;0,M37&lt;=200),(ROUNDUP(M37/50,0)),IF(AND(M37&gt;200,M37&lt;=2000),(ROUNDUP(M37/100,0)+2),IF(M37&gt;2000,(ROUNDUP(M37/200,0)+12),IF(AND(P8&gt;0,P8&lt;=200),(ROUNDUP(P8/50,0)),IF(AND(P8&gt;200,P8&lt;=2000),(ROUNDUP(P8/100,0)+2),IF(P8&gt;2000,(ROUNDUP(P8/200,0)+12),0))))))</f>
        <v>0</v>
      </c>
      <c r="W8" s="31">
        <f>IF(AND(N37&gt;0,N37&lt;=200),(ROUNDUP(N37/25,0)),IF(AND(N37&gt;200,N37&lt;=2000),(ROUNDUP(N37/50,0)+4),IF(N37&gt;2000,(ROUNDUP(N37/100,0)+24),IF(AND(Q8&gt;0,Q8&lt;=200),(ROUNDUP(Q8/25,0)),IF(AND(Q8&gt;200,Q8&lt;=2000),(ROUNDUP(Q8/50,0)+4),IF(Q8&gt;2000,(ROUNDUP(Q8/100,0)+24),0))))))</f>
        <v>0</v>
      </c>
      <c r="X8" s="1">
        <f>IF(M37&gt;0,ROUNDUP((M37/50),0),ROUNDUP((P8/50),0))</f>
        <v>0</v>
      </c>
      <c r="Y8" s="36">
        <f>IF(N37&gt;0,ROUNDUP((N37/50),0),ROUNDUP((Q8/50),0))</f>
        <v>0</v>
      </c>
      <c r="Z8" s="36" t="s">
        <v>331</v>
      </c>
      <c r="AA8" s="36" t="s">
        <v>82</v>
      </c>
    </row>
    <row r="9" spans="1:29" ht="14.45" customHeight="1" x14ac:dyDescent="0.25">
      <c r="A9" s="80" t="s">
        <v>335</v>
      </c>
      <c r="B9" s="81"/>
      <c r="C9" s="261" t="s">
        <v>336</v>
      </c>
      <c r="D9" s="111"/>
      <c r="E9" s="112">
        <f>V5</f>
        <v>0</v>
      </c>
      <c r="F9" s="112">
        <f>W5</f>
        <v>0</v>
      </c>
      <c r="G9" s="112" t="str">
        <f>IF(E9&gt;0,"Can substitute up to 50% of required fixtures (10.10 Table 1)","-")</f>
        <v>-</v>
      </c>
      <c r="H9" s="112">
        <f>X5</f>
        <v>0</v>
      </c>
      <c r="I9" s="112">
        <f>Y5</f>
        <v>0</v>
      </c>
      <c r="J9" s="112" t="str">
        <f>AA5</f>
        <v>-</v>
      </c>
      <c r="K9" s="112" t="str">
        <f>IF(OR(M9&gt;0,N9&gt;0),Z5,IF(AND(OR(M9&gt;0,N9&gt;0),M9+N9&gt;P5),Z5,IF(AND(OR(M9&gt;0,N9&gt;0),M9+N9&lt;P5),Z5,IF(P5=0,"-",Z5))))</f>
        <v>-</v>
      </c>
      <c r="L9" s="114" t="str">
        <f>IF(OR(M9&gt;0,N9&gt;0),"One Mop Sink per Floor",IF(AND(OR(M9&gt;0,N9&gt;0),M9+N9&gt;P5),"One Mop Sink per Floor",IF(AND(OR(M9&gt;0,N9&gt;0),M9+N9&lt;P5),Z5,IF(P5=0,"-","One Mop Sink per Floor"))))</f>
        <v>-</v>
      </c>
      <c r="M9" s="265">
        <v>0</v>
      </c>
      <c r="N9" s="119">
        <f>M9</f>
        <v>0</v>
      </c>
      <c r="T9" s="5"/>
      <c r="U9" s="48" t="s">
        <v>337</v>
      </c>
      <c r="V9" s="1">
        <f>IF(M46&gt;0,ROUNDUP((M46/40),0),ROUNDUP((P8/40),0))</f>
        <v>0</v>
      </c>
      <c r="W9" s="31">
        <f>IF(N46&gt;0,ROUNDUP((N46/40),0),ROUNDUP((Q8/40),0))</f>
        <v>0</v>
      </c>
      <c r="X9" s="1">
        <f>IF(M46&gt;0,ROUNDUP((M46/50),0),ROUNDUP((P8/50),0))</f>
        <v>0</v>
      </c>
      <c r="Y9" s="36">
        <f>IF(N46&gt;0,ROUNDUP((N46/50),0),ROUNDUP((Q8/50),0))</f>
        <v>0</v>
      </c>
      <c r="Z9" s="36" t="s">
        <v>331</v>
      </c>
      <c r="AA9" s="36" t="s">
        <v>338</v>
      </c>
    </row>
    <row r="10" spans="1:29" x14ac:dyDescent="0.25">
      <c r="A10" s="82"/>
      <c r="B10" s="83"/>
      <c r="C10" s="261"/>
      <c r="D10" s="111"/>
      <c r="E10" s="112"/>
      <c r="F10" s="112"/>
      <c r="G10" s="112"/>
      <c r="H10" s="112"/>
      <c r="I10" s="112"/>
      <c r="J10" s="112"/>
      <c r="K10" s="112"/>
      <c r="L10" s="114"/>
      <c r="M10" s="265"/>
      <c r="N10" s="119"/>
      <c r="O10" s="42" t="s">
        <v>285</v>
      </c>
      <c r="T10" s="5"/>
      <c r="U10" s="48" t="s">
        <v>339</v>
      </c>
      <c r="V10" s="1">
        <f>IF(AND(M55&gt;0,M55&lt;=200),(ROUNDUP(M55/100,0)),IF(AND(M55&gt;200,M55&lt;=2000),(ROUNDUP(M55/200,0)+1),IF(M55&gt;2000,(ROUNDUP(M55/400,0)+6),IF(AND(P8&gt;0,P8&lt;=200),(ROUNDUP(P8/100,0)),IF(AND(P8&gt;200,P8&lt;=2000),(ROUNDUP(P8/200,0)+1),IF(P8&gt;2000,(ROUNDUP(P8/400,0)+6),0))))))</f>
        <v>0</v>
      </c>
      <c r="W10" s="31">
        <f>IF(AND(N55&gt;0,N55&lt;=200),(ROUNDUP(N55/50,0)),IF(AND(N55&gt;200,N55&lt;=2000),(ROUNDUP(N55/100,0)+2),IF(N55&gt;2000,(ROUNDUP(N55/200,0)+12),IF(AND(Q8&gt;0,Q8&lt;=200),(ROUNDUP(Q8/50,0)),IF(AND(Q8&gt;200,Q8&lt;=2000),(ROUNDUP(Q8/100,0)+2),IF(Q8&gt;2000,(ROUNDUP(Q8/200,0)+12),0))))))</f>
        <v>0</v>
      </c>
      <c r="X10" s="1">
        <f>IF(M55&gt;0,ROUNDUP((M55/75),0),ROUNDUP((P8/75),0))</f>
        <v>0</v>
      </c>
      <c r="Y10" s="36">
        <f>IF(N55&gt;0,ROUNDUP((N55/75),0),ROUNDUP((Q8/75),0))</f>
        <v>0</v>
      </c>
      <c r="Z10" s="36" t="s">
        <v>331</v>
      </c>
      <c r="AA10" s="36" t="s">
        <v>338</v>
      </c>
    </row>
    <row r="11" spans="1:29" x14ac:dyDescent="0.25">
      <c r="A11" s="82"/>
      <c r="B11" s="83"/>
      <c r="C11" s="261"/>
      <c r="D11" s="111"/>
      <c r="E11" s="112"/>
      <c r="F11" s="112"/>
      <c r="G11" s="112"/>
      <c r="H11" s="112"/>
      <c r="I11" s="112"/>
      <c r="J11" s="112"/>
      <c r="K11" s="112"/>
      <c r="L11" s="114"/>
      <c r="M11" s="265"/>
      <c r="N11" s="119"/>
      <c r="O11" s="42" t="s">
        <v>340</v>
      </c>
      <c r="T11" s="5"/>
      <c r="U11" s="48" t="s">
        <v>341</v>
      </c>
      <c r="V11" s="1">
        <f>IF(AND(M64&gt;0,M64&lt;=200),(ROUNDUP(M64/50,0)),IF(AND(M64&gt;200,M64&lt;=2000),(ROUNDUP(M64/100,0)+2),IF(M64&gt;2000,(ROUNDUP(M64/200,0)+12),IF(AND(P8&gt;0,P8&lt;=200),(ROUNDUP(P8/50,0)),IF(AND(P8&gt;200,P8&lt;=2000),(ROUNDUP(P8/100,0)+2),IF(P8&gt;2000,(ROUNDUP(P8/200,0)+12),0))))))</f>
        <v>0</v>
      </c>
      <c r="W11" s="31">
        <f>IF(AND(N64&gt;0,N64&lt;=200),(ROUNDUP(N64/25,0)),IF(AND(N64&gt;200,N64&lt;=2000),(ROUNDUP(N64/50,0)+4),IF(N64&gt;2000,(ROUNDUP(N64/100,0)+24),IF(AND(Q8&gt;0,Q8&lt;=200),(ROUNDUP(Q8/25,0)),IF(AND(Q8&gt;200,Q8&lt;=2000),(ROUNDUP(Q8/50,0)+4),IF(Q8&gt;2000,(ROUNDUP(Q8/100,0)+24),0))))))</f>
        <v>0</v>
      </c>
      <c r="X11" s="1">
        <f>IF(M64&gt;0,ROUNDUP((M64/75),0),ROUNDUP((P8/75),0))</f>
        <v>0</v>
      </c>
      <c r="Y11" s="36">
        <f>IF(N64&gt;0,ROUNDUP((N64/75),0),ROUNDUP((Q8/75),0))</f>
        <v>0</v>
      </c>
      <c r="Z11" s="36" t="s">
        <v>331</v>
      </c>
      <c r="AA11" s="36" t="s">
        <v>82</v>
      </c>
    </row>
    <row r="12" spans="1:29" x14ac:dyDescent="0.25">
      <c r="A12" s="82"/>
      <c r="B12" s="83"/>
      <c r="C12" s="261"/>
      <c r="D12" s="111"/>
      <c r="E12" s="112"/>
      <c r="F12" s="112"/>
      <c r="G12" s="112"/>
      <c r="H12" s="112"/>
      <c r="I12" s="112"/>
      <c r="J12" s="112"/>
      <c r="K12" s="112"/>
      <c r="L12" s="114"/>
      <c r="M12" s="265"/>
      <c r="N12" s="119"/>
      <c r="O12" s="42" t="s">
        <v>342</v>
      </c>
      <c r="T12" s="5"/>
      <c r="U12" s="48" t="s">
        <v>343</v>
      </c>
      <c r="V12" s="1">
        <f>IF(AND(M73&gt;0,M73&lt;=200),(ROUNDUP(M73/100,0)),IF(AND(M73&gt;200,M73&lt;=2000),(ROUNDUP(M73/200,0)+1),IF(M73&gt;2000,(ROUNDUP(M73/400,0)+6),IF(AND(P8&gt;0,P8&lt;=200),(ROUNDUP(P8/100,0)),IF(AND(P8&gt;200,P8&lt;=2000),(ROUNDUP(P8/200,0)+1),IF(P8&gt;2000,(ROUNDUP(P8/400,0)+6),0))))))</f>
        <v>0</v>
      </c>
      <c r="W12" s="31">
        <f>IF(AND(N73&gt;0,N73&lt;=200),(ROUNDUP(N73/50,0)),IF(AND(N73&gt;200,N73&lt;=2000),(ROUNDUP(N73/100,0)+2),IF(N73&gt;2000,(ROUNDUP(N73/200,0)+12),IF(AND(Q8&gt;0,Q8&lt;=200),(ROUNDUP(Q8/50,0)),IF(AND(Q8&gt;200,Q8&lt;=2000),(ROUNDUP(Q8/100,0)+2),IF(Q8&gt;2000,(ROUNDUP(Q8/200,0)+12),0))))))</f>
        <v>0</v>
      </c>
      <c r="X12" s="1">
        <f>IF(M73&gt;0,ROUNDUP((M73/75),0),ROUNDUP((P8/75),0))</f>
        <v>0</v>
      </c>
      <c r="Y12" s="36">
        <f>IF(N73&gt;0,ROUNDUP((N73/75),0),ROUNDUP((Q8/75),0))</f>
        <v>0</v>
      </c>
      <c r="Z12" s="36" t="s">
        <v>331</v>
      </c>
      <c r="AA12" s="36" t="s">
        <v>82</v>
      </c>
    </row>
    <row r="13" spans="1:29" x14ac:dyDescent="0.25">
      <c r="A13" s="82"/>
      <c r="B13" s="83"/>
      <c r="C13" s="261"/>
      <c r="D13" s="111"/>
      <c r="E13" s="112"/>
      <c r="F13" s="112"/>
      <c r="G13" s="112"/>
      <c r="H13" s="112"/>
      <c r="I13" s="112"/>
      <c r="J13" s="112"/>
      <c r="K13" s="112"/>
      <c r="L13" s="114"/>
      <c r="M13" s="265"/>
      <c r="N13" s="119"/>
      <c r="T13" s="5"/>
      <c r="U13" s="48" t="s">
        <v>344</v>
      </c>
      <c r="V13" s="1">
        <f>IF(AND(M82&gt;0,M82&lt;=360),(ROUNDUP(M82/120,0)),IF(M82&gt;360,(ROUNDUP(M82/150,0)),IF(AND(P8&gt;0,P8&lt;=360),(ROUNDUP(P8/120,0)),IF(P8&gt;360,(ROUNDUP(P8/150,0)),0))))</f>
        <v>0</v>
      </c>
      <c r="W13" s="31">
        <f>IF(AND(N82&gt;0,N82&lt;=300),(ROUNDUP(N82/60,0)),IF(N82&gt;300,(ROUNDUP(N82/150,0)+3),IF(AND(Q8&gt;0,Q8&lt;=300),(ROUNDUP(Q8/60,0)),IF(Q8&gt;300,(ROUNDUP(Q8/150,0)+3),0))))</f>
        <v>0</v>
      </c>
      <c r="X13" s="1">
        <f>IF(M82&gt;0,ROUNDUP((M82/75),0),ROUNDUP((P8/75),0))</f>
        <v>0</v>
      </c>
      <c r="Y13" s="36">
        <f>IF(N82&gt;0,ROUNDUP((N82/75),0),ROUNDUP((Q8/75),0))</f>
        <v>0</v>
      </c>
      <c r="Z13" s="36" t="s">
        <v>331</v>
      </c>
      <c r="AA13" s="1" t="s">
        <v>82</v>
      </c>
    </row>
    <row r="14" spans="1:29" ht="15.75" thickBot="1" x14ac:dyDescent="0.3">
      <c r="A14" s="84"/>
      <c r="B14" s="85"/>
      <c r="C14" s="261"/>
      <c r="D14" s="111"/>
      <c r="E14" s="112"/>
      <c r="F14" s="112"/>
      <c r="G14" s="112"/>
      <c r="H14" s="112"/>
      <c r="I14" s="112"/>
      <c r="J14" s="112"/>
      <c r="K14" s="112"/>
      <c r="L14" s="114"/>
      <c r="M14" s="265"/>
      <c r="N14" s="119"/>
      <c r="T14" s="5"/>
      <c r="U14" s="48" t="s">
        <v>345</v>
      </c>
      <c r="V14" s="1">
        <f>IF(M91&gt;0,ROUNDUP((M91/100),0),ROUNDUP((P8/100),0))</f>
        <v>0</v>
      </c>
      <c r="W14" s="31">
        <f>IF(N91&gt;0,ROUNDUP((N91/50),0),ROUNDUP((Q8/50),0))</f>
        <v>0</v>
      </c>
      <c r="X14" s="1">
        <f>IF(M91&gt;0,ROUNDUP((M91/50),0),ROUNDUP((P8/50),0))</f>
        <v>0</v>
      </c>
      <c r="Y14" s="36">
        <f>IF(N91&gt;0,ROUNDUP((N91/50),0),ROUNDUP((Q8/50),0))</f>
        <v>0</v>
      </c>
      <c r="Z14" s="36" t="s">
        <v>331</v>
      </c>
      <c r="AA14" s="36" t="s">
        <v>82</v>
      </c>
    </row>
    <row r="15" spans="1:29" x14ac:dyDescent="0.25">
      <c r="A15" s="80" t="s">
        <v>346</v>
      </c>
      <c r="B15" s="81"/>
      <c r="C15" s="261" t="s">
        <v>347</v>
      </c>
      <c r="D15" s="111"/>
      <c r="E15" s="112">
        <f>V6</f>
        <v>0</v>
      </c>
      <c r="F15" s="112">
        <f>W6</f>
        <v>0</v>
      </c>
      <c r="G15" s="112" t="str">
        <f>IF(E15&gt;0,"Can substitute up to 50% of required fixtures (10.10 Table 1)","-")</f>
        <v>-</v>
      </c>
      <c r="H15" s="112">
        <f>X6</f>
        <v>0</v>
      </c>
      <c r="I15" s="112">
        <f>Y6</f>
        <v>0</v>
      </c>
      <c r="J15" s="112" t="s">
        <v>82</v>
      </c>
      <c r="K15" s="112" t="str">
        <f>IF(OR(M15&gt;0,N15&gt;0),Z6,IF(AND(OR(M15&gt;0,N15&gt;0),M15+N15&gt;P5),Z6,IF(AND(OR(M15&gt;0,N15&gt;0),M15+N15&lt;P5),Z6,IF(P5=0,"-",Z6))))</f>
        <v>-</v>
      </c>
      <c r="L15" s="114" t="str">
        <f>IF(OR(M15&gt;0,N15&gt;0),"One Mop Sink per Floor",IF(AND(OR(M15&gt;0,N15&gt;0),M15+N15&gt;P5),"One Mop Sink per Floor",IF(AND(OR(M15&gt;0,N15&gt;0),M15+N15&lt;P5),Z5,IF(P5=0,"-","One Mop Sink per Floor"))))</f>
        <v>-</v>
      </c>
      <c r="M15" s="266">
        <v>0</v>
      </c>
      <c r="N15" s="97">
        <f>M15</f>
        <v>0</v>
      </c>
      <c r="T15" s="5"/>
      <c r="U15" s="48" t="s">
        <v>348</v>
      </c>
      <c r="V15" s="1">
        <f>IF(M100&gt;0,ROUNDUP((M100/40),0),ROUNDUP((P8/40),0))</f>
        <v>0</v>
      </c>
      <c r="W15" s="31">
        <f>IF(N100&gt;0,ROUNDUP((N100/40),0),ROUNDUP((Q8/40),0))</f>
        <v>0</v>
      </c>
      <c r="X15" s="1">
        <f>IF(M100&gt;0,ROUNDUP((M100/50),0),ROUNDUP((P8/50),0))</f>
        <v>0</v>
      </c>
      <c r="Y15" s="36">
        <f>IF(N100&gt;0,ROUNDUP((N100/50),0),ROUNDUP((Q8/50),0))</f>
        <v>0</v>
      </c>
      <c r="Z15" s="36" t="s">
        <v>331</v>
      </c>
      <c r="AA15" s="36" t="s">
        <v>338</v>
      </c>
    </row>
    <row r="16" spans="1:29" x14ac:dyDescent="0.25">
      <c r="A16" s="82"/>
      <c r="B16" s="83"/>
      <c r="C16" s="261"/>
      <c r="D16" s="111"/>
      <c r="E16" s="112"/>
      <c r="F16" s="112"/>
      <c r="G16" s="112"/>
      <c r="H16" s="112"/>
      <c r="I16" s="112"/>
      <c r="J16" s="112"/>
      <c r="K16" s="112"/>
      <c r="L16" s="114"/>
      <c r="M16" s="266"/>
      <c r="N16" s="97"/>
      <c r="T16" s="5"/>
      <c r="U16" s="48" t="s">
        <v>349</v>
      </c>
      <c r="V16" s="1">
        <f>IF(AND(M109&gt;0,M109&lt;=2000),(ROUNDUP(M109/1000,0)),IF(M109&gt;2000,(ROUNDUP(M109/2000,0)+1),IF(AND(P8&gt;0,P8&lt;=2000),(ROUNDUP(P8/1000,0)),IF(P8&gt;2000,(ROUNDUP(P8/2000,0)+1),0))))</f>
        <v>0</v>
      </c>
      <c r="W16" s="31">
        <f>IF(AND(N109&gt;0,N109&lt;=2000),(ROUNDUP(N109/500,0)),IF(N109&gt;2000,(ROUNDUP(N109/1000,0)+2),IF(AND(Q8&gt;0,Q8&lt;=2000),(ROUNDUP(Q8/500,0)),IF(Q8&gt;2000,(ROUNDUP(Q8/1000,0)+2),0))))</f>
        <v>0</v>
      </c>
      <c r="X16" s="1">
        <f>IF(M109&gt;0,ROUNDUP((M109/250),0),ROUNDUP((P8/250),0))</f>
        <v>0</v>
      </c>
      <c r="Y16" s="36">
        <f>IF(N109&gt;0,ROUNDUP((N109/250),0),ROUNDUP((Q8/250),0))</f>
        <v>0</v>
      </c>
      <c r="Z16" s="36" t="s">
        <v>331</v>
      </c>
      <c r="AA16" s="36" t="s">
        <v>82</v>
      </c>
    </row>
    <row r="17" spans="1:27" ht="14.45" customHeight="1" x14ac:dyDescent="0.25">
      <c r="A17" s="82"/>
      <c r="B17" s="83"/>
      <c r="C17" s="261"/>
      <c r="D17" s="111"/>
      <c r="E17" s="112"/>
      <c r="F17" s="112"/>
      <c r="G17" s="112"/>
      <c r="H17" s="112"/>
      <c r="I17" s="112"/>
      <c r="J17" s="112"/>
      <c r="K17" s="112"/>
      <c r="L17" s="114"/>
      <c r="M17" s="266"/>
      <c r="N17" s="97"/>
      <c r="T17" s="5"/>
      <c r="U17" s="48" t="s">
        <v>350</v>
      </c>
      <c r="V17" s="1">
        <f>IF(AND(M118&gt;0,M118&lt;=200),(ROUNDUP(M118/100,0)),IF(AND(M118&gt;200,M118&lt;=2000),(ROUNDUP(M118/200,0)+1),IF(M118&gt;2000,(ROUNDUP(M118/400,0)+6),IF(AND(P8&gt;0,P8&lt;=200),(ROUNDUP(P8/100,0)),IF(AND(P8&gt;200,P8&lt;=2000),(ROUNDUP(P8/200,0)+1),IF(P8&gt;2000,(ROUNDUP(P8/400,0)+6),0))))))</f>
        <v>0</v>
      </c>
      <c r="W17" s="31">
        <f>IF(AND(N118&gt;0,N118&lt;=200),(ROUNDUP(N118/50,0)),IF(AND(N118&gt;200,N118&lt;=2000),(ROUNDUP(N118/100,0)+2),IF(N118&gt;2000,(ROUNDUP(N118/200,0)+12),IF(AND(Q8&gt;0,Q8&lt;=200),(ROUNDUP(Q8/50,0)),IF(AND(Q8&gt;200,Q8&lt;=2000),(ROUNDUP(Q8/100,0)+2),IF(Q8&gt;2000,(ROUNDUP(Q8/200,0)+12),0))))))</f>
        <v>0</v>
      </c>
      <c r="X17" s="1">
        <f>IF(M118&gt;0,ROUNDUP((M118/75),0),ROUNDUP((P8/75),0))</f>
        <v>0</v>
      </c>
      <c r="Y17" s="36">
        <f>IF(N118&gt;0,ROUNDUP((N118/75),0),ROUNDUP((Q8/75),0))</f>
        <v>0</v>
      </c>
      <c r="Z17" s="36" t="s">
        <v>331</v>
      </c>
      <c r="AA17" s="36" t="s">
        <v>82</v>
      </c>
    </row>
    <row r="18" spans="1:27" x14ac:dyDescent="0.25">
      <c r="A18" s="82"/>
      <c r="B18" s="83"/>
      <c r="C18" s="261"/>
      <c r="D18" s="111"/>
      <c r="E18" s="112"/>
      <c r="F18" s="112"/>
      <c r="G18" s="112"/>
      <c r="H18" s="112"/>
      <c r="I18" s="112"/>
      <c r="J18" s="112"/>
      <c r="K18" s="112"/>
      <c r="L18" s="114"/>
      <c r="M18" s="266"/>
      <c r="N18" s="97"/>
      <c r="T18" s="5"/>
      <c r="U18" s="48" t="s">
        <v>351</v>
      </c>
      <c r="V18" s="1">
        <f>IF(AND(M127&gt;0,M127&lt;=100),(ROUNDUP(M127/25,0)),IF(M127&gt;100,(ROUNDUP(M127/50,0)+2),IF(AND(P8&gt;0,P8&lt;=100),(ROUNDUP(P8/25,0)),IF(P8&gt;100,(ROUNDUP(P8/50,0)+2),0))))</f>
        <v>0</v>
      </c>
      <c r="W18" s="31">
        <f>IF(AND(N127&gt;0,N127&lt;=100),(ROUNDUP(N127/20,0)),IF(N127&gt;100,(ROUNDUP(N127/50,0)+3),IF(AND(Q8&gt;0,Q8&lt;=100),(ROUNDUP(Q8/20,0)),IF(Q8&gt;100,(ROUNDUP(Q8/50,0)+3),0))))</f>
        <v>0</v>
      </c>
      <c r="X18" s="1">
        <f>IF(M127&gt;0,ROUNDUP((M127/50),0),ROUNDUP((P8/50),0))</f>
        <v>0</v>
      </c>
      <c r="Y18" s="36">
        <f>IF(N127&gt;0,ROUNDUP((N127/50),0),ROUNDUP((Q8/50),0))</f>
        <v>0</v>
      </c>
      <c r="Z18" s="36" t="s">
        <v>331</v>
      </c>
      <c r="AA18" s="36" t="s">
        <v>82</v>
      </c>
    </row>
    <row r="19" spans="1:27" x14ac:dyDescent="0.25">
      <c r="A19" s="82"/>
      <c r="B19" s="83"/>
      <c r="C19" s="261"/>
      <c r="D19" s="111"/>
      <c r="E19" s="112"/>
      <c r="F19" s="112"/>
      <c r="G19" s="112"/>
      <c r="H19" s="112"/>
      <c r="I19" s="112"/>
      <c r="J19" s="112"/>
      <c r="K19" s="112"/>
      <c r="L19" s="114"/>
      <c r="M19" s="266"/>
      <c r="N19" s="97"/>
      <c r="T19" s="5"/>
      <c r="U19" s="48" t="s">
        <v>352</v>
      </c>
      <c r="V19" s="1">
        <f>IF(M138&gt;0,ROUNDUP((M138/20),0),ROUNDUP((P8/20),0))</f>
        <v>0</v>
      </c>
      <c r="W19" s="31">
        <f>IF(N138&gt;0,ROUNDUP((N138/20),0),ROUNDUP((Q8/20),0))</f>
        <v>0</v>
      </c>
      <c r="X19" s="1">
        <f>IF(M138&gt;0,ROUNDUP((M138/10),0),ROUNDUP((P8/10),0))</f>
        <v>0</v>
      </c>
      <c r="Y19" s="36">
        <f>IF(N138&gt;0,ROUNDUP((N138/10),0),ROUNDUP((Q8/10),0))</f>
        <v>0</v>
      </c>
      <c r="Z19" s="36" t="s">
        <v>331</v>
      </c>
      <c r="AA19" s="36" t="s">
        <v>82</v>
      </c>
    </row>
    <row r="20" spans="1:27" x14ac:dyDescent="0.25">
      <c r="A20" s="82"/>
      <c r="B20" s="83"/>
      <c r="C20" s="261"/>
      <c r="D20" s="111"/>
      <c r="E20" s="112"/>
      <c r="F20" s="112"/>
      <c r="G20" s="112"/>
      <c r="H20" s="112"/>
      <c r="I20" s="112"/>
      <c r="J20" s="112"/>
      <c r="K20" s="112"/>
      <c r="L20" s="114"/>
      <c r="M20" s="266"/>
      <c r="N20" s="97"/>
      <c r="T20" s="5"/>
      <c r="U20" s="48" t="s">
        <v>353</v>
      </c>
      <c r="V20" s="1">
        <f>IF(AND(M144&gt;0,M144&lt;=100),(ROUNDUP(M144/25,0)),IF(M144&gt;100,(ROUNDUP(M144/50,0)+2),IF(AND(P8&gt;0,P8&lt;=100),(ROUNDUP(P8/25,0)),IF(P8&gt;100,(ROUNDUP(P8/50,0)+2),0))))</f>
        <v>0</v>
      </c>
      <c r="W20" s="31">
        <f>IF(AND(N144&gt;0,N144&lt;=100),(ROUNDUP(N144/25,0)),IF(N144&gt;100,(ROUNDUP(N144/50,0)+2),IF(AND(Q8&gt;0,Q8&lt;=100),(ROUNDUP(Q8/25,0)),IF(Q8&gt;100,(ROUNDUP(Q8/50,0)+2),0))))</f>
        <v>0</v>
      </c>
      <c r="X20" s="1">
        <f>IF(M144&gt;0,ROUNDUP((M144/25),0),ROUNDUP((P8/25),0))</f>
        <v>0</v>
      </c>
      <c r="Y20" s="36">
        <f>IF(N144&gt;0,ROUNDUP((N144/25),0),ROUNDUP((Q8/25),0))</f>
        <v>0</v>
      </c>
      <c r="Z20" s="36" t="s">
        <v>331</v>
      </c>
      <c r="AA20" s="36" t="s">
        <v>82</v>
      </c>
    </row>
    <row r="21" spans="1:27" x14ac:dyDescent="0.25">
      <c r="A21" s="82"/>
      <c r="B21" s="83"/>
      <c r="C21" s="261"/>
      <c r="D21" s="111"/>
      <c r="E21" s="112"/>
      <c r="F21" s="112"/>
      <c r="G21" s="112"/>
      <c r="H21" s="112"/>
      <c r="I21" s="112"/>
      <c r="J21" s="112"/>
      <c r="K21" s="112"/>
      <c r="L21" s="114"/>
      <c r="M21" s="266"/>
      <c r="N21" s="97"/>
      <c r="T21" s="5"/>
      <c r="U21" s="48" t="s">
        <v>354</v>
      </c>
      <c r="V21" s="1">
        <f>IF(M150&gt;0,ROUNDUP((M150/25),0),ROUNDUP((P8/25),0))</f>
        <v>0</v>
      </c>
      <c r="W21" s="31">
        <f>IF(N150&gt;0,ROUNDUP((N150/20),0),ROUNDUP((Q8/20),0))</f>
        <v>0</v>
      </c>
      <c r="X21" s="1">
        <f>IF(M150&gt;0,ROUNDUP((M150/20),0),ROUNDUP((P8/20),0))</f>
        <v>0</v>
      </c>
      <c r="Y21" s="36">
        <f>IF(N150&gt;0,ROUNDUP((N150/20),0),ROUNDUP((Q8/20),0))</f>
        <v>0</v>
      </c>
      <c r="Z21" s="36" t="s">
        <v>82</v>
      </c>
      <c r="AA21" s="36" t="s">
        <v>82</v>
      </c>
    </row>
    <row r="22" spans="1:27" x14ac:dyDescent="0.25">
      <c r="A22" s="82"/>
      <c r="B22" s="83"/>
      <c r="C22" s="261"/>
      <c r="D22" s="111"/>
      <c r="E22" s="112"/>
      <c r="F22" s="112"/>
      <c r="G22" s="112"/>
      <c r="H22" s="112"/>
      <c r="I22" s="112"/>
      <c r="J22" s="112"/>
      <c r="K22" s="112"/>
      <c r="L22" s="114"/>
      <c r="M22" s="266"/>
      <c r="N22" s="97"/>
      <c r="T22" s="5"/>
      <c r="U22" s="48" t="s">
        <v>344</v>
      </c>
      <c r="V22" s="1">
        <f>IF(AND(M156&gt;0,M156&lt;=120),(ROUNDUP(M156/34,0)),IF(M156&gt;120,(ROUNDUP((M156-120)/80,0)+3),IF(AND(P8&gt;0,P8&lt;=120),(ROUNDUP(P8/34,0)),IF(P8&gt;120,(ROUNDUP((P8-120)/80,0)+3),0))))</f>
        <v>0</v>
      </c>
      <c r="W22" s="31">
        <f>IF(AND(N156&gt;0,N156&lt;=120),(ROUNDUP(N156/30,0)),IF(N156&gt;120,(ROUNDUP((N156-120)/60,0)+4),IF(AND(Q8&gt;0,Q8&lt;=120),(ROUNDUP(Q8/30,0)),IF(Q8&gt;120,(ROUNDUP((Q8-120)/60,0)+4),0))))</f>
        <v>0</v>
      </c>
      <c r="X22" s="1">
        <f>IF(M156&gt;0,ROUNDUP((M156/50),0),ROUNDUP((P8/50),0))</f>
        <v>0</v>
      </c>
      <c r="Y22" s="36">
        <f>IF(N156&gt;0,ROUNDUP((N156/50),0),ROUNDUP((Q8/50),0))</f>
        <v>0</v>
      </c>
      <c r="Z22" s="36" t="s">
        <v>331</v>
      </c>
      <c r="AA22" s="36" t="s">
        <v>82</v>
      </c>
    </row>
    <row r="23" spans="1:27" x14ac:dyDescent="0.25">
      <c r="A23" s="82"/>
      <c r="B23" s="83"/>
      <c r="C23" s="261"/>
      <c r="D23" s="111"/>
      <c r="E23" s="112"/>
      <c r="F23" s="112"/>
      <c r="G23" s="112"/>
      <c r="H23" s="112"/>
      <c r="I23" s="112"/>
      <c r="J23" s="112"/>
      <c r="K23" s="112"/>
      <c r="L23" s="114"/>
      <c r="M23" s="266"/>
      <c r="N23" s="97"/>
      <c r="T23" s="5"/>
      <c r="U23" s="48" t="s">
        <v>355</v>
      </c>
      <c r="V23" s="3">
        <f>IF(AND(M162&gt;0,M162&lt;=120),(ROUNDUP(M162/40,0)),IF(M162&gt;120,(ROUNDUP((M162-120)/80,0)+3),IF(AND(P8&gt;0,P8&lt;=120),(ROUNDUP(P8/40,0)),IF(P8&gt;120,(ROUNDUP((P8-120)/80,0)+3),0))))</f>
        <v>0</v>
      </c>
      <c r="W23" s="31">
        <f>IF(AND(N162&gt;0,N162&lt;=100),(ROUNDUP(N162/20,0)),IF(N162&gt;100,(ROUNDUP((N162-100)/40,0)+5),IF(AND(Q8&gt;0,Q8&lt;=100),(ROUNDUP(Q8/20,0)),IF(Q8&gt;100,(ROUNDUP((Q8-100)/40,0)+5),0))))</f>
        <v>0</v>
      </c>
      <c r="X23" s="3">
        <f>IF(M162&gt;0,ROUNDUP((M162/15),0),ROUNDUP((P8/15),0))</f>
        <v>0</v>
      </c>
      <c r="Y23" s="31">
        <f>IF(N162&gt;0,ROUNDUP((N162/15),0),ROUNDUP((Q8/15),0))</f>
        <v>0</v>
      </c>
      <c r="Z23" s="36" t="s">
        <v>331</v>
      </c>
      <c r="AA23" s="36" t="s">
        <v>82</v>
      </c>
    </row>
    <row r="24" spans="1:27" x14ac:dyDescent="0.25">
      <c r="A24" s="82"/>
      <c r="B24" s="83"/>
      <c r="C24" s="261"/>
      <c r="D24" s="111"/>
      <c r="E24" s="112"/>
      <c r="F24" s="112"/>
      <c r="G24" s="112"/>
      <c r="H24" s="112"/>
      <c r="I24" s="112"/>
      <c r="J24" s="112"/>
      <c r="K24" s="112"/>
      <c r="L24" s="114"/>
      <c r="M24" s="266"/>
      <c r="N24" s="97"/>
      <c r="T24" s="5"/>
      <c r="U24" s="48" t="s">
        <v>356</v>
      </c>
      <c r="V24" s="1" t="s">
        <v>157</v>
      </c>
      <c r="W24" s="1" t="s">
        <v>157</v>
      </c>
      <c r="X24" s="1" t="s">
        <v>157</v>
      </c>
      <c r="Y24" s="1" t="s">
        <v>157</v>
      </c>
      <c r="Z24" s="36" t="s">
        <v>82</v>
      </c>
      <c r="AA24" s="36" t="s">
        <v>357</v>
      </c>
    </row>
    <row r="25" spans="1:27" x14ac:dyDescent="0.25">
      <c r="A25" s="82"/>
      <c r="B25" s="83"/>
      <c r="C25" s="261"/>
      <c r="D25" s="111"/>
      <c r="E25" s="112"/>
      <c r="F25" s="112"/>
      <c r="G25" s="112"/>
      <c r="H25" s="112"/>
      <c r="I25" s="112"/>
      <c r="J25" s="112"/>
      <c r="K25" s="112"/>
      <c r="L25" s="114"/>
      <c r="M25" s="266"/>
      <c r="N25" s="97"/>
      <c r="T25" s="5"/>
      <c r="U25" s="48" t="s">
        <v>358</v>
      </c>
      <c r="V25" s="1">
        <f>IF(AND(M175&gt;0,M175&lt;=125),(ROUNDUP(M175/25,0)),IF(M175&gt;125,(ROUNDUP((M175-125)/50,0)+5),IF(AND(P8&gt;0,P8&lt;=125),(ROUNDUP(P8/25,0)),IF(P8&gt;125,(ROUNDUP((P8-125)/50,0)+5),0))))</f>
        <v>0</v>
      </c>
      <c r="W25" s="31">
        <f>IF(AND(N175&gt;0,N175&lt;=100),(ROUNDUP(N175/20,0)),IF(N175&gt;100,(ROUNDUP((N175-100)/40,0)+5),IF(AND(Q8&gt;0,Q8&lt;=100),(ROUNDUP(Q8/20,0)),IF(Q8&gt;100,(ROUNDUP((Q8-100)/40,0)+5),0))))</f>
        <v>0</v>
      </c>
      <c r="X25" s="1">
        <f>IF(M175&gt;0,ROUNDUP((M175/40),0),ROUNDUP((P8/40),0))</f>
        <v>0</v>
      </c>
      <c r="Y25" s="36">
        <f>IF(N175&gt;0,ROUNDUP((N175/40),0),ROUNDUP((Q8/40),0))</f>
        <v>0</v>
      </c>
      <c r="Z25" s="36" t="s">
        <v>331</v>
      </c>
      <c r="AA25" s="36" t="s">
        <v>359</v>
      </c>
    </row>
    <row r="26" spans="1:27" ht="14.45" customHeight="1" x14ac:dyDescent="0.25">
      <c r="A26" s="82"/>
      <c r="B26" s="83"/>
      <c r="C26" s="261"/>
      <c r="D26" s="111"/>
      <c r="E26" s="112"/>
      <c r="F26" s="112"/>
      <c r="G26" s="112"/>
      <c r="H26" s="112"/>
      <c r="I26" s="112"/>
      <c r="J26" s="112"/>
      <c r="K26" s="112"/>
      <c r="L26" s="114"/>
      <c r="M26" s="266"/>
      <c r="N26" s="97"/>
      <c r="T26" s="5"/>
      <c r="U26" s="48" t="s">
        <v>360</v>
      </c>
      <c r="V26" s="1">
        <f>IF(M181&gt;0,ROUNDUP((M181/8),0),ROUNDUP((P8/8),0))</f>
        <v>0</v>
      </c>
      <c r="W26" s="31">
        <f>IF(N181&gt;0,ROUNDUP((N181/8),0),ROUNDUP((Q8/8),0))</f>
        <v>0</v>
      </c>
      <c r="X26" s="1">
        <f>IF(M181&gt;0,ROUNDUP((M181/8),0),ROUNDUP((P8/8),0))</f>
        <v>0</v>
      </c>
      <c r="Y26">
        <f>IF(N181&gt;0,ROUNDUP((N181/8),0),ROUNDUP((Q8/8),0))</f>
        <v>0</v>
      </c>
      <c r="Z26" s="36" t="s">
        <v>361</v>
      </c>
      <c r="AA26" s="36" t="str">
        <f>ROUNDUP((V26+W26)/8,0)/2  &amp;" each gender"</f>
        <v>0 each gender</v>
      </c>
    </row>
    <row r="27" spans="1:27" ht="15.75" thickBot="1" x14ac:dyDescent="0.3">
      <c r="A27" s="82"/>
      <c r="B27" s="83"/>
      <c r="C27" s="261" t="s">
        <v>362</v>
      </c>
      <c r="D27" s="111"/>
      <c r="E27" s="112">
        <f>V7</f>
        <v>0</v>
      </c>
      <c r="F27" s="112">
        <f>W7</f>
        <v>0</v>
      </c>
      <c r="G27" s="112" t="str">
        <f>IF(E27&gt;0,"Can substitute up to 50% of required fixtures (10.10 Table 1)","-")</f>
        <v>-</v>
      </c>
      <c r="H27" s="112">
        <f>X7</f>
        <v>0</v>
      </c>
      <c r="I27" s="112">
        <f>Y7</f>
        <v>0</v>
      </c>
      <c r="J27" s="112" t="s">
        <v>82</v>
      </c>
      <c r="K27" s="112" t="str">
        <f>Z7</f>
        <v>-</v>
      </c>
      <c r="L27" s="121" t="str">
        <f>IF(OR(M27&gt;0,N27&gt;0),"One Mop Sink per Floor",IF(AND(OR(M27&gt;0,N27&gt;0),M27+N27&gt;P5),"One Mop Sink per Floor",IF(AND(OR(M27&gt;0,N27&gt;0),M27+N27&lt;P5),Z5,IF(P5=0,"-","One Mop Sink per Floor"))))</f>
        <v>-</v>
      </c>
      <c r="M27" s="266">
        <v>0</v>
      </c>
      <c r="N27" s="97">
        <f>M27</f>
        <v>0</v>
      </c>
      <c r="T27" s="5"/>
      <c r="U27" s="48" t="s">
        <v>363</v>
      </c>
      <c r="V27" s="34">
        <f>IF(AND(M187&gt;0,M187&lt;=125),(ROUNDUP(M187/25,0)),IF(M187&gt;125,(ROUNDUP((M187-125)/50,0)+5),IF(AND(P8&gt;0,P8&lt;=125),(ROUNDUP(P8/25,0)),IF(P8&gt;125,(ROUNDUP((P8-125)/50,0)+5),0))))</f>
        <v>0</v>
      </c>
      <c r="W27" s="35">
        <f>IF(AND(N187&gt;0,N187&lt;=100),(ROUNDUP(N187/20,0)),IF(N187&gt;100,(ROUNDUP((N187-100)/40,0)+5),IF(AND(Q8&gt;0,Q8&lt;=100),(ROUNDUP(Q8/20,0)),IF(Q8&gt;100,(ROUNDUP((Q8-100)/40,0)+5),0))))</f>
        <v>0</v>
      </c>
      <c r="X27" s="34">
        <f>IF(M187&gt;0,ROUNDUP((M187/40),0),ROUNDUP((P8/40),0))</f>
        <v>0</v>
      </c>
      <c r="Y27" s="35">
        <f>IF(N187&gt;0,ROUNDUP((N187/40),0),ROUNDUP((Q8/40),0))</f>
        <v>0</v>
      </c>
      <c r="Z27" s="36" t="s">
        <v>331</v>
      </c>
      <c r="AA27" s="37" t="s">
        <v>82</v>
      </c>
    </row>
    <row r="28" spans="1:27" x14ac:dyDescent="0.25">
      <c r="A28" s="82"/>
      <c r="B28" s="83"/>
      <c r="C28" s="261"/>
      <c r="D28" s="111"/>
      <c r="E28" s="112"/>
      <c r="F28" s="112"/>
      <c r="G28" s="112"/>
      <c r="H28" s="112"/>
      <c r="I28" s="112"/>
      <c r="J28" s="112"/>
      <c r="K28" s="112"/>
      <c r="L28" s="121"/>
      <c r="M28" s="266"/>
      <c r="N28" s="97"/>
      <c r="U28" s="48" t="s">
        <v>227</v>
      </c>
      <c r="V28" t="s">
        <v>364</v>
      </c>
      <c r="X28" t="s">
        <v>364</v>
      </c>
      <c r="Z28" s="36" t="s">
        <v>82</v>
      </c>
      <c r="AA28" t="s">
        <v>364</v>
      </c>
    </row>
    <row r="29" spans="1:27" x14ac:dyDescent="0.25">
      <c r="A29" s="82"/>
      <c r="B29" s="83"/>
      <c r="C29" s="261"/>
      <c r="D29" s="111"/>
      <c r="E29" s="112"/>
      <c r="F29" s="112"/>
      <c r="G29" s="112"/>
      <c r="H29" s="112"/>
      <c r="I29" s="112"/>
      <c r="J29" s="112"/>
      <c r="K29" s="112"/>
      <c r="L29" s="114"/>
      <c r="M29" s="266"/>
      <c r="N29" s="97"/>
      <c r="U29" s="48" t="s">
        <v>365</v>
      </c>
      <c r="V29">
        <f>IF(AND(M200&gt;0,M200&lt;=125),(ROUNDUP(M200/25,0)),IF(M200&gt;125,(ROUNDUP((M200-125)/50,0)+5),IF(AND(P8&gt;0,P8&lt;=125),(ROUNDUP(P8/25,0)),IF(P8&gt;125,(ROUNDUP((P8-125)/50,0)+5),0))))</f>
        <v>0</v>
      </c>
      <c r="W29">
        <f>IF(AND(N200&gt;0,N200&lt;=100),(ROUNDUP(N200/20,0)),IF(N200&gt;100,(ROUNDUP((N200-100)/40,0)+5),IF(AND(Q8&gt;0,Q8&lt;=100),(ROUNDUP(Q8/20,0)),IF(Q8&gt;100,(ROUNDUP((Q8-100)/40,0)+5),0))))</f>
        <v>0</v>
      </c>
      <c r="X29">
        <f>IF(M200&gt;0,ROUNDUP((M200/40),0),ROUNDUP((P8/40),0))</f>
        <v>0</v>
      </c>
      <c r="Y29">
        <f>IF(N200&gt;0,ROUNDUP((N200/40),0),ROUNDUP((Q8/40),0))</f>
        <v>0</v>
      </c>
      <c r="Z29" s="36" t="s">
        <v>331</v>
      </c>
      <c r="AA29" s="1" t="s">
        <v>82</v>
      </c>
    </row>
    <row r="30" spans="1:27" x14ac:dyDescent="0.25">
      <c r="A30" s="82"/>
      <c r="B30" s="83"/>
      <c r="C30" s="261"/>
      <c r="D30" s="111"/>
      <c r="E30" s="112"/>
      <c r="F30" s="112"/>
      <c r="G30" s="112"/>
      <c r="H30" s="112"/>
      <c r="I30" s="112"/>
      <c r="J30" s="112"/>
      <c r="K30" s="112"/>
      <c r="L30" s="114"/>
      <c r="M30" s="266"/>
      <c r="N30" s="97"/>
      <c r="U30" s="48" t="s">
        <v>366</v>
      </c>
      <c r="V30">
        <f>IF(AND(M206&gt;0,M206&lt;=125),(ROUNDUP(M206/25,0)),IF(M206&gt;125,(ROUNDUP((M206-125)/50,0)+5),IF(AND(P8&gt;0,P8&lt;=125),(ROUNDUP(P8/25,0)),IF(P8&gt;125,(ROUNDUP((P8-125)/50,0)+5),0))))</f>
        <v>0</v>
      </c>
      <c r="W30">
        <f>IF(AND(N206&gt;0,N206&lt;=100),(ROUNDUP(N206/20,0)),IF(N206&gt;100,(ROUNDUP((N206-100)/40,0)+5),IF(AND(Q8&gt;0,Q8&lt;=100),(ROUNDUP(Q8/20,0)),IF(Q8&gt;100,(ROUNDUP((Q8-100)/40,0)+5),0))))</f>
        <v>0</v>
      </c>
      <c r="X30">
        <f>IF(M206&gt;0,ROUNDUP((M206/40),0),ROUNDUP((P8/40),0))</f>
        <v>0</v>
      </c>
      <c r="Y30">
        <f>IF(N206&gt;0,ROUNDUP((N206/40),0),ROUNDUP((Q8/40),0))</f>
        <v>0</v>
      </c>
      <c r="Z30" s="36" t="s">
        <v>331</v>
      </c>
      <c r="AA30" s="1" t="s">
        <v>82</v>
      </c>
    </row>
    <row r="31" spans="1:27" x14ac:dyDescent="0.25">
      <c r="A31" s="82"/>
      <c r="B31" s="83"/>
      <c r="C31" s="261"/>
      <c r="D31" s="111"/>
      <c r="E31" s="112"/>
      <c r="F31" s="112"/>
      <c r="G31" s="112"/>
      <c r="H31" s="112"/>
      <c r="I31" s="112"/>
      <c r="J31" s="112"/>
      <c r="K31" s="112"/>
      <c r="L31" s="114"/>
      <c r="M31" s="266"/>
      <c r="N31" s="97"/>
      <c r="U31" s="48" t="s">
        <v>367</v>
      </c>
      <c r="V31">
        <f>IF(AND(M213&gt;0,M213&lt;=125),(ROUNDUP(M213/25,0)),IF(M213&gt;125,(ROUNDUP((M213-125)/50,0)+5),IF(AND(P8&gt;0,P8&lt;=125),(ROUNDUP(P8/25,0)),IF(P8&gt;125,(ROUNDUP((P8-125)/50,0)+5),0))))</f>
        <v>0</v>
      </c>
      <c r="W31">
        <f>IF(AND(N213&gt;0,N213&lt;=100),(ROUNDUP(N213/20,0)),IF(N213&gt;100,(ROUNDUP((N213-100)/40,0)+5),IF(AND(Q8&gt;0,Q8&lt;=100),(ROUNDUP(Q8/20,0)),IF(Q8&gt;100,(ROUNDUP((Q8-100)/40,0)+5),0))))</f>
        <v>0</v>
      </c>
      <c r="X31">
        <f>IF(M213&gt;0,ROUNDUP((M213/40),0),ROUNDUP((P8/40),0))</f>
        <v>0</v>
      </c>
      <c r="Y31">
        <f>IF(N213&gt;0,ROUNDUP((N213/40),0),ROUNDUP((Q8/40),0))</f>
        <v>0</v>
      </c>
      <c r="Z31" s="36" t="s">
        <v>331</v>
      </c>
      <c r="AA31" s="1" t="s">
        <v>82</v>
      </c>
    </row>
    <row r="32" spans="1:27" x14ac:dyDescent="0.25">
      <c r="A32" s="82"/>
      <c r="B32" s="83"/>
      <c r="C32" s="261"/>
      <c r="D32" s="111"/>
      <c r="E32" s="112"/>
      <c r="F32" s="112"/>
      <c r="G32" s="112"/>
      <c r="H32" s="112"/>
      <c r="I32" s="112"/>
      <c r="J32" s="112"/>
      <c r="K32" s="112"/>
      <c r="L32" s="114"/>
      <c r="M32" s="266"/>
      <c r="N32" s="97"/>
      <c r="U32" s="48" t="s">
        <v>368</v>
      </c>
      <c r="V32">
        <f>IF(AND(M219&gt;0,M219&lt;=125),(ROUNDUP(M219/25,0)),IF(M219&gt;125,(ROUNDUP((M219-125)/50,0)+5),IF(AND(P8&gt;0,P8&lt;=125),(ROUNDUP(P8/25,0)),IF(P8&gt;125,(ROUNDUP((P8-125)/50,0)+5),0))))</f>
        <v>0</v>
      </c>
      <c r="W32">
        <f>IF(AND(N219&gt;0,N219&lt;=100),(ROUNDUP(N219/20,0)),IF(N219&gt;100,(ROUNDUP((N219-100)/40,0)+5),IF(AND(Q8&gt;0,Q8&lt;=100),(ROUNDUP(Q8/20,0)),IF(Q8&gt;100,(ROUNDUP((Q8-100)/40,0)+5),0))))</f>
        <v>0</v>
      </c>
      <c r="X32">
        <f>IF(M219&gt;0,ROUNDUP((M219/40),0),ROUNDUP((P8/40),0))</f>
        <v>0</v>
      </c>
      <c r="Y32">
        <f>IF(N219&gt;0,ROUNDUP((N219/40),0),ROUNDUP((Q8/40),0))</f>
        <v>0</v>
      </c>
      <c r="Z32" s="36" t="s">
        <v>82</v>
      </c>
      <c r="AA32" s="1" t="s">
        <v>82</v>
      </c>
    </row>
    <row r="33" spans="1:27" x14ac:dyDescent="0.25">
      <c r="A33" s="82"/>
      <c r="B33" s="83"/>
      <c r="C33" s="261"/>
      <c r="D33" s="111"/>
      <c r="E33" s="112"/>
      <c r="F33" s="112"/>
      <c r="G33" s="112"/>
      <c r="H33" s="112"/>
      <c r="I33" s="112"/>
      <c r="J33" s="112"/>
      <c r="K33" s="112"/>
      <c r="L33" s="114"/>
      <c r="M33" s="266"/>
      <c r="N33" s="97"/>
      <c r="U33" s="48" t="s">
        <v>369</v>
      </c>
      <c r="V33">
        <f>IF(AND(M225&gt;0,M225&lt;=125),(ROUNDUP(M225/25,0)),IF(M225&gt;125,(ROUNDUP((M225-125)/50,0)+5),IF(AND(P8&gt;0,P8&lt;=125),(ROUNDUP(P8/25,0)),IF(P8&gt;125,(ROUNDUP((P8-125)/50,0)+5),0))))</f>
        <v>0</v>
      </c>
      <c r="W33">
        <f>IF(AND(N225&gt;0,N225&lt;=100),(ROUNDUP(N225/20,0)),IF(N225&gt;100,(ROUNDUP((N225-100)/40,0)+5),IF(AND(Q8&gt;0,Q8&lt;=100),(ROUNDUP(Q8/20,0)),IF(Q8&gt;100,(ROUNDUP((Q8-100)/40,0)+5),0))))</f>
        <v>0</v>
      </c>
      <c r="X33">
        <f>IF(M225&gt;0,ROUNDUP((M225/40),0),ROUNDUP((P8/40),0))</f>
        <v>0</v>
      </c>
      <c r="Y33">
        <f>IF(N225&gt;0,ROUNDUP((N225/40),0),ROUNDUP((Q8/40),0))</f>
        <v>0</v>
      </c>
      <c r="Z33" s="36" t="s">
        <v>331</v>
      </c>
      <c r="AA33" s="1" t="s">
        <v>82</v>
      </c>
    </row>
    <row r="34" spans="1:27" x14ac:dyDescent="0.25">
      <c r="A34" s="82"/>
      <c r="B34" s="83"/>
      <c r="C34" s="261"/>
      <c r="D34" s="111"/>
      <c r="E34" s="112"/>
      <c r="F34" s="112"/>
      <c r="G34" s="112"/>
      <c r="H34" s="112"/>
      <c r="I34" s="112"/>
      <c r="J34" s="112"/>
      <c r="K34" s="112"/>
      <c r="L34" s="114"/>
      <c r="M34" s="266"/>
      <c r="N34" s="97"/>
      <c r="U34" s="48" t="s">
        <v>163</v>
      </c>
      <c r="V34">
        <f>IF(AND(M231&gt;0,M231&lt;=200),(ROUNDUP(M231/50,0)),IF(M231&gt;200,(ROUNDUP((M231-200)/100,0)+4),IF(AND(P8&gt;0,P8&lt;=200),(ROUNDUP(P8/50,0)),IF(P8&gt;200,(ROUNDUP((P8-200)/100,0)+4),0))))</f>
        <v>0</v>
      </c>
      <c r="W34">
        <f>IF(AND(N231&gt;0,N231&lt;=100),(ROUNDUP(N231/25,0)),IF(N231&gt;100,(ROUNDUP((N231-100)/100,0)+4),IF(AND(Q8&gt;0,Q8&lt;=100),(ROUNDUP(Q8/25,0)),IF(Q8&gt;100,(ROUNDUP((Q8-100)/100,0)+4),0))))</f>
        <v>0</v>
      </c>
      <c r="X34">
        <f>IF(M231&gt;0,ROUNDUP((M231/50),0),ROUNDUP((P8/50),0))</f>
        <v>0</v>
      </c>
      <c r="Y34">
        <f>IF(N231&gt;0,ROUNDUP((N231/50),0),ROUNDUP((Q8/50),0))</f>
        <v>0</v>
      </c>
      <c r="Z34" s="36" t="s">
        <v>331</v>
      </c>
      <c r="AA34" s="1" t="s">
        <v>82</v>
      </c>
    </row>
    <row r="35" spans="1:27" x14ac:dyDescent="0.25">
      <c r="A35" s="82"/>
      <c r="B35" s="83"/>
      <c r="C35" s="261"/>
      <c r="D35" s="111"/>
      <c r="E35" s="112"/>
      <c r="F35" s="112"/>
      <c r="G35" s="112"/>
      <c r="H35" s="112"/>
      <c r="I35" s="112"/>
      <c r="J35" s="112"/>
      <c r="K35" s="112"/>
      <c r="L35" s="114"/>
      <c r="M35" s="266"/>
      <c r="N35" s="97"/>
      <c r="U35" s="48" t="s">
        <v>370</v>
      </c>
      <c r="V35" t="s">
        <v>371</v>
      </c>
      <c r="X35" t="s">
        <v>371</v>
      </c>
      <c r="Z35" s="36" t="s">
        <v>82</v>
      </c>
      <c r="AA35" t="s">
        <v>371</v>
      </c>
    </row>
    <row r="36" spans="1:27" x14ac:dyDescent="0.25">
      <c r="A36" s="82"/>
      <c r="B36" s="83"/>
      <c r="C36" s="261"/>
      <c r="D36" s="111"/>
      <c r="E36" s="112"/>
      <c r="F36" s="112"/>
      <c r="G36" s="112"/>
      <c r="H36" s="112"/>
      <c r="I36" s="112"/>
      <c r="J36" s="112"/>
      <c r="K36" s="112"/>
      <c r="L36" s="114"/>
      <c r="M36" s="266"/>
      <c r="N36" s="97"/>
      <c r="U36" s="48" t="s">
        <v>372</v>
      </c>
      <c r="V36" t="s">
        <v>371</v>
      </c>
      <c r="X36" t="s">
        <v>371</v>
      </c>
      <c r="Z36" s="36" t="s">
        <v>82</v>
      </c>
      <c r="AA36" t="s">
        <v>371</v>
      </c>
    </row>
    <row r="37" spans="1:27" ht="14.45" customHeight="1" x14ac:dyDescent="0.25">
      <c r="A37" s="82"/>
      <c r="B37" s="83"/>
      <c r="C37" s="261" t="s">
        <v>373</v>
      </c>
      <c r="D37" s="111"/>
      <c r="E37" s="112">
        <f>V8</f>
        <v>0</v>
      </c>
      <c r="F37" s="112">
        <f>W8</f>
        <v>0</v>
      </c>
      <c r="G37" s="92" t="str">
        <f>IF(E37&gt;0,"Can substitute up to 50% of required fixtures (10.10 Table 1)","-")</f>
        <v>-</v>
      </c>
      <c r="H37" s="112">
        <f>X8</f>
        <v>0</v>
      </c>
      <c r="I37" s="112">
        <f>Y8</f>
        <v>0</v>
      </c>
      <c r="J37" s="112" t="str">
        <f>AA8</f>
        <v>-</v>
      </c>
      <c r="K37" s="112" t="str">
        <f>IF(OR(M37&gt;0,N37&gt;0),Z8,IF(AND(OR(M37&gt;0,N37&gt;0),M37+N37&gt;P5),Z8,IF(AND(OR(M37&gt;0,N37&gt;0),M37+N37&lt;P5),Z8,IF(P5=0,"-",Z8))))</f>
        <v>-</v>
      </c>
      <c r="L37" s="114" t="str">
        <f>IF(OR(M37&gt;0,N37&gt;0),"One Mop Sink per Floor",IF(AND(OR(M37&gt;0,N37&gt;0),M37+N37&gt;P5),"One Mop Sink per Floor",IF(AND(OR(M37&gt;0,N37&gt;0),M37+N37&lt;P5),Z5,IF(P5=0,"-","One Mop Sink per Floor"))))</f>
        <v>-</v>
      </c>
      <c r="M37" s="266">
        <v>0</v>
      </c>
      <c r="N37" s="97">
        <f>M37</f>
        <v>0</v>
      </c>
      <c r="U37" s="48" t="s">
        <v>374</v>
      </c>
      <c r="V37" t="s">
        <v>375</v>
      </c>
      <c r="X37" t="s">
        <v>375</v>
      </c>
      <c r="Z37" s="36" t="s">
        <v>82</v>
      </c>
      <c r="AA37" t="s">
        <v>375</v>
      </c>
    </row>
    <row r="38" spans="1:27" x14ac:dyDescent="0.25">
      <c r="A38" s="82"/>
      <c r="B38" s="83"/>
      <c r="C38" s="261"/>
      <c r="D38" s="111"/>
      <c r="E38" s="112"/>
      <c r="F38" s="112"/>
      <c r="G38" s="93"/>
      <c r="H38" s="112"/>
      <c r="I38" s="112"/>
      <c r="J38" s="112"/>
      <c r="K38" s="112"/>
      <c r="L38" s="114"/>
      <c r="M38" s="266"/>
      <c r="N38" s="97"/>
      <c r="U38" s="48" t="s">
        <v>376</v>
      </c>
      <c r="V38" t="s">
        <v>377</v>
      </c>
      <c r="X38" t="s">
        <v>377</v>
      </c>
      <c r="Z38" s="36" t="s">
        <v>82</v>
      </c>
      <c r="AA38" t="s">
        <v>377</v>
      </c>
    </row>
    <row r="39" spans="1:27" x14ac:dyDescent="0.25">
      <c r="A39" s="82"/>
      <c r="B39" s="83"/>
      <c r="C39" s="261"/>
      <c r="D39" s="111"/>
      <c r="E39" s="112"/>
      <c r="F39" s="112"/>
      <c r="G39" s="93"/>
      <c r="H39" s="112"/>
      <c r="I39" s="112"/>
      <c r="J39" s="112"/>
      <c r="K39" s="112"/>
      <c r="L39" s="114"/>
      <c r="M39" s="266"/>
      <c r="N39" s="97"/>
      <c r="U39" s="48" t="s">
        <v>32</v>
      </c>
      <c r="V39">
        <f>IF(M271&gt;0,ROUNDUP((M271/8),0),ROUNDUP((P8/8),0))</f>
        <v>0</v>
      </c>
      <c r="W39">
        <f>IF(N271&gt;0,ROUNDUP((N271/6),0),ROUNDUP((Q8/6),0))</f>
        <v>0</v>
      </c>
      <c r="X39">
        <f>IF(M271&gt;0,ROUNDUP((M271/8),0),ROUNDUP((P8/8),0))</f>
        <v>0</v>
      </c>
      <c r="Y39">
        <f>IF(N271&gt;0,ROUNDUP((N271/8),0),ROUNDUP((Q8/8),0))</f>
        <v>0</v>
      </c>
      <c r="Z39" s="36" t="s">
        <v>82</v>
      </c>
      <c r="AA39" t="str">
        <f>ROUNDUP((V39+W39)/8,0)/2  &amp;" each gender"</f>
        <v>0 each gender</v>
      </c>
    </row>
    <row r="40" spans="1:27" ht="14.45" customHeight="1" x14ac:dyDescent="0.25">
      <c r="A40" s="82"/>
      <c r="B40" s="83"/>
      <c r="C40" s="261"/>
      <c r="D40" s="111"/>
      <c r="E40" s="112"/>
      <c r="F40" s="112"/>
      <c r="G40" s="93"/>
      <c r="H40" s="112"/>
      <c r="I40" s="112"/>
      <c r="J40" s="112"/>
      <c r="K40" s="112"/>
      <c r="L40" s="114"/>
      <c r="M40" s="266"/>
      <c r="N40" s="97"/>
      <c r="U40" s="48" t="s">
        <v>378</v>
      </c>
      <c r="V40" t="s">
        <v>379</v>
      </c>
      <c r="X40" t="s">
        <v>379</v>
      </c>
      <c r="Z40" s="36" t="s">
        <v>82</v>
      </c>
      <c r="AA40" t="s">
        <v>82</v>
      </c>
    </row>
    <row r="41" spans="1:27" x14ac:dyDescent="0.25">
      <c r="A41" s="82"/>
      <c r="B41" s="83"/>
      <c r="C41" s="261"/>
      <c r="D41" s="111"/>
      <c r="E41" s="112"/>
      <c r="F41" s="112"/>
      <c r="G41" s="93"/>
      <c r="H41" s="112"/>
      <c r="I41" s="112"/>
      <c r="J41" s="112"/>
      <c r="K41" s="112"/>
      <c r="L41" s="114"/>
      <c r="M41" s="266"/>
      <c r="N41" s="97"/>
      <c r="U41" s="48" t="s">
        <v>380</v>
      </c>
      <c r="V41">
        <f>IF(M287&gt;0,ROUNDUP((M287/8),0),ROUNDUP((P8/8),0))</f>
        <v>0</v>
      </c>
      <c r="W41">
        <f>IF(N287&gt;0,ROUNDUP((N287/6),0),ROUNDUP((Q8/6),0))</f>
        <v>0</v>
      </c>
      <c r="X41">
        <f>IF(M287&gt;0,ROUNDUP((M287/8),0),ROUNDUP((P8/8),0))</f>
        <v>0</v>
      </c>
      <c r="Y41">
        <f>IF(N287&gt;0,ROUNDUP((N287/8),0),ROUNDUP((Q8/8),0))</f>
        <v>0</v>
      </c>
      <c r="Z41" s="36" t="s">
        <v>82</v>
      </c>
      <c r="AA41">
        <f>ROUNDUP((V41+W41)/8,0)</f>
        <v>0</v>
      </c>
    </row>
    <row r="42" spans="1:27" x14ac:dyDescent="0.25">
      <c r="A42" s="82"/>
      <c r="B42" s="83"/>
      <c r="C42" s="261"/>
      <c r="D42" s="111"/>
      <c r="E42" s="112"/>
      <c r="F42" s="112"/>
      <c r="G42" s="93"/>
      <c r="H42" s="112"/>
      <c r="I42" s="112"/>
      <c r="J42" s="112"/>
      <c r="K42" s="112"/>
      <c r="L42" s="114"/>
      <c r="M42" s="266"/>
      <c r="N42" s="97"/>
      <c r="U42" s="48" t="s">
        <v>381</v>
      </c>
      <c r="V42">
        <f>IF(AND(M295&gt;0,M295&lt;=125),(ROUNDUP(M295/25,0)),IF(M295&gt;125,(ROUNDUP((M295-125)/50,0)+5),IF(AND(P8&gt;0,P8&lt;=125),(ROUNDUP(P8/25,0)),IF(P8&gt;125,(ROUNDUP((P8-125)/50,0)+5),0))))</f>
        <v>0</v>
      </c>
      <c r="W42">
        <f>IF(AND(N295&gt;0,N295&lt;=100),(ROUNDUP(N295/20,0)),IF(N295&gt;100,(ROUNDUP((N295-100)/40,0)+5),IF(AND(Q8&gt;0,Q8&lt;=100),(ROUNDUP(Q8/20,0)),IF(Q8&gt;100,(ROUNDUP((Q8-100)/40,0)+5),0))))</f>
        <v>0</v>
      </c>
      <c r="X42">
        <f>IF(M295&gt;0,ROUNDUP((M295/40),0),ROUNDUP((P8/40),0))</f>
        <v>0</v>
      </c>
      <c r="Y42">
        <f>IF(N295&gt;0,ROUNDUP((N295/40),0),ROUNDUP((Q8/40),0))</f>
        <v>0</v>
      </c>
      <c r="Z42" s="36" t="s">
        <v>82</v>
      </c>
      <c r="AA42" t="s">
        <v>82</v>
      </c>
    </row>
    <row r="43" spans="1:27" x14ac:dyDescent="0.25">
      <c r="A43" s="82"/>
      <c r="B43" s="83"/>
      <c r="C43" s="261"/>
      <c r="D43" s="111"/>
      <c r="E43" s="112"/>
      <c r="F43" s="112"/>
      <c r="G43" s="93"/>
      <c r="H43" s="112"/>
      <c r="I43" s="112"/>
      <c r="J43" s="112"/>
      <c r="K43" s="112"/>
      <c r="L43" s="114"/>
      <c r="M43" s="266"/>
      <c r="N43" s="97"/>
      <c r="U43" s="48" t="s">
        <v>382</v>
      </c>
      <c r="V43" t="s">
        <v>383</v>
      </c>
    </row>
    <row r="44" spans="1:27" x14ac:dyDescent="0.25">
      <c r="A44" s="82"/>
      <c r="B44" s="83"/>
      <c r="C44" s="261"/>
      <c r="D44" s="111"/>
      <c r="E44" s="112"/>
      <c r="F44" s="112"/>
      <c r="G44" s="93"/>
      <c r="H44" s="112"/>
      <c r="I44" s="112"/>
      <c r="J44" s="112"/>
      <c r="K44" s="112"/>
      <c r="L44" s="114"/>
      <c r="M44" s="266"/>
      <c r="N44" s="97"/>
      <c r="U44" s="48" t="s">
        <v>384</v>
      </c>
      <c r="V44" t="s">
        <v>385</v>
      </c>
    </row>
    <row r="45" spans="1:27" ht="14.45" customHeight="1" x14ac:dyDescent="0.25">
      <c r="A45" s="82"/>
      <c r="B45" s="83"/>
      <c r="C45" s="261"/>
      <c r="D45" s="111"/>
      <c r="E45" s="112"/>
      <c r="F45" s="112"/>
      <c r="G45" s="129"/>
      <c r="H45" s="112"/>
      <c r="I45" s="112"/>
      <c r="J45" s="112"/>
      <c r="K45" s="112"/>
      <c r="L45" s="114"/>
      <c r="M45" s="266"/>
      <c r="N45" s="97"/>
      <c r="U45" s="48" t="s">
        <v>178</v>
      </c>
      <c r="V45">
        <f>IF(M319&gt;0,ROUNDUP((M319/150),0),ROUNDUP((P8/150),0))</f>
        <v>0</v>
      </c>
      <c r="W45">
        <f>IF(N319&gt;0,ROUNDUP((N319/150),0),ROUNDUP((Q8/150),0))</f>
        <v>0</v>
      </c>
      <c r="X45">
        <f>IF(M319&gt;0,ROUNDUP((M319/150),0),ROUNDUP((P8/150),0))</f>
        <v>0</v>
      </c>
      <c r="Y45">
        <f>IF(N319&gt;0,ROUNDUP((N319/150),0),ROUNDUP((Q8/150),0))</f>
        <v>0</v>
      </c>
      <c r="Z45" s="36" t="s">
        <v>331</v>
      </c>
      <c r="AA45" t="s">
        <v>82</v>
      </c>
    </row>
    <row r="46" spans="1:27" ht="14.45" customHeight="1" x14ac:dyDescent="0.25">
      <c r="A46" s="82"/>
      <c r="B46" s="83"/>
      <c r="C46" s="235" t="s">
        <v>386</v>
      </c>
      <c r="D46" s="180"/>
      <c r="E46" s="92">
        <f>V9</f>
        <v>0</v>
      </c>
      <c r="F46" s="92">
        <f>W9</f>
        <v>0</v>
      </c>
      <c r="G46" s="92" t="str">
        <f>IF(E46&gt;0,"Can substitute up to 50% of required fixtures (10.10 Table 1)","-")</f>
        <v>-</v>
      </c>
      <c r="H46" s="92">
        <f>X9</f>
        <v>0</v>
      </c>
      <c r="I46" s="92">
        <f>Y9</f>
        <v>0</v>
      </c>
      <c r="J46" s="92" t="str">
        <f>IF(OR(M46&gt;0,N46&gt;0),AA9,IF(AND(OR(M46&gt;0,N46&gt;0),M46+N46&gt;P5),AA9,IF(AND(OR(M46&gt;0,N46&gt;0),M46+N46&lt;P5),AA9,IF(P5=0,"-",AA9))))</f>
        <v>-</v>
      </c>
      <c r="K46" s="92" t="str">
        <f>IF(OR(M46&gt;0,N46&gt;0),Z9,IF(AND(OR(M46&gt;0,N46&gt;0),M46+N46&gt;P5),Z9,IF(AND(OR(M46&gt;0,N46&gt;0),M46+N46&lt;P5),Z9,IF(P5=0,"-",Z9))))</f>
        <v>-</v>
      </c>
      <c r="L46" s="114" t="str">
        <f>IF(OR(M46&gt;0,N46&gt;0),"One Mop Sink per Floor",IF(AND(OR(M46&gt;0,N46&gt;0),M46+N46&gt;P5),"One Mop Sink per Floor",IF(AND(OR(M46&gt;0,N46&gt;0),M46+N46&lt;P5),Z5,IF(P5=0,"-","One Mop Sink per Floor"))))</f>
        <v>-</v>
      </c>
      <c r="M46" s="268">
        <v>0</v>
      </c>
      <c r="N46" s="248">
        <f>M46</f>
        <v>0</v>
      </c>
    </row>
    <row r="47" spans="1:27" ht="14.45" customHeight="1" x14ac:dyDescent="0.25">
      <c r="A47" s="82"/>
      <c r="B47" s="83"/>
      <c r="C47" s="237"/>
      <c r="D47" s="182"/>
      <c r="E47" s="93"/>
      <c r="F47" s="93"/>
      <c r="G47" s="93"/>
      <c r="H47" s="93"/>
      <c r="I47" s="93"/>
      <c r="J47" s="93"/>
      <c r="K47" s="93"/>
      <c r="L47" s="114"/>
      <c r="M47" s="278"/>
      <c r="N47" s="249"/>
    </row>
    <row r="48" spans="1:27" ht="14.45" customHeight="1" x14ac:dyDescent="0.25">
      <c r="A48" s="82"/>
      <c r="B48" s="83"/>
      <c r="C48" s="237"/>
      <c r="D48" s="182"/>
      <c r="E48" s="93"/>
      <c r="F48" s="93"/>
      <c r="G48" s="93"/>
      <c r="H48" s="93"/>
      <c r="I48" s="93"/>
      <c r="J48" s="93"/>
      <c r="K48" s="93"/>
      <c r="L48" s="114"/>
      <c r="M48" s="278"/>
      <c r="N48" s="249"/>
    </row>
    <row r="49" spans="1:14" ht="14.45" customHeight="1" x14ac:dyDescent="0.25">
      <c r="A49" s="82"/>
      <c r="B49" s="83"/>
      <c r="C49" s="237"/>
      <c r="D49" s="182"/>
      <c r="E49" s="93"/>
      <c r="F49" s="93"/>
      <c r="G49" s="93"/>
      <c r="H49" s="93"/>
      <c r="I49" s="93"/>
      <c r="J49" s="93"/>
      <c r="K49" s="93"/>
      <c r="L49" s="114"/>
      <c r="M49" s="278"/>
      <c r="N49" s="249"/>
    </row>
    <row r="50" spans="1:14" ht="14.45" customHeight="1" x14ac:dyDescent="0.25">
      <c r="A50" s="82"/>
      <c r="B50" s="83"/>
      <c r="C50" s="237"/>
      <c r="D50" s="182"/>
      <c r="E50" s="93"/>
      <c r="F50" s="93"/>
      <c r="G50" s="93"/>
      <c r="H50" s="93"/>
      <c r="I50" s="93"/>
      <c r="J50" s="93"/>
      <c r="K50" s="93"/>
      <c r="L50" s="114"/>
      <c r="M50" s="278"/>
      <c r="N50" s="249"/>
    </row>
    <row r="51" spans="1:14" ht="14.45" customHeight="1" x14ac:dyDescent="0.25">
      <c r="A51" s="82"/>
      <c r="B51" s="83"/>
      <c r="C51" s="237"/>
      <c r="D51" s="182"/>
      <c r="E51" s="93"/>
      <c r="F51" s="93"/>
      <c r="G51" s="93"/>
      <c r="H51" s="93"/>
      <c r="I51" s="93"/>
      <c r="J51" s="93"/>
      <c r="K51" s="93"/>
      <c r="L51" s="114"/>
      <c r="M51" s="278"/>
      <c r="N51" s="249"/>
    </row>
    <row r="52" spans="1:14" ht="14.45" customHeight="1" x14ac:dyDescent="0.25">
      <c r="A52" s="82"/>
      <c r="B52" s="83"/>
      <c r="C52" s="237"/>
      <c r="D52" s="182"/>
      <c r="E52" s="93"/>
      <c r="F52" s="93"/>
      <c r="G52" s="93"/>
      <c r="H52" s="93"/>
      <c r="I52" s="93"/>
      <c r="J52" s="93"/>
      <c r="K52" s="93"/>
      <c r="L52" s="114"/>
      <c r="M52" s="278"/>
      <c r="N52" s="249"/>
    </row>
    <row r="53" spans="1:14" ht="14.45" customHeight="1" x14ac:dyDescent="0.25">
      <c r="A53" s="82"/>
      <c r="B53" s="83"/>
      <c r="C53" s="237"/>
      <c r="D53" s="182"/>
      <c r="E53" s="93"/>
      <c r="F53" s="93"/>
      <c r="G53" s="93"/>
      <c r="H53" s="93"/>
      <c r="I53" s="93"/>
      <c r="J53" s="93"/>
      <c r="K53" s="93"/>
      <c r="L53" s="114"/>
      <c r="M53" s="278"/>
      <c r="N53" s="249"/>
    </row>
    <row r="54" spans="1:14" ht="14.45" customHeight="1" x14ac:dyDescent="0.25">
      <c r="A54" s="82"/>
      <c r="B54" s="83"/>
      <c r="C54" s="239"/>
      <c r="D54" s="184"/>
      <c r="E54" s="129"/>
      <c r="F54" s="129"/>
      <c r="G54" s="129"/>
      <c r="H54" s="129"/>
      <c r="I54" s="129"/>
      <c r="J54" s="129"/>
      <c r="K54" s="129"/>
      <c r="L54" s="114"/>
      <c r="M54" s="279"/>
      <c r="N54" s="250"/>
    </row>
    <row r="55" spans="1:14" ht="14.45" customHeight="1" x14ac:dyDescent="0.25">
      <c r="A55" s="82"/>
      <c r="B55" s="83"/>
      <c r="C55" s="235" t="s">
        <v>387</v>
      </c>
      <c r="D55" s="180"/>
      <c r="E55" s="92">
        <f>V10</f>
        <v>0</v>
      </c>
      <c r="F55" s="92">
        <f>W10</f>
        <v>0</v>
      </c>
      <c r="G55" s="92" t="str">
        <f>IF(E55&gt;0,"Can substitute up to 67% of required fixtures (10.10 Table 1)","-")</f>
        <v>-</v>
      </c>
      <c r="H55" s="92">
        <f>X10</f>
        <v>0</v>
      </c>
      <c r="I55" s="92">
        <f>Y10</f>
        <v>0</v>
      </c>
      <c r="J55" s="92" t="str">
        <f>IF(OR(M55&gt;0,N55&gt;0),AA10,IF(AND(OR(M55&gt;0,N55&gt;0),M55+N55&gt;P5),AA10,IF(AND(OR(M55&gt;0,N55&gt;0),M55+N55&lt;P5),AA10,IF(P5=0,"-",AA10))))</f>
        <v>-</v>
      </c>
      <c r="K55" s="92" t="str">
        <f>IF(OR(M55&gt;0,N55&gt;0),Z10,IF(AND(OR(M55&gt;0,N55&gt;0),M55+N55&gt;P5),Z10,IF(AND(OR(M55&gt;0,N55&gt;0),M55+N55&lt;P5),Z10,IF(P5=0,"-",Z10))))</f>
        <v>-</v>
      </c>
      <c r="L55" s="114" t="str">
        <f>IF(OR(M55&gt;0,N55&gt;0),"One Mop Sink per Floor",IF(AND(OR(M55&gt;0,N55&gt;0),M55+N55&gt;P5),"One Mop Sink per Floor",IF(AND(OR(M55&gt;0,N55&gt;0),M55+N55&lt;P5),Z5,IF(P5=0,"-","One Mop Sink per Floor"))))</f>
        <v>-</v>
      </c>
      <c r="M55" s="268">
        <v>0</v>
      </c>
      <c r="N55" s="248">
        <f>M55</f>
        <v>0</v>
      </c>
    </row>
    <row r="56" spans="1:14" ht="14.45" customHeight="1" x14ac:dyDescent="0.25">
      <c r="A56" s="82"/>
      <c r="B56" s="83"/>
      <c r="C56" s="237"/>
      <c r="D56" s="182"/>
      <c r="E56" s="93"/>
      <c r="F56" s="93"/>
      <c r="G56" s="93"/>
      <c r="H56" s="93"/>
      <c r="I56" s="93"/>
      <c r="J56" s="93"/>
      <c r="K56" s="93"/>
      <c r="L56" s="114"/>
      <c r="M56" s="278"/>
      <c r="N56" s="249"/>
    </row>
    <row r="57" spans="1:14" ht="14.45" customHeight="1" x14ac:dyDescent="0.25">
      <c r="A57" s="82"/>
      <c r="B57" s="83"/>
      <c r="C57" s="237"/>
      <c r="D57" s="182"/>
      <c r="E57" s="93"/>
      <c r="F57" s="93"/>
      <c r="G57" s="93"/>
      <c r="H57" s="93"/>
      <c r="I57" s="93"/>
      <c r="J57" s="93"/>
      <c r="K57" s="93"/>
      <c r="L57" s="114"/>
      <c r="M57" s="278"/>
      <c r="N57" s="249"/>
    </row>
    <row r="58" spans="1:14" ht="14.45" customHeight="1" x14ac:dyDescent="0.25">
      <c r="A58" s="82"/>
      <c r="B58" s="83"/>
      <c r="C58" s="237"/>
      <c r="D58" s="182"/>
      <c r="E58" s="93"/>
      <c r="F58" s="93"/>
      <c r="G58" s="93"/>
      <c r="H58" s="93"/>
      <c r="I58" s="93"/>
      <c r="J58" s="93"/>
      <c r="K58" s="93"/>
      <c r="L58" s="114"/>
      <c r="M58" s="278"/>
      <c r="N58" s="249"/>
    </row>
    <row r="59" spans="1:14" ht="14.45" customHeight="1" x14ac:dyDescent="0.25">
      <c r="A59" s="82"/>
      <c r="B59" s="83"/>
      <c r="C59" s="237"/>
      <c r="D59" s="182"/>
      <c r="E59" s="93"/>
      <c r="F59" s="93"/>
      <c r="G59" s="93"/>
      <c r="H59" s="93"/>
      <c r="I59" s="93"/>
      <c r="J59" s="93"/>
      <c r="K59" s="93"/>
      <c r="L59" s="114"/>
      <c r="M59" s="278"/>
      <c r="N59" s="249"/>
    </row>
    <row r="60" spans="1:14" ht="14.45" customHeight="1" x14ac:dyDescent="0.25">
      <c r="A60" s="82"/>
      <c r="B60" s="83"/>
      <c r="C60" s="237"/>
      <c r="D60" s="182"/>
      <c r="E60" s="93"/>
      <c r="F60" s="93"/>
      <c r="G60" s="93"/>
      <c r="H60" s="93"/>
      <c r="I60" s="93"/>
      <c r="J60" s="93"/>
      <c r="K60" s="93"/>
      <c r="L60" s="114"/>
      <c r="M60" s="278"/>
      <c r="N60" s="249"/>
    </row>
    <row r="61" spans="1:14" ht="14.45" customHeight="1" x14ac:dyDescent="0.25">
      <c r="A61" s="82"/>
      <c r="B61" s="83"/>
      <c r="C61" s="237"/>
      <c r="D61" s="182"/>
      <c r="E61" s="93"/>
      <c r="F61" s="93"/>
      <c r="G61" s="93"/>
      <c r="H61" s="93"/>
      <c r="I61" s="93"/>
      <c r="J61" s="93"/>
      <c r="K61" s="93"/>
      <c r="L61" s="114"/>
      <c r="M61" s="278"/>
      <c r="N61" s="249"/>
    </row>
    <row r="62" spans="1:14" ht="14.45" customHeight="1" x14ac:dyDescent="0.25">
      <c r="A62" s="82"/>
      <c r="B62" s="83"/>
      <c r="C62" s="237"/>
      <c r="D62" s="182"/>
      <c r="E62" s="93"/>
      <c r="F62" s="93"/>
      <c r="G62" s="93"/>
      <c r="H62" s="93"/>
      <c r="I62" s="93"/>
      <c r="J62" s="93"/>
      <c r="K62" s="93"/>
      <c r="L62" s="114"/>
      <c r="M62" s="278"/>
      <c r="N62" s="249"/>
    </row>
    <row r="63" spans="1:14" ht="14.45" customHeight="1" x14ac:dyDescent="0.25">
      <c r="A63" s="82"/>
      <c r="B63" s="83"/>
      <c r="C63" s="239"/>
      <c r="D63" s="184"/>
      <c r="E63" s="129"/>
      <c r="F63" s="129"/>
      <c r="G63" s="129"/>
      <c r="H63" s="129"/>
      <c r="I63" s="129"/>
      <c r="J63" s="129"/>
      <c r="K63" s="129"/>
      <c r="L63" s="114"/>
      <c r="M63" s="279"/>
      <c r="N63" s="250"/>
    </row>
    <row r="64" spans="1:14" ht="14.45" customHeight="1" x14ac:dyDescent="0.25">
      <c r="A64" s="82"/>
      <c r="B64" s="83"/>
      <c r="C64" s="235" t="s">
        <v>388</v>
      </c>
      <c r="D64" s="180"/>
      <c r="E64" s="92">
        <f>V11</f>
        <v>0</v>
      </c>
      <c r="F64" s="92">
        <f>W11</f>
        <v>0</v>
      </c>
      <c r="G64" s="92" t="str">
        <f>IF(E64&gt;0,"Can substitute up to 67% of required fixtures (10.10 Table 1)","-")</f>
        <v>-</v>
      </c>
      <c r="H64" s="92">
        <f>X11</f>
        <v>0</v>
      </c>
      <c r="I64" s="92">
        <f>Y11</f>
        <v>0</v>
      </c>
      <c r="J64" s="92" t="str">
        <f>IF(OR(M64&gt;0,N64&gt;0),AA11,IF(AND(OR(M64&gt;0,N64&gt;0),M64+N64&gt;P5),AA11,IF(AND(OR(M64&gt;0,N64&gt;0),M64+N55&lt;P5),AA11,IF(P5=0,"-",AA11))))</f>
        <v>-</v>
      </c>
      <c r="K64" s="92" t="str">
        <f>IF(OR(M64&gt;0,N64&gt;0),Z11,IF(AND(OR(M64&gt;0,N64&gt;0),M64+N64&gt;P5),Z11,IF(AND(OR(M64&gt;0,N64&gt;0),M64+N64&lt;P5),Z11,IF(P5=0,"-",Z11))))</f>
        <v>-</v>
      </c>
      <c r="L64" s="114" t="str">
        <f>IF(OR(M64&gt;0,N64&gt;0),"One Mop Sink per Floor",IF(AND(OR(M64&gt;0,N64&gt;0),M64+N64&gt;P5),"One Mop Sink per Floor",IF(AND(OR(M64&gt;0,N64&gt;0),M64+N64&lt;P5),Z5,IF(P5=0,"-","One Mop Sink per Floor"))))</f>
        <v>-</v>
      </c>
      <c r="M64" s="268">
        <v>0</v>
      </c>
      <c r="N64" s="248">
        <f>M64</f>
        <v>0</v>
      </c>
    </row>
    <row r="65" spans="1:14" ht="14.45" customHeight="1" x14ac:dyDescent="0.25">
      <c r="A65" s="82"/>
      <c r="B65" s="83"/>
      <c r="C65" s="237"/>
      <c r="D65" s="182"/>
      <c r="E65" s="93"/>
      <c r="F65" s="93"/>
      <c r="G65" s="93"/>
      <c r="H65" s="93"/>
      <c r="I65" s="93"/>
      <c r="J65" s="93"/>
      <c r="K65" s="93"/>
      <c r="L65" s="114"/>
      <c r="M65" s="278"/>
      <c r="N65" s="249"/>
    </row>
    <row r="66" spans="1:14" ht="14.45" customHeight="1" x14ac:dyDescent="0.25">
      <c r="A66" s="82"/>
      <c r="B66" s="83"/>
      <c r="C66" s="237"/>
      <c r="D66" s="182"/>
      <c r="E66" s="93"/>
      <c r="F66" s="93"/>
      <c r="G66" s="93"/>
      <c r="H66" s="93"/>
      <c r="I66" s="93"/>
      <c r="J66" s="93"/>
      <c r="K66" s="93"/>
      <c r="L66" s="114"/>
      <c r="M66" s="278"/>
      <c r="N66" s="249"/>
    </row>
    <row r="67" spans="1:14" ht="14.45" customHeight="1" x14ac:dyDescent="0.25">
      <c r="A67" s="82"/>
      <c r="B67" s="83"/>
      <c r="C67" s="237"/>
      <c r="D67" s="182"/>
      <c r="E67" s="93"/>
      <c r="F67" s="93"/>
      <c r="G67" s="93"/>
      <c r="H67" s="93"/>
      <c r="I67" s="93"/>
      <c r="J67" s="93"/>
      <c r="K67" s="93"/>
      <c r="L67" s="114"/>
      <c r="M67" s="278"/>
      <c r="N67" s="249"/>
    </row>
    <row r="68" spans="1:14" ht="14.45" customHeight="1" x14ac:dyDescent="0.25">
      <c r="A68" s="82"/>
      <c r="B68" s="83"/>
      <c r="C68" s="237"/>
      <c r="D68" s="182"/>
      <c r="E68" s="93"/>
      <c r="F68" s="93"/>
      <c r="G68" s="93"/>
      <c r="H68" s="93"/>
      <c r="I68" s="93"/>
      <c r="J68" s="93"/>
      <c r="K68" s="93"/>
      <c r="L68" s="114"/>
      <c r="M68" s="278"/>
      <c r="N68" s="249"/>
    </row>
    <row r="69" spans="1:14" ht="14.45" customHeight="1" x14ac:dyDescent="0.25">
      <c r="A69" s="82"/>
      <c r="B69" s="83"/>
      <c r="C69" s="237"/>
      <c r="D69" s="182"/>
      <c r="E69" s="93"/>
      <c r="F69" s="93"/>
      <c r="G69" s="93"/>
      <c r="H69" s="93"/>
      <c r="I69" s="93"/>
      <c r="J69" s="93"/>
      <c r="K69" s="93"/>
      <c r="L69" s="114"/>
      <c r="M69" s="278"/>
      <c r="N69" s="249"/>
    </row>
    <row r="70" spans="1:14" ht="14.45" customHeight="1" x14ac:dyDescent="0.25">
      <c r="A70" s="82"/>
      <c r="B70" s="83"/>
      <c r="C70" s="237"/>
      <c r="D70" s="182"/>
      <c r="E70" s="93"/>
      <c r="F70" s="93"/>
      <c r="G70" s="93"/>
      <c r="H70" s="93"/>
      <c r="I70" s="93"/>
      <c r="J70" s="93"/>
      <c r="K70" s="93"/>
      <c r="L70" s="114"/>
      <c r="M70" s="278"/>
      <c r="N70" s="249"/>
    </row>
    <row r="71" spans="1:14" ht="14.45" customHeight="1" x14ac:dyDescent="0.25">
      <c r="A71" s="82"/>
      <c r="B71" s="83"/>
      <c r="C71" s="237"/>
      <c r="D71" s="182"/>
      <c r="E71" s="93"/>
      <c r="F71" s="93"/>
      <c r="G71" s="93"/>
      <c r="H71" s="93"/>
      <c r="I71" s="93"/>
      <c r="J71" s="93"/>
      <c r="K71" s="93"/>
      <c r="L71" s="114"/>
      <c r="M71" s="278"/>
      <c r="N71" s="249"/>
    </row>
    <row r="72" spans="1:14" ht="14.45" customHeight="1" x14ac:dyDescent="0.25">
      <c r="A72" s="82"/>
      <c r="B72" s="83"/>
      <c r="C72" s="239"/>
      <c r="D72" s="184"/>
      <c r="E72" s="129"/>
      <c r="F72" s="129"/>
      <c r="G72" s="129"/>
      <c r="H72" s="129"/>
      <c r="I72" s="129"/>
      <c r="J72" s="129"/>
      <c r="K72" s="129"/>
      <c r="L72" s="114"/>
      <c r="M72" s="279"/>
      <c r="N72" s="250"/>
    </row>
    <row r="73" spans="1:14" ht="14.45" customHeight="1" x14ac:dyDescent="0.25">
      <c r="A73" s="82"/>
      <c r="B73" s="83"/>
      <c r="C73" s="235" t="s">
        <v>389</v>
      </c>
      <c r="D73" s="180"/>
      <c r="E73" s="92">
        <f>V12</f>
        <v>0</v>
      </c>
      <c r="F73" s="92">
        <f>W12</f>
        <v>0</v>
      </c>
      <c r="G73" s="92" t="str">
        <f>IF(E73&gt;0,"Can substitute up to 67% of required fixtures (10.10 Table 1)","-")</f>
        <v>-</v>
      </c>
      <c r="H73" s="92">
        <f>X12</f>
        <v>0</v>
      </c>
      <c r="I73" s="92">
        <f>Y12</f>
        <v>0</v>
      </c>
      <c r="J73" s="92" t="str">
        <f>AA12</f>
        <v>-</v>
      </c>
      <c r="K73" s="92" t="str">
        <f>IF(OR(M73&gt;0,N73&gt;0),Z12,IF(AND(OR(M73&gt;0,N73&gt;0),M73+N73&gt;P5),Z12,IF(AND(OR(M73&gt;0,N73&gt;0),M73+N73&lt;P5),Z12,IF(P5=0,"-",Z12))))</f>
        <v>-</v>
      </c>
      <c r="L73" s="114" t="str">
        <f>IF(OR(M73&gt;0,N73&gt;0),"One Mop Sink per Floor",IF(AND(OR(M73&gt;0,N73&gt;0),M73+N73&gt;P5),"One Mop Sink per Floor",IF(AND(OR(M73&gt;0,N73&gt;0),M73+N73&lt;P5),Z5,IF(P5=0,"-","One Mop Sink per Floor"))))</f>
        <v>-</v>
      </c>
      <c r="M73" s="268">
        <v>0</v>
      </c>
      <c r="N73" s="248">
        <f>M73</f>
        <v>0</v>
      </c>
    </row>
    <row r="74" spans="1:14" ht="14.45" customHeight="1" x14ac:dyDescent="0.25">
      <c r="A74" s="82"/>
      <c r="B74" s="83"/>
      <c r="C74" s="237"/>
      <c r="D74" s="182"/>
      <c r="E74" s="93"/>
      <c r="F74" s="93"/>
      <c r="G74" s="93"/>
      <c r="H74" s="93"/>
      <c r="I74" s="93"/>
      <c r="J74" s="93"/>
      <c r="K74" s="93"/>
      <c r="L74" s="114"/>
      <c r="M74" s="278"/>
      <c r="N74" s="249"/>
    </row>
    <row r="75" spans="1:14" ht="14.45" customHeight="1" x14ac:dyDescent="0.25">
      <c r="A75" s="82"/>
      <c r="B75" s="83"/>
      <c r="C75" s="237"/>
      <c r="D75" s="182"/>
      <c r="E75" s="93"/>
      <c r="F75" s="93"/>
      <c r="G75" s="93"/>
      <c r="H75" s="93"/>
      <c r="I75" s="93"/>
      <c r="J75" s="93"/>
      <c r="K75" s="93"/>
      <c r="L75" s="114"/>
      <c r="M75" s="278"/>
      <c r="N75" s="249"/>
    </row>
    <row r="76" spans="1:14" ht="14.45" customHeight="1" x14ac:dyDescent="0.25">
      <c r="A76" s="82"/>
      <c r="B76" s="83"/>
      <c r="C76" s="237"/>
      <c r="D76" s="182"/>
      <c r="E76" s="93"/>
      <c r="F76" s="93"/>
      <c r="G76" s="93"/>
      <c r="H76" s="93"/>
      <c r="I76" s="93"/>
      <c r="J76" s="93"/>
      <c r="K76" s="93"/>
      <c r="L76" s="114"/>
      <c r="M76" s="278"/>
      <c r="N76" s="249"/>
    </row>
    <row r="77" spans="1:14" ht="14.45" customHeight="1" x14ac:dyDescent="0.25">
      <c r="A77" s="82"/>
      <c r="B77" s="83"/>
      <c r="C77" s="237"/>
      <c r="D77" s="182"/>
      <c r="E77" s="93"/>
      <c r="F77" s="93"/>
      <c r="G77" s="93"/>
      <c r="H77" s="93"/>
      <c r="I77" s="93"/>
      <c r="J77" s="93"/>
      <c r="K77" s="93"/>
      <c r="L77" s="114"/>
      <c r="M77" s="278"/>
      <c r="N77" s="249"/>
    </row>
    <row r="78" spans="1:14" ht="14.45" customHeight="1" x14ac:dyDescent="0.25">
      <c r="A78" s="82"/>
      <c r="B78" s="83"/>
      <c r="C78" s="237"/>
      <c r="D78" s="182"/>
      <c r="E78" s="93"/>
      <c r="F78" s="93"/>
      <c r="G78" s="93"/>
      <c r="H78" s="93"/>
      <c r="I78" s="93"/>
      <c r="J78" s="93"/>
      <c r="K78" s="93"/>
      <c r="L78" s="114"/>
      <c r="M78" s="278"/>
      <c r="N78" s="249"/>
    </row>
    <row r="79" spans="1:14" ht="14.45" customHeight="1" x14ac:dyDescent="0.25">
      <c r="A79" s="82"/>
      <c r="B79" s="83"/>
      <c r="C79" s="237"/>
      <c r="D79" s="182"/>
      <c r="E79" s="93"/>
      <c r="F79" s="93"/>
      <c r="G79" s="93"/>
      <c r="H79" s="93"/>
      <c r="I79" s="93"/>
      <c r="J79" s="93"/>
      <c r="K79" s="93"/>
      <c r="L79" s="114"/>
      <c r="M79" s="278"/>
      <c r="N79" s="249"/>
    </row>
    <row r="80" spans="1:14" ht="14.45" customHeight="1" x14ac:dyDescent="0.25">
      <c r="A80" s="82"/>
      <c r="B80" s="83"/>
      <c r="C80" s="237"/>
      <c r="D80" s="182"/>
      <c r="E80" s="93"/>
      <c r="F80" s="93"/>
      <c r="G80" s="93"/>
      <c r="H80" s="93"/>
      <c r="I80" s="93"/>
      <c r="J80" s="93"/>
      <c r="K80" s="93"/>
      <c r="L80" s="114"/>
      <c r="M80" s="278"/>
      <c r="N80" s="249"/>
    </row>
    <row r="81" spans="1:14" ht="14.45" customHeight="1" x14ac:dyDescent="0.25">
      <c r="A81" s="82"/>
      <c r="B81" s="83"/>
      <c r="C81" s="239"/>
      <c r="D81" s="184"/>
      <c r="E81" s="129"/>
      <c r="F81" s="129"/>
      <c r="G81" s="129"/>
      <c r="H81" s="129"/>
      <c r="I81" s="129"/>
      <c r="J81" s="129"/>
      <c r="K81" s="129"/>
      <c r="L81" s="114"/>
      <c r="M81" s="279"/>
      <c r="N81" s="250"/>
    </row>
    <row r="82" spans="1:14" ht="14.45" customHeight="1" x14ac:dyDescent="0.25">
      <c r="A82" s="82"/>
      <c r="B82" s="83"/>
      <c r="C82" s="235" t="s">
        <v>390</v>
      </c>
      <c r="D82" s="180"/>
      <c r="E82" s="92">
        <f>V13</f>
        <v>0</v>
      </c>
      <c r="F82" s="92">
        <f>W13</f>
        <v>0</v>
      </c>
      <c r="G82" s="92" t="str">
        <f>IF(E82&gt;0,"Can substitute up to 67% of required fixtures (10.10 Table 1)","-")</f>
        <v>-</v>
      </c>
      <c r="H82" s="92">
        <f>X13</f>
        <v>0</v>
      </c>
      <c r="I82" s="92">
        <f>Y13</f>
        <v>0</v>
      </c>
      <c r="J82" s="92" t="str">
        <f>AA13</f>
        <v>-</v>
      </c>
      <c r="K82" s="92" t="str">
        <f>IF(OR(M82&gt;0,N82&gt;0),Z13,IF(AND(OR(M82&gt;0,N82&gt;0),M82+N82&gt;P5),Z13,IF(AND(OR(M82&gt;0,N82&gt;0),M82+N82&lt;P5),Z13,IF(P5=0,"-",Z13))))</f>
        <v>-</v>
      </c>
      <c r="L82" s="114" t="str">
        <f>IF(OR(M82&gt;0,N82&gt;0),"One Mop Sink per Floor",IF(AND(OR(M82&gt;0,N82&gt;0),M82+N82&gt;P5),"One Mop Sink per Floor",IF(AND(OR(M82&gt;0,N82&gt;0),M82+N82&lt;P5),Z5,IF(P5=0,"-","One Mop Sink per Floor"))))</f>
        <v>-</v>
      </c>
      <c r="M82" s="268">
        <v>0</v>
      </c>
      <c r="N82" s="248">
        <f>M82</f>
        <v>0</v>
      </c>
    </row>
    <row r="83" spans="1:14" ht="14.45" customHeight="1" x14ac:dyDescent="0.25">
      <c r="A83" s="82"/>
      <c r="B83" s="83"/>
      <c r="C83" s="237"/>
      <c r="D83" s="182"/>
      <c r="E83" s="93"/>
      <c r="F83" s="93"/>
      <c r="G83" s="93"/>
      <c r="H83" s="93"/>
      <c r="I83" s="93"/>
      <c r="J83" s="93"/>
      <c r="K83" s="93"/>
      <c r="L83" s="114"/>
      <c r="M83" s="278"/>
      <c r="N83" s="249"/>
    </row>
    <row r="84" spans="1:14" ht="14.45" customHeight="1" x14ac:dyDescent="0.25">
      <c r="A84" s="82"/>
      <c r="B84" s="83"/>
      <c r="C84" s="237"/>
      <c r="D84" s="182"/>
      <c r="E84" s="93"/>
      <c r="F84" s="93"/>
      <c r="G84" s="93"/>
      <c r="H84" s="93"/>
      <c r="I84" s="93"/>
      <c r="J84" s="93"/>
      <c r="K84" s="93"/>
      <c r="L84" s="114"/>
      <c r="M84" s="278"/>
      <c r="N84" s="249"/>
    </row>
    <row r="85" spans="1:14" ht="14.45" customHeight="1" x14ac:dyDescent="0.25">
      <c r="A85" s="82"/>
      <c r="B85" s="83"/>
      <c r="C85" s="237"/>
      <c r="D85" s="182"/>
      <c r="E85" s="93"/>
      <c r="F85" s="93"/>
      <c r="G85" s="93"/>
      <c r="H85" s="93"/>
      <c r="I85" s="93"/>
      <c r="J85" s="93"/>
      <c r="K85" s="93"/>
      <c r="L85" s="114"/>
      <c r="M85" s="278"/>
      <c r="N85" s="249"/>
    </row>
    <row r="86" spans="1:14" ht="14.45" customHeight="1" x14ac:dyDescent="0.25">
      <c r="A86" s="82"/>
      <c r="B86" s="83"/>
      <c r="C86" s="237"/>
      <c r="D86" s="182"/>
      <c r="E86" s="93"/>
      <c r="F86" s="93"/>
      <c r="G86" s="93"/>
      <c r="H86" s="93"/>
      <c r="I86" s="93"/>
      <c r="J86" s="93"/>
      <c r="K86" s="93"/>
      <c r="L86" s="114"/>
      <c r="M86" s="278"/>
      <c r="N86" s="249"/>
    </row>
    <row r="87" spans="1:14" ht="14.45" customHeight="1" x14ac:dyDescent="0.25">
      <c r="A87" s="82"/>
      <c r="B87" s="83"/>
      <c r="C87" s="237"/>
      <c r="D87" s="182"/>
      <c r="E87" s="93"/>
      <c r="F87" s="93"/>
      <c r="G87" s="93"/>
      <c r="H87" s="93"/>
      <c r="I87" s="93"/>
      <c r="J87" s="93"/>
      <c r="K87" s="93"/>
      <c r="L87" s="114"/>
      <c r="M87" s="278"/>
      <c r="N87" s="249"/>
    </row>
    <row r="88" spans="1:14" ht="14.45" customHeight="1" x14ac:dyDescent="0.25">
      <c r="A88" s="82"/>
      <c r="B88" s="83"/>
      <c r="C88" s="237"/>
      <c r="D88" s="182"/>
      <c r="E88" s="93"/>
      <c r="F88" s="93"/>
      <c r="G88" s="93"/>
      <c r="H88" s="93"/>
      <c r="I88" s="93"/>
      <c r="J88" s="93"/>
      <c r="K88" s="93"/>
      <c r="L88" s="114"/>
      <c r="M88" s="278"/>
      <c r="N88" s="249"/>
    </row>
    <row r="89" spans="1:14" ht="14.45" customHeight="1" x14ac:dyDescent="0.25">
      <c r="A89" s="82"/>
      <c r="B89" s="83"/>
      <c r="C89" s="237"/>
      <c r="D89" s="182"/>
      <c r="E89" s="93"/>
      <c r="F89" s="93"/>
      <c r="G89" s="93"/>
      <c r="H89" s="93"/>
      <c r="I89" s="93"/>
      <c r="J89" s="93"/>
      <c r="K89" s="93"/>
      <c r="L89" s="114"/>
      <c r="M89" s="278"/>
      <c r="N89" s="249"/>
    </row>
    <row r="90" spans="1:14" ht="14.45" customHeight="1" x14ac:dyDescent="0.25">
      <c r="A90" s="82"/>
      <c r="B90" s="83"/>
      <c r="C90" s="239"/>
      <c r="D90" s="184"/>
      <c r="E90" s="129"/>
      <c r="F90" s="129"/>
      <c r="G90" s="129"/>
      <c r="H90" s="129"/>
      <c r="I90" s="129"/>
      <c r="J90" s="129"/>
      <c r="K90" s="129"/>
      <c r="L90" s="114"/>
      <c r="M90" s="279"/>
      <c r="N90" s="250"/>
    </row>
    <row r="91" spans="1:14" ht="14.45" customHeight="1" x14ac:dyDescent="0.25">
      <c r="A91" s="82"/>
      <c r="B91" s="83"/>
      <c r="C91" s="235" t="s">
        <v>345</v>
      </c>
      <c r="D91" s="180"/>
      <c r="E91" s="92">
        <f>V14</f>
        <v>0</v>
      </c>
      <c r="F91" s="92">
        <f>W14</f>
        <v>0</v>
      </c>
      <c r="G91" s="92" t="str">
        <f>IF(E91&gt;0,"Can substitute up to 50% of required fixtures (10.10 Table 1)","-")</f>
        <v>-</v>
      </c>
      <c r="H91" s="92">
        <f>X14</f>
        <v>0</v>
      </c>
      <c r="I91" s="92">
        <f>Y14</f>
        <v>0</v>
      </c>
      <c r="J91" s="92" t="str">
        <f>AA14</f>
        <v>-</v>
      </c>
      <c r="K91" s="92" t="str">
        <f>IF(OR(M91&gt;0,N91&gt;0),Z14,IF(AND(OR(M91&gt;0,N91&gt;0),M91+N91&gt;P5),Z14,IF(AND(OR(M91&gt;0,N91&gt;0),M91+N91&lt;P5),Z14,IF(P5=0,"-",Z14))))</f>
        <v>-</v>
      </c>
      <c r="L91" s="114" t="str">
        <f>IF(OR(M91&gt;0,N91&gt;0),"One Mop Sink per Floor",IF(AND(OR(M91&gt;0,N91&gt;0),M91+N91&gt;P5),"One Mop Sink per Floor",IF(AND(OR(M91&gt;0,N91&gt;0),M91+N91&lt;P5),Z5,IF(P5=0,"-","One Mop Sink per Floor"))))</f>
        <v>-</v>
      </c>
      <c r="M91" s="268">
        <v>0</v>
      </c>
      <c r="N91" s="248">
        <f>M91</f>
        <v>0</v>
      </c>
    </row>
    <row r="92" spans="1:14" ht="14.45" customHeight="1" x14ac:dyDescent="0.25">
      <c r="A92" s="82"/>
      <c r="B92" s="83"/>
      <c r="C92" s="237"/>
      <c r="D92" s="182"/>
      <c r="E92" s="93"/>
      <c r="F92" s="93"/>
      <c r="G92" s="93"/>
      <c r="H92" s="93"/>
      <c r="I92" s="93"/>
      <c r="J92" s="93"/>
      <c r="K92" s="93"/>
      <c r="L92" s="114"/>
      <c r="M92" s="278"/>
      <c r="N92" s="249"/>
    </row>
    <row r="93" spans="1:14" ht="14.45" customHeight="1" x14ac:dyDescent="0.25">
      <c r="A93" s="82"/>
      <c r="B93" s="83"/>
      <c r="C93" s="237"/>
      <c r="D93" s="182"/>
      <c r="E93" s="93"/>
      <c r="F93" s="93"/>
      <c r="G93" s="93"/>
      <c r="H93" s="93"/>
      <c r="I93" s="93"/>
      <c r="J93" s="93"/>
      <c r="K93" s="93"/>
      <c r="L93" s="114"/>
      <c r="M93" s="278"/>
      <c r="N93" s="249"/>
    </row>
    <row r="94" spans="1:14" ht="14.45" customHeight="1" x14ac:dyDescent="0.25">
      <c r="A94" s="82"/>
      <c r="B94" s="83"/>
      <c r="C94" s="237"/>
      <c r="D94" s="182"/>
      <c r="E94" s="93"/>
      <c r="F94" s="93"/>
      <c r="G94" s="93"/>
      <c r="H94" s="93"/>
      <c r="I94" s="93"/>
      <c r="J94" s="93"/>
      <c r="K94" s="93"/>
      <c r="L94" s="114"/>
      <c r="M94" s="278"/>
      <c r="N94" s="249"/>
    </row>
    <row r="95" spans="1:14" ht="14.45" customHeight="1" x14ac:dyDescent="0.25">
      <c r="A95" s="82"/>
      <c r="B95" s="83"/>
      <c r="C95" s="237"/>
      <c r="D95" s="182"/>
      <c r="E95" s="93"/>
      <c r="F95" s="93"/>
      <c r="G95" s="93"/>
      <c r="H95" s="93"/>
      <c r="I95" s="93"/>
      <c r="J95" s="93"/>
      <c r="K95" s="93"/>
      <c r="L95" s="114"/>
      <c r="M95" s="278"/>
      <c r="N95" s="249"/>
    </row>
    <row r="96" spans="1:14" ht="14.45" customHeight="1" x14ac:dyDescent="0.25">
      <c r="A96" s="82"/>
      <c r="B96" s="83"/>
      <c r="C96" s="237"/>
      <c r="D96" s="182"/>
      <c r="E96" s="93"/>
      <c r="F96" s="93"/>
      <c r="G96" s="93"/>
      <c r="H96" s="93"/>
      <c r="I96" s="93"/>
      <c r="J96" s="93"/>
      <c r="K96" s="93"/>
      <c r="L96" s="114"/>
      <c r="M96" s="278"/>
      <c r="N96" s="249"/>
    </row>
    <row r="97" spans="1:17" ht="14.45" customHeight="1" x14ac:dyDescent="0.25">
      <c r="A97" s="82"/>
      <c r="B97" s="83"/>
      <c r="C97" s="237"/>
      <c r="D97" s="182"/>
      <c r="E97" s="93"/>
      <c r="F97" s="93"/>
      <c r="G97" s="93"/>
      <c r="H97" s="93"/>
      <c r="I97" s="93"/>
      <c r="J97" s="93"/>
      <c r="K97" s="93"/>
      <c r="L97" s="114"/>
      <c r="M97" s="278"/>
      <c r="N97" s="249"/>
    </row>
    <row r="98" spans="1:17" ht="14.45" customHeight="1" x14ac:dyDescent="0.25">
      <c r="A98" s="82"/>
      <c r="B98" s="83"/>
      <c r="C98" s="237"/>
      <c r="D98" s="182"/>
      <c r="E98" s="93"/>
      <c r="F98" s="93"/>
      <c r="G98" s="93"/>
      <c r="H98" s="93"/>
      <c r="I98" s="93"/>
      <c r="J98" s="93"/>
      <c r="K98" s="93"/>
      <c r="L98" s="114"/>
      <c r="M98" s="278"/>
      <c r="N98" s="249"/>
    </row>
    <row r="99" spans="1:17" ht="14.45" customHeight="1" thickBot="1" x14ac:dyDescent="0.3">
      <c r="A99" s="82"/>
      <c r="B99" s="83"/>
      <c r="C99" s="239"/>
      <c r="D99" s="184"/>
      <c r="E99" s="129"/>
      <c r="F99" s="129"/>
      <c r="G99" s="129"/>
      <c r="H99" s="129"/>
      <c r="I99" s="129"/>
      <c r="J99" s="129"/>
      <c r="K99" s="129"/>
      <c r="L99" s="114"/>
      <c r="M99" s="279"/>
      <c r="N99" s="250"/>
    </row>
    <row r="100" spans="1:17" ht="14.45" customHeight="1" x14ac:dyDescent="0.25">
      <c r="A100" s="82"/>
      <c r="B100" s="83"/>
      <c r="C100" s="235" t="s">
        <v>391</v>
      </c>
      <c r="D100" s="180"/>
      <c r="E100" s="92">
        <f>V15</f>
        <v>0</v>
      </c>
      <c r="F100" s="92">
        <f>W15</f>
        <v>0</v>
      </c>
      <c r="G100" s="92" t="str">
        <f>IF(E100&gt;0,"Can substitute up to 50% of required fixtures (10.10 Table 1)","-")</f>
        <v>-</v>
      </c>
      <c r="H100" s="92">
        <f>X15</f>
        <v>0</v>
      </c>
      <c r="I100" s="92">
        <f>Y15</f>
        <v>0</v>
      </c>
      <c r="J100" s="92" t="str">
        <f>IF(OR(M100&gt;0,N100&gt;0),AA15,IF(AND(OR(M100&gt;0,N100&gt;0),M100+N100&gt;P5),AA15,IF(AND(OR(M100&gt;0,N100&gt;0),M100+N100&lt;P5),AA15,IF(P5=0,"-",AA15))))</f>
        <v>-</v>
      </c>
      <c r="K100" s="92" t="str">
        <f>IF(OR(M100&gt;0,N100&gt;0),Z15,IF(AND(OR(M100&gt;0,N100&gt;0),M100+N100&gt;P5),Z15,IF(AND(OR(M100&gt;0,N100&gt;0),M100+N100&lt;P5),Z15,IF(P5=0,"-",Z15))))</f>
        <v>-</v>
      </c>
      <c r="L100" s="114" t="str">
        <f>IF(OR(M100&gt;0,N100&gt;0),"One Mop Sink per Floor",IF(AND(OR(M100&gt;0,N100&gt;0),M100+N100&gt;P5),"One Mop Sink per Floor",IF(AND(OR(M100&gt;0,N100&gt;0),M100+N100&lt;P5),Z5,IF(P5=0,"-","One Mop Sink per Floor"))))</f>
        <v>-</v>
      </c>
      <c r="M100" s="268">
        <v>0</v>
      </c>
      <c r="N100" s="248">
        <f>M100</f>
        <v>0</v>
      </c>
      <c r="O100" s="280" t="s">
        <v>392</v>
      </c>
      <c r="P100" s="280"/>
      <c r="Q100" s="281"/>
    </row>
    <row r="101" spans="1:17" ht="14.45" customHeight="1" x14ac:dyDescent="0.25">
      <c r="A101" s="82"/>
      <c r="B101" s="83"/>
      <c r="C101" s="237"/>
      <c r="D101" s="182"/>
      <c r="E101" s="93"/>
      <c r="F101" s="93"/>
      <c r="G101" s="93"/>
      <c r="H101" s="93"/>
      <c r="I101" s="93"/>
      <c r="J101" s="93"/>
      <c r="K101" s="93"/>
      <c r="L101" s="114"/>
      <c r="M101" s="278"/>
      <c r="N101" s="249"/>
      <c r="O101" s="238"/>
      <c r="P101" s="238"/>
      <c r="Q101" s="282"/>
    </row>
    <row r="102" spans="1:17" ht="14.45" customHeight="1" x14ac:dyDescent="0.25">
      <c r="A102" s="82"/>
      <c r="B102" s="83"/>
      <c r="C102" s="237"/>
      <c r="D102" s="182"/>
      <c r="E102" s="93"/>
      <c r="F102" s="93"/>
      <c r="G102" s="93"/>
      <c r="H102" s="93"/>
      <c r="I102" s="93"/>
      <c r="J102" s="93"/>
      <c r="K102" s="93"/>
      <c r="L102" s="114"/>
      <c r="M102" s="278"/>
      <c r="N102" s="249"/>
      <c r="O102" s="238"/>
      <c r="P102" s="238"/>
      <c r="Q102" s="282"/>
    </row>
    <row r="103" spans="1:17" ht="14.45" customHeight="1" x14ac:dyDescent="0.25">
      <c r="A103" s="82"/>
      <c r="B103" s="83"/>
      <c r="C103" s="237"/>
      <c r="D103" s="182"/>
      <c r="E103" s="93"/>
      <c r="F103" s="93"/>
      <c r="G103" s="93"/>
      <c r="H103" s="93"/>
      <c r="I103" s="93"/>
      <c r="J103" s="93"/>
      <c r="K103" s="93"/>
      <c r="L103" s="114"/>
      <c r="M103" s="278"/>
      <c r="N103" s="249"/>
      <c r="O103" s="238"/>
      <c r="P103" s="238"/>
      <c r="Q103" s="282"/>
    </row>
    <row r="104" spans="1:17" ht="14.45" customHeight="1" x14ac:dyDescent="0.25">
      <c r="A104" s="82"/>
      <c r="B104" s="83"/>
      <c r="C104" s="237"/>
      <c r="D104" s="182"/>
      <c r="E104" s="93"/>
      <c r="F104" s="93"/>
      <c r="G104" s="93"/>
      <c r="H104" s="93"/>
      <c r="I104" s="93"/>
      <c r="J104" s="93"/>
      <c r="K104" s="93"/>
      <c r="L104" s="114"/>
      <c r="M104" s="278"/>
      <c r="N104" s="249"/>
      <c r="O104" s="238"/>
      <c r="P104" s="238"/>
      <c r="Q104" s="282"/>
    </row>
    <row r="105" spans="1:17" ht="14.45" customHeight="1" x14ac:dyDescent="0.25">
      <c r="A105" s="82"/>
      <c r="B105" s="83"/>
      <c r="C105" s="237"/>
      <c r="D105" s="182"/>
      <c r="E105" s="93"/>
      <c r="F105" s="93"/>
      <c r="G105" s="93"/>
      <c r="H105" s="93"/>
      <c r="I105" s="93"/>
      <c r="J105" s="93"/>
      <c r="K105" s="93"/>
      <c r="L105" s="114"/>
      <c r="M105" s="278"/>
      <c r="N105" s="249"/>
      <c r="O105" s="238"/>
      <c r="P105" s="238"/>
      <c r="Q105" s="282"/>
    </row>
    <row r="106" spans="1:17" ht="14.45" customHeight="1" x14ac:dyDescent="0.25">
      <c r="A106" s="82"/>
      <c r="B106" s="83"/>
      <c r="C106" s="237"/>
      <c r="D106" s="182"/>
      <c r="E106" s="93"/>
      <c r="F106" s="93"/>
      <c r="G106" s="93"/>
      <c r="H106" s="93"/>
      <c r="I106" s="93"/>
      <c r="J106" s="93"/>
      <c r="K106" s="93"/>
      <c r="L106" s="114"/>
      <c r="M106" s="278"/>
      <c r="N106" s="249"/>
      <c r="O106" s="238"/>
      <c r="P106" s="238"/>
      <c r="Q106" s="282"/>
    </row>
    <row r="107" spans="1:17" ht="14.45" customHeight="1" x14ac:dyDescent="0.25">
      <c r="A107" s="82"/>
      <c r="B107" s="83"/>
      <c r="C107" s="237"/>
      <c r="D107" s="182"/>
      <c r="E107" s="93"/>
      <c r="F107" s="93"/>
      <c r="G107" s="93"/>
      <c r="H107" s="93"/>
      <c r="I107" s="93"/>
      <c r="J107" s="93"/>
      <c r="K107" s="93"/>
      <c r="L107" s="114"/>
      <c r="M107" s="278"/>
      <c r="N107" s="249"/>
      <c r="O107" s="238"/>
      <c r="P107" s="238"/>
      <c r="Q107" s="282"/>
    </row>
    <row r="108" spans="1:17" ht="14.45" customHeight="1" thickBot="1" x14ac:dyDescent="0.3">
      <c r="A108" s="82"/>
      <c r="B108" s="83"/>
      <c r="C108" s="239"/>
      <c r="D108" s="184"/>
      <c r="E108" s="129"/>
      <c r="F108" s="129"/>
      <c r="G108" s="129"/>
      <c r="H108" s="129"/>
      <c r="I108" s="129"/>
      <c r="J108" s="129"/>
      <c r="K108" s="129"/>
      <c r="L108" s="114"/>
      <c r="M108" s="279"/>
      <c r="N108" s="250"/>
      <c r="O108" s="283"/>
      <c r="P108" s="283"/>
      <c r="Q108" s="284"/>
    </row>
    <row r="109" spans="1:17" ht="14.45" customHeight="1" x14ac:dyDescent="0.25">
      <c r="A109" s="82"/>
      <c r="B109" s="83"/>
      <c r="C109" s="235" t="s">
        <v>349</v>
      </c>
      <c r="D109" s="180"/>
      <c r="E109" s="92">
        <f>V16</f>
        <v>0</v>
      </c>
      <c r="F109" s="92">
        <f>W16</f>
        <v>0</v>
      </c>
      <c r="G109" s="92" t="str">
        <f>IF(E109&gt;0,"Can substitute up to 67% of required fixtures (10.10 Table 1)","-")</f>
        <v>-</v>
      </c>
      <c r="H109" s="92">
        <f>X16</f>
        <v>0</v>
      </c>
      <c r="I109" s="92">
        <f>Y16</f>
        <v>0</v>
      </c>
      <c r="J109" s="92" t="str">
        <f>AA16</f>
        <v>-</v>
      </c>
      <c r="K109" s="92" t="str">
        <f>IF(OR(M109&gt;0,N109&gt;0),Z16,IF(AND(OR(M109&gt;0,N109&gt;0),M109+N109&gt;P5),Z16,IF(AND(OR(M109&gt;0,N109&gt;0),M109+N109&lt;P5),Z16,IF(P5=0,"-",Z16))))</f>
        <v>-</v>
      </c>
      <c r="L109" s="98" t="s">
        <v>82</v>
      </c>
      <c r="M109" s="268">
        <v>0</v>
      </c>
      <c r="N109" s="248">
        <f>M109</f>
        <v>0</v>
      </c>
    </row>
    <row r="110" spans="1:17" ht="14.45" customHeight="1" x14ac:dyDescent="0.25">
      <c r="A110" s="82"/>
      <c r="B110" s="83"/>
      <c r="C110" s="237"/>
      <c r="D110" s="182"/>
      <c r="E110" s="93"/>
      <c r="F110" s="93"/>
      <c r="G110" s="93"/>
      <c r="H110" s="93"/>
      <c r="I110" s="93"/>
      <c r="J110" s="93"/>
      <c r="K110" s="93"/>
      <c r="L110" s="99"/>
      <c r="M110" s="278"/>
      <c r="N110" s="249"/>
    </row>
    <row r="111" spans="1:17" ht="14.45" customHeight="1" x14ac:dyDescent="0.25">
      <c r="A111" s="82"/>
      <c r="B111" s="83"/>
      <c r="C111" s="237"/>
      <c r="D111" s="182"/>
      <c r="E111" s="93"/>
      <c r="F111" s="93"/>
      <c r="G111" s="93"/>
      <c r="H111" s="93"/>
      <c r="I111" s="93"/>
      <c r="J111" s="93"/>
      <c r="K111" s="93"/>
      <c r="L111" s="99"/>
      <c r="M111" s="278"/>
      <c r="N111" s="249"/>
    </row>
    <row r="112" spans="1:17" ht="14.45" customHeight="1" x14ac:dyDescent="0.25">
      <c r="A112" s="82"/>
      <c r="B112" s="83"/>
      <c r="C112" s="237"/>
      <c r="D112" s="182"/>
      <c r="E112" s="93"/>
      <c r="F112" s="93"/>
      <c r="G112" s="93"/>
      <c r="H112" s="93"/>
      <c r="I112" s="93"/>
      <c r="J112" s="93"/>
      <c r="K112" s="93"/>
      <c r="L112" s="99"/>
      <c r="M112" s="278"/>
      <c r="N112" s="249"/>
    </row>
    <row r="113" spans="1:14" ht="14.45" customHeight="1" x14ac:dyDescent="0.25">
      <c r="A113" s="82"/>
      <c r="B113" s="83"/>
      <c r="C113" s="237"/>
      <c r="D113" s="182"/>
      <c r="E113" s="93"/>
      <c r="F113" s="93"/>
      <c r="G113" s="93"/>
      <c r="H113" s="93"/>
      <c r="I113" s="93"/>
      <c r="J113" s="93"/>
      <c r="K113" s="93"/>
      <c r="L113" s="99"/>
      <c r="M113" s="278"/>
      <c r="N113" s="249"/>
    </row>
    <row r="114" spans="1:14" ht="14.45" customHeight="1" x14ac:dyDescent="0.25">
      <c r="A114" s="82"/>
      <c r="B114" s="83"/>
      <c r="C114" s="237"/>
      <c r="D114" s="182"/>
      <c r="E114" s="93"/>
      <c r="F114" s="93"/>
      <c r="G114" s="93"/>
      <c r="H114" s="93"/>
      <c r="I114" s="93"/>
      <c r="J114" s="93"/>
      <c r="K114" s="93"/>
      <c r="L114" s="99"/>
      <c r="M114" s="278"/>
      <c r="N114" s="249"/>
    </row>
    <row r="115" spans="1:14" ht="14.45" customHeight="1" x14ac:dyDescent="0.25">
      <c r="A115" s="82"/>
      <c r="B115" s="83"/>
      <c r="C115" s="237"/>
      <c r="D115" s="182"/>
      <c r="E115" s="93"/>
      <c r="F115" s="93"/>
      <c r="G115" s="93"/>
      <c r="H115" s="93"/>
      <c r="I115" s="93"/>
      <c r="J115" s="93"/>
      <c r="K115" s="93"/>
      <c r="L115" s="99"/>
      <c r="M115" s="278"/>
      <c r="N115" s="249"/>
    </row>
    <row r="116" spans="1:14" ht="14.45" customHeight="1" x14ac:dyDescent="0.25">
      <c r="A116" s="82"/>
      <c r="B116" s="83"/>
      <c r="C116" s="237"/>
      <c r="D116" s="182"/>
      <c r="E116" s="93"/>
      <c r="F116" s="93"/>
      <c r="G116" s="93"/>
      <c r="H116" s="93"/>
      <c r="I116" s="93"/>
      <c r="J116" s="93"/>
      <c r="K116" s="93"/>
      <c r="L116" s="99"/>
      <c r="M116" s="278"/>
      <c r="N116" s="249"/>
    </row>
    <row r="117" spans="1:14" ht="14.45" customHeight="1" x14ac:dyDescent="0.25">
      <c r="A117" s="82"/>
      <c r="B117" s="83"/>
      <c r="C117" s="239"/>
      <c r="D117" s="184"/>
      <c r="E117" s="129"/>
      <c r="F117" s="129"/>
      <c r="G117" s="129"/>
      <c r="H117" s="129"/>
      <c r="I117" s="129"/>
      <c r="J117" s="129"/>
      <c r="K117" s="129"/>
      <c r="L117" s="121"/>
      <c r="M117" s="279"/>
      <c r="N117" s="250"/>
    </row>
    <row r="118" spans="1:14" ht="14.45" customHeight="1" x14ac:dyDescent="0.25">
      <c r="A118" s="82"/>
      <c r="B118" s="83"/>
      <c r="C118" s="235" t="s">
        <v>393</v>
      </c>
      <c r="D118" s="180"/>
      <c r="E118" s="92">
        <f>V17</f>
        <v>0</v>
      </c>
      <c r="F118" s="92">
        <f>W17</f>
        <v>0</v>
      </c>
      <c r="G118" s="92" t="str">
        <f>IF(E118&gt;0,"Can substitute up to 67% of required fixtures (10.10 Table 1)","-")</f>
        <v>-</v>
      </c>
      <c r="H118" s="92">
        <f>X17</f>
        <v>0</v>
      </c>
      <c r="I118" s="92">
        <f>Y17</f>
        <v>0</v>
      </c>
      <c r="J118" s="92" t="str">
        <f>AA17</f>
        <v>-</v>
      </c>
      <c r="K118" s="92" t="str">
        <f>IF(OR(M118&gt;0,N118&gt;0),Z17,IF(AND(OR(M118&gt;0,N118&gt;0),M118+N118&gt;P5),Z17,IF(AND(OR(M118&gt;0,N118&gt;0),M118+N118&lt;P5),Z17,IF(P5=0,"-",Z17))))</f>
        <v>-</v>
      </c>
      <c r="L118" s="114" t="str">
        <f>IF(OR(M118&gt;0,N118&gt;0),"One Mop Sink per Floor",IF(AND(OR(M118&gt;0,N118&gt;0),M118+N118&gt;P5),"One Mop Sink per Floor",IF(AND(OR(M118&gt;0,N118&gt;0),M118+N118&lt;P5),Z5,IF(P5=0,"-","One Mop Sink per Floor"))))</f>
        <v>-</v>
      </c>
      <c r="M118" s="268">
        <v>0</v>
      </c>
      <c r="N118" s="248">
        <f>M118</f>
        <v>0</v>
      </c>
    </row>
    <row r="119" spans="1:14" ht="14.45" customHeight="1" x14ac:dyDescent="0.25">
      <c r="A119" s="82"/>
      <c r="B119" s="83"/>
      <c r="C119" s="237"/>
      <c r="D119" s="182"/>
      <c r="E119" s="93"/>
      <c r="F119" s="93"/>
      <c r="G119" s="93"/>
      <c r="H119" s="93"/>
      <c r="I119" s="93"/>
      <c r="J119" s="93"/>
      <c r="K119" s="93"/>
      <c r="L119" s="114"/>
      <c r="M119" s="278"/>
      <c r="N119" s="249"/>
    </row>
    <row r="120" spans="1:14" ht="14.45" customHeight="1" x14ac:dyDescent="0.25">
      <c r="A120" s="82"/>
      <c r="B120" s="83"/>
      <c r="C120" s="237"/>
      <c r="D120" s="182"/>
      <c r="E120" s="93"/>
      <c r="F120" s="93"/>
      <c r="G120" s="93"/>
      <c r="H120" s="93"/>
      <c r="I120" s="93"/>
      <c r="J120" s="93"/>
      <c r="K120" s="93"/>
      <c r="L120" s="114"/>
      <c r="M120" s="278"/>
      <c r="N120" s="249"/>
    </row>
    <row r="121" spans="1:14" ht="14.45" customHeight="1" x14ac:dyDescent="0.25">
      <c r="A121" s="82"/>
      <c r="B121" s="83"/>
      <c r="C121" s="237"/>
      <c r="D121" s="182"/>
      <c r="E121" s="93"/>
      <c r="F121" s="93"/>
      <c r="G121" s="93"/>
      <c r="H121" s="93"/>
      <c r="I121" s="93"/>
      <c r="J121" s="93"/>
      <c r="K121" s="93"/>
      <c r="L121" s="114"/>
      <c r="M121" s="278"/>
      <c r="N121" s="249"/>
    </row>
    <row r="122" spans="1:14" ht="14.45" customHeight="1" x14ac:dyDescent="0.25">
      <c r="A122" s="82"/>
      <c r="B122" s="83"/>
      <c r="C122" s="237"/>
      <c r="D122" s="182"/>
      <c r="E122" s="93"/>
      <c r="F122" s="93"/>
      <c r="G122" s="93"/>
      <c r="H122" s="93"/>
      <c r="I122" s="93"/>
      <c r="J122" s="93"/>
      <c r="K122" s="93"/>
      <c r="L122" s="114"/>
      <c r="M122" s="278"/>
      <c r="N122" s="249"/>
    </row>
    <row r="123" spans="1:14" ht="14.45" customHeight="1" x14ac:dyDescent="0.25">
      <c r="A123" s="82"/>
      <c r="B123" s="83"/>
      <c r="C123" s="237"/>
      <c r="D123" s="182"/>
      <c r="E123" s="93"/>
      <c r="F123" s="93"/>
      <c r="G123" s="93"/>
      <c r="H123" s="93"/>
      <c r="I123" s="93"/>
      <c r="J123" s="93"/>
      <c r="K123" s="93"/>
      <c r="L123" s="114"/>
      <c r="M123" s="278"/>
      <c r="N123" s="249"/>
    </row>
    <row r="124" spans="1:14" ht="14.45" customHeight="1" x14ac:dyDescent="0.25">
      <c r="A124" s="82"/>
      <c r="B124" s="83"/>
      <c r="C124" s="237"/>
      <c r="D124" s="182"/>
      <c r="E124" s="93"/>
      <c r="F124" s="93"/>
      <c r="G124" s="93"/>
      <c r="H124" s="93"/>
      <c r="I124" s="93"/>
      <c r="J124" s="93"/>
      <c r="K124" s="93"/>
      <c r="L124" s="114"/>
      <c r="M124" s="278"/>
      <c r="N124" s="249"/>
    </row>
    <row r="125" spans="1:14" ht="14.45" customHeight="1" x14ac:dyDescent="0.25">
      <c r="A125" s="82"/>
      <c r="B125" s="83"/>
      <c r="C125" s="237"/>
      <c r="D125" s="182"/>
      <c r="E125" s="93"/>
      <c r="F125" s="93"/>
      <c r="G125" s="93"/>
      <c r="H125" s="93"/>
      <c r="I125" s="93"/>
      <c r="J125" s="93"/>
      <c r="K125" s="93"/>
      <c r="L125" s="114"/>
      <c r="M125" s="278"/>
      <c r="N125" s="249"/>
    </row>
    <row r="126" spans="1:14" ht="14.45" customHeight="1" thickBot="1" x14ac:dyDescent="0.3">
      <c r="A126" s="84"/>
      <c r="B126" s="85"/>
      <c r="C126" s="239"/>
      <c r="D126" s="184"/>
      <c r="E126" s="129"/>
      <c r="F126" s="129"/>
      <c r="G126" s="129"/>
      <c r="H126" s="129"/>
      <c r="I126" s="129"/>
      <c r="J126" s="129"/>
      <c r="K126" s="129"/>
      <c r="L126" s="114"/>
      <c r="M126" s="279"/>
      <c r="N126" s="250"/>
    </row>
    <row r="127" spans="1:14" ht="14.45" customHeight="1" x14ac:dyDescent="0.25">
      <c r="A127" s="80" t="s">
        <v>394</v>
      </c>
      <c r="B127" s="81"/>
      <c r="C127" s="285" t="s">
        <v>395</v>
      </c>
      <c r="D127" s="195"/>
      <c r="E127" s="92">
        <f>V18</f>
        <v>0</v>
      </c>
      <c r="F127" s="92">
        <f>W18</f>
        <v>0</v>
      </c>
      <c r="G127" s="92" t="str">
        <f>IF(E127&gt;0,"Can substitute up to 50% of required fixtures (10.10 Table 1)","-")</f>
        <v>-</v>
      </c>
      <c r="H127" s="92">
        <f>X18</f>
        <v>0</v>
      </c>
      <c r="I127" s="92">
        <f>Y18</f>
        <v>0</v>
      </c>
      <c r="J127" s="92" t="str">
        <f>AA18</f>
        <v>-</v>
      </c>
      <c r="K127" s="92" t="str">
        <f>IF(OR(M127&gt;0,N127&gt;0),Z18,IF(AND(OR(M127&gt;0,N127&gt;0),M127+N127&gt;P5),Z18,IF(AND(OR(M127&gt;0,N127&gt;0),M127+N127&lt;P5),Z18,IF(P5=0,"-",Z18))))</f>
        <v>-</v>
      </c>
      <c r="L127" s="98" t="str">
        <f>IF(OR(M127&gt;0,N127&gt;0),"One Mop Sink per Floor",IF(AND(OR(M127&gt;0,N127&gt;0),M127+N127&gt;P5),"One Mop Sink per Floor",IF(AND(OR(M127&gt;0,N127&gt;0),M127+N127&lt;P5),Z5,IF(P5=0,"-","One Mop Sink per Floor"))))</f>
        <v>-</v>
      </c>
      <c r="M127" s="268">
        <v>0</v>
      </c>
      <c r="N127" s="248">
        <f>M127</f>
        <v>0</v>
      </c>
    </row>
    <row r="128" spans="1:14" ht="14.45" customHeight="1" x14ac:dyDescent="0.25">
      <c r="A128" s="82"/>
      <c r="B128" s="83"/>
      <c r="C128" s="286"/>
      <c r="D128" s="197"/>
      <c r="E128" s="93"/>
      <c r="F128" s="93"/>
      <c r="G128" s="93"/>
      <c r="H128" s="93"/>
      <c r="I128" s="93"/>
      <c r="J128" s="93"/>
      <c r="K128" s="93"/>
      <c r="L128" s="99"/>
      <c r="M128" s="278"/>
      <c r="N128" s="249"/>
    </row>
    <row r="129" spans="1:17" ht="14.45" customHeight="1" x14ac:dyDescent="0.25">
      <c r="A129" s="82"/>
      <c r="B129" s="83"/>
      <c r="C129" s="286"/>
      <c r="D129" s="197"/>
      <c r="E129" s="93"/>
      <c r="F129" s="93"/>
      <c r="G129" s="93"/>
      <c r="H129" s="93"/>
      <c r="I129" s="93"/>
      <c r="J129" s="93"/>
      <c r="K129" s="93"/>
      <c r="L129" s="99"/>
      <c r="M129" s="278"/>
      <c r="N129" s="249"/>
    </row>
    <row r="130" spans="1:17" ht="14.45" customHeight="1" x14ac:dyDescent="0.25">
      <c r="A130" s="82"/>
      <c r="B130" s="83"/>
      <c r="C130" s="286"/>
      <c r="D130" s="197"/>
      <c r="E130" s="93"/>
      <c r="F130" s="93"/>
      <c r="G130" s="93"/>
      <c r="H130" s="93"/>
      <c r="I130" s="93"/>
      <c r="J130" s="93"/>
      <c r="K130" s="93"/>
      <c r="L130" s="99"/>
      <c r="M130" s="278"/>
      <c r="N130" s="249"/>
    </row>
    <row r="131" spans="1:17" ht="14.45" customHeight="1" x14ac:dyDescent="0.25">
      <c r="A131" s="82"/>
      <c r="B131" s="83"/>
      <c r="C131" s="286"/>
      <c r="D131" s="197"/>
      <c r="E131" s="93"/>
      <c r="F131" s="93"/>
      <c r="G131" s="93"/>
      <c r="H131" s="93"/>
      <c r="I131" s="93"/>
      <c r="J131" s="93"/>
      <c r="K131" s="93"/>
      <c r="L131" s="99"/>
      <c r="M131" s="278"/>
      <c r="N131" s="249"/>
    </row>
    <row r="132" spans="1:17" ht="14.45" customHeight="1" x14ac:dyDescent="0.25">
      <c r="A132" s="82"/>
      <c r="B132" s="83"/>
      <c r="C132" s="286"/>
      <c r="D132" s="197"/>
      <c r="E132" s="93"/>
      <c r="F132" s="93"/>
      <c r="G132" s="93"/>
      <c r="H132" s="93"/>
      <c r="I132" s="93"/>
      <c r="J132" s="93"/>
      <c r="K132" s="93"/>
      <c r="L132" s="99"/>
      <c r="M132" s="278"/>
      <c r="N132" s="249"/>
    </row>
    <row r="133" spans="1:17" ht="14.45" customHeight="1" x14ac:dyDescent="0.25">
      <c r="A133" s="82"/>
      <c r="B133" s="83"/>
      <c r="C133" s="286"/>
      <c r="D133" s="197"/>
      <c r="E133" s="93"/>
      <c r="F133" s="93"/>
      <c r="G133" s="93"/>
      <c r="H133" s="93"/>
      <c r="I133" s="93"/>
      <c r="J133" s="93"/>
      <c r="K133" s="93"/>
      <c r="L133" s="99"/>
      <c r="M133" s="278"/>
      <c r="N133" s="249"/>
    </row>
    <row r="134" spans="1:17" ht="14.45" customHeight="1" x14ac:dyDescent="0.25">
      <c r="A134" s="82"/>
      <c r="B134" s="83"/>
      <c r="C134" s="286"/>
      <c r="D134" s="197"/>
      <c r="E134" s="93"/>
      <c r="F134" s="93"/>
      <c r="G134" s="93"/>
      <c r="H134" s="93"/>
      <c r="I134" s="93"/>
      <c r="J134" s="93"/>
      <c r="K134" s="93"/>
      <c r="L134" s="99"/>
      <c r="M134" s="278"/>
      <c r="N134" s="249"/>
    </row>
    <row r="135" spans="1:17" ht="14.45" customHeight="1" x14ac:dyDescent="0.25">
      <c r="A135" s="82"/>
      <c r="B135" s="83"/>
      <c r="C135" s="286"/>
      <c r="D135" s="197"/>
      <c r="E135" s="93"/>
      <c r="F135" s="93"/>
      <c r="G135" s="93"/>
      <c r="H135" s="93"/>
      <c r="I135" s="93"/>
      <c r="J135" s="93"/>
      <c r="K135" s="93"/>
      <c r="L135" s="99"/>
      <c r="M135" s="278"/>
      <c r="N135" s="249"/>
    </row>
    <row r="136" spans="1:17" ht="14.45" customHeight="1" x14ac:dyDescent="0.25">
      <c r="A136" s="82"/>
      <c r="B136" s="83"/>
      <c r="C136" s="286"/>
      <c r="D136" s="197"/>
      <c r="E136" s="93"/>
      <c r="F136" s="93"/>
      <c r="G136" s="93"/>
      <c r="H136" s="93"/>
      <c r="I136" s="93"/>
      <c r="J136" s="93"/>
      <c r="K136" s="93"/>
      <c r="L136" s="99"/>
      <c r="M136" s="278"/>
      <c r="N136" s="249"/>
    </row>
    <row r="137" spans="1:17" ht="14.45" customHeight="1" thickBot="1" x14ac:dyDescent="0.3">
      <c r="A137" s="84"/>
      <c r="B137" s="85"/>
      <c r="C137" s="287"/>
      <c r="D137" s="199"/>
      <c r="E137" s="129"/>
      <c r="F137" s="129"/>
      <c r="G137" s="129"/>
      <c r="H137" s="129"/>
      <c r="I137" s="129"/>
      <c r="J137" s="129"/>
      <c r="K137" s="129"/>
      <c r="L137" s="121"/>
      <c r="M137" s="279"/>
      <c r="N137" s="250"/>
    </row>
    <row r="138" spans="1:17" ht="14.45" customHeight="1" x14ac:dyDescent="0.25">
      <c r="A138" s="80" t="s">
        <v>143</v>
      </c>
      <c r="B138" s="81"/>
      <c r="C138" s="261" t="s">
        <v>396</v>
      </c>
      <c r="D138" s="111"/>
      <c r="E138" s="112">
        <f>V19</f>
        <v>0</v>
      </c>
      <c r="F138" s="112">
        <f>W19</f>
        <v>0</v>
      </c>
      <c r="G138" s="112" t="s">
        <v>82</v>
      </c>
      <c r="H138" s="112">
        <f>X19</f>
        <v>0</v>
      </c>
      <c r="I138" s="112">
        <f>Y19</f>
        <v>0</v>
      </c>
      <c r="J138" s="112" t="str">
        <f>AA19</f>
        <v>-</v>
      </c>
      <c r="K138" s="112" t="str">
        <f>IF(OR(M138&gt;0,N138&gt;0),Z19,IF(AND(OR(M138&gt;0,N138&gt;0),M138+N138&gt;P5),Z19,IF(AND(OR(M138&gt;0,N138&gt;0),M138+N138&lt;P5),Z19,IF(P5=0,"-",Z19))))</f>
        <v>-</v>
      </c>
      <c r="L138" s="121" t="str">
        <f>IF(OR(M138&gt;0,N138&gt;0),"One Mop Sink per Floor",IF(AND(OR(M138&gt;0,N138&gt;0),M138+N138&gt;P5),"One Mop Sink per Floor",IF(AND(OR(M138&gt;0,N138&gt;0),M138+N138&lt;P5),Z5,IF(P5=0,"-","One Mop Sink per Floor"))))</f>
        <v>-</v>
      </c>
      <c r="M138" s="266">
        <v>0</v>
      </c>
      <c r="N138" s="97">
        <f>M138</f>
        <v>0</v>
      </c>
      <c r="O138" s="288" t="s">
        <v>397</v>
      </c>
      <c r="P138" s="288"/>
      <c r="Q138" s="289"/>
    </row>
    <row r="139" spans="1:17" x14ac:dyDescent="0.25">
      <c r="A139" s="82"/>
      <c r="B139" s="83"/>
      <c r="C139" s="261"/>
      <c r="D139" s="111"/>
      <c r="E139" s="112"/>
      <c r="F139" s="112"/>
      <c r="G139" s="112"/>
      <c r="H139" s="112"/>
      <c r="I139" s="112"/>
      <c r="J139" s="112"/>
      <c r="K139" s="112"/>
      <c r="L139" s="114"/>
      <c r="M139" s="266"/>
      <c r="N139" s="97"/>
      <c r="O139" s="290"/>
      <c r="P139" s="290"/>
      <c r="Q139" s="291"/>
    </row>
    <row r="140" spans="1:17" x14ac:dyDescent="0.25">
      <c r="A140" s="82"/>
      <c r="B140" s="83"/>
      <c r="C140" s="261"/>
      <c r="D140" s="111"/>
      <c r="E140" s="112"/>
      <c r="F140" s="112"/>
      <c r="G140" s="112"/>
      <c r="H140" s="112"/>
      <c r="I140" s="112"/>
      <c r="J140" s="112"/>
      <c r="K140" s="112"/>
      <c r="L140" s="114"/>
      <c r="M140" s="266"/>
      <c r="N140" s="97"/>
      <c r="O140" s="290"/>
      <c r="P140" s="290"/>
      <c r="Q140" s="291"/>
    </row>
    <row r="141" spans="1:17" x14ac:dyDescent="0.25">
      <c r="A141" s="82"/>
      <c r="B141" s="83"/>
      <c r="C141" s="261"/>
      <c r="D141" s="111"/>
      <c r="E141" s="112"/>
      <c r="F141" s="112"/>
      <c r="G141" s="112"/>
      <c r="H141" s="112"/>
      <c r="I141" s="112"/>
      <c r="J141" s="112"/>
      <c r="K141" s="112"/>
      <c r="L141" s="114"/>
      <c r="M141" s="266"/>
      <c r="N141" s="97"/>
      <c r="O141" s="290"/>
      <c r="P141" s="290"/>
      <c r="Q141" s="291"/>
    </row>
    <row r="142" spans="1:17" x14ac:dyDescent="0.25">
      <c r="A142" s="82"/>
      <c r="B142" s="83"/>
      <c r="C142" s="261"/>
      <c r="D142" s="111"/>
      <c r="E142" s="112"/>
      <c r="F142" s="112"/>
      <c r="G142" s="112"/>
      <c r="H142" s="112"/>
      <c r="I142" s="112"/>
      <c r="J142" s="112"/>
      <c r="K142" s="112"/>
      <c r="L142" s="114"/>
      <c r="M142" s="266"/>
      <c r="N142" s="97"/>
      <c r="O142" s="290"/>
      <c r="P142" s="290"/>
      <c r="Q142" s="291"/>
    </row>
    <row r="143" spans="1:17" ht="15.75" thickBot="1" x14ac:dyDescent="0.3">
      <c r="A143" s="82"/>
      <c r="B143" s="83"/>
      <c r="C143" s="261"/>
      <c r="D143" s="111"/>
      <c r="E143" s="112"/>
      <c r="F143" s="112"/>
      <c r="G143" s="112"/>
      <c r="H143" s="112"/>
      <c r="I143" s="112"/>
      <c r="J143" s="112"/>
      <c r="K143" s="112"/>
      <c r="L143" s="114"/>
      <c r="M143" s="266"/>
      <c r="N143" s="97"/>
      <c r="O143" s="292"/>
      <c r="P143" s="292"/>
      <c r="Q143" s="293"/>
    </row>
    <row r="144" spans="1:17" x14ac:dyDescent="0.25">
      <c r="A144" s="82"/>
      <c r="B144" s="83"/>
      <c r="C144" s="235" t="s">
        <v>398</v>
      </c>
      <c r="D144" s="180"/>
      <c r="E144" s="92">
        <f>V20</f>
        <v>0</v>
      </c>
      <c r="F144" s="92">
        <f>W20</f>
        <v>0</v>
      </c>
      <c r="G144" s="92" t="str">
        <f>IF(E144&gt;0,"Can substitute up to 50% of required fixtures (10.10 Table 1)","-")</f>
        <v>-</v>
      </c>
      <c r="H144" s="92">
        <f>X20</f>
        <v>0</v>
      </c>
      <c r="I144" s="92">
        <f>Y20</f>
        <v>0</v>
      </c>
      <c r="J144" s="92" t="str">
        <f>AA20</f>
        <v>-</v>
      </c>
      <c r="K144" s="92" t="str">
        <f>IF(OR(M144&gt;0,N144&gt;0),Z20,IF(AND(OR(M144&gt;0,N144&gt;0),M144+N144&gt;P5),Z20,IF(AND(OR(M144&gt;0,N144&gt;0),M144+N144&lt;P5),Z20,IF(P5=0,"-",Z20))))</f>
        <v>-</v>
      </c>
      <c r="L144" s="98" t="str">
        <f>IF(OR(M144&gt;0,N144&gt;0,M150&gt;0,N150&gt;0),"One Mop Sink per Floor",IF(AND(OR(M144&gt;0,N144&gt;0,M150&gt;0,N150&gt;0),M144+N144+M150+N150&gt;P5),"One Mop Sink per Floor",IF(AND(OR(M144&gt;0,N144&gt;0,M150&gt;0,N150&gt;0),M144+N144+M150+N150&lt;P5),Z5,IF(P5=0,"-","One Mop Sink per Floor"))))</f>
        <v>-</v>
      </c>
      <c r="M144" s="268">
        <v>0</v>
      </c>
      <c r="N144" s="248">
        <f>M144</f>
        <v>0</v>
      </c>
    </row>
    <row r="145" spans="1:14" x14ac:dyDescent="0.25">
      <c r="A145" s="82"/>
      <c r="B145" s="83"/>
      <c r="C145" s="237"/>
      <c r="D145" s="182"/>
      <c r="E145" s="93"/>
      <c r="F145" s="93"/>
      <c r="G145" s="93"/>
      <c r="H145" s="93"/>
      <c r="I145" s="93"/>
      <c r="J145" s="93"/>
      <c r="K145" s="93"/>
      <c r="L145" s="99"/>
      <c r="M145" s="278"/>
      <c r="N145" s="249"/>
    </row>
    <row r="146" spans="1:14" x14ac:dyDescent="0.25">
      <c r="A146" s="82"/>
      <c r="B146" s="83"/>
      <c r="C146" s="237"/>
      <c r="D146" s="182"/>
      <c r="E146" s="93"/>
      <c r="F146" s="93"/>
      <c r="G146" s="93"/>
      <c r="H146" s="93"/>
      <c r="I146" s="93"/>
      <c r="J146" s="93"/>
      <c r="K146" s="93"/>
      <c r="L146" s="99"/>
      <c r="M146" s="278"/>
      <c r="N146" s="249"/>
    </row>
    <row r="147" spans="1:14" x14ac:dyDescent="0.25">
      <c r="A147" s="82"/>
      <c r="B147" s="83"/>
      <c r="C147" s="237"/>
      <c r="D147" s="182"/>
      <c r="E147" s="93"/>
      <c r="F147" s="93"/>
      <c r="G147" s="93"/>
      <c r="H147" s="93"/>
      <c r="I147" s="93"/>
      <c r="J147" s="93"/>
      <c r="K147" s="93"/>
      <c r="L147" s="99"/>
      <c r="M147" s="278"/>
      <c r="N147" s="249"/>
    </row>
    <row r="148" spans="1:14" x14ac:dyDescent="0.25">
      <c r="A148" s="82"/>
      <c r="B148" s="83"/>
      <c r="C148" s="237"/>
      <c r="D148" s="182"/>
      <c r="E148" s="93"/>
      <c r="F148" s="93"/>
      <c r="G148" s="93"/>
      <c r="H148" s="93"/>
      <c r="I148" s="93"/>
      <c r="J148" s="93"/>
      <c r="K148" s="93"/>
      <c r="L148" s="99"/>
      <c r="M148" s="278"/>
      <c r="N148" s="249"/>
    </row>
    <row r="149" spans="1:14" x14ac:dyDescent="0.25">
      <c r="A149" s="82"/>
      <c r="B149" s="83"/>
      <c r="C149" s="239"/>
      <c r="D149" s="184"/>
      <c r="E149" s="129"/>
      <c r="F149" s="129"/>
      <c r="G149" s="129"/>
      <c r="H149" s="129"/>
      <c r="I149" s="129"/>
      <c r="J149" s="129"/>
      <c r="K149" s="129"/>
      <c r="L149" s="99"/>
      <c r="M149" s="279"/>
      <c r="N149" s="250"/>
    </row>
    <row r="150" spans="1:14" x14ac:dyDescent="0.25">
      <c r="A150" s="82"/>
      <c r="B150" s="83"/>
      <c r="C150" s="235" t="s">
        <v>354</v>
      </c>
      <c r="D150" s="180"/>
      <c r="E150" s="92">
        <f>V21</f>
        <v>0</v>
      </c>
      <c r="F150" s="92">
        <f>W21</f>
        <v>0</v>
      </c>
      <c r="G150" s="92" t="str">
        <f>IF(E150&gt;0,"Can substitute up to 33% of required fixtures (10.10 Table 1)","-")</f>
        <v>-</v>
      </c>
      <c r="H150" s="92">
        <f>X21</f>
        <v>0</v>
      </c>
      <c r="I150" s="92">
        <f>Y21</f>
        <v>0</v>
      </c>
      <c r="J150" s="92" t="str">
        <f>AA21</f>
        <v>-</v>
      </c>
      <c r="K150" s="92" t="str">
        <f>Z21</f>
        <v>-</v>
      </c>
      <c r="L150" s="99"/>
      <c r="M150" s="268">
        <v>0</v>
      </c>
      <c r="N150" s="248">
        <f>M150</f>
        <v>0</v>
      </c>
    </row>
    <row r="151" spans="1:14" x14ac:dyDescent="0.25">
      <c r="A151" s="82"/>
      <c r="B151" s="83"/>
      <c r="C151" s="237"/>
      <c r="D151" s="182"/>
      <c r="E151" s="93"/>
      <c r="F151" s="93"/>
      <c r="G151" s="93"/>
      <c r="H151" s="93"/>
      <c r="I151" s="93"/>
      <c r="J151" s="93"/>
      <c r="K151" s="93"/>
      <c r="L151" s="99"/>
      <c r="M151" s="278"/>
      <c r="N151" s="249"/>
    </row>
    <row r="152" spans="1:14" x14ac:dyDescent="0.25">
      <c r="A152" s="82"/>
      <c r="B152" s="83"/>
      <c r="C152" s="237"/>
      <c r="D152" s="182"/>
      <c r="E152" s="93"/>
      <c r="F152" s="93"/>
      <c r="G152" s="93"/>
      <c r="H152" s="93"/>
      <c r="I152" s="93"/>
      <c r="J152" s="93"/>
      <c r="K152" s="93"/>
      <c r="L152" s="99"/>
      <c r="M152" s="278"/>
      <c r="N152" s="249"/>
    </row>
    <row r="153" spans="1:14" x14ac:dyDescent="0.25">
      <c r="A153" s="82"/>
      <c r="B153" s="83"/>
      <c r="C153" s="237"/>
      <c r="D153" s="182"/>
      <c r="E153" s="93"/>
      <c r="F153" s="93"/>
      <c r="G153" s="93"/>
      <c r="H153" s="93"/>
      <c r="I153" s="93"/>
      <c r="J153" s="93"/>
      <c r="K153" s="93"/>
      <c r="L153" s="99"/>
      <c r="M153" s="278"/>
      <c r="N153" s="249"/>
    </row>
    <row r="154" spans="1:14" x14ac:dyDescent="0.25">
      <c r="A154" s="82"/>
      <c r="B154" s="83"/>
      <c r="C154" s="237"/>
      <c r="D154" s="182"/>
      <c r="E154" s="93"/>
      <c r="F154" s="93"/>
      <c r="G154" s="93"/>
      <c r="H154" s="93"/>
      <c r="I154" s="93"/>
      <c r="J154" s="93"/>
      <c r="K154" s="93"/>
      <c r="L154" s="99"/>
      <c r="M154" s="278"/>
      <c r="N154" s="249"/>
    </row>
    <row r="155" spans="1:14" x14ac:dyDescent="0.25">
      <c r="A155" s="82"/>
      <c r="B155" s="83"/>
      <c r="C155" s="239"/>
      <c r="D155" s="184"/>
      <c r="E155" s="129"/>
      <c r="F155" s="129"/>
      <c r="G155" s="129"/>
      <c r="H155" s="129"/>
      <c r="I155" s="129"/>
      <c r="J155" s="129"/>
      <c r="K155" s="129"/>
      <c r="L155" s="121"/>
      <c r="M155" s="279"/>
      <c r="N155" s="250"/>
    </row>
    <row r="156" spans="1:14" x14ac:dyDescent="0.25">
      <c r="A156" s="82"/>
      <c r="B156" s="83"/>
      <c r="C156" s="235" t="s">
        <v>399</v>
      </c>
      <c r="D156" s="180"/>
      <c r="E156" s="92">
        <f>V22</f>
        <v>0</v>
      </c>
      <c r="F156" s="92">
        <f>W22</f>
        <v>0</v>
      </c>
      <c r="G156" s="92" t="str">
        <f>IF(E156&gt;0,"Can substitute up to 67% of required fixtures (10.10 Table 1)","-")</f>
        <v>-</v>
      </c>
      <c r="H156" s="92">
        <f>X22</f>
        <v>0</v>
      </c>
      <c r="I156" s="92">
        <f>Y22</f>
        <v>0</v>
      </c>
      <c r="J156" s="92" t="str">
        <f>AA22</f>
        <v>-</v>
      </c>
      <c r="K156" s="92" t="str">
        <f>IF(OR(M156&gt;0,N156&gt;0),Z22,IF(AND(OR(M156&gt;0,N156&gt;0),M156+N156&gt;P5),Z22,IF(AND(OR(M156&gt;0,N156&gt;0),M156+N156&lt;P5),Z22,IF(P5=0,"-",Z22))))</f>
        <v>-</v>
      </c>
      <c r="L156" s="98" t="str">
        <f>IF(OR(M156&gt;0,N156&gt;0),"One Mop Sink per Floor",IF(AND(OR(M156&gt;0,N156&gt;0),M156+N156&gt;P5),"One Mop Sink per Floor",IF(AND(OR(M156&gt;0,N156&gt;0),M156+N156&lt;P5),Z5,IF(P5=0,"-","One Mop Sink per Floor"))))</f>
        <v>-</v>
      </c>
      <c r="M156" s="268">
        <v>0</v>
      </c>
      <c r="N156" s="248">
        <f>M156</f>
        <v>0</v>
      </c>
    </row>
    <row r="157" spans="1:14" x14ac:dyDescent="0.25">
      <c r="A157" s="82"/>
      <c r="B157" s="83"/>
      <c r="C157" s="237"/>
      <c r="D157" s="182"/>
      <c r="E157" s="93"/>
      <c r="F157" s="93"/>
      <c r="G157" s="93"/>
      <c r="H157" s="93"/>
      <c r="I157" s="93"/>
      <c r="J157" s="93"/>
      <c r="K157" s="93"/>
      <c r="L157" s="99"/>
      <c r="M157" s="278"/>
      <c r="N157" s="249"/>
    </row>
    <row r="158" spans="1:14" x14ac:dyDescent="0.25">
      <c r="A158" s="82"/>
      <c r="B158" s="83"/>
      <c r="C158" s="237"/>
      <c r="D158" s="182"/>
      <c r="E158" s="93"/>
      <c r="F158" s="93"/>
      <c r="G158" s="93"/>
      <c r="H158" s="93"/>
      <c r="I158" s="93"/>
      <c r="J158" s="93"/>
      <c r="K158" s="93"/>
      <c r="L158" s="99"/>
      <c r="M158" s="278"/>
      <c r="N158" s="249"/>
    </row>
    <row r="159" spans="1:14" x14ac:dyDescent="0.25">
      <c r="A159" s="82"/>
      <c r="B159" s="83"/>
      <c r="C159" s="237"/>
      <c r="D159" s="182"/>
      <c r="E159" s="93"/>
      <c r="F159" s="93"/>
      <c r="G159" s="93"/>
      <c r="H159" s="93"/>
      <c r="I159" s="93"/>
      <c r="J159" s="93"/>
      <c r="K159" s="93"/>
      <c r="L159" s="99"/>
      <c r="M159" s="278"/>
      <c r="N159" s="249"/>
    </row>
    <row r="160" spans="1:14" x14ac:dyDescent="0.25">
      <c r="A160" s="82"/>
      <c r="B160" s="83"/>
      <c r="C160" s="237"/>
      <c r="D160" s="182"/>
      <c r="E160" s="93"/>
      <c r="F160" s="93"/>
      <c r="G160" s="93"/>
      <c r="H160" s="93"/>
      <c r="I160" s="93"/>
      <c r="J160" s="93"/>
      <c r="K160" s="93"/>
      <c r="L160" s="99"/>
      <c r="M160" s="278"/>
      <c r="N160" s="249"/>
    </row>
    <row r="161" spans="1:22" ht="15.75" thickBot="1" x14ac:dyDescent="0.3">
      <c r="A161" s="84"/>
      <c r="B161" s="85"/>
      <c r="C161" s="239"/>
      <c r="D161" s="184"/>
      <c r="E161" s="129"/>
      <c r="F161" s="129"/>
      <c r="G161" s="129"/>
      <c r="H161" s="129"/>
      <c r="I161" s="129"/>
      <c r="J161" s="129"/>
      <c r="K161" s="129"/>
      <c r="L161" s="121"/>
      <c r="M161" s="279"/>
      <c r="N161" s="250"/>
    </row>
    <row r="162" spans="1:22" ht="14.45" customHeight="1" x14ac:dyDescent="0.25">
      <c r="A162" s="122" t="s">
        <v>400</v>
      </c>
      <c r="B162" s="123"/>
      <c r="C162" s="261" t="s">
        <v>401</v>
      </c>
      <c r="D162" s="111"/>
      <c r="E162" s="112">
        <f>V23</f>
        <v>0</v>
      </c>
      <c r="F162" s="112">
        <f>W23</f>
        <v>0</v>
      </c>
      <c r="G162" s="112" t="str">
        <f>IF(E162&gt;0,"Can substitute up to 67% of required fixtures (10.10 Table 1)","-")</f>
        <v>-</v>
      </c>
      <c r="H162" s="112">
        <f>X23</f>
        <v>0</v>
      </c>
      <c r="I162" s="112">
        <f>Y23</f>
        <v>0</v>
      </c>
      <c r="J162" s="112" t="str">
        <f>AA23</f>
        <v>-</v>
      </c>
      <c r="K162" s="112" t="str">
        <f>IF(OR(M162&gt;0,N162&gt;0),Z23,IF(AND(OR(M162&gt;0,N162&gt;0),M162+N162&gt;P5),Z23,IF(AND(OR(M162&gt;0,N162&gt;0),M162+N162&lt;P5),Z23,IF(P5=0,"-",Z23))))</f>
        <v>-</v>
      </c>
      <c r="L162" s="114" t="str">
        <f>IF(OR(M162&gt;0,N162&gt;0),"One Mop Sink per Floor",IF(AND(OR(M162&gt;0,N162&gt;0),M162+N162&gt;P5),"One Mop Sink per Floor",IF(AND(OR(M162&gt;0,N162&gt;0),M162+N162&lt;P5),Z5,IF(P5=0,"-","One Mop Sink per Floor"))))</f>
        <v>-</v>
      </c>
      <c r="M162" s="266">
        <v>0</v>
      </c>
      <c r="N162" s="97">
        <f>M162</f>
        <v>0</v>
      </c>
    </row>
    <row r="163" spans="1:22" x14ac:dyDescent="0.25">
      <c r="A163" s="124"/>
      <c r="B163" s="125"/>
      <c r="C163" s="261"/>
      <c r="D163" s="111"/>
      <c r="E163" s="112"/>
      <c r="F163" s="112"/>
      <c r="G163" s="112"/>
      <c r="H163" s="112"/>
      <c r="I163" s="112"/>
      <c r="J163" s="112"/>
      <c r="K163" s="112"/>
      <c r="L163" s="114"/>
      <c r="M163" s="266"/>
      <c r="N163" s="97"/>
    </row>
    <row r="164" spans="1:22" x14ac:dyDescent="0.25">
      <c r="A164" s="124"/>
      <c r="B164" s="125"/>
      <c r="C164" s="261"/>
      <c r="D164" s="111"/>
      <c r="E164" s="112"/>
      <c r="F164" s="112"/>
      <c r="G164" s="112"/>
      <c r="H164" s="112"/>
      <c r="I164" s="112"/>
      <c r="J164" s="112"/>
      <c r="K164" s="112"/>
      <c r="L164" s="114"/>
      <c r="M164" s="266"/>
      <c r="N164" s="97"/>
    </row>
    <row r="165" spans="1:22" x14ac:dyDescent="0.25">
      <c r="A165" s="124"/>
      <c r="B165" s="125"/>
      <c r="C165" s="261"/>
      <c r="D165" s="111"/>
      <c r="E165" s="112"/>
      <c r="F165" s="112"/>
      <c r="G165" s="112"/>
      <c r="H165" s="112"/>
      <c r="I165" s="112"/>
      <c r="J165" s="112"/>
      <c r="K165" s="112"/>
      <c r="L165" s="114"/>
      <c r="M165" s="266"/>
      <c r="N165" s="97"/>
    </row>
    <row r="166" spans="1:22" x14ac:dyDescent="0.25">
      <c r="A166" s="124"/>
      <c r="B166" s="125"/>
      <c r="C166" s="261"/>
      <c r="D166" s="111"/>
      <c r="E166" s="112"/>
      <c r="F166" s="112"/>
      <c r="G166" s="112"/>
      <c r="H166" s="112"/>
      <c r="I166" s="112"/>
      <c r="J166" s="112"/>
      <c r="K166" s="112"/>
      <c r="L166" s="114"/>
      <c r="M166" s="266"/>
      <c r="N166" s="97"/>
    </row>
    <row r="167" spans="1:22" x14ac:dyDescent="0.25">
      <c r="A167" s="124"/>
      <c r="B167" s="125"/>
      <c r="C167" s="261"/>
      <c r="D167" s="111"/>
      <c r="E167" s="112"/>
      <c r="F167" s="112"/>
      <c r="G167" s="112"/>
      <c r="H167" s="112"/>
      <c r="I167" s="112"/>
      <c r="J167" s="112"/>
      <c r="K167" s="112"/>
      <c r="L167" s="114"/>
      <c r="M167" s="266"/>
      <c r="N167" s="97"/>
    </row>
    <row r="168" spans="1:22" ht="14.45" customHeight="1" thickBot="1" x14ac:dyDescent="0.3">
      <c r="A168" s="126"/>
      <c r="B168" s="127"/>
      <c r="C168" s="261"/>
      <c r="D168" s="111"/>
      <c r="E168" s="112"/>
      <c r="F168" s="112"/>
      <c r="G168" s="112"/>
      <c r="H168" s="112"/>
      <c r="I168" s="112"/>
      <c r="J168" s="112"/>
      <c r="K168" s="112"/>
      <c r="L168" s="114"/>
      <c r="M168" s="266"/>
      <c r="N168" s="97"/>
    </row>
    <row r="169" spans="1:22" ht="14.45" customHeight="1" x14ac:dyDescent="0.25">
      <c r="A169" s="296" t="s">
        <v>402</v>
      </c>
      <c r="B169" s="297"/>
      <c r="C169" s="261" t="s">
        <v>403</v>
      </c>
      <c r="D169" s="111"/>
      <c r="E169" s="269" t="str">
        <f>V24</f>
        <v>1 per cell</v>
      </c>
      <c r="F169" s="269" t="str">
        <f>W24</f>
        <v>1 per cell</v>
      </c>
      <c r="G169" s="269" t="s">
        <v>82</v>
      </c>
      <c r="H169" s="269" t="str">
        <f>X24</f>
        <v>1 per cell</v>
      </c>
      <c r="I169" s="269" t="str">
        <f>Y24</f>
        <v>1 per cell</v>
      </c>
      <c r="J169" s="269" t="str">
        <f>AA24</f>
        <v>1 per 15 inmates</v>
      </c>
      <c r="K169" s="269" t="str">
        <f>Z24</f>
        <v>-</v>
      </c>
      <c r="L169" s="276" t="str">
        <f>IF(OR(M169&gt;0,N169&gt;0),"One Mop Sink per Floor",IF(AND(OR(M169&gt;0,N169&gt;0),M169+N169&gt;P5),"One Mop Sink per Floor",IF(AND(OR(M169&gt;0,N169&gt;0),M169+N169&lt;P5),Z5,IF(P5=0,"-","One Mop Sink per Floor"))))</f>
        <v>-</v>
      </c>
      <c r="M169" s="270">
        <v>0</v>
      </c>
      <c r="N169" s="248">
        <f>M169</f>
        <v>0</v>
      </c>
    </row>
    <row r="170" spans="1:22" ht="14.45" customHeight="1" x14ac:dyDescent="0.25">
      <c r="A170" s="298"/>
      <c r="B170" s="299"/>
      <c r="C170" s="261"/>
      <c r="D170" s="111"/>
      <c r="E170" s="269"/>
      <c r="F170" s="269"/>
      <c r="G170" s="269"/>
      <c r="H170" s="269"/>
      <c r="I170" s="269"/>
      <c r="J170" s="269"/>
      <c r="K170" s="269"/>
      <c r="L170" s="276"/>
      <c r="M170" s="271"/>
      <c r="N170" s="249"/>
    </row>
    <row r="171" spans="1:22" x14ac:dyDescent="0.25">
      <c r="A171" s="298"/>
      <c r="B171" s="299"/>
      <c r="C171" s="261"/>
      <c r="D171" s="111"/>
      <c r="E171" s="269"/>
      <c r="F171" s="269"/>
      <c r="G171" s="269"/>
      <c r="H171" s="269"/>
      <c r="I171" s="269"/>
      <c r="J171" s="269"/>
      <c r="K171" s="269"/>
      <c r="L171" s="276"/>
      <c r="M171" s="271"/>
      <c r="N171" s="249"/>
    </row>
    <row r="172" spans="1:22" x14ac:dyDescent="0.25">
      <c r="A172" s="298"/>
      <c r="B172" s="299"/>
      <c r="C172" s="261"/>
      <c r="D172" s="111"/>
      <c r="E172" s="269"/>
      <c r="F172" s="269"/>
      <c r="G172" s="269"/>
      <c r="H172" s="269"/>
      <c r="I172" s="269"/>
      <c r="J172" s="269"/>
      <c r="K172" s="269"/>
      <c r="L172" s="276"/>
      <c r="M172" s="271"/>
      <c r="N172" s="249"/>
      <c r="T172" s="1"/>
      <c r="U172" s="1"/>
    </row>
    <row r="173" spans="1:22" x14ac:dyDescent="0.25">
      <c r="A173" s="298"/>
      <c r="B173" s="299"/>
      <c r="C173" s="261"/>
      <c r="D173" s="111"/>
      <c r="E173" s="269"/>
      <c r="F173" s="269"/>
      <c r="G173" s="269"/>
      <c r="H173" s="269"/>
      <c r="I173" s="269"/>
      <c r="J173" s="269"/>
      <c r="K173" s="269"/>
      <c r="L173" s="276"/>
      <c r="M173" s="271"/>
      <c r="N173" s="249"/>
      <c r="T173" s="1"/>
      <c r="U173" s="1"/>
    </row>
    <row r="174" spans="1:22" x14ac:dyDescent="0.25">
      <c r="A174" s="298"/>
      <c r="B174" s="299"/>
      <c r="C174" s="261"/>
      <c r="D174" s="111"/>
      <c r="E174" s="269"/>
      <c r="F174" s="269"/>
      <c r="G174" s="269"/>
      <c r="H174" s="269"/>
      <c r="I174" s="269"/>
      <c r="J174" s="269"/>
      <c r="K174" s="269"/>
      <c r="L174" s="276"/>
      <c r="M174" s="272"/>
      <c r="N174" s="250"/>
      <c r="V174" s="1"/>
    </row>
    <row r="175" spans="1:22" x14ac:dyDescent="0.25">
      <c r="A175" s="298"/>
      <c r="B175" s="299"/>
      <c r="C175" s="261" t="s">
        <v>354</v>
      </c>
      <c r="D175" s="111"/>
      <c r="E175" s="269">
        <f>V25</f>
        <v>0</v>
      </c>
      <c r="F175" s="277">
        <f>W25</f>
        <v>0</v>
      </c>
      <c r="G175" s="269" t="str">
        <f>IF(E175&gt;0,"Can substitute up to 67% of required fixtures (10.10 Table 1)","-")</f>
        <v>-</v>
      </c>
      <c r="H175" s="269"/>
      <c r="I175" s="269"/>
      <c r="J175" s="269" t="str">
        <f>IF(OR(M175&gt;0,N175&gt;0),AA25,IF(AND(OR(M175&gt;0,N175&gt;0),M175+N175&gt;P5),AA25,IF(AND(OR(M175&gt;0,N175&gt;0),M175+N175&lt;P5),AA25,IF(P5=0,"-",AA25))))</f>
        <v>-</v>
      </c>
      <c r="K175" s="269" t="str">
        <f>IF(OR(M175&gt;0,N175&gt;0),Z25,IF(AND(OR(M175&gt;0,N175&gt;0),M175+N175&gt;P5),Z25,IF(AND(OR(M175&gt;0,N175&gt;0),M175+N175&lt;P5),Z25,IF(P5=0,"-",Z25))))</f>
        <v>-</v>
      </c>
      <c r="L175" s="276" t="str">
        <f>IF(OR(M175&gt;0,N175&gt;0),"One Mop Sink per Floor",IF(AND(OR(M175&gt;0,N175&gt;0),M175+N175&gt;P5),"One Mop Sink per Floor",IF(AND(OR(M175&gt;0,N175&gt;0),M175+N175&lt;P5),Z5,IF(P5=0,"-","One Mop Sink per Floor"))))</f>
        <v>-</v>
      </c>
      <c r="M175" s="270">
        <v>0</v>
      </c>
      <c r="N175" s="248">
        <f>M175</f>
        <v>0</v>
      </c>
      <c r="V175" s="1"/>
    </row>
    <row r="176" spans="1:22" x14ac:dyDescent="0.25">
      <c r="A176" s="298"/>
      <c r="B176" s="299"/>
      <c r="C176" s="261"/>
      <c r="D176" s="111"/>
      <c r="E176" s="269"/>
      <c r="F176" s="269"/>
      <c r="G176" s="269"/>
      <c r="H176" s="269"/>
      <c r="I176" s="269"/>
      <c r="J176" s="269"/>
      <c r="K176" s="269"/>
      <c r="L176" s="276"/>
      <c r="M176" s="271"/>
      <c r="N176" s="249"/>
      <c r="V176" s="1"/>
    </row>
    <row r="177" spans="1:22" x14ac:dyDescent="0.25">
      <c r="A177" s="298"/>
      <c r="B177" s="299"/>
      <c r="C177" s="261"/>
      <c r="D177" s="111"/>
      <c r="E177" s="269"/>
      <c r="F177" s="269"/>
      <c r="G177" s="269"/>
      <c r="H177" s="269"/>
      <c r="I177" s="269"/>
      <c r="J177" s="269"/>
      <c r="K177" s="269"/>
      <c r="L177" s="276"/>
      <c r="M177" s="271"/>
      <c r="N177" s="249"/>
      <c r="V177" s="1"/>
    </row>
    <row r="178" spans="1:22" x14ac:dyDescent="0.25">
      <c r="A178" s="298"/>
      <c r="B178" s="299"/>
      <c r="C178" s="261"/>
      <c r="D178" s="111"/>
      <c r="E178" s="269"/>
      <c r="F178" s="269"/>
      <c r="G178" s="269"/>
      <c r="H178" s="269"/>
      <c r="I178" s="269"/>
      <c r="J178" s="269"/>
      <c r="K178" s="269"/>
      <c r="L178" s="276"/>
      <c r="M178" s="271"/>
      <c r="N178" s="249"/>
      <c r="V178" s="1"/>
    </row>
    <row r="179" spans="1:22" ht="14.45" customHeight="1" x14ac:dyDescent="0.25">
      <c r="A179" s="298"/>
      <c r="B179" s="299"/>
      <c r="C179" s="261"/>
      <c r="D179" s="111"/>
      <c r="E179" s="269"/>
      <c r="F179" s="269"/>
      <c r="G179" s="269"/>
      <c r="H179" s="269"/>
      <c r="I179" s="269"/>
      <c r="J179" s="269"/>
      <c r="K179" s="269"/>
      <c r="L179" s="276"/>
      <c r="M179" s="271"/>
      <c r="N179" s="249"/>
      <c r="V179" s="1"/>
    </row>
    <row r="180" spans="1:22" x14ac:dyDescent="0.25">
      <c r="A180" s="298"/>
      <c r="B180" s="299"/>
      <c r="C180" s="261"/>
      <c r="D180" s="111"/>
      <c r="E180" s="269"/>
      <c r="F180" s="269"/>
      <c r="G180" s="269"/>
      <c r="H180" s="269"/>
      <c r="I180" s="269"/>
      <c r="J180" s="269"/>
      <c r="K180" s="269"/>
      <c r="L180" s="276"/>
      <c r="M180" s="272"/>
      <c r="N180" s="250"/>
      <c r="V180" s="1"/>
    </row>
    <row r="181" spans="1:22" x14ac:dyDescent="0.25">
      <c r="A181" s="298"/>
      <c r="B181" s="299"/>
      <c r="C181" s="261" t="s">
        <v>404</v>
      </c>
      <c r="D181" s="111"/>
      <c r="E181" s="269">
        <f>V26</f>
        <v>0</v>
      </c>
      <c r="F181" s="277">
        <f>W26</f>
        <v>0</v>
      </c>
      <c r="G181" s="269" t="str">
        <f>IF(E181&gt;0,"Can substitute up to 67% of required fixtures (10.10 Table 1)","-")</f>
        <v>-</v>
      </c>
      <c r="H181" s="269">
        <f>X26</f>
        <v>0</v>
      </c>
      <c r="I181" s="269">
        <f>Y26</f>
        <v>0</v>
      </c>
      <c r="J181" s="269" t="str">
        <f>AA26</f>
        <v>0 each gender</v>
      </c>
      <c r="K181" s="269" t="str">
        <f>IF(OR(M181&gt;0,N181&gt;0),Z26,IF(AND(OR(M181&gt;0,N181&gt;0),M181+N181&gt;P5),Z26,IF(AND(OR(M181&gt;0,N181&gt;0),M181+N181&lt;P5),Z26,IF(P5=0,"-",Z26))))</f>
        <v>-</v>
      </c>
      <c r="L181" s="276" t="str">
        <f>IF(OR(M181&gt;0,N181&gt;0),"One Mop Sink per Floor",IF(AND(OR(M181&gt;0,N181&gt;0),M181+N181&gt;P5),"One Mop Sink per Floor",IF(AND(OR(M181&gt;0,N181&gt;0),M181+N181&lt;P5),Z5,IF(P5=0,"-","One Mop Sink per Floor"))))</f>
        <v>-</v>
      </c>
      <c r="M181" s="270">
        <v>0</v>
      </c>
      <c r="N181" s="248">
        <f>M181</f>
        <v>0</v>
      </c>
      <c r="V181" s="1"/>
    </row>
    <row r="182" spans="1:22" x14ac:dyDescent="0.25">
      <c r="A182" s="298"/>
      <c r="B182" s="299"/>
      <c r="C182" s="261"/>
      <c r="D182" s="111"/>
      <c r="E182" s="269"/>
      <c r="F182" s="269"/>
      <c r="G182" s="269"/>
      <c r="H182" s="269"/>
      <c r="I182" s="269"/>
      <c r="J182" s="269"/>
      <c r="K182" s="269"/>
      <c r="L182" s="276"/>
      <c r="M182" s="271"/>
      <c r="N182" s="249"/>
      <c r="V182" s="1"/>
    </row>
    <row r="183" spans="1:22" x14ac:dyDescent="0.25">
      <c r="A183" s="298"/>
      <c r="B183" s="299"/>
      <c r="C183" s="261"/>
      <c r="D183" s="111"/>
      <c r="E183" s="269"/>
      <c r="F183" s="269"/>
      <c r="G183" s="269"/>
      <c r="H183" s="269"/>
      <c r="I183" s="269"/>
      <c r="J183" s="269"/>
      <c r="K183" s="269"/>
      <c r="L183" s="276"/>
      <c r="M183" s="271"/>
      <c r="N183" s="249"/>
      <c r="V183" s="1"/>
    </row>
    <row r="184" spans="1:22" x14ac:dyDescent="0.25">
      <c r="A184" s="298"/>
      <c r="B184" s="299"/>
      <c r="C184" s="261"/>
      <c r="D184" s="111"/>
      <c r="E184" s="269"/>
      <c r="F184" s="269"/>
      <c r="G184" s="269"/>
      <c r="H184" s="269"/>
      <c r="I184" s="269"/>
      <c r="J184" s="269"/>
      <c r="K184" s="269"/>
      <c r="L184" s="276"/>
      <c r="M184" s="271"/>
      <c r="N184" s="249"/>
      <c r="V184" s="1"/>
    </row>
    <row r="185" spans="1:22" x14ac:dyDescent="0.25">
      <c r="A185" s="298"/>
      <c r="B185" s="299"/>
      <c r="C185" s="261"/>
      <c r="D185" s="111"/>
      <c r="E185" s="269"/>
      <c r="F185" s="269"/>
      <c r="G185" s="269"/>
      <c r="H185" s="269"/>
      <c r="I185" s="269"/>
      <c r="J185" s="269"/>
      <c r="K185" s="269"/>
      <c r="L185" s="276"/>
      <c r="M185" s="271"/>
      <c r="N185" s="249"/>
      <c r="S185" s="2"/>
      <c r="V185" s="1"/>
    </row>
    <row r="186" spans="1:22" x14ac:dyDescent="0.25">
      <c r="A186" s="298"/>
      <c r="B186" s="299"/>
      <c r="C186" s="261"/>
      <c r="D186" s="111"/>
      <c r="E186" s="269"/>
      <c r="F186" s="269"/>
      <c r="G186" s="269"/>
      <c r="H186" s="269"/>
      <c r="I186" s="269"/>
      <c r="J186" s="269"/>
      <c r="K186" s="269"/>
      <c r="L186" s="276"/>
      <c r="M186" s="272"/>
      <c r="N186" s="250"/>
      <c r="R186" s="5"/>
      <c r="V186" s="1"/>
    </row>
    <row r="187" spans="1:22" x14ac:dyDescent="0.25">
      <c r="A187" s="298"/>
      <c r="B187" s="299"/>
      <c r="C187" s="261" t="s">
        <v>354</v>
      </c>
      <c r="D187" s="111"/>
      <c r="E187" s="277">
        <f>V27</f>
        <v>0</v>
      </c>
      <c r="F187" s="277">
        <f>W27</f>
        <v>0</v>
      </c>
      <c r="G187" s="269" t="str">
        <f>IF(E187&gt;0,"Can substitute up to 67% of required fixtures (10.10 Table 1)","-")</f>
        <v>-</v>
      </c>
      <c r="H187" s="277">
        <f>X27</f>
        <v>0</v>
      </c>
      <c r="I187" s="277">
        <f>Y27</f>
        <v>0</v>
      </c>
      <c r="J187" s="269" t="str">
        <f>AA27</f>
        <v>-</v>
      </c>
      <c r="K187" s="269" t="str">
        <f>IF(OR(M187&gt;0,N187&gt;0),Z27,IF(AND(OR(M187&gt;0,N187&gt;0),M187+N187&gt;P5),Z27,IF(AND(OR(M187&gt;0,N187&gt;0),M187+N187&lt;P5),Z27,IF(P5=0,"-",Z27))))</f>
        <v>-</v>
      </c>
      <c r="L187" s="276" t="str">
        <f>IF(OR(M187&gt;0,N187&gt;0),"One Mop Sink per Floor",IF(AND(OR(M187&gt;0,N187&gt;0),M187+N187&gt;P5),"One Mop Sink per Floor",IF(AND(OR(M187&gt;0,N187&gt;0),M187+N187&lt;P5),Z5,IF(P5=0,"-","One Mop Sink per Floor"))))</f>
        <v>-</v>
      </c>
      <c r="M187" s="270">
        <v>0</v>
      </c>
      <c r="N187" s="248">
        <f>M187</f>
        <v>0</v>
      </c>
      <c r="R187" s="5"/>
      <c r="V187" s="1"/>
    </row>
    <row r="188" spans="1:22" x14ac:dyDescent="0.25">
      <c r="A188" s="298"/>
      <c r="B188" s="299"/>
      <c r="C188" s="261"/>
      <c r="D188" s="111"/>
      <c r="E188" s="269"/>
      <c r="F188" s="269"/>
      <c r="G188" s="269"/>
      <c r="H188" s="269"/>
      <c r="I188" s="269"/>
      <c r="J188" s="269"/>
      <c r="K188" s="269"/>
      <c r="L188" s="276"/>
      <c r="M188" s="271"/>
      <c r="N188" s="249"/>
      <c r="R188" s="5"/>
    </row>
    <row r="189" spans="1:22" x14ac:dyDescent="0.25">
      <c r="A189" s="298"/>
      <c r="B189" s="299"/>
      <c r="C189" s="261"/>
      <c r="D189" s="111"/>
      <c r="E189" s="269"/>
      <c r="F189" s="269"/>
      <c r="G189" s="269"/>
      <c r="H189" s="269"/>
      <c r="I189" s="269"/>
      <c r="J189" s="269"/>
      <c r="K189" s="269"/>
      <c r="L189" s="276"/>
      <c r="M189" s="271"/>
      <c r="N189" s="249"/>
      <c r="R189" s="5"/>
    </row>
    <row r="190" spans="1:22" x14ac:dyDescent="0.25">
      <c r="A190" s="298"/>
      <c r="B190" s="299"/>
      <c r="C190" s="261"/>
      <c r="D190" s="111"/>
      <c r="E190" s="269"/>
      <c r="F190" s="269"/>
      <c r="G190" s="269"/>
      <c r="H190" s="269"/>
      <c r="I190" s="269"/>
      <c r="J190" s="269"/>
      <c r="K190" s="269"/>
      <c r="L190" s="276"/>
      <c r="M190" s="271"/>
      <c r="N190" s="249"/>
      <c r="R190" s="5"/>
    </row>
    <row r="191" spans="1:22" x14ac:dyDescent="0.25">
      <c r="A191" s="298"/>
      <c r="B191" s="299"/>
      <c r="C191" s="261"/>
      <c r="D191" s="111"/>
      <c r="E191" s="269"/>
      <c r="F191" s="269"/>
      <c r="G191" s="269"/>
      <c r="H191" s="269"/>
      <c r="I191" s="269"/>
      <c r="J191" s="269"/>
      <c r="K191" s="269"/>
      <c r="L191" s="276"/>
      <c r="M191" s="271"/>
      <c r="N191" s="249"/>
      <c r="R191" s="5"/>
    </row>
    <row r="192" spans="1:22" ht="14.45" customHeight="1" thickBot="1" x14ac:dyDescent="0.3">
      <c r="A192" s="300"/>
      <c r="B192" s="301"/>
      <c r="C192" s="294"/>
      <c r="D192" s="295"/>
      <c r="E192" s="303"/>
      <c r="F192" s="303"/>
      <c r="G192" s="303"/>
      <c r="H192" s="303"/>
      <c r="I192" s="303"/>
      <c r="J192" s="303"/>
      <c r="K192" s="303"/>
      <c r="L192" s="137"/>
      <c r="M192" s="302"/>
      <c r="N192" s="273"/>
      <c r="R192" s="5"/>
    </row>
    <row r="193" spans="1:22" ht="14.45" customHeight="1" thickBot="1" x14ac:dyDescent="0.3">
      <c r="A193" s="296" t="s">
        <v>405</v>
      </c>
      <c r="B193" s="297"/>
      <c r="C193" s="274" t="s">
        <v>406</v>
      </c>
      <c r="D193" s="274"/>
      <c r="E193" s="274"/>
      <c r="F193" s="274"/>
      <c r="G193" s="274"/>
      <c r="H193" s="274"/>
      <c r="I193" s="274"/>
      <c r="J193" s="274"/>
      <c r="K193" s="274"/>
      <c r="L193" s="274"/>
      <c r="M193" s="274"/>
      <c r="N193" s="275"/>
      <c r="R193" s="5"/>
    </row>
    <row r="194" spans="1:22" x14ac:dyDescent="0.25">
      <c r="A194" s="298"/>
      <c r="B194" s="299"/>
      <c r="C194" s="264" t="s">
        <v>406</v>
      </c>
      <c r="D194" s="160"/>
      <c r="E194" s="308" t="str">
        <f>V28</f>
        <v>1 per Room**</v>
      </c>
      <c r="F194" s="309"/>
      <c r="G194" s="304" t="s">
        <v>82</v>
      </c>
      <c r="H194" s="308" t="str">
        <f>X28</f>
        <v>1 per Room**</v>
      </c>
      <c r="I194" s="309"/>
      <c r="J194" s="304" t="str">
        <f>AA28</f>
        <v>1 per Room**</v>
      </c>
      <c r="K194" s="304" t="s">
        <v>82</v>
      </c>
      <c r="L194" s="135" t="s">
        <v>82</v>
      </c>
      <c r="M194" s="306">
        <v>0</v>
      </c>
      <c r="N194" s="307">
        <f>M194</f>
        <v>0</v>
      </c>
      <c r="R194" s="5"/>
    </row>
    <row r="195" spans="1:22" x14ac:dyDescent="0.25">
      <c r="A195" s="298"/>
      <c r="B195" s="299"/>
      <c r="C195" s="261"/>
      <c r="D195" s="111"/>
      <c r="E195" s="310"/>
      <c r="F195" s="311"/>
      <c r="G195" s="269"/>
      <c r="H195" s="310"/>
      <c r="I195" s="311"/>
      <c r="J195" s="269"/>
      <c r="K195" s="269"/>
      <c r="L195" s="276"/>
      <c r="M195" s="169"/>
      <c r="N195" s="249"/>
      <c r="R195" s="5"/>
      <c r="V195" s="1"/>
    </row>
    <row r="196" spans="1:22" x14ac:dyDescent="0.25">
      <c r="A196" s="298"/>
      <c r="B196" s="299"/>
      <c r="C196" s="261"/>
      <c r="D196" s="111"/>
      <c r="E196" s="310"/>
      <c r="F196" s="311"/>
      <c r="G196" s="269"/>
      <c r="H196" s="310"/>
      <c r="I196" s="311"/>
      <c r="J196" s="269"/>
      <c r="K196" s="269"/>
      <c r="L196" s="276"/>
      <c r="M196" s="169"/>
      <c r="N196" s="249"/>
      <c r="R196" s="5"/>
      <c r="V196" s="1"/>
    </row>
    <row r="197" spans="1:22" x14ac:dyDescent="0.25">
      <c r="A197" s="298"/>
      <c r="B197" s="299"/>
      <c r="C197" s="261"/>
      <c r="D197" s="111"/>
      <c r="E197" s="310"/>
      <c r="F197" s="311"/>
      <c r="G197" s="269"/>
      <c r="H197" s="310"/>
      <c r="I197" s="311"/>
      <c r="J197" s="269"/>
      <c r="K197" s="269"/>
      <c r="L197" s="276"/>
      <c r="M197" s="169"/>
      <c r="N197" s="249"/>
      <c r="R197" s="5"/>
      <c r="V197" s="1"/>
    </row>
    <row r="198" spans="1:22" x14ac:dyDescent="0.25">
      <c r="A198" s="298"/>
      <c r="B198" s="299"/>
      <c r="C198" s="261"/>
      <c r="D198" s="111"/>
      <c r="E198" s="310"/>
      <c r="F198" s="311"/>
      <c r="G198" s="269"/>
      <c r="H198" s="310"/>
      <c r="I198" s="311"/>
      <c r="J198" s="269"/>
      <c r="K198" s="269"/>
      <c r="L198" s="276"/>
      <c r="M198" s="169"/>
      <c r="N198" s="249"/>
      <c r="R198" s="5"/>
      <c r="V198" s="1"/>
    </row>
    <row r="199" spans="1:22" x14ac:dyDescent="0.25">
      <c r="A199" s="298"/>
      <c r="B199" s="299"/>
      <c r="C199" s="312"/>
      <c r="D199" s="89"/>
      <c r="E199" s="310"/>
      <c r="F199" s="311"/>
      <c r="G199" s="258"/>
      <c r="H199" s="310"/>
      <c r="I199" s="311"/>
      <c r="J199" s="258"/>
      <c r="K199" s="258"/>
      <c r="L199" s="305"/>
      <c r="M199" s="169"/>
      <c r="N199" s="249"/>
      <c r="R199" s="5"/>
      <c r="V199" s="1"/>
    </row>
    <row r="200" spans="1:22" ht="14.45" customHeight="1" x14ac:dyDescent="0.25">
      <c r="A200" s="298"/>
      <c r="B200" s="299"/>
      <c r="C200" s="261" t="s">
        <v>354</v>
      </c>
      <c r="D200" s="111"/>
      <c r="E200" s="277">
        <f>V29</f>
        <v>0</v>
      </c>
      <c r="F200" s="277">
        <f>W29</f>
        <v>0</v>
      </c>
      <c r="G200" s="269" t="str">
        <f>IF(E200&gt;0,"Can substitute up to 67% of required fixtures (10.10 Table 1)","-")</f>
        <v>-</v>
      </c>
      <c r="H200" s="277">
        <f>X29</f>
        <v>0</v>
      </c>
      <c r="I200" s="277">
        <f>Y29</f>
        <v>0</v>
      </c>
      <c r="J200" s="277" t="str">
        <f>AA29</f>
        <v>-</v>
      </c>
      <c r="K200" s="277" t="str">
        <f>IF(OR(M200&gt;0,N200&gt;0),Z29,IF(AND(OR(M200&gt;0,N200&gt;0),M200+N200&gt;P5),Z29,IF(AND(OR(M200&gt;0,N200&gt;0),M200+N200&lt;P5),Z29,IF(P5=0,"-",Z29))))</f>
        <v>-</v>
      </c>
      <c r="L200" s="315" t="str">
        <f>IF(OR(M200&gt;0,N200&gt;0,M206&gt;0,N206&gt;0),"One Mop Sink per Floor",IF(AND(OR(M200&gt;0,N200&gt;0,M206&gt;0,N206&gt;0),M200+N200+M206+N206&gt;P5),"One Mop Sink per Floor",IF(AND(OR(M200&gt;0,N200&gt;0,M206&gt;0,N206&gt;0),M200+N200+M206+N206&lt;P5),Z5,IF(P5=0,"-","One Mop Sink per Floor"))))</f>
        <v>-</v>
      </c>
      <c r="M200" s="96">
        <v>0</v>
      </c>
      <c r="N200" s="97">
        <f>M200</f>
        <v>0</v>
      </c>
      <c r="R200" s="5"/>
      <c r="V200" s="1"/>
    </row>
    <row r="201" spans="1:22" x14ac:dyDescent="0.25">
      <c r="A201" s="298"/>
      <c r="B201" s="299"/>
      <c r="C201" s="261"/>
      <c r="D201" s="111"/>
      <c r="E201" s="269"/>
      <c r="F201" s="269"/>
      <c r="G201" s="269"/>
      <c r="H201" s="269"/>
      <c r="I201" s="269"/>
      <c r="J201" s="269"/>
      <c r="K201" s="269"/>
      <c r="L201" s="316"/>
      <c r="M201" s="96"/>
      <c r="N201" s="97"/>
      <c r="R201" s="5"/>
      <c r="V201" s="1"/>
    </row>
    <row r="202" spans="1:22" ht="14.45" customHeight="1" x14ac:dyDescent="0.25">
      <c r="A202" s="298"/>
      <c r="B202" s="299"/>
      <c r="C202" s="261"/>
      <c r="D202" s="111"/>
      <c r="E202" s="269"/>
      <c r="F202" s="269"/>
      <c r="G202" s="269"/>
      <c r="H202" s="269"/>
      <c r="I202" s="269"/>
      <c r="J202" s="269"/>
      <c r="K202" s="269"/>
      <c r="L202" s="316"/>
      <c r="M202" s="96"/>
      <c r="N202" s="97"/>
      <c r="R202" s="5"/>
      <c r="V202" s="1"/>
    </row>
    <row r="203" spans="1:22" x14ac:dyDescent="0.25">
      <c r="A203" s="298"/>
      <c r="B203" s="299"/>
      <c r="C203" s="261"/>
      <c r="D203" s="111"/>
      <c r="E203" s="269"/>
      <c r="F203" s="269"/>
      <c r="G203" s="269"/>
      <c r="H203" s="269"/>
      <c r="I203" s="269"/>
      <c r="J203" s="269"/>
      <c r="K203" s="269"/>
      <c r="L203" s="316"/>
      <c r="M203" s="96"/>
      <c r="N203" s="97"/>
      <c r="P203" s="13"/>
      <c r="Q203" s="13"/>
      <c r="R203" s="5"/>
      <c r="V203" s="1"/>
    </row>
    <row r="204" spans="1:22" x14ac:dyDescent="0.25">
      <c r="A204" s="298"/>
      <c r="B204" s="299"/>
      <c r="C204" s="261"/>
      <c r="D204" s="111"/>
      <c r="E204" s="269"/>
      <c r="F204" s="269"/>
      <c r="G204" s="269"/>
      <c r="H204" s="269"/>
      <c r="I204" s="269"/>
      <c r="J204" s="269"/>
      <c r="K204" s="269"/>
      <c r="L204" s="316"/>
      <c r="M204" s="96"/>
      <c r="N204" s="97"/>
      <c r="R204" s="5"/>
      <c r="V204" s="1"/>
    </row>
    <row r="205" spans="1:22" x14ac:dyDescent="0.25">
      <c r="A205" s="298"/>
      <c r="B205" s="299"/>
      <c r="C205" s="312"/>
      <c r="D205" s="89"/>
      <c r="E205" s="258"/>
      <c r="F205" s="258"/>
      <c r="G205" s="258"/>
      <c r="H205" s="258"/>
      <c r="I205" s="258"/>
      <c r="J205" s="258"/>
      <c r="K205" s="258"/>
      <c r="L205" s="316"/>
      <c r="M205" s="96"/>
      <c r="N205" s="97"/>
      <c r="R205" s="5"/>
      <c r="V205" s="1"/>
    </row>
    <row r="206" spans="1:22" ht="15" customHeight="1" x14ac:dyDescent="0.25">
      <c r="A206" s="298"/>
      <c r="B206" s="299"/>
      <c r="C206" s="261" t="s">
        <v>407</v>
      </c>
      <c r="D206" s="111"/>
      <c r="E206" s="277">
        <f>V30</f>
        <v>0</v>
      </c>
      <c r="F206" s="277">
        <f>W30</f>
        <v>0</v>
      </c>
      <c r="G206" s="269" t="str">
        <f>IF(E206&gt;0,"Can substitute up to 67% of required fixtures (10.10 Table 1)","-")</f>
        <v>-</v>
      </c>
      <c r="H206" s="277">
        <f>X30</f>
        <v>0</v>
      </c>
      <c r="I206" s="277">
        <f>Y30</f>
        <v>0</v>
      </c>
      <c r="J206" s="277" t="str">
        <f>AA30</f>
        <v>-</v>
      </c>
      <c r="K206" s="277" t="str">
        <f>IF(OR(M206&gt;0,N206&gt;0),Z30,IF(AND(OR(M206&gt;0,N206&gt;0),M206+N206&gt;P5),Z30,IF(AND(OR(M206&gt;0,N206&gt;0),M206+N206&lt;P5),Z30,IF(P5=0,"-",Z30))))</f>
        <v>-</v>
      </c>
      <c r="L206" s="316"/>
      <c r="M206" s="96">
        <v>0</v>
      </c>
      <c r="N206" s="97">
        <f>M206</f>
        <v>0</v>
      </c>
      <c r="R206" s="5"/>
      <c r="V206" s="1"/>
    </row>
    <row r="207" spans="1:22" x14ac:dyDescent="0.25">
      <c r="A207" s="298"/>
      <c r="B207" s="299"/>
      <c r="C207" s="261"/>
      <c r="D207" s="111"/>
      <c r="E207" s="269"/>
      <c r="F207" s="269"/>
      <c r="G207" s="269"/>
      <c r="H207" s="269"/>
      <c r="I207" s="269"/>
      <c r="J207" s="269"/>
      <c r="K207" s="269"/>
      <c r="L207" s="316"/>
      <c r="M207" s="96"/>
      <c r="N207" s="97"/>
      <c r="R207" s="5"/>
      <c r="V207" s="1"/>
    </row>
    <row r="208" spans="1:22" x14ac:dyDescent="0.25">
      <c r="A208" s="298"/>
      <c r="B208" s="299"/>
      <c r="C208" s="261"/>
      <c r="D208" s="111"/>
      <c r="E208" s="269"/>
      <c r="F208" s="269"/>
      <c r="G208" s="269"/>
      <c r="H208" s="269"/>
      <c r="I208" s="269"/>
      <c r="J208" s="269"/>
      <c r="K208" s="269"/>
      <c r="L208" s="316"/>
      <c r="M208" s="96"/>
      <c r="N208" s="97"/>
      <c r="R208" s="5"/>
      <c r="V208" s="1"/>
    </row>
    <row r="209" spans="1:22" ht="14.45" customHeight="1" x14ac:dyDescent="0.25">
      <c r="A209" s="298"/>
      <c r="B209" s="299"/>
      <c r="C209" s="261"/>
      <c r="D209" s="111"/>
      <c r="E209" s="269"/>
      <c r="F209" s="269"/>
      <c r="G209" s="269"/>
      <c r="H209" s="269"/>
      <c r="I209" s="269"/>
      <c r="J209" s="269"/>
      <c r="K209" s="269"/>
      <c r="L209" s="316"/>
      <c r="M209" s="96"/>
      <c r="N209" s="97"/>
      <c r="R209" s="5"/>
      <c r="V209" s="1"/>
    </row>
    <row r="210" spans="1:22" x14ac:dyDescent="0.25">
      <c r="A210" s="298"/>
      <c r="B210" s="299"/>
      <c r="C210" s="261"/>
      <c r="D210" s="111"/>
      <c r="E210" s="269"/>
      <c r="F210" s="269"/>
      <c r="G210" s="269"/>
      <c r="H210" s="269"/>
      <c r="I210" s="269"/>
      <c r="J210" s="269"/>
      <c r="K210" s="269"/>
      <c r="L210" s="316"/>
      <c r="M210" s="96"/>
      <c r="N210" s="97"/>
      <c r="R210" s="5"/>
      <c r="V210" s="1"/>
    </row>
    <row r="211" spans="1:22" ht="15.75" thickBot="1" x14ac:dyDescent="0.3">
      <c r="A211" s="298"/>
      <c r="B211" s="299"/>
      <c r="C211" s="294"/>
      <c r="D211" s="295"/>
      <c r="E211" s="303"/>
      <c r="F211" s="303"/>
      <c r="G211" s="303"/>
      <c r="H211" s="303"/>
      <c r="I211" s="303"/>
      <c r="J211" s="303"/>
      <c r="K211" s="303"/>
      <c r="L211" s="317"/>
      <c r="M211" s="313"/>
      <c r="N211" s="314"/>
      <c r="R211" s="5"/>
      <c r="V211" s="1"/>
    </row>
    <row r="212" spans="1:22" ht="16.5" thickBot="1" x14ac:dyDescent="0.3">
      <c r="A212" s="298"/>
      <c r="B212" s="299"/>
      <c r="C212" s="274" t="s">
        <v>408</v>
      </c>
      <c r="D212" s="274"/>
      <c r="E212" s="274"/>
      <c r="F212" s="274"/>
      <c r="G212" s="274"/>
      <c r="H212" s="274"/>
      <c r="I212" s="274"/>
      <c r="J212" s="274"/>
      <c r="K212" s="274"/>
      <c r="L212" s="274"/>
      <c r="M212" s="274"/>
      <c r="N212" s="275"/>
      <c r="R212" s="5"/>
      <c r="V212" s="1"/>
    </row>
    <row r="213" spans="1:22" ht="15" customHeight="1" x14ac:dyDescent="0.25">
      <c r="A213" s="298"/>
      <c r="B213" s="299"/>
      <c r="C213" s="264" t="s">
        <v>409</v>
      </c>
      <c r="D213" s="160"/>
      <c r="E213" s="318">
        <f>V31</f>
        <v>0</v>
      </c>
      <c r="F213" s="318">
        <f>W31</f>
        <v>0</v>
      </c>
      <c r="G213" s="304" t="str">
        <f>IF(E213&gt;0,"Can substitute up to 67% of required fixtures (10.10 Table 1)","-")</f>
        <v>-</v>
      </c>
      <c r="H213" s="318">
        <f>X31</f>
        <v>0</v>
      </c>
      <c r="I213" s="318">
        <f>Y31</f>
        <v>0</v>
      </c>
      <c r="J213" s="318" t="str">
        <f>AA31</f>
        <v>-</v>
      </c>
      <c r="K213" s="321" t="str">
        <f>IF(OR(M213&gt;0,N213&gt;0,M219&gt;0,N219&gt;0),Z31,IF(AND(OR(M213&gt;0,N213&gt;0,M219&gt;0,N219&gt;0),M213+N213+M219+N219&gt;P5),Z31,IF(AND(OR(M213&gt;0,N213&gt;0,M219&gt;0,N219&gt;0),M213+N213+M219+N219&lt;P5),Z31,IF(P5=0,"-",Z31))))</f>
        <v>-</v>
      </c>
      <c r="L213" s="319" t="str">
        <f>IF(OR(M213&gt;0,N213&gt;0,M219&gt;0,N219&gt;0),"One Mop Sink per Floor",IF(AND(OR(M213&gt;0,N213&gt;0,M219&gt;0,N219&gt;0),M213+N213+M219+N219&gt;P5),"One Mop Sink per Floor",IF(AND(OR(M213&gt;0,N213&gt;0,M219&gt;0,N219&gt;0),M213+N213+M219+N219&lt;P5),Z5,IF(P5=0,"-","One Mop Sink per Floor"))))</f>
        <v>-</v>
      </c>
      <c r="M213" s="267">
        <v>0</v>
      </c>
      <c r="N213" s="326">
        <f>M213</f>
        <v>0</v>
      </c>
      <c r="R213" s="5"/>
      <c r="V213" s="1"/>
    </row>
    <row r="214" spans="1:22" x14ac:dyDescent="0.25">
      <c r="A214" s="298"/>
      <c r="B214" s="299"/>
      <c r="C214" s="261"/>
      <c r="D214" s="111"/>
      <c r="E214" s="269"/>
      <c r="F214" s="269"/>
      <c r="G214" s="269"/>
      <c r="H214" s="269"/>
      <c r="I214" s="269"/>
      <c r="J214" s="269"/>
      <c r="K214" s="322"/>
      <c r="L214" s="316"/>
      <c r="M214" s="266"/>
      <c r="N214" s="97"/>
      <c r="R214" s="5"/>
      <c r="V214" s="1"/>
    </row>
    <row r="215" spans="1:22" x14ac:dyDescent="0.25">
      <c r="A215" s="298"/>
      <c r="B215" s="299"/>
      <c r="C215" s="261"/>
      <c r="D215" s="111"/>
      <c r="E215" s="269"/>
      <c r="F215" s="269"/>
      <c r="G215" s="269"/>
      <c r="H215" s="269"/>
      <c r="I215" s="269"/>
      <c r="J215" s="269"/>
      <c r="K215" s="322"/>
      <c r="L215" s="316"/>
      <c r="M215" s="266"/>
      <c r="N215" s="97"/>
      <c r="R215" s="5"/>
      <c r="V215" s="1"/>
    </row>
    <row r="216" spans="1:22" x14ac:dyDescent="0.25">
      <c r="A216" s="298"/>
      <c r="B216" s="299"/>
      <c r="C216" s="261"/>
      <c r="D216" s="111"/>
      <c r="E216" s="269"/>
      <c r="F216" s="269"/>
      <c r="G216" s="269"/>
      <c r="H216" s="269"/>
      <c r="I216" s="269"/>
      <c r="J216" s="269"/>
      <c r="K216" s="322"/>
      <c r="L216" s="316"/>
      <c r="M216" s="266"/>
      <c r="N216" s="97"/>
      <c r="O216" s="7"/>
      <c r="R216" s="5"/>
      <c r="V216" s="1"/>
    </row>
    <row r="217" spans="1:22" x14ac:dyDescent="0.25">
      <c r="A217" s="298"/>
      <c r="B217" s="299"/>
      <c r="C217" s="261"/>
      <c r="D217" s="111"/>
      <c r="E217" s="269"/>
      <c r="F217" s="269"/>
      <c r="G217" s="269"/>
      <c r="H217" s="269"/>
      <c r="I217" s="269"/>
      <c r="J217" s="269"/>
      <c r="K217" s="322"/>
      <c r="L217" s="316"/>
      <c r="M217" s="266"/>
      <c r="N217" s="97"/>
      <c r="O217" s="7"/>
      <c r="R217" s="5"/>
      <c r="V217" s="1"/>
    </row>
    <row r="218" spans="1:22" ht="14.45" customHeight="1" x14ac:dyDescent="0.25">
      <c r="A218" s="298"/>
      <c r="B218" s="299"/>
      <c r="C218" s="261"/>
      <c r="D218" s="111"/>
      <c r="E218" s="258"/>
      <c r="F218" s="258"/>
      <c r="G218" s="258"/>
      <c r="H218" s="258"/>
      <c r="I218" s="258"/>
      <c r="J218" s="258"/>
      <c r="K218" s="322"/>
      <c r="L218" s="316"/>
      <c r="M218" s="268"/>
      <c r="N218" s="248"/>
      <c r="R218" s="5"/>
    </row>
    <row r="219" spans="1:22" ht="15" customHeight="1" x14ac:dyDescent="0.25">
      <c r="A219" s="298"/>
      <c r="B219" s="299"/>
      <c r="C219" s="261" t="s">
        <v>354</v>
      </c>
      <c r="D219" s="111"/>
      <c r="E219" s="277">
        <f>V32</f>
        <v>0</v>
      </c>
      <c r="F219" s="277">
        <f>W32</f>
        <v>0</v>
      </c>
      <c r="G219" s="269" t="str">
        <f>IF(E219&gt;0,"Can substitute up to 67% of required fixtures (10.10 Table 1)","-")</f>
        <v>-</v>
      </c>
      <c r="H219" s="277">
        <f>X32</f>
        <v>0</v>
      </c>
      <c r="I219" s="277">
        <f>Y32</f>
        <v>0</v>
      </c>
      <c r="J219" s="277" t="str">
        <f>AA32</f>
        <v>-</v>
      </c>
      <c r="K219" s="322"/>
      <c r="L219" s="316"/>
      <c r="M219" s="266">
        <v>0</v>
      </c>
      <c r="N219" s="97">
        <f>M219</f>
        <v>0</v>
      </c>
      <c r="R219" s="5"/>
    </row>
    <row r="220" spans="1:22" x14ac:dyDescent="0.25">
      <c r="A220" s="298"/>
      <c r="B220" s="299"/>
      <c r="C220" s="261"/>
      <c r="D220" s="111"/>
      <c r="E220" s="269"/>
      <c r="F220" s="269"/>
      <c r="G220" s="269"/>
      <c r="H220" s="269"/>
      <c r="I220" s="269"/>
      <c r="J220" s="269"/>
      <c r="K220" s="322"/>
      <c r="L220" s="316"/>
      <c r="M220" s="266"/>
      <c r="N220" s="97"/>
      <c r="R220" s="5"/>
    </row>
    <row r="221" spans="1:22" x14ac:dyDescent="0.25">
      <c r="A221" s="298"/>
      <c r="B221" s="299"/>
      <c r="C221" s="261"/>
      <c r="D221" s="111"/>
      <c r="E221" s="269"/>
      <c r="F221" s="269"/>
      <c r="G221" s="269"/>
      <c r="H221" s="269"/>
      <c r="I221" s="269"/>
      <c r="J221" s="269"/>
      <c r="K221" s="322"/>
      <c r="L221" s="316"/>
      <c r="M221" s="266"/>
      <c r="N221" s="97"/>
      <c r="R221" s="5"/>
    </row>
    <row r="222" spans="1:22" ht="14.45" customHeight="1" x14ac:dyDescent="0.25">
      <c r="A222" s="298"/>
      <c r="B222" s="299"/>
      <c r="C222" s="261"/>
      <c r="D222" s="111"/>
      <c r="E222" s="269"/>
      <c r="F222" s="269"/>
      <c r="G222" s="269"/>
      <c r="H222" s="269"/>
      <c r="I222" s="269"/>
      <c r="J222" s="269"/>
      <c r="K222" s="322"/>
      <c r="L222" s="316"/>
      <c r="M222" s="266"/>
      <c r="N222" s="97"/>
    </row>
    <row r="223" spans="1:22" x14ac:dyDescent="0.25">
      <c r="A223" s="298"/>
      <c r="B223" s="299"/>
      <c r="C223" s="261"/>
      <c r="D223" s="111"/>
      <c r="E223" s="269"/>
      <c r="F223" s="269"/>
      <c r="G223" s="269"/>
      <c r="H223" s="269"/>
      <c r="I223" s="269"/>
      <c r="J223" s="269"/>
      <c r="K223" s="322"/>
      <c r="L223" s="316"/>
      <c r="M223" s="266"/>
      <c r="N223" s="97"/>
    </row>
    <row r="224" spans="1:22" x14ac:dyDescent="0.25">
      <c r="A224" s="298"/>
      <c r="B224" s="299"/>
      <c r="C224" s="261"/>
      <c r="D224" s="111"/>
      <c r="E224" s="258"/>
      <c r="F224" s="258"/>
      <c r="G224" s="258"/>
      <c r="H224" s="258"/>
      <c r="I224" s="258"/>
      <c r="J224" s="258"/>
      <c r="K224" s="323"/>
      <c r="L224" s="320"/>
      <c r="M224" s="268"/>
      <c r="N224" s="248"/>
    </row>
    <row r="225" spans="1:18" ht="14.45" customHeight="1" x14ac:dyDescent="0.25">
      <c r="A225" s="298"/>
      <c r="B225" s="299"/>
      <c r="C225" s="324" t="s">
        <v>410</v>
      </c>
      <c r="D225" s="131"/>
      <c r="E225" s="277">
        <f>V33</f>
        <v>0</v>
      </c>
      <c r="F225" s="277">
        <f>W33</f>
        <v>0</v>
      </c>
      <c r="G225" s="269" t="str">
        <f>IF(E225&gt;0,"Can substitute up to 67% of required fixtures (10.10 Table 1)","-")</f>
        <v>-</v>
      </c>
      <c r="H225" s="277">
        <f>X33</f>
        <v>0</v>
      </c>
      <c r="I225" s="277">
        <f>Y33</f>
        <v>0</v>
      </c>
      <c r="J225" s="277" t="str">
        <f>AA33</f>
        <v>-</v>
      </c>
      <c r="K225" s="277" t="str">
        <f>IF(OR(M225&gt;0,N225&gt;0),Z33,IF(AND(OR(M225&gt;0,N225&gt;0),M225+N225&gt;P5),Z33,IF(AND(OR(M225&gt;0,N225&gt;0),M225+N225&lt;P5),Z33,IF(P5=0,"-",Z33))))</f>
        <v>-</v>
      </c>
      <c r="L225" s="325" t="str">
        <f>IF(OR(M225&gt;0,N225&gt;0),"One Mop Sink per Floor",IF(AND(OR(M225&gt;0,N225&gt;0),M225+N225&gt;P5),"One Mop Sink per Floor",IF(AND(OR(M225&gt;0,N225&gt;0),M225+N225&lt;P5),Z11,IF(P5=0,"-","One Mop Sink per Floor"))))</f>
        <v>-</v>
      </c>
      <c r="M225" s="266">
        <v>0</v>
      </c>
      <c r="N225" s="97">
        <f>M225</f>
        <v>0</v>
      </c>
    </row>
    <row r="226" spans="1:18" x14ac:dyDescent="0.25">
      <c r="A226" s="298"/>
      <c r="B226" s="299"/>
      <c r="C226" s="261"/>
      <c r="D226" s="111"/>
      <c r="E226" s="269"/>
      <c r="F226" s="269"/>
      <c r="G226" s="269"/>
      <c r="H226" s="269"/>
      <c r="I226" s="269"/>
      <c r="J226" s="269"/>
      <c r="K226" s="269"/>
      <c r="L226" s="276"/>
      <c r="M226" s="266"/>
      <c r="N226" s="97"/>
    </row>
    <row r="227" spans="1:18" x14ac:dyDescent="0.25">
      <c r="A227" s="298"/>
      <c r="B227" s="299"/>
      <c r="C227" s="261"/>
      <c r="D227" s="111"/>
      <c r="E227" s="269"/>
      <c r="F227" s="269"/>
      <c r="G227" s="269"/>
      <c r="H227" s="269"/>
      <c r="I227" s="269"/>
      <c r="J227" s="269"/>
      <c r="K227" s="269"/>
      <c r="L227" s="276"/>
      <c r="M227" s="266"/>
      <c r="N227" s="97"/>
    </row>
    <row r="228" spans="1:18" x14ac:dyDescent="0.25">
      <c r="A228" s="298"/>
      <c r="B228" s="299"/>
      <c r="C228" s="261"/>
      <c r="D228" s="111"/>
      <c r="E228" s="269"/>
      <c r="F228" s="269"/>
      <c r="G228" s="269"/>
      <c r="H228" s="269"/>
      <c r="I228" s="269"/>
      <c r="J228" s="269"/>
      <c r="K228" s="269"/>
      <c r="L228" s="276"/>
      <c r="M228" s="266"/>
      <c r="N228" s="97"/>
    </row>
    <row r="229" spans="1:18" x14ac:dyDescent="0.25">
      <c r="A229" s="298"/>
      <c r="B229" s="299"/>
      <c r="C229" s="261"/>
      <c r="D229" s="111"/>
      <c r="E229" s="269"/>
      <c r="F229" s="269"/>
      <c r="G229" s="269"/>
      <c r="H229" s="269"/>
      <c r="I229" s="269"/>
      <c r="J229" s="269"/>
      <c r="K229" s="269"/>
      <c r="L229" s="276"/>
      <c r="M229" s="266"/>
      <c r="N229" s="97"/>
    </row>
    <row r="230" spans="1:18" ht="14.45" customHeight="1" thickBot="1" x14ac:dyDescent="0.3">
      <c r="A230" s="300"/>
      <c r="B230" s="301"/>
      <c r="C230" s="312"/>
      <c r="D230" s="89"/>
      <c r="E230" s="258"/>
      <c r="F230" s="258"/>
      <c r="G230" s="258"/>
      <c r="H230" s="258"/>
      <c r="I230" s="258"/>
      <c r="J230" s="258"/>
      <c r="K230" s="258"/>
      <c r="L230" s="305"/>
      <c r="M230" s="268"/>
      <c r="N230" s="248"/>
    </row>
    <row r="231" spans="1:18" x14ac:dyDescent="0.25">
      <c r="A231" s="80" t="s">
        <v>411</v>
      </c>
      <c r="B231" s="81"/>
      <c r="C231" s="261" t="s">
        <v>412</v>
      </c>
      <c r="D231" s="111"/>
      <c r="E231" s="269">
        <f>V34</f>
        <v>0</v>
      </c>
      <c r="F231" s="269">
        <f>W34</f>
        <v>0</v>
      </c>
      <c r="G231" s="269" t="str">
        <f>IF(E231&gt;0,"Can substitute up to 50% of required fixtures (10.10 Table 1)","-")</f>
        <v>-</v>
      </c>
      <c r="H231" s="269">
        <f>X34</f>
        <v>0</v>
      </c>
      <c r="I231" s="269">
        <f>Y34</f>
        <v>0</v>
      </c>
      <c r="J231" s="269" t="str">
        <f>AA34</f>
        <v>-</v>
      </c>
      <c r="K231" s="269" t="str">
        <f>IF(OR(M231&gt;0,N231&gt;0),Z34,IF(AND(OR(M231&gt;0,N231&gt;0),M231+N231&gt;P5),Z34,IF(AND(OR(M231&gt;0,N231&gt;0),M231+N231&lt;P5),Z34,IF(P5=0,"-",Z34))))</f>
        <v>-</v>
      </c>
      <c r="L231" s="276" t="str">
        <f>IF(OR(M231&gt;0,N231&gt;0),"One Mop Sink per Floor",IF(AND(OR(M231&gt;0,N231&gt;0),M231+N231&gt;P5),"One Mop Sink per Floor",IF(AND(OR(M231&gt;0,N231&gt;0),M231+N231&lt;P5),Z11,IF(P5=0,"-","One Mop Sink per Floor"))))</f>
        <v>-</v>
      </c>
      <c r="M231" s="266">
        <v>0</v>
      </c>
      <c r="N231" s="97">
        <f>M231</f>
        <v>0</v>
      </c>
    </row>
    <row r="232" spans="1:18" ht="14.45" customHeight="1" x14ac:dyDescent="0.25">
      <c r="A232" s="82"/>
      <c r="B232" s="83"/>
      <c r="C232" s="261"/>
      <c r="D232" s="111"/>
      <c r="E232" s="269"/>
      <c r="F232" s="269"/>
      <c r="G232" s="269"/>
      <c r="H232" s="269"/>
      <c r="I232" s="269"/>
      <c r="J232" s="269"/>
      <c r="K232" s="269"/>
      <c r="L232" s="276"/>
      <c r="M232" s="266"/>
      <c r="N232" s="97"/>
    </row>
    <row r="233" spans="1:18" x14ac:dyDescent="0.25">
      <c r="A233" s="82"/>
      <c r="B233" s="83"/>
      <c r="C233" s="261"/>
      <c r="D233" s="111"/>
      <c r="E233" s="269"/>
      <c r="F233" s="269"/>
      <c r="G233" s="269"/>
      <c r="H233" s="269"/>
      <c r="I233" s="269"/>
      <c r="J233" s="269"/>
      <c r="K233" s="269"/>
      <c r="L233" s="276"/>
      <c r="M233" s="266"/>
      <c r="N233" s="97"/>
    </row>
    <row r="234" spans="1:18" x14ac:dyDescent="0.25">
      <c r="A234" s="82"/>
      <c r="B234" s="83"/>
      <c r="C234" s="261"/>
      <c r="D234" s="111"/>
      <c r="E234" s="269"/>
      <c r="F234" s="269"/>
      <c r="G234" s="269"/>
      <c r="H234" s="269"/>
      <c r="I234" s="269"/>
      <c r="J234" s="269"/>
      <c r="K234" s="269"/>
      <c r="L234" s="276"/>
      <c r="M234" s="266"/>
      <c r="N234" s="97"/>
    </row>
    <row r="235" spans="1:18" x14ac:dyDescent="0.25">
      <c r="A235" s="82"/>
      <c r="B235" s="83"/>
      <c r="C235" s="261"/>
      <c r="D235" s="111"/>
      <c r="E235" s="269"/>
      <c r="F235" s="269"/>
      <c r="G235" s="269"/>
      <c r="H235" s="269"/>
      <c r="I235" s="269"/>
      <c r="J235" s="269"/>
      <c r="K235" s="269"/>
      <c r="L235" s="276"/>
      <c r="M235" s="266"/>
      <c r="N235" s="97"/>
    </row>
    <row r="236" spans="1:18" x14ac:dyDescent="0.25">
      <c r="A236" s="82"/>
      <c r="B236" s="83"/>
      <c r="C236" s="261"/>
      <c r="D236" s="111"/>
      <c r="E236" s="269"/>
      <c r="F236" s="269"/>
      <c r="G236" s="269"/>
      <c r="H236" s="269"/>
      <c r="I236" s="269"/>
      <c r="J236" s="269"/>
      <c r="K236" s="269"/>
      <c r="L236" s="276"/>
      <c r="M236" s="266"/>
      <c r="N236" s="97"/>
    </row>
    <row r="237" spans="1:18" x14ac:dyDescent="0.25">
      <c r="A237" s="82"/>
      <c r="B237" s="83"/>
      <c r="C237" s="261"/>
      <c r="D237" s="111"/>
      <c r="E237" s="269"/>
      <c r="F237" s="269"/>
      <c r="G237" s="269"/>
      <c r="H237" s="269"/>
      <c r="I237" s="269"/>
      <c r="J237" s="269"/>
      <c r="K237" s="269"/>
      <c r="L237" s="276"/>
      <c r="M237" s="266"/>
      <c r="N237" s="97"/>
    </row>
    <row r="238" spans="1:18" ht="15.75" thickBot="1" x14ac:dyDescent="0.3">
      <c r="A238" s="84"/>
      <c r="B238" s="85"/>
      <c r="C238" s="261"/>
      <c r="D238" s="111"/>
      <c r="E238" s="269"/>
      <c r="F238" s="269"/>
      <c r="G238" s="269"/>
      <c r="H238" s="269"/>
      <c r="I238" s="269"/>
      <c r="J238" s="269"/>
      <c r="K238" s="269"/>
      <c r="L238" s="276"/>
      <c r="M238" s="266"/>
      <c r="N238" s="97"/>
    </row>
    <row r="239" spans="1:18" ht="15" customHeight="1" x14ac:dyDescent="0.25">
      <c r="A239" s="80" t="s">
        <v>413</v>
      </c>
      <c r="B239" s="81"/>
      <c r="C239" s="261" t="s">
        <v>414</v>
      </c>
      <c r="D239" s="111"/>
      <c r="E239" s="194" t="str">
        <f>V35</f>
        <v>1 per Dwelling</v>
      </c>
      <c r="F239" s="195"/>
      <c r="G239" s="269" t="s">
        <v>82</v>
      </c>
      <c r="H239" s="194" t="str">
        <f>X35</f>
        <v>1 per Dwelling</v>
      </c>
      <c r="I239" s="195"/>
      <c r="J239" s="269" t="str">
        <f>AA35</f>
        <v>1 per Dwelling</v>
      </c>
      <c r="K239" s="269" t="str">
        <f>Z35</f>
        <v>-</v>
      </c>
      <c r="L239" s="276" t="s">
        <v>415</v>
      </c>
      <c r="M239" s="270">
        <v>0</v>
      </c>
      <c r="N239" s="168"/>
      <c r="O239" s="280" t="s">
        <v>416</v>
      </c>
      <c r="P239" s="280"/>
      <c r="Q239" s="280"/>
      <c r="R239" s="281"/>
    </row>
    <row r="240" spans="1:18" x14ac:dyDescent="0.25">
      <c r="A240" s="82"/>
      <c r="B240" s="83"/>
      <c r="C240" s="261"/>
      <c r="D240" s="111"/>
      <c r="E240" s="196"/>
      <c r="F240" s="197"/>
      <c r="G240" s="269"/>
      <c r="H240" s="196"/>
      <c r="I240" s="197"/>
      <c r="J240" s="269"/>
      <c r="K240" s="269"/>
      <c r="L240" s="276"/>
      <c r="M240" s="271"/>
      <c r="N240" s="170"/>
      <c r="O240" s="238"/>
      <c r="P240" s="238"/>
      <c r="Q240" s="238"/>
      <c r="R240" s="282"/>
    </row>
    <row r="241" spans="1:18" ht="14.45" customHeight="1" x14ac:dyDescent="0.25">
      <c r="A241" s="82"/>
      <c r="B241" s="83"/>
      <c r="C241" s="261"/>
      <c r="D241" s="111"/>
      <c r="E241" s="196"/>
      <c r="F241" s="197"/>
      <c r="G241" s="269"/>
      <c r="H241" s="196"/>
      <c r="I241" s="197"/>
      <c r="J241" s="269"/>
      <c r="K241" s="269"/>
      <c r="L241" s="276"/>
      <c r="M241" s="271"/>
      <c r="N241" s="170"/>
      <c r="O241" s="238"/>
      <c r="P241" s="238"/>
      <c r="Q241" s="238"/>
      <c r="R241" s="282"/>
    </row>
    <row r="242" spans="1:18" ht="14.45" customHeight="1" x14ac:dyDescent="0.25">
      <c r="A242" s="82"/>
      <c r="B242" s="83"/>
      <c r="C242" s="261"/>
      <c r="D242" s="111"/>
      <c r="E242" s="196"/>
      <c r="F242" s="197"/>
      <c r="G242" s="269"/>
      <c r="H242" s="196"/>
      <c r="I242" s="197"/>
      <c r="J242" s="269"/>
      <c r="K242" s="269"/>
      <c r="L242" s="276"/>
      <c r="M242" s="271"/>
      <c r="N242" s="170"/>
      <c r="O242" s="238"/>
      <c r="P242" s="238"/>
      <c r="Q242" s="238"/>
      <c r="R242" s="282"/>
    </row>
    <row r="243" spans="1:18" x14ac:dyDescent="0.25">
      <c r="A243" s="82"/>
      <c r="B243" s="83"/>
      <c r="C243" s="261"/>
      <c r="D243" s="111"/>
      <c r="E243" s="196"/>
      <c r="F243" s="197"/>
      <c r="G243" s="269"/>
      <c r="H243" s="196"/>
      <c r="I243" s="197"/>
      <c r="J243" s="269"/>
      <c r="K243" s="269"/>
      <c r="L243" s="276"/>
      <c r="M243" s="271"/>
      <c r="N243" s="170"/>
      <c r="O243" s="238"/>
      <c r="P243" s="238"/>
      <c r="Q243" s="238"/>
      <c r="R243" s="282"/>
    </row>
    <row r="244" spans="1:18" x14ac:dyDescent="0.25">
      <c r="A244" s="82"/>
      <c r="B244" s="83"/>
      <c r="C244" s="261"/>
      <c r="D244" s="111"/>
      <c r="E244" s="196"/>
      <c r="F244" s="197"/>
      <c r="G244" s="269"/>
      <c r="H244" s="196"/>
      <c r="I244" s="197"/>
      <c r="J244" s="269"/>
      <c r="K244" s="269"/>
      <c r="L244" s="276"/>
      <c r="M244" s="271"/>
      <c r="N244" s="170"/>
      <c r="O244" s="238"/>
      <c r="P244" s="238"/>
      <c r="Q244" s="238"/>
      <c r="R244" s="282"/>
    </row>
    <row r="245" spans="1:18" x14ac:dyDescent="0.25">
      <c r="A245" s="82"/>
      <c r="B245" s="83"/>
      <c r="C245" s="261"/>
      <c r="D245" s="111"/>
      <c r="E245" s="196"/>
      <c r="F245" s="197"/>
      <c r="G245" s="269"/>
      <c r="H245" s="196"/>
      <c r="I245" s="197"/>
      <c r="J245" s="269"/>
      <c r="K245" s="269"/>
      <c r="L245" s="276"/>
      <c r="M245" s="271"/>
      <c r="N245" s="170"/>
      <c r="O245" s="238"/>
      <c r="P245" s="238"/>
      <c r="Q245" s="238"/>
      <c r="R245" s="282"/>
    </row>
    <row r="246" spans="1:18" ht="15.75" thickBot="1" x14ac:dyDescent="0.3">
      <c r="A246" s="82"/>
      <c r="B246" s="83"/>
      <c r="C246" s="261"/>
      <c r="D246" s="111"/>
      <c r="E246" s="198"/>
      <c r="F246" s="199"/>
      <c r="G246" s="269"/>
      <c r="H246" s="198"/>
      <c r="I246" s="199"/>
      <c r="J246" s="269"/>
      <c r="K246" s="269"/>
      <c r="L246" s="276"/>
      <c r="M246" s="272"/>
      <c r="N246" s="172"/>
      <c r="O246" s="283"/>
      <c r="P246" s="283"/>
      <c r="Q246" s="283"/>
      <c r="R246" s="284"/>
    </row>
    <row r="247" spans="1:18" ht="14.45" customHeight="1" x14ac:dyDescent="0.25">
      <c r="A247" s="82"/>
      <c r="B247" s="83"/>
      <c r="C247" s="261" t="s">
        <v>417</v>
      </c>
      <c r="D247" s="111"/>
      <c r="E247" s="194" t="str">
        <f>V36</f>
        <v>1 per Dwelling</v>
      </c>
      <c r="F247" s="195"/>
      <c r="G247" s="269" t="s">
        <v>82</v>
      </c>
      <c r="H247" s="194" t="str">
        <f>X36</f>
        <v>1 per Dwelling</v>
      </c>
      <c r="I247" s="195"/>
      <c r="J247" s="269" t="str">
        <f>AA36</f>
        <v>1 per Dwelling</v>
      </c>
      <c r="K247" s="269" t="str">
        <f>Z36</f>
        <v>-</v>
      </c>
      <c r="L247" s="276" t="s">
        <v>415</v>
      </c>
      <c r="M247" s="270">
        <v>0</v>
      </c>
      <c r="N247" s="168"/>
      <c r="O247" s="280" t="s">
        <v>418</v>
      </c>
      <c r="P247" s="280"/>
      <c r="Q247" s="280"/>
      <c r="R247" s="281"/>
    </row>
    <row r="248" spans="1:18" x14ac:dyDescent="0.25">
      <c r="A248" s="82"/>
      <c r="B248" s="83"/>
      <c r="C248" s="261"/>
      <c r="D248" s="111"/>
      <c r="E248" s="196"/>
      <c r="F248" s="197"/>
      <c r="G248" s="269"/>
      <c r="H248" s="196"/>
      <c r="I248" s="197"/>
      <c r="J248" s="269"/>
      <c r="K248" s="269"/>
      <c r="L248" s="276"/>
      <c r="M248" s="271"/>
      <c r="N248" s="170"/>
      <c r="O248" s="238"/>
      <c r="P248" s="238"/>
      <c r="Q248" s="238"/>
      <c r="R248" s="282"/>
    </row>
    <row r="249" spans="1:18" x14ac:dyDescent="0.25">
      <c r="A249" s="82"/>
      <c r="B249" s="83"/>
      <c r="C249" s="261"/>
      <c r="D249" s="111"/>
      <c r="E249" s="196"/>
      <c r="F249" s="197"/>
      <c r="G249" s="269"/>
      <c r="H249" s="196"/>
      <c r="I249" s="197"/>
      <c r="J249" s="269"/>
      <c r="K249" s="269"/>
      <c r="L249" s="276"/>
      <c r="M249" s="271"/>
      <c r="N249" s="170"/>
      <c r="O249" s="238"/>
      <c r="P249" s="238"/>
      <c r="Q249" s="238"/>
      <c r="R249" s="282"/>
    </row>
    <row r="250" spans="1:18" x14ac:dyDescent="0.25">
      <c r="A250" s="82"/>
      <c r="B250" s="83"/>
      <c r="C250" s="261"/>
      <c r="D250" s="111"/>
      <c r="E250" s="196"/>
      <c r="F250" s="197"/>
      <c r="G250" s="269"/>
      <c r="H250" s="196"/>
      <c r="I250" s="197"/>
      <c r="J250" s="269"/>
      <c r="K250" s="269"/>
      <c r="L250" s="276"/>
      <c r="M250" s="271"/>
      <c r="N250" s="170"/>
      <c r="O250" s="238"/>
      <c r="P250" s="238"/>
      <c r="Q250" s="238"/>
      <c r="R250" s="282"/>
    </row>
    <row r="251" spans="1:18" x14ac:dyDescent="0.25">
      <c r="A251" s="82"/>
      <c r="B251" s="83"/>
      <c r="C251" s="261"/>
      <c r="D251" s="111"/>
      <c r="E251" s="196"/>
      <c r="F251" s="197"/>
      <c r="G251" s="269"/>
      <c r="H251" s="196"/>
      <c r="I251" s="197"/>
      <c r="J251" s="269"/>
      <c r="K251" s="269"/>
      <c r="L251" s="276"/>
      <c r="M251" s="271"/>
      <c r="N251" s="170"/>
      <c r="O251" s="238"/>
      <c r="P251" s="238"/>
      <c r="Q251" s="238"/>
      <c r="R251" s="282"/>
    </row>
    <row r="252" spans="1:18" ht="14.45" customHeight="1" x14ac:dyDescent="0.25">
      <c r="A252" s="82"/>
      <c r="B252" s="83"/>
      <c r="C252" s="261"/>
      <c r="D252" s="111"/>
      <c r="E252" s="196"/>
      <c r="F252" s="197"/>
      <c r="G252" s="269"/>
      <c r="H252" s="196"/>
      <c r="I252" s="197"/>
      <c r="J252" s="269"/>
      <c r="K252" s="269"/>
      <c r="L252" s="276"/>
      <c r="M252" s="271"/>
      <c r="N252" s="170"/>
      <c r="O252" s="238"/>
      <c r="P252" s="238"/>
      <c r="Q252" s="238"/>
      <c r="R252" s="282"/>
    </row>
    <row r="253" spans="1:18" ht="14.45" customHeight="1" x14ac:dyDescent="0.25">
      <c r="A253" s="82"/>
      <c r="B253" s="83"/>
      <c r="C253" s="261"/>
      <c r="D253" s="111"/>
      <c r="E253" s="196"/>
      <c r="F253" s="197"/>
      <c r="G253" s="269"/>
      <c r="H253" s="196"/>
      <c r="I253" s="197"/>
      <c r="J253" s="269"/>
      <c r="K253" s="269"/>
      <c r="L253" s="276"/>
      <c r="M253" s="271"/>
      <c r="N253" s="170"/>
      <c r="O253" s="238"/>
      <c r="P253" s="238"/>
      <c r="Q253" s="238"/>
      <c r="R253" s="282"/>
    </row>
    <row r="254" spans="1:18" ht="14.45" customHeight="1" thickBot="1" x14ac:dyDescent="0.3">
      <c r="A254" s="82"/>
      <c r="B254" s="83"/>
      <c r="C254" s="261"/>
      <c r="D254" s="111"/>
      <c r="E254" s="198"/>
      <c r="F254" s="199"/>
      <c r="G254" s="269"/>
      <c r="H254" s="198"/>
      <c r="I254" s="199"/>
      <c r="J254" s="269"/>
      <c r="K254" s="269"/>
      <c r="L254" s="276"/>
      <c r="M254" s="272"/>
      <c r="N254" s="172"/>
      <c r="O254" s="283"/>
      <c r="P254" s="283"/>
      <c r="Q254" s="283"/>
      <c r="R254" s="284"/>
    </row>
    <row r="255" spans="1:18" ht="14.45" customHeight="1" x14ac:dyDescent="0.25">
      <c r="A255" s="82"/>
      <c r="B255" s="83"/>
      <c r="C255" s="261" t="s">
        <v>419</v>
      </c>
      <c r="D255" s="111"/>
      <c r="E255" s="194" t="str">
        <f>V37</f>
        <v>1 per Guest Room</v>
      </c>
      <c r="F255" s="195"/>
      <c r="G255" s="269" t="s">
        <v>82</v>
      </c>
      <c r="H255" s="194" t="str">
        <f>X37</f>
        <v>1 per Guest Room</v>
      </c>
      <c r="I255" s="195"/>
      <c r="J255" s="269" t="str">
        <f>AA37</f>
        <v>1 per Guest Room</v>
      </c>
      <c r="K255" s="269" t="str">
        <f>Z37</f>
        <v>-</v>
      </c>
      <c r="L255" s="276" t="s">
        <v>82</v>
      </c>
      <c r="M255" s="270">
        <v>0</v>
      </c>
      <c r="N255" s="168"/>
    </row>
    <row r="256" spans="1:18" x14ac:dyDescent="0.25">
      <c r="A256" s="82"/>
      <c r="B256" s="83"/>
      <c r="C256" s="261"/>
      <c r="D256" s="111"/>
      <c r="E256" s="196"/>
      <c r="F256" s="197"/>
      <c r="G256" s="269"/>
      <c r="H256" s="196"/>
      <c r="I256" s="197"/>
      <c r="J256" s="269"/>
      <c r="K256" s="269"/>
      <c r="L256" s="276"/>
      <c r="M256" s="271"/>
      <c r="N256" s="170"/>
    </row>
    <row r="257" spans="1:18" x14ac:dyDescent="0.25">
      <c r="A257" s="82"/>
      <c r="B257" s="83"/>
      <c r="C257" s="261"/>
      <c r="D257" s="111"/>
      <c r="E257" s="196"/>
      <c r="F257" s="197"/>
      <c r="G257" s="269"/>
      <c r="H257" s="196"/>
      <c r="I257" s="197"/>
      <c r="J257" s="269"/>
      <c r="K257" s="269"/>
      <c r="L257" s="276"/>
      <c r="M257" s="271"/>
      <c r="N257" s="170"/>
    </row>
    <row r="258" spans="1:18" ht="14.45" customHeight="1" x14ac:dyDescent="0.25">
      <c r="A258" s="82"/>
      <c r="B258" s="83"/>
      <c r="C258" s="261"/>
      <c r="D258" s="111"/>
      <c r="E258" s="196"/>
      <c r="F258" s="197"/>
      <c r="G258" s="269"/>
      <c r="H258" s="196"/>
      <c r="I258" s="197"/>
      <c r="J258" s="269"/>
      <c r="K258" s="269"/>
      <c r="L258" s="276"/>
      <c r="M258" s="271"/>
      <c r="N258" s="170"/>
    </row>
    <row r="259" spans="1:18" x14ac:dyDescent="0.25">
      <c r="A259" s="82"/>
      <c r="B259" s="83"/>
      <c r="C259" s="261"/>
      <c r="D259" s="111"/>
      <c r="E259" s="196"/>
      <c r="F259" s="197"/>
      <c r="G259" s="269"/>
      <c r="H259" s="196"/>
      <c r="I259" s="197"/>
      <c r="J259" s="269"/>
      <c r="K259" s="269"/>
      <c r="L259" s="276"/>
      <c r="M259" s="271"/>
      <c r="N259" s="170"/>
    </row>
    <row r="260" spans="1:18" x14ac:dyDescent="0.25">
      <c r="A260" s="82"/>
      <c r="B260" s="83"/>
      <c r="C260" s="261"/>
      <c r="D260" s="111"/>
      <c r="E260" s="196"/>
      <c r="F260" s="197"/>
      <c r="G260" s="269"/>
      <c r="H260" s="196"/>
      <c r="I260" s="197"/>
      <c r="J260" s="269"/>
      <c r="K260" s="269"/>
      <c r="L260" s="276"/>
      <c r="M260" s="271"/>
      <c r="N260" s="170"/>
    </row>
    <row r="261" spans="1:18" x14ac:dyDescent="0.25">
      <c r="A261" s="82"/>
      <c r="B261" s="83"/>
      <c r="C261" s="261"/>
      <c r="D261" s="111"/>
      <c r="E261" s="196"/>
      <c r="F261" s="197"/>
      <c r="G261" s="269"/>
      <c r="H261" s="196"/>
      <c r="I261" s="197"/>
      <c r="J261" s="269"/>
      <c r="K261" s="269"/>
      <c r="L261" s="276"/>
      <c r="M261" s="271"/>
      <c r="N261" s="170"/>
    </row>
    <row r="262" spans="1:18" ht="14.45" customHeight="1" thickBot="1" x14ac:dyDescent="0.3">
      <c r="A262" s="82"/>
      <c r="B262" s="83"/>
      <c r="C262" s="261"/>
      <c r="D262" s="111"/>
      <c r="E262" s="198"/>
      <c r="F262" s="199"/>
      <c r="G262" s="269"/>
      <c r="H262" s="198"/>
      <c r="I262" s="199"/>
      <c r="J262" s="269"/>
      <c r="K262" s="269"/>
      <c r="L262" s="276"/>
      <c r="M262" s="272"/>
      <c r="N262" s="172"/>
    </row>
    <row r="263" spans="1:18" x14ac:dyDescent="0.25">
      <c r="A263" s="82"/>
      <c r="B263" s="83"/>
      <c r="C263" s="261" t="s">
        <v>376</v>
      </c>
      <c r="D263" s="111"/>
      <c r="E263" s="194" t="str">
        <f>V38</f>
        <v>1 per Every 3 Guest Rooms</v>
      </c>
      <c r="F263" s="195"/>
      <c r="G263" s="269" t="s">
        <v>82</v>
      </c>
      <c r="H263" s="194" t="str">
        <f>X38</f>
        <v>1 per Every 3 Guest Rooms</v>
      </c>
      <c r="I263" s="195"/>
      <c r="J263" s="269" t="str">
        <f>AA38</f>
        <v>1 per Every 3 Guest Rooms</v>
      </c>
      <c r="K263" s="269" t="str">
        <f>Z38</f>
        <v>-</v>
      </c>
      <c r="L263" s="276" t="str">
        <f>IF(OR(M263&gt;0,N263&gt;0),"One Mop Sink per Floor",IF(AND(OR(M263&gt;0,N263&gt;0),M263+N263&gt;P37),"One Mop Sink per Floor",IF(AND(OR(M263&gt;0,N263&gt;0),M263+N263&lt;P37),Z43,IF(P37=0,"-","One Mop Sink per Floor"))))</f>
        <v>-</v>
      </c>
      <c r="M263" s="270">
        <v>0</v>
      </c>
      <c r="N263" s="168"/>
      <c r="O263" s="280" t="s">
        <v>420</v>
      </c>
      <c r="P263" s="280"/>
      <c r="Q263" s="280"/>
      <c r="R263" s="281"/>
    </row>
    <row r="264" spans="1:18" x14ac:dyDescent="0.25">
      <c r="A264" s="82"/>
      <c r="B264" s="83"/>
      <c r="C264" s="261"/>
      <c r="D264" s="111"/>
      <c r="E264" s="196"/>
      <c r="F264" s="197"/>
      <c r="G264" s="269"/>
      <c r="H264" s="196"/>
      <c r="I264" s="197"/>
      <c r="J264" s="269"/>
      <c r="K264" s="269"/>
      <c r="L264" s="276"/>
      <c r="M264" s="271"/>
      <c r="N264" s="170"/>
      <c r="O264" s="238"/>
      <c r="P264" s="238"/>
      <c r="Q264" s="238"/>
      <c r="R264" s="282"/>
    </row>
    <row r="265" spans="1:18" x14ac:dyDescent="0.25">
      <c r="A265" s="82"/>
      <c r="B265" s="83"/>
      <c r="C265" s="261"/>
      <c r="D265" s="111"/>
      <c r="E265" s="196"/>
      <c r="F265" s="197"/>
      <c r="G265" s="269"/>
      <c r="H265" s="196"/>
      <c r="I265" s="197"/>
      <c r="J265" s="269"/>
      <c r="K265" s="269"/>
      <c r="L265" s="276"/>
      <c r="M265" s="271"/>
      <c r="N265" s="170"/>
      <c r="O265" s="238"/>
      <c r="P265" s="238"/>
      <c r="Q265" s="238"/>
      <c r="R265" s="282"/>
    </row>
    <row r="266" spans="1:18" x14ac:dyDescent="0.25">
      <c r="A266" s="82"/>
      <c r="B266" s="83"/>
      <c r="C266" s="261"/>
      <c r="D266" s="111"/>
      <c r="E266" s="196"/>
      <c r="F266" s="197"/>
      <c r="G266" s="269"/>
      <c r="H266" s="196"/>
      <c r="I266" s="197"/>
      <c r="J266" s="269"/>
      <c r="K266" s="269"/>
      <c r="L266" s="276"/>
      <c r="M266" s="271"/>
      <c r="N266" s="170"/>
      <c r="O266" s="238"/>
      <c r="P266" s="238"/>
      <c r="Q266" s="238"/>
      <c r="R266" s="282"/>
    </row>
    <row r="267" spans="1:18" ht="14.45" customHeight="1" x14ac:dyDescent="0.25">
      <c r="A267" s="82"/>
      <c r="B267" s="83"/>
      <c r="C267" s="261"/>
      <c r="D267" s="111"/>
      <c r="E267" s="196"/>
      <c r="F267" s="197"/>
      <c r="G267" s="269"/>
      <c r="H267" s="196"/>
      <c r="I267" s="197"/>
      <c r="J267" s="269"/>
      <c r="K267" s="269"/>
      <c r="L267" s="276"/>
      <c r="M267" s="271"/>
      <c r="N267" s="170"/>
      <c r="O267" s="238"/>
      <c r="P267" s="238"/>
      <c r="Q267" s="238"/>
      <c r="R267" s="282"/>
    </row>
    <row r="268" spans="1:18" x14ac:dyDescent="0.25">
      <c r="A268" s="82"/>
      <c r="B268" s="83"/>
      <c r="C268" s="261"/>
      <c r="D268" s="111"/>
      <c r="E268" s="196"/>
      <c r="F268" s="197"/>
      <c r="G268" s="269"/>
      <c r="H268" s="196"/>
      <c r="I268" s="197"/>
      <c r="J268" s="269"/>
      <c r="K268" s="269"/>
      <c r="L268" s="276"/>
      <c r="M268" s="271"/>
      <c r="N268" s="170"/>
      <c r="O268" s="238"/>
      <c r="P268" s="238"/>
      <c r="Q268" s="238"/>
      <c r="R268" s="282"/>
    </row>
    <row r="269" spans="1:18" x14ac:dyDescent="0.25">
      <c r="A269" s="82"/>
      <c r="B269" s="83"/>
      <c r="C269" s="261"/>
      <c r="D269" s="111"/>
      <c r="E269" s="196"/>
      <c r="F269" s="197"/>
      <c r="G269" s="269"/>
      <c r="H269" s="196"/>
      <c r="I269" s="197"/>
      <c r="J269" s="269"/>
      <c r="K269" s="269"/>
      <c r="L269" s="276"/>
      <c r="M269" s="271"/>
      <c r="N269" s="170"/>
      <c r="O269" s="238"/>
      <c r="P269" s="238"/>
      <c r="Q269" s="238"/>
      <c r="R269" s="282"/>
    </row>
    <row r="270" spans="1:18" ht="15.75" thickBot="1" x14ac:dyDescent="0.3">
      <c r="A270" s="82"/>
      <c r="B270" s="83"/>
      <c r="C270" s="261"/>
      <c r="D270" s="111"/>
      <c r="E270" s="198"/>
      <c r="F270" s="199"/>
      <c r="G270" s="269"/>
      <c r="H270" s="198"/>
      <c r="I270" s="199"/>
      <c r="J270" s="269"/>
      <c r="K270" s="269"/>
      <c r="L270" s="276"/>
      <c r="M270" s="272"/>
      <c r="N270" s="172"/>
      <c r="O270" s="283"/>
      <c r="P270" s="283"/>
      <c r="Q270" s="283"/>
      <c r="R270" s="284"/>
    </row>
    <row r="271" spans="1:18" x14ac:dyDescent="0.25">
      <c r="A271" s="82"/>
      <c r="B271" s="83"/>
      <c r="C271" s="261" t="s">
        <v>421</v>
      </c>
      <c r="D271" s="111"/>
      <c r="E271" s="269">
        <f>V39</f>
        <v>0</v>
      </c>
      <c r="F271" s="269">
        <f>W39</f>
        <v>0</v>
      </c>
      <c r="G271" s="269" t="str">
        <f>IF(E271&gt;0,"Can substitute up to 33% of required fixtures (10.10 Table 1)","-")</f>
        <v>-</v>
      </c>
      <c r="H271" s="269">
        <f>X39</f>
        <v>0</v>
      </c>
      <c r="I271" s="269">
        <f>Y39</f>
        <v>0</v>
      </c>
      <c r="J271" s="269" t="str">
        <f>AA39</f>
        <v>0 each gender</v>
      </c>
      <c r="K271" s="269" t="str">
        <f>IF(OR(M271&gt;0,N271&gt;0),Z73,IF(AND(OR(M271&gt;0,N271&gt;0),M271+N271&gt;P45),Z73,IF(AND(OR(M271&gt;0,N271&gt;0),M271+N271&lt;P45),Z73,IF(P45=0,"-",Z73))))</f>
        <v>-</v>
      </c>
      <c r="L271" s="276" t="str">
        <f>IF(OR(M271&gt;0,N271&gt;0),"One Mop Sink per Floor",IF(AND(OR(M271&gt;0,N271&gt;0),M271+N271&gt;P45),"One Mop Sink per Floor",IF(AND(OR(M271&gt;0,N271&gt;0),M271+N271&lt;P45),Z51,IF(P45=0,"-","One Mop Sink per Floor"))))</f>
        <v>-</v>
      </c>
      <c r="M271" s="266">
        <v>0</v>
      </c>
      <c r="N271" s="97">
        <f>M271</f>
        <v>0</v>
      </c>
    </row>
    <row r="272" spans="1:18" x14ac:dyDescent="0.25">
      <c r="A272" s="82"/>
      <c r="B272" s="83"/>
      <c r="C272" s="261"/>
      <c r="D272" s="111"/>
      <c r="E272" s="269"/>
      <c r="F272" s="269"/>
      <c r="G272" s="269"/>
      <c r="H272" s="269"/>
      <c r="I272" s="269"/>
      <c r="J272" s="269"/>
      <c r="K272" s="269"/>
      <c r="L272" s="276"/>
      <c r="M272" s="266"/>
      <c r="N272" s="97"/>
    </row>
    <row r="273" spans="1:14" x14ac:dyDescent="0.25">
      <c r="A273" s="82"/>
      <c r="B273" s="83"/>
      <c r="C273" s="261"/>
      <c r="D273" s="111"/>
      <c r="E273" s="269"/>
      <c r="F273" s="269"/>
      <c r="G273" s="269"/>
      <c r="H273" s="269"/>
      <c r="I273" s="269"/>
      <c r="J273" s="269"/>
      <c r="K273" s="269"/>
      <c r="L273" s="276"/>
      <c r="M273" s="266"/>
      <c r="N273" s="97"/>
    </row>
    <row r="274" spans="1:14" x14ac:dyDescent="0.25">
      <c r="A274" s="82"/>
      <c r="B274" s="83"/>
      <c r="C274" s="261"/>
      <c r="D274" s="111"/>
      <c r="E274" s="269"/>
      <c r="F274" s="269"/>
      <c r="G274" s="269"/>
      <c r="H274" s="269"/>
      <c r="I274" s="269"/>
      <c r="J274" s="269"/>
      <c r="K274" s="269"/>
      <c r="L274" s="276"/>
      <c r="M274" s="266"/>
      <c r="N274" s="97"/>
    </row>
    <row r="275" spans="1:14" x14ac:dyDescent="0.25">
      <c r="A275" s="82"/>
      <c r="B275" s="83"/>
      <c r="C275" s="261"/>
      <c r="D275" s="111"/>
      <c r="E275" s="269"/>
      <c r="F275" s="269"/>
      <c r="G275" s="269"/>
      <c r="H275" s="269"/>
      <c r="I275" s="269"/>
      <c r="J275" s="269"/>
      <c r="K275" s="269"/>
      <c r="L275" s="276"/>
      <c r="M275" s="266"/>
      <c r="N275" s="97"/>
    </row>
    <row r="276" spans="1:14" x14ac:dyDescent="0.25">
      <c r="A276" s="82"/>
      <c r="B276" s="83"/>
      <c r="C276" s="261"/>
      <c r="D276" s="111"/>
      <c r="E276" s="269"/>
      <c r="F276" s="269"/>
      <c r="G276" s="269"/>
      <c r="H276" s="269"/>
      <c r="I276" s="269"/>
      <c r="J276" s="269"/>
      <c r="K276" s="269"/>
      <c r="L276" s="276"/>
      <c r="M276" s="266"/>
      <c r="N276" s="97"/>
    </row>
    <row r="277" spans="1:14" x14ac:dyDescent="0.25">
      <c r="A277" s="82"/>
      <c r="B277" s="83"/>
      <c r="C277" s="261"/>
      <c r="D277" s="111"/>
      <c r="E277" s="269"/>
      <c r="F277" s="269"/>
      <c r="G277" s="269"/>
      <c r="H277" s="269"/>
      <c r="I277" s="269"/>
      <c r="J277" s="269"/>
      <c r="K277" s="269"/>
      <c r="L277" s="276"/>
      <c r="M277" s="266"/>
      <c r="N277" s="97"/>
    </row>
    <row r="278" spans="1:14" x14ac:dyDescent="0.25">
      <c r="A278" s="82"/>
      <c r="B278" s="83"/>
      <c r="C278" s="261"/>
      <c r="D278" s="111"/>
      <c r="E278" s="269"/>
      <c r="F278" s="269"/>
      <c r="G278" s="269"/>
      <c r="H278" s="269"/>
      <c r="I278" s="269"/>
      <c r="J278" s="269"/>
      <c r="K278" s="269"/>
      <c r="L278" s="276"/>
      <c r="M278" s="266"/>
      <c r="N278" s="97"/>
    </row>
    <row r="279" spans="1:14" x14ac:dyDescent="0.25">
      <c r="A279" s="82"/>
      <c r="B279" s="83"/>
      <c r="C279" s="261" t="s">
        <v>422</v>
      </c>
      <c r="D279" s="111"/>
      <c r="E279" s="194" t="str">
        <f>V40</f>
        <v>1 per 20 Including Staff</v>
      </c>
      <c r="F279" s="195"/>
      <c r="G279" s="269" t="s">
        <v>82</v>
      </c>
      <c r="H279" s="194" t="str">
        <f>X40</f>
        <v>1 per 20 Including Staff</v>
      </c>
      <c r="I279" s="195"/>
      <c r="J279" s="269" t="str">
        <f>AA40</f>
        <v>-</v>
      </c>
      <c r="K279" s="269" t="str">
        <f>Z41</f>
        <v>-</v>
      </c>
      <c r="L279" s="276" t="str">
        <f>IF(M279&gt;0,"One Mop Sink per Floor",IF(AND(M279&gt;0,M279&gt;P5),"One Mop Sink per Floor",IF(AND(M279&gt;0,M279&lt;P5),Z40,IF(P5=0,"-","One Mop Sink per Floor"))))</f>
        <v>-</v>
      </c>
      <c r="M279" s="270">
        <v>0</v>
      </c>
      <c r="N279" s="168"/>
    </row>
    <row r="280" spans="1:14" x14ac:dyDescent="0.25">
      <c r="A280" s="82"/>
      <c r="B280" s="83"/>
      <c r="C280" s="261"/>
      <c r="D280" s="111"/>
      <c r="E280" s="196"/>
      <c r="F280" s="197"/>
      <c r="G280" s="269"/>
      <c r="H280" s="196"/>
      <c r="I280" s="197"/>
      <c r="J280" s="269"/>
      <c r="K280" s="269"/>
      <c r="L280" s="276"/>
      <c r="M280" s="271"/>
      <c r="N280" s="170"/>
    </row>
    <row r="281" spans="1:14" x14ac:dyDescent="0.25">
      <c r="A281" s="82"/>
      <c r="B281" s="83"/>
      <c r="C281" s="261"/>
      <c r="D281" s="111"/>
      <c r="E281" s="196"/>
      <c r="F281" s="197"/>
      <c r="G281" s="269"/>
      <c r="H281" s="196"/>
      <c r="I281" s="197"/>
      <c r="J281" s="269"/>
      <c r="K281" s="269"/>
      <c r="L281" s="276"/>
      <c r="M281" s="271"/>
      <c r="N281" s="170"/>
    </row>
    <row r="282" spans="1:14" x14ac:dyDescent="0.25">
      <c r="A282" s="82"/>
      <c r="B282" s="83"/>
      <c r="C282" s="261"/>
      <c r="D282" s="111"/>
      <c r="E282" s="196"/>
      <c r="F282" s="197"/>
      <c r="G282" s="269"/>
      <c r="H282" s="196"/>
      <c r="I282" s="197"/>
      <c r="J282" s="269"/>
      <c r="K282" s="269"/>
      <c r="L282" s="276"/>
      <c r="M282" s="271"/>
      <c r="N282" s="170"/>
    </row>
    <row r="283" spans="1:14" x14ac:dyDescent="0.25">
      <c r="A283" s="82"/>
      <c r="B283" s="83"/>
      <c r="C283" s="261"/>
      <c r="D283" s="111"/>
      <c r="E283" s="196"/>
      <c r="F283" s="197"/>
      <c r="G283" s="269"/>
      <c r="H283" s="196"/>
      <c r="I283" s="197"/>
      <c r="J283" s="269"/>
      <c r="K283" s="269"/>
      <c r="L283" s="276"/>
      <c r="M283" s="271"/>
      <c r="N283" s="170"/>
    </row>
    <row r="284" spans="1:14" x14ac:dyDescent="0.25">
      <c r="A284" s="82"/>
      <c r="B284" s="83"/>
      <c r="C284" s="261"/>
      <c r="D284" s="111"/>
      <c r="E284" s="196"/>
      <c r="F284" s="197"/>
      <c r="G284" s="269"/>
      <c r="H284" s="196"/>
      <c r="I284" s="197"/>
      <c r="J284" s="269"/>
      <c r="K284" s="269"/>
      <c r="L284" s="276"/>
      <c r="M284" s="271"/>
      <c r="N284" s="170"/>
    </row>
    <row r="285" spans="1:14" x14ac:dyDescent="0.25">
      <c r="A285" s="82"/>
      <c r="B285" s="83"/>
      <c r="C285" s="261"/>
      <c r="D285" s="111"/>
      <c r="E285" s="196"/>
      <c r="F285" s="197"/>
      <c r="G285" s="269"/>
      <c r="H285" s="196"/>
      <c r="I285" s="197"/>
      <c r="J285" s="269"/>
      <c r="K285" s="269"/>
      <c r="L285" s="276"/>
      <c r="M285" s="271"/>
      <c r="N285" s="170"/>
    </row>
    <row r="286" spans="1:14" x14ac:dyDescent="0.25">
      <c r="A286" s="82"/>
      <c r="B286" s="83"/>
      <c r="C286" s="261"/>
      <c r="D286" s="111"/>
      <c r="E286" s="198"/>
      <c r="F286" s="199"/>
      <c r="G286" s="269"/>
      <c r="H286" s="198"/>
      <c r="I286" s="199"/>
      <c r="J286" s="269"/>
      <c r="K286" s="269"/>
      <c r="L286" s="276"/>
      <c r="M286" s="272"/>
      <c r="N286" s="172"/>
    </row>
    <row r="287" spans="1:14" x14ac:dyDescent="0.25">
      <c r="A287" s="82"/>
      <c r="B287" s="83"/>
      <c r="C287" s="261" t="s">
        <v>423</v>
      </c>
      <c r="D287" s="111"/>
      <c r="E287" s="269">
        <f>V41</f>
        <v>0</v>
      </c>
      <c r="F287" s="269">
        <f>W41</f>
        <v>0</v>
      </c>
      <c r="G287" s="269" t="str">
        <f>IF(E287&gt;0,"Can substitute up to 33% of required fixtures (10.10 Table 1)","-")</f>
        <v>-</v>
      </c>
      <c r="H287" s="269">
        <f>X42</f>
        <v>0</v>
      </c>
      <c r="I287" s="269">
        <f>Y42</f>
        <v>0</v>
      </c>
      <c r="J287" s="269">
        <f>AA41</f>
        <v>0</v>
      </c>
      <c r="K287" s="269" t="str">
        <f>Z42</f>
        <v>-</v>
      </c>
      <c r="L287" s="276" t="str">
        <f>IF(OR(M287&gt;0,N287&gt;0),"One Mop Sink per Floor",IF(AND(OR(M287&gt;0,N287&gt;0),M287+N287&gt;P5),"One Mop Sink per Floor",IF(AND(OR(M287&gt;0,N287&gt;0),M287+N287&lt;P5),Z42,IF(P5=0,"-","One Mop Sink per Floor"))))</f>
        <v>-</v>
      </c>
      <c r="M287" s="266">
        <v>0</v>
      </c>
      <c r="N287" s="97">
        <f>M287</f>
        <v>0</v>
      </c>
    </row>
    <row r="288" spans="1:14" x14ac:dyDescent="0.25">
      <c r="A288" s="82"/>
      <c r="B288" s="83"/>
      <c r="C288" s="261"/>
      <c r="D288" s="111"/>
      <c r="E288" s="269"/>
      <c r="F288" s="269"/>
      <c r="G288" s="269"/>
      <c r="H288" s="269"/>
      <c r="I288" s="269"/>
      <c r="J288" s="269"/>
      <c r="K288" s="269"/>
      <c r="L288" s="276"/>
      <c r="M288" s="266"/>
      <c r="N288" s="97"/>
    </row>
    <row r="289" spans="1:14" ht="14.45" customHeight="1" x14ac:dyDescent="0.25">
      <c r="A289" s="82"/>
      <c r="B289" s="83"/>
      <c r="C289" s="261"/>
      <c r="D289" s="111"/>
      <c r="E289" s="269"/>
      <c r="F289" s="269"/>
      <c r="G289" s="269"/>
      <c r="H289" s="269"/>
      <c r="I289" s="269"/>
      <c r="J289" s="269"/>
      <c r="K289" s="269"/>
      <c r="L289" s="276"/>
      <c r="M289" s="266"/>
      <c r="N289" s="97"/>
    </row>
    <row r="290" spans="1:14" x14ac:dyDescent="0.25">
      <c r="A290" s="82"/>
      <c r="B290" s="83"/>
      <c r="C290" s="261"/>
      <c r="D290" s="111"/>
      <c r="E290" s="269"/>
      <c r="F290" s="269"/>
      <c r="G290" s="269"/>
      <c r="H290" s="269"/>
      <c r="I290" s="269"/>
      <c r="J290" s="269"/>
      <c r="K290" s="269"/>
      <c r="L290" s="276"/>
      <c r="M290" s="266"/>
      <c r="N290" s="97"/>
    </row>
    <row r="291" spans="1:14" x14ac:dyDescent="0.25">
      <c r="A291" s="82"/>
      <c r="B291" s="83"/>
      <c r="C291" s="261"/>
      <c r="D291" s="111"/>
      <c r="E291" s="269"/>
      <c r="F291" s="269"/>
      <c r="G291" s="269"/>
      <c r="H291" s="269"/>
      <c r="I291" s="269"/>
      <c r="J291" s="269"/>
      <c r="K291" s="269"/>
      <c r="L291" s="276"/>
      <c r="M291" s="266"/>
      <c r="N291" s="97"/>
    </row>
    <row r="292" spans="1:14" x14ac:dyDescent="0.25">
      <c r="A292" s="82"/>
      <c r="B292" s="83"/>
      <c r="C292" s="261"/>
      <c r="D292" s="111"/>
      <c r="E292" s="269"/>
      <c r="F292" s="269"/>
      <c r="G292" s="269"/>
      <c r="H292" s="269"/>
      <c r="I292" s="269"/>
      <c r="J292" s="269"/>
      <c r="K292" s="269"/>
      <c r="L292" s="276"/>
      <c r="M292" s="266"/>
      <c r="N292" s="97"/>
    </row>
    <row r="293" spans="1:14" x14ac:dyDescent="0.25">
      <c r="A293" s="82"/>
      <c r="B293" s="83"/>
      <c r="C293" s="261"/>
      <c r="D293" s="111"/>
      <c r="E293" s="269"/>
      <c r="F293" s="269"/>
      <c r="G293" s="269"/>
      <c r="H293" s="269"/>
      <c r="I293" s="269"/>
      <c r="J293" s="269"/>
      <c r="K293" s="269"/>
      <c r="L293" s="276"/>
      <c r="M293" s="266"/>
      <c r="N293" s="97"/>
    </row>
    <row r="294" spans="1:14" x14ac:dyDescent="0.25">
      <c r="A294" s="82"/>
      <c r="B294" s="83"/>
      <c r="C294" s="261"/>
      <c r="D294" s="111"/>
      <c r="E294" s="269"/>
      <c r="F294" s="269"/>
      <c r="G294" s="269"/>
      <c r="H294" s="269"/>
      <c r="I294" s="269"/>
      <c r="J294" s="269"/>
      <c r="K294" s="269"/>
      <c r="L294" s="276"/>
      <c r="M294" s="266"/>
      <c r="N294" s="97"/>
    </row>
    <row r="295" spans="1:14" x14ac:dyDescent="0.25">
      <c r="A295" s="82"/>
      <c r="B295" s="83"/>
      <c r="C295" s="261" t="s">
        <v>354</v>
      </c>
      <c r="D295" s="111"/>
      <c r="E295" s="269">
        <f>V42</f>
        <v>0</v>
      </c>
      <c r="F295" s="269">
        <f>W42</f>
        <v>0</v>
      </c>
      <c r="G295" s="269" t="str">
        <f>IF(E295&gt;0,"Can substitute up to 67% of required fixtures (10.10 Table 1)","-")</f>
        <v>-</v>
      </c>
      <c r="H295" s="269">
        <f>X42</f>
        <v>0</v>
      </c>
      <c r="I295" s="269">
        <f>Y42</f>
        <v>0</v>
      </c>
      <c r="J295" s="269" t="str">
        <f>AA42</f>
        <v>-</v>
      </c>
      <c r="K295" s="269" t="s">
        <v>82</v>
      </c>
      <c r="L295" s="276" t="str">
        <f>Z42</f>
        <v>-</v>
      </c>
      <c r="M295" s="266">
        <v>0</v>
      </c>
      <c r="N295" s="97">
        <f>M295</f>
        <v>0</v>
      </c>
    </row>
    <row r="296" spans="1:14" ht="14.45" customHeight="1" x14ac:dyDescent="0.25">
      <c r="A296" s="82"/>
      <c r="B296" s="83"/>
      <c r="C296" s="261"/>
      <c r="D296" s="111"/>
      <c r="E296" s="269"/>
      <c r="F296" s="269"/>
      <c r="G296" s="269"/>
      <c r="H296" s="269"/>
      <c r="I296" s="269"/>
      <c r="J296" s="269"/>
      <c r="K296" s="269"/>
      <c r="L296" s="276"/>
      <c r="M296" s="266"/>
      <c r="N296" s="97"/>
    </row>
    <row r="297" spans="1:14" x14ac:dyDescent="0.25">
      <c r="A297" s="82"/>
      <c r="B297" s="83"/>
      <c r="C297" s="261"/>
      <c r="D297" s="111"/>
      <c r="E297" s="269"/>
      <c r="F297" s="269"/>
      <c r="G297" s="269"/>
      <c r="H297" s="269"/>
      <c r="I297" s="269"/>
      <c r="J297" s="269"/>
      <c r="K297" s="269"/>
      <c r="L297" s="276"/>
      <c r="M297" s="266"/>
      <c r="N297" s="97"/>
    </row>
    <row r="298" spans="1:14" x14ac:dyDescent="0.25">
      <c r="A298" s="82"/>
      <c r="B298" s="83"/>
      <c r="C298" s="261"/>
      <c r="D298" s="111"/>
      <c r="E298" s="269"/>
      <c r="F298" s="269"/>
      <c r="G298" s="269"/>
      <c r="H298" s="269"/>
      <c r="I298" s="269"/>
      <c r="J298" s="269"/>
      <c r="K298" s="269"/>
      <c r="L298" s="276"/>
      <c r="M298" s="266"/>
      <c r="N298" s="97"/>
    </row>
    <row r="299" spans="1:14" x14ac:dyDescent="0.25">
      <c r="A299" s="82"/>
      <c r="B299" s="83"/>
      <c r="C299" s="261"/>
      <c r="D299" s="111"/>
      <c r="E299" s="269"/>
      <c r="F299" s="269"/>
      <c r="G299" s="269"/>
      <c r="H299" s="269"/>
      <c r="I299" s="269"/>
      <c r="J299" s="269"/>
      <c r="K299" s="269"/>
      <c r="L299" s="276"/>
      <c r="M299" s="266"/>
      <c r="N299" s="97"/>
    </row>
    <row r="300" spans="1:14" x14ac:dyDescent="0.25">
      <c r="A300" s="82"/>
      <c r="B300" s="83"/>
      <c r="C300" s="261"/>
      <c r="D300" s="111"/>
      <c r="E300" s="269"/>
      <c r="F300" s="269"/>
      <c r="G300" s="269"/>
      <c r="H300" s="269"/>
      <c r="I300" s="269"/>
      <c r="J300" s="269"/>
      <c r="K300" s="269"/>
      <c r="L300" s="276"/>
      <c r="M300" s="266"/>
      <c r="N300" s="97"/>
    </row>
    <row r="301" spans="1:14" x14ac:dyDescent="0.25">
      <c r="A301" s="82"/>
      <c r="B301" s="83"/>
      <c r="C301" s="261"/>
      <c r="D301" s="111"/>
      <c r="E301" s="269"/>
      <c r="F301" s="269"/>
      <c r="G301" s="269"/>
      <c r="H301" s="269"/>
      <c r="I301" s="269"/>
      <c r="J301" s="269"/>
      <c r="K301" s="269"/>
      <c r="L301" s="276"/>
      <c r="M301" s="266"/>
      <c r="N301" s="97"/>
    </row>
    <row r="302" spans="1:14" ht="15.75" thickBot="1" x14ac:dyDescent="0.3">
      <c r="A302" s="84"/>
      <c r="B302" s="85"/>
      <c r="C302" s="261"/>
      <c r="D302" s="111"/>
      <c r="E302" s="269"/>
      <c r="F302" s="269"/>
      <c r="G302" s="269"/>
      <c r="H302" s="269"/>
      <c r="I302" s="269"/>
      <c r="J302" s="269"/>
      <c r="K302" s="269"/>
      <c r="L302" s="276"/>
      <c r="M302" s="266"/>
      <c r="N302" s="97"/>
    </row>
    <row r="303" spans="1:14" ht="15" customHeight="1" x14ac:dyDescent="0.25">
      <c r="A303" s="80" t="s">
        <v>424</v>
      </c>
      <c r="B303" s="81"/>
      <c r="C303" s="261" t="s">
        <v>425</v>
      </c>
      <c r="D303" s="111"/>
      <c r="E303" s="194" t="str">
        <f>V43</f>
        <v>None required if accessible facilities are located within 400 feet</v>
      </c>
      <c r="F303" s="334"/>
      <c r="G303" s="334"/>
      <c r="H303" s="334"/>
      <c r="I303" s="334"/>
      <c r="J303" s="334"/>
      <c r="K303" s="334"/>
      <c r="L303" s="335"/>
      <c r="M303" s="328"/>
      <c r="N303" s="329"/>
    </row>
    <row r="304" spans="1:14" x14ac:dyDescent="0.25">
      <c r="A304" s="82"/>
      <c r="B304" s="83"/>
      <c r="C304" s="261"/>
      <c r="D304" s="111"/>
      <c r="E304" s="196"/>
      <c r="F304" s="336"/>
      <c r="G304" s="336"/>
      <c r="H304" s="336"/>
      <c r="I304" s="336"/>
      <c r="J304" s="336"/>
      <c r="K304" s="336"/>
      <c r="L304" s="337"/>
      <c r="M304" s="330"/>
      <c r="N304" s="331"/>
    </row>
    <row r="305" spans="1:14" x14ac:dyDescent="0.25">
      <c r="A305" s="82"/>
      <c r="B305" s="83"/>
      <c r="C305" s="261"/>
      <c r="D305" s="111"/>
      <c r="E305" s="196"/>
      <c r="F305" s="336"/>
      <c r="G305" s="336"/>
      <c r="H305" s="336"/>
      <c r="I305" s="336"/>
      <c r="J305" s="336"/>
      <c r="K305" s="336"/>
      <c r="L305" s="337"/>
      <c r="M305" s="330"/>
      <c r="N305" s="331"/>
    </row>
    <row r="306" spans="1:14" x14ac:dyDescent="0.25">
      <c r="A306" s="82"/>
      <c r="B306" s="83"/>
      <c r="C306" s="261"/>
      <c r="D306" s="111"/>
      <c r="E306" s="196"/>
      <c r="F306" s="336"/>
      <c r="G306" s="336"/>
      <c r="H306" s="336"/>
      <c r="I306" s="336"/>
      <c r="J306" s="336"/>
      <c r="K306" s="336"/>
      <c r="L306" s="337"/>
      <c r="M306" s="330"/>
      <c r="N306" s="331"/>
    </row>
    <row r="307" spans="1:14" x14ac:dyDescent="0.25">
      <c r="A307" s="82"/>
      <c r="B307" s="83"/>
      <c r="C307" s="261"/>
      <c r="D307" s="111"/>
      <c r="E307" s="196"/>
      <c r="F307" s="336"/>
      <c r="G307" s="336"/>
      <c r="H307" s="336"/>
      <c r="I307" s="336"/>
      <c r="J307" s="336"/>
      <c r="K307" s="336"/>
      <c r="L307" s="337"/>
      <c r="M307" s="330"/>
      <c r="N307" s="331"/>
    </row>
    <row r="308" spans="1:14" x14ac:dyDescent="0.25">
      <c r="A308" s="82"/>
      <c r="B308" s="83"/>
      <c r="C308" s="261"/>
      <c r="D308" s="111"/>
      <c r="E308" s="196"/>
      <c r="F308" s="336"/>
      <c r="G308" s="336"/>
      <c r="H308" s="336"/>
      <c r="I308" s="336"/>
      <c r="J308" s="336"/>
      <c r="K308" s="336"/>
      <c r="L308" s="337"/>
      <c r="M308" s="330"/>
      <c r="N308" s="331"/>
    </row>
    <row r="309" spans="1:14" x14ac:dyDescent="0.25">
      <c r="A309" s="82"/>
      <c r="B309" s="83"/>
      <c r="C309" s="261"/>
      <c r="D309" s="111"/>
      <c r="E309" s="196"/>
      <c r="F309" s="336"/>
      <c r="G309" s="336"/>
      <c r="H309" s="336"/>
      <c r="I309" s="336"/>
      <c r="J309" s="336"/>
      <c r="K309" s="336"/>
      <c r="L309" s="337"/>
      <c r="M309" s="330"/>
      <c r="N309" s="331"/>
    </row>
    <row r="310" spans="1:14" ht="15.75" thickBot="1" x14ac:dyDescent="0.3">
      <c r="A310" s="84"/>
      <c r="B310" s="85"/>
      <c r="C310" s="261"/>
      <c r="D310" s="111"/>
      <c r="E310" s="198"/>
      <c r="F310" s="338"/>
      <c r="G310" s="338"/>
      <c r="H310" s="338"/>
      <c r="I310" s="338"/>
      <c r="J310" s="338"/>
      <c r="K310" s="338"/>
      <c r="L310" s="339"/>
      <c r="M310" s="332"/>
      <c r="N310" s="333"/>
    </row>
    <row r="311" spans="1:14" x14ac:dyDescent="0.25">
      <c r="A311" s="80" t="s">
        <v>426</v>
      </c>
      <c r="B311" s="81"/>
      <c r="C311" s="261" t="s">
        <v>427</v>
      </c>
      <c r="D311" s="111"/>
      <c r="E311" s="194" t="str">
        <f>V44</f>
        <v>1 Accessible unisex/gender-neutral restroom within the facility</v>
      </c>
      <c r="F311" s="334"/>
      <c r="G311" s="334"/>
      <c r="H311" s="334"/>
      <c r="I311" s="334"/>
      <c r="J311" s="334"/>
      <c r="K311" s="334"/>
      <c r="L311" s="335"/>
      <c r="M311" s="328"/>
      <c r="N311" s="329"/>
    </row>
    <row r="312" spans="1:14" x14ac:dyDescent="0.25">
      <c r="A312" s="82"/>
      <c r="B312" s="83"/>
      <c r="C312" s="261"/>
      <c r="D312" s="111"/>
      <c r="E312" s="196"/>
      <c r="F312" s="336"/>
      <c r="G312" s="336"/>
      <c r="H312" s="336"/>
      <c r="I312" s="336"/>
      <c r="J312" s="336"/>
      <c r="K312" s="336"/>
      <c r="L312" s="337"/>
      <c r="M312" s="330"/>
      <c r="N312" s="331"/>
    </row>
    <row r="313" spans="1:14" x14ac:dyDescent="0.25">
      <c r="A313" s="82"/>
      <c r="B313" s="83"/>
      <c r="C313" s="261"/>
      <c r="D313" s="111"/>
      <c r="E313" s="196"/>
      <c r="F313" s="336"/>
      <c r="G313" s="336"/>
      <c r="H313" s="336"/>
      <c r="I313" s="336"/>
      <c r="J313" s="336"/>
      <c r="K313" s="336"/>
      <c r="L313" s="337"/>
      <c r="M313" s="330"/>
      <c r="N313" s="331"/>
    </row>
    <row r="314" spans="1:14" x14ac:dyDescent="0.25">
      <c r="A314" s="82"/>
      <c r="B314" s="83"/>
      <c r="C314" s="261"/>
      <c r="D314" s="111"/>
      <c r="E314" s="196"/>
      <c r="F314" s="336"/>
      <c r="G314" s="336"/>
      <c r="H314" s="336"/>
      <c r="I314" s="336"/>
      <c r="J314" s="336"/>
      <c r="K314" s="336"/>
      <c r="L314" s="337"/>
      <c r="M314" s="330"/>
      <c r="N314" s="331"/>
    </row>
    <row r="315" spans="1:14" x14ac:dyDescent="0.25">
      <c r="A315" s="82"/>
      <c r="B315" s="83"/>
      <c r="C315" s="261"/>
      <c r="D315" s="111"/>
      <c r="E315" s="196"/>
      <c r="F315" s="336"/>
      <c r="G315" s="336"/>
      <c r="H315" s="336"/>
      <c r="I315" s="336"/>
      <c r="J315" s="336"/>
      <c r="K315" s="336"/>
      <c r="L315" s="337"/>
      <c r="M315" s="330"/>
      <c r="N315" s="331"/>
    </row>
    <row r="316" spans="1:14" x14ac:dyDescent="0.25">
      <c r="A316" s="82"/>
      <c r="B316" s="83"/>
      <c r="C316" s="261"/>
      <c r="D316" s="111"/>
      <c r="E316" s="196"/>
      <c r="F316" s="336"/>
      <c r="G316" s="336"/>
      <c r="H316" s="336"/>
      <c r="I316" s="336"/>
      <c r="J316" s="336"/>
      <c r="K316" s="336"/>
      <c r="L316" s="337"/>
      <c r="M316" s="330"/>
      <c r="N316" s="331"/>
    </row>
    <row r="317" spans="1:14" x14ac:dyDescent="0.25">
      <c r="A317" s="82"/>
      <c r="B317" s="83"/>
      <c r="C317" s="261"/>
      <c r="D317" s="111"/>
      <c r="E317" s="196"/>
      <c r="F317" s="336"/>
      <c r="G317" s="336"/>
      <c r="H317" s="336"/>
      <c r="I317" s="336"/>
      <c r="J317" s="336"/>
      <c r="K317" s="336"/>
      <c r="L317" s="337"/>
      <c r="M317" s="330"/>
      <c r="N317" s="331"/>
    </row>
    <row r="318" spans="1:14" ht="15.75" thickBot="1" x14ac:dyDescent="0.3">
      <c r="A318" s="84"/>
      <c r="B318" s="85"/>
      <c r="C318" s="261"/>
      <c r="D318" s="111"/>
      <c r="E318" s="198"/>
      <c r="F318" s="338"/>
      <c r="G318" s="338"/>
      <c r="H318" s="338"/>
      <c r="I318" s="338"/>
      <c r="J318" s="338"/>
      <c r="K318" s="338"/>
      <c r="L318" s="339"/>
      <c r="M318" s="332"/>
      <c r="N318" s="333"/>
    </row>
    <row r="319" spans="1:14" x14ac:dyDescent="0.25">
      <c r="A319" s="80" t="s">
        <v>428</v>
      </c>
      <c r="B319" s="81"/>
      <c r="C319" s="261" t="s">
        <v>412</v>
      </c>
      <c r="D319" s="111"/>
      <c r="E319" s="269">
        <f>V45</f>
        <v>0</v>
      </c>
      <c r="F319" s="269">
        <f>W45</f>
        <v>0</v>
      </c>
      <c r="G319" s="269" t="str">
        <f>IF(E319&gt;0,"Can substitute up to 67% of required fixtures (10.10 Table 1)","-")</f>
        <v>-</v>
      </c>
      <c r="H319" s="269">
        <f>X45</f>
        <v>0</v>
      </c>
      <c r="I319" s="269">
        <f>Y45</f>
        <v>0</v>
      </c>
      <c r="J319" s="269" t="str">
        <f>AA45</f>
        <v>-</v>
      </c>
      <c r="K319" s="269" t="str">
        <f>IF(OR(M319&gt;0,N319&gt;0),Z45,IF(AND(OR(M319&gt;0,N319&gt;0),M319+N319&gt;P5),Z45,IF(AND(OR(M319&gt;0,N319&gt;0),M319+N319&lt;P5),Z45,IF(P5=0,"-",Z45))))</f>
        <v>-</v>
      </c>
      <c r="L319" s="276" t="str">
        <f>IF(OR(M319&gt;0,N319&gt;0,P5&gt;0),"One Mop Sink per Floor","-")</f>
        <v>-</v>
      </c>
      <c r="M319" s="266">
        <v>0</v>
      </c>
      <c r="N319" s="97">
        <f>M319</f>
        <v>0</v>
      </c>
    </row>
    <row r="320" spans="1:14" x14ac:dyDescent="0.25">
      <c r="A320" s="82"/>
      <c r="B320" s="83"/>
      <c r="C320" s="261"/>
      <c r="D320" s="111"/>
      <c r="E320" s="269"/>
      <c r="F320" s="269"/>
      <c r="G320" s="269"/>
      <c r="H320" s="269"/>
      <c r="I320" s="269"/>
      <c r="J320" s="269"/>
      <c r="K320" s="269"/>
      <c r="L320" s="276"/>
      <c r="M320" s="266"/>
      <c r="N320" s="97"/>
    </row>
    <row r="321" spans="1:14" x14ac:dyDescent="0.25">
      <c r="A321" s="82"/>
      <c r="B321" s="83"/>
      <c r="C321" s="261"/>
      <c r="D321" s="111"/>
      <c r="E321" s="269"/>
      <c r="F321" s="269"/>
      <c r="G321" s="269"/>
      <c r="H321" s="269"/>
      <c r="I321" s="269"/>
      <c r="J321" s="269"/>
      <c r="K321" s="269"/>
      <c r="L321" s="276"/>
      <c r="M321" s="266"/>
      <c r="N321" s="97"/>
    </row>
    <row r="322" spans="1:14" x14ac:dyDescent="0.25">
      <c r="A322" s="82"/>
      <c r="B322" s="83"/>
      <c r="C322" s="261"/>
      <c r="D322" s="111"/>
      <c r="E322" s="269"/>
      <c r="F322" s="269"/>
      <c r="G322" s="269"/>
      <c r="H322" s="269"/>
      <c r="I322" s="269"/>
      <c r="J322" s="269"/>
      <c r="K322" s="269"/>
      <c r="L322" s="276"/>
      <c r="M322" s="266"/>
      <c r="N322" s="97"/>
    </row>
    <row r="323" spans="1:14" x14ac:dyDescent="0.25">
      <c r="A323" s="82"/>
      <c r="B323" s="83"/>
      <c r="C323" s="261"/>
      <c r="D323" s="111"/>
      <c r="E323" s="269"/>
      <c r="F323" s="269"/>
      <c r="G323" s="269"/>
      <c r="H323" s="269"/>
      <c r="I323" s="269"/>
      <c r="J323" s="269"/>
      <c r="K323" s="269"/>
      <c r="L323" s="276"/>
      <c r="M323" s="266"/>
      <c r="N323" s="97"/>
    </row>
    <row r="324" spans="1:14" x14ac:dyDescent="0.25">
      <c r="A324" s="82"/>
      <c r="B324" s="83"/>
      <c r="C324" s="261"/>
      <c r="D324" s="111"/>
      <c r="E324" s="269"/>
      <c r="F324" s="269"/>
      <c r="G324" s="269"/>
      <c r="H324" s="269"/>
      <c r="I324" s="269"/>
      <c r="J324" s="269"/>
      <c r="K324" s="269"/>
      <c r="L324" s="276"/>
      <c r="M324" s="266"/>
      <c r="N324" s="97"/>
    </row>
    <row r="325" spans="1:14" x14ac:dyDescent="0.25">
      <c r="A325" s="82"/>
      <c r="B325" s="83"/>
      <c r="C325" s="261"/>
      <c r="D325" s="111"/>
      <c r="E325" s="269"/>
      <c r="F325" s="269"/>
      <c r="G325" s="269"/>
      <c r="H325" s="269"/>
      <c r="I325" s="269"/>
      <c r="J325" s="269"/>
      <c r="K325" s="269"/>
      <c r="L325" s="276"/>
      <c r="M325" s="266"/>
      <c r="N325" s="97"/>
    </row>
    <row r="326" spans="1:14" ht="15.75" thickBot="1" x14ac:dyDescent="0.3">
      <c r="A326" s="84"/>
      <c r="B326" s="85"/>
      <c r="C326" s="294"/>
      <c r="D326" s="295"/>
      <c r="E326" s="303"/>
      <c r="F326" s="303"/>
      <c r="G326" s="303"/>
      <c r="H326" s="303"/>
      <c r="I326" s="303"/>
      <c r="J326" s="303"/>
      <c r="K326" s="303"/>
      <c r="L326" s="137"/>
      <c r="M326" s="327"/>
      <c r="N326" s="314"/>
    </row>
    <row r="327" spans="1:14" x14ac:dyDescent="0.25">
      <c r="C327" t="s">
        <v>429</v>
      </c>
    </row>
    <row r="328" spans="1:14" x14ac:dyDescent="0.25">
      <c r="C328" t="s">
        <v>430</v>
      </c>
    </row>
  </sheetData>
  <mergeCells count="458">
    <mergeCell ref="N319:N326"/>
    <mergeCell ref="H319:H326"/>
    <mergeCell ref="I319:I326"/>
    <mergeCell ref="J319:J326"/>
    <mergeCell ref="K319:K326"/>
    <mergeCell ref="L319:L326"/>
    <mergeCell ref="M319:M326"/>
    <mergeCell ref="A311:B318"/>
    <mergeCell ref="M303:N310"/>
    <mergeCell ref="C311:D318"/>
    <mergeCell ref="E311:L318"/>
    <mergeCell ref="M311:N318"/>
    <mergeCell ref="A319:B326"/>
    <mergeCell ref="C319:D326"/>
    <mergeCell ref="E319:E326"/>
    <mergeCell ref="F319:F326"/>
    <mergeCell ref="G319:G326"/>
    <mergeCell ref="E303:L310"/>
    <mergeCell ref="M239:N246"/>
    <mergeCell ref="M247:N254"/>
    <mergeCell ref="M255:N262"/>
    <mergeCell ref="M279:N286"/>
    <mergeCell ref="A303:B310"/>
    <mergeCell ref="C303:D310"/>
    <mergeCell ref="H255:I262"/>
    <mergeCell ref="E263:F270"/>
    <mergeCell ref="H263:I270"/>
    <mergeCell ref="L279:L286"/>
    <mergeCell ref="E287:E294"/>
    <mergeCell ref="F287:F294"/>
    <mergeCell ref="G287:G294"/>
    <mergeCell ref="H287:H294"/>
    <mergeCell ref="I287:I294"/>
    <mergeCell ref="J287:J294"/>
    <mergeCell ref="K287:K294"/>
    <mergeCell ref="G279:G286"/>
    <mergeCell ref="J279:J286"/>
    <mergeCell ref="K279:K286"/>
    <mergeCell ref="L263:L270"/>
    <mergeCell ref="E271:E278"/>
    <mergeCell ref="F271:F278"/>
    <mergeCell ref="G271:G278"/>
    <mergeCell ref="O247:R254"/>
    <mergeCell ref="O263:R270"/>
    <mergeCell ref="E279:F286"/>
    <mergeCell ref="H279:I286"/>
    <mergeCell ref="M263:N270"/>
    <mergeCell ref="L295:L302"/>
    <mergeCell ref="M295:M302"/>
    <mergeCell ref="N295:N302"/>
    <mergeCell ref="E239:F246"/>
    <mergeCell ref="H239:I246"/>
    <mergeCell ref="O239:R246"/>
    <mergeCell ref="E247:F254"/>
    <mergeCell ref="H247:I254"/>
    <mergeCell ref="E255:F262"/>
    <mergeCell ref="L287:L294"/>
    <mergeCell ref="M287:M294"/>
    <mergeCell ref="N287:N294"/>
    <mergeCell ref="E295:E302"/>
    <mergeCell ref="F295:F302"/>
    <mergeCell ref="G295:G302"/>
    <mergeCell ref="H295:H302"/>
    <mergeCell ref="I295:I302"/>
    <mergeCell ref="J295:J302"/>
    <mergeCell ref="K295:K302"/>
    <mergeCell ref="L239:L246"/>
    <mergeCell ref="G247:G254"/>
    <mergeCell ref="J247:J254"/>
    <mergeCell ref="K247:K254"/>
    <mergeCell ref="G239:G246"/>
    <mergeCell ref="J239:J246"/>
    <mergeCell ref="K239:K246"/>
    <mergeCell ref="C271:D278"/>
    <mergeCell ref="C279:D286"/>
    <mergeCell ref="L271:L278"/>
    <mergeCell ref="H271:H278"/>
    <mergeCell ref="I271:I278"/>
    <mergeCell ref="J271:J278"/>
    <mergeCell ref="K271:K278"/>
    <mergeCell ref="L255:L262"/>
    <mergeCell ref="G263:G270"/>
    <mergeCell ref="J263:J270"/>
    <mergeCell ref="K263:K270"/>
    <mergeCell ref="L247:L254"/>
    <mergeCell ref="G255:G262"/>
    <mergeCell ref="J255:J262"/>
    <mergeCell ref="K255:K262"/>
    <mergeCell ref="C287:D294"/>
    <mergeCell ref="C295:D302"/>
    <mergeCell ref="A239:B302"/>
    <mergeCell ref="A231:B238"/>
    <mergeCell ref="C239:D246"/>
    <mergeCell ref="C247:D254"/>
    <mergeCell ref="C255:D262"/>
    <mergeCell ref="C263:D270"/>
    <mergeCell ref="J231:J238"/>
    <mergeCell ref="K231:K238"/>
    <mergeCell ref="L231:L238"/>
    <mergeCell ref="M231:M238"/>
    <mergeCell ref="N231:N238"/>
    <mergeCell ref="C231:D238"/>
    <mergeCell ref="E231:E238"/>
    <mergeCell ref="F231:F238"/>
    <mergeCell ref="G231:G238"/>
    <mergeCell ref="H231:H238"/>
    <mergeCell ref="I231:I238"/>
    <mergeCell ref="M225:M230"/>
    <mergeCell ref="N225:N230"/>
    <mergeCell ref="A193:B230"/>
    <mergeCell ref="L213:L224"/>
    <mergeCell ref="K213:K224"/>
    <mergeCell ref="N219:N224"/>
    <mergeCell ref="C225:D230"/>
    <mergeCell ref="E225:E230"/>
    <mergeCell ref="F225:F230"/>
    <mergeCell ref="G225:G230"/>
    <mergeCell ref="H225:H230"/>
    <mergeCell ref="I225:I230"/>
    <mergeCell ref="J225:J230"/>
    <mergeCell ref="K225:K230"/>
    <mergeCell ref="L225:L230"/>
    <mergeCell ref="N213:N218"/>
    <mergeCell ref="C219:D224"/>
    <mergeCell ref="E219:E224"/>
    <mergeCell ref="F219:F224"/>
    <mergeCell ref="G219:G224"/>
    <mergeCell ref="H219:H224"/>
    <mergeCell ref="I219:I224"/>
    <mergeCell ref="J219:J224"/>
    <mergeCell ref="C212:N212"/>
    <mergeCell ref="C213:D218"/>
    <mergeCell ref="E213:E218"/>
    <mergeCell ref="F213:F218"/>
    <mergeCell ref="G213:G218"/>
    <mergeCell ref="H213:H218"/>
    <mergeCell ref="I213:I218"/>
    <mergeCell ref="J213:J218"/>
    <mergeCell ref="I206:I211"/>
    <mergeCell ref="J206:J211"/>
    <mergeCell ref="K206:K211"/>
    <mergeCell ref="M206:M211"/>
    <mergeCell ref="N206:N211"/>
    <mergeCell ref="L200:L211"/>
    <mergeCell ref="J200:J205"/>
    <mergeCell ref="K200:K205"/>
    <mergeCell ref="M200:M205"/>
    <mergeCell ref="N200:N205"/>
    <mergeCell ref="C206:D211"/>
    <mergeCell ref="E206:E211"/>
    <mergeCell ref="F206:F211"/>
    <mergeCell ref="G206:G211"/>
    <mergeCell ref="H206:H211"/>
    <mergeCell ref="C200:D205"/>
    <mergeCell ref="E200:E205"/>
    <mergeCell ref="F200:F205"/>
    <mergeCell ref="G200:G205"/>
    <mergeCell ref="H200:H205"/>
    <mergeCell ref="I200:I205"/>
    <mergeCell ref="J194:J199"/>
    <mergeCell ref="K194:K199"/>
    <mergeCell ref="L194:L199"/>
    <mergeCell ref="M194:M199"/>
    <mergeCell ref="N194:N199"/>
    <mergeCell ref="E194:F199"/>
    <mergeCell ref="H194:I199"/>
    <mergeCell ref="C194:D199"/>
    <mergeCell ref="G194:G199"/>
    <mergeCell ref="A169:B192"/>
    <mergeCell ref="M181:M186"/>
    <mergeCell ref="M187:M192"/>
    <mergeCell ref="L181:L186"/>
    <mergeCell ref="E187:E192"/>
    <mergeCell ref="F187:F192"/>
    <mergeCell ref="G187:G192"/>
    <mergeCell ref="H187:H192"/>
    <mergeCell ref="I187:I192"/>
    <mergeCell ref="J187:J192"/>
    <mergeCell ref="K187:K192"/>
    <mergeCell ref="L187:L192"/>
    <mergeCell ref="H175:H180"/>
    <mergeCell ref="I175:I180"/>
    <mergeCell ref="J175:J180"/>
    <mergeCell ref="K175:K180"/>
    <mergeCell ref="G181:G186"/>
    <mergeCell ref="H181:H186"/>
    <mergeCell ref="I156:I161"/>
    <mergeCell ref="C175:D180"/>
    <mergeCell ref="C181:D186"/>
    <mergeCell ref="C187:D192"/>
    <mergeCell ref="E175:E180"/>
    <mergeCell ref="F175:F180"/>
    <mergeCell ref="G175:G180"/>
    <mergeCell ref="L169:L174"/>
    <mergeCell ref="M169:M174"/>
    <mergeCell ref="I150:I155"/>
    <mergeCell ref="O138:Q143"/>
    <mergeCell ref="L144:L155"/>
    <mergeCell ref="C169:D174"/>
    <mergeCell ref="E169:E174"/>
    <mergeCell ref="F169:F174"/>
    <mergeCell ref="G169:G174"/>
    <mergeCell ref="H169:H174"/>
    <mergeCell ref="I169:I174"/>
    <mergeCell ref="J169:J174"/>
    <mergeCell ref="K169:K174"/>
    <mergeCell ref="J156:J161"/>
    <mergeCell ref="K156:K161"/>
    <mergeCell ref="L156:L161"/>
    <mergeCell ref="M156:M161"/>
    <mergeCell ref="N156:N161"/>
    <mergeCell ref="M150:M155"/>
    <mergeCell ref="N150:N155"/>
    <mergeCell ref="J150:J155"/>
    <mergeCell ref="K150:K155"/>
    <mergeCell ref="E156:E161"/>
    <mergeCell ref="F156:F161"/>
    <mergeCell ref="G156:G161"/>
    <mergeCell ref="H156:H161"/>
    <mergeCell ref="N127:N137"/>
    <mergeCell ref="E144:E149"/>
    <mergeCell ref="M144:M149"/>
    <mergeCell ref="N144:N149"/>
    <mergeCell ref="H127:H137"/>
    <mergeCell ref="I127:I137"/>
    <mergeCell ref="J127:J137"/>
    <mergeCell ref="K127:K137"/>
    <mergeCell ref="L127:L137"/>
    <mergeCell ref="J138:J143"/>
    <mergeCell ref="K138:K143"/>
    <mergeCell ref="L138:L143"/>
    <mergeCell ref="M138:M143"/>
    <mergeCell ref="N138:N143"/>
    <mergeCell ref="I138:I143"/>
    <mergeCell ref="J144:J149"/>
    <mergeCell ref="K144:K149"/>
    <mergeCell ref="F144:F149"/>
    <mergeCell ref="G144:G149"/>
    <mergeCell ref="H144:H149"/>
    <mergeCell ref="I144:I149"/>
    <mergeCell ref="A127:B137"/>
    <mergeCell ref="C127:D137"/>
    <mergeCell ref="E127:E137"/>
    <mergeCell ref="F127:F137"/>
    <mergeCell ref="G127:G137"/>
    <mergeCell ref="J118:J126"/>
    <mergeCell ref="K118:K126"/>
    <mergeCell ref="L118:L126"/>
    <mergeCell ref="M118:M126"/>
    <mergeCell ref="M127:M137"/>
    <mergeCell ref="N118:N126"/>
    <mergeCell ref="A15:B126"/>
    <mergeCell ref="C118:D126"/>
    <mergeCell ref="E118:E126"/>
    <mergeCell ref="F118:F126"/>
    <mergeCell ref="G118:G126"/>
    <mergeCell ref="H118:H126"/>
    <mergeCell ref="I118:I126"/>
    <mergeCell ref="J109:J117"/>
    <mergeCell ref="K109:K117"/>
    <mergeCell ref="L109:L117"/>
    <mergeCell ref="M109:M117"/>
    <mergeCell ref="N109:N117"/>
    <mergeCell ref="J91:J99"/>
    <mergeCell ref="K91:K99"/>
    <mergeCell ref="L91:L99"/>
    <mergeCell ref="M91:M99"/>
    <mergeCell ref="N91:N99"/>
    <mergeCell ref="L82:L90"/>
    <mergeCell ref="M82:M90"/>
    <mergeCell ref="N82:N90"/>
    <mergeCell ref="C91:D99"/>
    <mergeCell ref="E91:E99"/>
    <mergeCell ref="F91:F99"/>
    <mergeCell ref="O100:Q108"/>
    <mergeCell ref="C109:D117"/>
    <mergeCell ref="E109:E117"/>
    <mergeCell ref="F109:F117"/>
    <mergeCell ref="G109:G117"/>
    <mergeCell ref="H109:H117"/>
    <mergeCell ref="I109:I117"/>
    <mergeCell ref="I100:I108"/>
    <mergeCell ref="J100:J108"/>
    <mergeCell ref="K100:K108"/>
    <mergeCell ref="L100:L108"/>
    <mergeCell ref="M100:M108"/>
    <mergeCell ref="N100:N108"/>
    <mergeCell ref="C100:D108"/>
    <mergeCell ref="E100:E108"/>
    <mergeCell ref="F100:F108"/>
    <mergeCell ref="G100:G108"/>
    <mergeCell ref="H100:H108"/>
    <mergeCell ref="G91:G99"/>
    <mergeCell ref="H91:H99"/>
    <mergeCell ref="I91:I99"/>
    <mergeCell ref="M73:M81"/>
    <mergeCell ref="N73:N81"/>
    <mergeCell ref="C82:D90"/>
    <mergeCell ref="E82:E90"/>
    <mergeCell ref="F82:F90"/>
    <mergeCell ref="G82:G90"/>
    <mergeCell ref="H82:H90"/>
    <mergeCell ref="I82:I90"/>
    <mergeCell ref="J82:J90"/>
    <mergeCell ref="K82:K90"/>
    <mergeCell ref="N64:N72"/>
    <mergeCell ref="C73:D81"/>
    <mergeCell ref="E73:E81"/>
    <mergeCell ref="F73:F81"/>
    <mergeCell ref="G73:G81"/>
    <mergeCell ref="H73:H81"/>
    <mergeCell ref="I73:I81"/>
    <mergeCell ref="J73:J81"/>
    <mergeCell ref="K73:K81"/>
    <mergeCell ref="L73:L81"/>
    <mergeCell ref="I64:I72"/>
    <mergeCell ref="J64:J72"/>
    <mergeCell ref="K64:K72"/>
    <mergeCell ref="L64:L72"/>
    <mergeCell ref="M64:M72"/>
    <mergeCell ref="C64:D72"/>
    <mergeCell ref="E64:E72"/>
    <mergeCell ref="F64:F72"/>
    <mergeCell ref="G64:G72"/>
    <mergeCell ref="H64:H72"/>
    <mergeCell ref="J55:J63"/>
    <mergeCell ref="K55:K63"/>
    <mergeCell ref="L55:L63"/>
    <mergeCell ref="M55:M63"/>
    <mergeCell ref="N55:N63"/>
    <mergeCell ref="C55:D63"/>
    <mergeCell ref="E55:E63"/>
    <mergeCell ref="F55:F63"/>
    <mergeCell ref="G55:G63"/>
    <mergeCell ref="H55:H63"/>
    <mergeCell ref="I55:I63"/>
    <mergeCell ref="J46:J54"/>
    <mergeCell ref="K46:K54"/>
    <mergeCell ref="L46:L54"/>
    <mergeCell ref="M46:M54"/>
    <mergeCell ref="N46:N54"/>
    <mergeCell ref="C46:D54"/>
    <mergeCell ref="E46:E54"/>
    <mergeCell ref="F46:F54"/>
    <mergeCell ref="G46:G54"/>
    <mergeCell ref="H46:H54"/>
    <mergeCell ref="I46:I54"/>
    <mergeCell ref="M271:M278"/>
    <mergeCell ref="N271:N278"/>
    <mergeCell ref="M213:M218"/>
    <mergeCell ref="M219:M224"/>
    <mergeCell ref="J181:J186"/>
    <mergeCell ref="K181:K186"/>
    <mergeCell ref="M162:M168"/>
    <mergeCell ref="N162:N168"/>
    <mergeCell ref="G162:G168"/>
    <mergeCell ref="H162:H168"/>
    <mergeCell ref="I162:I168"/>
    <mergeCell ref="J162:J168"/>
    <mergeCell ref="K162:K168"/>
    <mergeCell ref="L162:L168"/>
    <mergeCell ref="N169:N174"/>
    <mergeCell ref="M175:M180"/>
    <mergeCell ref="N175:N180"/>
    <mergeCell ref="I181:I186"/>
    <mergeCell ref="N181:N186"/>
    <mergeCell ref="N187:N192"/>
    <mergeCell ref="C193:N193"/>
    <mergeCell ref="L175:L180"/>
    <mergeCell ref="E181:E186"/>
    <mergeCell ref="F181:F186"/>
    <mergeCell ref="A162:B168"/>
    <mergeCell ref="C162:D168"/>
    <mergeCell ref="E162:E168"/>
    <mergeCell ref="F162:F168"/>
    <mergeCell ref="C138:D143"/>
    <mergeCell ref="E138:E143"/>
    <mergeCell ref="F138:F143"/>
    <mergeCell ref="G138:G143"/>
    <mergeCell ref="H138:H143"/>
    <mergeCell ref="A138:B161"/>
    <mergeCell ref="C144:D149"/>
    <mergeCell ref="C150:D155"/>
    <mergeCell ref="C156:D161"/>
    <mergeCell ref="E150:E155"/>
    <mergeCell ref="F150:F155"/>
    <mergeCell ref="G150:G155"/>
    <mergeCell ref="H150:H155"/>
    <mergeCell ref="J37:J45"/>
    <mergeCell ref="K37:K45"/>
    <mergeCell ref="L37:L45"/>
    <mergeCell ref="M37:M45"/>
    <mergeCell ref="N37:N45"/>
    <mergeCell ref="L27:L36"/>
    <mergeCell ref="M27:M36"/>
    <mergeCell ref="N27:N36"/>
    <mergeCell ref="C37:D45"/>
    <mergeCell ref="E37:E45"/>
    <mergeCell ref="F37:F45"/>
    <mergeCell ref="G37:G45"/>
    <mergeCell ref="H37:H45"/>
    <mergeCell ref="I37:I45"/>
    <mergeCell ref="N9:N14"/>
    <mergeCell ref="C15:D26"/>
    <mergeCell ref="E15:E26"/>
    <mergeCell ref="F15:F26"/>
    <mergeCell ref="G15:G26"/>
    <mergeCell ref="N15:N26"/>
    <mergeCell ref="C27:D36"/>
    <mergeCell ref="E27:E36"/>
    <mergeCell ref="F27:F36"/>
    <mergeCell ref="G27:G36"/>
    <mergeCell ref="H27:H36"/>
    <mergeCell ref="I27:I36"/>
    <mergeCell ref="J27:J36"/>
    <mergeCell ref="K27:K36"/>
    <mergeCell ref="H15:H26"/>
    <mergeCell ref="I15:I26"/>
    <mergeCell ref="J15:J26"/>
    <mergeCell ref="K15:K26"/>
    <mergeCell ref="L15:L26"/>
    <mergeCell ref="M15:M26"/>
    <mergeCell ref="J3:J8"/>
    <mergeCell ref="K3:K8"/>
    <mergeCell ref="L3:L8"/>
    <mergeCell ref="M3:M8"/>
    <mergeCell ref="C3:D8"/>
    <mergeCell ref="E3:E8"/>
    <mergeCell ref="F3:F8"/>
    <mergeCell ref="G3:G8"/>
    <mergeCell ref="J9:J14"/>
    <mergeCell ref="K9:K14"/>
    <mergeCell ref="L9:L14"/>
    <mergeCell ref="M9:M14"/>
    <mergeCell ref="A3:B8"/>
    <mergeCell ref="A9:B14"/>
    <mergeCell ref="J1:J2"/>
    <mergeCell ref="K1:K2"/>
    <mergeCell ref="L1:L2"/>
    <mergeCell ref="M1:N1"/>
    <mergeCell ref="V1:W1"/>
    <mergeCell ref="X1:Y1"/>
    <mergeCell ref="A1:B2"/>
    <mergeCell ref="C1:D2"/>
    <mergeCell ref="E1:F1"/>
    <mergeCell ref="G1:G2"/>
    <mergeCell ref="H1:I1"/>
    <mergeCell ref="N3:N8"/>
    <mergeCell ref="P3:Q4"/>
    <mergeCell ref="P5:Q5"/>
    <mergeCell ref="C9:D14"/>
    <mergeCell ref="E9:E14"/>
    <mergeCell ref="F9:F14"/>
    <mergeCell ref="G9:G14"/>
    <mergeCell ref="H9:H14"/>
    <mergeCell ref="I9:I14"/>
    <mergeCell ref="H3:H8"/>
    <mergeCell ref="I3:I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34DB3-159A-40D4-BFF5-05B443CC63B7}">
  <dimension ref="A1:AC327"/>
  <sheetViews>
    <sheetView zoomScale="85" zoomScaleNormal="85" workbookViewId="0">
      <pane xSplit="14" ySplit="2" topLeftCell="O3" activePane="bottomRight" state="frozen"/>
      <selection pane="topRight" activeCell="P1" sqref="P1"/>
      <selection pane="bottomLeft" activeCell="A3" sqref="A3"/>
      <selection pane="bottomRight" activeCell="P5" sqref="P5:Q5"/>
    </sheetView>
  </sheetViews>
  <sheetFormatPr defaultRowHeight="15" x14ac:dyDescent="0.25"/>
  <cols>
    <col min="1" max="1" width="7.28515625" customWidth="1"/>
    <col min="2" max="2" width="7.140625" customWidth="1"/>
    <col min="3" max="4" width="9.7109375" customWidth="1"/>
    <col min="5" max="6" width="10.7109375" customWidth="1"/>
    <col min="7" max="7" width="14.7109375" customWidth="1"/>
    <col min="8" max="9" width="10.7109375" customWidth="1"/>
    <col min="10" max="10" width="11.28515625" customWidth="1"/>
    <col min="11" max="12" width="15.7109375" customWidth="1"/>
    <col min="16" max="17" width="10.7109375" customWidth="1"/>
    <col min="18" max="18" width="13.5703125" customWidth="1"/>
    <col min="20" max="20" width="8.85546875" customWidth="1"/>
    <col min="21" max="27" width="8.85546875" hidden="1" customWidth="1"/>
    <col min="28" max="28" width="0" hidden="1" customWidth="1"/>
  </cols>
  <sheetData>
    <row r="1" spans="1:29" ht="31.9" customHeight="1" thickBot="1" x14ac:dyDescent="0.3">
      <c r="A1" s="134" t="s">
        <v>60</v>
      </c>
      <c r="B1" s="135"/>
      <c r="C1" s="134" t="s">
        <v>62</v>
      </c>
      <c r="D1" s="135"/>
      <c r="E1" s="146" t="s">
        <v>63</v>
      </c>
      <c r="F1" s="147"/>
      <c r="G1" s="148" t="s">
        <v>64</v>
      </c>
      <c r="H1" s="150" t="s">
        <v>65</v>
      </c>
      <c r="I1" s="151"/>
      <c r="J1" s="161" t="s">
        <v>66</v>
      </c>
      <c r="K1" s="148" t="s">
        <v>67</v>
      </c>
      <c r="L1" s="163" t="s">
        <v>68</v>
      </c>
      <c r="M1" s="165" t="s">
        <v>69</v>
      </c>
      <c r="N1" s="166"/>
      <c r="O1" s="13"/>
      <c r="V1" s="345" t="s">
        <v>70</v>
      </c>
      <c r="W1" s="346"/>
      <c r="X1" s="345" t="s">
        <v>236</v>
      </c>
      <c r="Y1" s="346"/>
      <c r="Z1" s="54" t="s">
        <v>237</v>
      </c>
      <c r="AA1" s="26" t="s">
        <v>238</v>
      </c>
      <c r="AB1" t="s">
        <v>431</v>
      </c>
    </row>
    <row r="2" spans="1:29" ht="15.75" thickBot="1" x14ac:dyDescent="0.3">
      <c r="A2" s="136"/>
      <c r="B2" s="137"/>
      <c r="C2" s="136"/>
      <c r="D2" s="137"/>
      <c r="E2" s="8" t="s">
        <v>74</v>
      </c>
      <c r="F2" s="9" t="s">
        <v>75</v>
      </c>
      <c r="G2" s="149"/>
      <c r="H2" s="9" t="s">
        <v>74</v>
      </c>
      <c r="I2" s="10" t="s">
        <v>75</v>
      </c>
      <c r="J2" s="162"/>
      <c r="K2" s="149"/>
      <c r="L2" s="164"/>
      <c r="M2" s="12" t="s">
        <v>74</v>
      </c>
      <c r="N2" s="12" t="s">
        <v>75</v>
      </c>
      <c r="O2" s="13"/>
      <c r="V2" s="55" t="s">
        <v>432</v>
      </c>
      <c r="W2" s="56" t="s">
        <v>432</v>
      </c>
      <c r="X2" s="55" t="s">
        <v>432</v>
      </c>
      <c r="Y2" s="56" t="s">
        <v>432</v>
      </c>
      <c r="Z2" s="50" t="s">
        <v>432</v>
      </c>
      <c r="AA2" s="49" t="s">
        <v>432</v>
      </c>
      <c r="AB2" s="6" t="s">
        <v>432</v>
      </c>
    </row>
    <row r="3" spans="1:29" ht="14.45" customHeight="1" x14ac:dyDescent="0.25">
      <c r="A3" s="80" t="s">
        <v>346</v>
      </c>
      <c r="B3" s="81"/>
      <c r="C3" s="261" t="s">
        <v>433</v>
      </c>
      <c r="D3" s="111"/>
      <c r="E3" s="112">
        <f>V4</f>
        <v>0</v>
      </c>
      <c r="F3" s="112">
        <f>W4</f>
        <v>0</v>
      </c>
      <c r="G3" s="112">
        <f>AB4</f>
        <v>0</v>
      </c>
      <c r="H3" s="112">
        <f>X4</f>
        <v>0</v>
      </c>
      <c r="I3" s="112">
        <f>Y4</f>
        <v>0</v>
      </c>
      <c r="J3" s="112" t="str">
        <f>AA4</f>
        <v>-</v>
      </c>
      <c r="K3" s="112" t="str">
        <f>IF(OR(M3&gt;0,N3&gt;0),Z4,IF(AND(OR(M3&gt;0,N3&gt;0),M3+N3&gt;P5),Z4,IF(AND(OR(M3&gt;0,N3&gt;0),M3+N3&lt;P5),Z4,IF(P5=0,"-",Z4))))</f>
        <v>-</v>
      </c>
      <c r="L3" s="114" t="str">
        <f>IF(OR(M3&gt;0,N3&gt;0),"(1) Service Sink per Floor",IF(AND(OR(M3&gt;0,N3&gt;0),M3+N3&gt;P5),"(1) Service Sink per Floor",IF(AND(OR(M3&gt;0,N3&gt;0),M3+N3&lt;P5),"(1) Service Sink per Floor",IF(P5=0,"-","(1) Service Sink per Floor"))))</f>
        <v>-</v>
      </c>
      <c r="M3" s="266">
        <v>0</v>
      </c>
      <c r="N3" s="97">
        <f>M3</f>
        <v>0</v>
      </c>
      <c r="O3" s="13"/>
      <c r="P3" s="140" t="s">
        <v>84</v>
      </c>
      <c r="Q3" s="141"/>
      <c r="U3" s="2"/>
      <c r="V3" s="27" t="s">
        <v>85</v>
      </c>
      <c r="W3" s="29" t="s">
        <v>86</v>
      </c>
      <c r="X3" s="27" t="s">
        <v>85</v>
      </c>
      <c r="Y3" s="29" t="s">
        <v>86</v>
      </c>
      <c r="Z3" s="62" t="s">
        <v>72</v>
      </c>
      <c r="AA3" s="61" t="s">
        <v>73</v>
      </c>
      <c r="AB3" s="1" t="s">
        <v>242</v>
      </c>
    </row>
    <row r="4" spans="1:29" ht="15.75" thickBot="1" x14ac:dyDescent="0.3">
      <c r="A4" s="82"/>
      <c r="B4" s="83"/>
      <c r="C4" s="261"/>
      <c r="D4" s="111"/>
      <c r="E4" s="112"/>
      <c r="F4" s="112"/>
      <c r="G4" s="112"/>
      <c r="H4" s="112"/>
      <c r="I4" s="112"/>
      <c r="J4" s="112"/>
      <c r="K4" s="112"/>
      <c r="L4" s="114"/>
      <c r="M4" s="266"/>
      <c r="N4" s="97"/>
      <c r="O4" s="13"/>
      <c r="P4" s="142"/>
      <c r="Q4" s="143"/>
      <c r="T4" s="5"/>
      <c r="U4" s="48" t="s">
        <v>434</v>
      </c>
      <c r="V4" s="30">
        <f>IF(AND(M3&gt;0,M3&lt;=100),1,IF(AND(M3&gt;100,M3&lt;=200),2,IF(AND(M3&gt;200,M3&lt;=400),3,IF(AND(M3&gt;400,M3&lt;=800),4,IF(M3&gt;800,(ROUNDUP((M3-800)/700,0))+4,IF(AND(P8&gt;0,P8&lt;=100),1,IF(AND(P8&gt;100,P8&lt;=200),2,IF(AND(P8&gt;200,P8&lt;=400),3,IF(AND(P8&gt;400,P8&lt;=800),4,IF(P8&gt;800,(ROUNDUP((P8-800)/700,0))+4,0))))))))))</f>
        <v>0</v>
      </c>
      <c r="W4" s="31">
        <f>IF(AND(N3&gt;0,N3&lt;=100),2,IF(AND(N3&gt;100,N3&lt;=150),3,IF(AND(N3&gt;150,N3&lt;=200),4,IF(AND(N3&gt;200,N3&lt;=300),5,IF(AND(N3&gt;300,N3&lt;=400),6,IF(AND(N3&gt;400,N3&lt;=500),7,IF(AND(N3&gt;500,N3&lt;=650),8,IF(AND(N3&gt;650,N3&lt;=800),9,IF(N3&gt;800,(ROUNDUP((N3-800)/150,0))+9,IF(AND(Q8&gt;0,Q8&lt;=100),2,IF(AND(Q8&gt;100,Q8&lt;=150),3,IF(AND(Q8&gt;150,Q8&lt;=200),4,IF(AND(Q8&gt;200,Q8&lt;=300),5,IF(AND(Q8&gt;300,Q8&lt;=400),6,IF(AND(Q8&gt;400,Q8&lt;=500),7,IF(AND(Q8&gt;500,Q8&lt;=650),8,IF(AND(Q8&gt;650,Q8&lt;=800),9,IF(Q8&gt;800,(ROUNDUP((Q8-800)/150,0))+9,0))))))))))))))))))</f>
        <v>0</v>
      </c>
      <c r="X4" s="30">
        <f>IF(AND(M3&gt;0,M3&lt;=200),1,IF(AND(M3&gt;200,M3&lt;=400),2,IF(AND(M3&gt;400,M3&lt;=750),3,IF(M3&gt;750,(ROUNDUP((M3-750)/400,0))+3,IF(AND(P8&gt;0,P8&lt;=200),1,IF(AND(P8&gt;200,P8&lt;=400),2,IF(AND(P8&gt;400,P8&lt;=750),3,IF(P8&gt;750,(ROUNDUP((P8-750)/400,0))+3,0))))))))</f>
        <v>0</v>
      </c>
      <c r="Y4" s="31">
        <f>IF(AND(N3&gt;0,N3&lt;=200),1,IF(AND(N3&gt;200,N3&lt;=400),2,IF(AND(N3&gt;400,N3&lt;=750),3,IF(N3&gt;750,(ROUNDUP((N3-750)/400,0))+3,IF(AND(Q8&gt;0,Q8&lt;=200),1,IF(AND(Q8&gt;200,Q8&lt;=400),2,IF(AND(Q8&gt;400,Q8&lt;=750),3,IF(Q8&gt;750,(ROUNDUP((Q8-750)/400,0))+3,0))))))))</f>
        <v>0</v>
      </c>
      <c r="Z4" s="63" t="s">
        <v>435</v>
      </c>
      <c r="AA4" s="36" t="s">
        <v>82</v>
      </c>
      <c r="AB4">
        <f>IF(AND(M3&gt;0,M3&lt;=100),1,IF(AND(M3&gt;100,M3&lt;=200),2,IF(AND(M3&gt;200,M3&lt;=400),3,IF(AND(M3&gt;400,M3&lt;=600),4,IF(M3&gt;600,(ROUNDUP((M3-600)/250,0))+4,IF(AND(P8&gt;0,P8&lt;=100),1,IF(AND(P8&gt;100,P8&lt;=200),2,IF(AND(P8&gt;200,P8&lt;=400),3,IF(AND(P8&gt;400,P8&lt;=600),4,IF(P8&gt;600,(ROUNDUP((P8-600)/250,0))+4,0))))))))))</f>
        <v>0</v>
      </c>
    </row>
    <row r="5" spans="1:29" ht="19.5" thickBot="1" x14ac:dyDescent="0.3">
      <c r="A5" s="82"/>
      <c r="B5" s="83"/>
      <c r="C5" s="261"/>
      <c r="D5" s="111"/>
      <c r="E5" s="112"/>
      <c r="F5" s="112"/>
      <c r="G5" s="112"/>
      <c r="H5" s="112"/>
      <c r="I5" s="112"/>
      <c r="J5" s="112"/>
      <c r="K5" s="112"/>
      <c r="L5" s="114"/>
      <c r="M5" s="266"/>
      <c r="N5" s="97"/>
      <c r="O5" s="13"/>
      <c r="P5" s="144">
        <f>'Occupant Calculator'!D34</f>
        <v>0</v>
      </c>
      <c r="Q5" s="145"/>
      <c r="T5" s="5"/>
      <c r="U5" s="48" t="s">
        <v>332</v>
      </c>
      <c r="V5" s="30">
        <f>IF(AND(M15&gt;0,M15&lt;=100),1,IF(AND(M15&gt;100,M15&lt;=200),2,IF(AND(M15&gt;200,M15&lt;=400),3,IF(AND(M15&gt;400,M15&lt;=800),4,IF(M15&gt;800,(ROUNDUP((M15-800)/700,0))+4,IF(AND(P8&gt;0,P8&lt;=100),1,IF(AND(P8&gt;100,P8&lt;=200),2,IF(AND(P8&gt;200,P8&lt;=400),3,IF(AND(P8&gt;400,P8&lt;=800),4,IF(P8&gt;800,(ROUNDUP((P8-800)/700,0))+4,0))))))))))</f>
        <v>0</v>
      </c>
      <c r="W5" s="31">
        <f>IF(AND(N15&gt;0,N15&lt;=100),2,IF(AND(N15&gt;100,N15&lt;=150),3,IF(AND(N15&gt;150,N15&lt;=200),4,IF(AND(N15&gt;200,N15&lt;=300),5,IF(AND(N15&gt;300,N15&lt;=400),6,IF(AND(N15&gt;400,N15&lt;=500),7,IF(AND(N15&gt;500,N15&lt;=650),8,IF(AND(N15&gt;650,N15&lt;=800),9,IF(N15&gt;800,(ROUNDUP((N3-800)/150,0))+9,IF(AND(Q8&gt;0,Q8&lt;=100),2,IF(AND(Q8&gt;100,Q8&lt;=150),3,IF(AND(Q8&gt;150,Q8&lt;=200),4,IF(AND(Q8&gt;200,Q8&lt;=300),5,IF(AND(Q8&gt;300,Q8&lt;=400),6,IF(AND(Q8&gt;400,Q8&lt;=500),7,IF(AND(Q8&gt;500,Q8&lt;=650),8,IF(AND(Q8&gt;650,Q8&lt;=800),9,IF(Q8&gt;800,(ROUNDUP((Q8-800)/150,0))+9,0))))))))))))))))))</f>
        <v>0</v>
      </c>
      <c r="X5" s="30">
        <f>IF(AND(M15&gt;0,M15&lt;=200),1,IF(AND(M15&gt;200,M15&lt;=400),2,IF(AND(M15&gt;400,M15&lt;=750),3,IF(M15&gt;750,(ROUNDUP((M15-750)/400,0))+3,IF(AND(P8&gt;0,P8&lt;=200),1,IF(AND(P8&gt;200,P8&lt;=400),2,IF(AND(P8&gt;400,P8&lt;=750),3,IF(P8&gt;750,(ROUNDUP((P8-750)/400,0))+3,0))))))))</f>
        <v>0</v>
      </c>
      <c r="Y5" s="36">
        <f>IF(AND(N15&gt;0,N15&lt;=200),1,IF(AND(N15&gt;200,N15&lt;=400),2,IF(AND(N15&gt;400,N15&lt;=750),3,IF(N15&gt;750,(ROUNDUP((N15-750)/400,0))+3,IF(AND(Q8&gt;0,Q8&lt;=200),1,IF(AND(Q8&gt;200,Q8&lt;=400),2,IF(AND(Q8&gt;400,Q8&lt;=750),3,IF(Q8&gt;750,(ROUNDUP((Q8-750)/400,0))+3,0))))))))</f>
        <v>0</v>
      </c>
      <c r="Z5" s="63" t="s">
        <v>436</v>
      </c>
      <c r="AA5" s="36" t="s">
        <v>82</v>
      </c>
      <c r="AB5">
        <f>IF(AND(M15&gt;0,M15&lt;=100),1,IF(AND(M15&gt;100,M15&lt;=200),2,IF(AND(M15&gt;200,M15&lt;=400),3,IF(AND(M15&gt;400,M15&lt;=600),4,IF(M15&gt;600,(ROUNDUP((M15-600)/300,0))+4,IF(AND(P8&gt;0,P8&lt;=100),1,IF(AND(P8&gt;100,P8&lt;=200),2,IF(AND(P8&gt;200,P8&lt;=400),3,IF(AND(P8&gt;400,P8&lt;=600),4,IF(P8&gt;600,(ROUNDUP((P8-600)/300,0))+4,0))))))))))</f>
        <v>0</v>
      </c>
      <c r="AC5" s="42"/>
    </row>
    <row r="6" spans="1:29" ht="14.45" customHeight="1" x14ac:dyDescent="0.25">
      <c r="A6" s="82"/>
      <c r="B6" s="83"/>
      <c r="C6" s="261"/>
      <c r="D6" s="111"/>
      <c r="E6" s="112"/>
      <c r="F6" s="112"/>
      <c r="G6" s="112"/>
      <c r="H6" s="112"/>
      <c r="I6" s="112"/>
      <c r="J6" s="112"/>
      <c r="K6" s="112"/>
      <c r="L6" s="114"/>
      <c r="M6" s="266"/>
      <c r="N6" s="97"/>
      <c r="P6" s="1"/>
      <c r="Q6" s="1"/>
      <c r="T6" s="5"/>
      <c r="U6" s="48" t="s">
        <v>437</v>
      </c>
      <c r="V6" s="30">
        <f>IF(AND(M25&gt;0,M25&lt;=100),1,IF(AND(M25&gt;100,M25&lt;=300),2,IF(M25&gt;300,(ROUNDUP((M25-300)/200,0))+2,IF(AND(P8&gt;0,P8&lt;=100),1,IF(AND(P8&gt;100,P8&lt;=300),2,IF(P8&gt;300,(ROUNDUP((P8-300)/200,0))+2,0))))))</f>
        <v>0</v>
      </c>
      <c r="W6" s="31">
        <f>IF(AND(N25&gt;0,N25&lt;=50),1,IF(AND(N25&gt;50,N25&lt;=100),2,IF(AND(N25&gt;100,N25&lt;=150),3,IF(AND(N25&gt;150,N25&lt;=300),4,IF(N25&gt;300,(ROUNDUP((N25-300)/100,0))+4,IF(AND(Q8&gt;0,Q8&lt;=50),1,IF(AND(Q8&gt;50,Q8&lt;=100),2,IF(AND(Q8&gt;100,Q8&lt;=150),3,IF(AND(Q8&gt;150,Q8&lt;=300),4,IF(Q8&gt;300,(ROUNDUP((Q8-300)/100,0))+4,0))))))))))</f>
        <v>0</v>
      </c>
      <c r="X6" s="30">
        <f>IF(AND(M25&gt;0,M25&lt;=100),1,IF(AND(M25&gt;100,M25&lt;=200),2,IF(AND(M25&gt;200,M25&lt;=400),3,IF(M25&gt;400,(ROUNDUP((M25-400)/200,0))+3,IF(AND(P8&gt;0,P8&lt;=100),1,IF(AND(P8&gt;100,P8&lt;=200),2,IF(AND(P8&gt;200,P8&lt;=400),3,IF(P8&gt;400,(ROUNDUP((P8-400)/200,0))+3,0))))))))</f>
        <v>0</v>
      </c>
      <c r="Y6" s="36">
        <f>IF(AND(N25&gt;0,N25&lt;=100),1,IF(AND(N25&gt;100,N25&lt;=200),2,IF(AND(N25&gt;200,N25&lt;=400),3,IF(N25&gt;400,(ROUNDUP((N25-400)/200,0))+3,IF(AND(Q8&gt;0,Q8&lt;=100),1,IF(AND(Q8&gt;100,Q8&lt;=200),2,IF(AND(Q8&gt;200,Q8&lt;=400),3,IF(Q8&gt;400,(ROUNDUP((Q8-400)/200,0))+3,0))))))))</f>
        <v>0</v>
      </c>
      <c r="Z6" s="63" t="s">
        <v>438</v>
      </c>
      <c r="AA6" s="36" t="s">
        <v>82</v>
      </c>
      <c r="AB6">
        <f>IF(M25&gt;0,ROUNDUP(M25/150,0),ROUNDUP(P8/150,0))</f>
        <v>0</v>
      </c>
    </row>
    <row r="7" spans="1:29" ht="15.75" x14ac:dyDescent="0.25">
      <c r="A7" s="82"/>
      <c r="B7" s="83"/>
      <c r="C7" s="261"/>
      <c r="D7" s="111"/>
      <c r="E7" s="112"/>
      <c r="F7" s="112"/>
      <c r="G7" s="112"/>
      <c r="H7" s="112"/>
      <c r="I7" s="112"/>
      <c r="J7" s="112"/>
      <c r="K7" s="112"/>
      <c r="L7" s="114"/>
      <c r="M7" s="266"/>
      <c r="N7" s="97"/>
      <c r="P7" s="15" t="s">
        <v>74</v>
      </c>
      <c r="Q7" s="15" t="s">
        <v>75</v>
      </c>
      <c r="T7" s="5"/>
      <c r="U7" s="48" t="s">
        <v>345</v>
      </c>
      <c r="V7" s="30">
        <f>IF(M34&gt;0,ROUNDUP((M34/250),0),ROUNDUP((P8/250),0))</f>
        <v>0</v>
      </c>
      <c r="W7" s="31">
        <f>IF(N34&gt;0,ROUNDUP((N34/125),0),ROUNDUP((Q8/125),0))</f>
        <v>0</v>
      </c>
      <c r="X7" s="30">
        <f>IF(M34&gt;0,ROUNDUP((M34/125),0),ROUNDUP((P8/125),0))</f>
        <v>0</v>
      </c>
      <c r="Y7" s="36">
        <f>IF(N34&gt;0,ROUNDUP((N34/125),0),ROUNDUP((Q8/125),0))</f>
        <v>0</v>
      </c>
      <c r="Z7" s="63" t="s">
        <v>82</v>
      </c>
      <c r="AA7" s="36" t="s">
        <v>82</v>
      </c>
      <c r="AB7">
        <f>IF(M34&gt;0,ROUNDUP((M34/250),0),ROUNDUP((P8/250),0))</f>
        <v>0</v>
      </c>
    </row>
    <row r="8" spans="1:29" ht="16.149999999999999" customHeight="1" x14ac:dyDescent="0.25">
      <c r="A8" s="82"/>
      <c r="B8" s="83"/>
      <c r="C8" s="261"/>
      <c r="D8" s="111"/>
      <c r="E8" s="112"/>
      <c r="F8" s="112"/>
      <c r="G8" s="112"/>
      <c r="H8" s="112"/>
      <c r="I8" s="112"/>
      <c r="J8" s="112"/>
      <c r="K8" s="112"/>
      <c r="L8" s="114"/>
      <c r="M8" s="266"/>
      <c r="N8" s="97"/>
      <c r="P8" s="16">
        <f>ROUNDUP((P5/2),1)</f>
        <v>0</v>
      </c>
      <c r="Q8" s="16">
        <f>ROUNDUP((P5/2),1)</f>
        <v>0</v>
      </c>
      <c r="T8" s="5"/>
      <c r="U8" s="48" t="s">
        <v>351</v>
      </c>
      <c r="V8" s="30">
        <f>IF(AND(M43&gt;0,M43&lt;=15),1,IF(AND(M43&gt;15,M43&lt;=35),2,IF(AND(M43&gt;35,M43&lt;=55),3,IF(AND(M43&gt;55,M43&lt;=80),4,IF(AND(M43&gt;80,M43&lt;=110),5,IF(M43&gt;110,(ROUNDUP((M43-110)/50,0))+5,IF(AND(P8&gt;0,P8&lt;=15),1,IF(AND(P8&gt;15,P8&lt;=35),2,IF(AND(P8&gt;35,P8&lt;=55),3,IF(AND(P8&gt;55,P8&lt;=80),4,IF(AND(P8&gt;80,P8&lt;=110),5,IF(P8&gt;110,(ROUNDUP((P8-110)/50,0))+5,0))))))))))))</f>
        <v>0</v>
      </c>
      <c r="W8" s="31">
        <f>IF(AND(N43&gt;0,N43&lt;=15),1,IF(AND(N43&gt;15,N43&lt;=35),2,IF(AND(N43&gt;35,N43&lt;=55),3,IF(AND(N43&gt;55,N43&lt;=80),4,IF(AND(N43&gt;80,N43&lt;=110),5,IF(N43&gt;110,(ROUNDUP((N43-110)/50,0))+5,IF(AND(Q8&gt;0,Q8&lt;=15),1,IF(AND(Q8&gt;15,Q8&lt;=35),2,IF(AND(Q8&gt;35,Q8&lt;=55),3,IF(AND(Q8&gt;55,Q8&lt;=80),4,IF(AND(Q8&gt;80,Q8&lt;=110),5,IF(Q8&gt;110,(ROUNDUP((Q8-110)/50,0))+5,0))))))))))))</f>
        <v>0</v>
      </c>
      <c r="X8" s="30">
        <f>IF(AND(M43&gt;0,M43&lt;=15),1,IF(AND(M43&gt;15,M43&lt;=35),2,IF(AND(M43&gt;35,M43&lt;=60),3,IF(AND(M43&gt;60,M43&lt;=90),4,IF(AND(M43&gt;90,M43&lt;=125),5,IF(M43&gt;125,(ROUNDUP((M43-125)/50,0))+5,IF(AND(P8&gt;0,P8&lt;=15),1,IF(AND(P8&gt;15,P8&lt;=35),2,IF(AND(P8&gt;35,P8&lt;=60),3,IF(AND(P8&gt;60,P8&lt;=90),4,IF(AND(P8&gt;90,P8&lt;=125),5,IF(P8&gt;125,(ROUNDUP((P8-125)/50,0))+5,0))))))))))))</f>
        <v>0</v>
      </c>
      <c r="Y8" s="36">
        <f>IF(AND(N43&gt;0,N43&lt;=15),1,IF(AND(N43&gt;15,N43&lt;=35),2,IF(AND(N43&gt;35,N43&lt;=60),3,IF(AND(N43&gt;60,N43&lt;=90),4,IF(AND(N43&gt;90,N43&lt;=125),5,IF(N43&gt;125,(ROUNDUP((N43-125)/50,0))+5,IF(AND(Q8&gt;0,Q8&lt;=15),1,IF(AND(Q8&gt;15,Q8&lt;=35),2,IF(AND(Q8&gt;35,Q8&lt;=60),3,IF(AND(Q8&gt;60,Q8&lt;=90),4,IF(AND(Q8&gt;90,Q8&lt;=125),5,IF(Q8&gt;125,(ROUNDUP((Q8-125)/50,0))+5,0))))))))))))</f>
        <v>0</v>
      </c>
      <c r="Z8" s="63">
        <f>IF(OR(M43&gt;0,N43&gt;0),ROUNDUP((M43+N43)/75,0),ROUNDUP(P5/75,0))</f>
        <v>0</v>
      </c>
      <c r="AA8" s="36" t="s">
        <v>82</v>
      </c>
      <c r="AB8" t="s">
        <v>82</v>
      </c>
    </row>
    <row r="9" spans="1:29" ht="14.45" customHeight="1" x14ac:dyDescent="0.25">
      <c r="A9" s="82"/>
      <c r="B9" s="83"/>
      <c r="C9" s="261"/>
      <c r="D9" s="111"/>
      <c r="E9" s="112"/>
      <c r="F9" s="112"/>
      <c r="G9" s="112"/>
      <c r="H9" s="112"/>
      <c r="I9" s="112"/>
      <c r="J9" s="112"/>
      <c r="K9" s="112"/>
      <c r="L9" s="114"/>
      <c r="M9" s="266"/>
      <c r="N9" s="97"/>
      <c r="T9" s="5"/>
      <c r="U9" s="48" t="s">
        <v>439</v>
      </c>
      <c r="V9" s="30">
        <f>IF(AND(M54&gt;0,M54&lt;=5),1,IF(AND(M54&gt;5,M54&lt;=15),1,IF(AND(M54&gt;15,M54&lt;=35),2,IF(AND(M54&gt;35,M54&lt;=55),3,IF(AND(M54&gt;55,M54&lt;=80),4,IF(AND(M54&gt;80,M54&lt;=110),5,IF(M54&gt;110,(ROUNDUP((M54-110)/40,0))+5,IF(AND(P8&gt;0,P8&lt;=5),1,IF(AND(P8&gt;5,P8&lt;=15),1,IF(AND(P8&gt;15,P8&lt;=35),2,IF(AND(P8&gt;35,P8&lt;=55),3,IF(AND(P8&gt;55,P8&lt;=80),4,IF(AND(P8&gt;80,P8&lt;=110),5,IF(P8&gt;110,(ROUNDUP((P8-110)/40,0))+5,0))))))))))))))</f>
        <v>0</v>
      </c>
      <c r="W9" s="31">
        <f>IF(AND(N54&gt;0,N54&lt;=15),1,IF(AND(N54&gt;15,N54&lt;=35),2,IF(AND(N54&gt;35,N54&lt;=55),3,IF(AND(N54&gt;55,N54&lt;=80),4,IF(AND(N54&gt;80,N54&lt;=110),5,IF(N54&gt;110,(ROUNDUP((N54-110)/40,0))+5,IF(Q8+P8&gt;5,1,IF(AND(Q8&gt;0,Q8&lt;=15),1,IF(AND(Q8&gt;15,Q8&lt;=35),2,IF(AND(Q8&gt;35,Q8&lt;=55),3,IF(AND(Q8&gt;55,Q8&lt;=80),4,IF(AND(Q8&gt;80,Q8&lt;=110),5,IF(Q8&gt;110,(ROUNDUP((Q8-110)/40,0))+5,0)))))))))))))</f>
        <v>0</v>
      </c>
      <c r="X9" s="30">
        <f>IF(AND(M54&gt;0,M54&lt;=15),1,IF(AND(M54&gt;15,M54&lt;=35),2,IF(AND(M54&gt;35,M54&lt;=60),3,IF(M54&gt;60,(ROUNDUP((M54-60)/45,0))+3,IF(AND(P8&gt;0,P8&lt;=15),1,IF(AND(P8&gt;15,P8&lt;=35),2,IF(AND(P8&gt;35,P8&lt;=60),3,IF(P8&gt;60,(ROUNDUP((P8-60)/45,0))+3,0))))))))</f>
        <v>0</v>
      </c>
      <c r="Y9" s="36">
        <f>IF(AND(N54&gt;0,N54&lt;=15),1,IF(AND(N54&gt;15,N54&lt;=35),2,IF(AND(N54&gt;35,N54&lt;=60),3,IF(N54&gt;60,(ROUNDUP((N54-60)/45,0))+3,IF(AND(Q8&gt;0,Q8&lt;=15),1,IF(AND(Q8&gt;15,Q8&lt;=35),2,IF(AND(Q8&gt;35,Q8&lt;=60),3,IF(Q8&gt;60,(ROUNDUP((Q8-60)/45,0))+3,0))))))))</f>
        <v>0</v>
      </c>
      <c r="Z9" s="63">
        <f>IF(OR(M54&gt;0,N54&gt;0),ROUNDUP((M54+N54)/100,0),ROUNDUP(P5/100,0))</f>
        <v>0</v>
      </c>
      <c r="AA9" s="36" t="s">
        <v>82</v>
      </c>
      <c r="AB9" t="s">
        <v>82</v>
      </c>
    </row>
    <row r="10" spans="1:29" x14ac:dyDescent="0.25">
      <c r="A10" s="82"/>
      <c r="B10" s="83"/>
      <c r="C10" s="261"/>
      <c r="D10" s="111"/>
      <c r="E10" s="112"/>
      <c r="F10" s="112"/>
      <c r="G10" s="112"/>
      <c r="H10" s="112"/>
      <c r="I10" s="112"/>
      <c r="J10" s="112"/>
      <c r="K10" s="112"/>
      <c r="L10" s="114"/>
      <c r="M10" s="266"/>
      <c r="N10" s="97"/>
      <c r="O10" s="42" t="s">
        <v>440</v>
      </c>
      <c r="T10" s="5"/>
      <c r="U10" s="48" t="s">
        <v>441</v>
      </c>
      <c r="V10" s="30">
        <f>IF(M62&gt;0,"(1) Per Station",IF(P8&gt;0,"(1) Per Station",0))</f>
        <v>0</v>
      </c>
      <c r="W10" s="31">
        <f>IF(N62&gt;0,"(1) Per Station",IF(Q8&gt;0,"(1) Per Station",0))</f>
        <v>0</v>
      </c>
      <c r="X10" s="30">
        <f>IF(M62&gt;0,"(1) Per Station",IF(P8&gt;0,"(1) Per Station",0))</f>
        <v>0</v>
      </c>
      <c r="Y10" s="36">
        <f>IF(N62&gt;0,"(1) Per Station",IF(Q8&gt;0,"(1) Per Station",0))</f>
        <v>0</v>
      </c>
      <c r="Z10" s="63" t="s">
        <v>82</v>
      </c>
      <c r="AA10" s="36" t="s">
        <v>82</v>
      </c>
      <c r="AB10" t="s">
        <v>82</v>
      </c>
    </row>
    <row r="11" spans="1:29" x14ac:dyDescent="0.25">
      <c r="A11" s="82"/>
      <c r="B11" s="83"/>
      <c r="C11" s="261"/>
      <c r="D11" s="111"/>
      <c r="E11" s="112"/>
      <c r="F11" s="112"/>
      <c r="G11" s="112"/>
      <c r="H11" s="112"/>
      <c r="I11" s="112"/>
      <c r="J11" s="112"/>
      <c r="K11" s="112"/>
      <c r="L11" s="114"/>
      <c r="M11" s="266"/>
      <c r="N11" s="97"/>
      <c r="O11" s="42" t="s">
        <v>442</v>
      </c>
      <c r="T11" s="5"/>
      <c r="U11" s="48" t="s">
        <v>443</v>
      </c>
      <c r="V11" s="30">
        <f>IF(AND(M69&gt;0,M69&lt;=20),1,IF(AND(M69&gt;20,M69&lt;=50),2,IF(M69&gt;50,(ROUNDUP((M69-50)/50,0))+2,IF(AND(P8&gt;0,P8&lt;=20),1,IF(AND(P8&gt;20,P8&lt;=50),2,IF(P8&gt;50,(ROUNDUP((P8-50)/50,0))+2,0))))))</f>
        <v>0</v>
      </c>
      <c r="W11" s="31">
        <f>IF(AND(N69&gt;0,N69&lt;=20),1,IF(AND(N69&gt;20,N69&lt;=50),2,IF(N69&gt;50,(ROUNDUP((N69-50)/50,0))+2,IF(AND(Q8&gt;0,Q8&lt;=20),1,IF(AND(Q8&gt;20,Q8&lt;=50),2,IF(Q8&gt;50,(ROUNDUP((Q8-50)/50,0))+2,0))))))</f>
        <v>0</v>
      </c>
      <c r="X11" s="30">
        <f>IF(AND(M69&gt;0,M69&lt;=25),1,IF(AND(M69&gt;25,M69&lt;=50),2,IF(M69&gt;50,(ROUNDUP((M69-50)/50,0))+2,IF(AND(P8&gt;0,P8&lt;=25),1,IF(AND(P8&gt;25,P8&lt;=50),2,IF(P8&gt;50,(ROUNDUP((P8-50)/50,0))+2,0))))))</f>
        <v>0</v>
      </c>
      <c r="Y11" s="36">
        <f>IF(AND(N69&gt;0,N69&lt;=25),1,IF(AND(N69&gt;25,N69&lt;=50),2,IF(N69&gt;50,(ROUNDUP((N69-50)/50,0))+2,IF(AND(Q8&gt;0,Q8&lt;=25),1,IF(AND(Q8&gt;25,Q8&lt;=50),2,IF(Q8&gt;50,(ROUNDUP((Q8-50)/50,0))+2,0))))))</f>
        <v>0</v>
      </c>
      <c r="Z11" s="63">
        <f>IF(OR(M69&gt;0,N69&gt;0),ROUNDUP((M69+N69)/75,0),ROUNDUP(P5/75,0))</f>
        <v>0</v>
      </c>
      <c r="AA11" s="36" t="s">
        <v>82</v>
      </c>
      <c r="AB11" t="s">
        <v>82</v>
      </c>
    </row>
    <row r="12" spans="1:29" x14ac:dyDescent="0.25">
      <c r="A12" s="82"/>
      <c r="B12" s="83"/>
      <c r="C12" s="261"/>
      <c r="D12" s="111"/>
      <c r="E12" s="112"/>
      <c r="F12" s="112"/>
      <c r="G12" s="112"/>
      <c r="H12" s="112"/>
      <c r="I12" s="112"/>
      <c r="J12" s="112"/>
      <c r="K12" s="112"/>
      <c r="L12" s="114"/>
      <c r="M12" s="266"/>
      <c r="N12" s="97"/>
      <c r="O12" s="42" t="s">
        <v>444</v>
      </c>
      <c r="T12" s="5"/>
      <c r="U12" s="48" t="s">
        <v>344</v>
      </c>
      <c r="V12" s="30">
        <f>IF(M76&gt;0,ROUNDUP((M76/40),0),ROUNDUP((P8/40),0))</f>
        <v>0</v>
      </c>
      <c r="W12" s="31">
        <f>IF(N76&gt;0,ROUNDUP((N76/20),0),ROUNDUP((Q8/20),0))</f>
        <v>0</v>
      </c>
      <c r="X12" s="30">
        <f>IF(M76&gt;0,ROUNDUP((M76/40),0),ROUNDUP((P8/40),0))</f>
        <v>0</v>
      </c>
      <c r="Y12" s="36">
        <f>IF(N76&gt;0,ROUNDUP((N76/40),0),ROUNDUP((Q8/40),0))</f>
        <v>0</v>
      </c>
      <c r="Z12" s="63">
        <f>IF(OR(M76&gt;0,N76&gt;0),ROUNDUP((M76+N76)/75,0),ROUNDUP(P5/75,0))</f>
        <v>0</v>
      </c>
      <c r="AA12" s="36" t="s">
        <v>82</v>
      </c>
      <c r="AB12">
        <f>IF(M76&gt;0,ROUNDUP((M76/40),0),ROUNDUP((P8/40),0))</f>
        <v>0</v>
      </c>
    </row>
    <row r="13" spans="1:29" x14ac:dyDescent="0.25">
      <c r="A13" s="82"/>
      <c r="B13" s="83"/>
      <c r="C13" s="261"/>
      <c r="D13" s="111"/>
      <c r="E13" s="112"/>
      <c r="F13" s="112"/>
      <c r="G13" s="112"/>
      <c r="H13" s="112"/>
      <c r="I13" s="112"/>
      <c r="J13" s="112"/>
      <c r="K13" s="112"/>
      <c r="L13" s="114"/>
      <c r="M13" s="266"/>
      <c r="N13" s="97"/>
      <c r="T13" s="5"/>
      <c r="U13" s="48" t="s">
        <v>445</v>
      </c>
      <c r="V13" s="32">
        <f>IF(AND(M82&gt;0,M82&lt;=10),1,IF(AND(M82&gt;10,M82&lt;=25),2,IF(AND(M82&gt;25,M82&lt;=50),3,IF(AND(M82&gt;50,M82&lt;=75),4,IF(AND(M82&gt;75,M82&lt;=100),5,IF(AND(M82&gt;100,M82&lt;=125),6,IF(AND(M82&gt;125,M82&lt;=150),7,IF(AND(M82&gt;150,M82&lt;=175),8,IF(M82&gt;175,(ROUNDUP((M82-175)/50,0))+8,IF(AND(P8&gt;0,P8&lt;=10),1,IF(AND(P8&gt;10,P8&lt;=25),2,IF(AND(P8&gt;25,P8&lt;=50),3,IF(AND(P8&gt;50,P8&lt;=75),4,IF(AND(P8&gt;75,P8&lt;=100),5,IF(AND(P8&gt;100,P8&lt;=125),6,IF(AND(P8&gt;125,P8&lt;=150),7,IF(AND(P8&gt;150,P8&lt;=175),8,IF(P8&gt;175,(ROUNDUP((P8-175)/50,0))+8,0))))))))))))))))))</f>
        <v>0</v>
      </c>
      <c r="W13" s="31">
        <f>IF(AND(N82&gt;0,N82&lt;=10),1,IF(AND(N82&gt;10,N82&lt;=25),2,IF(AND(N82&gt;25,N82&lt;=50),3,IF(AND(N82&gt;50,N82&lt;=75),4,IF(AND(N82&gt;75,N82&lt;=100),5,IF(AND(N82&gt;100,N82&lt;=125),6,IF(AND(N82&gt;125,N82&lt;=150),7,IF(AND(N82&gt;150,N82&lt;=175),8,IF(N82&gt;175,(ROUNDUP((N82-175)/50,0))+8,IF(AND(Q8&gt;0,Q8&lt;=10),1,IF(AND(Q8&gt;10,Q8&lt;=25),2,IF(AND(Q8&gt;25,Q8&lt;=50),3,IF(AND(Q8&gt;50,Q8&lt;=75),4,IF(AND(Q8&gt;75,Q8&lt;=100),5,IF(AND(Q8&gt;100,Q8&lt;=125),6,IF(AND(Q8&gt;125,Q8&lt;=150),7,IF(AND(Q8&gt;150,Q8&lt;=175),8,IF(Q8&gt;175,(ROUNDUP((Q8-175)/50,0))+8,0))))))))))))))))))</f>
        <v>0</v>
      </c>
      <c r="X13" s="32">
        <f>IF(AND(M82&gt;0,M82&lt;=10),1,IF(AND(M82&gt;10,M82&lt;=25),2,IF(AND(M82&gt;25,M82&lt;=50),3,IF(AND(M82&gt;50,M82&lt;=75),4,IF(AND(M82&gt;75,M82&lt;=100),5,IF(AND(M82&gt;100,M82&lt;=125),6,IF(AND(M82&gt;125,M82&lt;=150),7,IF(AND(M82&gt;150,M82&lt;=175),8,IF(M82&gt;175,(ROUNDUP((M82-175)/50,0))+8,IF(AND(P8&gt;0,P8&lt;=10),1,IF(AND(P8&gt;10,P8&lt;=25),2,IF(AND(P8&gt;25,P8&lt;=50),3,IF(AND(P8&gt;50,P8&lt;=75),4,IF(AND(P8&gt;75,P8&lt;=100),5,IF(AND(P8&gt;100,P8&lt;=125),6,IF(AND(P8&gt;125,P8&lt;=150),7,IF(AND(P8&gt;150,P8&lt;=175),8,IF(P8&gt;175,(ROUNDUP((P8-175)/50,0))+8,0))))))))))))))))))</f>
        <v>0</v>
      </c>
      <c r="Y13" s="31">
        <f>IF(AND(N82&gt;0,N82&lt;=10),1,IF(AND(N82&gt;10,N82&lt;=25),2,IF(AND(N82&gt;25,N82&lt;=50),3,IF(AND(N82&gt;50,N82&lt;=75),4,IF(AND(N82&gt;75,N82&lt;=100),5,IF(AND(N82&gt;100,N82&lt;=125),6,IF(AND(N82&gt;125,N82&lt;=150),7,IF(AND(N82&gt;150,N82&lt;=175),8,IF(N82&gt;175,(ROUNDUP((N82-175)/50,0))+8,IF(AND(Q8&gt;0,Q8&lt;=10),1,IF(AND(Q8&gt;10,Q8&lt;=25),2,IF(AND(Q8&gt;25,Q8&lt;=50),3,IF(AND(Q8&gt;50,Q8&lt;=75),4,IF(AND(Q8&gt;75,Q8&lt;=100),5,IF(AND(Q8&gt;100,Q8&lt;=125),6,IF(AND(Q8&gt;125,Q8&lt;=150),7,IF(AND(Q8&gt;150,Q8&lt;=175),8,IF(Q8&gt;175,(ROUNDUP((Q8-175)/50,0))+8,0))))))))))))))))))</f>
        <v>0</v>
      </c>
      <c r="Z13" s="63">
        <f>IF(OR(M82&gt;0,N82&gt;0),ROUNDUP((M82+N82)/75,0),ROUNDUP(P5/75,0))</f>
        <v>0</v>
      </c>
      <c r="AA13" s="36" t="s">
        <v>82</v>
      </c>
      <c r="AB13" t="s">
        <v>82</v>
      </c>
    </row>
    <row r="14" spans="1:29" x14ac:dyDescent="0.25">
      <c r="A14" s="82"/>
      <c r="B14" s="83"/>
      <c r="C14" s="261"/>
      <c r="D14" s="111"/>
      <c r="E14" s="112"/>
      <c r="F14" s="112"/>
      <c r="G14" s="112"/>
      <c r="H14" s="112"/>
      <c r="I14" s="112"/>
      <c r="J14" s="112"/>
      <c r="K14" s="112"/>
      <c r="L14" s="114"/>
      <c r="M14" s="266"/>
      <c r="N14" s="97"/>
      <c r="T14" s="5"/>
      <c r="U14" s="48" t="s">
        <v>446</v>
      </c>
      <c r="V14" s="30" t="s">
        <v>152</v>
      </c>
      <c r="W14" s="36" t="s">
        <v>82</v>
      </c>
      <c r="X14" s="30" t="s">
        <v>152</v>
      </c>
      <c r="Y14" s="36" t="s">
        <v>82</v>
      </c>
      <c r="Z14" s="63" t="s">
        <v>82</v>
      </c>
      <c r="AA14" s="36" t="s">
        <v>152</v>
      </c>
      <c r="AB14" s="1" t="s">
        <v>82</v>
      </c>
    </row>
    <row r="15" spans="1:29" x14ac:dyDescent="0.25">
      <c r="A15" s="82"/>
      <c r="B15" s="83"/>
      <c r="C15" s="261" t="s">
        <v>447</v>
      </c>
      <c r="D15" s="111"/>
      <c r="E15" s="112">
        <f>V5</f>
        <v>0</v>
      </c>
      <c r="F15" s="112">
        <f>W5</f>
        <v>0</v>
      </c>
      <c r="G15" s="112">
        <f>AB5</f>
        <v>0</v>
      </c>
      <c r="H15" s="112">
        <f>X5</f>
        <v>0</v>
      </c>
      <c r="I15" s="112">
        <f>Y5</f>
        <v>0</v>
      </c>
      <c r="J15" s="112" t="str">
        <f>AA5</f>
        <v>-</v>
      </c>
      <c r="K15" s="112" t="str">
        <f>IF(OR(M15&gt;0,N15&gt;0),Z5,IF(AND(OR(M15&gt;0,N15&gt;0),M15+N15&gt;P5),Z5,IF(AND(OR(M15&gt;0,N15&gt;0),M15+N15&lt;P5),Z5,IF(P5=0,"-",Z5))))</f>
        <v>-</v>
      </c>
      <c r="L15" s="121" t="str">
        <f>IF(OR(M15&gt;0,N15&gt;0),"(1) Service Sink per Floor",IF(AND(OR(M15&gt;0,N15&gt;0),M15+N15&gt;P5),"(1) Service Sink per Floor",IF(AND(OR(M15&gt;0,N15&gt;0),M15+N15&lt;P5),"(1) Service Sink per Floor",IF(P5=0,"-","(1) Service Sink per Floor"))))</f>
        <v>-</v>
      </c>
      <c r="M15" s="266">
        <v>0</v>
      </c>
      <c r="N15" s="97">
        <f>M15</f>
        <v>0</v>
      </c>
      <c r="T15" s="5"/>
      <c r="U15" s="48" t="s">
        <v>448</v>
      </c>
      <c r="V15" s="30">
        <f>IF(M94&gt;0,ROUNDUP((M94/8),0),ROUNDUP((P5/8),0))</f>
        <v>0</v>
      </c>
      <c r="W15" s="31" t="s">
        <v>82</v>
      </c>
      <c r="X15" s="30">
        <f>IF(M94&gt;0,ROUNDUP((M94/8),0),ROUNDUP((P5/8),0))</f>
        <v>0</v>
      </c>
      <c r="Y15" s="36" t="s">
        <v>82</v>
      </c>
      <c r="Z15" s="63">
        <f>IF(M94&gt;0,ROUNDUP((M94/75),0),ROUNDUP((P5/75),0))</f>
        <v>0</v>
      </c>
      <c r="AA15" s="36">
        <f>IF(M94&gt;0,ROUNDUP((M94/8),0),ROUNDUP((P5/8),0))</f>
        <v>0</v>
      </c>
      <c r="AB15" t="s">
        <v>82</v>
      </c>
    </row>
    <row r="16" spans="1:29" x14ac:dyDescent="0.25">
      <c r="A16" s="82"/>
      <c r="B16" s="83"/>
      <c r="C16" s="261"/>
      <c r="D16" s="111"/>
      <c r="E16" s="112"/>
      <c r="F16" s="112"/>
      <c r="G16" s="112"/>
      <c r="H16" s="112"/>
      <c r="I16" s="112"/>
      <c r="J16" s="112"/>
      <c r="K16" s="112"/>
      <c r="L16" s="121"/>
      <c r="M16" s="266"/>
      <c r="N16" s="97"/>
      <c r="T16" s="5"/>
      <c r="U16" s="48" t="s">
        <v>449</v>
      </c>
      <c r="V16" s="30" t="s">
        <v>157</v>
      </c>
      <c r="W16" s="31" t="s">
        <v>82</v>
      </c>
      <c r="X16" s="30" t="s">
        <v>157</v>
      </c>
      <c r="Y16" s="58" t="s">
        <v>82</v>
      </c>
      <c r="Z16" s="63">
        <f>IF(M100&gt;0,ROUNDUP((M100/75),0),ROUNDUP((P5/75),0))</f>
        <v>0</v>
      </c>
      <c r="AA16" s="36">
        <f>IF(M100&gt;0,ROUNDUP((M100/8),0),ROUNDUP((P5/8),0))</f>
        <v>0</v>
      </c>
      <c r="AB16" s="1" t="s">
        <v>82</v>
      </c>
    </row>
    <row r="17" spans="1:28" ht="14.45" customHeight="1" thickBot="1" x14ac:dyDescent="0.3">
      <c r="A17" s="82"/>
      <c r="B17" s="83"/>
      <c r="C17" s="261"/>
      <c r="D17" s="111"/>
      <c r="E17" s="112"/>
      <c r="F17" s="112"/>
      <c r="G17" s="112"/>
      <c r="H17" s="112"/>
      <c r="I17" s="112"/>
      <c r="J17" s="112"/>
      <c r="K17" s="112"/>
      <c r="L17" s="114"/>
      <c r="M17" s="266"/>
      <c r="N17" s="97"/>
      <c r="T17" s="5"/>
      <c r="U17" s="48" t="s">
        <v>450</v>
      </c>
      <c r="V17" s="33">
        <f>IF(M106&gt;0,ROUNDUP((M106/8),0),ROUNDUP((P5/8),0))</f>
        <v>0</v>
      </c>
      <c r="W17" s="35" t="s">
        <v>82</v>
      </c>
      <c r="X17" s="33">
        <f>IF(M106&gt;0,ROUNDUP((M106/8),0),ROUNDUP((P5/8),0))</f>
        <v>0</v>
      </c>
      <c r="Y17" s="35" t="s">
        <v>82</v>
      </c>
      <c r="Z17" s="63">
        <f>IF(M106&gt;0,ROUNDUP((M106/75),0),ROUNDUP((P5/75),0))</f>
        <v>0</v>
      </c>
      <c r="AA17" s="37">
        <f>IF(M106&gt;0,ROUNDUP((M106/8),0),ROUNDUP((P5/8),0))</f>
        <v>0</v>
      </c>
      <c r="AB17" t="s">
        <v>82</v>
      </c>
    </row>
    <row r="18" spans="1:28" x14ac:dyDescent="0.25">
      <c r="A18" s="82"/>
      <c r="B18" s="83"/>
      <c r="C18" s="261"/>
      <c r="D18" s="111"/>
      <c r="E18" s="112"/>
      <c r="F18" s="112"/>
      <c r="G18" s="112"/>
      <c r="H18" s="112"/>
      <c r="I18" s="112"/>
      <c r="J18" s="112"/>
      <c r="K18" s="112"/>
      <c r="L18" s="114"/>
      <c r="M18" s="266"/>
      <c r="N18" s="97"/>
      <c r="T18" s="5"/>
      <c r="U18" s="48" t="s">
        <v>451</v>
      </c>
      <c r="V18" s="57">
        <f>IF(M112&gt;0,ROUNDUP((M112/25),0),ROUNDUP((P8/25),0))</f>
        <v>0</v>
      </c>
      <c r="W18" s="58">
        <f>IF(N112&gt;0,ROUNDUP((N112/20),0),ROUNDUP((Q8/20),0))</f>
        <v>0</v>
      </c>
      <c r="X18" s="57">
        <f>IF(M112&gt;0,ROUNDUP((M112/10),0),ROUNDUP((P8/10),0))</f>
        <v>0</v>
      </c>
      <c r="Y18" s="58">
        <f>IF(N112&gt;0,ROUNDUP((N112/10),0),ROUNDUP((Q8/10),0))</f>
        <v>0</v>
      </c>
      <c r="Z18" s="63">
        <f>IF(OR(M112&gt;0,N112&gt;0),ROUNDUP((M112+N112)/75,0),ROUNDUP(P5/75,0))</f>
        <v>0</v>
      </c>
      <c r="AA18" t="str">
        <f>IF(OR(M112&gt;0,N112&gt;0),ROUNDUP((M112+N112)/8,0)&amp;" each",ROUNDUP(P5/8,0)&amp;" each")</f>
        <v>0 each</v>
      </c>
      <c r="AB18" t="s">
        <v>82</v>
      </c>
    </row>
    <row r="19" spans="1:28" x14ac:dyDescent="0.25">
      <c r="A19" s="82"/>
      <c r="B19" s="83"/>
      <c r="C19" s="261"/>
      <c r="D19" s="111"/>
      <c r="E19" s="112"/>
      <c r="F19" s="112"/>
      <c r="G19" s="112"/>
      <c r="H19" s="112"/>
      <c r="I19" s="112"/>
      <c r="J19" s="112"/>
      <c r="K19" s="112"/>
      <c r="L19" s="114"/>
      <c r="M19" s="266"/>
      <c r="N19" s="97"/>
      <c r="T19" s="5"/>
      <c r="U19" s="48" t="s">
        <v>52</v>
      </c>
      <c r="V19" s="57">
        <f>IF(AND(M118&gt;0,M118&lt;=100),1,IF(AND(M118&gt;100,M118&lt;=200),2,IF(AND(M118&gt;200,M118&lt;=400),3,IF(AND(M118&gt;400,M118&lt;=800),4,IF(M118&gt;800,(ROUNDUP((M118-800)/500,0))+4,IF(AND(P8&gt;0,P8&lt;=100),1,IF(AND(P8&gt;100,P8&lt;=200),2,IF(AND(P8&gt;200,P8&lt;=400),3,IF(AND(P8&gt;400,P8&lt;=800),4,IF(P8&gt;800,(ROUNDUP((P8-800)/500,0))+4,0))))))))))</f>
        <v>0</v>
      </c>
      <c r="W19" s="58">
        <f>IF(AND(N118&gt;0,N118&lt;=100),2,IF(AND(N118&gt;100,N118&lt;=150),3,IF(AND(N118&gt;150,N118&lt;=200),4,IF(AND(N118&gt;200,N118&lt;=300),5,IF(AND(N118&gt;300,N118&lt;=400),6,IF(AND(N118&gt;400,N118&lt;=500),7,IF(AND(N118&gt;500,N118&lt;=650),8,IF(AND(N118&gt;650,N118&lt;=800),9,IF(N118&gt;800,(ROUNDUP((N118-800)/150,0))+9,IF(AND(Q8&gt;0,Q8&lt;=100),2,IF(AND(Q8&gt;100,Q8&lt;=150),3,IF(AND(Q8&gt;150,Q8&lt;=200),4,IF(AND(Q8&gt;200,Q8&lt;=300),5,IF(AND(Q8&gt;300,Q8&lt;=400),6,IF(AND(Q8&gt;400,Q8&lt;=500),7,IF(AND(Q8&gt;500,Q8&lt;=650),8,IF(AND(Q8&gt;650,Q8&lt;=800),9,IF(Q8&gt;800,(ROUNDUP((Q8-800)/150,0))+9,0))))))))))))))))))</f>
        <v>0</v>
      </c>
      <c r="X19" s="57">
        <f>IF(AND(M118&gt;0,M118&lt;=200),1,IF(AND(M118&gt;200,M118&lt;=400),2,IF(AND(M118&gt;400,M118&lt;=750),3,IF(M118&gt;750,(ROUNDUP((M118-750)/350,0))+3,IF(AND(P8&gt;0,P8&lt;=200),1,IF(AND(P8&gt;200,P8&lt;=400),2,IF(AND(P8&gt;400,P8&lt;=750),3,IF(P8&gt;750,(ROUNDUP((P8-750)/350,0))+3,0))))))))</f>
        <v>0</v>
      </c>
      <c r="Y19" s="58">
        <f>IF(AND(N118&gt;0,N118&lt;=200),1,IF(AND(N118&gt;200,N118&lt;=400),2,IF(AND(N118&gt;400,N118&lt;=750),3,IF(N118&gt;750,(ROUNDUP((N118-750)/350,0))+3,IF(AND(Q8&gt;0,Q8&lt;=200),1,IF(AND(Q8&gt;200,Q8&lt;=400),2,IF(AND(Q8&gt;400,Q8&lt;=750),3,IF(Q8&gt;750,(ROUNDUP((Q8-750)/350,0))+3,0))))))))</f>
        <v>0</v>
      </c>
      <c r="Z19" s="63">
        <f>IF(OR(M118&gt;0,N118&gt;0),ROUNDUP((M118+N118)/100,0),ROUNDUP(P5/100,0))</f>
        <v>0</v>
      </c>
      <c r="AA19" s="1" t="s">
        <v>82</v>
      </c>
      <c r="AB19">
        <f>IF(AND(M118&gt;0,M118&lt;=50),0,IF(AND(M118&gt;50,M118&lt;=200),1,IF(AND(M118&gt;200,M118&lt;=400),2,IF(AND(M118&gt;400,M118&lt;=600),3,IF(AND(M118&gt;600,M118&lt;=800),4,IF(M118&gt;800,(ROUNDUP((M118-800)/300,0))+4,IF(AND(P8&gt;0,P8&lt;=50),0,IF(AND(P8&gt;50,P8&lt;=200),1,IF(AND(P8&gt;200,P8&lt;=400),2,IF(AND(P8&gt;400,P8&lt;=600),3,IF(AND(P8&gt;600,P8&lt;=800),4,IF(P8&gt;800,(ROUNDUP((P8-800)/300,0))+4,0))))))))))))</f>
        <v>0</v>
      </c>
    </row>
    <row r="20" spans="1:28" x14ac:dyDescent="0.25">
      <c r="A20" s="82"/>
      <c r="B20" s="83"/>
      <c r="C20" s="261"/>
      <c r="D20" s="111"/>
      <c r="E20" s="112"/>
      <c r="F20" s="112"/>
      <c r="G20" s="112"/>
      <c r="H20" s="112"/>
      <c r="I20" s="112"/>
      <c r="J20" s="112"/>
      <c r="K20" s="112"/>
      <c r="L20" s="114"/>
      <c r="M20" s="266"/>
      <c r="N20" s="97"/>
      <c r="T20" s="5"/>
      <c r="U20" s="48" t="s">
        <v>452</v>
      </c>
      <c r="V20" s="57" t="s">
        <v>453</v>
      </c>
      <c r="W20" s="58" t="s">
        <v>82</v>
      </c>
      <c r="X20" s="57" t="s">
        <v>453</v>
      </c>
      <c r="Y20" s="58" t="s">
        <v>82</v>
      </c>
      <c r="Z20" s="63" t="s">
        <v>82</v>
      </c>
      <c r="AA20" t="s">
        <v>453</v>
      </c>
      <c r="AB20" t="s">
        <v>82</v>
      </c>
    </row>
    <row r="21" spans="1:28" ht="15.75" thickBot="1" x14ac:dyDescent="0.3">
      <c r="A21" s="82"/>
      <c r="B21" s="83"/>
      <c r="C21" s="261"/>
      <c r="D21" s="111"/>
      <c r="E21" s="112"/>
      <c r="F21" s="112"/>
      <c r="G21" s="112"/>
      <c r="H21" s="112"/>
      <c r="I21" s="112"/>
      <c r="J21" s="112"/>
      <c r="K21" s="112"/>
      <c r="L21" s="114"/>
      <c r="M21" s="266"/>
      <c r="N21" s="97"/>
      <c r="T21" s="5"/>
      <c r="U21" s="48" t="s">
        <v>32</v>
      </c>
      <c r="V21" s="59">
        <f>IF(M136&gt;0,ROUNDUP((M136/10),0),ROUNDUP((P8/10),0))</f>
        <v>0</v>
      </c>
      <c r="W21" s="60">
        <f>IF(N136&gt;0,ROUNDUP((N136/10),0),ROUNDUP((Q8/10),0))</f>
        <v>0</v>
      </c>
      <c r="X21" s="59">
        <f>IF(AND(M136&gt;0,M136&lt;=12),1,IF(AND(M136&gt;12,M136&lt;=24),2,IF(AND(M136&gt;24,M136&lt;=36),3,IF(AND(M136&gt;36,M136&lt;=48),4,IF(AND(M136&gt;48,M136&lt;=60),5,IF(AND(M136&gt;60,M136&lt;=72),6,IF(AND(M136&gt;72,M136&lt;=84),7,IF(AND(M136&gt;84,M136&lt;=96),8,IF(AND(M136&gt;96,M136&lt;=108),9,IF(AND(M136&gt;108,M136&lt;=120),10,IF(AND(M136&gt;120,M136&lt;=132),11,IF(AND(M136&gt;132,M136&lt;=144),12,IF(M136&gt;144,(ROUNDUP((M136-144)/20,0))+12,IF(AND(P8&gt;0,P8&lt;=12),1,IF(AND(P8&gt;12,P8&lt;=24),2,IF(AND(P8&gt;24,P8&lt;=36),3,IF(AND(P8&gt;36,P8&lt;=48),4,IF(AND(P8&gt;48,P8&lt;=60),5,IF(AND(P8&gt;60,P8&lt;=72),6,IF(AND(P8&gt;72,P8&lt;=84),7,IF(AND(P8&gt;84,P8&lt;=96),8,IF(AND(P8&gt;96,P8&lt;=108),9,IF(AND(P8&gt;108,P8&lt;=120),10,IF(AND(P8&gt;120,P8&lt;=132),11,IF(AND(P8&gt;132,P8&lt;=144),12,IF(P8&gt;144,(ROUNDUP((P8-144)/20,0))+12,0))))))))))))))))))))))))))</f>
        <v>0</v>
      </c>
      <c r="Y21" s="60">
        <f>IF(AND(N136&gt;0,N136&lt;=12),1,IF(AND(N136&gt;12,N136&lt;=24),2,IF(AND(N136&gt;24,N136&lt;=36),3,IF(AND(N136&gt;36,N136&lt;=48),4,IF(AND(N136&gt;48,N136&lt;=60),5,IF(AND(N136&gt;60,N136&lt;=72),6,IF(AND(N136&gt;72,N136&lt;=84),7,IF(AND(N136&gt;84,N136&lt;=96),8,IF(AND(N136&gt;96,N136&lt;=108),9,IF(AND(N136&gt;108,N136&lt;=120),10,IF(AND(N136&gt;120,N136&lt;=132),11,IF(AND(N136&gt;132,N136&lt;=144),12,IF(N136&gt;144,(ROUNDUP((N136-144)/15,0))+12,IF(AND(Q8&gt;0,Q8&lt;=12),1,IF(AND(Q8&gt;12,Q8&lt;=24),2,IF(AND(Q8&gt;24,Q8&lt;=36),3,IF(AND(Q8&gt;36,Q8&lt;=48),4,IF(AND(Q8&gt;48,Q8&lt;=60),5,IF(AND(Q8&gt;60,Q8&lt;=72),6,IF(AND(Q8&gt;72,Q8&lt;=84),7,IF(AND(Q8&gt;84,Q8&lt;=96),8,IF(AND(Q8&gt;96,Q8&lt;=108),9,IF(AND(Q8&gt;108,Q8&lt;=120),10,IF(AND(Q8&gt;120,Q8&lt;=132),11,IF(AND(Q8&gt;132,Q8&lt;=144),12,IF(Q8&gt;144,(ROUNDUP((Q8-144)/20,0))+12,0))))))))))))))))))))))))))</f>
        <v>0</v>
      </c>
      <c r="Z21" s="64">
        <f>IF(OR(M136&gt;0,N136&gt;0),ROUNDUP((M136+N136)/75,0),ROUNDUP(P5/75,0))</f>
        <v>0</v>
      </c>
      <c r="AA21" s="1" t="str">
        <f>IF(OR(M136&gt;0,N136&gt;0),ROUNDUP((M136+N136)/8,0)&amp;" each",ROUNDUP(P5/8,0)&amp;" each")</f>
        <v>0 each</v>
      </c>
      <c r="AB21">
        <f>IF(AND(AND((M136&gt;0),ROUNDUP(((M136-3750)/50),0)+150&gt;400)),ROUNDUP(((M136-16250)/200),0)+400,IF(AND(M136&gt;0,ROUNDUP((M136/25),0)&gt;150),ROUNDUP(((M136-3750)/50),0)+150,IF(AND(M136&gt;0,ROUNDUP((M136/25),0)&lt;=150),ROUNDUP((M136/25),ROUNDUP((P8/25),0)),IF(AND(AND((P8&gt;0),ROUNDUP(((P8-3750)/50),0)+150&gt;400)),ROUNDUP(((P8-16250)/200),0)+400,IF(AND(P8&gt;0,ROUNDUP((P8/25),0)&gt;150),ROUNDUP(((P8-3750)/50),0)+150,IF(AND(P8&gt;0,ROUNDUP((P8/25),0)&lt;=150),ROUNDUP((P8/25),0),0))))))</f>
        <v>0</v>
      </c>
    </row>
    <row r="22" spans="1:28" x14ac:dyDescent="0.25">
      <c r="A22" s="82"/>
      <c r="B22" s="83"/>
      <c r="C22" s="261"/>
      <c r="D22" s="111"/>
      <c r="E22" s="112"/>
      <c r="F22" s="112"/>
      <c r="G22" s="112"/>
      <c r="H22" s="112"/>
      <c r="I22" s="112"/>
      <c r="J22" s="112"/>
      <c r="K22" s="112"/>
      <c r="L22" s="114"/>
      <c r="M22" s="266"/>
      <c r="N22" s="97"/>
      <c r="T22" s="5"/>
      <c r="U22" s="48"/>
      <c r="Z22" s="1"/>
      <c r="AA22" s="1"/>
    </row>
    <row r="23" spans="1:28" x14ac:dyDescent="0.25">
      <c r="A23" s="82"/>
      <c r="B23" s="83"/>
      <c r="C23" s="261"/>
      <c r="D23" s="111"/>
      <c r="E23" s="112"/>
      <c r="F23" s="112"/>
      <c r="G23" s="112"/>
      <c r="H23" s="112"/>
      <c r="I23" s="112"/>
      <c r="J23" s="112"/>
      <c r="K23" s="112"/>
      <c r="L23" s="114"/>
      <c r="M23" s="266"/>
      <c r="N23" s="97"/>
      <c r="T23" s="5"/>
      <c r="U23" s="48"/>
      <c r="Z23" s="1"/>
      <c r="AA23" s="1"/>
    </row>
    <row r="24" spans="1:28" ht="15.75" thickBot="1" x14ac:dyDescent="0.3">
      <c r="A24" s="82"/>
      <c r="B24" s="83"/>
      <c r="C24" s="261"/>
      <c r="D24" s="111"/>
      <c r="E24" s="112"/>
      <c r="F24" s="112"/>
      <c r="G24" s="112"/>
      <c r="H24" s="112"/>
      <c r="I24" s="112"/>
      <c r="J24" s="112"/>
      <c r="K24" s="112"/>
      <c r="L24" s="114"/>
      <c r="M24" s="266"/>
      <c r="N24" s="97"/>
      <c r="T24" s="5"/>
      <c r="U24" s="48"/>
      <c r="Z24" s="1"/>
      <c r="AA24" s="1"/>
    </row>
    <row r="25" spans="1:28" x14ac:dyDescent="0.25">
      <c r="A25" s="82"/>
      <c r="B25" s="83"/>
      <c r="C25" s="261" t="s">
        <v>454</v>
      </c>
      <c r="D25" s="111"/>
      <c r="E25" s="112">
        <f>V6</f>
        <v>0</v>
      </c>
      <c r="F25" s="112">
        <f>W6</f>
        <v>0</v>
      </c>
      <c r="G25" s="92">
        <f>AB6</f>
        <v>0</v>
      </c>
      <c r="H25" s="112">
        <f>X6</f>
        <v>0</v>
      </c>
      <c r="I25" s="112">
        <f>Y6</f>
        <v>0</v>
      </c>
      <c r="J25" s="112" t="str">
        <f>AA6</f>
        <v>-</v>
      </c>
      <c r="K25" s="112" t="str">
        <f>IF(OR(M15&gt;0,N15&gt;0),Z5,IF(AND(OR(M15&gt;0,N15&gt;0),M15+N15&gt;P5),Z5,IF(AND(OR(M15&gt;0,N15&gt;0),M15+N15&lt;P5),Z5,IF(P5=0,"-",Z5))))</f>
        <v>-</v>
      </c>
      <c r="L25" s="114" t="str">
        <f>IF(OR(M25&gt;0,N25&gt;0),"(1) Service Sink and (1) 3-Compartment Sink as required by 77 Ill. Adm. Code 750, Footnote 6",IF(AND(OR(M25&gt;0,N25&gt;0),M25+N25&gt;P5),"(1) Service Sink and (1) 3-Compartment Sink as required by 77 Ill. Adm. Code 750, Footnote 6",IF(AND(OR(M25&gt;0,N25&gt;0),M25+N25&lt;P5),"(1) Service Sink and (1) 3-Compartment Sink as required by 77 Ill. Adm. Code 750, Footnote 6",IF(P5=0,"-","(1) Service Sink and (1) 3-Compartment Sink as required by 77 Ill. Adm. Code 750, Footnote 6"))))</f>
        <v>-</v>
      </c>
      <c r="M25" s="266">
        <v>0</v>
      </c>
      <c r="N25" s="97">
        <f>M25</f>
        <v>0</v>
      </c>
      <c r="O25" s="340" t="s">
        <v>455</v>
      </c>
      <c r="P25" s="280"/>
      <c r="Q25" s="280"/>
      <c r="R25" s="281"/>
      <c r="T25" s="5"/>
      <c r="U25" s="48"/>
      <c r="Z25" s="1"/>
    </row>
    <row r="26" spans="1:28" ht="14.45" customHeight="1" x14ac:dyDescent="0.25">
      <c r="A26" s="82"/>
      <c r="B26" s="83"/>
      <c r="C26" s="261"/>
      <c r="D26" s="111"/>
      <c r="E26" s="112"/>
      <c r="F26" s="112"/>
      <c r="G26" s="93"/>
      <c r="H26" s="112"/>
      <c r="I26" s="112"/>
      <c r="J26" s="112"/>
      <c r="K26" s="112"/>
      <c r="L26" s="114"/>
      <c r="M26" s="266"/>
      <c r="N26" s="97"/>
      <c r="O26" s="237"/>
      <c r="P26" s="238"/>
      <c r="Q26" s="238"/>
      <c r="R26" s="282"/>
      <c r="T26" s="5"/>
      <c r="U26" s="48"/>
      <c r="Z26" s="1"/>
    </row>
    <row r="27" spans="1:28" x14ac:dyDescent="0.25">
      <c r="A27" s="82"/>
      <c r="B27" s="83"/>
      <c r="C27" s="261"/>
      <c r="D27" s="111"/>
      <c r="E27" s="112"/>
      <c r="F27" s="112"/>
      <c r="G27" s="93"/>
      <c r="H27" s="112"/>
      <c r="I27" s="112"/>
      <c r="J27" s="112"/>
      <c r="K27" s="112"/>
      <c r="L27" s="114"/>
      <c r="M27" s="266"/>
      <c r="N27" s="97"/>
      <c r="O27" s="237"/>
      <c r="P27" s="238"/>
      <c r="Q27" s="238"/>
      <c r="R27" s="282"/>
      <c r="T27" s="5"/>
      <c r="U27" s="48"/>
      <c r="Z27" s="1"/>
    </row>
    <row r="28" spans="1:28" x14ac:dyDescent="0.25">
      <c r="A28" s="82"/>
      <c r="B28" s="83"/>
      <c r="C28" s="261"/>
      <c r="D28" s="111"/>
      <c r="E28" s="112"/>
      <c r="F28" s="112"/>
      <c r="G28" s="93"/>
      <c r="H28" s="112"/>
      <c r="I28" s="112"/>
      <c r="J28" s="112"/>
      <c r="K28" s="112"/>
      <c r="L28" s="114"/>
      <c r="M28" s="266"/>
      <c r="N28" s="97"/>
      <c r="O28" s="237"/>
      <c r="P28" s="238"/>
      <c r="Q28" s="238"/>
      <c r="R28" s="282"/>
      <c r="U28" s="48"/>
      <c r="Z28" s="1"/>
    </row>
    <row r="29" spans="1:28" x14ac:dyDescent="0.25">
      <c r="A29" s="82"/>
      <c r="B29" s="83"/>
      <c r="C29" s="261"/>
      <c r="D29" s="111"/>
      <c r="E29" s="112"/>
      <c r="F29" s="112"/>
      <c r="G29" s="93"/>
      <c r="H29" s="112"/>
      <c r="I29" s="112"/>
      <c r="J29" s="112"/>
      <c r="K29" s="112"/>
      <c r="L29" s="114"/>
      <c r="M29" s="266"/>
      <c r="N29" s="97"/>
      <c r="O29" s="237"/>
      <c r="P29" s="238"/>
      <c r="Q29" s="238"/>
      <c r="R29" s="282"/>
      <c r="U29" s="48"/>
      <c r="Z29" s="1"/>
    </row>
    <row r="30" spans="1:28" x14ac:dyDescent="0.25">
      <c r="A30" s="82"/>
      <c r="B30" s="83"/>
      <c r="C30" s="261"/>
      <c r="D30" s="111"/>
      <c r="E30" s="112"/>
      <c r="F30" s="112"/>
      <c r="G30" s="93"/>
      <c r="H30" s="112"/>
      <c r="I30" s="112"/>
      <c r="J30" s="112"/>
      <c r="K30" s="112"/>
      <c r="L30" s="114"/>
      <c r="M30" s="266"/>
      <c r="N30" s="97"/>
      <c r="O30" s="237"/>
      <c r="P30" s="238"/>
      <c r="Q30" s="238"/>
      <c r="R30" s="282"/>
      <c r="U30" s="48"/>
      <c r="Z30" s="1"/>
    </row>
    <row r="31" spans="1:28" x14ac:dyDescent="0.25">
      <c r="A31" s="82"/>
      <c r="B31" s="83"/>
      <c r="C31" s="261"/>
      <c r="D31" s="111"/>
      <c r="E31" s="112"/>
      <c r="F31" s="112"/>
      <c r="G31" s="93"/>
      <c r="H31" s="112"/>
      <c r="I31" s="112"/>
      <c r="J31" s="112"/>
      <c r="K31" s="112"/>
      <c r="L31" s="114"/>
      <c r="M31" s="266"/>
      <c r="N31" s="97"/>
      <c r="O31" s="237"/>
      <c r="P31" s="238"/>
      <c r="Q31" s="238"/>
      <c r="R31" s="282"/>
      <c r="U31" s="48"/>
      <c r="Z31" s="1"/>
    </row>
    <row r="32" spans="1:28" x14ac:dyDescent="0.25">
      <c r="A32" s="82"/>
      <c r="B32" s="83"/>
      <c r="C32" s="261"/>
      <c r="D32" s="111"/>
      <c r="E32" s="112"/>
      <c r="F32" s="112"/>
      <c r="G32" s="93"/>
      <c r="H32" s="112"/>
      <c r="I32" s="112"/>
      <c r="J32" s="112"/>
      <c r="K32" s="112"/>
      <c r="L32" s="114"/>
      <c r="M32" s="266"/>
      <c r="N32" s="97"/>
      <c r="O32" s="237"/>
      <c r="P32" s="238"/>
      <c r="Q32" s="238"/>
      <c r="R32" s="282"/>
      <c r="U32" s="48"/>
      <c r="Z32" s="1"/>
    </row>
    <row r="33" spans="1:26" ht="15.75" thickBot="1" x14ac:dyDescent="0.3">
      <c r="A33" s="82"/>
      <c r="B33" s="83"/>
      <c r="C33" s="261"/>
      <c r="D33" s="111"/>
      <c r="E33" s="112"/>
      <c r="F33" s="112"/>
      <c r="G33" s="129"/>
      <c r="H33" s="112"/>
      <c r="I33" s="112"/>
      <c r="J33" s="112"/>
      <c r="K33" s="112"/>
      <c r="L33" s="114"/>
      <c r="M33" s="266"/>
      <c r="N33" s="97"/>
      <c r="O33" s="341"/>
      <c r="P33" s="283"/>
      <c r="Q33" s="283"/>
      <c r="R33" s="284"/>
      <c r="U33" s="48"/>
    </row>
    <row r="34" spans="1:26" x14ac:dyDescent="0.25">
      <c r="A34" s="82"/>
      <c r="B34" s="83"/>
      <c r="C34" s="235" t="s">
        <v>456</v>
      </c>
      <c r="D34" s="180"/>
      <c r="E34" s="92">
        <f>V7</f>
        <v>0</v>
      </c>
      <c r="F34" s="92">
        <f>W7</f>
        <v>0</v>
      </c>
      <c r="G34" s="92">
        <f>AB7</f>
        <v>0</v>
      </c>
      <c r="H34" s="92">
        <f>X7</f>
        <v>0</v>
      </c>
      <c r="I34" s="92">
        <f>Y7</f>
        <v>0</v>
      </c>
      <c r="J34" s="92" t="str">
        <f>AA7</f>
        <v>-</v>
      </c>
      <c r="K34" s="92" t="str">
        <f>IF(OR(M34&gt;0,N34&gt;0),Z7,IF(AND(OR(M34&gt;0,N34&gt;0),M34+N34&gt;P5),Z7,IF(AND(OR(M34&gt;0,N34&gt;0),M34+N34&lt;P5),Z7,IF(P5=0,"-",Z7))))</f>
        <v>-</v>
      </c>
      <c r="L34" s="114" t="str">
        <f>IF(OR(M34&gt;0,N34&gt;0),"(1) Service Sink",IF(AND(OR(M34&gt;0,N34&gt;0),M34+N34&gt;P5),"(1) Service Sink",IF(AND(OR(M34&gt;0,N34&gt;0),M34+N34&lt;P5),"(1) Service Sink",IF(P5=0,"-","(1) Service Sink"))))</f>
        <v>-</v>
      </c>
      <c r="M34" s="268">
        <v>0</v>
      </c>
      <c r="N34" s="248">
        <f>M34</f>
        <v>0</v>
      </c>
      <c r="U34" s="48"/>
    </row>
    <row r="35" spans="1:26" x14ac:dyDescent="0.25">
      <c r="A35" s="82"/>
      <c r="B35" s="83"/>
      <c r="C35" s="237"/>
      <c r="D35" s="182"/>
      <c r="E35" s="93"/>
      <c r="F35" s="93"/>
      <c r="G35" s="93"/>
      <c r="H35" s="93"/>
      <c r="I35" s="93"/>
      <c r="J35" s="93"/>
      <c r="K35" s="93"/>
      <c r="L35" s="114"/>
      <c r="M35" s="278"/>
      <c r="N35" s="249"/>
      <c r="U35" s="48"/>
      <c r="Z35" s="1"/>
    </row>
    <row r="36" spans="1:26" x14ac:dyDescent="0.25">
      <c r="A36" s="82"/>
      <c r="B36" s="83"/>
      <c r="C36" s="237"/>
      <c r="D36" s="182"/>
      <c r="E36" s="93"/>
      <c r="F36" s="93"/>
      <c r="G36" s="93"/>
      <c r="H36" s="93"/>
      <c r="I36" s="93"/>
      <c r="J36" s="93"/>
      <c r="K36" s="93"/>
      <c r="L36" s="114"/>
      <c r="M36" s="278"/>
      <c r="N36" s="249"/>
    </row>
    <row r="37" spans="1:26" ht="14.45" customHeight="1" x14ac:dyDescent="0.25">
      <c r="A37" s="82"/>
      <c r="B37" s="83"/>
      <c r="C37" s="237"/>
      <c r="D37" s="182"/>
      <c r="E37" s="93"/>
      <c r="F37" s="93"/>
      <c r="G37" s="93"/>
      <c r="H37" s="93"/>
      <c r="I37" s="93"/>
      <c r="J37" s="93"/>
      <c r="K37" s="93"/>
      <c r="L37" s="114"/>
      <c r="M37" s="278"/>
      <c r="N37" s="249"/>
    </row>
    <row r="38" spans="1:26" x14ac:dyDescent="0.25">
      <c r="A38" s="82"/>
      <c r="B38" s="83"/>
      <c r="C38" s="237"/>
      <c r="D38" s="182"/>
      <c r="E38" s="93"/>
      <c r="F38" s="93"/>
      <c r="G38" s="93"/>
      <c r="H38" s="93"/>
      <c r="I38" s="93"/>
      <c r="J38" s="93"/>
      <c r="K38" s="93"/>
      <c r="L38" s="114"/>
      <c r="M38" s="278"/>
      <c r="N38" s="249"/>
    </row>
    <row r="39" spans="1:26" x14ac:dyDescent="0.25">
      <c r="A39" s="82"/>
      <c r="B39" s="83"/>
      <c r="C39" s="237"/>
      <c r="D39" s="182"/>
      <c r="E39" s="93"/>
      <c r="F39" s="93"/>
      <c r="G39" s="93"/>
      <c r="H39" s="93"/>
      <c r="I39" s="93"/>
      <c r="J39" s="93"/>
      <c r="K39" s="93"/>
      <c r="L39" s="114"/>
      <c r="M39" s="278"/>
      <c r="N39" s="249"/>
    </row>
    <row r="40" spans="1:26" ht="14.45" customHeight="1" x14ac:dyDescent="0.25">
      <c r="A40" s="82"/>
      <c r="B40" s="83"/>
      <c r="C40" s="237"/>
      <c r="D40" s="182"/>
      <c r="E40" s="93"/>
      <c r="F40" s="93"/>
      <c r="G40" s="93"/>
      <c r="H40" s="93"/>
      <c r="I40" s="93"/>
      <c r="J40" s="93"/>
      <c r="K40" s="93"/>
      <c r="L40" s="114"/>
      <c r="M40" s="278"/>
      <c r="N40" s="249"/>
    </row>
    <row r="41" spans="1:26" x14ac:dyDescent="0.25">
      <c r="A41" s="82"/>
      <c r="B41" s="83"/>
      <c r="C41" s="237"/>
      <c r="D41" s="182"/>
      <c r="E41" s="93"/>
      <c r="F41" s="93"/>
      <c r="G41" s="93"/>
      <c r="H41" s="93"/>
      <c r="I41" s="93"/>
      <c r="J41" s="93"/>
      <c r="K41" s="93"/>
      <c r="L41" s="114"/>
      <c r="M41" s="278"/>
      <c r="N41" s="249"/>
    </row>
    <row r="42" spans="1:26" ht="15.75" thickBot="1" x14ac:dyDescent="0.3">
      <c r="A42" s="84"/>
      <c r="B42" s="85"/>
      <c r="C42" s="237"/>
      <c r="D42" s="182"/>
      <c r="E42" s="93"/>
      <c r="F42" s="93"/>
      <c r="G42" s="93"/>
      <c r="H42" s="93"/>
      <c r="I42" s="93"/>
      <c r="J42" s="93"/>
      <c r="K42" s="93"/>
      <c r="L42" s="98"/>
      <c r="M42" s="278"/>
      <c r="N42" s="249"/>
    </row>
    <row r="43" spans="1:26" ht="14.45" customHeight="1" x14ac:dyDescent="0.25">
      <c r="A43" s="80" t="s">
        <v>394</v>
      </c>
      <c r="B43" s="81"/>
      <c r="C43" s="340" t="s">
        <v>457</v>
      </c>
      <c r="D43" s="351"/>
      <c r="E43" s="342">
        <f>V8</f>
        <v>0</v>
      </c>
      <c r="F43" s="342">
        <f>W8</f>
        <v>0</v>
      </c>
      <c r="G43" s="342" t="str">
        <f>IF(E43&gt;0,"Can substitute up to 50% of required fixtures (Title 77, Section 890.Appendix A, Footnote 2)","-")</f>
        <v>-</v>
      </c>
      <c r="H43" s="342">
        <f>X8</f>
        <v>0</v>
      </c>
      <c r="I43" s="342">
        <f>Y8</f>
        <v>0</v>
      </c>
      <c r="J43" s="342" t="str">
        <f>AA8</f>
        <v>-</v>
      </c>
      <c r="K43" s="342">
        <f>Z8</f>
        <v>0</v>
      </c>
      <c r="L43" s="349" t="str">
        <f>IF(OR(M43&gt;0,N43&gt;0),"(1) Service Sink per floor on which restrooms are located",IF(AND(OR(M43&gt;0,N43&gt;0),M43+N43&gt;P5),"(1) Service Sink per floor on which restrooms are located",IF(AND(OR(M43&gt;0,N43&gt;0),M43+N43&lt;P5),"(1) Service Sink per floor on which restrooms are located",IF(P5=0,"-","(1) Service Sink per floor on which restrooms are located"))))</f>
        <v>-</v>
      </c>
      <c r="M43" s="350">
        <v>0</v>
      </c>
      <c r="N43" s="307">
        <f>M43</f>
        <v>0</v>
      </c>
    </row>
    <row r="44" spans="1:26" x14ac:dyDescent="0.25">
      <c r="A44" s="82"/>
      <c r="B44" s="83"/>
      <c r="C44" s="237"/>
      <c r="D44" s="182"/>
      <c r="E44" s="93"/>
      <c r="F44" s="93"/>
      <c r="G44" s="93"/>
      <c r="H44" s="93"/>
      <c r="I44" s="93"/>
      <c r="J44" s="93"/>
      <c r="K44" s="93"/>
      <c r="L44" s="99"/>
      <c r="M44" s="278"/>
      <c r="N44" s="249"/>
    </row>
    <row r="45" spans="1:26" ht="14.45" customHeight="1" x14ac:dyDescent="0.25">
      <c r="A45" s="82"/>
      <c r="B45" s="83"/>
      <c r="C45" s="237"/>
      <c r="D45" s="182"/>
      <c r="E45" s="93"/>
      <c r="F45" s="93"/>
      <c r="G45" s="93"/>
      <c r="H45" s="93"/>
      <c r="I45" s="93"/>
      <c r="J45" s="93"/>
      <c r="K45" s="93"/>
      <c r="L45" s="99"/>
      <c r="M45" s="278"/>
      <c r="N45" s="249"/>
    </row>
    <row r="46" spans="1:26" ht="14.45" customHeight="1" x14ac:dyDescent="0.25">
      <c r="A46" s="82"/>
      <c r="B46" s="83"/>
      <c r="C46" s="237"/>
      <c r="D46" s="182"/>
      <c r="E46" s="93"/>
      <c r="F46" s="93"/>
      <c r="G46" s="93"/>
      <c r="H46" s="93"/>
      <c r="I46" s="93"/>
      <c r="J46" s="93"/>
      <c r="K46" s="93"/>
      <c r="L46" s="99"/>
      <c r="M46" s="278"/>
      <c r="N46" s="249"/>
    </row>
    <row r="47" spans="1:26" ht="14.45" customHeight="1" x14ac:dyDescent="0.25">
      <c r="A47" s="82"/>
      <c r="B47" s="83"/>
      <c r="C47" s="237"/>
      <c r="D47" s="182"/>
      <c r="E47" s="93"/>
      <c r="F47" s="93"/>
      <c r="G47" s="93"/>
      <c r="H47" s="93"/>
      <c r="I47" s="93"/>
      <c r="J47" s="93"/>
      <c r="K47" s="93"/>
      <c r="L47" s="99"/>
      <c r="M47" s="278"/>
      <c r="N47" s="249"/>
    </row>
    <row r="48" spans="1:26" ht="14.45" customHeight="1" x14ac:dyDescent="0.25">
      <c r="A48" s="82"/>
      <c r="B48" s="83"/>
      <c r="C48" s="237"/>
      <c r="D48" s="182"/>
      <c r="E48" s="93"/>
      <c r="F48" s="93"/>
      <c r="G48" s="93"/>
      <c r="H48" s="93"/>
      <c r="I48" s="93"/>
      <c r="J48" s="93"/>
      <c r="K48" s="93"/>
      <c r="L48" s="99"/>
      <c r="M48" s="278"/>
      <c r="N48" s="249"/>
    </row>
    <row r="49" spans="1:18" ht="14.45" customHeight="1" x14ac:dyDescent="0.25">
      <c r="A49" s="82"/>
      <c r="B49" s="83"/>
      <c r="C49" s="237"/>
      <c r="D49" s="182"/>
      <c r="E49" s="93"/>
      <c r="F49" s="93"/>
      <c r="G49" s="93"/>
      <c r="H49" s="93"/>
      <c r="I49" s="93"/>
      <c r="J49" s="93"/>
      <c r="K49" s="93"/>
      <c r="L49" s="99"/>
      <c r="M49" s="278"/>
      <c r="N49" s="249"/>
    </row>
    <row r="50" spans="1:18" ht="14.45" customHeight="1" x14ac:dyDescent="0.25">
      <c r="A50" s="82"/>
      <c r="B50" s="83"/>
      <c r="C50" s="237"/>
      <c r="D50" s="182"/>
      <c r="E50" s="93"/>
      <c r="F50" s="93"/>
      <c r="G50" s="93"/>
      <c r="H50" s="93"/>
      <c r="I50" s="93"/>
      <c r="J50" s="93"/>
      <c r="K50" s="93"/>
      <c r="L50" s="99"/>
      <c r="M50" s="278"/>
      <c r="N50" s="249"/>
    </row>
    <row r="51" spans="1:18" ht="14.45" customHeight="1" x14ac:dyDescent="0.25">
      <c r="A51" s="82"/>
      <c r="B51" s="83"/>
      <c r="C51" s="237"/>
      <c r="D51" s="182"/>
      <c r="E51" s="93"/>
      <c r="F51" s="93"/>
      <c r="G51" s="93"/>
      <c r="H51" s="93"/>
      <c r="I51" s="93"/>
      <c r="J51" s="93"/>
      <c r="K51" s="93"/>
      <c r="L51" s="99"/>
      <c r="M51" s="278"/>
      <c r="N51" s="249"/>
    </row>
    <row r="52" spans="1:18" ht="14.45" customHeight="1" x14ac:dyDescent="0.25">
      <c r="A52" s="82"/>
      <c r="B52" s="83"/>
      <c r="C52" s="237"/>
      <c r="D52" s="182"/>
      <c r="E52" s="93"/>
      <c r="F52" s="93"/>
      <c r="G52" s="93"/>
      <c r="H52" s="93"/>
      <c r="I52" s="93"/>
      <c r="J52" s="93"/>
      <c r="K52" s="93"/>
      <c r="L52" s="99"/>
      <c r="M52" s="278"/>
      <c r="N52" s="249"/>
    </row>
    <row r="53" spans="1:18" ht="14.45" customHeight="1" thickBot="1" x14ac:dyDescent="0.3">
      <c r="A53" s="82"/>
      <c r="B53" s="83"/>
      <c r="C53" s="239"/>
      <c r="D53" s="184"/>
      <c r="E53" s="129"/>
      <c r="F53" s="129"/>
      <c r="G53" s="129"/>
      <c r="H53" s="129"/>
      <c r="I53" s="129"/>
      <c r="J53" s="129"/>
      <c r="K53" s="129"/>
      <c r="L53" s="121"/>
      <c r="M53" s="279"/>
      <c r="N53" s="250"/>
    </row>
    <row r="54" spans="1:18" ht="14.45" customHeight="1" x14ac:dyDescent="0.25">
      <c r="A54" s="82"/>
      <c r="B54" s="83"/>
      <c r="C54" s="235" t="s">
        <v>458</v>
      </c>
      <c r="D54" s="180"/>
      <c r="E54" s="92" t="str">
        <f>IF(AND(OR(M54&gt;0,N54&gt;0),M54+N54&lt;=5),"Single restroom okay for  5 or less (Title 77, Section 890.810(B)(A)(i))",IF(AND(OR(M54&gt;0,N54&gt;0),M54+N54&gt;P5),V9,IF(AND(OR(M54&gt;0,N54&gt;0),M54+N54&lt;P5),V9,IF(P5&lt;=5,"Single restroom okay for  5 or less (Title 77, Section 890.810(B)(A)(i))",V9))))</f>
        <v>Single restroom okay for  5 or less (Title 77, Section 890.810(B)(A)(i))</v>
      </c>
      <c r="F54" s="92" t="str">
        <f>IF(E54="Single restroom okay for  5 or less (Title 77, Section 890.810(B)(A)(i))","-",W9)</f>
        <v>-</v>
      </c>
      <c r="G54" s="92" t="str">
        <f>IF(E54&gt;0,"Can substitute up to 50% of required fixtures (Title 77, Section 890.Appendix A, Footnote 2)","-")</f>
        <v>Can substitute up to 50% of required fixtures (Title 77, Section 890.Appendix A, Footnote 2)</v>
      </c>
      <c r="H54" s="92">
        <f>X9</f>
        <v>0</v>
      </c>
      <c r="I54" s="92" t="str">
        <f>IF(E54="Single restroom okay for  5 or less (Title 77, Section 890.810(B)(A)(i))","-",Y9)</f>
        <v>-</v>
      </c>
      <c r="J54" s="92" t="str">
        <f>AA9</f>
        <v>-</v>
      </c>
      <c r="K54" s="92">
        <f>Z9</f>
        <v>0</v>
      </c>
      <c r="L54" s="98" t="str">
        <f>IF(E54=0,"-","None")</f>
        <v>None</v>
      </c>
      <c r="M54" s="245">
        <v>0</v>
      </c>
      <c r="N54" s="248">
        <f>M54</f>
        <v>0</v>
      </c>
      <c r="O54" s="340" t="s">
        <v>459</v>
      </c>
      <c r="P54" s="280"/>
      <c r="Q54" s="280"/>
      <c r="R54" s="281"/>
    </row>
    <row r="55" spans="1:18" ht="14.45" customHeight="1" x14ac:dyDescent="0.25">
      <c r="A55" s="82"/>
      <c r="B55" s="83"/>
      <c r="C55" s="237"/>
      <c r="D55" s="182"/>
      <c r="E55" s="93"/>
      <c r="F55" s="93"/>
      <c r="G55" s="93"/>
      <c r="H55" s="93"/>
      <c r="I55" s="93"/>
      <c r="J55" s="93"/>
      <c r="K55" s="93"/>
      <c r="L55" s="99"/>
      <c r="M55" s="246"/>
      <c r="N55" s="249"/>
      <c r="O55" s="237"/>
      <c r="P55" s="238"/>
      <c r="Q55" s="238"/>
      <c r="R55" s="282"/>
    </row>
    <row r="56" spans="1:18" ht="14.45" customHeight="1" x14ac:dyDescent="0.25">
      <c r="A56" s="82"/>
      <c r="B56" s="83"/>
      <c r="C56" s="237"/>
      <c r="D56" s="182"/>
      <c r="E56" s="93"/>
      <c r="F56" s="93"/>
      <c r="G56" s="93"/>
      <c r="H56" s="93"/>
      <c r="I56" s="93"/>
      <c r="J56" s="93"/>
      <c r="K56" s="93"/>
      <c r="L56" s="99"/>
      <c r="M56" s="246"/>
      <c r="N56" s="249"/>
      <c r="O56" s="237"/>
      <c r="P56" s="238"/>
      <c r="Q56" s="238"/>
      <c r="R56" s="282"/>
    </row>
    <row r="57" spans="1:18" ht="14.45" customHeight="1" x14ac:dyDescent="0.25">
      <c r="A57" s="82"/>
      <c r="B57" s="83"/>
      <c r="C57" s="237"/>
      <c r="D57" s="182"/>
      <c r="E57" s="93"/>
      <c r="F57" s="93"/>
      <c r="G57" s="93"/>
      <c r="H57" s="93"/>
      <c r="I57" s="93"/>
      <c r="J57" s="93"/>
      <c r="K57" s="93"/>
      <c r="L57" s="99"/>
      <c r="M57" s="246"/>
      <c r="N57" s="249"/>
      <c r="O57" s="237"/>
      <c r="P57" s="238"/>
      <c r="Q57" s="238"/>
      <c r="R57" s="282"/>
    </row>
    <row r="58" spans="1:18" ht="14.45" customHeight="1" x14ac:dyDescent="0.25">
      <c r="A58" s="82"/>
      <c r="B58" s="83"/>
      <c r="C58" s="237"/>
      <c r="D58" s="182"/>
      <c r="E58" s="93"/>
      <c r="F58" s="93"/>
      <c r="G58" s="93"/>
      <c r="H58" s="93"/>
      <c r="I58" s="93"/>
      <c r="J58" s="93"/>
      <c r="K58" s="93"/>
      <c r="L58" s="99"/>
      <c r="M58" s="246"/>
      <c r="N58" s="249"/>
      <c r="O58" s="237"/>
      <c r="P58" s="238"/>
      <c r="Q58" s="238"/>
      <c r="R58" s="282"/>
    </row>
    <row r="59" spans="1:18" ht="14.45" customHeight="1" x14ac:dyDescent="0.25">
      <c r="A59" s="82"/>
      <c r="B59" s="83"/>
      <c r="C59" s="237"/>
      <c r="D59" s="182"/>
      <c r="E59" s="93"/>
      <c r="F59" s="93"/>
      <c r="G59" s="93"/>
      <c r="H59" s="93"/>
      <c r="I59" s="93"/>
      <c r="J59" s="93"/>
      <c r="K59" s="93"/>
      <c r="L59" s="99"/>
      <c r="M59" s="246"/>
      <c r="N59" s="249"/>
      <c r="O59" s="237"/>
      <c r="P59" s="238"/>
      <c r="Q59" s="238"/>
      <c r="R59" s="282"/>
    </row>
    <row r="60" spans="1:18" ht="14.45" customHeight="1" x14ac:dyDescent="0.25">
      <c r="A60" s="82"/>
      <c r="B60" s="83"/>
      <c r="C60" s="237"/>
      <c r="D60" s="182"/>
      <c r="E60" s="93"/>
      <c r="F60" s="93"/>
      <c r="G60" s="93"/>
      <c r="H60" s="93"/>
      <c r="I60" s="93"/>
      <c r="J60" s="93"/>
      <c r="K60" s="93"/>
      <c r="L60" s="99"/>
      <c r="M60" s="246"/>
      <c r="N60" s="249"/>
      <c r="O60" s="237"/>
      <c r="P60" s="238"/>
      <c r="Q60" s="238"/>
      <c r="R60" s="282"/>
    </row>
    <row r="61" spans="1:18" ht="14.45" customHeight="1" thickBot="1" x14ac:dyDescent="0.3">
      <c r="A61" s="82"/>
      <c r="B61" s="83"/>
      <c r="C61" s="341"/>
      <c r="D61" s="355"/>
      <c r="E61" s="94"/>
      <c r="F61" s="94"/>
      <c r="G61" s="94"/>
      <c r="H61" s="94"/>
      <c r="I61" s="94"/>
      <c r="J61" s="94"/>
      <c r="K61" s="94"/>
      <c r="L61" s="100"/>
      <c r="M61" s="348"/>
      <c r="N61" s="273"/>
      <c r="O61" s="341"/>
      <c r="P61" s="283"/>
      <c r="Q61" s="283"/>
      <c r="R61" s="284"/>
    </row>
    <row r="62" spans="1:18" ht="14.45" customHeight="1" x14ac:dyDescent="0.25">
      <c r="A62" s="82"/>
      <c r="B62" s="83"/>
      <c r="C62" s="340" t="s">
        <v>460</v>
      </c>
      <c r="D62" s="351"/>
      <c r="E62" s="342">
        <f>V10</f>
        <v>0</v>
      </c>
      <c r="F62" s="342">
        <f>W10</f>
        <v>0</v>
      </c>
      <c r="G62" s="342" t="str">
        <f>AB10</f>
        <v>-</v>
      </c>
      <c r="H62" s="342">
        <f>X10</f>
        <v>0</v>
      </c>
      <c r="I62" s="342">
        <f>Y10</f>
        <v>0</v>
      </c>
      <c r="J62" s="342" t="str">
        <f>AA10</f>
        <v>-</v>
      </c>
      <c r="K62" s="342" t="str">
        <f>Z10</f>
        <v>-</v>
      </c>
      <c r="L62" s="349" t="str">
        <f>IF(OR(M62&gt;0,N62&gt;0),"(1) Service Sink where public restrooms are required",IF(AND(OR(M62&gt;0,N62&gt;0),M62+N62&gt;P5),"(1) Service Sink where public restrooms are required",IF(AND(OR(M62&gt;0,N62&gt;0),M62+N62&lt;P5),"(1) Service Sink where public restrooms are required",IF(P5=0,"-","(1) Service Sink where public restrooms are required"))))</f>
        <v>-</v>
      </c>
      <c r="M62" s="347">
        <v>0</v>
      </c>
      <c r="N62" s="307">
        <f>M62</f>
        <v>0</v>
      </c>
      <c r="O62" s="340" t="s">
        <v>461</v>
      </c>
      <c r="P62" s="280"/>
      <c r="Q62" s="280"/>
      <c r="R62" s="281"/>
    </row>
    <row r="63" spans="1:18" ht="14.45" customHeight="1" x14ac:dyDescent="0.25">
      <c r="A63" s="82"/>
      <c r="B63" s="83"/>
      <c r="C63" s="237"/>
      <c r="D63" s="182"/>
      <c r="E63" s="93"/>
      <c r="F63" s="93"/>
      <c r="G63" s="93"/>
      <c r="H63" s="93"/>
      <c r="I63" s="93"/>
      <c r="J63" s="93"/>
      <c r="K63" s="93"/>
      <c r="L63" s="99"/>
      <c r="M63" s="246"/>
      <c r="N63" s="249"/>
      <c r="O63" s="237"/>
      <c r="P63" s="238"/>
      <c r="Q63" s="238"/>
      <c r="R63" s="282"/>
    </row>
    <row r="64" spans="1:18" ht="14.45" customHeight="1" x14ac:dyDescent="0.25">
      <c r="A64" s="82"/>
      <c r="B64" s="83"/>
      <c r="C64" s="237"/>
      <c r="D64" s="182"/>
      <c r="E64" s="93"/>
      <c r="F64" s="93"/>
      <c r="G64" s="93"/>
      <c r="H64" s="93"/>
      <c r="I64" s="93"/>
      <c r="J64" s="93"/>
      <c r="K64" s="93"/>
      <c r="L64" s="99"/>
      <c r="M64" s="246"/>
      <c r="N64" s="249"/>
      <c r="O64" s="237"/>
      <c r="P64" s="238"/>
      <c r="Q64" s="238"/>
      <c r="R64" s="282"/>
    </row>
    <row r="65" spans="1:18" ht="14.45" customHeight="1" x14ac:dyDescent="0.25">
      <c r="A65" s="82"/>
      <c r="B65" s="83"/>
      <c r="C65" s="237"/>
      <c r="D65" s="182"/>
      <c r="E65" s="93"/>
      <c r="F65" s="93"/>
      <c r="G65" s="93"/>
      <c r="H65" s="93"/>
      <c r="I65" s="93"/>
      <c r="J65" s="93"/>
      <c r="K65" s="93"/>
      <c r="L65" s="99"/>
      <c r="M65" s="246"/>
      <c r="N65" s="249"/>
      <c r="O65" s="237"/>
      <c r="P65" s="238"/>
      <c r="Q65" s="238"/>
      <c r="R65" s="282"/>
    </row>
    <row r="66" spans="1:18" ht="14.45" customHeight="1" x14ac:dyDescent="0.25">
      <c r="A66" s="82"/>
      <c r="B66" s="83"/>
      <c r="C66" s="237"/>
      <c r="D66" s="182"/>
      <c r="E66" s="93"/>
      <c r="F66" s="93"/>
      <c r="G66" s="93"/>
      <c r="H66" s="93"/>
      <c r="I66" s="93"/>
      <c r="J66" s="93"/>
      <c r="K66" s="93"/>
      <c r="L66" s="99"/>
      <c r="M66" s="246"/>
      <c r="N66" s="249"/>
      <c r="O66" s="237"/>
      <c r="P66" s="238"/>
      <c r="Q66" s="238"/>
      <c r="R66" s="282"/>
    </row>
    <row r="67" spans="1:18" ht="14.45" customHeight="1" x14ac:dyDescent="0.25">
      <c r="A67" s="82"/>
      <c r="B67" s="83"/>
      <c r="C67" s="237"/>
      <c r="D67" s="182"/>
      <c r="E67" s="93"/>
      <c r="F67" s="93"/>
      <c r="G67" s="93"/>
      <c r="H67" s="93"/>
      <c r="I67" s="93"/>
      <c r="J67" s="93"/>
      <c r="K67" s="93"/>
      <c r="L67" s="99"/>
      <c r="M67" s="246"/>
      <c r="N67" s="249"/>
      <c r="O67" s="237"/>
      <c r="P67" s="238"/>
      <c r="Q67" s="238"/>
      <c r="R67" s="282"/>
    </row>
    <row r="68" spans="1:18" ht="14.45" customHeight="1" thickBot="1" x14ac:dyDescent="0.3">
      <c r="A68" s="84"/>
      <c r="B68" s="85"/>
      <c r="C68" s="341"/>
      <c r="D68" s="355"/>
      <c r="E68" s="94"/>
      <c r="F68" s="94"/>
      <c r="G68" s="94"/>
      <c r="H68" s="94"/>
      <c r="I68" s="94"/>
      <c r="J68" s="94"/>
      <c r="K68" s="94"/>
      <c r="L68" s="100"/>
      <c r="M68" s="348"/>
      <c r="N68" s="273"/>
      <c r="O68" s="341"/>
      <c r="P68" s="283"/>
      <c r="Q68" s="283"/>
      <c r="R68" s="284"/>
    </row>
    <row r="69" spans="1:18" ht="14.45" customHeight="1" x14ac:dyDescent="0.25">
      <c r="A69" s="80" t="s">
        <v>143</v>
      </c>
      <c r="B69" s="81"/>
      <c r="C69" s="324" t="s">
        <v>443</v>
      </c>
      <c r="D69" s="131"/>
      <c r="E69" s="129">
        <f>V11</f>
        <v>0</v>
      </c>
      <c r="F69" s="129">
        <f>W11</f>
        <v>0</v>
      </c>
      <c r="G69" s="129" t="str">
        <f>IF(E69&gt;0,"Can substitute up to 50% of required fixtures (Title 77, Section 890.Appendix A, Footnote 2)","-")</f>
        <v>-</v>
      </c>
      <c r="H69" s="129">
        <f>X11</f>
        <v>0</v>
      </c>
      <c r="I69" s="129">
        <f>Y11</f>
        <v>0</v>
      </c>
      <c r="J69" s="129" t="str">
        <f>AA9</f>
        <v>-</v>
      </c>
      <c r="K69" s="129">
        <f>Z11</f>
        <v>0</v>
      </c>
      <c r="L69" s="121" t="str">
        <f>IF(OR(M69&gt;0,N69&gt;0),"(1) Service Sink per floor and kitchen area",IF(AND(OR(M69&gt;0,N69&gt;0),M69+N69&gt;P5),"(1) Service Sink per floor and kitchen area",IF(AND(OR(M69&gt;0,N69&gt;0),M69+N69&lt;P5),"(1) Service Sink per floor and kitchen area",IF(P5=0,"-","(1) Service Sink per floor and kitchen area"))))</f>
        <v>-</v>
      </c>
      <c r="M69" s="279">
        <v>0</v>
      </c>
      <c r="N69" s="250">
        <f>M69</f>
        <v>0</v>
      </c>
    </row>
    <row r="70" spans="1:18" ht="14.45" customHeight="1" x14ac:dyDescent="0.25">
      <c r="A70" s="82"/>
      <c r="B70" s="83"/>
      <c r="C70" s="261"/>
      <c r="D70" s="111"/>
      <c r="E70" s="112"/>
      <c r="F70" s="112"/>
      <c r="G70" s="112"/>
      <c r="H70" s="112"/>
      <c r="I70" s="112"/>
      <c r="J70" s="112"/>
      <c r="K70" s="112"/>
      <c r="L70" s="114"/>
      <c r="M70" s="266"/>
      <c r="N70" s="97"/>
    </row>
    <row r="71" spans="1:18" ht="14.45" customHeight="1" x14ac:dyDescent="0.25">
      <c r="A71" s="82"/>
      <c r="B71" s="83"/>
      <c r="C71" s="261"/>
      <c r="D71" s="111"/>
      <c r="E71" s="112"/>
      <c r="F71" s="112"/>
      <c r="G71" s="112"/>
      <c r="H71" s="112"/>
      <c r="I71" s="112"/>
      <c r="J71" s="112"/>
      <c r="K71" s="112"/>
      <c r="L71" s="114"/>
      <c r="M71" s="266"/>
      <c r="N71" s="97"/>
    </row>
    <row r="72" spans="1:18" ht="14.45" customHeight="1" x14ac:dyDescent="0.25">
      <c r="A72" s="82"/>
      <c r="B72" s="83"/>
      <c r="C72" s="261"/>
      <c r="D72" s="111"/>
      <c r="E72" s="112"/>
      <c r="F72" s="112"/>
      <c r="G72" s="112"/>
      <c r="H72" s="112"/>
      <c r="I72" s="112"/>
      <c r="J72" s="112"/>
      <c r="K72" s="112"/>
      <c r="L72" s="114"/>
      <c r="M72" s="266"/>
      <c r="N72" s="97"/>
    </row>
    <row r="73" spans="1:18" ht="14.45" customHeight="1" x14ac:dyDescent="0.25">
      <c r="A73" s="82"/>
      <c r="B73" s="83"/>
      <c r="C73" s="261"/>
      <c r="D73" s="111"/>
      <c r="E73" s="112"/>
      <c r="F73" s="112"/>
      <c r="G73" s="112"/>
      <c r="H73" s="112"/>
      <c r="I73" s="112"/>
      <c r="J73" s="112"/>
      <c r="K73" s="112"/>
      <c r="L73" s="114"/>
      <c r="M73" s="266"/>
      <c r="N73" s="97"/>
    </row>
    <row r="74" spans="1:18" ht="14.45" customHeight="1" x14ac:dyDescent="0.25">
      <c r="A74" s="82"/>
      <c r="B74" s="83"/>
      <c r="C74" s="261"/>
      <c r="D74" s="111"/>
      <c r="E74" s="112"/>
      <c r="F74" s="112"/>
      <c r="G74" s="112"/>
      <c r="H74" s="112"/>
      <c r="I74" s="112"/>
      <c r="J74" s="112"/>
      <c r="K74" s="112"/>
      <c r="L74" s="114"/>
      <c r="M74" s="266"/>
      <c r="N74" s="97"/>
    </row>
    <row r="75" spans="1:18" ht="14.45" customHeight="1" thickBot="1" x14ac:dyDescent="0.3">
      <c r="A75" s="82"/>
      <c r="B75" s="83"/>
      <c r="C75" s="261"/>
      <c r="D75" s="111"/>
      <c r="E75" s="112"/>
      <c r="F75" s="112"/>
      <c r="G75" s="112"/>
      <c r="H75" s="112"/>
      <c r="I75" s="112"/>
      <c r="J75" s="112"/>
      <c r="K75" s="112"/>
      <c r="L75" s="114"/>
      <c r="M75" s="266"/>
      <c r="N75" s="97"/>
    </row>
    <row r="76" spans="1:18" ht="14.45" customHeight="1" x14ac:dyDescent="0.25">
      <c r="A76" s="82"/>
      <c r="B76" s="83"/>
      <c r="C76" s="235" t="s">
        <v>462</v>
      </c>
      <c r="D76" s="180"/>
      <c r="E76" s="92">
        <f>V12</f>
        <v>0</v>
      </c>
      <c r="F76" s="92">
        <f>W12</f>
        <v>0</v>
      </c>
      <c r="G76" s="92">
        <f>AB12</f>
        <v>0</v>
      </c>
      <c r="H76" s="92">
        <f>X12</f>
        <v>0</v>
      </c>
      <c r="I76" s="92">
        <f>Y12</f>
        <v>0</v>
      </c>
      <c r="J76" s="92" t="str">
        <f>AA12</f>
        <v>-</v>
      </c>
      <c r="K76" s="92">
        <f>Z12</f>
        <v>0</v>
      </c>
      <c r="L76" s="98" t="str">
        <f>IF(OR(M76&gt;0,N76&gt;0),"(1) Service Sink per floor and kitchen area",IF(AND(OR(M76&gt;0,N76&gt;0),M76+N76&gt;P5),"(1) Service Sink per floor and kitchen area",IF(AND(OR(M76&gt;0,N76&gt;0),M76+N76&lt;P5),"(1) Service Sink per floor and kitchen area",IF(P5=0,"-","(1) Service Sink per floor and kitchen area"))))</f>
        <v>-</v>
      </c>
      <c r="M76" s="268">
        <v>0</v>
      </c>
      <c r="N76" s="248">
        <f>M76</f>
        <v>0</v>
      </c>
      <c r="O76" s="340" t="s">
        <v>463</v>
      </c>
      <c r="P76" s="280"/>
      <c r="Q76" s="280"/>
      <c r="R76" s="281"/>
    </row>
    <row r="77" spans="1:18" ht="14.45" customHeight="1" x14ac:dyDescent="0.25">
      <c r="A77" s="82"/>
      <c r="B77" s="83"/>
      <c r="C77" s="237"/>
      <c r="D77" s="182"/>
      <c r="E77" s="93"/>
      <c r="F77" s="93"/>
      <c r="G77" s="93"/>
      <c r="H77" s="93"/>
      <c r="I77" s="93"/>
      <c r="J77" s="93"/>
      <c r="K77" s="93"/>
      <c r="L77" s="99"/>
      <c r="M77" s="278"/>
      <c r="N77" s="249"/>
      <c r="O77" s="237"/>
      <c r="P77" s="238"/>
      <c r="Q77" s="238"/>
      <c r="R77" s="282"/>
    </row>
    <row r="78" spans="1:18" ht="14.45" customHeight="1" x14ac:dyDescent="0.25">
      <c r="A78" s="82"/>
      <c r="B78" s="83"/>
      <c r="C78" s="237"/>
      <c r="D78" s="182"/>
      <c r="E78" s="93"/>
      <c r="F78" s="93"/>
      <c r="G78" s="93"/>
      <c r="H78" s="93"/>
      <c r="I78" s="93"/>
      <c r="J78" s="93"/>
      <c r="K78" s="93"/>
      <c r="L78" s="99"/>
      <c r="M78" s="278"/>
      <c r="N78" s="249"/>
      <c r="O78" s="237"/>
      <c r="P78" s="238"/>
      <c r="Q78" s="238"/>
      <c r="R78" s="282"/>
    </row>
    <row r="79" spans="1:18" ht="14.45" customHeight="1" x14ac:dyDescent="0.25">
      <c r="A79" s="82"/>
      <c r="B79" s="83"/>
      <c r="C79" s="237"/>
      <c r="D79" s="182"/>
      <c r="E79" s="93"/>
      <c r="F79" s="93"/>
      <c r="G79" s="93"/>
      <c r="H79" s="93"/>
      <c r="I79" s="93"/>
      <c r="J79" s="93"/>
      <c r="K79" s="93"/>
      <c r="L79" s="99"/>
      <c r="M79" s="278"/>
      <c r="N79" s="249"/>
      <c r="O79" s="237"/>
      <c r="P79" s="238"/>
      <c r="Q79" s="238"/>
      <c r="R79" s="282"/>
    </row>
    <row r="80" spans="1:18" ht="14.45" customHeight="1" x14ac:dyDescent="0.25">
      <c r="A80" s="82"/>
      <c r="B80" s="83"/>
      <c r="C80" s="237"/>
      <c r="D80" s="182"/>
      <c r="E80" s="93"/>
      <c r="F80" s="93"/>
      <c r="G80" s="93"/>
      <c r="H80" s="93"/>
      <c r="I80" s="93"/>
      <c r="J80" s="93"/>
      <c r="K80" s="93"/>
      <c r="L80" s="99"/>
      <c r="M80" s="278"/>
      <c r="N80" s="249"/>
      <c r="O80" s="237"/>
      <c r="P80" s="238"/>
      <c r="Q80" s="238"/>
      <c r="R80" s="282"/>
    </row>
    <row r="81" spans="1:22" ht="14.45" customHeight="1" thickBot="1" x14ac:dyDescent="0.3">
      <c r="A81" s="82"/>
      <c r="B81" s="83"/>
      <c r="C81" s="239"/>
      <c r="D81" s="184"/>
      <c r="E81" s="129"/>
      <c r="F81" s="129"/>
      <c r="G81" s="129"/>
      <c r="H81" s="129"/>
      <c r="I81" s="129"/>
      <c r="J81" s="129"/>
      <c r="K81" s="129"/>
      <c r="L81" s="99"/>
      <c r="M81" s="279"/>
      <c r="N81" s="250"/>
      <c r="O81" s="237"/>
      <c r="P81" s="238"/>
      <c r="Q81" s="238"/>
      <c r="R81" s="282"/>
    </row>
    <row r="82" spans="1:22" ht="14.45" customHeight="1" x14ac:dyDescent="0.25">
      <c r="A82" s="343" t="s">
        <v>464</v>
      </c>
      <c r="B82" s="344"/>
      <c r="C82" s="235" t="s">
        <v>465</v>
      </c>
      <c r="D82" s="180"/>
      <c r="E82" s="92">
        <f>V13</f>
        <v>0</v>
      </c>
      <c r="F82" s="92">
        <f>W13</f>
        <v>0</v>
      </c>
      <c r="G82" s="92" t="str">
        <f>IF(E82&gt;0,"Can substitute up to 50% of required fixtures (Title 77, Section 890.Appendix A, Footnote 2)","-")</f>
        <v>-</v>
      </c>
      <c r="H82" s="92">
        <f>X13</f>
        <v>0</v>
      </c>
      <c r="I82" s="92">
        <f>Y13</f>
        <v>0</v>
      </c>
      <c r="J82" s="92" t="str">
        <f>AA13</f>
        <v>-</v>
      </c>
      <c r="K82" s="92">
        <f>Z13</f>
        <v>0</v>
      </c>
      <c r="L82" s="98" t="str">
        <f>IF(OR(M82&gt;0,N82&gt;0),"(1) Service Sink per floor and kitchen area",IF(AND(OR(M82&gt;0,N82&gt;0),M82+N82&gt;P5),"(1) Service Sink per floor and kitchen area",IF(AND(OR(M82&gt;0,N82&gt;0),M82+N82&lt;P5),"(1) Service Sink per floor and kitchen area",IF(P5=0,"-","(1) Service Sink per floor and kitchen area"))))</f>
        <v>-</v>
      </c>
      <c r="M82" s="245">
        <v>0</v>
      </c>
      <c r="N82" s="248">
        <f>M82</f>
        <v>0</v>
      </c>
      <c r="O82" s="340" t="s">
        <v>466</v>
      </c>
      <c r="P82" s="280"/>
      <c r="Q82" s="280"/>
      <c r="R82" s="280"/>
      <c r="S82" s="280"/>
      <c r="T82" s="280"/>
      <c r="U82" s="280"/>
      <c r="V82" s="281"/>
    </row>
    <row r="83" spans="1:22" ht="14.45" customHeight="1" x14ac:dyDescent="0.25">
      <c r="A83" s="82"/>
      <c r="B83" s="83"/>
      <c r="C83" s="237"/>
      <c r="D83" s="182"/>
      <c r="E83" s="93"/>
      <c r="F83" s="93"/>
      <c r="G83" s="93"/>
      <c r="H83" s="93"/>
      <c r="I83" s="93"/>
      <c r="J83" s="93"/>
      <c r="K83" s="93"/>
      <c r="L83" s="99"/>
      <c r="M83" s="246"/>
      <c r="N83" s="249"/>
      <c r="O83" s="237"/>
      <c r="P83" s="238"/>
      <c r="Q83" s="238"/>
      <c r="R83" s="238"/>
      <c r="S83" s="238"/>
      <c r="T83" s="238"/>
      <c r="U83" s="238"/>
      <c r="V83" s="282"/>
    </row>
    <row r="84" spans="1:22" ht="14.45" customHeight="1" x14ac:dyDescent="0.25">
      <c r="A84" s="82"/>
      <c r="B84" s="83"/>
      <c r="C84" s="237"/>
      <c r="D84" s="182"/>
      <c r="E84" s="93"/>
      <c r="F84" s="93"/>
      <c r="G84" s="93"/>
      <c r="H84" s="93"/>
      <c r="I84" s="93"/>
      <c r="J84" s="93"/>
      <c r="K84" s="93"/>
      <c r="L84" s="99"/>
      <c r="M84" s="246"/>
      <c r="N84" s="249"/>
      <c r="O84" s="237"/>
      <c r="P84" s="238"/>
      <c r="Q84" s="238"/>
      <c r="R84" s="238"/>
      <c r="S84" s="238"/>
      <c r="T84" s="238"/>
      <c r="U84" s="238"/>
      <c r="V84" s="282"/>
    </row>
    <row r="85" spans="1:22" ht="14.45" customHeight="1" x14ac:dyDescent="0.25">
      <c r="A85" s="82"/>
      <c r="B85" s="83"/>
      <c r="C85" s="237"/>
      <c r="D85" s="182"/>
      <c r="E85" s="93"/>
      <c r="F85" s="93"/>
      <c r="G85" s="93"/>
      <c r="H85" s="93"/>
      <c r="I85" s="93"/>
      <c r="J85" s="93"/>
      <c r="K85" s="93"/>
      <c r="L85" s="99"/>
      <c r="M85" s="246"/>
      <c r="N85" s="249"/>
      <c r="O85" s="237"/>
      <c r="P85" s="238"/>
      <c r="Q85" s="238"/>
      <c r="R85" s="238"/>
      <c r="S85" s="238"/>
      <c r="T85" s="238"/>
      <c r="U85" s="238"/>
      <c r="V85" s="282"/>
    </row>
    <row r="86" spans="1:22" ht="14.45" customHeight="1" x14ac:dyDescent="0.25">
      <c r="A86" s="82"/>
      <c r="B86" s="83"/>
      <c r="C86" s="237"/>
      <c r="D86" s="182"/>
      <c r="E86" s="93"/>
      <c r="F86" s="93"/>
      <c r="G86" s="93"/>
      <c r="H86" s="93"/>
      <c r="I86" s="93"/>
      <c r="J86" s="93"/>
      <c r="K86" s="93"/>
      <c r="L86" s="99"/>
      <c r="M86" s="246"/>
      <c r="N86" s="249"/>
      <c r="O86" s="237"/>
      <c r="P86" s="238"/>
      <c r="Q86" s="238"/>
      <c r="R86" s="238"/>
      <c r="S86" s="238"/>
      <c r="T86" s="238"/>
      <c r="U86" s="238"/>
      <c r="V86" s="282"/>
    </row>
    <row r="87" spans="1:22" ht="14.45" customHeight="1" thickBot="1" x14ac:dyDescent="0.3">
      <c r="A87" s="82"/>
      <c r="B87" s="83"/>
      <c r="C87" s="239"/>
      <c r="D87" s="184"/>
      <c r="E87" s="129"/>
      <c r="F87" s="129"/>
      <c r="G87" s="129"/>
      <c r="H87" s="129"/>
      <c r="I87" s="129"/>
      <c r="J87" s="129"/>
      <c r="K87" s="129"/>
      <c r="L87" s="121"/>
      <c r="M87" s="247"/>
      <c r="N87" s="250"/>
      <c r="O87" s="341"/>
      <c r="P87" s="283"/>
      <c r="Q87" s="283"/>
      <c r="R87" s="283"/>
      <c r="S87" s="283"/>
      <c r="T87" s="283"/>
      <c r="U87" s="283"/>
      <c r="V87" s="284"/>
    </row>
    <row r="88" spans="1:22" ht="14.45" customHeight="1" x14ac:dyDescent="0.25">
      <c r="A88" s="296" t="s">
        <v>402</v>
      </c>
      <c r="B88" s="297"/>
      <c r="C88" s="261" t="s">
        <v>467</v>
      </c>
      <c r="D88" s="111"/>
      <c r="E88" s="194" t="str">
        <f>V14</f>
        <v>1 per room</v>
      </c>
      <c r="F88" s="195"/>
      <c r="G88" s="269" t="str">
        <f>AB14</f>
        <v>-</v>
      </c>
      <c r="H88" s="194" t="str">
        <f>X14</f>
        <v>1 per room</v>
      </c>
      <c r="I88" s="195"/>
      <c r="J88" s="269" t="str">
        <f>AA14</f>
        <v>1 per room</v>
      </c>
      <c r="K88" s="269" t="str">
        <f>Z14</f>
        <v>-</v>
      </c>
      <c r="L88" s="276" t="str">
        <f>IF(M88&gt;0,"(1) Service Sink per Floor",IF(AND(M88&gt;0,M88&gt;P5),"(1) Service Sink per Floor",IF(P5=0,"-","(1) Service Sink per Floor")))</f>
        <v>-</v>
      </c>
      <c r="M88" s="167">
        <v>0</v>
      </c>
      <c r="N88" s="168"/>
      <c r="O88" s="51"/>
      <c r="P88" s="52"/>
      <c r="Q88" s="52"/>
      <c r="R88" s="52"/>
    </row>
    <row r="89" spans="1:22" ht="14.45" customHeight="1" x14ac:dyDescent="0.25">
      <c r="A89" s="298"/>
      <c r="B89" s="299"/>
      <c r="C89" s="261"/>
      <c r="D89" s="111"/>
      <c r="E89" s="196"/>
      <c r="F89" s="197"/>
      <c r="G89" s="269"/>
      <c r="H89" s="196"/>
      <c r="I89" s="197"/>
      <c r="J89" s="269"/>
      <c r="K89" s="269"/>
      <c r="L89" s="276"/>
      <c r="M89" s="169"/>
      <c r="N89" s="170"/>
    </row>
    <row r="90" spans="1:22" ht="14.45" customHeight="1" x14ac:dyDescent="0.25">
      <c r="A90" s="298"/>
      <c r="B90" s="299"/>
      <c r="C90" s="261"/>
      <c r="D90" s="111"/>
      <c r="E90" s="196"/>
      <c r="F90" s="197"/>
      <c r="G90" s="269"/>
      <c r="H90" s="196"/>
      <c r="I90" s="197"/>
      <c r="J90" s="269"/>
      <c r="K90" s="269"/>
      <c r="L90" s="276"/>
      <c r="M90" s="169"/>
      <c r="N90" s="170"/>
    </row>
    <row r="91" spans="1:22" ht="14.45" customHeight="1" x14ac:dyDescent="0.25">
      <c r="A91" s="298"/>
      <c r="B91" s="299"/>
      <c r="C91" s="261"/>
      <c r="D91" s="111"/>
      <c r="E91" s="196"/>
      <c r="F91" s="197"/>
      <c r="G91" s="269"/>
      <c r="H91" s="196"/>
      <c r="I91" s="197"/>
      <c r="J91" s="269"/>
      <c r="K91" s="269"/>
      <c r="L91" s="276"/>
      <c r="M91" s="169"/>
      <c r="N91" s="170"/>
    </row>
    <row r="92" spans="1:22" ht="14.45" customHeight="1" x14ac:dyDescent="0.25">
      <c r="A92" s="298"/>
      <c r="B92" s="299"/>
      <c r="C92" s="261"/>
      <c r="D92" s="111"/>
      <c r="E92" s="196"/>
      <c r="F92" s="197"/>
      <c r="G92" s="269"/>
      <c r="H92" s="196"/>
      <c r="I92" s="197"/>
      <c r="J92" s="269"/>
      <c r="K92" s="269"/>
      <c r="L92" s="276"/>
      <c r="M92" s="169"/>
      <c r="N92" s="170"/>
    </row>
    <row r="93" spans="1:22" ht="14.45" customHeight="1" x14ac:dyDescent="0.25">
      <c r="A93" s="298"/>
      <c r="B93" s="299"/>
      <c r="C93" s="261"/>
      <c r="D93" s="111"/>
      <c r="E93" s="198"/>
      <c r="F93" s="199"/>
      <c r="G93" s="269"/>
      <c r="H93" s="198"/>
      <c r="I93" s="199"/>
      <c r="J93" s="269"/>
      <c r="K93" s="269"/>
      <c r="L93" s="276"/>
      <c r="M93" s="171"/>
      <c r="N93" s="172"/>
    </row>
    <row r="94" spans="1:22" ht="14.45" customHeight="1" x14ac:dyDescent="0.25">
      <c r="A94" s="298"/>
      <c r="B94" s="299"/>
      <c r="C94" s="261" t="s">
        <v>468</v>
      </c>
      <c r="D94" s="111"/>
      <c r="E94" s="194">
        <f>V15</f>
        <v>0</v>
      </c>
      <c r="F94" s="195"/>
      <c r="G94" s="269" t="str">
        <f>AB15</f>
        <v>-</v>
      </c>
      <c r="H94" s="194">
        <f>X15</f>
        <v>0</v>
      </c>
      <c r="I94" s="195"/>
      <c r="J94" s="269">
        <f>AA15</f>
        <v>0</v>
      </c>
      <c r="K94" s="269">
        <f>Z15</f>
        <v>0</v>
      </c>
      <c r="L94" s="276" t="str">
        <f>IF(M94&gt;0,"(1) Service Sink per Floor",IF(AND(M94&gt;0,M94&gt;P5),"(1) Service Sink per Floor",IF(P5=0,"-","(1) Service Sink per Floor")))</f>
        <v>-</v>
      </c>
      <c r="M94" s="167">
        <v>0</v>
      </c>
      <c r="N94" s="168"/>
    </row>
    <row r="95" spans="1:22" ht="14.45" customHeight="1" x14ac:dyDescent="0.25">
      <c r="A95" s="298"/>
      <c r="B95" s="299"/>
      <c r="C95" s="261"/>
      <c r="D95" s="111"/>
      <c r="E95" s="196"/>
      <c r="F95" s="197"/>
      <c r="G95" s="269"/>
      <c r="H95" s="196"/>
      <c r="I95" s="197"/>
      <c r="J95" s="269"/>
      <c r="K95" s="269"/>
      <c r="L95" s="276"/>
      <c r="M95" s="169"/>
      <c r="N95" s="170"/>
    </row>
    <row r="96" spans="1:22" ht="14.45" customHeight="1" x14ac:dyDescent="0.25">
      <c r="A96" s="298"/>
      <c r="B96" s="299"/>
      <c r="C96" s="261"/>
      <c r="D96" s="111"/>
      <c r="E96" s="196"/>
      <c r="F96" s="197"/>
      <c r="G96" s="269"/>
      <c r="H96" s="196"/>
      <c r="I96" s="197"/>
      <c r="J96" s="269"/>
      <c r="K96" s="269"/>
      <c r="L96" s="276"/>
      <c r="M96" s="169"/>
      <c r="N96" s="170"/>
    </row>
    <row r="97" spans="1:14" ht="14.45" customHeight="1" x14ac:dyDescent="0.25">
      <c r="A97" s="298"/>
      <c r="B97" s="299"/>
      <c r="C97" s="261"/>
      <c r="D97" s="111"/>
      <c r="E97" s="196"/>
      <c r="F97" s="197"/>
      <c r="G97" s="269"/>
      <c r="H97" s="196"/>
      <c r="I97" s="197"/>
      <c r="J97" s="269"/>
      <c r="K97" s="269"/>
      <c r="L97" s="276"/>
      <c r="M97" s="169"/>
      <c r="N97" s="170"/>
    </row>
    <row r="98" spans="1:14" ht="14.45" customHeight="1" x14ac:dyDescent="0.25">
      <c r="A98" s="298"/>
      <c r="B98" s="299"/>
      <c r="C98" s="261"/>
      <c r="D98" s="111"/>
      <c r="E98" s="196"/>
      <c r="F98" s="197"/>
      <c r="G98" s="269"/>
      <c r="H98" s="196"/>
      <c r="I98" s="197"/>
      <c r="J98" s="269"/>
      <c r="K98" s="269"/>
      <c r="L98" s="276"/>
      <c r="M98" s="169"/>
      <c r="N98" s="170"/>
    </row>
    <row r="99" spans="1:14" ht="14.45" customHeight="1" x14ac:dyDescent="0.25">
      <c r="A99" s="298"/>
      <c r="B99" s="299"/>
      <c r="C99" s="261"/>
      <c r="D99" s="111"/>
      <c r="E99" s="198"/>
      <c r="F99" s="199"/>
      <c r="G99" s="269"/>
      <c r="H99" s="198"/>
      <c r="I99" s="199"/>
      <c r="J99" s="269"/>
      <c r="K99" s="269"/>
      <c r="L99" s="276"/>
      <c r="M99" s="171"/>
      <c r="N99" s="172"/>
    </row>
    <row r="100" spans="1:14" ht="14.45" customHeight="1" x14ac:dyDescent="0.25">
      <c r="A100" s="298"/>
      <c r="B100" s="299"/>
      <c r="C100" s="261" t="s">
        <v>469</v>
      </c>
      <c r="D100" s="111"/>
      <c r="E100" s="194" t="str">
        <f>V16</f>
        <v>1 per cell</v>
      </c>
      <c r="F100" s="195"/>
      <c r="G100" s="269" t="str">
        <f>AB16</f>
        <v>-</v>
      </c>
      <c r="H100" s="194" t="str">
        <f>X16</f>
        <v>1 per cell</v>
      </c>
      <c r="I100" s="195"/>
      <c r="J100" s="269">
        <f>AA16</f>
        <v>0</v>
      </c>
      <c r="K100" s="269">
        <f>Z16</f>
        <v>0</v>
      </c>
      <c r="L100" s="276" t="str">
        <f>IF(M100&gt;0,"(1) Service Sink per Floor",IF(AND(M100&gt;0,M100&gt;P5),"(1) Service Sink per Floor",IF(P5=0,"-","(1) Service Sink per Floor")))</f>
        <v>-</v>
      </c>
      <c r="M100" s="167">
        <v>0</v>
      </c>
      <c r="N100" s="168"/>
    </row>
    <row r="101" spans="1:14" ht="14.45" customHeight="1" x14ac:dyDescent="0.25">
      <c r="A101" s="298"/>
      <c r="B101" s="299"/>
      <c r="C101" s="261"/>
      <c r="D101" s="111"/>
      <c r="E101" s="196"/>
      <c r="F101" s="197"/>
      <c r="G101" s="269"/>
      <c r="H101" s="196"/>
      <c r="I101" s="197"/>
      <c r="J101" s="269"/>
      <c r="K101" s="269"/>
      <c r="L101" s="276"/>
      <c r="M101" s="169"/>
      <c r="N101" s="170"/>
    </row>
    <row r="102" spans="1:14" ht="14.45" customHeight="1" x14ac:dyDescent="0.25">
      <c r="A102" s="298"/>
      <c r="B102" s="299"/>
      <c r="C102" s="261"/>
      <c r="D102" s="111"/>
      <c r="E102" s="196"/>
      <c r="F102" s="197"/>
      <c r="G102" s="269"/>
      <c r="H102" s="196"/>
      <c r="I102" s="197"/>
      <c r="J102" s="269"/>
      <c r="K102" s="269"/>
      <c r="L102" s="276"/>
      <c r="M102" s="169"/>
      <c r="N102" s="170"/>
    </row>
    <row r="103" spans="1:14" ht="14.45" customHeight="1" x14ac:dyDescent="0.25">
      <c r="A103" s="298"/>
      <c r="B103" s="299"/>
      <c r="C103" s="261"/>
      <c r="D103" s="111"/>
      <c r="E103" s="196"/>
      <c r="F103" s="197"/>
      <c r="G103" s="269"/>
      <c r="H103" s="196"/>
      <c r="I103" s="197"/>
      <c r="J103" s="269"/>
      <c r="K103" s="269"/>
      <c r="L103" s="276"/>
      <c r="M103" s="169"/>
      <c r="N103" s="170"/>
    </row>
    <row r="104" spans="1:14" ht="14.45" customHeight="1" x14ac:dyDescent="0.25">
      <c r="A104" s="298"/>
      <c r="B104" s="299"/>
      <c r="C104" s="261"/>
      <c r="D104" s="111"/>
      <c r="E104" s="196"/>
      <c r="F104" s="197"/>
      <c r="G104" s="269"/>
      <c r="H104" s="196"/>
      <c r="I104" s="197"/>
      <c r="J104" s="269"/>
      <c r="K104" s="269"/>
      <c r="L104" s="276"/>
      <c r="M104" s="169"/>
      <c r="N104" s="170"/>
    </row>
    <row r="105" spans="1:14" ht="14.45" customHeight="1" x14ac:dyDescent="0.25">
      <c r="A105" s="298"/>
      <c r="B105" s="299"/>
      <c r="C105" s="261"/>
      <c r="D105" s="111"/>
      <c r="E105" s="198"/>
      <c r="F105" s="199"/>
      <c r="G105" s="269"/>
      <c r="H105" s="198"/>
      <c r="I105" s="199"/>
      <c r="J105" s="269"/>
      <c r="K105" s="269"/>
      <c r="L105" s="276"/>
      <c r="M105" s="171"/>
      <c r="N105" s="172"/>
    </row>
    <row r="106" spans="1:14" ht="14.45" customHeight="1" x14ac:dyDescent="0.25">
      <c r="A106" s="298"/>
      <c r="B106" s="299"/>
      <c r="C106" s="261" t="s">
        <v>470</v>
      </c>
      <c r="D106" s="111"/>
      <c r="E106" s="358">
        <f>V17</f>
        <v>0</v>
      </c>
      <c r="F106" s="353"/>
      <c r="G106" s="269" t="str">
        <f>AB17</f>
        <v>-</v>
      </c>
      <c r="H106" s="358">
        <f>X17</f>
        <v>0</v>
      </c>
      <c r="I106" s="353"/>
      <c r="J106" s="269">
        <f>AA17</f>
        <v>0</v>
      </c>
      <c r="K106" s="269">
        <f>Z17</f>
        <v>0</v>
      </c>
      <c r="L106" s="276" t="str">
        <f>IF(M106&gt;0,"(1) Service Sink per Floor",IF(AND(M106&gt;0,M106&gt;P5),"(1) Service Sink per Floor",IF(P5=0,"-","(1) Service Sink per Floor")))</f>
        <v>-</v>
      </c>
      <c r="M106" s="167">
        <v>0</v>
      </c>
      <c r="N106" s="168"/>
    </row>
    <row r="107" spans="1:14" ht="14.45" customHeight="1" x14ac:dyDescent="0.25">
      <c r="A107" s="298"/>
      <c r="B107" s="299"/>
      <c r="C107" s="261"/>
      <c r="D107" s="111"/>
      <c r="E107" s="310"/>
      <c r="F107" s="311"/>
      <c r="G107" s="269"/>
      <c r="H107" s="310"/>
      <c r="I107" s="311"/>
      <c r="J107" s="269"/>
      <c r="K107" s="269"/>
      <c r="L107" s="276"/>
      <c r="M107" s="169"/>
      <c r="N107" s="170"/>
    </row>
    <row r="108" spans="1:14" ht="14.45" customHeight="1" x14ac:dyDescent="0.25">
      <c r="A108" s="298"/>
      <c r="B108" s="299"/>
      <c r="C108" s="261"/>
      <c r="D108" s="111"/>
      <c r="E108" s="310"/>
      <c r="F108" s="311"/>
      <c r="G108" s="269"/>
      <c r="H108" s="310"/>
      <c r="I108" s="311"/>
      <c r="J108" s="269"/>
      <c r="K108" s="269"/>
      <c r="L108" s="276"/>
      <c r="M108" s="169"/>
      <c r="N108" s="170"/>
    </row>
    <row r="109" spans="1:14" ht="14.45" customHeight="1" x14ac:dyDescent="0.25">
      <c r="A109" s="298"/>
      <c r="B109" s="299"/>
      <c r="C109" s="261"/>
      <c r="D109" s="111"/>
      <c r="E109" s="310"/>
      <c r="F109" s="311"/>
      <c r="G109" s="269"/>
      <c r="H109" s="310"/>
      <c r="I109" s="311"/>
      <c r="J109" s="269"/>
      <c r="K109" s="269"/>
      <c r="L109" s="276"/>
      <c r="M109" s="169"/>
      <c r="N109" s="170"/>
    </row>
    <row r="110" spans="1:14" ht="14.45" customHeight="1" x14ac:dyDescent="0.25">
      <c r="A110" s="298"/>
      <c r="B110" s="299"/>
      <c r="C110" s="261"/>
      <c r="D110" s="111"/>
      <c r="E110" s="310"/>
      <c r="F110" s="311"/>
      <c r="G110" s="269"/>
      <c r="H110" s="310"/>
      <c r="I110" s="311"/>
      <c r="J110" s="269"/>
      <c r="K110" s="269"/>
      <c r="L110" s="276"/>
      <c r="M110" s="169"/>
      <c r="N110" s="170"/>
    </row>
    <row r="111" spans="1:14" ht="14.45" customHeight="1" x14ac:dyDescent="0.25">
      <c r="A111" s="298"/>
      <c r="B111" s="299"/>
      <c r="C111" s="261"/>
      <c r="D111" s="111"/>
      <c r="E111" s="359"/>
      <c r="F111" s="354"/>
      <c r="G111" s="269"/>
      <c r="H111" s="359"/>
      <c r="I111" s="354"/>
      <c r="J111" s="269"/>
      <c r="K111" s="269"/>
      <c r="L111" s="276"/>
      <c r="M111" s="171"/>
      <c r="N111" s="172"/>
    </row>
    <row r="112" spans="1:14" ht="14.45" customHeight="1" x14ac:dyDescent="0.25">
      <c r="A112" s="298"/>
      <c r="B112" s="299"/>
      <c r="C112" s="235" t="s">
        <v>471</v>
      </c>
      <c r="D112" s="180"/>
      <c r="E112" s="352">
        <f>V18</f>
        <v>0</v>
      </c>
      <c r="F112" s="353">
        <f>W18</f>
        <v>0</v>
      </c>
      <c r="G112" s="258" t="str">
        <f>IF(E112&gt;0,"Can substitute up to 50% of required fixtures (Title 77, Section 890.Appendix A, Footnote 2)","-")</f>
        <v>-</v>
      </c>
      <c r="H112" s="352">
        <f>X18</f>
        <v>0</v>
      </c>
      <c r="I112" s="353">
        <f>Y18</f>
        <v>0</v>
      </c>
      <c r="J112" s="258" t="str">
        <f>AA18</f>
        <v>0 each</v>
      </c>
      <c r="K112" s="258">
        <f>Z18</f>
        <v>0</v>
      </c>
      <c r="L112" s="305" t="str">
        <f>IF(OR(M112&gt;0,N112&gt;0),"(1) Service Sink per Floor",IF(AND(OR(M112&gt;0,N112&gt;0),M112+N112&gt;P5),"(1) Service Sink per Floor",IF(P5=0,"-","(1) Service Sink per Floor")))</f>
        <v>-</v>
      </c>
      <c r="M112" s="245">
        <v>0</v>
      </c>
      <c r="N112" s="248">
        <f>M112</f>
        <v>0</v>
      </c>
    </row>
    <row r="113" spans="1:17" ht="14.45" customHeight="1" x14ac:dyDescent="0.25">
      <c r="A113" s="298"/>
      <c r="B113" s="299"/>
      <c r="C113" s="237"/>
      <c r="D113" s="182"/>
      <c r="E113" s="322"/>
      <c r="F113" s="311"/>
      <c r="G113" s="259"/>
      <c r="H113" s="322"/>
      <c r="I113" s="311"/>
      <c r="J113" s="259"/>
      <c r="K113" s="259"/>
      <c r="L113" s="360"/>
      <c r="M113" s="246"/>
      <c r="N113" s="249"/>
    </row>
    <row r="114" spans="1:17" ht="14.45" customHeight="1" x14ac:dyDescent="0.25">
      <c r="A114" s="298"/>
      <c r="B114" s="299"/>
      <c r="C114" s="237"/>
      <c r="D114" s="182"/>
      <c r="E114" s="322"/>
      <c r="F114" s="311"/>
      <c r="G114" s="259"/>
      <c r="H114" s="322"/>
      <c r="I114" s="311"/>
      <c r="J114" s="259"/>
      <c r="K114" s="259"/>
      <c r="L114" s="360"/>
      <c r="M114" s="246"/>
      <c r="N114" s="249"/>
    </row>
    <row r="115" spans="1:17" ht="14.45" customHeight="1" x14ac:dyDescent="0.25">
      <c r="A115" s="298"/>
      <c r="B115" s="299"/>
      <c r="C115" s="237"/>
      <c r="D115" s="182"/>
      <c r="E115" s="322"/>
      <c r="F115" s="311"/>
      <c r="G115" s="259"/>
      <c r="H115" s="322"/>
      <c r="I115" s="311"/>
      <c r="J115" s="259"/>
      <c r="K115" s="259"/>
      <c r="L115" s="360"/>
      <c r="M115" s="246"/>
      <c r="N115" s="249"/>
    </row>
    <row r="116" spans="1:17" ht="14.45" customHeight="1" x14ac:dyDescent="0.25">
      <c r="A116" s="298"/>
      <c r="B116" s="299"/>
      <c r="C116" s="237"/>
      <c r="D116" s="182"/>
      <c r="E116" s="322"/>
      <c r="F116" s="311"/>
      <c r="G116" s="259"/>
      <c r="H116" s="322"/>
      <c r="I116" s="311"/>
      <c r="J116" s="259"/>
      <c r="K116" s="259"/>
      <c r="L116" s="360"/>
      <c r="M116" s="246"/>
      <c r="N116" s="249"/>
    </row>
    <row r="117" spans="1:17" ht="14.45" customHeight="1" thickBot="1" x14ac:dyDescent="0.3">
      <c r="A117" s="300"/>
      <c r="B117" s="301"/>
      <c r="C117" s="239"/>
      <c r="D117" s="184"/>
      <c r="E117" s="323"/>
      <c r="F117" s="354"/>
      <c r="G117" s="356"/>
      <c r="H117" s="323"/>
      <c r="I117" s="354"/>
      <c r="J117" s="356"/>
      <c r="K117" s="356"/>
      <c r="L117" s="361"/>
      <c r="M117" s="247"/>
      <c r="N117" s="250"/>
    </row>
    <row r="118" spans="1:17" ht="14.45" customHeight="1" x14ac:dyDescent="0.25">
      <c r="A118" s="80" t="s">
        <v>411</v>
      </c>
      <c r="B118" s="81"/>
      <c r="C118" s="261" t="s">
        <v>472</v>
      </c>
      <c r="D118" s="111"/>
      <c r="E118" s="269">
        <f>V19</f>
        <v>0</v>
      </c>
      <c r="F118" s="269">
        <f>W19</f>
        <v>0</v>
      </c>
      <c r="G118" s="269" t="str">
        <f>IF(E118&gt;0,"Can substitute up to 50% of required fixtures (Title 77, Section 890.Appendix A, Footnote 2)","-")</f>
        <v>-</v>
      </c>
      <c r="H118" s="269">
        <f>X19</f>
        <v>0</v>
      </c>
      <c r="I118" s="269">
        <f>Y19</f>
        <v>0</v>
      </c>
      <c r="J118" s="269" t="str">
        <f>AA19</f>
        <v>-</v>
      </c>
      <c r="K118" s="269">
        <f>Z19</f>
        <v>0</v>
      </c>
      <c r="L118" s="276" t="str">
        <f>IF(OR(M118&gt;0,N118&gt;0),"(1) Service Sink per Floor",IF(AND(OR(M118&gt;0,N118&gt;0),M118+N118&gt;P5),"(1) Service Sink per Floor",IF(P5=0,"-","(1) Service Sink per Floor")))</f>
        <v>-</v>
      </c>
      <c r="M118" s="266">
        <v>0</v>
      </c>
      <c r="N118" s="97">
        <f>M118</f>
        <v>0</v>
      </c>
      <c r="O118" s="340" t="s">
        <v>473</v>
      </c>
      <c r="P118" s="280"/>
      <c r="Q118" s="281"/>
    </row>
    <row r="119" spans="1:17" ht="14.45" customHeight="1" x14ac:dyDescent="0.25">
      <c r="A119" s="82"/>
      <c r="B119" s="83"/>
      <c r="C119" s="261"/>
      <c r="D119" s="111"/>
      <c r="E119" s="269"/>
      <c r="F119" s="269"/>
      <c r="G119" s="269"/>
      <c r="H119" s="269"/>
      <c r="I119" s="269"/>
      <c r="J119" s="269"/>
      <c r="K119" s="269"/>
      <c r="L119" s="276"/>
      <c r="M119" s="266"/>
      <c r="N119" s="97"/>
      <c r="O119" s="237"/>
      <c r="P119" s="238"/>
      <c r="Q119" s="282"/>
    </row>
    <row r="120" spans="1:17" ht="14.45" customHeight="1" x14ac:dyDescent="0.25">
      <c r="A120" s="82"/>
      <c r="B120" s="83"/>
      <c r="C120" s="261"/>
      <c r="D120" s="111"/>
      <c r="E120" s="269"/>
      <c r="F120" s="269"/>
      <c r="G120" s="269"/>
      <c r="H120" s="269"/>
      <c r="I120" s="269"/>
      <c r="J120" s="269"/>
      <c r="K120" s="269"/>
      <c r="L120" s="276"/>
      <c r="M120" s="266"/>
      <c r="N120" s="97"/>
      <c r="O120" s="237"/>
      <c r="P120" s="238"/>
      <c r="Q120" s="282"/>
    </row>
    <row r="121" spans="1:17" ht="14.45" customHeight="1" x14ac:dyDescent="0.25">
      <c r="A121" s="82"/>
      <c r="B121" s="83"/>
      <c r="C121" s="261"/>
      <c r="D121" s="111"/>
      <c r="E121" s="269"/>
      <c r="F121" s="269"/>
      <c r="G121" s="269"/>
      <c r="H121" s="269"/>
      <c r="I121" s="269"/>
      <c r="J121" s="269"/>
      <c r="K121" s="269"/>
      <c r="L121" s="276"/>
      <c r="M121" s="266"/>
      <c r="N121" s="97"/>
      <c r="O121" s="237"/>
      <c r="P121" s="238"/>
      <c r="Q121" s="282"/>
    </row>
    <row r="122" spans="1:17" ht="14.45" customHeight="1" x14ac:dyDescent="0.25">
      <c r="A122" s="82"/>
      <c r="B122" s="83"/>
      <c r="C122" s="261"/>
      <c r="D122" s="111"/>
      <c r="E122" s="269"/>
      <c r="F122" s="269"/>
      <c r="G122" s="269"/>
      <c r="H122" s="269"/>
      <c r="I122" s="269"/>
      <c r="J122" s="269"/>
      <c r="K122" s="269"/>
      <c r="L122" s="276"/>
      <c r="M122" s="266"/>
      <c r="N122" s="97"/>
      <c r="O122" s="237"/>
      <c r="P122" s="238"/>
      <c r="Q122" s="282"/>
    </row>
    <row r="123" spans="1:17" ht="14.45" customHeight="1" x14ac:dyDescent="0.25">
      <c r="A123" s="82"/>
      <c r="B123" s="83"/>
      <c r="C123" s="261"/>
      <c r="D123" s="111"/>
      <c r="E123" s="269"/>
      <c r="F123" s="269"/>
      <c r="G123" s="269"/>
      <c r="H123" s="269"/>
      <c r="I123" s="269"/>
      <c r="J123" s="269"/>
      <c r="K123" s="269"/>
      <c r="L123" s="276"/>
      <c r="M123" s="266"/>
      <c r="N123" s="97"/>
      <c r="O123" s="237"/>
      <c r="P123" s="238"/>
      <c r="Q123" s="282"/>
    </row>
    <row r="124" spans="1:17" ht="14.45" customHeight="1" x14ac:dyDescent="0.25">
      <c r="A124" s="82"/>
      <c r="B124" s="83"/>
      <c r="C124" s="261"/>
      <c r="D124" s="111"/>
      <c r="E124" s="269"/>
      <c r="F124" s="269"/>
      <c r="G124" s="269"/>
      <c r="H124" s="269"/>
      <c r="I124" s="269"/>
      <c r="J124" s="269"/>
      <c r="K124" s="269"/>
      <c r="L124" s="276"/>
      <c r="M124" s="266"/>
      <c r="N124" s="97"/>
      <c r="O124" s="237"/>
      <c r="P124" s="238"/>
      <c r="Q124" s="282"/>
    </row>
    <row r="125" spans="1:17" ht="14.45" customHeight="1" thickBot="1" x14ac:dyDescent="0.3">
      <c r="A125" s="84"/>
      <c r="B125" s="85"/>
      <c r="C125" s="261"/>
      <c r="D125" s="111"/>
      <c r="E125" s="269"/>
      <c r="F125" s="269"/>
      <c r="G125" s="269"/>
      <c r="H125" s="269"/>
      <c r="I125" s="269"/>
      <c r="J125" s="269"/>
      <c r="K125" s="269"/>
      <c r="L125" s="276"/>
      <c r="M125" s="266"/>
      <c r="N125" s="97"/>
      <c r="O125" s="341"/>
      <c r="P125" s="283"/>
      <c r="Q125" s="284"/>
    </row>
    <row r="126" spans="1:17" ht="14.45" customHeight="1" x14ac:dyDescent="0.25">
      <c r="A126" s="80" t="s">
        <v>413</v>
      </c>
      <c r="B126" s="81"/>
      <c r="C126" s="261" t="s">
        <v>474</v>
      </c>
      <c r="D126" s="111"/>
      <c r="E126" s="194" t="str">
        <f>V20</f>
        <v>1 per dwelling or unit</v>
      </c>
      <c r="F126" s="195"/>
      <c r="G126" s="269" t="str">
        <f>AB20</f>
        <v>-</v>
      </c>
      <c r="H126" s="194" t="str">
        <f>X20</f>
        <v>1 per dwelling or unit</v>
      </c>
      <c r="I126" s="195"/>
      <c r="J126" s="269" t="str">
        <f>AA20</f>
        <v>1 per dwelling or unit</v>
      </c>
      <c r="K126" s="269" t="str">
        <f>Z20</f>
        <v>-</v>
      </c>
      <c r="L126" s="276" t="s">
        <v>475</v>
      </c>
      <c r="M126" s="270">
        <v>0</v>
      </c>
      <c r="N126" s="168"/>
      <c r="O126" s="340" t="s">
        <v>476</v>
      </c>
      <c r="P126" s="280"/>
      <c r="Q126" s="281"/>
    </row>
    <row r="127" spans="1:17" ht="14.45" customHeight="1" x14ac:dyDescent="0.25">
      <c r="A127" s="82"/>
      <c r="B127" s="83"/>
      <c r="C127" s="261"/>
      <c r="D127" s="111"/>
      <c r="E127" s="196"/>
      <c r="F127" s="197"/>
      <c r="G127" s="269"/>
      <c r="H127" s="196"/>
      <c r="I127" s="197"/>
      <c r="J127" s="269"/>
      <c r="K127" s="269"/>
      <c r="L127" s="276"/>
      <c r="M127" s="271"/>
      <c r="N127" s="170"/>
      <c r="O127" s="237"/>
      <c r="P127" s="238"/>
      <c r="Q127" s="282"/>
    </row>
    <row r="128" spans="1:17" ht="14.45" customHeight="1" x14ac:dyDescent="0.25">
      <c r="A128" s="82"/>
      <c r="B128" s="83"/>
      <c r="C128" s="261"/>
      <c r="D128" s="111"/>
      <c r="E128" s="196"/>
      <c r="F128" s="197"/>
      <c r="G128" s="269"/>
      <c r="H128" s="196"/>
      <c r="I128" s="197"/>
      <c r="J128" s="269"/>
      <c r="K128" s="269"/>
      <c r="L128" s="276"/>
      <c r="M128" s="271"/>
      <c r="N128" s="170"/>
      <c r="O128" s="237"/>
      <c r="P128" s="238"/>
      <c r="Q128" s="282"/>
    </row>
    <row r="129" spans="1:17" ht="14.45" customHeight="1" x14ac:dyDescent="0.25">
      <c r="A129" s="82"/>
      <c r="B129" s="83"/>
      <c r="C129" s="261"/>
      <c r="D129" s="111"/>
      <c r="E129" s="196"/>
      <c r="F129" s="197"/>
      <c r="G129" s="269"/>
      <c r="H129" s="196"/>
      <c r="I129" s="197"/>
      <c r="J129" s="269"/>
      <c r="K129" s="269"/>
      <c r="L129" s="276"/>
      <c r="M129" s="271"/>
      <c r="N129" s="170"/>
      <c r="O129" s="237"/>
      <c r="P129" s="238"/>
      <c r="Q129" s="282"/>
    </row>
    <row r="130" spans="1:17" ht="14.45" customHeight="1" x14ac:dyDescent="0.25">
      <c r="A130" s="82"/>
      <c r="B130" s="83"/>
      <c r="C130" s="261"/>
      <c r="D130" s="111"/>
      <c r="E130" s="196"/>
      <c r="F130" s="197"/>
      <c r="G130" s="269"/>
      <c r="H130" s="196"/>
      <c r="I130" s="197"/>
      <c r="J130" s="269"/>
      <c r="K130" s="269"/>
      <c r="L130" s="276"/>
      <c r="M130" s="271"/>
      <c r="N130" s="170"/>
      <c r="O130" s="237"/>
      <c r="P130" s="238"/>
      <c r="Q130" s="282"/>
    </row>
    <row r="131" spans="1:17" ht="14.45" customHeight="1" x14ac:dyDescent="0.25">
      <c r="A131" s="82"/>
      <c r="B131" s="83"/>
      <c r="C131" s="261"/>
      <c r="D131" s="111"/>
      <c r="E131" s="196"/>
      <c r="F131" s="197"/>
      <c r="G131" s="269"/>
      <c r="H131" s="196"/>
      <c r="I131" s="197"/>
      <c r="J131" s="269"/>
      <c r="K131" s="269"/>
      <c r="L131" s="276"/>
      <c r="M131" s="271"/>
      <c r="N131" s="170"/>
      <c r="O131" s="237"/>
      <c r="P131" s="238"/>
      <c r="Q131" s="282"/>
    </row>
    <row r="132" spans="1:17" ht="14.45" customHeight="1" x14ac:dyDescent="0.25">
      <c r="A132" s="82"/>
      <c r="B132" s="83"/>
      <c r="C132" s="261"/>
      <c r="D132" s="111"/>
      <c r="E132" s="196"/>
      <c r="F132" s="197"/>
      <c r="G132" s="269"/>
      <c r="H132" s="196"/>
      <c r="I132" s="197"/>
      <c r="J132" s="269"/>
      <c r="K132" s="269"/>
      <c r="L132" s="276"/>
      <c r="M132" s="271"/>
      <c r="N132" s="170"/>
      <c r="O132" s="237"/>
      <c r="P132" s="238"/>
      <c r="Q132" s="282"/>
    </row>
    <row r="133" spans="1:17" ht="14.45" customHeight="1" x14ac:dyDescent="0.25">
      <c r="A133" s="82"/>
      <c r="B133" s="83"/>
      <c r="C133" s="261"/>
      <c r="D133" s="111"/>
      <c r="E133" s="196"/>
      <c r="F133" s="197"/>
      <c r="G133" s="269"/>
      <c r="H133" s="196"/>
      <c r="I133" s="197"/>
      <c r="J133" s="269"/>
      <c r="K133" s="269"/>
      <c r="L133" s="276"/>
      <c r="M133" s="271"/>
      <c r="N133" s="170"/>
      <c r="O133" s="237"/>
      <c r="P133" s="238"/>
      <c r="Q133" s="282"/>
    </row>
    <row r="134" spans="1:17" ht="14.45" customHeight="1" x14ac:dyDescent="0.25">
      <c r="A134" s="82"/>
      <c r="B134" s="83"/>
      <c r="C134" s="261"/>
      <c r="D134" s="111"/>
      <c r="E134" s="196"/>
      <c r="F134" s="197"/>
      <c r="G134" s="269"/>
      <c r="H134" s="196"/>
      <c r="I134" s="197"/>
      <c r="J134" s="269"/>
      <c r="K134" s="269"/>
      <c r="L134" s="276"/>
      <c r="M134" s="271"/>
      <c r="N134" s="170"/>
      <c r="O134" s="237"/>
      <c r="P134" s="238"/>
      <c r="Q134" s="282"/>
    </row>
    <row r="135" spans="1:17" ht="14.45" customHeight="1" thickBot="1" x14ac:dyDescent="0.3">
      <c r="A135" s="82"/>
      <c r="B135" s="83"/>
      <c r="C135" s="261"/>
      <c r="D135" s="111"/>
      <c r="E135" s="198"/>
      <c r="F135" s="199"/>
      <c r="G135" s="269"/>
      <c r="H135" s="198"/>
      <c r="I135" s="199"/>
      <c r="J135" s="269"/>
      <c r="K135" s="269"/>
      <c r="L135" s="276"/>
      <c r="M135" s="272"/>
      <c r="N135" s="172"/>
      <c r="O135" s="341"/>
      <c r="P135" s="283"/>
      <c r="Q135" s="284"/>
    </row>
    <row r="136" spans="1:17" ht="14.45" customHeight="1" x14ac:dyDescent="0.25">
      <c r="A136" s="82"/>
      <c r="B136" s="83"/>
      <c r="C136" s="261" t="s">
        <v>477</v>
      </c>
      <c r="D136" s="111"/>
      <c r="E136" s="258">
        <f>V21</f>
        <v>0</v>
      </c>
      <c r="F136" s="195">
        <f>W21</f>
        <v>0</v>
      </c>
      <c r="G136" s="269">
        <f>AB21</f>
        <v>0</v>
      </c>
      <c r="H136" s="258">
        <f>X21</f>
        <v>0</v>
      </c>
      <c r="I136" s="195">
        <f>Y21</f>
        <v>0</v>
      </c>
      <c r="J136" s="269" t="str">
        <f>AA21</f>
        <v>0 each</v>
      </c>
      <c r="K136" s="269">
        <f>Z21</f>
        <v>0</v>
      </c>
      <c r="L136" s="276" t="str">
        <f>IF(OR(M136&gt;0,N136&gt;0),"(1) Service Sink per Floor",IF(AND(OR(M136&gt;0,N136&gt;0),M136+N136&gt;P5),"(1) Service Sink per Floor",IF(P5=0,"-","(1) Service Sink per Floor")))</f>
        <v>-</v>
      </c>
      <c r="M136" s="245">
        <v>0</v>
      </c>
      <c r="N136" s="248">
        <f>M136</f>
        <v>0</v>
      </c>
      <c r="O136" s="340" t="s">
        <v>478</v>
      </c>
      <c r="P136" s="280"/>
      <c r="Q136" s="281"/>
    </row>
    <row r="137" spans="1:17" ht="14.45" customHeight="1" x14ac:dyDescent="0.25">
      <c r="A137" s="82"/>
      <c r="B137" s="83"/>
      <c r="C137" s="261"/>
      <c r="D137" s="111"/>
      <c r="E137" s="259"/>
      <c r="F137" s="197"/>
      <c r="G137" s="269"/>
      <c r="H137" s="259"/>
      <c r="I137" s="197"/>
      <c r="J137" s="269"/>
      <c r="K137" s="269"/>
      <c r="L137" s="276"/>
      <c r="M137" s="246"/>
      <c r="N137" s="249"/>
      <c r="O137" s="237"/>
      <c r="P137" s="238"/>
      <c r="Q137" s="282"/>
    </row>
    <row r="138" spans="1:17" ht="14.45" customHeight="1" x14ac:dyDescent="0.25">
      <c r="A138" s="82"/>
      <c r="B138" s="83"/>
      <c r="C138" s="261"/>
      <c r="D138" s="111"/>
      <c r="E138" s="259"/>
      <c r="F138" s="197"/>
      <c r="G138" s="269"/>
      <c r="H138" s="259"/>
      <c r="I138" s="197"/>
      <c r="J138" s="269"/>
      <c r="K138" s="269"/>
      <c r="L138" s="276"/>
      <c r="M138" s="246"/>
      <c r="N138" s="249"/>
      <c r="O138" s="237"/>
      <c r="P138" s="238"/>
      <c r="Q138" s="282"/>
    </row>
    <row r="139" spans="1:17" ht="14.45" customHeight="1" x14ac:dyDescent="0.25">
      <c r="A139" s="82"/>
      <c r="B139" s="83"/>
      <c r="C139" s="261"/>
      <c r="D139" s="111"/>
      <c r="E139" s="259"/>
      <c r="F139" s="197"/>
      <c r="G139" s="269"/>
      <c r="H139" s="259"/>
      <c r="I139" s="197"/>
      <c r="J139" s="269"/>
      <c r="K139" s="269"/>
      <c r="L139" s="276"/>
      <c r="M139" s="246"/>
      <c r="N139" s="249"/>
      <c r="O139" s="237"/>
      <c r="P139" s="238"/>
      <c r="Q139" s="282"/>
    </row>
    <row r="140" spans="1:17" ht="14.45" customHeight="1" x14ac:dyDescent="0.25">
      <c r="A140" s="82"/>
      <c r="B140" s="83"/>
      <c r="C140" s="261"/>
      <c r="D140" s="111"/>
      <c r="E140" s="259"/>
      <c r="F140" s="197"/>
      <c r="G140" s="269"/>
      <c r="H140" s="259"/>
      <c r="I140" s="197"/>
      <c r="J140" s="269"/>
      <c r="K140" s="269"/>
      <c r="L140" s="276"/>
      <c r="M140" s="246"/>
      <c r="N140" s="249"/>
      <c r="O140" s="237"/>
      <c r="P140" s="238"/>
      <c r="Q140" s="282"/>
    </row>
    <row r="141" spans="1:17" ht="14.45" customHeight="1" x14ac:dyDescent="0.25">
      <c r="A141" s="82"/>
      <c r="B141" s="83"/>
      <c r="C141" s="261"/>
      <c r="D141" s="111"/>
      <c r="E141" s="259"/>
      <c r="F141" s="197"/>
      <c r="G141" s="269"/>
      <c r="H141" s="259"/>
      <c r="I141" s="197"/>
      <c r="J141" s="269"/>
      <c r="K141" s="269"/>
      <c r="L141" s="276"/>
      <c r="M141" s="246"/>
      <c r="N141" s="249"/>
      <c r="O141" s="237"/>
      <c r="P141" s="238"/>
      <c r="Q141" s="282"/>
    </row>
    <row r="142" spans="1:17" ht="14.45" customHeight="1" x14ac:dyDescent="0.25">
      <c r="A142" s="82"/>
      <c r="B142" s="83"/>
      <c r="C142" s="261"/>
      <c r="D142" s="111"/>
      <c r="E142" s="259"/>
      <c r="F142" s="197"/>
      <c r="G142" s="269"/>
      <c r="H142" s="259"/>
      <c r="I142" s="197"/>
      <c r="J142" s="269"/>
      <c r="K142" s="269"/>
      <c r="L142" s="276"/>
      <c r="M142" s="246"/>
      <c r="N142" s="249"/>
      <c r="O142" s="237"/>
      <c r="P142" s="238"/>
      <c r="Q142" s="282"/>
    </row>
    <row r="143" spans="1:17" ht="14.45" customHeight="1" thickBot="1" x14ac:dyDescent="0.3">
      <c r="A143" s="84"/>
      <c r="B143" s="85"/>
      <c r="C143" s="294"/>
      <c r="D143" s="295"/>
      <c r="E143" s="260"/>
      <c r="F143" s="357"/>
      <c r="G143" s="303"/>
      <c r="H143" s="260"/>
      <c r="I143" s="357"/>
      <c r="J143" s="303"/>
      <c r="K143" s="303"/>
      <c r="L143" s="137"/>
      <c r="M143" s="348"/>
      <c r="N143" s="273"/>
      <c r="O143" s="341"/>
      <c r="P143" s="283"/>
      <c r="Q143" s="284"/>
    </row>
    <row r="144" spans="1:17" ht="14.45" customHeight="1" x14ac:dyDescent="0.25">
      <c r="N144" s="65"/>
    </row>
    <row r="145" spans="15:17" ht="14.45" customHeight="1" x14ac:dyDescent="0.25"/>
    <row r="146" spans="15:17" ht="14.45" customHeight="1" x14ac:dyDescent="0.25"/>
    <row r="147" spans="15:17" ht="14.45" customHeight="1" x14ac:dyDescent="0.25"/>
    <row r="148" spans="15:17" ht="14.45" customHeight="1" x14ac:dyDescent="0.25"/>
    <row r="149" spans="15:17" ht="14.45" customHeight="1" x14ac:dyDescent="0.25"/>
    <row r="150" spans="15:17" ht="14.45" customHeight="1" x14ac:dyDescent="0.25"/>
    <row r="151" spans="15:17" ht="14.45" customHeight="1" x14ac:dyDescent="0.25">
      <c r="O151" s="53"/>
      <c r="P151" s="53"/>
      <c r="Q151" s="53"/>
    </row>
    <row r="152" spans="15:17" ht="14.45" customHeight="1" x14ac:dyDescent="0.25">
      <c r="O152" s="53"/>
      <c r="P152" s="53"/>
      <c r="Q152" s="53"/>
    </row>
    <row r="153" spans="15:17" ht="14.45" customHeight="1" x14ac:dyDescent="0.25">
      <c r="O153" s="53"/>
      <c r="P153" s="53"/>
      <c r="Q153" s="53"/>
    </row>
    <row r="154" spans="15:17" ht="14.45" customHeight="1" x14ac:dyDescent="0.25">
      <c r="O154" s="53"/>
      <c r="P154" s="53"/>
      <c r="Q154" s="53"/>
    </row>
    <row r="155" spans="15:17" ht="14.45" customHeight="1" x14ac:dyDescent="0.25">
      <c r="O155" s="53"/>
      <c r="P155" s="53"/>
      <c r="Q155" s="53"/>
    </row>
    <row r="156" spans="15:17" ht="14.45" customHeight="1" x14ac:dyDescent="0.25">
      <c r="O156" s="53"/>
      <c r="P156" s="53"/>
      <c r="Q156" s="53"/>
    </row>
    <row r="157" spans="15:17" ht="14.45" customHeight="1" x14ac:dyDescent="0.25"/>
    <row r="158" spans="15:17" ht="14.45" customHeight="1" x14ac:dyDescent="0.25"/>
    <row r="159" spans="15:17" ht="14.45" customHeight="1" x14ac:dyDescent="0.25"/>
    <row r="160" spans="15:17" ht="14.45" customHeight="1" x14ac:dyDescent="0.25"/>
    <row r="161" ht="14.45" customHeight="1" x14ac:dyDescent="0.25"/>
    <row r="162" ht="14.45" customHeight="1" x14ac:dyDescent="0.25"/>
    <row r="186" spans="21:22" ht="14.45" customHeight="1" x14ac:dyDescent="0.25">
      <c r="U186" s="1"/>
    </row>
    <row r="187" spans="21:22" x14ac:dyDescent="0.25">
      <c r="U187" s="1"/>
    </row>
    <row r="188" spans="21:22" x14ac:dyDescent="0.25">
      <c r="V188" s="1"/>
    </row>
    <row r="189" spans="21:22" x14ac:dyDescent="0.25">
      <c r="V189" s="1"/>
    </row>
    <row r="190" spans="21:22" x14ac:dyDescent="0.25">
      <c r="V190" s="1"/>
    </row>
    <row r="191" spans="21:22" x14ac:dyDescent="0.25">
      <c r="V191" s="1"/>
    </row>
    <row r="192" spans="21:22" ht="14.45" customHeight="1" x14ac:dyDescent="0.25">
      <c r="V192" s="1"/>
    </row>
    <row r="193" spans="18:22" ht="14.45" customHeight="1" x14ac:dyDescent="0.25">
      <c r="V193" s="1"/>
    </row>
    <row r="194" spans="18:22" ht="14.45" customHeight="1" x14ac:dyDescent="0.25">
      <c r="V194" s="1"/>
    </row>
    <row r="195" spans="18:22" x14ac:dyDescent="0.25">
      <c r="V195" s="1"/>
    </row>
    <row r="196" spans="18:22" x14ac:dyDescent="0.25">
      <c r="T196" s="1"/>
      <c r="V196" s="1"/>
    </row>
    <row r="197" spans="18:22" x14ac:dyDescent="0.25">
      <c r="T197" s="1"/>
      <c r="V197" s="1"/>
    </row>
    <row r="198" spans="18:22" x14ac:dyDescent="0.25">
      <c r="V198" s="1"/>
    </row>
    <row r="199" spans="18:22" x14ac:dyDescent="0.25">
      <c r="R199" s="5"/>
      <c r="V199" s="1"/>
    </row>
    <row r="200" spans="18:22" x14ac:dyDescent="0.25">
      <c r="R200" s="5"/>
      <c r="V200" s="1"/>
    </row>
    <row r="201" spans="18:22" x14ac:dyDescent="0.25">
      <c r="R201" s="5"/>
      <c r="V201" s="1"/>
    </row>
    <row r="202" spans="18:22" x14ac:dyDescent="0.25">
      <c r="R202" s="5"/>
    </row>
    <row r="203" spans="18:22" ht="14.45" customHeight="1" x14ac:dyDescent="0.25">
      <c r="R203" s="5"/>
    </row>
    <row r="204" spans="18:22" x14ac:dyDescent="0.25">
      <c r="R204" s="5"/>
    </row>
    <row r="205" spans="18:22" x14ac:dyDescent="0.25">
      <c r="R205" s="5"/>
    </row>
    <row r="206" spans="18:22" x14ac:dyDescent="0.25">
      <c r="R206" s="5"/>
    </row>
    <row r="207" spans="18:22" x14ac:dyDescent="0.25">
      <c r="R207" s="5"/>
    </row>
    <row r="208" spans="18:22" x14ac:dyDescent="0.25">
      <c r="R208" s="5"/>
    </row>
    <row r="209" spans="16:22" x14ac:dyDescent="0.25">
      <c r="R209" s="5"/>
      <c r="S209" s="2"/>
      <c r="V209" s="1"/>
    </row>
    <row r="210" spans="16:22" x14ac:dyDescent="0.25">
      <c r="R210" s="5"/>
      <c r="V210" s="1"/>
    </row>
    <row r="211" spans="16:22" x14ac:dyDescent="0.25">
      <c r="R211" s="5"/>
      <c r="V211" s="1"/>
    </row>
    <row r="212" spans="16:22" x14ac:dyDescent="0.25">
      <c r="R212" s="5"/>
      <c r="V212" s="1"/>
    </row>
    <row r="213" spans="16:22" x14ac:dyDescent="0.25">
      <c r="R213" s="5"/>
      <c r="V213" s="1"/>
    </row>
    <row r="214" spans="16:22" x14ac:dyDescent="0.25">
      <c r="R214" s="5"/>
      <c r="V214" s="1"/>
    </row>
    <row r="215" spans="16:22" x14ac:dyDescent="0.25">
      <c r="R215" s="5"/>
      <c r="V215" s="1"/>
    </row>
    <row r="216" spans="16:22" ht="14.45" customHeight="1" x14ac:dyDescent="0.25">
      <c r="P216" s="13"/>
      <c r="Q216" s="13"/>
      <c r="R216" s="5"/>
      <c r="V216" s="1"/>
    </row>
    <row r="217" spans="16:22" ht="14.45" customHeight="1" x14ac:dyDescent="0.25">
      <c r="R217" s="5"/>
      <c r="V217" s="1"/>
    </row>
    <row r="218" spans="16:22" x14ac:dyDescent="0.25">
      <c r="R218" s="5"/>
      <c r="V218" s="1"/>
    </row>
    <row r="219" spans="16:22" x14ac:dyDescent="0.25">
      <c r="R219" s="5"/>
      <c r="V219" s="1"/>
    </row>
    <row r="220" spans="16:22" x14ac:dyDescent="0.25">
      <c r="R220" s="5"/>
      <c r="V220" s="1"/>
    </row>
    <row r="221" spans="16:22" x14ac:dyDescent="0.25">
      <c r="R221" s="5"/>
      <c r="V221" s="1"/>
    </row>
    <row r="222" spans="16:22" x14ac:dyDescent="0.25">
      <c r="R222" s="5"/>
      <c r="V222" s="1"/>
    </row>
    <row r="223" spans="16:22" x14ac:dyDescent="0.25">
      <c r="R223" s="5"/>
      <c r="V223" s="1"/>
    </row>
    <row r="224" spans="16:22" ht="14.45" customHeight="1" x14ac:dyDescent="0.25">
      <c r="R224" s="5"/>
      <c r="V224" s="1"/>
    </row>
    <row r="225" spans="15:22" x14ac:dyDescent="0.25">
      <c r="R225" s="5"/>
      <c r="V225" s="1"/>
    </row>
    <row r="226" spans="15:22" ht="14.45" customHeight="1" x14ac:dyDescent="0.25">
      <c r="R226" s="5"/>
      <c r="V226" s="1"/>
    </row>
    <row r="227" spans="15:22" x14ac:dyDescent="0.25">
      <c r="R227" s="5"/>
      <c r="V227" s="1"/>
    </row>
    <row r="228" spans="15:22" x14ac:dyDescent="0.25">
      <c r="R228" s="5"/>
      <c r="V228" s="1"/>
    </row>
    <row r="229" spans="15:22" x14ac:dyDescent="0.25">
      <c r="O229" s="7"/>
      <c r="R229" s="5"/>
      <c r="V229" s="1"/>
    </row>
    <row r="230" spans="15:22" ht="15" customHeight="1" x14ac:dyDescent="0.25">
      <c r="O230" s="7"/>
      <c r="R230" s="5"/>
      <c r="V230" s="1"/>
    </row>
    <row r="231" spans="15:22" x14ac:dyDescent="0.25">
      <c r="R231" s="5"/>
      <c r="V231" s="1"/>
    </row>
    <row r="232" spans="15:22" x14ac:dyDescent="0.25">
      <c r="R232" s="5"/>
    </row>
    <row r="233" spans="15:22" ht="14.45" customHeight="1" x14ac:dyDescent="0.25">
      <c r="R233" s="5"/>
    </row>
    <row r="234" spans="15:22" x14ac:dyDescent="0.25">
      <c r="R234" s="5"/>
    </row>
    <row r="237" spans="15:22" ht="15" customHeight="1" x14ac:dyDescent="0.25"/>
    <row r="242" spans="15:18" ht="14.45" customHeight="1" x14ac:dyDescent="0.25"/>
    <row r="243" spans="15:18" ht="15" customHeight="1" x14ac:dyDescent="0.25"/>
    <row r="246" spans="15:18" ht="14.45" customHeight="1" x14ac:dyDescent="0.25"/>
    <row r="249" spans="15:18" ht="14.45" customHeight="1" x14ac:dyDescent="0.25"/>
    <row r="251" spans="15:18" ht="15.75" thickBot="1" x14ac:dyDescent="0.3"/>
    <row r="252" spans="15:18" x14ac:dyDescent="0.25">
      <c r="O252" s="280" t="s">
        <v>416</v>
      </c>
      <c r="P252" s="280"/>
      <c r="Q252" s="280"/>
      <c r="R252" s="281"/>
    </row>
    <row r="253" spans="15:18" x14ac:dyDescent="0.25">
      <c r="O253" s="238"/>
      <c r="P253" s="238"/>
      <c r="Q253" s="238"/>
      <c r="R253" s="282"/>
    </row>
    <row r="254" spans="15:18" ht="14.45" customHeight="1" x14ac:dyDescent="0.25">
      <c r="O254" s="238"/>
      <c r="P254" s="238"/>
      <c r="Q254" s="238"/>
      <c r="R254" s="282"/>
    </row>
    <row r="255" spans="15:18" x14ac:dyDescent="0.25">
      <c r="O255" s="238"/>
      <c r="P255" s="238"/>
      <c r="Q255" s="238"/>
      <c r="R255" s="282"/>
    </row>
    <row r="256" spans="15:18" ht="14.45" customHeight="1" x14ac:dyDescent="0.25">
      <c r="O256" s="238"/>
      <c r="P256" s="238"/>
      <c r="Q256" s="238"/>
      <c r="R256" s="282"/>
    </row>
    <row r="257" spans="15:18" x14ac:dyDescent="0.25">
      <c r="O257" s="238"/>
      <c r="P257" s="238"/>
      <c r="Q257" s="238"/>
      <c r="R257" s="282"/>
    </row>
    <row r="258" spans="15:18" x14ac:dyDescent="0.25">
      <c r="O258" s="238"/>
      <c r="P258" s="238"/>
      <c r="Q258" s="238"/>
      <c r="R258" s="282"/>
    </row>
    <row r="259" spans="15:18" ht="15.75" thickBot="1" x14ac:dyDescent="0.3">
      <c r="O259" s="283"/>
      <c r="P259" s="283"/>
      <c r="Q259" s="283"/>
      <c r="R259" s="284"/>
    </row>
    <row r="260" spans="15:18" x14ac:dyDescent="0.25">
      <c r="O260" s="280" t="s">
        <v>418</v>
      </c>
      <c r="P260" s="280"/>
      <c r="Q260" s="280"/>
      <c r="R260" s="281"/>
    </row>
    <row r="261" spans="15:18" x14ac:dyDescent="0.25">
      <c r="O261" s="238"/>
      <c r="P261" s="238"/>
      <c r="Q261" s="238"/>
      <c r="R261" s="282"/>
    </row>
    <row r="262" spans="15:18" x14ac:dyDescent="0.25">
      <c r="O262" s="238"/>
      <c r="P262" s="238"/>
      <c r="Q262" s="238"/>
      <c r="R262" s="282"/>
    </row>
    <row r="263" spans="15:18" ht="15" customHeight="1" x14ac:dyDescent="0.25">
      <c r="O263" s="238"/>
      <c r="P263" s="238"/>
      <c r="Q263" s="238"/>
      <c r="R263" s="282"/>
    </row>
    <row r="264" spans="15:18" x14ac:dyDescent="0.25">
      <c r="O264" s="238"/>
      <c r="P264" s="238"/>
      <c r="Q264" s="238"/>
      <c r="R264" s="282"/>
    </row>
    <row r="265" spans="15:18" ht="14.45" customHeight="1" x14ac:dyDescent="0.25">
      <c r="O265" s="238"/>
      <c r="P265" s="238"/>
      <c r="Q265" s="238"/>
      <c r="R265" s="282"/>
    </row>
    <row r="266" spans="15:18" ht="14.45" customHeight="1" x14ac:dyDescent="0.25">
      <c r="O266" s="238"/>
      <c r="P266" s="238"/>
      <c r="Q266" s="238"/>
      <c r="R266" s="282"/>
    </row>
    <row r="267" spans="15:18" ht="15.75" thickBot="1" x14ac:dyDescent="0.3">
      <c r="O267" s="283"/>
      <c r="P267" s="283"/>
      <c r="Q267" s="283"/>
      <c r="R267" s="284"/>
    </row>
    <row r="271" spans="15:18" ht="14.45" customHeight="1" x14ac:dyDescent="0.25"/>
    <row r="275" spans="15:18" ht="15.75" thickBot="1" x14ac:dyDescent="0.3"/>
    <row r="276" spans="15:18" ht="14.45" customHeight="1" x14ac:dyDescent="0.25">
      <c r="O276" s="280" t="s">
        <v>420</v>
      </c>
      <c r="P276" s="280"/>
      <c r="Q276" s="280"/>
      <c r="R276" s="281"/>
    </row>
    <row r="277" spans="15:18" ht="14.45" customHeight="1" x14ac:dyDescent="0.25">
      <c r="O277" s="238"/>
      <c r="P277" s="238"/>
      <c r="Q277" s="238"/>
      <c r="R277" s="282"/>
    </row>
    <row r="278" spans="15:18" ht="14.45" customHeight="1" x14ac:dyDescent="0.25">
      <c r="O278" s="238"/>
      <c r="P278" s="238"/>
      <c r="Q278" s="238"/>
      <c r="R278" s="282"/>
    </row>
    <row r="279" spans="15:18" ht="14.45" customHeight="1" x14ac:dyDescent="0.25">
      <c r="O279" s="238"/>
      <c r="P279" s="238"/>
      <c r="Q279" s="238"/>
      <c r="R279" s="282"/>
    </row>
    <row r="280" spans="15:18" x14ac:dyDescent="0.25">
      <c r="O280" s="238"/>
      <c r="P280" s="238"/>
      <c r="Q280" s="238"/>
      <c r="R280" s="282"/>
    </row>
    <row r="281" spans="15:18" x14ac:dyDescent="0.25">
      <c r="O281" s="238"/>
      <c r="P281" s="238"/>
      <c r="Q281" s="238"/>
      <c r="R281" s="282"/>
    </row>
    <row r="282" spans="15:18" ht="14.45" customHeight="1" x14ac:dyDescent="0.25">
      <c r="O282" s="238"/>
      <c r="P282" s="238"/>
      <c r="Q282" s="238"/>
      <c r="R282" s="282"/>
    </row>
    <row r="283" spans="15:18" ht="15.75" thickBot="1" x14ac:dyDescent="0.3">
      <c r="O283" s="283"/>
      <c r="P283" s="283"/>
      <c r="Q283" s="283"/>
      <c r="R283" s="284"/>
    </row>
    <row r="286" spans="15:18" ht="14.45" customHeight="1" x14ac:dyDescent="0.25"/>
    <row r="291" ht="14.45" customHeight="1" x14ac:dyDescent="0.25"/>
    <row r="313" ht="14.45" customHeight="1" x14ac:dyDescent="0.25"/>
    <row r="320" ht="14.45" customHeight="1" x14ac:dyDescent="0.25"/>
    <row r="327" ht="15" customHeight="1" x14ac:dyDescent="0.25"/>
  </sheetData>
  <mergeCells count="214">
    <mergeCell ref="L94:L99"/>
    <mergeCell ref="L106:L111"/>
    <mergeCell ref="K112:K117"/>
    <mergeCell ref="L112:L117"/>
    <mergeCell ref="J126:J135"/>
    <mergeCell ref="K126:K135"/>
    <mergeCell ref="C88:D93"/>
    <mergeCell ref="G88:G93"/>
    <mergeCell ref="O136:Q143"/>
    <mergeCell ref="L88:L93"/>
    <mergeCell ref="C136:D143"/>
    <mergeCell ref="G136:G143"/>
    <mergeCell ref="J136:J143"/>
    <mergeCell ref="K136:K143"/>
    <mergeCell ref="K118:K125"/>
    <mergeCell ref="I112:I117"/>
    <mergeCell ref="J112:J117"/>
    <mergeCell ref="C100:D105"/>
    <mergeCell ref="G100:G105"/>
    <mergeCell ref="J100:J105"/>
    <mergeCell ref="K100:K105"/>
    <mergeCell ref="J94:J99"/>
    <mergeCell ref="K94:K99"/>
    <mergeCell ref="C106:D111"/>
    <mergeCell ref="A126:B143"/>
    <mergeCell ref="N43:N53"/>
    <mergeCell ref="H43:H53"/>
    <mergeCell ref="I43:I53"/>
    <mergeCell ref="H54:H61"/>
    <mergeCell ref="I54:I61"/>
    <mergeCell ref="J54:J61"/>
    <mergeCell ref="K54:K61"/>
    <mergeCell ref="O126:Q135"/>
    <mergeCell ref="E136:E143"/>
    <mergeCell ref="F136:F143"/>
    <mergeCell ref="H136:H143"/>
    <mergeCell ref="I136:I143"/>
    <mergeCell ref="M136:M143"/>
    <mergeCell ref="N136:N143"/>
    <mergeCell ref="L136:L143"/>
    <mergeCell ref="L62:L68"/>
    <mergeCell ref="L118:L125"/>
    <mergeCell ref="L100:L105"/>
    <mergeCell ref="M106:N111"/>
    <mergeCell ref="E106:F111"/>
    <mergeCell ref="H106:I111"/>
    <mergeCell ref="J88:J93"/>
    <mergeCell ref="K88:K93"/>
    <mergeCell ref="G106:G111"/>
    <mergeCell ref="J106:J111"/>
    <mergeCell ref="K106:K111"/>
    <mergeCell ref="H126:I135"/>
    <mergeCell ref="A3:B42"/>
    <mergeCell ref="C54:D61"/>
    <mergeCell ref="E54:E61"/>
    <mergeCell ref="F54:F61"/>
    <mergeCell ref="G54:G61"/>
    <mergeCell ref="A88:B117"/>
    <mergeCell ref="G112:G117"/>
    <mergeCell ref="H112:H117"/>
    <mergeCell ref="C82:D87"/>
    <mergeCell ref="E82:E87"/>
    <mergeCell ref="F82:F87"/>
    <mergeCell ref="G82:G87"/>
    <mergeCell ref="H82:H87"/>
    <mergeCell ref="A43:B68"/>
    <mergeCell ref="C62:D68"/>
    <mergeCell ref="C94:D99"/>
    <mergeCell ref="G94:G99"/>
    <mergeCell ref="C76:D81"/>
    <mergeCell ref="E76:E81"/>
    <mergeCell ref="F76:F81"/>
    <mergeCell ref="O276:R283"/>
    <mergeCell ref="O252:R259"/>
    <mergeCell ref="M118:M125"/>
    <mergeCell ref="O118:Q125"/>
    <mergeCell ref="M112:M117"/>
    <mergeCell ref="N112:N117"/>
    <mergeCell ref="A118:B125"/>
    <mergeCell ref="C118:D125"/>
    <mergeCell ref="E118:E125"/>
    <mergeCell ref="F118:F125"/>
    <mergeCell ref="G118:G125"/>
    <mergeCell ref="O260:R267"/>
    <mergeCell ref="N118:N125"/>
    <mergeCell ref="C126:D135"/>
    <mergeCell ref="E126:F135"/>
    <mergeCell ref="G126:G135"/>
    <mergeCell ref="C112:D117"/>
    <mergeCell ref="E112:E117"/>
    <mergeCell ref="F112:F117"/>
    <mergeCell ref="L126:L135"/>
    <mergeCell ref="M126:N135"/>
    <mergeCell ref="H118:H125"/>
    <mergeCell ref="I118:I125"/>
    <mergeCell ref="J118:J125"/>
    <mergeCell ref="G76:G81"/>
    <mergeCell ref="H76:H81"/>
    <mergeCell ref="I76:I81"/>
    <mergeCell ref="J76:J81"/>
    <mergeCell ref="K76:K81"/>
    <mergeCell ref="H69:H75"/>
    <mergeCell ref="I69:I75"/>
    <mergeCell ref="J69:J75"/>
    <mergeCell ref="K69:K75"/>
    <mergeCell ref="N34:N42"/>
    <mergeCell ref="L25:L33"/>
    <mergeCell ref="M25:M33"/>
    <mergeCell ref="N25:N33"/>
    <mergeCell ref="H25:H33"/>
    <mergeCell ref="I25:I33"/>
    <mergeCell ref="J25:J33"/>
    <mergeCell ref="K25:K33"/>
    <mergeCell ref="K34:K42"/>
    <mergeCell ref="L34:L42"/>
    <mergeCell ref="M34:M42"/>
    <mergeCell ref="L43:L53"/>
    <mergeCell ref="M43:M53"/>
    <mergeCell ref="C69:D75"/>
    <mergeCell ref="E69:E75"/>
    <mergeCell ref="F69:F75"/>
    <mergeCell ref="G69:G75"/>
    <mergeCell ref="C43:D53"/>
    <mergeCell ref="E43:E53"/>
    <mergeCell ref="F43:F53"/>
    <mergeCell ref="G43:G53"/>
    <mergeCell ref="J43:J53"/>
    <mergeCell ref="K43:K53"/>
    <mergeCell ref="N69:N75"/>
    <mergeCell ref="L69:L75"/>
    <mergeCell ref="M69:M75"/>
    <mergeCell ref="M62:M68"/>
    <mergeCell ref="N62:N68"/>
    <mergeCell ref="N54:N61"/>
    <mergeCell ref="E62:E68"/>
    <mergeCell ref="F62:F68"/>
    <mergeCell ref="G62:G68"/>
    <mergeCell ref="H62:H68"/>
    <mergeCell ref="I62:I68"/>
    <mergeCell ref="J62:J68"/>
    <mergeCell ref="L54:L61"/>
    <mergeCell ref="M54:M61"/>
    <mergeCell ref="X1:Y1"/>
    <mergeCell ref="A1:B2"/>
    <mergeCell ref="C1:D2"/>
    <mergeCell ref="E1:F1"/>
    <mergeCell ref="G1:G2"/>
    <mergeCell ref="H1:I1"/>
    <mergeCell ref="J1:J2"/>
    <mergeCell ref="N3:N14"/>
    <mergeCell ref="C15:D24"/>
    <mergeCell ref="E15:E24"/>
    <mergeCell ref="F15:F24"/>
    <mergeCell ref="G15:G24"/>
    <mergeCell ref="H15:H24"/>
    <mergeCell ref="I15:I24"/>
    <mergeCell ref="J15:J24"/>
    <mergeCell ref="K15:K24"/>
    <mergeCell ref="L15:L24"/>
    <mergeCell ref="H3:H14"/>
    <mergeCell ref="I3:I14"/>
    <mergeCell ref="J3:J14"/>
    <mergeCell ref="K3:K14"/>
    <mergeCell ref="L3:L14"/>
    <mergeCell ref="M3:M14"/>
    <mergeCell ref="C3:D14"/>
    <mergeCell ref="A69:B81"/>
    <mergeCell ref="A82:B87"/>
    <mergeCell ref="L82:L87"/>
    <mergeCell ref="O82:V87"/>
    <mergeCell ref="P3:Q4"/>
    <mergeCell ref="P5:Q5"/>
    <mergeCell ref="K1:K2"/>
    <mergeCell ref="L1:L2"/>
    <mergeCell ref="M1:N1"/>
    <mergeCell ref="V1:W1"/>
    <mergeCell ref="E3:E14"/>
    <mergeCell ref="F3:F14"/>
    <mergeCell ref="G3:G14"/>
    <mergeCell ref="C34:D42"/>
    <mergeCell ref="E34:E42"/>
    <mergeCell ref="F34:F42"/>
    <mergeCell ref="G34:G42"/>
    <mergeCell ref="H34:H42"/>
    <mergeCell ref="I34:I42"/>
    <mergeCell ref="J34:J42"/>
    <mergeCell ref="M15:M24"/>
    <mergeCell ref="N15:N24"/>
    <mergeCell ref="C25:D33"/>
    <mergeCell ref="E25:E33"/>
    <mergeCell ref="O25:R33"/>
    <mergeCell ref="O54:R61"/>
    <mergeCell ref="E88:F93"/>
    <mergeCell ref="H88:I93"/>
    <mergeCell ref="M88:N93"/>
    <mergeCell ref="M94:N99"/>
    <mergeCell ref="E94:F99"/>
    <mergeCell ref="H94:I99"/>
    <mergeCell ref="E100:F105"/>
    <mergeCell ref="H100:I105"/>
    <mergeCell ref="M100:N105"/>
    <mergeCell ref="O62:R68"/>
    <mergeCell ref="L76:L81"/>
    <mergeCell ref="O76:R81"/>
    <mergeCell ref="I82:I87"/>
    <mergeCell ref="J82:J87"/>
    <mergeCell ref="K82:K87"/>
    <mergeCell ref="M82:M87"/>
    <mergeCell ref="N82:N87"/>
    <mergeCell ref="M76:M81"/>
    <mergeCell ref="N76:N81"/>
    <mergeCell ref="K62:K68"/>
    <mergeCell ref="F25:F33"/>
    <mergeCell ref="G25:G3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7D736-2387-4FE7-BC92-3F7CA22E5875}">
  <dimension ref="A1:AI165"/>
  <sheetViews>
    <sheetView zoomScale="85" zoomScaleNormal="85" workbookViewId="0">
      <pane xSplit="15" ySplit="2" topLeftCell="V3" activePane="bottomRight" state="frozen"/>
      <selection pane="topRight" activeCell="Q5" sqref="Q5:R5"/>
      <selection pane="bottomLeft" activeCell="Q5" sqref="Q5:R5"/>
      <selection pane="bottomRight" activeCell="X4" sqref="X4"/>
    </sheetView>
  </sheetViews>
  <sheetFormatPr defaultRowHeight="15" x14ac:dyDescent="0.25"/>
  <cols>
    <col min="1" max="1" width="7.28515625" customWidth="1"/>
    <col min="2" max="2" width="7.140625" customWidth="1"/>
    <col min="3" max="3" width="11" customWidth="1"/>
    <col min="6" max="6" width="9.5703125" customWidth="1"/>
    <col min="8" max="8" width="9.28515625" customWidth="1"/>
    <col min="12" max="13" width="15.7109375" customWidth="1"/>
    <col min="19" max="19" width="13.5703125" customWidth="1"/>
    <col min="21" max="25" width="8.85546875" customWidth="1"/>
    <col min="26" max="26" width="9.85546875" customWidth="1"/>
    <col min="27" max="35" width="8.85546875" customWidth="1"/>
  </cols>
  <sheetData>
    <row r="1" spans="1:35" ht="31.9" customHeight="1" thickBot="1" x14ac:dyDescent="0.3">
      <c r="A1" s="134" t="s">
        <v>60</v>
      </c>
      <c r="B1" s="135"/>
      <c r="C1" s="138" t="s">
        <v>61</v>
      </c>
      <c r="D1" s="134" t="s">
        <v>62</v>
      </c>
      <c r="E1" s="135"/>
      <c r="F1" s="146" t="s">
        <v>63</v>
      </c>
      <c r="G1" s="147"/>
      <c r="H1" s="148" t="s">
        <v>64</v>
      </c>
      <c r="I1" s="150" t="s">
        <v>65</v>
      </c>
      <c r="J1" s="151"/>
      <c r="K1" s="161" t="s">
        <v>66</v>
      </c>
      <c r="L1" s="148" t="s">
        <v>67</v>
      </c>
      <c r="M1" s="163" t="s">
        <v>68</v>
      </c>
      <c r="N1" s="165" t="s">
        <v>479</v>
      </c>
      <c r="O1" s="166"/>
      <c r="P1" s="13"/>
      <c r="W1" s="132" t="s">
        <v>70</v>
      </c>
      <c r="X1" s="133"/>
      <c r="Y1" s="133"/>
      <c r="Z1" s="133"/>
      <c r="AA1" s="244"/>
      <c r="AB1" s="132" t="s">
        <v>71</v>
      </c>
      <c r="AC1" s="133"/>
      <c r="AD1" s="133"/>
      <c r="AE1" s="244"/>
      <c r="AF1" s="132" t="s">
        <v>72</v>
      </c>
      <c r="AG1" s="244"/>
      <c r="AH1" s="132" t="s">
        <v>73</v>
      </c>
      <c r="AI1" s="244"/>
    </row>
    <row r="2" spans="1:35" ht="15.75" thickBot="1" x14ac:dyDescent="0.3">
      <c r="A2" s="136"/>
      <c r="B2" s="137"/>
      <c r="C2" s="139"/>
      <c r="D2" s="136"/>
      <c r="E2" s="137"/>
      <c r="F2" s="8" t="s">
        <v>74</v>
      </c>
      <c r="G2" s="9" t="s">
        <v>75</v>
      </c>
      <c r="H2" s="149"/>
      <c r="I2" s="9" t="s">
        <v>74</v>
      </c>
      <c r="J2" s="10" t="s">
        <v>75</v>
      </c>
      <c r="K2" s="162"/>
      <c r="L2" s="149"/>
      <c r="M2" s="164"/>
      <c r="N2" s="12" t="s">
        <v>74</v>
      </c>
      <c r="O2" s="12" t="s">
        <v>75</v>
      </c>
      <c r="P2" s="13"/>
      <c r="W2" s="27" t="s">
        <v>76</v>
      </c>
      <c r="X2" s="6" t="s">
        <v>239</v>
      </c>
      <c r="Y2" s="14" t="s">
        <v>239</v>
      </c>
      <c r="Z2" s="6" t="s">
        <v>76</v>
      </c>
      <c r="AA2" s="28" t="s">
        <v>239</v>
      </c>
      <c r="AB2" s="27" t="s">
        <v>76</v>
      </c>
      <c r="AC2" s="6" t="s">
        <v>239</v>
      </c>
      <c r="AD2" s="27" t="s">
        <v>76</v>
      </c>
      <c r="AE2" s="28" t="s">
        <v>239</v>
      </c>
      <c r="AF2" s="27" t="s">
        <v>77</v>
      </c>
      <c r="AG2" s="28" t="s">
        <v>239</v>
      </c>
      <c r="AH2" s="27" t="s">
        <v>77</v>
      </c>
      <c r="AI2" s="28" t="s">
        <v>239</v>
      </c>
    </row>
    <row r="3" spans="1:35" x14ac:dyDescent="0.25">
      <c r="A3" s="80" t="s">
        <v>78</v>
      </c>
      <c r="B3" s="81"/>
      <c r="C3" s="158" t="s">
        <v>79</v>
      </c>
      <c r="D3" s="160" t="s">
        <v>80</v>
      </c>
      <c r="E3" s="160"/>
      <c r="F3" s="152" t="str">
        <f>IF(AND(OR(N3&gt;0,O3&gt;0),N3+O3&lt;=15),"Single restroom okay for 15 or less (IPC 403.2(2))",IF(Q5&lt;=15,"Single restroom okay for 15 or less (IPC 403.2(2))",W4))</f>
        <v>Single restroom okay for 15 or less (IPC 403.2(2))</v>
      </c>
      <c r="G3" s="152" t="str">
        <f>IF(F3="Single restroom okay for 15 or less (IPC 403.2(2))","-",Z4)</f>
        <v>-</v>
      </c>
      <c r="H3" s="152" t="s">
        <v>480</v>
      </c>
      <c r="I3" s="152">
        <f>AB4</f>
        <v>0</v>
      </c>
      <c r="J3" s="152">
        <f>AD4</f>
        <v>0</v>
      </c>
      <c r="K3" s="152" t="s">
        <v>82</v>
      </c>
      <c r="L3" s="152" t="str">
        <f>IF(F3="Single restroom okay for 15 or less (IPC 403.2(2))","15 or less Fountain exempt(IPC 410.2)",AF4)</f>
        <v>15 or less Fountain exempt(IPC 410.2)</v>
      </c>
      <c r="M3" s="153" t="s">
        <v>83</v>
      </c>
      <c r="N3" s="154">
        <v>0</v>
      </c>
      <c r="O3" s="156">
        <v>0</v>
      </c>
      <c r="P3" s="13"/>
      <c r="Q3" s="140" t="s">
        <v>84</v>
      </c>
      <c r="R3" s="141"/>
      <c r="V3" s="2"/>
      <c r="W3" s="27" t="s">
        <v>85</v>
      </c>
      <c r="X3" s="6" t="s">
        <v>85</v>
      </c>
      <c r="Y3" s="6" t="s">
        <v>242</v>
      </c>
      <c r="Z3" s="4" t="s">
        <v>86</v>
      </c>
      <c r="AA3" s="29" t="s">
        <v>86</v>
      </c>
      <c r="AB3" s="27" t="s">
        <v>85</v>
      </c>
      <c r="AC3" s="6" t="s">
        <v>85</v>
      </c>
      <c r="AD3" s="4" t="s">
        <v>86</v>
      </c>
      <c r="AE3" s="29" t="s">
        <v>86</v>
      </c>
      <c r="AF3" s="27" t="s">
        <v>72</v>
      </c>
      <c r="AG3" s="28" t="s">
        <v>72</v>
      </c>
      <c r="AH3" s="27" t="s">
        <v>73</v>
      </c>
      <c r="AI3" s="28" t="s">
        <v>73</v>
      </c>
    </row>
    <row r="4" spans="1:35" ht="15.75" thickBot="1" x14ac:dyDescent="0.3">
      <c r="A4" s="82"/>
      <c r="B4" s="83"/>
      <c r="C4" s="159"/>
      <c r="D4" s="111"/>
      <c r="E4" s="111"/>
      <c r="F4" s="112"/>
      <c r="G4" s="112"/>
      <c r="H4" s="112"/>
      <c r="I4" s="112"/>
      <c r="J4" s="112"/>
      <c r="K4" s="112"/>
      <c r="L4" s="112"/>
      <c r="M4" s="114"/>
      <c r="N4" s="155"/>
      <c r="O4" s="157"/>
      <c r="P4" s="13"/>
      <c r="Q4" s="142"/>
      <c r="R4" s="143"/>
      <c r="U4" s="5" t="s">
        <v>87</v>
      </c>
      <c r="V4" t="s">
        <v>88</v>
      </c>
      <c r="W4" s="30">
        <f>IF(N3&gt;0,ROUNDUP((N3/125),0),ROUNDUP((Q8/125),0))</f>
        <v>0</v>
      </c>
      <c r="X4" s="1">
        <f>IF(AND(N3&gt;0,N3&lt;=100),1,IF(AND(N3&gt;100,N3&lt;=200),2,IF(AND(N3&gt;200,N3&lt;=400),3,IF(N3&gt;400,(ROUNDUP(N3/500,1))+3,IF(AND(Q8&gt;0,Q8&lt;=100),1,IF(AND(Q8&gt;100,Q8&lt;=200),2,IF(AND(Q8&gt;200,Q8&lt;=400),3,IF(Q8&gt;400,(ROUNDUP(Q8/500,1))+3,0))))))))</f>
        <v>0</v>
      </c>
      <c r="Y4" s="3">
        <f>IF(AND(N3&gt;0,N3&lt;=200),1,IF(AND(N3&gt;200,N3&lt;=300),2,IF(AND(N3&gt;300,N3&lt;=400),3,IF(AND(N3&gt;400,N3&lt;=600),6,IF(N3&gt;600,(ROUNDUP(N3/300,0))+2,IF(AND(Q8&gt;0,Q8&lt;=200),1,IF(AND(Q8&gt;200,Q8&lt;=300),2,IF(AND(Q8&gt;300,Q8&lt;=400),3,IF(AND(Q8&gt;400,Q8&lt;=600),6,IF(Q8&gt;600,(ROUNDUP(Q8/300,0))+2,0))))))))))</f>
        <v>0</v>
      </c>
      <c r="Z4" s="1">
        <f>IF(O3&gt;0,ROUNDUP((O3/65),0),ROUNDUP((R8/65),0))</f>
        <v>0</v>
      </c>
      <c r="AA4" s="31">
        <f>IF(AND(O3&gt;0,O3&lt;=25),1,IF(AND(O3&gt;25,O3&lt;=50),2,IF(AND(O3&gt;50,O3&lt;=100),3,IF(AND(O3&gt;100,O3&lt;=200),4,IF(AND(O3&gt;200,O3&lt;=300),6,IF(AND(O3&gt;300,O3&lt;=400),8,IF(O3&gt;400,(ROUNDUP(O3/125,0))+5,IF(AND(R8&gt;0,R8&lt;=25),1,IF(AND(R8&gt;25,R8&lt;=50),2,IF(AND(R8&gt;50,R8&lt;=100),3,IF(AND(R8&gt;100,R8&lt;=200),4,IF(AND(R8&gt;200,R8&lt;=300),6,IF(AND(R8&gt;300,R8&lt;=400),8,IF(R8&gt;400,(ROUNDUP(R8/125,0))+5,0))))))))))))))</f>
        <v>0</v>
      </c>
      <c r="AB4" s="32">
        <f>IF(N3&gt;0,ROUNDUP((N3/200),0),ROUNDUP((Q8/200),0))</f>
        <v>0</v>
      </c>
      <c r="AC4" s="1">
        <f>IF(AND(N3&gt;0,N3&lt;=200),1,IF(AND(N3&gt;200,N3&lt;=400),2,IF(AND(N3&gt;400,N3&lt;=600),3,IF(AND(N3&gt;600,N3&lt;=750),4,IF(N3&gt;750,(ROUNDUP(Q8/250,0)+1),IF(AND(Q8&gt;0,Q8&lt;=200),1,IF(AND(Q8&gt;200,Q8&lt;=400),2,IF(AND(Q8&gt;400,Q8&lt;=600),3,IF(AND(Q8&gt;600,Q8&lt;=750),4,IF(Q8&gt;750,(ROUNDUP(Q8/250,0)+1),0))))))))))</f>
        <v>0</v>
      </c>
      <c r="AD4" s="1">
        <f>IF(O3&gt;0,ROUNDUP((O3/200),0),ROUNDUP((R8/200),0))</f>
        <v>0</v>
      </c>
      <c r="AE4" s="31">
        <f>IF(AND(R8&gt;0,R8&lt;=100),1,IF(AND(R8&gt;100,R8&lt;=200),2,IF(AND(R8&gt;200,R8&lt;=300),4,IF(AND(R8&gt;300,R8&lt;=500),5,IF(AND(R8&gt;500,R8&lt;=750),6,IF(R8&gt;750,(ROUNDUP(R8/200,0)+3),0))))))</f>
        <v>0</v>
      </c>
      <c r="AF4" s="32">
        <f>ROUNDUP((Q5/500),0)</f>
        <v>0</v>
      </c>
      <c r="AG4" s="36">
        <f>IF(AND(Q5&gt;0,Q5&lt;=250),1,IF(AND(Q5&gt;250,Q5&lt;=500),2,IF(AND(Q5&gt;500,Q5&lt;=750),3,IF(Q5&gt;750,(ROUNDUP(Q5/500,0)+2),0))))</f>
        <v>0</v>
      </c>
      <c r="AH4" s="30" t="s">
        <v>82</v>
      </c>
      <c r="AI4" s="36" t="s">
        <v>82</v>
      </c>
    </row>
    <row r="5" spans="1:35" ht="19.5" thickBot="1" x14ac:dyDescent="0.3">
      <c r="A5" s="82"/>
      <c r="B5" s="83"/>
      <c r="C5" s="159"/>
      <c r="D5" s="111"/>
      <c r="E5" s="111"/>
      <c r="F5" s="112"/>
      <c r="G5" s="112"/>
      <c r="H5" s="112"/>
      <c r="I5" s="112"/>
      <c r="J5" s="112"/>
      <c r="K5" s="112"/>
      <c r="L5" s="112"/>
      <c r="M5" s="114"/>
      <c r="N5" s="155"/>
      <c r="O5" s="157"/>
      <c r="P5" s="13"/>
      <c r="Q5" s="144">
        <f>'Occupant Calculator'!D27</f>
        <v>0</v>
      </c>
      <c r="R5" s="145"/>
      <c r="U5" s="5" t="s">
        <v>89</v>
      </c>
      <c r="V5" t="s">
        <v>90</v>
      </c>
      <c r="W5" s="30">
        <f>IF(N9&gt;0,ROUNDUP((N9/40),0),ROUNDUP((Q8/40),0))</f>
        <v>0</v>
      </c>
      <c r="X5" s="1">
        <f>IF(AND(N9&gt;0,N9&lt;=50),1,IF(AND(N9&gt;50,N9&lt;=150),2,IF(AND(N9&gt;150,N9&lt;=300),3,IF(AND(N9&gt;300,N9&lt;=400),4,IF(N9&gt;400,(ROUNDUP(N9/250,1))+3,IF(AND(Q8&gt;0,Q8&lt;=50),1,IF(AND(Q8&gt;50,Q8&lt;=150),2,IF(AND(Q8&gt;150,Q8&lt;=300),3,IF(AND(Q8&gt;300,Q8&lt;=400),4,IF(Q8&gt;400,(ROUNDUP(Q8/250,1))+3,0))))))))))</f>
        <v>0</v>
      </c>
      <c r="Y5" s="3">
        <f>IF(AND(N9&gt;0,N9&lt;=200),1,IF(AND(N9&gt;200,N9&lt;=300),2,IF(AND(N9&gt;300,N9&lt;=400),3,IF(AND(N9&gt;400,N9&lt;=600),6,IF(N9&gt;600,(ROUNDUP(N9/300,0))+2,IF(AND(Q8&gt;0,Q8&lt;=200),1,IF(AND(Q8&gt;200,Q8&lt;=300),2,IF(AND(Q8&gt;300,Q8&lt;=400),3,IF(AND(Q8&gt;400,Q8&lt;=600),6,IF(Q8&gt;600,(ROUNDUP(Q8/300,0))+2,0))))))))))</f>
        <v>0</v>
      </c>
      <c r="Z5" s="1">
        <f>IF(O9&gt;0,ROUNDUP((O9/40),0),ROUNDUP((R8/40),0))</f>
        <v>0</v>
      </c>
      <c r="AA5" s="31">
        <f>IF(AND(O9&gt;0,O9&lt;=25),1,IF(AND(O9&gt;25,O9&lt;=50),2,IF(AND(O9&gt;50,O9&lt;=100),3,IF(AND(O9&gt;100,O9&lt;=200),4,IF(AND(O9&gt;200,O9&lt;=300),6,IF(AND(O9&gt;300,O9&lt;=400),8,IF(O9&gt;400,(ROUNDUP(O9/125,1))+5,IF(AND(R8&gt;0,R8&lt;=25),1,IF(AND(R8&gt;25,R8&lt;=50),2,IF(AND(R8&gt;50,R8&lt;=100),3,IF(AND(R8&gt;100,R8&lt;=200),4,IF(AND(R8&gt;200,R8&lt;=300),6,IF(AND(R8&gt;300,R8&lt;=400),8,IF(R8&gt;400,(ROUNDUP(R8/125,1))+5,0))))))))))))))</f>
        <v>0</v>
      </c>
      <c r="AB5" s="30">
        <f>IF(N9&gt;0,ROUNDUP((N9/75),0),ROUNDUP((Q8/75),0))</f>
        <v>0</v>
      </c>
      <c r="AC5" s="1">
        <f>IF(AND(N9&gt;0,N9&lt;=150),1,IF(AND(N9&gt;150,N9&lt;=200),2,IF(AND(N9&gt;200,N9&lt;=400),3,IF(N9&gt;400,(ROUNDUP(N9/250,0)+2),IF(AND(Q8&gt;0,Q8&lt;=150),1,IF(AND(Q8&gt;150,Q8&lt;=200),2,IF(AND(Q8&gt;200,Q8&lt;=400),3,IF(Q8&gt;400,(ROUNDUP(Q8/250,0)+2),0))))))))</f>
        <v>0</v>
      </c>
      <c r="AD5" s="1">
        <f>IF(O9&gt;0,ROUNDUP((O9/75),0),ROUNDUP((R8/75),0))</f>
        <v>0</v>
      </c>
      <c r="AE5" s="36">
        <f>IF(AND(O3&gt;0,O3&lt;=100),1,IF(AND(O3&gt;100,O3&lt;=200),2,IF(AND(O3&gt;200,O3&lt;=300),4,IF(AND(O3&gt;300,O3&lt;=500),5,IF(AND(O3&gt;500,O3&lt;=750),6,IF(O3&gt;750,(ROUNDUP(O3/200,0)+3),IF(AND(R8&gt;0,R8&lt;=100),1,IF(AND(R8&gt;100,R8&lt;=200),2,IF(AND(R8&gt;200,R8&lt;=300),4,IF(AND(R8&gt;300,R8&lt;=500),5,IF(AND(R8&gt;500,R8&lt;=750),6,IF(R8&gt;750,(ROUNDUP(R8/200,0)+3),0))))))))))))</f>
        <v>0</v>
      </c>
      <c r="AF5" s="32">
        <f>ROUNDUP((Q5/500),0)</f>
        <v>0</v>
      </c>
      <c r="AG5" s="36">
        <f>IF(AND(Q5&gt;0,Q5&lt;=250),1,IF(AND(Q5&gt;250,Q5&lt;=500),2,IF(AND(Q5&gt;500,Q5&lt;=750),3,IF(Q5&gt;750,(ROUNDUP(Q5/500,0)+2),0))))</f>
        <v>0</v>
      </c>
      <c r="AH5" s="30" t="s">
        <v>82</v>
      </c>
      <c r="AI5" s="36" t="s">
        <v>82</v>
      </c>
    </row>
    <row r="6" spans="1:35" ht="14.45" customHeight="1" x14ac:dyDescent="0.25">
      <c r="A6" s="82"/>
      <c r="B6" s="83"/>
      <c r="C6" s="159"/>
      <c r="D6" s="111"/>
      <c r="E6" s="111"/>
      <c r="F6" s="112"/>
      <c r="G6" s="112"/>
      <c r="H6" s="112"/>
      <c r="I6" s="112"/>
      <c r="J6" s="112"/>
      <c r="K6" s="112"/>
      <c r="L6" s="112"/>
      <c r="M6" s="114"/>
      <c r="N6" s="155"/>
      <c r="O6" s="157"/>
      <c r="Q6" s="1"/>
      <c r="R6" s="1"/>
      <c r="U6" s="5" t="s">
        <v>91</v>
      </c>
      <c r="V6" t="s">
        <v>90</v>
      </c>
      <c r="W6" s="30">
        <f>IF(N15&gt;0,ROUNDUP((N15/75),0),ROUNDUP((Q8/75),0))</f>
        <v>0</v>
      </c>
      <c r="X6" s="1">
        <f>IF(AND(N15&gt;0,N15&lt;=50),1,IF(AND(N15&gt;50,N15&lt;=150),2,IF(AND(N15&gt;150,N15&lt;=300),3,IF(AND(N15&gt;300,N15&lt;=400),4,IF(N15&gt;400,(ROUNDUP(N15/250,1))+3,IF(AND(Q8&gt;0,Q8&lt;=50),1,IF(AND(Q8&gt;50,Q8&lt;=150),2,IF(AND(Q8&gt;150,Q8&lt;=300),3,IF(AND(Q8&gt;300,Q8&lt;=400),4,IF(Q8&gt;400,(ROUNDUP(Q8/250,1))+3,0))))))))))</f>
        <v>0</v>
      </c>
      <c r="Y6" s="3">
        <f>IF(AND(N15&gt;0,N15&lt;=200),1,IF(AND(N15&gt;200,N15&lt;=300),2,IF(AND(N15&gt;300,N15&lt;=400),3,IF(AND(N15&gt;400,N15&lt;=600),6,IF(N15&gt;600,(ROUNDUP(N15/300,0))+2,IF(AND(Q8&gt;0,Q8&lt;=200),1,IF(AND(Q8&gt;200,Q8&lt;=300),2,IF(AND(Q8&gt;300,Q8&lt;=400),3,IF(AND(Q8&gt;400,Q8&lt;=600),6,IF(Q8&gt;600,(ROUNDUP(Q8/300,0))+2,0))))))))))</f>
        <v>0</v>
      </c>
      <c r="Z6" s="1">
        <f>IF(O15&gt;0,ROUNDUP((O15/75),0),ROUNDUP((R8/75),0))</f>
        <v>0</v>
      </c>
      <c r="AA6" s="31">
        <f>IF(AND(O15&gt;0,O15&lt;=25),1,IF(AND(O15&gt;25,O15&lt;=50),2,IF(AND(O15&gt;50,O15&lt;=100),3,IF(AND(O15&gt;100,O15&lt;=200),4,IF(AND(O15&gt;200,O15&lt;=300),6,IF(AND(O15&gt;300,O15&lt;=400),8,IF(O15&gt;400,(ROUNDUP(O15/125,1))+5,IF(AND(R8&gt;0,R8&lt;=25),1,IF(AND(R8&gt;25,R8&lt;=50),2,IF(AND(R8&gt;50,R8&lt;=100),3,IF(AND(R8&gt;100,R8&lt;=200),4,IF(AND(R8&gt;200,R8&lt;=300),6,IF(AND(R8&gt;300,R8&lt;=400),8,IF(R8&gt;400,(ROUNDUP(R8/125,1))+5,0))))))))))))))</f>
        <v>0</v>
      </c>
      <c r="AB6" s="30">
        <f>IF(N15&gt;0,ROUNDUP((N15/200),0),ROUNDUP((Q8/200),0))</f>
        <v>0</v>
      </c>
      <c r="AC6" s="1">
        <f>IF(AND(N15&gt;0,N15&lt;=200),1,IF(AND(N15&gt;200,N15&lt;=400),2,IF(AND(N15&gt;400,N15&lt;=600),3,IF(AND(N15&gt;600,N15&lt;=750),4,IF(N15&gt;750,(ROUNDUP(N15/250,0)+1),IF(AND(Q8&gt;0,Q8&lt;=200),1,IF(AND(Q8&gt;200,Q8&lt;=400),2,IF(AND(Q8&gt;400,Q8&lt;=600),3,IF(AND(Q8&gt;600,Q8&lt;=750),4,IF(Q8&gt;750,(ROUNDUP(Q8/250,0)+1),0))))))))))</f>
        <v>0</v>
      </c>
      <c r="AD6" s="1">
        <f>IF(O15&gt;0,ROUNDUP((O15/200),0),ROUNDUP((R8/200),0))</f>
        <v>0</v>
      </c>
      <c r="AE6" s="36">
        <f>IF(AND(O15&gt;0,O15&lt;=100),1,IF(AND(O15&gt;100,O15&lt;=200),2,IF(AND(O15&gt;200,O15&lt;=300),4,IF(AND(O15&gt;300,O15&lt;=500),5,IF(AND(O15&gt;500,O15&lt;=750),6,IF(O15&gt;750,(ROUNDUP(O15/200,0)+3),IF(AND(R8&gt;0,R8&lt;=100),1,IF(AND(R8&gt;100,R8&lt;=200),2,IF(AND(R8&gt;200,R8&lt;=300),4,IF(AND(R8&gt;300,R8&lt;=500),5,IF(AND(R8&gt;500,R8&lt;=750),6,IF(R8&gt;750,(ROUNDUP(R8/200,0)+3),0))))))))))))</f>
        <v>0</v>
      </c>
      <c r="AF6" s="32">
        <f>ROUNDUP((Q5/500),0)</f>
        <v>0</v>
      </c>
      <c r="AG6" s="36">
        <f>IF(AND(Q5&gt;0,Q5&lt;=250),1,IF(AND(Q5&gt;250,Q5&lt;=500),2,IF(AND(Q5&gt;500,Q5&lt;=750),3,IF(Q5&gt;750,(ROUNDUP(Q5/500,0)+2),0))))</f>
        <v>0</v>
      </c>
      <c r="AH6" s="30" t="s">
        <v>82</v>
      </c>
      <c r="AI6" s="36" t="s">
        <v>82</v>
      </c>
    </row>
    <row r="7" spans="1:35" ht="15.75" x14ac:dyDescent="0.25">
      <c r="A7" s="82"/>
      <c r="B7" s="83"/>
      <c r="C7" s="159"/>
      <c r="D7" s="111"/>
      <c r="E7" s="111"/>
      <c r="F7" s="112"/>
      <c r="G7" s="112"/>
      <c r="H7" s="112"/>
      <c r="I7" s="112"/>
      <c r="J7" s="112"/>
      <c r="K7" s="112"/>
      <c r="L7" s="112"/>
      <c r="M7" s="114"/>
      <c r="N7" s="155"/>
      <c r="O7" s="157"/>
      <c r="Q7" s="15" t="s">
        <v>74</v>
      </c>
      <c r="R7" s="15" t="s">
        <v>75</v>
      </c>
      <c r="U7" s="5" t="s">
        <v>92</v>
      </c>
      <c r="V7" t="s">
        <v>93</v>
      </c>
      <c r="W7" s="30">
        <f>IF(N21&gt;0,ROUNDUP((N21/125),0),ROUNDUP((Q8/125),0))</f>
        <v>0</v>
      </c>
      <c r="X7" s="1">
        <f>IF(AND(N21&gt;0,N21&lt;=100),1,IF(AND(N21&gt;100,N21&lt;=200),2,IF(AND(N21&gt;200,N21&lt;=400),3,IF(N21&gt;400,(ROUNDUP(N21/500,1))+3,IF(AND(Q8&gt;0,Q8&lt;=100),1,IF(AND(Q8&gt;100,Q8&lt;=200),2,IF(AND(Q8&gt;200,Q8&lt;=400),3,IF(Q8&gt;400,(ROUNDUP(Q8/500,1))+3,0))))))))</f>
        <v>0</v>
      </c>
      <c r="Y7" s="3">
        <f>IF(AND(N21&gt;0,N21&lt;=200),1,IF(AND(N21&gt;200,N21&lt;=300),2,IF(AND(N21&gt;300,N21&lt;=400),3,IF(AND(N21&gt;400,N21&lt;=600),6,IF(N21&gt;600,(ROUNDUP(N21/300,0))+2,IF(AND(Q8&gt;0,Q8&lt;=200),1,IF(AND(Q8&gt;200,Q8&lt;=300),2,IF(AND(Q8&gt;300,Q8&lt;=400),3,IF(AND(Q8&gt;400,Q8&lt;=600),6,IF(Q8&gt;600,(ROUNDUP(Q8/300,0))+2,0))))))))))</f>
        <v>0</v>
      </c>
      <c r="Z7" s="1">
        <f>IF(O21&gt;0,ROUNDUP((O21/65),0),ROUNDUP((R8/65),0))</f>
        <v>0</v>
      </c>
      <c r="AA7" s="31">
        <f>IF(AND(O21&gt;0,O21&lt;=25),1,IF(AND(O21&gt;25,O21&lt;=50),2,IF(AND(O21&gt;50,O21&lt;=100),3,IF(AND(O21&gt;100,O21&lt;=200),4,IF(AND(O21&gt;200,O21&lt;=300),6,IF(AND(O21&gt;300,O21&lt;=400),8,IF(O21&gt;400,(ROUNDUP(O21/125,1))+5,IF(AND(R8&gt;0,R8&lt;=25),1,IF(AND(R8&gt;25,R8&lt;=50),2,IF(AND(R8&gt;50,R8&lt;=100),3,IF(AND(R8&gt;100,R8&lt;=200),4,IF(AND(R8&gt;200,R8&lt;=300),6,IF(AND(R8&gt;300,R8&lt;=400),8,IF(R8&gt;400,(ROUNDUP(R8/125,1))+5,0))))))))))))))</f>
        <v>0</v>
      </c>
      <c r="AB7" s="32">
        <f>IF(N21&gt;0,ROUNDUP((N21/200),0),ROUNDUP((Q8/200),0))</f>
        <v>0</v>
      </c>
      <c r="AC7" s="1">
        <f>IF(AND(N21&gt;0,N21&lt;=200),1,IF(AND(N21&gt;200,N21&lt;=400),2,IF(AND(N21&gt;400,N21&lt;=600),3,IF(AND(N21&gt;600,N21&lt;=750),4,IF(N21&gt;750,(ROUNDUP(N21/250,0)+1),IF(AND(Q8&gt;0,Q8&lt;=200),1,IF(AND(Q8&gt;200,Q8&lt;=400),2,IF(AND(Q8&gt;400,Q8&lt;=600),3,IF(AND(Q8&gt;600,Q8&lt;=750),4,IF(Q8&gt;750,(ROUNDUP(Q8/250,0)+1),0))))))))))</f>
        <v>0</v>
      </c>
      <c r="AD7" s="1">
        <f>IF(O21&gt;0,ROUNDUP((O21/200),0),ROUNDUP((R8/200),0))</f>
        <v>0</v>
      </c>
      <c r="AE7" s="31">
        <f>IF(AND(O21&gt;0,O21&lt;=100),1,IF(AND(O21&gt;100,O21&lt;=200),2,IF(AND(O21&gt;200,O21&lt;=300),4,IF(AND(O21&gt;300,O21&lt;=500),5,IF(AND(O21&gt;500,O21&lt;=750),6,IF(O21&gt;750,(ROUNDUP(O21/200,0)+3),IF(AND(R8&gt;0,R8&lt;=100),1,IF(AND(R8&gt;100,R8&lt;=200),2,IF(AND(R8&gt;200,R8&lt;=300),4,IF(AND(R8&gt;300,R8&lt;=500),5,IF(AND(R8&gt;500,R8&lt;=750),6,IF(R8&gt;750,(ROUNDUP(R8/200,0)+3),0))))))))))))</f>
        <v>0</v>
      </c>
      <c r="AF7" s="32">
        <f>ROUNDUP((Q5/500),0)</f>
        <v>0</v>
      </c>
      <c r="AG7" s="36">
        <f>IF(AND(Q5&gt;0,Q5&lt;=250),1,IF(AND(Q5&gt;250,Q5&lt;=500),2,IF(AND(Q5&gt;500,Q5&lt;=750),3,IF(Q5&gt;750,(ROUNDUP(Q5/500,0)+2),0))))</f>
        <v>0</v>
      </c>
      <c r="AH7" s="30" t="s">
        <v>82</v>
      </c>
      <c r="AI7" s="36" t="s">
        <v>82</v>
      </c>
    </row>
    <row r="8" spans="1:35" ht="16.149999999999999" customHeight="1" x14ac:dyDescent="0.25">
      <c r="A8" s="82"/>
      <c r="B8" s="83"/>
      <c r="C8" s="159"/>
      <c r="D8" s="111"/>
      <c r="E8" s="111"/>
      <c r="F8" s="112"/>
      <c r="G8" s="112"/>
      <c r="H8" s="112"/>
      <c r="I8" s="112"/>
      <c r="J8" s="112"/>
      <c r="K8" s="112"/>
      <c r="L8" s="112"/>
      <c r="M8" s="98"/>
      <c r="N8" s="155"/>
      <c r="O8" s="157"/>
      <c r="Q8" s="16">
        <f>ROUNDUP((Q5/2),1)</f>
        <v>0</v>
      </c>
      <c r="R8" s="16">
        <f>ROUNDUP((Q5/2),1)</f>
        <v>0</v>
      </c>
      <c r="U8" s="5" t="s">
        <v>94</v>
      </c>
      <c r="V8" t="s">
        <v>93</v>
      </c>
      <c r="W8" s="30">
        <f>IF(AND(N29&gt;0,N29&lt;=400),(ROUNDUP(N29/100,0)),IF(N29&gt;400,(ROUNDUP(N29/250,0))+3,IF(AND(Q8&gt;0,Q8&lt;=400),(ROUNDUP(Q8/100,0)),IF(Q8&gt;400,(ROUNDUP(Q8/250,0))+3,0))))</f>
        <v>0</v>
      </c>
      <c r="X8" s="1">
        <f>IF(AND(N29&gt;0,N29&lt;=50),1,IF(AND(N29&gt;50,N29&lt;=150),2,IF(AND(N29&gt;150,N29&lt;=300),3,IF(AND(N29&gt;300,N29&lt;=400),4,IF(N29&gt;400,(ROUNDUP(N29/250,1))+3,IF(AND(Q8&gt;0,Q8&lt;=50),1,IF(AND(Q8&gt;50,Q8&lt;=150),2,IF(AND(Q8&gt;150,Q8&lt;=300),3,IF(AND(Q8&gt;300,Q8&lt;=400),4,IF(Q8&gt;400,(ROUNDUP(Q8/250,1))+3,0))))))))))</f>
        <v>0</v>
      </c>
      <c r="Y8" s="3">
        <f>IF(AND(N29&gt;0,N29&lt;=200),1,IF(AND(N29&gt;200,N29&lt;=300),2,IF(AND(N29&gt;300,N29&lt;=400),3,IF(AND(N29&gt;400,N29&lt;=600),6,IF(N29&gt;600,(ROUNDUP(N29/300,0))+2,IF(AND(Q8&gt;0,Q8&lt;=200),1,IF(AND(Q8&gt;200,Q8&lt;=300),2,IF(AND(Q8&gt;300,Q8&lt;=400),3,IF(AND(Q8&gt;400,Q8&lt;=600),6,IF(Q8&gt;600,(ROUNDUP(Q8/300,0))+2,0))))))))))</f>
        <v>0</v>
      </c>
      <c r="Z8" s="1">
        <f>IF(AND(O29&gt;0,O29&lt;=400),(ROUNDUP(O29/50,0)),IF(O29&gt;400,(ROUNDUP(O29/150,0))+5,IF(AND(R8&gt;0,R8&lt;=400),(ROUNDUP(R8/50,0)),IF(R8&gt;400,(ROUNDUP(R8/150,0))+5,0))))</f>
        <v>0</v>
      </c>
      <c r="AA8" s="31">
        <f>IF(AND(O29&gt;0,O29&lt;=25),1,IF(AND(O29&gt;25,O29&lt;=50),2,IF(AND(O29&gt;50,O29&lt;=100),3,IF(AND(O29&gt;100,O29&lt;=200),4,IF(AND(O29&gt;200,O29&lt;=300),6,IF(AND(O29&gt;300,O29&lt;=400),8,IF(O29&gt;400,(ROUNDUP(O29/125,1))+5,IF(AND(R8&gt;0,R8&lt;=25),1,IF(AND(R8&gt;25,R8&lt;=50),2,IF(AND(R8&gt;50,R8&lt;=100),3,IF(AND(R8&gt;100,R8&lt;=200),4,IF(AND(R8&gt;200,R8&lt;=300),6,IF(AND(R8&gt;300,R8&lt;=400),8,IF(R8&gt;400,(ROUNDUP(R8/125,1))+5,0))))))))))))))</f>
        <v>0</v>
      </c>
      <c r="AB8" s="30">
        <f>IF(AND(N29&gt;0,N29&lt;=250),1,IF(AND(N29&gt;250,N29&lt;=500),2,IF(AND(N29&gt;500,N29&lt;=750),3,IF(N29&gt;750,(ROUNDUP(N29/500,0)+2),IF(AND(Q8&gt;0,Q8&lt;=250),1,IF(AND(Q8&gt;250,Q8&lt;=500),2,IF(AND(Q8&gt;500,Q8&lt;=750),3,IF(Q8&gt;750,(ROUNDUP(Q8/500,0)+2),0))))))))</f>
        <v>0</v>
      </c>
      <c r="AC8" s="1">
        <f>IF(AND(N29&gt;0,N29&lt;=200),1,IF(AND(N29&gt;200,N29&lt;=400),2,IF(AND(N29&gt;400,N29&lt;=600),3,IF(AND(N29&gt;600,N29&lt;=750),4,IF(N29&gt;750,(ROUNDUP(N29/250,0)+1),IF(AND(Q8&gt;0,Q8&lt;=200),1,IF(AND(Q8&gt;200,Q8&lt;=400),2,IF(AND(Q8&gt;400,Q8&lt;=600),3,IF(AND(Q8&gt;600,Q8&lt;=750),4,IF(Q8&gt;750,(ROUNDUP(Q8/250,0)+1),0))))))))))</f>
        <v>0</v>
      </c>
      <c r="AD8" s="1">
        <f>IF(AND(O29&gt;0,O29&lt;=250),1,IF(AND(O29&gt;250,O29&lt;=500),2,IF(AND(O29&gt;500,O29&lt;=750),3,IF(O29&gt;750,(ROUNDUP(O29/500,0)+2),IF(AND(R8&gt;0,R8&lt;=250),1,IF(AND(R8&gt;250,R8&lt;=500),2,IF(AND(R8&gt;500,R8&lt;=750),3,IF(R8&gt;750,(ROUNDUP(R8/500,0)+2),0))))))))</f>
        <v>0</v>
      </c>
      <c r="AE8" s="36">
        <f>IF(AND(O29&gt;0,O29&lt;=100),1,IF(AND(O29&gt;100,O29&lt;=200),2,IF(AND(O29&gt;200,O29&lt;=300),4,IF(AND(O29&gt;300,O29&lt;=500),5,IF(AND(O29&gt;500,O29&lt;=750),6,IF(O29&gt;750,(ROUNDUP(O29/200,0)+3),IF(AND(R8&gt;0,R8&lt;=100),1,IF(AND(R8&gt;100,R8&lt;=200),2,IF(AND(R8&gt;200,R8&lt;=300),4,IF(AND(R8&gt;300,R8&lt;=500),5,IF(AND(R8&gt;500,R8&lt;=750),6,IF(R8&gt;750,(ROUNDUP(R8/200,0)+3),0))))))))))))</f>
        <v>0</v>
      </c>
      <c r="AF8" s="32">
        <f>ROUNDUP((Q5/1000),0)</f>
        <v>0</v>
      </c>
      <c r="AG8" s="36">
        <f>IF(AND(Q5&gt;0,Q5&lt;=250),1,IF(AND(Q5&gt;250,Q5&lt;=500),2,IF(AND(Q5&gt;500,Q5&lt;=750),3,IF(Q5&gt;750,(ROUNDUP(Q5/500,0)+2),0))))</f>
        <v>0</v>
      </c>
      <c r="AH8" s="30" t="s">
        <v>82</v>
      </c>
      <c r="AI8" s="36" t="s">
        <v>82</v>
      </c>
    </row>
    <row r="9" spans="1:35" ht="14.45" customHeight="1" x14ac:dyDescent="0.25">
      <c r="A9" s="82"/>
      <c r="B9" s="83"/>
      <c r="C9" s="110" t="s">
        <v>95</v>
      </c>
      <c r="D9" s="111" t="s">
        <v>96</v>
      </c>
      <c r="E9" s="111"/>
      <c r="F9" s="112" t="str">
        <f>IF(AND(OR(N9&gt;0,O9&gt;0),N9+O9&lt;=15),"Single restroom okay for 15 or less (IPC 403.2(2))",IF(Q5&lt;=15,"Single restroom okay for 15 or less (IPC 403.2(2))",W5))</f>
        <v>Single restroom okay for 15 or less (IPC 403.2(2))</v>
      </c>
      <c r="G9" s="112" t="str">
        <f>IF(F9="Single restroom okay for 15 or less (IPC 403.2(2))","-",Z5)</f>
        <v>-</v>
      </c>
      <c r="H9" s="112" t="s">
        <v>480</v>
      </c>
      <c r="I9" s="112">
        <f>AB5</f>
        <v>0</v>
      </c>
      <c r="J9" s="112">
        <f>AD5</f>
        <v>0</v>
      </c>
      <c r="K9" s="112" t="s">
        <v>82</v>
      </c>
      <c r="L9" s="112" t="str">
        <f>IF(F9="Single restroom okay for 15 or less (IPC 403.2(2))","15 or less Fountain exempt(IPC 410.2)",AF5)</f>
        <v>15 or less Fountain exempt(IPC 410.2)</v>
      </c>
      <c r="M9" s="114" t="s">
        <v>83</v>
      </c>
      <c r="N9" s="118">
        <v>0</v>
      </c>
      <c r="O9" s="119">
        <v>0</v>
      </c>
      <c r="U9" s="5" t="s">
        <v>97</v>
      </c>
      <c r="V9" t="s">
        <v>93</v>
      </c>
      <c r="W9" s="30">
        <f>IF(N35&gt;0,ROUNDUP((N35/50),0),ROUNDUP((Q8/500),0))</f>
        <v>0</v>
      </c>
      <c r="X9" s="1">
        <f>IF(AND(N35&gt;0,N35&lt;=50),1,IF(AND(N35&gt;50,N35&lt;=150),2,IF(AND(N35&gt;150,N35&lt;=300),3,IF(AND(N35&gt;300,N35&lt;=400),4,IF(N35&gt;400,(ROUNDUP(N35/250,1))+3,IF(AND(Q8&gt;0,Q8&lt;=50),1,IF(AND(Q8&gt;50,Q8&lt;=150),2,IF(AND(Q8&gt;150,Q8&lt;=300),3,IF(AND(Q8&gt;300,Q8&lt;=400),4,IF(Q8&gt;400,(ROUNDUP(Q8/250,1))+3,0))))))))))</f>
        <v>0</v>
      </c>
      <c r="Y9" s="3">
        <f>IF(AND(N35&gt;0,N35&lt;=200),1,IF(AND(N35&gt;200,N35&lt;=300),2,IF(AND(N35&gt;300,N35&lt;=400),3,IF(AND(N35&gt;400,N35&lt;=600),6,IF(N35&gt;600,(ROUNDUP(N35/300,0))+2,IF(AND(Q8&gt;0,Q8&lt;=200),1,IF(AND(Q8&gt;200,Q8&lt;=300),2,IF(AND(Q8&gt;300,Q8&lt;=400),3,IF(AND(Q8&gt;400,Q8&lt;=600),6,IF(Q8&gt;600,(ROUNDUP(Q8/300,0))+2,0))))))))))</f>
        <v>0</v>
      </c>
      <c r="Z9" s="1">
        <f>ROUNDUP((R8/500),0)</f>
        <v>0</v>
      </c>
      <c r="AA9" s="31">
        <f>IF(AND(O35&gt;0,O35&lt;=25),1,IF(AND(O35&gt;25,O35&lt;=50),2,IF(AND(O35&gt;50,O35&lt;=100),3,IF(AND(O35&gt;100,O35&lt;=200),4,IF(AND(O35&gt;200,O35&lt;=300),6,IF(AND(O35&gt;300,O35&lt;=400),8,IF(O35&gt;400,(ROUNDUP(O35/125,1))+5,IF(AND(R8&gt;0,R8&lt;=25),1,IF(AND(R8&gt;25,R8&lt;=50),2,IF(AND(R8&gt;50,R8&lt;=100),3,IF(AND(R8&gt;100,R8&lt;=200),4,IF(AND(R8&gt;200,R8&lt;=300),6,IF(AND(R8&gt;300,R8&lt;=400),8,IF(R8&gt;400,(ROUNDUP(R8/125,1))+5,0))))))))))))))</f>
        <v>0</v>
      </c>
      <c r="AB9" s="30">
        <f>IF(N35&gt;0,ROUNDUP((N35/750),0),ROUNDUP((Q8/750),0))</f>
        <v>0</v>
      </c>
      <c r="AC9" s="1">
        <f>IF(AND(N35&gt;0,N35&lt;=200),1,IF(AND(N35&gt;200,N35&lt;=400),2,IF(AND(N35&gt;400,N35&lt;=600),3,IF(AND(N35&gt;600,N35&lt;=750),4,IF(N35&gt;750,(ROUNDUP(N35/250,0)+1),IF(AND(Q8&gt;0,Q8&lt;=200),1,IF(AND(Q8&gt;200,Q8&lt;=400),2,IF(AND(Q8&gt;400,Q8&lt;=600),3,IF(AND(Q8&gt;600,Q8&lt;=750),4,IF(Q8&gt;750,(ROUNDUP(Q8/250,0)+1),0))))))))))</f>
        <v>0</v>
      </c>
      <c r="AD9" s="1">
        <f>IF(O35&gt;0,ROUNDUP((O35/750),0),ROUNDUP((R8/750),0))</f>
        <v>0</v>
      </c>
      <c r="AE9" s="36">
        <f>IF(AND(O35&gt;0,O35&lt;=100),1,IF(AND(O35&gt;100,O35&lt;=200),2,IF(AND(O35&gt;200,O35&lt;=300),4,IF(AND(O35&gt;300,O35&lt;=500),5,IF(AND(O35&gt;500,O35&lt;=750),6,IF(O35&gt;750,(ROUNDUP(O35/200,0)+3),IF(AND(R8&gt;0,R8&lt;=100),1,IF(AND(R8&gt;100,R8&lt;=200),2,IF(AND(R8&gt;200,R8&lt;=300),4,IF(AND(R8&gt;300,R8&lt;=500),5,IF(AND(R8&gt;500,R8&lt;=750),6,IF(R8&gt;750,(ROUNDUP(R8/200,0)+3),0))))))))))))</f>
        <v>0</v>
      </c>
      <c r="AF9" s="32">
        <f>ROUNDUP((Q5/1000),0)</f>
        <v>0</v>
      </c>
      <c r="AG9" s="36">
        <f>IF(AND(Q5&gt;0,Q5&lt;=250),1,IF(AND(Q5&gt;250,Q5&lt;=500),2,IF(AND(Q5&gt;500,Q5&lt;=750),3,IF(Q5&gt;750,(ROUNDUP(Q5/500,0)+2),0))))</f>
        <v>0</v>
      </c>
      <c r="AH9" s="30" t="s">
        <v>82</v>
      </c>
      <c r="AI9" s="36" t="s">
        <v>82</v>
      </c>
    </row>
    <row r="10" spans="1:35" x14ac:dyDescent="0.25">
      <c r="A10" s="82"/>
      <c r="B10" s="83"/>
      <c r="C10" s="110"/>
      <c r="D10" s="111"/>
      <c r="E10" s="111"/>
      <c r="F10" s="112"/>
      <c r="G10" s="112"/>
      <c r="H10" s="112"/>
      <c r="I10" s="112"/>
      <c r="J10" s="112"/>
      <c r="K10" s="112"/>
      <c r="L10" s="112"/>
      <c r="M10" s="114"/>
      <c r="N10" s="118"/>
      <c r="O10" s="119"/>
      <c r="U10" s="5" t="s">
        <v>98</v>
      </c>
      <c r="V10" t="s">
        <v>93</v>
      </c>
      <c r="W10" s="30">
        <f>IF(N41&gt;0,ROUNDUP((N41/150),0),ROUNDUP((Q8/150),0))</f>
        <v>0</v>
      </c>
      <c r="X10" s="1">
        <f>IF(AND(N41&gt;0,N41&lt;=100),1,IF(AND(N41&gt;100,N41&lt;=200),2,IF(AND(N41&gt;200,N41&lt;=400),3,IF(N41&gt;400,(ROUNDUP(N41/500,1))+3,IF(AND(Q8&gt;0,Q8&lt;=100),1,IF(AND(Q8&gt;100,Q8&lt;=200),2,IF(AND(Q8&gt;200,Q8&lt;=400),3,IF(Q8&gt;400,(ROUNDUP(Q8/500,1))+3,0))))))))</f>
        <v>0</v>
      </c>
      <c r="Y10" s="3">
        <f>IF(AND(N41&gt;0,N41&lt;=200),1,IF(AND(N41&gt;200,N41&lt;=300),2,IF(AND(N41&gt;300,N41&lt;=400),3,IF(AND(N41&gt;400,N41&lt;=600),6,IF(N41&gt;600,(ROUNDUP(N41/300,0))+2,IF(AND(Q8&gt;0,Q8&lt;=200),1,IF(AND(Q8&gt;200,Q8&lt;=300),2,IF(AND(Q8&gt;300,Q8&lt;=400),3,IF(AND(Q8&gt;400,Q8&lt;=600),6,IF(Q8&gt;600,(ROUNDUP(Q8/300,0))+2,0))))))))))</f>
        <v>0</v>
      </c>
      <c r="Z10" s="1">
        <f>ROUNDUP((R8/75),0)</f>
        <v>0</v>
      </c>
      <c r="AA10" s="31">
        <f>IF(AND(O41&gt;0,O41&lt;=25),1,IF(AND(O41&gt;25,O41&lt;=50),2,IF(AND(O41&gt;50,O41&lt;=100),3,IF(AND(O41&gt;100,O41&lt;=200),4,IF(AND(O41&gt;200,O41&lt;=300),6,IF(AND(O41&gt;300,O41&lt;=400),8,IF(O41&gt;400,(ROUNDUP(O41/125,1))+5,IF(AND(R8&gt;0,R8&lt;=25),1,IF(AND(R8&gt;25,R8&lt;=50),2,IF(AND(R8&gt;50,R8&lt;=100),3,IF(AND(R8&gt;100,R8&lt;=200),4,IF(AND(R8&gt;200,R8&lt;=300),6,IF(AND(R8&gt;300,R8&lt;=400),8,IF(R8&gt;400,(ROUNDUP(R8/125,1))+5,0))))))))))))))</f>
        <v>0</v>
      </c>
      <c r="AB10" s="30">
        <f>IF(N41&gt;0,ROUNDUP((N41/200),0),ROUNDUP((Q8/200),0))</f>
        <v>0</v>
      </c>
      <c r="AC10" s="1">
        <f>IF(AND(N41&gt;0,N41&lt;=200),1,IF(AND(N41&gt;200,N41&lt;=400),2,IF(AND(N41&gt;400,N41&lt;=600),3,IF(AND(N41&gt;600,N41&lt;=750),4,IF(N41&gt;750,(ROUNDUP(N41/250,0)+1),IF(AND(Q8&gt;0,Q8&lt;=200),1,IF(AND(Q8&gt;200,Q8&lt;=400),2,IF(AND(Q8&gt;400,Q8&lt;=600),3,IF(AND(Q8&gt;600,Q8&lt;=750),4,IF(Q8&gt;750,(ROUNDUP(Q8/250,0)+1),0))))))))))</f>
        <v>0</v>
      </c>
      <c r="AD10" s="1">
        <f>IF(O41&gt;0,ROUNDUP((O41/200),0),ROUNDUP((R8/200),0))</f>
        <v>0</v>
      </c>
      <c r="AE10" s="36">
        <f>IF(AND(O41&gt;0,O41&lt;=100),1,IF(AND(O41&gt;100,O41&lt;=200),2,IF(AND(O41&gt;200,O41&lt;=300),4,IF(AND(O41&gt;300,O41&lt;=500),5,IF(AND(O41&gt;500,O41&lt;=750),6,IF(O41&gt;750,(ROUNDUP(O41/200,0)+3),IF(AND(R8&gt;0,R8&lt;=100),1,IF(AND(R8&gt;100,R8&lt;=200),2,IF(AND(R8&gt;200,R8&lt;=300),4,IF(AND(R8&gt;300,R8&lt;=500),5,IF(AND(R8&gt;500,R8&lt;=750),6,IF(R8&gt;750,(ROUNDUP(R8/200,0)+3),0))))))))))))</f>
        <v>0</v>
      </c>
      <c r="AF10" s="32">
        <f>ROUNDUP((Q5/1000),0)</f>
        <v>0</v>
      </c>
      <c r="AG10" s="36">
        <f>IF(AND(Q5&gt;0,Q5&lt;=250),1,IF(AND(Q5&gt;250,Q5&lt;=500),2,IF(AND(Q5&gt;500,Q5&lt;=750),3,IF(Q5&gt;750,(ROUNDUP(Q5/500,0)+2),0))))</f>
        <v>0</v>
      </c>
      <c r="AH10" s="30" t="s">
        <v>82</v>
      </c>
      <c r="AI10" s="36" t="s">
        <v>82</v>
      </c>
    </row>
    <row r="11" spans="1:35" x14ac:dyDescent="0.25">
      <c r="A11" s="82"/>
      <c r="B11" s="83"/>
      <c r="C11" s="110"/>
      <c r="D11" s="111"/>
      <c r="E11" s="111"/>
      <c r="F11" s="112"/>
      <c r="G11" s="112"/>
      <c r="H11" s="112"/>
      <c r="I11" s="112"/>
      <c r="J11" s="112"/>
      <c r="K11" s="112"/>
      <c r="L11" s="112"/>
      <c r="M11" s="114"/>
      <c r="N11" s="118"/>
      <c r="O11" s="119"/>
      <c r="U11" s="5" t="s">
        <v>99</v>
      </c>
      <c r="V11" t="s">
        <v>100</v>
      </c>
      <c r="W11" s="30">
        <f>IF(AND(N47&gt;0,N47&lt;=1500),(ROUNDUP(N47/75,0)),IF(N47&gt;1500,(ROUNDUP(N47/120,0))+8,IF(AND(Q8&gt;0,Q8&lt;=1500),(ROUNDUP(Q8/75,0)),IF(Q8&gt;1500,(ROUNDUP(Q8/120,0))+8,0))))</f>
        <v>0</v>
      </c>
      <c r="X11" s="1">
        <f>IF(AND(N47&gt;0,N47&lt;=100),1,IF(AND(N47&gt;100,N47&lt;=200),2,IF(AND(N47&gt;200,N47&lt;=400),3,IF(N47&gt;400,(ROUNDUP(N47/500,1))+3,IF(AND(Q8&gt;0,Q8&lt;=100),1,IF(AND(Q8&gt;100,Q8&lt;=200),2,IF(AND(Q8&gt;200,Q8&lt;=400),3,IF(Q8&gt;400,(ROUNDUP(Q8/500,1))+3,0))))))))</f>
        <v>0</v>
      </c>
      <c r="Y11" s="3">
        <f>IF(AND(N47&gt;0,N47&lt;=200),1,IF(AND(N47&gt;200,N47&lt;=300),2,IF(AND(N47&gt;300,N47&lt;=400),3,IF(AND(N47&gt;400,N47&lt;=600),6,IF(N47&gt;600,(ROUNDUP(N47/300,0))+2,IF(AND(Q8&gt;0,Q8&lt;=200),1,IF(AND(Q8&gt;200,Q8&lt;=300),2,IF(AND(Q8&gt;300,Q8&lt;=400),3,IF(AND(Q8&gt;400,Q8&lt;=600),6,IF(Q8&gt;600,(ROUNDUP(Q8/300,0))+2,0))))))))))</f>
        <v>0</v>
      </c>
      <c r="Z11" s="1">
        <f>IF(AND(O47&gt;0,O47&lt;=1520),(ROUNDUP(O47/40,0)),IF(O47&gt;1520,(ROUNDUP(O47/60,0))+12,IF(AND(R8&gt;0,R8&lt;=1520),(ROUNDUP(R8/40,0)),IF(R8&gt;1520,(ROUNDUP(R8/60,0))+12,0))))</f>
        <v>0</v>
      </c>
      <c r="AA11" s="31">
        <f>IF(AND(O47&gt;0,O47&lt;=25),1,IF(AND(O47&gt;25,O47&lt;=50),2,IF(AND(O47&gt;50,O47&lt;=100),3,IF(AND(O47&gt;100,O47&lt;=200),4,IF(AND(O47&gt;200,O47&lt;=300),6,IF(AND(O47&gt;300,O47&lt;=400),8,IF(O47&gt;400,(ROUNDUP(O47/125,1))+5,IF(AND(R8&gt;0,R8&lt;=25),1,IF(AND(R8&gt;25,R8&lt;=50),2,IF(AND(R8&gt;50,R8&lt;=100),3,IF(AND(R8&gt;100,R8&lt;=200),4,IF(AND(R8&gt;200,R8&lt;=300),6,IF(AND(R8&gt;300,R8&lt;=400),8,IF(R8&gt;400,(ROUNDUP(R8/125,1))+5,0))))))))))))))</f>
        <v>0</v>
      </c>
      <c r="AB11" s="30">
        <f>IF(N47&lt;0,ROUNDUP((N47/200),0),ROUNDUP((Q8/200),0))</f>
        <v>0</v>
      </c>
      <c r="AC11" s="1">
        <f>IF(AND(N47&gt;0,N47&lt;=200),1,IF(AND(N47&gt;200,N47&lt;=400),2,IF(AND(N47&gt;400,N47&lt;=600),3,IF(AND(N47&gt;600,N47&lt;=750),4,IF(N47&gt;750,(ROUNDUP(N47/250,0)+1),IF(AND(Q8&gt;0,Q8&lt;=200),1,IF(AND(Q8&gt;200,Q8&lt;=400),2,IF(AND(Q8&gt;400,Q8&lt;=600),3,IF(AND(Q8&gt;600,Q8&lt;=750),4,IF(Q8&gt;750,(ROUNDUP(Q8/250,0)+1),0))))))))))</f>
        <v>0</v>
      </c>
      <c r="AD11" s="1">
        <f>IF(O47&gt;0,ROUNDUP((O47/150),0),ROUNDUP((R8/150),0))</f>
        <v>0</v>
      </c>
      <c r="AE11" s="36">
        <f>IF(AND(O47&gt;0,O47&lt;=100),1,IF(AND(O47&gt;100,O47&lt;=200),2,IF(AND(O47&gt;200,O47&lt;=300),4,IF(AND(O47&gt;300,O47&lt;=500),5,IF(AND(O47&gt;500,O47&lt;=750),6,IF(O47&gt;750,(ROUNDUP(O47/200,0)+3),IF(AND(R8&gt;0,R8&lt;=100),1,IF(AND(R8&gt;100,R8&lt;=200),2,IF(AND(R8&gt;200,R8&lt;=300),4,IF(AND(R8&gt;300,R8&lt;=500),5,IF(AND(R8&gt;500,R8&lt;=750),6,IF(R8&gt;750,(ROUNDUP(R8/200,0)+3),0))))))))))))</f>
        <v>0</v>
      </c>
      <c r="AF11" s="32">
        <f>ROUNDUP((Q5/1000),0)</f>
        <v>0</v>
      </c>
      <c r="AG11" s="36">
        <f>IF(AND(Q5&gt;0,Q5&lt;=250),1,IF(AND(Q5&gt;250,Q5&lt;=500),2,IF(AND(Q5&gt;500,Q5&lt;=750),3,IF(Q5&gt;750,(ROUNDUP(Q5/500,0)+2),0))))</f>
        <v>0</v>
      </c>
      <c r="AH11" s="30" t="s">
        <v>82</v>
      </c>
      <c r="AI11" s="36" t="s">
        <v>82</v>
      </c>
    </row>
    <row r="12" spans="1:35" x14ac:dyDescent="0.25">
      <c r="A12" s="82"/>
      <c r="B12" s="83"/>
      <c r="C12" s="110"/>
      <c r="D12" s="111"/>
      <c r="E12" s="111"/>
      <c r="F12" s="112"/>
      <c r="G12" s="112"/>
      <c r="H12" s="112"/>
      <c r="I12" s="112"/>
      <c r="J12" s="112"/>
      <c r="K12" s="112"/>
      <c r="L12" s="112"/>
      <c r="M12" s="114"/>
      <c r="N12" s="118"/>
      <c r="O12" s="119"/>
      <c r="U12" s="5" t="s">
        <v>101</v>
      </c>
      <c r="V12" t="s">
        <v>102</v>
      </c>
      <c r="W12" s="30">
        <f>IF(AND(N53&gt;0,N53&lt;=1500),(ROUNDUP(N53/75,0)),IF(N53&gt;1500,(ROUNDUP(N53/120,0))+8,IF(AND(Q8&gt;0,Q8&lt;=1500),(ROUNDUP(Q8/75,0)),IF(Q8&gt;1500,(ROUNDUP(Q8/120,0))+8,0))))</f>
        <v>0</v>
      </c>
      <c r="X12" s="1">
        <f>IF(AND(N53&gt;0,N53&lt;=100),1,IF(AND(N53&gt;100,N53&lt;=200),2,IF(AND(N53&gt;200,N53&lt;=400),3,IF(N53&gt;400,(ROUNDUP(N53/500,1))+3,IF(AND(Q8&gt;0,Q8&lt;=100),1,IF(AND(Q8&gt;100,Q8&lt;=200),2,IF(AND(Q8&gt;200,Q8&lt;=400),3,IF(Q8&gt;400,(ROUNDUP(Q8/500,1))+3,0))))))))</f>
        <v>0</v>
      </c>
      <c r="Y12" s="3">
        <f>IF(AND(N53&gt;0,N53&lt;=200),1,IF(AND(N53&gt;200,N53&lt;=300),2,IF(AND(N53&gt;300,N53&lt;=400),3,IF(AND(N53&gt;400,N53&lt;=600),6,IF(N53&gt;600,(ROUNDUP(N53/300,0))+2,IF(AND(Q8&gt;0,Q8&lt;=200),1,IF(AND(Q8&gt;200,Q8&lt;=300),2,IF(AND(Q8&gt;300,Q8&lt;=400),3,IF(AND(Q8&gt;400,Q8&lt;=600),6,IF(Q8&gt;600,(ROUNDUP(Q8/300,0))+2,0))))))))))</f>
        <v>0</v>
      </c>
      <c r="Z12" s="1">
        <f>IF(AND(O53&gt;0,O53&lt;=1520),(ROUNDUP(O53/40,0)),IF(O53&gt;1520,(ROUNDUP(O53/60,0))+12,IF(AND(R8&gt;0,R8&lt;=1520),(ROUNDUP(R8/40,0)),IF(R8&gt;1520,(ROUNDUP(R8/60,0))+12,0))))</f>
        <v>0</v>
      </c>
      <c r="AA12" s="31">
        <f>IF(AND(O53&gt;0,O53&lt;=25),1,IF(AND(O53&gt;25,O53&lt;=50),2,IF(AND(O53&gt;50,O53&lt;=100),3,IF(AND(O53&gt;100,O53&lt;=200),4,IF(AND(O53&gt;200,O53&lt;=300),6,IF(AND(O53&gt;300,O53&lt;=400),8,IF(O53&gt;400,(ROUNDUP(O35/125,1))+5,IF(AND(R8&gt;0,R8&lt;=25),1,IF(AND(R8&gt;25,R8&lt;=50),2,IF(AND(R8&gt;50,R8&lt;=100),3,IF(AND(R8&gt;100,R8&lt;=200),4,IF(AND(R8&gt;200,R8&lt;=300),6,IF(AND(R8&gt;300,R8&lt;=400),8,IF(R8&gt;400,(ROUNDUP(R8/125,1))+5,0))))))))))))))</f>
        <v>0</v>
      </c>
      <c r="AB12" s="30">
        <f>IF(N53&gt;0,ROUNDUP((N53/200),0),ROUNDUP((Q8/200),0))</f>
        <v>0</v>
      </c>
      <c r="AC12" s="1">
        <f>IF(AND(N53&gt;0,N53&lt;=200),1,IF(AND(N53&gt;200,N53&lt;=400),2,IF(AND(N53&gt;400,N53&lt;=600),3,IF(AND(N53&gt;600,N53&lt;=750),4,IF(N53&gt;750,(ROUNDUP(N53/250,0)+1),IF(AND(Q8&gt;0,Q8&lt;=200),1,IF(AND(Q8&gt;200,Q8&lt;=400),2,IF(AND(Q8&gt;400,Q8&lt;=600),3,IF(AND(Q8&gt;600,Q8&lt;=750),4,IF(Q8&gt;750,(ROUNDUP(Q8/250,0)+1),0))))))))))</f>
        <v>0</v>
      </c>
      <c r="AD12" s="1">
        <f>IF(O53&gt;0,ROUNDUP((O53/150),0),ROUNDUP((R8/150),0))</f>
        <v>0</v>
      </c>
      <c r="AE12" s="36">
        <f>IF(AND(O53&gt;0,O53&lt;=100),1,IF(AND(O53&gt;100,O53&lt;=200),2,IF(AND(O53&gt;200,O53&lt;=300),4,IF(AND(O53&gt;300,O53&lt;=500),5,IF(AND(O53&gt;500,O53&lt;=750),6,IF(O53&gt;750,(ROUNDUP(O53/200,0)+3),IF(AND(R8&gt;0,R8&lt;=100),1,IF(AND(R8&gt;100,R8&lt;=200),2,IF(AND(R8&gt;200,R8&lt;=300),4,IF(AND(R8&gt;300,R8&lt;=500),5,IF(AND(R8&gt;500,R8&lt;=750),6,IF(R8&gt;750,(ROUNDUP(R8/200,0)+3),0))))))))))))</f>
        <v>0</v>
      </c>
      <c r="AF12" s="32">
        <f>ROUNDUP((Q5/1000),0)</f>
        <v>0</v>
      </c>
      <c r="AG12" s="36">
        <f>IF(AND(Q5&gt;0,Q5&lt;=250),1,IF(AND(Q5&gt;250,Q5&lt;=500),2,IF(AND(Q5&gt;500,Q5&lt;=750),3,IF(Q5&gt;750,(ROUNDUP(Q5/500,0)+2),0))))</f>
        <v>0</v>
      </c>
      <c r="AH12" s="30" t="s">
        <v>82</v>
      </c>
      <c r="AI12" s="36" t="s">
        <v>82</v>
      </c>
    </row>
    <row r="13" spans="1:35" x14ac:dyDescent="0.25">
      <c r="A13" s="82"/>
      <c r="B13" s="83"/>
      <c r="C13" s="110"/>
      <c r="D13" s="111"/>
      <c r="E13" s="111"/>
      <c r="F13" s="112"/>
      <c r="G13" s="112"/>
      <c r="H13" s="112"/>
      <c r="I13" s="112"/>
      <c r="J13" s="112"/>
      <c r="K13" s="112"/>
      <c r="L13" s="112"/>
      <c r="M13" s="114"/>
      <c r="N13" s="118"/>
      <c r="O13" s="119"/>
      <c r="U13" s="5" t="s">
        <v>103</v>
      </c>
      <c r="V13" t="s">
        <v>104</v>
      </c>
      <c r="W13" s="30">
        <f>IF(AND(N60&gt;0,N60&lt;=25),1,IF(AND(N60&gt;25,N60&lt;=50),2,IF(N60&gt;50,(ROUNDUP(N60/50,0)+1),IF(AND(Q8&gt;0,Q8&lt;=25),1,IF(AND(Q8&gt;25,Q8&lt;=50),2,IF(Q8&gt;50,(ROUNDUP(Q8/50,0)+1),0))))))</f>
        <v>0</v>
      </c>
      <c r="X13" s="1">
        <f>IF(AND(N60&gt;0,N60&lt;=50),1,IF(AND(N60&gt;50,N60&lt;=100),2,IF(AND(N60&gt;100,N60&lt;=200),3,IF(AND(N60&gt;200,N60&lt;=400),4,IF(N60&gt;400,(ROUNDUP(N60/500,1))+3,IF(AND(Q8&gt;0,Q8&lt;=50),1,IF(AND(Q8&gt;50,Q8&lt;=100),2,IF(AND(Q8&gt;100,Q8&lt;=200),3,IF(AND(Q8&gt;200,Q8&lt;=400),4,IF(Q8&gt;400,(ROUNDUP(Q8/500,1))+3,0))))))))))</f>
        <v>0</v>
      </c>
      <c r="Y13" s="3">
        <f>IF(AND(N60&gt;0,N60&lt;=200),1,IF(AND(N60&gt;200,N60&lt;=300),2,IF(AND(N60&gt;300,N60&lt;=400),3,IF(AND(N60&gt;400,N60&lt;=600),6,IF(N60&gt;600,(ROUNDUP(N60/300,0))+2,IF(AND(Q8&gt;0,Q8&lt;=200),1,IF(AND(Q8&gt;200,Q8&lt;=300),2,IF(AND(Q8&gt;300,Q8&lt;=400),3,IF(AND(Q8&gt;400,Q8&lt;=600),6,IF(Q8&gt;600,(ROUNDUP(Q8/300,0))+2,0))))))))))</f>
        <v>0</v>
      </c>
      <c r="Z13" s="1">
        <f>IF(AND(O60&gt;0,O60&lt;=25),1,IF(AND(O60&gt;25,O60&lt;=50),2,IF(O60&gt;50,(ROUNDUP(O60/50,0)+1),IF(AND(R8&gt;0,R8&lt;=25),1,IF(AND(R8&gt;25,R8&lt;=50),2,IF(R8&gt;50,(ROUNDUP(R8/50,0)+1),0))))))</f>
        <v>0</v>
      </c>
      <c r="AA13" s="31">
        <f>IF(AND(O60&gt;0,O60&lt;=15),1,IF(AND(O60&gt;15,O60&lt;=30),2,IF(AND(O60&gt;30,O60&lt;=50),3,IF(AND(O60&gt;50,O60&lt;=100),4,IF(AND(O60&gt;100,O60&lt;=200),8,IF(AND(O60&gt;100,O60&lt;=400),11,IF(O60&gt;400,ROUNDUP(O60/150,0)+8,IF(AND(R8&gt;0,R8&lt;=15),1,IF(AND(R8&gt;15,R8&lt;=30),2,IF(AND(R8&gt;30,R8&lt;=50),3,IF(AND(R8&gt;50,R8&lt;=100),4,IF(AND(R8&gt;100,R8&lt;=200),8,IF(AND(R8&gt;100,R8&lt;=400),11,IF(R8&gt;400,ROUNDUP(R8/150,0)+8,0))))))))))))))</f>
        <v>0</v>
      </c>
      <c r="AB13" s="30">
        <f>IF(AND(N60&gt;0,N60&lt;=40),1,IF(AND(N60&gt;40,N60&lt;=80),2,IF(N60&gt;80,(ROUNDUP(N60/80,0)+1),IF(AND(Q8&gt;0,Q8&lt;=40),1,IF(AND(Q8&gt;40,Q8&lt;=80),2,IF(Q8&gt;80,(ROUNDUP(Q8/80,0)+1),0))))))</f>
        <v>0</v>
      </c>
      <c r="AC13" s="1">
        <f>IF(AND(N60&gt;0,N60&lt;=75),1,IF(AND(N60&gt;75,N60&lt;=150),2,IF(AND(N60&gt;150,N60&lt;=200),3,IF(AND(N60&gt;200,N60&lt;=300),4,IF(AND(N60&gt;300,N60&lt;=400),5,IF(N60&gt;400,(ROUNDUP(N60/250,0)+4),IF(AND(Q8&gt;0,Q8&lt;=75),1,IF(AND(Q8&gt;75,Q8&lt;=150),2,IF(AND(Q8&gt;150,Q8&lt;=200),3,IF(AND(Q8&gt;200,Q8&lt;=300),4,IF(AND(Q8&gt;300,Q8&lt;=400),5,IF(Q8&gt;400,(ROUNDUP(Q8/250,0)+4),0))))))))))))</f>
        <v>0</v>
      </c>
      <c r="AD13" s="1">
        <f>IF(AND(O60&gt;0,O60&lt;=40),1,IF(AND(O60&gt;40,O60&lt;=80),2,IF(O60&gt;80,(ROUNDUP(O60/80,0)+1),IF(AND(R8&gt;0,R8&lt;=40),1,IF(AND(R8&gt;40,R8&lt;=80),2,IF(R8&gt;80,(ROUNDUP(R8/80,0)+1),0))))))</f>
        <v>0</v>
      </c>
      <c r="AE13" s="36">
        <f>IF(AND(O60&gt;0,O60&lt;=50),1,IF(AND(O60&gt;50,O60&lt;=100),2,IF(AND(O60&gt;100,O60&lt;=150),3,IF(AND(O60&gt;150,O60&lt;=200),4,IF(AND(O60&gt;200,O60&lt;=300),5,IF(AND(O60&gt;300,O60&lt;=400),6,IF(O60&gt;400,(ROUNDUP(O60/200,0)+4),IF(AND(R8&gt;0,R8&lt;=50),1,IF(AND(R8&gt;50,R8&lt;=100),2,IF(AND(R8&gt;100,R8&lt;=150),3,IF(AND(R8&gt;150,R8&lt;=200),4,IF(AND(R8&gt;200,R8&lt;=300),5,IF(AND(R8&gt;300,R8&lt;=400),6,IF(R8&gt;400,(ROUNDUP(R8/200,0)+4),0))))))))))))))</f>
        <v>0</v>
      </c>
      <c r="AF13" s="32">
        <f>ROUNDUP((Q5/100),0)</f>
        <v>0</v>
      </c>
      <c r="AG13" s="36">
        <f>ROUNDUP((Q5/150),0)</f>
        <v>0</v>
      </c>
      <c r="AH13" s="30" t="s">
        <v>82</v>
      </c>
      <c r="AI13" s="36" t="s">
        <v>82</v>
      </c>
    </row>
    <row r="14" spans="1:35" x14ac:dyDescent="0.25">
      <c r="A14" s="82"/>
      <c r="B14" s="83"/>
      <c r="C14" s="110"/>
      <c r="D14" s="111"/>
      <c r="E14" s="111"/>
      <c r="F14" s="112"/>
      <c r="G14" s="112"/>
      <c r="H14" s="112"/>
      <c r="I14" s="112"/>
      <c r="J14" s="112"/>
      <c r="K14" s="112"/>
      <c r="L14" s="112"/>
      <c r="M14" s="114"/>
      <c r="N14" s="118"/>
      <c r="O14" s="119"/>
      <c r="U14" s="5" t="s">
        <v>105</v>
      </c>
      <c r="V14" t="s">
        <v>106</v>
      </c>
      <c r="W14" s="30">
        <f>IF(N71&gt;0,ROUNDUP((N71/50),0),ROUNDUP((Q8/50),0))</f>
        <v>0</v>
      </c>
      <c r="X14" s="1">
        <f>IF(N71&gt;0,ROUNDUP((N71/50),0),ROUNDUP((Q8/50),0))</f>
        <v>0</v>
      </c>
      <c r="Y14" s="3">
        <f>IF(N71&gt;0,ROUNDUP((N71/100),0),ROUNDUP((Q8/100),0))</f>
        <v>0</v>
      </c>
      <c r="Z14" s="1">
        <f>IF(O71&gt;0,ROUNDUP((O71/50),0),ROUNDUP((R8/50),0))</f>
        <v>0</v>
      </c>
      <c r="AA14" s="31">
        <f>IF(O71&gt;0,ROUNDUP((O71/50),0),ROUNDUP((R8/50),0))</f>
        <v>0</v>
      </c>
      <c r="AB14" s="30">
        <f>IF(N71&gt;0,ROUNDUP((N71/50),0),ROUNDUP((Q8/50),0))</f>
        <v>0</v>
      </c>
      <c r="AC14" s="1">
        <f>IF(N71&gt;0,ROUNDUP((N71/40),0),ROUNDUP((Q8/40),0))</f>
        <v>0</v>
      </c>
      <c r="AD14" s="1">
        <f>IF(O71&gt;0,ROUNDUP((O71/50),0),ROUNDUP((R8/50),0))</f>
        <v>0</v>
      </c>
      <c r="AE14" s="36">
        <f>IF(O71&gt;0,ROUNDUP((O71/40),0),ROUNDUP((R8/40),0))</f>
        <v>0</v>
      </c>
      <c r="AF14" s="32">
        <f>ROUNDUP((Q5/100),0)</f>
        <v>0</v>
      </c>
      <c r="AG14" s="36">
        <f>ROUNDUP((Q5/150),0)</f>
        <v>0</v>
      </c>
      <c r="AH14" s="30" t="s">
        <v>82</v>
      </c>
      <c r="AI14" s="36" t="s">
        <v>82</v>
      </c>
    </row>
    <row r="15" spans="1:35" x14ac:dyDescent="0.25">
      <c r="A15" s="82"/>
      <c r="B15" s="83"/>
      <c r="C15" s="110"/>
      <c r="D15" s="111" t="s">
        <v>107</v>
      </c>
      <c r="E15" s="111"/>
      <c r="F15" s="112" t="str">
        <f>IF(AND(OR(N15&gt;0,O15&gt;0),N15+O15&lt;=15),"Single restroom okay for 15 or less (IPC 403.2(2))",IF(Q5&lt;=15,"Single restroom okay for 15 or less (IPC 403.2(2))",W6))</f>
        <v>Single restroom okay for 15 or less (IPC 403.2(2))</v>
      </c>
      <c r="G15" s="112" t="str">
        <f>IF(F15="Single restroom okay for 15 or less (IPC 403.2(2))","-",Z6)</f>
        <v>-</v>
      </c>
      <c r="H15" s="112" t="s">
        <v>480</v>
      </c>
      <c r="I15" s="112">
        <f>AB6</f>
        <v>0</v>
      </c>
      <c r="J15" s="112">
        <f>AD6</f>
        <v>0</v>
      </c>
      <c r="K15" s="112" t="s">
        <v>82</v>
      </c>
      <c r="L15" s="112" t="str">
        <f>IF(F15="Single restroom okay for 15 or less (IPC 403.2(2))","15 or less Fountain exempt(IPC 410.2)",AF6)</f>
        <v>15 or less Fountain exempt(IPC 410.2)</v>
      </c>
      <c r="M15" s="121" t="s">
        <v>83</v>
      </c>
      <c r="N15" s="96">
        <v>0</v>
      </c>
      <c r="O15" s="97">
        <v>0</v>
      </c>
      <c r="U15" s="5" t="s">
        <v>108</v>
      </c>
      <c r="V15" t="s">
        <v>109</v>
      </c>
      <c r="W15" s="30">
        <f>IF(N77&gt;0,ROUNDUP((N77/100),0),ROUNDUP((Q8/100),0))</f>
        <v>0</v>
      </c>
      <c r="X15" s="1">
        <f>IF(AND(N77&gt;0,N77&lt;=50),1,IF(AND(N77&gt;50,N77&lt;=75),2,IF(AND(N77&gt;75,N77&lt;=100),3,IF(N77&gt;100,(ROUNDUP(N77/40,1))+1,IF(AND(Q8&gt;0,Q8&lt;=50),1,IF(AND(Q8&gt;50,Q8&lt;=75),2,IF(AND(Q8&gt;75,Q8&lt;=100),3,IF(Q8&gt;100,(ROUNDUP(Q8/40,1))+1,0))))))))</f>
        <v>0</v>
      </c>
      <c r="Y15" s="3" t="s">
        <v>82</v>
      </c>
      <c r="Z15" s="1">
        <f>IF(O77&gt;0,ROUNDUP((O77/100),0),ROUNDUP((R8/100),0))</f>
        <v>0</v>
      </c>
      <c r="AA15" s="31">
        <f>IF(AND(O77&gt;0,O77&lt;=50),1,IF(AND(O77&gt;50,O77&lt;=75),2,IF(AND(O77&gt;75,O77&lt;=100),3,IF(O77&gt;100,(ROUNDUP(O77/40,1))+1,IF(AND(R8&gt;0,R8&lt;=50),1,IF(AND(R8&gt;50,R8&lt;=75),2,IF(AND(R8&gt;75,R8&lt;=100),3,IF(R8&gt;100,(ROUNDUP(R8/40,1))+1,0))))))))</f>
        <v>0</v>
      </c>
      <c r="AB15" s="30">
        <f>IF(N77&gt;0,ROUNDUP((N77/100),0),ROUNDUP((Q8/100),0))</f>
        <v>0</v>
      </c>
      <c r="AC15" s="1">
        <f>IF(AND(N77&gt;0,N77&lt;=50),1,IF(AND(N77&gt;50,N77&lt;=75),2,IF(AND(N77&gt;75,N77&lt;=100),3,IF(N77&gt;100,(ROUNDUP(N77/40,1))+1,IF(AND(Q8&gt;0,Q8&lt;=50),1,IF(AND(Q8&gt;50,Q8&lt;=75),2,IF(AND(Q8&gt;75,Q8&lt;=100),3,IF(Q8&gt;100,(ROUNDUP(Q8/40,1))+1,0))))))))</f>
        <v>0</v>
      </c>
      <c r="AD15" s="1">
        <f>IF(O77&gt;0,ROUNDUP((O77/100),0),ROUNDUP((R8/100),0))</f>
        <v>0</v>
      </c>
      <c r="AE15" s="36">
        <f>IF(AND(O77&gt;0,O77&lt;=50),1,IF(AND(O77&gt;50,O77&lt;=75),2,IF(AND(O77&gt;75,O77&lt;=100),3,IF(O77&gt;100,(ROUNDUP(O77/40,1))+1,IF(AND(R8&gt;0,R8&lt;=50),1,IF(AND(R8&gt;50,R8&lt;=75),2,IF(AND(R8&gt;75,R8&lt;=100),3,IF(R8&gt;100,(ROUNDUP(R8/40,1))+1,0))))))))</f>
        <v>0</v>
      </c>
      <c r="AF15" s="32">
        <f>ROUNDUP((Q5/400),0)</f>
        <v>0</v>
      </c>
      <c r="AG15" s="36">
        <f>IF(AND(Q5&gt;0,Q5&lt;=250),1,IF(AND(Q5&gt;250,Q5&lt;=500),2,IF(AND(Q5&gt;500,Q5&lt;=750),3,IF(Q5&gt;750,(ROUNDUP(Q5/500,0)+2),0))))</f>
        <v>0</v>
      </c>
      <c r="AH15" s="30" t="s">
        <v>110</v>
      </c>
      <c r="AI15" s="36" t="s">
        <v>82</v>
      </c>
    </row>
    <row r="16" spans="1:35" x14ac:dyDescent="0.25">
      <c r="A16" s="82"/>
      <c r="B16" s="83"/>
      <c r="C16" s="110"/>
      <c r="D16" s="111"/>
      <c r="E16" s="111"/>
      <c r="F16" s="112"/>
      <c r="G16" s="112"/>
      <c r="H16" s="112"/>
      <c r="I16" s="112"/>
      <c r="J16" s="112"/>
      <c r="K16" s="112"/>
      <c r="L16" s="112"/>
      <c r="M16" s="114"/>
      <c r="N16" s="96"/>
      <c r="O16" s="97"/>
      <c r="U16" s="5" t="s">
        <v>111</v>
      </c>
      <c r="V16" t="s">
        <v>112</v>
      </c>
      <c r="W16" s="30">
        <f>IF(N84&gt;0,ROUNDUP((N84/10),0),ROUNDUP((Q8/10),0))</f>
        <v>0</v>
      </c>
      <c r="X16" s="1">
        <f>IF(N84&gt;0,ROUNDUP((N84/15),0),ROUNDUP((Q8/15),0))</f>
        <v>0</v>
      </c>
      <c r="Y16" s="3">
        <f>IF(N84&gt;0,ROUNDUP((N84/15),0),ROUNDUP((Q8/15),0))</f>
        <v>0</v>
      </c>
      <c r="Z16" s="1">
        <f>IF(O84&gt;0,ROUNDUP((O84/10),0),ROUNDUP((R8/10),0))</f>
        <v>0</v>
      </c>
      <c r="AA16" s="31">
        <f>IF(O84&gt;0,ROUNDUP((O84/15),0),ROUNDUP((R8/15),0))</f>
        <v>0</v>
      </c>
      <c r="AB16" s="30">
        <f>IF(N84&gt;0,ROUNDUP((N84/10),0),ROUNDUP((Q8/10),0))</f>
        <v>0</v>
      </c>
      <c r="AC16" s="1">
        <f>IF(N84&gt;0,ROUNDUP((N84/15),0),ROUNDUP((Q8/15),0))</f>
        <v>0</v>
      </c>
      <c r="AD16" s="1">
        <f>IF(O84&gt;0,ROUNDUP((O84/10),0),ROUNDUP((R8/10),0))</f>
        <v>0</v>
      </c>
      <c r="AE16" s="36">
        <f>IF(O84&gt;0,ROUNDUP((O84/8),0),ROUNDUP((R8/8),0))</f>
        <v>0</v>
      </c>
      <c r="AF16" s="32">
        <f>ROUNDUP((Q5/100),0)</f>
        <v>0</v>
      </c>
      <c r="AG16" s="36" t="s">
        <v>82</v>
      </c>
      <c r="AH16" s="30">
        <f>ROUNDUP((Q5/8),0)</f>
        <v>0</v>
      </c>
      <c r="AI16" s="36">
        <f>ROUNDUP((Q5/150),0)</f>
        <v>0</v>
      </c>
    </row>
    <row r="17" spans="1:35" ht="14.45" customHeight="1" x14ac:dyDescent="0.25">
      <c r="A17" s="82"/>
      <c r="B17" s="83"/>
      <c r="C17" s="110"/>
      <c r="D17" s="111"/>
      <c r="E17" s="111"/>
      <c r="F17" s="112"/>
      <c r="G17" s="112"/>
      <c r="H17" s="112"/>
      <c r="I17" s="112"/>
      <c r="J17" s="112"/>
      <c r="K17" s="112"/>
      <c r="L17" s="112"/>
      <c r="M17" s="114"/>
      <c r="N17" s="96"/>
      <c r="O17" s="97"/>
      <c r="U17" s="5" t="s">
        <v>113</v>
      </c>
      <c r="V17" t="s">
        <v>114</v>
      </c>
      <c r="W17" s="30">
        <f>IF(N93&gt;0,ROUNDUP((N93/25),0),ROUNDUP((Q8/25),0))</f>
        <v>0</v>
      </c>
      <c r="X17" s="1">
        <f>IF(AND(N93&gt;0,N93&lt;=15),1,IF(AND(N93&gt;15,N93&lt;=35),2,IF(AND(N93&gt;35,N93&lt;=55),3,IF(N93&gt;55,(ROUNDUP(N93/40,0))+2,IF(AND(Q8&gt;0,Q8&lt;=15),1,IF(AND(Q8&gt;15,Q8&lt;=35),2,IF(AND(Q8&gt;35,Q8&lt;=55),3,IF(Q8&gt;55,(ROUNDUP(Q8/40,0))+2,0))))))))</f>
        <v>0</v>
      </c>
      <c r="Y17" s="3" t="s">
        <v>82</v>
      </c>
      <c r="Z17" s="1">
        <f>IF(O93&gt;0,ROUNDUP((O93/25),0),ROUNDUP((R8/25),0))</f>
        <v>0</v>
      </c>
      <c r="AA17" s="31">
        <f>IF(AND(O93&gt;0,O93&lt;=15),1,IF(AND(O93&gt;15,O93&lt;=35),2,IF(AND(O93&gt;35,O93&lt;=55),3,IF(O93&gt;55,(ROUNDUP(O93/40,0))+2,IF(AND(R8&gt;0,R8&lt;=15),1,IF(AND(R8&gt;15,R8&lt;=35),2,IF(AND(R8&gt;35,R8&lt;=55),3,IF(R8&gt;55,(ROUNDUP(R8/40,0))+2,0))))))))</f>
        <v>0</v>
      </c>
      <c r="AB17" s="30">
        <f>IF(N93&gt;0,ROUNDUP((N93/35),0),ROUNDUP((Q8/35),0))</f>
        <v>0</v>
      </c>
      <c r="AC17" s="1">
        <f>IF(N93&gt;0,ROUNDUP((N93/40),0),ROUNDUP((Q8/40),0))</f>
        <v>0</v>
      </c>
      <c r="AD17" s="1">
        <f>IF(O93&gt;0,ROUNDUP((O93/35),0),ROUNDUP((R8/35),0))</f>
        <v>0</v>
      </c>
      <c r="AE17" s="36">
        <f>IF(O93&gt;0,ROUNDUP((O93/40),0),ROUNDUP((R8/40),0))</f>
        <v>0</v>
      </c>
      <c r="AF17" s="32">
        <f>ROUNDUP((Q5/100),0)</f>
        <v>0</v>
      </c>
      <c r="AG17" s="36" t="s">
        <v>82</v>
      </c>
      <c r="AH17" s="30" t="s">
        <v>82</v>
      </c>
      <c r="AI17" s="36" t="s">
        <v>82</v>
      </c>
    </row>
    <row r="18" spans="1:35" x14ac:dyDescent="0.25">
      <c r="A18" s="82"/>
      <c r="B18" s="83"/>
      <c r="C18" s="110"/>
      <c r="D18" s="111"/>
      <c r="E18" s="111"/>
      <c r="F18" s="112"/>
      <c r="G18" s="112"/>
      <c r="H18" s="112"/>
      <c r="I18" s="112"/>
      <c r="J18" s="112"/>
      <c r="K18" s="112"/>
      <c r="L18" s="112"/>
      <c r="M18" s="114"/>
      <c r="N18" s="96"/>
      <c r="O18" s="97"/>
      <c r="U18" s="5" t="s">
        <v>115</v>
      </c>
      <c r="V18" t="s">
        <v>114</v>
      </c>
      <c r="W18" s="30">
        <f>IF(N96&gt;0,ROUNDUP((N96/75),0),ROUNDUP((Q8/75),0))</f>
        <v>0</v>
      </c>
      <c r="X18" s="1" t="s">
        <v>82</v>
      </c>
      <c r="Y18" s="3" t="s">
        <v>82</v>
      </c>
      <c r="Z18" s="1">
        <f>IF(O96&gt;0,ROUNDUP((O96/75),0),ROUNDUP((R8/75),0))</f>
        <v>0</v>
      </c>
      <c r="AA18" s="31" t="s">
        <v>82</v>
      </c>
      <c r="AB18" s="30">
        <f>IF(N96&gt;0,ROUNDUP((N96/100),0),ROUNDUP((Q8/100),0))</f>
        <v>0</v>
      </c>
      <c r="AC18" s="1" t="s">
        <v>82</v>
      </c>
      <c r="AD18" s="1">
        <f>IF(O96&gt;0,ROUNDUP((O96/100),0),ROUNDUP((R8/100),0))</f>
        <v>0</v>
      </c>
      <c r="AE18" s="36" t="s">
        <v>82</v>
      </c>
      <c r="AF18" s="32">
        <f>ROUNDUP((Q5/500),0)</f>
        <v>0</v>
      </c>
      <c r="AG18" s="36" t="s">
        <v>82</v>
      </c>
      <c r="AH18" s="30">
        <f>ROUNDUP((Q5/15),0)</f>
        <v>0</v>
      </c>
      <c r="AI18" s="36">
        <f>ROUNDUP((Q5/20),0)</f>
        <v>0</v>
      </c>
    </row>
    <row r="19" spans="1:35" x14ac:dyDescent="0.25">
      <c r="A19" s="82"/>
      <c r="B19" s="83"/>
      <c r="C19" s="110"/>
      <c r="D19" s="111"/>
      <c r="E19" s="111"/>
      <c r="F19" s="112"/>
      <c r="G19" s="112"/>
      <c r="H19" s="112"/>
      <c r="I19" s="112"/>
      <c r="J19" s="112"/>
      <c r="K19" s="112"/>
      <c r="L19" s="112"/>
      <c r="M19" s="114"/>
      <c r="N19" s="96"/>
      <c r="O19" s="97"/>
      <c r="U19" s="5" t="s">
        <v>116</v>
      </c>
      <c r="V19" t="s">
        <v>117</v>
      </c>
      <c r="W19" s="30">
        <f>IF(N102&gt;0,ROUNDUP((N102/15),0),ROUNDUP((Q8/15),0))</f>
        <v>0</v>
      </c>
      <c r="X19" s="1" t="s">
        <v>82</v>
      </c>
      <c r="Y19" s="3" t="s">
        <v>82</v>
      </c>
      <c r="Z19" s="1">
        <f>IF(O102&gt;0,ROUNDUP((O102/15),0),ROUNDUP((R8/15),0))</f>
        <v>0</v>
      </c>
      <c r="AA19" s="31" t="s">
        <v>82</v>
      </c>
      <c r="AB19" s="30">
        <f>IF(N102&gt;0,ROUNDUP((N102/15),0),ROUNDUP((Q8/15),0))</f>
        <v>0</v>
      </c>
      <c r="AC19" s="1" t="s">
        <v>82</v>
      </c>
      <c r="AD19" s="1">
        <f>IF(O102&gt;0,ROUNDUP((O102/15),0),ROUNDUP((R8/15),0))</f>
        <v>0</v>
      </c>
      <c r="AE19" s="36" t="s">
        <v>82</v>
      </c>
      <c r="AF19" s="32">
        <f>ROUNDUP((Q5/100),0)</f>
        <v>0</v>
      </c>
      <c r="AG19" s="36" t="s">
        <v>157</v>
      </c>
      <c r="AH19" s="30">
        <f>ROUNDUP((Q5/15),0)</f>
        <v>0</v>
      </c>
      <c r="AI19" s="36">
        <f>ROUNDUP((Q5/20),0)</f>
        <v>0</v>
      </c>
    </row>
    <row r="20" spans="1:35" x14ac:dyDescent="0.25">
      <c r="A20" s="82"/>
      <c r="B20" s="83"/>
      <c r="C20" s="110"/>
      <c r="D20" s="111"/>
      <c r="E20" s="111"/>
      <c r="F20" s="112"/>
      <c r="G20" s="112"/>
      <c r="H20" s="112"/>
      <c r="I20" s="112"/>
      <c r="J20" s="112"/>
      <c r="K20" s="112"/>
      <c r="L20" s="112"/>
      <c r="M20" s="114"/>
      <c r="N20" s="96"/>
      <c r="O20" s="97"/>
      <c r="U20" s="5" t="s">
        <v>113</v>
      </c>
      <c r="V20" t="s">
        <v>117</v>
      </c>
      <c r="W20" s="30">
        <f>IF(N106&gt;0,ROUNDUP((N106/25),0),ROUNDUP((Q8/25),0))</f>
        <v>0</v>
      </c>
      <c r="X20" s="1">
        <f>IF(AND(N106&gt;0,N106&lt;=15),1,IF(AND(N106&gt;15,N106&lt;=35),2,IF(AND(N106&gt;35,N106&lt;=55),3,IF(N106&gt;55,(ROUNDUP(N106/40,0))+2,IF(AND(Q8&gt;0,Q8&lt;=15),1,IF(AND(Q8&gt;15,Q8&lt;=35),2,IF(AND(Q8&gt;35,Q8&lt;=55),3,IF(Q8&gt;55,(ROUNDUP(Q8/40,0))+2,0))))))))</f>
        <v>0</v>
      </c>
      <c r="Y20" s="3" t="s">
        <v>82</v>
      </c>
      <c r="Z20" s="1">
        <f>IF(O106&gt;0,ROUNDUP((O106/25),0),ROUNDUP((R8/25),0))</f>
        <v>0</v>
      </c>
      <c r="AA20" s="31">
        <f>IF(AND(O106&gt;0,O106&lt;=15),1,IF(AND(O106&gt;15,O106&lt;=35),2,IF(AND(O106&gt;35,O106&lt;=55),3,IF(O106&gt;55,(ROUNDUP(O106/40,0))+2,IF(AND(R8&gt;0,R8&lt;=15),1,IF(AND(R8&gt;15,R8&lt;=35),2,IF(AND(R8&gt;35,R8&lt;=55),3,IF(R8&gt;55,(ROUNDUP(R8/40,0))+2,0))))))))</f>
        <v>0</v>
      </c>
      <c r="AB20" s="30">
        <f>IF(N106&gt;0,ROUNDUP((N106/35),0),ROUNDUP((Q8/35),0))</f>
        <v>0</v>
      </c>
      <c r="AC20" s="1">
        <f>IF(N106&gt;0,ROUNDUP((N106/40),0),ROUNDUP((Q8/40),0))</f>
        <v>0</v>
      </c>
      <c r="AD20" s="1">
        <f>IF(O106&gt;0,ROUNDUP((O106/35),0),ROUNDUP((R8/35),0))</f>
        <v>0</v>
      </c>
      <c r="AE20" s="36">
        <f>IF(O106&gt;0,ROUNDUP((O106/40),0),ROUNDUP((R8/40),0))</f>
        <v>0</v>
      </c>
      <c r="AF20" s="32">
        <f>ROUNDUP((Q5/100),0)</f>
        <v>0</v>
      </c>
      <c r="AG20" s="36">
        <f>ROUNDUP((Q5/150),0)</f>
        <v>0</v>
      </c>
      <c r="AH20" s="30" t="s">
        <v>82</v>
      </c>
      <c r="AI20" s="36" t="s">
        <v>82</v>
      </c>
    </row>
    <row r="21" spans="1:35" x14ac:dyDescent="0.25">
      <c r="A21" s="82"/>
      <c r="B21" s="83"/>
      <c r="C21" s="110" t="s">
        <v>118</v>
      </c>
      <c r="D21" s="111" t="s">
        <v>119</v>
      </c>
      <c r="E21" s="111"/>
      <c r="F21" s="112" t="str">
        <f>IF(AND(OR(N21&gt;0,O21&gt;0),N21+O21&lt;=15),"Single restroom okay for 15 or less (IPC 403.2(2))",IF(Q5&lt;=15,"Single restroom okay for 15 or less (IPC 403.2(2))",W7))</f>
        <v>Single restroom okay for 15 or less (IPC 403.2(2))</v>
      </c>
      <c r="G21" s="112" t="str">
        <f>IF(F21="Single restroom okay for 15 or less (IPC 403.2(2))","-",Z7)</f>
        <v>-</v>
      </c>
      <c r="H21" s="112" t="s">
        <v>480</v>
      </c>
      <c r="I21" s="112">
        <f>AB7</f>
        <v>0</v>
      </c>
      <c r="J21" s="112">
        <f>AD7</f>
        <v>0</v>
      </c>
      <c r="K21" s="112" t="s">
        <v>82</v>
      </c>
      <c r="L21" s="112" t="str">
        <f>IF(F21="Single restroom okay for 15 or less (IPC 403.2(2))","15 or less Fountain exempt(IPC 410.2)",AF7)</f>
        <v>15 or less Fountain exempt(IPC 410.2)</v>
      </c>
      <c r="M21" s="114" t="s">
        <v>83</v>
      </c>
      <c r="N21" s="96">
        <v>0</v>
      </c>
      <c r="O21" s="97">
        <v>0</v>
      </c>
      <c r="U21" s="5" t="s">
        <v>120</v>
      </c>
      <c r="V21" t="s">
        <v>121</v>
      </c>
      <c r="W21" s="30">
        <f>IF(N109&gt;0,ROUNDUP((N109/15),0),ROUNDUP((Q8/15),0))</f>
        <v>0</v>
      </c>
      <c r="X21" s="1">
        <f>IF(AND(N109&gt;0,N109&lt;=15),1,IF(AND(N109&gt;15,N109&lt;=35),2,IF(AND(N109&gt;35,N109&lt;=55),3,IF(N109&gt;55,(ROUNDUP(N109/40,0))+2,IF(AND(Q8&gt;0,Q8&lt;=15),1,IF(AND(Q8&gt;15,Q8&lt;=35),2,IF(AND(Q8&gt;35,Q8&lt;=55),3,IF(Q8&gt;55,(ROUNDUP(Q8/40,0))+2,0))))))))</f>
        <v>0</v>
      </c>
      <c r="Y21" s="3" t="s">
        <v>82</v>
      </c>
      <c r="Z21" s="1">
        <f>IF(O109&gt;0,ROUNDUP((O109/15),0),ROUNDUP((R8/15),0))</f>
        <v>0</v>
      </c>
      <c r="AA21" s="31">
        <f>IF(AND(O109&gt;0,O109&lt;=15),1,IF(AND(O109&gt;15,O109&lt;=35),2,IF(AND(O109&gt;35,O109&lt;=55),3,IF(O109&gt;55,(ROUNDUP(O109/40,0))+2,IF(AND(R8&gt;0,R8&lt;=15),1,IF(AND(R8&gt;15,R8&lt;=35),2,IF(AND(R8&gt;35,R8&lt;=55),3,IF(R8&gt;55,(ROUNDUP(R8/40,0))+2,0))))))))</f>
        <v>0</v>
      </c>
      <c r="AB21" s="30">
        <f>IF(N109&gt;0,ROUNDUP((N109/15),0),ROUNDUP((Q8/15),0))</f>
        <v>0</v>
      </c>
      <c r="AC21" s="1">
        <f>IF(N109&gt;0,ROUNDUP((N109/40),0),ROUNDUP((Q8/40),0))</f>
        <v>0</v>
      </c>
      <c r="AD21" s="1">
        <f>IF(O109&gt;0,ROUNDUP((O109/15),0),ROUNDUP((R8/15),0))</f>
        <v>0</v>
      </c>
      <c r="AE21" s="36">
        <f>IF(O109&gt;0,ROUNDUP((O109/40),0),ROUNDUP((R8/40),0))</f>
        <v>0</v>
      </c>
      <c r="AF21" s="32">
        <f>ROUNDUP((Q5/100),0)</f>
        <v>0</v>
      </c>
      <c r="AG21" s="36">
        <f>ROUNDUP((Q5/150),0)</f>
        <v>0</v>
      </c>
      <c r="AH21" s="30">
        <v>1</v>
      </c>
      <c r="AI21" s="36" t="s">
        <v>82</v>
      </c>
    </row>
    <row r="22" spans="1:35" ht="14.45" customHeight="1" x14ac:dyDescent="0.25">
      <c r="A22" s="82"/>
      <c r="B22" s="83"/>
      <c r="C22" s="110"/>
      <c r="D22" s="111"/>
      <c r="E22" s="111"/>
      <c r="F22" s="112"/>
      <c r="G22" s="112"/>
      <c r="H22" s="112"/>
      <c r="I22" s="112"/>
      <c r="J22" s="112"/>
      <c r="K22" s="112"/>
      <c r="L22" s="112"/>
      <c r="M22" s="114"/>
      <c r="N22" s="96"/>
      <c r="O22" s="97"/>
      <c r="U22" s="5" t="s">
        <v>122</v>
      </c>
      <c r="V22" t="s">
        <v>123</v>
      </c>
      <c r="W22" s="30">
        <f>IF(N112&gt;0,ROUNDUP((N112/500),0),ROUNDUP((Q8/500),0))</f>
        <v>0</v>
      </c>
      <c r="X22" s="1">
        <f>IF(AND(N112&gt;0,N112&lt;=100),1,IF(AND(N112&gt;100,N112&lt;=200),2,IF(AND(N112&gt;200,N112&lt;=400),3,IF(N112&gt;400,(ROUNDUP(N112/500,0))+3,IF(AND(Q8&gt;0,Q8&lt;=100),1,IF(AND(Q8&gt;100,Q8&lt;=200),2,IF(AND(Q8&gt;200,Q8&lt;=400),3,IF(Q8&gt;400,(ROUNDUP(Q8/500,0))+3,0))))))))</f>
        <v>0</v>
      </c>
      <c r="Y22" s="3">
        <f>IF(AND(Q8&gt;0,Q8&lt;=200),0,IF(AND(Q8&gt;200,Q8&lt;=400),1,IF(Q8&gt;200,(ROUNDUP(Q8/500,0))+1,0)))</f>
        <v>0</v>
      </c>
      <c r="Z22" s="1">
        <f>IF(O112&gt;0,ROUNDUP((O112/500),0),ROUNDUP((R8/500),0))</f>
        <v>0</v>
      </c>
      <c r="AA22" s="31">
        <f>IF(AND(O112&gt;0,O112&lt;=100),1,IF(AND(O112&gt;100,O112&lt;=200),2,IF(AND(O112&gt;200,O112&lt;=300),4,IF(AND(O112&gt;300,O112&lt;=400),5,IF(O112&gt;400,(ROUNDUP(O112/200,1))+4,IF(AND(R8&gt;0,R8&lt;=100),1,IF(AND(R8&gt;100,R8&lt;=200),2,IF(AND(R8&gt;200,R8&lt;=300),4,IF(AND(R8&gt;300,R8&lt;=400),5,IF(R8&gt;400,(ROUNDUP(R8/200,1))+4,0))))))))))</f>
        <v>0</v>
      </c>
      <c r="AB22" s="30">
        <f>IF(N112&gt;0,ROUNDUP((N112/750),0),ROUNDUP((Q8/750),0))</f>
        <v>0</v>
      </c>
      <c r="AC22" s="1">
        <f>IF(AND(N112&gt;0,N112&lt;=200),1,IF(AND(N112&gt;200,N112&lt;=400),2,IF(N112&gt;400,(ROUNDUP(N112/500,1))+2,IF(AND(Q8&gt;0,Q8&lt;=200),1,IF(AND(Q8&gt;200,Q8&lt;=400),2,IF(Q8&gt;400,(ROUNDUP(Q8/500,1))+2,0))))))</f>
        <v>0</v>
      </c>
      <c r="AD22" s="1">
        <f>IF(O112&gt;0,ROUNDUP((O112/750),0),ROUNDUP((R8/750),0))</f>
        <v>0</v>
      </c>
      <c r="AE22" s="36">
        <f>IF(AND(O112&gt;0,O112&lt;=200),1,IF(AND(O112&gt;200,O112&lt;=300),2,IF(AND(O112&gt;300,O112&lt;=400),3,IF(O112&gt;400,(ROUNDUP(O112/400,1))+2,IF(AND(R8&gt;0,R8&lt;=200),1,IF(AND(R8&gt;200,R8&lt;=300),2,IF(AND(R8&gt;300,R8&lt;=400),3,IF(R8&gt;400,(ROUNDUP(R8/400,1))+2,0))))))))</f>
        <v>0</v>
      </c>
      <c r="AF22" s="32">
        <f>ROUNDUP((Q5/1000),0)</f>
        <v>0</v>
      </c>
      <c r="AG22" s="36">
        <f>IF(AND(Q5&gt;0,Q5&lt;=250),1,IF(AND(Q5&gt;250,Q5&lt;=500),2,IF(AND(Q5&gt;500,Q5&lt;=750),3,IF(Q5&gt;750,(ROUNDUP(Q5/500,0)+2),0))))</f>
        <v>0</v>
      </c>
      <c r="AH22" s="30" t="s">
        <v>82</v>
      </c>
      <c r="AI22" s="36" t="s">
        <v>82</v>
      </c>
    </row>
    <row r="23" spans="1:35" x14ac:dyDescent="0.25">
      <c r="A23" s="82"/>
      <c r="B23" s="83"/>
      <c r="C23" s="110"/>
      <c r="D23" s="111"/>
      <c r="E23" s="111"/>
      <c r="F23" s="112"/>
      <c r="G23" s="112"/>
      <c r="H23" s="112"/>
      <c r="I23" s="112"/>
      <c r="J23" s="112"/>
      <c r="K23" s="112"/>
      <c r="L23" s="112"/>
      <c r="M23" s="114"/>
      <c r="N23" s="96"/>
      <c r="O23" s="97"/>
      <c r="U23" s="5" t="s">
        <v>124</v>
      </c>
      <c r="V23" t="s">
        <v>125</v>
      </c>
      <c r="W23" s="30">
        <f>IF(N123&gt;0,ROUNDUP((N123/10),0),ROUNDUP((Q5/10),0))</f>
        <v>0</v>
      </c>
      <c r="X23" s="1">
        <f>IF(AND(N123&gt;0,N123&lt;=20),ROUNDUP((N123/10),0),IF(N123&gt;20,ROUNDUP((N123/20),0)+3,IF(Q8&lt;=20,ROUNDUP((Q8/10),0),IF(Q8&gt;20,ROUNDUP((Q8/20)+3,0)))))</f>
        <v>0</v>
      </c>
      <c r="Y23" s="3">
        <f>IF(N123&gt;0,ROUNDUP((N123/25),0),ROUNDUP((Q8/25),0))</f>
        <v>0</v>
      </c>
      <c r="Z23" s="1">
        <f>IF(N123&gt;0,ROUNDUP((N123/10),0),ROUNDUP((R8/10),0))</f>
        <v>0</v>
      </c>
      <c r="AA23" s="31">
        <f>IF(AND(N123&gt;0,N123&lt;=20),ROUNDUP((N142/8),0),IF(N142&gt;20,ROUNDUP((N142/20),0)+3,IF(R8&lt;=20,ROUNDUP((R8/8),0),IF(R8&gt;20,ROUNDUP((R8/20)+3,0)))))</f>
        <v>0</v>
      </c>
      <c r="AB23" s="30">
        <f>IF(N123&gt;0,ROUNDUP((N123/10),0),ROUNDUP((Q5/10),0))</f>
        <v>0</v>
      </c>
      <c r="AC23" s="1">
        <f>IF(N123&gt;0,ROUNDUP((N123/12),0),ROUNDUP((Q8/12),0))</f>
        <v>0</v>
      </c>
      <c r="AD23" s="1" t="s">
        <v>82</v>
      </c>
      <c r="AE23" s="36">
        <f>IF(N123&gt;0,ROUNDUP((N123/12),0),ROUNDUP((R8/12),0))</f>
        <v>0</v>
      </c>
      <c r="AF23" s="32">
        <f>ROUNDUP((Q5/100),0)</f>
        <v>0</v>
      </c>
      <c r="AG23" s="36">
        <f>ROUNDUP((Q5/150),0)</f>
        <v>0</v>
      </c>
      <c r="AH23" s="30">
        <f>ROUNDUP((Q5/8),0)</f>
        <v>0</v>
      </c>
      <c r="AI23" s="36">
        <f>ROUNDUP((Q5/8),0)</f>
        <v>0</v>
      </c>
    </row>
    <row r="24" spans="1:35" x14ac:dyDescent="0.25">
      <c r="A24" s="82"/>
      <c r="B24" s="83"/>
      <c r="C24" s="110"/>
      <c r="D24" s="111"/>
      <c r="E24" s="111"/>
      <c r="F24" s="112"/>
      <c r="G24" s="112"/>
      <c r="H24" s="112"/>
      <c r="I24" s="112"/>
      <c r="J24" s="112"/>
      <c r="K24" s="112"/>
      <c r="L24" s="112"/>
      <c r="M24" s="114"/>
      <c r="N24" s="96"/>
      <c r="O24" s="97"/>
      <c r="U24" s="5" t="s">
        <v>214</v>
      </c>
      <c r="V24" t="s">
        <v>125</v>
      </c>
      <c r="W24" s="32" t="s">
        <v>82</v>
      </c>
      <c r="X24" s="3">
        <f>IF(AND(N128&gt;0,N128&lt;=15),1,IF(AND(N128&gt;15,N128&lt;=35),2,IF(AND(N128&gt;35,N128&lt;=55),3,IF(N128&gt;55,(ROUNDUP(N128/40,0))+2,IF(AND(Q8&gt;0,Q8&lt;=15),1,IF(AND(Q8&gt;15,Q8&lt;=35),2,IF(AND(Q8&gt;35,Q8&lt;=55),3,IF(Q8&gt;55,(ROUNDUP(Q8/40,0))+2,0))))))))</f>
        <v>0</v>
      </c>
      <c r="Y24" s="3" t="s">
        <v>82</v>
      </c>
      <c r="Z24" s="3" t="s">
        <v>82</v>
      </c>
      <c r="AA24" s="31">
        <f>IF(AND(O128&gt;0,O128&lt;=15),1,IF(AND(O128&gt;15,O128&lt;=35),2,IF(AND(O128&gt;35,O128&lt;=55),3,IF(O128&gt;55,(ROUNDUP(O128/40,0))+2,IF(AND(R8&gt;0,R8&lt;=15),1,IF(AND(R8&gt;15,R8&lt;=35),2,IF(AND(R8&gt;35,R8&lt;=55),3,IF(R8&gt;55,(ROUNDUP(R8/40,0))+2,0))))))))</f>
        <v>0</v>
      </c>
      <c r="AB24" s="32" t="s">
        <v>82</v>
      </c>
      <c r="AC24" s="3">
        <f>IF(N128&gt;0,ROUNDUP((N128/40),0),ROUNDUP((Q8/40),0))</f>
        <v>0</v>
      </c>
      <c r="AD24" s="3" t="s">
        <v>82</v>
      </c>
      <c r="AE24" s="31">
        <f>IF(O128&gt;0,ROUNDUP((O128/40),0),ROUNDUP((R8/40),0))</f>
        <v>0</v>
      </c>
      <c r="AF24" s="32" t="s">
        <v>82</v>
      </c>
      <c r="AG24" s="31" t="s">
        <v>82</v>
      </c>
      <c r="AH24" s="30" t="s">
        <v>82</v>
      </c>
      <c r="AI24" s="36" t="s">
        <v>82</v>
      </c>
    </row>
    <row r="25" spans="1:35" x14ac:dyDescent="0.25">
      <c r="A25" s="82"/>
      <c r="B25" s="83"/>
      <c r="C25" s="110"/>
      <c r="D25" s="111"/>
      <c r="E25" s="111"/>
      <c r="F25" s="112"/>
      <c r="G25" s="112"/>
      <c r="H25" s="112"/>
      <c r="I25" s="112"/>
      <c r="J25" s="112"/>
      <c r="K25" s="112"/>
      <c r="L25" s="112"/>
      <c r="M25" s="114"/>
      <c r="N25" s="96"/>
      <c r="O25" s="97"/>
      <c r="U25" s="5" t="s">
        <v>126</v>
      </c>
      <c r="V25" t="s">
        <v>127</v>
      </c>
      <c r="W25" s="30">
        <f>IF(N142&gt;0,ROUNDUP((N142/10),0),ROUNDUP((Q5/10),0))</f>
        <v>0</v>
      </c>
      <c r="X25" s="1">
        <f>IF(AND(N142&gt;0,N142&lt;=20),ROUNDUP((N142/10),0),IF(N142&gt;20,ROUNDUP((N142/20),0)+3,IF(Q8&lt;=20,ROUNDUP((Q8/10),0),IF(Q8&gt;20,ROUNDUP((Q8/20)+3,0)))))</f>
        <v>0</v>
      </c>
      <c r="Y25" s="3" t="s">
        <v>82</v>
      </c>
      <c r="Z25" s="1">
        <f>IF(N142&gt;0,ROUNDUP((N142/10),0),ROUNDUP((R8/10),0))</f>
        <v>0</v>
      </c>
      <c r="AA25" s="31">
        <f>IF(AND(N142&gt;0,N142&lt;=20),ROUNDUP((N142/8),0),IF(N142&gt;20,ROUNDUP((N142/20),0)+3,IF(R8&lt;=20,ROUNDUP((R8/8),0),IF(R8&gt;20,ROUNDUP((R8/20)+3,0)))))</f>
        <v>0</v>
      </c>
      <c r="AB25" s="30">
        <f>IF(N142&gt;0,ROUNDUP((N142/10),0),ROUNDUP((Q5/10),0))</f>
        <v>0</v>
      </c>
      <c r="AC25" s="1">
        <f>IF(N142&gt;0,ROUNDUP((N142/12),0),ROUNDUP((Q8/12),0))</f>
        <v>0</v>
      </c>
      <c r="AD25" s="1" t="s">
        <v>82</v>
      </c>
      <c r="AE25" s="36">
        <f>IF(N142&gt;0,ROUNDUP((N142/12),0),ROUNDUP((R8/12),0))</f>
        <v>0</v>
      </c>
      <c r="AF25" s="32">
        <f>ROUNDUP((Q5/100),0)</f>
        <v>0</v>
      </c>
      <c r="AG25" s="36">
        <f>ROUNDUP((Q5/150),0)</f>
        <v>0</v>
      </c>
      <c r="AH25" s="30">
        <f>ROUNDUP((Q5/8),0)</f>
        <v>0</v>
      </c>
      <c r="AI25" s="36">
        <f>ROUNDUP((Q5/8),0)</f>
        <v>0</v>
      </c>
    </row>
    <row r="26" spans="1:35" x14ac:dyDescent="0.25">
      <c r="A26" s="82"/>
      <c r="B26" s="83"/>
      <c r="C26" s="110"/>
      <c r="D26" s="111"/>
      <c r="E26" s="111"/>
      <c r="F26" s="112"/>
      <c r="G26" s="112"/>
      <c r="H26" s="112"/>
      <c r="I26" s="112"/>
      <c r="J26" s="112"/>
      <c r="K26" s="112"/>
      <c r="L26" s="112"/>
      <c r="M26" s="114"/>
      <c r="N26" s="96"/>
      <c r="O26" s="97"/>
      <c r="U26" s="5" t="s">
        <v>126</v>
      </c>
      <c r="V26" t="s">
        <v>184</v>
      </c>
      <c r="W26" s="30">
        <f>IF(N156&gt;0,ROUNDUP((N156/10),0),ROUNDUP((Q5/10),0))</f>
        <v>0</v>
      </c>
      <c r="X26" s="1">
        <f>IF(AND(N156&gt;0,N156&lt;=20),ROUNDUP((N156/10),0),IF(N156&gt;20,ROUNDUP((N156/20),0)+3,IF(Q8&lt;=20,ROUNDUP((Q8/10),0),IF(Q8&gt;20,ROUNDUP((Q8/20)+3,0)))))</f>
        <v>0</v>
      </c>
      <c r="Y26" s="3" t="s">
        <v>82</v>
      </c>
      <c r="Z26" s="1">
        <f>IF(N156&gt;0,ROUNDUP((N156/10),0),ROUNDUP((R8/10),0))</f>
        <v>0</v>
      </c>
      <c r="AA26" s="31">
        <f>IF(N156&lt;=20,ROUNDUP((N156/8),0),IF(N156&gt;20,ROUNDUP((N156/20)+3,IF(R8&lt;=20,ROUNDUP((R8/8),0),IF(R8&gt;20,ROUNDUP((R8/20)+3,0))))))</f>
        <v>0</v>
      </c>
      <c r="AB26" s="30">
        <f>IF(N156&gt;0,ROUNDUP((N156/10),0),ROUNDUP((Q5/10),0))</f>
        <v>0</v>
      </c>
      <c r="AC26" s="1">
        <f>IF(N156&gt;0,ROUNDUP((N156/12),0),ROUNDUP((Q8/12),0))</f>
        <v>0</v>
      </c>
      <c r="AD26" s="1" t="s">
        <v>82</v>
      </c>
      <c r="AE26" s="36">
        <f>IF(N156&gt;0,ROUNDUP((N156/12),0),ROUNDUP((R8/12),0))</f>
        <v>0</v>
      </c>
      <c r="AF26" s="32">
        <f>ROUNDUP((Q5/100),0)</f>
        <v>0</v>
      </c>
      <c r="AG26" s="36">
        <f>ROUNDUP((Q5/150),0)</f>
        <v>0</v>
      </c>
      <c r="AH26" s="30">
        <f>ROUNDUP((Q5/8),0)</f>
        <v>0</v>
      </c>
      <c r="AI26" s="36">
        <f>ROUNDUP((Q5/8),0)</f>
        <v>0</v>
      </c>
    </row>
    <row r="27" spans="1:35" ht="15.75" thickBot="1" x14ac:dyDescent="0.3">
      <c r="A27" s="82"/>
      <c r="B27" s="83"/>
      <c r="C27" s="110"/>
      <c r="D27" s="111"/>
      <c r="E27" s="111"/>
      <c r="F27" s="112"/>
      <c r="G27" s="112"/>
      <c r="H27" s="112"/>
      <c r="I27" s="112"/>
      <c r="J27" s="112"/>
      <c r="K27" s="112"/>
      <c r="L27" s="112"/>
      <c r="M27" s="114"/>
      <c r="N27" s="96"/>
      <c r="O27" s="97"/>
      <c r="U27" s="5" t="s">
        <v>128</v>
      </c>
      <c r="V27" t="s">
        <v>129</v>
      </c>
      <c r="W27" s="33">
        <f>IF(N159&gt;0,ROUNDUP((N159/100),0),ROUNDUP((Q5/100),0))</f>
        <v>0</v>
      </c>
      <c r="X27" s="34">
        <f>IF(AND(N159&gt;0,N159&lt;=100),1,IF(AND(N159&gt;100,N159&lt;=200),2,IF(AND(N159&gt;200,N159&lt;=400),3,IF(N159&gt;400,(ROUNDUP(N159/500,0))+3,IF(AND(Q8&gt;0,Q8&lt;=100),1,IF(AND(Q8&gt;100,Q8&lt;=200),2,IF(AND(Q8&gt;200,Q8&lt;=400),3,IF(Q8&gt;400,(ROUNDUP(Q8/500,0))+3,0))))))))</f>
        <v>0</v>
      </c>
      <c r="Y27" s="34" t="s">
        <v>82</v>
      </c>
      <c r="Z27" s="34">
        <f>IF(N159&gt;0,ROUNDUP((N159/100),0),ROUNDUP((R8/100),0))</f>
        <v>0</v>
      </c>
      <c r="AA27" s="35">
        <f>IF(AND(N159&gt;0,N159&lt;=100),1,IF(AND(N159&gt;100,N159&lt;=200),2,IF(AND(N159&gt;200,N159&lt;=400),3,IF(N159&gt;400,(ROUNDUP(N159/500,0))+3,IF(AND(R8&gt;0,R8&lt;=100),1,IF(AND(R8&gt;100,R8&lt;=200),2,IF(AND(R8&gt;200,R8&lt;=400),3,IF(R8&gt;400,(ROUNDUP(R8/500,0))+3,0))))))))</f>
        <v>0</v>
      </c>
      <c r="AB27" s="33">
        <f>IF(N159&gt;0,ROUNDUP((N159/100),0),ROUNDUP((Q5/100),0))</f>
        <v>0</v>
      </c>
      <c r="AC27" s="34">
        <f>IF(AND(N159&gt;0,N159&lt;=200),1,IF(AND(N159&gt;200,N159&lt;=400),2,IF(AND(N159&gt;400,N159&lt;=750),3,IF(N159&gt;750,(ROUNDUP(N159/500,1))+2,IF(AND(Q8&gt;0,Q8&lt;=200),1,IF(AND(Q8&gt;200,Q8&lt;=400),2,IF(AND(Q8&gt;400,Q8&lt;=750),3,IF(Q8&gt;750,(ROUNDUP(Q8/500,1))+2,0))))))))</f>
        <v>0</v>
      </c>
      <c r="AD27" s="34" t="s">
        <v>82</v>
      </c>
      <c r="AE27" s="35">
        <f>IF(AND(N159&gt;0,N159&lt;=200),1,IF(AND(N159&gt;200,N159&lt;=400),2,IF(AND(N159&gt;400,N159&lt;=750),3,IF(N159&gt;750,(ROUNDUP(N159/500,1))+2,IF(AND(R8&gt;0,R8&lt;=200),1,IF(AND(R8&gt;200,R8&lt;=400),2,IF(AND(R8&gt;400,R8&lt;=750),3,IF(R8&gt;750,(ROUNDUP(R8/500,1))+2,0))))))))</f>
        <v>0</v>
      </c>
      <c r="AF27" s="33">
        <f>ROUNDUP((Q5/1000),0)</f>
        <v>0</v>
      </c>
      <c r="AG27" s="37">
        <f>IF(AND(Q5&gt;0,Q5&lt;=250),1,IF(AND(Q5&gt;250,Q5&lt;=500),2,IF(AND(Q5&gt;500,Q5&lt;=750),3,IF(Q5&gt;750,(ROUNDUP(Q5/500,0)+2),0))))</f>
        <v>0</v>
      </c>
      <c r="AH27" s="38" t="s">
        <v>110</v>
      </c>
      <c r="AI27" s="37" t="s">
        <v>82</v>
      </c>
    </row>
    <row r="28" spans="1:35" x14ac:dyDescent="0.25">
      <c r="A28" s="82"/>
      <c r="B28" s="83"/>
      <c r="C28" s="110"/>
      <c r="D28" s="111"/>
      <c r="E28" s="111"/>
      <c r="F28" s="112"/>
      <c r="G28" s="112"/>
      <c r="H28" s="112"/>
      <c r="I28" s="112"/>
      <c r="J28" s="112"/>
      <c r="K28" s="112"/>
      <c r="L28" s="112"/>
      <c r="M28" s="98"/>
      <c r="N28" s="96"/>
      <c r="O28" s="97"/>
    </row>
    <row r="29" spans="1:35" ht="14.45" customHeight="1" x14ac:dyDescent="0.25">
      <c r="A29" s="82"/>
      <c r="B29" s="83"/>
      <c r="C29" s="110"/>
      <c r="D29" s="111" t="s">
        <v>130</v>
      </c>
      <c r="E29" s="111"/>
      <c r="F29" s="112" t="str">
        <f>IF(AND(OR(N29&gt;0,O29&gt;0),N29+O29&lt;=15),"Single restroom okay for 15 or less (IPC 403.2(2))",IF(Q5&lt;=15,"Single restroom okay for 15 or less (IPC 403.2(2))",W8))</f>
        <v>Single restroom okay for 15 or less (IPC 403.2(2))</v>
      </c>
      <c r="G29" s="112" t="str">
        <f>IF(F29="Single restroom okay for 15 or less (IPC 403.2(2))","-",Z8)</f>
        <v>-</v>
      </c>
      <c r="H29" s="112" t="s">
        <v>480</v>
      </c>
      <c r="I29" s="112">
        <f>AB8</f>
        <v>0</v>
      </c>
      <c r="J29" s="112">
        <f>AD8</f>
        <v>0</v>
      </c>
      <c r="K29" s="112" t="s">
        <v>82</v>
      </c>
      <c r="L29" s="112" t="str">
        <f>IF(F29="Single restroom okay for 15 or less (IPC 403.2(2))","15 or less Fountain exempt(IPC 410.2)",AF8)</f>
        <v>15 or less Fountain exempt(IPC 410.2)</v>
      </c>
      <c r="M29" s="114" t="s">
        <v>83</v>
      </c>
      <c r="N29" s="96">
        <v>0</v>
      </c>
      <c r="O29" s="97">
        <v>0</v>
      </c>
    </row>
    <row r="30" spans="1:35" x14ac:dyDescent="0.25">
      <c r="A30" s="82"/>
      <c r="B30" s="83"/>
      <c r="C30" s="110"/>
      <c r="D30" s="111"/>
      <c r="E30" s="111"/>
      <c r="F30" s="112"/>
      <c r="G30" s="112"/>
      <c r="H30" s="112"/>
      <c r="I30" s="112"/>
      <c r="J30" s="112"/>
      <c r="K30" s="112"/>
      <c r="L30" s="112"/>
      <c r="M30" s="114"/>
      <c r="N30" s="96"/>
      <c r="O30" s="97"/>
    </row>
    <row r="31" spans="1:35" x14ac:dyDescent="0.25">
      <c r="A31" s="82"/>
      <c r="B31" s="83"/>
      <c r="C31" s="110"/>
      <c r="D31" s="111"/>
      <c r="E31" s="111"/>
      <c r="F31" s="112"/>
      <c r="G31" s="112"/>
      <c r="H31" s="112"/>
      <c r="I31" s="112"/>
      <c r="J31" s="112"/>
      <c r="K31" s="112"/>
      <c r="L31" s="112"/>
      <c r="M31" s="114"/>
      <c r="N31" s="96"/>
      <c r="O31" s="97"/>
    </row>
    <row r="32" spans="1:35" ht="14.45" customHeight="1" x14ac:dyDescent="0.25">
      <c r="A32" s="82"/>
      <c r="B32" s="83"/>
      <c r="C32" s="110"/>
      <c r="D32" s="111"/>
      <c r="E32" s="111"/>
      <c r="F32" s="112"/>
      <c r="G32" s="112"/>
      <c r="H32" s="112"/>
      <c r="I32" s="112"/>
      <c r="J32" s="112"/>
      <c r="K32" s="112"/>
      <c r="L32" s="112"/>
      <c r="M32" s="114"/>
      <c r="N32" s="96"/>
      <c r="O32" s="97"/>
    </row>
    <row r="33" spans="1:16" x14ac:dyDescent="0.25">
      <c r="A33" s="82"/>
      <c r="B33" s="83"/>
      <c r="C33" s="110"/>
      <c r="D33" s="111"/>
      <c r="E33" s="111"/>
      <c r="F33" s="112"/>
      <c r="G33" s="112"/>
      <c r="H33" s="112"/>
      <c r="I33" s="112"/>
      <c r="J33" s="112"/>
      <c r="K33" s="112"/>
      <c r="L33" s="112"/>
      <c r="M33" s="114"/>
      <c r="N33" s="96"/>
      <c r="O33" s="97"/>
    </row>
    <row r="34" spans="1:16" x14ac:dyDescent="0.25">
      <c r="A34" s="82"/>
      <c r="B34" s="83"/>
      <c r="C34" s="110"/>
      <c r="D34" s="111"/>
      <c r="E34" s="111"/>
      <c r="F34" s="112"/>
      <c r="G34" s="112"/>
      <c r="H34" s="112"/>
      <c r="I34" s="112"/>
      <c r="J34" s="112"/>
      <c r="K34" s="112"/>
      <c r="L34" s="112"/>
      <c r="M34" s="114"/>
      <c r="N34" s="96"/>
      <c r="O34" s="97"/>
    </row>
    <row r="35" spans="1:16" ht="14.45" customHeight="1" x14ac:dyDescent="0.25">
      <c r="A35" s="82"/>
      <c r="B35" s="83"/>
      <c r="C35" s="110"/>
      <c r="D35" s="111" t="s">
        <v>131</v>
      </c>
      <c r="E35" s="111"/>
      <c r="F35" s="112" t="str">
        <f>IF(AND(OR(N35&gt;0,O35&gt;0),N35+O35&lt;=15),"Single restroom okay for 15 or less (IPC 403.2(2))",IF(Q5&lt;=15,"Single restroom okay for 15 or less (IPC 403.2(2))",W9))</f>
        <v>Single restroom okay for 15 or less (IPC 403.2(2))</v>
      </c>
      <c r="G35" s="112" t="str">
        <f>IF(F35="Single restroom okay for 15 or less (IPC 403.2(2))","-",Z9)</f>
        <v>-</v>
      </c>
      <c r="H35" s="112" t="s">
        <v>480</v>
      </c>
      <c r="I35" s="112">
        <f>AB9</f>
        <v>0</v>
      </c>
      <c r="J35" s="112">
        <f>AD9</f>
        <v>0</v>
      </c>
      <c r="K35" s="112" t="s">
        <v>82</v>
      </c>
      <c r="L35" s="112" t="str">
        <f>IF(F35="Single restroom okay for 15 or less (IPC 403.2(2))","15 or less Fountain exempt(IPC 410.2)",AF9)</f>
        <v>15 or less Fountain exempt(IPC 410.2)</v>
      </c>
      <c r="M35" s="121" t="s">
        <v>83</v>
      </c>
      <c r="N35" s="96">
        <v>0</v>
      </c>
      <c r="O35" s="97">
        <v>0</v>
      </c>
    </row>
    <row r="36" spans="1:16" x14ac:dyDescent="0.25">
      <c r="A36" s="82"/>
      <c r="B36" s="83"/>
      <c r="C36" s="110"/>
      <c r="D36" s="111"/>
      <c r="E36" s="111"/>
      <c r="F36" s="112"/>
      <c r="G36" s="112"/>
      <c r="H36" s="112"/>
      <c r="I36" s="112"/>
      <c r="J36" s="112"/>
      <c r="K36" s="112"/>
      <c r="L36" s="112"/>
      <c r="M36" s="114"/>
      <c r="N36" s="96"/>
      <c r="O36" s="97"/>
    </row>
    <row r="37" spans="1:16" x14ac:dyDescent="0.25">
      <c r="A37" s="82"/>
      <c r="B37" s="83"/>
      <c r="C37" s="110"/>
      <c r="D37" s="111"/>
      <c r="E37" s="111"/>
      <c r="F37" s="112"/>
      <c r="G37" s="112"/>
      <c r="H37" s="112"/>
      <c r="I37" s="112"/>
      <c r="J37" s="112"/>
      <c r="K37" s="112"/>
      <c r="L37" s="112"/>
      <c r="M37" s="114"/>
      <c r="N37" s="96"/>
      <c r="O37" s="97"/>
    </row>
    <row r="38" spans="1:16" x14ac:dyDescent="0.25">
      <c r="A38" s="82"/>
      <c r="B38" s="83"/>
      <c r="C38" s="110"/>
      <c r="D38" s="111"/>
      <c r="E38" s="111"/>
      <c r="F38" s="112"/>
      <c r="G38" s="112"/>
      <c r="H38" s="112"/>
      <c r="I38" s="112"/>
      <c r="J38" s="112"/>
      <c r="K38" s="112"/>
      <c r="L38" s="112"/>
      <c r="M38" s="114"/>
      <c r="N38" s="96"/>
      <c r="O38" s="97"/>
    </row>
    <row r="39" spans="1:16" x14ac:dyDescent="0.25">
      <c r="A39" s="82"/>
      <c r="B39" s="83"/>
      <c r="C39" s="110"/>
      <c r="D39" s="111"/>
      <c r="E39" s="111"/>
      <c r="F39" s="112"/>
      <c r="G39" s="112"/>
      <c r="H39" s="112"/>
      <c r="I39" s="112"/>
      <c r="J39" s="112"/>
      <c r="K39" s="112"/>
      <c r="L39" s="112"/>
      <c r="M39" s="114"/>
      <c r="N39" s="96"/>
      <c r="O39" s="97"/>
    </row>
    <row r="40" spans="1:16" x14ac:dyDescent="0.25">
      <c r="A40" s="82"/>
      <c r="B40" s="83"/>
      <c r="C40" s="110"/>
      <c r="D40" s="111"/>
      <c r="E40" s="111"/>
      <c r="F40" s="112"/>
      <c r="G40" s="112"/>
      <c r="H40" s="112"/>
      <c r="I40" s="112"/>
      <c r="J40" s="112"/>
      <c r="K40" s="112"/>
      <c r="L40" s="112"/>
      <c r="M40" s="98"/>
      <c r="N40" s="96"/>
      <c r="O40" s="97"/>
    </row>
    <row r="41" spans="1:16" x14ac:dyDescent="0.25">
      <c r="A41" s="82"/>
      <c r="B41" s="83"/>
      <c r="C41" s="110"/>
      <c r="D41" s="111" t="s">
        <v>132</v>
      </c>
      <c r="E41" s="111"/>
      <c r="F41" s="112" t="str">
        <f>IF(AND(OR(N41&gt;0,O41&gt;0),N41+O41&lt;=15),"Single restroom okay for 15 or less (IPC 403.2(2))",IF(Q5&lt;=15,"Single restroom okay for 15 or less (IPC 403.2(2))",W10))</f>
        <v>Single restroom okay for 15 or less (IPC 403.2(2))</v>
      </c>
      <c r="G41" s="112" t="str">
        <f>IF(F41="Single restroom okay for 15 or less (IPC 403.2(2))","-",Z10)</f>
        <v>-</v>
      </c>
      <c r="H41" s="112" t="s">
        <v>480</v>
      </c>
      <c r="I41" s="112">
        <f>AB10</f>
        <v>0</v>
      </c>
      <c r="J41" s="112">
        <f>AD10</f>
        <v>0</v>
      </c>
      <c r="K41" s="112" t="s">
        <v>82</v>
      </c>
      <c r="L41" s="112" t="str">
        <f>IF(F41="Single restroom okay for 15 or less (IPC 403.2(2))","15 or less Fountain exempt(IPC 410.2)",AF10)</f>
        <v>15 or less Fountain exempt(IPC 410.2)</v>
      </c>
      <c r="M41" s="114" t="s">
        <v>83</v>
      </c>
      <c r="N41" s="96">
        <v>0</v>
      </c>
      <c r="O41" s="97">
        <v>0</v>
      </c>
      <c r="P41" s="7"/>
    </row>
    <row r="42" spans="1:16" x14ac:dyDescent="0.25">
      <c r="A42" s="82"/>
      <c r="B42" s="83"/>
      <c r="C42" s="110"/>
      <c r="D42" s="111"/>
      <c r="E42" s="111"/>
      <c r="F42" s="112"/>
      <c r="G42" s="112"/>
      <c r="H42" s="112"/>
      <c r="I42" s="112"/>
      <c r="J42" s="112"/>
      <c r="K42" s="112"/>
      <c r="L42" s="112"/>
      <c r="M42" s="114"/>
      <c r="N42" s="96"/>
      <c r="O42" s="97"/>
      <c r="P42" s="7"/>
    </row>
    <row r="43" spans="1:16" ht="14.45" customHeight="1" x14ac:dyDescent="0.25">
      <c r="A43" s="82"/>
      <c r="B43" s="83"/>
      <c r="C43" s="110"/>
      <c r="D43" s="111"/>
      <c r="E43" s="111"/>
      <c r="F43" s="112"/>
      <c r="G43" s="112"/>
      <c r="H43" s="112"/>
      <c r="I43" s="112"/>
      <c r="J43" s="112"/>
      <c r="K43" s="112"/>
      <c r="L43" s="112"/>
      <c r="M43" s="114"/>
      <c r="N43" s="96"/>
      <c r="O43" s="97"/>
      <c r="P43" s="7"/>
    </row>
    <row r="44" spans="1:16" x14ac:dyDescent="0.25">
      <c r="A44" s="82"/>
      <c r="B44" s="83"/>
      <c r="C44" s="110"/>
      <c r="D44" s="111"/>
      <c r="E44" s="111"/>
      <c r="F44" s="112"/>
      <c r="G44" s="112"/>
      <c r="H44" s="112"/>
      <c r="I44" s="112"/>
      <c r="J44" s="112"/>
      <c r="K44" s="112"/>
      <c r="L44" s="112"/>
      <c r="M44" s="114"/>
      <c r="N44" s="96"/>
      <c r="O44" s="97"/>
      <c r="P44" s="7"/>
    </row>
    <row r="45" spans="1:16" x14ac:dyDescent="0.25">
      <c r="A45" s="82"/>
      <c r="B45" s="83"/>
      <c r="C45" s="110"/>
      <c r="D45" s="111"/>
      <c r="E45" s="111"/>
      <c r="F45" s="112"/>
      <c r="G45" s="112"/>
      <c r="H45" s="112"/>
      <c r="I45" s="112"/>
      <c r="J45" s="112"/>
      <c r="K45" s="112"/>
      <c r="L45" s="112"/>
      <c r="M45" s="114"/>
      <c r="N45" s="96"/>
      <c r="O45" s="97"/>
      <c r="P45" s="7"/>
    </row>
    <row r="46" spans="1:16" x14ac:dyDescent="0.25">
      <c r="A46" s="82"/>
      <c r="B46" s="83"/>
      <c r="C46" s="110"/>
      <c r="D46" s="111"/>
      <c r="E46" s="111"/>
      <c r="F46" s="112"/>
      <c r="G46" s="112"/>
      <c r="H46" s="112"/>
      <c r="I46" s="112"/>
      <c r="J46" s="112"/>
      <c r="K46" s="112"/>
      <c r="L46" s="112"/>
      <c r="M46" s="114"/>
      <c r="N46" s="96"/>
      <c r="O46" s="97"/>
      <c r="P46" s="7"/>
    </row>
    <row r="47" spans="1:16" ht="14.45" customHeight="1" x14ac:dyDescent="0.25">
      <c r="A47" s="82"/>
      <c r="B47" s="83"/>
      <c r="C47" s="110" t="s">
        <v>133</v>
      </c>
      <c r="D47" s="111" t="s">
        <v>134</v>
      </c>
      <c r="E47" s="111"/>
      <c r="F47" s="112" t="str">
        <f>IF(AND(OR(N47&gt;0,O47&gt;0),N47+O47&lt;=15),"Single restroom okay for 15 or less (IPC 403.2(2))",IF(Q5&lt;=15,"Single restroom okay for 15 or less (IPC 403.2(2))",W11))</f>
        <v>Single restroom okay for 15 or less (IPC 403.2(2))</v>
      </c>
      <c r="G47" s="112" t="str">
        <f>IF(F47="Single restroom okay for 15 or less (IPC 403.2(2))","-",Z11)</f>
        <v>-</v>
      </c>
      <c r="H47" s="112" t="s">
        <v>480</v>
      </c>
      <c r="I47" s="112">
        <f>AB11</f>
        <v>0</v>
      </c>
      <c r="J47" s="112">
        <f>AD11</f>
        <v>0</v>
      </c>
      <c r="K47" s="112" t="s">
        <v>82</v>
      </c>
      <c r="L47" s="112" t="str">
        <f>IF(F47="Single restroom okay for 15 or less (IPC 403.2(2))","15 or less Fountain exempt(IPC 410.2)",AF11)</f>
        <v>15 or less Fountain exempt(IPC 410.2)</v>
      </c>
      <c r="M47" s="121" t="s">
        <v>83</v>
      </c>
      <c r="N47" s="96">
        <v>0</v>
      </c>
      <c r="O47" s="97">
        <v>0</v>
      </c>
      <c r="P47" s="7"/>
    </row>
    <row r="48" spans="1:16" x14ac:dyDescent="0.25">
      <c r="A48" s="82"/>
      <c r="B48" s="83"/>
      <c r="C48" s="110"/>
      <c r="D48" s="111"/>
      <c r="E48" s="111"/>
      <c r="F48" s="112"/>
      <c r="G48" s="112"/>
      <c r="H48" s="112"/>
      <c r="I48" s="112"/>
      <c r="J48" s="112"/>
      <c r="K48" s="112"/>
      <c r="L48" s="112"/>
      <c r="M48" s="114"/>
      <c r="N48" s="96"/>
      <c r="O48" s="97"/>
      <c r="P48" s="7"/>
    </row>
    <row r="49" spans="1:17" x14ac:dyDescent="0.25">
      <c r="A49" s="82"/>
      <c r="B49" s="83"/>
      <c r="C49" s="110"/>
      <c r="D49" s="111"/>
      <c r="E49" s="111"/>
      <c r="F49" s="112"/>
      <c r="G49" s="112"/>
      <c r="H49" s="112"/>
      <c r="I49" s="112"/>
      <c r="J49" s="112"/>
      <c r="K49" s="112"/>
      <c r="L49" s="112"/>
      <c r="M49" s="114"/>
      <c r="N49" s="96"/>
      <c r="O49" s="97"/>
      <c r="P49" s="7"/>
    </row>
    <row r="50" spans="1:17" x14ac:dyDescent="0.25">
      <c r="A50" s="82"/>
      <c r="B50" s="83"/>
      <c r="C50" s="110"/>
      <c r="D50" s="111"/>
      <c r="E50" s="111"/>
      <c r="F50" s="112"/>
      <c r="G50" s="112"/>
      <c r="H50" s="112"/>
      <c r="I50" s="112"/>
      <c r="J50" s="112"/>
      <c r="K50" s="112"/>
      <c r="L50" s="112"/>
      <c r="M50" s="114"/>
      <c r="N50" s="96"/>
      <c r="O50" s="97"/>
      <c r="P50" s="7"/>
    </row>
    <row r="51" spans="1:17" x14ac:dyDescent="0.25">
      <c r="A51" s="82"/>
      <c r="B51" s="83"/>
      <c r="C51" s="110"/>
      <c r="D51" s="111"/>
      <c r="E51" s="111"/>
      <c r="F51" s="112"/>
      <c r="G51" s="112"/>
      <c r="H51" s="112"/>
      <c r="I51" s="112"/>
      <c r="J51" s="112"/>
      <c r="K51" s="112"/>
      <c r="L51" s="112"/>
      <c r="M51" s="114"/>
      <c r="N51" s="96"/>
      <c r="O51" s="97"/>
      <c r="P51" s="7"/>
      <c r="Q51" s="39"/>
    </row>
    <row r="52" spans="1:17" x14ac:dyDescent="0.25">
      <c r="A52" s="82"/>
      <c r="B52" s="83"/>
      <c r="C52" s="110"/>
      <c r="D52" s="111"/>
      <c r="E52" s="111"/>
      <c r="F52" s="112"/>
      <c r="G52" s="112"/>
      <c r="H52" s="112"/>
      <c r="I52" s="112"/>
      <c r="J52" s="112"/>
      <c r="K52" s="112"/>
      <c r="L52" s="112"/>
      <c r="M52" s="114"/>
      <c r="N52" s="96"/>
      <c r="O52" s="97"/>
    </row>
    <row r="53" spans="1:17" ht="14.45" customHeight="1" x14ac:dyDescent="0.25">
      <c r="A53" s="82"/>
      <c r="B53" s="83"/>
      <c r="C53" s="128" t="s">
        <v>135</v>
      </c>
      <c r="D53" s="111" t="s">
        <v>136</v>
      </c>
      <c r="E53" s="111"/>
      <c r="F53" s="112" t="str">
        <f>IF(AND(OR(N53&gt;0,O53&gt;0),N53+O53&lt;=15),"Single restroom okay for 15 or less (IPC 403.2(2))",IF(Q5&lt;=15,"Single restroom okay for 15 or less (IPC 403.2(2))",W12))</f>
        <v>Single restroom okay for 15 or less (IPC 403.2(2))</v>
      </c>
      <c r="G53" s="112" t="str">
        <f>IF(F53="Single restroom okay for 15 or less (IPC 403.2(2))","-",Z12)</f>
        <v>-</v>
      </c>
      <c r="H53" s="112" t="s">
        <v>480</v>
      </c>
      <c r="I53" s="112">
        <f>AB12</f>
        <v>0</v>
      </c>
      <c r="J53" s="112">
        <f>AD12</f>
        <v>0</v>
      </c>
      <c r="K53" s="112" t="s">
        <v>82</v>
      </c>
      <c r="L53" s="112" t="str">
        <f>IF(F53="Single restroom okay for 15 or less (IPC 403.2(2))","15 or less Fountain exempt(IPC 410.2)",AF12)</f>
        <v>15 or less Fountain exempt(IPC 410.2)</v>
      </c>
      <c r="M53" s="114" t="s">
        <v>83</v>
      </c>
      <c r="N53" s="96">
        <v>0</v>
      </c>
      <c r="O53" s="97">
        <v>0</v>
      </c>
    </row>
    <row r="54" spans="1:17" x14ac:dyDescent="0.25">
      <c r="A54" s="82"/>
      <c r="B54" s="83"/>
      <c r="C54" s="128"/>
      <c r="D54" s="111"/>
      <c r="E54" s="111"/>
      <c r="F54" s="112"/>
      <c r="G54" s="112"/>
      <c r="H54" s="112"/>
      <c r="I54" s="112"/>
      <c r="J54" s="112"/>
      <c r="K54" s="112"/>
      <c r="L54" s="112"/>
      <c r="M54" s="114"/>
      <c r="N54" s="96"/>
      <c r="O54" s="97"/>
    </row>
    <row r="55" spans="1:17" x14ac:dyDescent="0.25">
      <c r="A55" s="82"/>
      <c r="B55" s="83"/>
      <c r="C55" s="128"/>
      <c r="D55" s="111"/>
      <c r="E55" s="111"/>
      <c r="F55" s="112"/>
      <c r="G55" s="112"/>
      <c r="H55" s="112"/>
      <c r="I55" s="112"/>
      <c r="J55" s="112"/>
      <c r="K55" s="112"/>
      <c r="L55" s="112"/>
      <c r="M55" s="114"/>
      <c r="N55" s="96"/>
      <c r="O55" s="97"/>
    </row>
    <row r="56" spans="1:17" x14ac:dyDescent="0.25">
      <c r="A56" s="82"/>
      <c r="B56" s="83"/>
      <c r="C56" s="128"/>
      <c r="D56" s="111"/>
      <c r="E56" s="111"/>
      <c r="F56" s="112"/>
      <c r="G56" s="112"/>
      <c r="H56" s="112"/>
      <c r="I56" s="112"/>
      <c r="J56" s="112"/>
      <c r="K56" s="112"/>
      <c r="L56" s="112"/>
      <c r="M56" s="114"/>
      <c r="N56" s="96"/>
      <c r="O56" s="97"/>
    </row>
    <row r="57" spans="1:17" x14ac:dyDescent="0.25">
      <c r="A57" s="82"/>
      <c r="B57" s="83"/>
      <c r="C57" s="128"/>
      <c r="D57" s="111"/>
      <c r="E57" s="111"/>
      <c r="F57" s="112"/>
      <c r="G57" s="112"/>
      <c r="H57" s="112"/>
      <c r="I57" s="112"/>
      <c r="J57" s="112"/>
      <c r="K57" s="112"/>
      <c r="L57" s="112"/>
      <c r="M57" s="114"/>
      <c r="N57" s="96"/>
      <c r="O57" s="97"/>
    </row>
    <row r="58" spans="1:17" x14ac:dyDescent="0.25">
      <c r="A58" s="82"/>
      <c r="B58" s="83"/>
      <c r="C58" s="128"/>
      <c r="D58" s="111"/>
      <c r="E58" s="111"/>
      <c r="F58" s="112"/>
      <c r="G58" s="112"/>
      <c r="H58" s="112"/>
      <c r="I58" s="112"/>
      <c r="J58" s="112"/>
      <c r="K58" s="112"/>
      <c r="L58" s="112"/>
      <c r="M58" s="114"/>
      <c r="N58" s="96"/>
      <c r="O58" s="97"/>
    </row>
    <row r="59" spans="1:17" ht="14.45" customHeight="1" thickBot="1" x14ac:dyDescent="0.3">
      <c r="A59" s="84"/>
      <c r="B59" s="85"/>
      <c r="C59" s="128"/>
      <c r="D59" s="111"/>
      <c r="E59" s="111"/>
      <c r="F59" s="112"/>
      <c r="G59" s="112"/>
      <c r="H59" s="112"/>
      <c r="I59" s="112"/>
      <c r="J59" s="112"/>
      <c r="K59" s="112"/>
      <c r="L59" s="112"/>
      <c r="M59" s="114"/>
      <c r="N59" s="96"/>
      <c r="O59" s="97"/>
    </row>
    <row r="60" spans="1:17" x14ac:dyDescent="0.25">
      <c r="A60" s="122" t="s">
        <v>137</v>
      </c>
      <c r="B60" s="123"/>
      <c r="C60" s="130" t="s">
        <v>138</v>
      </c>
      <c r="D60" s="131" t="s">
        <v>139</v>
      </c>
      <c r="E60" s="131"/>
      <c r="F60" s="129" t="str">
        <f>IF(AND(OR(N60&gt;0,O60&gt;0),N60+O60&lt;=15),"Single restroom okay for 15 or less (IPC 403.2(2))",IF(Q5&lt;=15,"Single restroom okay for 15 or less (IPC 403.2(2))",W13))</f>
        <v>Single restroom okay for 15 or less (IPC 403.2(2))</v>
      </c>
      <c r="G60" s="129" t="str">
        <f>IF(F60="Single restroom okay for 15 or less (IPC 403.2(2))","-",Z13)</f>
        <v>-</v>
      </c>
      <c r="H60" s="129" t="s">
        <v>217</v>
      </c>
      <c r="I60" s="129">
        <f>AB13</f>
        <v>0</v>
      </c>
      <c r="J60" s="129">
        <f>AD13</f>
        <v>0</v>
      </c>
      <c r="K60" s="129" t="s">
        <v>82</v>
      </c>
      <c r="L60" s="129" t="str">
        <f>IF(F60="Single restroom okay for 15 or less (IPC 403.2(2))","15 or less Fountain exempt(IPC 410.2)",AF13)</f>
        <v>15 or less Fountain exempt(IPC 410.2)</v>
      </c>
      <c r="M60" s="114" t="str">
        <f>IF(F60="Single restroom okay for 15 or less (IPC 403.2(2))","15 or less Service sink exempt (IPC 403.1(e))","1 service sink")</f>
        <v>15 or less Service sink exempt (IPC 403.1(e))</v>
      </c>
      <c r="N60" s="96">
        <v>0</v>
      </c>
      <c r="O60" s="97">
        <v>0</v>
      </c>
    </row>
    <row r="61" spans="1:17" ht="14.45" customHeight="1" x14ac:dyDescent="0.25">
      <c r="A61" s="124"/>
      <c r="B61" s="125"/>
      <c r="C61" s="128"/>
      <c r="D61" s="111"/>
      <c r="E61" s="111"/>
      <c r="F61" s="112"/>
      <c r="G61" s="112"/>
      <c r="H61" s="112"/>
      <c r="I61" s="112"/>
      <c r="J61" s="112"/>
      <c r="K61" s="112"/>
      <c r="L61" s="112"/>
      <c r="M61" s="114"/>
      <c r="N61" s="96"/>
      <c r="O61" s="97"/>
    </row>
    <row r="62" spans="1:17" x14ac:dyDescent="0.25">
      <c r="A62" s="124"/>
      <c r="B62" s="125"/>
      <c r="C62" s="128"/>
      <c r="D62" s="111"/>
      <c r="E62" s="111"/>
      <c r="F62" s="112"/>
      <c r="G62" s="112"/>
      <c r="H62" s="112"/>
      <c r="I62" s="112"/>
      <c r="J62" s="112"/>
      <c r="K62" s="112"/>
      <c r="L62" s="112"/>
      <c r="M62" s="114"/>
      <c r="N62" s="96"/>
      <c r="O62" s="97"/>
    </row>
    <row r="63" spans="1:17" x14ac:dyDescent="0.25">
      <c r="A63" s="124"/>
      <c r="B63" s="125"/>
      <c r="C63" s="128"/>
      <c r="D63" s="111"/>
      <c r="E63" s="111"/>
      <c r="F63" s="112"/>
      <c r="G63" s="112"/>
      <c r="H63" s="112"/>
      <c r="I63" s="112"/>
      <c r="J63" s="112"/>
      <c r="K63" s="112"/>
      <c r="L63" s="112"/>
      <c r="M63" s="114"/>
      <c r="N63" s="96"/>
      <c r="O63" s="97"/>
    </row>
    <row r="64" spans="1:17" x14ac:dyDescent="0.25">
      <c r="A64" s="124"/>
      <c r="B64" s="125"/>
      <c r="C64" s="128"/>
      <c r="D64" s="111"/>
      <c r="E64" s="111"/>
      <c r="F64" s="112"/>
      <c r="G64" s="112"/>
      <c r="H64" s="112"/>
      <c r="I64" s="112"/>
      <c r="J64" s="112"/>
      <c r="K64" s="112"/>
      <c r="L64" s="112"/>
      <c r="M64" s="114"/>
      <c r="N64" s="96"/>
      <c r="O64" s="97"/>
    </row>
    <row r="65" spans="1:25" x14ac:dyDescent="0.25">
      <c r="A65" s="124"/>
      <c r="B65" s="125"/>
      <c r="C65" s="128"/>
      <c r="D65" s="111"/>
      <c r="E65" s="111"/>
      <c r="F65" s="112"/>
      <c r="G65" s="112"/>
      <c r="H65" s="112"/>
      <c r="I65" s="112"/>
      <c r="J65" s="112"/>
      <c r="K65" s="112"/>
      <c r="L65" s="112"/>
      <c r="M65" s="114"/>
      <c r="N65" s="96"/>
      <c r="O65" s="97"/>
    </row>
    <row r="66" spans="1:25" x14ac:dyDescent="0.25">
      <c r="A66" s="124"/>
      <c r="B66" s="125"/>
      <c r="C66" s="128"/>
      <c r="D66" s="111"/>
      <c r="E66" s="111"/>
      <c r="F66" s="112"/>
      <c r="G66" s="112"/>
      <c r="H66" s="112"/>
      <c r="I66" s="112"/>
      <c r="J66" s="112"/>
      <c r="K66" s="112"/>
      <c r="L66" s="112"/>
      <c r="M66" s="114"/>
      <c r="N66" s="96"/>
      <c r="O66" s="97"/>
    </row>
    <row r="67" spans="1:25" x14ac:dyDescent="0.25">
      <c r="A67" s="124"/>
      <c r="B67" s="125"/>
      <c r="C67" s="128"/>
      <c r="D67" s="111"/>
      <c r="E67" s="111"/>
      <c r="F67" s="112"/>
      <c r="G67" s="112"/>
      <c r="H67" s="112"/>
      <c r="I67" s="112"/>
      <c r="J67" s="112"/>
      <c r="K67" s="112"/>
      <c r="L67" s="112"/>
      <c r="M67" s="114"/>
      <c r="N67" s="96"/>
      <c r="O67" s="97"/>
      <c r="U67" s="1"/>
      <c r="V67" s="1"/>
      <c r="W67" s="1"/>
    </row>
    <row r="68" spans="1:25" x14ac:dyDescent="0.25">
      <c r="A68" s="124"/>
      <c r="B68" s="125"/>
      <c r="C68" s="128"/>
      <c r="D68" s="111"/>
      <c r="E68" s="111"/>
      <c r="F68" s="112"/>
      <c r="G68" s="112"/>
      <c r="H68" s="112"/>
      <c r="I68" s="112"/>
      <c r="J68" s="112"/>
      <c r="K68" s="112"/>
      <c r="L68" s="112"/>
      <c r="M68" s="114"/>
      <c r="N68" s="96"/>
      <c r="O68" s="97"/>
      <c r="T68" s="2"/>
      <c r="U68" s="1"/>
      <c r="V68" s="1"/>
      <c r="W68" s="1"/>
    </row>
    <row r="69" spans="1:25" x14ac:dyDescent="0.25">
      <c r="A69" s="124"/>
      <c r="B69" s="125"/>
      <c r="C69" s="128"/>
      <c r="D69" s="111"/>
      <c r="E69" s="111"/>
      <c r="F69" s="112"/>
      <c r="G69" s="112"/>
      <c r="H69" s="112"/>
      <c r="I69" s="112"/>
      <c r="J69" s="112"/>
      <c r="K69" s="112"/>
      <c r="L69" s="112"/>
      <c r="M69" s="114"/>
      <c r="N69" s="96"/>
      <c r="O69" s="97"/>
      <c r="S69" s="5"/>
      <c r="X69" s="1"/>
      <c r="Y69" s="1"/>
    </row>
    <row r="70" spans="1:25" ht="15.75" thickBot="1" x14ac:dyDescent="0.3">
      <c r="A70" s="126"/>
      <c r="B70" s="127"/>
      <c r="C70" s="86"/>
      <c r="D70" s="89"/>
      <c r="E70" s="89"/>
      <c r="F70" s="92"/>
      <c r="G70" s="92"/>
      <c r="H70" s="92"/>
      <c r="I70" s="92"/>
      <c r="J70" s="92"/>
      <c r="K70" s="92"/>
      <c r="L70" s="92"/>
      <c r="M70" s="114"/>
      <c r="N70" s="96"/>
      <c r="O70" s="97"/>
      <c r="S70" s="5"/>
      <c r="X70" s="1"/>
      <c r="Y70" s="1"/>
    </row>
    <row r="71" spans="1:25" ht="14.45" customHeight="1" x14ac:dyDescent="0.25">
      <c r="A71" s="122" t="s">
        <v>141</v>
      </c>
      <c r="B71" s="123"/>
      <c r="C71" s="128" t="s">
        <v>142</v>
      </c>
      <c r="D71" s="111" t="s">
        <v>143</v>
      </c>
      <c r="E71" s="111"/>
      <c r="F71" s="112" t="str">
        <f>IF(AND(OR(N71&gt;0,O71&gt;0),N71+O71&lt;=15),"Single restroom okay for 15 or less (IPC 403.2(2))",IF(Q5&lt;=15,"Single restroom okay for 15 or less (IPC 403.2(2))",W14))</f>
        <v>Single restroom okay for 15 or less (IPC 403.2(2))</v>
      </c>
      <c r="G71" s="112" t="str">
        <f>IF(F71="Single restroom okay for 15 or less (IPC 403.2(2))","-",Z14)</f>
        <v>-</v>
      </c>
      <c r="H71" s="112" t="s">
        <v>480</v>
      </c>
      <c r="I71" s="112">
        <f>AB14</f>
        <v>0</v>
      </c>
      <c r="J71" s="112">
        <f>AD13</f>
        <v>0</v>
      </c>
      <c r="K71" s="112" t="s">
        <v>82</v>
      </c>
      <c r="L71" s="112" t="str">
        <f>IF(F71="Single restroom okay for 15 or less (IPC 403.2(2))","15 or less Fountain exempt(IPC 410.2)",AF14)</f>
        <v>15 or less Fountain exempt(IPC 410.2)</v>
      </c>
      <c r="M71" s="121" t="s">
        <v>83</v>
      </c>
      <c r="N71" s="96">
        <v>0</v>
      </c>
      <c r="O71" s="97">
        <v>0</v>
      </c>
      <c r="S71" s="5"/>
      <c r="X71" s="1"/>
      <c r="Y71" s="1"/>
    </row>
    <row r="72" spans="1:25" x14ac:dyDescent="0.25">
      <c r="A72" s="124"/>
      <c r="B72" s="125"/>
      <c r="C72" s="128"/>
      <c r="D72" s="111"/>
      <c r="E72" s="111"/>
      <c r="F72" s="112"/>
      <c r="G72" s="112"/>
      <c r="H72" s="112"/>
      <c r="I72" s="112"/>
      <c r="J72" s="112"/>
      <c r="K72" s="112"/>
      <c r="L72" s="112"/>
      <c r="M72" s="114"/>
      <c r="N72" s="96"/>
      <c r="O72" s="97"/>
      <c r="S72" s="5"/>
      <c r="X72" s="1"/>
      <c r="Y72" s="1"/>
    </row>
    <row r="73" spans="1:25" x14ac:dyDescent="0.25">
      <c r="A73" s="124"/>
      <c r="B73" s="125"/>
      <c r="C73" s="128"/>
      <c r="D73" s="111"/>
      <c r="E73" s="111"/>
      <c r="F73" s="112"/>
      <c r="G73" s="112"/>
      <c r="H73" s="112"/>
      <c r="I73" s="112"/>
      <c r="J73" s="112"/>
      <c r="K73" s="112"/>
      <c r="L73" s="112"/>
      <c r="M73" s="114"/>
      <c r="N73" s="96"/>
      <c r="O73" s="97"/>
      <c r="S73" s="5"/>
      <c r="X73" s="1"/>
      <c r="Y73" s="1"/>
    </row>
    <row r="74" spans="1:25" x14ac:dyDescent="0.25">
      <c r="A74" s="124"/>
      <c r="B74" s="125"/>
      <c r="C74" s="128"/>
      <c r="D74" s="111"/>
      <c r="E74" s="111"/>
      <c r="F74" s="112"/>
      <c r="G74" s="112"/>
      <c r="H74" s="112"/>
      <c r="I74" s="112"/>
      <c r="J74" s="112"/>
      <c r="K74" s="112"/>
      <c r="L74" s="112"/>
      <c r="M74" s="114"/>
      <c r="N74" s="96"/>
      <c r="O74" s="97"/>
      <c r="S74" s="5"/>
      <c r="X74" s="1"/>
      <c r="Y74" s="1"/>
    </row>
    <row r="75" spans="1:25" x14ac:dyDescent="0.25">
      <c r="A75" s="124"/>
      <c r="B75" s="125"/>
      <c r="C75" s="128"/>
      <c r="D75" s="111"/>
      <c r="E75" s="111"/>
      <c r="F75" s="112"/>
      <c r="G75" s="112"/>
      <c r="H75" s="112"/>
      <c r="I75" s="112"/>
      <c r="J75" s="112"/>
      <c r="K75" s="112"/>
      <c r="L75" s="112"/>
      <c r="M75" s="114"/>
      <c r="N75" s="96"/>
      <c r="O75" s="97"/>
      <c r="S75" s="5"/>
      <c r="X75" s="1"/>
      <c r="Y75" s="1"/>
    </row>
    <row r="76" spans="1:25" ht="14.45" customHeight="1" thickBot="1" x14ac:dyDescent="0.3">
      <c r="A76" s="126"/>
      <c r="B76" s="127"/>
      <c r="C76" s="128"/>
      <c r="D76" s="111"/>
      <c r="E76" s="111"/>
      <c r="F76" s="112"/>
      <c r="G76" s="112"/>
      <c r="H76" s="112"/>
      <c r="I76" s="112"/>
      <c r="J76" s="112"/>
      <c r="K76" s="112"/>
      <c r="L76" s="112"/>
      <c r="M76" s="114"/>
      <c r="N76" s="96"/>
      <c r="O76" s="97"/>
      <c r="S76" s="5"/>
      <c r="X76" s="1"/>
      <c r="Y76" s="1"/>
    </row>
    <row r="77" spans="1:25" x14ac:dyDescent="0.25">
      <c r="A77" s="122" t="s">
        <v>144</v>
      </c>
      <c r="B77" s="123"/>
      <c r="C77" s="110" t="s">
        <v>145</v>
      </c>
      <c r="D77" s="111" t="s">
        <v>146</v>
      </c>
      <c r="E77" s="111"/>
      <c r="F77" s="112" t="str">
        <f>IF(AND(OR(N77&gt;0,O77&gt;0),N77+O77&lt;=15),"Single restroom okay for 15 or less (IPC 403.2(2))",IF(Q5&lt;=15,"Single restroom okay for 15 or less (IPC 403.2(2))",W15))</f>
        <v>Single restroom okay for 15 or less (IPC 403.2(2))</v>
      </c>
      <c r="G77" s="112" t="str">
        <f>IF(F77="Single restroom okay for 15 or less (IPC 403.2(2))","-",Z15)</f>
        <v>-</v>
      </c>
      <c r="H77" s="112" t="s">
        <v>217</v>
      </c>
      <c r="I77" s="112">
        <f>AB15</f>
        <v>0</v>
      </c>
      <c r="J77" s="112">
        <f>AD15</f>
        <v>0</v>
      </c>
      <c r="K77" s="112" t="str">
        <f>AH15</f>
        <v>See section 411 if eyewash stations are provided</v>
      </c>
      <c r="L77" s="112" t="str">
        <f>IF(F77="Single restroom okay for 15 or less (IPC 403.2(2))","15 or less Fountain exempt(IPC 410.2)",AF15)</f>
        <v>15 or less Fountain exempt(IPC 410.2)</v>
      </c>
      <c r="M77" s="114" t="s">
        <v>83</v>
      </c>
      <c r="N77" s="96">
        <v>0</v>
      </c>
      <c r="O77" s="97">
        <v>0</v>
      </c>
      <c r="S77" s="5"/>
      <c r="X77" s="1"/>
      <c r="Y77" s="1"/>
    </row>
    <row r="78" spans="1:25" x14ac:dyDescent="0.25">
      <c r="A78" s="124"/>
      <c r="B78" s="125"/>
      <c r="C78" s="110"/>
      <c r="D78" s="111"/>
      <c r="E78" s="111"/>
      <c r="F78" s="112"/>
      <c r="G78" s="112"/>
      <c r="H78" s="112"/>
      <c r="I78" s="112"/>
      <c r="J78" s="112"/>
      <c r="K78" s="112"/>
      <c r="L78" s="112"/>
      <c r="M78" s="114"/>
      <c r="N78" s="96"/>
      <c r="O78" s="97"/>
      <c r="S78" s="5"/>
      <c r="X78" s="1"/>
      <c r="Y78" s="1"/>
    </row>
    <row r="79" spans="1:25" x14ac:dyDescent="0.25">
      <c r="A79" s="124"/>
      <c r="B79" s="125"/>
      <c r="C79" s="110"/>
      <c r="D79" s="111"/>
      <c r="E79" s="111"/>
      <c r="F79" s="112"/>
      <c r="G79" s="112"/>
      <c r="H79" s="112"/>
      <c r="I79" s="112"/>
      <c r="J79" s="112"/>
      <c r="K79" s="112"/>
      <c r="L79" s="112"/>
      <c r="M79" s="114"/>
      <c r="N79" s="96"/>
      <c r="O79" s="97"/>
      <c r="Q79" s="13"/>
      <c r="R79" s="13"/>
      <c r="S79" s="5"/>
      <c r="X79" s="1"/>
      <c r="Y79" s="1"/>
    </row>
    <row r="80" spans="1:25" x14ac:dyDescent="0.25">
      <c r="A80" s="124"/>
      <c r="B80" s="125"/>
      <c r="C80" s="110"/>
      <c r="D80" s="111"/>
      <c r="E80" s="111"/>
      <c r="F80" s="112"/>
      <c r="G80" s="112"/>
      <c r="H80" s="112"/>
      <c r="I80" s="112"/>
      <c r="J80" s="112"/>
      <c r="K80" s="112"/>
      <c r="L80" s="112"/>
      <c r="M80" s="114"/>
      <c r="N80" s="96"/>
      <c r="O80" s="97"/>
      <c r="S80" s="5"/>
      <c r="X80" s="1"/>
      <c r="Y80" s="1"/>
    </row>
    <row r="81" spans="1:25" x14ac:dyDescent="0.25">
      <c r="A81" s="124"/>
      <c r="B81" s="125"/>
      <c r="C81" s="110"/>
      <c r="D81" s="111"/>
      <c r="E81" s="111"/>
      <c r="F81" s="112"/>
      <c r="G81" s="112"/>
      <c r="H81" s="112"/>
      <c r="I81" s="112"/>
      <c r="J81" s="112"/>
      <c r="K81" s="112"/>
      <c r="L81" s="112"/>
      <c r="M81" s="114"/>
      <c r="N81" s="96"/>
      <c r="O81" s="97"/>
      <c r="S81" s="5"/>
      <c r="X81" s="1"/>
      <c r="Y81" s="1"/>
    </row>
    <row r="82" spans="1:25" x14ac:dyDescent="0.25">
      <c r="A82" s="124"/>
      <c r="B82" s="125"/>
      <c r="C82" s="110"/>
      <c r="D82" s="111"/>
      <c r="E82" s="111"/>
      <c r="F82" s="112"/>
      <c r="G82" s="112"/>
      <c r="H82" s="112"/>
      <c r="I82" s="112"/>
      <c r="J82" s="112"/>
      <c r="K82" s="112"/>
      <c r="L82" s="112"/>
      <c r="M82" s="114"/>
      <c r="N82" s="96"/>
      <c r="O82" s="97"/>
      <c r="S82" s="5"/>
      <c r="X82" s="1"/>
      <c r="Y82" s="1"/>
    </row>
    <row r="83" spans="1:25" ht="14.45" customHeight="1" thickBot="1" x14ac:dyDescent="0.3">
      <c r="A83" s="126"/>
      <c r="B83" s="127"/>
      <c r="C83" s="110"/>
      <c r="D83" s="111"/>
      <c r="E83" s="111"/>
      <c r="F83" s="112"/>
      <c r="G83" s="112"/>
      <c r="H83" s="112"/>
      <c r="I83" s="112"/>
      <c r="J83" s="112"/>
      <c r="K83" s="112"/>
      <c r="L83" s="112"/>
      <c r="M83" s="114"/>
      <c r="N83" s="96"/>
      <c r="O83" s="97"/>
      <c r="S83" s="5"/>
      <c r="X83" s="1"/>
      <c r="Y83" s="1"/>
    </row>
    <row r="84" spans="1:25" x14ac:dyDescent="0.25">
      <c r="A84" s="122" t="s">
        <v>147</v>
      </c>
      <c r="B84" s="123"/>
      <c r="C84" s="110" t="s">
        <v>148</v>
      </c>
      <c r="D84" s="111" t="s">
        <v>149</v>
      </c>
      <c r="E84" s="111"/>
      <c r="F84" s="112" t="str">
        <f>IF(AND(OR(N84&gt;0,O84&gt;0),N84+O84&lt;=15),"Single restroom okay for 15 or less (IPC 403.2(2))",IF(Q5&lt;=15,"Single restroom okay for 15 or less (IPC 403.2(2))",W16))</f>
        <v>Single restroom okay for 15 or less (IPC 403.2(2))</v>
      </c>
      <c r="G84" s="112" t="str">
        <f>IF(F84="Single restroom okay for 15 or less (IPC 403.2(2))","-",Z16)</f>
        <v>-</v>
      </c>
      <c r="H84" s="112" t="s">
        <v>217</v>
      </c>
      <c r="I84" s="112">
        <f>AB16</f>
        <v>0</v>
      </c>
      <c r="J84" s="112">
        <f>AD16</f>
        <v>0</v>
      </c>
      <c r="K84" s="112">
        <f>AH16</f>
        <v>0</v>
      </c>
      <c r="L84" s="112" t="str">
        <f>IF(F84="Single restroom okay for 15 or less (IPC 403.2(2))","15 or less Fountain exempt(IPC 410.2)",AF16)</f>
        <v>15 or less Fountain exempt(IPC 410.2)</v>
      </c>
      <c r="M84" s="121" t="s">
        <v>83</v>
      </c>
      <c r="N84" s="96">
        <v>0</v>
      </c>
      <c r="O84" s="97">
        <v>0</v>
      </c>
      <c r="S84" s="5"/>
      <c r="X84" s="1"/>
      <c r="Y84" s="1"/>
    </row>
    <row r="85" spans="1:25" x14ac:dyDescent="0.25">
      <c r="A85" s="124"/>
      <c r="B85" s="125"/>
      <c r="C85" s="110"/>
      <c r="D85" s="111"/>
      <c r="E85" s="111"/>
      <c r="F85" s="112"/>
      <c r="G85" s="112"/>
      <c r="H85" s="112"/>
      <c r="I85" s="112"/>
      <c r="J85" s="112"/>
      <c r="K85" s="112"/>
      <c r="L85" s="112"/>
      <c r="M85" s="114"/>
      <c r="N85" s="96"/>
      <c r="O85" s="97"/>
      <c r="S85" s="5"/>
      <c r="X85" s="1"/>
      <c r="Y85" s="1"/>
    </row>
    <row r="86" spans="1:25" x14ac:dyDescent="0.25">
      <c r="A86" s="124"/>
      <c r="B86" s="125"/>
      <c r="C86" s="110"/>
      <c r="D86" s="111"/>
      <c r="E86" s="111"/>
      <c r="F86" s="112"/>
      <c r="G86" s="112"/>
      <c r="H86" s="112"/>
      <c r="I86" s="112"/>
      <c r="J86" s="112"/>
      <c r="K86" s="112"/>
      <c r="L86" s="112"/>
      <c r="M86" s="114"/>
      <c r="N86" s="96"/>
      <c r="O86" s="97"/>
      <c r="S86" s="5"/>
      <c r="X86" s="1"/>
      <c r="Y86" s="1"/>
    </row>
    <row r="87" spans="1:25" x14ac:dyDescent="0.25">
      <c r="A87" s="124"/>
      <c r="B87" s="125"/>
      <c r="C87" s="110"/>
      <c r="D87" s="111"/>
      <c r="E87" s="111"/>
      <c r="F87" s="112"/>
      <c r="G87" s="112"/>
      <c r="H87" s="112"/>
      <c r="I87" s="112"/>
      <c r="J87" s="112"/>
      <c r="K87" s="112"/>
      <c r="L87" s="112"/>
      <c r="M87" s="114"/>
      <c r="N87" s="96"/>
      <c r="O87" s="97"/>
      <c r="P87" s="7"/>
      <c r="S87" s="5"/>
      <c r="X87" s="1"/>
      <c r="Y87" s="1"/>
    </row>
    <row r="88" spans="1:25" x14ac:dyDescent="0.25">
      <c r="A88" s="124"/>
      <c r="B88" s="125"/>
      <c r="C88" s="110"/>
      <c r="D88" s="111"/>
      <c r="E88" s="111"/>
      <c r="F88" s="112"/>
      <c r="G88" s="112"/>
      <c r="H88" s="112"/>
      <c r="I88" s="112"/>
      <c r="J88" s="112"/>
      <c r="K88" s="112"/>
      <c r="L88" s="112"/>
      <c r="M88" s="114"/>
      <c r="N88" s="96"/>
      <c r="O88" s="97"/>
      <c r="P88" s="7"/>
      <c r="S88" s="5"/>
      <c r="X88" s="1"/>
      <c r="Y88" s="1"/>
    </row>
    <row r="89" spans="1:25" ht="14.45" customHeight="1" x14ac:dyDescent="0.25">
      <c r="A89" s="124"/>
      <c r="B89" s="125"/>
      <c r="C89" s="110"/>
      <c r="D89" s="111"/>
      <c r="E89" s="111"/>
      <c r="F89" s="112"/>
      <c r="G89" s="112"/>
      <c r="H89" s="112"/>
      <c r="I89" s="112"/>
      <c r="J89" s="112"/>
      <c r="K89" s="112"/>
      <c r="L89" s="112"/>
      <c r="M89" s="114"/>
      <c r="N89" s="96"/>
      <c r="O89" s="97"/>
      <c r="S89" s="5"/>
      <c r="X89" s="1"/>
      <c r="Y89" s="1"/>
    </row>
    <row r="90" spans="1:25" x14ac:dyDescent="0.25">
      <c r="A90" s="124"/>
      <c r="B90" s="125"/>
      <c r="C90" s="110" t="s">
        <v>150</v>
      </c>
      <c r="D90" s="111" t="s">
        <v>151</v>
      </c>
      <c r="E90" s="111"/>
      <c r="F90" s="113" t="s">
        <v>152</v>
      </c>
      <c r="G90" s="113"/>
      <c r="H90" s="113" t="s">
        <v>82</v>
      </c>
      <c r="I90" s="113" t="s">
        <v>152</v>
      </c>
      <c r="J90" s="113"/>
      <c r="K90" s="112">
        <f>AH18</f>
        <v>0</v>
      </c>
      <c r="L90" s="112" t="str">
        <f>"1 per 150"</f>
        <v>1 per 150</v>
      </c>
      <c r="M90" s="107" t="s">
        <v>83</v>
      </c>
      <c r="N90" s="96">
        <v>0</v>
      </c>
      <c r="O90" s="97">
        <v>0</v>
      </c>
      <c r="S90" s="5"/>
      <c r="X90" s="1"/>
      <c r="Y90" s="1"/>
    </row>
    <row r="91" spans="1:25" x14ac:dyDescent="0.25">
      <c r="A91" s="124"/>
      <c r="B91" s="125"/>
      <c r="C91" s="110"/>
      <c r="D91" s="111"/>
      <c r="E91" s="111"/>
      <c r="F91" s="113"/>
      <c r="G91" s="113"/>
      <c r="H91" s="113"/>
      <c r="I91" s="113"/>
      <c r="J91" s="113"/>
      <c r="K91" s="112"/>
      <c r="L91" s="112"/>
      <c r="M91" s="108"/>
      <c r="N91" s="96"/>
      <c r="O91" s="97"/>
      <c r="S91" s="5"/>
      <c r="X91" s="1"/>
      <c r="Y91" s="1"/>
    </row>
    <row r="92" spans="1:25" x14ac:dyDescent="0.25">
      <c r="A92" s="124"/>
      <c r="B92" s="125"/>
      <c r="C92" s="110"/>
      <c r="D92" s="111"/>
      <c r="E92" s="111"/>
      <c r="F92" s="113"/>
      <c r="G92" s="113"/>
      <c r="H92" s="113"/>
      <c r="I92" s="113"/>
      <c r="J92" s="113"/>
      <c r="K92" s="112"/>
      <c r="L92" s="112"/>
      <c r="M92" s="109"/>
      <c r="N92" s="96"/>
      <c r="O92" s="97"/>
      <c r="S92" s="5"/>
      <c r="X92" s="1"/>
      <c r="Y92" s="1"/>
    </row>
    <row r="93" spans="1:25" ht="14.45" customHeight="1" x14ac:dyDescent="0.25">
      <c r="A93" s="124"/>
      <c r="B93" s="125"/>
      <c r="C93" s="110"/>
      <c r="D93" s="111" t="s">
        <v>153</v>
      </c>
      <c r="E93" s="111"/>
      <c r="F93" s="112" t="str">
        <f>IF(AND(OR(N93&gt;0,O93&gt;0),N93+O93&lt;=15),"Single restroom okay for 15 or less (IPC 403.2(2))",IF(Q5&lt;=15,"Single restroom okay for 15 or less (IPC 403.2(2))",W17))</f>
        <v>Single restroom okay for 15 or less (IPC 403.2(2))</v>
      </c>
      <c r="G93" s="112" t="str">
        <f>IF(F93="Single restroom okay for 15 or less (IPC 403.2(2))","-",Z17)</f>
        <v>-</v>
      </c>
      <c r="H93" s="112" t="s">
        <v>82</v>
      </c>
      <c r="I93" s="112">
        <f>AB17</f>
        <v>0</v>
      </c>
      <c r="J93" s="112">
        <f>AD17</f>
        <v>0</v>
      </c>
      <c r="K93" s="112" t="s">
        <v>82</v>
      </c>
      <c r="L93" s="112" t="str">
        <f>IF(AND(OR(N93&gt;0,O93&gt;0),N93+O93&lt;=15),"15 or less Fountain exempt(IPC 410.2)",IF(Q5&lt;=15,"15 or less Fountain exempt(IPC 410.2)",AF17))</f>
        <v>15 or less Fountain exempt(IPC 410.2)</v>
      </c>
      <c r="M93" s="114" t="s">
        <v>82</v>
      </c>
      <c r="N93" s="96">
        <v>0</v>
      </c>
      <c r="O93" s="97">
        <v>0</v>
      </c>
    </row>
    <row r="94" spans="1:25" x14ac:dyDescent="0.25">
      <c r="A94" s="124"/>
      <c r="B94" s="125"/>
      <c r="C94" s="110"/>
      <c r="D94" s="111"/>
      <c r="E94" s="111"/>
      <c r="F94" s="112"/>
      <c r="G94" s="112"/>
      <c r="H94" s="112"/>
      <c r="I94" s="112"/>
      <c r="J94" s="112"/>
      <c r="K94" s="112"/>
      <c r="L94" s="112"/>
      <c r="M94" s="114"/>
      <c r="N94" s="96"/>
      <c r="O94" s="97"/>
    </row>
    <row r="95" spans="1:25" x14ac:dyDescent="0.25">
      <c r="A95" s="124"/>
      <c r="B95" s="125"/>
      <c r="C95" s="110"/>
      <c r="D95" s="111"/>
      <c r="E95" s="111"/>
      <c r="F95" s="112"/>
      <c r="G95" s="112"/>
      <c r="H95" s="112"/>
      <c r="I95" s="112"/>
      <c r="J95" s="112"/>
      <c r="K95" s="112"/>
      <c r="L95" s="112"/>
      <c r="M95" s="114"/>
      <c r="N95" s="96"/>
      <c r="O95" s="97"/>
    </row>
    <row r="96" spans="1:25" x14ac:dyDescent="0.25">
      <c r="A96" s="124"/>
      <c r="B96" s="125"/>
      <c r="C96" s="110"/>
      <c r="D96" s="111" t="s">
        <v>154</v>
      </c>
      <c r="E96" s="111"/>
      <c r="F96" s="112" t="str">
        <f>IF(AND(OR(N96&gt;0,O96&gt;0),N96+O96&lt;=15),"Single restroom okay for 15 or less (IPC 403.2(2))",IF(Q5&lt;=15,"Single restroom okay for 15 or less (IPC 403.2(2))",W18))</f>
        <v>Single restroom okay for 15 or less (IPC 403.2(2))</v>
      </c>
      <c r="G96" s="112" t="str">
        <f>IF(F96="Single restroom okay for 15 or less (IPC 403.2(2))","-",Z18)</f>
        <v>-</v>
      </c>
      <c r="H96" s="112" t="s">
        <v>82</v>
      </c>
      <c r="I96" s="112">
        <f>AB18</f>
        <v>0</v>
      </c>
      <c r="J96" s="112">
        <f>AD18</f>
        <v>0</v>
      </c>
      <c r="K96" s="112" t="s">
        <v>82</v>
      </c>
      <c r="L96" s="112" t="str">
        <f>IF(AND(OR(N96&gt;0,O96&gt;0),N96+O96&lt;=15),"15 or less Fountain exempt(IPC 410.2)",IF(Q5&lt;=15,"15 or less Fountain exempt(IPC 410.2)",AF18))</f>
        <v>15 or less Fountain exempt(IPC 410.2)</v>
      </c>
      <c r="M96" s="114" t="s">
        <v>82</v>
      </c>
      <c r="N96" s="96">
        <v>0</v>
      </c>
      <c r="O96" s="97">
        <v>0</v>
      </c>
    </row>
    <row r="97" spans="1:15" x14ac:dyDescent="0.25">
      <c r="A97" s="124"/>
      <c r="B97" s="125"/>
      <c r="C97" s="110"/>
      <c r="D97" s="111"/>
      <c r="E97" s="111"/>
      <c r="F97" s="112"/>
      <c r="G97" s="112"/>
      <c r="H97" s="112"/>
      <c r="I97" s="112"/>
      <c r="J97" s="112"/>
      <c r="K97" s="112"/>
      <c r="L97" s="112"/>
      <c r="M97" s="114"/>
      <c r="N97" s="96"/>
      <c r="O97" s="97"/>
    </row>
    <row r="98" spans="1:15" x14ac:dyDescent="0.25">
      <c r="A98" s="124"/>
      <c r="B98" s="125"/>
      <c r="C98" s="110"/>
      <c r="D98" s="111"/>
      <c r="E98" s="111"/>
      <c r="F98" s="112"/>
      <c r="G98" s="112"/>
      <c r="H98" s="112"/>
      <c r="I98" s="112"/>
      <c r="J98" s="112"/>
      <c r="K98" s="112"/>
      <c r="L98" s="112"/>
      <c r="M98" s="114"/>
      <c r="N98" s="96"/>
      <c r="O98" s="97"/>
    </row>
    <row r="99" spans="1:15" x14ac:dyDescent="0.25">
      <c r="A99" s="124"/>
      <c r="B99" s="125"/>
      <c r="C99" s="110" t="s">
        <v>155</v>
      </c>
      <c r="D99" s="111" t="s">
        <v>156</v>
      </c>
      <c r="E99" s="111"/>
      <c r="F99" s="113" t="s">
        <v>157</v>
      </c>
      <c r="G99" s="113"/>
      <c r="H99" s="113" t="s">
        <v>82</v>
      </c>
      <c r="I99" s="113" t="s">
        <v>157</v>
      </c>
      <c r="J99" s="113"/>
      <c r="K99" s="112" t="s">
        <v>158</v>
      </c>
      <c r="L99" s="112" t="str">
        <f>"1 per 100"</f>
        <v>1 per 100</v>
      </c>
      <c r="M99" s="107" t="s">
        <v>83</v>
      </c>
      <c r="N99" s="96">
        <v>0</v>
      </c>
      <c r="O99" s="97">
        <v>0</v>
      </c>
    </row>
    <row r="100" spans="1:15" x14ac:dyDescent="0.25">
      <c r="A100" s="124"/>
      <c r="B100" s="125"/>
      <c r="C100" s="110"/>
      <c r="D100" s="111"/>
      <c r="E100" s="111"/>
      <c r="F100" s="113"/>
      <c r="G100" s="113"/>
      <c r="H100" s="113"/>
      <c r="I100" s="113"/>
      <c r="J100" s="113"/>
      <c r="K100" s="112"/>
      <c r="L100" s="112"/>
      <c r="M100" s="108"/>
      <c r="N100" s="96"/>
      <c r="O100" s="97"/>
    </row>
    <row r="101" spans="1:15" ht="14.45" customHeight="1" x14ac:dyDescent="0.25">
      <c r="A101" s="124"/>
      <c r="B101" s="125"/>
      <c r="C101" s="110"/>
      <c r="D101" s="111"/>
      <c r="E101" s="111"/>
      <c r="F101" s="113"/>
      <c r="G101" s="113"/>
      <c r="H101" s="113"/>
      <c r="I101" s="113"/>
      <c r="J101" s="113"/>
      <c r="K101" s="112"/>
      <c r="L101" s="112"/>
      <c r="M101" s="109"/>
      <c r="N101" s="96"/>
      <c r="O101" s="97"/>
    </row>
    <row r="102" spans="1:15" x14ac:dyDescent="0.25">
      <c r="A102" s="124"/>
      <c r="B102" s="125"/>
      <c r="C102" s="110"/>
      <c r="D102" s="111" t="s">
        <v>159</v>
      </c>
      <c r="E102" s="111"/>
      <c r="F102" s="112" t="str">
        <f>IF(AND(OR(N102&gt;0,O102&gt;0),N102+O102&lt;=15),"Single restroom okay for 15 or less (IPC 403.2(2))",IF(Q5&lt;=15,"Single restroom okay for 15 or less (IPC 403.2(2))",W19))</f>
        <v>Single restroom okay for 15 or less (IPC 403.2(2))</v>
      </c>
      <c r="G102" s="112" t="str">
        <f>IF(F102="Single restroom okay for 15 or less (IPC 403.2(2))","-",Z19)</f>
        <v>-</v>
      </c>
      <c r="H102" s="112" t="s">
        <v>82</v>
      </c>
      <c r="I102" s="112">
        <f>AB19</f>
        <v>0</v>
      </c>
      <c r="J102" s="112">
        <f>AD18</f>
        <v>0</v>
      </c>
      <c r="K102" s="112">
        <f>AH19</f>
        <v>0</v>
      </c>
      <c r="L102" s="112" t="str">
        <f>IF(F102="Single restroom okay for 15 or less (IPC 403.2(2))","15 or less Fountain exempt(IPC 410.2)",AF19)</f>
        <v>15 or less Fountain exempt(IPC 410.2)</v>
      </c>
      <c r="M102" s="114" t="s">
        <v>83</v>
      </c>
      <c r="N102" s="96">
        <v>0</v>
      </c>
      <c r="O102" s="97">
        <v>0</v>
      </c>
    </row>
    <row r="103" spans="1:15" x14ac:dyDescent="0.25">
      <c r="A103" s="124"/>
      <c r="B103" s="125"/>
      <c r="C103" s="110"/>
      <c r="D103" s="111"/>
      <c r="E103" s="111"/>
      <c r="F103" s="112"/>
      <c r="G103" s="112"/>
      <c r="H103" s="112"/>
      <c r="I103" s="112"/>
      <c r="J103" s="112"/>
      <c r="K103" s="112"/>
      <c r="L103" s="112"/>
      <c r="M103" s="114"/>
      <c r="N103" s="96"/>
      <c r="O103" s="97"/>
    </row>
    <row r="104" spans="1:15" x14ac:dyDescent="0.25">
      <c r="A104" s="124"/>
      <c r="B104" s="125"/>
      <c r="C104" s="110"/>
      <c r="D104" s="111"/>
      <c r="E104" s="111"/>
      <c r="F104" s="112"/>
      <c r="G104" s="112"/>
      <c r="H104" s="112"/>
      <c r="I104" s="112"/>
      <c r="J104" s="112"/>
      <c r="K104" s="112"/>
      <c r="L104" s="112"/>
      <c r="M104" s="114"/>
      <c r="N104" s="96"/>
      <c r="O104" s="97"/>
    </row>
    <row r="105" spans="1:15" x14ac:dyDescent="0.25">
      <c r="A105" s="124"/>
      <c r="B105" s="125"/>
      <c r="C105" s="110"/>
      <c r="D105" s="111"/>
      <c r="E105" s="111"/>
      <c r="F105" s="112"/>
      <c r="G105" s="112"/>
      <c r="H105" s="112"/>
      <c r="I105" s="112"/>
      <c r="J105" s="112"/>
      <c r="K105" s="112"/>
      <c r="L105" s="112"/>
      <c r="M105" s="114"/>
      <c r="N105" s="96"/>
      <c r="O105" s="97"/>
    </row>
    <row r="106" spans="1:15" ht="14.45" customHeight="1" x14ac:dyDescent="0.25">
      <c r="A106" s="124"/>
      <c r="B106" s="125"/>
      <c r="C106" s="110"/>
      <c r="D106" s="111" t="s">
        <v>160</v>
      </c>
      <c r="E106" s="111"/>
      <c r="F106" s="112" t="str">
        <f>IF(AND(OR(N106&gt;0,O106&gt;0),N106+O106&lt;=15),"Single restroom okay for 15 or less (IPC 403.2(2))",IF(Q5&lt;=15,"Single restroom okay for 15 or less (IPC 403.2(2))",W20))</f>
        <v>Single restroom okay for 15 or less (IPC 403.2(2))</v>
      </c>
      <c r="G106" s="112" t="str">
        <f>IF(F106="Single restroom okay for 15 or less (IPC 403.2(2))","-",Z20)</f>
        <v>-</v>
      </c>
      <c r="H106" s="112" t="s">
        <v>82</v>
      </c>
      <c r="I106" s="112">
        <f>AB20</f>
        <v>0</v>
      </c>
      <c r="J106" s="112">
        <f>AD20</f>
        <v>0</v>
      </c>
      <c r="K106" s="112" t="s">
        <v>82</v>
      </c>
      <c r="L106" s="112" t="str">
        <f>IF(F106="Single restroom okay for 15 or less (IPC 403.2(2))","15 or less Fountain exempt(IPC 410.2)",AF20)</f>
        <v>15 or less Fountain exempt(IPC 410.2)</v>
      </c>
      <c r="M106" s="114" t="s">
        <v>82</v>
      </c>
      <c r="N106" s="96">
        <v>0</v>
      </c>
      <c r="O106" s="97">
        <v>0</v>
      </c>
    </row>
    <row r="107" spans="1:15" x14ac:dyDescent="0.25">
      <c r="A107" s="124"/>
      <c r="B107" s="125"/>
      <c r="C107" s="110"/>
      <c r="D107" s="111"/>
      <c r="E107" s="111"/>
      <c r="F107" s="112"/>
      <c r="G107" s="112"/>
      <c r="H107" s="112"/>
      <c r="I107" s="112"/>
      <c r="J107" s="112"/>
      <c r="K107" s="112"/>
      <c r="L107" s="112"/>
      <c r="M107" s="114"/>
      <c r="N107" s="96"/>
      <c r="O107" s="97"/>
    </row>
    <row r="108" spans="1:15" x14ac:dyDescent="0.25">
      <c r="A108" s="124"/>
      <c r="B108" s="125"/>
      <c r="C108" s="110"/>
      <c r="D108" s="111"/>
      <c r="E108" s="111"/>
      <c r="F108" s="112"/>
      <c r="G108" s="112"/>
      <c r="H108" s="112"/>
      <c r="I108" s="112"/>
      <c r="J108" s="112"/>
      <c r="K108" s="112"/>
      <c r="L108" s="112"/>
      <c r="M108" s="114"/>
      <c r="N108" s="96"/>
      <c r="O108" s="97"/>
    </row>
    <row r="109" spans="1:15" x14ac:dyDescent="0.25">
      <c r="A109" s="124"/>
      <c r="B109" s="125"/>
      <c r="C109" s="110" t="s">
        <v>161</v>
      </c>
      <c r="D109" s="111" t="s">
        <v>162</v>
      </c>
      <c r="E109" s="111"/>
      <c r="F109" s="112" t="str">
        <f>IF(AND(OR(N109&gt;0,O109&gt;0),N109+O109&lt;=15),"Single restroom okay for 15 or less (IPC 403.2(2))",IF(Q5&lt;=15,"Single restroom okay for 15 or less (IPC 403.2(2))",W21))</f>
        <v>Single restroom okay for 15 or less (IPC 403.2(2))</v>
      </c>
      <c r="G109" s="112" t="str">
        <f>IF(F109="Single restroom okay for 15 or less (IPC 403.2(2))","-",Z21)</f>
        <v>-</v>
      </c>
      <c r="H109" s="112" t="s">
        <v>82</v>
      </c>
      <c r="I109" s="112">
        <f>AB21</f>
        <v>0</v>
      </c>
      <c r="J109" s="112">
        <f>AD21</f>
        <v>0</v>
      </c>
      <c r="K109" s="112">
        <f>AH21</f>
        <v>1</v>
      </c>
      <c r="L109" s="112" t="str">
        <f>IF(F109="Single restroom okay for 15 or less (IPC 403.2(2))","15 or less Fountain exempt(IPC 410.2)",AF21)</f>
        <v>15 or less Fountain exempt(IPC 410.2)</v>
      </c>
      <c r="M109" s="107" t="s">
        <v>83</v>
      </c>
      <c r="N109" s="96">
        <v>0</v>
      </c>
      <c r="O109" s="97">
        <v>0</v>
      </c>
    </row>
    <row r="110" spans="1:15" x14ac:dyDescent="0.25">
      <c r="A110" s="124"/>
      <c r="B110" s="125"/>
      <c r="C110" s="110"/>
      <c r="D110" s="111"/>
      <c r="E110" s="111"/>
      <c r="F110" s="112"/>
      <c r="G110" s="112"/>
      <c r="H110" s="112"/>
      <c r="I110" s="112"/>
      <c r="J110" s="112"/>
      <c r="K110" s="112"/>
      <c r="L110" s="112"/>
      <c r="M110" s="108"/>
      <c r="N110" s="96"/>
      <c r="O110" s="97"/>
    </row>
    <row r="111" spans="1:15" ht="15.75" thickBot="1" x14ac:dyDescent="0.3">
      <c r="A111" s="126"/>
      <c r="B111" s="127"/>
      <c r="C111" s="110"/>
      <c r="D111" s="111"/>
      <c r="E111" s="111"/>
      <c r="F111" s="112"/>
      <c r="G111" s="112"/>
      <c r="H111" s="112"/>
      <c r="I111" s="112"/>
      <c r="J111" s="112"/>
      <c r="K111" s="112"/>
      <c r="L111" s="112"/>
      <c r="M111" s="109"/>
      <c r="N111" s="96"/>
      <c r="O111" s="97"/>
    </row>
    <row r="112" spans="1:15" ht="14.45" customHeight="1" x14ac:dyDescent="0.25">
      <c r="A112" s="80" t="s">
        <v>163</v>
      </c>
      <c r="B112" s="81"/>
      <c r="C112" s="110" t="s">
        <v>164</v>
      </c>
      <c r="D112" s="111" t="s">
        <v>165</v>
      </c>
      <c r="E112" s="111"/>
      <c r="F112" s="112" t="str">
        <f>IF(AND(OR(N112&gt;0,O112&gt;0),N112+O112&lt;=100),"Single restroom okay for 100 or less (IPC 403.2(3))",IF(Q5&lt;=100,"Single restroom okay for 100 or less (IPC 403.2(3))",W22))</f>
        <v>Single restroom okay for 100 or less (IPC 403.2(3))</v>
      </c>
      <c r="G112" s="112" t="str">
        <f>IF(F112="Single restroom okay for 100 or less (IPC 403.2(3))","-",Z22)</f>
        <v>-</v>
      </c>
      <c r="H112" s="112" t="s">
        <v>217</v>
      </c>
      <c r="I112" s="112">
        <f>AB22</f>
        <v>0</v>
      </c>
      <c r="J112" s="112">
        <f>AD22</f>
        <v>0</v>
      </c>
      <c r="K112" s="112" t="s">
        <v>82</v>
      </c>
      <c r="L112" s="120" t="str">
        <f>IF(AND(OR(N112&gt;0,O112&gt;0),N112+O112&lt;=15),"15 or less Fountain exempt(IPC 410.2)",IF(Q5&lt;=15,"15 or less Fountain exempt(IPC 410.2)",AF22))</f>
        <v>15 or less Fountain exempt(IPC 410.2)</v>
      </c>
      <c r="M112" s="95" t="str">
        <f>IF(AND(OR(N112&gt;0,O112&gt;0),N112+O112&lt;=15),"15 or less Service sink exempt (IPC 403.1(e))",IF(Q5&lt;=15,"15 or less Service sink exempt (IPC 403.1(e))","1 service sink"))</f>
        <v>15 or less Service sink exempt (IPC 403.1(e))</v>
      </c>
      <c r="N112" s="96">
        <v>0</v>
      </c>
      <c r="O112" s="97">
        <v>0</v>
      </c>
    </row>
    <row r="113" spans="1:15" x14ac:dyDescent="0.25">
      <c r="A113" s="82"/>
      <c r="B113" s="83"/>
      <c r="C113" s="110"/>
      <c r="D113" s="111"/>
      <c r="E113" s="111"/>
      <c r="F113" s="112"/>
      <c r="G113" s="112"/>
      <c r="H113" s="112"/>
      <c r="I113" s="112"/>
      <c r="J113" s="112"/>
      <c r="K113" s="112"/>
      <c r="L113" s="120"/>
      <c r="M113" s="95"/>
      <c r="N113" s="96"/>
      <c r="O113" s="97"/>
    </row>
    <row r="114" spans="1:15" x14ac:dyDescent="0.25">
      <c r="A114" s="82"/>
      <c r="B114" s="83"/>
      <c r="C114" s="110"/>
      <c r="D114" s="111"/>
      <c r="E114" s="111"/>
      <c r="F114" s="112"/>
      <c r="G114" s="112"/>
      <c r="H114" s="112"/>
      <c r="I114" s="112"/>
      <c r="J114" s="112"/>
      <c r="K114" s="112"/>
      <c r="L114" s="120"/>
      <c r="M114" s="95"/>
      <c r="N114" s="96"/>
      <c r="O114" s="97"/>
    </row>
    <row r="115" spans="1:15" x14ac:dyDescent="0.25">
      <c r="A115" s="82"/>
      <c r="B115" s="83"/>
      <c r="C115" s="110"/>
      <c r="D115" s="111"/>
      <c r="E115" s="111"/>
      <c r="F115" s="112"/>
      <c r="G115" s="112"/>
      <c r="H115" s="112"/>
      <c r="I115" s="112"/>
      <c r="J115" s="112"/>
      <c r="K115" s="112"/>
      <c r="L115" s="120"/>
      <c r="M115" s="95"/>
      <c r="N115" s="96"/>
      <c r="O115" s="97"/>
    </row>
    <row r="116" spans="1:15" x14ac:dyDescent="0.25">
      <c r="A116" s="82"/>
      <c r="B116" s="83"/>
      <c r="C116" s="110"/>
      <c r="D116" s="111"/>
      <c r="E116" s="111"/>
      <c r="F116" s="112"/>
      <c r="G116" s="112"/>
      <c r="H116" s="112"/>
      <c r="I116" s="112"/>
      <c r="J116" s="112"/>
      <c r="K116" s="112"/>
      <c r="L116" s="120"/>
      <c r="M116" s="95"/>
      <c r="N116" s="96"/>
      <c r="O116" s="97"/>
    </row>
    <row r="117" spans="1:15" ht="14.45" customHeight="1" x14ac:dyDescent="0.25">
      <c r="A117" s="82"/>
      <c r="B117" s="83"/>
      <c r="C117" s="110"/>
      <c r="D117" s="111"/>
      <c r="E117" s="111"/>
      <c r="F117" s="112"/>
      <c r="G117" s="112"/>
      <c r="H117" s="112"/>
      <c r="I117" s="112"/>
      <c r="J117" s="112"/>
      <c r="K117" s="112"/>
      <c r="L117" s="120"/>
      <c r="M117" s="95"/>
      <c r="N117" s="96"/>
      <c r="O117" s="97"/>
    </row>
    <row r="118" spans="1:15" ht="14.45" customHeight="1" x14ac:dyDescent="0.25">
      <c r="A118" s="82"/>
      <c r="B118" s="83"/>
      <c r="C118" s="110"/>
      <c r="D118" s="111"/>
      <c r="E118" s="111"/>
      <c r="F118" s="112"/>
      <c r="G118" s="112"/>
      <c r="H118" s="112"/>
      <c r="I118" s="112"/>
      <c r="J118" s="112"/>
      <c r="K118" s="112"/>
      <c r="L118" s="120"/>
      <c r="M118" s="95"/>
      <c r="N118" s="96"/>
      <c r="O118" s="97"/>
    </row>
    <row r="119" spans="1:15" ht="15.75" thickBot="1" x14ac:dyDescent="0.3">
      <c r="A119" s="84"/>
      <c r="B119" s="85"/>
      <c r="C119" s="110"/>
      <c r="D119" s="111"/>
      <c r="E119" s="111"/>
      <c r="F119" s="112"/>
      <c r="G119" s="112"/>
      <c r="H119" s="112"/>
      <c r="I119" s="112"/>
      <c r="J119" s="112"/>
      <c r="K119" s="112"/>
      <c r="L119" s="120"/>
      <c r="M119" s="95"/>
      <c r="N119" s="96"/>
      <c r="O119" s="97"/>
    </row>
    <row r="120" spans="1:15" x14ac:dyDescent="0.25">
      <c r="A120" s="80" t="s">
        <v>55</v>
      </c>
      <c r="B120" s="81"/>
      <c r="C120" s="110" t="s">
        <v>166</v>
      </c>
      <c r="D120" s="111" t="s">
        <v>167</v>
      </c>
      <c r="E120" s="111"/>
      <c r="F120" s="113" t="s">
        <v>168</v>
      </c>
      <c r="G120" s="113"/>
      <c r="H120" s="113" t="s">
        <v>82</v>
      </c>
      <c r="I120" s="113" t="s">
        <v>168</v>
      </c>
      <c r="J120" s="113"/>
      <c r="K120" s="113" t="s">
        <v>168</v>
      </c>
      <c r="L120" s="113" t="s">
        <v>82</v>
      </c>
      <c r="M120" s="107" t="s">
        <v>83</v>
      </c>
      <c r="N120" s="96" t="s">
        <v>82</v>
      </c>
      <c r="O120" s="97"/>
    </row>
    <row r="121" spans="1:15" x14ac:dyDescent="0.25">
      <c r="A121" s="82"/>
      <c r="B121" s="83"/>
      <c r="C121" s="110"/>
      <c r="D121" s="111"/>
      <c r="E121" s="111"/>
      <c r="F121" s="113"/>
      <c r="G121" s="113"/>
      <c r="H121" s="113"/>
      <c r="I121" s="113"/>
      <c r="J121" s="113"/>
      <c r="K121" s="113"/>
      <c r="L121" s="113"/>
      <c r="M121" s="108"/>
      <c r="N121" s="96"/>
      <c r="O121" s="97"/>
    </row>
    <row r="122" spans="1:15" x14ac:dyDescent="0.25">
      <c r="A122" s="82"/>
      <c r="B122" s="83"/>
      <c r="C122" s="110"/>
      <c r="D122" s="111"/>
      <c r="E122" s="111"/>
      <c r="F122" s="113"/>
      <c r="G122" s="113"/>
      <c r="H122" s="113"/>
      <c r="I122" s="113"/>
      <c r="J122" s="113"/>
      <c r="K122" s="113"/>
      <c r="L122" s="113"/>
      <c r="M122" s="109"/>
      <c r="N122" s="96"/>
      <c r="O122" s="97"/>
    </row>
    <row r="123" spans="1:15" x14ac:dyDescent="0.25">
      <c r="A123" s="82"/>
      <c r="B123" s="83"/>
      <c r="C123" s="110" t="s">
        <v>169</v>
      </c>
      <c r="D123" s="111" t="s">
        <v>170</v>
      </c>
      <c r="E123" s="111"/>
      <c r="F123" s="112">
        <f>W23</f>
        <v>0</v>
      </c>
      <c r="G123" s="112"/>
      <c r="H123" s="113" t="s">
        <v>82</v>
      </c>
      <c r="I123" s="112">
        <f>AB23</f>
        <v>0</v>
      </c>
      <c r="J123" s="112"/>
      <c r="K123" s="112">
        <f>AH23</f>
        <v>0</v>
      </c>
      <c r="L123" s="112" t="str">
        <f>IF(AND(OR(N123&gt;0,N123&gt;0),N123+N123&lt;=15),"15 or less Fountain exempt(IPC 410.2)",IF(Q5&lt;=15,"15 or less Fountain exempt(IPC 410.2)",AF23))</f>
        <v>15 or less Fountain exempt(IPC 410.2)</v>
      </c>
      <c r="M123" s="114" t="s">
        <v>83</v>
      </c>
      <c r="N123" s="96">
        <v>0</v>
      </c>
      <c r="O123" s="97"/>
    </row>
    <row r="124" spans="1:15" x14ac:dyDescent="0.25">
      <c r="A124" s="82"/>
      <c r="B124" s="83"/>
      <c r="C124" s="110"/>
      <c r="D124" s="111"/>
      <c r="E124" s="111"/>
      <c r="F124" s="112"/>
      <c r="G124" s="112"/>
      <c r="H124" s="113"/>
      <c r="I124" s="112"/>
      <c r="J124" s="112"/>
      <c r="K124" s="112"/>
      <c r="L124" s="112"/>
      <c r="M124" s="114"/>
      <c r="N124" s="96"/>
      <c r="O124" s="97"/>
    </row>
    <row r="125" spans="1:15" ht="14.45" customHeight="1" x14ac:dyDescent="0.25">
      <c r="A125" s="82"/>
      <c r="B125" s="83"/>
      <c r="C125" s="110"/>
      <c r="D125" s="111"/>
      <c r="E125" s="111"/>
      <c r="F125" s="112"/>
      <c r="G125" s="112"/>
      <c r="H125" s="113"/>
      <c r="I125" s="112"/>
      <c r="J125" s="112"/>
      <c r="K125" s="112"/>
      <c r="L125" s="112"/>
      <c r="M125" s="114"/>
      <c r="N125" s="96"/>
      <c r="O125" s="97"/>
    </row>
    <row r="126" spans="1:15" x14ac:dyDescent="0.25">
      <c r="A126" s="82"/>
      <c r="B126" s="83"/>
      <c r="C126" s="110"/>
      <c r="D126" s="111"/>
      <c r="E126" s="111"/>
      <c r="F126" s="112"/>
      <c r="G126" s="112"/>
      <c r="H126" s="113"/>
      <c r="I126" s="112"/>
      <c r="J126" s="112"/>
      <c r="K126" s="112"/>
      <c r="L126" s="112"/>
      <c r="M126" s="114"/>
      <c r="N126" s="96"/>
      <c r="O126" s="97"/>
    </row>
    <row r="127" spans="1:15" x14ac:dyDescent="0.25">
      <c r="A127" s="82"/>
      <c r="B127" s="83"/>
      <c r="C127" s="110"/>
      <c r="D127" s="111"/>
      <c r="E127" s="111"/>
      <c r="F127" s="112"/>
      <c r="G127" s="112"/>
      <c r="H127" s="113"/>
      <c r="I127" s="112"/>
      <c r="J127" s="112"/>
      <c r="K127" s="112"/>
      <c r="L127" s="112"/>
      <c r="M127" s="114"/>
      <c r="N127" s="96"/>
      <c r="O127" s="97"/>
    </row>
    <row r="128" spans="1:15" x14ac:dyDescent="0.25">
      <c r="A128" s="82"/>
      <c r="B128" s="83"/>
      <c r="C128" s="110"/>
      <c r="D128" s="111" t="s">
        <v>481</v>
      </c>
      <c r="E128" s="111"/>
      <c r="F128" s="112" t="e">
        <f>IF(AND(AND(#REF!="UPC"),OR(N128&gt;0,O128),N128+O128&lt;=10),"Single restroom okay for 10 or less (422.2(2))",IF(AND(AND(#REF!="california"),OR(N128&gt;0,O128),N128+O128&lt;=10),"Single restroom okay for 10 or less (422.2(2))",IF(AND(OR(#REF!="2009 - 2015 ipc",#REF!="2021 - 2018 ipc"),Q5&lt;=15),"Single restroom okay for 15 or less (IBC 2902.2(2))",IF(AND(OR(#REF!="UPC",#REF!="CAlifornia"),Q5&lt;=10),"Single restroom okay for 10 or less (422.2(2))",IF(N128=0,INDEX(W24:X24,MATCH(#REF!,W2:X2,0)),IF(OR(#REF!="2021 - 2018 IPC",#REF!="2009 - 2015 IPC"),"-",IF(OR(#REF!="UPC",#REF!="California"),IF(AND(N128&gt;0,N128&lt;=15),1,IF(AND(N128&gt;15,N128&lt;=35),2,IF(AND(N128&gt;35,N128&lt;=55),3,IF(N128&gt;55,(ROUNDUP(N128/40,1))+2,0)))))))))))</f>
        <v>#REF!</v>
      </c>
      <c r="G128" s="112" t="e">
        <f>IF(AND(AND(#REF!="UPC"),OR(N128&gt;0,O128),N128+O128&lt;=10),"-",IF(AND(AND(#REF!="california"),OR(N128&gt;0,O128),N128+O128&lt;=10),"-",IF(AND(OR(#REF!="2009 - 2015 ipc",#REF!="2021 - 2018 ipc"),Q5&lt;=15),"-",IF(AND(OR(#REF!="UPC",#REF!="CAlifornia"),Q5&lt;=10),"-",IF(O128=0,INDEX(Z24:AA24,MATCH(#REF!,Z2:AA2,0)),IF(OR(#REF!="2021 - 2018 IPC",#REF!="2009 - 2015 IPC"),"-",IF(OR(#REF!="UPC",#REF!="California"),IF(AND(O128&gt;0,O128&lt;=15),1,IF(AND(O128&gt;15,O128&lt;=35),2,IF(AND(O128&gt;35,O128&lt;=55),3,IF(O128&gt;55,(ROUNDUP(O128/40,1))+2,0)))))))))))</f>
        <v>#REF!</v>
      </c>
      <c r="H128" s="112" t="s">
        <v>82</v>
      </c>
      <c r="I128" s="112" t="s">
        <v>82</v>
      </c>
      <c r="J128" s="112" t="s">
        <v>82</v>
      </c>
      <c r="K128" s="112" t="s">
        <v>82</v>
      </c>
      <c r="L128" s="112" t="s">
        <v>82</v>
      </c>
      <c r="M128" s="114" t="s">
        <v>82</v>
      </c>
      <c r="N128" s="96">
        <v>0</v>
      </c>
      <c r="O128" s="97">
        <v>0</v>
      </c>
    </row>
    <row r="129" spans="1:15" x14ac:dyDescent="0.25">
      <c r="A129" s="82"/>
      <c r="B129" s="83"/>
      <c r="C129" s="110"/>
      <c r="D129" s="111"/>
      <c r="E129" s="111"/>
      <c r="F129" s="112"/>
      <c r="G129" s="112"/>
      <c r="H129" s="112"/>
      <c r="I129" s="112"/>
      <c r="J129" s="112"/>
      <c r="K129" s="112"/>
      <c r="L129" s="112"/>
      <c r="M129" s="114"/>
      <c r="N129" s="96"/>
      <c r="O129" s="97"/>
    </row>
    <row r="130" spans="1:15" ht="14.45" customHeight="1" x14ac:dyDescent="0.25">
      <c r="A130" s="82"/>
      <c r="B130" s="83"/>
      <c r="C130" s="110"/>
      <c r="D130" s="111"/>
      <c r="E130" s="111"/>
      <c r="F130" s="112"/>
      <c r="G130" s="112"/>
      <c r="H130" s="112"/>
      <c r="I130" s="112"/>
      <c r="J130" s="112"/>
      <c r="K130" s="112"/>
      <c r="L130" s="112"/>
      <c r="M130" s="114"/>
      <c r="N130" s="96"/>
      <c r="O130" s="97"/>
    </row>
    <row r="131" spans="1:15" x14ac:dyDescent="0.25">
      <c r="A131" s="82"/>
      <c r="B131" s="83"/>
      <c r="C131" s="110"/>
      <c r="D131" s="111" t="s">
        <v>171</v>
      </c>
      <c r="E131" s="111"/>
      <c r="F131" s="113" t="s">
        <v>172</v>
      </c>
      <c r="G131" s="113"/>
      <c r="H131" s="113" t="s">
        <v>82</v>
      </c>
      <c r="I131" s="113" t="s">
        <v>172</v>
      </c>
      <c r="J131" s="113"/>
      <c r="K131" s="113" t="s">
        <v>172</v>
      </c>
      <c r="L131" s="113" t="s">
        <v>82</v>
      </c>
      <c r="M131" s="115" t="s">
        <v>173</v>
      </c>
      <c r="N131" s="116" t="s">
        <v>82</v>
      </c>
      <c r="O131" s="117"/>
    </row>
    <row r="132" spans="1:15" x14ac:dyDescent="0.25">
      <c r="A132" s="82"/>
      <c r="B132" s="83"/>
      <c r="C132" s="110"/>
      <c r="D132" s="111"/>
      <c r="E132" s="111"/>
      <c r="F132" s="113"/>
      <c r="G132" s="113"/>
      <c r="H132" s="113"/>
      <c r="I132" s="113"/>
      <c r="J132" s="113"/>
      <c r="K132" s="113"/>
      <c r="L132" s="113"/>
      <c r="M132" s="115"/>
      <c r="N132" s="118"/>
      <c r="O132" s="119"/>
    </row>
    <row r="133" spans="1:15" x14ac:dyDescent="0.25">
      <c r="A133" s="82"/>
      <c r="B133" s="83"/>
      <c r="C133" s="110"/>
      <c r="D133" s="111"/>
      <c r="E133" s="111"/>
      <c r="F133" s="113"/>
      <c r="G133" s="113"/>
      <c r="H133" s="113"/>
      <c r="I133" s="113"/>
      <c r="J133" s="113"/>
      <c r="K133" s="113"/>
      <c r="L133" s="113"/>
      <c r="M133" s="115"/>
      <c r="N133" s="118"/>
      <c r="O133" s="119"/>
    </row>
    <row r="134" spans="1:15" x14ac:dyDescent="0.25">
      <c r="A134" s="82"/>
      <c r="B134" s="83"/>
      <c r="C134" s="110"/>
      <c r="D134" s="111"/>
      <c r="E134" s="111"/>
      <c r="F134" s="113"/>
      <c r="G134" s="113"/>
      <c r="H134" s="113"/>
      <c r="I134" s="113"/>
      <c r="J134" s="113"/>
      <c r="K134" s="113"/>
      <c r="L134" s="113"/>
      <c r="M134" s="115"/>
      <c r="N134" s="118"/>
      <c r="O134" s="119"/>
    </row>
    <row r="135" spans="1:15" x14ac:dyDescent="0.25">
      <c r="A135" s="82"/>
      <c r="B135" s="83"/>
      <c r="C135" s="110"/>
      <c r="D135" s="111"/>
      <c r="E135" s="111"/>
      <c r="F135" s="113"/>
      <c r="G135" s="113"/>
      <c r="H135" s="113"/>
      <c r="I135" s="113"/>
      <c r="J135" s="113"/>
      <c r="K135" s="113"/>
      <c r="L135" s="113"/>
      <c r="M135" s="115"/>
      <c r="N135" s="118"/>
      <c r="O135" s="119"/>
    </row>
    <row r="136" spans="1:15" x14ac:dyDescent="0.25">
      <c r="A136" s="82"/>
      <c r="B136" s="83"/>
      <c r="C136" s="110"/>
      <c r="D136" s="111"/>
      <c r="E136" s="111"/>
      <c r="F136" s="113"/>
      <c r="G136" s="113"/>
      <c r="H136" s="113"/>
      <c r="I136" s="113"/>
      <c r="J136" s="113"/>
      <c r="K136" s="113"/>
      <c r="L136" s="113"/>
      <c r="M136" s="115"/>
      <c r="N136" s="118"/>
      <c r="O136" s="119"/>
    </row>
    <row r="137" spans="1:15" x14ac:dyDescent="0.25">
      <c r="A137" s="82"/>
      <c r="B137" s="83"/>
      <c r="C137" s="110"/>
      <c r="D137" s="111"/>
      <c r="E137" s="111"/>
      <c r="F137" s="113"/>
      <c r="G137" s="113"/>
      <c r="H137" s="113"/>
      <c r="I137" s="113"/>
      <c r="J137" s="113"/>
      <c r="K137" s="113"/>
      <c r="L137" s="113"/>
      <c r="M137" s="115"/>
      <c r="N137" s="118"/>
      <c r="O137" s="119"/>
    </row>
    <row r="138" spans="1:15" x14ac:dyDescent="0.25">
      <c r="A138" s="82"/>
      <c r="B138" s="83"/>
      <c r="C138" s="110"/>
      <c r="D138" s="111"/>
      <c r="E138" s="111"/>
      <c r="F138" s="113"/>
      <c r="G138" s="113"/>
      <c r="H138" s="113"/>
      <c r="I138" s="113"/>
      <c r="J138" s="113"/>
      <c r="K138" s="113"/>
      <c r="L138" s="113"/>
      <c r="M138" s="115"/>
      <c r="N138" s="118"/>
      <c r="O138" s="119"/>
    </row>
    <row r="139" spans="1:15" x14ac:dyDescent="0.25">
      <c r="A139" s="82"/>
      <c r="B139" s="83"/>
      <c r="C139" s="110"/>
      <c r="D139" s="111"/>
      <c r="E139" s="111"/>
      <c r="F139" s="113"/>
      <c r="G139" s="113"/>
      <c r="H139" s="113"/>
      <c r="I139" s="113"/>
      <c r="J139" s="113"/>
      <c r="K139" s="113"/>
      <c r="L139" s="113"/>
      <c r="M139" s="115"/>
      <c r="N139" s="118"/>
      <c r="O139" s="119"/>
    </row>
    <row r="140" spans="1:15" x14ac:dyDescent="0.25">
      <c r="A140" s="82"/>
      <c r="B140" s="83"/>
      <c r="C140" s="110"/>
      <c r="D140" s="111"/>
      <c r="E140" s="111"/>
      <c r="F140" s="113"/>
      <c r="G140" s="113"/>
      <c r="H140" s="113"/>
      <c r="I140" s="113"/>
      <c r="J140" s="113"/>
      <c r="K140" s="113"/>
      <c r="L140" s="113"/>
      <c r="M140" s="115"/>
      <c r="N140" s="118"/>
      <c r="O140" s="119"/>
    </row>
    <row r="141" spans="1:15" x14ac:dyDescent="0.25">
      <c r="A141" s="82"/>
      <c r="B141" s="83"/>
      <c r="C141" s="110"/>
      <c r="D141" s="111"/>
      <c r="E141" s="111"/>
      <c r="F141" s="113"/>
      <c r="G141" s="113"/>
      <c r="H141" s="113"/>
      <c r="I141" s="113"/>
      <c r="J141" s="113"/>
      <c r="K141" s="113"/>
      <c r="L141" s="113"/>
      <c r="M141" s="115"/>
      <c r="N141" s="118"/>
      <c r="O141" s="119"/>
    </row>
    <row r="142" spans="1:15" x14ac:dyDescent="0.25">
      <c r="A142" s="82"/>
      <c r="B142" s="83"/>
      <c r="C142" s="110" t="s">
        <v>174</v>
      </c>
      <c r="D142" s="111" t="s">
        <v>175</v>
      </c>
      <c r="E142" s="111"/>
      <c r="F142" s="112">
        <f>W25</f>
        <v>0</v>
      </c>
      <c r="G142" s="112"/>
      <c r="H142" s="113" t="s">
        <v>82</v>
      </c>
      <c r="I142" s="112">
        <f>AB25</f>
        <v>0</v>
      </c>
      <c r="J142" s="112"/>
      <c r="K142" s="112">
        <f>AH25</f>
        <v>0</v>
      </c>
      <c r="L142" s="112" t="str">
        <f>IF(AND(OR(N142&gt;0,N142&gt;0),N142+N142&lt;=15),"15 or less Fountain exempt(IPC 410.2)",IF(Q5&lt;=15,"15 or less Fountain exempt(IPC 410.2)",AF25))</f>
        <v>15 or less Fountain exempt(IPC 410.2)</v>
      </c>
      <c r="M142" s="107" t="s">
        <v>83</v>
      </c>
      <c r="N142" s="96">
        <v>0</v>
      </c>
      <c r="O142" s="97"/>
    </row>
    <row r="143" spans="1:15" x14ac:dyDescent="0.25">
      <c r="A143" s="82"/>
      <c r="B143" s="83"/>
      <c r="C143" s="110"/>
      <c r="D143" s="111"/>
      <c r="E143" s="111"/>
      <c r="F143" s="112"/>
      <c r="G143" s="112"/>
      <c r="H143" s="113"/>
      <c r="I143" s="112"/>
      <c r="J143" s="112"/>
      <c r="K143" s="112"/>
      <c r="L143" s="112"/>
      <c r="M143" s="108"/>
      <c r="N143" s="96"/>
      <c r="O143" s="97"/>
    </row>
    <row r="144" spans="1:15" x14ac:dyDescent="0.25">
      <c r="A144" s="82"/>
      <c r="B144" s="83"/>
      <c r="C144" s="110"/>
      <c r="D144" s="111"/>
      <c r="E144" s="111"/>
      <c r="F144" s="112"/>
      <c r="G144" s="112"/>
      <c r="H144" s="113"/>
      <c r="I144" s="112"/>
      <c r="J144" s="112"/>
      <c r="K144" s="112"/>
      <c r="L144" s="112"/>
      <c r="M144" s="109"/>
      <c r="N144" s="96"/>
      <c r="O144" s="97"/>
    </row>
    <row r="145" spans="1:15" x14ac:dyDescent="0.25">
      <c r="A145" s="82"/>
      <c r="B145" s="83"/>
      <c r="C145" s="110"/>
      <c r="D145" s="111" t="s">
        <v>176</v>
      </c>
      <c r="E145" s="111"/>
      <c r="F145" s="113" t="s">
        <v>172</v>
      </c>
      <c r="G145" s="113"/>
      <c r="H145" s="113" t="s">
        <v>82</v>
      </c>
      <c r="I145" s="113" t="s">
        <v>172</v>
      </c>
      <c r="J145" s="113"/>
      <c r="K145" s="113" t="s">
        <v>172</v>
      </c>
      <c r="L145" s="112" t="s">
        <v>82</v>
      </c>
      <c r="M145" s="95" t="s">
        <v>177</v>
      </c>
      <c r="N145" s="96" t="s">
        <v>82</v>
      </c>
      <c r="O145" s="97"/>
    </row>
    <row r="146" spans="1:15" x14ac:dyDescent="0.25">
      <c r="A146" s="82"/>
      <c r="B146" s="83"/>
      <c r="C146" s="110"/>
      <c r="D146" s="111"/>
      <c r="E146" s="111"/>
      <c r="F146" s="113"/>
      <c r="G146" s="113"/>
      <c r="H146" s="113"/>
      <c r="I146" s="113"/>
      <c r="J146" s="113"/>
      <c r="K146" s="113"/>
      <c r="L146" s="112"/>
      <c r="M146" s="95"/>
      <c r="N146" s="96"/>
      <c r="O146" s="97"/>
    </row>
    <row r="147" spans="1:15" x14ac:dyDescent="0.25">
      <c r="A147" s="82"/>
      <c r="B147" s="83"/>
      <c r="C147" s="110"/>
      <c r="D147" s="111"/>
      <c r="E147" s="111"/>
      <c r="F147" s="113"/>
      <c r="G147" s="113"/>
      <c r="H147" s="113"/>
      <c r="I147" s="113"/>
      <c r="J147" s="113"/>
      <c r="K147" s="113"/>
      <c r="L147" s="112"/>
      <c r="M147" s="95"/>
      <c r="N147" s="96"/>
      <c r="O147" s="97"/>
    </row>
    <row r="148" spans="1:15" x14ac:dyDescent="0.25">
      <c r="A148" s="82"/>
      <c r="B148" s="83"/>
      <c r="C148" s="110"/>
      <c r="D148" s="111"/>
      <c r="E148" s="111"/>
      <c r="F148" s="113"/>
      <c r="G148" s="113"/>
      <c r="H148" s="113"/>
      <c r="I148" s="113"/>
      <c r="J148" s="113"/>
      <c r="K148" s="113"/>
      <c r="L148" s="112"/>
      <c r="M148" s="95"/>
      <c r="N148" s="96"/>
      <c r="O148" s="97"/>
    </row>
    <row r="149" spans="1:15" x14ac:dyDescent="0.25">
      <c r="A149" s="82"/>
      <c r="B149" s="83"/>
      <c r="C149" s="110"/>
      <c r="D149" s="111"/>
      <c r="E149" s="111"/>
      <c r="F149" s="113"/>
      <c r="G149" s="113"/>
      <c r="H149" s="113"/>
      <c r="I149" s="113"/>
      <c r="J149" s="113"/>
      <c r="K149" s="113"/>
      <c r="L149" s="112"/>
      <c r="M149" s="95"/>
      <c r="N149" s="96"/>
      <c r="O149" s="97"/>
    </row>
    <row r="150" spans="1:15" ht="14.45" customHeight="1" x14ac:dyDescent="0.25">
      <c r="A150" s="82"/>
      <c r="B150" s="83"/>
      <c r="C150" s="110"/>
      <c r="D150" s="111"/>
      <c r="E150" s="111"/>
      <c r="F150" s="113"/>
      <c r="G150" s="113"/>
      <c r="H150" s="113"/>
      <c r="I150" s="113"/>
      <c r="J150" s="113"/>
      <c r="K150" s="113"/>
      <c r="L150" s="112"/>
      <c r="M150" s="95"/>
      <c r="N150" s="96"/>
      <c r="O150" s="97"/>
    </row>
    <row r="151" spans="1:15" x14ac:dyDescent="0.25">
      <c r="A151" s="82"/>
      <c r="B151" s="83"/>
      <c r="C151" s="110"/>
      <c r="D151" s="111"/>
      <c r="E151" s="111"/>
      <c r="F151" s="113"/>
      <c r="G151" s="113"/>
      <c r="H151" s="113"/>
      <c r="I151" s="113"/>
      <c r="J151" s="113"/>
      <c r="K151" s="113"/>
      <c r="L151" s="112"/>
      <c r="M151" s="95"/>
      <c r="N151" s="96"/>
      <c r="O151" s="97"/>
    </row>
    <row r="152" spans="1:15" x14ac:dyDescent="0.25">
      <c r="A152" s="82"/>
      <c r="B152" s="83"/>
      <c r="C152" s="110"/>
      <c r="D152" s="111"/>
      <c r="E152" s="111"/>
      <c r="F152" s="113"/>
      <c r="G152" s="113"/>
      <c r="H152" s="113"/>
      <c r="I152" s="113"/>
      <c r="J152" s="113"/>
      <c r="K152" s="113"/>
      <c r="L152" s="112"/>
      <c r="M152" s="95"/>
      <c r="N152" s="96"/>
      <c r="O152" s="97"/>
    </row>
    <row r="153" spans="1:15" x14ac:dyDescent="0.25">
      <c r="A153" s="82"/>
      <c r="B153" s="83"/>
      <c r="C153" s="110"/>
      <c r="D153" s="111"/>
      <c r="E153" s="111"/>
      <c r="F153" s="113"/>
      <c r="G153" s="113"/>
      <c r="H153" s="113"/>
      <c r="I153" s="113"/>
      <c r="J153" s="113"/>
      <c r="K153" s="113"/>
      <c r="L153" s="112"/>
      <c r="M153" s="95"/>
      <c r="N153" s="96"/>
      <c r="O153" s="97"/>
    </row>
    <row r="154" spans="1:15" x14ac:dyDescent="0.25">
      <c r="A154" s="82"/>
      <c r="B154" s="83"/>
      <c r="C154" s="110"/>
      <c r="D154" s="111"/>
      <c r="E154" s="111"/>
      <c r="F154" s="113"/>
      <c r="G154" s="113"/>
      <c r="H154" s="113"/>
      <c r="I154" s="113"/>
      <c r="J154" s="113"/>
      <c r="K154" s="113"/>
      <c r="L154" s="112"/>
      <c r="M154" s="95"/>
      <c r="N154" s="96"/>
      <c r="O154" s="97"/>
    </row>
    <row r="155" spans="1:15" x14ac:dyDescent="0.25">
      <c r="A155" s="82"/>
      <c r="B155" s="83"/>
      <c r="C155" s="110"/>
      <c r="D155" s="111"/>
      <c r="E155" s="111"/>
      <c r="F155" s="113"/>
      <c r="G155" s="113"/>
      <c r="H155" s="113"/>
      <c r="I155" s="113"/>
      <c r="J155" s="113"/>
      <c r="K155" s="113"/>
      <c r="L155" s="112"/>
      <c r="M155" s="95"/>
      <c r="N155" s="96"/>
      <c r="O155" s="97"/>
    </row>
    <row r="156" spans="1:15" x14ac:dyDescent="0.25">
      <c r="A156" s="82"/>
      <c r="B156" s="83"/>
      <c r="C156" s="159" t="s">
        <v>185</v>
      </c>
      <c r="D156" s="111" t="s">
        <v>175</v>
      </c>
      <c r="E156" s="111"/>
      <c r="F156" s="112">
        <f>W26</f>
        <v>0</v>
      </c>
      <c r="G156" s="112"/>
      <c r="H156" s="112" t="s">
        <v>82</v>
      </c>
      <c r="I156" s="112">
        <f>AB26</f>
        <v>0</v>
      </c>
      <c r="J156" s="112"/>
      <c r="K156" s="112">
        <f>AH26</f>
        <v>0</v>
      </c>
      <c r="L156" s="112" t="str">
        <f>IF(AND(OR(N156&gt;0,N156&gt;0),N156+N156&lt;=15),"15 or less Fountain exempt(IPC 410.2)",IF(Q5&lt;=15,"15 or less Fountain exempt(IPC 410.2)",AF26))</f>
        <v>15 or less Fountain exempt(IPC 410.2)</v>
      </c>
      <c r="M156" s="107" t="s">
        <v>83</v>
      </c>
      <c r="N156" s="251">
        <v>0</v>
      </c>
      <c r="O156" s="102">
        <v>0</v>
      </c>
    </row>
    <row r="157" spans="1:15" ht="14.45" customHeight="1" x14ac:dyDescent="0.25">
      <c r="A157" s="82"/>
      <c r="B157" s="83"/>
      <c r="C157" s="159"/>
      <c r="D157" s="111"/>
      <c r="E157" s="111"/>
      <c r="F157" s="112"/>
      <c r="G157" s="112"/>
      <c r="H157" s="112"/>
      <c r="I157" s="112"/>
      <c r="J157" s="112"/>
      <c r="K157" s="112"/>
      <c r="L157" s="112"/>
      <c r="M157" s="108"/>
      <c r="N157" s="252"/>
      <c r="O157" s="104"/>
    </row>
    <row r="158" spans="1:15" ht="15.75" thickBot="1" x14ac:dyDescent="0.3">
      <c r="A158" s="84"/>
      <c r="B158" s="85"/>
      <c r="C158" s="255"/>
      <c r="D158" s="89"/>
      <c r="E158" s="89"/>
      <c r="F158" s="92"/>
      <c r="G158" s="92"/>
      <c r="H158" s="92"/>
      <c r="I158" s="92"/>
      <c r="J158" s="92"/>
      <c r="K158" s="92"/>
      <c r="L158" s="92"/>
      <c r="M158" s="109"/>
      <c r="N158" s="254"/>
      <c r="O158" s="117"/>
    </row>
    <row r="159" spans="1:15" x14ac:dyDescent="0.25">
      <c r="A159" s="80" t="s">
        <v>178</v>
      </c>
      <c r="B159" s="81"/>
      <c r="C159" s="86" t="s">
        <v>179</v>
      </c>
      <c r="D159" s="258" t="s">
        <v>180</v>
      </c>
      <c r="E159" s="258"/>
      <c r="F159" s="92">
        <f>W27</f>
        <v>0</v>
      </c>
      <c r="G159" s="92"/>
      <c r="H159" s="92" t="s">
        <v>82</v>
      </c>
      <c r="I159" s="92">
        <f>AB27</f>
        <v>0</v>
      </c>
      <c r="J159" s="92"/>
      <c r="K159" s="92" t="str">
        <f>AH27</f>
        <v>See section 411 if eyewash stations are provided</v>
      </c>
      <c r="L159" s="92" t="str">
        <f>IF(AND(OR(N159&gt;0,N159&gt;0),N159+N159&lt;=15),"15 or less Fountain exempt(IPC 410.2)",IF(Q5&lt;=15,"15 or less Fountain exempt(IPC 410.2)",AF26))</f>
        <v>15 or less Fountain exempt(IPC 410.2)</v>
      </c>
      <c r="M159" s="98" t="s">
        <v>83</v>
      </c>
      <c r="N159" s="251">
        <v>0</v>
      </c>
      <c r="O159" s="102">
        <v>0</v>
      </c>
    </row>
    <row r="160" spans="1:15" x14ac:dyDescent="0.25">
      <c r="A160" s="82"/>
      <c r="B160" s="83"/>
      <c r="C160" s="87"/>
      <c r="D160" s="259"/>
      <c r="E160" s="259"/>
      <c r="F160" s="93"/>
      <c r="G160" s="93"/>
      <c r="H160" s="93"/>
      <c r="I160" s="93"/>
      <c r="J160" s="93"/>
      <c r="K160" s="93"/>
      <c r="L160" s="93"/>
      <c r="M160" s="99"/>
      <c r="N160" s="252"/>
      <c r="O160" s="104"/>
    </row>
    <row r="161" spans="1:15" x14ac:dyDescent="0.25">
      <c r="A161" s="82"/>
      <c r="B161" s="83"/>
      <c r="C161" s="87"/>
      <c r="D161" s="259"/>
      <c r="E161" s="259"/>
      <c r="F161" s="93"/>
      <c r="G161" s="93"/>
      <c r="H161" s="93"/>
      <c r="I161" s="93"/>
      <c r="J161" s="93"/>
      <c r="K161" s="93"/>
      <c r="L161" s="93"/>
      <c r="M161" s="99"/>
      <c r="N161" s="252"/>
      <c r="O161" s="104"/>
    </row>
    <row r="162" spans="1:15" x14ac:dyDescent="0.25">
      <c r="A162" s="82"/>
      <c r="B162" s="83"/>
      <c r="C162" s="87"/>
      <c r="D162" s="259"/>
      <c r="E162" s="259"/>
      <c r="F162" s="93"/>
      <c r="G162" s="93"/>
      <c r="H162" s="93"/>
      <c r="I162" s="93"/>
      <c r="J162" s="93"/>
      <c r="K162" s="93"/>
      <c r="L162" s="93"/>
      <c r="M162" s="99"/>
      <c r="N162" s="252"/>
      <c r="O162" s="104"/>
    </row>
    <row r="163" spans="1:15" x14ac:dyDescent="0.25">
      <c r="A163" s="82"/>
      <c r="B163" s="83"/>
      <c r="C163" s="87"/>
      <c r="D163" s="259"/>
      <c r="E163" s="259"/>
      <c r="F163" s="93"/>
      <c r="G163" s="93"/>
      <c r="H163" s="93"/>
      <c r="I163" s="93"/>
      <c r="J163" s="93"/>
      <c r="K163" s="93"/>
      <c r="L163" s="93"/>
      <c r="M163" s="99"/>
      <c r="N163" s="252"/>
      <c r="O163" s="104"/>
    </row>
    <row r="164" spans="1:15" x14ac:dyDescent="0.25">
      <c r="A164" s="82"/>
      <c r="B164" s="83"/>
      <c r="C164" s="87"/>
      <c r="D164" s="259"/>
      <c r="E164" s="259"/>
      <c r="F164" s="93"/>
      <c r="G164" s="93"/>
      <c r="H164" s="93"/>
      <c r="I164" s="93"/>
      <c r="J164" s="93"/>
      <c r="K164" s="93"/>
      <c r="L164" s="93"/>
      <c r="M164" s="99"/>
      <c r="N164" s="252"/>
      <c r="O164" s="104"/>
    </row>
    <row r="165" spans="1:15" ht="15.75" thickBot="1" x14ac:dyDescent="0.3">
      <c r="A165" s="84"/>
      <c r="B165" s="85"/>
      <c r="C165" s="88"/>
      <c r="D165" s="260"/>
      <c r="E165" s="260"/>
      <c r="F165" s="94"/>
      <c r="G165" s="94"/>
      <c r="H165" s="94"/>
      <c r="I165" s="94"/>
      <c r="J165" s="94"/>
      <c r="K165" s="94"/>
      <c r="L165" s="94"/>
      <c r="M165" s="100"/>
      <c r="N165" s="253"/>
      <c r="O165" s="106"/>
    </row>
  </sheetData>
  <mergeCells count="338">
    <mergeCell ref="N145:O155"/>
    <mergeCell ref="A159:B165"/>
    <mergeCell ref="C159:C165"/>
    <mergeCell ref="D159:E165"/>
    <mergeCell ref="F159:G165"/>
    <mergeCell ref="H159:H165"/>
    <mergeCell ref="I159:J165"/>
    <mergeCell ref="C156:C158"/>
    <mergeCell ref="D156:E158"/>
    <mergeCell ref="F156:G158"/>
    <mergeCell ref="H156:H158"/>
    <mergeCell ref="I156:J158"/>
    <mergeCell ref="K159:K165"/>
    <mergeCell ref="L159:L165"/>
    <mergeCell ref="M159:M165"/>
    <mergeCell ref="N159:N165"/>
    <mergeCell ref="O159:O165"/>
    <mergeCell ref="L156:L158"/>
    <mergeCell ref="M156:M158"/>
    <mergeCell ref="N156:N158"/>
    <mergeCell ref="O156:O158"/>
    <mergeCell ref="K156:K158"/>
    <mergeCell ref="F128:F130"/>
    <mergeCell ref="G128:G130"/>
    <mergeCell ref="H128:H130"/>
    <mergeCell ref="I128:I130"/>
    <mergeCell ref="J128:J130"/>
    <mergeCell ref="L131:L141"/>
    <mergeCell ref="M131:M141"/>
    <mergeCell ref="N131:O141"/>
    <mergeCell ref="C142:C155"/>
    <mergeCell ref="D142:E144"/>
    <mergeCell ref="F142:G144"/>
    <mergeCell ref="H142:H144"/>
    <mergeCell ref="I142:J144"/>
    <mergeCell ref="K142:K144"/>
    <mergeCell ref="L142:L144"/>
    <mergeCell ref="M142:M144"/>
    <mergeCell ref="N142:O144"/>
    <mergeCell ref="D145:E155"/>
    <mergeCell ref="F145:G155"/>
    <mergeCell ref="H145:H155"/>
    <mergeCell ref="I145:J155"/>
    <mergeCell ref="K145:K155"/>
    <mergeCell ref="L145:L155"/>
    <mergeCell ref="M145:M155"/>
    <mergeCell ref="F112:F119"/>
    <mergeCell ref="G112:G119"/>
    <mergeCell ref="H112:H119"/>
    <mergeCell ref="N120:O122"/>
    <mergeCell ref="C123:C141"/>
    <mergeCell ref="D123:E127"/>
    <mergeCell ref="F123:G127"/>
    <mergeCell ref="H123:H127"/>
    <mergeCell ref="I123:J127"/>
    <mergeCell ref="K123:K127"/>
    <mergeCell ref="L123:L127"/>
    <mergeCell ref="M123:M127"/>
    <mergeCell ref="N123:O127"/>
    <mergeCell ref="K128:K130"/>
    <mergeCell ref="L128:L130"/>
    <mergeCell ref="M128:M130"/>
    <mergeCell ref="N128:N130"/>
    <mergeCell ref="O128:O130"/>
    <mergeCell ref="D131:E141"/>
    <mergeCell ref="F131:G141"/>
    <mergeCell ref="H131:H141"/>
    <mergeCell ref="I131:J141"/>
    <mergeCell ref="K131:K141"/>
    <mergeCell ref="D128:E130"/>
    <mergeCell ref="O109:O111"/>
    <mergeCell ref="L106:L108"/>
    <mergeCell ref="M106:M108"/>
    <mergeCell ref="N106:N108"/>
    <mergeCell ref="O106:O108"/>
    <mergeCell ref="O112:O119"/>
    <mergeCell ref="A120:B158"/>
    <mergeCell ref="C120:C122"/>
    <mergeCell ref="D120:E122"/>
    <mergeCell ref="F120:G122"/>
    <mergeCell ref="H120:H122"/>
    <mergeCell ref="I120:J122"/>
    <mergeCell ref="K120:K122"/>
    <mergeCell ref="L120:L122"/>
    <mergeCell ref="M120:M122"/>
    <mergeCell ref="I112:I119"/>
    <mergeCell ref="J112:J119"/>
    <mergeCell ref="K112:K119"/>
    <mergeCell ref="L112:L119"/>
    <mergeCell ref="M112:M119"/>
    <mergeCell ref="N112:N119"/>
    <mergeCell ref="A112:B119"/>
    <mergeCell ref="C112:C119"/>
    <mergeCell ref="D112:E119"/>
    <mergeCell ref="L102:L105"/>
    <mergeCell ref="M102:M105"/>
    <mergeCell ref="N102:N105"/>
    <mergeCell ref="C99:C108"/>
    <mergeCell ref="J109:J111"/>
    <mergeCell ref="K109:K111"/>
    <mergeCell ref="L109:L111"/>
    <mergeCell ref="M109:M111"/>
    <mergeCell ref="N109:N111"/>
    <mergeCell ref="O102:O105"/>
    <mergeCell ref="D106:E108"/>
    <mergeCell ref="F106:F108"/>
    <mergeCell ref="G106:G108"/>
    <mergeCell ref="H106:H108"/>
    <mergeCell ref="I106:I108"/>
    <mergeCell ref="J106:J108"/>
    <mergeCell ref="L99:L101"/>
    <mergeCell ref="M99:M101"/>
    <mergeCell ref="N99:N101"/>
    <mergeCell ref="O99:O101"/>
    <mergeCell ref="D102:E105"/>
    <mergeCell ref="F102:F105"/>
    <mergeCell ref="G102:G105"/>
    <mergeCell ref="H102:H105"/>
    <mergeCell ref="I102:I105"/>
    <mergeCell ref="J102:J105"/>
    <mergeCell ref="D99:E101"/>
    <mergeCell ref="F99:G101"/>
    <mergeCell ref="H99:H101"/>
    <mergeCell ref="I99:J101"/>
    <mergeCell ref="K99:K101"/>
    <mergeCell ref="K102:K105"/>
    <mergeCell ref="K106:K108"/>
    <mergeCell ref="L96:L98"/>
    <mergeCell ref="M96:M98"/>
    <mergeCell ref="N96:N98"/>
    <mergeCell ref="O96:O98"/>
    <mergeCell ref="K93:K95"/>
    <mergeCell ref="L93:L95"/>
    <mergeCell ref="M93:M95"/>
    <mergeCell ref="N93:N95"/>
    <mergeCell ref="O93:O95"/>
    <mergeCell ref="L84:L89"/>
    <mergeCell ref="M84:M89"/>
    <mergeCell ref="N84:N89"/>
    <mergeCell ref="O84:O89"/>
    <mergeCell ref="C90:C98"/>
    <mergeCell ref="D90:E92"/>
    <mergeCell ref="F90:G92"/>
    <mergeCell ref="H90:H92"/>
    <mergeCell ref="I90:J92"/>
    <mergeCell ref="K90:K92"/>
    <mergeCell ref="D96:E98"/>
    <mergeCell ref="F96:F98"/>
    <mergeCell ref="G96:G98"/>
    <mergeCell ref="H96:H98"/>
    <mergeCell ref="I96:I98"/>
    <mergeCell ref="L90:L92"/>
    <mergeCell ref="M90:M92"/>
    <mergeCell ref="N90:N92"/>
    <mergeCell ref="O90:O92"/>
    <mergeCell ref="D93:E95"/>
    <mergeCell ref="F93:F95"/>
    <mergeCell ref="G93:G95"/>
    <mergeCell ref="H93:H95"/>
    <mergeCell ref="I93:I95"/>
    <mergeCell ref="A84:B111"/>
    <mergeCell ref="C84:C89"/>
    <mergeCell ref="D84:E89"/>
    <mergeCell ref="F84:F89"/>
    <mergeCell ref="G84:G89"/>
    <mergeCell ref="H84:H89"/>
    <mergeCell ref="I84:I89"/>
    <mergeCell ref="J84:J89"/>
    <mergeCell ref="K84:K89"/>
    <mergeCell ref="J93:J95"/>
    <mergeCell ref="J96:J98"/>
    <mergeCell ref="K96:K98"/>
    <mergeCell ref="C109:C111"/>
    <mergeCell ref="D109:E111"/>
    <mergeCell ref="F109:F111"/>
    <mergeCell ref="G109:G111"/>
    <mergeCell ref="H109:H111"/>
    <mergeCell ref="I109:I111"/>
    <mergeCell ref="N71:N76"/>
    <mergeCell ref="O71:O76"/>
    <mergeCell ref="A77:B83"/>
    <mergeCell ref="C77:C83"/>
    <mergeCell ref="D77:E83"/>
    <mergeCell ref="F77:F83"/>
    <mergeCell ref="G77:G83"/>
    <mergeCell ref="H77:H83"/>
    <mergeCell ref="O77:O83"/>
    <mergeCell ref="I77:I83"/>
    <mergeCell ref="J77:J83"/>
    <mergeCell ref="K77:K83"/>
    <mergeCell ref="L77:L83"/>
    <mergeCell ref="M77:M83"/>
    <mergeCell ref="N77:N83"/>
    <mergeCell ref="O60:O70"/>
    <mergeCell ref="A71:B76"/>
    <mergeCell ref="C71:C76"/>
    <mergeCell ref="D71:E76"/>
    <mergeCell ref="F71:F76"/>
    <mergeCell ref="G71:G76"/>
    <mergeCell ref="H71:H76"/>
    <mergeCell ref="I71:I76"/>
    <mergeCell ref="J71:J76"/>
    <mergeCell ref="K71:K76"/>
    <mergeCell ref="I60:I70"/>
    <mergeCell ref="J60:J70"/>
    <mergeCell ref="K60:K70"/>
    <mergeCell ref="L60:L70"/>
    <mergeCell ref="M60:M70"/>
    <mergeCell ref="N60:N70"/>
    <mergeCell ref="A60:B70"/>
    <mergeCell ref="C60:C70"/>
    <mergeCell ref="D60:E70"/>
    <mergeCell ref="F60:F70"/>
    <mergeCell ref="G60:G70"/>
    <mergeCell ref="H60:H70"/>
    <mergeCell ref="L71:L76"/>
    <mergeCell ref="M71:M76"/>
    <mergeCell ref="J53:J59"/>
    <mergeCell ref="K53:K59"/>
    <mergeCell ref="L53:L59"/>
    <mergeCell ref="M53:M59"/>
    <mergeCell ref="N53:N59"/>
    <mergeCell ref="O53:O59"/>
    <mergeCell ref="C53:C59"/>
    <mergeCell ref="D53:E59"/>
    <mergeCell ref="F53:F59"/>
    <mergeCell ref="G53:G59"/>
    <mergeCell ref="H53:H59"/>
    <mergeCell ref="I53:I59"/>
    <mergeCell ref="J47:J52"/>
    <mergeCell ref="K47:K52"/>
    <mergeCell ref="L47:L52"/>
    <mergeCell ref="M47:M52"/>
    <mergeCell ref="N47:N52"/>
    <mergeCell ref="O47:O52"/>
    <mergeCell ref="C47:C52"/>
    <mergeCell ref="D47:E52"/>
    <mergeCell ref="F47:F52"/>
    <mergeCell ref="G47:G52"/>
    <mergeCell ref="H47:H52"/>
    <mergeCell ref="I47:I52"/>
    <mergeCell ref="K41:K46"/>
    <mergeCell ref="L41:L46"/>
    <mergeCell ref="M41:M46"/>
    <mergeCell ref="N41:N46"/>
    <mergeCell ref="O41:O46"/>
    <mergeCell ref="K35:K40"/>
    <mergeCell ref="L35:L40"/>
    <mergeCell ref="M35:M40"/>
    <mergeCell ref="N35:N40"/>
    <mergeCell ref="O35:O40"/>
    <mergeCell ref="O21:O28"/>
    <mergeCell ref="D29:E34"/>
    <mergeCell ref="F29:F34"/>
    <mergeCell ref="G29:G34"/>
    <mergeCell ref="H29:H34"/>
    <mergeCell ref="I29:I34"/>
    <mergeCell ref="J29:J34"/>
    <mergeCell ref="K29:K34"/>
    <mergeCell ref="D41:E46"/>
    <mergeCell ref="F41:F46"/>
    <mergeCell ref="G41:G46"/>
    <mergeCell ref="H41:H46"/>
    <mergeCell ref="I41:I46"/>
    <mergeCell ref="L29:L34"/>
    <mergeCell ref="M29:M34"/>
    <mergeCell ref="N29:N34"/>
    <mergeCell ref="O29:O34"/>
    <mergeCell ref="D35:E40"/>
    <mergeCell ref="F35:F40"/>
    <mergeCell ref="G35:G40"/>
    <mergeCell ref="H35:H40"/>
    <mergeCell ref="I35:I40"/>
    <mergeCell ref="J35:J40"/>
    <mergeCell ref="J41:J46"/>
    <mergeCell ref="J21:J28"/>
    <mergeCell ref="K21:K28"/>
    <mergeCell ref="L21:L28"/>
    <mergeCell ref="I15:I20"/>
    <mergeCell ref="J15:J20"/>
    <mergeCell ref="K15:K20"/>
    <mergeCell ref="L15:L20"/>
    <mergeCell ref="M15:M20"/>
    <mergeCell ref="N15:N20"/>
    <mergeCell ref="M21:M28"/>
    <mergeCell ref="N21:N28"/>
    <mergeCell ref="L9:L14"/>
    <mergeCell ref="M9:M14"/>
    <mergeCell ref="N9:N14"/>
    <mergeCell ref="O9:O14"/>
    <mergeCell ref="C9:C20"/>
    <mergeCell ref="D9:E14"/>
    <mergeCell ref="F9:F14"/>
    <mergeCell ref="G9:G14"/>
    <mergeCell ref="H9:H14"/>
    <mergeCell ref="I9:I14"/>
    <mergeCell ref="D15:E20"/>
    <mergeCell ref="F15:F20"/>
    <mergeCell ref="G15:G20"/>
    <mergeCell ref="H15:H20"/>
    <mergeCell ref="O15:O20"/>
    <mergeCell ref="L3:L8"/>
    <mergeCell ref="M3:M8"/>
    <mergeCell ref="N3:N8"/>
    <mergeCell ref="O3:O8"/>
    <mergeCell ref="Q3:R4"/>
    <mergeCell ref="Q5:R5"/>
    <mergeCell ref="AF1:AG1"/>
    <mergeCell ref="AH1:AI1"/>
    <mergeCell ref="L1:L2"/>
    <mergeCell ref="M1:M2"/>
    <mergeCell ref="N1:O1"/>
    <mergeCell ref="W1:AA1"/>
    <mergeCell ref="AB1:AE1"/>
    <mergeCell ref="A3:B59"/>
    <mergeCell ref="C3:C8"/>
    <mergeCell ref="D3:E8"/>
    <mergeCell ref="F3:F8"/>
    <mergeCell ref="G3:G8"/>
    <mergeCell ref="H3:H8"/>
    <mergeCell ref="I3:I8"/>
    <mergeCell ref="J3:J8"/>
    <mergeCell ref="K1:K2"/>
    <mergeCell ref="A1:B2"/>
    <mergeCell ref="C1:C2"/>
    <mergeCell ref="D1:E2"/>
    <mergeCell ref="F1:G1"/>
    <mergeCell ref="H1:H2"/>
    <mergeCell ref="I1:J1"/>
    <mergeCell ref="K3:K8"/>
    <mergeCell ref="J9:J14"/>
    <mergeCell ref="K9:K14"/>
    <mergeCell ref="C21:C46"/>
    <mergeCell ref="D21:E28"/>
    <mergeCell ref="F21:F28"/>
    <mergeCell ref="G21:G28"/>
    <mergeCell ref="H21:H28"/>
    <mergeCell ref="I21:I28"/>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V165"/>
  <sheetViews>
    <sheetView zoomScale="85" zoomScaleNormal="85" workbookViewId="0">
      <pane xSplit="15" ySplit="2" topLeftCell="P46" activePane="bottomRight" state="frozen"/>
      <selection pane="topRight" activeCell="Q5" sqref="Q5:R5"/>
      <selection pane="bottomLeft" activeCell="Q5" sqref="Q5:R5"/>
      <selection pane="bottomRight" activeCell="Q5" sqref="Q5:R5"/>
    </sheetView>
  </sheetViews>
  <sheetFormatPr defaultRowHeight="15" x14ac:dyDescent="0.25"/>
  <cols>
    <col min="1" max="1" width="7.28515625" customWidth="1"/>
    <col min="2" max="2" width="7.140625" customWidth="1"/>
    <col min="3" max="3" width="11" customWidth="1"/>
    <col min="6" max="6" width="9.5703125" customWidth="1"/>
    <col min="8" max="8" width="9.28515625" customWidth="1"/>
    <col min="12" max="13" width="15.7109375" customWidth="1"/>
    <col min="19" max="19" width="13.5703125" customWidth="1"/>
    <col min="21" max="48" width="8.85546875" customWidth="1"/>
  </cols>
  <sheetData>
    <row r="1" spans="1:48" ht="31.9" customHeight="1" thickBot="1" x14ac:dyDescent="0.3">
      <c r="A1" s="134" t="s">
        <v>60</v>
      </c>
      <c r="B1" s="135"/>
      <c r="C1" s="138" t="s">
        <v>61</v>
      </c>
      <c r="D1" s="134" t="s">
        <v>62</v>
      </c>
      <c r="E1" s="135"/>
      <c r="F1" s="146" t="s">
        <v>63</v>
      </c>
      <c r="G1" s="147"/>
      <c r="H1" s="148" t="s">
        <v>64</v>
      </c>
      <c r="I1" s="150" t="s">
        <v>65</v>
      </c>
      <c r="J1" s="151"/>
      <c r="K1" s="161" t="s">
        <v>66</v>
      </c>
      <c r="L1" s="148" t="s">
        <v>67</v>
      </c>
      <c r="M1" s="163" t="s">
        <v>68</v>
      </c>
      <c r="N1" s="165" t="s">
        <v>479</v>
      </c>
      <c r="O1" s="166"/>
      <c r="P1" s="13"/>
      <c r="Q1" s="13"/>
      <c r="R1" s="13"/>
      <c r="W1" s="363" t="s">
        <v>482</v>
      </c>
      <c r="X1" s="363"/>
      <c r="Y1" s="363"/>
      <c r="Z1" s="363"/>
      <c r="AA1" s="363"/>
      <c r="AB1" s="363"/>
      <c r="AC1" s="363"/>
      <c r="AD1" s="363"/>
      <c r="AE1" s="363"/>
      <c r="AG1" s="363" t="s">
        <v>483</v>
      </c>
      <c r="AH1" s="363"/>
      <c r="AI1" s="363"/>
      <c r="AJ1" s="363"/>
      <c r="AK1" s="363"/>
      <c r="AL1" s="363"/>
      <c r="AM1" s="363"/>
      <c r="AN1" s="363"/>
      <c r="AO1" s="363" t="s">
        <v>72</v>
      </c>
      <c r="AP1" s="363"/>
      <c r="AQ1" s="363"/>
      <c r="AR1" s="363"/>
      <c r="AS1" s="363" t="s">
        <v>73</v>
      </c>
      <c r="AT1" s="363"/>
      <c r="AU1" s="363"/>
      <c r="AV1" s="363"/>
    </row>
    <row r="2" spans="1:48" ht="15.75" thickBot="1" x14ac:dyDescent="0.3">
      <c r="A2" s="136"/>
      <c r="B2" s="137"/>
      <c r="C2" s="139"/>
      <c r="D2" s="136"/>
      <c r="E2" s="137"/>
      <c r="F2" s="8" t="s">
        <v>74</v>
      </c>
      <c r="G2" s="9" t="s">
        <v>75</v>
      </c>
      <c r="H2" s="149"/>
      <c r="I2" s="9" t="s">
        <v>74</v>
      </c>
      <c r="J2" s="10" t="s">
        <v>75</v>
      </c>
      <c r="K2" s="162"/>
      <c r="L2" s="149"/>
      <c r="M2" s="164"/>
      <c r="N2" s="12" t="s">
        <v>74</v>
      </c>
      <c r="O2" s="12" t="s">
        <v>75</v>
      </c>
      <c r="P2" s="13"/>
      <c r="Q2" s="13"/>
      <c r="R2" s="13"/>
      <c r="W2" s="6" t="s">
        <v>484</v>
      </c>
      <c r="X2" s="6" t="s">
        <v>485</v>
      </c>
      <c r="Y2" s="6" t="s">
        <v>239</v>
      </c>
      <c r="Z2" s="14" t="s">
        <v>486</v>
      </c>
      <c r="AA2" s="14" t="s">
        <v>239</v>
      </c>
      <c r="AB2" s="14" t="s">
        <v>486</v>
      </c>
      <c r="AC2" s="6" t="s">
        <v>484</v>
      </c>
      <c r="AD2" s="6" t="s">
        <v>485</v>
      </c>
      <c r="AE2" s="6" t="s">
        <v>239</v>
      </c>
      <c r="AF2" s="14" t="s">
        <v>486</v>
      </c>
      <c r="AG2" s="6" t="s">
        <v>484</v>
      </c>
      <c r="AH2" s="6" t="s">
        <v>485</v>
      </c>
      <c r="AI2" s="6" t="s">
        <v>239</v>
      </c>
      <c r="AJ2" s="14" t="s">
        <v>486</v>
      </c>
      <c r="AK2" s="6" t="s">
        <v>484</v>
      </c>
      <c r="AL2" s="6" t="s">
        <v>485</v>
      </c>
      <c r="AM2" s="6" t="s">
        <v>239</v>
      </c>
      <c r="AN2" s="14" t="s">
        <v>486</v>
      </c>
      <c r="AO2" s="6" t="s">
        <v>484</v>
      </c>
      <c r="AP2" s="6" t="s">
        <v>485</v>
      </c>
      <c r="AQ2" s="6" t="s">
        <v>239</v>
      </c>
      <c r="AR2" s="14" t="s">
        <v>486</v>
      </c>
      <c r="AS2" s="6" t="s">
        <v>484</v>
      </c>
      <c r="AT2" s="6" t="s">
        <v>485</v>
      </c>
      <c r="AU2" s="14" t="s">
        <v>239</v>
      </c>
      <c r="AV2" s="14" t="s">
        <v>486</v>
      </c>
    </row>
    <row r="3" spans="1:48" x14ac:dyDescent="0.25">
      <c r="A3" s="80" t="s">
        <v>78</v>
      </c>
      <c r="B3" s="81"/>
      <c r="C3" s="158" t="s">
        <v>79</v>
      </c>
      <c r="D3" s="160" t="s">
        <v>80</v>
      </c>
      <c r="E3" s="160"/>
      <c r="F3" s="152">
        <f>IF(AND(AND(Q7="2009 - 2015 ipc"),OR(N3&gt;0,O3&gt;0),N3+O3&lt;=15),"Single restroom okay for 15 or less (IBC 2902.2(2))",IF(AND(AND(Q7="2021 - 2018 ipc"),OR(N3&gt;0,O3&gt;0),N3+O3&lt;=15),"Single restroom okay for 15 or less (IBC 2902.2(2))",IF(AND(AND(Q7="UPC"),OR(N3&gt;0,O3&gt;0),N3+O3&lt;=10),"Single restroom okay for 10 or less (422.2(2))",IF(AND(AND(Q7="california"),OR(N3&gt;0,O3&gt;0),N3+O3&lt;=10),"Single restroom okay for 10 or less (422.2(2))",IF(AND(OR(Q7="2009 - 2015 ipc",Q7="2021 - 2018 ipc"),Q12&lt;=15),"Single restroom okay for 15 or less (IBC 2902.2(2))",IF(AND(OR(Q7="UPC",Q7="CAlifornia"),Q12&lt;=10),"Single restroom okay for 10 or less (422.2(2))",IF(N3=0,INDEX(W4:Z4,MATCH(Q7,W2:Z2,0)),IF(OR(Q7="2021 - 2018 IPC",Q7="2009 - 2015 IPC"),ROUNDUP((N3/125),0),IF(OR(Q7="UPC",Q7="California"),IF(AND(N3&gt;0,N3&lt;=100),1,IF(AND(N3&gt;100,N3&lt;=200),2,IF(AND(N3&gt;200,N3&lt;=400),3,IF(N3&gt;400,(ROUNDUP(N3/500,1))+3,0)))))))))))))</f>
        <v>1</v>
      </c>
      <c r="G3" s="152">
        <f>IF(AND(AND(Q7="2009 - 2015 ipc"),OR(N3&gt;0,O3&gt;0),N3+O3&lt;=15),"-",IF(AND(AND(Q7="2021 - 2018 ipc"),OR(N3&gt;0,O3&gt;0),N3+O3&lt;=15),"-",IF(AND(AND(Q7="UPC"),OR(N3&gt;0,O3&gt;0),N3+O3&lt;=10),"-",IF(AND(AND(Q7="california"),OR(N3&gt;0,O3&gt;0),N3+O3&lt;=10),"-",IF(AND(OR(Q7="2009 - 2015 ipc",Q7="2021 - 2018 ipc"),Q12&lt;=15),"-",IF(AND(OR(Q7="UPC",Q7="CAlifornia"),Q12&lt;=10),"-",IF(O3=0,INDEX(AC4:AF4,MATCH(Q7,AC2:AF2,0)),IF(OR(Q7="2021 - 2018 IPC",Q7="2009 - 2015 IPC"),ROUNDUP((O3/125),0),IF(OR(Q7="UPC",Q7="California"),IF(AND(O3&gt;0,O3&lt;=25),1,IF(AND(O3&gt;25,O3&lt;=50),2,IF(AND(O3&gt;50,O3&lt;=100),3,IF(AND(O3&gt;100,O3&lt;=200),4,IF(AND(O3&gt;200,O3&lt;=300),6,IF(AND(O3&gt;300,O3&lt;=400),8,IF(O3&gt;400,(ROUNDUP(O3/125,1))+5,0))))))))))))))))</f>
        <v>1</v>
      </c>
      <c r="H3" s="152" t="str">
        <f>IF(OR(Q7="UPC",Q7="California"),"Can substitute up to 67% of required fixtures","Can substitute up to 67% of required fixtures")</f>
        <v>Can substitute up to 67% of required fixtures</v>
      </c>
      <c r="I3" s="152">
        <f>IF(N3=0,INDEX(AG4:AJ4,MATCH(Q7,AG2:AJ2,0)),IF(OR(Q7="2021 - 2018 IPC",Q7="2009 - 2015 IPC"),ROUNDUP((N3/200),0),IF(OR(Q7="upc",Q7="California"),IF(AND(N3&gt;0,N3&lt;=200),1,IF(AND(N3&gt;200,N3&lt;=400),2,IF(AND(N3&gt;400,N3&lt;=600),3,IF(AND(N3&gt;600,N3&lt;=750),4,IF(N3&gt;750,(ROUNDUP(N3/250,0)+1),0))))))))</f>
        <v>1</v>
      </c>
      <c r="J3" s="152">
        <f>IF(O3=0,INDEX(AK4:AN4,MATCH(Q7,AK2:AN2,0)),IF(OR(Q7="2021 - 2018 IPC",Q7="2009 - 2015 IPC"),ROUNDUP((O3/200),0),IF(OR(Q7="upc",Q7="California"),IF(AND(O3&gt;0,O3&lt;=100),1,IF(AND(O3&gt;100,O3&lt;=200),2,IF(AND(O3&gt;200,O3&lt;=300),4,IF(AND(O3&gt;300,O3&lt;=500),5,IF(AND(O3&gt;500,O3&lt;=750),6,IF(O3&gt;750,(ROUNDUP(O3/200,0)+3),0)))))))))</f>
        <v>1</v>
      </c>
      <c r="K3" s="152" t="s">
        <v>82</v>
      </c>
      <c r="L3" s="152" t="str">
        <f>IF(AND(AND(Q7="2009 - 2015 ipc"),OR(N3&gt;0,O3&gt;0),N3+O3&lt;=15),"15 or less Fountain exempt(IPC 410.2)",IF(AND(AND(Q7="2021 - 2018 ipc"),OR(N3&gt;0,O3&gt;0),N3+O3&lt;=15),"15 or less Fountain exempt(IPC 410.2)",IF(AND(OR(Q7="2009 - 2015 ipc",Q7="2021 - 2018 ipc"),Q12&lt;=15),"15 or less Fountain exempt(IPC 410.2)",IF(AND(AND(Q7="UPC"),OR(N3&gt;0,O3&gt;0),N3+O3&lt;=30),"30 or less Fountain exempt(UPC 415.2)",IF(AND(AND(Q7="california"),OR(N3&gt;0,O3&gt;0),N3+O3&lt;=30),"30 or less Fountain exempt(CPC 415.2)",IF(AND(OR(Q7="UPC",Q7="CAlifornia"),Q12&lt;=30),"30 or less Fountain exempt(UPC / CPC 415.2)",IF(OR(N3=0,O3=0),INDEX(AO4:AR4,MATCH(Q7,AO2:AR2,0)),IF(OR(Q7="2021 - 2018 IPC",Q7="2009 - 2015 IPC"),ROUNDUP((Q12/500),0),IF(OR(Q7="upc",Q7="California"),IF(AND(Q12&gt;0,Q12&lt;=250),1,IF(AND(Q12&gt;250,Q12&lt;=500),2,IF(AND(Q12&gt;500,Q12&lt;=750),3,IF(Q12&gt;750,(ROUNDUP(Q12/500,0)+2),0)))))))))))))</f>
        <v>30 or less Fountain exempt(UPC / CPC 415.2)</v>
      </c>
      <c r="M3" s="153" t="s">
        <v>83</v>
      </c>
      <c r="N3" s="154">
        <v>0</v>
      </c>
      <c r="O3" s="156">
        <v>0</v>
      </c>
      <c r="P3" s="13"/>
      <c r="V3" s="2"/>
      <c r="W3" s="6" t="s">
        <v>85</v>
      </c>
      <c r="X3" s="6" t="s">
        <v>85</v>
      </c>
      <c r="Y3" s="6" t="s">
        <v>85</v>
      </c>
      <c r="Z3" s="6" t="s">
        <v>85</v>
      </c>
      <c r="AA3" s="6" t="s">
        <v>242</v>
      </c>
      <c r="AB3" s="6" t="s">
        <v>242</v>
      </c>
      <c r="AC3" s="4" t="s">
        <v>86</v>
      </c>
      <c r="AD3" s="4" t="s">
        <v>86</v>
      </c>
      <c r="AE3" s="4" t="s">
        <v>86</v>
      </c>
      <c r="AF3" s="4" t="s">
        <v>86</v>
      </c>
      <c r="AG3" s="6" t="s">
        <v>85</v>
      </c>
      <c r="AH3" s="6" t="s">
        <v>85</v>
      </c>
      <c r="AI3" s="6" t="s">
        <v>85</v>
      </c>
      <c r="AJ3" s="6" t="s">
        <v>85</v>
      </c>
      <c r="AK3" s="4" t="s">
        <v>86</v>
      </c>
      <c r="AL3" s="4" t="s">
        <v>86</v>
      </c>
      <c r="AM3" s="4" t="s">
        <v>86</v>
      </c>
      <c r="AN3" s="4" t="s">
        <v>86</v>
      </c>
      <c r="AO3" s="6" t="s">
        <v>72</v>
      </c>
      <c r="AP3" s="6" t="s">
        <v>72</v>
      </c>
      <c r="AQ3" s="6" t="s">
        <v>72</v>
      </c>
      <c r="AR3" s="6" t="s">
        <v>72</v>
      </c>
      <c r="AS3" s="6" t="s">
        <v>73</v>
      </c>
      <c r="AT3" s="6" t="s">
        <v>73</v>
      </c>
      <c r="AU3" s="6" t="s">
        <v>73</v>
      </c>
      <c r="AV3" s="6" t="s">
        <v>73</v>
      </c>
    </row>
    <row r="4" spans="1:48" x14ac:dyDescent="0.25">
      <c r="A4" s="82"/>
      <c r="B4" s="83"/>
      <c r="C4" s="159"/>
      <c r="D4" s="111"/>
      <c r="E4" s="111"/>
      <c r="F4" s="112"/>
      <c r="G4" s="112"/>
      <c r="H4" s="112"/>
      <c r="I4" s="112"/>
      <c r="J4" s="112"/>
      <c r="K4" s="112"/>
      <c r="L4" s="112"/>
      <c r="M4" s="114"/>
      <c r="N4" s="155"/>
      <c r="O4" s="157"/>
      <c r="P4" s="13"/>
      <c r="U4" s="5" t="s">
        <v>87</v>
      </c>
      <c r="V4" t="s">
        <v>88</v>
      </c>
      <c r="W4" s="3">
        <f>ROUNDUP((Q15/125),0)</f>
        <v>1</v>
      </c>
      <c r="X4" s="1">
        <f>ROUNDUP((Q15/125),0)</f>
        <v>1</v>
      </c>
      <c r="Y4" s="1">
        <f>IF(AND(Q15&gt;0,Q15&lt;=100),1,IF(AND(Q15&gt;100,Q15&lt;=200),2,IF(AND(Q15&gt;200,Q15&lt;=400),3,IF(Q15&gt;400,(ROUNDUP(Q15/500,1))+3,0))))</f>
        <v>1</v>
      </c>
      <c r="Z4" s="3">
        <f>IF(AND(Q15&gt;0,Q15&lt;=100),1,IF(AND(Q15&gt;100,Q15&lt;=200),2,IF(AND(Q15&gt;200,Q15&lt;=400),3,IF(Q15&gt;400,(ROUNDUP(Q15/500,1))+3,0))))</f>
        <v>1</v>
      </c>
      <c r="AA4" s="3">
        <f>IF(AND(Q15&gt;0,Q15&lt;=200),1,IF(AND(Q15&gt;200,Q15&lt;=300),2,IF(AND(Q15&gt;300,Q15&lt;=400),3,IF(AND(Q15&gt;400,Q15&lt;=600),6,IF(Q15&gt;600,(ROUNDUP(Q15/300,0))+2,0)))))</f>
        <v>1</v>
      </c>
      <c r="AB4" s="3">
        <f>IF(AND(Q15&gt;0,Q15&lt;=200),1,IF(AND(Q15&gt;200,Q15&lt;=300),2,IF(AND(Q15&gt;300,Q15&lt;=400),3,IF(AND(Q15&gt;400,Q15&lt;=600),6,IF(Q15&gt;600,(ROUNDUP(Q15/300,0))+2,0)))))</f>
        <v>1</v>
      </c>
      <c r="AC4" s="3">
        <f>ROUNDUP((R15/65),0)</f>
        <v>1</v>
      </c>
      <c r="AD4" s="1">
        <f>ROUNDUP((R15/65),0)</f>
        <v>1</v>
      </c>
      <c r="AE4" s="3">
        <f>IF(AND(R15&gt;0,R15&lt;=25),1,IF(AND(R15&gt;25,R15&lt;=50),2,IF(AND(R15&gt;50,R15&lt;=100),3,IF(AND(R15&gt;100,R15&lt;=200),4,IF(AND(R15&gt;200,R15&lt;=300),6,IF(AND(R15&gt;300,R15&lt;=400),8,IF(R15&gt;400,(ROUNDUP(R15/125,0))+5,0)))))))</f>
        <v>1</v>
      </c>
      <c r="AF4" s="3">
        <f>IF(AND(R15&gt;0,R15&lt;=25),1,IF(AND(R15&gt;25,R15&lt;=50),2,IF(AND(R15&gt;50,R15&lt;=100),3,IF(AND(R15&gt;100,R15&lt;=200),4,IF(AND(R15&gt;200,R15&lt;=300),6,IF(AND(R15&gt;300,R15&lt;=400),8,IF(R15&gt;400,(ROUNDUP(R15/125,0))+5,0)))))))</f>
        <v>1</v>
      </c>
      <c r="AG4" s="3">
        <f>ROUNDUP((Q15/200),0)</f>
        <v>1</v>
      </c>
      <c r="AH4" s="3">
        <f>ROUNDUP((Q15/200),0)</f>
        <v>1</v>
      </c>
      <c r="AI4" s="1">
        <f>IF(AND(Q15&gt;0,Q15&lt;=200),1,IF(AND(Q15&gt;200,Q15&lt;=400),2,IF(AND(Q15&gt;400,Q15&lt;=600),3,IF(AND(Q15&gt;600,Q15&lt;=750),4,IF(Q15&gt;750,(ROUNDUP(Q15/250,0)+1),0)))))</f>
        <v>1</v>
      </c>
      <c r="AJ4" s="1">
        <f>IF(AND(Q15&gt;0,Q15&lt;=200),1,IF(AND(Q15&gt;200,Q15&lt;=400),2,IF(AND(Q15&gt;400,Q15&lt;=600),3,IF(AND(Q15&gt;600,Q15&lt;=750),4,IF(Q15&gt;750,(ROUNDUP(Q15/250,0)+1),0)))))</f>
        <v>1</v>
      </c>
      <c r="AK4" s="1">
        <f>ROUNDUP((R15/200),0)</f>
        <v>1</v>
      </c>
      <c r="AL4" s="1">
        <f>ROUNDUP((R15/200),0)</f>
        <v>1</v>
      </c>
      <c r="AM4" s="3">
        <f>IF(AND(R15&gt;0,R15&lt;=100),1,IF(AND(R15&gt;100,R15&lt;=200),2,IF(AND(R15&gt;200,R15&lt;=300),4,IF(AND(R15&gt;300,R15&lt;=500),5,IF(AND(R15&gt;500,R15&lt;=750),6,IF(R15&gt;750,(ROUNDUP(R15/200,0)+3),0))))))</f>
        <v>1</v>
      </c>
      <c r="AN4" s="3">
        <f>IF(AND(R15&gt;0,R15&lt;=100),1,IF(AND(R15&gt;100,R15&lt;=200),2,IF(AND(R15&gt;200,R15&lt;=300),4,IF(AND(R15&gt;300,R15&lt;=500),5,IF(AND(R15&gt;500,R15&lt;=750),6,IF(R15&gt;750,(ROUNDUP(R15/200,0)+3),0))))))</f>
        <v>1</v>
      </c>
      <c r="AO4" s="3">
        <f>ROUNDUP((Q12/500),0)</f>
        <v>1</v>
      </c>
      <c r="AP4" s="3">
        <f>ROUNDUP((Q12/500),0)</f>
        <v>1</v>
      </c>
      <c r="AQ4" s="1">
        <f>IF(AND(Q12&gt;0,Q12&lt;=250),1,IF(AND(Q12&gt;250,Q12&lt;=500),2,IF(AND(Q12&gt;500,Q12&lt;=750),3,IF(Q12&gt;750,(ROUNDUP(Q12/500,0)+2),0))))</f>
        <v>1</v>
      </c>
      <c r="AR4" s="1">
        <f>IF(AND(Q12&gt;0,Q12&lt;=250),1,IF(AND(Q12&gt;250,Q12&lt;=500),2,IF(AND(Q12&gt;500,Q12&lt;=750),3,IF(Q12&gt;750,(ROUNDUP(Q12/500,0)+2),0))))</f>
        <v>1</v>
      </c>
      <c r="AS4" s="1" t="s">
        <v>82</v>
      </c>
      <c r="AT4" s="1" t="s">
        <v>82</v>
      </c>
      <c r="AU4" s="1" t="s">
        <v>82</v>
      </c>
      <c r="AV4" s="1" t="s">
        <v>82</v>
      </c>
    </row>
    <row r="5" spans="1:48" ht="15.75" thickBot="1" x14ac:dyDescent="0.3">
      <c r="A5" s="82"/>
      <c r="B5" s="83"/>
      <c r="C5" s="159"/>
      <c r="D5" s="111"/>
      <c r="E5" s="111"/>
      <c r="F5" s="112"/>
      <c r="G5" s="112"/>
      <c r="H5" s="112"/>
      <c r="I5" s="112"/>
      <c r="J5" s="112"/>
      <c r="K5" s="112"/>
      <c r="L5" s="112"/>
      <c r="M5" s="114"/>
      <c r="N5" s="155"/>
      <c r="O5" s="157"/>
      <c r="P5" s="13"/>
      <c r="U5" s="5" t="s">
        <v>89</v>
      </c>
      <c r="V5" t="s">
        <v>90</v>
      </c>
      <c r="W5" s="1">
        <f>ROUNDUP((Q15/40),0)</f>
        <v>1</v>
      </c>
      <c r="X5" s="1">
        <f>ROUNDUP((Q15/40),0)</f>
        <v>1</v>
      </c>
      <c r="Y5" s="1">
        <f>IF(AND(Q15&gt;0,Q15&lt;=50),1,IF(AND(Q15&gt;50,Q15&lt;=150),2,IF(AND(Q15&gt;150,Q15&lt;=300),3,IF(AND(Q15&gt;300,Q15&lt;=400),4,IF(Q15&gt;400,(ROUNDUP(Q15/250,1))+3,0)))))</f>
        <v>1</v>
      </c>
      <c r="Z5" s="3">
        <f>IF(AND(Q15&gt;0,Q15&lt;=50),1,IF(AND(Q15&gt;50,Q15&lt;=150),2,IF(AND(Q15&gt;150,Q15&lt;=300),3,IF(AND(Q15&gt;300,Q15&lt;=400),4,IF(Q15&gt;400,(ROUNDUP(Q15/250,1))+3,0)))))</f>
        <v>1</v>
      </c>
      <c r="AA5" s="3">
        <f>IF(AND(Q15&gt;0,Q15&lt;=200),1,IF(AND(Q15&gt;200,Q15&lt;=300),2,IF(AND(Q15&gt;300,Q15&lt;=400),3,IF(AND(Q15&gt;400,Q15&lt;=600),6,IF(Q15&gt;600,(ROUNDUP(Q15/300,0))+2,0)))))</f>
        <v>1</v>
      </c>
      <c r="AB5" s="3">
        <f>IF(AND(Q15&gt;0,Q15&lt;=200),1,IF(AND(Q15&gt;200,Q15&lt;=300),2,IF(AND(Q15&gt;300,Q15&lt;=400),3,IF(AND(Q15&gt;400,Q15&lt;=600),6,IF(Q15&gt;600,(ROUNDUP(Q15/300,0))+2,0)))))</f>
        <v>1</v>
      </c>
      <c r="AC5" s="1">
        <f>ROUNDUP((R15/40),0)</f>
        <v>1</v>
      </c>
      <c r="AD5" s="1">
        <f>ROUNDUP((R15/40),0)</f>
        <v>1</v>
      </c>
      <c r="AE5" s="3">
        <f>IF(AND(R15&gt;0,R15&lt;=25),1,IF(AND(R15&gt;25,R15&lt;=50),2,IF(AND(R15&gt;50,R15&lt;=100),3,IF(AND(R15&gt;100,R15&lt;=200),4,IF(AND(R15&gt;200,R15&lt;=300),6,IF(AND(R15&gt;300,R15&lt;=400),8,IF(R15&gt;400,(ROUNDUP(R15/125,1))+5,0)))))))</f>
        <v>1</v>
      </c>
      <c r="AF5" s="3">
        <f>IF(AND(R15&gt;0,R15&lt;=25),1,IF(AND(R15&gt;25,R15&lt;=50),2,IF(AND(R15&gt;50,R15&lt;=100),3,IF(AND(R15&gt;100,R15&lt;=200),4,IF(AND(R15&gt;200,R15&lt;=300),6,IF(AND(R15&gt;300,R15&lt;=400),8,IF(R15&gt;400,(ROUNDUP(R15/125,1))+5,0)))))))</f>
        <v>1</v>
      </c>
      <c r="AG5" s="1">
        <f>ROUNDUP((Q15/75),0)</f>
        <v>1</v>
      </c>
      <c r="AH5" s="1">
        <f>ROUNDUP((Q15/75),0)</f>
        <v>1</v>
      </c>
      <c r="AI5" s="1">
        <f>IF(AND(Q15&gt;0,Q15&lt;=150),1,IF(AND(Q15&gt;150,Q15&lt;=200),2,IF(AND(Q15&gt;200,Q15&lt;=400),3,IF(Q15&gt;400,(ROUNDUP(Q15/250,0)+2),0))))</f>
        <v>1</v>
      </c>
      <c r="AJ5" s="1">
        <f>IF(AND(Q15&gt;0,Q15&lt;=150),1,IF(AND(Q15&gt;150,Q15&lt;=200),2,IF(AND(Q15&gt;200,Q15&lt;=400),3,IF(Q15&gt;400,(ROUNDUP(Q15/250,0)+2),0))))</f>
        <v>1</v>
      </c>
      <c r="AK5" s="1">
        <f>ROUNDUP((R15/75),0)</f>
        <v>1</v>
      </c>
      <c r="AL5" s="1">
        <f>ROUNDUP((R15/75),0)</f>
        <v>1</v>
      </c>
      <c r="AM5" s="1">
        <f>IF(AND(R15&gt;0,R15&lt;=150),1,IF(AND(R15&gt;150,R15&lt;=200),2,IF(AND(R15&gt;200,R15&lt;=400),4,IF(R15&gt;400,(ROUNDUP(R15/200,0)+2),0))))</f>
        <v>1</v>
      </c>
      <c r="AN5" s="1">
        <f>IF(AND(R15&gt;0,R15&lt;=150),1,IF(AND(R15&gt;150,R15&lt;=200),2,IF(AND(R15&gt;200,R15&lt;=400),4,IF(R15&gt;400,(ROUNDUP(R15/200,0)+2),0))))</f>
        <v>1</v>
      </c>
      <c r="AO5" s="3">
        <f>ROUNDUP((Q12/500),0)</f>
        <v>1</v>
      </c>
      <c r="AP5" s="3">
        <f>ROUNDUP((Q12/500),0)</f>
        <v>1</v>
      </c>
      <c r="AQ5" s="1">
        <f>IF(AND(Q12&gt;0,Q12&lt;=250),1,IF(AND(Q12&gt;250,Q12&lt;=500),2,IF(AND(Q12&gt;500,Q12&lt;=750),3,IF(Q12&gt;750,(ROUNDUP(Q12/500,0)+2),0))))</f>
        <v>1</v>
      </c>
      <c r="AR5" s="1">
        <f>IF(AND(Q12&gt;0,Q12&lt;=250),1,IF(AND(Q12&gt;250,Q12&lt;=500),2,IF(AND(Q12&gt;500,Q12&lt;=750),3,IF(Q12&gt;750,(ROUNDUP(Q12/500,0)+2),0))))</f>
        <v>1</v>
      </c>
      <c r="AS5" s="1" t="s">
        <v>82</v>
      </c>
      <c r="AT5" s="1" t="s">
        <v>82</v>
      </c>
      <c r="AU5" s="1" t="s">
        <v>82</v>
      </c>
      <c r="AV5" s="1" t="s">
        <v>82</v>
      </c>
    </row>
    <row r="6" spans="1:48" ht="14.45" customHeight="1" thickBot="1" x14ac:dyDescent="0.3">
      <c r="A6" s="82"/>
      <c r="B6" s="83"/>
      <c r="C6" s="159"/>
      <c r="D6" s="111"/>
      <c r="E6" s="111"/>
      <c r="F6" s="112"/>
      <c r="G6" s="112"/>
      <c r="H6" s="112"/>
      <c r="I6" s="112"/>
      <c r="J6" s="112"/>
      <c r="K6" s="112"/>
      <c r="L6" s="112"/>
      <c r="M6" s="114"/>
      <c r="N6" s="155"/>
      <c r="O6" s="157"/>
      <c r="Q6" s="364" t="s">
        <v>487</v>
      </c>
      <c r="R6" s="365"/>
      <c r="U6" s="5" t="s">
        <v>91</v>
      </c>
      <c r="V6" t="s">
        <v>90</v>
      </c>
      <c r="W6" s="1">
        <f>ROUNDUP((Q15/75),0)</f>
        <v>1</v>
      </c>
      <c r="X6" s="1">
        <f>ROUNDUP((Q15/75),0)</f>
        <v>1</v>
      </c>
      <c r="Y6" s="1">
        <f>IF(AND(Q15&gt;0,Q15&lt;=50),1,IF(AND(Q15&gt;50,Q15&lt;=150),2,IF(AND(Q15&gt;150,Q15&lt;=300),3,IF(AND(Q15&gt;300,Q15&lt;=400),4,IF(Q15&gt;400,(ROUNDUP(Q15/250,1))+3,0)))))</f>
        <v>1</v>
      </c>
      <c r="Z6" s="3">
        <f>IF(AND(Q15&gt;0,Q15&lt;=50),1,IF(AND(Q15&gt;50,Q15&lt;=150),2,IF(AND(Q15&gt;150,Q15&lt;=300),3,IF(AND(Q15&gt;300,Q15&lt;=400),4,IF(Q15&gt;400,(ROUNDUP(Q15/250,1))+3,0)))))</f>
        <v>1</v>
      </c>
      <c r="AA6" s="3">
        <f>IF(AND(Q15&gt;0,Q15&lt;=200),1,IF(AND(Q15&gt;200,Q15&lt;=300),2,IF(AND(Q15&gt;300,Q15&lt;=400),3,IF(AND(Q15&gt;400,Q15&lt;=600),6,IF(Q15&gt;600,(ROUNDUP(Q15/300,0))+2,0)))))</f>
        <v>1</v>
      </c>
      <c r="AB6" s="3">
        <f>IF(AND(Q15&gt;0,Q15&lt;=200),1,IF(AND(Q15&gt;200,Q15&lt;=300),2,IF(AND(Q15&gt;300,Q15&lt;=400),3,IF(AND(Q15&gt;400,Q15&lt;=600),6,IF(Q15&gt;600,(ROUNDUP(Q15/300,0))+2,0)))))</f>
        <v>1</v>
      </c>
      <c r="AC6" s="1">
        <f>ROUNDUP((R15/75),0)</f>
        <v>1</v>
      </c>
      <c r="AD6" s="1">
        <f>ROUNDUP((R15/75),0)</f>
        <v>1</v>
      </c>
      <c r="AE6" s="3">
        <f>IF(AND(R15&gt;0,R15&lt;=25),1,IF(AND(R15&gt;25,R15&lt;=50),2,IF(AND(R15&gt;50,R15&lt;=100),3,IF(AND(R15&gt;100,R15&lt;=200),4,IF(AND(R15&gt;200,R15&lt;=300),6,IF(AND(R15&gt;300,R15&lt;=400),8,IF(R15&gt;400,(ROUNDUP(R15/125,1))+5,0)))))))</f>
        <v>1</v>
      </c>
      <c r="AF6" s="3">
        <f>IF(AND(R15&gt;0,R15&lt;=25),1,IF(AND(R15&gt;25,R15&lt;=50),2,IF(AND(R15&gt;50,R15&lt;=100),3,IF(AND(R15&gt;100,R15&lt;=200),4,IF(AND(R15&gt;200,R15&lt;=300),6,IF(AND(R15&gt;300,R15&lt;=400),8,IF(R15&gt;400,(ROUNDUP(R15/125,1))+5,0)))))))</f>
        <v>1</v>
      </c>
      <c r="AG6" s="1">
        <f>ROUNDUP((Q15/200),0)</f>
        <v>1</v>
      </c>
      <c r="AH6" s="1">
        <f>ROUNDUP((Q15/200),0)</f>
        <v>1</v>
      </c>
      <c r="AI6" s="1">
        <f>IF(AND(Q15&gt;0,Q15&lt;=200),1,IF(AND(Q15&gt;200,Q15&lt;=400),2,IF(AND(Q15&gt;400,Q15&lt;=600),3,IF(AND(Q15&gt;600,Q15&lt;=750),4,IF(Q15&gt;750,(ROUNDUP(Q15/250,0)+1),0)))))</f>
        <v>1</v>
      </c>
      <c r="AJ6" s="1">
        <f>IF(AND(Q15&gt;0,Q15&lt;=200),1,IF(AND(Q15&gt;200,Q15&lt;=400),2,IF(AND(Q15&gt;400,Q15&lt;=600),3,IF(AND(Q15&gt;600,Q15&lt;=750),4,IF(Q15&gt;750,(ROUNDUP(Q15/250,0)+1),0)))))</f>
        <v>1</v>
      </c>
      <c r="AK6" s="1">
        <f>ROUNDUP((R15/200),0)</f>
        <v>1</v>
      </c>
      <c r="AL6" s="1">
        <f>ROUNDUP((R15/200),0)</f>
        <v>1</v>
      </c>
      <c r="AM6" s="1">
        <f>IF(AND(R15&gt;0,R15&lt;=100),1,IF(AND(R15&gt;100,R15&lt;=200),2,IF(AND(R15&gt;200,R15&lt;=300),4,IF(AND(R15&gt;300,R15&lt;=500),5,IF(AND(R15&gt;500,R15&lt;=750),6,IF(R15&gt;750,(ROUNDUP(R15/200,0)+3),0))))))</f>
        <v>1</v>
      </c>
      <c r="AN6" s="1">
        <f>IF(AND(R15&gt;0,R15&lt;=100),1,IF(AND(R15&gt;100,R15&lt;=200),2,IF(AND(R15&gt;200,R15&lt;=300),4,IF(AND(R15&gt;300,R15&lt;=500),5,IF(AND(R15&gt;500,R15&lt;=750),6,IF(R15&gt;750,(ROUNDUP(R15/200,0)+3),0))))))</f>
        <v>1</v>
      </c>
      <c r="AO6" s="3">
        <f>ROUNDUP((Q12/500),0)</f>
        <v>1</v>
      </c>
      <c r="AP6" s="3">
        <f>ROUNDUP((Q12/500),0)</f>
        <v>1</v>
      </c>
      <c r="AQ6" s="1">
        <f>IF(AND(Q12&gt;0,Q12&lt;=250),1,IF(AND(Q12&gt;250,Q12&lt;=500),2,IF(AND(Q12&gt;500,Q12&lt;=750),3,IF(Q12&gt;750,(ROUNDUP(Q12/500,0)+2),0))))</f>
        <v>1</v>
      </c>
      <c r="AR6" s="1">
        <f>IF(AND(Q12&gt;0,Q12&lt;=250),1,IF(AND(Q12&gt;250,Q12&lt;=500),2,IF(AND(Q12&gt;500,Q12&lt;=750),3,IF(Q12&gt;750,(ROUNDUP(Q12/500,0)+2),0))))</f>
        <v>1</v>
      </c>
      <c r="AS6" s="1" t="s">
        <v>82</v>
      </c>
      <c r="AT6" s="1" t="s">
        <v>82</v>
      </c>
      <c r="AU6" s="1" t="s">
        <v>82</v>
      </c>
      <c r="AV6" s="1" t="s">
        <v>82</v>
      </c>
    </row>
    <row r="7" spans="1:48" ht="19.5" thickBot="1" x14ac:dyDescent="0.3">
      <c r="A7" s="82"/>
      <c r="B7" s="83"/>
      <c r="C7" s="159"/>
      <c r="D7" s="111"/>
      <c r="E7" s="111"/>
      <c r="F7" s="112"/>
      <c r="G7" s="112"/>
      <c r="H7" s="112"/>
      <c r="I7" s="112"/>
      <c r="J7" s="112"/>
      <c r="K7" s="112"/>
      <c r="L7" s="112"/>
      <c r="M7" s="114"/>
      <c r="N7" s="155"/>
      <c r="O7" s="157"/>
      <c r="Q7" s="366" t="s">
        <v>239</v>
      </c>
      <c r="R7" s="145"/>
      <c r="U7" s="5" t="s">
        <v>92</v>
      </c>
      <c r="V7" t="s">
        <v>93</v>
      </c>
      <c r="W7" s="3">
        <f>ROUNDUP((Q15/125),0)</f>
        <v>1</v>
      </c>
      <c r="X7" s="1">
        <f>ROUNDUP((Q15/125),0)</f>
        <v>1</v>
      </c>
      <c r="Y7" s="1">
        <f>IF(AND(Q15&gt;0,Q15&lt;=100),1,IF(AND(Q15&gt;100,Q15&lt;=200),2,IF(AND(Q15&gt;200,Q15&lt;=400),3,IF(Q15&gt;400,(ROUNDUP(Q15/500,1))+3,0))))</f>
        <v>1</v>
      </c>
      <c r="Z7" s="3">
        <f>IF(AND(Q15&gt;0,Q15&lt;=100),1,IF(AND(Q15&gt;100,Q15&lt;=200),2,IF(AND(Q15&gt;200,Q15&lt;=400),3,IF(Q15&gt;400,(ROUNDUP(Q15/500,1))+3,0))))</f>
        <v>1</v>
      </c>
      <c r="AA7" s="3">
        <f>IF(AND(Q15&gt;0,Q15&lt;=200),1,IF(AND(Q15&gt;200,Q15&lt;=300),2,IF(AND(Q15&gt;300,Q15&lt;=400),3,IF(AND(Q15&gt;400,Q15&lt;=600),6,IF(Q15&gt;600,(ROUNDUP(Q15/300,0))+2,0)))))</f>
        <v>1</v>
      </c>
      <c r="AB7" s="3">
        <f>IF(AND(Q15&gt;0,Q15&lt;=200),1,IF(AND(Q15&gt;200,Q15&lt;=300),2,IF(AND(Q15&gt;300,Q15&lt;=400),3,IF(AND(Q15&gt;400,Q15&lt;=600),6,IF(Q15&gt;600,(ROUNDUP(Q15/300,0))+2,0)))))</f>
        <v>1</v>
      </c>
      <c r="AC7" s="3">
        <f>ROUNDUP((R15/65),0)</f>
        <v>1</v>
      </c>
      <c r="AD7" s="1">
        <f>ROUNDUP((R15/65),0)</f>
        <v>1</v>
      </c>
      <c r="AE7" s="3">
        <f>IF(AND(R15&gt;0,R15&lt;=25),1,IF(AND(R15&gt;25,R15&lt;=50),2,IF(AND(R15&gt;50,R15&lt;=100),3,IF(AND(R15&gt;100,R15&lt;=200),4,IF(AND(R15&gt;200,R15&lt;=300),6,IF(AND(R15&gt;300,R15&lt;=400),8,IF(R15&gt;400,(ROUNDUP(R15/125,1))+5,0)))))))</f>
        <v>1</v>
      </c>
      <c r="AF7" s="3">
        <f>IF(AND(R15&gt;0,R15&lt;=25),1,IF(AND(R15&gt;25,R15&lt;=50),2,IF(AND(R15&gt;50,R15&lt;=100),3,IF(AND(R15&gt;100,R15&lt;=200),4,IF(AND(R15&gt;200,R15&lt;=300),6,IF(AND(R15&gt;300,R15&lt;=400),8,IF(R15&gt;400,(ROUNDUP(R15/125,1))+5,0)))))))</f>
        <v>1</v>
      </c>
      <c r="AG7" s="3">
        <f>ROUNDUP((Q15/200),0)</f>
        <v>1</v>
      </c>
      <c r="AH7" s="3">
        <f>ROUNDUP((Q15/200),0)</f>
        <v>1</v>
      </c>
      <c r="AI7" s="1">
        <f>IF(AND(Q15&gt;0,Q15&lt;=200),1,IF(AND(Q15&gt;200,Q15&lt;=400),2,IF(AND(Q15&gt;400,Q15&lt;=600),3,IF(AND(Q15&gt;600,Q15&lt;=750),4,IF(Q15&gt;750,(ROUNDUP(Q15/250,0)+1),0)))))</f>
        <v>1</v>
      </c>
      <c r="AJ7" s="1">
        <f>IF(AND(Q15&gt;0,Q15&lt;=200),1,IF(AND(Q15&gt;200,Q15&lt;=400),2,IF(AND(Q15&gt;400,Q15&lt;=600),3,IF(AND(Q15&gt;600,Q15&lt;=750),4,IF(Q15&gt;750,(ROUNDUP(Q15/250,0)+1),0)))))</f>
        <v>1</v>
      </c>
      <c r="AK7" s="1">
        <f>ROUNDUP((R15/200),0)</f>
        <v>1</v>
      </c>
      <c r="AL7" s="1">
        <f>ROUNDUP((R15/200),0)</f>
        <v>1</v>
      </c>
      <c r="AM7" s="3">
        <f>IF(AND(R15&gt;0,R15&lt;=100),1,IF(AND(R15&gt;100,R15&lt;=200),2,IF(AND(R15&gt;200,R15&lt;=300),4,IF(AND(R15&gt;300,R15&lt;=500),5,IF(AND(R15&gt;500,R15&lt;=750),6,IF(R15&gt;750,(ROUNDUP(R15/200,0)+3),0))))))</f>
        <v>1</v>
      </c>
      <c r="AN7" s="3">
        <f>IF(AND(R15&gt;0,R15&lt;=100),1,IF(AND(R15&gt;100,R15&lt;=200),2,IF(AND(R15&gt;200,R15&lt;=300),4,IF(AND(R15&gt;300,R15&lt;=500),5,IF(AND(R15&gt;500,R15&lt;=750),6,IF(R15&gt;750,(ROUNDUP(R15/200,0)+3),0))))))</f>
        <v>1</v>
      </c>
      <c r="AO7" s="3">
        <f>ROUNDUP((Q12/500),0)</f>
        <v>1</v>
      </c>
      <c r="AP7" s="3">
        <f>ROUNDUP((Q12/500),0)</f>
        <v>1</v>
      </c>
      <c r="AQ7" s="1">
        <f>IF(AND(Q12&gt;0,Q12&lt;=250),1,IF(AND(Q12&gt;250,Q12&lt;=500),2,IF(AND(Q12&gt;500,Q12&lt;=750),3,IF(Q12&gt;750,(ROUNDUP(Q12/500,0)+2),0))))</f>
        <v>1</v>
      </c>
      <c r="AR7" s="1">
        <f>IF(AND(Q12&gt;0,Q12&lt;=250),1,IF(AND(Q12&gt;250,Q12&lt;=500),2,IF(AND(Q12&gt;500,Q12&lt;=750),3,IF(Q12&gt;750,(ROUNDUP(Q12/500,0)+2),0))))</f>
        <v>1</v>
      </c>
      <c r="AS7" s="1" t="s">
        <v>82</v>
      </c>
      <c r="AT7" s="1" t="s">
        <v>82</v>
      </c>
      <c r="AU7" s="1" t="s">
        <v>82</v>
      </c>
      <c r="AV7" s="1" t="s">
        <v>82</v>
      </c>
    </row>
    <row r="8" spans="1:48" ht="16.149999999999999" customHeight="1" x14ac:dyDescent="0.25">
      <c r="A8" s="82"/>
      <c r="B8" s="83"/>
      <c r="C8" s="159"/>
      <c r="D8" s="111"/>
      <c r="E8" s="111"/>
      <c r="F8" s="112"/>
      <c r="G8" s="112"/>
      <c r="H8" s="112"/>
      <c r="I8" s="112"/>
      <c r="J8" s="112"/>
      <c r="K8" s="112"/>
      <c r="L8" s="112"/>
      <c r="M8" s="98"/>
      <c r="N8" s="155"/>
      <c r="O8" s="157"/>
      <c r="U8" s="5" t="s">
        <v>94</v>
      </c>
      <c r="V8" t="s">
        <v>93</v>
      </c>
      <c r="W8" s="1">
        <f>IF(AND(Q15&gt;0,Q15&lt;=400),(ROUNDUP(Q15/100,0)),IF(Q15&gt;400,(ROUNDUP(Q15/250,0))+3,0))</f>
        <v>1</v>
      </c>
      <c r="X8" s="1">
        <f>IF(AND(Q15&gt;0,Q15&lt;=400),(ROUNDUP(Q15/100,0)),IF(Q15&gt;400,(ROUNDUP(Q15/250,0))+3,0))</f>
        <v>1</v>
      </c>
      <c r="Y8" s="1">
        <f>IF(AND(Q15&gt;0,Q15&lt;=50),1,IF(AND(Q15&gt;50,Q15&lt;=150),2,IF(AND(Q15&gt;150,Q15&lt;=300),3,IF(AND(Q15&gt;300,Q15&lt;=400),4,IF(Q15&gt;400,(ROUNDUP(Q15/250,1))+3,0)))))</f>
        <v>1</v>
      </c>
      <c r="Z8" s="3">
        <f>IF(AND(Q15&gt;0,Q15&lt;=50),1,IF(AND(Q15&gt;50,Q15&lt;=150),2,IF(AND(Q15&gt;150,Q15&lt;=300),3,IF(AND(Q15&gt;300,Q15&lt;=400),4,IF(Q15&gt;400,(ROUNDUP(Q15/250,1))+3,0)))))</f>
        <v>1</v>
      </c>
      <c r="AA8" s="3">
        <f>IF(AND(Q15&gt;0,Q15&lt;=200),1,IF(AND(Q15&gt;200,Q15&lt;=300),2,IF(AND(Q15&gt;300,Q15&lt;=400),3,IF(AND(Q15&gt;400,Q15&lt;=600),6,IF(Q15&gt;600,(ROUNDUP(Q15/300,0))+2,0)))))</f>
        <v>1</v>
      </c>
      <c r="AB8" s="3">
        <f>IF(AND(Q15&gt;0,Q15&lt;=200),1,IF(AND(Q15&gt;200,Q15&lt;=300),2,IF(AND(Q15&gt;300,Q15&lt;=400),3,IF(AND(Q15&gt;400,Q15&lt;=600),6,IF(Q15&gt;600,(ROUNDUP(Q15/300,0))+2,0)))))</f>
        <v>1</v>
      </c>
      <c r="AC8" s="1">
        <f>IF(AND(Q15&gt;0,Q15&lt;=400),(ROUNDUP(Q15/50,0)),IF(Q15&gt;400,(ROUNDUP(Q15/150,0))+5,0))</f>
        <v>1</v>
      </c>
      <c r="AD8" s="1">
        <f>IF(AND(Q15&gt;0,Q15&lt;=400),(ROUNDUP(Q15/50,0)),IF(Q15&gt;400,(ROUNDUP(Q15/150,0))+5,0))</f>
        <v>1</v>
      </c>
      <c r="AE8" s="3">
        <f>IF(AND(R15&gt;0,R15&lt;=25),1,IF(AND(R15&gt;25,R15&lt;=50),2,IF(AND(R15&gt;50,R15&lt;=100),3,IF(AND(R15&gt;100,R15&lt;=200),4,IF(AND(R15&gt;200,R15&lt;=300),6,IF(AND(R15&gt;300,R15&lt;=400),8,IF(R15&gt;400,(ROUNDUP(R15/125,1))+5,0)))))))</f>
        <v>1</v>
      </c>
      <c r="AF8" s="3">
        <f>IF(AND(R15&gt;0,R15&lt;=25),1,IF(AND(R15&gt;25,R15&lt;=50),2,IF(AND(R15&gt;50,R15&lt;=100),3,IF(AND(R15&gt;100,R15&lt;=200),4,IF(AND(R15&gt;200,R15&lt;=300),6,IF(AND(R15&gt;300,R15&lt;=400),8,IF(R15&gt;400,(ROUNDUP(R15/125,1))+5,0)))))))</f>
        <v>1</v>
      </c>
      <c r="AG8" s="1">
        <f>IF(AND(Q15&gt;0,Q15&lt;=250),1,IF(AND(Q15&gt;250,Q15&lt;=500),2,IF(AND(Q15&gt;500,Q15&lt;=750),3,IF(Q15&gt;750,(ROUNDUP(Q15/500,0)+2),0))))</f>
        <v>1</v>
      </c>
      <c r="AH8" s="1">
        <f>IF(AND(Q15&gt;0,Q15&lt;=250),1,IF(AND(Q15&gt;250,Q15&lt;=500),2,IF(AND(Q15&gt;500,Q15&lt;=750),3,IF(Q15&gt;750,(ROUNDUP(Q15/500,0)+2),0))))</f>
        <v>1</v>
      </c>
      <c r="AI8" s="1">
        <f>IF(AND(Q15&gt;0,Q15&lt;=200),1,IF(AND(Q15&gt;200,Q15&lt;=400),2,IF(AND(Q15&gt;400,Q15&lt;=600),3,IF(AND(Q15&gt;600,Q15&lt;=750),4,IF(Q15&gt;750,(ROUNDUP(Q15/250,0)+1),0)))))</f>
        <v>1</v>
      </c>
      <c r="AJ8" s="1">
        <f>IF(AND(Q15&gt;0,Q15&lt;=200),1,IF(AND(Q15&gt;200,Q15&lt;=400),2,IF(AND(Q15&gt;400,Q15&lt;=600),3,IF(AND(Q15&gt;600,Q15&lt;=750),4,IF(Q15&gt;750,(ROUNDUP(Q15/250,0)+1),0)))))</f>
        <v>1</v>
      </c>
      <c r="AK8" s="1">
        <f>IF(AND(R15&gt;0,R15&lt;=250),1,IF(AND(R15&gt;250,R15&lt;=500),2,IF(AND(R15&gt;500,R15&lt;=750),3,IF(R15&gt;750,(ROUNDUP(R15/500,0)+2),0))))</f>
        <v>1</v>
      </c>
      <c r="AL8" s="1">
        <f>IF(AND(R15&gt;0,R15&lt;=250),1,IF(AND(R15&gt;250,R15&lt;=500),2,IF(AND(R15&gt;500,R15&lt;=750),3,IF(R15&gt;750,(ROUNDUP(R15/500,0)+2),0))))</f>
        <v>1</v>
      </c>
      <c r="AM8" s="1">
        <f>IF(AND(R15&gt;0,R15&lt;=100),1,IF(AND(R15&gt;100,R15&lt;=200),2,IF(AND(R15&gt;200,R15&lt;=300),4,IF(AND(R15&gt;300,R15&lt;=500),5,IF(AND(R15&gt;500,R15&lt;=750),6,IF(R15&gt;750,(ROUNDUP(R15/200,0)+3),0))))))</f>
        <v>1</v>
      </c>
      <c r="AN8" s="1">
        <f>IF(AND(R15&gt;0,R15&lt;=100),1,IF(AND(R15&gt;100,R15&lt;=200),2,IF(AND(R15&gt;200,R15&lt;=300),4,IF(AND(R15&gt;300,R15&lt;=500),5,IF(AND(R15&gt;500,R15&lt;=750),6,IF(R15&gt;750,(ROUNDUP(R15/200,0)+3),0))))))</f>
        <v>1</v>
      </c>
      <c r="AO8" s="3">
        <f>ROUNDUP((Q12/1000),0)</f>
        <v>1</v>
      </c>
      <c r="AP8" s="3">
        <f>ROUNDUP((Q12/1000),0)</f>
        <v>1</v>
      </c>
      <c r="AQ8" s="1">
        <f>IF(AND(Q12&gt;0,Q12&lt;=250),1,IF(AND(Q12&gt;250,Q12&lt;=500),2,IF(AND(Q12&gt;500,Q12&lt;=750),3,IF(Q12&gt;750,(ROUNDUP(Q12/500,0)+2),0))))</f>
        <v>1</v>
      </c>
      <c r="AR8" s="1">
        <f>IF(AND(Q12&gt;0,Q12&lt;=250),1,IF(AND(Q12&gt;250,Q12&lt;=500),2,IF(AND(Q12&gt;500,Q12&lt;=750),3,IF(Q12&gt;750,(ROUNDUP(Q12/500,0)+2),0))))</f>
        <v>1</v>
      </c>
      <c r="AS8" s="1" t="s">
        <v>82</v>
      </c>
      <c r="AT8" s="1" t="s">
        <v>82</v>
      </c>
      <c r="AU8" s="1" t="s">
        <v>82</v>
      </c>
      <c r="AV8" s="1" t="s">
        <v>82</v>
      </c>
    </row>
    <row r="9" spans="1:48" ht="14.45" customHeight="1" thickBot="1" x14ac:dyDescent="0.3">
      <c r="A9" s="82"/>
      <c r="B9" s="83"/>
      <c r="C9" s="110" t="s">
        <v>95</v>
      </c>
      <c r="D9" s="111" t="s">
        <v>96</v>
      </c>
      <c r="E9" s="111"/>
      <c r="F9" s="112">
        <f>IF(AND(AND(Q7="2009 - 2015 ipc"),OR(N9&gt;0,O9&gt;0),N9+O9&lt;=15),"Single restroom okay for 15 or less (IBC 2902.2(2))",IF(AND(AND(Q7="2021 - 2018 ipc"),OR(N9&gt;0,O9&gt;0),N9+O9&lt;=15),"Single restroom okay for 15 or less (IBC 2902.2(2))",IF(AND(AND(Q7="UPC"),OR(N9&gt;0,O9&gt;0),N9+O9&lt;=10),"Single restroom okay for 10 or less (422.2(2))",IF(AND(AND(Q7="california"),OR(N9&gt;0,O9&gt;0),N9+O9&lt;=10),"Single restroom okay for 10 or less (422.2(2))",IF(AND(OR(Q7="2009 - 2015 ipc",Q7="2021 - 2018 ipc"),Q12&lt;=15),"Single restroom okay for 15 or less (IBC 2902.2(2))",IF(AND(OR(Q7="UPC",Q7="CAlifornia"),Q12&lt;=10),"Single restroom okay for 10 or less (422.2(2))",IF(N9=0,INDEX(W5:Z5,MATCH(Q7,W2:Z2,0)),IF(OR(Q7="2021 - 2018 IPC",Q7="2009 - 2015 IPC"),ROUNDUP((N9/40),0),IF(OR(Q7="UPC",Q7="California"),IF(AND(N9&gt;0,N9&lt;=100),1,IF(AND(N9&gt;0,N9&lt;=50),1,IF(AND(N9&gt;50,N9&lt;=150),2,IF(AND(N9&gt;150,N9&lt;=300),3,IF(AND(N9&gt;300,N9&lt;=400),4,IF(N9&gt;400,(ROUNDUP(N9/250,1))+3,0)))))))))))))))</f>
        <v>1</v>
      </c>
      <c r="G9" s="112">
        <f>IF(AND(AND(Q7="2009 - 2015 ipc"),OR(N9&gt;0,O9&gt;0),N9+O9&lt;=15),"-",IF(AND(AND(Q7="2021 - 2018 ipc"),OR(N9&gt;0,O9&gt;0),N9+O9&lt;=15),"-",IF(AND(AND(Q7="UPC"),OR(N9&gt;0,O9&gt;0),N9+O9&lt;=10),"-",IF(AND(AND(Q7="california"),OR(N9&gt;0,O9&gt;0),N9+O9&lt;=10),"-",IF(AND(OR(Q7="2009 - 2015 ipc",Q7="2021 - 2018 ipc"),Q12&lt;=15),"-",IF(AND(OR(Q7="UPC",Q7="CAlifornia"),Q12&lt;=10),"-",IF(O9=0,INDEX(AC5:AF5,MATCH(Q7,AC2:AF2,0)),IF(OR(Q7="2021 - 2018 IPC",Q7="2009 - 2015 IPC"),ROUNDUP((O9/40),0),IF(OR(Q7="UPC",Q7="California"),IF(AND(O9&gt;0,O9&lt;=25),1,IF(AND(O9&gt;25,O9&lt;=50),2,IF(AND(O9&gt;50,O9&lt;=100),3,IF(AND(O9&gt;100,O9&lt;=200),4,IF(AND(O9&gt;200,O9&lt;=300),6,IF(AND(O9&gt;300,O9&lt;=400),8,IF(O9&gt;400,(ROUNDUP(O9/125,1))+5,0))))))))))))))))</f>
        <v>1</v>
      </c>
      <c r="H9" s="112" t="str">
        <f>IF(OR(Q7="UPC",Q7="California"),"Can substitute up to 67% of required fixtures","Can substitute up to 67% of required fixtures")</f>
        <v>Can substitute up to 67% of required fixtures</v>
      </c>
      <c r="I9" s="112">
        <f>IF(N9=0,INDEX(AG5:AJ5,MATCH(Q7,AG2:AJ2,0)),IF(OR(Q7="2021 - 2018 IPC",Q7="2009 - 2015 IPC"),ROUNDUP((N9/75),0),IF(OR(Q7="upc",Q7="California"),IF(AND(N9&gt;0,N9&lt;=150),1,IF(AND(N9&gt;150,N9&lt;=200),2,IF(AND(N9&gt;200,N9&lt;=400),3,IF(N9&gt;400,(ROUNDUP(N9/250,0)+2),0)))))))</f>
        <v>1</v>
      </c>
      <c r="J9" s="112">
        <f>IF(O9=0,INDEX(AK5:AN5,MATCH(Q7,AK2:AN2,0)),IF(OR(Q7="2021 - 2018 IPC",Q7="2009 - 2015 IPC"),ROUNDUP((O9/75),0),IF(OR(Q7="upc",Q7="California"),IF(AND(O9&gt;0,O9&lt;=150),1,IF(AND(O9&gt;150,O9&lt;=200),2,IF(AND(O9&gt;200,O9&lt;=400),4,IF(O9&gt;400,(ROUNDUP(O9/200,0)+2),0)))))))</f>
        <v>1</v>
      </c>
      <c r="K9" s="112" t="s">
        <v>82</v>
      </c>
      <c r="L9" s="112" t="str">
        <f>IF(AND(AND(Q7="2009 - 2015 ipc"),OR(N9&gt;0,O9&gt;0),N9+O9&lt;=15),"15 or less Fountain exempt(IPC 410.2)",IF(AND(AND(Q7="2021 - 2018 ipc"),OR(N9&gt;0,O9&gt;0),N9+O9&lt;=15),"15 or less Fountain exempt(IPC 410.2)",IF(AND(OR(Q7="2009 - 2015 ipc",Q7="2021 - 2018 ipc"),Q12&lt;=15),"15 or less Fountain exempt(IPC 410.2)",IF(AND(AND(Q7="UPC"),OR(N9&gt;0,O9&gt;0),N9+O9&lt;=30),"30 or less Fountain exempt(UPC 415.2)",IF(AND(AND(Q7="california"),OR(N9&gt;0,O9&gt;0),N9+O9&lt;=30),"30 or less Fountain exempt(CPC 415.2)",IF(AND(OR(Q7="UPC",Q7="CAlifornia"),Q12&lt;=30),"30 or less Fountain exempt(UPC / CPC 415.2)",IF(OR(N9=0,O9=0),INDEX(AO5:AR5,MATCH(Q7,AO2:AR2,0)),0)))))))</f>
        <v>30 or less Fountain exempt(UPC / CPC 415.2)</v>
      </c>
      <c r="M9" s="114" t="s">
        <v>83</v>
      </c>
      <c r="N9" s="118">
        <v>0</v>
      </c>
      <c r="O9" s="119">
        <v>0</v>
      </c>
      <c r="U9" s="5" t="s">
        <v>97</v>
      </c>
      <c r="V9" t="s">
        <v>93</v>
      </c>
      <c r="W9" s="1">
        <f>ROUNDUP((Q15/500),0)</f>
        <v>1</v>
      </c>
      <c r="X9" s="1">
        <f>ROUNDUP((Q15/500),0)</f>
        <v>1</v>
      </c>
      <c r="Y9" s="1">
        <f>IF(AND(Q15&gt;0,Q15&lt;=50),1,IF(AND(Q15&gt;50,Q15&lt;=150),2,IF(AND(Q15&gt;150,Q15&lt;=300),3,IF(AND(Q15&gt;300,Q15&lt;=400),4,IF(Q15&gt;400,(ROUNDUP(Q15/250,1))+3,0)))))</f>
        <v>1</v>
      </c>
      <c r="Z9" s="3">
        <f>IF(AND(Q15&gt;0,Q15&lt;=50),1,IF(AND(Q15&gt;50,Q15&lt;=150),2,IF(AND(Q15&gt;150,Q15&lt;=300),3,IF(AND(Q15&gt;300,Q15&lt;=400),4,IF(Q15&gt;400,(ROUNDUP(Q15/250,1))+3,0)))))</f>
        <v>1</v>
      </c>
      <c r="AA9" s="3">
        <f>IF(AND(Q15&gt;0,Q15&lt;=200),1,IF(AND(Q15&gt;200,Q15&lt;=300),2,IF(AND(Q15&gt;300,Q15&lt;=400),3,IF(AND(Q15&gt;400,Q15&lt;=600),6,IF(Q15&gt;600,(ROUNDUP(Q15/300,0))+2,0)))))</f>
        <v>1</v>
      </c>
      <c r="AB9" s="3">
        <f>IF(AND(Q15&gt;0,Q15&lt;=200),1,IF(AND(Q15&gt;200,Q15&lt;=300),2,IF(AND(Q15&gt;300,Q15&lt;=400),3,IF(AND(Q15&gt;400,Q15&lt;=600),6,IF(Q15&gt;600,(ROUNDUP(Q15/300,0))+2,0)))))</f>
        <v>1</v>
      </c>
      <c r="AC9" s="1">
        <f>ROUNDUP((R15/500),0)</f>
        <v>1</v>
      </c>
      <c r="AD9" s="1">
        <f>ROUNDUP((R15/500),0)</f>
        <v>1</v>
      </c>
      <c r="AE9" s="3">
        <f>IF(AND(R15&gt;0,R15&lt;=25),1,IF(AND(R15&gt;25,R15&lt;=50),2,IF(AND(R15&gt;50,R15&lt;=100),3,IF(AND(R15&gt;100,R15&lt;=200),4,IF(AND(R15&gt;200,R15&lt;=300),6,IF(AND(R15&gt;300,R15&lt;=400),8,IF(R15&gt;400,(ROUNDUP(R15/125,1))+5,0)))))))</f>
        <v>1</v>
      </c>
      <c r="AF9" s="3">
        <f>IF(AND(R15&gt;0,R15&lt;=25),1,IF(AND(R15&gt;25,R15&lt;=50),2,IF(AND(R15&gt;50,R15&lt;=100),3,IF(AND(R15&gt;100,R15&lt;=200),4,IF(AND(R15&gt;200,R15&lt;=300),6,IF(AND(R15&gt;300,R15&lt;=400),8,IF(R15&gt;400,(ROUNDUP(R15/125,1))+5,0)))))))</f>
        <v>1</v>
      </c>
      <c r="AG9" s="1">
        <f>ROUNDUP((Q15/750),0)</f>
        <v>1</v>
      </c>
      <c r="AH9" s="1">
        <f>ROUNDUP((Q15/750),0)</f>
        <v>1</v>
      </c>
      <c r="AI9" s="1">
        <f>IF(AND(Q15&gt;0,Q15&lt;=200),1,IF(AND(Q15&gt;200,Q15&lt;=400),2,IF(AND(Q15&gt;400,Q15&lt;=600),3,IF(AND(Q15&gt;600,Q15&lt;=750),4,IF(Q15&gt;750,(ROUNDUP(Q15/250,0)+1),0)))))</f>
        <v>1</v>
      </c>
      <c r="AJ9" s="1">
        <f>IF(AND(Q15&gt;0,Q15&lt;=200),1,IF(AND(Q15&gt;200,Q15&lt;=400),2,IF(AND(Q15&gt;400,Q15&lt;=600),3,IF(AND(Q15&gt;600,Q15&lt;=750),4,IF(Q15&gt;750,(ROUNDUP(Q15/250,0)+1),0)))))</f>
        <v>1</v>
      </c>
      <c r="AK9" s="1">
        <f>ROUNDUP((R15/750),0)</f>
        <v>1</v>
      </c>
      <c r="AL9" s="1">
        <f>ROUNDUP((R15/750),0)</f>
        <v>1</v>
      </c>
      <c r="AM9" s="1">
        <f>IF(AND(R15&gt;0,R15&lt;=100),1,IF(AND(R15&gt;100,R15&lt;=200),2,IF(AND(R15&gt;200,R15&lt;=300),4,IF(AND(R15&gt;300,R15&lt;=500),5,IF(AND(R15&gt;500,R15&lt;=750),6,IF(R15&gt;750,(ROUNDUP(R15/200,0)+3),0))))))</f>
        <v>1</v>
      </c>
      <c r="AN9" s="1">
        <f>IF(AND(R15&gt;0,R15&lt;=100),1,IF(AND(R15&gt;100,R15&lt;=200),2,IF(AND(R15&gt;200,R15&lt;=300),4,IF(AND(R15&gt;300,R15&lt;=500),5,IF(AND(R15&gt;500,R15&lt;=750),6,IF(R15&gt;750,(ROUNDUP(R15/200,0)+3),0))))))</f>
        <v>1</v>
      </c>
      <c r="AO9" s="3">
        <f>ROUNDUP((Q12/1000),0)</f>
        <v>1</v>
      </c>
      <c r="AP9" s="3">
        <f>ROUNDUP((Q12/1000),0)</f>
        <v>1</v>
      </c>
      <c r="AQ9" s="1">
        <f>IF(AND(Q12&gt;0,Q12&lt;=250),1,IF(AND(Q12&gt;250,Q12&lt;=500),2,IF(AND(Q12&gt;500,Q12&lt;=750),3,IF(Q12&gt;750,(ROUNDUP(Q12/500,0)+2),0))))</f>
        <v>1</v>
      </c>
      <c r="AR9" s="1">
        <f>IF(AND(Q12&gt;0,Q12&lt;=250),1,IF(AND(Q12&gt;250,Q12&lt;=500),2,IF(AND(Q12&gt;500,Q12&lt;=750),3,IF(Q12&gt;750,(ROUNDUP(Q12/500,0)+2),0))))</f>
        <v>1</v>
      </c>
      <c r="AS9" s="1" t="s">
        <v>82</v>
      </c>
      <c r="AT9" s="1" t="s">
        <v>82</v>
      </c>
      <c r="AU9" s="1" t="s">
        <v>82</v>
      </c>
      <c r="AV9" s="1" t="s">
        <v>82</v>
      </c>
    </row>
    <row r="10" spans="1:48" x14ac:dyDescent="0.25">
      <c r="A10" s="82"/>
      <c r="B10" s="83"/>
      <c r="C10" s="110"/>
      <c r="D10" s="111"/>
      <c r="E10" s="111"/>
      <c r="F10" s="112"/>
      <c r="G10" s="112"/>
      <c r="H10" s="112"/>
      <c r="I10" s="112"/>
      <c r="J10" s="112"/>
      <c r="K10" s="112"/>
      <c r="L10" s="112"/>
      <c r="M10" s="114"/>
      <c r="N10" s="118"/>
      <c r="O10" s="119"/>
      <c r="Q10" s="140" t="s">
        <v>84</v>
      </c>
      <c r="R10" s="141"/>
      <c r="U10" s="5" t="s">
        <v>98</v>
      </c>
      <c r="V10" t="s">
        <v>93</v>
      </c>
      <c r="W10" s="1">
        <f>ROUNDUP((Q15/150),0)</f>
        <v>1</v>
      </c>
      <c r="X10" s="1">
        <f>ROUNDUP((Q15/150),0)</f>
        <v>1</v>
      </c>
      <c r="Y10" s="1">
        <f>IF(AND(Q15&gt;0,Q15&lt;=100),1,IF(AND(Q15&gt;100,Q15&lt;=200),2,IF(AND(Q15&gt;200,Q15&lt;=400),3,IF(Q15&gt;400,(ROUNDUP(Q15/500,1))+3,0))))</f>
        <v>1</v>
      </c>
      <c r="Z10" s="3">
        <f>IF(AND(Q15&gt;0,Q15&lt;=100),1,IF(AND(Q15&gt;100,Q15&lt;=200),2,IF(AND(Q15&gt;200,Q15&lt;=400),3,IF(Q15&gt;400,(ROUNDUP(Q15/500,1))+3,0))))</f>
        <v>1</v>
      </c>
      <c r="AA10" s="3">
        <f>IF(AND(Q15&gt;0,Q15&lt;=200),1,IF(AND(Q15&gt;200,Q15&lt;=300),2,IF(AND(Q15&gt;300,Q15&lt;=400),3,IF(AND(Q15&gt;400,Q15&lt;=600),6,IF(Q15&gt;600,(ROUNDUP(Q15/300,0))+2,0)))))</f>
        <v>1</v>
      </c>
      <c r="AB10" s="3">
        <f>IF(AND(Q15&gt;0,Q15&lt;=200),1,IF(AND(Q15&gt;200,Q15&lt;=300),2,IF(AND(Q15&gt;300,Q15&lt;=400),3,IF(AND(Q15&gt;400,Q15&lt;=600),6,IF(Q15&gt;600,(ROUNDUP(Q15/300,0))+2,0)))))</f>
        <v>1</v>
      </c>
      <c r="AC10" s="1">
        <f>ROUNDUP((R15/75),0)</f>
        <v>1</v>
      </c>
      <c r="AD10" s="1">
        <f>ROUNDUP((R15/75),0)</f>
        <v>1</v>
      </c>
      <c r="AE10" s="3">
        <f>IF(AND(R15&gt;0,R15&lt;=25),1,IF(AND(R15&gt;25,R15&lt;=50),2,IF(AND(R15&gt;50,R15&lt;=100),3,IF(AND(R15&gt;100,R15&lt;=200),4,IF(AND(R15&gt;200,R15&lt;=300),6,IF(AND(R15&gt;300,R15&lt;=400),8,IF(R15&gt;400,(ROUNDUP(R15/125,1))+5,0)))))))</f>
        <v>1</v>
      </c>
      <c r="AF10" s="3">
        <f>IF(AND(R15&gt;0,R15&lt;=25),1,IF(AND(R15&gt;25,R15&lt;=50),2,IF(AND(R15&gt;50,R15&lt;=100),3,IF(AND(R15&gt;100,R15&lt;=200),4,IF(AND(R15&gt;200,R15&lt;=300),6,IF(AND(R15&gt;300,R15&lt;=400),8,IF(R15&gt;400,(ROUNDUP(R15/125,1))+5,0)))))))</f>
        <v>1</v>
      </c>
      <c r="AG10" s="1">
        <f>ROUNDUP((Q15/200),0)</f>
        <v>1</v>
      </c>
      <c r="AH10" s="1">
        <f>ROUNDUP((Q15/200),0)</f>
        <v>1</v>
      </c>
      <c r="AI10" s="1">
        <f>IF(AND(Q15&gt;0,Q15&lt;=200),1,IF(AND(Q15&gt;200,Q15&lt;=400),2,IF(AND(Q15&gt;400,Q15&lt;=600),3,IF(AND(Q15&gt;600,Q15&lt;=750),4,IF(Q15&gt;750,(ROUNDUP(Q15/250,0)+1),0)))))</f>
        <v>1</v>
      </c>
      <c r="AJ10" s="1">
        <f>IF(AND(Q15&gt;0,Q15&lt;=200),1,IF(AND(Q15&gt;200,Q15&lt;=400),2,IF(AND(Q15&gt;400,Q15&lt;=600),3,IF(AND(Q15&gt;600,Q15&lt;=750),4,IF(Q15&gt;750,(ROUNDUP(Q15/250,0)+1),0)))))</f>
        <v>1</v>
      </c>
      <c r="AK10" s="1">
        <f>ROUNDUP((R15/200),0)</f>
        <v>1</v>
      </c>
      <c r="AL10" s="1">
        <f>ROUNDUP((R15/200),0)</f>
        <v>1</v>
      </c>
      <c r="AM10" s="1">
        <f>IF(AND(R15&gt;0,R15&lt;=100),1,IF(AND(R15&gt;100,R15&lt;=200),2,IF(AND(R15&gt;200,R15&lt;=300),4,IF(AND(R15&gt;300,R15&lt;=500),5,IF(AND(R15&gt;500,R15&lt;=750),6,IF(R15&gt;750,(ROUNDUP(R15/200,0)+3),0))))))</f>
        <v>1</v>
      </c>
      <c r="AN10" s="1">
        <f>IF(AND(R15&gt;0,R15&lt;=100),1,IF(AND(R15&gt;100,R15&lt;=200),2,IF(AND(R15&gt;200,R15&lt;=300),4,IF(AND(R15&gt;300,R15&lt;=500),5,IF(AND(R15&gt;500,R15&lt;=750),6,IF(R15&gt;750,(ROUNDUP(R15/200,0)+3),0))))))</f>
        <v>1</v>
      </c>
      <c r="AO10" s="3">
        <f>ROUNDUP((Q12/1000),0)</f>
        <v>1</v>
      </c>
      <c r="AP10" s="3">
        <f>ROUNDUP((Q12/1000),0)</f>
        <v>1</v>
      </c>
      <c r="AQ10" s="1">
        <f>IF(AND(Q12&gt;0,Q12&lt;=250),1,IF(AND(Q12&gt;250,Q12&lt;=500),2,IF(AND(Q12&gt;500,Q12&lt;=750),3,IF(Q12&gt;750,(ROUNDUP(Q12/500,0)+2),0))))</f>
        <v>1</v>
      </c>
      <c r="AR10" s="1">
        <f>IF(AND(Q12&gt;0,Q12&lt;=250),1,IF(AND(Q12&gt;250,Q12&lt;=500),2,IF(AND(Q12&gt;500,Q12&lt;=750),3,IF(Q12&gt;750,(ROUNDUP(Q12/500,0)+2),0))))</f>
        <v>1</v>
      </c>
      <c r="AS10" s="1" t="s">
        <v>82</v>
      </c>
      <c r="AT10" s="1" t="s">
        <v>82</v>
      </c>
      <c r="AU10" s="1" t="s">
        <v>82</v>
      </c>
      <c r="AV10" s="1" t="s">
        <v>82</v>
      </c>
    </row>
    <row r="11" spans="1:48" ht="15.75" thickBot="1" x14ac:dyDescent="0.3">
      <c r="A11" s="82"/>
      <c r="B11" s="83"/>
      <c r="C11" s="110"/>
      <c r="D11" s="111"/>
      <c r="E11" s="111"/>
      <c r="F11" s="112"/>
      <c r="G11" s="112"/>
      <c r="H11" s="112"/>
      <c r="I11" s="112"/>
      <c r="J11" s="112"/>
      <c r="K11" s="112"/>
      <c r="L11" s="112"/>
      <c r="M11" s="114"/>
      <c r="N11" s="118"/>
      <c r="O11" s="119"/>
      <c r="Q11" s="142"/>
      <c r="R11" s="143"/>
      <c r="U11" s="5" t="s">
        <v>99</v>
      </c>
      <c r="V11" t="s">
        <v>100</v>
      </c>
      <c r="W11" s="1">
        <f>IF(AND(Q15&gt;0,Q15&lt;=1500),(ROUNDUP(Q15/75,0)),IF(Q15&gt;1500,(ROUNDUP(Q15/120,0))+8,0))</f>
        <v>1</v>
      </c>
      <c r="X11" s="1">
        <f>IF(AND(Q15&gt;0,Q15&lt;=1500),(ROUNDUP(Q15/75,0)),IF(AND(Q15&gt;1500,Q15&lt;=1620),21,IF(AND(Q15&gt;1620,Q15&lt;=1740),22,IF(AND(Q15&gt;1740,Q15&lt;=1860),23,IF(AND(Q15&gt;1860,Q15&lt;=1980),24,IF(AND(Q15&gt;1980,Q15&lt;=2100),25,0))))))</f>
        <v>1</v>
      </c>
      <c r="Y11" s="1">
        <f>IF(AND(Q15&gt;0,Q15&lt;=100),1,IF(AND(Q15&gt;100,Q15&lt;=200),2,IF(AND(Q15&gt;200,Q15&lt;=400),3,IF(Q15&gt;400,(ROUNDUP(Q15/500,1))+3,0))))</f>
        <v>1</v>
      </c>
      <c r="Z11" s="3">
        <f>IF(AND(Q15&gt;0,Q15&lt;=100),1,IF(AND(Q15&gt;100,Q15&lt;=200),2,IF(AND(Q15&gt;200,Q15&lt;=400),3,IF(Q15&gt;400,(ROUNDUP(Q15/500,1))+3,0))))</f>
        <v>1</v>
      </c>
      <c r="AA11" s="3">
        <f>IF(AND(Q15&gt;0,Q15&lt;=200),1,IF(AND(Q15&gt;200,Q15&lt;=300),2,IF(AND(Q15&gt;300,Q15&lt;=400),3,IF(AND(Q15&gt;400,Q15&lt;=600),6,IF(Q15&gt;600,(ROUNDUP(Q15/300,0))+2,0)))))</f>
        <v>1</v>
      </c>
      <c r="AB11" s="3">
        <f>IF(AND(Q15&gt;0,Q15&lt;=200),1,IF(AND(Q15&gt;200,Q15&lt;=300),2,IF(AND(Q15&gt;300,Q15&lt;=400),3,IF(AND(Q15&gt;400,Q15&lt;=600),6,IF(Q15&gt;600,(ROUNDUP(Q15/300,0))+2,0)))))</f>
        <v>1</v>
      </c>
      <c r="AC11" s="1">
        <f>IF(AND(R15&gt;0,R15&lt;=1520),(ROUNDUP(R15/40,0)),IF(R15&gt;1520,(ROUNDUP(R15/60,0))+12,0))</f>
        <v>1</v>
      </c>
      <c r="AD11" s="1">
        <f>IF(AND(R15&gt;0,R15&lt;=1520),(ROUNDUP(R15/40,0)),IF(R15&gt;1520,(ROUNDUP(R15/60,0))+12,0))</f>
        <v>1</v>
      </c>
      <c r="AE11" s="3">
        <f>IF(AND(R15&gt;0,R15&lt;=25),1,IF(AND(R15&gt;25,R15&lt;=50),2,IF(AND(R15&gt;50,R15&lt;=100),3,IF(AND(R15&gt;100,R15&lt;=200),4,IF(AND(R15&gt;200,R15&lt;=300),6,IF(AND(R15&gt;300,R15&lt;=400),8,IF(R15&gt;400,(ROUNDUP(R15/125,1))+5,0)))))))</f>
        <v>1</v>
      </c>
      <c r="AF11" s="3">
        <f>IF(AND(R15&gt;0,R15&lt;=25),1,IF(AND(R15&gt;25,R15&lt;=50),2,IF(AND(R15&gt;50,R15&lt;=100),3,IF(AND(R15&gt;100,R15&lt;=200),4,IF(AND(R15&gt;200,R15&lt;=300),6,IF(AND(R15&gt;300,R15&lt;=400),8,IF(R15&gt;400,(ROUNDUP(R15/125,1))+5,0)))))))</f>
        <v>1</v>
      </c>
      <c r="AG11" s="1">
        <f>ROUNDUP((Q15/200),0)</f>
        <v>1</v>
      </c>
      <c r="AH11" s="1">
        <f>ROUNDUP((Q15/200),0)</f>
        <v>1</v>
      </c>
      <c r="AI11" s="1">
        <f>IF(AND(Q15&gt;0,Q15&lt;=200),1,IF(AND(Q15&gt;200,Q15&lt;=400),2,IF(AND(Q15&gt;400,Q15&lt;=600),3,IF(AND(Q15&gt;600,Q15&lt;=750),4,IF(Q15&gt;750,(ROUNDUP(Q15/250,0)+1),0)))))</f>
        <v>1</v>
      </c>
      <c r="AJ11" s="1">
        <f>IF(AND(Q15&gt;0,Q15&lt;=200),1,IF(AND(Q15&gt;200,Q15&lt;=400),2,IF(AND(Q15&gt;400,Q15&lt;=600),3,IF(AND(Q15&gt;600,Q15&lt;=750),4,IF(Q15&gt;750,(ROUNDUP(Q15/250,0)+1),0)))))</f>
        <v>1</v>
      </c>
      <c r="AK11" s="1">
        <f>ROUNDUP((R15/150),0)</f>
        <v>1</v>
      </c>
      <c r="AL11" s="1">
        <f>ROUNDUP((R15/150),0)</f>
        <v>1</v>
      </c>
      <c r="AM11" s="1">
        <f>IF(AND(R15&gt;0,R15&lt;=100),1,IF(AND(R15&gt;100,R15&lt;=200),2,IF(AND(R15&gt;200,R15&lt;=300),4,IF(AND(R15&gt;300,R15&lt;=500),5,IF(AND(R15&gt;500,R15&lt;=750),6,IF(R15&gt;750,(ROUNDUP(R15/200,0)+3),0))))))</f>
        <v>1</v>
      </c>
      <c r="AN11" s="1">
        <f>IF(AND(R15&gt;0,R15&lt;=100),1,IF(AND(R15&gt;100,R15&lt;=200),2,IF(AND(R15&gt;200,R15&lt;=300),4,IF(AND(R15&gt;300,R15&lt;=500),5,IF(AND(R15&gt;500,R15&lt;=750),6,IF(R15&gt;750,(ROUNDUP(R15/200,0)+3),0))))))</f>
        <v>1</v>
      </c>
      <c r="AO11" s="3">
        <f>ROUNDUP((Q12/1000),0)</f>
        <v>1</v>
      </c>
      <c r="AP11" s="3">
        <f>ROUNDUP((Q12/1000),0)</f>
        <v>1</v>
      </c>
      <c r="AQ11" s="1">
        <f>IF(AND(Q12&gt;0,Q12&lt;=250),1,IF(AND(Q12&gt;250,Q12&lt;=500),2,IF(AND(Q12&gt;500,Q12&lt;=750),3,IF(Q12&gt;750,(ROUNDUP(Q12/500,0)+2),0))))</f>
        <v>1</v>
      </c>
      <c r="AR11" s="1">
        <f>IF(AND(Q12&gt;0,Q12&lt;=250),1,IF(AND(Q12&gt;250,Q12&lt;=500),2,IF(AND(Q12&gt;500,Q12&lt;=750),3,IF(Q12&gt;750,(ROUNDUP(Q12/500,0)+2),0))))</f>
        <v>1</v>
      </c>
      <c r="AS11" s="1" t="s">
        <v>82</v>
      </c>
      <c r="AT11" s="1" t="s">
        <v>82</v>
      </c>
      <c r="AU11" s="1" t="s">
        <v>82</v>
      </c>
      <c r="AV11" s="1" t="s">
        <v>82</v>
      </c>
    </row>
    <row r="12" spans="1:48" ht="19.5" thickBot="1" x14ac:dyDescent="0.3">
      <c r="A12" s="82"/>
      <c r="B12" s="83"/>
      <c r="C12" s="110"/>
      <c r="D12" s="111"/>
      <c r="E12" s="111"/>
      <c r="F12" s="112"/>
      <c r="G12" s="112"/>
      <c r="H12" s="112"/>
      <c r="I12" s="112"/>
      <c r="J12" s="112"/>
      <c r="K12" s="112"/>
      <c r="L12" s="112"/>
      <c r="M12" s="114"/>
      <c r="N12" s="118"/>
      <c r="O12" s="119"/>
      <c r="Q12" s="144">
        <v>20</v>
      </c>
      <c r="R12" s="145"/>
      <c r="U12" s="5" t="s">
        <v>101</v>
      </c>
      <c r="V12" t="s">
        <v>102</v>
      </c>
      <c r="W12" s="1">
        <f>IF(AND(Q15&gt;0,Q15&lt;=1500),(ROUNDUP(Q15/75,0)),IF(Q15&gt;1500,(ROUNDUP(Q15/120,0))+8,0))</f>
        <v>1</v>
      </c>
      <c r="X12" s="1">
        <f>IF(AND(Q15&gt;0,Q15&lt;=1500),(ROUNDUP(Q15/75,0)),IF(Q15&gt;1500,(ROUNDUP(Q15/120,0))+8,0))</f>
        <v>1</v>
      </c>
      <c r="Y12" s="1">
        <f>IF(AND(Q15&gt;0,Q15&lt;=100),1,IF(AND(Q15&gt;100,Q15&lt;=200),2,IF(AND(Q15&gt;200,Q15&lt;=400),3,IF(Q15&gt;400,(ROUNDUP(Q15/500,1))+3,0))))</f>
        <v>1</v>
      </c>
      <c r="Z12" s="3">
        <f>IF(AND(Q15&gt;0,Q15&lt;=100),1,IF(AND(Q15&gt;100,Q15&lt;=200),2,IF(AND(Q15&gt;200,Q15&lt;=400),3,IF(Q15&gt;400,(ROUNDUP(Q15/500,1))+3,0))))</f>
        <v>1</v>
      </c>
      <c r="AA12" s="3">
        <f>IF(AND(Q15&gt;0,Q15&lt;=200),1,IF(AND(Q15&gt;200,Q15&lt;=300),2,IF(AND(Q15&gt;300,Q15&lt;=400),3,IF(AND(Q15&gt;400,Q15&lt;=600),6,IF(Q15&gt;600,(ROUNDUP(Q15/300,0))+2,0)))))</f>
        <v>1</v>
      </c>
      <c r="AB12" s="3">
        <f>IF(AND(Q15&gt;0,Q15&lt;=200),1,IF(AND(Q15&gt;200,Q15&lt;=300),2,IF(AND(Q15&gt;300,Q15&lt;=400),3,IF(AND(Q15&gt;400,Q15&lt;=600),6,IF(Q15&gt;600,(ROUNDUP(Q15/300,0))+2,0)))))</f>
        <v>1</v>
      </c>
      <c r="AC12" s="1">
        <f>IF(AND(R15&gt;0,R15&lt;=1520),(ROUNDUP(R15/40,0)),IF(R15&gt;1520,(ROUNDUP(R15/60,0))+12,0))</f>
        <v>1</v>
      </c>
      <c r="AD12" s="1">
        <f>IF(AND(R15&gt;0,R15&lt;=1520),(ROUNDUP(R15/40,0)),IF(R15&gt;1520,(ROUNDUP(R15/60,0))+12,0))</f>
        <v>1</v>
      </c>
      <c r="AE12" s="3">
        <f>IF(AND(R15&gt;0,R15&lt;=25),1,IF(AND(R15&gt;25,R15&lt;=50),2,IF(AND(R15&gt;50,R15&lt;=100),3,IF(AND(R15&gt;100,R15&lt;=200),4,IF(AND(R15&gt;200,R15&lt;=300),6,IF(AND(R15&gt;300,R15&lt;=400),8,IF(R15&gt;400,(ROUNDUP(R15/125,1))+5,0)))))))</f>
        <v>1</v>
      </c>
      <c r="AF12" s="3">
        <f>IF(AND(R15&gt;0,R15&lt;=25),1,IF(AND(R15&gt;25,R15&lt;=50),2,IF(AND(R15&gt;50,R15&lt;=100),3,IF(AND(R15&gt;100,R15&lt;=200),4,IF(AND(R15&gt;200,R15&lt;=300),6,IF(AND(R15&gt;300,R15&lt;=400),8,IF(R15&gt;400,(ROUNDUP(R15/125,1))+5,0)))))))</f>
        <v>1</v>
      </c>
      <c r="AG12" s="1">
        <f>ROUNDUP((Q15/200),0)</f>
        <v>1</v>
      </c>
      <c r="AH12" s="1">
        <f>ROUNDUP((Q15/200),0)</f>
        <v>1</v>
      </c>
      <c r="AI12" s="1">
        <f>IF(AND(Q15&gt;0,Q15&lt;=200),1,IF(AND(Q15&gt;200,Q15&lt;=400),2,IF(AND(Q15&gt;400,Q15&lt;=600),3,IF(AND(Q15&gt;600,Q15&lt;=750),4,IF(Q15&gt;750,(ROUNDUP(Q15/250,0)+1),0)))))</f>
        <v>1</v>
      </c>
      <c r="AJ12" s="1">
        <f>IF(AND(Q15&gt;0,Q15&lt;=200),1,IF(AND(Q15&gt;200,Q15&lt;=400),2,IF(AND(Q15&gt;400,Q15&lt;=600),3,IF(AND(Q15&gt;600,Q15&lt;=750),4,IF(Q15&gt;750,(ROUNDUP(Q15/250,0)+1),0)))))</f>
        <v>1</v>
      </c>
      <c r="AK12" s="1">
        <f>ROUNDUP((R15/150),0)</f>
        <v>1</v>
      </c>
      <c r="AL12" s="1">
        <f>ROUNDUP((R15/150),0)</f>
        <v>1</v>
      </c>
      <c r="AM12" s="1">
        <f>IF(AND(R15&gt;0,R15&lt;=100),1,IF(AND(R15&gt;100,R15&lt;=200),2,IF(AND(R15&gt;200,R15&lt;=300),4,IF(AND(R15&gt;300,R15&lt;=500),5,IF(AND(R15&gt;500,R15&lt;=750),6,IF(R15&gt;750,(ROUNDUP(R15/200,0)+3),0))))))</f>
        <v>1</v>
      </c>
      <c r="AN12" s="1">
        <f>IF(AND(R15&gt;0,R15&lt;=100),1,IF(AND(R15&gt;100,R15&lt;=200),2,IF(AND(R15&gt;200,R15&lt;=300),4,IF(AND(R15&gt;300,R15&lt;=500),5,IF(AND(R15&gt;500,R15&lt;=750),6,IF(R15&gt;750,(ROUNDUP(R15/200,0)+3),0))))))</f>
        <v>1</v>
      </c>
      <c r="AO12" s="3">
        <f>ROUNDUP((Q12/1000),0)</f>
        <v>1</v>
      </c>
      <c r="AP12" s="3">
        <f>ROUNDUP((Q12/1000),0)</f>
        <v>1</v>
      </c>
      <c r="AQ12" s="1">
        <f>IF(AND(Q12&gt;0,Q12&lt;=250),1,IF(AND(Q12&gt;250,Q12&lt;=500),2,IF(AND(Q12&gt;500,Q12&lt;=750),3,IF(Q12&gt;750,(ROUNDUP(Q12/500,0)+2),0))))</f>
        <v>1</v>
      </c>
      <c r="AR12" s="1">
        <f>IF(AND(Q12&gt;0,Q12&lt;=250),1,IF(AND(Q12&gt;250,Q12&lt;=500),2,IF(AND(Q12&gt;500,Q12&lt;=750),3,IF(Q12&gt;750,(ROUNDUP(Q12/500,0)+2),0))))</f>
        <v>1</v>
      </c>
      <c r="AS12" s="1" t="s">
        <v>82</v>
      </c>
      <c r="AT12" s="1" t="s">
        <v>82</v>
      </c>
      <c r="AU12" s="1" t="s">
        <v>82</v>
      </c>
      <c r="AV12" s="1" t="s">
        <v>82</v>
      </c>
    </row>
    <row r="13" spans="1:48" x14ac:dyDescent="0.25">
      <c r="A13" s="82"/>
      <c r="B13" s="83"/>
      <c r="C13" s="110"/>
      <c r="D13" s="111"/>
      <c r="E13" s="111"/>
      <c r="F13" s="112"/>
      <c r="G13" s="112"/>
      <c r="H13" s="112"/>
      <c r="I13" s="112"/>
      <c r="J13" s="112"/>
      <c r="K13" s="112"/>
      <c r="L13" s="112"/>
      <c r="M13" s="114"/>
      <c r="N13" s="118"/>
      <c r="O13" s="119"/>
      <c r="Q13" s="1"/>
      <c r="R13" s="1"/>
      <c r="U13" s="5" t="s">
        <v>103</v>
      </c>
      <c r="V13" t="s">
        <v>104</v>
      </c>
      <c r="W13" s="1">
        <f>IF(AND(Q15&gt;0,Q15&lt;=25),1,IF(AND(Q15&gt;25,Q15&lt;=50),2,IF(Q15&gt;50,(ROUNDUP(Q15/50,0)+1),0)))</f>
        <v>1</v>
      </c>
      <c r="X13" s="1">
        <f>IF(AND(Q15&gt;0,Q15&lt;=25),1,IF(AND(Q15&gt;25,Q15&lt;=50),2,IF(Q15&gt;50,(ROUNDUP(Q15/50,0)+1),0)))</f>
        <v>1</v>
      </c>
      <c r="Y13" s="1">
        <f>IF(AND(Q15&gt;0,Q15&lt;=50),1,IF(AND(Q15&gt;50,Q15&lt;=100),2,IF(AND(Q15&gt;100,Q15&lt;=200),3,IF(AND(Q15&gt;200,Q15&lt;=400),4,IF(Q15&gt;400,(ROUNDUP(Q15/500,1))+3,0)))))</f>
        <v>1</v>
      </c>
      <c r="Z13" s="3">
        <f>IF(AND(Q15&gt;0,Q15&lt;=50),1,IF(AND(Q15&gt;50,Q15&lt;=100),2,IF(AND(Q15&gt;100,Q15&lt;=200),3,IF(AND(Q15&gt;200,Q15&lt;=400),4,IF(Q15&gt;400,(ROUNDUP(Q15/500,1))+3,0)))))</f>
        <v>1</v>
      </c>
      <c r="AA13" s="3">
        <f>IF(AND(Q15&gt;0,Q15&lt;=200),1,IF(AND(Q15&gt;200,Q15&lt;=300),2,IF(AND(Q15&gt;300,Q15&lt;=400),3,IF(AND(Q15&gt;400,Q15&lt;=600),6,IF(Q15&gt;600,(ROUNDUP(Q15/300,0))+2,0)))))</f>
        <v>1</v>
      </c>
      <c r="AB13" s="3">
        <f>IF(AND(Q15&gt;0,Q15&lt;=200),1,IF(AND(Q15&gt;200,Q15&lt;=300),2,IF(AND(Q15&gt;300,Q15&lt;=400),3,IF(AND(Q15&gt;400,Q15&lt;=600),6,IF(Q15&gt;600,(ROUNDUP(Q15/300,0))+2,0)))))</f>
        <v>1</v>
      </c>
      <c r="AC13" s="1">
        <f>IF(AND(R15&gt;0,R15&lt;=25),1,IF(AND(R15&gt;25,R15&lt;=50),2,IF(R15&gt;50,(ROUNDUP(R15/50,0)+1),0)))</f>
        <v>1</v>
      </c>
      <c r="AD13" s="1">
        <f>IF(AND(R15&gt;0,R15&lt;=25),1,IF(AND(R15&gt;25,R15&lt;=50),2,IF(R15&gt;50,(ROUNDUP(R15/50,0)+1),0)))</f>
        <v>1</v>
      </c>
      <c r="AE13" s="3">
        <f>IF(AND(R15&gt;0,R15&lt;=15),1,IF(AND(R15&gt;15,R15&lt;=30),2,IF(AND(R15&gt;30,R15&lt;=50),3,IF(AND(R15&gt;50,R15&lt;=100),4,IF(AND(R15&gt;100,R15&lt;=200),8,IF(AND(R15&gt;100,R15&lt;=400),11,IF(R15&gt;400,ROUNDUP(R15/150,0))+8))))))</f>
        <v>1</v>
      </c>
      <c r="AF13" s="3">
        <f>IF(AND(R15&gt;0,R15&lt;=15),1,IF(AND(R15&gt;15,R15&lt;=30),2,IF(AND(R15&gt;30,R15&lt;=50),3,IF(AND(R15&gt;50,R15&lt;=100),4,IF(AND(R15&gt;100,R15&lt;=200),8,IF(AND(R15&gt;100,R15&lt;=400),11,IF(R15&gt;400,ROUNDUP(R15/150,0))+8))))))</f>
        <v>1</v>
      </c>
      <c r="AG13" s="1">
        <f>IF(AND(Q15&gt;0,Q15&lt;=40),1,IF(AND(Q15&gt;40,Q15&lt;=80),2,IF(Q15&gt;80,(ROUNDUP(Q15/80,0)+1),0)))</f>
        <v>1</v>
      </c>
      <c r="AH13" s="1">
        <f>IF(AND(Q15&gt;0,Q15&lt;=40),1,IF(AND(Q15&gt;40,Q15&lt;=80),2,IF(Q15&gt;80,(ROUNDUP(Q15/80,0)+1),0)))</f>
        <v>1</v>
      </c>
      <c r="AI13" s="1">
        <f>IF(AND(Q15&gt;0,Q15&lt;=75),1,IF(AND(Q15&gt;75,Q15&lt;=150),2,IF(AND(Q15&gt;150,Q15&lt;=200),3,IF(AND(Q15&gt;200,Q15&lt;=300),4,IF(AND(Q15&gt;300,Q15&lt;=400),5,IF(Q15&gt;400,(ROUNDUP(Q15/250,0)+4),0))))))</f>
        <v>1</v>
      </c>
      <c r="AJ13" s="1">
        <f>IF(AND(Q15&gt;0,Q15&lt;=75),1,IF(AND(Q15&gt;75,Q15&lt;=150),2,IF(AND(Q15&gt;150,Q15&lt;=200),3,IF(AND(Q15&gt;200,Q15&lt;=300),4,IF(AND(Q15&gt;300,Q15&lt;=400),5,IF(Q15&gt;400,(ROUNDUP(Q15/250,0)+4),0))))))</f>
        <v>1</v>
      </c>
      <c r="AK13" s="1">
        <f>IF(AND(R15&gt;0,R15&lt;=40),1,IF(AND(R15&gt;40,R15&lt;=80),2,IF(R15&gt;80,(ROUNDUP(R15/80,0)+1),0)))</f>
        <v>1</v>
      </c>
      <c r="AL13" s="1">
        <f>IF(AND(R15&gt;0,R15&lt;=40),1,IF(AND(R15&gt;40,R15&lt;=80),2,IF(R15&gt;80,(ROUNDUP(R15/80,0)+1),0)))</f>
        <v>1</v>
      </c>
      <c r="AM13" s="1">
        <f>IF(AND(R15&gt;0,R15&lt;=50),1,IF(AND(R15&gt;50,R15&lt;=100),2,IF(AND(R15&gt;100,R15&lt;=150),3,IF(AND(R15&gt;150,R15&lt;=200),4,IF(AND(R15&gt;200,R15&lt;=300),5,IF(AND(R15&gt;300,R15&lt;=400),6,IF(R15&gt;400,(ROUNDUP(R15/200,0)+4),0)))))))</f>
        <v>1</v>
      </c>
      <c r="AN13" s="1">
        <f>IF(AND(R15&gt;0,R15&lt;=50),1,IF(AND(R15&gt;50,R15&lt;=100),2,IF(AND(R15&gt;100,R15&lt;=150),3,IF(AND(R15&gt;150,R15&lt;=200),4,IF(AND(R15&gt;200,R15&lt;=300),5,IF(AND(R15&gt;300,R15&lt;=400),6,IF(R15&gt;400,(ROUNDUP(R15/200,0)+4),0)))))))</f>
        <v>1</v>
      </c>
      <c r="AO13" s="3">
        <f>ROUNDUP((Q12/100),0)</f>
        <v>1</v>
      </c>
      <c r="AP13" s="3">
        <f>ROUNDUP((Q12/100),0)</f>
        <v>1</v>
      </c>
      <c r="AQ13" s="1">
        <f>ROUNDUP((Q12/150),0)</f>
        <v>1</v>
      </c>
      <c r="AR13" s="1">
        <f>ROUNDUP((Q12/150),0)</f>
        <v>1</v>
      </c>
      <c r="AS13" s="1" t="s">
        <v>82</v>
      </c>
      <c r="AT13" s="1" t="s">
        <v>82</v>
      </c>
      <c r="AU13" s="1" t="s">
        <v>82</v>
      </c>
      <c r="AV13" s="1" t="s">
        <v>82</v>
      </c>
    </row>
    <row r="14" spans="1:48" ht="15.75" x14ac:dyDescent="0.25">
      <c r="A14" s="82"/>
      <c r="B14" s="83"/>
      <c r="C14" s="110"/>
      <c r="D14" s="111"/>
      <c r="E14" s="111"/>
      <c r="F14" s="112"/>
      <c r="G14" s="112"/>
      <c r="H14" s="112"/>
      <c r="I14" s="112"/>
      <c r="J14" s="112"/>
      <c r="K14" s="112"/>
      <c r="L14" s="112"/>
      <c r="M14" s="114"/>
      <c r="N14" s="118"/>
      <c r="O14" s="119"/>
      <c r="Q14" s="15" t="s">
        <v>74</v>
      </c>
      <c r="R14" s="15" t="s">
        <v>75</v>
      </c>
      <c r="U14" s="5" t="s">
        <v>105</v>
      </c>
      <c r="V14" t="s">
        <v>106</v>
      </c>
      <c r="W14" s="1">
        <f>ROUNDUP((Q15/50),0)</f>
        <v>1</v>
      </c>
      <c r="X14" s="1">
        <f>ROUNDUP((Q15/50),0)</f>
        <v>1</v>
      </c>
      <c r="Y14" s="1">
        <f>ROUNDUP((Q15/50),0)</f>
        <v>1</v>
      </c>
      <c r="Z14" s="3">
        <f>ROUNDUP((Q15/50),0)</f>
        <v>1</v>
      </c>
      <c r="AA14" s="3">
        <f>ROUNDUP((Q15/100),0)</f>
        <v>1</v>
      </c>
      <c r="AB14" s="3">
        <f>ROUNDUP((Q15/100),0)</f>
        <v>1</v>
      </c>
      <c r="AC14" s="1">
        <f>ROUNDUP((R15/50),0)</f>
        <v>1</v>
      </c>
      <c r="AD14" s="1">
        <f>ROUNDUP((R15/50),0)</f>
        <v>1</v>
      </c>
      <c r="AE14" s="3">
        <f>ROUNDUP((R15/50),0)</f>
        <v>1</v>
      </c>
      <c r="AF14" s="3">
        <f>ROUNDUP((R15/50),0)</f>
        <v>1</v>
      </c>
      <c r="AG14" s="1">
        <f>ROUNDUP((Q15/50),0)</f>
        <v>1</v>
      </c>
      <c r="AH14" s="1">
        <f>ROUNDUP((Q15/50),0)</f>
        <v>1</v>
      </c>
      <c r="AI14" s="1">
        <f>ROUNDUP((Q15/40),0)</f>
        <v>1</v>
      </c>
      <c r="AJ14" s="1">
        <f>ROUNDUP((Q15/40),0)</f>
        <v>1</v>
      </c>
      <c r="AK14" s="1">
        <f>ROUNDUP((R15/50),0)</f>
        <v>1</v>
      </c>
      <c r="AL14" s="1">
        <f>ROUNDUP((R15/50),0)</f>
        <v>1</v>
      </c>
      <c r="AM14" s="1">
        <f>ROUNDUP((R15/40),0)</f>
        <v>1</v>
      </c>
      <c r="AN14" s="1">
        <f>ROUNDUP((R15/40),0)</f>
        <v>1</v>
      </c>
      <c r="AO14" s="3">
        <f>ROUNDUP((Q12/100),0)</f>
        <v>1</v>
      </c>
      <c r="AP14" s="3">
        <f>ROUNDUP((Q12/100),0)</f>
        <v>1</v>
      </c>
      <c r="AQ14" s="1">
        <f>ROUNDUP((Q12/150),0)</f>
        <v>1</v>
      </c>
      <c r="AR14" s="1">
        <f>ROUNDUP((Q12/150),0)</f>
        <v>1</v>
      </c>
      <c r="AS14" s="1" t="s">
        <v>82</v>
      </c>
      <c r="AT14" s="1" t="s">
        <v>82</v>
      </c>
      <c r="AU14" s="1" t="s">
        <v>82</v>
      </c>
      <c r="AV14" s="1" t="s">
        <v>82</v>
      </c>
    </row>
    <row r="15" spans="1:48" ht="15.75" x14ac:dyDescent="0.25">
      <c r="A15" s="82"/>
      <c r="B15" s="83"/>
      <c r="C15" s="110"/>
      <c r="D15" s="111" t="s">
        <v>107</v>
      </c>
      <c r="E15" s="111"/>
      <c r="F15" s="112">
        <f>IF(AND(AND(Q7="2009 - 2015 ipc"),OR(N15&gt;0,O15&gt;0),N15+O15&lt;=15),"Single restroom okay for 15 or less (IBC 2902.2(2))",IF(AND(AND(Q7="2021 - 2018 ipc"),OR(N15&gt;0,O15&gt;0),N15+O15&lt;=15),"Single restroom okay for 15 or less (IBC 2902.2(2))",IF(AND(AND(Q7="UPC"),OR(N15&gt;0,O15&gt;0),N15+O15&lt;=10),"Single restroom okay for 10 or less (422.2(2))",IF(AND(AND(Q7="california"),OR(N15&gt;0,O15&gt;0),N15+O15&lt;=10),"Single restroom okay for 10 or less (422.2(2))",IF(AND(OR(Q7="2009 - 2015 ipc",Q7="2021 - 2018 ipc"),Q12&lt;=15),"Single restroom okay for 15 or less (IBC 2902.2(2))",IF(AND(OR(Q7="UPC",Q7="CAlifornia"),Q12&lt;=10),"Single restroom okay for 10 or less (422.2(2))",IF(N15=0,INDEX(W6:Z6,MATCH(Q7,W2:Z2,0)),IF(OR(Q7="2021 - 2018 IPC",Q7="2009 - 2015 IPC"),ROUNDUP((N15/75),0),IF(OR(Q7="UPC",Q7="California"),IF(AND(N15&gt;0,N15&lt;=50),1,IF(AND(N15&gt;50,N15&lt;=150),2,IF(AND(N15&gt;150,N15&lt;=300),3,IF(AND(N15&gt;300,N15&lt;=400),4,IF(N15&gt;400,(ROUNDUP(N15/250,1))+3,0))))))))))))))</f>
        <v>1</v>
      </c>
      <c r="G15" s="112">
        <f>IF(AND(AND(Q7="2009 - 2015 ipc"),OR(N15&gt;0,O15&gt;0),N15+O15&lt;=15),"-",IF(AND(AND(Q7="2021 - 2018 ipc"),OR(N15&gt;0,O15&gt;0),N15+O15&lt;=15),"-",IF(AND(AND(Q7="UPC"),OR(N15&gt;0,O15&gt;0),N15+O15&lt;=10),"-",IF(AND(AND(Q7="california"),OR(N15&gt;0,O15&gt;0),N15+O15&lt;=10),"-",IF(AND(OR(Q7="2009 - 2015 ipc",Q7="2021 - 2018 ipc"),Q12&lt;=15),"-",IF(AND(OR(Q7="UPC",Q7="CAlifornia"),Q12&lt;=10),"-",IF(O15=0,INDEX(AC6:AF6,MATCH(Q7,AC2:AF2,0)),IF(OR(Q7="2021 - 2018 IPC",Q7="2009 - 2015 IPC"),ROUNDUP((O15/75),0),IF(OR(Q7="UPC",Q7="California"),IF(AND(O15&gt;0,O15&lt;=25),1,IF(AND(O15&gt;25,O15&lt;=50),2,IF(AND(O15&gt;50,O15&lt;=100),3,IF(AND(O15&gt;100,O15&lt;=200),4,IF(AND(O15&gt;200,O15&lt;=300),6,IF(AND(O15&gt;300,O15&lt;=400),8,IF(O15&gt;400,(ROUNDUP(O15/125,1))+5,0))))))))))))))))</f>
        <v>1</v>
      </c>
      <c r="H15" s="112" t="str">
        <f>IF(OR(Q7="UPC",Q7="California"),"Can substitute up to 67% of required fixtures","Can substitute up to 67% of required fixtures")</f>
        <v>Can substitute up to 67% of required fixtures</v>
      </c>
      <c r="I15" s="112">
        <f>IF(N15=0,INDEX(AG6:AJ6,MATCH(Q7,AG2:AJ2,0)),IF(OR(Q7="2021 - 2018 IPC",Q7="2009 - 2015 IPC"),ROUNDUP((N15/200),0),IF(OR(Q7="upc",Q7="California"),IF(AND(N15&gt;0,N15&lt;=200),1,IF(AND(N15&gt;200,N15&lt;=400),2,IF(AND(N15&gt;400,N15&lt;=600),3,IF(AND(N15&gt;600,N15&lt;=750),4,IF(N15&gt;750,(ROUNDUP(N15/250,0)+1),0))))))))</f>
        <v>1</v>
      </c>
      <c r="J15" s="112">
        <f>IF(O15=0,INDEX(AK6:AN6,MATCH(Q7,AK2:AN2,0)),IF(OR(Q7="2021 - 2018 IPC",Q7="2009 - 2015 IPC"),ROUNDUP((O15/200),0),IF(OR(Q7="upc",Q7="California"),IF(AND(O15&gt;0,O15&lt;=100),1,IF(AND(O15&gt;100,O15&lt;=200),2,IF(AND(O15&gt;200,O15&lt;=300),4,IF(AND(O15&gt;300,O15&lt;=500),5,IF(AND(O15&gt;500,O15&lt;=750),6,IF(O15&gt;750,(ROUNDUP(O15/200,0)+3),0)))))))))</f>
        <v>1</v>
      </c>
      <c r="K15" s="112" t="s">
        <v>82</v>
      </c>
      <c r="L15" s="112" t="str">
        <f>IF(AND(AND(Q7="2009 - 2015 ipc"),OR(N15&gt;0,O15&gt;0),N15+O15&lt;=15),"15 or less Fountain exempt(IPC 410.2)",IF(AND(AND(Q7="2021 - 2018 ipc"),OR(N15&gt;0,O15&gt;0),N15+O15&lt;=15),"15 or less Fountain exempt(IPC 410.2)",IF(AND(OR(Q7="2009 - 2015 ipc",Q7="2021 - 2018 ipc"),Q12&lt;=15),"15 or less Fountain exempt(IPC 410.2)",IF(AND(AND(Q7="UPC"),OR(N15&gt;0,O15&gt;0),N15+O15&lt;=30),"30 or less Fountain exempt(UPC 415.2)",IF(AND(AND(Q7="california"),OR(N15&gt;0,O15&gt;0),N15+O15&lt;=30),"30 or less Fountain exempt(CPC 415.2)",IF(AND(OR(Q7="UPC",Q7="CAlifornia"),Q12&lt;=30),"30 or less Fountain exempt(UPC / CPC 415.2)",IF(OR(N15=0,O15=0),INDEX(AO6:AR6,MATCH(Q7,AO2:AR2,0)),0)))))))</f>
        <v>30 or less Fountain exempt(UPC / CPC 415.2)</v>
      </c>
      <c r="M15" s="121" t="s">
        <v>83</v>
      </c>
      <c r="N15" s="96">
        <v>0</v>
      </c>
      <c r="O15" s="97">
        <v>0</v>
      </c>
      <c r="Q15" s="16">
        <f>ROUNDUP((Q12/2),1)</f>
        <v>10</v>
      </c>
      <c r="R15" s="16">
        <f>ROUNDUP((Q12/2),1)</f>
        <v>10</v>
      </c>
      <c r="U15" s="5" t="s">
        <v>108</v>
      </c>
      <c r="V15" t="s">
        <v>109</v>
      </c>
      <c r="W15" s="1">
        <f>ROUNDUP((Q15/100),0)</f>
        <v>1</v>
      </c>
      <c r="X15" s="1">
        <f>ROUNDUP((Q15/100),0)</f>
        <v>1</v>
      </c>
      <c r="Y15" s="1">
        <f>IF(AND(Q15&gt;0,Q15&lt;=50),1,IF(AND(Q15&gt;50,Q15&lt;=75),2,IF(AND(Q15&gt;75,Q15&lt;=100),3,IF(Q15&gt;100,(ROUNDUP(Q15/40,1))+1,0))))</f>
        <v>1</v>
      </c>
      <c r="Z15" s="3">
        <f>IF(AND(Q15&gt;0,Q15&lt;=50),1,IF(AND(Q15&gt;50,Q15&lt;=75),2,IF(AND(Q15&gt;75,Q15&lt;=100),3,IF(Q15&gt;100,(ROUNDUP(Q15/40,1))+1,0))))</f>
        <v>1</v>
      </c>
      <c r="AA15" s="3" t="s">
        <v>82</v>
      </c>
      <c r="AB15" s="3" t="s">
        <v>82</v>
      </c>
      <c r="AC15" s="1">
        <f>ROUNDUP((R15/100),0)</f>
        <v>1</v>
      </c>
      <c r="AD15" s="1">
        <f>ROUNDUP((R15/100),0)</f>
        <v>1</v>
      </c>
      <c r="AE15" s="3">
        <f>IF(AND(R15&gt;0,R15&lt;=50),1,IF(AND(R15&gt;50,R15&lt;=75),2,IF(AND(R15&gt;75,R15&lt;=100),3,IF(R15&gt;100,(ROUNDUP(R15/40,1))+1,0))))</f>
        <v>1</v>
      </c>
      <c r="AF15" s="3">
        <f>IF(AND(R15&gt;0,R15&lt;=50),1,IF(AND(R15&gt;50,R15&lt;=75),2,IF(AND(R15&gt;75,R15&lt;=100),3,IF(R15&gt;100,(ROUNDUP(R15/40,1))+1,0))))</f>
        <v>1</v>
      </c>
      <c r="AG15" s="1">
        <f>ROUNDUP((Q15/100),0)</f>
        <v>1</v>
      </c>
      <c r="AH15" s="1">
        <f>ROUNDUP((Q15/100),0)</f>
        <v>1</v>
      </c>
      <c r="AI15" s="1">
        <f>IF(AND(Q15&gt;0,Q15&lt;=50),1,IF(AND(Q15&gt;50,Q15&lt;=75),2,IF(AND(Q15&gt;75,Q15&lt;=100),3,IF(Q15&gt;100,(ROUNDUP(Q15/40,1))+1,0))))</f>
        <v>1</v>
      </c>
      <c r="AJ15" s="1">
        <f>IF(AND(Q15&gt;0,Q15&lt;=50),1,IF(AND(Q15&gt;50,Q15&lt;=75),2,IF(AND(Q15&gt;75,Q15&lt;=100),3,IF(Q15&gt;100,(ROUNDUP(Q15/40,1))+1,0))))</f>
        <v>1</v>
      </c>
      <c r="AK15" s="1">
        <f>ROUNDUP((R15/100),0)</f>
        <v>1</v>
      </c>
      <c r="AL15" s="1">
        <f>ROUNDUP((R15/100),0)</f>
        <v>1</v>
      </c>
      <c r="AM15" s="1">
        <f>IF(AND(R15&gt;0,R15&lt;=50),1,IF(AND(R15&gt;50,R15&lt;=75),2,IF(AND(R15&gt;75,R15&lt;=100),3,IF(R15&gt;100,(ROUNDUP(R15/40,1))+1,0))))</f>
        <v>1</v>
      </c>
      <c r="AN15" s="1">
        <f>IF(AND(R15&gt;0,R15&lt;=50),1,IF(AND(R15&gt;50,R15&lt;=75),2,IF(AND(R15&gt;75,R15&lt;=100),3,IF(R15&gt;100,(ROUNDUP(R15/40,1))+1,0))))</f>
        <v>1</v>
      </c>
      <c r="AO15" s="3">
        <f>ROUNDUP((Q12/400),0)</f>
        <v>1</v>
      </c>
      <c r="AP15" s="3">
        <f>ROUNDUP((Q12/400),0)</f>
        <v>1</v>
      </c>
      <c r="AQ15" s="1">
        <f>IF(AND(Q12&gt;0,Q12&lt;=250),1,IF(AND(Q12&gt;250,Q12&lt;=500),2,IF(AND(Q12&gt;500,Q12&lt;=750),3,IF(Q12&gt;750,(ROUNDUP(Q12/500,0)+2),0))))</f>
        <v>1</v>
      </c>
      <c r="AR15" s="1">
        <f>IF(AND(Q12&gt;0,Q12&lt;=250),1,IF(AND(Q12&gt;250,Q12&lt;=500),2,IF(AND(Q12&gt;500,Q12&lt;=750),3,IF(Q12&gt;750,(ROUNDUP(Q12/500,0)+2),0))))</f>
        <v>1</v>
      </c>
      <c r="AS15" s="1" t="s">
        <v>110</v>
      </c>
      <c r="AT15" s="1" t="s">
        <v>110</v>
      </c>
      <c r="AU15" s="1" t="s">
        <v>82</v>
      </c>
      <c r="AV15" s="1" t="s">
        <v>82</v>
      </c>
    </row>
    <row r="16" spans="1:48" x14ac:dyDescent="0.25">
      <c r="A16" s="82"/>
      <c r="B16" s="83"/>
      <c r="C16" s="110"/>
      <c r="D16" s="111"/>
      <c r="E16" s="111"/>
      <c r="F16" s="112"/>
      <c r="G16" s="112"/>
      <c r="H16" s="112"/>
      <c r="I16" s="112"/>
      <c r="J16" s="112"/>
      <c r="K16" s="112"/>
      <c r="L16" s="112"/>
      <c r="M16" s="114"/>
      <c r="N16" s="96"/>
      <c r="O16" s="97"/>
      <c r="U16" s="5" t="s">
        <v>111</v>
      </c>
      <c r="V16" t="s">
        <v>112</v>
      </c>
      <c r="W16" s="1">
        <f>ROUNDUP((Q15/10),0)</f>
        <v>1</v>
      </c>
      <c r="X16" s="1">
        <f>ROUNDUP((Q15/10),0)</f>
        <v>1</v>
      </c>
      <c r="Y16" s="1">
        <f>ROUNDUP((Q15/15),0)</f>
        <v>1</v>
      </c>
      <c r="Z16" s="3">
        <f>ROUNDUP((Q15/15),0)</f>
        <v>1</v>
      </c>
      <c r="AA16" s="3">
        <f>ROUNDUP((Q15/15),0)</f>
        <v>1</v>
      </c>
      <c r="AB16" s="3">
        <f>ROUNDUP((Q15/15),0)</f>
        <v>1</v>
      </c>
      <c r="AC16" s="1">
        <f>ROUNDUP((R15/10),0)</f>
        <v>1</v>
      </c>
      <c r="AD16" s="1">
        <f>ROUNDUP((R15/10),0)</f>
        <v>1</v>
      </c>
      <c r="AE16" s="3">
        <f>ROUNDUP((R15/15),0)</f>
        <v>1</v>
      </c>
      <c r="AF16" s="3">
        <f>ROUNDUP((R15/15),0)</f>
        <v>1</v>
      </c>
      <c r="AG16" s="1">
        <f>ROUNDUP((Q15/10),0)</f>
        <v>1</v>
      </c>
      <c r="AH16" s="1">
        <f>ROUNDUP((Q15/10),0)</f>
        <v>1</v>
      </c>
      <c r="AI16" s="1">
        <f>ROUNDUP((Q15/15),0)</f>
        <v>1</v>
      </c>
      <c r="AJ16" s="1">
        <f>ROUNDUP((Q15/15),0)</f>
        <v>1</v>
      </c>
      <c r="AK16" s="1">
        <f>ROUNDUP((R15/10),0)</f>
        <v>1</v>
      </c>
      <c r="AL16" s="1">
        <f>ROUNDUP((R15/10),0)</f>
        <v>1</v>
      </c>
      <c r="AM16" s="1">
        <f>ROUNDUP((R15/8),0)</f>
        <v>2</v>
      </c>
      <c r="AN16" s="1">
        <f>ROUNDUP((R15/8),0)</f>
        <v>2</v>
      </c>
      <c r="AO16" s="3">
        <f>ROUNDUP((Q12/100),0)</f>
        <v>1</v>
      </c>
      <c r="AP16" s="3">
        <f>ROUNDUP((Q12/100),0)</f>
        <v>1</v>
      </c>
      <c r="AQ16" s="1" t="s">
        <v>82</v>
      </c>
      <c r="AR16" s="1" t="s">
        <v>82</v>
      </c>
      <c r="AS16" s="1">
        <f>ROUNDUP((Q12/8),0)</f>
        <v>3</v>
      </c>
      <c r="AT16" s="1">
        <f>ROUNDUP((Q12/8),0)</f>
        <v>3</v>
      </c>
      <c r="AU16" s="1">
        <f>ROUNDUP((Q12/150),0)</f>
        <v>1</v>
      </c>
      <c r="AV16" s="1">
        <f>ROUNDUP((Q12/150),0)</f>
        <v>1</v>
      </c>
    </row>
    <row r="17" spans="1:48" ht="14.45" customHeight="1" x14ac:dyDescent="0.25">
      <c r="A17" s="82"/>
      <c r="B17" s="83"/>
      <c r="C17" s="110"/>
      <c r="D17" s="111"/>
      <c r="E17" s="111"/>
      <c r="F17" s="112"/>
      <c r="G17" s="112"/>
      <c r="H17" s="112"/>
      <c r="I17" s="112"/>
      <c r="J17" s="112"/>
      <c r="K17" s="112"/>
      <c r="L17" s="112"/>
      <c r="M17" s="114"/>
      <c r="N17" s="96"/>
      <c r="O17" s="97"/>
      <c r="U17" s="5" t="s">
        <v>113</v>
      </c>
      <c r="V17" t="s">
        <v>114</v>
      </c>
      <c r="W17" s="1">
        <f>ROUNDUP((Q15/25),0)</f>
        <v>1</v>
      </c>
      <c r="X17" s="1">
        <f>ROUNDUP((Q15/25),0)</f>
        <v>1</v>
      </c>
      <c r="Y17" s="1">
        <f>IF(AND(Q15&gt;0,Q15&lt;=15),1,IF(AND(Q15&gt;15,Q15&lt;=35),2,IF(AND(Q15&gt;35,Q15&lt;=55),3,IF(Q15&gt;55,(ROUNDUP(Q15/40,1))+2,0))))</f>
        <v>1</v>
      </c>
      <c r="Z17" s="3">
        <f>IF(AND(Q15&gt;0,Q15&lt;=15),1,IF(AND(Q15&gt;15,Q15&lt;=35),2,IF(AND(Q15&gt;35,Q15&lt;=55),3,IF(Q15&gt;55,(ROUNDUP(Q15/40,1))+2,0))))</f>
        <v>1</v>
      </c>
      <c r="AA17" s="3" t="s">
        <v>82</v>
      </c>
      <c r="AB17" s="3" t="s">
        <v>82</v>
      </c>
      <c r="AC17" s="1">
        <f>ROUNDUP((R15/25),0)</f>
        <v>1</v>
      </c>
      <c r="AD17" s="1">
        <f>ROUNDUP((R15/25),0)</f>
        <v>1</v>
      </c>
      <c r="AE17" s="3">
        <f>IF(AND(R15&gt;0,R15&lt;=15),1,IF(AND(R15&gt;15,R15&lt;=35),2,IF(AND(R15&gt;35,R15&lt;=55),3,IF(R15&gt;55,(ROUNDUP(R15/40,1))+2,0))))</f>
        <v>1</v>
      </c>
      <c r="AF17" s="3">
        <f>IF(AND(R15&gt;0,R15&lt;=15),1,IF(AND(R15&gt;15,R15&lt;=35),2,IF(AND(R15&gt;35,R15&lt;=55),3,IF(R15&gt;55,(ROUNDUP(R15/40,1))+2,0))))</f>
        <v>1</v>
      </c>
      <c r="AG17" s="1">
        <f>ROUNDUP((Q15/35),0)</f>
        <v>1</v>
      </c>
      <c r="AH17" s="1">
        <f>ROUNDUP((Q15/35),0)</f>
        <v>1</v>
      </c>
      <c r="AI17" s="1">
        <f>ROUNDUP((Q15/40),0)</f>
        <v>1</v>
      </c>
      <c r="AJ17" s="1">
        <f>ROUNDUP((Q15/40),0)</f>
        <v>1</v>
      </c>
      <c r="AK17" s="1">
        <f>ROUNDUP((R15/35),0)</f>
        <v>1</v>
      </c>
      <c r="AL17" s="1">
        <f>ROUNDUP((R15/35),0)</f>
        <v>1</v>
      </c>
      <c r="AM17" s="1">
        <f>ROUNDUP((R15/40),0)</f>
        <v>1</v>
      </c>
      <c r="AN17" s="1">
        <f>ROUNDUP((R15/40),0)</f>
        <v>1</v>
      </c>
      <c r="AO17" s="3">
        <f>ROUNDUP((Q12/100),0)</f>
        <v>1</v>
      </c>
      <c r="AP17" s="3">
        <f>ROUNDUP((Q12/100),0)</f>
        <v>1</v>
      </c>
      <c r="AQ17" s="1" t="s">
        <v>82</v>
      </c>
      <c r="AR17" s="1" t="s">
        <v>82</v>
      </c>
      <c r="AS17" s="1" t="s">
        <v>82</v>
      </c>
      <c r="AT17" s="1" t="s">
        <v>82</v>
      </c>
      <c r="AU17" s="1" t="s">
        <v>82</v>
      </c>
      <c r="AV17" s="1" t="s">
        <v>82</v>
      </c>
    </row>
    <row r="18" spans="1:48" x14ac:dyDescent="0.25">
      <c r="A18" s="82"/>
      <c r="B18" s="83"/>
      <c r="C18" s="110"/>
      <c r="D18" s="111"/>
      <c r="E18" s="111"/>
      <c r="F18" s="112"/>
      <c r="G18" s="112"/>
      <c r="H18" s="112"/>
      <c r="I18" s="112"/>
      <c r="J18" s="112"/>
      <c r="K18" s="112"/>
      <c r="L18" s="112"/>
      <c r="M18" s="114"/>
      <c r="N18" s="96"/>
      <c r="O18" s="97"/>
      <c r="U18" s="5" t="s">
        <v>115</v>
      </c>
      <c r="V18" t="s">
        <v>114</v>
      </c>
      <c r="W18" s="1">
        <f>ROUNDUP((Q15/75),0)</f>
        <v>1</v>
      </c>
      <c r="X18" s="1">
        <f>ROUNDUP((Q15/75),0)</f>
        <v>1</v>
      </c>
      <c r="Y18" s="1" t="s">
        <v>82</v>
      </c>
      <c r="Z18" s="3" t="s">
        <v>82</v>
      </c>
      <c r="AA18" s="3" t="s">
        <v>82</v>
      </c>
      <c r="AB18" s="3" t="s">
        <v>82</v>
      </c>
      <c r="AC18" s="1">
        <f>ROUNDUP((R15/75),0)</f>
        <v>1</v>
      </c>
      <c r="AD18" s="1">
        <f>ROUNDUP((R15/75),0)</f>
        <v>1</v>
      </c>
      <c r="AE18" s="3" t="s">
        <v>82</v>
      </c>
      <c r="AF18" s="3" t="s">
        <v>82</v>
      </c>
      <c r="AG18" s="1">
        <f>ROUNDUP((Q15/100),0)</f>
        <v>1</v>
      </c>
      <c r="AH18" s="1">
        <f>ROUNDUP((Q15/100),0)</f>
        <v>1</v>
      </c>
      <c r="AI18" s="1" t="s">
        <v>82</v>
      </c>
      <c r="AJ18" s="1" t="s">
        <v>82</v>
      </c>
      <c r="AK18" s="1">
        <f>ROUNDUP((R15/100),0)</f>
        <v>1</v>
      </c>
      <c r="AL18" s="1">
        <f>ROUNDUP((R15/100),0)</f>
        <v>1</v>
      </c>
      <c r="AM18" s="1" t="s">
        <v>82</v>
      </c>
      <c r="AN18" s="1" t="s">
        <v>82</v>
      </c>
      <c r="AO18" s="3">
        <f>ROUNDUP((Q12/500),0)</f>
        <v>1</v>
      </c>
      <c r="AP18" s="3">
        <f>ROUNDUP((Q12/500),0)</f>
        <v>1</v>
      </c>
      <c r="AQ18" s="1" t="s">
        <v>82</v>
      </c>
      <c r="AR18" s="1" t="s">
        <v>82</v>
      </c>
      <c r="AS18" s="1">
        <f>ROUNDUP((Q12/15),0)</f>
        <v>2</v>
      </c>
      <c r="AT18" s="1">
        <f>ROUNDUP((Q12/15),0)</f>
        <v>2</v>
      </c>
      <c r="AU18" s="1">
        <f>ROUNDUP((Q12/20),0)</f>
        <v>1</v>
      </c>
      <c r="AV18" s="1">
        <f>ROUNDUP((Q12/20),0)</f>
        <v>1</v>
      </c>
    </row>
    <row r="19" spans="1:48" x14ac:dyDescent="0.25">
      <c r="A19" s="82"/>
      <c r="B19" s="83"/>
      <c r="C19" s="110"/>
      <c r="D19" s="111"/>
      <c r="E19" s="111"/>
      <c r="F19" s="112"/>
      <c r="G19" s="112"/>
      <c r="H19" s="112"/>
      <c r="I19" s="112"/>
      <c r="J19" s="112"/>
      <c r="K19" s="112"/>
      <c r="L19" s="112"/>
      <c r="M19" s="114"/>
      <c r="N19" s="96"/>
      <c r="O19" s="97"/>
      <c r="U19" s="5" t="s">
        <v>116</v>
      </c>
      <c r="V19" t="s">
        <v>117</v>
      </c>
      <c r="W19" s="1">
        <f>ROUNDUP((Q15/15),0)</f>
        <v>1</v>
      </c>
      <c r="X19" s="1">
        <f>ROUNDUP((Q15/15),0)</f>
        <v>1</v>
      </c>
      <c r="Y19" s="1" t="s">
        <v>82</v>
      </c>
      <c r="Z19" s="3" t="s">
        <v>82</v>
      </c>
      <c r="AA19" s="3" t="s">
        <v>82</v>
      </c>
      <c r="AB19" s="3" t="s">
        <v>82</v>
      </c>
      <c r="AC19" s="1">
        <f>ROUNDUP((R15/15),0)</f>
        <v>1</v>
      </c>
      <c r="AD19" s="1">
        <f>ROUNDUP((R15/15),0)</f>
        <v>1</v>
      </c>
      <c r="AE19" s="3" t="s">
        <v>82</v>
      </c>
      <c r="AF19" s="3" t="s">
        <v>82</v>
      </c>
      <c r="AG19" s="1">
        <f>ROUNDUP((Q15/15),0)</f>
        <v>1</v>
      </c>
      <c r="AH19" s="1">
        <f>ROUNDUP((Q15/15),0)</f>
        <v>1</v>
      </c>
      <c r="AI19" s="1" t="s">
        <v>82</v>
      </c>
      <c r="AJ19" s="1" t="s">
        <v>82</v>
      </c>
      <c r="AK19" s="1">
        <f>ROUNDUP((R15/15),0)</f>
        <v>1</v>
      </c>
      <c r="AL19" s="1">
        <f>ROUNDUP((R15/15),0)</f>
        <v>1</v>
      </c>
      <c r="AM19" s="1" t="s">
        <v>82</v>
      </c>
      <c r="AN19" s="1" t="s">
        <v>82</v>
      </c>
      <c r="AO19" s="3">
        <f>ROUNDUP((Q12/100),0)</f>
        <v>1</v>
      </c>
      <c r="AP19" s="3">
        <f>ROUNDUP((Q12/100),0)</f>
        <v>1</v>
      </c>
      <c r="AQ19" s="1" t="s">
        <v>157</v>
      </c>
      <c r="AR19" s="1" t="s">
        <v>157</v>
      </c>
      <c r="AS19" s="1">
        <f>ROUNDUP((Q12/15),0)</f>
        <v>2</v>
      </c>
      <c r="AT19" s="1">
        <f>ROUNDUP((Q12/15),0)</f>
        <v>2</v>
      </c>
      <c r="AU19" s="1">
        <f>ROUNDUP((Q12/20),0)</f>
        <v>1</v>
      </c>
      <c r="AV19" s="1">
        <f>ROUNDUP((Q12/20),0)</f>
        <v>1</v>
      </c>
    </row>
    <row r="20" spans="1:48" x14ac:dyDescent="0.25">
      <c r="A20" s="82"/>
      <c r="B20" s="83"/>
      <c r="C20" s="110"/>
      <c r="D20" s="111"/>
      <c r="E20" s="111"/>
      <c r="F20" s="112"/>
      <c r="G20" s="112"/>
      <c r="H20" s="112"/>
      <c r="I20" s="112"/>
      <c r="J20" s="112"/>
      <c r="K20" s="112"/>
      <c r="L20" s="112"/>
      <c r="M20" s="114"/>
      <c r="N20" s="96"/>
      <c r="O20" s="97"/>
      <c r="U20" s="5" t="s">
        <v>113</v>
      </c>
      <c r="V20" t="s">
        <v>117</v>
      </c>
      <c r="W20" s="1">
        <f>ROUNDUP((Q15/25),0)</f>
        <v>1</v>
      </c>
      <c r="X20" s="1">
        <f>ROUNDUP((Q15/25),0)</f>
        <v>1</v>
      </c>
      <c r="Y20" s="1">
        <f>IF(AND(Q15&gt;0,Q15&lt;=15),1,IF(AND(Q15&gt;15,Q15&lt;=35),2,IF(AND(Q15&gt;35,Q15&lt;=55),3,IF(Q15&gt;55,(ROUNDUP(Q15/40,1))+2,0))))</f>
        <v>1</v>
      </c>
      <c r="Z20" s="3">
        <f>IF(AND(Q15&gt;0,Q15&lt;=15),1,IF(AND(Q15&gt;15,Q15&lt;=35),2,IF(AND(Q15&gt;35,Q15&lt;=55),3,IF(Q15&gt;55,(ROUNDUP(Q15/40,1))+2,0))))</f>
        <v>1</v>
      </c>
      <c r="AA20" s="3" t="s">
        <v>82</v>
      </c>
      <c r="AB20" s="3" t="s">
        <v>82</v>
      </c>
      <c r="AC20" s="1">
        <f>ROUNDUP((R15/25),0)</f>
        <v>1</v>
      </c>
      <c r="AD20" s="1">
        <f>ROUNDUP((R15/25),0)</f>
        <v>1</v>
      </c>
      <c r="AE20" s="3">
        <f>IF(AND(R15&gt;0,R15&lt;=15),1,IF(AND(R15&gt;15,R15&lt;=35),2,IF(AND(R15&gt;35,R15&lt;=55),3,IF(R15&gt;55,(ROUNDUP(R15/40,1))+2,0))))</f>
        <v>1</v>
      </c>
      <c r="AF20" s="3">
        <f>IF(AND(R15&gt;0,R15&lt;=15),1,IF(AND(R15&gt;15,R15&lt;=35),2,IF(AND(R15&gt;35,R15&lt;=55),3,IF(R15&gt;55,(ROUNDUP(R15/40,1))+2,0))))</f>
        <v>1</v>
      </c>
      <c r="AG20" s="1">
        <f>ROUNDUP((Q15/35),0)</f>
        <v>1</v>
      </c>
      <c r="AH20" s="1">
        <f>ROUNDUP((Q15/35),0)</f>
        <v>1</v>
      </c>
      <c r="AI20" s="1">
        <f>ROUNDUP((Q15/40),0)</f>
        <v>1</v>
      </c>
      <c r="AJ20" s="1">
        <f>ROUNDUP((Q15/40),0)</f>
        <v>1</v>
      </c>
      <c r="AK20" s="1">
        <f>ROUNDUP((R15/35),0)</f>
        <v>1</v>
      </c>
      <c r="AL20" s="1">
        <f>ROUNDUP((R15/35),0)</f>
        <v>1</v>
      </c>
      <c r="AM20" s="1">
        <f>ROUNDUP((R15/40),0)</f>
        <v>1</v>
      </c>
      <c r="AN20" s="1">
        <f>ROUNDUP((R15/40),0)</f>
        <v>1</v>
      </c>
      <c r="AO20" s="3">
        <f>ROUNDUP((Q12/100),0)</f>
        <v>1</v>
      </c>
      <c r="AP20" s="3">
        <f>ROUNDUP((Q12/100),0)</f>
        <v>1</v>
      </c>
      <c r="AQ20" s="1">
        <f>ROUNDUP((Q12/150),0)</f>
        <v>1</v>
      </c>
      <c r="AR20" s="1">
        <f>ROUNDUP((Q12/150),0)</f>
        <v>1</v>
      </c>
      <c r="AS20" s="1" t="s">
        <v>82</v>
      </c>
      <c r="AT20" s="1" t="s">
        <v>82</v>
      </c>
      <c r="AU20" s="1" t="s">
        <v>82</v>
      </c>
      <c r="AV20" s="1" t="s">
        <v>82</v>
      </c>
    </row>
    <row r="21" spans="1:48" x14ac:dyDescent="0.25">
      <c r="A21" s="82"/>
      <c r="B21" s="83"/>
      <c r="C21" s="110" t="s">
        <v>118</v>
      </c>
      <c r="D21" s="111" t="s">
        <v>119</v>
      </c>
      <c r="E21" s="111"/>
      <c r="F21" s="112">
        <f>IF(AND(AND(Q7="2009 - 2015 ipc"),OR(N21&gt;0,O21&gt;0),N21+O21&lt;=15),"Single restroom okay for 15 or less (IBC 2902.2(2))",IF(AND(AND(Q7="2021 - 2018 ipc"),OR(N21&gt;0,O21&gt;0),N21+O21&lt;=15),"Single restroom okay for 15 or less (IBC 2902.2(2))",IF(AND(AND(Q7="UPC"),OR(N21&gt;0,O21&gt;0),N21+O21&lt;=10),"Single restroom okay for 10 or less (422.2(2))",IF(AND(AND(Q7="california"),OR(N21&gt;0,O21&gt;0),N21+O21&lt;=10),"Single restroom okay for 10 or less (422.2(2))",IF(AND(OR(Q7="2009 - 2015 ipc",Q7="2021 - 2018 ipc"),Q12&lt;=15),"Single restroom okay for 15 or less (IBC 2902.2(2))",IF(AND(OR(Q7="UPC",Q7="CAlifornia"),Q12&lt;=10),"Single restroom okay for 10 or less (422.2(2))",IF(N21=0,INDEX(W7:Z7,MATCH(Q7,W2:Z2,0)),IF(OR(Q7="2021 - 2018 IPC",Q7="2009 - 2015 IPC"),ROUNDUP((N21/125),0),IF(OR(Q7="UPC",Q7="California"),IF(AND(N21&gt;0,N21&lt;=100),1,IF(AND(N21&gt;100,N21&lt;=200),2,IF(AND(N21&gt;200,N21&lt;=400),3,IF(N21&gt;400,(ROUNDUP(N21/500,1))+3,0)))))))))))))</f>
        <v>1</v>
      </c>
      <c r="G21" s="112">
        <f>IF(AND(AND(Q7="2009 - 2015 ipc"),OR(N21&gt;0,O21&gt;0),N21+O21&lt;=15),"-",IF(AND(AND(Q7="2021 - 2018 ipc"),OR(N21&gt;0,O21&gt;0),N21+O21&lt;=15),"-",IF(AND(AND(Q7="UPC"),OR(N21&gt;0,O21&gt;0),N21+O21&lt;=10),"-",IF(AND(AND(Q7="california"),OR(N21&gt;0,O21&gt;0),N21+O21&lt;=10),"-",IF(AND(OR(Q7="2009 - 2015 ipc",Q7="2021 - 2018 ipc"),Q12&lt;=15),"-",IF(AND(OR(Q7="UPC",Q7="CAlifornia"),Q12&lt;=10),"-",IF(O21=0,INDEX(AC7:AF7,MATCH(Q7,AC2:AF2,0)),IF(OR(Q7="2021 - 2018 IPC",Q7="2009 - 2015 IPC"),ROUNDUP((O21/65),0),IF(OR(Q7="UPC",Q7="California"),IF(AND(O21&gt;0,O21&lt;=25),1,IF(AND(O21&gt;0,O21&lt;=25),1,IF(AND(O21&gt;25,O21&lt;=50),2,IF(AND(O21&gt;50,O21&lt;=100),3,IF(AND(O21&gt;100,O21&lt;=200),4,IF(AND(O21&gt;200,O21&lt;=300),6,IF(AND(O21&gt;300,O21&lt;=400),8,IF(O21&gt;400,(ROUNDUP(O21/125,1))+5,0)))))))))))))))))</f>
        <v>1</v>
      </c>
      <c r="H21" s="112" t="str">
        <f>IF(OR(Q7="UPC",Q7="California"),"Can substitute up to 67% of required fixtures","Can substitute up to 67% of required fixtures")</f>
        <v>Can substitute up to 67% of required fixtures</v>
      </c>
      <c r="I21" s="112">
        <f>IF(N21=0,INDEX(AG7:AJ7,MATCH(Q7,AG2:AJ2,0)),IF(OR(Q7="2021 - 2018 IPC",Q7="2009 - 2015 IPC"),ROUNDUP((N21/200),0),IF(OR(Q7="upc",Q7="California"),IF(AND(N21&gt;0,N21&lt;=200),1,IF(AND(N21&gt;200,N21&lt;=400),2,IF(AND(N21&gt;400,N21&lt;=600),3,IF(AND(N21&gt;600,N21&lt;=750),4,IF(N21&gt;750,(ROUNDUP(N21/250,0)+1),0))))))))</f>
        <v>1</v>
      </c>
      <c r="J21" s="112">
        <f>IF(O21=0,INDEX(AK7:AN7,MATCH(Q7,AK2:AN2,0)),IF(OR(Q7="2021 - 2018 IPC",Q7="2009 - 2015 IPC"),ROUNDUP((O21/200),0),IF(OR(Q7="upc",Q7="California"),IF(AND(O21&gt;0,O21&lt;=100),1,IF(AND(O21&gt;0,O21&lt;=100),1,IF(AND(O21&gt;100,O21&lt;=200),2,IF(AND(O21&gt;200,O21&lt;=300),4,IF(AND(O21&gt;300,O21&lt;=500),5,IF(AND(O21&gt;500,O21&lt;=750),6,IF(O21&gt;750,(ROUNDUP(O21/200,0)+3),0))))))))))</f>
        <v>1</v>
      </c>
      <c r="K21" s="112" t="s">
        <v>82</v>
      </c>
      <c r="L21" s="112" t="str">
        <f>IF(AND(AND(Q7="2009 - 2015 ipc"),OR(N21&gt;0,O21&gt;0),N21+O21&lt;=15),"15 or less Fountain exempt(IPC 410.2)",IF(AND(AND(Q7="2021 - 2018 ipc"),OR(N21&gt;0,O21&gt;0),N21+O21&lt;=15),"15 or less Fountain exempt(IPC 410.2)",IF(AND(OR(Q7="2009 - 2015 ipc",Q7="2021 - 2018 ipc"),Q12&lt;=15),"15 or less Fountain exempt(IPC 410.2)",IF(AND(AND(Q7="UPC"),OR(N21&gt;0,O21&gt;0),N21+O21&lt;=30),"30 or less Fountain exempt(UPC 415.2)",IF(AND(AND(Q7="california"),OR(N21&gt;0,O21&gt;0),N21+O21&lt;=30),"30 or less Fountain exempt(CPC 415.2)",IF(AND(OR(Q7="UPC",Q7="CAlifornia"),Q12&lt;=30),"30 or less Fountain exempt(UPC / CPC 415.2)",IF(OR(N21=0,O21=0),INDEX(AO7:AR7,MATCH(Q7,AO2:AR2,0)),0)))))))</f>
        <v>30 or less Fountain exempt(UPC / CPC 415.2)</v>
      </c>
      <c r="M21" s="114" t="s">
        <v>83</v>
      </c>
      <c r="N21" s="96">
        <v>0</v>
      </c>
      <c r="O21" s="97">
        <v>0</v>
      </c>
      <c r="U21" s="5" t="s">
        <v>120</v>
      </c>
      <c r="V21" t="s">
        <v>121</v>
      </c>
      <c r="W21" s="1">
        <f>ROUNDUP((Q15/15),0)</f>
        <v>1</v>
      </c>
      <c r="X21" s="1">
        <f>ROUNDUP((Q15/15),0)</f>
        <v>1</v>
      </c>
      <c r="Y21" s="1">
        <f>IF(AND(Q15&gt;0,Q15&lt;=15),1,IF(AND(Q15&gt;15,Q15&lt;=35),2,IF(AND(Q15&gt;35,Q15&lt;=55),3,IF(Q15&gt;55,(ROUNDUP(Q15/40,1))+2,0))))</f>
        <v>1</v>
      </c>
      <c r="Z21" s="3">
        <f>IF(AND(Q15&gt;0,Q15&lt;=15),1,IF(AND(Q15&gt;15,Q15&lt;=35),2,IF(AND(Q15&gt;35,Q15&lt;=55),3,IF(Q15&gt;55,(ROUNDUP(Q15/40,1))+2,0))))</f>
        <v>1</v>
      </c>
      <c r="AA21" s="3" t="s">
        <v>82</v>
      </c>
      <c r="AB21" s="3" t="s">
        <v>82</v>
      </c>
      <c r="AC21" s="1">
        <f>ROUNDUP((R15/15),0)</f>
        <v>1</v>
      </c>
      <c r="AD21" s="1">
        <f>ROUNDUP((R15/15),0)</f>
        <v>1</v>
      </c>
      <c r="AE21" s="3">
        <f>IF(AND(R15&gt;0,R15&lt;=15),1,IF(AND(R15&gt;15,R15&lt;=35),2,IF(AND(R15&gt;35,R15&lt;=55),3,IF(R15&gt;55,(ROUNDUP(R15/40,1))+2,0))))</f>
        <v>1</v>
      </c>
      <c r="AF21" s="3">
        <f>IF(AND(R15&gt;0,R15&lt;=15),1,IF(AND(R15&gt;15,R15&lt;=35),2,IF(AND(R15&gt;35,R15&lt;=55),3,IF(R15&gt;55,(ROUNDUP(R15/40,1))+2,0))))</f>
        <v>1</v>
      </c>
      <c r="AG21" s="1">
        <f>ROUNDUP((Q15/15),0)</f>
        <v>1</v>
      </c>
      <c r="AH21" s="1">
        <f>ROUNDUP((Q15/15),0)</f>
        <v>1</v>
      </c>
      <c r="AI21" s="1">
        <f>ROUNDUP((Q15/40),0)</f>
        <v>1</v>
      </c>
      <c r="AJ21" s="1">
        <f>ROUNDUP((Q15/40),0)</f>
        <v>1</v>
      </c>
      <c r="AK21" s="1">
        <f>ROUNDUP((R15/15),0)</f>
        <v>1</v>
      </c>
      <c r="AL21" s="1">
        <f>ROUNDUP((R15/15),0)</f>
        <v>1</v>
      </c>
      <c r="AM21" s="1">
        <f>ROUNDUP((R15/40),0)</f>
        <v>1</v>
      </c>
      <c r="AN21" s="1">
        <f>ROUNDUP((R15/40),0)</f>
        <v>1</v>
      </c>
      <c r="AO21" s="3">
        <f>ROUNDUP((Q12/100),0)</f>
        <v>1</v>
      </c>
      <c r="AP21" s="3">
        <f>ROUNDUP((Q12/100),0)</f>
        <v>1</v>
      </c>
      <c r="AQ21" s="1">
        <f>ROUNDUP((Q12/150),0)</f>
        <v>1</v>
      </c>
      <c r="AR21" s="1">
        <f>ROUNDUP((Q12/150),0)</f>
        <v>1</v>
      </c>
      <c r="AS21" s="1">
        <v>1</v>
      </c>
      <c r="AT21" s="1">
        <v>1</v>
      </c>
      <c r="AU21" s="1" t="s">
        <v>82</v>
      </c>
      <c r="AV21" s="1" t="s">
        <v>82</v>
      </c>
    </row>
    <row r="22" spans="1:48" ht="14.45" customHeight="1" x14ac:dyDescent="0.25">
      <c r="A22" s="82"/>
      <c r="B22" s="83"/>
      <c r="C22" s="110"/>
      <c r="D22" s="111"/>
      <c r="E22" s="111"/>
      <c r="F22" s="112"/>
      <c r="G22" s="112"/>
      <c r="H22" s="112"/>
      <c r="I22" s="112"/>
      <c r="J22" s="112"/>
      <c r="K22" s="112"/>
      <c r="L22" s="112"/>
      <c r="M22" s="114"/>
      <c r="N22" s="96"/>
      <c r="O22" s="97"/>
      <c r="U22" s="5" t="s">
        <v>122</v>
      </c>
      <c r="V22" t="s">
        <v>123</v>
      </c>
      <c r="W22" s="1">
        <f>ROUNDUP((Q15/500),0)</f>
        <v>1</v>
      </c>
      <c r="X22" s="1">
        <f>ROUNDUP((Q15/500),0)</f>
        <v>1</v>
      </c>
      <c r="Y22" s="1">
        <f>IF(AND(Q15&gt;0,Q15&lt;=100),1,IF(AND(Q15&gt;100,Q15&lt;=200),2,IF(AND(Q15&gt;200,Q15&lt;=400),3,IF(Q15&gt;400,(ROUNDUP(Q15/500,1))+3,0))))</f>
        <v>1</v>
      </c>
      <c r="Z22" s="3">
        <f>IF(AND(Q15&gt;0,Q15&lt;=100),1,IF(AND(Q15&gt;100,Q15&lt;=200),2,IF(AND(Q15&gt;200,Q15&lt;=400),3,IF(Q15&gt;400,(ROUNDUP(Q15/500,1))+3,0))))</f>
        <v>1</v>
      </c>
      <c r="AA22" s="3">
        <f>IF(AND(R15&gt;0,R15&lt;=200),0,IF(AND(R15&gt;200,R15&lt;=400),1,IF(R15&gt;200,(ROUNDUP(R15/500,1))+1,0)))</f>
        <v>0</v>
      </c>
      <c r="AB22" s="3">
        <f>IF(AND(R15&gt;0,R15&lt;=200),0,IF(AND(R15&gt;200,R15&lt;=400),1,IF(R15&gt;200,(ROUNDUP(R15/500,1))+1,0)))</f>
        <v>0</v>
      </c>
      <c r="AC22" s="1">
        <f>ROUNDUP((R15/500),0)</f>
        <v>1</v>
      </c>
      <c r="AD22" s="1">
        <f>ROUNDUP((R15/500),0)</f>
        <v>1</v>
      </c>
      <c r="AE22" s="3">
        <f>IF(AND(R15&gt;0,R15&lt;=100),1,IF(AND(R15&gt;100,R15&lt;=200),2,IF(AND(R15&gt;200,R15&lt;=300),4,IF(AND(R15&gt;300,R15&lt;=400),5,IF(R15&gt;400,(ROUNDUP(R15/200,1))+4,0)))))</f>
        <v>1</v>
      </c>
      <c r="AF22" s="3">
        <f>IF(AND(R15&gt;0,R15&lt;=100),1,IF(AND(R15&gt;100,R15&lt;=200),2,IF(AND(R15&gt;200,R15&lt;=300),4,IF(AND(R15&gt;300,R15&lt;=400),5,IF(R15&gt;400,(ROUNDUP(R15/200,1))+4,0)))))</f>
        <v>1</v>
      </c>
      <c r="AG22" s="1">
        <f>ROUNDUP((Q15/750),0)</f>
        <v>1</v>
      </c>
      <c r="AH22" s="1">
        <f>ROUNDUP((Q15/750),0)</f>
        <v>1</v>
      </c>
      <c r="AI22" s="1">
        <f>IF(AND(Q15&gt;0,Q15&lt;=200),1,IF(AND(Q15&gt;200,Q15&lt;=400),2,IF(Q15&gt;400,(ROUNDUP(Q15/500,1))+2,0)))</f>
        <v>1</v>
      </c>
      <c r="AJ22" s="1">
        <f>IF(AND(Q15&gt;0,Q15&lt;=200),1,IF(AND(Q15&gt;200,Q15&lt;=400),2,IF(Q15&gt;400,(ROUNDUP(Q15/500,1))+2,0)))</f>
        <v>1</v>
      </c>
      <c r="AK22" s="1">
        <f>ROUNDUP((R15/750),0)</f>
        <v>1</v>
      </c>
      <c r="AL22" s="1">
        <f>ROUNDUP((R15/750),0)</f>
        <v>1</v>
      </c>
      <c r="AM22" s="1">
        <f>IF(AND(R15&gt;0,R15&lt;=200),1,IF(AND(R15&gt;200,R15&lt;=300),2,IF(AND(R15&gt;300,R15&lt;=400),3,IF(R15&gt;400,(ROUNDUP(R15/400,1))+2,0))))</f>
        <v>1</v>
      </c>
      <c r="AN22" s="1">
        <f>IF(AND(R15&gt;0,R15&lt;=200),1,IF(AND(R15&gt;200,R15&lt;=300),2,IF(AND(R15&gt;300,R15&lt;=400),3,IF(R15&gt;400,(ROUNDUP(R15/400,1))+2,0))))</f>
        <v>1</v>
      </c>
      <c r="AO22" s="3">
        <f>ROUNDUP((Q12/1000),0)</f>
        <v>1</v>
      </c>
      <c r="AP22" s="3">
        <f>ROUNDUP((Q12/1000),0)</f>
        <v>1</v>
      </c>
      <c r="AQ22" s="1">
        <f>IF(AND(Q12&gt;0,Q12&lt;=250),1,IF(AND(Q12&gt;250,Q12&lt;=500),2,IF(AND(Q12&gt;500,Q12&lt;=750),3,IF(Q12&gt;750,(ROUNDUP(Q12/500,0)+2),0))))</f>
        <v>1</v>
      </c>
      <c r="AR22" s="1">
        <f>IF(AND(Q12&gt;0,Q12&lt;=250),1,IF(AND(Q12&gt;250,Q12&lt;=500),2,IF(AND(Q12&gt;500,Q12&lt;=750),3,IF(Q12&gt;750,(ROUNDUP(Q12/500,0)+2),0))))</f>
        <v>1</v>
      </c>
      <c r="AS22" s="1" t="s">
        <v>82</v>
      </c>
      <c r="AT22" s="1" t="s">
        <v>82</v>
      </c>
      <c r="AU22" s="1" t="s">
        <v>82</v>
      </c>
      <c r="AV22" s="1" t="s">
        <v>82</v>
      </c>
    </row>
    <row r="23" spans="1:48" x14ac:dyDescent="0.25">
      <c r="A23" s="82"/>
      <c r="B23" s="83"/>
      <c r="C23" s="110"/>
      <c r="D23" s="111"/>
      <c r="E23" s="111"/>
      <c r="F23" s="112"/>
      <c r="G23" s="112"/>
      <c r="H23" s="112"/>
      <c r="I23" s="112"/>
      <c r="J23" s="112"/>
      <c r="K23" s="112"/>
      <c r="L23" s="112"/>
      <c r="M23" s="114"/>
      <c r="N23" s="96"/>
      <c r="O23" s="97"/>
      <c r="U23" s="5" t="s">
        <v>124</v>
      </c>
      <c r="V23" t="s">
        <v>125</v>
      </c>
      <c r="W23" s="1">
        <f>ROUNDUP((Q15/10),0)</f>
        <v>1</v>
      </c>
      <c r="X23" s="1">
        <f>ROUNDUP((Q15/10),0)</f>
        <v>1</v>
      </c>
      <c r="Y23" s="1">
        <f>ROUNDUP((Q15/10),0)</f>
        <v>1</v>
      </c>
      <c r="Z23" s="3">
        <f>ROUNDUP((Q15/10),0)</f>
        <v>1</v>
      </c>
      <c r="AA23" s="3">
        <f>ROUNDUP((Q15/25),0)</f>
        <v>1</v>
      </c>
      <c r="AB23" s="3">
        <f>ROUNDUP((Q15/25),0)</f>
        <v>1</v>
      </c>
      <c r="AC23" s="1">
        <f>ROUNDUP((R15/10),0)</f>
        <v>1</v>
      </c>
      <c r="AD23" s="1">
        <f>ROUNDUP((R15/10),0)</f>
        <v>1</v>
      </c>
      <c r="AE23" s="3">
        <f>ROUNDUP((R15/8),0)</f>
        <v>2</v>
      </c>
      <c r="AF23" s="3">
        <f>ROUNDUP((R15/8),0)</f>
        <v>2</v>
      </c>
      <c r="AG23" s="1">
        <f>ROUNDUP((Q15/10),0)</f>
        <v>1</v>
      </c>
      <c r="AH23" s="1">
        <f>ROUNDUP((Q15/10),0)</f>
        <v>1</v>
      </c>
      <c r="AI23" s="1">
        <f>ROUNDUP((Q15/12),0)</f>
        <v>1</v>
      </c>
      <c r="AJ23" s="1">
        <f>ROUNDUP((Q15/12),0)</f>
        <v>1</v>
      </c>
      <c r="AK23" s="1">
        <f>ROUNDUP((R15/10),0)</f>
        <v>1</v>
      </c>
      <c r="AL23" s="1">
        <f>ROUNDUP((R15/10),0)</f>
        <v>1</v>
      </c>
      <c r="AM23" s="1">
        <f>ROUNDUP((R15/12),0)</f>
        <v>1</v>
      </c>
      <c r="AN23" s="1">
        <f>ROUNDUP((R15/12),0)</f>
        <v>1</v>
      </c>
      <c r="AO23" s="3">
        <f>ROUNDUP((Q12/100),0)</f>
        <v>1</v>
      </c>
      <c r="AP23" s="3">
        <f>ROUNDUP((Q12/100),0)</f>
        <v>1</v>
      </c>
      <c r="AQ23" s="1">
        <f>ROUNDUP((Q12/150),0)</f>
        <v>1</v>
      </c>
      <c r="AR23" s="1">
        <f>ROUNDUP((Q12/150),0)</f>
        <v>1</v>
      </c>
      <c r="AS23" s="1">
        <f>ROUNDUP((Q12/8),0)</f>
        <v>3</v>
      </c>
      <c r="AT23" s="1">
        <f>ROUNDUP((Q12/8),0)</f>
        <v>3</v>
      </c>
      <c r="AU23" s="1">
        <f>ROUNDUP((Q12/8),0)</f>
        <v>3</v>
      </c>
      <c r="AV23" s="1">
        <f>ROUNDUP((Q12/8),0)</f>
        <v>3</v>
      </c>
    </row>
    <row r="24" spans="1:48" x14ac:dyDescent="0.25">
      <c r="A24" s="82"/>
      <c r="B24" s="83"/>
      <c r="C24" s="110"/>
      <c r="D24" s="111"/>
      <c r="E24" s="111"/>
      <c r="F24" s="112"/>
      <c r="G24" s="112"/>
      <c r="H24" s="112"/>
      <c r="I24" s="112"/>
      <c r="J24" s="112"/>
      <c r="K24" s="112"/>
      <c r="L24" s="112"/>
      <c r="M24" s="114"/>
      <c r="N24" s="96"/>
      <c r="O24" s="97"/>
      <c r="U24" s="5" t="s">
        <v>214</v>
      </c>
      <c r="V24" t="s">
        <v>125</v>
      </c>
      <c r="W24" s="3" t="s">
        <v>82</v>
      </c>
      <c r="X24" s="3" t="s">
        <v>82</v>
      </c>
      <c r="Y24" s="3">
        <f>IF(AND(Q15&gt;0,Q15&lt;=15),1,IF(AND(Q15&gt;15,Q15&lt;=35),2,IF(AND(Q15&gt;35,Q15&lt;=55),3,IF(Q15&gt;55,(ROUNDUP(Q15/40,1))+2,0))))</f>
        <v>1</v>
      </c>
      <c r="Z24" s="3">
        <f>IF(AND(Q15&gt;0,Q15&lt;=15),1,IF(AND(Q15&gt;15,Q15&lt;=35),2,IF(AND(Q15&gt;35,Q15&lt;=55),3,IF(Q15&gt;55,(ROUNDUP(Q15/40,1))+2,0))))</f>
        <v>1</v>
      </c>
      <c r="AA24" s="3" t="s">
        <v>82</v>
      </c>
      <c r="AB24" s="3" t="s">
        <v>82</v>
      </c>
      <c r="AC24" s="3" t="s">
        <v>82</v>
      </c>
      <c r="AD24" s="3" t="s">
        <v>82</v>
      </c>
      <c r="AE24" s="3">
        <f>IF(AND(R15&gt;0,R15&lt;=15),1,IF(AND(R15&gt;15,R15&lt;=35),2,IF(AND(R15&gt;35,R15&lt;=55),3,IF(R15&gt;55,(ROUNDUP(R15/40,1))+2,0))))</f>
        <v>1</v>
      </c>
      <c r="AF24" s="3">
        <f>IF(AND(R15&gt;0,R15&lt;=15),1,IF(AND(R15&gt;15,R15&lt;=35),2,IF(AND(R15&gt;35,R15&lt;=55),3,IF(R15&gt;55,(ROUNDUP(R15/40,1))+2,0))))</f>
        <v>1</v>
      </c>
      <c r="AG24" s="3" t="s">
        <v>82</v>
      </c>
      <c r="AH24" s="3" t="s">
        <v>82</v>
      </c>
      <c r="AI24" s="3">
        <f>ROUNDUP((Q15/40),0)</f>
        <v>1</v>
      </c>
      <c r="AJ24" s="3">
        <f>ROUNDUP((Q15/40),0)</f>
        <v>1</v>
      </c>
      <c r="AK24" s="3" t="s">
        <v>82</v>
      </c>
      <c r="AL24" s="3" t="s">
        <v>82</v>
      </c>
      <c r="AM24" s="3">
        <f>ROUNDUP((R15/40),0)</f>
        <v>1</v>
      </c>
      <c r="AN24" s="3">
        <f>ROUNDUP((R15/40),0)</f>
        <v>1</v>
      </c>
      <c r="AO24" s="3" t="s">
        <v>82</v>
      </c>
      <c r="AP24" s="3" t="s">
        <v>82</v>
      </c>
      <c r="AQ24" s="3" t="s">
        <v>82</v>
      </c>
      <c r="AR24" s="3" t="s">
        <v>82</v>
      </c>
      <c r="AS24" s="1" t="s">
        <v>82</v>
      </c>
      <c r="AT24" s="1" t="s">
        <v>82</v>
      </c>
      <c r="AU24" s="1" t="s">
        <v>82</v>
      </c>
      <c r="AV24" s="1" t="s">
        <v>82</v>
      </c>
    </row>
    <row r="25" spans="1:48" x14ac:dyDescent="0.25">
      <c r="A25" s="82"/>
      <c r="B25" s="83"/>
      <c r="C25" s="110"/>
      <c r="D25" s="111"/>
      <c r="E25" s="111"/>
      <c r="F25" s="112"/>
      <c r="G25" s="112"/>
      <c r="H25" s="112"/>
      <c r="I25" s="112"/>
      <c r="J25" s="112"/>
      <c r="K25" s="112"/>
      <c r="L25" s="112"/>
      <c r="M25" s="114"/>
      <c r="N25" s="96"/>
      <c r="O25" s="97"/>
      <c r="U25" s="5" t="s">
        <v>126</v>
      </c>
      <c r="V25" t="s">
        <v>127</v>
      </c>
      <c r="W25" s="1">
        <f>ROUNDUP((Q15/10),0)</f>
        <v>1</v>
      </c>
      <c r="X25" s="1">
        <f>ROUNDUP((Q15/10),0)</f>
        <v>1</v>
      </c>
      <c r="Y25" s="1">
        <f>ROUNDUP((Q15/10),0)</f>
        <v>1</v>
      </c>
      <c r="Z25" s="3">
        <f>ROUNDUP((Q15/10),0)</f>
        <v>1</v>
      </c>
      <c r="AA25" s="3" t="s">
        <v>82</v>
      </c>
      <c r="AB25" s="3" t="s">
        <v>82</v>
      </c>
      <c r="AC25" s="1">
        <f>ROUNDUP((R15/10),0)</f>
        <v>1</v>
      </c>
      <c r="AD25" s="1">
        <f>ROUNDUP((R15/10),0)</f>
        <v>1</v>
      </c>
      <c r="AE25" s="3">
        <f>ROUNDUP((R15/8),0)</f>
        <v>2</v>
      </c>
      <c r="AF25" s="3">
        <f>ROUNDUP((R15/8),0)</f>
        <v>2</v>
      </c>
      <c r="AG25" s="1">
        <f>ROUNDUP((Q15/10),0)</f>
        <v>1</v>
      </c>
      <c r="AH25" s="1">
        <f>ROUNDUP((Q15/10),0)</f>
        <v>1</v>
      </c>
      <c r="AI25" s="1">
        <f>ROUNDUP((Q15/12),0)</f>
        <v>1</v>
      </c>
      <c r="AJ25" s="1">
        <f>ROUNDUP((Q15/12),0)</f>
        <v>1</v>
      </c>
      <c r="AK25" s="1">
        <f>ROUNDUP((R15/10),0)</f>
        <v>1</v>
      </c>
      <c r="AL25" s="1">
        <f>ROUNDUP((R15/10),0)</f>
        <v>1</v>
      </c>
      <c r="AM25" s="1">
        <f>ROUNDUP((R15/12),0)</f>
        <v>1</v>
      </c>
      <c r="AN25" s="1">
        <f>ROUNDUP((R15/12),0)</f>
        <v>1</v>
      </c>
      <c r="AO25" s="3">
        <f>ROUNDUP((Q12/100),0)</f>
        <v>1</v>
      </c>
      <c r="AP25" s="3">
        <f>ROUNDUP((Q12/100),0)</f>
        <v>1</v>
      </c>
      <c r="AQ25" s="1">
        <f>ROUNDUP((Q12/150),0)</f>
        <v>1</v>
      </c>
      <c r="AR25" s="1">
        <f>ROUNDUP((Q12/150),0)</f>
        <v>1</v>
      </c>
      <c r="AS25" s="1">
        <f>ROUNDUP((Q12/8),0)</f>
        <v>3</v>
      </c>
      <c r="AT25" s="1">
        <f>ROUNDUP((Q12/8),0)</f>
        <v>3</v>
      </c>
      <c r="AU25" s="1">
        <f>ROUNDUP((Q12/8),0)</f>
        <v>3</v>
      </c>
      <c r="AV25" s="1">
        <f>ROUNDUP((Q12/8),0)</f>
        <v>3</v>
      </c>
    </row>
    <row r="26" spans="1:48" x14ac:dyDescent="0.25">
      <c r="A26" s="82"/>
      <c r="B26" s="83"/>
      <c r="C26" s="110"/>
      <c r="D26" s="111"/>
      <c r="E26" s="111"/>
      <c r="F26" s="112"/>
      <c r="G26" s="112"/>
      <c r="H26" s="112"/>
      <c r="I26" s="112"/>
      <c r="J26" s="112"/>
      <c r="K26" s="112"/>
      <c r="L26" s="112"/>
      <c r="M26" s="114"/>
      <c r="N26" s="96"/>
      <c r="O26" s="97"/>
      <c r="U26" s="5" t="s">
        <v>126</v>
      </c>
      <c r="V26" t="s">
        <v>184</v>
      </c>
      <c r="W26" s="1">
        <f>ROUNDUP((Q15/10),0)</f>
        <v>1</v>
      </c>
      <c r="X26" s="1">
        <f>ROUNDUP((Q15/10),0)</f>
        <v>1</v>
      </c>
      <c r="Y26" s="1">
        <f>ROUNDUP((Q15/10),0)</f>
        <v>1</v>
      </c>
      <c r="Z26" s="3">
        <f>ROUNDUP((Q15/10),0)</f>
        <v>1</v>
      </c>
      <c r="AA26" s="3" t="s">
        <v>82</v>
      </c>
      <c r="AB26" s="3" t="s">
        <v>82</v>
      </c>
      <c r="AC26" s="1">
        <f>ROUNDUP((R15/10),0)</f>
        <v>1</v>
      </c>
      <c r="AD26" s="1">
        <f>ROUNDUP((R15/10),0)</f>
        <v>1</v>
      </c>
      <c r="AE26" s="3">
        <f>ROUNDUP((R15/8),0)</f>
        <v>2</v>
      </c>
      <c r="AF26" s="3">
        <f>ROUNDUP((R15/8),0)</f>
        <v>2</v>
      </c>
      <c r="AG26" s="1">
        <f>ROUNDUP((Q15/10),0)</f>
        <v>1</v>
      </c>
      <c r="AH26" s="1">
        <f>ROUNDUP((Q15/10),0)</f>
        <v>1</v>
      </c>
      <c r="AI26" s="1">
        <f>ROUNDUP((Q15/12),0)</f>
        <v>1</v>
      </c>
      <c r="AJ26" s="1">
        <f>ROUNDUP((Q15/12),0)</f>
        <v>1</v>
      </c>
      <c r="AK26" s="1">
        <f>ROUNDUP((R15/10),0)</f>
        <v>1</v>
      </c>
      <c r="AL26" s="1">
        <f>ROUNDUP((R15/10),0)</f>
        <v>1</v>
      </c>
      <c r="AM26" s="1">
        <f>ROUNDUP((R15/12),0)</f>
        <v>1</v>
      </c>
      <c r="AN26" s="1">
        <f>ROUNDUP((R15/12),0)</f>
        <v>1</v>
      </c>
      <c r="AO26" s="3">
        <f>ROUNDUP((Q12/100),0)</f>
        <v>1</v>
      </c>
      <c r="AP26" s="3">
        <f>ROUNDUP((Q12/100),0)</f>
        <v>1</v>
      </c>
      <c r="AQ26" s="1">
        <f>ROUNDUP((Q12/150),0)</f>
        <v>1</v>
      </c>
      <c r="AR26" s="1">
        <f>ROUNDUP((Q12/150),0)</f>
        <v>1</v>
      </c>
      <c r="AS26" s="1">
        <f>ROUNDUP((Q12/8),0)</f>
        <v>3</v>
      </c>
      <c r="AT26" s="1">
        <f>ROUNDUP((Q12/8),0)</f>
        <v>3</v>
      </c>
      <c r="AU26" s="1">
        <f>ROUNDUP((Q12/8),0)</f>
        <v>3</v>
      </c>
      <c r="AV26" s="1">
        <f>ROUNDUP((Q12/8),0)</f>
        <v>3</v>
      </c>
    </row>
    <row r="27" spans="1:48" x14ac:dyDescent="0.25">
      <c r="A27" s="82"/>
      <c r="B27" s="83"/>
      <c r="C27" s="110"/>
      <c r="D27" s="111"/>
      <c r="E27" s="111"/>
      <c r="F27" s="112"/>
      <c r="G27" s="112"/>
      <c r="H27" s="112"/>
      <c r="I27" s="112"/>
      <c r="J27" s="112"/>
      <c r="K27" s="112"/>
      <c r="L27" s="112"/>
      <c r="M27" s="114"/>
      <c r="N27" s="96"/>
      <c r="O27" s="97"/>
      <c r="U27" s="5" t="s">
        <v>128</v>
      </c>
      <c r="V27" t="s">
        <v>129</v>
      </c>
      <c r="W27" s="3">
        <f>ROUNDUP((Q15/100),0)</f>
        <v>1</v>
      </c>
      <c r="X27" s="3">
        <f>ROUNDUP((Q15/100),0)</f>
        <v>1</v>
      </c>
      <c r="Y27" s="3">
        <f>IF(AND(Q15&gt;0,Q15&lt;=100),1,IF(AND(Q15&gt;100,Q15&lt;=200),2,IF(AND(Q15&gt;200,Q15&lt;=400),3,IF(Q15&gt;400,(ROUNDUP(Q15/500,1))+3,0))))</f>
        <v>1</v>
      </c>
      <c r="Z27" s="3">
        <f>IF(AND(Q15&gt;0,Q15&lt;=100),1,IF(AND(Q15&gt;100,Q15&lt;=200),2,IF(AND(Q15&gt;200,Q15&lt;=400),3,IF(Q15&gt;400,(ROUNDUP(Q15/500,1))+3,0))))</f>
        <v>1</v>
      </c>
      <c r="AA27" s="3" t="s">
        <v>82</v>
      </c>
      <c r="AB27" s="3" t="s">
        <v>82</v>
      </c>
      <c r="AC27" s="3">
        <f>ROUNDUP((R15/100),0)</f>
        <v>1</v>
      </c>
      <c r="AD27" s="3">
        <f>ROUNDUP((R15/100),0)</f>
        <v>1</v>
      </c>
      <c r="AE27" s="3">
        <f>IF(AND(R15&gt;0,R15&lt;=100),1,IF(AND(R15&gt;100,R15&lt;=200),2,IF(AND(R15&gt;200,R15&lt;=400),3,IF(R15&gt;400,(ROUNDUP(R15/150,1))+1,0))))</f>
        <v>1</v>
      </c>
      <c r="AF27" s="3">
        <f>IF(AND(R15&gt;0,R15&lt;=100),1,IF(AND(R15&gt;100,R15&lt;=200),2,IF(AND(R15&gt;200,R15&lt;=400),3,IF(R15&gt;400,(ROUNDUP(R15/150,1))+1,0))))</f>
        <v>1</v>
      </c>
      <c r="AG27" s="3">
        <f>ROUNDUP((Q15/100),0)</f>
        <v>1</v>
      </c>
      <c r="AH27" s="3">
        <f>ROUNDUP((Q15/100),0)</f>
        <v>1</v>
      </c>
      <c r="AI27" s="3">
        <f>IF(AND(Q15&gt;0,Q15&lt;=200),1,IF(AND(Q15&gt;200,Q15&lt;=400),2,IF(AND(Q15&gt;400,Q15&lt;=750),3,IF(Q15&gt;750,(ROUNDUP(Q15/500,1))+2,0))))</f>
        <v>1</v>
      </c>
      <c r="AJ27" s="3">
        <f>IF(AND(Q15&gt;0,Q15&lt;=200),1,IF(AND(Q15&gt;200,Q15&lt;=400),2,IF(AND(Q15&gt;400,Q15&lt;=750),3,IF(Q15&gt;750,(ROUNDUP(Q15/500,1))+2,0))))</f>
        <v>1</v>
      </c>
      <c r="AK27" s="3">
        <f>ROUNDUP((R15/100),0)</f>
        <v>1</v>
      </c>
      <c r="AL27" s="3">
        <f>ROUNDUP((R15/100),0)</f>
        <v>1</v>
      </c>
      <c r="AM27" s="3">
        <f>IF(AND(R15&gt;0,R15&lt;=200),1,IF(AND(R15&gt;200,R15&lt;=400),2,IF(AND(R15&gt;400,R15&lt;=750),3,IF(R15&gt;750,(ROUNDUP(R15/500,1))+2,0))))</f>
        <v>1</v>
      </c>
      <c r="AN27" s="3">
        <f>IF(AND(R15&gt;0,R15&lt;=200),1,IF(AND(R15&gt;200,R15&lt;=400),2,IF(AND(R15&gt;400,R15&lt;=750),3,IF(R15&gt;750,(ROUNDUP(R15/500,1))+2,0))))</f>
        <v>1</v>
      </c>
      <c r="AO27" s="3">
        <f>ROUNDUP((Q12/1000),0)</f>
        <v>1</v>
      </c>
      <c r="AP27" s="3">
        <f>ROUNDUP((Q12/1000),0)</f>
        <v>1</v>
      </c>
      <c r="AQ27" s="1">
        <f>IF(AND(Q12&gt;0,Q12&lt;=250),1,IF(AND(Q12&gt;250,Q12&lt;=500),2,IF(AND(Q12&gt;500,Q12&lt;=750),3,IF(Q12&gt;750,(ROUNDUP(Q12/500,0)+2),0))))</f>
        <v>1</v>
      </c>
      <c r="AR27" s="1">
        <f>IF(AND(Q12&gt;0,Q12&lt;=250),1,IF(AND(Q12&gt;250,Q12&lt;=500),2,IF(AND(Q12&gt;500,Q12&lt;=750),3,IF(Q12&gt;750,(ROUNDUP(Q12/500,0)+2),0))))</f>
        <v>1</v>
      </c>
      <c r="AS27" s="1" t="s">
        <v>110</v>
      </c>
      <c r="AT27" s="1" t="s">
        <v>110</v>
      </c>
      <c r="AU27" s="1" t="s">
        <v>82</v>
      </c>
      <c r="AV27" s="1" t="s">
        <v>82</v>
      </c>
    </row>
    <row r="28" spans="1:48" x14ac:dyDescent="0.25">
      <c r="A28" s="82"/>
      <c r="B28" s="83"/>
      <c r="C28" s="110"/>
      <c r="D28" s="111"/>
      <c r="E28" s="111"/>
      <c r="F28" s="112"/>
      <c r="G28" s="112"/>
      <c r="H28" s="112"/>
      <c r="I28" s="112"/>
      <c r="J28" s="112"/>
      <c r="K28" s="112"/>
      <c r="L28" s="112"/>
      <c r="M28" s="98"/>
      <c r="N28" s="96"/>
      <c r="O28" s="97"/>
    </row>
    <row r="29" spans="1:48" ht="14.45" customHeight="1" x14ac:dyDescent="0.25">
      <c r="A29" s="82"/>
      <c r="B29" s="83"/>
      <c r="C29" s="110"/>
      <c r="D29" s="111" t="s">
        <v>130</v>
      </c>
      <c r="E29" s="111"/>
      <c r="F29" s="112">
        <f>IF(AND(AND(Q7="2009 - 2015 ipc"),OR(N29&gt;0,O29&gt;0),N29+O29&lt;=15),"Single restroom okay for 15 or less (IBC 2902.2(2))",IF(AND(AND(Q7="2021 - 2018 ipc"),OR(N29&gt;0,O29&gt;0),N29+O29&lt;=15),"Single restroom okay for 15 or less (IBC 2902.2(2))",IF(AND(AND(Q7="UPC"),OR(N29&gt;0,O29&gt;0),N29+O29&lt;=10),"Single restroom okay for 10 or less (422.2(2))",IF(AND(AND(Q7="california"),OR(N29&gt;0,O29&gt;0),N29+O29&lt;=10),"Single restroom okay for 10 or less (422.2(2))",IF(AND(OR(Q7="2009 - 2015 ipc",Q7="2021 - 2018 ipc"),Q12&lt;=15),"Single restroom okay for 15 or less (IBC 2902.2(2))",IF(AND(OR(Q7="UPC",Q7="CAlifornia"),Q12&lt;=10),"Single restroom okay for 10 or less (422.2(2))",IF(N29=0,INDEX(W8:Z8,MATCH(Q7,W2:Z2,0)),IF(OR(Q7="2021 - 2018 IPC",Q7="2009 - 2015 IPC"),IF(AND(N29&gt;0,N29&lt;=400),(ROUNDUP(N29/100,0)),IF(N29&gt;400,(ROUNDUP(N29/250,0))+3,0)),I(OR(Q7="UPC",Q7="California"),IF(AND(N29&gt;0,N29&lt;=50),1,IF(AND(N29&gt;50,N29&lt;=150),2,IF(AND(N29&gt;150,N29&lt;=300),3,IF(AND(N29&gt;300,N29&lt;=400),4,IF(N29&gt;400,(ROUNDUP(N29/250,1))+3,0))))))))))))))</f>
        <v>1</v>
      </c>
      <c r="G29" s="112">
        <f>IF(AND(AND(Q7="2009 - 2015 ipc"),OR(N29&gt;0,O29&gt;0),N29+O29&lt;=15),"-",IF(AND(AND(Q7="2021 - 2018 ipc"),OR(N29&gt;0,O29&gt;0),N29+O29&lt;=15),"-",IF(AND(AND(Q7="UPC"),OR(N29&gt;0,O29&gt;0),N29+O29&lt;=10),"-",IF(AND(AND(Q7="california"),OR(N29&gt;0,O29&gt;0),N29+O29&lt;=10),"-",IF(AND(OR(Q7="2009 - 2015 ipc",Q7="2021 - 2018 ipc"),Q12&lt;=15),"-",IF(AND(OR(Q7="UPC",Q7="CAlifornia"),Q12&lt;=10),"-",IF(O29=0,INDEX(AC8:AF8,MATCH(Q7,AC2:AF2,0)),IF(OR(Q7="2021 - 2018 IPC",Q7="2009 - 2015 IPC"),IF(AND(O29&gt;0,O29&lt;=400),(ROUNDUP(O29/50,0)),IF(O29&gt;400,(ROUNDUP(O29/150,0))+5,0)),IF(OR(Q7="UPC",Q7="California"),IF(AND(O29&gt;0,O29&lt;=25),1,IF(AND(O29&gt;25,O29&lt;=50),2,IF(AND(O29&gt;50,O29&lt;=100),3,IF(AND(O29&gt;100,O29&lt;=200),4,IF(AND(O29&gt;200,O29&lt;=300),6,IF(AND(O29&gt;300,O29&lt;=400),8,IF(O29&gt;400,(ROUNDUP(O29/125,1))+5,0))))))))))))))))</f>
        <v>1</v>
      </c>
      <c r="H29" s="112" t="str">
        <f>IF(OR(Q7="UPC",Q7="California"),"Can substitute up to 67% of required fixtures","Can substitute up to 67% of required fixtures")</f>
        <v>Can substitute up to 67% of required fixtures</v>
      </c>
      <c r="I29" s="112">
        <f>IF(N29=0,INDEX(AG8:AJ8,MATCH(Q7,AG2:AJ2,0)),IF(OR(Q7="2021 - 2018 IPC",Q7="2009 - 2015 IPC"),IF(AND(N29&gt;0,N29&lt;=250),1,IF(AND(N29&gt;250,N29&lt;=500),2,IF(AND(N29&gt;500,N29&lt;=750),3,IF(N29&gt;750,(ROUNDUP(N29/500,0)+2),0)))),IF(OR(Q7="upc",Q7="California"),IF(AND(N29&gt;0,N29&lt;=200),1,IF(AND(N29&gt;200,N29&lt;=400),2,IF(AND(N29&gt;400,N29&lt;=600),3,IF(AND(N29&gt;600,N29&lt;=750),4,IF(N29&gt;750,(ROUNDUP(N29/250,0)+1),0))))))))</f>
        <v>1</v>
      </c>
      <c r="J29" s="112">
        <f>IF(O29=0,INDEX(AK8:AN8,MATCH(Q7,AK2:AN2,0)),IF(OR(Q7="2021 - 2018 IPC",Q7="2009 - 2015 IPC"),IF(AND(O29&gt;0,O29&lt;=250),1,IF(AND(O29&gt;250,O29&lt;=500),2,IF(AND(O29&gt;500,O29&lt;=750),3,IF(O29&gt;750,(ROUNDUP(O29/500,0)+2),0)))),IF(OR(Q7="upc",Q7="California"),IF(AND(O29&gt;0,O29&lt;=100),1,IF(AND(O29&gt;100,O29&lt;=200),2,IF(AND(O29&gt;200,O29&lt;=300),4,IF(AND(O29&gt;300,O29&lt;=500),5,IF(AND(O29&gt;500,O29&lt;=750),6,IF(O29&gt;750,(ROUNDUP(O29/200,0)+3),0)))))))))</f>
        <v>1</v>
      </c>
      <c r="K29" s="112" t="s">
        <v>82</v>
      </c>
      <c r="L29" s="112" t="str">
        <f>IF(AND(AND(Q7="2009 - 2015 ipc"),OR(N29&gt;0,O29&gt;0),N29+O29&lt;=15),"15 or less Fountain exempt(IPC 410.2)",IF(AND(AND(Q7="2021 - 2018 ipc"),OR(N29&gt;0,O29&gt;0),N29+O29&lt;=15),"15 or less Fountain exempt(IPC 410.2)",IF(AND(OR(Q7="2009 - 2015 ipc",Q7="2021 - 2018 ipc"),Q12&lt;=15),"15 or less Fountain exempt(IPC 410.2)",IF(AND(AND(Q7="UPC"),OR(N29&gt;0,O29&gt;0),N29+O29&lt;=30),"30 or less Fountain exempt(UPC 415.2)",IF(AND(AND(Q7="california"),OR(N29&gt;0,O29&gt;0),N29+O29&lt;=30),"30 or less Fountain exempt(CPC 415.2)",IF(AND(OR(Q7="UPC",Q7="CAlifornia"),Q12&lt;=30),"30 or less Fountain exempt(UPC / CPC 415.2)",IF(OR(N29=0,O29=0),INDEX(AO8:AR8,MATCH(Q7,AO2:AR2,0)),0)))))))</f>
        <v>30 or less Fountain exempt(UPC / CPC 415.2)</v>
      </c>
      <c r="M29" s="114" t="s">
        <v>83</v>
      </c>
      <c r="N29" s="96">
        <v>0</v>
      </c>
      <c r="O29" s="97">
        <v>0</v>
      </c>
    </row>
    <row r="30" spans="1:48" x14ac:dyDescent="0.25">
      <c r="A30" s="82"/>
      <c r="B30" s="83"/>
      <c r="C30" s="110"/>
      <c r="D30" s="111"/>
      <c r="E30" s="111"/>
      <c r="F30" s="112"/>
      <c r="G30" s="112"/>
      <c r="H30" s="112"/>
      <c r="I30" s="112"/>
      <c r="J30" s="112"/>
      <c r="K30" s="112"/>
      <c r="L30" s="112"/>
      <c r="M30" s="114"/>
      <c r="N30" s="96"/>
      <c r="O30" s="97"/>
    </row>
    <row r="31" spans="1:48" x14ac:dyDescent="0.25">
      <c r="A31" s="82"/>
      <c r="B31" s="83"/>
      <c r="C31" s="110"/>
      <c r="D31" s="111"/>
      <c r="E31" s="111"/>
      <c r="F31" s="112"/>
      <c r="G31" s="112"/>
      <c r="H31" s="112"/>
      <c r="I31" s="112"/>
      <c r="J31" s="112"/>
      <c r="K31" s="112"/>
      <c r="L31" s="112"/>
      <c r="M31" s="114"/>
      <c r="N31" s="96"/>
      <c r="O31" s="97"/>
    </row>
    <row r="32" spans="1:48" ht="14.45" customHeight="1" x14ac:dyDescent="0.25">
      <c r="A32" s="82"/>
      <c r="B32" s="83"/>
      <c r="C32" s="110"/>
      <c r="D32" s="111"/>
      <c r="E32" s="111"/>
      <c r="F32" s="112"/>
      <c r="G32" s="112"/>
      <c r="H32" s="112"/>
      <c r="I32" s="112"/>
      <c r="J32" s="112"/>
      <c r="K32" s="112"/>
      <c r="L32" s="112"/>
      <c r="M32" s="114"/>
      <c r="N32" s="96"/>
      <c r="O32" s="97"/>
    </row>
    <row r="33" spans="1:16" x14ac:dyDescent="0.25">
      <c r="A33" s="82"/>
      <c r="B33" s="83"/>
      <c r="C33" s="110"/>
      <c r="D33" s="111"/>
      <c r="E33" s="111"/>
      <c r="F33" s="112"/>
      <c r="G33" s="112"/>
      <c r="H33" s="112"/>
      <c r="I33" s="112"/>
      <c r="J33" s="112"/>
      <c r="K33" s="112"/>
      <c r="L33" s="112"/>
      <c r="M33" s="114"/>
      <c r="N33" s="96"/>
      <c r="O33" s="97"/>
    </row>
    <row r="34" spans="1:16" x14ac:dyDescent="0.25">
      <c r="A34" s="82"/>
      <c r="B34" s="83"/>
      <c r="C34" s="110"/>
      <c r="D34" s="111"/>
      <c r="E34" s="111"/>
      <c r="F34" s="112"/>
      <c r="G34" s="112"/>
      <c r="H34" s="112"/>
      <c r="I34" s="112"/>
      <c r="J34" s="112"/>
      <c r="K34" s="112"/>
      <c r="L34" s="112"/>
      <c r="M34" s="114"/>
      <c r="N34" s="96"/>
      <c r="O34" s="97"/>
    </row>
    <row r="35" spans="1:16" ht="14.45" customHeight="1" x14ac:dyDescent="0.25">
      <c r="A35" s="82"/>
      <c r="B35" s="83"/>
      <c r="C35" s="110"/>
      <c r="D35" s="111" t="s">
        <v>131</v>
      </c>
      <c r="E35" s="111"/>
      <c r="F35" s="112">
        <f>IF(AND(AND(Q7="2009 - 2015 ipc"),OR(N35&gt;0,O35&gt;0),N35+O35&lt;=15),"Single restroom okay for 15 or less (IBC 2902.2(2))",IF(AND(AND(Q7="2021 - 2018 ipc"),OR(N35&gt;0,O35&gt;0),N35+O35&lt;=15),"Single restroom okay for 15 or less (IBC 2902.2(2))",IF(AND(AND(Q7="UPC"),OR(N35&gt;0,O35&gt;0),N35+O35&lt;=10),"Single restroom okay for 10 or less (422.2(2))",IF(AND(AND(Q7="california"),OR(N35&gt;0,O35&gt;0),N35+O35&lt;=10),"Single restroom okay for 10 or less (422.2(2))",IF(AND(OR(Q7="2009 - 2015 ipc",Q7="2021 - 2018 ipc"),Q12&lt;=15),"Single restroom okay for 15 or less (IBC 2902.2(2))",IF(AND(OR(Q7="UPC",Q7="CAlifornia"),Q12&lt;=10),"Single restroom okay for 10 or less (422.2(2))",IF(N35=0,INDEX(W9:Z9,MATCH(Q7,W2:Z2,0)),IF(OR(Q7="2021 - 2018 IPC",Q7="2009 - 2015 IPC"),ROUNDUP((N35/500),0),IF(OR(Q7="UPC",Q7="California"),IF(AND(N35&gt;0,N35&lt;=50),1,IF(AND(N35&gt;50,N35&lt;=150),2,IF(AND(N35&gt;150,N35&lt;=300),3,IF(AND(N35&gt;300,N35&lt;=400),4,IF(N35&gt;400,(ROUNDUP(N35/250,1))+3,0))))))))))))))</f>
        <v>1</v>
      </c>
      <c r="G35" s="112">
        <f>IF(AND(AND(Q7="2009 - 2015 ipc"),OR(N35&gt;0,O35&gt;0),N35+O35&lt;=15),"-",IF(AND(AND(Q7="2021 - 2018 ipc"),OR(N35&gt;0,O35&gt;0),N35+O35&lt;=15),"-",IF(AND(AND(Q7="UPC"),OR(N35&gt;0,O35&gt;0),N35+O35&lt;=10),"-",IF(AND(AND(Q7="california"),OR(N35&gt;0,O35&gt;0),N35+O35&lt;=10),"-",IF(AND(OR(Q7="2009 - 2015 ipc",Q7="2021 - 2018 ipc"),Q12&lt;=15),"-",IF(AND(OR(Q7="UPC",Q7="CAlifornia"),Q12&lt;=10),"-",IF(O35=0,INDEX(AC9:AF9,MATCH(Q7,AC2:AF2,0)),IF(OR(Q7="2021 - 2018 IPC",Q7="2009 - 2015 IPC"),ROUNDUP((O35/500),0),IF(OR(Q7="UPC",Q7="California"),IF(AND(O35&gt;0,O35&lt;=25),1,IF(AND(O35&gt;25,O35&lt;=50),2,IF(AND(O35&gt;50,O35&lt;=100),3,IF(AND(O35&gt;100,O35&lt;=200),4,IF(AND(O35&gt;200,O35&lt;=300),6,IF(AND(O35&gt;300,O35&lt;=400),8,IF(O35&gt;400,(ROUNDUP(O35/125,1))+5,0))))))))))))))))</f>
        <v>1</v>
      </c>
      <c r="H35" s="112" t="str">
        <f>IF(OR(Q7="UPC",Q7="California"),"Can substitute up to 67% of required fixtures","Can substitute up to 67% of required fixtures")</f>
        <v>Can substitute up to 67% of required fixtures</v>
      </c>
      <c r="I35" s="112">
        <f>IF(N35=0,INDEX(AG9:AJ9,MATCH(Q7,AG2:AJ2,0)),IF(OR(Q7="2021 - 2018 IPC",Q7="2009 - 2015 IPC"),ROUNDUP((N35/750),0),IF(OR(Q7="upc",Q7="California"),IF(AND(N35&gt;0,N35&lt;=200),1,IF(AND(N35&gt;200,N35&lt;=400),2,IF(AND(N35&gt;400,N35&lt;=600),3,IF(AND(N35&gt;600,N35&lt;=750),4,IF(N35&gt;750,(ROUNDUP(N35/250,0)+1),0))))))))</f>
        <v>1</v>
      </c>
      <c r="J35" s="112">
        <f>IF(O35=0,INDEX(AK9:AN9,MATCH(Q7,AK2:AN2,0)),IF(OR(Q7="2021 - 2018 IPC",Q7="2009 - 2015 IPC"),ROUNDUP((O35/750),0),IF(OR(Q7="upc",Q7="California"),IF(AND(O35&gt;0,O35&lt;=100),1,IF(AND(O35&gt;100,O35&lt;=200),2,IF(AND(O35&gt;200,O35&lt;=300),4,IF(AND(O35&gt;300,O35&lt;=500),5,IF(AND(O35&gt;500,O35&lt;=750),6,IF(O35&gt;750,(ROUNDUP(O35/200,0)+3),0)))))))))</f>
        <v>1</v>
      </c>
      <c r="K35" s="112" t="s">
        <v>82</v>
      </c>
      <c r="L35" s="112" t="str">
        <f>IF(AND(AND(Q7="2009 - 2015 ipc"),OR(N35&gt;0,O35&gt;0),N35+O35&lt;=15),"15 or less Fountain exempt(IPC 410.2)",IF(AND(AND(Q7="2021 - 2018 ipc"),OR(N35&gt;0,O35&gt;0),N35+O35&lt;=15),"15 or less Fountain exempt(IPC 410.2)",IF(AND(OR(Q7="2009 - 2015 ipc",Q7="2021 - 2018 ipc"),Q12&lt;=15),"15 or less Fountain exempt(IPC 410.2)",IF(AND(AND(Q7="UPC"),OR(N35&gt;0,O35&gt;0),N35+O35&lt;=30),"30 or less Fountain exempt(UPC 415.2)",IF(AND(AND(Q7="california"),OR(N35&gt;0,O35&gt;0),N35+O35&lt;=30),"30 or less Fountain exempt(CPC 415.2)",IF(AND(OR(Q7="UPC",Q7="CAlifornia"),Q12&lt;=30),"30 or less Fountain exempt(UPC / CPC 415.2)",IF(OR(N35=0,O35=0),INDEX(AO9:AR9,MATCH(Q7,AO2:AR2,0)),0)))))))</f>
        <v>30 or less Fountain exempt(UPC / CPC 415.2)</v>
      </c>
      <c r="M35" s="121" t="s">
        <v>83</v>
      </c>
      <c r="N35" s="96">
        <v>0</v>
      </c>
      <c r="O35" s="97">
        <v>0</v>
      </c>
    </row>
    <row r="36" spans="1:16" x14ac:dyDescent="0.25">
      <c r="A36" s="82"/>
      <c r="B36" s="83"/>
      <c r="C36" s="110"/>
      <c r="D36" s="111"/>
      <c r="E36" s="111"/>
      <c r="F36" s="112"/>
      <c r="G36" s="112"/>
      <c r="H36" s="112"/>
      <c r="I36" s="112"/>
      <c r="J36" s="112"/>
      <c r="K36" s="112"/>
      <c r="L36" s="112"/>
      <c r="M36" s="114"/>
      <c r="N36" s="96"/>
      <c r="O36" s="97"/>
    </row>
    <row r="37" spans="1:16" x14ac:dyDescent="0.25">
      <c r="A37" s="82"/>
      <c r="B37" s="83"/>
      <c r="C37" s="110"/>
      <c r="D37" s="111"/>
      <c r="E37" s="111"/>
      <c r="F37" s="112"/>
      <c r="G37" s="112"/>
      <c r="H37" s="112"/>
      <c r="I37" s="112"/>
      <c r="J37" s="112"/>
      <c r="K37" s="112"/>
      <c r="L37" s="112"/>
      <c r="M37" s="114"/>
      <c r="N37" s="96"/>
      <c r="O37" s="97"/>
    </row>
    <row r="38" spans="1:16" x14ac:dyDescent="0.25">
      <c r="A38" s="82"/>
      <c r="B38" s="83"/>
      <c r="C38" s="110"/>
      <c r="D38" s="111"/>
      <c r="E38" s="111"/>
      <c r="F38" s="112"/>
      <c r="G38" s="112"/>
      <c r="H38" s="112"/>
      <c r="I38" s="112"/>
      <c r="J38" s="112"/>
      <c r="K38" s="112"/>
      <c r="L38" s="112"/>
      <c r="M38" s="114"/>
      <c r="N38" s="96"/>
      <c r="O38" s="97"/>
    </row>
    <row r="39" spans="1:16" x14ac:dyDescent="0.25">
      <c r="A39" s="82"/>
      <c r="B39" s="83"/>
      <c r="C39" s="110"/>
      <c r="D39" s="111"/>
      <c r="E39" s="111"/>
      <c r="F39" s="112"/>
      <c r="G39" s="112"/>
      <c r="H39" s="112"/>
      <c r="I39" s="112"/>
      <c r="J39" s="112"/>
      <c r="K39" s="112"/>
      <c r="L39" s="112"/>
      <c r="M39" s="114"/>
      <c r="N39" s="96"/>
      <c r="O39" s="97"/>
    </row>
    <row r="40" spans="1:16" x14ac:dyDescent="0.25">
      <c r="A40" s="82"/>
      <c r="B40" s="83"/>
      <c r="C40" s="110"/>
      <c r="D40" s="111"/>
      <c r="E40" s="111"/>
      <c r="F40" s="112"/>
      <c r="G40" s="112"/>
      <c r="H40" s="112"/>
      <c r="I40" s="112"/>
      <c r="J40" s="112"/>
      <c r="K40" s="112"/>
      <c r="L40" s="112"/>
      <c r="M40" s="98"/>
      <c r="N40" s="96"/>
      <c r="O40" s="97"/>
    </row>
    <row r="41" spans="1:16" x14ac:dyDescent="0.25">
      <c r="A41" s="82"/>
      <c r="B41" s="83"/>
      <c r="C41" s="110"/>
      <c r="D41" s="111" t="s">
        <v>132</v>
      </c>
      <c r="E41" s="111"/>
      <c r="F41" s="112">
        <f>IF(AND(AND(Q7="2009 - 2015 ipc"),OR(N41&gt;0,O41&gt;0),N41+O41&lt;=15),"Single restroom okay for 15 or less (IBC 2902.2(2))",IF(AND(AND(Q7="2021 - 2018 ipc"),OR(N41&gt;0,O41&gt;0),N41+O41&lt;=15),"Single restroom okay for 15 or less (IBC 2902.2(2))",IF(AND(AND(Q7="UPC"),OR(N41&gt;0,O41&gt;0),N41+O41&lt;=10),"Single restroom okay for 10 or less (422.2(2))",IF(AND(AND(Q7="california"),OR(N41&gt;0,O41&gt;0),N41+O41&lt;=10),"Single restroom okay for 10 or less (422.2(2))",IF(AND(OR(Q7="2009 - 2015 ipc",Q7="2021 - 2018 ipc"),Q12&lt;=15),"Single restroom okay for 15 or less (IBC 2902.2(2))",IF(AND(OR(Q7="UPC",Q7="CAlifornia"),Q12&lt;=10),"Single restroom okay for 10 or less (422.2(2))",IF(N41=0,INDEX(W10:Z10,MATCH(Q7,W2:Z2,0)),IF(OR(Q7="2021 - 2018 IPC",Q7="2009 - 2015 IPC"),ROUNDUP((N41/150),0),IF(OR(Q7="UPC",Q7="California"),IF(AND(N41&gt;0,N41&lt;=100),1,IF(AND(N41&gt;100,N41&lt;=200),2,IF(AND(N41&gt;200,N41&lt;=400),3,IF(N41&gt;400,(ROUNDUP(N41/500,1))+3,0)))))))))))))</f>
        <v>1</v>
      </c>
      <c r="G41" s="112">
        <f>IF(AND(AND(Q7="2009 - 2015 ipc"),OR(N41&gt;0,O41&gt;0),N41+O41&lt;=15),"-",IF(AND(AND(Q7="2021 - 2018 ipc"),OR(N41&gt;0,O41&gt;0),N41+O41&lt;=15),"-",IF(AND(AND(Q7="UPC"),OR(N41&gt;0,O41&gt;0),N41+O41&lt;=10),"-",IF(AND(AND(Q7="california"),OR(N41&gt;0,O41&gt;0),N41+O41&lt;=10),"-",IF(AND(OR(Q7="2009 - 2015 ipc",Q7="2021 - 2018 ipc"),Q12&lt;=15),"-",IF(AND(OR(Q7="UPC",Q7="CAlifornia"),Q12&lt;=10),"-",IF(O41=0,INDEX(AC10:AF10,MATCH(Q7,AC2:AF2,0)),IF(OR(Q7="2021 - 2018 IPC",Q7="2009 - 2015 IPC"),ROUNDUP((O41/75),0),IF(OR(Q7="UPC",Q7="California"),IF(AND(O41&gt;0,O41&lt;=25),1,IF(AND(O41&gt;25,O41&lt;=50),2,IF(AND(O41&gt;50,O41&lt;=100),3,IF(AND(O41&gt;100,O41&lt;=200),4,IF(AND(O41&gt;200,O41&lt;=300),6,IF(AND(O41&gt;300,O41&lt;=400),8,IF(O41&gt;400,(ROUNDUP(O41/125,1))+5,0))))))))))))))))</f>
        <v>1</v>
      </c>
      <c r="H41" s="112" t="str">
        <f>IF(OR(Q7="UPC",Q7="California"),"Can substitute up to 67% of required fixtures","Can substitute up to 67% of required fixtures")</f>
        <v>Can substitute up to 67% of required fixtures</v>
      </c>
      <c r="I41" s="112">
        <f>IF(N41=0,INDEX(AG10:AJ10,MATCH(Q7,AG2:AJ2,0)),IF(OR(Q7="2021 - 2018 IPC",Q7="2009 - 2015 IPC"),ROUNDUP((N41/200),0),IF(OR(Q7="upc",Q7="California"),IF(AND(N41&gt;0,N41&lt;=200),1,IF(AND(N41&gt;200,N41&lt;=400),2,IF(AND(N41&gt;400,N41&lt;=600),3,IF(AND(N41&gt;600,N41&lt;=750),4,IF(N41&gt;750,(ROUNDUP(N41/250,0)+1),0))))))))</f>
        <v>1</v>
      </c>
      <c r="J41" s="112">
        <f>IF(O41=0,INDEX(AK10:AN10,MATCH(Q7,AK2:AN2,0)),IF(OR(Q7="2021 - 2018 IPC",Q7="2009 - 2015 IPC"),ROUNDUP((O41/200),0),IF(OR(Q7="upc",Q7="California"),IF(AND(O41&gt;0,O41&lt;=100),1,IF(AND(O41&gt;100,O41&lt;=200),2,IF(AND(O41&gt;200,O41&lt;=300),4,IF(AND(O41&gt;300,O41&lt;=500),5,IF(AND(O41&gt;500,O41&lt;=750),6,IF(O41&gt;750,(ROUNDUP(O41/200,0)+3),0)))))))))</f>
        <v>1</v>
      </c>
      <c r="K41" s="112" t="s">
        <v>82</v>
      </c>
      <c r="L41" s="112" t="str">
        <f>IF(AND(AND(Q7="2009 - 2015 ipc"),OR(N41&gt;0,O41&gt;0),N41+O41&lt;=15),"15 or less Fountain exempt(IPC 410.2)",IF(AND(AND(Q7="2021 - 2018 ipc"),OR(N41&gt;0,O41&gt;0),N41+O41&lt;=15),"15 or less Fountain exempt(IPC 410.2)",IF(AND(OR(Q7="2009 - 2015 ipc",Q7="2021 - 2018 ipc"),Q12&lt;=15),"15 or less Fountain exempt(IPC 410.2)",IF(AND(AND(Q7="UPC"),OR(N41&gt;0,O41&gt;0),N41+O41&lt;=30),"30 or less Fountain exempt(UPC 415.2)",IF(AND(AND(Q7="california"),OR(N41&gt;0,O41&gt;0),N41+O41&lt;=30),"30 or less Fountain exempt(CPC 415.2)",IF(AND(OR(Q7="UPC",Q7="CAlifornia"),Q12&lt;=30),"30 or less Fountain exempt(UPC / CPC 415.2)",IF(OR(N41=0,O41=0),INDEX(AO10:AR10,MATCH(Q7,AO2:AR2,0)),0)))))))</f>
        <v>30 or less Fountain exempt(UPC / CPC 415.2)</v>
      </c>
      <c r="M41" s="114" t="s">
        <v>83</v>
      </c>
      <c r="N41" s="96">
        <v>0</v>
      </c>
      <c r="O41" s="97">
        <v>0</v>
      </c>
      <c r="P41" s="7"/>
    </row>
    <row r="42" spans="1:16" x14ac:dyDescent="0.25">
      <c r="A42" s="82"/>
      <c r="B42" s="83"/>
      <c r="C42" s="110"/>
      <c r="D42" s="111"/>
      <c r="E42" s="111"/>
      <c r="F42" s="112"/>
      <c r="G42" s="112"/>
      <c r="H42" s="112"/>
      <c r="I42" s="112"/>
      <c r="J42" s="112"/>
      <c r="K42" s="112"/>
      <c r="L42" s="112"/>
      <c r="M42" s="114"/>
      <c r="N42" s="96"/>
      <c r="O42" s="97"/>
      <c r="P42" s="7"/>
    </row>
    <row r="43" spans="1:16" ht="14.45" customHeight="1" x14ac:dyDescent="0.25">
      <c r="A43" s="82"/>
      <c r="B43" s="83"/>
      <c r="C43" s="110"/>
      <c r="D43" s="111"/>
      <c r="E43" s="111"/>
      <c r="F43" s="112"/>
      <c r="G43" s="112"/>
      <c r="H43" s="112"/>
      <c r="I43" s="112"/>
      <c r="J43" s="112"/>
      <c r="K43" s="112"/>
      <c r="L43" s="112"/>
      <c r="M43" s="114"/>
      <c r="N43" s="96"/>
      <c r="O43" s="97"/>
      <c r="P43" s="7"/>
    </row>
    <row r="44" spans="1:16" x14ac:dyDescent="0.25">
      <c r="A44" s="82"/>
      <c r="B44" s="83"/>
      <c r="C44" s="110"/>
      <c r="D44" s="111"/>
      <c r="E44" s="111"/>
      <c r="F44" s="112"/>
      <c r="G44" s="112"/>
      <c r="H44" s="112"/>
      <c r="I44" s="112"/>
      <c r="J44" s="112"/>
      <c r="K44" s="112"/>
      <c r="L44" s="112"/>
      <c r="M44" s="114"/>
      <c r="N44" s="96"/>
      <c r="O44" s="97"/>
      <c r="P44" s="7"/>
    </row>
    <row r="45" spans="1:16" x14ac:dyDescent="0.25">
      <c r="A45" s="82"/>
      <c r="B45" s="83"/>
      <c r="C45" s="110"/>
      <c r="D45" s="111"/>
      <c r="E45" s="111"/>
      <c r="F45" s="112"/>
      <c r="G45" s="112"/>
      <c r="H45" s="112"/>
      <c r="I45" s="112"/>
      <c r="J45" s="112"/>
      <c r="K45" s="112"/>
      <c r="L45" s="112"/>
      <c r="M45" s="114"/>
      <c r="N45" s="96"/>
      <c r="O45" s="97"/>
      <c r="P45" s="7"/>
    </row>
    <row r="46" spans="1:16" x14ac:dyDescent="0.25">
      <c r="A46" s="82"/>
      <c r="B46" s="83"/>
      <c r="C46" s="110"/>
      <c r="D46" s="111"/>
      <c r="E46" s="111"/>
      <c r="F46" s="112"/>
      <c r="G46" s="112"/>
      <c r="H46" s="112"/>
      <c r="I46" s="112"/>
      <c r="J46" s="112"/>
      <c r="K46" s="112"/>
      <c r="L46" s="112"/>
      <c r="M46" s="114"/>
      <c r="N46" s="96"/>
      <c r="O46" s="97"/>
      <c r="P46" s="7"/>
    </row>
    <row r="47" spans="1:16" ht="14.45" customHeight="1" x14ac:dyDescent="0.25">
      <c r="A47" s="82"/>
      <c r="B47" s="83"/>
      <c r="C47" s="110" t="s">
        <v>133</v>
      </c>
      <c r="D47" s="111" t="s">
        <v>134</v>
      </c>
      <c r="E47" s="111"/>
      <c r="F47" s="112">
        <f>IF(AND(AND(Q7="2009 - 2015 ipc"),OR(N47&gt;0,O47&gt;0),N47+O47&lt;=15),"Single restroom okay for 15 or less (IBC 2902.2(2))",IF(AND(AND(Q7="2021 - 2018 ipc"),OR(N47&gt;0,O47&gt;0),N47+O47&lt;=15),"Single restroom okay for 15 or less (IBC 2902.2(2))",IF(AND(AND(Q7="UPC"),OR(N47&gt;0,O47&gt;0),N47+O47&lt;=10),"Single restroom okay for 10 or less (422.2(2))",IF(AND(AND(Q7="california"),OR(N47&gt;0,O47&gt;0),N47+O47&lt;=10),"Single restroom okay for 10 or less (422.2(2))",IF(AND(OR(Q7="2009 - 2015 ipc",Q7="2021 - 2018 ipc"),Q12&lt;=15),"Single restroom okay for 15 or less (IBC 2902.2(2))",IF(AND(OR(Q7="UPC",Q7="CAlifornia"),Q12&lt;=10),"Single restroom okay for 10 or less (422.2(2))",IF(N47=0,INDEX(W11:Z11,MATCH(Q7,W2:Z2,0)),IF(OR(Q7="2021 - 2018 IPC",Q7="2009 - 2015 IPC"),IF(AND(N47&gt;0,N47&lt;=1500),(ROUNDUP(N47/75,0)),IF(N47&gt;1500,(ROUNDUP(N47/120,0))+8,0)),IF(OR(Q7="UPC",Q7="California"),IF(AND(N47&gt;0,N47&lt;=100),1,IF(AND(N47&gt;100,N47&lt;=200),2,IF(AND(N47&gt;200,N47&lt;=400),3,IF(N47&gt;400,(ROUNDUP(N47/500,1))+3,0)))))))))))))</f>
        <v>1</v>
      </c>
      <c r="G47" s="112">
        <f>IF(AND(AND(Q7="2009 - 2015 ipc"),OR(N47&gt;0,O47&gt;0),N47+O47&lt;=15),"-",IF(AND(AND(Q7="2021 - 2018 ipc"),OR(N47&gt;0,O47&gt;0),N47+O47&lt;=15),"-",IF(AND(AND(Q7="UPC"),OR(N47&gt;0,O47&gt;0),N47+O47&lt;=10),"-",IF(AND(AND(Q7="california"),OR(N47&gt;0,O47&gt;0),N47+O47&lt;=10),"-",IF(AND(OR(Q7="2009 - 2015 ipc",Q7="2021 - 2018 ipc"),Q12&lt;=15),"-",IF(AND(OR(Q7="UPC",Q7="CAlifornia"),Q12&lt;=10),"-",IF(O47=0,INDEX(AC11:AF11,MATCH(Q7,AC2:AF2,0)),IF(OR(Q7="2021 - 2018 IPC",Q7="2009 - 2015 IPC"),IF(AND(O47&gt;0,O47&lt;=1520),(ROUNDUP(O47/40,0)),IF(O47&gt;1520,(ROUNDUP(O47/60,0))+12,0)),IF(OR(Q7="UPC",Q7="California"),IF(AND(O47&gt;0,O47&lt;=25),1,IF(AND(O47&gt;25,O47&lt;=50),2,IF(AND(O47&gt;50,O47&lt;=100),3,IF(AND(O47&gt;100,O47&lt;=200),4,IF(AND(O47&gt;200,O47&lt;=300),6,IF(AND(O47&gt;300,O47&lt;=400),8,IF(O47&gt;400,(ROUNDUP(O47/125,1))+5,0))))))))))))))))</f>
        <v>1</v>
      </c>
      <c r="H47" s="112" t="str">
        <f>IF(OR(Q7="UPC",Q7="California"),"Can substitute up to 67% of required fixtures","Can substitute up to 67% of required fixtures")</f>
        <v>Can substitute up to 67% of required fixtures</v>
      </c>
      <c r="I47" s="112">
        <f>IF(N47=0,INDEX(AG11:AJ11,MATCH(Q7,AG2:AJ2,0)),IF(OR(Q7="2021 - 2018 IPC",Q7="2009 - 2015 IPC"),ROUNDUP((N47/200),0),IF(OR(Q7="upc",Q7="California"),IF(AND(N47&gt;0,N47&lt;=200),1,IF(AND(N47&gt;200,N47&lt;=400),2,IF(AND(N47&gt;400,N47&lt;=600),3,IF(AND(N47&gt;600,N47&lt;=750),4,IF(N47&gt;750,(ROUNDUP(N47/250,0)+1),0))))))))</f>
        <v>1</v>
      </c>
      <c r="J47" s="112">
        <f>IF(O47=0,INDEX(AK11:AN11,MATCH(Q7,AK2:AN2,0)),IF(OR(Q7="2021 - 2018 IPC",Q7="2009 - 2015 IPC"),ROUNDUP((O47/150),0),IF(OR(Q7="upc",Q7="California"),IF(AND(O47&gt;0,O47&lt;=100),1,IF(AND(O47&gt;100,O47&lt;=200),2,IF(AND(O47&gt;200,O47&lt;=300),4,IF(AND(O47&gt;300,O47&lt;=500),5,IF(AND(O47&gt;500,O47&lt;=750),6,IF(O47&gt;750,(ROUNDUP(O47/200,0)+3),0)))))))))</f>
        <v>1</v>
      </c>
      <c r="K47" s="112" t="s">
        <v>82</v>
      </c>
      <c r="L47" s="112" t="str">
        <f>IF(AND(AND(Q7="2009 - 2015 ipc"),OR(N47&gt;0,O47&gt;0),N47+O47&lt;=15),"15 or less Fountain exempt(IPC 410.2)",IF(AND(AND(Q7="2021 - 2018 ipc"),OR(N47&gt;0,O47&gt;0),N47+O47&lt;=15),"15 or less Fountain exempt(IPC 410.2)",IF(AND(OR(Q7="2009 - 2015 ipc",Q7="2021 - 2018 ipc"),Q12&lt;=15),"15 or less Fountain exempt(IPC 410.2)",IF(AND(AND(Q7="UPC"),OR(N47&gt;0,O47&gt;0),N47+O47&lt;=30),"30 or less Fountain exempt(UPC 415.2)",IF(AND(AND(Q7="california"),OR(N47&gt;0,O47&gt;0),N47+O47&lt;=30),"30 or less Fountain exempt(CPC 415.2)",IF(AND(OR(Q7="UPC",Q7="CAlifornia"),Q12&lt;=30),"30 or less Fountain exempt(UPC / CPC 415.2)",IF(OR(N47=0,O47=0),INDEX(AO11:AR11,MATCH(Q7,AO2:AR2,0)),0)))))))</f>
        <v>30 or less Fountain exempt(UPC / CPC 415.2)</v>
      </c>
      <c r="M47" s="121" t="s">
        <v>83</v>
      </c>
      <c r="N47" s="96">
        <v>0</v>
      </c>
      <c r="O47" s="97">
        <v>0</v>
      </c>
      <c r="P47" s="7"/>
    </row>
    <row r="48" spans="1:16" x14ac:dyDescent="0.25">
      <c r="A48" s="82"/>
      <c r="B48" s="83"/>
      <c r="C48" s="110"/>
      <c r="D48" s="111"/>
      <c r="E48" s="111"/>
      <c r="F48" s="112"/>
      <c r="G48" s="112"/>
      <c r="H48" s="112"/>
      <c r="I48" s="112"/>
      <c r="J48" s="112"/>
      <c r="K48" s="112"/>
      <c r="L48" s="112"/>
      <c r="M48" s="114"/>
      <c r="N48" s="96"/>
      <c r="O48" s="97"/>
      <c r="P48" s="7"/>
    </row>
    <row r="49" spans="1:16" x14ac:dyDescent="0.25">
      <c r="A49" s="82"/>
      <c r="B49" s="83"/>
      <c r="C49" s="110"/>
      <c r="D49" s="111"/>
      <c r="E49" s="111"/>
      <c r="F49" s="112"/>
      <c r="G49" s="112"/>
      <c r="H49" s="112"/>
      <c r="I49" s="112"/>
      <c r="J49" s="112"/>
      <c r="K49" s="112"/>
      <c r="L49" s="112"/>
      <c r="M49" s="114"/>
      <c r="N49" s="96"/>
      <c r="O49" s="97"/>
      <c r="P49" s="7"/>
    </row>
    <row r="50" spans="1:16" x14ac:dyDescent="0.25">
      <c r="A50" s="82"/>
      <c r="B50" s="83"/>
      <c r="C50" s="110"/>
      <c r="D50" s="111"/>
      <c r="E50" s="111"/>
      <c r="F50" s="112"/>
      <c r="G50" s="112"/>
      <c r="H50" s="112"/>
      <c r="I50" s="112"/>
      <c r="J50" s="112"/>
      <c r="K50" s="112"/>
      <c r="L50" s="112"/>
      <c r="M50" s="114"/>
      <c r="N50" s="96"/>
      <c r="O50" s="97"/>
      <c r="P50" s="7"/>
    </row>
    <row r="51" spans="1:16" x14ac:dyDescent="0.25">
      <c r="A51" s="82"/>
      <c r="B51" s="83"/>
      <c r="C51" s="110"/>
      <c r="D51" s="111"/>
      <c r="E51" s="111"/>
      <c r="F51" s="112"/>
      <c r="G51" s="112"/>
      <c r="H51" s="112"/>
      <c r="I51" s="112"/>
      <c r="J51" s="112"/>
      <c r="K51" s="112"/>
      <c r="L51" s="112"/>
      <c r="M51" s="114"/>
      <c r="N51" s="96"/>
      <c r="O51" s="97"/>
      <c r="P51" s="7"/>
    </row>
    <row r="52" spans="1:16" x14ac:dyDescent="0.25">
      <c r="A52" s="82"/>
      <c r="B52" s="83"/>
      <c r="C52" s="110"/>
      <c r="D52" s="111"/>
      <c r="E52" s="111"/>
      <c r="F52" s="112"/>
      <c r="G52" s="112"/>
      <c r="H52" s="112"/>
      <c r="I52" s="112"/>
      <c r="J52" s="112"/>
      <c r="K52" s="112"/>
      <c r="L52" s="112"/>
      <c r="M52" s="114"/>
      <c r="N52" s="96"/>
      <c r="O52" s="97"/>
    </row>
    <row r="53" spans="1:16" ht="14.45" customHeight="1" x14ac:dyDescent="0.25">
      <c r="A53" s="82"/>
      <c r="B53" s="83"/>
      <c r="C53" s="128" t="s">
        <v>135</v>
      </c>
      <c r="D53" s="111" t="s">
        <v>136</v>
      </c>
      <c r="E53" s="111"/>
      <c r="F53" s="112">
        <f>IF(AND(AND(Q7="2009 - 2015 ipc"),OR(N53&gt;0,O53&gt;0),N53+O53&lt;=15),"Single restroom okay for 15 or less (IBC 2902.2(2))",IF(AND(AND(Q7="2021 - 2018 ipc"),OR(N53&gt;0,O53&gt;0),N53+O53&lt;=15),"Single restroom okay for 15 or less (IBC 2902.2(2))",IF(AND(AND(Q7="UPC"),OR(N53&gt;0,O53&gt;0),N53+O53&lt;=10),"Single restroom okay for 10 or less (422.2(2))",IF(AND(AND(Q7="california"),OR(N53&gt;0,O53&gt;0),N53+O53&lt;=10),"Single restroom okay for 10 or less (422.2(2))",IF(AND(OR(Q7="2009 - 2015 ipc",Q7="2021 - 2018 ipc"),Q12&lt;=15),"Single restroom okay for 15 or less (IBC 2902.2(2))",IF(AND(OR(Q7="UPC",Q7="CAlifornia"),Q12&lt;=10),"Single restroom okay for 10 or less (422.2(2))",IF(N53=0,INDEX(W12:Z12,MATCH(Q7,W2:Z2,0)),IF(OR(Q7="2021 - 2018 IPC",Q7="2009 - 2015 IPC"),IF(AND(N53&gt;0,N53&lt;=1500),(ROUNDUP(N53/75,0)),IF(N53&gt;1500,(ROUNDUP(N53/120,0))+8,0)),IF(OR(Q7="UPC",Q7="California"),IF(AND(N53&gt;0,N53&lt;=100),1,IF(AND(N53&gt;100,N53&lt;=200),2,IF(AND(N53&gt;200,N53&lt;=400),3,IF(N53&gt;400,(ROUNDUP(N53/500,1))+3,0)))))))))))))</f>
        <v>1</v>
      </c>
      <c r="G53" s="112">
        <f>IF(AND(AND(Q7="2009 - 2015 ipc"),OR(N53&gt;0,O53&gt;0),N53+O53&lt;=15),"-",IF(AND(AND(Q7="2021 - 2018 ipc"),OR(N53&gt;0,O53&gt;0),N53+O53&lt;=15),"-",IF(AND(AND(Q7="UPC"),OR(N53&gt;0,O53&gt;0),N53+O53&lt;=10),"-",IF(AND(AND(Q7="california"),OR(N53&gt;0,O53&gt;0),N53+O53&lt;=10),"-",IF(AND(OR(Q7="2009 - 2015 ipc",Q7="2021 - 2018 ipc"),Q12&lt;=15),"-",IF(AND(OR(Q7="UPC",Q7="CAlifornia"),Q12&lt;=10),"-",IF(O53=0,INDEX(AC12:AF12,MATCH(Q7,AC2:AF2,0)),IF(OR(Q7="2021 - 2018 IPC",Q7="2009 - 2015 IPC"),IF(AND(O53&gt;0,O53&lt;=1520),(ROUNDUP(O53/40,0)),IF(O53&gt;1520,(ROUNDUP(O53/60,0))+12,0)),IF(OR(Q7="UPC",Q7="California"),IF(AND(O53&gt;0,O53&lt;=25),1,IF(AND(O53&gt;25,O53&lt;=50),2,IF(AND(O53&gt;50,O53&lt;=100),3,IF(AND(O53&gt;100,O53&lt;=200),4,IF(AND(O53&gt;200,O53&lt;=300),6,IF(AND(O53&gt;300,O53&lt;=400),8,IF(O53&gt;400,(ROUNDUP(O53/125,1))+5,0))))))))))))))))</f>
        <v>1</v>
      </c>
      <c r="H53" s="112" t="str">
        <f>IF(OR(Q7="UPC",Q7="California"),"Can substitute up to 67% of required fixtures","Can substitute up to 67% of required fixtures")</f>
        <v>Can substitute up to 67% of required fixtures</v>
      </c>
      <c r="I53" s="112">
        <f>IF(N53=0,INDEX(AG12:AJ12,MATCH(Q7,AG2:AJ2,0)),IF(OR(Q7="2021 - 2018 IPC",Q7="2009 - 2015 IPC"),ROUNDUP((N53/200),0),IF(OR(Q7="upc",Q7="California"),IF(AND(N53&gt;0,N53&lt;=200),1,IF(AND(N53&gt;200,N53&lt;=400),2,IF(AND(N53&gt;400,N53&lt;=600),3,IF(AND(N53&gt;600,N53&lt;=750),4,IF(N53&gt;750,(ROUNDUP(N53/250,0)+1),0))))))))</f>
        <v>1</v>
      </c>
      <c r="J53" s="112">
        <f>IF(O53=0,INDEX(AK12:AN12,MATCH(Q7,AK2:AN2,0)),IF(OR(Q7="2021 - 2018 IPC",Q7="2009 - 2015 IPC"),ROUNDUP((O53/150),0),IF(OR(Q7="upc",Q7="California"),IF(AND(O53&gt;0,O53&lt;=100),1,IF(AND(O53&gt;100,O53&lt;=200),2,IF(AND(O53&gt;200,O53&lt;=300),4,IF(AND(O53&gt;300,O53&lt;=500),5,IF(AND(O53&gt;500,O53&lt;=750),6,IF(O53&gt;750,(ROUNDUP(O53/200,0)+3),0)))))))))</f>
        <v>1</v>
      </c>
      <c r="K53" s="112" t="s">
        <v>82</v>
      </c>
      <c r="L53" s="112" t="str">
        <f>IF(AND(AND(Q7="2009 - 2015 ipc"),OR(N53&gt;0,O53&gt;0),N53+O53&lt;=15),"15 or less Fountain exempt(IPC 410.2)",IF(AND(AND(Q7="2021 - 2018 ipc"),OR(N53&gt;0,O53&gt;0),N53+O53&lt;=15),"15 or less Fountain exempt(IPC 410.2)",IF(AND(OR(Q7="2009 - 2015 ipc",Q7="2021 - 2018 ipc"),Q12&lt;=15),"15 or less Fountain exempt(IPC 410.2)",IF(AND(AND(Q7="UPC"),OR(N53&gt;0,O53&gt;0),N53+O53&lt;=30),"30 or less Fountain exempt(UPC 415.2)",IF(AND(AND(Q7="california"),OR(N53&gt;0,O53&gt;0),N53+O53&lt;=30),"30 or less Fountain exempt(CPC 415.2)",IF(AND(OR(Q7="UPC",Q7="CAlifornia"),Q12&lt;=30),"30 or less Fountain exempt(UPC / CPC 415.2)",IF(OR(N53=0,O53=0),INDEX(AO12:AR12,MATCH(Q7,AO2:AR2,0)),0)))))))</f>
        <v>30 or less Fountain exempt(UPC / CPC 415.2)</v>
      </c>
      <c r="M53" s="114" t="s">
        <v>83</v>
      </c>
      <c r="N53" s="96">
        <v>0</v>
      </c>
      <c r="O53" s="97">
        <v>0</v>
      </c>
    </row>
    <row r="54" spans="1:16" x14ac:dyDescent="0.25">
      <c r="A54" s="82"/>
      <c r="B54" s="83"/>
      <c r="C54" s="128"/>
      <c r="D54" s="111"/>
      <c r="E54" s="111"/>
      <c r="F54" s="112"/>
      <c r="G54" s="112"/>
      <c r="H54" s="112"/>
      <c r="I54" s="112"/>
      <c r="J54" s="112"/>
      <c r="K54" s="112"/>
      <c r="L54" s="112"/>
      <c r="M54" s="114"/>
      <c r="N54" s="96"/>
      <c r="O54" s="97"/>
    </row>
    <row r="55" spans="1:16" x14ac:dyDescent="0.25">
      <c r="A55" s="82"/>
      <c r="B55" s="83"/>
      <c r="C55" s="128"/>
      <c r="D55" s="111"/>
      <c r="E55" s="111"/>
      <c r="F55" s="112"/>
      <c r="G55" s="112"/>
      <c r="H55" s="112"/>
      <c r="I55" s="112"/>
      <c r="J55" s="112"/>
      <c r="K55" s="112"/>
      <c r="L55" s="112"/>
      <c r="M55" s="114"/>
      <c r="N55" s="96"/>
      <c r="O55" s="97"/>
    </row>
    <row r="56" spans="1:16" x14ac:dyDescent="0.25">
      <c r="A56" s="82"/>
      <c r="B56" s="83"/>
      <c r="C56" s="128"/>
      <c r="D56" s="111"/>
      <c r="E56" s="111"/>
      <c r="F56" s="112"/>
      <c r="G56" s="112"/>
      <c r="H56" s="112"/>
      <c r="I56" s="112"/>
      <c r="J56" s="112"/>
      <c r="K56" s="112"/>
      <c r="L56" s="112"/>
      <c r="M56" s="114"/>
      <c r="N56" s="96"/>
      <c r="O56" s="97"/>
    </row>
    <row r="57" spans="1:16" x14ac:dyDescent="0.25">
      <c r="A57" s="82"/>
      <c r="B57" s="83"/>
      <c r="C57" s="128"/>
      <c r="D57" s="111"/>
      <c r="E57" s="111"/>
      <c r="F57" s="112"/>
      <c r="G57" s="112"/>
      <c r="H57" s="112"/>
      <c r="I57" s="112"/>
      <c r="J57" s="112"/>
      <c r="K57" s="112"/>
      <c r="L57" s="112"/>
      <c r="M57" s="114"/>
      <c r="N57" s="96"/>
      <c r="O57" s="97"/>
    </row>
    <row r="58" spans="1:16" x14ac:dyDescent="0.25">
      <c r="A58" s="82"/>
      <c r="B58" s="83"/>
      <c r="C58" s="128"/>
      <c r="D58" s="111"/>
      <c r="E58" s="111"/>
      <c r="F58" s="112"/>
      <c r="G58" s="112"/>
      <c r="H58" s="112"/>
      <c r="I58" s="112"/>
      <c r="J58" s="112"/>
      <c r="K58" s="112"/>
      <c r="L58" s="112"/>
      <c r="M58" s="114"/>
      <c r="N58" s="96"/>
      <c r="O58" s="97"/>
    </row>
    <row r="59" spans="1:16" ht="14.45" customHeight="1" thickBot="1" x14ac:dyDescent="0.3">
      <c r="A59" s="84"/>
      <c r="B59" s="85"/>
      <c r="C59" s="128"/>
      <c r="D59" s="111"/>
      <c r="E59" s="111"/>
      <c r="F59" s="112"/>
      <c r="G59" s="112"/>
      <c r="H59" s="112"/>
      <c r="I59" s="112"/>
      <c r="J59" s="112"/>
      <c r="K59" s="112"/>
      <c r="L59" s="112"/>
      <c r="M59" s="114"/>
      <c r="N59" s="96"/>
      <c r="O59" s="97"/>
    </row>
    <row r="60" spans="1:16" x14ac:dyDescent="0.25">
      <c r="A60" s="122" t="s">
        <v>137</v>
      </c>
      <c r="B60" s="123"/>
      <c r="C60" s="130" t="s">
        <v>138</v>
      </c>
      <c r="D60" s="131" t="s">
        <v>139</v>
      </c>
      <c r="E60" s="131"/>
      <c r="F60" s="129" t="str">
        <f>IF(AND(AND(Q7="2009 - 2015 ipc"),OR(N60&gt;0,O60&gt;0),N60+O60&lt;=15),"Single restroom okay for 15 or less (IBC 2902.2(2))",IF(AND(AND(Q7="2021 - 2018 ipc"),OR(N60&gt;0,O60&gt;0),N60+O60&lt;=25),"Single restroom okay for 25 or less (IBC 2902.2(2))",IF(AND(AND(Q7="UPC"),OR(N60&gt;0,O60&gt;0),N60+O60&lt;=10),"Single restroom okay for 10 or less (422.2(2))",IF(AND(AND(Q7="california"),OR(N60&gt;0,O60&gt;0),N60+O60&lt;=10),"Single restroom okay for 10 or less (422.2(2))",IF(AND(Q12&lt;=15,Q7="2009 - 2015 IPC"),"Single Restroom okay for 15 or less persons (IBC 2902.2(e))",IF(AND(Q12&lt;=25,Q7="2021 - 2018 IPC"),"Single Restroom okay for 25 or less persons (IBC 2902.2(e))",IF(AND(Q12&lt;=50,Q7="UPC"),"Single Restroom okay for 50 or less persons (UPC 422.2(2))",IF(AND(Q12&lt;=50,Q7="CALIFORNIA"),"Single Restroom okay for 50 or less persons (CPC 422.2(3))",IF(N60=0,INDEX(W13:Z13,MATCH(Q7,W2:Z2,0)),IF(OR(Q7="2021 - 2018 IPC",Q7="2009 - 2015 IPC"),IF(AND(N60&gt;0,N60&lt;=25),1,IF(AND(N60&gt;25,N60&lt;=50),2,IF(N60&gt;50,(ROUNDUP(N60/50,0)+1),0))),IF(OR(Q7="UPC",Q7="California"),IF(AND(N60&gt;0,N60&lt;=50),1,IF(AND(N60&gt;50,N60&lt;=100),2,IF(AND(N60&gt;100,N60&lt;=200),3,IF(AND(N60&gt;200,N60&lt;=400),4,IF(N60&gt;400,(ROUNDUP(N60/500,1))+3,0))))))))))))))))</f>
        <v>Single Restroom okay for 50 or less persons (UPC 422.2(2))</v>
      </c>
      <c r="G60" s="129" t="str">
        <f>IF(AND(AND(Q7="2009 - 2015 ipc"),OR(N60&gt;0,O60&gt;0),N60+O60&lt;=15),"-",IF(AND(AND(Q7="2021 - 2018 ipc"),OR(N60&gt;0,O60&gt;0),N60+O60&lt;=25),"-",IF(AND(AND(Q7="UPC"),OR(N60&gt;0,O60&gt;0),N60+O60&lt;=10),"-",IF(AND(AND(Q7="california"),OR(N60&gt;0,O60&gt;0),N60+O60&lt;=10),"-",IF(AND(OR(Q7="2009 - 2015 ipc",Q7="2021 - 2018 ipc"),Q12&lt;=15),"-",IF(AND(OR(Q7="UPC",Q7="CAlifornia"),Q12&lt;=10),"-",IF(AND(Q12&lt;=15,Q7="2009 - 2015 IPC"),"-",IF(AND(Q12&lt;=25,Q7="2021 - 2018 IPC"),"-",IF(AND(Q12&lt;=50,Q7="UPC"),"-",IF(AND(Q12&lt;=50,Q7="CALIFORNIA"),"-",IF(O60=0,INDEX(AC13:AF13,MATCH(Q7,AC2:AF2,0)),IF(OR(Q7="2021 - 2018 IPC",Q7="2009 - 2015 IPC"),IF(AND(O60&gt;0,O60&lt;=25),1,IF(AND(O60&gt;25,O60&lt;=50),2,IF(O60&gt;50,(ROUNDUP(O60/50,0)+1),0))),IF(OR(Q7="UPC",Q7="California"),IF(AND(O60&gt;0,O60&lt;=15),1,IF(AND(O60&gt;15,O60&lt;=30),2,IF(AND(O60&gt;30,O60&lt;=50),3,IF(AND(O60&gt;50,O60&lt;=100),4,IF(AND(O60&gt;100,O60&lt;=200),8,IF(AND(O60&gt;100,O60&lt;=400),11,IF(O60&gt;400,ROUNDUP(O60/150,0))+8)))))))))))))))))))</f>
        <v>-</v>
      </c>
      <c r="H60" s="129" t="str">
        <f>IF(OR(Q7="UPC",Q7="California"),"Can substitute up to 67% of required fixtures","Can substitute up to 50% of required fixtures")</f>
        <v>Can substitute up to 67% of required fixtures</v>
      </c>
      <c r="I60" s="129">
        <f>IF(N60=0,INDEX(AG13:AJ13,MATCH(Q7,AG2:AJ2,0)),IF(OR(Q7="2021 - 2018 IPC",Q7="2009 - 2015 IPC"),IF(AND(N60&gt;0,N60&lt;=40),1,IF(AND(N60&gt;40,N60&lt;=80),2,IF(N60&gt;80,(ROUNDUP(N60/80,0)+1),0))),IF(OR(Q7="upc",Q7="California"),IF(AND(N60&gt;0,N60&lt;=75),1,IF(AND(N60&gt;75,N60&lt;=150),2,IF(AND(N60&gt;150,N60&lt;=200),3,IF(AND(N60&gt;200,N60&lt;=300),4,IF(AND(N60&gt;300,N60&lt;=400),5,IF(N60&gt;400,(ROUNDUP(N60/250,0)+4),0)))))))))</f>
        <v>1</v>
      </c>
      <c r="J60" s="129">
        <f>IF(O60=0,INDEX(AK13:AN13,MATCH(Q7,AK2:AN2,0)),IF(OR(Q7="2021 - 2018 IPC",Q7="2009 - 2015 IPC"),IF(AND(O60&gt;0,O60&lt;=40),1,IF(AND(O60&gt;40,O60&lt;=80),2,IF(O60&gt;80,(ROUNDUP(O60/80,0)+1),0))),IF(OR(Q7="upc",Q7="California"),IF(AND(O60&gt;0,O60&lt;=50),1,IF(AND(O60&gt;50,O60&lt;=100),2,IF(AND(O60&gt;100,O60&lt;=150),3,IF(AND(O60&gt;150,O60&lt;=200),4,IF(AND(O60&gt;200,O60&lt;=300),5,IF(AND(O60&gt;300,O60&lt;=400),6,IF(O60&gt;400,(ROUNDUP(O60/200,0)+4),0))))))))))</f>
        <v>1</v>
      </c>
      <c r="K60" s="129" t="s">
        <v>82</v>
      </c>
      <c r="L60" s="129" t="str">
        <f>IF(AND(AND(Q7="2009 - 2015 ipc"),OR(N60&gt;0,O60&gt;0),N60+O60&lt;=15),"15 or less Fountain exempt(IPC 410.2)",IF(AND(AND(Q7="2021 - 2018 ipc"),OR(N60&gt;0,O60&gt;0),N60+O60&lt;=15),"15 or less Fountain exempt(IPC 410.2)",IF(AND(OR(Q7="2009 - 2015 ipc",Q7="2021 - 2018 ipc"),Q12&lt;=15),"15 or less Fountain exempt(IPC 410.2)",IF(AND(AND(Q7="UPC"),OR(N60&gt;0,O60&gt;0),N60+O60&lt;=30),"30 or less Fountain exempt(UPC 415.2)",IF(AND(AND(Q7="california"),OR(N60&gt;0,O60&gt;0),N60+O60&lt;=30),"30 or less Fountain exempt(CPC 415.2)",IF(AND(OR(Q7="UPC",Q7="CAlifornia"),Q12&lt;=30),"30 or less Fountain exempt(UPC / CPC 415.2)",IF(OR(N60=0,O60=0),INDEX(AO13:AR13,MATCH(Q7,AO2:AR2,0)),0)))))))</f>
        <v>30 or less Fountain exempt(UPC / CPC 415.2)</v>
      </c>
      <c r="M60" s="114" t="str">
        <f>IF(AND(AND(Q7="2009 - 2015 ipc"),OR(N60&gt;0,O60&gt;0),N60+O60&lt;=15),"15 or less Service sink exempt(IPC 2902.2(2))",IF(AND(AND(Q7="2021 - 2018 ipc"),OR(N60&gt;0,O60&gt;0),N60+O60&lt;=15),"15 or less Service sink exempt(IPC 2902.2(2))",IF(AND(OR(Q7="2009 - 2015 ipc",Q7="2021 - 2018 ipc"),Q12&lt;=15),"15 or less Service sink exempt(IPC 2902.2(2))","1 service sink")))</f>
        <v>1 service sink</v>
      </c>
      <c r="N60" s="96">
        <v>0</v>
      </c>
      <c r="O60" s="97">
        <v>0</v>
      </c>
    </row>
    <row r="61" spans="1:16" ht="14.45" customHeight="1" x14ac:dyDescent="0.25">
      <c r="A61" s="124"/>
      <c r="B61" s="125"/>
      <c r="C61" s="128"/>
      <c r="D61" s="111"/>
      <c r="E61" s="111"/>
      <c r="F61" s="112"/>
      <c r="G61" s="112"/>
      <c r="H61" s="112"/>
      <c r="I61" s="112"/>
      <c r="J61" s="112"/>
      <c r="K61" s="112"/>
      <c r="L61" s="112"/>
      <c r="M61" s="114"/>
      <c r="N61" s="96"/>
      <c r="O61" s="97"/>
    </row>
    <row r="62" spans="1:16" x14ac:dyDescent="0.25">
      <c r="A62" s="124"/>
      <c r="B62" s="125"/>
      <c r="C62" s="128"/>
      <c r="D62" s="111"/>
      <c r="E62" s="111"/>
      <c r="F62" s="112"/>
      <c r="G62" s="112"/>
      <c r="H62" s="112"/>
      <c r="I62" s="112"/>
      <c r="J62" s="112"/>
      <c r="K62" s="112"/>
      <c r="L62" s="112"/>
      <c r="M62" s="114"/>
      <c r="N62" s="96"/>
      <c r="O62" s="97"/>
    </row>
    <row r="63" spans="1:16" x14ac:dyDescent="0.25">
      <c r="A63" s="124"/>
      <c r="B63" s="125"/>
      <c r="C63" s="128"/>
      <c r="D63" s="111"/>
      <c r="E63" s="111"/>
      <c r="F63" s="112"/>
      <c r="G63" s="112"/>
      <c r="H63" s="112"/>
      <c r="I63" s="112"/>
      <c r="J63" s="112"/>
      <c r="K63" s="112"/>
      <c r="L63" s="112"/>
      <c r="M63" s="114"/>
      <c r="N63" s="96"/>
      <c r="O63" s="97"/>
    </row>
    <row r="64" spans="1:16" x14ac:dyDescent="0.25">
      <c r="A64" s="124"/>
      <c r="B64" s="125"/>
      <c r="C64" s="128"/>
      <c r="D64" s="111"/>
      <c r="E64" s="111"/>
      <c r="F64" s="112"/>
      <c r="G64" s="112"/>
      <c r="H64" s="112"/>
      <c r="I64" s="112"/>
      <c r="J64" s="112"/>
      <c r="K64" s="112"/>
      <c r="L64" s="112"/>
      <c r="M64" s="114"/>
      <c r="N64" s="96"/>
      <c r="O64" s="97"/>
    </row>
    <row r="65" spans="1:28" x14ac:dyDescent="0.25">
      <c r="A65" s="124"/>
      <c r="B65" s="125"/>
      <c r="C65" s="128"/>
      <c r="D65" s="111"/>
      <c r="E65" s="111"/>
      <c r="F65" s="112"/>
      <c r="G65" s="112"/>
      <c r="H65" s="112"/>
      <c r="I65" s="112"/>
      <c r="J65" s="112"/>
      <c r="K65" s="112"/>
      <c r="L65" s="112"/>
      <c r="M65" s="114"/>
      <c r="N65" s="96"/>
      <c r="O65" s="97"/>
    </row>
    <row r="66" spans="1:28" x14ac:dyDescent="0.25">
      <c r="A66" s="124"/>
      <c r="B66" s="125"/>
      <c r="C66" s="128"/>
      <c r="D66" s="111"/>
      <c r="E66" s="111"/>
      <c r="F66" s="112"/>
      <c r="G66" s="112"/>
      <c r="H66" s="112"/>
      <c r="I66" s="112"/>
      <c r="J66" s="112"/>
      <c r="K66" s="112"/>
      <c r="L66" s="112"/>
      <c r="M66" s="114"/>
      <c r="N66" s="96"/>
      <c r="O66" s="97"/>
    </row>
    <row r="67" spans="1:28" x14ac:dyDescent="0.25">
      <c r="A67" s="124"/>
      <c r="B67" s="125"/>
      <c r="C67" s="128"/>
      <c r="D67" s="111"/>
      <c r="E67" s="111"/>
      <c r="F67" s="112"/>
      <c r="G67" s="112"/>
      <c r="H67" s="112"/>
      <c r="I67" s="112"/>
      <c r="J67" s="112"/>
      <c r="K67" s="112"/>
      <c r="L67" s="112"/>
      <c r="M67" s="114"/>
      <c r="N67" s="96"/>
      <c r="O67" s="97"/>
      <c r="U67" s="1"/>
      <c r="V67" s="1"/>
      <c r="W67" s="1"/>
      <c r="X67" s="1"/>
    </row>
    <row r="68" spans="1:28" x14ac:dyDescent="0.25">
      <c r="A68" s="124"/>
      <c r="B68" s="125"/>
      <c r="C68" s="128"/>
      <c r="D68" s="111"/>
      <c r="E68" s="111"/>
      <c r="F68" s="112"/>
      <c r="G68" s="112"/>
      <c r="H68" s="112"/>
      <c r="I68" s="112"/>
      <c r="J68" s="112"/>
      <c r="K68" s="112"/>
      <c r="L68" s="112"/>
      <c r="M68" s="114"/>
      <c r="N68" s="96"/>
      <c r="O68" s="97"/>
      <c r="T68" s="2"/>
      <c r="U68" s="1"/>
      <c r="V68" s="1"/>
      <c r="W68" s="1"/>
      <c r="X68" s="1"/>
    </row>
    <row r="69" spans="1:28" x14ac:dyDescent="0.25">
      <c r="A69" s="124"/>
      <c r="B69" s="125"/>
      <c r="C69" s="128"/>
      <c r="D69" s="111"/>
      <c r="E69" s="111"/>
      <c r="F69" s="112"/>
      <c r="G69" s="112"/>
      <c r="H69" s="112"/>
      <c r="I69" s="112"/>
      <c r="J69" s="112"/>
      <c r="K69" s="112"/>
      <c r="L69" s="112"/>
      <c r="M69" s="114"/>
      <c r="N69" s="96"/>
      <c r="O69" s="97"/>
      <c r="S69" s="5"/>
      <c r="Y69" s="1"/>
      <c r="Z69" s="1"/>
      <c r="AA69" s="1"/>
      <c r="AB69" s="1"/>
    </row>
    <row r="70" spans="1:28" ht="15.75" thickBot="1" x14ac:dyDescent="0.3">
      <c r="A70" s="126"/>
      <c r="B70" s="127"/>
      <c r="C70" s="86"/>
      <c r="D70" s="89"/>
      <c r="E70" s="89"/>
      <c r="F70" s="92"/>
      <c r="G70" s="92"/>
      <c r="H70" s="92"/>
      <c r="I70" s="92"/>
      <c r="J70" s="92"/>
      <c r="K70" s="92"/>
      <c r="L70" s="92"/>
      <c r="M70" s="114"/>
      <c r="N70" s="96"/>
      <c r="O70" s="97"/>
      <c r="S70" s="5"/>
      <c r="Y70" s="1"/>
      <c r="Z70" s="1"/>
      <c r="AA70" s="1"/>
      <c r="AB70" s="1"/>
    </row>
    <row r="71" spans="1:28" ht="14.45" customHeight="1" x14ac:dyDescent="0.25">
      <c r="A71" s="122" t="s">
        <v>141</v>
      </c>
      <c r="B71" s="123"/>
      <c r="C71" s="128" t="s">
        <v>142</v>
      </c>
      <c r="D71" s="111" t="s">
        <v>143</v>
      </c>
      <c r="E71" s="111"/>
      <c r="F71" s="112">
        <f>IF(AND(AND(Q7="2009 - 2015 ipc"),OR(N71&gt;0,O71&gt;0),N71+O71&lt;=15),"Single restroom okay for 15 or less (IBC 2902.2(2))",IF(AND(AND(Q7="2021 - 2018 ipc"),OR(N71&gt;0,O71&gt;0),N71+O71&lt;=15),"Single restroom okay for 15 or less (IBC 2902.2(2))",IF(AND(AND(Q7="UPC"),OR(N71&gt;0,O71&gt;0),N71+O71&lt;=10),"Single restroom okay for 10 or less (422.2(2))",IF(AND(AND(Q7="california"),OR(N71&gt;0,O71&gt;0),N71+O71&lt;=10),"Single restroom okay for 10 or less (422.2(2))",IF(AND(OR(Q7="2009 - 2015 ipc",Q7="2021 - 2018 ipc"),Q12&lt;=15),"Single restroom okay for 15 or less (IBC 2902.2(2))",IF(AND(OR(Q7="UPC",Q7="CAlifornia"),Q12&lt;=10),"Single restroom okay for 10 or less (422.2(2))",IF(N71=0,INDEX(W14:Z14,MATCH(Q7,W2:Z2,0)),IF(OR(Q7="2021 - 2018 IPC",Q7="2009 - 2015 IPC"),ROUNDUP((N71/50),0),IF(OR(Q7="UPC",Q7="California"),ROUNDUP((N71/50),0))))))))))</f>
        <v>1</v>
      </c>
      <c r="G71" s="112">
        <f>IF(AND(AND(Q7="2009 - 2015 ipc"),OR(N71&gt;0,O71&gt;0),N71+O71&lt;=15),"-",IF(AND(AND(Q7="2021 - 2018 ipc"),OR(N71&gt;0,O71&gt;0),N71+O71&lt;=15),"-",IF(AND(AND(Q7="UPC"),OR(N71&gt;0,O71&gt;0),N71+O71&lt;=10),"-",IF(AND(AND(Q7="california"),OR(N71&gt;0,O71&gt;0),N71+O71&lt;=10),"-",IF(AND(OR(Q7="2009 - 2015 ipc",Q7="2021 - 2018 ipc"),Q12&lt;=15),"-",IF(AND(OR(Q7="UPC",Q7="CAlifornia"),Q12&lt;=10),"-",IF(O71=0,INDEX(AC14:AF14,MATCH(Q7,AC2:AF2,0)),IF(OR(Q7="2021 - 2018 IPC",Q7="2009 - 2015 IPC"),ROUNDUP((O71/50),0),IF(OR(Q7="UPC",Q7="California"),ROUNDUP((O71/50),0))))))))))</f>
        <v>1</v>
      </c>
      <c r="H71" s="112" t="str">
        <f>IF(OR(Q7="UPC",Q7="California"),"Can substitute up to 67% of required fixtures","Can substitute up to 67% of required fixtures")</f>
        <v>Can substitute up to 67% of required fixtures</v>
      </c>
      <c r="I71" s="112">
        <f>IF(N71=0,INDEX(AG14:AJ14,MATCH(Q7,AG2:AJ2,0)),IF(OR(Q7="2021 - 2018 IPC",Q7="2009 - 2015 IPC"),ROUNDUP((N71/50),0),IF(OR(Q7="upc",Q7="California"),ROUNDUP((N71/40),0))))</f>
        <v>1</v>
      </c>
      <c r="J71" s="112">
        <f>IF(O71=0,INDEX(AK14:AN14,MATCH(Q7,AK2:AN2,0)),IF(OR(Q7="2021 - 2018 IPC",Q7="2009 - 2015 IPC"),ROUNDUP((O71/50),0),IF(OR(Q7="upc",Q7="California"),ROUNDUP((O71/40),0))))</f>
        <v>1</v>
      </c>
      <c r="K71" s="112" t="s">
        <v>82</v>
      </c>
      <c r="L71" s="112" t="str">
        <f>IF(AND(AND(Q7="2009 - 2015 ipc"),OR(N71&gt;0,O71&gt;0),N71+O71&lt;=15),"15 or less Fountain exempt(IPC 410.2)",IF(AND(AND(Q7="2021 - 2018 ipc"),OR(N71&gt;0,O71&gt;0),N71+O71&lt;=15),"15 or less Fountain exempt(IPC 410.2)",IF(AND(OR(Q7="2009 - 2015 ipc",Q7="2021 - 2018 ipc"),Q12&lt;=15),"15 or less Fountain exempt(IPC 410.2)",IF(AND(AND(Q7="UPC"),OR(N71&gt;0,O71&gt;0),N71+O71&lt;=30),"30 or less Fountain exempt(UPC 415.2)",IF(AND(AND(Q7="california"),OR(N71&gt;0,O71&gt;0),N71+O71&lt;=30),"30 or less Fountain exempt(CPC 415.2)",IF(AND(OR(Q7="UPC",Q7="CAlifornia"),Q12&lt;=30),"30 or less Fountain exempt(UPC / CPC 415.2)",IF(OR(N71=0,O71=0),INDEX(AO14:AR14,MATCH(Q7,AO2:AR2,0)),0)))))))</f>
        <v>30 or less Fountain exempt(UPC / CPC 415.2)</v>
      </c>
      <c r="M71" s="121" t="s">
        <v>83</v>
      </c>
      <c r="N71" s="96">
        <v>0</v>
      </c>
      <c r="O71" s="97">
        <v>0</v>
      </c>
      <c r="S71" s="5"/>
      <c r="Y71" s="1"/>
      <c r="Z71" s="1"/>
      <c r="AA71" s="1"/>
      <c r="AB71" s="1"/>
    </row>
    <row r="72" spans="1:28" x14ac:dyDescent="0.25">
      <c r="A72" s="124"/>
      <c r="B72" s="125"/>
      <c r="C72" s="128"/>
      <c r="D72" s="111"/>
      <c r="E72" s="111"/>
      <c r="F72" s="112"/>
      <c r="G72" s="112"/>
      <c r="H72" s="112"/>
      <c r="I72" s="112"/>
      <c r="J72" s="112"/>
      <c r="K72" s="112"/>
      <c r="L72" s="112"/>
      <c r="M72" s="114"/>
      <c r="N72" s="96"/>
      <c r="O72" s="97"/>
      <c r="S72" s="5"/>
      <c r="Y72" s="1"/>
      <c r="Z72" s="1"/>
      <c r="AA72" s="1"/>
      <c r="AB72" s="1"/>
    </row>
    <row r="73" spans="1:28" x14ac:dyDescent="0.25">
      <c r="A73" s="124"/>
      <c r="B73" s="125"/>
      <c r="C73" s="128"/>
      <c r="D73" s="111"/>
      <c r="E73" s="111"/>
      <c r="F73" s="112"/>
      <c r="G73" s="112"/>
      <c r="H73" s="112"/>
      <c r="I73" s="112"/>
      <c r="J73" s="112"/>
      <c r="K73" s="112"/>
      <c r="L73" s="112"/>
      <c r="M73" s="114"/>
      <c r="N73" s="96"/>
      <c r="O73" s="97"/>
      <c r="S73" s="5"/>
      <c r="Y73" s="1"/>
      <c r="Z73" s="1"/>
      <c r="AA73" s="1"/>
      <c r="AB73" s="1"/>
    </row>
    <row r="74" spans="1:28" x14ac:dyDescent="0.25">
      <c r="A74" s="124"/>
      <c r="B74" s="125"/>
      <c r="C74" s="128"/>
      <c r="D74" s="111"/>
      <c r="E74" s="111"/>
      <c r="F74" s="112"/>
      <c r="G74" s="112"/>
      <c r="H74" s="112"/>
      <c r="I74" s="112"/>
      <c r="J74" s="112"/>
      <c r="K74" s="112"/>
      <c r="L74" s="112"/>
      <c r="M74" s="114"/>
      <c r="N74" s="96"/>
      <c r="O74" s="97"/>
      <c r="S74" s="5"/>
      <c r="Y74" s="1"/>
      <c r="Z74" s="1"/>
      <c r="AA74" s="1"/>
      <c r="AB74" s="1"/>
    </row>
    <row r="75" spans="1:28" x14ac:dyDescent="0.25">
      <c r="A75" s="124"/>
      <c r="B75" s="125"/>
      <c r="C75" s="128"/>
      <c r="D75" s="111"/>
      <c r="E75" s="111"/>
      <c r="F75" s="112"/>
      <c r="G75" s="112"/>
      <c r="H75" s="112"/>
      <c r="I75" s="112"/>
      <c r="J75" s="112"/>
      <c r="K75" s="112"/>
      <c r="L75" s="112"/>
      <c r="M75" s="114"/>
      <c r="N75" s="96"/>
      <c r="O75" s="97"/>
      <c r="S75" s="5"/>
      <c r="Y75" s="1"/>
      <c r="Z75" s="1"/>
      <c r="AA75" s="1"/>
      <c r="AB75" s="1"/>
    </row>
    <row r="76" spans="1:28" ht="14.45" customHeight="1" thickBot="1" x14ac:dyDescent="0.3">
      <c r="A76" s="126"/>
      <c r="B76" s="127"/>
      <c r="C76" s="128"/>
      <c r="D76" s="111"/>
      <c r="E76" s="111"/>
      <c r="F76" s="112"/>
      <c r="G76" s="112"/>
      <c r="H76" s="112"/>
      <c r="I76" s="112"/>
      <c r="J76" s="112"/>
      <c r="K76" s="112"/>
      <c r="L76" s="112"/>
      <c r="M76" s="114"/>
      <c r="N76" s="96"/>
      <c r="O76" s="97"/>
      <c r="S76" s="5"/>
      <c r="Y76" s="1"/>
      <c r="Z76" s="1"/>
      <c r="AA76" s="1"/>
      <c r="AB76" s="1"/>
    </row>
    <row r="77" spans="1:28" x14ac:dyDescent="0.25">
      <c r="A77" s="122" t="s">
        <v>144</v>
      </c>
      <c r="B77" s="123"/>
      <c r="C77" s="110" t="s">
        <v>145</v>
      </c>
      <c r="D77" s="111" t="s">
        <v>146</v>
      </c>
      <c r="E77" s="111"/>
      <c r="F77" s="112">
        <f>IF(AND(AND(Q7="2009 - 2015 ipc"),OR(N77&gt;0,O77&gt;0),N77+O77&lt;=15),"Single restroom okay for 15 or less (IBC 2902.2(2))",IF(AND(AND(Q7="2021 - 2018 ipc"),OR(N77&gt;0,O77&gt;0),N77+O77&lt;=15),"Single restroom okay for 15 or less (IBC 2902.2(2))",IF(AND(AND(Q7="UPC"),OR(N77&gt;0,O77&gt;0),N77+O77&lt;=10),"Single restroom okay for 10 or less (422.2(2))",IF(AND(AND(Q7="california"),OR(N77&gt;0,O77&gt;0),N77+O77&lt;=10),"Single restroom okay for 10 or less (422.2(2))",IF(AND(OR(Q7="2009 - 2015 ipc",Q7="2021 - 2018 ipc"),Q12&lt;=15),"Single restroom okay for 15 or less (IBC 2902.2(2))",IF(AND(OR(Q7="UPC",Q7="CAlifornia"),Q12&lt;=10),"Single restroom okay for 10 or less (422.2(2))",IF(N77=0,INDEX(W15:Z15,MATCH(Q7,W2:Z2,0)),IF(OR(Q7="2021 - 2018 IPC",Q7="2009 - 2015 IPC"),ROUNDUP((N77/100),0),IF(OR(Q7="UPC",Q7="California"),IF(AND(N77&gt;0,N77&lt;=50),1,IF(AND(N77&gt;50,N77&lt;=75),2,IF(AND(N77&gt;75,N77&lt;=100),3,IF(N77&gt;100,(ROUNDUP(N77/40,1))+1,0)))))))))))))</f>
        <v>1</v>
      </c>
      <c r="G77" s="112">
        <f>IF(AND(AND(Q7="2009 - 2015 ipc"),OR(N77&gt;0,O77&gt;0),N77+O77&lt;=15),"-",IF(AND(AND(Q7="2021 - 2018 ipc"),OR(N77&gt;0,O77&gt;0),N77+O77&lt;=15),"-",IF(AND(AND(Q7="UPC"),OR(N77&gt;0,O77&gt;0),N77+O77&lt;=10),"-",IF(AND(AND(Q7="california"),OR(N77&gt;0,O77&gt;0),N77+O77&lt;=10),"-",IF(AND(OR(Q7="2009 - 2015 ipc",Q7="2021 - 2018 ipc"),Q12&lt;=15),"-",IF(AND(OR(Q7="UPC",Q7="CAlifornia"),Q12&lt;=10),"-",IF(O77=0,INDEX(AC15:AF15,MATCH(Q7,AC2:AF2,0)),IF(OR(Q7="2021 - 2018 IPC",Q7="2009 - 2015 IPC"),ROUNDUP((O77/100),0),IF(OR(Q7="UPC",Q7="California"),IF(AND(O77&gt;0,O77&lt;=50),1,IF(AND(O77&gt;50,O77&lt;=75),2,IF(AND(O77&gt;75,O77&lt;=100),3,IF(O77&gt;100,(ROUNDUP(O77/40,1))+1,0)))))))))))))</f>
        <v>1</v>
      </c>
      <c r="H77" s="112" t="str">
        <f>IF(OR(Q7="UPC",Q7="California"),"Can substitute up to 67% of required fixtures","Can substitute up to 50% of required fixtures")</f>
        <v>Can substitute up to 67% of required fixtures</v>
      </c>
      <c r="I77" s="112">
        <f>IF(N77=0,INDEX(AG15:AJ15,MATCH(Q7,AG2:AJ2,0)),IF(OR(Q7="2021 - 2018 IPC",Q7="2009 - 2015 IPC"),ROUNDUP((N77/100),0),IF(OR(Q7="upc",Q7="California"),IF(AND(N77&gt;0,N77&lt;=50),1,IF(AND(N77&gt;50,N77&lt;=75),2,IF(AND(N77&gt;75,N77&lt;=100),3,IF(N77&gt;100,(ROUNDUP(N77/40,1))+1,0)))))))</f>
        <v>1</v>
      </c>
      <c r="J77" s="112">
        <f>IF(O77=0,INDEX(AK15:AN15,MATCH(Q7,AK2:AN2,0)),IF(OR(Q7="2021 - 2018 IPC",Q7="2009 - 2015 IPC"),ROUNDUP((O77/100),0),IF(OR(Q7="upc",Q7="California"),IF(AND(O77&gt;0,O77&lt;=50),1,IF(AND(O77&gt;50,O77&lt;=75),2,IF(AND(O77&gt;75,O77&lt;=100),3,IF(O77&gt;100,(ROUNDUP(O77/40,1))+1,0)))))))</f>
        <v>1</v>
      </c>
      <c r="K77" s="112" t="str">
        <f>INDEX(AS15:AV15,MATCH(Q7,AS2:AV2,0))</f>
        <v>-</v>
      </c>
      <c r="L77" s="112" t="str">
        <f>IF(AND(AND(Q7="2009 - 2015 ipc"),OR(N77&gt;0,O77&gt;0),N77+O77&lt;=15),"15 or less Fountain exempt(IPC 410.2)",IF(AND(AND(Q7="2021 - 2018 ipc"),OR(N77&gt;0,O77&gt;0),N77+O77&lt;=15),"15 or less Fountain exempt(IPC 410.2)",IF(AND(OR(Q7="2009 - 2015 ipc",Q7="2021 - 2018 ipc"),Q12&lt;=15),"15 or less Fountain exempt(IPC 410.2)",IF(AND(AND(Q7="UPC"),OR(N77&gt;0,O77&gt;0),N77+O77&lt;=30),"30 or less Fountain exempt(UPC 415.2)",IF(AND(AND(Q7="california"),OR(N77&gt;0,O77&gt;0),N77+O77&lt;=30),"30 or less Fountain exempt(CPC 415.2)",IF(AND(OR(Q7="UPC",Q7="CAlifornia"),Q12&lt;=30),"30 or less Fountain exempt(UPC / CPC 415.2)",IF(OR(N77=0,O77=0),INDEX(AO15:AR15,MATCH(Q7,AO2:AR2,0)),0)))))))</f>
        <v>30 or less Fountain exempt(UPC / CPC 415.2)</v>
      </c>
      <c r="M77" s="114" t="s">
        <v>83</v>
      </c>
      <c r="N77" s="96">
        <v>0</v>
      </c>
      <c r="O77" s="97">
        <v>0</v>
      </c>
      <c r="S77" s="5"/>
      <c r="Y77" s="1"/>
      <c r="Z77" s="1"/>
      <c r="AA77" s="1"/>
      <c r="AB77" s="1"/>
    </row>
    <row r="78" spans="1:28" x14ac:dyDescent="0.25">
      <c r="A78" s="124"/>
      <c r="B78" s="125"/>
      <c r="C78" s="110"/>
      <c r="D78" s="111"/>
      <c r="E78" s="111"/>
      <c r="F78" s="112"/>
      <c r="G78" s="112"/>
      <c r="H78" s="112"/>
      <c r="I78" s="112"/>
      <c r="J78" s="112"/>
      <c r="K78" s="112"/>
      <c r="L78" s="112"/>
      <c r="M78" s="114"/>
      <c r="N78" s="96"/>
      <c r="O78" s="97"/>
      <c r="S78" s="5"/>
      <c r="Y78" s="1"/>
      <c r="Z78" s="1"/>
      <c r="AA78" s="1"/>
      <c r="AB78" s="1"/>
    </row>
    <row r="79" spans="1:28" x14ac:dyDescent="0.25">
      <c r="A79" s="124"/>
      <c r="B79" s="125"/>
      <c r="C79" s="110"/>
      <c r="D79" s="111"/>
      <c r="E79" s="111"/>
      <c r="F79" s="112"/>
      <c r="G79" s="112"/>
      <c r="H79" s="112"/>
      <c r="I79" s="112"/>
      <c r="J79" s="112"/>
      <c r="K79" s="112"/>
      <c r="L79" s="112"/>
      <c r="M79" s="114"/>
      <c r="N79" s="96"/>
      <c r="O79" s="97"/>
      <c r="S79" s="5"/>
      <c r="Y79" s="1"/>
      <c r="Z79" s="1"/>
      <c r="AA79" s="1"/>
      <c r="AB79" s="1"/>
    </row>
    <row r="80" spans="1:28" x14ac:dyDescent="0.25">
      <c r="A80" s="124"/>
      <c r="B80" s="125"/>
      <c r="C80" s="110"/>
      <c r="D80" s="111"/>
      <c r="E80" s="111"/>
      <c r="F80" s="112"/>
      <c r="G80" s="112"/>
      <c r="H80" s="112"/>
      <c r="I80" s="112"/>
      <c r="J80" s="112"/>
      <c r="K80" s="112"/>
      <c r="L80" s="112"/>
      <c r="M80" s="114"/>
      <c r="N80" s="96"/>
      <c r="O80" s="97"/>
      <c r="S80" s="5"/>
      <c r="Y80" s="1"/>
      <c r="Z80" s="1"/>
      <c r="AA80" s="1"/>
      <c r="AB80" s="1"/>
    </row>
    <row r="81" spans="1:28" x14ac:dyDescent="0.25">
      <c r="A81" s="124"/>
      <c r="B81" s="125"/>
      <c r="C81" s="110"/>
      <c r="D81" s="111"/>
      <c r="E81" s="111"/>
      <c r="F81" s="112"/>
      <c r="G81" s="112"/>
      <c r="H81" s="112"/>
      <c r="I81" s="112"/>
      <c r="J81" s="112"/>
      <c r="K81" s="112"/>
      <c r="L81" s="112"/>
      <c r="M81" s="114"/>
      <c r="N81" s="96"/>
      <c r="O81" s="97"/>
      <c r="S81" s="5"/>
      <c r="Y81" s="1"/>
      <c r="Z81" s="1"/>
      <c r="AA81" s="1"/>
      <c r="AB81" s="1"/>
    </row>
    <row r="82" spans="1:28" x14ac:dyDescent="0.25">
      <c r="A82" s="124"/>
      <c r="B82" s="125"/>
      <c r="C82" s="110"/>
      <c r="D82" s="111"/>
      <c r="E82" s="111"/>
      <c r="F82" s="112"/>
      <c r="G82" s="112"/>
      <c r="H82" s="112"/>
      <c r="I82" s="112"/>
      <c r="J82" s="112"/>
      <c r="K82" s="112"/>
      <c r="L82" s="112"/>
      <c r="M82" s="114"/>
      <c r="N82" s="96"/>
      <c r="O82" s="97"/>
      <c r="S82" s="5"/>
      <c r="Y82" s="1"/>
      <c r="Z82" s="1"/>
      <c r="AA82" s="1"/>
      <c r="AB82" s="1"/>
    </row>
    <row r="83" spans="1:28" ht="14.45" customHeight="1" thickBot="1" x14ac:dyDescent="0.3">
      <c r="A83" s="126"/>
      <c r="B83" s="127"/>
      <c r="C83" s="110"/>
      <c r="D83" s="111"/>
      <c r="E83" s="111"/>
      <c r="F83" s="112"/>
      <c r="G83" s="112"/>
      <c r="H83" s="112"/>
      <c r="I83" s="112"/>
      <c r="J83" s="112"/>
      <c r="K83" s="112"/>
      <c r="L83" s="112"/>
      <c r="M83" s="114"/>
      <c r="N83" s="96"/>
      <c r="O83" s="97"/>
      <c r="S83" s="5"/>
      <c r="Y83" s="1"/>
      <c r="Z83" s="1"/>
      <c r="AA83" s="1"/>
      <c r="AB83" s="1"/>
    </row>
    <row r="84" spans="1:28" x14ac:dyDescent="0.25">
      <c r="A84" s="122" t="s">
        <v>147</v>
      </c>
      <c r="B84" s="123"/>
      <c r="C84" s="110" t="s">
        <v>148</v>
      </c>
      <c r="D84" s="111" t="s">
        <v>149</v>
      </c>
      <c r="E84" s="111"/>
      <c r="F84" s="112">
        <f>IF(AND(AND(Q7="2009 - 2015 ipc"),OR(N84&gt;0,O84&gt;0),N84+O84&lt;=15),"Single restroom okay for 15 or less (IBC 2902.2(2))",IF(AND(AND(Q7="2021 - 2018 ipc"),OR(N84&gt;0,O84&gt;0),N84+O84&lt;=15),"Single restroom okay for 15 or less (IBC 2902.2(2))",IF(AND(AND(Q7="UPC"),OR(N84&gt;0,O84&gt;0),N84+O84&lt;=10),"Single restroom okay for 10 or less (422.2(2))",IF(AND(AND(Q7="california"),OR(N84&gt;0,O84&gt;0),N84+O84&lt;=10),"Single restroom okay for 10 or less (422.2(2))",IF(AND(OR(Q7="2009 - 2015 ipc",Q7="2021 - 2018 ipc"),Q12&lt;=15),"Single restroom okay for 15 or less (IBC 2902.2(2))",IF(AND(OR(Q7="UPC",Q7="CAlifornia"),Q12&lt;=10),"Single restroom okay for 10 or less (422.2(2))",IF(N84=0,INDEX(W16:Z16,MATCH(Q7,W2:Z2,0)),IF(OR(Q7="2021 - 2018 IPC",Q7="2009 - 2015 IPC"),ROUNDUP((N84/10),0),IF(OR(Q7="UPC",Q7="California"),ROUNDUP((N84/15),0))))))))))</f>
        <v>1</v>
      </c>
      <c r="G84" s="112">
        <f>IF(AND(AND(Q7="2009 - 2015 ipc"),OR(N84&gt;0,O84&gt;0),N84+O84&lt;=15),"-",IF(AND(AND(Q7="2021 - 2018 ipc"),OR(N84&gt;0,O84&gt;0),N84+O84&lt;=15),"-",IF(AND(AND(Q7="UPC"),OR(N84&gt;0,O84&gt;0),N84+O84&lt;=10),"-",IF(AND(AND(Q7="california"),OR(N84&gt;0,O84&gt;0),N84+O84&lt;=10),"-",IF(AND(OR(Q7="2009 - 2015 ipc",Q7="2021 - 2018 ipc"),Q12&lt;=15),"-",IF(AND(OR(Q7="UPC",Q7="CAlifornia"),Q12&lt;=10),"-",IF(O84=0,INDEX(AC16:AF16,MATCH(Q7,AC2:AF2,0)),IF(OR(Q7="2021 - 2018 IPC",Q7="2009 - 2015 IPC"),ROUNDUP((O84/10),0),IF(OR(Q7="UPC",Q7="California"),ROUNDUP((O84/15),0))))))))))</f>
        <v>1</v>
      </c>
      <c r="H84" s="112" t="str">
        <f>IF(OR(Q7="UPC",Q7="California"),"Can substitute up to 67% of required fixtures","Can substitute up to 50% of required fixtures")</f>
        <v>Can substitute up to 67% of required fixtures</v>
      </c>
      <c r="I84" s="112">
        <f>IF(N84=0,INDEX(AG16:AJ16,MATCH(Q7,AG2:AJ2,0)),IF(OR(Q7="2021 - 2018 IPC",Q7="2009 - 2015 IPC"),ROUNDUP((N84/10),0),IF(OR(Q7="upc",Q7="California"),ROUNDUP((N84/15),0))))</f>
        <v>1</v>
      </c>
      <c r="J84" s="112">
        <f>IF(O84=0,INDEX(AK16:AN16,MATCH(Q7,AK2:AN2,0)),IF(OR(Q7="2021 - 2018 IPC",Q7="2009 - 2015 IPC"),ROUNDUP((O84/10),0),IF(OR(Q7="upc",Q7="California"),ROUNDUP((O84/8),0))))</f>
        <v>2</v>
      </c>
      <c r="K84" s="112">
        <f>IF(AND(N84=0,O84=0),INDEX(AS16:AV16,MATCH(Q7,AS2:AV2,0)),IF(OR(Q7="2021 - 2018 IPC",Q7="2009 - 2015 IPC"),ROUNDUP(((N84+O84)/8),0),IF(OR(Q7="upc",Q7="California"),ROUNDUP(((N84+O84)/150),0))))</f>
        <v>1</v>
      </c>
      <c r="L84" s="112" t="str">
        <f>IF(AND(AND(Q7="2009 - 2015 ipc"),OR(N84&gt;0,O84&gt;0),N84+O84&lt;=15),"15 or less Fountain exempt(IPC 410.2)",IF(AND(AND(Q7="2021 - 2018 ipc"),OR(N84&gt;0,O84&gt;0),N84+O84&lt;=15),"15 or less Fountain exempt(IPC 410.2)",IF(AND(OR(Q7="2009 - 2015 ipc",Q7="2021 - 2018 ipc"),Q12&lt;=15),"15 or less Fountain exempt(IPC 410.2)",IF(AND(AND(Q7="UPC"),OR(N84&gt;0,O84&gt;0),N84+O84&lt;=30),"30 or less Fountain exempt(UPC 415.2)",IF(AND(AND(Q7="california"),OR(N84&gt;0,O84&gt;0),N84+O84&lt;=30),"30 or less Fountain exempt(CPC 415.2)",IF(AND(OR(Q7="UPC",Q7="CAlifornia"),Q12&lt;=30),"30 or less Fountain exempt(UPC / CPC 415.2)",IF(OR(N84=0,O84=0),INDEX(AO16:AR16,MATCH(Q7,AO2:AR2,0)),0)))))))</f>
        <v>30 or less Fountain exempt(UPC / CPC 415.2)</v>
      </c>
      <c r="M84" s="121" t="s">
        <v>83</v>
      </c>
      <c r="N84" s="96">
        <v>0</v>
      </c>
      <c r="O84" s="97">
        <v>0</v>
      </c>
      <c r="Q84" s="13"/>
      <c r="R84" s="13"/>
      <c r="S84" s="5"/>
      <c r="Y84" s="1"/>
      <c r="Z84" s="1"/>
      <c r="AA84" s="1"/>
      <c r="AB84" s="1"/>
    </row>
    <row r="85" spans="1:28" x14ac:dyDescent="0.25">
      <c r="A85" s="124"/>
      <c r="B85" s="125"/>
      <c r="C85" s="110"/>
      <c r="D85" s="111"/>
      <c r="E85" s="111"/>
      <c r="F85" s="112"/>
      <c r="G85" s="112"/>
      <c r="H85" s="112"/>
      <c r="I85" s="112"/>
      <c r="J85" s="112"/>
      <c r="K85" s="112"/>
      <c r="L85" s="112"/>
      <c r="M85" s="114"/>
      <c r="N85" s="96"/>
      <c r="O85" s="97"/>
      <c r="S85" s="5"/>
      <c r="Y85" s="1"/>
      <c r="Z85" s="1"/>
      <c r="AA85" s="1"/>
      <c r="AB85" s="1"/>
    </row>
    <row r="86" spans="1:28" x14ac:dyDescent="0.25">
      <c r="A86" s="124"/>
      <c r="B86" s="125"/>
      <c r="C86" s="110"/>
      <c r="D86" s="111"/>
      <c r="E86" s="111"/>
      <c r="F86" s="112"/>
      <c r="G86" s="112"/>
      <c r="H86" s="112"/>
      <c r="I86" s="112"/>
      <c r="J86" s="112"/>
      <c r="K86" s="112"/>
      <c r="L86" s="112"/>
      <c r="M86" s="114"/>
      <c r="N86" s="96"/>
      <c r="O86" s="97"/>
      <c r="S86" s="5"/>
      <c r="Y86" s="1"/>
      <c r="Z86" s="1"/>
      <c r="AA86" s="1"/>
      <c r="AB86" s="1"/>
    </row>
    <row r="87" spans="1:28" x14ac:dyDescent="0.25">
      <c r="A87" s="124"/>
      <c r="B87" s="125"/>
      <c r="C87" s="110"/>
      <c r="D87" s="111"/>
      <c r="E87" s="111"/>
      <c r="F87" s="112"/>
      <c r="G87" s="112"/>
      <c r="H87" s="112"/>
      <c r="I87" s="112"/>
      <c r="J87" s="112"/>
      <c r="K87" s="112"/>
      <c r="L87" s="112"/>
      <c r="M87" s="114"/>
      <c r="N87" s="96"/>
      <c r="O87" s="97"/>
      <c r="P87" s="7"/>
      <c r="S87" s="5"/>
      <c r="Y87" s="1"/>
      <c r="Z87" s="1"/>
      <c r="AA87" s="1"/>
      <c r="AB87" s="1"/>
    </row>
    <row r="88" spans="1:28" x14ac:dyDescent="0.25">
      <c r="A88" s="124"/>
      <c r="B88" s="125"/>
      <c r="C88" s="110"/>
      <c r="D88" s="111"/>
      <c r="E88" s="111"/>
      <c r="F88" s="112"/>
      <c r="G88" s="112"/>
      <c r="H88" s="112"/>
      <c r="I88" s="112"/>
      <c r="J88" s="112"/>
      <c r="K88" s="112"/>
      <c r="L88" s="112"/>
      <c r="M88" s="114"/>
      <c r="N88" s="96"/>
      <c r="O88" s="97"/>
      <c r="P88" s="7"/>
      <c r="S88" s="5"/>
      <c r="Y88" s="1"/>
      <c r="Z88" s="1"/>
      <c r="AA88" s="1"/>
      <c r="AB88" s="1"/>
    </row>
    <row r="89" spans="1:28" ht="14.45" customHeight="1" x14ac:dyDescent="0.25">
      <c r="A89" s="124"/>
      <c r="B89" s="125"/>
      <c r="C89" s="110"/>
      <c r="D89" s="111"/>
      <c r="E89" s="111"/>
      <c r="F89" s="112"/>
      <c r="G89" s="112"/>
      <c r="H89" s="112"/>
      <c r="I89" s="112"/>
      <c r="J89" s="112"/>
      <c r="K89" s="112"/>
      <c r="L89" s="112"/>
      <c r="M89" s="114"/>
      <c r="N89" s="96"/>
      <c r="O89" s="97"/>
      <c r="S89" s="5"/>
      <c r="Y89" s="1"/>
      <c r="Z89" s="1"/>
      <c r="AA89" s="1"/>
      <c r="AB89" s="1"/>
    </row>
    <row r="90" spans="1:28" x14ac:dyDescent="0.25">
      <c r="A90" s="124"/>
      <c r="B90" s="125"/>
      <c r="C90" s="110" t="s">
        <v>150</v>
      </c>
      <c r="D90" s="111" t="s">
        <v>151</v>
      </c>
      <c r="E90" s="111"/>
      <c r="F90" s="113" t="s">
        <v>152</v>
      </c>
      <c r="G90" s="113"/>
      <c r="H90" s="113" t="s">
        <v>82</v>
      </c>
      <c r="I90" s="113" t="s">
        <v>152</v>
      </c>
      <c r="J90" s="113"/>
      <c r="K90" s="112">
        <f>IF(AND(N84=0,O84=0),INDEX(AS19:AV19,MATCH(Q7,AS2:AV2,0)),IF(OR(Q7="2021 - 2018 IPC",Q7="2009 - 2015 IPC"),ROUNDUP(((N84+O84)/15),0),IF(OR(Q7="upc",Q7="California"),ROUNDUP(((N84+O84)/20),0))))</f>
        <v>1</v>
      </c>
      <c r="L90" s="112" t="str">
        <f>IF(AND(AND(Q7="2009 - 2015 ipc"),OR(N90&gt;0,O90&gt;0),N90+O90&lt;=15),"15 or less Fountain exempt(IPC 410.2)",IF(AND(AND(Q7="2021 - 2018 ipc"),OR(N90&gt;0,O90&gt;0),N90+O90&lt;=15),"15 or less Fountain exempt(IPC 410.2)",IF(AND(OR(Q7="2009 - 2015 ipc",Q7="2021 - 2018 ipc"),Q12&lt;=15),"15 or less Fountain exempt(IPC 410.2)",IF(AND(AND(Q7="UPC"),OR(N90&gt;0,O90&gt;0),N90+O90&lt;=30),"30 or less Fountain exempt(UPC 415.2)",IF(AND(AND(Q7="california"),OR(N90&gt;0,O90&gt;0),N90+O90&lt;=30),"30 or less Fountain exempt(CPC 415.2)",IF(AND(OR(Q7="UPC",Q7="CAlifornia"),Q12&lt;=30),"30 or less Fountain exempt(UPC / CPC 415.2)","1 per 150"))))))</f>
        <v>30 or less Fountain exempt(UPC / CPC 415.2)</v>
      </c>
      <c r="M90" s="107" t="s">
        <v>83</v>
      </c>
      <c r="N90" s="96">
        <v>0</v>
      </c>
      <c r="O90" s="97">
        <v>0</v>
      </c>
      <c r="S90" s="5"/>
      <c r="Y90" s="1"/>
      <c r="Z90" s="1"/>
      <c r="AA90" s="1"/>
      <c r="AB90" s="1"/>
    </row>
    <row r="91" spans="1:28" x14ac:dyDescent="0.25">
      <c r="A91" s="124"/>
      <c r="B91" s="125"/>
      <c r="C91" s="110"/>
      <c r="D91" s="111"/>
      <c r="E91" s="111"/>
      <c r="F91" s="113"/>
      <c r="G91" s="113"/>
      <c r="H91" s="113"/>
      <c r="I91" s="113"/>
      <c r="J91" s="113"/>
      <c r="K91" s="112"/>
      <c r="L91" s="112"/>
      <c r="M91" s="108"/>
      <c r="N91" s="96"/>
      <c r="O91" s="97"/>
      <c r="S91" s="5"/>
      <c r="Y91" s="1"/>
      <c r="Z91" s="1"/>
      <c r="AA91" s="1"/>
      <c r="AB91" s="1"/>
    </row>
    <row r="92" spans="1:28" x14ac:dyDescent="0.25">
      <c r="A92" s="124"/>
      <c r="B92" s="125"/>
      <c r="C92" s="110"/>
      <c r="D92" s="111"/>
      <c r="E92" s="111"/>
      <c r="F92" s="113"/>
      <c r="G92" s="113"/>
      <c r="H92" s="113"/>
      <c r="I92" s="113"/>
      <c r="J92" s="113"/>
      <c r="K92" s="112"/>
      <c r="L92" s="112"/>
      <c r="M92" s="109"/>
      <c r="N92" s="96"/>
      <c r="O92" s="97"/>
      <c r="S92" s="5"/>
      <c r="Y92" s="1"/>
      <c r="Z92" s="1"/>
      <c r="AA92" s="1"/>
      <c r="AB92" s="1"/>
    </row>
    <row r="93" spans="1:28" ht="14.45" customHeight="1" x14ac:dyDescent="0.25">
      <c r="A93" s="124"/>
      <c r="B93" s="125"/>
      <c r="C93" s="110"/>
      <c r="D93" s="111" t="s">
        <v>153</v>
      </c>
      <c r="E93" s="111"/>
      <c r="F93" s="112">
        <f>IF(AND(AND(Q7="2009 - 2015 ipc"),OR(N93&gt;0,O93&gt;0),N93+O93&lt;=15),"Single restroom okay for 15 or less (IBC 2902.2(2))",IF(AND(AND(Q7="2021 - 2018 ipc"),OR(N93&gt;0,O93&gt;0),N93+O93&lt;=15),"Single restroom okay for 15 or less (IBC 2902.2(2))",IF(AND(AND(Q7="UPC"),OR(N93&gt;0,O93&gt;0),N93+O93&lt;=10),"Single restroom okay for 10 or less (422.2(2))",IF(AND(AND(Q7="california"),OR(N93&gt;0,O93&gt;0),N93+O93&lt;=10),"Single restroom okay for 10 or less (422.2(2))",IF(AND(OR(Q7="2009 - 2015 ipc",Q7="2021 - 2018 ipc"),Q12&lt;=15),"Single restroom okay for 15 or less (IBC 2902.2(2))",IF(AND(OR(Q7="UPC",Q7="CAlifornia"),Q12&lt;=10),"Single restroom okay for 10 or less (422.2(2))",IF(N93=0,INDEX(W17:Z17,MATCH(Q7,W2:Z2,0)),IF(OR(Q7="2021 - 2018 IPC",Q7="2009 - 2015 IPC"),ROUNDUP((N93/25),0),IF(OR(Q7="UPC",Q7="California"),IF(AND(N93&gt;0,N93&lt;=15),1,IF(AND(N93&gt;15,N93&lt;=35),2,IF(AND(N93&gt;35,N93&lt;=55),3,IF(N93&gt;55,(ROUNDUP(N93/40,1))+2,0)))))))))))))</f>
        <v>1</v>
      </c>
      <c r="G93" s="112">
        <f>IF(AND(AND(Q7="2009 - 2015 ipc"),OR(N93&gt;0,O93&gt;0),N93+O93&lt;=15),"-",IF(AND(AND(Q7="2021 - 2018 ipc"),OR(N93&gt;0,O93&gt;0),N93+O93&lt;=15),"-",IF(AND(AND(Q7="UPC"),OR(N93&gt;0,O93&gt;0),N93+O93&lt;=10),"-",IF(AND(AND(Q7="california"),OR(N93&gt;0,O93&gt;0),N93+O93&lt;=10),"-",IF(AND(OR(Q7="2009 - 2015 ipc",Q7="2021 - 2018 ipc"),Q12&lt;=15),"-",IF(AND(OR(Q7="UPC",Q7="CAlifornia"),Q12&lt;=10),"-",IF(O93=0,INDEX(AC17:AF17,MATCH(Q7,AC2:AF2,0)),IF(OR(Q7="2021 - 2018 IPC",Q7="2009 - 2015 IPC"),ROUNDUP((O93/25),0),IF(OR(Q7="UPC",Q7="California"),IF(AND(O93&gt;0,O93&lt;=15),1,IF(AND(O93&gt;15,O93&lt;=35),2,IF(AND(O93&gt;35,O93&lt;=55),3,IF(O93&gt;55,(ROUNDUP(O93/40,1))+2,0)))))))))))))</f>
        <v>1</v>
      </c>
      <c r="H93" s="112" t="s">
        <v>82</v>
      </c>
      <c r="I93" s="112">
        <f>IF(N93=0,INDEX(AG17:AJ17,MATCH(Q7,AG2:AJ2,0)),IF(OR(Q7="2021 - 2018 IPC",Q7="2009 - 2015 IPC"),ROUNDUP((N93/35),0),IF(OR(Q7="upc",Q7="California"),ROUNDUP((N93/40),0))))</f>
        <v>1</v>
      </c>
      <c r="J93" s="112">
        <f>IF(O93=0,INDEX(AK17:AN17,MATCH(Q7,AK2:AN2,0)),IF(OR(Q7="2021 - 2018 IPC",Q7="2009 - 2015 IPC"),ROUNDUP((O93/35),0),IF(OR(Q7="upc",Q7="California"),ROUNDUP((O93/40),0))))</f>
        <v>1</v>
      </c>
      <c r="K93" s="112" t="s">
        <v>82</v>
      </c>
      <c r="L93" s="112" t="str">
        <f>IF(AND(AND(Q7="2009 - 2015 ipc"),OR(N93&gt;0,O93&gt;0),N93+O93&lt;=15),"15 or less Fountain exempt(IPC 410.2)",IF(AND(AND(Q7="2021 - 2018 ipc"),OR(N93&gt;0,O93&gt;0),N93+O93&lt;=15),"15 or less Fountain exempt(IPC 410.2)",IF(AND(OR(Q7="2009 - 2015 ipc",Q7="2021 - 2018 ipc"),Q12&lt;=15),"15 or less Fountain exempt(IPC 410.2)",IF(AND(AND(Q7="UPC"),OR(N93&gt;0,O93&gt;0),N93+O93&lt;=30),"30 or less Fountain exempt(UPC 415.2)",IF(AND(AND(Q7="california"),OR(N93&gt;0,O93&gt;0),N93+O93&lt;=30),"30 or less Fountain exempt(CPC 415.2)",IF(AND(OR(Q7="UPC",Q7="CAlifornia"),Q12&lt;=30),"30 or less Fountain exempt(UPC / CPC 415.2)",IF(OR(N93=0,O93=0),INDEX(AO17:AR17,MATCH(Q7,AO2:AR2,0)),0)))))))</f>
        <v>30 or less Fountain exempt(UPC / CPC 415.2)</v>
      </c>
      <c r="M93" s="114" t="s">
        <v>82</v>
      </c>
      <c r="N93" s="96">
        <v>0</v>
      </c>
      <c r="O93" s="97">
        <v>0</v>
      </c>
    </row>
    <row r="94" spans="1:28" x14ac:dyDescent="0.25">
      <c r="A94" s="124"/>
      <c r="B94" s="125"/>
      <c r="C94" s="110"/>
      <c r="D94" s="111"/>
      <c r="E94" s="111"/>
      <c r="F94" s="112"/>
      <c r="G94" s="112"/>
      <c r="H94" s="112"/>
      <c r="I94" s="112"/>
      <c r="J94" s="112"/>
      <c r="K94" s="112"/>
      <c r="L94" s="112"/>
      <c r="M94" s="114"/>
      <c r="N94" s="96"/>
      <c r="O94" s="97"/>
    </row>
    <row r="95" spans="1:28" x14ac:dyDescent="0.25">
      <c r="A95" s="124"/>
      <c r="B95" s="125"/>
      <c r="C95" s="110"/>
      <c r="D95" s="111"/>
      <c r="E95" s="111"/>
      <c r="F95" s="112"/>
      <c r="G95" s="112"/>
      <c r="H95" s="112"/>
      <c r="I95" s="112"/>
      <c r="J95" s="112"/>
      <c r="K95" s="112"/>
      <c r="L95" s="112"/>
      <c r="M95" s="114"/>
      <c r="N95" s="96"/>
      <c r="O95" s="97"/>
    </row>
    <row r="96" spans="1:28" x14ac:dyDescent="0.25">
      <c r="A96" s="124"/>
      <c r="B96" s="125"/>
      <c r="C96" s="110"/>
      <c r="D96" s="111" t="s">
        <v>154</v>
      </c>
      <c r="E96" s="111"/>
      <c r="F96" s="112" t="str">
        <f>IF(AND(AND(Q7="2009 - 2015 ipc"),OR(N96&gt;0,O96&gt;0),N96+O96&lt;=15),"Single restroom okay for 15 or less (IBC 2902.2(2))",IF(AND(AND(Q7="2021 - 2018 ipc"),OR(N96&gt;0,O96&gt;0),N96+O96&lt;=15),"Single restroom okay for 15 or less (IBC 2902.2(2))",IF(AND(OR(Q7="2009 - 2015 ipc",Q7="2021 - 2018 ipc"),Q12&lt;=15),"Single restroom okay for 15 or less (IBC 2902.2(2))",IF(N96=0,INDEX(W18:Z18,MATCH(Q7,W2:Z2,0)),IF(OR(Q7="2021 - 2018 IPC",Q7="2009 - 2015 IPC"),ROUNDUP((N96/75),0),IF(OR(Q7="UPC",Q7="California"),"N/A",0))))))</f>
        <v>-</v>
      </c>
      <c r="G96" s="112" t="str">
        <f>IF(AND(AND(Q7="2009 - 2015 ipc"),OR(N96&gt;0,O96&gt;0),N96+O96&lt;=15),"-",IF(AND(AND(Q7="2021 - 2018 ipc"),OR(N96&gt;0,O96&gt;0),N96+O96&lt;=15),"-",IF(AND(AND(Q7="UPC"),OR(N96&gt;0,O96&gt;0),N96+O96&lt;=10),"-",IF(AND(AND(Q7="california"),OR(N96&gt;0,O96&gt;0),N96+O96&lt;=10),"-",IF(AND(OR(Q7="2009 - 2015 ipc",Q7="2021 - 2018 ipc"),Q12&lt;=15),"-",IF(AND(OR(Q7="UPC",Q7="CAlifornia"),Q12&lt;=10),"-",IF(O96=0,INDEX(AC18:AF18,MATCH(Q7,AC2:AF2,0)),IF(OR(Q7="2021 - 2018 IPC",Q7="2009 - 2015 IPC"),ROUNDUP((O96/75),0),IF(OR(Q7="UPC",Q7="California"),"N/A",0)))))))))</f>
        <v>-</v>
      </c>
      <c r="H96" s="112" t="s">
        <v>82</v>
      </c>
      <c r="I96" s="112" t="str">
        <f>IF(N96=0,INDEX(AG18:AJ18,MATCH(Q7,AG2:AJ2,0)),IF(OR(Q7="2021 - 2018 IPC",Q7="2009 - 2015 IPC"),ROUNDUP((N96/100),0),IF(OR(Q7="upc",Q7="California"),"-",0)))</f>
        <v>-</v>
      </c>
      <c r="J96" s="112" t="str">
        <f>IF(O96=0,INDEX(AK18:AN18,MATCH(Q7,AK2:AN2,0)),IF(OR(Q7="2021 - 2018 IPC",Q7="2009 - 2015 IPC"),ROUNDUP((O96/100),0),IF(OR(Q7="upc",Q7="California"),"-",0)))</f>
        <v>-</v>
      </c>
      <c r="K96" s="112" t="s">
        <v>82</v>
      </c>
      <c r="L96" s="112" t="str">
        <f>IF(AND(AND(Q7="2009 - 2015 ipc"),OR(N96&gt;0,O96&gt;0),N96+O96&lt;=15),"15 or less Fountain exempt(IPC 410.2)",IF(AND(AND(Q7="2021 - 2018 ipc"),OR(N96&gt;0,O96&gt;0),N96+O96&lt;=15),"15 or less Fountain exempt(IPC 410.2)",IF(AND(OR(Q7="2009 - 2015 ipc",Q7="2021 - 2018 ipc"),Q12&lt;=15),"15 or less Fountain exempt(IPC 410.2)",IF(AND(AND(Q7="UPC"),OR(N96&gt;0,O96&gt;0),N96+O96&lt;=30),"30 or less Fountain exempt(UPC 415.2)",IF(AND(AND(Q7="california"),OR(N96&gt;0,O96&gt;0),N96+O96&lt;=30),"30 or less Fountain exempt(CPC 415.2)",IF(AND(OR(Q7="UPC",Q7="CAlifornia"),Q12&lt;=30),"30 or less Fountain exempt(UPC / CPC 415.2)",IF(OR(N96=0,O96=0),INDEX(AO18:AR18,MATCH(Q7,AO2:AR2,0)),0)))))))</f>
        <v>30 or less Fountain exempt(UPC / CPC 415.2)</v>
      </c>
      <c r="M96" s="114" t="s">
        <v>82</v>
      </c>
      <c r="N96" s="96">
        <v>0</v>
      </c>
      <c r="O96" s="97">
        <v>0</v>
      </c>
    </row>
    <row r="97" spans="1:15" x14ac:dyDescent="0.25">
      <c r="A97" s="124"/>
      <c r="B97" s="125"/>
      <c r="C97" s="110"/>
      <c r="D97" s="111"/>
      <c r="E97" s="111"/>
      <c r="F97" s="112"/>
      <c r="G97" s="112"/>
      <c r="H97" s="112"/>
      <c r="I97" s="112"/>
      <c r="J97" s="112"/>
      <c r="K97" s="112"/>
      <c r="L97" s="112"/>
      <c r="M97" s="114"/>
      <c r="N97" s="96"/>
      <c r="O97" s="97"/>
    </row>
    <row r="98" spans="1:15" x14ac:dyDescent="0.25">
      <c r="A98" s="124"/>
      <c r="B98" s="125"/>
      <c r="C98" s="110"/>
      <c r="D98" s="111"/>
      <c r="E98" s="111"/>
      <c r="F98" s="112"/>
      <c r="G98" s="112"/>
      <c r="H98" s="112"/>
      <c r="I98" s="112"/>
      <c r="J98" s="112"/>
      <c r="K98" s="112"/>
      <c r="L98" s="112"/>
      <c r="M98" s="114"/>
      <c r="N98" s="96"/>
      <c r="O98" s="97"/>
    </row>
    <row r="99" spans="1:15" x14ac:dyDescent="0.25">
      <c r="A99" s="124"/>
      <c r="B99" s="125"/>
      <c r="C99" s="110" t="s">
        <v>155</v>
      </c>
      <c r="D99" s="111" t="s">
        <v>156</v>
      </c>
      <c r="E99" s="111"/>
      <c r="F99" s="113" t="s">
        <v>157</v>
      </c>
      <c r="G99" s="113"/>
      <c r="H99" s="113" t="s">
        <v>82</v>
      </c>
      <c r="I99" s="113" t="s">
        <v>157</v>
      </c>
      <c r="J99" s="113"/>
      <c r="K99" s="112" t="s">
        <v>158</v>
      </c>
      <c r="L99" s="112" t="str">
        <f>IF(AND(AND(Q7="2009 - 2015 ipc"),OR(N99&gt;0,O99&gt;0),N99+O99&lt;=15),"15 or less Fountain exempt(IPC 410.2)",IF(AND(AND(Q7="2021 - 2018 ipc"),OR(N99&gt;0,O99&gt;0),N99+O99&lt;=15),"15 or less Fountain exempt(IPC 410.2)",IF(AND(OR(Q7="2009 - 2015 ipc",Q7="2021 - 2018 ipc"),Q12&lt;=15),"15 or less Fountain exempt(IPC 410.2)",IF(AND(AND(Q7="UPC"),OR(N99&gt;0,O99&gt;0),N99+O99&lt;=30),"30 or less Fountain exempt(UPC 415.2)",IF(AND(AND(Q7="california"),OR(N99&gt;0,O99&gt;0),N99+O99&lt;=30),"30 or less Fountain exempt(CPC 415.2)",IF(AND(OR(Q7="UPC",Q7="CAlifornia"),Q12&lt;=30),"30 or less Fountain exempt(UPC / CPC 415.2)","1 per 100"))))))</f>
        <v>30 or less Fountain exempt(UPC / CPC 415.2)</v>
      </c>
      <c r="M99" s="107" t="s">
        <v>83</v>
      </c>
      <c r="N99" s="96">
        <v>0</v>
      </c>
      <c r="O99" s="97">
        <v>0</v>
      </c>
    </row>
    <row r="100" spans="1:15" x14ac:dyDescent="0.25">
      <c r="A100" s="124"/>
      <c r="B100" s="125"/>
      <c r="C100" s="110"/>
      <c r="D100" s="111"/>
      <c r="E100" s="111"/>
      <c r="F100" s="113"/>
      <c r="G100" s="113"/>
      <c r="H100" s="113"/>
      <c r="I100" s="113"/>
      <c r="J100" s="113"/>
      <c r="K100" s="112"/>
      <c r="L100" s="112"/>
      <c r="M100" s="108"/>
      <c r="N100" s="96"/>
      <c r="O100" s="97"/>
    </row>
    <row r="101" spans="1:15" ht="14.45" customHeight="1" x14ac:dyDescent="0.25">
      <c r="A101" s="124"/>
      <c r="B101" s="125"/>
      <c r="C101" s="110"/>
      <c r="D101" s="111"/>
      <c r="E101" s="111"/>
      <c r="F101" s="113"/>
      <c r="G101" s="113"/>
      <c r="H101" s="113"/>
      <c r="I101" s="113"/>
      <c r="J101" s="113"/>
      <c r="K101" s="112"/>
      <c r="L101" s="112"/>
      <c r="M101" s="109"/>
      <c r="N101" s="96"/>
      <c r="O101" s="97"/>
    </row>
    <row r="102" spans="1:15" x14ac:dyDescent="0.25">
      <c r="A102" s="124"/>
      <c r="B102" s="125"/>
      <c r="C102" s="110"/>
      <c r="D102" s="111" t="s">
        <v>159</v>
      </c>
      <c r="E102" s="111"/>
      <c r="F102" s="112" t="str">
        <f>IF(AND(AND(Q7="2009 - 2015 ipc"),OR(N102&gt;0,O102&gt;0),N102+O102&lt;=15),"Single restroom okay for 15 or less (IBC 2902.2(2))",IF(AND(AND(Q7="2021 - 2018 ipc"),OR(N102&gt;0,O102&gt;0),N102+O102&lt;=15),"Single restroom okay for 15 or less (IBC 2902.2(2))",IF(AND(OR(Q7="2009 - 2015 ipc",Q7="2021 - 2018 ipc"),Q12&lt;=15),"Single restroom okay for 15 or less (IBC 2902.2(2))",IF(N102=0,INDEX(W19:Z19,MATCH(Q7,W2:Z2,0)),IF(OR(Q7="2021 - 2018 IPC",Q7="2009 - 2015 IPC"),ROUNDUP((N102/15),0),IF(OR(Q7="UPC",Q7="California"),"N/A",0))))))</f>
        <v>-</v>
      </c>
      <c r="G102" s="112" t="str">
        <f>IF(AND(AND(Q7="2009 - 2015 ipc"),OR(N102&gt;0,O102&gt;0),N102+O102&lt;=15),"-",IF(AND(AND(Q7="2021 - 2018 ipc"),OR(N102&gt;0,O102&gt;0),N102+O102&lt;=15),"-",IF(AND(OR(Q7="2009 - 2015 ipc",Q7="2021 - 2018 ipc"),Q12&lt;=15),"-",IF(AND(OR(Q7="UPC",Q7="CAlifornia"),Q12&lt;=10),"-",IF(O102=0,INDEX(AC19:AF19,MATCH(Q7,AC2:AF2,0)),IF(OR(Q7="2021 - 2018 IPC",Q7="2009 - 2015 IPC"),ROUNDUP((O102/15),0),IF(OR(Q7="UPC",Q7="California"),"N/A",0)))))))</f>
        <v>-</v>
      </c>
      <c r="H102" s="112" t="s">
        <v>82</v>
      </c>
      <c r="I102" s="112" t="str">
        <f>IF(N102=0,INDEX(AG19:AJ19,MATCH(Q7,AG2:AJ2,0)),IF(OR(Q7="2021 - 2018 IPC",Q7="2009 - 2015 IPC"),ROUNDUP((N102/15),0),IF(OR(Q7="upc",Q7="California"),"-",0)))</f>
        <v>-</v>
      </c>
      <c r="J102" s="112" t="str">
        <f>IF(O102=0,INDEX(AK19:AN19,MATCH(Q7,AK2:AN2,0)),IF(OR(Q7="2021 - 2018 IPC",Q7="2009 - 2015 IPC"),ROUNDUP((O102/15),0),IF(OR(Q7="upc",Q7="California"),"-",0)))</f>
        <v>-</v>
      </c>
      <c r="K102" s="112">
        <f>IF(AND(N84=0,O84=0),INDEX(AS19:AV19,MATCH(Q7,AS2:AV2,0)),IF(OR(Q7="2021 - 2018 IPC",Q7="2009 - 2015 IPC"),ROUNDUP(((N84+O84)/15),0),IF(OR(Q7="upc",Q7="California"),ROUNDUP(((N84+O84)/20),0))))</f>
        <v>1</v>
      </c>
      <c r="L102" s="112" t="str">
        <f>IF(AND(AND(Q7="2009 - 2015 ipc"),OR(N102&gt;0,O102&gt;0),N102+O102&lt;=15),"15 or less Fountain exempt(IPC 410.2)",IF(AND(AND(Q7="2021 - 2018 ipc"),OR(N102&gt;0,O102&gt;0),N102+O102&lt;=15),"15 or less Fountain exempt(IPC 410.2)",IF(AND(OR(Q7="2009 - 2015 ipc",Q7="2021 - 2018 ipc"),Q12&lt;=15),"15 or less Fountain exempt(IPC 410.2)",IF(AND(AND(Q7="UPC"),OR(N102&gt;0,O102&gt;0),N102+O102&lt;=30),"30 or less Fountain exempt(UPC 415.2)",IF(AND(AND(Q7="california"),OR(N102&gt;0,O102&gt;0),N102+O102&lt;=30),"30 or less Fountain exempt(CPC 415.2)",IF(AND(OR(Q7="UPC",Q7="CAlifornia"),Q12&lt;=30),"30 or less Fountain exempt(UPC / CPC 415.2)",IF(OR(N102=0,O102=0),INDEX(AO19:AR19,MATCH(Q7,AO2:AR2,0)),0)))))))</f>
        <v>30 or less Fountain exempt(UPC / CPC 415.2)</v>
      </c>
      <c r="M102" s="114" t="s">
        <v>83</v>
      </c>
      <c r="N102" s="96">
        <v>0</v>
      </c>
      <c r="O102" s="97">
        <v>0</v>
      </c>
    </row>
    <row r="103" spans="1:15" x14ac:dyDescent="0.25">
      <c r="A103" s="124"/>
      <c r="B103" s="125"/>
      <c r="C103" s="110"/>
      <c r="D103" s="111"/>
      <c r="E103" s="111"/>
      <c r="F103" s="112"/>
      <c r="G103" s="112"/>
      <c r="H103" s="112"/>
      <c r="I103" s="112"/>
      <c r="J103" s="112"/>
      <c r="K103" s="112"/>
      <c r="L103" s="112"/>
      <c r="M103" s="114"/>
      <c r="N103" s="96"/>
      <c r="O103" s="97"/>
    </row>
    <row r="104" spans="1:15" x14ac:dyDescent="0.25">
      <c r="A104" s="124"/>
      <c r="B104" s="125"/>
      <c r="C104" s="110"/>
      <c r="D104" s="111"/>
      <c r="E104" s="111"/>
      <c r="F104" s="112"/>
      <c r="G104" s="112"/>
      <c r="H104" s="112"/>
      <c r="I104" s="112"/>
      <c r="J104" s="112"/>
      <c r="K104" s="112"/>
      <c r="L104" s="112"/>
      <c r="M104" s="114"/>
      <c r="N104" s="96"/>
      <c r="O104" s="97"/>
    </row>
    <row r="105" spans="1:15" x14ac:dyDescent="0.25">
      <c r="A105" s="124"/>
      <c r="B105" s="125"/>
      <c r="C105" s="110"/>
      <c r="D105" s="111"/>
      <c r="E105" s="111"/>
      <c r="F105" s="112"/>
      <c r="G105" s="112"/>
      <c r="H105" s="112"/>
      <c r="I105" s="112"/>
      <c r="J105" s="112"/>
      <c r="K105" s="112"/>
      <c r="L105" s="112"/>
      <c r="M105" s="114"/>
      <c r="N105" s="96"/>
      <c r="O105" s="97"/>
    </row>
    <row r="106" spans="1:15" ht="14.45" customHeight="1" x14ac:dyDescent="0.25">
      <c r="A106" s="124"/>
      <c r="B106" s="125"/>
      <c r="C106" s="110"/>
      <c r="D106" s="111" t="s">
        <v>160</v>
      </c>
      <c r="E106" s="111"/>
      <c r="F106" s="112">
        <f>IF(AND(AND(Q7="2009 - 2015 ipc"),OR(N106&gt;0,O106&gt;0),N106+O106&lt;=15),"Single restroom okay for 15 or less (IBC 2902.2(2))",IF(AND(AND(Q7="2021 - 2018 ipc"),OR(N106&gt;0,O106&gt;0),N106+O106&lt;=15),"Single restroom okay for 15 or less (IBC 2902.2(2))",IF(AND(AND(Q7="UPC"),OR(N106&gt;0,O106&gt;0),N106+O106&lt;=10),"Single restroom okay for 10 or less (422.2(2))",IF(AND(AND(Q7="california"),OR(N106&gt;0,O106&gt;0),N106+O106&lt;=10),"Single restroom okay for 10 or less (422.2(2))",IF(AND(OR(Q7="2009 - 2015 ipc",Q7="2021 - 2018 ipc"),Q12&lt;=15),"Single restroom okay for 15 or less (IBC 2902.2(2))",IF(AND(OR(Q7="UPC",Q7="CAlifornia"),Q12&lt;=10),"Single restroom okay for 10 or less (422.2(2))",IF(N106=0,INDEX(W20:Z20,MATCH(Q7,W2:Z2,0)),IF(OR(Q7="2021 - 2018 IPC",Q7="2009 - 2015 IPC"),ROUNDUP((N106/25),0),IF(OR(Q7="UPC",Q7="California"),IF(AND(N106&gt;0,N106&lt;=15),1,IF(AND(N106&gt;15,N106&lt;=35),2,IF(AND(N106&gt;35,N106&lt;=55),3,IF(N106&gt;55,(ROUNDUP(N106/40,1))+2,0)))))))))))))</f>
        <v>1</v>
      </c>
      <c r="G106" s="112">
        <f>IF(AND(AND(Q7="2009 - 2015 ipc"),OR(N106&gt;0,O106&gt;0),N106+O106&lt;=15),"-",IF(AND(AND(Q7="2021 - 2018 ipc"),OR(N106&gt;0,O106&gt;0),N106+O106&lt;=15),"-",IF(AND(AND(Q7="UPC"),OR(N106&gt;0,O106&gt;0),N106+O106&lt;=10),"-",IF(AND(AND(Q7="california"),OR(N106&gt;0,O106&gt;0),N106+O106&lt;=10),"-",IF(AND(OR(Q7="2009 - 2015 ipc",Q7="2021 - 2018 ipc"),Q12&lt;=15),"-",IF(AND(OR(Q7="UPC",Q7="CAlifornia"),Q12&lt;=10),"-",IF(O106=0,INDEX(AC20:AF20,MATCH(Q7,AC2:AF2,0)),IF(OR(Q7="2021 - 2018 IPC",Q7="2009 - 2015 IPC"),ROUNDUP((O106/25),0),IF(OR(Q7="UPC",Q7="California"),IF(AND(O106&gt;0,O106&lt;=15),1,IF(AND(O106&gt;15,O106&lt;=35),2,IF(AND(O106&gt;35,O106&lt;=55),3,IF(O106&gt;55,(ROUNDUP(O106/40,1))+2,0)))))))))))))</f>
        <v>1</v>
      </c>
      <c r="H106" s="112" t="s">
        <v>82</v>
      </c>
      <c r="I106" s="112">
        <f>IF(N106=0,INDEX(AG20:AJ20,MATCH(Q7,AG2:AJ2,0)),IF(OR(Q7="2021 - 2018 IPC",Q7="2009 - 2015 IPC"),ROUNDUP((N106/35),0),IF(OR(Q7="upc",Q7="California"),ROUNDUP((N106/40),0),0)))</f>
        <v>1</v>
      </c>
      <c r="J106" s="112">
        <f>IF(O106=0,INDEX(AK20:AN20,MATCH(Q7,AK2:AN2,0)),IF(OR(Q7="2021 - 2018 IPC",Q7="2009 - 2015 IPC"),ROUNDUP((O106/35),0),IF(OR(Q7="upc",Q7="California"),ROUNDUP((O106/40),0),0)))</f>
        <v>1</v>
      </c>
      <c r="K106" s="112" t="s">
        <v>82</v>
      </c>
      <c r="L106" s="112" t="str">
        <f>IF(AND(AND(Q7="2009 - 2015 ipc"),OR(N106&gt;0,O106&gt;0),N106+O106&lt;=15),"15 or less Fountain exempt(IPC 410.2)",IF(AND(AND(Q7="2021 - 2018 ipc"),OR(N106&gt;0,O106&gt;0),N106+O106&lt;=15),"15 or less Fountain exempt(IPC 410.2)",IF(AND(OR(Q7="2009 - 2015 ipc",Q7="2021 - 2018 ipc"),Q12&lt;=15),"15 or less Fountain exempt(IPC 410.2)",IF(AND(AND(Q7="UPC"),OR(N106&gt;0,O106&gt;0),N106+O106&lt;=30),"30 or less Fountain exempt(UPC 415.2)",IF(AND(AND(Q7="california"),OR(N106&gt;0,O106&gt;0),N106+O106&lt;=30),"30 or less Fountain exempt(CPC 415.2)",IF(AND(OR(Q7="UPC",Q7="CAlifornia"),Q12&lt;=30),"30 or less Fountain exempt(UPC / CPC 415.2)",IF(OR(N106=0,O106=0),INDEX(AO20:AR20,MATCH(Q7,AO2:AR2,0)),0)))))))</f>
        <v>30 or less Fountain exempt(UPC / CPC 415.2)</v>
      </c>
      <c r="M106" s="114" t="s">
        <v>82</v>
      </c>
      <c r="N106" s="96">
        <v>0</v>
      </c>
      <c r="O106" s="97">
        <v>0</v>
      </c>
    </row>
    <row r="107" spans="1:15" x14ac:dyDescent="0.25">
      <c r="A107" s="124"/>
      <c r="B107" s="125"/>
      <c r="C107" s="110"/>
      <c r="D107" s="111"/>
      <c r="E107" s="111"/>
      <c r="F107" s="112"/>
      <c r="G107" s="112"/>
      <c r="H107" s="112"/>
      <c r="I107" s="112"/>
      <c r="J107" s="112"/>
      <c r="K107" s="112"/>
      <c r="L107" s="112"/>
      <c r="M107" s="114"/>
      <c r="N107" s="96"/>
      <c r="O107" s="97"/>
    </row>
    <row r="108" spans="1:15" x14ac:dyDescent="0.25">
      <c r="A108" s="124"/>
      <c r="B108" s="125"/>
      <c r="C108" s="110"/>
      <c r="D108" s="111"/>
      <c r="E108" s="111"/>
      <c r="F108" s="112"/>
      <c r="G108" s="112"/>
      <c r="H108" s="112"/>
      <c r="I108" s="112"/>
      <c r="J108" s="112"/>
      <c r="K108" s="112"/>
      <c r="L108" s="112"/>
      <c r="M108" s="114"/>
      <c r="N108" s="96"/>
      <c r="O108" s="97"/>
    </row>
    <row r="109" spans="1:15" x14ac:dyDescent="0.25">
      <c r="A109" s="124"/>
      <c r="B109" s="125"/>
      <c r="C109" s="110" t="s">
        <v>161</v>
      </c>
      <c r="D109" s="111" t="s">
        <v>162</v>
      </c>
      <c r="E109" s="111"/>
      <c r="F109" s="112">
        <f>IF(AND(AND(Q7="2009 - 2015 ipc"),OR(N109&gt;0,O109&gt;0),N109+O109&lt;=15),"Single restroom okay for 15 or less (IBC 2902.2(2))",IF(AND(AND(Q7="2021 - 2018 ipc"),OR(N109&gt;0,O109&gt;0),N109+O109&lt;=15),"Single restroom okay for 15 or less (IBC 2902.2(2))",IF(AND(AND(Q7="UPC"),OR(N109&gt;0,O109&gt;0),N109+O109&lt;=10),"Single restroom okay for 10 or less (422.2(2))",IF(AND(AND(Q7="california"),OR(N109&gt;0,O109&gt;0),N109+O109&lt;=10),"Single restroom okay for 10 or less (422.2(2))",IF(AND(OR(Q7="2009 - 2015 ipc",Q7="2021 - 2018 ipc"),Q12&lt;=15),"Single restroom okay for 15 or less (IBC 2902.2(2))",IF(AND(OR(Q7="UPC",Q7="CAlifornia"),Q12&lt;=10),"Single restroom okay for 10 or less (422.2(2))",IF(N109=0,INDEX(W21:Z21,MATCH(Q7,W2:Z2,0)),IF(OR(Q7="2021 - 2018 IPC",Q7="2009 - 2015 IPC"),ROUNDUP((N109/15),0),IF(OR(Q7="UPC",Q7="California"),IF(AND(N109&gt;0,N109&lt;=15),1,IF(AND(N109&gt;15,N109&lt;=35),2,IF(AND(N109&gt;35,N109&lt;=55),3,IF(N109&gt;55,(ROUNDUP(N109/40,1))+2,0)))))))))))))</f>
        <v>1</v>
      </c>
      <c r="G109" s="112">
        <f>IF(AND(AND(Q7="2009 - 2015 ipc"),OR(N109&gt;0,O109&gt;0),N109+O109&lt;=15),"-",IF(AND(AND(Q7="2021 - 2018 ipc"),OR(N109&gt;0,O109&gt;0),N109+O109&lt;=15),"-",IF(AND(AND(Q7="UPC"),OR(N109&gt;0,O109&gt;0),N109+O109&lt;=10),"-",IF(AND(AND(Q7="california"),OR(N109&gt;0,O109&gt;0),N109+O109&lt;=10),"-",IF(AND(OR(Q7="2009 - 2015 ipc",Q7="2021 - 2018 ipc"),Q12&lt;=15),"-",IF(AND(OR(Q7="UPC",Q7="CAlifornia"),Q12&lt;=10),"-",IF(O109=0,INDEX(AC21:AF21,MATCH(Q7,AC2:AF2,0)),IF(OR(Q7="2021 - 2018 IPC",Q7="2009 - 2015 IPC"),ROUNDUP((O109/15),0),IF(OR(Q7="UPC",Q7="California"),IF(AND(O109&gt;0,O109&lt;=15),1,IF(AND(O109&gt;15,O109&lt;=35),2,IF(AND(O109&gt;35,O109&lt;=55),3,IF(O109&gt;55,(ROUNDUP(O109/40,1))+2,0)))))))))))))</f>
        <v>1</v>
      </c>
      <c r="H109" s="112" t="s">
        <v>82</v>
      </c>
      <c r="I109" s="112">
        <f>IF(N109=0,INDEX(AG21:AJ21,MATCH(Q7,AG2:AJ2,0)),IF(OR(Q7="2021 - 2018 IPC",Q7="2009 - 2015 IPC"),ROUNDUP((N109/15),0),IF(OR(Q7="upc",Q7="California"),ROUNDUP((N109/40),0),0)))</f>
        <v>1</v>
      </c>
      <c r="J109" s="112">
        <f>IF(O109=0,INDEX(AK21:AN21,MATCH(Q7,AK2:AN2,0)),IF(OR(Q7="2021 - 2018 IPC",Q7="2009 - 2015 IPC"),ROUNDUP((O109/15),0),IF(OR(Q7="upc",Q7="California"),IF(OR(Q7="2021 - 2018 IPC",Q7="2009 - 2015 IPC"),ROUNDUP((O109/15),0),IF(OR(Q7="upc",Q7="California"),ROUNDUP((O109/40),0),0)))))</f>
        <v>1</v>
      </c>
      <c r="K109" s="112" t="str">
        <f>IF(AND(N84=0,O84=0),INDEX(AS21:AV21,MATCH(Q7,AS2:AV2,0)),IF(OR(Q7="2021 - 2018 IPC",Q7="2009 - 2015 IPC"),1,IF(OR(Q7="upc",Q7="California"),"-",0)))</f>
        <v>-</v>
      </c>
      <c r="L109" s="112" t="str">
        <f>IF(AND(AND(Q7="2009 - 2015 ipc"),OR(N109&gt;0,O109&gt;0),N109+O109&lt;=15),"15 or less Fountain exempt(IPC 410.2)",IF(AND(AND(Q7="2021 - 2018 ipc"),OR(N109&gt;0,O109&gt;0),N109+O109&lt;=15),"15 or less Fountain exempt(IPC 410.2)",IF(AND(OR(Q7="2009 - 2015 ipc",Q7="2021 - 2018 ipc"),Q12&lt;=15),"15 or less Fountain exempt(IPC 410.2)",IF(AND(AND(Q7="UPC"),OR(N109&gt;0,O109&gt;0),N109+O109&lt;=30),"30 or less Fountain exempt(UPC 415.2)",IF(AND(AND(Q7="california"),OR(N109&gt;0,O109&gt;0),N109+O109&lt;=30),"30 or less Fountain exempt(CPC 415.2)",IF(AND(OR(Q7="UPC",Q7="CAlifornia"),Q12&lt;=30),"30 or less Fountain exempt(UPC / CPC 415.2)",IF(OR(N109=0,O109=0),INDEX(AO21:AR21,MATCH(Q7,AO2:AR2,0)),0)))))))</f>
        <v>30 or less Fountain exempt(UPC / CPC 415.2)</v>
      </c>
      <c r="M109" s="107" t="s">
        <v>83</v>
      </c>
      <c r="N109" s="96">
        <v>0</v>
      </c>
      <c r="O109" s="97">
        <v>0</v>
      </c>
    </row>
    <row r="110" spans="1:15" x14ac:dyDescent="0.25">
      <c r="A110" s="124"/>
      <c r="B110" s="125"/>
      <c r="C110" s="110"/>
      <c r="D110" s="111"/>
      <c r="E110" s="111"/>
      <c r="F110" s="112"/>
      <c r="G110" s="112"/>
      <c r="H110" s="112"/>
      <c r="I110" s="112"/>
      <c r="J110" s="112"/>
      <c r="K110" s="112"/>
      <c r="L110" s="112"/>
      <c r="M110" s="108"/>
      <c r="N110" s="96"/>
      <c r="O110" s="97"/>
    </row>
    <row r="111" spans="1:15" ht="15.75" thickBot="1" x14ac:dyDescent="0.3">
      <c r="A111" s="126"/>
      <c r="B111" s="127"/>
      <c r="C111" s="110"/>
      <c r="D111" s="111"/>
      <c r="E111" s="111"/>
      <c r="F111" s="112"/>
      <c r="G111" s="112"/>
      <c r="H111" s="112"/>
      <c r="I111" s="112"/>
      <c r="J111" s="112"/>
      <c r="K111" s="112"/>
      <c r="L111" s="112"/>
      <c r="M111" s="109"/>
      <c r="N111" s="96"/>
      <c r="O111" s="97"/>
    </row>
    <row r="112" spans="1:15" x14ac:dyDescent="0.25">
      <c r="A112" s="80" t="s">
        <v>163</v>
      </c>
      <c r="B112" s="81"/>
      <c r="C112" s="110" t="s">
        <v>164</v>
      </c>
      <c r="D112" s="111" t="s">
        <v>165</v>
      </c>
      <c r="E112" s="111"/>
      <c r="F112" s="112" t="str">
        <f>IF(AND(AND(Q7="2009 - 2015 ipc"),OR(N112&gt;0,O112&gt;0),N112+O112&lt;=100),"Single restroom okay for 100 or less (IBC 2902.2(2))",IF(AND(AND(Q7="2021 - 2018 ipc"),OR(N112&gt;0,O112&gt;0),N112+O112&lt;=100),"Single restroom okay for 100 or less (IBC 2902.2(2))",IF(AND(AND(Q7="UPC"),OR(N112&gt;0,O112&gt;0),N112+O112&lt;=50),"Single restroom okay for 50 or less (422.2(2))",IF(AND(AND(Q7="california"),OR(N112&gt;0,O112&gt;0),N112+O112&lt;=50),"Single restroom okay for 50 or less (422.2(2))",IF(AND(OR(Q7="2009 - 2015 IPC",Q7="2021 - 2018 IPC"),Q12&lt;=100),"Single Restroom okay for 100 or less persons (IBC 2902.2(1))",IF(AND(Q12&lt;=50,Q7="UPC"),"Single Restroom okay for 50 or less persons (UPC 422.2(2))",IF(AND(Q12&lt;=50,Q7="CALIFORNIA"),"Single Restroom okay for 50 or less persons (CPC 422.2(3))",IF(N112=0,INDEX(W22:Z22,MATCH(Q7,W2:Z2,0)),IF(OR(Q7="2021 - 2018 IPC",Q7="2009 - 2015 IPC"),ROUNDUP((N112/500),0),IF(OR(Q7="UPC",Q7="California"),IF(AND(N112&gt;0,N112&lt;=100),1,IF(AND(N112&gt;100,N112&lt;=200),2,IF(AND(N112&gt;200,N112&lt;=400),3,IF(N112&gt;400,(ROUNDUP(N112/500,1))+3,0))))))))))))))</f>
        <v>Single Restroom okay for 50 or less persons (UPC 422.2(2))</v>
      </c>
      <c r="G112" s="112" t="str">
        <f>IF(AND(AND(Q7="2009 - 2015 ipc"),OR(N112&gt;0,O112&gt;0),N112+O112&lt;=100),"-",IF(AND(AND(Q7="2021 - 2018 ipc"),OR(N112&gt;0,O112&gt;0),N112+O112&lt;=100),"-",IF(AND(AND(Q7="UPC"),OR(N112&gt;0,O112&gt;0),N112+O112&lt;=50),"-",IF(AND(AND(Q7="california"),OR(N112&gt;0,O112&gt;0),N112+O112&lt;=50),"-",IF(AND(Q12&lt;=100,Q7="2009 - 2015 IPC"),"-",IF(AND(Q12&lt;=100,Q7="2021 - 2018 IPC"),"-",IF(AND(Q12&lt;=50,Q7="UPC"),"-",IF(AND(Q12&lt;=50,Q7="CALIFORNIA"),"-",IF(O112=0,INDEX(AC22:AF22,MATCH(Q7,AC2:AF2,0)),IF(OR(Q7="2021 - 2018 IPC",Q7="2009 - 2015 IPC"),ROUNDUP((O112/500),0),IF(OR(Q7="UPC",Q7="California"),IF(AND(O112&gt;0,O112&lt;=100),1,IF(AND(O112&gt;100,O112&lt;=200),2,IF(AND(O112&gt;200,O112&lt;=300),4,IF(AND(O112&gt;300,O112&lt;=400),5,IF(O112&gt;400,(ROUNDUP(O112/200,1))+4,0))))))))))))))))</f>
        <v>-</v>
      </c>
      <c r="H112" s="112" t="str">
        <f>IF(OR(Q7="UPC",Q7="California"),"Can substitute up to 67% of required fixtures","Can substitute up to 50% of required fixtures")</f>
        <v>Can substitute up to 67% of required fixtures</v>
      </c>
      <c r="I112" s="112">
        <f>IF(N112=0,INDEX(AG22:AJ22,MATCH(Q7,AG2:AJ2,0)),IF(OR(Q7="2021 - 2018 IPC",Q7="2009 - 2015 IPC"),ROUNDUP((N112/750),0),IF(OR(Q7="upc",Q7="California"),IF(AND(N112&gt;0,N112&lt;=200),1,IF(AND(N112&gt;200,N112&lt;=400),2,IF(N112&gt;400,(ROUNDUP(N112/500,1))+2,0))))))</f>
        <v>1</v>
      </c>
      <c r="J112" s="112">
        <f>IF(O112=0,INDEX(AK22:AN22,MATCH(Q7,AK2:AN2,0)),IF(OR(Q7="2021 - 2018 IPC",Q7="2009 - 2015 IPC"),ROUNDUP((O112/750),0),IF(OR(Q7="upc",Q7="California"),IF(AND(O112&gt;0,O112&lt;=200),1,IF(AND(O112&gt;200,O112&lt;=300),2,IF(AND(O112&gt;300,O112&lt;=400),3,IF(O112&gt;400,(ROUNDUP(O112/400,1))+2,0)))))))</f>
        <v>1</v>
      </c>
      <c r="K112" s="112" t="s">
        <v>82</v>
      </c>
      <c r="L112" s="120" t="str">
        <f>IF(AND(AND(Q7="2009 - 2015 ipc"),OR(N112&gt;0,O112&gt;0),N112+O112&lt;=15),"15 or less Fountain exempt(IPC 410.2)",IF(AND(AND(Q7="2021 - 2018 ipc"),OR(N112&gt;0,O112&gt;0),N112+O112&lt;=15),"15 or less Fountain exempt(IPC 410.2)",IF(AND(OR(Q7="2009 - 2015 ipc",Q7="2021 - 2018 ipc"),Q12&lt;=15),"15 or less Fountain exempt(IPC 410.2)",IF(AND(AND(Q7="UPC"),OR(N112&gt;0,O112&gt;0),N112+O112&lt;=30),"30 or less Fountain exempt(UPC 415.2)",IF(AND(AND(Q7="california"),OR(N112&gt;0,O112&gt;0),N112+O112&lt;=30),"30 or less Fountain exempt(CPC 415.2)",IF(AND(OR(Q7="UPC",Q7="CAlifornia"),Q12&lt;=30),"30 or less Fountain exempt(UPC / CPC 415.2)",IF(OR(N112=0,O112=0),INDEX(AO22:AR22,MATCH(Q7,AO2:AR2,0)),0)))))))</f>
        <v>30 or less Fountain exempt(UPC / CPC 415.2)</v>
      </c>
      <c r="M112" s="95" t="str">
        <f>IF(AND(AND(Q7="2009 - 2015 ipc"),OR(N112&gt;0,O112&gt;0),N112+O112&lt;=15),"15 or less Service sink exempt(IPC 2902.2(2))",IF(AND(AND(Q7="2021 - 2018 ipc"),OR(N112&gt;0,O112&gt;0),N112+O112&lt;=15),"15 or less Service sink exempt(IPC 2902.2(2))",IF(AND(OR(Q7="2009 - 2015 ipc",Q7="2021 - 2018 ipc"),Q12&lt;=15),"15 or less Service sink exempt(IPC 2902.2(2))","1 service sink")))</f>
        <v>1 service sink</v>
      </c>
      <c r="N112" s="96">
        <v>0</v>
      </c>
      <c r="O112" s="97">
        <v>0</v>
      </c>
    </row>
    <row r="113" spans="1:15" x14ac:dyDescent="0.25">
      <c r="A113" s="82"/>
      <c r="B113" s="83"/>
      <c r="C113" s="110"/>
      <c r="D113" s="111"/>
      <c r="E113" s="111"/>
      <c r="F113" s="112"/>
      <c r="G113" s="112"/>
      <c r="H113" s="112"/>
      <c r="I113" s="112"/>
      <c r="J113" s="112"/>
      <c r="K113" s="112"/>
      <c r="L113" s="120"/>
      <c r="M113" s="95"/>
      <c r="N113" s="96"/>
      <c r="O113" s="97"/>
    </row>
    <row r="114" spans="1:15" x14ac:dyDescent="0.25">
      <c r="A114" s="82"/>
      <c r="B114" s="83"/>
      <c r="C114" s="110"/>
      <c r="D114" s="111"/>
      <c r="E114" s="111"/>
      <c r="F114" s="112"/>
      <c r="G114" s="112"/>
      <c r="H114" s="112"/>
      <c r="I114" s="112"/>
      <c r="J114" s="112"/>
      <c r="K114" s="112"/>
      <c r="L114" s="120"/>
      <c r="M114" s="95"/>
      <c r="N114" s="96"/>
      <c r="O114" s="97"/>
    </row>
    <row r="115" spans="1:15" x14ac:dyDescent="0.25">
      <c r="A115" s="82"/>
      <c r="B115" s="83"/>
      <c r="C115" s="110"/>
      <c r="D115" s="111"/>
      <c r="E115" s="111"/>
      <c r="F115" s="112"/>
      <c r="G115" s="112"/>
      <c r="H115" s="112"/>
      <c r="I115" s="112"/>
      <c r="J115" s="112"/>
      <c r="K115" s="112"/>
      <c r="L115" s="120"/>
      <c r="M115" s="95"/>
      <c r="N115" s="96"/>
      <c r="O115" s="97"/>
    </row>
    <row r="116" spans="1:15" x14ac:dyDescent="0.25">
      <c r="A116" s="82"/>
      <c r="B116" s="83"/>
      <c r="C116" s="110"/>
      <c r="D116" s="111"/>
      <c r="E116" s="111"/>
      <c r="F116" s="112"/>
      <c r="G116" s="112"/>
      <c r="H116" s="112"/>
      <c r="I116" s="112"/>
      <c r="J116" s="112"/>
      <c r="K116" s="112"/>
      <c r="L116" s="120"/>
      <c r="M116" s="95"/>
      <c r="N116" s="96"/>
      <c r="O116" s="97"/>
    </row>
    <row r="117" spans="1:15" ht="14.45" customHeight="1" x14ac:dyDescent="0.25">
      <c r="A117" s="82"/>
      <c r="B117" s="83"/>
      <c r="C117" s="110"/>
      <c r="D117" s="111"/>
      <c r="E117" s="111"/>
      <c r="F117" s="112"/>
      <c r="G117" s="112"/>
      <c r="H117" s="112"/>
      <c r="I117" s="112"/>
      <c r="J117" s="112"/>
      <c r="K117" s="112"/>
      <c r="L117" s="120"/>
      <c r="M117" s="95"/>
      <c r="N117" s="96"/>
      <c r="O117" s="97"/>
    </row>
    <row r="118" spans="1:15" ht="14.45" customHeight="1" x14ac:dyDescent="0.25">
      <c r="A118" s="82"/>
      <c r="B118" s="83"/>
      <c r="C118" s="110"/>
      <c r="D118" s="111"/>
      <c r="E118" s="111"/>
      <c r="F118" s="112"/>
      <c r="G118" s="112"/>
      <c r="H118" s="112"/>
      <c r="I118" s="112"/>
      <c r="J118" s="112"/>
      <c r="K118" s="112"/>
      <c r="L118" s="120"/>
      <c r="M118" s="95"/>
      <c r="N118" s="96"/>
      <c r="O118" s="97"/>
    </row>
    <row r="119" spans="1:15" ht="15.75" thickBot="1" x14ac:dyDescent="0.3">
      <c r="A119" s="84"/>
      <c r="B119" s="85"/>
      <c r="C119" s="110"/>
      <c r="D119" s="111"/>
      <c r="E119" s="111"/>
      <c r="F119" s="112"/>
      <c r="G119" s="112"/>
      <c r="H119" s="112"/>
      <c r="I119" s="112"/>
      <c r="J119" s="112"/>
      <c r="K119" s="112"/>
      <c r="L119" s="120"/>
      <c r="M119" s="95"/>
      <c r="N119" s="96"/>
      <c r="O119" s="97"/>
    </row>
    <row r="120" spans="1:15" x14ac:dyDescent="0.25">
      <c r="A120" s="80" t="s">
        <v>55</v>
      </c>
      <c r="B120" s="81"/>
      <c r="C120" s="110" t="s">
        <v>166</v>
      </c>
      <c r="D120" s="111" t="s">
        <v>167</v>
      </c>
      <c r="E120" s="111"/>
      <c r="F120" s="113" t="s">
        <v>168</v>
      </c>
      <c r="G120" s="113"/>
      <c r="H120" s="113" t="s">
        <v>82</v>
      </c>
      <c r="I120" s="113" t="s">
        <v>168</v>
      </c>
      <c r="J120" s="113"/>
      <c r="K120" s="113" t="s">
        <v>168</v>
      </c>
      <c r="L120" s="113" t="s">
        <v>82</v>
      </c>
      <c r="M120" s="107" t="s">
        <v>83</v>
      </c>
      <c r="N120" s="96" t="s">
        <v>82</v>
      </c>
      <c r="O120" s="97"/>
    </row>
    <row r="121" spans="1:15" x14ac:dyDescent="0.25">
      <c r="A121" s="82"/>
      <c r="B121" s="83"/>
      <c r="C121" s="110"/>
      <c r="D121" s="111"/>
      <c r="E121" s="111"/>
      <c r="F121" s="113"/>
      <c r="G121" s="113"/>
      <c r="H121" s="113"/>
      <c r="I121" s="113"/>
      <c r="J121" s="113"/>
      <c r="K121" s="113"/>
      <c r="L121" s="113"/>
      <c r="M121" s="108"/>
      <c r="N121" s="96"/>
      <c r="O121" s="97"/>
    </row>
    <row r="122" spans="1:15" x14ac:dyDescent="0.25">
      <c r="A122" s="82"/>
      <c r="B122" s="83"/>
      <c r="C122" s="110"/>
      <c r="D122" s="111"/>
      <c r="E122" s="111"/>
      <c r="F122" s="113"/>
      <c r="G122" s="113"/>
      <c r="H122" s="113"/>
      <c r="I122" s="113"/>
      <c r="J122" s="113"/>
      <c r="K122" s="113"/>
      <c r="L122" s="113"/>
      <c r="M122" s="109"/>
      <c r="N122" s="96"/>
      <c r="O122" s="97"/>
    </row>
    <row r="123" spans="1:15" x14ac:dyDescent="0.25">
      <c r="A123" s="82"/>
      <c r="B123" s="83"/>
      <c r="C123" s="110" t="s">
        <v>169</v>
      </c>
      <c r="D123" s="111" t="s">
        <v>170</v>
      </c>
      <c r="E123" s="111"/>
      <c r="F123" s="112">
        <f>IF(N123=0,INDEX(W23:Z23,MATCH(Q7,W2:Z2,0))*2,IF(OR(Q7="2021 - 2018 IPC",Q7="2009 - 2015 IPC"),ROUNDUP((N123/10),0),IF(OR(Q7="UPC",Q7="California"),ROUNDUP((N123/10),0))))</f>
        <v>2</v>
      </c>
      <c r="G123" s="112"/>
      <c r="H123" s="113">
        <f>IF(OR(Q7="UPC",Q7="California"),INDEX(AA23:AB23,MATCH(Q7,AA2:AB2,0)),"-")</f>
        <v>1</v>
      </c>
      <c r="I123" s="112">
        <f>IF(N123=0,INDEX(AG23:AJ23,MATCH(Q7,AG2:AJ2,0))*2,IF(OR(Q7="2021 - 2018 IPC",Q7="2009 - 2015 IPC"),ROUNDUP((N123/10),0),IF(OR(Q7="upc",Q7="California"),ROUNDUP((N123/12),0))))</f>
        <v>2</v>
      </c>
      <c r="J123" s="112"/>
      <c r="K123" s="112">
        <f>IF(AND(N84=0,O84=0),INDEX(AS23:AV23,MATCH(Q7,AS2:AV2,0)),IF(OR(Q7="2021 - 2018 IPC",Q7="2009 - 2015 IPC"),ROUNDUP(((N84+O84)/8),0),IF(OR(Q7="upc",Q7="California"),ROUNDUP(((N84+O84)/8),0))))</f>
        <v>3</v>
      </c>
      <c r="L123" s="112" t="str">
        <f>IF(AND(AND(Q7="2009 - 2015 ipc"),N123&gt;0,N123&lt;=15),"15 or less Fountain exempt(IPC 410.2)",IF(AND(AND(Q7="2021 - 2018 ipc"),N123&gt;0,N123&lt;=15),"15 or less Fountain exempt(IPC 410.2)",IF(AND(OR(Q7="2009 - 2015 ipc",Q7="2021 - 2018 ipc"),Q12&lt;=15),"15 or less Fountain exempt(IPC 410.2)",IF(AND(AND(Q7="UPC"),N123&gt;0,N123&lt;=30),"30 or less Fountain exempt(UPC 415.2)",IF(AND(AND(Q7="california"),N123&gt;0,N123+N123&lt;=30),"30 or less Fountain exempt(CPC 415.2)",IF(AND(OR(Q7="UPC",Q7="CAlifornia"),Q12&lt;=30),"30 or less Fountain exempt(UPC / CPC 415.2)",IF(N123=0,INDEX(AO23:AR23,MATCH(Q7,AO2:AR2,0)),0)))))))</f>
        <v>30 or less Fountain exempt(UPC / CPC 415.2)</v>
      </c>
      <c r="M123" s="114" t="s">
        <v>83</v>
      </c>
      <c r="N123" s="96">
        <v>0</v>
      </c>
      <c r="O123" s="97"/>
    </row>
    <row r="124" spans="1:15" x14ac:dyDescent="0.25">
      <c r="A124" s="82"/>
      <c r="B124" s="83"/>
      <c r="C124" s="110"/>
      <c r="D124" s="111"/>
      <c r="E124" s="111"/>
      <c r="F124" s="112"/>
      <c r="G124" s="112"/>
      <c r="H124" s="113"/>
      <c r="I124" s="112"/>
      <c r="J124" s="112"/>
      <c r="K124" s="112"/>
      <c r="L124" s="112"/>
      <c r="M124" s="114"/>
      <c r="N124" s="96"/>
      <c r="O124" s="97"/>
    </row>
    <row r="125" spans="1:15" ht="14.45" customHeight="1" x14ac:dyDescent="0.25">
      <c r="A125" s="82"/>
      <c r="B125" s="83"/>
      <c r="C125" s="110"/>
      <c r="D125" s="111"/>
      <c r="E125" s="111"/>
      <c r="F125" s="112"/>
      <c r="G125" s="112"/>
      <c r="H125" s="113"/>
      <c r="I125" s="112"/>
      <c r="J125" s="112"/>
      <c r="K125" s="112"/>
      <c r="L125" s="112"/>
      <c r="M125" s="114"/>
      <c r="N125" s="96"/>
      <c r="O125" s="97"/>
    </row>
    <row r="126" spans="1:15" x14ac:dyDescent="0.25">
      <c r="A126" s="82"/>
      <c r="B126" s="83"/>
      <c r="C126" s="110"/>
      <c r="D126" s="111"/>
      <c r="E126" s="111"/>
      <c r="F126" s="112"/>
      <c r="G126" s="112"/>
      <c r="H126" s="113"/>
      <c r="I126" s="112"/>
      <c r="J126" s="112"/>
      <c r="K126" s="112"/>
      <c r="L126" s="112"/>
      <c r="M126" s="114"/>
      <c r="N126" s="96"/>
      <c r="O126" s="97"/>
    </row>
    <row r="127" spans="1:15" x14ac:dyDescent="0.25">
      <c r="A127" s="82"/>
      <c r="B127" s="83"/>
      <c r="C127" s="110"/>
      <c r="D127" s="111"/>
      <c r="E127" s="111"/>
      <c r="F127" s="112"/>
      <c r="G127" s="112"/>
      <c r="H127" s="113"/>
      <c r="I127" s="112"/>
      <c r="J127" s="112"/>
      <c r="K127" s="112"/>
      <c r="L127" s="112"/>
      <c r="M127" s="114"/>
      <c r="N127" s="96"/>
      <c r="O127" s="97"/>
    </row>
    <row r="128" spans="1:15" x14ac:dyDescent="0.25">
      <c r="A128" s="82"/>
      <c r="B128" s="83"/>
      <c r="C128" s="110"/>
      <c r="D128" s="111" t="s">
        <v>481</v>
      </c>
      <c r="E128" s="111"/>
      <c r="F128" s="112">
        <f>IF(AND(AND(Q7="UPC"),OR(N128&gt;0,O128),N128+O128&lt;=10),"Single restroom okay for 10 or less (422.2(2))",IF(AND(AND(Q7="california"),OR(N128&gt;0,O128),N128+O128&lt;=10),"Single restroom okay for 10 or less (422.2(2))",IF(AND(OR(Q7="2009 - 2015 ipc",Q7="2021 - 2018 ipc"),Q12&lt;=15),"Single restroom okay for 15 or less (IBC 2902.2(2))",IF(AND(OR(Q7="UPC",Q7="CAlifornia"),Q12&lt;=10),"Single restroom okay for 10 or less (422.2(2))",IF(N128=0,INDEX(W24:Z24,MATCH(Q7,W2:Z2,0)),IF(OR(Q7="2021 - 2018 IPC",Q7="2009 - 2015 IPC"),"-",IF(OR(Q7="UPC",Q7="California"),IF(AND(N128&gt;0,N128&lt;=15),1,IF(AND(N128&gt;15,N128&lt;=35),2,IF(AND(N128&gt;35,N128&lt;=55),3,IF(N128&gt;55,(ROUNDUP(N128/40,1))+2,0)))))))))))</f>
        <v>1</v>
      </c>
      <c r="G128" s="112">
        <f>IF(AND(AND(Q7="UPC"),OR(N128&gt;0,O128),N128+O128&lt;=10),"-",IF(AND(AND(Q7="california"),OR(N128&gt;0,O128),N128+O128&lt;=10),"-",IF(AND(OR(Q7="2009 - 2015 ipc",Q7="2021 - 2018 ipc"),Q12&lt;=15),"-",IF(AND(OR(Q7="UPC",Q7="CAlifornia"),Q12&lt;=10),"-",IF(O128=0,INDEX(AC24:AF24,MATCH(Q7,AC2:AF2,0)),IF(OR(Q7="2021 - 2018 IPC",Q7="2009 - 2015 IPC"),"-",IF(OR(Q7="UPC",Q7="California"),IF(AND(O128&gt;0,O128&lt;=15),1,IF(AND(O128&gt;15,O128&lt;=35),2,IF(AND(O128&gt;35,O128&lt;=55),3,IF(O128&gt;55,(ROUNDUP(O128/40,1))+2,0)))))))))))</f>
        <v>1</v>
      </c>
      <c r="H128" s="112" t="s">
        <v>82</v>
      </c>
      <c r="I128" s="112">
        <f>IF(N128=0,INDEX(AG24:AJ24,MATCH(Q7,AG2:AJ2,0)),IF(OR(Q7="2021 - 2018 IPC",Q7="2009 - 2015 IPC"),"-",IF(OR(Q7="upc",Q7="California"),ROUNDUP((N128/40),0))))</f>
        <v>1</v>
      </c>
      <c r="J128" s="112">
        <f>IF(O128=0,INDEX(AK24:AN24,MATCH(Q7,AK2:AN2,0)),IF(OR(Q7="2021 - 2018 IPC",Q7="2009 - 2015 IPC"),"-",IF(OR(Q7="upc",Q7="California"),ROUNDUP((O128/40),0))))</f>
        <v>1</v>
      </c>
      <c r="K128" s="112" t="s">
        <v>82</v>
      </c>
      <c r="L128" s="112" t="str">
        <f>IF(OR(N128=0,O128=0),INDEX(AO24:AR24,MATCH(Q7,AO2:AR2,0)),0)</f>
        <v>-</v>
      </c>
      <c r="M128" s="114" t="s">
        <v>82</v>
      </c>
      <c r="N128" s="96">
        <v>0</v>
      </c>
      <c r="O128" s="97">
        <v>0</v>
      </c>
    </row>
    <row r="129" spans="1:15" x14ac:dyDescent="0.25">
      <c r="A129" s="82"/>
      <c r="B129" s="83"/>
      <c r="C129" s="110"/>
      <c r="D129" s="111"/>
      <c r="E129" s="111"/>
      <c r="F129" s="112"/>
      <c r="G129" s="112"/>
      <c r="H129" s="112"/>
      <c r="I129" s="112"/>
      <c r="J129" s="112"/>
      <c r="K129" s="112"/>
      <c r="L129" s="112"/>
      <c r="M129" s="114"/>
      <c r="N129" s="96"/>
      <c r="O129" s="97"/>
    </row>
    <row r="130" spans="1:15" ht="14.45" customHeight="1" x14ac:dyDescent="0.25">
      <c r="A130" s="82"/>
      <c r="B130" s="83"/>
      <c r="C130" s="110"/>
      <c r="D130" s="111"/>
      <c r="E130" s="111"/>
      <c r="F130" s="112"/>
      <c r="G130" s="112"/>
      <c r="H130" s="112"/>
      <c r="I130" s="112"/>
      <c r="J130" s="112"/>
      <c r="K130" s="112"/>
      <c r="L130" s="112"/>
      <c r="M130" s="114"/>
      <c r="N130" s="96"/>
      <c r="O130" s="97"/>
    </row>
    <row r="131" spans="1:15" x14ac:dyDescent="0.25">
      <c r="A131" s="82"/>
      <c r="B131" s="83"/>
      <c r="C131" s="110"/>
      <c r="D131" s="111" t="s">
        <v>171</v>
      </c>
      <c r="E131" s="111"/>
      <c r="F131" s="113" t="s">
        <v>172</v>
      </c>
      <c r="G131" s="113"/>
      <c r="H131" s="113" t="s">
        <v>82</v>
      </c>
      <c r="I131" s="113" t="s">
        <v>172</v>
      </c>
      <c r="J131" s="113"/>
      <c r="K131" s="113" t="s">
        <v>172</v>
      </c>
      <c r="L131" s="113" t="s">
        <v>82</v>
      </c>
      <c r="M131" s="115" t="s">
        <v>173</v>
      </c>
      <c r="N131" s="116" t="s">
        <v>82</v>
      </c>
      <c r="O131" s="117"/>
    </row>
    <row r="132" spans="1:15" x14ac:dyDescent="0.25">
      <c r="A132" s="82"/>
      <c r="B132" s="83"/>
      <c r="C132" s="110"/>
      <c r="D132" s="111"/>
      <c r="E132" s="111"/>
      <c r="F132" s="113"/>
      <c r="G132" s="113"/>
      <c r="H132" s="113"/>
      <c r="I132" s="113"/>
      <c r="J132" s="113"/>
      <c r="K132" s="113"/>
      <c r="L132" s="113"/>
      <c r="M132" s="115"/>
      <c r="N132" s="118"/>
      <c r="O132" s="119"/>
    </row>
    <row r="133" spans="1:15" x14ac:dyDescent="0.25">
      <c r="A133" s="82"/>
      <c r="B133" s="83"/>
      <c r="C133" s="110"/>
      <c r="D133" s="111"/>
      <c r="E133" s="111"/>
      <c r="F133" s="113"/>
      <c r="G133" s="113"/>
      <c r="H133" s="113"/>
      <c r="I133" s="113"/>
      <c r="J133" s="113"/>
      <c r="K133" s="113"/>
      <c r="L133" s="113"/>
      <c r="M133" s="115"/>
      <c r="N133" s="118"/>
      <c r="O133" s="119"/>
    </row>
    <row r="134" spans="1:15" x14ac:dyDescent="0.25">
      <c r="A134" s="82"/>
      <c r="B134" s="83"/>
      <c r="C134" s="110"/>
      <c r="D134" s="111"/>
      <c r="E134" s="111"/>
      <c r="F134" s="113"/>
      <c r="G134" s="113"/>
      <c r="H134" s="113"/>
      <c r="I134" s="113"/>
      <c r="J134" s="113"/>
      <c r="K134" s="113"/>
      <c r="L134" s="113"/>
      <c r="M134" s="115"/>
      <c r="N134" s="118"/>
      <c r="O134" s="119"/>
    </row>
    <row r="135" spans="1:15" x14ac:dyDescent="0.25">
      <c r="A135" s="82"/>
      <c r="B135" s="83"/>
      <c r="C135" s="110"/>
      <c r="D135" s="111"/>
      <c r="E135" s="111"/>
      <c r="F135" s="113"/>
      <c r="G135" s="113"/>
      <c r="H135" s="113"/>
      <c r="I135" s="113"/>
      <c r="J135" s="113"/>
      <c r="K135" s="113"/>
      <c r="L135" s="113"/>
      <c r="M135" s="115"/>
      <c r="N135" s="118"/>
      <c r="O135" s="119"/>
    </row>
    <row r="136" spans="1:15" x14ac:dyDescent="0.25">
      <c r="A136" s="82"/>
      <c r="B136" s="83"/>
      <c r="C136" s="110"/>
      <c r="D136" s="111"/>
      <c r="E136" s="111"/>
      <c r="F136" s="113"/>
      <c r="G136" s="113"/>
      <c r="H136" s="113"/>
      <c r="I136" s="113"/>
      <c r="J136" s="113"/>
      <c r="K136" s="113"/>
      <c r="L136" s="113"/>
      <c r="M136" s="115"/>
      <c r="N136" s="118"/>
      <c r="O136" s="119"/>
    </row>
    <row r="137" spans="1:15" x14ac:dyDescent="0.25">
      <c r="A137" s="82"/>
      <c r="B137" s="83"/>
      <c r="C137" s="110"/>
      <c r="D137" s="111"/>
      <c r="E137" s="111"/>
      <c r="F137" s="113"/>
      <c r="G137" s="113"/>
      <c r="H137" s="113"/>
      <c r="I137" s="113"/>
      <c r="J137" s="113"/>
      <c r="K137" s="113"/>
      <c r="L137" s="113"/>
      <c r="M137" s="115"/>
      <c r="N137" s="118"/>
      <c r="O137" s="119"/>
    </row>
    <row r="138" spans="1:15" x14ac:dyDescent="0.25">
      <c r="A138" s="82"/>
      <c r="B138" s="83"/>
      <c r="C138" s="110"/>
      <c r="D138" s="111"/>
      <c r="E138" s="111"/>
      <c r="F138" s="113"/>
      <c r="G138" s="113"/>
      <c r="H138" s="113"/>
      <c r="I138" s="113"/>
      <c r="J138" s="113"/>
      <c r="K138" s="113"/>
      <c r="L138" s="113"/>
      <c r="M138" s="115"/>
      <c r="N138" s="118"/>
      <c r="O138" s="119"/>
    </row>
    <row r="139" spans="1:15" x14ac:dyDescent="0.25">
      <c r="A139" s="82"/>
      <c r="B139" s="83"/>
      <c r="C139" s="110"/>
      <c r="D139" s="111"/>
      <c r="E139" s="111"/>
      <c r="F139" s="113"/>
      <c r="G139" s="113"/>
      <c r="H139" s="113"/>
      <c r="I139" s="113"/>
      <c r="J139" s="113"/>
      <c r="K139" s="113"/>
      <c r="L139" s="113"/>
      <c r="M139" s="115"/>
      <c r="N139" s="118"/>
      <c r="O139" s="119"/>
    </row>
    <row r="140" spans="1:15" x14ac:dyDescent="0.25">
      <c r="A140" s="82"/>
      <c r="B140" s="83"/>
      <c r="C140" s="110"/>
      <c r="D140" s="111"/>
      <c r="E140" s="111"/>
      <c r="F140" s="113"/>
      <c r="G140" s="113"/>
      <c r="H140" s="113"/>
      <c r="I140" s="113"/>
      <c r="J140" s="113"/>
      <c r="K140" s="113"/>
      <c r="L140" s="113"/>
      <c r="M140" s="115"/>
      <c r="N140" s="118"/>
      <c r="O140" s="119"/>
    </row>
    <row r="141" spans="1:15" x14ac:dyDescent="0.25">
      <c r="A141" s="82"/>
      <c r="B141" s="83"/>
      <c r="C141" s="110"/>
      <c r="D141" s="111"/>
      <c r="E141" s="111"/>
      <c r="F141" s="113"/>
      <c r="G141" s="113"/>
      <c r="H141" s="113"/>
      <c r="I141" s="113"/>
      <c r="J141" s="113"/>
      <c r="K141" s="113"/>
      <c r="L141" s="113"/>
      <c r="M141" s="115"/>
      <c r="N141" s="118"/>
      <c r="O141" s="119"/>
    </row>
    <row r="142" spans="1:15" x14ac:dyDescent="0.25">
      <c r="A142" s="82"/>
      <c r="B142" s="83"/>
      <c r="C142" s="110" t="s">
        <v>174</v>
      </c>
      <c r="D142" s="111" t="s">
        <v>175</v>
      </c>
      <c r="E142" s="111"/>
      <c r="F142" s="112">
        <f>IF(N142=0,INDEX(W25:Z25,MATCH(Q7,W2:Z2,0))*2,IF(OR(Q7="2021 - 2018 IPC",Q7="2009 - 2015 IPC"),ROUNDUP((N142/10),0),IF(OR(Q7="UPC",Q7="California"),ROUNDUP((N142/10),0))))</f>
        <v>2</v>
      </c>
      <c r="G142" s="112"/>
      <c r="H142" s="113" t="s">
        <v>82</v>
      </c>
      <c r="I142" s="112">
        <f>IF(N142=0,INDEX(AG25:AJ25,MATCH(Q7,AG2:AJ2,0))*2,IF(OR(Q7="2021 - 2018 IPC",Q7="2009 - 2015 IPC"),ROUNDUP((N142/10),0),IF(OR(Q7="upc",Q7="California"),ROUNDUP((N142/12),0))))</f>
        <v>2</v>
      </c>
      <c r="J142" s="112"/>
      <c r="K142" s="112">
        <f>IF(AND(N84=0,O84=0),INDEX(AS25:AV25,MATCH(Q7,AS2:AV2,0)),IF(OR(Q7="2021 - 2018 IPC",Q7="2009 - 2015 IPC"),ROUNDUP(((N84+O84)/8),0),IF(OR(Q7="upc",Q7="California"),ROUNDUP(((N84+O84)/8),0))))</f>
        <v>3</v>
      </c>
      <c r="L142" s="112" t="str">
        <f>IF(AND(AND(Q7="2009 - 2015 ipc"),N142&gt;0,N142&lt;=15),"15 or less Fountain exempt(IPC 410.2)",IF(AND(AND(Q7="2021 - 2018 ipc"),N142&gt;0,N142&lt;=15),"15 or less Fountain exempt(IPC 410.2)",IF(AND(OR(Q7="2009 - 2015 ipc",Q7="2021 - 2018 ipc"),Q12&lt;=15),"15 or less Fountain exempt(IPC 410.2)",IF(AND(AND(Q7="UPC"),N142&gt;0,N142&lt;=30),"30 or less Fountain exempt(UPC 415.2)",IF(AND(AND(Q7="california"),N142&gt;0,N142+N142&lt;=30),"30 or less Fountain exempt(CPC 415.2)",IF(AND(OR(Q7="UPC",Q7="CAlifornia"),Q12&lt;=30),"30 or less Fountain exempt(UPC / CPC 415.2)",IF(N142=0,INDEX(AO25:AR25,MATCH(Q7,AO2:AR2,0)),0)))))))</f>
        <v>30 or less Fountain exempt(UPC / CPC 415.2)</v>
      </c>
      <c r="M142" s="107" t="s">
        <v>83</v>
      </c>
      <c r="N142" s="96">
        <v>0</v>
      </c>
      <c r="O142" s="97"/>
    </row>
    <row r="143" spans="1:15" x14ac:dyDescent="0.25">
      <c r="A143" s="82"/>
      <c r="B143" s="83"/>
      <c r="C143" s="110"/>
      <c r="D143" s="111"/>
      <c r="E143" s="111"/>
      <c r="F143" s="112"/>
      <c r="G143" s="112"/>
      <c r="H143" s="113"/>
      <c r="I143" s="112"/>
      <c r="J143" s="112"/>
      <c r="K143" s="112"/>
      <c r="L143" s="112"/>
      <c r="M143" s="108"/>
      <c r="N143" s="96"/>
      <c r="O143" s="97"/>
    </row>
    <row r="144" spans="1:15" x14ac:dyDescent="0.25">
      <c r="A144" s="82"/>
      <c r="B144" s="83"/>
      <c r="C144" s="110"/>
      <c r="D144" s="111"/>
      <c r="E144" s="111"/>
      <c r="F144" s="112"/>
      <c r="G144" s="112"/>
      <c r="H144" s="113"/>
      <c r="I144" s="112"/>
      <c r="J144" s="112"/>
      <c r="K144" s="112"/>
      <c r="L144" s="112"/>
      <c r="M144" s="109"/>
      <c r="N144" s="96"/>
      <c r="O144" s="97"/>
    </row>
    <row r="145" spans="1:15" x14ac:dyDescent="0.25">
      <c r="A145" s="82"/>
      <c r="B145" s="83"/>
      <c r="C145" s="110"/>
      <c r="D145" s="111" t="s">
        <v>176</v>
      </c>
      <c r="E145" s="111"/>
      <c r="F145" s="113" t="s">
        <v>172</v>
      </c>
      <c r="G145" s="113"/>
      <c r="H145" s="113" t="s">
        <v>82</v>
      </c>
      <c r="I145" s="113" t="s">
        <v>172</v>
      </c>
      <c r="J145" s="113"/>
      <c r="K145" s="113" t="s">
        <v>172</v>
      </c>
      <c r="L145" s="112" t="s">
        <v>82</v>
      </c>
      <c r="M145" s="95" t="s">
        <v>177</v>
      </c>
      <c r="N145" s="96" t="s">
        <v>82</v>
      </c>
      <c r="O145" s="97"/>
    </row>
    <row r="146" spans="1:15" x14ac:dyDescent="0.25">
      <c r="A146" s="82"/>
      <c r="B146" s="83"/>
      <c r="C146" s="110"/>
      <c r="D146" s="111"/>
      <c r="E146" s="111"/>
      <c r="F146" s="113"/>
      <c r="G146" s="113"/>
      <c r="H146" s="113"/>
      <c r="I146" s="113"/>
      <c r="J146" s="113"/>
      <c r="K146" s="113"/>
      <c r="L146" s="112"/>
      <c r="M146" s="95"/>
      <c r="N146" s="96"/>
      <c r="O146" s="97"/>
    </row>
    <row r="147" spans="1:15" x14ac:dyDescent="0.25">
      <c r="A147" s="82"/>
      <c r="B147" s="83"/>
      <c r="C147" s="110"/>
      <c r="D147" s="111"/>
      <c r="E147" s="111"/>
      <c r="F147" s="113"/>
      <c r="G147" s="113"/>
      <c r="H147" s="113"/>
      <c r="I147" s="113"/>
      <c r="J147" s="113"/>
      <c r="K147" s="113"/>
      <c r="L147" s="112"/>
      <c r="M147" s="95"/>
      <c r="N147" s="96"/>
      <c r="O147" s="97"/>
    </row>
    <row r="148" spans="1:15" x14ac:dyDescent="0.25">
      <c r="A148" s="82"/>
      <c r="B148" s="83"/>
      <c r="C148" s="110"/>
      <c r="D148" s="111"/>
      <c r="E148" s="111"/>
      <c r="F148" s="113"/>
      <c r="G148" s="113"/>
      <c r="H148" s="113"/>
      <c r="I148" s="113"/>
      <c r="J148" s="113"/>
      <c r="K148" s="113"/>
      <c r="L148" s="112"/>
      <c r="M148" s="95"/>
      <c r="N148" s="96"/>
      <c r="O148" s="97"/>
    </row>
    <row r="149" spans="1:15" x14ac:dyDescent="0.25">
      <c r="A149" s="82"/>
      <c r="B149" s="83"/>
      <c r="C149" s="110"/>
      <c r="D149" s="111"/>
      <c r="E149" s="111"/>
      <c r="F149" s="113"/>
      <c r="G149" s="113"/>
      <c r="H149" s="113"/>
      <c r="I149" s="113"/>
      <c r="J149" s="113"/>
      <c r="K149" s="113"/>
      <c r="L149" s="112"/>
      <c r="M149" s="95"/>
      <c r="N149" s="96"/>
      <c r="O149" s="97"/>
    </row>
    <row r="150" spans="1:15" ht="14.45" customHeight="1" x14ac:dyDescent="0.25">
      <c r="A150" s="82"/>
      <c r="B150" s="83"/>
      <c r="C150" s="110"/>
      <c r="D150" s="111"/>
      <c r="E150" s="111"/>
      <c r="F150" s="113"/>
      <c r="G150" s="113"/>
      <c r="H150" s="113"/>
      <c r="I150" s="113"/>
      <c r="J150" s="113"/>
      <c r="K150" s="113"/>
      <c r="L150" s="112"/>
      <c r="M150" s="95"/>
      <c r="N150" s="96"/>
      <c r="O150" s="97"/>
    </row>
    <row r="151" spans="1:15" x14ac:dyDescent="0.25">
      <c r="A151" s="82"/>
      <c r="B151" s="83"/>
      <c r="C151" s="110"/>
      <c r="D151" s="111"/>
      <c r="E151" s="111"/>
      <c r="F151" s="113"/>
      <c r="G151" s="113"/>
      <c r="H151" s="113"/>
      <c r="I151" s="113"/>
      <c r="J151" s="113"/>
      <c r="K151" s="113"/>
      <c r="L151" s="112"/>
      <c r="M151" s="95"/>
      <c r="N151" s="96"/>
      <c r="O151" s="97"/>
    </row>
    <row r="152" spans="1:15" x14ac:dyDescent="0.25">
      <c r="A152" s="82"/>
      <c r="B152" s="83"/>
      <c r="C152" s="110"/>
      <c r="D152" s="111"/>
      <c r="E152" s="111"/>
      <c r="F152" s="113"/>
      <c r="G152" s="113"/>
      <c r="H152" s="113"/>
      <c r="I152" s="113"/>
      <c r="J152" s="113"/>
      <c r="K152" s="113"/>
      <c r="L152" s="112"/>
      <c r="M152" s="95"/>
      <c r="N152" s="96"/>
      <c r="O152" s="97"/>
    </row>
    <row r="153" spans="1:15" x14ac:dyDescent="0.25">
      <c r="A153" s="82"/>
      <c r="B153" s="83"/>
      <c r="C153" s="110"/>
      <c r="D153" s="111"/>
      <c r="E153" s="111"/>
      <c r="F153" s="113"/>
      <c r="G153" s="113"/>
      <c r="H153" s="113"/>
      <c r="I153" s="113"/>
      <c r="J153" s="113"/>
      <c r="K153" s="113"/>
      <c r="L153" s="112"/>
      <c r="M153" s="95"/>
      <c r="N153" s="96"/>
      <c r="O153" s="97"/>
    </row>
    <row r="154" spans="1:15" x14ac:dyDescent="0.25">
      <c r="A154" s="82"/>
      <c r="B154" s="83"/>
      <c r="C154" s="110"/>
      <c r="D154" s="111"/>
      <c r="E154" s="111"/>
      <c r="F154" s="113"/>
      <c r="G154" s="113"/>
      <c r="H154" s="113"/>
      <c r="I154" s="113"/>
      <c r="J154" s="113"/>
      <c r="K154" s="113"/>
      <c r="L154" s="112"/>
      <c r="M154" s="95"/>
      <c r="N154" s="96"/>
      <c r="O154" s="97"/>
    </row>
    <row r="155" spans="1:15" x14ac:dyDescent="0.25">
      <c r="A155" s="82"/>
      <c r="B155" s="83"/>
      <c r="C155" s="110"/>
      <c r="D155" s="111"/>
      <c r="E155" s="111"/>
      <c r="F155" s="113"/>
      <c r="G155" s="113"/>
      <c r="H155" s="113"/>
      <c r="I155" s="113"/>
      <c r="J155" s="113"/>
      <c r="K155" s="113"/>
      <c r="L155" s="112"/>
      <c r="M155" s="95"/>
      <c r="N155" s="96"/>
      <c r="O155" s="97"/>
    </row>
    <row r="156" spans="1:15" x14ac:dyDescent="0.25">
      <c r="A156" s="82"/>
      <c r="B156" s="83"/>
      <c r="C156" s="159" t="s">
        <v>185</v>
      </c>
      <c r="D156" s="111" t="s">
        <v>175</v>
      </c>
      <c r="E156" s="111"/>
      <c r="F156" s="112">
        <f>IF(N156=0,INDEX(W26:Z26,MATCH(Q7,W2:Z2,0))*2,IF(OR(Q7="2021 - 2018 IPC",Q7="2009 - 2015 IPC"),ROUNDUP((N156/10),0),IF(OR(Q7="UPC",Q7="California"),ROUNDUP((N156/10),0))))</f>
        <v>2</v>
      </c>
      <c r="G156" s="112"/>
      <c r="H156" s="112" t="s">
        <v>82</v>
      </c>
      <c r="I156" s="112">
        <f>IF(N156=0,INDEX(AG26:AJ26,MATCH(Q7,AG2:AJ2,0))*2,IF(OR(Q7="2021 - 2018 IPC",Q7="2009 - 2015 IPC"),ROUNDUP((N156/10),0),IF(OR(Q7="upc",Q7="California"),ROUNDUP((N156/12),0))))</f>
        <v>2</v>
      </c>
      <c r="J156" s="112"/>
      <c r="K156" s="112">
        <f>IF(AND(N84=0,O84=0),INDEX(AS26:AV26,MATCH(Q7,AS2:AV2,0)),IF(OR(Q7="2021 - 2018 IPC",Q7="2009 - 2015 IPC"),ROUNDUP(((N84+O84)/8),0),IF(OR(Q7="upc",Q7="California"),ROUNDUP(((N84+O84)/8),0))))</f>
        <v>3</v>
      </c>
      <c r="L156" s="112" t="str">
        <f>IF(AND(AND(Q7="2009 - 2015 ipc"),N156&gt;0,N156&lt;=15),"15 or less Fountain exempt(IPC 410.2)",IF(AND(AND(Q7="2021 - 2018 ipc"),N156&gt;0,N156&lt;=15),"15 or less Fountain exempt(IPC 410.2)",IF(AND(OR(Q7="2009 - 2015 ipc",Q7="2021 - 2018 ipc"),Q12&lt;=15),"15 or less Fountain exempt(IPC 410.2)",IF(AND(AND(Q7="UPC"),N156&gt;0,N156&lt;=30),"30 or less Fountain exempt(UPC 415.2)",IF(AND(AND(Q7="california"),N156&gt;0,N156+N156&lt;=30),"30 or less Fountain exempt(CPC 415.2)",IF(AND(OR(Q7="UPC",Q7="CAlifornia"),Q12&lt;=30),"30 or less Fountain exempt(UPC / CPC 415.2)",IF(N156=0,INDEX(AO26:AR26,MATCH(Q7,AO2:AR2,0)),0)))))))</f>
        <v>30 or less Fountain exempt(UPC / CPC 415.2)</v>
      </c>
      <c r="M156" s="107" t="s">
        <v>83</v>
      </c>
      <c r="N156" s="116">
        <v>0</v>
      </c>
      <c r="O156" s="117"/>
    </row>
    <row r="157" spans="1:15" ht="14.45" customHeight="1" x14ac:dyDescent="0.25">
      <c r="A157" s="82"/>
      <c r="B157" s="83"/>
      <c r="C157" s="159"/>
      <c r="D157" s="111"/>
      <c r="E157" s="111"/>
      <c r="F157" s="112"/>
      <c r="G157" s="112"/>
      <c r="H157" s="112"/>
      <c r="I157" s="112"/>
      <c r="J157" s="112"/>
      <c r="K157" s="112"/>
      <c r="L157" s="112"/>
      <c r="M157" s="108"/>
      <c r="N157" s="118"/>
      <c r="O157" s="119"/>
    </row>
    <row r="158" spans="1:15" ht="15.75" thickBot="1" x14ac:dyDescent="0.3">
      <c r="A158" s="84"/>
      <c r="B158" s="85"/>
      <c r="C158" s="255"/>
      <c r="D158" s="89"/>
      <c r="E158" s="89"/>
      <c r="F158" s="92"/>
      <c r="G158" s="92"/>
      <c r="H158" s="92"/>
      <c r="I158" s="92"/>
      <c r="J158" s="92"/>
      <c r="K158" s="92"/>
      <c r="L158" s="92"/>
      <c r="M158" s="109"/>
      <c r="N158" s="362"/>
      <c r="O158" s="102"/>
    </row>
    <row r="159" spans="1:15" x14ac:dyDescent="0.25">
      <c r="A159" s="80" t="s">
        <v>178</v>
      </c>
      <c r="B159" s="81"/>
      <c r="C159" s="86" t="s">
        <v>179</v>
      </c>
      <c r="D159" s="258" t="s">
        <v>180</v>
      </c>
      <c r="E159" s="258"/>
      <c r="F159" s="92">
        <f>IF(N159=0,INDEX(W27:Z27,MATCH(Q7,W2:Z2,0))*2,IF(OR(Q7="2021 - 2018 IPC",Q7="2009 - 2015 IPC"),ROUNDUP((N159/100),0),IF(OR(Q7="UPC",Q7="California"),IF(AND(N159&gt;0,N159&lt;=100),1,IF(AND(N159&gt;100,N159&lt;=200),2,IF(AND(N159&gt;200,N159&lt;=400),3,IF(N159&gt;400,(ROUNDUP(N159/500,1))+3,0)))))))</f>
        <v>2</v>
      </c>
      <c r="G159" s="92"/>
      <c r="H159" s="92" t="s">
        <v>82</v>
      </c>
      <c r="I159" s="92">
        <f>IF(N159=0,INDEX(AG27:AJ27,MATCH(Q7,AG2:AJ2,0))*2,IF(OR(Q7="2021 - 2018 IPC",Q7="2009 - 2015 IPC"),ROUNDUP((N159/100),0),IF(OR(Q7="upc",Q7="California"),IF(AND(N159&gt;0,N159&lt;=200),1,IF(AND(N159&gt;200,N159&lt;=400),2,IF(AND(N159&gt;400,N159&lt;=750),3,IF(N159&gt;750,(ROUNDUP(N159/500,1))+2,0)))))))</f>
        <v>2</v>
      </c>
      <c r="J159" s="92"/>
      <c r="K159" s="92" t="str">
        <f>INDEX(AS27:AV27,MATCH(Q7,AS2:AV2,0))</f>
        <v>-</v>
      </c>
      <c r="L159" s="92" t="str">
        <f>IF(AND(AND(Q7="2009 - 2015 ipc"),N159&gt;0,N159&lt;=15),"15 or less Fountain exempt(IPC 410.2)",IF(AND(AND(Q7="2021 - 2018 ipc"),N159&gt;0,N159&lt;=15),"15 or less Fountain exempt(IPC 410.2)",IF(AND(OR(Q7="2009 - 2015 ipc",Q7="2021 - 2018 ipc"),Q12&lt;=15),"15 or less Fountain exempt(IPC 410.2)",IF(AND(AND(Q7="UPC"),N159&gt;0,N159&lt;=30),"30 or less Fountain exempt(UPC 415.2)",IF(AND(AND(Q7="california"),N159&gt;0,N159+N159&lt;=30),"30 or less Fountain exempt(CPC 415.2)",IF(AND(OR(Q7="UPC",Q7="CAlifornia"),Q12&lt;=30),"30 or less Fountain exempt(UPC / CPC 415.2)",IF(N159=0,INDEX(AO27:AR27,MATCH(Q7,AO2:AR2,0)),0)))))))</f>
        <v>30 or less Fountain exempt(UPC / CPC 415.2)</v>
      </c>
      <c r="M159" s="98" t="s">
        <v>83</v>
      </c>
      <c r="N159" s="101">
        <v>0</v>
      </c>
      <c r="O159" s="102"/>
    </row>
    <row r="160" spans="1:15" x14ac:dyDescent="0.25">
      <c r="A160" s="82"/>
      <c r="B160" s="83"/>
      <c r="C160" s="87"/>
      <c r="D160" s="259"/>
      <c r="E160" s="259"/>
      <c r="F160" s="93"/>
      <c r="G160" s="93"/>
      <c r="H160" s="93"/>
      <c r="I160" s="93"/>
      <c r="J160" s="93"/>
      <c r="K160" s="93"/>
      <c r="L160" s="93"/>
      <c r="M160" s="99"/>
      <c r="N160" s="103"/>
      <c r="O160" s="104"/>
    </row>
    <row r="161" spans="1:15" x14ac:dyDescent="0.25">
      <c r="A161" s="82"/>
      <c r="B161" s="83"/>
      <c r="C161" s="87"/>
      <c r="D161" s="259"/>
      <c r="E161" s="259"/>
      <c r="F161" s="93"/>
      <c r="G161" s="93"/>
      <c r="H161" s="93"/>
      <c r="I161" s="93"/>
      <c r="J161" s="93"/>
      <c r="K161" s="93"/>
      <c r="L161" s="93"/>
      <c r="M161" s="99"/>
      <c r="N161" s="103"/>
      <c r="O161" s="104"/>
    </row>
    <row r="162" spans="1:15" x14ac:dyDescent="0.25">
      <c r="A162" s="82"/>
      <c r="B162" s="83"/>
      <c r="C162" s="87"/>
      <c r="D162" s="259"/>
      <c r="E162" s="259"/>
      <c r="F162" s="93"/>
      <c r="G162" s="93"/>
      <c r="H162" s="93"/>
      <c r="I162" s="93"/>
      <c r="J162" s="93"/>
      <c r="K162" s="93"/>
      <c r="L162" s="93"/>
      <c r="M162" s="99"/>
      <c r="N162" s="103"/>
      <c r="O162" s="104"/>
    </row>
    <row r="163" spans="1:15" x14ac:dyDescent="0.25">
      <c r="A163" s="82"/>
      <c r="B163" s="83"/>
      <c r="C163" s="87"/>
      <c r="D163" s="259"/>
      <c r="E163" s="259"/>
      <c r="F163" s="93"/>
      <c r="G163" s="93"/>
      <c r="H163" s="93"/>
      <c r="I163" s="93"/>
      <c r="J163" s="93"/>
      <c r="K163" s="93"/>
      <c r="L163" s="93"/>
      <c r="M163" s="99"/>
      <c r="N163" s="103"/>
      <c r="O163" s="104"/>
    </row>
    <row r="164" spans="1:15" x14ac:dyDescent="0.25">
      <c r="A164" s="82"/>
      <c r="B164" s="83"/>
      <c r="C164" s="87"/>
      <c r="D164" s="259"/>
      <c r="E164" s="259"/>
      <c r="F164" s="93"/>
      <c r="G164" s="93"/>
      <c r="H164" s="93"/>
      <c r="I164" s="93"/>
      <c r="J164" s="93"/>
      <c r="K164" s="93"/>
      <c r="L164" s="93"/>
      <c r="M164" s="99"/>
      <c r="N164" s="103"/>
      <c r="O164" s="104"/>
    </row>
    <row r="165" spans="1:15" ht="15.75" thickBot="1" x14ac:dyDescent="0.3">
      <c r="A165" s="84"/>
      <c r="B165" s="85"/>
      <c r="C165" s="88"/>
      <c r="D165" s="260"/>
      <c r="E165" s="260"/>
      <c r="F165" s="94"/>
      <c r="G165" s="94"/>
      <c r="H165" s="94"/>
      <c r="I165" s="94"/>
      <c r="J165" s="94"/>
      <c r="K165" s="94"/>
      <c r="L165" s="94"/>
      <c r="M165" s="100"/>
      <c r="N165" s="105"/>
      <c r="O165" s="106"/>
    </row>
  </sheetData>
  <mergeCells count="338">
    <mergeCell ref="Q10:R11"/>
    <mergeCell ref="A159:B165"/>
    <mergeCell ref="AS1:AV1"/>
    <mergeCell ref="M145:M155"/>
    <mergeCell ref="N145:O155"/>
    <mergeCell ref="L145:L155"/>
    <mergeCell ref="K145:K155"/>
    <mergeCell ref="I145:J155"/>
    <mergeCell ref="H145:H155"/>
    <mergeCell ref="F145:G155"/>
    <mergeCell ref="D145:E155"/>
    <mergeCell ref="C142:C155"/>
    <mergeCell ref="A120:B158"/>
    <mergeCell ref="F112:F119"/>
    <mergeCell ref="G112:G119"/>
    <mergeCell ref="H112:H119"/>
    <mergeCell ref="I112:I119"/>
    <mergeCell ref="J112:J119"/>
    <mergeCell ref="K112:K119"/>
    <mergeCell ref="L112:L119"/>
    <mergeCell ref="M112:M119"/>
    <mergeCell ref="N112:N119"/>
    <mergeCell ref="O112:O119"/>
    <mergeCell ref="K159:K165"/>
    <mergeCell ref="I159:J165"/>
    <mergeCell ref="F159:G165"/>
    <mergeCell ref="H159:H165"/>
    <mergeCell ref="L159:L165"/>
    <mergeCell ref="M159:M165"/>
    <mergeCell ref="N159:O165"/>
    <mergeCell ref="D159:E165"/>
    <mergeCell ref="C159:C165"/>
    <mergeCell ref="M128:M130"/>
    <mergeCell ref="M131:M141"/>
    <mergeCell ref="D131:E141"/>
    <mergeCell ref="F131:G141"/>
    <mergeCell ref="I131:J141"/>
    <mergeCell ref="K131:K141"/>
    <mergeCell ref="L131:L141"/>
    <mergeCell ref="D128:E130"/>
    <mergeCell ref="F128:F130"/>
    <mergeCell ref="G128:G130"/>
    <mergeCell ref="M156:M158"/>
    <mergeCell ref="C156:C158"/>
    <mergeCell ref="D156:E158"/>
    <mergeCell ref="F156:G158"/>
    <mergeCell ref="H156:H158"/>
    <mergeCell ref="I156:J158"/>
    <mergeCell ref="AG1:AN1"/>
    <mergeCell ref="M84:M89"/>
    <mergeCell ref="M90:M92"/>
    <mergeCell ref="AO1:AR1"/>
    <mergeCell ref="D53:E59"/>
    <mergeCell ref="A3:B59"/>
    <mergeCell ref="C53:C59"/>
    <mergeCell ref="F53:F59"/>
    <mergeCell ref="D112:E119"/>
    <mergeCell ref="H84:H89"/>
    <mergeCell ref="G84:G89"/>
    <mergeCell ref="F84:F89"/>
    <mergeCell ref="D84:E89"/>
    <mergeCell ref="C84:C89"/>
    <mergeCell ref="N84:N89"/>
    <mergeCell ref="O84:O89"/>
    <mergeCell ref="I84:I89"/>
    <mergeCell ref="J84:J89"/>
    <mergeCell ref="L84:L89"/>
    <mergeCell ref="K84:K89"/>
    <mergeCell ref="A84:B111"/>
    <mergeCell ref="G53:G59"/>
    <mergeCell ref="H53:H59"/>
    <mergeCell ref="I53:I59"/>
    <mergeCell ref="N53:N59"/>
    <mergeCell ref="O53:O59"/>
    <mergeCell ref="C112:C119"/>
    <mergeCell ref="N3:N8"/>
    <mergeCell ref="O3:O8"/>
    <mergeCell ref="J3:J8"/>
    <mergeCell ref="K3:K8"/>
    <mergeCell ref="L3:L8"/>
    <mergeCell ref="M3:M8"/>
    <mergeCell ref="D3:E8"/>
    <mergeCell ref="C3:C8"/>
    <mergeCell ref="H9:H14"/>
    <mergeCell ref="G9:G14"/>
    <mergeCell ref="F9:F14"/>
    <mergeCell ref="D9:E14"/>
    <mergeCell ref="I9:I14"/>
    <mergeCell ref="N9:N14"/>
    <mergeCell ref="O9:O14"/>
    <mergeCell ref="J9:J14"/>
    <mergeCell ref="K9:K14"/>
    <mergeCell ref="L9:L14"/>
    <mergeCell ref="M9:M14"/>
    <mergeCell ref="C9:C20"/>
    <mergeCell ref="C71:C76"/>
    <mergeCell ref="A71:B76"/>
    <mergeCell ref="H29:H34"/>
    <mergeCell ref="G29:G34"/>
    <mergeCell ref="F29:F34"/>
    <mergeCell ref="D29:E34"/>
    <mergeCell ref="I29:I34"/>
    <mergeCell ref="L21:L28"/>
    <mergeCell ref="M21:M28"/>
    <mergeCell ref="G60:G70"/>
    <mergeCell ref="I60:I70"/>
    <mergeCell ref="J60:J70"/>
    <mergeCell ref="K60:K70"/>
    <mergeCell ref="L60:L70"/>
    <mergeCell ref="M60:M70"/>
    <mergeCell ref="J53:J59"/>
    <mergeCell ref="K53:K59"/>
    <mergeCell ref="L53:L59"/>
    <mergeCell ref="M53:M59"/>
    <mergeCell ref="N29:N34"/>
    <mergeCell ref="O29:O34"/>
    <mergeCell ref="J29:J34"/>
    <mergeCell ref="K29:K34"/>
    <mergeCell ref="L29:L34"/>
    <mergeCell ref="M29:M34"/>
    <mergeCell ref="C21:C46"/>
    <mergeCell ref="H47:H52"/>
    <mergeCell ref="G47:G52"/>
    <mergeCell ref="F47:F52"/>
    <mergeCell ref="N47:N52"/>
    <mergeCell ref="O47:O52"/>
    <mergeCell ref="D47:E52"/>
    <mergeCell ref="C47:C52"/>
    <mergeCell ref="I47:I52"/>
    <mergeCell ref="H41:H46"/>
    <mergeCell ref="G41:G46"/>
    <mergeCell ref="F41:F46"/>
    <mergeCell ref="D41:E46"/>
    <mergeCell ref="I41:I46"/>
    <mergeCell ref="J41:J46"/>
    <mergeCell ref="K41:K46"/>
    <mergeCell ref="L41:L46"/>
    <mergeCell ref="M41:M46"/>
    <mergeCell ref="N41:N46"/>
    <mergeCell ref="O41:O46"/>
    <mergeCell ref="J47:J52"/>
    <mergeCell ref="K47:K52"/>
    <mergeCell ref="L47:L52"/>
    <mergeCell ref="M47:M52"/>
    <mergeCell ref="Q12:R12"/>
    <mergeCell ref="F1:G1"/>
    <mergeCell ref="I1:J1"/>
    <mergeCell ref="J35:J40"/>
    <mergeCell ref="K35:K40"/>
    <mergeCell ref="L35:L40"/>
    <mergeCell ref="M35:M40"/>
    <mergeCell ref="N35:N40"/>
    <mergeCell ref="O35:O40"/>
    <mergeCell ref="K1:K2"/>
    <mergeCell ref="L1:L2"/>
    <mergeCell ref="M1:M2"/>
    <mergeCell ref="J15:J20"/>
    <mergeCell ref="K15:K20"/>
    <mergeCell ref="L15:L20"/>
    <mergeCell ref="M15:M20"/>
    <mergeCell ref="J21:J28"/>
    <mergeCell ref="K21:K28"/>
    <mergeCell ref="A1:B2"/>
    <mergeCell ref="C1:C2"/>
    <mergeCell ref="D1:E2"/>
    <mergeCell ref="H1:H2"/>
    <mergeCell ref="H35:H40"/>
    <mergeCell ref="I35:I40"/>
    <mergeCell ref="D35:E40"/>
    <mergeCell ref="F35:F40"/>
    <mergeCell ref="G35:G40"/>
    <mergeCell ref="H15:H20"/>
    <mergeCell ref="G15:G20"/>
    <mergeCell ref="F15:F20"/>
    <mergeCell ref="D15:E20"/>
    <mergeCell ref="H3:H8"/>
    <mergeCell ref="I3:I8"/>
    <mergeCell ref="G3:G8"/>
    <mergeCell ref="F3:F8"/>
    <mergeCell ref="D21:E28"/>
    <mergeCell ref="I15:I20"/>
    <mergeCell ref="F21:F28"/>
    <mergeCell ref="G21:G28"/>
    <mergeCell ref="I21:I28"/>
    <mergeCell ref="H21:H28"/>
    <mergeCell ref="Q6:R6"/>
    <mergeCell ref="Q7:R7"/>
    <mergeCell ref="D60:E70"/>
    <mergeCell ref="F60:F70"/>
    <mergeCell ref="C60:C70"/>
    <mergeCell ref="A60:B70"/>
    <mergeCell ref="D77:E83"/>
    <mergeCell ref="F77:F83"/>
    <mergeCell ref="G77:G83"/>
    <mergeCell ref="I77:I83"/>
    <mergeCell ref="J77:J83"/>
    <mergeCell ref="H71:H76"/>
    <mergeCell ref="G71:G76"/>
    <mergeCell ref="F71:F76"/>
    <mergeCell ref="D71:E76"/>
    <mergeCell ref="I71:I76"/>
    <mergeCell ref="J71:J76"/>
    <mergeCell ref="K71:K76"/>
    <mergeCell ref="L71:L76"/>
    <mergeCell ref="M71:M76"/>
    <mergeCell ref="K77:K83"/>
    <mergeCell ref="L77:L83"/>
    <mergeCell ref="M77:M83"/>
    <mergeCell ref="C77:C83"/>
    <mergeCell ref="A77:B83"/>
    <mergeCell ref="A112:B119"/>
    <mergeCell ref="H96:H98"/>
    <mergeCell ref="H99:H101"/>
    <mergeCell ref="H90:H92"/>
    <mergeCell ref="M93:M95"/>
    <mergeCell ref="D96:E98"/>
    <mergeCell ref="F96:F98"/>
    <mergeCell ref="G96:G98"/>
    <mergeCell ref="I96:I98"/>
    <mergeCell ref="J96:J98"/>
    <mergeCell ref="K96:K98"/>
    <mergeCell ref="L96:L98"/>
    <mergeCell ref="M96:M98"/>
    <mergeCell ref="L90:L92"/>
    <mergeCell ref="K90:K92"/>
    <mergeCell ref="D93:E95"/>
    <mergeCell ref="F93:F95"/>
    <mergeCell ref="G93:G95"/>
    <mergeCell ref="I93:I95"/>
    <mergeCell ref="J93:J95"/>
    <mergeCell ref="K93:K95"/>
    <mergeCell ref="L93:L95"/>
    <mergeCell ref="D90:E92"/>
    <mergeCell ref="L99:L101"/>
    <mergeCell ref="M99:M101"/>
    <mergeCell ref="D102:E105"/>
    <mergeCell ref="F102:F105"/>
    <mergeCell ref="G102:G105"/>
    <mergeCell ref="I102:I105"/>
    <mergeCell ref="J102:J105"/>
    <mergeCell ref="K102:K105"/>
    <mergeCell ref="D99:E101"/>
    <mergeCell ref="L109:L111"/>
    <mergeCell ref="M109:M111"/>
    <mergeCell ref="C99:C108"/>
    <mergeCell ref="C109:C111"/>
    <mergeCell ref="D109:E111"/>
    <mergeCell ref="F109:F111"/>
    <mergeCell ref="G109:G111"/>
    <mergeCell ref="I109:I111"/>
    <mergeCell ref="J109:J111"/>
    <mergeCell ref="K109:K111"/>
    <mergeCell ref="L102:L105"/>
    <mergeCell ref="M102:M105"/>
    <mergeCell ref="D106:E108"/>
    <mergeCell ref="F106:F108"/>
    <mergeCell ref="G106:G108"/>
    <mergeCell ref="I106:I108"/>
    <mergeCell ref="J106:J108"/>
    <mergeCell ref="K106:K108"/>
    <mergeCell ref="L106:L108"/>
    <mergeCell ref="H102:H105"/>
    <mergeCell ref="H106:H108"/>
    <mergeCell ref="H109:H111"/>
    <mergeCell ref="M106:M108"/>
    <mergeCell ref="K99:K101"/>
    <mergeCell ref="K123:K127"/>
    <mergeCell ref="L123:L127"/>
    <mergeCell ref="M123:M127"/>
    <mergeCell ref="D142:E144"/>
    <mergeCell ref="F142:G144"/>
    <mergeCell ref="H128:H130"/>
    <mergeCell ref="I128:I130"/>
    <mergeCell ref="H131:H141"/>
    <mergeCell ref="L120:L122"/>
    <mergeCell ref="M120:M122"/>
    <mergeCell ref="H120:H122"/>
    <mergeCell ref="H123:H127"/>
    <mergeCell ref="C120:C122"/>
    <mergeCell ref="D120:E122"/>
    <mergeCell ref="F120:G122"/>
    <mergeCell ref="I120:J122"/>
    <mergeCell ref="C90:C98"/>
    <mergeCell ref="H93:H95"/>
    <mergeCell ref="F90:G92"/>
    <mergeCell ref="F99:G101"/>
    <mergeCell ref="C123:C141"/>
    <mergeCell ref="D123:E127"/>
    <mergeCell ref="F123:G127"/>
    <mergeCell ref="I123:J127"/>
    <mergeCell ref="K156:K158"/>
    <mergeCell ref="L156:L158"/>
    <mergeCell ref="H142:H144"/>
    <mergeCell ref="I142:J144"/>
    <mergeCell ref="K142:K144"/>
    <mergeCell ref="L142:L144"/>
    <mergeCell ref="M142:M144"/>
    <mergeCell ref="N1:O1"/>
    <mergeCell ref="W1:AE1"/>
    <mergeCell ref="J128:J130"/>
    <mergeCell ref="K128:K130"/>
    <mergeCell ref="L128:L130"/>
    <mergeCell ref="H60:H70"/>
    <mergeCell ref="H77:H83"/>
    <mergeCell ref="N21:N28"/>
    <mergeCell ref="O21:O28"/>
    <mergeCell ref="N15:N20"/>
    <mergeCell ref="O15:O20"/>
    <mergeCell ref="N90:N92"/>
    <mergeCell ref="O90:O92"/>
    <mergeCell ref="N93:N95"/>
    <mergeCell ref="O93:O95"/>
    <mergeCell ref="N60:N70"/>
    <mergeCell ref="O60:O70"/>
    <mergeCell ref="N77:N83"/>
    <mergeCell ref="O77:O83"/>
    <mergeCell ref="N71:N76"/>
    <mergeCell ref="O71:O76"/>
    <mergeCell ref="I99:J101"/>
    <mergeCell ref="I90:J92"/>
    <mergeCell ref="N156:O158"/>
    <mergeCell ref="N120:O122"/>
    <mergeCell ref="N123:O127"/>
    <mergeCell ref="N142:O144"/>
    <mergeCell ref="N131:O141"/>
    <mergeCell ref="N128:N130"/>
    <mergeCell ref="O128:O130"/>
    <mergeCell ref="N106:N108"/>
    <mergeCell ref="O106:O108"/>
    <mergeCell ref="N109:N111"/>
    <mergeCell ref="O109:O111"/>
    <mergeCell ref="N96:N98"/>
    <mergeCell ref="O96:O98"/>
    <mergeCell ref="N99:N101"/>
    <mergeCell ref="O99:O101"/>
    <mergeCell ref="N102:N105"/>
    <mergeCell ref="O102:O105"/>
    <mergeCell ref="K120:K122"/>
  </mergeCells>
  <dataValidations count="1">
    <dataValidation type="list" allowBlank="1" showInputMessage="1" showErrorMessage="1" sqref="Q7:R7" xr:uid="{00000000-0002-0000-0100-000000000000}">
      <formula1>"2021 - 2018 IPC, 2009 - 2015 IPC, UPC, California"</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2742a80-e05e-46de-8d54-b4c05796b25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6BC93D9232DF4419560B891F8144CAB" ma:contentTypeVersion="13" ma:contentTypeDescription="Create a new document." ma:contentTypeScope="" ma:versionID="97e534af5e8374d0bf22851e7ef76f08">
  <xsd:schema xmlns:xsd="http://www.w3.org/2001/XMLSchema" xmlns:xs="http://www.w3.org/2001/XMLSchema" xmlns:p="http://schemas.microsoft.com/office/2006/metadata/properties" xmlns:ns3="027e8f68-a9fd-4839-b1d8-e2cc76a2c712" xmlns:ns4="d2742a80-e05e-46de-8d54-b4c05796b25d" targetNamespace="http://schemas.microsoft.com/office/2006/metadata/properties" ma:root="true" ma:fieldsID="a8d2cd3ddb40c899eabc04573af28724" ns3:_="" ns4:_="">
    <xsd:import namespace="027e8f68-a9fd-4839-b1d8-e2cc76a2c712"/>
    <xsd:import namespace="d2742a80-e05e-46de-8d54-b4c05796b25d"/>
    <xsd:element name="properties">
      <xsd:complexType>
        <xsd:sequence>
          <xsd:element name="documentManagement">
            <xsd:complexType>
              <xsd:all>
                <xsd:element ref="ns3:SharedWithUsers" minOccurs="0"/>
                <xsd:element ref="ns3:SharedWithDetails" minOccurs="0"/>
                <xsd:element ref="ns3:SharingHintHash" minOccurs="0"/>
                <xsd:element ref="ns4:_activity" minOccurs="0"/>
                <xsd:element ref="ns4:MediaServiceMetadata" minOccurs="0"/>
                <xsd:element ref="ns4:MediaServiceFastMetadata" minOccurs="0"/>
                <xsd:element ref="ns4:MediaServiceObjectDetectorVersions" minOccurs="0"/>
                <xsd:element ref="ns4:MediaServiceSearchProperties" minOccurs="0"/>
                <xsd:element ref="ns4:MediaServiceSystemTags" minOccurs="0"/>
                <xsd:element ref="ns4:MediaServiceOCR" minOccurs="0"/>
                <xsd:element ref="ns4:MediaServiceGenerationTime" minOccurs="0"/>
                <xsd:element ref="ns4:MediaServiceEventHashCode"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7e8f68-a9fd-4839-b1d8-e2cc76a2c71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2742a80-e05e-46de-8d54-b4c05796b25d" elementFormDefault="qualified">
    <xsd:import namespace="http://schemas.microsoft.com/office/2006/documentManagement/types"/>
    <xsd:import namespace="http://schemas.microsoft.com/office/infopath/2007/PartnerControls"/>
    <xsd:element name="_activity" ma:index="11"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065C09-6700-4875-9430-3677B7956361}">
  <ds:schemaRefs>
    <ds:schemaRef ds:uri="http://schemas.microsoft.com/office/2006/metadata/properties"/>
    <ds:schemaRef ds:uri="http://schemas.microsoft.com/office/infopath/2007/PartnerControls"/>
    <ds:schemaRef ds:uri="d2742a80-e05e-46de-8d54-b4c05796b25d"/>
  </ds:schemaRefs>
</ds:datastoreItem>
</file>

<file path=customXml/itemProps2.xml><?xml version="1.0" encoding="utf-8"?>
<ds:datastoreItem xmlns:ds="http://schemas.openxmlformats.org/officeDocument/2006/customXml" ds:itemID="{5A981264-334D-4EE8-B564-B9743F77FE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7e8f68-a9fd-4839-b1d8-e2cc76a2c712"/>
    <ds:schemaRef ds:uri="d2742a80-e05e-46de-8d54-b4c05796b2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A89AB81-B3C9-4E7E-B335-26ECD765D3D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Occupant Calculator</vt:lpstr>
      <vt:lpstr>2009 - 2015 IPC</vt:lpstr>
      <vt:lpstr>2018 IPC</vt:lpstr>
      <vt:lpstr>2021 IPC</vt:lpstr>
      <vt:lpstr>2024 IPC</vt:lpstr>
      <vt:lpstr>2018 - 2024 UPC - CPC - ID</vt:lpstr>
      <vt:lpstr>2021 - 2024 NSPC - New Jersey</vt:lpstr>
      <vt:lpstr>Massachusetts USPC (248 CMR)</vt:lpstr>
      <vt:lpstr>Illinois Plumbing Code</vt:lpstr>
      <vt:lpstr>Original - Modified Formulas</vt:lpstr>
      <vt:lpstr>Original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Schneider</dc:creator>
  <cp:keywords/>
  <dc:description/>
  <cp:lastModifiedBy>Michael Schneider</cp:lastModifiedBy>
  <cp:revision/>
  <dcterms:created xsi:type="dcterms:W3CDTF">2022-07-17T17:49:02Z</dcterms:created>
  <dcterms:modified xsi:type="dcterms:W3CDTF">2025-09-18T13:23:38Z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0x01010036BC93D9232DF4419560B891F8144CAB</vt:lpwstr>
  </property>
</Properties>
</file>
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Q:\ENG\Calculations\"/>
    </mc:Choice>
  </mc:AlternateContent>
  <xr:revisionPtr revIDLastSave="0" documentId="13_ncr:1_{F7340B7A-E4C3-4954-B223-726899A40B65}" xr6:coauthVersionLast="47" xr6:coauthVersionMax="47" xr10:uidLastSave="{00000000-0000-0000-0000-000000000000}"/>
  <bookViews>
    <workbookView xWindow="-120" yWindow="-120" windowWidth="29040" windowHeight="15840" xr2:uid="{998AB098-EE42-4226-82BA-4C3FF8D8C48A}"/>
  </bookViews>
  <sheets>
    <sheet name="Voltage Calc" sheetId="1" r:id="rId1"/>
    <sheet name="Circular Mills" sheetId="2" r:id="rId2"/>
  </sheets>
  <definedNames>
    <definedName name="_xlnm.Print_Area" localSheetId="0">'Voltage Calc'!$A$1:$L$44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F20" i="1" s="1"/>
  <c r="F44" i="1"/>
  <c r="F36" i="1"/>
  <c r="F28" i="1"/>
  <c r="E17" i="1"/>
  <c r="A42" i="1"/>
  <c r="A34" i="1"/>
  <c r="A26" i="1"/>
  <c r="A18" i="1"/>
  <c r="O9" i="1"/>
  <c r="C44" i="1"/>
  <c r="O8" i="1"/>
  <c r="C36" i="1" s="1"/>
  <c r="G41" i="1"/>
  <c r="E41" i="1"/>
  <c r="A41" i="1"/>
  <c r="G33" i="1"/>
  <c r="E33" i="1"/>
  <c r="A33" i="1"/>
  <c r="O7" i="1"/>
  <c r="C28" i="1" s="1"/>
  <c r="G25" i="1"/>
  <c r="E25" i="1"/>
  <c r="A25" i="1"/>
  <c r="O6" i="1"/>
  <c r="C20" i="1" s="1"/>
  <c r="G17" i="1"/>
  <c r="A17" i="1"/>
  <c r="C8" i="1"/>
  <c r="C17" i="1" s="1"/>
  <c r="C41" i="1" l="1"/>
  <c r="I41" i="1" s="1"/>
  <c r="A44" i="1" s="1"/>
  <c r="E44" i="1" s="1"/>
  <c r="C25" i="1"/>
  <c r="I25" i="1" s="1"/>
  <c r="C33" i="1"/>
  <c r="I33" i="1" s="1"/>
  <c r="A36" i="1" s="1"/>
  <c r="E36" i="1" s="1"/>
  <c r="I17" i="1"/>
  <c r="A20" i="1" s="1"/>
  <c r="A28" i="1" l="1"/>
  <c r="E28" i="1" s="1"/>
</calcChain>
</file>

<file path=xl/sharedStrings.xml><?xml version="1.0" encoding="utf-8"?>
<sst xmlns="http://schemas.openxmlformats.org/spreadsheetml/2006/main" count="118" uniqueCount="71">
  <si>
    <t>=</t>
  </si>
  <si>
    <t>Vd = Voltage Drop</t>
  </si>
  <si>
    <t>I = Current in Conductor (Amperes)</t>
  </si>
  <si>
    <t>L = One-way Length of Circuit (Feet)</t>
  </si>
  <si>
    <t>Cm = Cross Section Area of Conductor (Circular Mills)</t>
  </si>
  <si>
    <t>K = Resistance in Ohms of 1 circular Mill Foot of Conductor</t>
  </si>
  <si>
    <t>K =</t>
  </si>
  <si>
    <t>Coductor Type (@ 75 degrees C):</t>
  </si>
  <si>
    <t>Copper</t>
  </si>
  <si>
    <t>Circuit Phase:</t>
  </si>
  <si>
    <t>120V 1P</t>
  </si>
  <si>
    <t xml:space="preserve">Vd = </t>
  </si>
  <si>
    <t>Cm</t>
  </si>
  <si>
    <t>Wire Size</t>
  </si>
  <si>
    <t>1/0</t>
  </si>
  <si>
    <t>2/0</t>
  </si>
  <si>
    <t>3/0</t>
  </si>
  <si>
    <t>4/0</t>
  </si>
  <si>
    <t>250 kcmil</t>
  </si>
  <si>
    <t>300 kcmil</t>
  </si>
  <si>
    <t>350 kcmil</t>
  </si>
  <si>
    <t>400 kcmil</t>
  </si>
  <si>
    <t>500 kcmil</t>
  </si>
  <si>
    <t>600 kcmil</t>
  </si>
  <si>
    <t>700 kcmil</t>
  </si>
  <si>
    <t>750 kcmil</t>
  </si>
  <si>
    <t>800 kcmil</t>
  </si>
  <si>
    <t>900 kcmil</t>
  </si>
  <si>
    <t>1000 kcmil</t>
  </si>
  <si>
    <t>1250 kcmil</t>
  </si>
  <si>
    <t>1500 kcmil</t>
  </si>
  <si>
    <t>1750 kcmil</t>
  </si>
  <si>
    <t>2000 kcmil</t>
  </si>
  <si>
    <t>Cir. Mils</t>
  </si>
  <si>
    <t>Wire Size:</t>
  </si>
  <si>
    <t>Calc 1:</t>
  </si>
  <si>
    <t>X</t>
  </si>
  <si>
    <t>Volts</t>
  </si>
  <si>
    <t>Percentage Drop:</t>
  </si>
  <si>
    <t>/</t>
  </si>
  <si>
    <t>Calc 2:</t>
  </si>
  <si>
    <t>Calc 1</t>
  </si>
  <si>
    <t>Calc 2</t>
  </si>
  <si>
    <t>Calc 3</t>
  </si>
  <si>
    <t>Calc 3:</t>
  </si>
  <si>
    <t>Calc 4</t>
  </si>
  <si>
    <t>Calc 4:</t>
  </si>
  <si>
    <t xml:space="preserve">4 standard receptacles at 180 watts (120v) = </t>
  </si>
  <si>
    <t>4 X 180 = 720 Watts</t>
  </si>
  <si>
    <t>720 Watts / 120(v) = 6 Amps</t>
  </si>
  <si>
    <t>1 Dedicated Receptacle at 3,840 watts (240v)=</t>
  </si>
  <si>
    <t>1 X 3,840 = 3,840 Watts</t>
  </si>
  <si>
    <t>3,840 Watts / 240(v) = 16 Amps</t>
  </si>
  <si>
    <t>Note: You do not need to take the breaker size for the Amperage, but rather the connected load to that breaker.</t>
  </si>
  <si>
    <t>Wire Length (L):</t>
  </si>
  <si>
    <t>Consider the wire length up / down the wall(s) to the furtherest lighth, receptacle, equipment, etc.</t>
  </si>
  <si>
    <t>Note: Be slightly conservative with the total developed wire length.</t>
  </si>
  <si>
    <t>Length of Wire (L):</t>
  </si>
  <si>
    <t>Amps of Circuit (I):</t>
  </si>
  <si>
    <t>Formula (For Single Phase)</t>
  </si>
  <si>
    <t>Formula (For Three Phase)</t>
  </si>
  <si>
    <t>2K x L x I</t>
  </si>
  <si>
    <t>1.73K x L x I</t>
  </si>
  <si>
    <t>Circuit #:</t>
  </si>
  <si>
    <t>Notes:</t>
  </si>
  <si>
    <t>Circuit Amerpage (I) Examples:</t>
  </si>
  <si>
    <t>VOLTAGE DROP CALCULATIONS:</t>
  </si>
  <si>
    <t>See NEC, Article 210.19 for requirement(s)</t>
  </si>
  <si>
    <t>Requirements:</t>
  </si>
  <si>
    <t>See IECC, Section C405.11</t>
  </si>
  <si>
    <t>See Ashrea 90.1, Section 8.4.1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</si>
</sst>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8" xfId="0" applyBorder="1"/>
    <xf numFmtId="0" fontId="0" fillId="0" borderId="11" xfId="0" applyBorder="1"/>
    <xf numFmtId="0" fontId="0" fillId="0" borderId="5" xfId="0" applyBorder="1"/>
    <xf numFmtId="0" fontId="0" fillId="2" borderId="6" xfId="0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2" fontId="0" fillId="0" borderId="12" xfId="0" applyNumberForma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B9C1-9482-4ECD-BED2-946435CD9969}">
  <dimension ref="A1:Q44"/>
  <sheetViews>
    <sheetView tabSelected="1" workbookViewId="0">
      <selection activeCell="H15" sqref="H15"/>
    </sheetView>
  </sheetViews>
  <sheetFormatPr defaultRowHeight="15" x14ac:dyDescent="0.25"/>
  <cols>
    <col min="1" max="1" width="6.28515625" customWidth="1"/>
    <col min="2" max="2" width="7.7109375" customWidth="1"/>
    <col min="3" max="4" width="6.28515625" customWidth="1"/>
    <col min="5" max="5" width="8" customWidth="1"/>
    <col min="6" max="8" width="6.28515625" customWidth="1"/>
    <col min="15" max="16" width="0" hidden="1" customWidth="1"/>
  </cols>
  <sheetData>
    <row r="1" spans="1:17" ht="16.5" thickBot="1" x14ac:dyDescent="0.3">
      <c r="A1" s="26" t="s">
        <v>66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</row>
    <row r="2" spans="1:17" x14ac:dyDescent="0.25">
      <c r="A2" s="5"/>
      <c r="L2" s="6"/>
    </row>
    <row r="3" spans="1:17" x14ac:dyDescent="0.25">
      <c r="A3" s="5" t="s">
        <v>1</v>
      </c>
      <c r="K3" s="2" t="s">
        <v>7</v>
      </c>
      <c r="L3" s="6"/>
    </row>
    <row r="4" spans="1:17" x14ac:dyDescent="0.25">
      <c r="A4" s="5" t="s">
        <v>2</v>
      </c>
      <c r="K4" s="4" t="s">
        <v>8</v>
      </c>
      <c r="L4" s="6"/>
    </row>
    <row r="5" spans="1:17" x14ac:dyDescent="0.25">
      <c r="A5" s="5" t="s">
        <v>3</v>
      </c>
      <c r="L5" s="6"/>
      <c r="Q5" t="s">
        <v>64</v>
      </c>
    </row>
    <row r="6" spans="1:17" x14ac:dyDescent="0.25">
      <c r="A6" s="5" t="s">
        <v>4</v>
      </c>
      <c r="L6" s="6"/>
      <c r="O6">
        <f>IF(B15="120v 1p",120,IF(B15="208v 1p",208,IF(B15="240v 1p",240,IF(B15="208v 3p",208,IF(B15="277v 3p",277,IF(B15="480v 3p",480))))))</f>
        <v>120</v>
      </c>
      <c r="P6" t="s">
        <v>41</v>
      </c>
      <c r="Q6" t="s">
        <v>65</v>
      </c>
    </row>
    <row r="7" spans="1:17" x14ac:dyDescent="0.25">
      <c r="A7" s="5" t="s">
        <v>5</v>
      </c>
      <c r="L7" s="6"/>
      <c r="O7">
        <f>IF(B23="120v 1p",120,IF(B23="208v 1p",208,IF(B23="240v 1p",240,IF(B23="208v 3p",208,IF(B23="277v 3p",277,IF(B23="480v 3p",480))))))</f>
        <v>120</v>
      </c>
      <c r="P7" t="s">
        <v>42</v>
      </c>
      <c r="Q7" t="s">
        <v>47</v>
      </c>
    </row>
    <row r="8" spans="1:17" x14ac:dyDescent="0.25">
      <c r="A8" s="5"/>
      <c r="B8" s="13" t="s">
        <v>6</v>
      </c>
      <c r="C8" s="14">
        <f>IF(K4="Copper",12.9,IF(K4="Aluminum",21.2))</f>
        <v>12.9</v>
      </c>
      <c r="L8" s="6"/>
      <c r="O8">
        <f>IF(B31="120v 1p",120,IF(B31="208v 1p",208,IF(B31="240v 1p",240,IF(B31="208v 3p",208,IF(B31="277v 3p",277,IF(B31="480v 3p",480))))))</f>
        <v>120</v>
      </c>
      <c r="P8" t="s">
        <v>43</v>
      </c>
      <c r="Q8" t="s">
        <v>48</v>
      </c>
    </row>
    <row r="9" spans="1:17" ht="15.75" thickBot="1" x14ac:dyDescent="0.3">
      <c r="A9" s="5"/>
      <c r="L9" s="6"/>
      <c r="O9">
        <f>IF(B39="120v 1p",120,IF(B39="208v 1p",208,IF(B39="240v 1p",240,IF(B39="208v 3p",208,IF(B39="277v 3p",277,IF(B39="480v 3p",480))))))</f>
        <v>120</v>
      </c>
      <c r="P9" t="s">
        <v>45</v>
      </c>
      <c r="Q9" t="s">
        <v>49</v>
      </c>
    </row>
    <row r="10" spans="1:17" x14ac:dyDescent="0.25">
      <c r="A10" s="35" t="s">
        <v>59</v>
      </c>
      <c r="B10" s="36"/>
      <c r="C10" s="36"/>
      <c r="D10" s="36"/>
      <c r="E10" s="36"/>
      <c r="F10" s="36"/>
      <c r="G10" s="16"/>
      <c r="H10" s="35" t="s">
        <v>60</v>
      </c>
      <c r="I10" s="36"/>
      <c r="J10" s="36"/>
      <c r="K10" s="36"/>
      <c r="L10" s="37"/>
    </row>
    <row r="11" spans="1:17" x14ac:dyDescent="0.25">
      <c r="A11" s="5"/>
      <c r="C11" s="31" t="s">
        <v>11</v>
      </c>
      <c r="D11" s="33" t="s">
        <v>61</v>
      </c>
      <c r="E11" s="33"/>
      <c r="H11" s="5"/>
      <c r="I11" s="31" t="s">
        <v>11</v>
      </c>
      <c r="J11" s="33" t="s">
        <v>62</v>
      </c>
      <c r="K11" s="33"/>
      <c r="L11" s="6"/>
      <c r="Q11" t="s">
        <v>50</v>
      </c>
    </row>
    <row r="12" spans="1:17" ht="15.75" thickBot="1" x14ac:dyDescent="0.3">
      <c r="A12" s="17"/>
      <c r="B12" s="11"/>
      <c r="C12" s="32"/>
      <c r="D12" s="34" t="s">
        <v>12</v>
      </c>
      <c r="E12" s="34"/>
      <c r="F12" s="11"/>
      <c r="G12" s="11"/>
      <c r="H12" s="17"/>
      <c r="I12" s="32"/>
      <c r="J12" s="34" t="s">
        <v>12</v>
      </c>
      <c r="K12" s="34"/>
      <c r="L12" s="12"/>
      <c r="Q12" t="s">
        <v>51</v>
      </c>
    </row>
    <row r="13" spans="1:17" x14ac:dyDescent="0.25">
      <c r="A13" s="20" t="s">
        <v>35</v>
      </c>
      <c r="B13" s="21"/>
      <c r="C13" s="21"/>
      <c r="D13" s="21"/>
      <c r="E13" s="21"/>
      <c r="F13" s="21"/>
      <c r="G13" s="21"/>
      <c r="H13" s="21"/>
      <c r="I13" s="21"/>
      <c r="J13" s="22"/>
      <c r="K13" s="18" t="s">
        <v>63</v>
      </c>
      <c r="L13" s="19"/>
      <c r="Q13" t="s">
        <v>52</v>
      </c>
    </row>
    <row r="14" spans="1:17" x14ac:dyDescent="0.25">
      <c r="A14" s="5"/>
      <c r="B14" s="2" t="s">
        <v>9</v>
      </c>
      <c r="E14" s="2" t="s">
        <v>34</v>
      </c>
      <c r="H14" s="2" t="s">
        <v>57</v>
      </c>
      <c r="K14" s="2" t="s">
        <v>58</v>
      </c>
      <c r="L14" s="6"/>
      <c r="Q14" s="15" t="s">
        <v>53</v>
      </c>
    </row>
    <row r="15" spans="1:17" x14ac:dyDescent="0.25">
      <c r="A15" s="5"/>
      <c r="B15" s="4" t="s">
        <v>10</v>
      </c>
      <c r="E15" s="4">
        <v>12</v>
      </c>
      <c r="H15" s="4"/>
      <c r="K15" s="4"/>
      <c r="L15" s="6"/>
    </row>
    <row r="16" spans="1:17" x14ac:dyDescent="0.25">
      <c r="A16" s="5"/>
      <c r="L16" s="6"/>
    </row>
    <row r="17" spans="1:17" x14ac:dyDescent="0.25">
      <c r="A17" s="7">
        <f>IF(OR(B15="120v 1p",B15="208V 1P",B15="240V 1P"),2,1.73)</f>
        <v>2</v>
      </c>
      <c r="B17" s="1" t="s">
        <v>36</v>
      </c>
      <c r="C17" s="1">
        <f>C8</f>
        <v>12.9</v>
      </c>
      <c r="D17" s="1" t="s">
        <v>36</v>
      </c>
      <c r="E17" s="1">
        <f>H15</f>
        <v>0</v>
      </c>
      <c r="F17" s="1" t="s">
        <v>36</v>
      </c>
      <c r="G17" s="1">
        <f>K15</f>
        <v>0</v>
      </c>
      <c r="H17" s="23" t="s">
        <v>0</v>
      </c>
      <c r="I17" s="24">
        <f>SUM(A17*C17*E17*G17/A18)</f>
        <v>0</v>
      </c>
      <c r="J17" s="25" t="s">
        <v>37</v>
      </c>
      <c r="L17" s="6"/>
      <c r="Q17" t="s">
        <v>54</v>
      </c>
    </row>
    <row r="18" spans="1:17" x14ac:dyDescent="0.25">
      <c r="A18" s="29">
        <f>INDEX('Circular Mills'!B2:B31,MATCH(E15,'Circular Mills'!A2:A31,0))</f>
        <v>6530</v>
      </c>
      <c r="B18" s="30"/>
      <c r="C18" s="30"/>
      <c r="D18" s="30"/>
      <c r="E18" s="30"/>
      <c r="F18" s="30"/>
      <c r="G18" s="30"/>
      <c r="H18" s="23"/>
      <c r="I18" s="24"/>
      <c r="J18" s="25"/>
      <c r="L18" s="6"/>
      <c r="Q18" t="s">
        <v>55</v>
      </c>
    </row>
    <row r="19" spans="1:17" x14ac:dyDescent="0.25">
      <c r="A19" s="5" t="s">
        <v>38</v>
      </c>
      <c r="L19" s="6"/>
      <c r="Q19" s="15" t="s">
        <v>56</v>
      </c>
    </row>
    <row r="20" spans="1:17" ht="15.75" thickBot="1" x14ac:dyDescent="0.3">
      <c r="A20" s="8">
        <f>I17</f>
        <v>0</v>
      </c>
      <c r="B20" s="9" t="s">
        <v>39</v>
      </c>
      <c r="C20" s="10">
        <f>O6</f>
        <v>120</v>
      </c>
      <c r="D20" s="9" t="s">
        <v>0</v>
      </c>
      <c r="E20" s="38">
        <f>SUM(A20/C20)*100</f>
        <v>0</v>
      </c>
      <c r="F20" s="11" t="str">
        <f>IF(E20&lt;3,"%, (Vd) less than 3% drop therefore OK",IF(E20&gt;3,"%, (Vd) greater than 3%, INCREASE WIRE SIZE"))</f>
        <v>%, (Vd) less than 3% drop therefore OK</v>
      </c>
      <c r="G20" s="11"/>
      <c r="H20" s="11"/>
      <c r="I20" s="11"/>
      <c r="J20" s="11"/>
      <c r="K20" s="11"/>
      <c r="L20" s="12"/>
    </row>
    <row r="21" spans="1:17" x14ac:dyDescent="0.25">
      <c r="A21" s="20" t="s">
        <v>40</v>
      </c>
      <c r="B21" s="21"/>
      <c r="C21" s="21"/>
      <c r="D21" s="21"/>
      <c r="E21" s="21"/>
      <c r="F21" s="21"/>
      <c r="G21" s="21"/>
      <c r="H21" s="21"/>
      <c r="I21" s="21"/>
      <c r="J21" s="22"/>
      <c r="K21" s="18" t="s">
        <v>63</v>
      </c>
      <c r="L21" s="19"/>
      <c r="Q21" t="s">
        <v>68</v>
      </c>
    </row>
    <row r="22" spans="1:17" x14ac:dyDescent="0.25">
      <c r="A22" s="5"/>
      <c r="B22" s="2" t="s">
        <v>9</v>
      </c>
      <c r="E22" s="2" t="s">
        <v>34</v>
      </c>
      <c r="H22" s="2" t="s">
        <v>57</v>
      </c>
      <c r="K22" s="2" t="s">
        <v>58</v>
      </c>
      <c r="L22" s="6"/>
      <c r="Q22" t="s">
        <v>67</v>
      </c>
    </row>
    <row r="23" spans="1:17" x14ac:dyDescent="0.25">
      <c r="A23" s="5"/>
      <c r="B23" s="4" t="s">
        <v>10</v>
      </c>
      <c r="E23" s="4">
        <v>12</v>
      </c>
      <c r="H23" s="4"/>
      <c r="K23" s="4"/>
      <c r="L23" s="6"/>
      <c r="Q23" t="s">
        <v>69</v>
      </c>
    </row>
    <row r="24" spans="1:17" x14ac:dyDescent="0.25">
      <c r="A24" s="5"/>
      <c r="L24" s="6"/>
      <c r="Q24" t="s">
        <v>70</v>
      </c>
    </row>
    <row r="25" spans="1:17" x14ac:dyDescent="0.25">
      <c r="A25" s="7">
        <f>IF(OR(B23="120v 1p",B23="208V 1P",B23="240V 1P"),2,1.73)</f>
        <v>2</v>
      </c>
      <c r="B25" s="1" t="s">
        <v>36</v>
      </c>
      <c r="C25" s="1">
        <f>C8</f>
        <v>12.9</v>
      </c>
      <c r="D25" s="1" t="s">
        <v>36</v>
      </c>
      <c r="E25" s="1">
        <f>H23</f>
        <v>0</v>
      </c>
      <c r="F25" s="1" t="s">
        <v>36</v>
      </c>
      <c r="G25" s="1">
        <f>K23</f>
        <v>0</v>
      </c>
      <c r="H25" s="23" t="s">
        <v>0</v>
      </c>
      <c r="I25" s="24">
        <f>SUM(A25*C25*E25*G25/A26)</f>
        <v>0</v>
      </c>
      <c r="J25" s="25" t="s">
        <v>37</v>
      </c>
      <c r="L25" s="6"/>
    </row>
    <row r="26" spans="1:17" x14ac:dyDescent="0.25">
      <c r="A26" s="29">
        <f>INDEX('Circular Mills'!B2:B31,MATCH(E23,'Circular Mills'!A2:A31,0))</f>
        <v>6530</v>
      </c>
      <c r="B26" s="30"/>
      <c r="C26" s="30"/>
      <c r="D26" s="30"/>
      <c r="E26" s="30"/>
      <c r="F26" s="30"/>
      <c r="G26" s="30"/>
      <c r="H26" s="23"/>
      <c r="I26" s="24"/>
      <c r="J26" s="25"/>
      <c r="L26" s="6"/>
    </row>
    <row r="27" spans="1:17" x14ac:dyDescent="0.25">
      <c r="A27" s="5" t="s">
        <v>38</v>
      </c>
      <c r="L27" s="6"/>
    </row>
    <row r="28" spans="1:17" ht="15.75" thickBot="1" x14ac:dyDescent="0.3">
      <c r="A28" s="8">
        <f>I25</f>
        <v>0</v>
      </c>
      <c r="B28" s="9" t="s">
        <v>39</v>
      </c>
      <c r="C28" s="10">
        <f>O7</f>
        <v>120</v>
      </c>
      <c r="D28" s="9" t="s">
        <v>0</v>
      </c>
      <c r="E28" s="38">
        <f>SUM(A28/C28)*100</f>
        <v>0</v>
      </c>
      <c r="F28" s="11" t="str">
        <f>IF(E28&lt;3,"%, (Vd) less than 3% drop therefore OK",IF(E28&gt;3,"%, (Vd) greater than 3%, INCREASE WIRE SIZE"))</f>
        <v>%, (Vd) less than 3% drop therefore OK</v>
      </c>
      <c r="G28" s="11"/>
      <c r="H28" s="11"/>
      <c r="I28" s="11"/>
      <c r="J28" s="11"/>
      <c r="K28" s="11"/>
      <c r="L28" s="12"/>
    </row>
    <row r="29" spans="1:17" x14ac:dyDescent="0.25">
      <c r="A29" s="20" t="s">
        <v>44</v>
      </c>
      <c r="B29" s="21"/>
      <c r="C29" s="21"/>
      <c r="D29" s="21"/>
      <c r="E29" s="21"/>
      <c r="F29" s="21"/>
      <c r="G29" s="21"/>
      <c r="H29" s="21"/>
      <c r="I29" s="21"/>
      <c r="J29" s="22"/>
      <c r="K29" s="18" t="s">
        <v>63</v>
      </c>
      <c r="L29" s="19"/>
    </row>
    <row r="30" spans="1:17" x14ac:dyDescent="0.25">
      <c r="A30" s="5"/>
      <c r="B30" s="2" t="s">
        <v>9</v>
      </c>
      <c r="E30" s="2" t="s">
        <v>34</v>
      </c>
      <c r="H30" s="2" t="s">
        <v>57</v>
      </c>
      <c r="K30" s="2" t="s">
        <v>58</v>
      </c>
      <c r="L30" s="6"/>
    </row>
    <row r="31" spans="1:17" x14ac:dyDescent="0.25">
      <c r="A31" s="5"/>
      <c r="B31" s="4" t="s">
        <v>10</v>
      </c>
      <c r="E31" s="4">
        <v>12</v>
      </c>
      <c r="H31" s="4"/>
      <c r="K31" s="4"/>
      <c r="L31" s="6"/>
    </row>
    <row r="32" spans="1:17" x14ac:dyDescent="0.25">
      <c r="A32" s="5"/>
      <c r="L32" s="6"/>
    </row>
    <row r="33" spans="1:12" x14ac:dyDescent="0.25">
      <c r="A33" s="7">
        <f>IF(OR(B31="120v 1p",B31="208V 1P",B31="240V 1P"),2,1.73)</f>
        <v>2</v>
      </c>
      <c r="B33" s="1" t="s">
        <v>36</v>
      </c>
      <c r="C33" s="1">
        <f>C8</f>
        <v>12.9</v>
      </c>
      <c r="D33" s="1" t="s">
        <v>36</v>
      </c>
      <c r="E33" s="1">
        <f>H31</f>
        <v>0</v>
      </c>
      <c r="F33" s="1" t="s">
        <v>36</v>
      </c>
      <c r="G33" s="1">
        <f>K31</f>
        <v>0</v>
      </c>
      <c r="H33" s="23" t="s">
        <v>0</v>
      </c>
      <c r="I33" s="24">
        <f>SUM(A33*C33*E33*G33/A34)</f>
        <v>0</v>
      </c>
      <c r="J33" s="25" t="s">
        <v>37</v>
      </c>
      <c r="L33" s="6"/>
    </row>
    <row r="34" spans="1:12" x14ac:dyDescent="0.25">
      <c r="A34" s="29">
        <f>INDEX('Circular Mills'!B2:B31,MATCH(E31,'Circular Mills'!A2:A31,0))</f>
        <v>6530</v>
      </c>
      <c r="B34" s="30"/>
      <c r="C34" s="30"/>
      <c r="D34" s="30"/>
      <c r="E34" s="30"/>
      <c r="F34" s="30"/>
      <c r="G34" s="30"/>
      <c r="H34" s="23"/>
      <c r="I34" s="24"/>
      <c r="J34" s="25"/>
      <c r="L34" s="6"/>
    </row>
    <row r="35" spans="1:12" x14ac:dyDescent="0.25">
      <c r="A35" s="5" t="s">
        <v>38</v>
      </c>
      <c r="L35" s="6"/>
    </row>
    <row r="36" spans="1:12" ht="15.75" thickBot="1" x14ac:dyDescent="0.3">
      <c r="A36" s="8">
        <f>I33</f>
        <v>0</v>
      </c>
      <c r="B36" s="9" t="s">
        <v>39</v>
      </c>
      <c r="C36" s="10">
        <f>O8</f>
        <v>120</v>
      </c>
      <c r="D36" s="9" t="s">
        <v>0</v>
      </c>
      <c r="E36" s="38">
        <f>SUM(A36/C36)*100</f>
        <v>0</v>
      </c>
      <c r="F36" s="11" t="str">
        <f>IF(E36&lt;3,"%, (Vd) less than 3% drop therefore OK",IF(E36&gt;3,"%, (Vd) greater than 3%, INCREASE WIRE SIZE"))</f>
        <v>%, (Vd) less than 3% drop therefore OK</v>
      </c>
      <c r="G36" s="11"/>
      <c r="H36" s="11"/>
      <c r="I36" s="11"/>
      <c r="J36" s="11"/>
      <c r="K36" s="11"/>
      <c r="L36" s="12"/>
    </row>
    <row r="37" spans="1:12" x14ac:dyDescent="0.25">
      <c r="A37" s="20" t="s">
        <v>46</v>
      </c>
      <c r="B37" s="21"/>
      <c r="C37" s="21"/>
      <c r="D37" s="21"/>
      <c r="E37" s="21"/>
      <c r="F37" s="21"/>
      <c r="G37" s="21"/>
      <c r="H37" s="21"/>
      <c r="I37" s="21"/>
      <c r="J37" s="22"/>
      <c r="K37" s="18" t="s">
        <v>63</v>
      </c>
      <c r="L37" s="19"/>
    </row>
    <row r="38" spans="1:12" x14ac:dyDescent="0.25">
      <c r="A38" s="5"/>
      <c r="B38" s="2" t="s">
        <v>9</v>
      </c>
      <c r="E38" s="2" t="s">
        <v>34</v>
      </c>
      <c r="H38" s="2" t="s">
        <v>57</v>
      </c>
      <c r="K38" s="2" t="s">
        <v>58</v>
      </c>
      <c r="L38" s="6"/>
    </row>
    <row r="39" spans="1:12" x14ac:dyDescent="0.25">
      <c r="A39" s="5"/>
      <c r="B39" s="4" t="s">
        <v>10</v>
      </c>
      <c r="E39" s="4">
        <v>12</v>
      </c>
      <c r="H39" s="4"/>
      <c r="K39" s="4"/>
      <c r="L39" s="6"/>
    </row>
    <row r="40" spans="1:12" x14ac:dyDescent="0.25">
      <c r="A40" s="5"/>
      <c r="L40" s="6"/>
    </row>
    <row r="41" spans="1:12" x14ac:dyDescent="0.25">
      <c r="A41" s="7">
        <f>IF(OR(B39="120v 1p",B39="208V 1P",B39="240V 1P"),2,1.73)</f>
        <v>2</v>
      </c>
      <c r="B41" s="1" t="s">
        <v>36</v>
      </c>
      <c r="C41" s="1">
        <f>C8</f>
        <v>12.9</v>
      </c>
      <c r="D41" s="1" t="s">
        <v>36</v>
      </c>
      <c r="E41" s="1">
        <f>H39</f>
        <v>0</v>
      </c>
      <c r="F41" s="1" t="s">
        <v>36</v>
      </c>
      <c r="G41" s="1">
        <f>K39</f>
        <v>0</v>
      </c>
      <c r="H41" s="23" t="s">
        <v>0</v>
      </c>
      <c r="I41" s="24">
        <f>SUM(A41*C41*E41*G41/A42)</f>
        <v>0</v>
      </c>
      <c r="J41" s="25" t="s">
        <v>37</v>
      </c>
      <c r="L41" s="6"/>
    </row>
    <row r="42" spans="1:12" x14ac:dyDescent="0.25">
      <c r="A42" s="29">
        <f>INDEX('Circular Mills'!B2:B31,MATCH(E39,'Circular Mills'!A2:A31,0))</f>
        <v>6530</v>
      </c>
      <c r="B42" s="30"/>
      <c r="C42" s="30"/>
      <c r="D42" s="30"/>
      <c r="E42" s="30"/>
      <c r="F42" s="30"/>
      <c r="G42" s="30"/>
      <c r="H42" s="23"/>
      <c r="I42" s="24"/>
      <c r="J42" s="25"/>
      <c r="L42" s="6"/>
    </row>
    <row r="43" spans="1:12" x14ac:dyDescent="0.25">
      <c r="A43" s="5" t="s">
        <v>38</v>
      </c>
      <c r="L43" s="6"/>
    </row>
    <row r="44" spans="1:12" ht="15.75" thickBot="1" x14ac:dyDescent="0.3">
      <c r="A44" s="8">
        <f>I41</f>
        <v>0</v>
      </c>
      <c r="B44" s="9" t="s">
        <v>39</v>
      </c>
      <c r="C44" s="10">
        <f>O9</f>
        <v>120</v>
      </c>
      <c r="D44" s="9" t="s">
        <v>0</v>
      </c>
      <c r="E44" s="38">
        <f>SUM(A44/C44)*100</f>
        <v>0</v>
      </c>
      <c r="F44" s="11" t="str">
        <f>IF(E44&lt;3,"%, (Vd) less than 3% drop therefore OK",IF(E44&gt;3,"%, (Vd) greater than 3%, INCREASE WIRE SIZE"))</f>
        <v>%, (Vd) less than 3% drop therefore OK</v>
      </c>
      <c r="G44" s="11"/>
      <c r="H44" s="11"/>
      <c r="I44" s="11"/>
      <c r="J44" s="11"/>
      <c r="K44" s="11"/>
      <c r="L44" s="12"/>
    </row>
  </sheetData>
  <mergeCells count="29">
    <mergeCell ref="I11:I12"/>
    <mergeCell ref="J11:K11"/>
    <mergeCell ref="J12:K12"/>
    <mergeCell ref="A10:F10"/>
    <mergeCell ref="H10:L10"/>
    <mergeCell ref="C11:C12"/>
    <mergeCell ref="D11:E11"/>
    <mergeCell ref="D12:E12"/>
    <mergeCell ref="A1:L1"/>
    <mergeCell ref="H25:H26"/>
    <mergeCell ref="A13:J13"/>
    <mergeCell ref="A21:J21"/>
    <mergeCell ref="H41:H42"/>
    <mergeCell ref="I41:I42"/>
    <mergeCell ref="J41:J42"/>
    <mergeCell ref="A42:G42"/>
    <mergeCell ref="I25:I26"/>
    <mergeCell ref="J25:J26"/>
    <mergeCell ref="A26:G26"/>
    <mergeCell ref="H33:H34"/>
    <mergeCell ref="I33:I34"/>
    <mergeCell ref="J33:J34"/>
    <mergeCell ref="A34:G34"/>
    <mergeCell ref="A18:G18"/>
    <mergeCell ref="A29:J29"/>
    <mergeCell ref="A37:J37"/>
    <mergeCell ref="H17:H18"/>
    <mergeCell ref="I17:I18"/>
    <mergeCell ref="J17:J18"/>
  </mergeCells>
  <conditionalFormatting sqref="F20">
    <cfRule type="containsText" dxfId="3" priority="10" operator="containsText" text="greater">
      <formula>NOT(ISERROR(SEARCH("greater",F20)))</formula>
    </cfRule>
  </conditionalFormatting>
  <conditionalFormatting sqref="F28">
    <cfRule type="containsText" dxfId="2" priority="3" operator="containsText" text="greater">
      <formula>NOT(ISERROR(SEARCH("greater",F28)))</formula>
    </cfRule>
  </conditionalFormatting>
  <conditionalFormatting sqref="F36">
    <cfRule type="containsText" dxfId="1" priority="2" operator="containsText" text="greater">
      <formula>NOT(ISERROR(SEARCH("greater",F36)))</formula>
    </cfRule>
  </conditionalFormatting>
  <conditionalFormatting sqref="F44">
    <cfRule type="containsText" dxfId="0" priority="1" operator="containsText" text="greater">
      <formula>NOT(ISERROR(SEARCH("greater",F44)))</formula>
    </cfRule>
  </conditionalFormatting>
  <dataValidations count="2">
    <dataValidation type="list" allowBlank="1" showInputMessage="1" showErrorMessage="1" sqref="K4" xr:uid="{3774AF1F-6F6A-4BE1-A5EB-2B186EF600D1}">
      <formula1>"Copper, Aluminum"</formula1>
    </dataValidation>
    <dataValidation type="list" allowBlank="1" showInputMessage="1" showErrorMessage="1" sqref="B15 B23 B31 B39" xr:uid="{ADF61803-B272-4AFF-A060-23F514A1E12A}">
      <formula1>"120V 1P, 208V 1P, 240V 1P, 208V 3P, 277V 3P, 480V 3P"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F53CC7-8C34-4F92-8217-EB4AAA12444D}">
          <x14:formula1>
            <xm:f>'Circular Mills'!$A$2:$A$31</xm:f>
          </x14:formula1>
          <xm:sqref>E15 E23 E31 E39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BE6E-F87F-41F1-8B3F-1615EFE7714B}">
  <dimension ref="A1:B31"/>
  <sheetViews>
    <sheetView workbookViewId="0">
      <selection activeCell="A13" sqref="A13:A16"/>
    </sheetView>
  </sheetViews>
  <sheetFormatPr defaultRowHeight="15" x14ac:dyDescent="0.25"/>
  <sheetData>
    <row r="1" spans="1:2" x14ac:dyDescent="0.25">
      <c r="A1" t="s">
        <v>13</v>
      </c>
      <c r="B1" t="s">
        <v>33</v>
      </c>
    </row>
    <row r="2" spans="1:2" x14ac:dyDescent="0.25">
      <c r="A2">
        <v>18</v>
      </c>
      <c r="B2">
        <v>1620</v>
      </c>
    </row>
    <row r="3" spans="1:2" x14ac:dyDescent="0.25">
      <c r="A3">
        <v>16</v>
      </c>
      <c r="B3">
        <v>2580</v>
      </c>
    </row>
    <row r="4" spans="1:2" x14ac:dyDescent="0.25">
      <c r="A4">
        <v>14</v>
      </c>
      <c r="B4">
        <v>4110</v>
      </c>
    </row>
    <row r="5" spans="1:2" x14ac:dyDescent="0.25">
      <c r="A5">
        <v>12</v>
      </c>
      <c r="B5">
        <v>6530</v>
      </c>
    </row>
    <row r="6" spans="1:2" x14ac:dyDescent="0.25">
      <c r="A6">
        <v>10</v>
      </c>
      <c r="B6">
        <v>10380</v>
      </c>
    </row>
    <row r="7" spans="1:2" x14ac:dyDescent="0.25">
      <c r="A7">
        <v>8</v>
      </c>
      <c r="B7">
        <v>16510</v>
      </c>
    </row>
    <row r="8" spans="1:2" x14ac:dyDescent="0.25">
      <c r="A8">
        <v>6</v>
      </c>
      <c r="B8">
        <v>26240</v>
      </c>
    </row>
    <row r="9" spans="1:2" x14ac:dyDescent="0.25">
      <c r="A9">
        <v>4</v>
      </c>
      <c r="B9">
        <v>41740</v>
      </c>
    </row>
    <row r="10" spans="1:2" x14ac:dyDescent="0.25">
      <c r="A10">
        <v>3</v>
      </c>
      <c r="B10">
        <v>52620</v>
      </c>
    </row>
    <row r="11" spans="1:2" x14ac:dyDescent="0.25">
      <c r="A11">
        <v>2</v>
      </c>
      <c r="B11">
        <v>66360</v>
      </c>
    </row>
    <row r="12" spans="1:2" x14ac:dyDescent="0.25">
      <c r="A12">
        <v>1</v>
      </c>
      <c r="B12">
        <v>83690</v>
      </c>
    </row>
    <row r="13" spans="1:2" x14ac:dyDescent="0.25">
      <c r="A13" t="s">
        <v>14</v>
      </c>
      <c r="B13">
        <v>105600</v>
      </c>
    </row>
    <row r="14" spans="1:2" x14ac:dyDescent="0.25">
      <c r="A14" t="s">
        <v>15</v>
      </c>
      <c r="B14">
        <v>133100</v>
      </c>
    </row>
    <row r="15" spans="1:2" x14ac:dyDescent="0.25">
      <c r="A15" t="s">
        <v>16</v>
      </c>
      <c r="B15">
        <v>167800</v>
      </c>
    </row>
    <row r="16" spans="1:2" x14ac:dyDescent="0.25">
      <c r="A16" t="s">
        <v>17</v>
      </c>
      <c r="B16">
        <v>211600</v>
      </c>
    </row>
    <row r="17" spans="1:2" x14ac:dyDescent="0.25">
      <c r="A17" s="3" t="s">
        <v>18</v>
      </c>
      <c r="B17">
        <v>250000</v>
      </c>
    </row>
    <row r="18" spans="1:2" x14ac:dyDescent="0.25">
      <c r="A18" s="3" t="s">
        <v>19</v>
      </c>
      <c r="B18">
        <v>300000</v>
      </c>
    </row>
    <row r="19" spans="1:2" x14ac:dyDescent="0.25">
      <c r="A19" s="3" t="s">
        <v>20</v>
      </c>
      <c r="B19">
        <v>350000</v>
      </c>
    </row>
    <row r="20" spans="1:2" x14ac:dyDescent="0.25">
      <c r="A20" s="3" t="s">
        <v>21</v>
      </c>
      <c r="B20">
        <v>400000</v>
      </c>
    </row>
    <row r="21" spans="1:2" x14ac:dyDescent="0.25">
      <c r="A21" s="3" t="s">
        <v>22</v>
      </c>
      <c r="B21">
        <v>500000</v>
      </c>
    </row>
    <row r="22" spans="1:2" x14ac:dyDescent="0.25">
      <c r="A22" s="3" t="s">
        <v>23</v>
      </c>
      <c r="B22">
        <v>600000</v>
      </c>
    </row>
    <row r="23" spans="1:2" x14ac:dyDescent="0.25">
      <c r="A23" s="3" t="s">
        <v>24</v>
      </c>
      <c r="B23">
        <v>700000</v>
      </c>
    </row>
    <row r="24" spans="1:2" x14ac:dyDescent="0.25">
      <c r="A24" s="3" t="s">
        <v>25</v>
      </c>
      <c r="B24">
        <v>750000</v>
      </c>
    </row>
    <row r="25" spans="1:2" x14ac:dyDescent="0.25">
      <c r="A25" s="3" t="s">
        <v>26</v>
      </c>
      <c r="B25">
        <v>800000</v>
      </c>
    </row>
    <row r="26" spans="1:2" x14ac:dyDescent="0.25">
      <c r="A26" s="3" t="s">
        <v>27</v>
      </c>
      <c r="B26">
        <v>900000</v>
      </c>
    </row>
    <row r="27" spans="1:2" x14ac:dyDescent="0.25">
      <c r="A27" s="3" t="s">
        <v>28</v>
      </c>
      <c r="B27">
        <v>100000</v>
      </c>
    </row>
    <row r="28" spans="1:2" x14ac:dyDescent="0.25">
      <c r="A28" s="3" t="s">
        <v>29</v>
      </c>
      <c r="B28">
        <v>125000</v>
      </c>
    </row>
    <row r="29" spans="1:2" x14ac:dyDescent="0.25">
      <c r="A29" s="3" t="s">
        <v>30</v>
      </c>
      <c r="B29">
        <v>150000</v>
      </c>
    </row>
    <row r="30" spans="1:2" x14ac:dyDescent="0.25">
      <c r="A30" s="3" t="s">
        <v>31</v>
      </c>
      <c r="B30">
        <v>175000</v>
      </c>
    </row>
    <row r="31" spans="1:2" x14ac:dyDescent="0.25">
      <c r="A31" s="3" t="s">
        <v>32</v>
      </c>
      <c r="B31">
        <v>200000</v>
      </c>
    </row>
  </sheetData>
  <pageMargins left="0.7" right="0.7" top="0.75" bottom="0.75" header="0.3" footer="0.3"/>
  <pageSetup orientation="portrait" r:id="rId1"/>
  <ignoredErrors>
    <ignoredError sqref="A13:A1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Voltage Calc</vt:lpstr>
      <vt:lpstr>Circular Mills</vt:lpstr>
      <vt:lpstr>'Voltage Calc'!Print_Area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Schneider</dc:creator>
  <cp:lastModifiedBy>Michael Schneider</cp:lastModifiedBy>
  <cp:lastPrinted>2024-03-12T14:35:30Z</cp:lastPrinted>
  <dcterms:created xsi:type="dcterms:W3CDTF">2024-03-12T01:17:07Z</dcterms:created>
  <dcterms:modified xsi:type="dcterms:W3CDTF">2025-03-06T21:20:05Z</dcterms:modified>
</cp:coreProperties>
</file>
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Q:\ENG\Calculations\"/>
    </mc:Choice>
  </mc:AlternateContent>
  <xr:revisionPtr revIDLastSave="0" documentId="13_ncr:1_{655ED071-ED84-4FE7-B18F-58BB87F353E1}" xr6:coauthVersionLast="47" xr6:coauthVersionMax="47" xr10:uidLastSave="{00000000-0000-0000-0000-000000000000}"/>
  <bookViews>
    <workbookView xWindow="-120" yWindow="-120" windowWidth="29040" windowHeight="15720" activeTab="2" xr2:uid="{00000000-000D-0000-FFFF-FFFF00000000}"/>
  </bookViews>
  <sheets>
    <sheet name="2022 CEC - Commercial" sheetId="1" r:id="rId1"/>
    <sheet name="2022 CEC - Residential" sheetId="3" r:id="rId2"/>
    <sheet name="2025 CEC - Commercial" sheetId="2" r:id="rId3"/>
    <sheet name="2025 CEC - Residential (2)" sheetId="4" r:id="rId4"/>
  </sheets>
  <definedNames>
    <definedName name="BldgUse" localSheetId="1">'2022 CEC - Residential'!$AB$4:$AB$7</definedName>
    <definedName name="BldgUse" localSheetId="2">'2025 CEC - Commercial'!$K$4:$K$18</definedName>
    <definedName name="BldgUse" localSheetId="3">'2025 CEC - Residential (2)'!$AB$4:$AB$7</definedName>
    <definedName name="BldgUse">'2022 CEC - Commercial'!$K$4:$K$18</definedName>
    <definedName name="ClimateZones" localSheetId="1">'2022 CEC - Residential'!$AC$3:$AR$3</definedName>
    <definedName name="ClimateZones" localSheetId="2">'2025 CEC - Commercial'!$L$3:$AA$3</definedName>
    <definedName name="ClimateZones" localSheetId="3">'2025 CEC - Residential (2)'!$AC$3:$AR$3</definedName>
    <definedName name="ClimateZones">'2022 CEC - Commercial'!$L$3:$AA$3</definedName>
    <definedName name="OccTypes" localSheetId="1">'2022 CEC - Residential'!$AB$4:$AD$8</definedName>
    <definedName name="OccTypes" localSheetId="2">'2025 CEC - Commercial'!$K$4:$M$19</definedName>
    <definedName name="OccTypes" localSheetId="3">'2025 CEC - Residential (2)'!$AB$4:$AD$8</definedName>
    <definedName name="OccTypes">'2022 CEC - Commercial'!$K$4:$M$19</definedName>
    <definedName name="Table" localSheetId="1">'2022 CEC - Residential'!$AB$4:$AR$19</definedName>
    <definedName name="Table" localSheetId="2">'2025 CEC - Commercial'!$N$4:$AC$19</definedName>
    <definedName name="Table" localSheetId="3">'2025 CEC - Residential (2)'!$AB$4:$AR$19</definedName>
    <definedName name="Table">'2022 CEC - Commercial'!$N$4:$AC$19</definedName>
    <definedName name="Table1" localSheetId="1">'2022 CEC - Residential'!$AC$4:$AR$8</definedName>
    <definedName name="Table1" localSheetId="2">'2025 CEC - Commercial'!$L$4:$AA$18</definedName>
    <definedName name="Table1" localSheetId="3">'2025 CEC - Residential (2)'!$AC$4:$AR$8</definedName>
    <definedName name="Table1">'2022 CEC - Commercial'!$L$4:$AA$18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 l="1"/>
  <c r="J6" i="4"/>
  <c r="H9" i="4"/>
  <c r="F6" i="4"/>
  <c r="E6" i="4"/>
  <c r="C6" i="4"/>
  <c r="E6" i="3"/>
  <c r="C6" i="3"/>
  <c r="D20" i="2"/>
  <c r="J13" i="2"/>
  <c r="J6" i="3" l="1"/>
  <c r="B10" i="4"/>
  <c r="E13" i="4" s="1"/>
  <c r="L6" i="4" s="1"/>
  <c r="C14" i="2"/>
  <c r="C10" i="2"/>
  <c r="A14" i="2"/>
  <c r="A10" i="2"/>
  <c r="B14" i="2"/>
  <c r="B10" i="2"/>
  <c r="C6" i="2"/>
  <c r="D6" i="2" s="1"/>
  <c r="D10" i="2" s="1"/>
  <c r="D24" i="2"/>
  <c r="D20" i="1"/>
  <c r="D14" i="2" l="1"/>
  <c r="L17" i="2" s="1"/>
  <c r="G6" i="2"/>
  <c r="I6" i="2" s="1"/>
  <c r="B14" i="1"/>
  <c r="B10" i="1" l="1"/>
  <c r="C6" i="1" l="1"/>
  <c r="D6" i="1" s="1"/>
  <c r="G6" i="1" l="1"/>
  <c r="I6" i="1" s="1"/>
  <c r="A14" i="1"/>
  <c r="A10" i="1"/>
  <c r="D10" i="1" s="1"/>
  <c r="C14" i="1" l="1"/>
  <c r="L6" i="3"/>
  <c r="A18" i="2"/>
  <c r="C18" i="2" s="1"/>
  <c r="L16" i="2"/>
</calcChain>
</file>

<file path=xl/sharedStrings.xml><?xml version="1.0" encoding="utf-8"?>
<sst xmlns="http://schemas.openxmlformats.org/spreadsheetml/2006/main" count="171" uniqueCount="93">
  <si>
    <t>Climate Zone</t>
  </si>
  <si>
    <t>Grocery</t>
  </si>
  <si>
    <t>High-Rise Multi-Family</t>
  </si>
  <si>
    <t>Retail</t>
  </si>
  <si>
    <t>School</t>
  </si>
  <si>
    <t>Warehouse</t>
  </si>
  <si>
    <t>Factor A - Minimum PV Capacity (W/ft2 of Conditioned Floor Area)</t>
  </si>
  <si>
    <t>Occupancy Type:</t>
  </si>
  <si>
    <t>Office</t>
  </si>
  <si>
    <t>Financial Institutions</t>
  </si>
  <si>
    <t>Unleased Tenant Space</t>
  </si>
  <si>
    <t>Restaurant</t>
  </si>
  <si>
    <t>Theater</t>
  </si>
  <si>
    <t>Medical Office Building/Clinic</t>
  </si>
  <si>
    <t>Convention Center</t>
  </si>
  <si>
    <t>Auditorium</t>
  </si>
  <si>
    <t>Hotel/Motel</t>
  </si>
  <si>
    <t>Sq. Ft.:</t>
  </si>
  <si>
    <t>Climate Zone:</t>
  </si>
  <si>
    <t>A:</t>
  </si>
  <si>
    <t>Library</t>
  </si>
  <si>
    <t>Factor B</t>
  </si>
  <si>
    <t>Factor C</t>
  </si>
  <si>
    <t>Battery Storage Capacity Factors</t>
  </si>
  <si>
    <t>D:</t>
  </si>
  <si>
    <r>
      <t>Total PV Required in KW (KW</t>
    </r>
    <r>
      <rPr>
        <sz val="8"/>
        <color theme="1"/>
        <rFont val="Calibri"/>
        <family val="2"/>
        <scheme val="minor"/>
      </rPr>
      <t>PVdc</t>
    </r>
    <r>
      <rPr>
        <sz val="11"/>
        <color theme="1"/>
        <rFont val="Calibri"/>
        <family val="2"/>
        <scheme val="minor"/>
      </rPr>
      <t>):</t>
    </r>
  </si>
  <si>
    <r>
      <t>Photovoltiac Direct Current Size (KW</t>
    </r>
    <r>
      <rPr>
        <sz val="8"/>
        <color theme="1"/>
        <rFont val="Calibri"/>
        <family val="2"/>
        <scheme val="minor"/>
      </rPr>
      <t>PVdc</t>
    </r>
    <r>
      <rPr>
        <sz val="11"/>
        <color theme="1"/>
        <rFont val="Calibri"/>
        <family val="2"/>
        <scheme val="minor"/>
      </rPr>
      <t>=(CFAxA)/1000)</t>
    </r>
  </si>
  <si>
    <r>
      <t>Battery Storage Rated Energy Capacity (KWh</t>
    </r>
    <r>
      <rPr>
        <sz val="8"/>
        <color theme="1"/>
        <rFont val="Calibri"/>
        <family val="2"/>
        <scheme val="minor"/>
      </rPr>
      <t>batt</t>
    </r>
    <r>
      <rPr>
        <sz val="11"/>
        <color theme="1"/>
        <rFont val="Calibri"/>
        <family val="2"/>
        <scheme val="minor"/>
      </rPr>
      <t>=KW</t>
    </r>
    <r>
      <rPr>
        <sz val="8"/>
        <color theme="1"/>
        <rFont val="Calibri"/>
        <family val="2"/>
        <scheme val="minor"/>
      </rPr>
      <t>PVdc</t>
    </r>
    <r>
      <rPr>
        <sz val="11"/>
        <color theme="1"/>
        <rFont val="Calibri"/>
        <family val="2"/>
        <scheme val="minor"/>
      </rPr>
      <t>xB/D</t>
    </r>
    <r>
      <rPr>
        <sz val="8"/>
        <color theme="1"/>
        <rFont val="Calibri"/>
        <family val="2"/>
        <scheme val="minor"/>
      </rPr>
      <t>.05</t>
    </r>
    <r>
      <rPr>
        <sz val="11"/>
        <color theme="1"/>
        <rFont val="Calibri"/>
        <family val="2"/>
        <scheme val="minor"/>
      </rPr>
      <t>)</t>
    </r>
  </si>
  <si>
    <r>
      <t>Battery Storage Rated Power Capacity (KW</t>
    </r>
    <r>
      <rPr>
        <sz val="8"/>
        <color theme="1"/>
        <rFont val="Calibri"/>
        <family val="2"/>
        <scheme val="minor"/>
      </rPr>
      <t>batt</t>
    </r>
    <r>
      <rPr>
        <sz val="11"/>
        <color theme="1"/>
        <rFont val="Calibri"/>
        <family val="2"/>
        <scheme val="minor"/>
      </rPr>
      <t>=KW</t>
    </r>
    <r>
      <rPr>
        <sz val="8"/>
        <color theme="1"/>
        <rFont val="Calibri"/>
        <family val="2"/>
        <scheme val="minor"/>
      </rPr>
      <t>PVdc</t>
    </r>
    <r>
      <rPr>
        <sz val="11"/>
        <color theme="1"/>
        <rFont val="Calibri"/>
        <family val="2"/>
        <scheme val="minor"/>
      </rPr>
      <t>xC)</t>
    </r>
  </si>
  <si>
    <r>
      <t>KW</t>
    </r>
    <r>
      <rPr>
        <sz val="8"/>
        <color theme="1"/>
        <rFont val="Calibri"/>
        <family val="2"/>
        <scheme val="minor"/>
      </rPr>
      <t>PVdc</t>
    </r>
    <r>
      <rPr>
        <sz val="11"/>
        <color theme="1"/>
        <rFont val="Calibri"/>
        <family val="2"/>
        <scheme val="minor"/>
      </rPr>
      <t>:</t>
    </r>
  </si>
  <si>
    <t>B (Wh/W):</t>
  </si>
  <si>
    <t>C (W/W):</t>
  </si>
  <si>
    <t>Section 140.10: Photovoltaic &amp; Battery Storage Systems</t>
  </si>
  <si>
    <t>SQ. FT.</t>
  </si>
  <si>
    <t xml:space="preserve">Note: </t>
  </si>
  <si>
    <t>1. Above value is based on sq. ft. inputed in Cell A6</t>
  </si>
  <si>
    <t>2. Substract sq. ft. of skylight(s) from overall roof area.  This will decrease the min. Solar Zone required.</t>
  </si>
  <si>
    <t>3. Section 110.10(b): Buildings up to 10,000 sq. ft. or less, Solar Zone(s) can be no less than 80 sq. ft. each.  Buildings over 10,000 sq. ft., Solar Zone(s) can be no less than 160 sq. ft. each.  Each zone(s) shall be no less than 5'x5' regardless of the square footage requirement.</t>
  </si>
  <si>
    <t>Section 110.10(b)1B: Minimum Solar Zone Area (Nonresidential)</t>
  </si>
  <si>
    <t>Sqauare Footage Needed (Based on 3'x5' Panel)</t>
  </si>
  <si>
    <t># of Panel Required (Based on average 320 Watts per Panel)</t>
  </si>
  <si>
    <t>Solar Access Roof Area (SARA):</t>
  </si>
  <si>
    <t>Min. Solar Zone Area:</t>
  </si>
  <si>
    <r>
      <t>Total Energy Capcity (Kwh</t>
    </r>
    <r>
      <rPr>
        <sz val="8"/>
        <color theme="1"/>
        <rFont val="Calibri"/>
        <family val="2"/>
        <scheme val="minor"/>
      </rPr>
      <t>batt</t>
    </r>
    <r>
      <rPr>
        <sz val="11"/>
        <color theme="1"/>
        <rFont val="Calibri"/>
        <family val="2"/>
        <scheme val="minor"/>
      </rPr>
      <t>):</t>
    </r>
  </si>
  <si>
    <r>
      <t>Total Power Capacity in KW (Kw</t>
    </r>
    <r>
      <rPr>
        <sz val="8"/>
        <color theme="1"/>
        <rFont val="Calibri"/>
        <family val="2"/>
        <scheme val="minor"/>
      </rPr>
      <t>batt</t>
    </r>
    <r>
      <rPr>
        <sz val="11"/>
        <color theme="1"/>
        <rFont val="Calibri"/>
        <family val="2"/>
        <scheme val="minor"/>
      </rPr>
      <t>):</t>
    </r>
  </si>
  <si>
    <t>&lt;---Area avaiable to install solar panels (See Joint Appendix JA11)</t>
  </si>
  <si>
    <t>1. See Joint Appendix JA12 for minimum battery efficiency (value in Cell D10)</t>
  </si>
  <si>
    <t>Events &amp; Exhibits</t>
  </si>
  <si>
    <t>Office, Financial Institution, Unleased Tenant Space, Medical Office Building/Clinic</t>
  </si>
  <si>
    <t>Restaurants</t>
  </si>
  <si>
    <t>Retail, Grocery</t>
  </si>
  <si>
    <t>Religious Worship</t>
  </si>
  <si>
    <t>Sports &amp; Recreation</t>
  </si>
  <si>
    <t>Table 140.10-A-PV Capacity Factors (W/ft2 of Conditioned Floor Area)</t>
  </si>
  <si>
    <t>Conditioned Floor Area (CFA)</t>
  </si>
  <si>
    <t>Multifamily &gt; 3 Stories</t>
  </si>
  <si>
    <t>Table 140.10-B-BESS Capacity Factors (Wh/ft2 of Conditioned Floor Area)</t>
  </si>
  <si>
    <t>B (Wh/ft2):</t>
  </si>
  <si>
    <t>C:</t>
  </si>
  <si>
    <r>
      <t>Total Energy Capcity (kWh</t>
    </r>
    <r>
      <rPr>
        <sz val="8"/>
        <color theme="1"/>
        <rFont val="Calibri"/>
        <family val="2"/>
        <scheme val="minor"/>
      </rPr>
      <t>batt</t>
    </r>
    <r>
      <rPr>
        <sz val="11"/>
        <color theme="1"/>
        <rFont val="Calibri"/>
        <family val="2"/>
        <scheme val="minor"/>
      </rPr>
      <t>):</t>
    </r>
  </si>
  <si>
    <r>
      <t>Total PV Required in KW (kW</t>
    </r>
    <r>
      <rPr>
        <sz val="8"/>
        <color theme="1"/>
        <rFont val="Calibri"/>
        <family val="2"/>
        <scheme val="minor"/>
      </rPr>
      <t>PVdc</t>
    </r>
    <r>
      <rPr>
        <sz val="11"/>
        <color theme="1"/>
        <rFont val="Calibri"/>
        <family val="2"/>
        <scheme val="minor"/>
      </rPr>
      <t>):</t>
    </r>
  </si>
  <si>
    <t>Rating of AC to DC Efficiency:</t>
  </si>
  <si>
    <t>Roof Slope in Inches:</t>
  </si>
  <si>
    <t>: 12</t>
  </si>
  <si>
    <r>
      <t>BESS Minimum Rated Power Capacity (kW</t>
    </r>
    <r>
      <rPr>
        <sz val="8"/>
        <color theme="1"/>
        <rFont val="Calibri"/>
        <family val="2"/>
        <scheme val="minor"/>
      </rPr>
      <t>batt</t>
    </r>
    <r>
      <rPr>
        <sz val="11"/>
        <color theme="1"/>
        <rFont val="Calibri"/>
        <family val="2"/>
        <scheme val="minor"/>
      </rPr>
      <t>=kW</t>
    </r>
    <r>
      <rPr>
        <sz val="8"/>
        <color theme="1"/>
        <rFont val="Calibri"/>
        <family val="2"/>
        <scheme val="minor"/>
      </rPr>
      <t>batt</t>
    </r>
    <r>
      <rPr>
        <sz val="11"/>
        <color theme="1"/>
        <rFont val="Calibri"/>
        <family val="2"/>
        <scheme val="minor"/>
      </rPr>
      <t>/4)</t>
    </r>
  </si>
  <si>
    <r>
      <t>Total Power Capacity in KW (kW</t>
    </r>
    <r>
      <rPr>
        <sz val="8"/>
        <color theme="1"/>
        <rFont val="Calibri"/>
        <family val="2"/>
        <scheme val="minor"/>
      </rPr>
      <t>batt</t>
    </r>
    <r>
      <rPr>
        <sz val="11"/>
        <color theme="1"/>
        <rFont val="Calibri"/>
        <family val="2"/>
        <scheme val="minor"/>
      </rPr>
      <t>):</t>
    </r>
  </si>
  <si>
    <r>
      <t>kW</t>
    </r>
    <r>
      <rPr>
        <sz val="8"/>
        <color theme="1"/>
        <rFont val="Calibri"/>
        <family val="2"/>
        <scheme val="minor"/>
      </rPr>
      <t>batt</t>
    </r>
    <r>
      <rPr>
        <sz val="11"/>
        <color theme="1"/>
        <rFont val="Calibri"/>
        <family val="2"/>
        <scheme val="minor"/>
      </rPr>
      <t>:</t>
    </r>
  </si>
  <si>
    <t>Factor for Slope</t>
  </si>
  <si>
    <t>A-CFA</t>
  </si>
  <si>
    <t>B-Dwelling Units</t>
  </si>
  <si>
    <t>Table 150.1-C-CFA AND DWELLING UNIT ADJUSTMENT FACTORS</t>
  </si>
  <si>
    <r>
      <t>Photovoltiac Direct Current Size (kW</t>
    </r>
    <r>
      <rPr>
        <sz val="8"/>
        <color theme="1"/>
        <rFont val="Calibri"/>
        <family val="2"/>
        <scheme val="minor"/>
      </rPr>
      <t>PVdc</t>
    </r>
    <r>
      <rPr>
        <sz val="11"/>
        <color theme="1"/>
        <rFont val="Calibri"/>
        <family val="2"/>
        <scheme val="minor"/>
      </rPr>
      <t>=(CFAxA)/1000)</t>
    </r>
  </si>
  <si>
    <r>
      <t>Battery Energy Storage System Rated Usable Energy Capacity (kWh</t>
    </r>
    <r>
      <rPr>
        <sz val="8"/>
        <color theme="1"/>
        <rFont val="Calibri"/>
        <family val="2"/>
        <scheme val="minor"/>
      </rPr>
      <t>batt</t>
    </r>
    <r>
      <rPr>
        <sz val="11"/>
        <color theme="1"/>
        <rFont val="Calibri"/>
        <family val="2"/>
        <scheme val="minor"/>
      </rPr>
      <t>=[CFA x B)/(1000 x C</t>
    </r>
    <r>
      <rPr>
        <sz val="8"/>
        <color theme="1"/>
        <rFont val="Calibri"/>
        <family val="2"/>
        <scheme val="minor"/>
      </rPr>
      <t>0.5</t>
    </r>
    <r>
      <rPr>
        <sz val="11"/>
        <color theme="1"/>
        <rFont val="Calibri"/>
        <family val="2"/>
        <scheme val="minor"/>
      </rPr>
      <t>)]</t>
    </r>
  </si>
  <si>
    <r>
      <t>Battery Energy Storage System Rated Usable Energy Capacity, SARA-Adjusted (kWh</t>
    </r>
    <r>
      <rPr>
        <sz val="8"/>
        <color theme="1"/>
        <rFont val="Calibri"/>
        <family val="2"/>
        <scheme val="minor"/>
      </rPr>
      <t>batt</t>
    </r>
    <r>
      <rPr>
        <sz val="11"/>
        <color theme="1"/>
        <rFont val="Calibri"/>
        <family val="2"/>
        <scheme val="minor"/>
      </rPr>
      <t>=[CFA x B)/(1000 x C</t>
    </r>
    <r>
      <rPr>
        <sz val="8"/>
        <color theme="1"/>
        <rFont val="Calibri"/>
        <family val="2"/>
        <scheme val="minor"/>
      </rPr>
      <t>0.5</t>
    </r>
    <r>
      <rPr>
        <sz val="11"/>
        <color theme="1"/>
        <rFont val="Calibri"/>
        <family val="2"/>
        <scheme val="minor"/>
      </rPr>
      <t>)] x (kW</t>
    </r>
    <r>
      <rPr>
        <sz val="8"/>
        <color theme="1"/>
        <rFont val="Calibri"/>
        <family val="2"/>
        <scheme val="minor"/>
      </rPr>
      <t>pvdc,SARA</t>
    </r>
    <r>
      <rPr>
        <sz val="11"/>
        <color theme="1"/>
        <rFont val="Calibri"/>
        <family val="2"/>
        <scheme val="minor"/>
      </rPr>
      <t xml:space="preserve"> / kW</t>
    </r>
    <r>
      <rPr>
        <sz val="8"/>
        <color theme="1"/>
        <rFont val="Calibri"/>
        <family val="2"/>
        <scheme val="minor"/>
      </rPr>
      <t>pvdc</t>
    </r>
    <r>
      <rPr>
        <sz val="11"/>
        <color theme="1"/>
        <rFont val="Calibri"/>
        <family val="2"/>
        <scheme val="minor"/>
      </rPr>
      <t>)</t>
    </r>
  </si>
  <si>
    <r>
      <t># of Dwelling Units (N</t>
    </r>
    <r>
      <rPr>
        <sz val="8"/>
        <color theme="1"/>
        <rFont val="Calibri"/>
        <family val="2"/>
        <scheme val="minor"/>
      </rPr>
      <t>DU</t>
    </r>
    <r>
      <rPr>
        <sz val="11"/>
        <color theme="1"/>
        <rFont val="Calibri"/>
        <family val="2"/>
        <scheme val="minor"/>
      </rPr>
      <t>):</t>
    </r>
  </si>
  <si>
    <t>B:</t>
  </si>
  <si>
    <r>
      <t>Total PV Required in kW (kW</t>
    </r>
    <r>
      <rPr>
        <sz val="8"/>
        <color theme="1"/>
        <rFont val="Calibri"/>
        <family val="2"/>
        <scheme val="minor"/>
      </rPr>
      <t>PV</t>
    </r>
    <r>
      <rPr>
        <sz val="11"/>
        <color theme="1"/>
        <rFont val="Calibri"/>
        <family val="2"/>
        <scheme val="minor"/>
      </rPr>
      <t>):</t>
    </r>
  </si>
  <si>
    <t>1. Substract sq. ft. of skylight(s) from overall roof area.  This will decrease the min. Solar Zone required.</t>
  </si>
  <si>
    <t>2. Section 110.10(b): Buildings up to 10,000 sq. ft. or less, Solar Zone(s) can be no less than 80 sq. ft. each.  Buildings over 10,000 sq. ft., Solar Zone(s) can be no less than 160 sq. ft. each.  Each zone(s) shall be no less than 5'x5' regardless of the square footage requirement.</t>
  </si>
  <si>
    <t>Is Battery Energy Storage System (BESS) Provided?</t>
  </si>
  <si>
    <t>No</t>
  </si>
  <si>
    <t>Solar Acces Roof Area (SARA)</t>
  </si>
  <si>
    <t>Photovoltiac Direct Current Size (SARA)</t>
  </si>
  <si>
    <t>Required Size of PV</t>
  </si>
  <si>
    <r>
      <t>Annual Photovoltaic Electrical Output (kW</t>
    </r>
    <r>
      <rPr>
        <sz val="8"/>
        <color theme="1"/>
        <rFont val="Calibri"/>
        <family val="2"/>
        <scheme val="minor"/>
      </rPr>
      <t>pv</t>
    </r>
    <r>
      <rPr>
        <sz val="11"/>
        <color theme="1"/>
        <rFont val="Calibri"/>
        <family val="2"/>
        <scheme val="minor"/>
      </rPr>
      <t>=(CFAxA)/1000+(N</t>
    </r>
    <r>
      <rPr>
        <sz val="8"/>
        <color theme="1"/>
        <rFont val="Calibri"/>
        <family val="2"/>
        <scheme val="minor"/>
      </rPr>
      <t>DU</t>
    </r>
    <r>
      <rPr>
        <sz val="11"/>
        <color theme="1"/>
        <rFont val="Calibri"/>
        <family val="2"/>
        <scheme val="minor"/>
      </rPr>
      <t>xB)</t>
    </r>
  </si>
  <si>
    <t>Section 150.1(14): Photovoltaic Requirements</t>
  </si>
  <si>
    <t>Is Battery Storage System Provided?</t>
  </si>
  <si>
    <t>&lt;--Sq. Ft. of available Solar area on roof</t>
  </si>
  <si>
    <t>&lt;---Percentage of area avaiable to install solar panels or enter sq. ft. that is available in Cell D20 (See Joint Appendix JA11)</t>
  </si>
  <si>
    <t>Note: 140.10(a), Exception 5: Multitenant building tenant spaces less than 2,000 sq. ft. do not require PV system.</t>
  </si>
  <si>
    <t>BESS = Battery Energy Storage System</t>
  </si>
  <si>
    <t>&lt;- Percentage difference between Cells D6 &amp; D10</t>
  </si>
  <si>
    <t>&lt;- Percentage difference between Cells D6 &amp; D14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</si>
</sst>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8"/>
      <color theme="1"/>
      <name val="Calibri"/>
      <family val="2"/>
      <scheme val="minor"/>
    </font>
    <font>
      <i/>
      <sz val="11"/>
      <color theme="1"/>
      <name val="Calibri"/>
      <family val="2"/>
      <scheme val="minor"/>
    </font>
    <font>
      <i/>
      <u/>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02">
    <xf numFmtId="0" fontId="0" fillId="0" borderId="0" xfId="0"/>
    <xf numFmtId="0" fontId="0" fillId="0" borderId="0" xfId="0" applyAlignment="1">
      <alignment vertical="center"/>
    </xf>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3" fontId="0" fillId="2" borderId="7" xfId="0" applyNumberFormat="1" applyFill="1" applyBorder="1" applyAlignment="1">
      <alignment horizontal="center" vertical="center"/>
    </xf>
    <xf numFmtId="0" fontId="0" fillId="2" borderId="8" xfId="0" applyFill="1" applyBorder="1" applyAlignment="1">
      <alignment horizontal="center" vertical="center"/>
    </xf>
    <xf numFmtId="0" fontId="0" fillId="0" borderId="8" xfId="0" applyBorder="1" applyAlignment="1">
      <alignment horizontal="center" vertical="center"/>
    </xf>
    <xf numFmtId="2" fontId="0" fillId="0" borderId="7"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right" vertical="center"/>
    </xf>
    <xf numFmtId="0" fontId="2" fillId="0" borderId="0" xfId="0" applyFont="1" applyAlignment="1">
      <alignment horizontal="left" vertical="top"/>
    </xf>
    <xf numFmtId="0" fontId="0" fillId="0" borderId="4" xfId="0" applyBorder="1" applyAlignment="1">
      <alignment vertical="center" wrapText="1"/>
    </xf>
    <xf numFmtId="0" fontId="0" fillId="0" borderId="4" xfId="0" applyBorder="1" applyAlignment="1">
      <alignment vertical="center"/>
    </xf>
    <xf numFmtId="0" fontId="2" fillId="2" borderId="27" xfId="0" applyFont="1" applyFill="1" applyBorder="1" applyAlignment="1">
      <alignment horizontal="center" vertical="center"/>
    </xf>
    <xf numFmtId="3" fontId="0" fillId="0" borderId="0" xfId="0" applyNumberFormat="1"/>
    <xf numFmtId="0" fontId="0" fillId="0" borderId="0" xfId="0" applyAlignment="1">
      <alignment vertical="center" wrapText="1"/>
    </xf>
    <xf numFmtId="1" fontId="0" fillId="0" borderId="0" xfId="0" applyNumberFormat="1" applyAlignment="1">
      <alignment vertical="center"/>
    </xf>
    <xf numFmtId="0" fontId="0" fillId="0" borderId="11" xfId="0" applyBorder="1" applyAlignment="1">
      <alignment horizontal="center" vertical="center" wrapText="1"/>
    </xf>
    <xf numFmtId="0" fontId="0" fillId="0" borderId="31" xfId="0" applyBorder="1"/>
    <xf numFmtId="3" fontId="0" fillId="3" borderId="7" xfId="0" applyNumberFormat="1" applyFill="1" applyBorder="1" applyAlignment="1">
      <alignment horizontal="center" vertical="center"/>
    </xf>
    <xf numFmtId="0" fontId="0" fillId="3" borderId="8" xfId="0" applyFill="1" applyBorder="1" applyAlignment="1">
      <alignment horizontal="center" vertical="center"/>
    </xf>
    <xf numFmtId="2" fontId="0" fillId="0" borderId="8" xfId="0" applyNumberFormat="1" applyBorder="1" applyAlignment="1">
      <alignment horizontal="center" vertical="center"/>
    </xf>
    <xf numFmtId="0" fontId="0" fillId="0" borderId="1" xfId="0" applyBorder="1" applyAlignment="1">
      <alignment horizontal="center" vertical="center"/>
    </xf>
    <xf numFmtId="3" fontId="0" fillId="0" borderId="7" xfId="0" applyNumberFormat="1" applyBorder="1" applyAlignment="1">
      <alignment horizontal="center" vertical="center"/>
    </xf>
    <xf numFmtId="9" fontId="0" fillId="3" borderId="1" xfId="0" applyNumberFormat="1" applyFill="1" applyBorder="1" applyAlignment="1">
      <alignment horizontal="center" vertical="center" wrapText="1"/>
    </xf>
    <xf numFmtId="9" fontId="0" fillId="0" borderId="8" xfId="0" applyNumberFormat="1" applyBorder="1" applyAlignment="1">
      <alignment horizontal="center" vertical="center"/>
    </xf>
    <xf numFmtId="0" fontId="0" fillId="0" borderId="1" xfId="0" applyBorder="1" applyAlignment="1">
      <alignment wrapText="1"/>
    </xf>
    <xf numFmtId="0" fontId="0" fillId="3" borderId="1" xfId="0" applyFill="1" applyBorder="1" applyAlignment="1">
      <alignment horizontal="center" vertical="center"/>
    </xf>
    <xf numFmtId="1" fontId="0" fillId="0" borderId="12" xfId="0" applyNumberFormat="1" applyBorder="1" applyAlignment="1">
      <alignment horizontal="center" vertical="center"/>
    </xf>
    <xf numFmtId="9" fontId="0" fillId="3" borderId="27" xfId="0" applyNumberFormat="1" applyFill="1" applyBorder="1" applyAlignment="1">
      <alignment horizontal="center" vertical="center"/>
    </xf>
    <xf numFmtId="0" fontId="0" fillId="0" borderId="0" xfId="0" applyAlignment="1">
      <alignment horizontal="left" vertical="center" wrapText="1"/>
    </xf>
    <xf numFmtId="1" fontId="2" fillId="0" borderId="27" xfId="0" applyNumberFormat="1" applyFont="1" applyBorder="1" applyAlignment="1">
      <alignment horizontal="center" vertical="center"/>
    </xf>
    <xf numFmtId="9" fontId="0" fillId="0" borderId="0" xfId="0" applyNumberFormat="1" applyAlignment="1">
      <alignment horizontal="center" vertical="center"/>
    </xf>
    <xf numFmtId="2" fontId="0" fillId="0" borderId="0" xfId="0" applyNumberFormat="1" applyAlignment="1">
      <alignment vertical="center"/>
    </xf>
    <xf numFmtId="0" fontId="2" fillId="0" borderId="0" xfId="0" applyFont="1" applyAlignment="1">
      <alignment vertical="top" wrapText="1"/>
    </xf>
    <xf numFmtId="0" fontId="0" fillId="0" borderId="0" xfId="0" applyAlignment="1">
      <alignment vertical="top" wrapText="1"/>
    </xf>
    <xf numFmtId="0" fontId="0" fillId="0" borderId="1" xfId="0" applyBorder="1" applyAlignment="1">
      <alignment horizontal="center" vertical="center" wrapText="1"/>
    </xf>
    <xf numFmtId="0" fontId="0" fillId="0" borderId="35" xfId="0" applyBorder="1" applyAlignment="1">
      <alignment horizontal="center" vertical="center" wrapText="1"/>
    </xf>
    <xf numFmtId="3" fontId="0" fillId="3" borderId="36" xfId="0" applyNumberFormat="1" applyFill="1" applyBorder="1" applyAlignment="1">
      <alignment horizontal="center" vertical="center"/>
    </xf>
    <xf numFmtId="0" fontId="0" fillId="0" borderId="5"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5" xfId="0" applyBorder="1" applyAlignment="1">
      <alignment horizontal="right" vertical="center"/>
    </xf>
    <xf numFmtId="0" fontId="0" fillId="0" borderId="9" xfId="0" applyBorder="1" applyAlignment="1">
      <alignment horizontal="right" vertical="center"/>
    </xf>
    <xf numFmtId="0" fontId="0" fillId="0" borderId="6" xfId="0" applyBorder="1" applyAlignment="1">
      <alignment horizontal="right" vertical="center"/>
    </xf>
    <xf numFmtId="0" fontId="2" fillId="0" borderId="0" xfId="0" applyFont="1" applyAlignment="1">
      <alignment horizontal="left" vertical="top" wrapText="1"/>
    </xf>
    <xf numFmtId="0" fontId="0" fillId="0" borderId="5"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16" xfId="0" applyBorder="1" applyAlignment="1">
      <alignment horizontal="right"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0" borderId="0" xfId="0" applyAlignment="1">
      <alignment horizontal="right" vertical="center"/>
    </xf>
    <xf numFmtId="2" fontId="0" fillId="0" borderId="18" xfId="0" applyNumberFormat="1" applyBorder="1" applyAlignment="1">
      <alignment horizontal="center" vertical="center"/>
    </xf>
    <xf numFmtId="2" fontId="0" fillId="0" borderId="19" xfId="0" applyNumberFormat="1" applyBorder="1" applyAlignment="1">
      <alignment horizontal="center" vertical="center"/>
    </xf>
    <xf numFmtId="2" fontId="0" fillId="0" borderId="20" xfId="0" applyNumberFormat="1" applyBorder="1" applyAlignment="1">
      <alignment horizontal="center" vertical="center"/>
    </xf>
    <xf numFmtId="2" fontId="0" fillId="0" borderId="13" xfId="0" applyNumberFormat="1" applyBorder="1" applyAlignment="1">
      <alignment horizontal="center" vertical="center"/>
    </xf>
    <xf numFmtId="0" fontId="0" fillId="0" borderId="10" xfId="0" applyBorder="1" applyAlignment="1">
      <alignment horizontal="center" vertical="center" wrapText="1"/>
    </xf>
    <xf numFmtId="0" fontId="0" fillId="0" borderId="21"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24" xfId="0" applyBorder="1" applyAlignment="1">
      <alignment horizontal="center" vertical="center" wrapText="1"/>
    </xf>
    <xf numFmtId="0" fontId="0" fillId="0" borderId="26" xfId="0" applyBorder="1" applyAlignment="1">
      <alignment horizontal="center" vertical="center" wrapText="1"/>
    </xf>
    <xf numFmtId="0" fontId="0" fillId="0" borderId="25" xfId="0" applyBorder="1" applyAlignment="1">
      <alignment horizontal="center" vertical="center" wrapText="1"/>
    </xf>
    <xf numFmtId="0" fontId="0" fillId="0" borderId="2" xfId="0" applyBorder="1" applyAlignment="1">
      <alignment horizontal="center" vertical="center" wrapText="1"/>
    </xf>
    <xf numFmtId="1" fontId="0" fillId="0" borderId="7" xfId="0" applyNumberFormat="1" applyBorder="1" applyAlignment="1">
      <alignment horizontal="center" vertical="center"/>
    </xf>
    <xf numFmtId="1" fontId="0" fillId="0" borderId="13" xfId="0" applyNumberForma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1" fontId="0" fillId="0" borderId="30" xfId="0" applyNumberFormat="1" applyBorder="1" applyAlignment="1">
      <alignment horizontal="center" vertical="center"/>
    </xf>
    <xf numFmtId="0" fontId="0" fillId="0" borderId="0" xfId="0" applyAlignment="1">
      <alignment horizontal="center" vertical="center"/>
    </xf>
    <xf numFmtId="0" fontId="0" fillId="3" borderId="18" xfId="0" applyFill="1" applyBorder="1" applyAlignment="1">
      <alignment horizontal="center" vertical="center" wrapText="1"/>
    </xf>
    <xf numFmtId="0" fontId="0" fillId="3" borderId="20" xfId="0" applyFill="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3" borderId="5" xfId="0" applyFill="1" applyBorder="1" applyAlignment="1">
      <alignment horizontal="center" vertical="center"/>
    </xf>
    <xf numFmtId="0" fontId="0" fillId="3" borderId="9" xfId="0" applyFill="1" applyBorder="1" applyAlignment="1">
      <alignment horizontal="center" vertical="center"/>
    </xf>
    <xf numFmtId="0" fontId="0" fillId="3" borderId="6" xfId="0" applyFill="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4" fillId="0" borderId="24"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28" xfId="0" applyFont="1" applyBorder="1" applyAlignment="1">
      <alignment horizontal="center" vertical="center" wrapText="1"/>
    </xf>
    <xf numFmtId="2" fontId="4" fillId="0" borderId="7"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30" xfId="0" applyFont="1" applyBorder="1" applyAlignment="1">
      <alignment horizontal="center" vertical="center" wrapText="1"/>
    </xf>
    <xf numFmtId="2"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
  <sheetViews>
    <sheetView workbookViewId="0">
      <selection activeCell="B10" sqref="B10"/>
    </sheetView>
  </sheetViews>
  <sheetFormatPr defaultRowHeight="15" x14ac:dyDescent="0.25"/>
  <cols>
    <col min="1" max="1" width="13.7109375" customWidth="1"/>
    <col min="2" max="2" width="13.42578125" customWidth="1"/>
    <col min="3" max="3" width="9.140625" customWidth="1"/>
    <col min="4" max="4" width="16.28515625" customWidth="1"/>
    <col min="11" max="11" width="29.140625" hidden="1" customWidth="1"/>
    <col min="12" max="27" width="9.140625" hidden="1" customWidth="1"/>
  </cols>
  <sheetData>
    <row r="1" spans="1:27" ht="15.75" thickBot="1" x14ac:dyDescent="0.3">
      <c r="A1" s="45" t="s">
        <v>32</v>
      </c>
      <c r="B1" s="46"/>
      <c r="C1" s="46"/>
      <c r="D1" s="46"/>
      <c r="E1" s="47"/>
    </row>
    <row r="2" spans="1:27" ht="15.75" thickBot="1" x14ac:dyDescent="0.3">
      <c r="A2" s="64" t="s">
        <v>7</v>
      </c>
      <c r="B2" s="64"/>
      <c r="C2" s="62" t="s">
        <v>8</v>
      </c>
      <c r="D2" s="63"/>
      <c r="E2" s="1"/>
      <c r="F2" s="1"/>
      <c r="L2" s="58" t="s">
        <v>6</v>
      </c>
      <c r="M2" s="59"/>
      <c r="N2" s="59"/>
      <c r="O2" s="59"/>
      <c r="P2" s="59"/>
      <c r="Q2" s="59"/>
      <c r="R2" s="59"/>
      <c r="S2" s="59"/>
      <c r="T2" s="59"/>
      <c r="U2" s="59"/>
      <c r="V2" s="59"/>
      <c r="W2" s="59"/>
      <c r="X2" s="59"/>
      <c r="Y2" s="59"/>
      <c r="Z2" s="59"/>
      <c r="AA2" s="60"/>
    </row>
    <row r="3" spans="1:27" ht="15.75" thickBot="1" x14ac:dyDescent="0.3">
      <c r="C3" s="1"/>
      <c r="D3" s="1"/>
      <c r="E3" s="1"/>
      <c r="F3" s="1"/>
      <c r="G3" s="1"/>
      <c r="K3" s="4" t="s">
        <v>0</v>
      </c>
      <c r="L3" s="2">
        <v>1</v>
      </c>
      <c r="M3" s="2">
        <v>2</v>
      </c>
      <c r="N3" s="2">
        <v>3</v>
      </c>
      <c r="O3" s="2">
        <v>4</v>
      </c>
      <c r="P3" s="2">
        <v>5</v>
      </c>
      <c r="Q3" s="2">
        <v>6</v>
      </c>
      <c r="R3" s="2">
        <v>7</v>
      </c>
      <c r="S3" s="2">
        <v>8</v>
      </c>
      <c r="T3" s="2">
        <v>9</v>
      </c>
      <c r="U3" s="2">
        <v>10</v>
      </c>
      <c r="V3" s="2">
        <v>11</v>
      </c>
      <c r="W3" s="2">
        <v>12</v>
      </c>
      <c r="X3" s="2">
        <v>13</v>
      </c>
      <c r="Y3" s="2">
        <v>14</v>
      </c>
      <c r="Z3" s="2">
        <v>15</v>
      </c>
      <c r="AA3" s="2">
        <v>16</v>
      </c>
    </row>
    <row r="4" spans="1:27" ht="15" customHeight="1" thickBot="1" x14ac:dyDescent="0.3">
      <c r="A4" s="52" t="s">
        <v>26</v>
      </c>
      <c r="B4" s="53"/>
      <c r="C4" s="53"/>
      <c r="D4" s="53"/>
      <c r="E4" s="54"/>
      <c r="G4" s="74" t="s">
        <v>40</v>
      </c>
      <c r="H4" s="75"/>
      <c r="I4" s="74" t="s">
        <v>39</v>
      </c>
      <c r="J4" s="80"/>
      <c r="K4" s="17" t="s">
        <v>1</v>
      </c>
      <c r="L4" s="2">
        <v>2.62</v>
      </c>
      <c r="M4" s="2">
        <v>2.91</v>
      </c>
      <c r="N4" s="2">
        <v>2.62</v>
      </c>
      <c r="O4" s="2">
        <v>2.91</v>
      </c>
      <c r="P4" s="2">
        <v>2.62</v>
      </c>
      <c r="Q4" s="2">
        <v>2.91</v>
      </c>
      <c r="R4" s="2">
        <v>2.91</v>
      </c>
      <c r="S4" s="2">
        <v>2.91</v>
      </c>
      <c r="T4" s="2">
        <v>2.91</v>
      </c>
      <c r="U4" s="2">
        <v>2.91</v>
      </c>
      <c r="V4" s="2">
        <v>2.91</v>
      </c>
      <c r="W4" s="2">
        <v>2.91</v>
      </c>
      <c r="X4" s="2">
        <v>2.91</v>
      </c>
      <c r="Y4" s="2">
        <v>2.91</v>
      </c>
      <c r="Z4" s="2">
        <v>3.53</v>
      </c>
      <c r="AA4" s="2">
        <v>2.62</v>
      </c>
    </row>
    <row r="5" spans="1:27" ht="30" customHeight="1" x14ac:dyDescent="0.25">
      <c r="A5" s="9" t="s">
        <v>17</v>
      </c>
      <c r="B5" s="10" t="s">
        <v>18</v>
      </c>
      <c r="C5" s="10" t="s">
        <v>19</v>
      </c>
      <c r="D5" s="69" t="s">
        <v>25</v>
      </c>
      <c r="E5" s="70"/>
      <c r="G5" s="76"/>
      <c r="H5" s="77"/>
      <c r="I5" s="76"/>
      <c r="J5" s="81"/>
      <c r="K5" s="17" t="s">
        <v>2</v>
      </c>
      <c r="L5" s="2">
        <v>1.82</v>
      </c>
      <c r="M5" s="2">
        <v>2.21</v>
      </c>
      <c r="N5" s="2">
        <v>1.82</v>
      </c>
      <c r="O5" s="2">
        <v>2.21</v>
      </c>
      <c r="P5" s="2">
        <v>1.82</v>
      </c>
      <c r="Q5" s="2">
        <v>2.21</v>
      </c>
      <c r="R5" s="2">
        <v>2.21</v>
      </c>
      <c r="S5" s="2">
        <v>2.21</v>
      </c>
      <c r="T5" s="2">
        <v>2.21</v>
      </c>
      <c r="U5" s="2">
        <v>2.21</v>
      </c>
      <c r="V5" s="2">
        <v>2.21</v>
      </c>
      <c r="W5" s="2">
        <v>2.21</v>
      </c>
      <c r="X5" s="2">
        <v>2.21</v>
      </c>
      <c r="Y5" s="2">
        <v>2.21</v>
      </c>
      <c r="Z5" s="2">
        <v>2.77</v>
      </c>
      <c r="AA5" s="2">
        <v>1.82</v>
      </c>
    </row>
    <row r="6" spans="1:27" ht="15.75" thickBot="1" x14ac:dyDescent="0.3">
      <c r="A6" s="5">
        <v>2400</v>
      </c>
      <c r="B6" s="6">
        <v>9</v>
      </c>
      <c r="C6" s="7">
        <f>INDEX(Table1,MATCH(C2,BldgUse,0),MATCH(B6,ClimateZones,0))</f>
        <v>3.13</v>
      </c>
      <c r="D6" s="68">
        <f>IF(D16&lt;80,"Not Required",IF(SUM(A6*C6)/1000&lt;4,"Not Required",IF((D16*14)/1000&lt;4,"Not Required",IF(D16&lt;(A6*0.03),"Not Required",IF((D16*14)/1000&lt;(A6*C6)/1000,(D16*14)/1000,(A6*C6)/1000)))))</f>
        <v>7.5119999999999996</v>
      </c>
      <c r="E6" s="67"/>
      <c r="G6" s="78">
        <f>IF(D6="Not Required","N/A",SUM((D6*1000)/320))</f>
        <v>23.475000000000001</v>
      </c>
      <c r="H6" s="79"/>
      <c r="I6" s="78">
        <f>IF(G6="N/A","N/A",SUM(G6*15))</f>
        <v>352.125</v>
      </c>
      <c r="J6" s="82"/>
      <c r="K6" s="18" t="s">
        <v>8</v>
      </c>
      <c r="L6" s="2">
        <v>2.59</v>
      </c>
      <c r="M6" s="2">
        <v>3.13</v>
      </c>
      <c r="N6" s="2">
        <v>2.59</v>
      </c>
      <c r="O6" s="2">
        <v>3.13</v>
      </c>
      <c r="P6" s="2">
        <v>2.59</v>
      </c>
      <c r="Q6" s="2">
        <v>3.13</v>
      </c>
      <c r="R6" s="2">
        <v>3.13</v>
      </c>
      <c r="S6" s="2">
        <v>3.13</v>
      </c>
      <c r="T6" s="2">
        <v>3.13</v>
      </c>
      <c r="U6" s="2">
        <v>3.13</v>
      </c>
      <c r="V6" s="2">
        <v>3.13</v>
      </c>
      <c r="W6" s="2">
        <v>3.13</v>
      </c>
      <c r="X6" s="2">
        <v>3.13</v>
      </c>
      <c r="Y6" s="2">
        <v>3.13</v>
      </c>
      <c r="Z6" s="2">
        <v>3.8</v>
      </c>
      <c r="AA6" s="2">
        <v>2.59</v>
      </c>
    </row>
    <row r="7" spans="1:27" ht="15.75" thickBot="1" x14ac:dyDescent="0.3">
      <c r="K7" s="4" t="s">
        <v>9</v>
      </c>
      <c r="L7" s="2">
        <v>2.59</v>
      </c>
      <c r="M7" s="2">
        <v>3.13</v>
      </c>
      <c r="N7" s="2">
        <v>2.59</v>
      </c>
      <c r="O7" s="2">
        <v>3.13</v>
      </c>
      <c r="P7" s="2">
        <v>2.59</v>
      </c>
      <c r="Q7" s="2">
        <v>3.13</v>
      </c>
      <c r="R7" s="2">
        <v>3.13</v>
      </c>
      <c r="S7" s="2">
        <v>3.13</v>
      </c>
      <c r="T7" s="2">
        <v>3.13</v>
      </c>
      <c r="U7" s="2">
        <v>3.13</v>
      </c>
      <c r="V7" s="2">
        <v>3.13</v>
      </c>
      <c r="W7" s="2">
        <v>3.13</v>
      </c>
      <c r="X7" s="2">
        <v>3.13</v>
      </c>
      <c r="Y7" s="2">
        <v>3.13</v>
      </c>
      <c r="Z7" s="2">
        <v>3.8</v>
      </c>
      <c r="AA7" s="2">
        <v>2.59</v>
      </c>
    </row>
    <row r="8" spans="1:27" ht="15" customHeight="1" thickBot="1" x14ac:dyDescent="0.3">
      <c r="A8" s="52" t="s">
        <v>27</v>
      </c>
      <c r="B8" s="53"/>
      <c r="C8" s="53"/>
      <c r="D8" s="53"/>
      <c r="E8" s="54"/>
      <c r="G8" s="21"/>
      <c r="H8" s="21"/>
      <c r="I8" s="21"/>
      <c r="J8" s="21"/>
      <c r="K8" s="17" t="s">
        <v>10</v>
      </c>
      <c r="L8" s="2">
        <v>2.59</v>
      </c>
      <c r="M8" s="2">
        <v>3.13</v>
      </c>
      <c r="N8" s="2">
        <v>2.59</v>
      </c>
      <c r="O8" s="2">
        <v>3.13</v>
      </c>
      <c r="P8" s="2">
        <v>2.59</v>
      </c>
      <c r="Q8" s="2">
        <v>3.13</v>
      </c>
      <c r="R8" s="2">
        <v>3.13</v>
      </c>
      <c r="S8" s="2">
        <v>3.13</v>
      </c>
      <c r="T8" s="2">
        <v>3.13</v>
      </c>
      <c r="U8" s="2">
        <v>3.13</v>
      </c>
      <c r="V8" s="2">
        <v>3.13</v>
      </c>
      <c r="W8" s="2">
        <v>3.13</v>
      </c>
      <c r="X8" s="2">
        <v>3.13</v>
      </c>
      <c r="Y8" s="2">
        <v>3.13</v>
      </c>
      <c r="Z8" s="2">
        <v>3.8</v>
      </c>
      <c r="AA8" s="2">
        <v>2.59</v>
      </c>
    </row>
    <row r="9" spans="1:27" ht="30" customHeight="1" x14ac:dyDescent="0.25">
      <c r="A9" s="9" t="s">
        <v>29</v>
      </c>
      <c r="B9" s="10" t="s">
        <v>30</v>
      </c>
      <c r="C9" s="13" t="s">
        <v>24</v>
      </c>
      <c r="D9" s="69" t="s">
        <v>43</v>
      </c>
      <c r="E9" s="70"/>
      <c r="G9" s="21"/>
      <c r="H9" s="21"/>
      <c r="I9" s="21"/>
      <c r="J9" s="21"/>
      <c r="K9" s="17" t="s">
        <v>3</v>
      </c>
      <c r="L9" s="2">
        <v>2.62</v>
      </c>
      <c r="M9" s="2">
        <v>2.91</v>
      </c>
      <c r="N9" s="2">
        <v>2.62</v>
      </c>
      <c r="O9" s="2">
        <v>2.91</v>
      </c>
      <c r="P9" s="2">
        <v>2.62</v>
      </c>
      <c r="Q9" s="2">
        <v>2.91</v>
      </c>
      <c r="R9" s="2">
        <v>2.91</v>
      </c>
      <c r="S9" s="2">
        <v>2.91</v>
      </c>
      <c r="T9" s="2">
        <v>2.91</v>
      </c>
      <c r="U9" s="2">
        <v>2.91</v>
      </c>
      <c r="V9" s="2">
        <v>2.91</v>
      </c>
      <c r="W9" s="2">
        <v>2.91</v>
      </c>
      <c r="X9" s="2">
        <v>2.91</v>
      </c>
      <c r="Y9" s="2">
        <v>2.91</v>
      </c>
      <c r="Z9" s="2">
        <v>3.53</v>
      </c>
      <c r="AA9" s="2">
        <v>2.62</v>
      </c>
    </row>
    <row r="10" spans="1:27" ht="15" customHeight="1" thickBot="1" x14ac:dyDescent="0.3">
      <c r="A10" s="8">
        <f>D6</f>
        <v>7.5119999999999996</v>
      </c>
      <c r="B10" s="7">
        <f>INDEX(L22:L36,MATCH(C2,K22:K36,0))</f>
        <v>1.68</v>
      </c>
      <c r="C10" s="7">
        <v>80</v>
      </c>
      <c r="D10" s="68">
        <f>IF(D6="Not Required","N/A",IF(A10*(B10/(C10/100)^0.5)&lt;10,"Not Required",IF(A10*(B10/(C10/100)^0.5)&lt;(D6*15%),"Not Required",IF(AND(C2="Hotel/Motel",A6&lt;5000),"Not Required",IF(AND(C2="High-Rise Multi-Family",A6&lt;5000),"Not Required",IF(AND(B6=1,OR(C2="Office",C2="School",C2="Warehouse")),"Not Required",SUM(A10*(B10/(C10/100)^0.5))))))))</f>
        <v>14.109767823461871</v>
      </c>
      <c r="E10" s="67"/>
      <c r="G10" s="22"/>
      <c r="H10" s="22"/>
      <c r="I10" s="22"/>
      <c r="J10" s="22"/>
      <c r="K10" s="17" t="s">
        <v>4</v>
      </c>
      <c r="L10" s="2">
        <v>1.27</v>
      </c>
      <c r="M10" s="2">
        <v>1.63</v>
      </c>
      <c r="N10" s="2">
        <v>1.27</v>
      </c>
      <c r="O10" s="2">
        <v>1.63</v>
      </c>
      <c r="P10" s="2">
        <v>1.27</v>
      </c>
      <c r="Q10" s="2">
        <v>1.63</v>
      </c>
      <c r="R10" s="2">
        <v>1.63</v>
      </c>
      <c r="S10" s="2">
        <v>1.63</v>
      </c>
      <c r="T10" s="2">
        <v>1.63</v>
      </c>
      <c r="U10" s="2">
        <v>1.63</v>
      </c>
      <c r="V10" s="2">
        <v>1.63</v>
      </c>
      <c r="W10" s="2">
        <v>1.63</v>
      </c>
      <c r="X10" s="2">
        <v>1.63</v>
      </c>
      <c r="Y10" s="2">
        <v>1.63</v>
      </c>
      <c r="Z10" s="2">
        <v>2.46</v>
      </c>
      <c r="AA10" s="2">
        <v>1.27</v>
      </c>
    </row>
    <row r="11" spans="1:27" ht="15" customHeight="1" thickBot="1" x14ac:dyDescent="0.3">
      <c r="K11" s="3" t="s">
        <v>5</v>
      </c>
      <c r="L11" s="2">
        <v>0.39</v>
      </c>
      <c r="M11" s="2">
        <v>0.44</v>
      </c>
      <c r="N11" s="2">
        <v>0.39</v>
      </c>
      <c r="O11" s="2">
        <v>0.44</v>
      </c>
      <c r="P11" s="2">
        <v>0.39</v>
      </c>
      <c r="Q11" s="2">
        <v>0.44</v>
      </c>
      <c r="R11" s="2">
        <v>0.44</v>
      </c>
      <c r="S11" s="2">
        <v>0.44</v>
      </c>
      <c r="T11" s="2">
        <v>0.44</v>
      </c>
      <c r="U11" s="2">
        <v>0.44</v>
      </c>
      <c r="V11" s="2">
        <v>0.44</v>
      </c>
      <c r="W11" s="2">
        <v>0.44</v>
      </c>
      <c r="X11" s="2">
        <v>0.44</v>
      </c>
      <c r="Y11" s="2">
        <v>0.44</v>
      </c>
      <c r="Z11" s="2">
        <v>0.57999999999999996</v>
      </c>
      <c r="AA11" s="2">
        <v>0.39</v>
      </c>
    </row>
    <row r="12" spans="1:27" ht="15" customHeight="1" thickBot="1" x14ac:dyDescent="0.3">
      <c r="A12" s="52" t="s">
        <v>28</v>
      </c>
      <c r="B12" s="53"/>
      <c r="C12" s="53"/>
      <c r="D12" s="53"/>
      <c r="E12" s="54"/>
      <c r="K12" s="3" t="s">
        <v>15</v>
      </c>
      <c r="L12" s="2">
        <v>0.39</v>
      </c>
      <c r="M12" s="2">
        <v>0.44</v>
      </c>
      <c r="N12" s="2">
        <v>0.39</v>
      </c>
      <c r="O12" s="2">
        <v>0.44</v>
      </c>
      <c r="P12" s="2">
        <v>0.39</v>
      </c>
      <c r="Q12" s="2">
        <v>0.44</v>
      </c>
      <c r="R12" s="2">
        <v>0.44</v>
      </c>
      <c r="S12" s="2">
        <v>0.44</v>
      </c>
      <c r="T12" s="2">
        <v>0.44</v>
      </c>
      <c r="U12" s="2">
        <v>0.44</v>
      </c>
      <c r="V12" s="2">
        <v>0.44</v>
      </c>
      <c r="W12" s="2">
        <v>0.44</v>
      </c>
      <c r="X12" s="2">
        <v>0.44</v>
      </c>
      <c r="Y12" s="2">
        <v>0.44</v>
      </c>
      <c r="Z12" s="2">
        <v>0.57999999999999996</v>
      </c>
      <c r="AA12" s="2">
        <v>0.39</v>
      </c>
    </row>
    <row r="13" spans="1:27" ht="30" customHeight="1" x14ac:dyDescent="0.25">
      <c r="A13" s="9" t="s">
        <v>29</v>
      </c>
      <c r="B13" s="12" t="s">
        <v>31</v>
      </c>
      <c r="C13" s="71" t="s">
        <v>44</v>
      </c>
      <c r="D13" s="72"/>
      <c r="E13" s="73"/>
      <c r="K13" s="4" t="s">
        <v>14</v>
      </c>
      <c r="L13" s="2">
        <v>0.39</v>
      </c>
      <c r="M13" s="2">
        <v>0.44</v>
      </c>
      <c r="N13" s="2">
        <v>0.39</v>
      </c>
      <c r="O13" s="2">
        <v>0.44</v>
      </c>
      <c r="P13" s="2">
        <v>0.39</v>
      </c>
      <c r="Q13" s="2">
        <v>0.44</v>
      </c>
      <c r="R13" s="2">
        <v>0.44</v>
      </c>
      <c r="S13" s="2">
        <v>0.44</v>
      </c>
      <c r="T13" s="2">
        <v>0.44</v>
      </c>
      <c r="U13" s="2">
        <v>0.44</v>
      </c>
      <c r="V13" s="2">
        <v>0.44</v>
      </c>
      <c r="W13" s="2">
        <v>0.44</v>
      </c>
      <c r="X13" s="2">
        <v>0.44</v>
      </c>
      <c r="Y13" s="2">
        <v>0.44</v>
      </c>
      <c r="Z13" s="2">
        <v>0.57999999999999996</v>
      </c>
      <c r="AA13" s="2">
        <v>0.39</v>
      </c>
    </row>
    <row r="14" spans="1:27" ht="15.75" thickBot="1" x14ac:dyDescent="0.3">
      <c r="A14" s="8">
        <f>D6</f>
        <v>7.5119999999999996</v>
      </c>
      <c r="B14" s="11">
        <f>INDEX(M22:M36,MATCH(C2,K22:K36,0))</f>
        <v>0.42</v>
      </c>
      <c r="C14" s="65">
        <f>IF(D6="Not Required","N/A",IF(OR(D10="Not Required",D10="N/A"),"N/A",SUM(A14*B14)))</f>
        <v>3.1550399999999996</v>
      </c>
      <c r="D14" s="66"/>
      <c r="E14" s="67"/>
      <c r="G14" s="20"/>
      <c r="K14" s="4" t="s">
        <v>16</v>
      </c>
      <c r="L14" s="2">
        <v>0.39</v>
      </c>
      <c r="M14" s="2">
        <v>0.44</v>
      </c>
      <c r="N14" s="2">
        <v>0.39</v>
      </c>
      <c r="O14" s="2">
        <v>0.44</v>
      </c>
      <c r="P14" s="2">
        <v>0.39</v>
      </c>
      <c r="Q14" s="2">
        <v>0.44</v>
      </c>
      <c r="R14" s="2">
        <v>0.44</v>
      </c>
      <c r="S14" s="2">
        <v>0.44</v>
      </c>
      <c r="T14" s="2">
        <v>0.44</v>
      </c>
      <c r="U14" s="2">
        <v>0.44</v>
      </c>
      <c r="V14" s="2">
        <v>0.44</v>
      </c>
      <c r="W14" s="2">
        <v>0.44</v>
      </c>
      <c r="X14" s="2">
        <v>0.44</v>
      </c>
      <c r="Y14" s="2">
        <v>0.44</v>
      </c>
      <c r="Z14" s="2">
        <v>0.57999999999999996</v>
      </c>
      <c r="AA14" s="2">
        <v>0.39</v>
      </c>
    </row>
    <row r="15" spans="1:27" ht="15.75" thickBot="1" x14ac:dyDescent="0.3">
      <c r="K15" s="4" t="s">
        <v>20</v>
      </c>
      <c r="L15" s="2">
        <v>0.39</v>
      </c>
      <c r="M15" s="2">
        <v>0.44</v>
      </c>
      <c r="N15" s="2">
        <v>0.39</v>
      </c>
      <c r="O15" s="2">
        <v>0.44</v>
      </c>
      <c r="P15" s="2">
        <v>0.39</v>
      </c>
      <c r="Q15" s="2">
        <v>0.44</v>
      </c>
      <c r="R15" s="2">
        <v>0.44</v>
      </c>
      <c r="S15" s="2">
        <v>0.44</v>
      </c>
      <c r="T15" s="2">
        <v>0.44</v>
      </c>
      <c r="U15" s="2">
        <v>0.44</v>
      </c>
      <c r="V15" s="2">
        <v>0.44</v>
      </c>
      <c r="W15" s="2">
        <v>0.44</v>
      </c>
      <c r="X15" s="2">
        <v>0.44</v>
      </c>
      <c r="Y15" s="2">
        <v>0.44</v>
      </c>
      <c r="Z15" s="2">
        <v>0.57999999999999996</v>
      </c>
      <c r="AA15" s="2">
        <v>0.39</v>
      </c>
    </row>
    <row r="16" spans="1:27" ht="15.75" thickBot="1" x14ac:dyDescent="0.3">
      <c r="A16" s="48" t="s">
        <v>41</v>
      </c>
      <c r="B16" s="49"/>
      <c r="C16" s="50"/>
      <c r="D16" s="19">
        <v>1400</v>
      </c>
      <c r="E16" s="56" t="s">
        <v>45</v>
      </c>
      <c r="F16" s="56"/>
      <c r="G16" s="56"/>
      <c r="H16" s="56"/>
      <c r="K16" s="4" t="s">
        <v>13</v>
      </c>
      <c r="L16" s="2">
        <v>0.39</v>
      </c>
      <c r="M16" s="2">
        <v>0.44</v>
      </c>
      <c r="N16" s="2">
        <v>0.39</v>
      </c>
      <c r="O16" s="2">
        <v>0.44</v>
      </c>
      <c r="P16" s="2">
        <v>0.39</v>
      </c>
      <c r="Q16" s="2">
        <v>0.44</v>
      </c>
      <c r="R16" s="2">
        <v>0.44</v>
      </c>
      <c r="S16" s="2">
        <v>0.44</v>
      </c>
      <c r="T16" s="2">
        <v>0.44</v>
      </c>
      <c r="U16" s="2">
        <v>0.44</v>
      </c>
      <c r="V16" s="2">
        <v>0.44</v>
      </c>
      <c r="W16" s="2">
        <v>0.44</v>
      </c>
      <c r="X16" s="2">
        <v>0.44</v>
      </c>
      <c r="Y16" s="2">
        <v>0.44</v>
      </c>
      <c r="Z16" s="2">
        <v>0.57999999999999996</v>
      </c>
      <c r="AA16" s="2">
        <v>0.39</v>
      </c>
    </row>
    <row r="17" spans="1:27" x14ac:dyDescent="0.25">
      <c r="E17" s="56"/>
      <c r="F17" s="56"/>
      <c r="G17" s="56"/>
      <c r="H17" s="56"/>
      <c r="K17" s="4" t="s">
        <v>11</v>
      </c>
      <c r="L17" s="2">
        <v>0.39</v>
      </c>
      <c r="M17" s="2">
        <v>0.44</v>
      </c>
      <c r="N17" s="2">
        <v>0.39</v>
      </c>
      <c r="O17" s="2">
        <v>0.44</v>
      </c>
      <c r="P17" s="2">
        <v>0.39</v>
      </c>
      <c r="Q17" s="2">
        <v>0.44</v>
      </c>
      <c r="R17" s="2">
        <v>0.44</v>
      </c>
      <c r="S17" s="2">
        <v>0.44</v>
      </c>
      <c r="T17" s="2">
        <v>0.44</v>
      </c>
      <c r="U17" s="2">
        <v>0.44</v>
      </c>
      <c r="V17" s="2">
        <v>0.44</v>
      </c>
      <c r="W17" s="2">
        <v>0.44</v>
      </c>
      <c r="X17" s="2">
        <v>0.44</v>
      </c>
      <c r="Y17" s="2">
        <v>0.44</v>
      </c>
      <c r="Z17" s="2">
        <v>0.57999999999999996</v>
      </c>
      <c r="AA17" s="2">
        <v>0.39</v>
      </c>
    </row>
    <row r="18" spans="1:27" ht="15.75" thickBot="1" x14ac:dyDescent="0.3">
      <c r="K18" s="4" t="s">
        <v>12</v>
      </c>
      <c r="L18" s="2">
        <v>0.39</v>
      </c>
      <c r="M18" s="2">
        <v>0.44</v>
      </c>
      <c r="N18" s="2">
        <v>0.39</v>
      </c>
      <c r="O18" s="2">
        <v>0.44</v>
      </c>
      <c r="P18" s="2">
        <v>0.39</v>
      </c>
      <c r="Q18" s="2">
        <v>0.44</v>
      </c>
      <c r="R18" s="2">
        <v>0.44</v>
      </c>
      <c r="S18" s="2">
        <v>0.44</v>
      </c>
      <c r="T18" s="2">
        <v>0.44</v>
      </c>
      <c r="U18" s="2">
        <v>0.44</v>
      </c>
      <c r="V18" s="2">
        <v>0.44</v>
      </c>
      <c r="W18" s="2">
        <v>0.44</v>
      </c>
      <c r="X18" s="2">
        <v>0.44</v>
      </c>
      <c r="Y18" s="2">
        <v>0.44</v>
      </c>
      <c r="Z18" s="2">
        <v>0.57999999999999996</v>
      </c>
      <c r="AA18" s="2">
        <v>0.39</v>
      </c>
    </row>
    <row r="19" spans="1:27" ht="15.75" thickBot="1" x14ac:dyDescent="0.3">
      <c r="A19" s="45" t="s">
        <v>38</v>
      </c>
      <c r="B19" s="46"/>
      <c r="C19" s="46"/>
      <c r="D19" s="46"/>
      <c r="E19" s="47"/>
    </row>
    <row r="20" spans="1:27" x14ac:dyDescent="0.25">
      <c r="A20" s="55" t="s">
        <v>42</v>
      </c>
      <c r="B20" s="55"/>
      <c r="C20" s="55"/>
      <c r="D20" s="14">
        <f>SUM(A6*15%)</f>
        <v>360</v>
      </c>
      <c r="E20" t="s">
        <v>33</v>
      </c>
      <c r="K20" s="61" t="s">
        <v>23</v>
      </c>
      <c r="L20" s="61"/>
      <c r="M20" s="61"/>
    </row>
    <row r="21" spans="1:27" ht="14.45" customHeight="1" x14ac:dyDescent="0.25">
      <c r="A21" s="15" t="s">
        <v>34</v>
      </c>
      <c r="B21" s="16" t="s">
        <v>35</v>
      </c>
      <c r="K21" s="4"/>
      <c r="L21" s="2" t="s">
        <v>21</v>
      </c>
      <c r="M21" s="2" t="s">
        <v>22</v>
      </c>
    </row>
    <row r="22" spans="1:27" x14ac:dyDescent="0.25">
      <c r="B22" s="51" t="s">
        <v>36</v>
      </c>
      <c r="C22" s="51"/>
      <c r="D22" s="51"/>
      <c r="E22" s="51"/>
      <c r="K22" s="3" t="s">
        <v>1</v>
      </c>
      <c r="L22" s="2">
        <v>1.03</v>
      </c>
      <c r="M22" s="2">
        <v>0.26</v>
      </c>
    </row>
    <row r="23" spans="1:27" x14ac:dyDescent="0.25">
      <c r="B23" s="51"/>
      <c r="C23" s="51"/>
      <c r="D23" s="51"/>
      <c r="E23" s="51"/>
      <c r="K23" s="3" t="s">
        <v>2</v>
      </c>
      <c r="L23" s="2">
        <v>1.03</v>
      </c>
      <c r="M23" s="2">
        <v>0.26</v>
      </c>
    </row>
    <row r="24" spans="1:27" x14ac:dyDescent="0.25">
      <c r="B24" s="57" t="s">
        <v>37</v>
      </c>
      <c r="C24" s="57"/>
      <c r="D24" s="57"/>
      <c r="E24" s="57"/>
      <c r="K24" s="4" t="s">
        <v>8</v>
      </c>
      <c r="L24" s="2">
        <v>1.68</v>
      </c>
      <c r="M24" s="2">
        <v>0.42</v>
      </c>
    </row>
    <row r="25" spans="1:27" x14ac:dyDescent="0.25">
      <c r="B25" s="57"/>
      <c r="C25" s="57"/>
      <c r="D25" s="57"/>
      <c r="E25" s="57"/>
      <c r="K25" s="4" t="s">
        <v>9</v>
      </c>
      <c r="L25" s="2">
        <v>1.68</v>
      </c>
      <c r="M25" s="2">
        <v>0.42</v>
      </c>
    </row>
    <row r="26" spans="1:27" x14ac:dyDescent="0.25">
      <c r="B26" s="57"/>
      <c r="C26" s="57"/>
      <c r="D26" s="57"/>
      <c r="E26" s="57"/>
      <c r="K26" s="3" t="s">
        <v>10</v>
      </c>
      <c r="L26" s="2">
        <v>1.68</v>
      </c>
      <c r="M26" s="2">
        <v>0.42</v>
      </c>
    </row>
    <row r="27" spans="1:27" x14ac:dyDescent="0.25">
      <c r="B27" s="57"/>
      <c r="C27" s="57"/>
      <c r="D27" s="57"/>
      <c r="E27" s="57"/>
      <c r="K27" s="3" t="s">
        <v>3</v>
      </c>
      <c r="L27" s="2">
        <v>1.03</v>
      </c>
      <c r="M27" s="2">
        <v>0.26</v>
      </c>
    </row>
    <row r="28" spans="1:27" x14ac:dyDescent="0.25">
      <c r="B28" s="57"/>
      <c r="C28" s="57"/>
      <c r="D28" s="57"/>
      <c r="E28" s="57"/>
      <c r="K28" s="3" t="s">
        <v>4</v>
      </c>
      <c r="L28" s="2">
        <v>1.87</v>
      </c>
      <c r="M28" s="2">
        <v>0.46</v>
      </c>
    </row>
    <row r="29" spans="1:27" x14ac:dyDescent="0.25">
      <c r="B29" s="57"/>
      <c r="C29" s="57"/>
      <c r="D29" s="57"/>
      <c r="E29" s="57"/>
      <c r="K29" s="3" t="s">
        <v>5</v>
      </c>
      <c r="L29" s="2">
        <v>0.93</v>
      </c>
      <c r="M29" s="2">
        <v>0.23</v>
      </c>
    </row>
    <row r="30" spans="1:27" x14ac:dyDescent="0.25">
      <c r="K30" s="3" t="s">
        <v>15</v>
      </c>
      <c r="L30" s="2">
        <v>0.93</v>
      </c>
      <c r="M30" s="2">
        <v>0.23</v>
      </c>
    </row>
    <row r="31" spans="1:27" x14ac:dyDescent="0.25">
      <c r="A31" s="15" t="s">
        <v>34</v>
      </c>
      <c r="B31" s="16" t="s">
        <v>46</v>
      </c>
      <c r="K31" s="4" t="s">
        <v>14</v>
      </c>
      <c r="L31" s="2">
        <v>0.93</v>
      </c>
      <c r="M31" s="2">
        <v>0.23</v>
      </c>
    </row>
    <row r="32" spans="1:27" x14ac:dyDescent="0.25">
      <c r="K32" s="4" t="s">
        <v>16</v>
      </c>
      <c r="L32" s="2">
        <v>0.93</v>
      </c>
      <c r="M32" s="2">
        <v>0.23</v>
      </c>
    </row>
    <row r="33" spans="11:13" x14ac:dyDescent="0.25">
      <c r="K33" s="4" t="s">
        <v>20</v>
      </c>
      <c r="L33" s="2">
        <v>0.93</v>
      </c>
      <c r="M33" s="2">
        <v>0.23</v>
      </c>
    </row>
    <row r="34" spans="11:13" x14ac:dyDescent="0.25">
      <c r="K34" s="4" t="s">
        <v>13</v>
      </c>
      <c r="L34" s="2">
        <v>0.93</v>
      </c>
      <c r="M34" s="2">
        <v>0.23</v>
      </c>
    </row>
    <row r="35" spans="11:13" x14ac:dyDescent="0.25">
      <c r="K35" s="4" t="s">
        <v>11</v>
      </c>
      <c r="L35" s="2">
        <v>0.93</v>
      </c>
      <c r="M35" s="2">
        <v>0.23</v>
      </c>
    </row>
    <row r="36" spans="11:13" x14ac:dyDescent="0.25">
      <c r="K36" s="4" t="s">
        <v>12</v>
      </c>
      <c r="L36" s="2">
        <v>0.93</v>
      </c>
      <c r="M36" s="2">
        <v>0.23</v>
      </c>
    </row>
  </sheetData>
  <mergeCells count="24">
    <mergeCell ref="B24:E29"/>
    <mergeCell ref="L2:AA2"/>
    <mergeCell ref="K20:M20"/>
    <mergeCell ref="C2:D2"/>
    <mergeCell ref="A2:B2"/>
    <mergeCell ref="C14:E14"/>
    <mergeCell ref="D10:E10"/>
    <mergeCell ref="D6:E6"/>
    <mergeCell ref="D5:E5"/>
    <mergeCell ref="D9:E9"/>
    <mergeCell ref="C13:E13"/>
    <mergeCell ref="G4:H5"/>
    <mergeCell ref="G6:H6"/>
    <mergeCell ref="I4:J5"/>
    <mergeCell ref="I6:J6"/>
    <mergeCell ref="A1:E1"/>
    <mergeCell ref="A19:E19"/>
    <mergeCell ref="A16:C16"/>
    <mergeCell ref="B22:E23"/>
    <mergeCell ref="A4:E4"/>
    <mergeCell ref="A8:E8"/>
    <mergeCell ref="A12:E12"/>
    <mergeCell ref="A20:C20"/>
    <mergeCell ref="E16:H17"/>
  </mergeCells>
  <dataValidations disablePrompts="1" count="3">
    <dataValidation type="list" allowBlank="1" showInputMessage="1" showErrorMessage="1" sqref="C2" xr:uid="{00000000-0002-0000-0000-000000000000}">
      <formula1>"Grocery,High-Rise Multi-Family,Office,Financial Institution,Unleased Tenant Space,Retail,School,Warehouse,Auditorium,Convention Center,Hotel/Motel,Library,Medical Office Building/Clinic,Restaurant,Theater"</formula1>
    </dataValidation>
    <dataValidation type="list" allowBlank="1" showInputMessage="1" showErrorMessage="1" sqref="B6" xr:uid="{F5433A48-C5FE-4E6F-A3E3-0A3246926DCF}">
      <formula1>"1,2,3,4,5,6,7,8,9,10,11,12,13,14,15,16"</formula1>
    </dataValidation>
    <dataValidation type="whole" allowBlank="1" showInputMessage="1" showErrorMessage="1" sqref="G10" xr:uid="{FD2251D9-FE8C-4AB8-A2E0-41E807D4A5C5}">
      <formula1>80</formula1>
      <formula2>100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0868-9918-43D7-81BB-E9616747B631}">
  <dimension ref="A1:AR33"/>
  <sheetViews>
    <sheetView workbookViewId="0">
      <selection activeCell="B9" sqref="B9"/>
    </sheetView>
  </sheetViews>
  <sheetFormatPr defaultRowHeight="15" x14ac:dyDescent="0.25"/>
  <cols>
    <col min="1" max="1" width="13.7109375" customWidth="1"/>
    <col min="2" max="2" width="13.42578125" customWidth="1"/>
    <col min="3" max="3" width="9.140625" customWidth="1"/>
    <col min="4" max="4" width="16.28515625" customWidth="1"/>
    <col min="7" max="7" width="11" customWidth="1"/>
    <col min="28" max="28" width="29.140625" customWidth="1"/>
    <col min="29" max="44" width="9.140625" customWidth="1"/>
  </cols>
  <sheetData>
    <row r="1" spans="1:44" ht="15.75" thickBot="1" x14ac:dyDescent="0.3">
      <c r="A1" s="45" t="s">
        <v>85</v>
      </c>
      <c r="B1" s="46"/>
      <c r="C1" s="46"/>
      <c r="D1" s="46"/>
      <c r="E1" s="46"/>
      <c r="F1" s="46"/>
      <c r="G1" s="47"/>
    </row>
    <row r="2" spans="1:44" x14ac:dyDescent="0.25">
      <c r="A2" s="64"/>
      <c r="B2" s="64"/>
      <c r="C2" s="83"/>
      <c r="D2" s="83"/>
      <c r="E2" s="1"/>
      <c r="F2" s="1"/>
      <c r="AC2" s="58" t="s">
        <v>70</v>
      </c>
      <c r="AD2" s="59"/>
      <c r="AE2" s="59"/>
      <c r="AF2" s="59"/>
      <c r="AG2" s="59"/>
      <c r="AH2" s="59"/>
      <c r="AI2" s="59"/>
      <c r="AJ2" s="59"/>
      <c r="AK2" s="59"/>
      <c r="AL2" s="59"/>
      <c r="AM2" s="59"/>
      <c r="AN2" s="59"/>
      <c r="AO2" s="59"/>
      <c r="AP2" s="59"/>
      <c r="AQ2" s="59"/>
      <c r="AR2" s="60"/>
    </row>
    <row r="3" spans="1:44" ht="15.75" thickBot="1" x14ac:dyDescent="0.3">
      <c r="C3" s="1"/>
      <c r="D3" s="1"/>
      <c r="E3" s="1"/>
      <c r="F3" s="1"/>
      <c r="G3" s="1"/>
      <c r="AB3" s="4" t="s">
        <v>0</v>
      </c>
      <c r="AC3" s="2">
        <v>1</v>
      </c>
      <c r="AD3" s="2">
        <v>2</v>
      </c>
      <c r="AE3" s="2">
        <v>3</v>
      </c>
      <c r="AF3" s="2">
        <v>4</v>
      </c>
      <c r="AG3" s="2">
        <v>5</v>
      </c>
      <c r="AH3" s="2">
        <v>6</v>
      </c>
      <c r="AI3" s="2">
        <v>7</v>
      </c>
      <c r="AJ3" s="2">
        <v>8</v>
      </c>
      <c r="AK3" s="2">
        <v>9</v>
      </c>
      <c r="AL3" s="2">
        <v>10</v>
      </c>
      <c r="AM3" s="2">
        <v>11</v>
      </c>
      <c r="AN3" s="2">
        <v>12</v>
      </c>
      <c r="AO3" s="2">
        <v>13</v>
      </c>
      <c r="AP3" s="2">
        <v>14</v>
      </c>
      <c r="AQ3" s="2">
        <v>15</v>
      </c>
      <c r="AR3" s="2">
        <v>16</v>
      </c>
    </row>
    <row r="4" spans="1:44" ht="15" customHeight="1" thickBot="1" x14ac:dyDescent="0.3">
      <c r="A4" s="52" t="s">
        <v>84</v>
      </c>
      <c r="B4" s="53"/>
      <c r="C4" s="53"/>
      <c r="D4" s="53"/>
      <c r="E4" s="53"/>
      <c r="F4" s="53"/>
      <c r="G4" s="54"/>
      <c r="J4" s="74" t="s">
        <v>40</v>
      </c>
      <c r="K4" s="75"/>
      <c r="L4" s="74" t="s">
        <v>39</v>
      </c>
      <c r="M4" s="75"/>
      <c r="AB4" s="3" t="s">
        <v>68</v>
      </c>
      <c r="AC4" s="2">
        <v>0.79300000000000004</v>
      </c>
      <c r="AD4" s="2">
        <v>0.621</v>
      </c>
      <c r="AE4" s="2">
        <v>0.628</v>
      </c>
      <c r="AF4" s="2">
        <v>0.58599999999999997</v>
      </c>
      <c r="AG4" s="2">
        <v>0.58499999999999996</v>
      </c>
      <c r="AH4" s="2">
        <v>0.59399999999999997</v>
      </c>
      <c r="AI4" s="2">
        <v>0.57199999999999995</v>
      </c>
      <c r="AJ4" s="2">
        <v>0.58599999999999997</v>
      </c>
      <c r="AK4" s="2">
        <v>0.61299999999999999</v>
      </c>
      <c r="AL4" s="2">
        <v>0.627</v>
      </c>
      <c r="AM4" s="2">
        <v>0.83599999999999997</v>
      </c>
      <c r="AN4" s="2">
        <v>0.61299999999999999</v>
      </c>
      <c r="AO4" s="2">
        <v>0.89400000000000002</v>
      </c>
      <c r="AP4" s="2">
        <v>0.74099999999999999</v>
      </c>
      <c r="AQ4" s="2">
        <v>1.56</v>
      </c>
      <c r="AR4" s="2">
        <v>0.59</v>
      </c>
    </row>
    <row r="5" spans="1:44" ht="45" customHeight="1" x14ac:dyDescent="0.25">
      <c r="A5" s="23" t="s">
        <v>54</v>
      </c>
      <c r="B5" s="10" t="s">
        <v>18</v>
      </c>
      <c r="C5" s="10" t="s">
        <v>19</v>
      </c>
      <c r="D5" s="13" t="s">
        <v>74</v>
      </c>
      <c r="E5" s="10" t="s">
        <v>75</v>
      </c>
      <c r="F5" s="69" t="s">
        <v>76</v>
      </c>
      <c r="G5" s="70"/>
      <c r="J5" s="76"/>
      <c r="K5" s="77"/>
      <c r="L5" s="76"/>
      <c r="M5" s="77"/>
      <c r="AB5" s="3" t="s">
        <v>69</v>
      </c>
      <c r="AC5" s="2">
        <v>1.27</v>
      </c>
      <c r="AD5" s="2">
        <v>1.22</v>
      </c>
      <c r="AE5" s="2">
        <v>1.1200000000000001</v>
      </c>
      <c r="AF5" s="2">
        <v>1.21</v>
      </c>
      <c r="AG5" s="2">
        <v>1.06</v>
      </c>
      <c r="AH5" s="2">
        <v>1.23</v>
      </c>
      <c r="AI5" s="2">
        <v>1.1499999999999999</v>
      </c>
      <c r="AJ5" s="2">
        <v>1.37</v>
      </c>
      <c r="AK5" s="2">
        <v>1.36</v>
      </c>
      <c r="AL5" s="2">
        <v>1.41</v>
      </c>
      <c r="AM5" s="2">
        <v>1.44</v>
      </c>
      <c r="AN5" s="2">
        <v>1.4</v>
      </c>
      <c r="AO5" s="2">
        <v>1.51</v>
      </c>
      <c r="AP5" s="2">
        <v>1.26</v>
      </c>
      <c r="AQ5" s="2">
        <v>1.47</v>
      </c>
      <c r="AR5" s="2">
        <v>1.22</v>
      </c>
    </row>
    <row r="6" spans="1:44" ht="15.75" thickBot="1" x14ac:dyDescent="0.3">
      <c r="A6" s="25">
        <v>1410</v>
      </c>
      <c r="B6" s="26">
        <v>13</v>
      </c>
      <c r="C6" s="7">
        <f>INDEX(AC4:AR4,MATCH(B6,ClimateZones,0))</f>
        <v>0.89400000000000002</v>
      </c>
      <c r="D6" s="26">
        <v>1</v>
      </c>
      <c r="E6" s="7">
        <f>INDEX(AC5:AR5,MATCH(B6,ClimateZones,0))</f>
        <v>1.51</v>
      </c>
      <c r="F6" s="68">
        <f>IF(A9&lt;80,"PV Not Required",IF(A12="yes",(A6*C6)/1000+(D6*E6)*0.25,IF((A6*C6)/1000+(D6*E6)&gt;1.8,(A6*C6)/1000+(D6*E6),"PV Not Required")))</f>
        <v>2.77054</v>
      </c>
      <c r="G6" s="67"/>
      <c r="J6" s="78">
        <f>IF(F6="PV Not Required","N/A",SUM((F6*1000)/320))</f>
        <v>8.6579374999999992</v>
      </c>
      <c r="K6" s="79"/>
      <c r="L6" s="78">
        <f>IF(J6="N/A","N/A",SUM(J6*15))</f>
        <v>129.86906249999998</v>
      </c>
      <c r="M6" s="79"/>
      <c r="AB6" s="1"/>
    </row>
    <row r="7" spans="1:44" ht="15.75" thickBot="1" x14ac:dyDescent="0.3">
      <c r="AB7" s="1"/>
    </row>
    <row r="8" spans="1:44" ht="45" customHeight="1" x14ac:dyDescent="0.25">
      <c r="A8" s="43" t="s">
        <v>81</v>
      </c>
      <c r="B8" s="21"/>
      <c r="C8" s="1"/>
      <c r="D8" s="1"/>
      <c r="E8" s="21"/>
      <c r="F8" s="21"/>
      <c r="G8" s="21"/>
      <c r="H8" s="21"/>
    </row>
    <row r="9" spans="1:44" ht="15" customHeight="1" thickBot="1" x14ac:dyDescent="0.3">
      <c r="A9" s="44">
        <v>310</v>
      </c>
      <c r="B9" s="39" t="s">
        <v>87</v>
      </c>
      <c r="C9" s="21"/>
      <c r="E9" s="21"/>
      <c r="F9" s="21"/>
      <c r="G9" s="21"/>
      <c r="H9" s="21"/>
    </row>
    <row r="10" spans="1:44" ht="15" customHeight="1" thickBot="1" x14ac:dyDescent="0.3">
      <c r="C10" s="39"/>
      <c r="E10" s="21"/>
      <c r="F10" s="21"/>
      <c r="G10" s="21"/>
      <c r="H10" s="21"/>
    </row>
    <row r="11" spans="1:44" ht="30" customHeight="1" x14ac:dyDescent="0.25">
      <c r="A11" s="74" t="s">
        <v>86</v>
      </c>
      <c r="B11" s="80"/>
      <c r="E11" s="21"/>
      <c r="F11" s="21"/>
      <c r="G11" s="21"/>
      <c r="H11" s="21"/>
      <c r="AB11" s="36"/>
    </row>
    <row r="12" spans="1:44" ht="15" customHeight="1" thickBot="1" x14ac:dyDescent="0.3">
      <c r="A12" s="84" t="s">
        <v>80</v>
      </c>
      <c r="B12" s="85"/>
      <c r="E12" s="21"/>
      <c r="F12" s="21"/>
      <c r="G12" s="21"/>
      <c r="H12" s="21"/>
      <c r="AB12" s="21"/>
    </row>
    <row r="13" spans="1:44" ht="15" customHeight="1" x14ac:dyDescent="0.25">
      <c r="E13" s="21"/>
      <c r="F13" s="21"/>
      <c r="G13" s="21"/>
      <c r="H13" s="21"/>
      <c r="AB13" s="21"/>
    </row>
    <row r="14" spans="1:44" x14ac:dyDescent="0.25">
      <c r="E14" s="39"/>
    </row>
    <row r="16" spans="1:44" x14ac:dyDescent="0.25">
      <c r="A16" s="1"/>
      <c r="B16" s="1"/>
      <c r="C16" s="1"/>
      <c r="D16" s="1"/>
      <c r="E16" s="1"/>
    </row>
    <row r="17" spans="1:33" x14ac:dyDescent="0.25">
      <c r="A17" s="1"/>
      <c r="B17" s="1"/>
      <c r="C17" s="21"/>
      <c r="D17" s="21"/>
      <c r="E17" s="21"/>
      <c r="AB17" s="21"/>
      <c r="AD17" s="21"/>
      <c r="AE17" s="21"/>
      <c r="AF17" s="21"/>
      <c r="AG17" s="21"/>
    </row>
    <row r="18" spans="1:33" x14ac:dyDescent="0.25">
      <c r="A18" s="39"/>
      <c r="B18" s="39"/>
      <c r="C18" s="39"/>
      <c r="D18" s="39"/>
      <c r="E18" s="39"/>
      <c r="AB18" s="21"/>
      <c r="AF18" s="21"/>
      <c r="AG18" s="21"/>
    </row>
    <row r="19" spans="1:33" x14ac:dyDescent="0.25">
      <c r="AB19" s="21"/>
      <c r="AD19" s="22"/>
      <c r="AE19" s="22"/>
      <c r="AF19" s="22"/>
      <c r="AG19" s="22"/>
    </row>
    <row r="20" spans="1:33" ht="15.75" customHeight="1" x14ac:dyDescent="0.25">
      <c r="E20" s="38"/>
      <c r="F20" s="36"/>
      <c r="G20" s="36"/>
      <c r="H20" s="36"/>
      <c r="I20" s="36"/>
      <c r="J20" s="36"/>
      <c r="AB20" s="21"/>
    </row>
    <row r="21" spans="1:33" ht="14.45" customHeight="1" x14ac:dyDescent="0.25">
      <c r="F21" s="36"/>
      <c r="G21" s="36"/>
      <c r="H21" s="36"/>
      <c r="I21" s="36"/>
      <c r="J21" s="36"/>
      <c r="AB21" s="1"/>
    </row>
    <row r="24" spans="1:33" x14ac:dyDescent="0.25">
      <c r="AB24" s="1"/>
    </row>
    <row r="25" spans="1:33" x14ac:dyDescent="0.25">
      <c r="A25" s="15"/>
      <c r="B25" s="16"/>
      <c r="C25" s="40"/>
      <c r="D25" s="40"/>
      <c r="AB25" s="1"/>
    </row>
    <row r="26" spans="1:33" x14ac:dyDescent="0.25">
      <c r="B26" s="40"/>
      <c r="C26" s="40"/>
      <c r="D26" s="40"/>
      <c r="E26" s="40"/>
      <c r="AB26" s="1"/>
    </row>
    <row r="27" spans="1:33" x14ac:dyDescent="0.25">
      <c r="B27" s="40"/>
      <c r="C27" s="41"/>
      <c r="D27" s="41"/>
      <c r="E27" s="40"/>
    </row>
    <row r="28" spans="1:33" x14ac:dyDescent="0.25">
      <c r="B28" s="41"/>
      <c r="C28" s="41"/>
      <c r="D28" s="41"/>
      <c r="E28" s="41"/>
    </row>
    <row r="29" spans="1:33" x14ac:dyDescent="0.25">
      <c r="B29" s="41"/>
      <c r="C29" s="41"/>
      <c r="D29" s="41"/>
      <c r="E29" s="41"/>
    </row>
    <row r="30" spans="1:33" x14ac:dyDescent="0.25">
      <c r="B30" s="41"/>
      <c r="C30" s="41"/>
      <c r="D30" s="41"/>
      <c r="E30" s="41"/>
    </row>
    <row r="31" spans="1:33" x14ac:dyDescent="0.25">
      <c r="B31" s="41"/>
      <c r="C31" s="41"/>
      <c r="D31" s="41"/>
      <c r="E31" s="41"/>
    </row>
    <row r="32" spans="1:33" x14ac:dyDescent="0.25">
      <c r="B32" s="41"/>
      <c r="C32" s="41"/>
      <c r="D32" s="41"/>
      <c r="E32" s="41"/>
    </row>
    <row r="33" spans="2:5" x14ac:dyDescent="0.25">
      <c r="B33" s="41"/>
      <c r="E33" s="41"/>
    </row>
  </sheetData>
  <mergeCells count="13">
    <mergeCell ref="A11:B11"/>
    <mergeCell ref="A12:B12"/>
    <mergeCell ref="F6:G6"/>
    <mergeCell ref="AC2:AR2"/>
    <mergeCell ref="J4:K5"/>
    <mergeCell ref="L4:M5"/>
    <mergeCell ref="F5:G5"/>
    <mergeCell ref="A4:G4"/>
    <mergeCell ref="A1:G1"/>
    <mergeCell ref="J6:K6"/>
    <mergeCell ref="L6:M6"/>
    <mergeCell ref="A2:B2"/>
    <mergeCell ref="C2:D2"/>
  </mergeCells>
  <dataValidations count="3">
    <dataValidation type="list" allowBlank="1" showInputMessage="1" showErrorMessage="1" sqref="B6" xr:uid="{FF349910-D2BE-4863-AD20-31F19CBA9518}">
      <formula1>ClimateZones</formula1>
    </dataValidation>
    <dataValidation type="whole" allowBlank="1" showInputMessage="1" showErrorMessage="1" sqref="AD19" xr:uid="{3CDA7250-3E8F-4CC8-9861-F632D0CA3D26}">
      <formula1>80</formula1>
      <formula2>100</formula2>
    </dataValidation>
    <dataValidation type="list" allowBlank="1" showInputMessage="1" showErrorMessage="1" sqref="A12:B12" xr:uid="{297C24DC-F7A0-46F3-B811-F56EF5C33157}">
      <formula1>"Yes, No"</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1BC2-C085-4904-BDB6-71DCB296F15D}">
  <dimension ref="A1:AU36"/>
  <sheetViews>
    <sheetView tabSelected="1" workbookViewId="0">
      <selection activeCell="D6" sqref="D6:E6"/>
    </sheetView>
  </sheetViews>
  <sheetFormatPr defaultRowHeight="15" x14ac:dyDescent="0.25"/>
  <cols>
    <col min="1" max="1" width="13.7109375" customWidth="1"/>
    <col min="2" max="2" width="13.42578125" customWidth="1"/>
    <col min="3" max="3" width="9.140625" customWidth="1"/>
    <col min="4" max="4" width="16.28515625" customWidth="1"/>
    <col min="7" max="7" width="11" customWidth="1"/>
    <col min="11" max="11" width="29.140625" hidden="1" customWidth="1"/>
    <col min="12" max="28" width="9.140625" hidden="1" customWidth="1"/>
    <col min="29" max="29" width="20.140625" hidden="1" customWidth="1"/>
    <col min="30" max="45" width="9.140625" hidden="1" customWidth="1"/>
  </cols>
  <sheetData>
    <row r="1" spans="1:47" ht="15.75" thickBot="1" x14ac:dyDescent="0.3">
      <c r="A1" s="45" t="s">
        <v>32</v>
      </c>
      <c r="B1" s="46"/>
      <c r="C1" s="46"/>
      <c r="D1" s="46"/>
      <c r="E1" s="47"/>
    </row>
    <row r="2" spans="1:47" ht="15.75" thickBot="1" x14ac:dyDescent="0.3">
      <c r="A2" s="64" t="s">
        <v>7</v>
      </c>
      <c r="B2" s="64"/>
      <c r="C2" s="89" t="s">
        <v>48</v>
      </c>
      <c r="D2" s="90"/>
      <c r="E2" s="91"/>
      <c r="F2" s="1"/>
      <c r="L2" s="58" t="s">
        <v>53</v>
      </c>
      <c r="M2" s="59"/>
      <c r="N2" s="59"/>
      <c r="O2" s="59"/>
      <c r="P2" s="59"/>
      <c r="Q2" s="59"/>
      <c r="R2" s="59"/>
      <c r="S2" s="59"/>
      <c r="T2" s="59"/>
      <c r="U2" s="59"/>
      <c r="V2" s="59"/>
      <c r="W2" s="59"/>
      <c r="X2" s="59"/>
      <c r="Y2" s="59"/>
      <c r="Z2" s="59"/>
      <c r="AA2" s="60"/>
      <c r="AD2" s="58" t="s">
        <v>56</v>
      </c>
      <c r="AE2" s="59"/>
      <c r="AF2" s="59"/>
      <c r="AG2" s="59"/>
      <c r="AH2" s="59"/>
      <c r="AI2" s="59"/>
      <c r="AJ2" s="59"/>
      <c r="AK2" s="59"/>
      <c r="AL2" s="59"/>
      <c r="AM2" s="59"/>
      <c r="AN2" s="59"/>
      <c r="AO2" s="59"/>
      <c r="AP2" s="59"/>
      <c r="AQ2" s="59"/>
      <c r="AR2" s="59"/>
      <c r="AS2" s="60"/>
    </row>
    <row r="3" spans="1:47" ht="15.75" thickBot="1" x14ac:dyDescent="0.3">
      <c r="C3" s="1"/>
      <c r="D3" s="1"/>
      <c r="E3" s="1"/>
      <c r="F3" s="1"/>
      <c r="G3" s="1"/>
      <c r="K3" s="4" t="s">
        <v>0</v>
      </c>
      <c r="L3" s="2">
        <v>1</v>
      </c>
      <c r="M3" s="2">
        <v>2</v>
      </c>
      <c r="N3" s="2">
        <v>3</v>
      </c>
      <c r="O3" s="2">
        <v>4</v>
      </c>
      <c r="P3" s="2">
        <v>5</v>
      </c>
      <c r="Q3" s="2">
        <v>6</v>
      </c>
      <c r="R3" s="2">
        <v>7</v>
      </c>
      <c r="S3" s="2">
        <v>8</v>
      </c>
      <c r="T3" s="2">
        <v>9</v>
      </c>
      <c r="U3" s="2">
        <v>10</v>
      </c>
      <c r="V3" s="2">
        <v>11</v>
      </c>
      <c r="W3" s="2">
        <v>12</v>
      </c>
      <c r="X3" s="2">
        <v>13</v>
      </c>
      <c r="Y3" s="2">
        <v>14</v>
      </c>
      <c r="Z3" s="2">
        <v>15</v>
      </c>
      <c r="AA3" s="2">
        <v>16</v>
      </c>
      <c r="AC3" s="4" t="s">
        <v>0</v>
      </c>
      <c r="AD3" s="2">
        <v>1</v>
      </c>
      <c r="AE3" s="2">
        <v>2</v>
      </c>
      <c r="AF3" s="2">
        <v>3</v>
      </c>
      <c r="AG3" s="2">
        <v>4</v>
      </c>
      <c r="AH3" s="2">
        <v>5</v>
      </c>
      <c r="AI3" s="2">
        <v>6</v>
      </c>
      <c r="AJ3" s="2">
        <v>7</v>
      </c>
      <c r="AK3" s="2">
        <v>8</v>
      </c>
      <c r="AL3" s="2">
        <v>9</v>
      </c>
      <c r="AM3" s="2">
        <v>10</v>
      </c>
      <c r="AN3" s="2">
        <v>11</v>
      </c>
      <c r="AO3" s="2">
        <v>12</v>
      </c>
      <c r="AP3" s="2">
        <v>13</v>
      </c>
      <c r="AQ3" s="2">
        <v>14</v>
      </c>
      <c r="AR3" s="2">
        <v>15</v>
      </c>
      <c r="AS3" s="2">
        <v>16</v>
      </c>
    </row>
    <row r="4" spans="1:47" ht="15" customHeight="1" thickBot="1" x14ac:dyDescent="0.3">
      <c r="A4" s="52" t="s">
        <v>71</v>
      </c>
      <c r="B4" s="53"/>
      <c r="C4" s="53"/>
      <c r="D4" s="53"/>
      <c r="E4" s="54"/>
      <c r="G4" s="74" t="s">
        <v>40</v>
      </c>
      <c r="H4" s="75"/>
      <c r="I4" s="74" t="s">
        <v>39</v>
      </c>
      <c r="J4" s="80"/>
      <c r="K4" s="17" t="s">
        <v>47</v>
      </c>
      <c r="L4" s="2">
        <v>3.48</v>
      </c>
      <c r="M4" s="2">
        <v>4.28</v>
      </c>
      <c r="N4" s="2">
        <v>3.66</v>
      </c>
      <c r="O4" s="2">
        <v>4.32</v>
      </c>
      <c r="P4" s="2">
        <v>3.77</v>
      </c>
      <c r="Q4" s="2">
        <v>4.05</v>
      </c>
      <c r="R4" s="2">
        <v>4.28</v>
      </c>
      <c r="S4" s="2">
        <v>4.83</v>
      </c>
      <c r="T4" s="2">
        <v>4.63</v>
      </c>
      <c r="U4" s="2">
        <v>4.8</v>
      </c>
      <c r="V4" s="2">
        <v>5.04</v>
      </c>
      <c r="W4" s="2">
        <v>4.4400000000000004</v>
      </c>
      <c r="X4" s="2">
        <v>4.95</v>
      </c>
      <c r="Y4" s="2">
        <v>4.3600000000000003</v>
      </c>
      <c r="Z4" s="2">
        <v>5.48</v>
      </c>
      <c r="AA4" s="2">
        <v>3.38</v>
      </c>
      <c r="AC4" s="3" t="s">
        <v>47</v>
      </c>
      <c r="AD4" s="2">
        <v>1.82</v>
      </c>
      <c r="AE4" s="2">
        <v>1.95</v>
      </c>
      <c r="AF4" s="2">
        <v>1.74</v>
      </c>
      <c r="AG4" s="2">
        <v>2.12</v>
      </c>
      <c r="AH4" s="2">
        <v>1.91</v>
      </c>
      <c r="AI4" s="2">
        <v>2.13</v>
      </c>
      <c r="AJ4" s="2">
        <v>2.2400000000000002</v>
      </c>
      <c r="AK4" s="2">
        <v>2.2999999999999998</v>
      </c>
      <c r="AL4" s="2">
        <v>2.36</v>
      </c>
      <c r="AM4" s="2">
        <v>2.4700000000000002</v>
      </c>
      <c r="AN4" s="2">
        <v>2.62</v>
      </c>
      <c r="AO4" s="2">
        <v>2.16</v>
      </c>
      <c r="AP4" s="2">
        <v>2.64</v>
      </c>
      <c r="AQ4" s="2">
        <v>2.68</v>
      </c>
      <c r="AR4" s="2">
        <v>3.22</v>
      </c>
      <c r="AS4" s="2">
        <v>1.89</v>
      </c>
    </row>
    <row r="5" spans="1:47" ht="45" customHeight="1" x14ac:dyDescent="0.25">
      <c r="A5" s="23" t="s">
        <v>54</v>
      </c>
      <c r="B5" s="10" t="s">
        <v>18</v>
      </c>
      <c r="C5" s="10" t="s">
        <v>19</v>
      </c>
      <c r="D5" s="69" t="s">
        <v>60</v>
      </c>
      <c r="E5" s="70"/>
      <c r="G5" s="76"/>
      <c r="H5" s="77"/>
      <c r="I5" s="76"/>
      <c r="J5" s="81"/>
      <c r="K5" s="17" t="s">
        <v>20</v>
      </c>
      <c r="L5" s="2">
        <v>0.39</v>
      </c>
      <c r="M5" s="2">
        <v>3.23</v>
      </c>
      <c r="N5" s="2">
        <v>2.59</v>
      </c>
      <c r="O5" s="2">
        <v>3.25</v>
      </c>
      <c r="P5" s="2">
        <v>2.48</v>
      </c>
      <c r="Q5" s="2">
        <v>2.74</v>
      </c>
      <c r="R5" s="2">
        <v>3.04</v>
      </c>
      <c r="S5" s="2">
        <v>3.49</v>
      </c>
      <c r="T5" s="2">
        <v>3.32</v>
      </c>
      <c r="U5" s="2">
        <v>3.69</v>
      </c>
      <c r="V5" s="2">
        <v>3.79</v>
      </c>
      <c r="W5" s="2">
        <v>3.32</v>
      </c>
      <c r="X5" s="2">
        <v>3.79</v>
      </c>
      <c r="Y5" s="2">
        <v>3.37</v>
      </c>
      <c r="Z5" s="2">
        <v>4.49</v>
      </c>
      <c r="AA5" s="2">
        <v>2.84</v>
      </c>
      <c r="AC5" s="3" t="s">
        <v>20</v>
      </c>
      <c r="AD5" s="2">
        <v>0.37</v>
      </c>
      <c r="AE5" s="2">
        <v>7.17</v>
      </c>
      <c r="AF5" s="2">
        <v>5.97</v>
      </c>
      <c r="AG5" s="2">
        <v>6.75</v>
      </c>
      <c r="AH5" s="2">
        <v>5.64</v>
      </c>
      <c r="AI5" s="2">
        <v>6.08</v>
      </c>
      <c r="AJ5" s="2">
        <v>6.19</v>
      </c>
      <c r="AK5" s="2">
        <v>7.13</v>
      </c>
      <c r="AL5" s="2">
        <v>7.18</v>
      </c>
      <c r="AM5" s="2">
        <v>7.56</v>
      </c>
      <c r="AN5" s="2">
        <v>7.17</v>
      </c>
      <c r="AO5" s="2">
        <v>6.93</v>
      </c>
      <c r="AP5" s="2">
        <v>6.88</v>
      </c>
      <c r="AQ5" s="2">
        <v>6.81</v>
      </c>
      <c r="AR5" s="2">
        <v>7.93</v>
      </c>
      <c r="AS5" s="2">
        <v>6.4</v>
      </c>
    </row>
    <row r="6" spans="1:47" ht="15.75" thickBot="1" x14ac:dyDescent="0.3">
      <c r="A6" s="25">
        <v>3600</v>
      </c>
      <c r="B6" s="26">
        <v>9</v>
      </c>
      <c r="C6" s="7">
        <f>INDEX(Table1,MATCH(C2,BldgUse,0),MATCH(B6,ClimateZones,0))</f>
        <v>3.13</v>
      </c>
      <c r="D6" s="68">
        <f>IF(E20&lt;3%,"PV Not Required",IF(D20&lt;80,"PV Not Required",IF((A6*C6)/1000&lt;4,"PV Not Required",(A6*C6)/1000)))</f>
        <v>11.268000000000001</v>
      </c>
      <c r="E6" s="67"/>
      <c r="G6" s="78">
        <f>IF(D6="PV Not Required","N/A",SUM((D6*1000)/320))</f>
        <v>35.212499999999999</v>
      </c>
      <c r="H6" s="79"/>
      <c r="I6" s="78">
        <f>IF(G6="N/A","N/A",SUM(G6*15))</f>
        <v>528.1875</v>
      </c>
      <c r="J6" s="82"/>
      <c r="K6" s="18" t="s">
        <v>16</v>
      </c>
      <c r="L6" s="2">
        <v>1.63</v>
      </c>
      <c r="M6" s="2">
        <v>1.9</v>
      </c>
      <c r="N6" s="2">
        <v>1.66</v>
      </c>
      <c r="O6" s="2">
        <v>1.97</v>
      </c>
      <c r="P6" s="2">
        <v>1.69</v>
      </c>
      <c r="Q6" s="2">
        <v>1.87</v>
      </c>
      <c r="R6" s="2">
        <v>1.94</v>
      </c>
      <c r="S6" s="2">
        <v>2.2200000000000002</v>
      </c>
      <c r="T6" s="2">
        <v>2.09</v>
      </c>
      <c r="U6" s="2">
        <v>2.2000000000000002</v>
      </c>
      <c r="V6" s="2">
        <v>2.2999999999999998</v>
      </c>
      <c r="W6" s="2">
        <v>2.0499999999999998</v>
      </c>
      <c r="X6" s="2">
        <v>2.2999999999999998</v>
      </c>
      <c r="Y6" s="2">
        <v>2.02</v>
      </c>
      <c r="Z6" s="2">
        <v>2.72</v>
      </c>
      <c r="AA6" s="2">
        <v>1.73</v>
      </c>
      <c r="AC6" s="4" t="s">
        <v>16</v>
      </c>
      <c r="AD6" s="2">
        <v>0.86</v>
      </c>
      <c r="AE6" s="2">
        <v>0.84</v>
      </c>
      <c r="AF6" s="2">
        <v>0.77</v>
      </c>
      <c r="AG6" s="2">
        <v>0.92</v>
      </c>
      <c r="AH6" s="2">
        <v>0.81</v>
      </c>
      <c r="AI6" s="2">
        <v>0.89</v>
      </c>
      <c r="AJ6" s="2">
        <v>0.9</v>
      </c>
      <c r="AK6" s="2">
        <v>1.01</v>
      </c>
      <c r="AL6" s="2">
        <v>1</v>
      </c>
      <c r="AM6" s="2">
        <v>1.1100000000000001</v>
      </c>
      <c r="AN6" s="2">
        <v>1.1399999999999999</v>
      </c>
      <c r="AO6" s="2">
        <v>0.96</v>
      </c>
      <c r="AP6" s="2">
        <v>1.18</v>
      </c>
      <c r="AQ6" s="2">
        <v>1.18</v>
      </c>
      <c r="AR6" s="2">
        <v>1.49</v>
      </c>
      <c r="AS6" s="2">
        <v>0.85</v>
      </c>
    </row>
    <row r="7" spans="1:47" ht="15.75" thickBot="1" x14ac:dyDescent="0.3">
      <c r="K7" s="4" t="s">
        <v>48</v>
      </c>
      <c r="L7" s="2">
        <v>2.59</v>
      </c>
      <c r="M7" s="2">
        <v>3.13</v>
      </c>
      <c r="N7" s="2">
        <v>2.59</v>
      </c>
      <c r="O7" s="2">
        <v>3.13</v>
      </c>
      <c r="P7" s="2">
        <v>2.59</v>
      </c>
      <c r="Q7" s="2">
        <v>3.13</v>
      </c>
      <c r="R7" s="2">
        <v>3.13</v>
      </c>
      <c r="S7" s="2">
        <v>3.13</v>
      </c>
      <c r="T7" s="2">
        <v>3.13</v>
      </c>
      <c r="U7" s="2">
        <v>3.13</v>
      </c>
      <c r="V7" s="2">
        <v>3.13</v>
      </c>
      <c r="W7" s="2">
        <v>3.13</v>
      </c>
      <c r="X7" s="2">
        <v>3.13</v>
      </c>
      <c r="Y7" s="2">
        <v>3.13</v>
      </c>
      <c r="Z7" s="2">
        <v>3.8</v>
      </c>
      <c r="AA7" s="2">
        <v>2.59</v>
      </c>
      <c r="AC7" s="4" t="s">
        <v>48</v>
      </c>
      <c r="AD7" s="2">
        <v>0</v>
      </c>
      <c r="AE7" s="2">
        <v>5.26</v>
      </c>
      <c r="AF7" s="2">
        <v>4.3499999999999996</v>
      </c>
      <c r="AG7" s="2">
        <v>5.26</v>
      </c>
      <c r="AH7" s="2">
        <v>4.3499999999999996</v>
      </c>
      <c r="AI7" s="2">
        <v>5.26</v>
      </c>
      <c r="AJ7" s="2">
        <v>5.26</v>
      </c>
      <c r="AK7" s="2">
        <v>5.26</v>
      </c>
      <c r="AL7" s="2">
        <v>5.26</v>
      </c>
      <c r="AM7" s="2">
        <v>5.26</v>
      </c>
      <c r="AN7" s="2">
        <v>5.26</v>
      </c>
      <c r="AO7" s="2">
        <v>5.26</v>
      </c>
      <c r="AP7" s="2">
        <v>5.26</v>
      </c>
      <c r="AQ7" s="2">
        <v>5.26</v>
      </c>
      <c r="AR7" s="2">
        <v>6.39</v>
      </c>
      <c r="AS7" s="2">
        <v>4.3499999999999996</v>
      </c>
    </row>
    <row r="8" spans="1:47" ht="30" customHeight="1" thickBot="1" x14ac:dyDescent="0.3">
      <c r="A8" s="86" t="s">
        <v>72</v>
      </c>
      <c r="B8" s="87"/>
      <c r="C8" s="87"/>
      <c r="D8" s="87"/>
      <c r="E8" s="88"/>
      <c r="G8" s="21"/>
      <c r="H8" s="21"/>
      <c r="I8" s="21"/>
      <c r="J8" s="21"/>
      <c r="K8" s="3" t="s">
        <v>49</v>
      </c>
      <c r="L8" s="2">
        <v>8.5500000000000007</v>
      </c>
      <c r="M8" s="2">
        <v>9.32</v>
      </c>
      <c r="N8" s="2">
        <v>8.16</v>
      </c>
      <c r="O8" s="2">
        <v>9.65</v>
      </c>
      <c r="P8" s="2">
        <v>8.2100000000000009</v>
      </c>
      <c r="Q8" s="2">
        <v>8.73</v>
      </c>
      <c r="R8" s="2">
        <v>9.11</v>
      </c>
      <c r="S8" s="2">
        <v>10.18</v>
      </c>
      <c r="T8" s="2">
        <v>9.75</v>
      </c>
      <c r="U8" s="2">
        <v>10.28</v>
      </c>
      <c r="V8" s="2">
        <v>10.85</v>
      </c>
      <c r="W8" s="2">
        <v>9.73</v>
      </c>
      <c r="X8" s="2">
        <v>10.69</v>
      </c>
      <c r="Y8" s="2">
        <v>9.73</v>
      </c>
      <c r="Z8" s="2">
        <v>12.25</v>
      </c>
      <c r="AA8" s="2">
        <v>8.4700000000000006</v>
      </c>
      <c r="AC8" s="3" t="s">
        <v>49</v>
      </c>
      <c r="AD8" s="2">
        <v>4.3600000000000003</v>
      </c>
      <c r="AE8" s="2">
        <v>4.1100000000000003</v>
      </c>
      <c r="AF8" s="2">
        <v>3.78</v>
      </c>
      <c r="AG8" s="2">
        <v>4.37</v>
      </c>
      <c r="AH8" s="2">
        <v>3.89</v>
      </c>
      <c r="AI8" s="2">
        <v>4.0199999999999996</v>
      </c>
      <c r="AJ8" s="2">
        <v>4.1100000000000003</v>
      </c>
      <c r="AK8" s="2">
        <v>4.49</v>
      </c>
      <c r="AL8" s="2">
        <v>4.47</v>
      </c>
      <c r="AM8" s="2">
        <v>4.82</v>
      </c>
      <c r="AN8" s="2">
        <v>5.05</v>
      </c>
      <c r="AO8" s="2">
        <v>4.43</v>
      </c>
      <c r="AP8" s="2">
        <v>5.05</v>
      </c>
      <c r="AQ8" s="2">
        <v>5.24</v>
      </c>
      <c r="AR8" s="2">
        <v>6.23</v>
      </c>
      <c r="AS8" s="2">
        <v>4.1100000000000003</v>
      </c>
    </row>
    <row r="9" spans="1:47" ht="45" customHeight="1" x14ac:dyDescent="0.25">
      <c r="A9" s="23" t="s">
        <v>54</v>
      </c>
      <c r="B9" s="10" t="s">
        <v>57</v>
      </c>
      <c r="C9" s="13" t="s">
        <v>58</v>
      </c>
      <c r="D9" s="69" t="s">
        <v>59</v>
      </c>
      <c r="E9" s="70"/>
      <c r="G9" s="42" t="s">
        <v>61</v>
      </c>
      <c r="H9" s="30">
        <v>0.9</v>
      </c>
      <c r="I9" s="21"/>
      <c r="J9" s="21"/>
      <c r="K9" s="3" t="s">
        <v>50</v>
      </c>
      <c r="L9" s="2">
        <v>3.14</v>
      </c>
      <c r="M9" s="2">
        <v>3.49</v>
      </c>
      <c r="N9" s="2">
        <v>3.01</v>
      </c>
      <c r="O9" s="2">
        <v>3.61</v>
      </c>
      <c r="P9" s="2">
        <v>3.05</v>
      </c>
      <c r="Q9" s="2">
        <v>3.27</v>
      </c>
      <c r="R9" s="2">
        <v>3.45</v>
      </c>
      <c r="S9" s="2">
        <v>3.83</v>
      </c>
      <c r="T9" s="2">
        <v>3.65</v>
      </c>
      <c r="U9" s="2">
        <v>3.81</v>
      </c>
      <c r="V9" s="2">
        <v>4.09</v>
      </c>
      <c r="W9" s="2">
        <v>3.64</v>
      </c>
      <c r="X9" s="2">
        <v>3.99</v>
      </c>
      <c r="Y9" s="2">
        <v>3.71</v>
      </c>
      <c r="Z9" s="2">
        <v>4.5999999999999996</v>
      </c>
      <c r="AA9" s="2">
        <v>3.21</v>
      </c>
      <c r="AC9" s="3" t="s">
        <v>50</v>
      </c>
      <c r="AD9" s="2">
        <v>1.89</v>
      </c>
      <c r="AE9" s="2">
        <v>1.82</v>
      </c>
      <c r="AF9" s="2">
        <v>2.7</v>
      </c>
      <c r="AG9" s="2">
        <v>1.82</v>
      </c>
      <c r="AH9" s="2">
        <v>1.72</v>
      </c>
      <c r="AI9" s="2">
        <v>1.8</v>
      </c>
      <c r="AJ9" s="2">
        <v>1.76</v>
      </c>
      <c r="AK9" s="2">
        <v>1.92</v>
      </c>
      <c r="AL9" s="2">
        <v>1.97</v>
      </c>
      <c r="AM9" s="2">
        <v>2.0499999999999998</v>
      </c>
      <c r="AN9" s="2">
        <v>2.2200000000000002</v>
      </c>
      <c r="AO9" s="2">
        <v>1.95</v>
      </c>
      <c r="AP9" s="2">
        <v>2.16</v>
      </c>
      <c r="AQ9" s="2">
        <v>2.29</v>
      </c>
      <c r="AR9" s="2">
        <v>2.66</v>
      </c>
      <c r="AS9" s="2">
        <v>1.91</v>
      </c>
      <c r="AU9" s="100"/>
    </row>
    <row r="10" spans="1:47" ht="15" customHeight="1" thickBot="1" x14ac:dyDescent="0.3">
      <c r="A10" s="29">
        <f>A6</f>
        <v>3600</v>
      </c>
      <c r="B10" s="27">
        <f>INDEX(AD4:AS14,MATCH(C2,AC4:AC14,0),MATCH(B6,AD3:AS3,0))</f>
        <v>5.26</v>
      </c>
      <c r="C10" s="31">
        <f>H9</f>
        <v>0.9</v>
      </c>
      <c r="D10" s="68">
        <f>IF(D6="pv not required","BESS Not Required",IF(SUM(A10*B10)/(1000*(C10^0.5))&gt;10,SUM(A10*B10)/(1000*(C10^0.5)),"BESS Not Required"))</f>
        <v>19.960296590982811</v>
      </c>
      <c r="E10" s="67"/>
      <c r="G10" s="22"/>
      <c r="H10" s="22"/>
      <c r="I10" s="22"/>
      <c r="J10" s="22"/>
      <c r="K10" s="3" t="s">
        <v>4</v>
      </c>
      <c r="L10" s="2">
        <v>1.27</v>
      </c>
      <c r="M10" s="2">
        <v>1.63</v>
      </c>
      <c r="N10" s="2">
        <v>1.27</v>
      </c>
      <c r="O10" s="2">
        <v>1.63</v>
      </c>
      <c r="P10" s="2">
        <v>1.27</v>
      </c>
      <c r="Q10" s="2">
        <v>1.63</v>
      </c>
      <c r="R10" s="2">
        <v>1.63</v>
      </c>
      <c r="S10" s="2">
        <v>1.63</v>
      </c>
      <c r="T10" s="2">
        <v>1.63</v>
      </c>
      <c r="U10" s="2">
        <v>1.63</v>
      </c>
      <c r="V10" s="2">
        <v>1.63</v>
      </c>
      <c r="W10" s="2">
        <v>1.63</v>
      </c>
      <c r="X10" s="2">
        <v>1.63</v>
      </c>
      <c r="Y10" s="2">
        <v>1.63</v>
      </c>
      <c r="Z10" s="2">
        <v>2.46</v>
      </c>
      <c r="AA10" s="2">
        <v>1.27</v>
      </c>
      <c r="AC10" s="3" t="s">
        <v>4</v>
      </c>
      <c r="AD10" s="2">
        <v>0</v>
      </c>
      <c r="AE10" s="2">
        <v>3.05</v>
      </c>
      <c r="AF10" s="2">
        <v>2.38</v>
      </c>
      <c r="AG10" s="2">
        <v>3.05</v>
      </c>
      <c r="AH10" s="2">
        <v>2.38</v>
      </c>
      <c r="AI10" s="2">
        <v>3.05</v>
      </c>
      <c r="AJ10" s="2">
        <v>3.05</v>
      </c>
      <c r="AK10" s="2">
        <v>3.05</v>
      </c>
      <c r="AL10" s="2">
        <v>3.05</v>
      </c>
      <c r="AM10" s="2">
        <v>3.05</v>
      </c>
      <c r="AN10" s="2">
        <v>3.05</v>
      </c>
      <c r="AO10" s="2">
        <v>3.05</v>
      </c>
      <c r="AP10" s="2">
        <v>3.05</v>
      </c>
      <c r="AQ10" s="2">
        <v>3.05</v>
      </c>
      <c r="AR10" s="2">
        <v>4.5999999999999996</v>
      </c>
      <c r="AS10" s="2">
        <v>2.38</v>
      </c>
    </row>
    <row r="11" spans="1:47" ht="15" customHeight="1" thickBot="1" x14ac:dyDescent="0.3">
      <c r="K11" s="3" t="s">
        <v>5</v>
      </c>
      <c r="L11" s="2">
        <v>0.39</v>
      </c>
      <c r="M11" s="2">
        <v>0.44</v>
      </c>
      <c r="N11" s="2">
        <v>0.39</v>
      </c>
      <c r="O11" s="2">
        <v>0.44</v>
      </c>
      <c r="P11" s="2">
        <v>0.39</v>
      </c>
      <c r="Q11" s="2">
        <v>0.44</v>
      </c>
      <c r="R11" s="2">
        <v>0.44</v>
      </c>
      <c r="S11" s="2">
        <v>0.44</v>
      </c>
      <c r="T11" s="2">
        <v>0.44</v>
      </c>
      <c r="U11" s="2">
        <v>0.44</v>
      </c>
      <c r="V11" s="2">
        <v>0.44</v>
      </c>
      <c r="W11" s="2">
        <v>0.44</v>
      </c>
      <c r="X11" s="2">
        <v>0.44</v>
      </c>
      <c r="Y11" s="2">
        <v>0.44</v>
      </c>
      <c r="Z11" s="2">
        <v>0.57999999999999996</v>
      </c>
      <c r="AA11" s="2">
        <v>0.39</v>
      </c>
      <c r="AC11" s="3" t="s">
        <v>5</v>
      </c>
      <c r="AD11" s="2">
        <v>0.37</v>
      </c>
      <c r="AE11" s="2">
        <v>0.41</v>
      </c>
      <c r="AF11" s="2">
        <v>0.37</v>
      </c>
      <c r="AG11" s="2">
        <v>0.41</v>
      </c>
      <c r="AH11" s="2">
        <v>0.37</v>
      </c>
      <c r="AI11" s="2">
        <v>0.41</v>
      </c>
      <c r="AJ11" s="2">
        <v>0.41</v>
      </c>
      <c r="AK11" s="2">
        <v>0.41</v>
      </c>
      <c r="AL11" s="2">
        <v>0.41</v>
      </c>
      <c r="AM11" s="2">
        <v>0.41</v>
      </c>
      <c r="AN11" s="2">
        <v>0.41</v>
      </c>
      <c r="AO11" s="2">
        <v>0.41</v>
      </c>
      <c r="AP11" s="2">
        <v>0.41</v>
      </c>
      <c r="AQ11" s="2">
        <v>0.41</v>
      </c>
      <c r="AR11" s="2">
        <v>0.54</v>
      </c>
      <c r="AS11" s="2">
        <v>0.37</v>
      </c>
    </row>
    <row r="12" spans="1:47" ht="30" customHeight="1" thickBot="1" x14ac:dyDescent="0.3">
      <c r="A12" s="86" t="s">
        <v>73</v>
      </c>
      <c r="B12" s="87"/>
      <c r="C12" s="87"/>
      <c r="D12" s="87"/>
      <c r="E12" s="88"/>
      <c r="J12" s="42" t="s">
        <v>67</v>
      </c>
      <c r="K12" s="3" t="s">
        <v>51</v>
      </c>
      <c r="L12" s="2">
        <v>4.25</v>
      </c>
      <c r="M12" s="2">
        <v>4.6500000000000004</v>
      </c>
      <c r="N12" s="2">
        <v>3.49</v>
      </c>
      <c r="O12" s="2">
        <v>4.5199999999999996</v>
      </c>
      <c r="P12" s="2">
        <v>3.72</v>
      </c>
      <c r="Q12" s="2">
        <v>4.29</v>
      </c>
      <c r="R12" s="2">
        <v>4.6399999999999997</v>
      </c>
      <c r="S12" s="2">
        <v>5.89</v>
      </c>
      <c r="T12" s="2">
        <v>5.3</v>
      </c>
      <c r="U12" s="2">
        <v>5.67</v>
      </c>
      <c r="V12" s="2">
        <v>5.89</v>
      </c>
      <c r="W12" s="2">
        <v>4.99</v>
      </c>
      <c r="X12" s="2">
        <v>5.78</v>
      </c>
      <c r="Y12" s="2">
        <v>4.63</v>
      </c>
      <c r="Z12" s="2">
        <v>7.57</v>
      </c>
      <c r="AA12" s="2">
        <v>3.9</v>
      </c>
      <c r="AC12" s="3" t="s">
        <v>51</v>
      </c>
      <c r="AD12" s="2">
        <v>2.21</v>
      </c>
      <c r="AE12" s="2">
        <v>2.25</v>
      </c>
      <c r="AF12" s="2">
        <v>1.74</v>
      </c>
      <c r="AG12" s="2">
        <v>2.42</v>
      </c>
      <c r="AH12" s="2">
        <v>2.08</v>
      </c>
      <c r="AI12" s="2">
        <v>2.75</v>
      </c>
      <c r="AJ12" s="2">
        <v>2.94</v>
      </c>
      <c r="AK12" s="2">
        <v>3.37</v>
      </c>
      <c r="AL12" s="2">
        <v>3.17</v>
      </c>
      <c r="AM12" s="2">
        <v>3.37</v>
      </c>
      <c r="AN12" s="2">
        <v>3.58</v>
      </c>
      <c r="AO12" s="2">
        <v>2.72</v>
      </c>
      <c r="AP12" s="2">
        <v>3.62</v>
      </c>
      <c r="AQ12" s="2">
        <v>3.21</v>
      </c>
      <c r="AR12" s="2">
        <v>4.8899999999999997</v>
      </c>
      <c r="AS12" s="2">
        <v>2.37</v>
      </c>
    </row>
    <row r="13" spans="1:47" ht="45" customHeight="1" x14ac:dyDescent="0.25">
      <c r="A13" s="23" t="s">
        <v>54</v>
      </c>
      <c r="B13" s="10" t="s">
        <v>57</v>
      </c>
      <c r="C13" s="13" t="s">
        <v>58</v>
      </c>
      <c r="D13" s="69" t="s">
        <v>59</v>
      </c>
      <c r="E13" s="70"/>
      <c r="G13" s="42" t="s">
        <v>62</v>
      </c>
      <c r="H13" s="33">
        <v>0.25</v>
      </c>
      <c r="I13" s="28" t="s">
        <v>63</v>
      </c>
      <c r="J13" s="34">
        <f>IF(H13&gt;2,18,14)</f>
        <v>14</v>
      </c>
      <c r="K13" s="4" t="s">
        <v>52</v>
      </c>
      <c r="L13" s="2">
        <v>2.4700000000000002</v>
      </c>
      <c r="M13" s="2">
        <v>1.97</v>
      </c>
      <c r="N13" s="2">
        <v>1.54</v>
      </c>
      <c r="O13" s="2">
        <v>2.0299999999999998</v>
      </c>
      <c r="P13" s="2">
        <v>1.6</v>
      </c>
      <c r="Q13" s="2">
        <v>1.84</v>
      </c>
      <c r="R13" s="2">
        <v>1.98</v>
      </c>
      <c r="S13" s="2">
        <v>2.63</v>
      </c>
      <c r="T13" s="2">
        <v>2.4700000000000002</v>
      </c>
      <c r="U13" s="2">
        <v>2.6</v>
      </c>
      <c r="V13" s="2">
        <v>2.75</v>
      </c>
      <c r="W13" s="2">
        <v>2.2000000000000002</v>
      </c>
      <c r="X13" s="2">
        <v>2.72</v>
      </c>
      <c r="Y13" s="2">
        <v>2.15</v>
      </c>
      <c r="Z13" s="2">
        <v>4.03</v>
      </c>
      <c r="AA13" s="2">
        <v>1.81</v>
      </c>
      <c r="AC13" s="4" t="s">
        <v>52</v>
      </c>
      <c r="AD13" s="2">
        <v>1.26</v>
      </c>
      <c r="AE13" s="2">
        <v>0.98</v>
      </c>
      <c r="AF13" s="2">
        <v>0.76</v>
      </c>
      <c r="AG13" s="2">
        <v>1.1399999999999999</v>
      </c>
      <c r="AH13" s="2">
        <v>0.86</v>
      </c>
      <c r="AI13" s="2">
        <v>1.2</v>
      </c>
      <c r="AJ13" s="2">
        <v>1.23</v>
      </c>
      <c r="AK13" s="2">
        <v>1.57</v>
      </c>
      <c r="AL13" s="2">
        <v>1.53</v>
      </c>
      <c r="AM13" s="2">
        <v>1.65</v>
      </c>
      <c r="AN13" s="2">
        <v>1.83</v>
      </c>
      <c r="AO13" s="2">
        <v>1.27</v>
      </c>
      <c r="AP13" s="2">
        <v>1.86</v>
      </c>
      <c r="AQ13" s="2">
        <v>1.57</v>
      </c>
      <c r="AR13" s="2">
        <v>3.02</v>
      </c>
      <c r="AS13" s="2">
        <v>1.1299999999999999</v>
      </c>
    </row>
    <row r="14" spans="1:47" ht="15.75" thickBot="1" x14ac:dyDescent="0.3">
      <c r="A14" s="29">
        <f>A6</f>
        <v>3600</v>
      </c>
      <c r="B14" s="27">
        <f>INDEX(AD4:AS14,MATCH(C2,AC4:AC14,0),MATCH(B6,AD3:AS3,0))</f>
        <v>5.26</v>
      </c>
      <c r="C14" s="31">
        <f>H9</f>
        <v>0.9</v>
      </c>
      <c r="D14" s="68">
        <f>IF(D6="pv not required","BESS Not Required",IF(SUM(A14*B14)/(1000*(C14^0.5))*(((D20*J13)/1000)/D6)&gt;10,SUM(A14*B14)/(1000*(C14^0.5))*(((D20*J13)/1000)/D6),"BESS Not Required"))</f>
        <v>13.391892281490064</v>
      </c>
      <c r="E14" s="67"/>
      <c r="G14" t="s">
        <v>89</v>
      </c>
      <c r="K14" s="4" t="s">
        <v>55</v>
      </c>
      <c r="L14" s="2">
        <v>1.82</v>
      </c>
      <c r="M14" s="2">
        <v>2.21</v>
      </c>
      <c r="N14" s="2">
        <v>1.82</v>
      </c>
      <c r="O14" s="2">
        <v>2.21</v>
      </c>
      <c r="P14" s="2">
        <v>1.82</v>
      </c>
      <c r="Q14" s="2">
        <v>2.21</v>
      </c>
      <c r="R14" s="2">
        <v>2.21</v>
      </c>
      <c r="S14" s="2">
        <v>2.21</v>
      </c>
      <c r="T14" s="2">
        <v>2.21</v>
      </c>
      <c r="U14" s="2">
        <v>2.21</v>
      </c>
      <c r="V14" s="2">
        <v>2.21</v>
      </c>
      <c r="W14" s="2">
        <v>2.21</v>
      </c>
      <c r="X14" s="2">
        <v>2.21</v>
      </c>
      <c r="Y14" s="2">
        <v>2.21</v>
      </c>
      <c r="Z14" s="2">
        <v>2.77</v>
      </c>
      <c r="AA14" s="2">
        <v>1.82</v>
      </c>
      <c r="AC14" s="4" t="s">
        <v>55</v>
      </c>
      <c r="AD14" s="2">
        <v>1.88</v>
      </c>
      <c r="AE14" s="2">
        <v>2.27</v>
      </c>
      <c r="AF14" s="2">
        <v>1.88</v>
      </c>
      <c r="AG14" s="2">
        <v>2.27</v>
      </c>
      <c r="AH14" s="2">
        <v>1.88</v>
      </c>
      <c r="AI14" s="2">
        <v>2.27</v>
      </c>
      <c r="AJ14" s="2">
        <v>2.27</v>
      </c>
      <c r="AK14" s="2">
        <v>2.27</v>
      </c>
      <c r="AL14" s="2">
        <v>2.27</v>
      </c>
      <c r="AM14" s="2">
        <v>2.27</v>
      </c>
      <c r="AN14" s="2">
        <v>2.27</v>
      </c>
      <c r="AO14" s="2">
        <v>2.27</v>
      </c>
      <c r="AP14" s="2">
        <v>2.27</v>
      </c>
      <c r="AQ14" s="2">
        <v>2.27</v>
      </c>
      <c r="AR14" s="2">
        <v>2.85</v>
      </c>
      <c r="AS14" s="2">
        <v>1.88</v>
      </c>
    </row>
    <row r="15" spans="1:47" ht="15.75" thickBot="1" x14ac:dyDescent="0.3">
      <c r="K15" s="1"/>
      <c r="N15" s="24"/>
    </row>
    <row r="16" spans="1:47" ht="15.75" thickBot="1" x14ac:dyDescent="0.3">
      <c r="A16" s="52" t="s">
        <v>64</v>
      </c>
      <c r="B16" s="53"/>
      <c r="C16" s="53"/>
      <c r="D16" s="53"/>
      <c r="E16" s="54"/>
      <c r="G16" t="s">
        <v>90</v>
      </c>
      <c r="K16" s="1"/>
      <c r="L16" s="101">
        <f>IF(SUM(D10-D6)/D6&lt;15%,"Bess not required",SUM(D10-D6)/D6)</f>
        <v>0.77141432294842116</v>
      </c>
      <c r="M16" t="s">
        <v>91</v>
      </c>
    </row>
    <row r="17" spans="1:46" x14ac:dyDescent="0.25">
      <c r="A17" s="92" t="s">
        <v>66</v>
      </c>
      <c r="B17" s="93"/>
      <c r="C17" s="71" t="s">
        <v>65</v>
      </c>
      <c r="D17" s="72"/>
      <c r="E17" s="73"/>
      <c r="K17" s="1"/>
      <c r="L17" s="101">
        <f>SUM(D14-D6)/D6</f>
        <v>0.18848884287274253</v>
      </c>
      <c r="M17" t="s">
        <v>92</v>
      </c>
    </row>
    <row r="18" spans="1:46" ht="15.75" thickBot="1" x14ac:dyDescent="0.3">
      <c r="A18" s="65">
        <f>MIN(D10,D14)</f>
        <v>13.391892281490064</v>
      </c>
      <c r="B18" s="67"/>
      <c r="C18" s="65">
        <f>SUM(A18/4)</f>
        <v>3.3479730703725159</v>
      </c>
      <c r="D18" s="66"/>
      <c r="E18" s="67"/>
      <c r="K18" s="1"/>
    </row>
    <row r="19" spans="1:46" ht="15.75" thickBot="1" x14ac:dyDescent="0.3"/>
    <row r="20" spans="1:46" ht="15.75" customHeight="1" thickBot="1" x14ac:dyDescent="0.3">
      <c r="A20" s="48" t="s">
        <v>41</v>
      </c>
      <c r="B20" s="49"/>
      <c r="C20" s="50"/>
      <c r="D20" s="37">
        <f>SUM(A6*E20)</f>
        <v>540</v>
      </c>
      <c r="E20" s="35">
        <v>0.15</v>
      </c>
      <c r="F20" s="56" t="s">
        <v>88</v>
      </c>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row>
    <row r="21" spans="1:46" ht="14.45" customHeight="1" x14ac:dyDescent="0.25">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row>
    <row r="22" spans="1:46" ht="15.75" thickBot="1" x14ac:dyDescent="0.3">
      <c r="K22" s="21"/>
    </row>
    <row r="23" spans="1:46" ht="15.75" thickBot="1" x14ac:dyDescent="0.3">
      <c r="A23" s="45" t="s">
        <v>38</v>
      </c>
      <c r="B23" s="46"/>
      <c r="C23" s="46"/>
      <c r="D23" s="46"/>
      <c r="E23" s="47"/>
      <c r="K23" s="21"/>
    </row>
    <row r="24" spans="1:46" x14ac:dyDescent="0.25">
      <c r="A24" s="55" t="s">
        <v>42</v>
      </c>
      <c r="B24" s="55"/>
      <c r="C24" s="55"/>
      <c r="D24" s="14">
        <f>SUM(A6*15%)</f>
        <v>540</v>
      </c>
      <c r="E24" t="s">
        <v>33</v>
      </c>
      <c r="K24" s="1"/>
    </row>
    <row r="25" spans="1:46" x14ac:dyDescent="0.25">
      <c r="B25" s="16"/>
      <c r="K25" s="1"/>
    </row>
    <row r="26" spans="1:46" x14ac:dyDescent="0.25">
      <c r="A26" s="15" t="s">
        <v>34</v>
      </c>
      <c r="B26" s="51" t="s">
        <v>77</v>
      </c>
      <c r="C26" s="51"/>
      <c r="D26" s="51"/>
      <c r="E26" s="51"/>
      <c r="K26" s="21"/>
    </row>
    <row r="27" spans="1:46" x14ac:dyDescent="0.25">
      <c r="B27" s="51"/>
      <c r="C27" s="51"/>
      <c r="D27" s="51"/>
      <c r="E27" s="51"/>
      <c r="K27" s="21"/>
    </row>
    <row r="28" spans="1:46" x14ac:dyDescent="0.25">
      <c r="B28" s="57" t="s">
        <v>78</v>
      </c>
      <c r="C28" s="57"/>
      <c r="D28" s="57"/>
      <c r="E28" s="57"/>
      <c r="K28" s="21"/>
    </row>
    <row r="29" spans="1:46" x14ac:dyDescent="0.25">
      <c r="B29" s="57"/>
      <c r="C29" s="57"/>
      <c r="D29" s="57"/>
      <c r="E29" s="57"/>
      <c r="K29" s="21"/>
    </row>
    <row r="30" spans="1:46" x14ac:dyDescent="0.25">
      <c r="B30" s="57"/>
      <c r="C30" s="57"/>
      <c r="D30" s="57"/>
      <c r="E30" s="57"/>
      <c r="K30" s="21"/>
    </row>
    <row r="31" spans="1:46" x14ac:dyDescent="0.25">
      <c r="B31" s="57"/>
      <c r="C31" s="57"/>
      <c r="D31" s="57"/>
      <c r="E31" s="57"/>
      <c r="K31" s="1"/>
    </row>
    <row r="32" spans="1:46" x14ac:dyDescent="0.25">
      <c r="B32" s="57"/>
      <c r="C32" s="57"/>
      <c r="D32" s="57"/>
      <c r="E32" s="57"/>
      <c r="K32" s="1"/>
    </row>
    <row r="33" spans="2:11" x14ac:dyDescent="0.25">
      <c r="B33" s="57"/>
      <c r="C33" s="57"/>
      <c r="D33" s="57"/>
      <c r="E33" s="57"/>
      <c r="K33" s="1"/>
    </row>
    <row r="34" spans="2:11" x14ac:dyDescent="0.25">
      <c r="K34" s="1"/>
    </row>
    <row r="35" spans="2:11" x14ac:dyDescent="0.25">
      <c r="K35" s="1"/>
    </row>
    <row r="36" spans="2:11" x14ac:dyDescent="0.25">
      <c r="K36" s="1"/>
    </row>
  </sheetData>
  <mergeCells count="29">
    <mergeCell ref="A24:C24"/>
    <mergeCell ref="B26:E27"/>
    <mergeCell ref="B28:E33"/>
    <mergeCell ref="AD2:AS2"/>
    <mergeCell ref="A17:B17"/>
    <mergeCell ref="A18:B18"/>
    <mergeCell ref="A12:E12"/>
    <mergeCell ref="D13:E13"/>
    <mergeCell ref="D14:E14"/>
    <mergeCell ref="A16:E16"/>
    <mergeCell ref="C17:E17"/>
    <mergeCell ref="C18:E18"/>
    <mergeCell ref="A20:C20"/>
    <mergeCell ref="A23:E23"/>
    <mergeCell ref="D6:E6"/>
    <mergeCell ref="F20:AT21"/>
    <mergeCell ref="A1:E1"/>
    <mergeCell ref="A2:B2"/>
    <mergeCell ref="L2:AA2"/>
    <mergeCell ref="A4:E4"/>
    <mergeCell ref="G4:H5"/>
    <mergeCell ref="I4:J5"/>
    <mergeCell ref="D5:E5"/>
    <mergeCell ref="C2:E2"/>
    <mergeCell ref="G6:H6"/>
    <mergeCell ref="I6:J6"/>
    <mergeCell ref="A8:E8"/>
    <mergeCell ref="D9:E9"/>
    <mergeCell ref="D10:E10"/>
  </mergeCells>
  <dataValidations count="3">
    <dataValidation type="whole" allowBlank="1" showInputMessage="1" showErrorMessage="1" sqref="G10" xr:uid="{040F19AB-9D2A-44E6-8C28-BC6B68E8C4A9}">
      <formula1>80</formula1>
      <formula2>100</formula2>
    </dataValidation>
    <dataValidation type="list" allowBlank="1" showInputMessage="1" showErrorMessage="1" sqref="B6" xr:uid="{EC8CE350-39BC-4FC4-98F2-229CF3E54D8B}">
      <formula1>ClimateZones</formula1>
    </dataValidation>
    <dataValidation type="list" allowBlank="1" showInputMessage="1" showErrorMessage="1" sqref="C2" xr:uid="{A855989B-0D39-453C-9423-BBC5470B6A96}">
      <formula1>$K$4:$K$14</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19EF0-7AEB-425C-84A0-F92466AB9ACF}">
  <dimension ref="A1:AR33"/>
  <sheetViews>
    <sheetView workbookViewId="0">
      <selection activeCell="J7" sqref="J7"/>
    </sheetView>
  </sheetViews>
  <sheetFormatPr defaultRowHeight="15" x14ac:dyDescent="0.25"/>
  <cols>
    <col min="1" max="1" width="13.7109375" customWidth="1"/>
    <col min="2" max="2" width="13.42578125" customWidth="1"/>
    <col min="3" max="3" width="9.140625" customWidth="1"/>
    <col min="4" max="4" width="16.28515625" customWidth="1"/>
    <col min="7" max="7" width="11" customWidth="1"/>
    <col min="28" max="28" width="29.140625" customWidth="1"/>
    <col min="29" max="44" width="9.140625" customWidth="1"/>
  </cols>
  <sheetData>
    <row r="1" spans="1:44" ht="15.75" thickBot="1" x14ac:dyDescent="0.3">
      <c r="A1" s="45" t="s">
        <v>85</v>
      </c>
      <c r="B1" s="46"/>
      <c r="C1" s="46"/>
      <c r="D1" s="46"/>
      <c r="E1" s="46"/>
      <c r="F1" s="46"/>
      <c r="G1" s="47"/>
    </row>
    <row r="2" spans="1:44" x14ac:dyDescent="0.25">
      <c r="A2" s="64"/>
      <c r="B2" s="64"/>
      <c r="C2" s="83"/>
      <c r="D2" s="83"/>
      <c r="E2" s="1"/>
      <c r="F2" s="1"/>
      <c r="AC2" s="58" t="s">
        <v>70</v>
      </c>
      <c r="AD2" s="59"/>
      <c r="AE2" s="59"/>
      <c r="AF2" s="59"/>
      <c r="AG2" s="59"/>
      <c r="AH2" s="59"/>
      <c r="AI2" s="59"/>
      <c r="AJ2" s="59"/>
      <c r="AK2" s="59"/>
      <c r="AL2" s="59"/>
      <c r="AM2" s="59"/>
      <c r="AN2" s="59"/>
      <c r="AO2" s="59"/>
      <c r="AP2" s="59"/>
      <c r="AQ2" s="59"/>
      <c r="AR2" s="60"/>
    </row>
    <row r="3" spans="1:44" ht="15.75" thickBot="1" x14ac:dyDescent="0.3">
      <c r="C3" s="1"/>
      <c r="D3" s="1"/>
      <c r="E3" s="1"/>
      <c r="F3" s="1"/>
      <c r="G3" s="1"/>
      <c r="AB3" s="4" t="s">
        <v>0</v>
      </c>
      <c r="AC3" s="2">
        <v>1</v>
      </c>
      <c r="AD3" s="2">
        <v>2</v>
      </c>
      <c r="AE3" s="2">
        <v>3</v>
      </c>
      <c r="AF3" s="2">
        <v>4</v>
      </c>
      <c r="AG3" s="2">
        <v>5</v>
      </c>
      <c r="AH3" s="2">
        <v>6</v>
      </c>
      <c r="AI3" s="2">
        <v>7</v>
      </c>
      <c r="AJ3" s="2">
        <v>8</v>
      </c>
      <c r="AK3" s="2">
        <v>9</v>
      </c>
      <c r="AL3" s="2">
        <v>10</v>
      </c>
      <c r="AM3" s="2">
        <v>11</v>
      </c>
      <c r="AN3" s="2">
        <v>12</v>
      </c>
      <c r="AO3" s="2">
        <v>13</v>
      </c>
      <c r="AP3" s="2">
        <v>14</v>
      </c>
      <c r="AQ3" s="2">
        <v>15</v>
      </c>
      <c r="AR3" s="2">
        <v>16</v>
      </c>
    </row>
    <row r="4" spans="1:44" ht="15" customHeight="1" thickBot="1" x14ac:dyDescent="0.3">
      <c r="A4" s="52" t="s">
        <v>84</v>
      </c>
      <c r="B4" s="53"/>
      <c r="C4" s="53"/>
      <c r="D4" s="53"/>
      <c r="E4" s="53"/>
      <c r="F4" s="53"/>
      <c r="G4" s="54"/>
      <c r="J4" s="74" t="s">
        <v>40</v>
      </c>
      <c r="K4" s="75"/>
      <c r="L4" s="74" t="s">
        <v>39</v>
      </c>
      <c r="M4" s="75"/>
      <c r="AB4" s="3" t="s">
        <v>68</v>
      </c>
      <c r="AC4" s="2">
        <v>0.79300000000000004</v>
      </c>
      <c r="AD4" s="2">
        <v>0.621</v>
      </c>
      <c r="AE4" s="2">
        <v>0.628</v>
      </c>
      <c r="AF4" s="2">
        <v>0.58599999999999997</v>
      </c>
      <c r="AG4" s="2">
        <v>0.58499999999999996</v>
      </c>
      <c r="AH4" s="2">
        <v>0.59399999999999997</v>
      </c>
      <c r="AI4" s="2">
        <v>0.57199999999999995</v>
      </c>
      <c r="AJ4" s="2">
        <v>0.58599999999999997</v>
      </c>
      <c r="AK4" s="2">
        <v>0.61299999999999999</v>
      </c>
      <c r="AL4" s="2">
        <v>0.627</v>
      </c>
      <c r="AM4" s="2">
        <v>0.83599999999999997</v>
      </c>
      <c r="AN4" s="2">
        <v>0.61299999999999999</v>
      </c>
      <c r="AO4" s="2">
        <v>0.89400000000000002</v>
      </c>
      <c r="AP4" s="2">
        <v>0.74099999999999999</v>
      </c>
      <c r="AQ4" s="2">
        <v>1.56</v>
      </c>
      <c r="AR4" s="2">
        <v>0.59</v>
      </c>
    </row>
    <row r="5" spans="1:44" ht="45" customHeight="1" x14ac:dyDescent="0.25">
      <c r="A5" s="23" t="s">
        <v>54</v>
      </c>
      <c r="B5" s="10" t="s">
        <v>18</v>
      </c>
      <c r="C5" s="10" t="s">
        <v>19</v>
      </c>
      <c r="D5" s="13" t="s">
        <v>74</v>
      </c>
      <c r="E5" s="10" t="s">
        <v>75</v>
      </c>
      <c r="F5" s="69" t="s">
        <v>76</v>
      </c>
      <c r="G5" s="70"/>
      <c r="J5" s="76"/>
      <c r="K5" s="77"/>
      <c r="L5" s="76"/>
      <c r="M5" s="77"/>
      <c r="AB5" s="3" t="s">
        <v>69</v>
      </c>
      <c r="AC5" s="2">
        <v>1.27</v>
      </c>
      <c r="AD5" s="2">
        <v>1.22</v>
      </c>
      <c r="AE5" s="2">
        <v>1.1200000000000001</v>
      </c>
      <c r="AF5" s="2">
        <v>1.21</v>
      </c>
      <c r="AG5" s="2">
        <v>1.06</v>
      </c>
      <c r="AH5" s="2">
        <v>1.23</v>
      </c>
      <c r="AI5" s="2">
        <v>1.1499999999999999</v>
      </c>
      <c r="AJ5" s="2">
        <v>1.37</v>
      </c>
      <c r="AK5" s="2">
        <v>1.36</v>
      </c>
      <c r="AL5" s="2">
        <v>1.41</v>
      </c>
      <c r="AM5" s="2">
        <v>1.44</v>
      </c>
      <c r="AN5" s="2">
        <v>1.4</v>
      </c>
      <c r="AO5" s="2">
        <v>1.51</v>
      </c>
      <c r="AP5" s="2">
        <v>1.26</v>
      </c>
      <c r="AQ5" s="2">
        <v>1.47</v>
      </c>
      <c r="AR5" s="2">
        <v>1.22</v>
      </c>
    </row>
    <row r="6" spans="1:44" ht="15.75" thickBot="1" x14ac:dyDescent="0.3">
      <c r="A6" s="25">
        <v>1410</v>
      </c>
      <c r="B6" s="26">
        <v>13</v>
      </c>
      <c r="C6" s="7">
        <f>INDEX(AC4:AR4,MATCH(B6,ClimateZones,0))</f>
        <v>0.89400000000000002</v>
      </c>
      <c r="D6" s="26">
        <v>1</v>
      </c>
      <c r="E6" s="7">
        <f>INDEX(AC5:AR5,MATCH(B6,ClimateZones,0))</f>
        <v>1.51</v>
      </c>
      <c r="F6" s="68">
        <f>IF(A13="yes",(A6*C6)/1000+(D6*E6)*0.25,IF((A6*C6)/1000+(D6*E6)&gt;1.8,(A6*C6)/1000+(D6*E6),"PV Not Required"))</f>
        <v>2.77054</v>
      </c>
      <c r="G6" s="67"/>
      <c r="J6" s="78">
        <f>IF(F6="PV Not Required","N/A",SUM((E13*1000)/320))</f>
        <v>8.6579374999999992</v>
      </c>
      <c r="K6" s="79"/>
      <c r="L6" s="78">
        <f>IF(J6="N/A","N/A",SUM(J6*15))</f>
        <v>129.86906249999998</v>
      </c>
      <c r="M6" s="79"/>
      <c r="AB6" s="1"/>
    </row>
    <row r="7" spans="1:44" ht="15.75" thickBot="1" x14ac:dyDescent="0.3">
      <c r="AB7" s="1"/>
    </row>
    <row r="8" spans="1:44" ht="30" customHeight="1" thickBot="1" x14ac:dyDescent="0.3">
      <c r="A8" s="52" t="s">
        <v>82</v>
      </c>
      <c r="B8" s="53"/>
      <c r="C8" s="54"/>
      <c r="D8" s="1"/>
      <c r="H8" s="42" t="s">
        <v>67</v>
      </c>
    </row>
    <row r="9" spans="1:44" ht="45" customHeight="1" x14ac:dyDescent="0.25">
      <c r="A9" s="23" t="s">
        <v>81</v>
      </c>
      <c r="B9" s="69" t="s">
        <v>76</v>
      </c>
      <c r="C9" s="70"/>
      <c r="E9" s="32" t="s">
        <v>62</v>
      </c>
      <c r="F9" s="33">
        <v>0.25</v>
      </c>
      <c r="G9" s="28" t="s">
        <v>63</v>
      </c>
      <c r="H9" s="34">
        <f>IF(F9&gt;2,18,14)</f>
        <v>14</v>
      </c>
    </row>
    <row r="10" spans="1:44" ht="15" customHeight="1" thickBot="1" x14ac:dyDescent="0.3">
      <c r="A10" s="25">
        <v>310</v>
      </c>
      <c r="B10" s="68">
        <f>IF(F6="PV Not Required",F6,IF(A10&lt;80,"PV Not Required",((A10*H9)/1000)))</f>
        <v>4.34</v>
      </c>
      <c r="C10" s="67"/>
    </row>
    <row r="11" spans="1:44" ht="15" customHeight="1" thickBot="1" x14ac:dyDescent="0.3">
      <c r="AB11" s="36"/>
    </row>
    <row r="12" spans="1:44" ht="30" customHeight="1" x14ac:dyDescent="0.25">
      <c r="A12" s="74" t="s">
        <v>79</v>
      </c>
      <c r="B12" s="80"/>
      <c r="E12" s="94" t="s">
        <v>83</v>
      </c>
      <c r="F12" s="95"/>
      <c r="G12" s="95"/>
      <c r="H12" s="96"/>
      <c r="AB12" s="21"/>
    </row>
    <row r="13" spans="1:44" ht="15" customHeight="1" thickBot="1" x14ac:dyDescent="0.3">
      <c r="A13" s="84" t="s">
        <v>80</v>
      </c>
      <c r="B13" s="85"/>
      <c r="E13" s="97">
        <f>IF(OR(F6="PV Not Required",B10="PV Not Required"),"PV Not Required",MIN(F6,B10))</f>
        <v>2.77054</v>
      </c>
      <c r="F13" s="98"/>
      <c r="G13" s="98"/>
      <c r="H13" s="99"/>
      <c r="AB13" s="21"/>
    </row>
    <row r="14" spans="1:44" x14ac:dyDescent="0.25">
      <c r="E14" s="39"/>
    </row>
    <row r="16" spans="1:44" x14ac:dyDescent="0.25">
      <c r="A16" s="1"/>
      <c r="B16" s="1"/>
      <c r="C16" s="1"/>
      <c r="D16" s="1"/>
      <c r="E16" s="1"/>
    </row>
    <row r="17" spans="1:33" x14ac:dyDescent="0.25">
      <c r="A17" s="1"/>
      <c r="B17" s="1"/>
      <c r="C17" s="21"/>
      <c r="D17" s="21"/>
      <c r="E17" s="21"/>
      <c r="AB17" s="21"/>
      <c r="AD17" s="21"/>
      <c r="AE17" s="21"/>
      <c r="AF17" s="21"/>
      <c r="AG17" s="21"/>
    </row>
    <row r="18" spans="1:33" x14ac:dyDescent="0.25">
      <c r="A18" s="39"/>
      <c r="B18" s="39"/>
      <c r="C18" s="39"/>
      <c r="D18" s="39"/>
      <c r="E18" s="39"/>
      <c r="AB18" s="21"/>
      <c r="AF18" s="21"/>
      <c r="AG18" s="21"/>
    </row>
    <row r="19" spans="1:33" x14ac:dyDescent="0.25">
      <c r="AB19" s="21"/>
      <c r="AD19" s="22"/>
      <c r="AE19" s="22"/>
      <c r="AF19" s="22"/>
      <c r="AG19" s="22"/>
    </row>
    <row r="20" spans="1:33" ht="15.75" customHeight="1" x14ac:dyDescent="0.25">
      <c r="E20" s="38"/>
      <c r="F20" s="36"/>
      <c r="G20" s="36"/>
      <c r="H20" s="36"/>
      <c r="I20" s="36"/>
      <c r="J20" s="36"/>
      <c r="AB20" s="21"/>
    </row>
    <row r="21" spans="1:33" ht="14.45" customHeight="1" x14ac:dyDescent="0.25">
      <c r="F21" s="36"/>
      <c r="G21" s="36"/>
      <c r="H21" s="36"/>
      <c r="I21" s="36"/>
      <c r="J21" s="36"/>
      <c r="AB21" s="1"/>
    </row>
    <row r="24" spans="1:33" x14ac:dyDescent="0.25">
      <c r="AB24" s="1"/>
    </row>
    <row r="25" spans="1:33" x14ac:dyDescent="0.25">
      <c r="A25" s="15"/>
      <c r="B25" s="16"/>
      <c r="C25" s="40"/>
      <c r="D25" s="40"/>
      <c r="AB25" s="1"/>
    </row>
    <row r="26" spans="1:33" x14ac:dyDescent="0.25">
      <c r="B26" s="40"/>
      <c r="C26" s="40"/>
      <c r="D26" s="40"/>
      <c r="E26" s="40"/>
      <c r="AB26" s="1"/>
    </row>
    <row r="27" spans="1:33" x14ac:dyDescent="0.25">
      <c r="B27" s="40"/>
      <c r="C27" s="41"/>
      <c r="D27" s="41"/>
      <c r="E27" s="40"/>
    </row>
    <row r="28" spans="1:33" x14ac:dyDescent="0.25">
      <c r="B28" s="41"/>
      <c r="C28" s="41"/>
      <c r="D28" s="41"/>
      <c r="E28" s="41"/>
    </row>
    <row r="29" spans="1:33" x14ac:dyDescent="0.25">
      <c r="B29" s="41"/>
      <c r="C29" s="41"/>
      <c r="D29" s="41"/>
      <c r="E29" s="41"/>
    </row>
    <row r="30" spans="1:33" x14ac:dyDescent="0.25">
      <c r="B30" s="41"/>
      <c r="C30" s="41"/>
      <c r="D30" s="41"/>
      <c r="E30" s="41"/>
    </row>
    <row r="31" spans="1:33" x14ac:dyDescent="0.25">
      <c r="B31" s="41"/>
      <c r="C31" s="41"/>
      <c r="D31" s="41"/>
      <c r="E31" s="41"/>
    </row>
    <row r="32" spans="1:33" x14ac:dyDescent="0.25">
      <c r="B32" s="41"/>
      <c r="C32" s="41"/>
      <c r="D32" s="41"/>
      <c r="E32" s="41"/>
    </row>
    <row r="33" spans="2:5" x14ac:dyDescent="0.25">
      <c r="B33" s="41"/>
      <c r="E33" s="41"/>
    </row>
  </sheetData>
  <mergeCells count="18">
    <mergeCell ref="A1:G1"/>
    <mergeCell ref="A2:B2"/>
    <mergeCell ref="C2:D2"/>
    <mergeCell ref="AC2:AR2"/>
    <mergeCell ref="A4:G4"/>
    <mergeCell ref="J4:K5"/>
    <mergeCell ref="L4:M5"/>
    <mergeCell ref="F5:G5"/>
    <mergeCell ref="J6:K6"/>
    <mergeCell ref="L6:M6"/>
    <mergeCell ref="A8:C8"/>
    <mergeCell ref="B9:C9"/>
    <mergeCell ref="B10:C10"/>
    <mergeCell ref="A12:B12"/>
    <mergeCell ref="E12:H12"/>
    <mergeCell ref="A13:B13"/>
    <mergeCell ref="E13:H13"/>
    <mergeCell ref="F6:G6"/>
  </mergeCells>
  <dataValidations count="3">
    <dataValidation type="list" allowBlank="1" showInputMessage="1" showErrorMessage="1" sqref="A13:B13" xr:uid="{BCE00538-FB4C-47E1-A6CC-606268D3864B}">
      <formula1>"Yes, No"</formula1>
    </dataValidation>
    <dataValidation type="whole" allowBlank="1" showInputMessage="1" showErrorMessage="1" sqref="AD19" xr:uid="{7F83587D-4DE6-4E82-A3E2-D95890DFDEFF}">
      <formula1>80</formula1>
      <formula2>100</formula2>
    </dataValidation>
    <dataValidation type="list" allowBlank="1" showInputMessage="1" showErrorMessage="1" sqref="B6" xr:uid="{8921C287-1310-429E-B718-93E1F1EBCBF2}">
      <formula1>ClimateZones</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20</vt:i4>
      </vt:variant>
    </vt:vector>
  </HeadingPairs>
  <TitlesOfParts>
    <vt:vector size="24" baseType="lpstr">
      <vt:lpstr>2022 CEC - Commercial</vt:lpstr>
      <vt:lpstr>2022 CEC - Residential</vt:lpstr>
      <vt:lpstr>2025 CEC - Commercial</vt:lpstr>
      <vt:lpstr>2025 CEC - Residential (2)</vt:lpstr>
      <vt:lpstr>'2022 CEC - Residential'!BldgUse</vt:lpstr>
      <vt:lpstr>'2025 CEC - Commercial'!BldgUse</vt:lpstr>
      <vt:lpstr>'2025 CEC - Residential (2)'!BldgUse</vt:lpstr>
      <vt:lpstr>BldgUse</vt:lpstr>
      <vt:lpstr>'2022 CEC - Residential'!ClimateZones</vt:lpstr>
      <vt:lpstr>'2025 CEC - Commercial'!ClimateZones</vt:lpstr>
      <vt:lpstr>'2025 CEC - Residential (2)'!ClimateZones</vt:lpstr>
      <vt:lpstr>ClimateZones</vt:lpstr>
      <vt:lpstr>'2022 CEC - Residential'!OccTypes</vt:lpstr>
      <vt:lpstr>'2025 CEC - Commercial'!OccTypes</vt:lpstr>
      <vt:lpstr>'2025 CEC - Residential (2)'!OccTypes</vt:lpstr>
      <vt:lpstr>OccTypes</vt:lpstr>
      <vt:lpstr>'2022 CEC - Residential'!Table</vt:lpstr>
      <vt:lpstr>'2025 CEC - Commercial'!Table</vt:lpstr>
      <vt:lpstr>'2025 CEC - Residential (2)'!Table</vt:lpstr>
      <vt:lpstr>Table</vt:lpstr>
      <vt:lpstr>'2022 CEC - Residential'!Table1</vt:lpstr>
      <vt:lpstr>'2025 CEC - Commercial'!Table1</vt:lpstr>
      <vt:lpstr>'2025 CEC - Residential (2)'!Table1</vt:lpstr>
      <vt:lpstr>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Schneider</dc:creator>
  <cp:lastModifiedBy>Michael Schneider</cp:lastModifiedBy>
  <dcterms:created xsi:type="dcterms:W3CDTF">2022-08-30T21:46:13Z</dcterms:created>
  <dcterms:modified xsi:type="dcterms:W3CDTF">2025-09-18T15:10:00Z</dcterms:modified>
</cp:coreProperties>
</file>
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Sales Resources\! SUNBELT\Calculators\"/>
    </mc:Choice>
  </mc:AlternateContent>
  <xr:revisionPtr revIDLastSave="0" documentId="13_ncr:1_{18CFE32B-7F2F-495F-8EAE-A303D67F72D0}" xr6:coauthVersionLast="47" xr6:coauthVersionMax="47" xr10:uidLastSave="{00000000-0000-0000-0000-000000000000}"/>
  <bookViews>
    <workbookView xWindow="-120" yWindow="-120" windowWidth="29040" windowHeight="15840" xr2:uid="{E1B6D7D9-92C2-4B23-9987-F5CD77E6D300}"/>
  </bookViews>
  <sheets>
    <sheet name="Occupancy Calc" sheetId="13" r:id="rId1"/>
  </sheets>
  <definedNames>
    <definedName name="length">#REF!</definedName>
    <definedName name="mates">#REF!</definedName>
    <definedName name="perimeter">#REF!</definedName>
    <definedName name="pitch">#REF!</definedName>
    <definedName name="RoofType">#REF!</definedName>
    <definedName name="rtype">#REF!</definedName>
    <definedName name="sqft">#REF!</definedName>
    <definedName name="sqftx2">#REF!</definedName>
    <definedName name="wheight">#REF!</definedName>
    <definedName name="wid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3" l="1"/>
  <c r="C9" i="13"/>
  <c r="D9" i="13" s="1"/>
  <c r="D13" i="13"/>
  <c r="D43" i="13"/>
  <c r="D42" i="13"/>
  <c r="D41" i="13"/>
  <c r="D40" i="13"/>
  <c r="D39" i="13"/>
  <c r="F35" i="13"/>
  <c r="E35" i="13"/>
  <c r="F34" i="13"/>
  <c r="E34" i="13"/>
  <c r="F33" i="13"/>
  <c r="E33" i="13"/>
  <c r="F32" i="13"/>
  <c r="D32" i="13"/>
  <c r="E32" i="13" s="1"/>
  <c r="D31" i="13"/>
  <c r="E31" i="13" s="1"/>
  <c r="D25" i="13"/>
  <c r="D24" i="13"/>
  <c r="D23" i="13"/>
  <c r="D22" i="13"/>
  <c r="D21" i="13"/>
  <c r="D20" i="13"/>
  <c r="D19" i="13"/>
  <c r="D18" i="13"/>
  <c r="D17" i="13"/>
  <c r="D16" i="13"/>
  <c r="D15" i="13"/>
  <c r="D14" i="13"/>
  <c r="D12" i="13"/>
  <c r="D11" i="13"/>
  <c r="D10" i="13"/>
  <c r="D8" i="13"/>
  <c r="D7" i="13"/>
  <c r="D6" i="13"/>
  <c r="D5" i="13"/>
  <c r="M9" i="13" s="1"/>
  <c r="D4" i="13"/>
  <c r="D3" i="13"/>
  <c r="F31" i="13" l="1"/>
  <c r="D26" i="13"/>
  <c r="M3" i="13"/>
  <c r="M4" i="13" s="1"/>
  <c r="D27" i="13" l="1"/>
  <c r="M7" i="13"/>
  <c r="M5" i="13"/>
  <c r="M6" i="13"/>
</calcChain>
</file>

<file path=xl/sharedStrings.xml><?xml version="1.0" encoding="utf-8"?>
<sst xmlns="http://schemas.openxmlformats.org/spreadsheetml/2006/main" count="91" uniqueCount="78">
  <si>
    <t>Length</t>
  </si>
  <si>
    <t>LF per window</t>
  </si>
  <si>
    <t>Drinking Fountain Required?</t>
  </si>
  <si>
    <t># of Windows</t>
  </si>
  <si>
    <t>Total LF</t>
  </si>
  <si>
    <t>Height</t>
  </si>
  <si>
    <t>Mop Sink Required</t>
  </si>
  <si>
    <t>Fresh Air Square Footage</t>
  </si>
  <si>
    <t># of Doors</t>
  </si>
  <si>
    <t>Exterior Doors (Enter Length and Height in Inches)</t>
  </si>
  <si>
    <t>Fresh Air Percentage</t>
  </si>
  <si>
    <t>CBC Section 1004 / IBC Section 1004</t>
  </si>
  <si>
    <t>Occupancy Use:</t>
  </si>
  <si>
    <t>Occupant Load Factor:</t>
  </si>
  <si>
    <t>Square Footage:</t>
  </si>
  <si>
    <t># Of Persons</t>
  </si>
  <si>
    <t>Accesory Storage, Mechanical Equipment</t>
  </si>
  <si>
    <t>300 Gross</t>
  </si>
  <si>
    <t>Assembly (Casino)</t>
  </si>
  <si>
    <t>11 Gross</t>
  </si>
  <si>
    <t>Assembly (With Tables &amp; Chairs)</t>
  </si>
  <si>
    <r>
      <t xml:space="preserve">15 </t>
    </r>
    <r>
      <rPr>
        <i/>
        <sz val="11"/>
        <color theme="1"/>
        <rFont val="Calibri"/>
        <family val="2"/>
        <scheme val="minor"/>
      </rPr>
      <t>Net</t>
    </r>
  </si>
  <si>
    <t>&lt;--- Use for Conference Rooms &amp; Break Rooms</t>
  </si>
  <si>
    <t>Assembly (Concentrated)</t>
  </si>
  <si>
    <r>
      <t xml:space="preserve">7 </t>
    </r>
    <r>
      <rPr>
        <i/>
        <sz val="11"/>
        <color theme="1"/>
        <rFont val="Calibri"/>
        <family val="2"/>
        <scheme val="minor"/>
      </rPr>
      <t>Net</t>
    </r>
  </si>
  <si>
    <t>Assembly (Standing)</t>
  </si>
  <si>
    <r>
      <t xml:space="preserve">5 </t>
    </r>
    <r>
      <rPr>
        <i/>
        <sz val="11"/>
        <color theme="1"/>
        <rFont val="Calibri"/>
        <family val="2"/>
        <scheme val="minor"/>
      </rPr>
      <t>Net</t>
    </r>
  </si>
  <si>
    <t>Business (2006 - 2015 IBC)</t>
  </si>
  <si>
    <t>100 Gross</t>
  </si>
  <si>
    <t>Business (2018 IBC &amp; 2019 CBC)</t>
  </si>
  <si>
    <t>150 Gross</t>
  </si>
  <si>
    <t>Courtrooms</t>
  </si>
  <si>
    <r>
      <t xml:space="preserve">40 </t>
    </r>
    <r>
      <rPr>
        <i/>
        <sz val="11"/>
        <color theme="1"/>
        <rFont val="Calibri"/>
        <family val="2"/>
        <scheme val="minor"/>
      </rPr>
      <t>Net</t>
    </r>
  </si>
  <si>
    <t>Day Care</t>
  </si>
  <si>
    <r>
      <t xml:space="preserve">35 </t>
    </r>
    <r>
      <rPr>
        <i/>
        <sz val="11"/>
        <color theme="1"/>
        <rFont val="Calibri"/>
        <family val="2"/>
        <scheme val="minor"/>
      </rPr>
      <t>Net</t>
    </r>
  </si>
  <si>
    <t>Dormatories</t>
  </si>
  <si>
    <t>50 Gross</t>
  </si>
  <si>
    <t>Educational (Includes Adult Education)</t>
  </si>
  <si>
    <r>
      <t xml:space="preserve">20 </t>
    </r>
    <r>
      <rPr>
        <i/>
        <sz val="11"/>
        <color theme="1"/>
        <rFont val="Calibri"/>
        <family val="2"/>
        <scheme val="minor"/>
      </rPr>
      <t>Net</t>
    </r>
  </si>
  <si>
    <t>Exercise Rooms</t>
  </si>
  <si>
    <t>Institutional (Inpatient)</t>
  </si>
  <si>
    <t>240 Gross</t>
  </si>
  <si>
    <t>Institutional (Outpatient)</t>
  </si>
  <si>
    <t>Institutional (Sleeping Areas)</t>
  </si>
  <si>
    <t>120 Gross</t>
  </si>
  <si>
    <t>Note:</t>
  </si>
  <si>
    <t>Commercial Kitchens</t>
  </si>
  <si>
    <t>200 Gross</t>
  </si>
  <si>
    <r>
      <rPr>
        <b/>
        <sz val="11"/>
        <color theme="1"/>
        <rFont val="Calibri"/>
        <family val="2"/>
        <scheme val="minor"/>
      </rPr>
      <t>Gross</t>
    </r>
    <r>
      <rPr>
        <sz val="11"/>
        <color theme="1"/>
        <rFont val="Calibri"/>
        <family val="2"/>
        <scheme val="minor"/>
      </rPr>
      <t>: overall area (including walls)</t>
    </r>
  </si>
  <si>
    <t>Lab (Educational)</t>
  </si>
  <si>
    <r>
      <t xml:space="preserve">50 </t>
    </r>
    <r>
      <rPr>
        <i/>
        <sz val="11"/>
        <color theme="1"/>
        <rFont val="Calibri"/>
        <family val="2"/>
        <scheme val="minor"/>
      </rPr>
      <t>Net</t>
    </r>
  </si>
  <si>
    <r>
      <rPr>
        <b/>
        <i/>
        <sz val="11"/>
        <color theme="1"/>
        <rFont val="Calibri"/>
        <family val="2"/>
        <scheme val="minor"/>
      </rPr>
      <t>Net</t>
    </r>
    <r>
      <rPr>
        <sz val="11"/>
        <color theme="1"/>
        <rFont val="Calibri"/>
        <family val="2"/>
        <scheme val="minor"/>
      </rPr>
      <t>: actual wall-to-wall square footage</t>
    </r>
  </si>
  <si>
    <t>Lab (Non-Educational)</t>
  </si>
  <si>
    <r>
      <t xml:space="preserve">100 </t>
    </r>
    <r>
      <rPr>
        <i/>
        <sz val="11"/>
        <color theme="1"/>
        <rFont val="Calibri"/>
        <family val="2"/>
        <scheme val="minor"/>
      </rPr>
      <t>Net</t>
    </r>
  </si>
  <si>
    <t>Library (Reading Rm)</t>
  </si>
  <si>
    <t>Library (Stack Areas)</t>
  </si>
  <si>
    <t>Locker Rooms</t>
  </si>
  <si>
    <t>Mercantile</t>
  </si>
  <si>
    <t>60 Gross</t>
  </si>
  <si>
    <t>Mercantile (Storage, Stock)</t>
  </si>
  <si>
    <t>TOTAL # OF OCCUPANTS:</t>
  </si>
  <si>
    <t>Windows (Enter Window Width and Height in Inches)</t>
  </si>
  <si>
    <t>Codes</t>
  </si>
  <si>
    <t>State</t>
  </si>
  <si>
    <t>Code</t>
  </si>
  <si>
    <t>Result</t>
  </si>
  <si>
    <t>WA</t>
  </si>
  <si>
    <t>ID</t>
  </si>
  <si>
    <t>IBC</t>
  </si>
  <si>
    <t>Fire Corridor Necessary?</t>
  </si>
  <si>
    <t>Occupant Egress Load Per Door</t>
  </si>
  <si>
    <t>Fire Sprinklers Necessary for buildings over 9000 SF</t>
  </si>
  <si>
    <t>Buildings Over 9000 sqft w/ Class B Occupancy require either 1 hr rated construction (type 5A) or fire sprinklers.</t>
  </si>
  <si>
    <t>Classroom buildings (Type E occupancy) over 1000 sqft require fire sprinklers OR 4 Exterior doors</t>
  </si>
  <si>
    <t>Classroom buildings (Type E occupancy) over 9500 sqft require fire sprinklers AND type 5A construction</t>
  </si>
  <si>
    <t>2 Hour Conference Room Separation</t>
  </si>
  <si>
    <t>Minimum number of Ext Doors (Including Conference Room)</t>
  </si>
  <si>
    <t>Enough Fresh Air to Avoid ERVs? 4% of sqft?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</si>
</sst>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0" fillId="0" borderId="8" xfId="0" applyNumberFormat="1" applyBorder="1" applyAlignment="1">
      <alignment horizontal="right" vertical="center"/>
    </xf>
    <xf numFmtId="1" fontId="0" fillId="0" borderId="8" xfId="0" applyNumberFormat="1" applyBorder="1"/>
    <xf numFmtId="1" fontId="9" fillId="0" borderId="5" xfId="0" applyNumberFormat="1" applyFont="1" applyBorder="1"/>
    <xf numFmtId="10" fontId="0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0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mruColors>
      <color rgb="FFFFCCCC"/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174258-3EDE-44F3-8091-430AD0B65DF6}" name="Table14" displayName="Table14" ref="A30:F35" totalsRowShown="0">
  <autoFilter ref="A30:F35" xr:uid="{37174258-3EDE-44F3-8091-430AD0B65DF6}"/>
  <tableColumns count="6">
    <tableColumn id="1" xr3:uid="{8532CFED-F772-4E8F-81E6-73D2AC3C2610}" name="Length" dataDxfId="13"/>
    <tableColumn id="2" xr3:uid="{22DEEFA9-3025-4570-9CC7-F3E9C06B26AF}" name="Height" dataDxfId="12"/>
    <tableColumn id="3" xr3:uid="{9A95DB8F-74FA-4D88-B53C-5A686D5D9801}" name="# of Windows" dataDxfId="11"/>
    <tableColumn id="4" xr3:uid="{67279D66-D7A5-4A0C-A954-BC8C3AC3BCD3}" name="LF per window" dataDxfId="10"/>
    <tableColumn id="5" xr3:uid="{1CA07073-B9AF-4096-9356-220293BBB1CE}" name="Total LF">
      <calculatedColumnFormula>C31*D31</calculatedColumnFormula>
    </tableColumn>
    <tableColumn id="6" xr3:uid="{B374E01E-308B-416E-BA03-CB6A26458330}" name="Fresh Air Square Footage" dataDxfId="9">
      <calculatedColumnFormula>IF(Table14[[#This Row],[LF per window]]=14,5.3,IF(Table14[[#This Row],[LF per window]]=16,7.2,IF(Table14[[#This Row],[LF per window]]=12,3.5,(Table14[[#This Row],[Length]]*Table14[[#This Row],[Height]]/144*0.38))))*Table14[[#This Row],['# of Windows]]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A0E855-2A60-4414-9321-FDC8BA9EEB7C}" name="Table135" displayName="Table135" ref="A38:D43" totalsRowShown="0">
  <autoFilter ref="A38:D43" xr:uid="{D3A0E855-2A60-4414-9321-FDC8BA9EEB7C}"/>
  <tableColumns count="4">
    <tableColumn id="1" xr3:uid="{279C3A86-913D-4AC9-968D-673EE740879A}" name="Length" dataDxfId="8"/>
    <tableColumn id="2" xr3:uid="{0EB6FFED-E425-4110-A380-3D4AD19FE578}" name="Height" dataDxfId="7"/>
    <tableColumn id="3" xr3:uid="{17CDB482-F2F2-4509-BE9B-0B1165002001}" name="# of Doors" dataDxfId="6"/>
    <tableColumn id="4" xr3:uid="{6C13E064-A1D4-411B-929C-43B307349558}" name="Fresh Air Square Footage">
      <calculatedColumnFormula>(Table135[[#This Row],[Length]]*Table135[[#This Row],[Height]]/144)*Table135[[#This Row],['# of Doors]]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C08E-8F47-44E0-9131-93C856B27AA6}">
  <dimension ref="A1:M46"/>
  <sheetViews>
    <sheetView tabSelected="1" workbookViewId="0">
      <selection activeCell="J13" sqref="I13:J13"/>
    </sheetView>
  </sheetViews>
  <sheetFormatPr defaultRowHeight="15" x14ac:dyDescent="0.25"/>
  <cols>
    <col min="1" max="1" width="38.140625" bestFit="1" customWidth="1"/>
    <col min="2" max="2" width="17.85546875" customWidth="1"/>
    <col min="3" max="3" width="10.85546875" customWidth="1"/>
    <col min="12" max="12" width="42.28515625" bestFit="1" customWidth="1"/>
    <col min="13" max="13" width="59.85546875" customWidth="1"/>
  </cols>
  <sheetData>
    <row r="1" spans="1:13" ht="27" thickBot="1" x14ac:dyDescent="0.45">
      <c r="A1" s="30" t="s">
        <v>11</v>
      </c>
      <c r="B1" s="31"/>
      <c r="C1" s="31"/>
      <c r="D1" s="32"/>
      <c r="F1" s="8"/>
      <c r="G1" s="8"/>
      <c r="H1" s="8"/>
      <c r="I1" s="8"/>
      <c r="K1" s="27" t="s">
        <v>62</v>
      </c>
      <c r="L1" s="28"/>
      <c r="M1" s="29"/>
    </row>
    <row r="2" spans="1:13" ht="32.25" thickBot="1" x14ac:dyDescent="0.3">
      <c r="A2" s="9" t="s">
        <v>12</v>
      </c>
      <c r="B2" s="9" t="s">
        <v>13</v>
      </c>
      <c r="C2" s="9" t="s">
        <v>14</v>
      </c>
      <c r="D2" s="9" t="s">
        <v>15</v>
      </c>
      <c r="F2" s="10"/>
      <c r="K2" s="3" t="s">
        <v>63</v>
      </c>
      <c r="L2" s="3" t="s">
        <v>64</v>
      </c>
      <c r="M2" s="3" t="s">
        <v>65</v>
      </c>
    </row>
    <row r="3" spans="1:13" x14ac:dyDescent="0.25">
      <c r="A3" s="11" t="s">
        <v>16</v>
      </c>
      <c r="B3" s="12" t="s">
        <v>17</v>
      </c>
      <c r="C3" s="13">
        <v>0</v>
      </c>
      <c r="D3" s="14">
        <f>ROUNDUP((C3/300),0)</f>
        <v>0</v>
      </c>
      <c r="K3" s="3" t="s">
        <v>66</v>
      </c>
      <c r="L3" s="6" t="s">
        <v>10</v>
      </c>
      <c r="M3" s="21">
        <f>+SUM(Table135[Fresh Air Square Footage],Table14[Fresh Air Square Footage])/SUM(C3:C25)</f>
        <v>4.5601851851851852E-2</v>
      </c>
    </row>
    <row r="4" spans="1:13" x14ac:dyDescent="0.25">
      <c r="A4" s="15" t="s">
        <v>18</v>
      </c>
      <c r="B4" s="16" t="s">
        <v>19</v>
      </c>
      <c r="C4" s="17">
        <v>0</v>
      </c>
      <c r="D4" s="18">
        <f>ROUNDUP((C4/11),1)</f>
        <v>0</v>
      </c>
      <c r="K4" s="3" t="s">
        <v>66</v>
      </c>
      <c r="L4" s="6" t="s">
        <v>77</v>
      </c>
      <c r="M4" s="22" t="str">
        <f>IF(M3&lt;0.04,"No, would need ERV","Yes")</f>
        <v>Yes</v>
      </c>
    </row>
    <row r="5" spans="1:13" x14ac:dyDescent="0.25">
      <c r="A5" s="15" t="s">
        <v>20</v>
      </c>
      <c r="B5" s="16" t="s">
        <v>21</v>
      </c>
      <c r="C5" s="17">
        <v>580</v>
      </c>
      <c r="D5" s="18">
        <f>ROUNDUP((C5/15),1)</f>
        <v>38.700000000000003</v>
      </c>
      <c r="E5" t="s">
        <v>22</v>
      </c>
      <c r="K5" s="3" t="s">
        <v>67</v>
      </c>
      <c r="L5" s="7" t="s">
        <v>6</v>
      </c>
      <c r="M5" s="5" t="str">
        <f>IF($D$26&gt;29, "Yes if in Idaho", "No")</f>
        <v>Yes if in Idaho</v>
      </c>
    </row>
    <row r="6" spans="1:13" x14ac:dyDescent="0.25">
      <c r="A6" s="15" t="s">
        <v>23</v>
      </c>
      <c r="B6" s="16" t="s">
        <v>24</v>
      </c>
      <c r="C6" s="17">
        <v>0</v>
      </c>
      <c r="D6" s="18">
        <f>ROUNDUP((C6/7),1)</f>
        <v>0</v>
      </c>
      <c r="K6" s="3" t="s">
        <v>67</v>
      </c>
      <c r="L6" s="7" t="s">
        <v>2</v>
      </c>
      <c r="M6" s="5" t="str">
        <f>IF($D$26&gt;29, "Yes", "No")</f>
        <v>Yes</v>
      </c>
    </row>
    <row r="7" spans="1:13" ht="30.75" customHeight="1" x14ac:dyDescent="0.25">
      <c r="A7" s="15" t="s">
        <v>25</v>
      </c>
      <c r="B7" s="16" t="s">
        <v>26</v>
      </c>
      <c r="C7" s="17">
        <v>0</v>
      </c>
      <c r="D7" s="18">
        <f>ROUNDUP((C7/5),1)</f>
        <v>0</v>
      </c>
      <c r="K7" s="3" t="s">
        <v>68</v>
      </c>
      <c r="L7" s="24" t="s">
        <v>76</v>
      </c>
      <c r="M7" s="3">
        <f>IF(D5&lt;50,IF(D26&gt;49,2,1),2+IF((D26-D5)&gt;49,2,1))</f>
        <v>2</v>
      </c>
    </row>
    <row r="8" spans="1:13" x14ac:dyDescent="0.25">
      <c r="A8" s="15" t="s">
        <v>27</v>
      </c>
      <c r="B8" s="16" t="s">
        <v>28</v>
      </c>
      <c r="C8" s="17">
        <v>0</v>
      </c>
      <c r="D8" s="18">
        <f>ROUNDUP((C8/100),1)</f>
        <v>0</v>
      </c>
      <c r="K8" s="3" t="s">
        <v>68</v>
      </c>
      <c r="L8" s="3" t="s">
        <v>69</v>
      </c>
      <c r="M8" s="3" t="str">
        <f>IF(D27&gt;29,"Yes, consider adding door to get occupancy per door below 30","No")</f>
        <v>No</v>
      </c>
    </row>
    <row r="9" spans="1:13" x14ac:dyDescent="0.25">
      <c r="A9" s="15" t="s">
        <v>29</v>
      </c>
      <c r="B9" s="16" t="s">
        <v>30</v>
      </c>
      <c r="C9" s="17">
        <f>36*60-C5</f>
        <v>1580</v>
      </c>
      <c r="D9" s="19">
        <f>ROUNDUP((C9/150),1)</f>
        <v>10.6</v>
      </c>
      <c r="K9" s="3" t="s">
        <v>68</v>
      </c>
      <c r="L9" s="3" t="s">
        <v>75</v>
      </c>
      <c r="M9" s="3" t="str">
        <f>IF(D5&gt;49,"Yes, 2 HR Wall, Door and Conference room needs 2 Exterior doors.","No")</f>
        <v>No</v>
      </c>
    </row>
    <row r="10" spans="1:13" ht="30" x14ac:dyDescent="0.25">
      <c r="A10" s="15" t="s">
        <v>31</v>
      </c>
      <c r="B10" s="16" t="s">
        <v>32</v>
      </c>
      <c r="C10" s="17">
        <v>0</v>
      </c>
      <c r="D10" s="18">
        <f>ROUNDUP((C10/40),1)</f>
        <v>0</v>
      </c>
      <c r="K10" s="3"/>
      <c r="L10" s="23" t="s">
        <v>71</v>
      </c>
      <c r="M10" s="3"/>
    </row>
    <row r="11" spans="1:13" x14ac:dyDescent="0.25">
      <c r="A11" s="15" t="s">
        <v>33</v>
      </c>
      <c r="B11" s="16" t="s">
        <v>34</v>
      </c>
      <c r="C11" s="17">
        <v>0</v>
      </c>
      <c r="D11" s="18">
        <f>ROUNDUP((C11/35),1)</f>
        <v>0</v>
      </c>
    </row>
    <row r="12" spans="1:13" x14ac:dyDescent="0.25">
      <c r="A12" s="15" t="s">
        <v>35</v>
      </c>
      <c r="B12" s="16" t="s">
        <v>36</v>
      </c>
      <c r="C12" s="17">
        <v>0</v>
      </c>
      <c r="D12" s="18">
        <f>ROUNDUP((C12/50),1)</f>
        <v>0</v>
      </c>
    </row>
    <row r="13" spans="1:13" ht="45" x14ac:dyDescent="0.25">
      <c r="A13" s="15" t="s">
        <v>37</v>
      </c>
      <c r="B13" s="16" t="s">
        <v>38</v>
      </c>
      <c r="C13" s="17">
        <v>0</v>
      </c>
      <c r="D13" s="18">
        <f>ROUNDUP((C13/20),1)</f>
        <v>0</v>
      </c>
      <c r="L13" s="2" t="s">
        <v>72</v>
      </c>
    </row>
    <row r="14" spans="1:13" ht="45" x14ac:dyDescent="0.25">
      <c r="A14" s="15" t="s">
        <v>39</v>
      </c>
      <c r="B14" s="16" t="s">
        <v>36</v>
      </c>
      <c r="C14" s="17">
        <v>0</v>
      </c>
      <c r="D14" s="18">
        <f>ROUNDUP((C14/50),1)</f>
        <v>0</v>
      </c>
      <c r="L14" s="2" t="s">
        <v>73</v>
      </c>
    </row>
    <row r="15" spans="1:13" ht="45" x14ac:dyDescent="0.25">
      <c r="A15" s="15" t="s">
        <v>40</v>
      </c>
      <c r="B15" s="16" t="s">
        <v>41</v>
      </c>
      <c r="C15" s="17">
        <v>0</v>
      </c>
      <c r="D15" s="18">
        <f>ROUNDUP((C15/240),0)</f>
        <v>0</v>
      </c>
      <c r="L15" s="2" t="s">
        <v>74</v>
      </c>
    </row>
    <row r="16" spans="1:13" ht="15.75" thickBot="1" x14ac:dyDescent="0.3">
      <c r="A16" s="15" t="s">
        <v>42</v>
      </c>
      <c r="B16" s="16" t="s">
        <v>28</v>
      </c>
      <c r="C16" s="17">
        <v>0</v>
      </c>
      <c r="D16" s="18">
        <f>ROUNDUP((C16/100),1)</f>
        <v>0</v>
      </c>
    </row>
    <row r="17" spans="1:9" ht="15.75" thickBot="1" x14ac:dyDescent="0.3">
      <c r="A17" s="15" t="s">
        <v>43</v>
      </c>
      <c r="B17" s="16" t="s">
        <v>44</v>
      </c>
      <c r="C17" s="17">
        <v>0</v>
      </c>
      <c r="D17" s="18">
        <f>ROUNDUP((C17/120),1)</f>
        <v>0</v>
      </c>
      <c r="F17" s="33" t="s">
        <v>45</v>
      </c>
      <c r="G17" s="34"/>
      <c r="H17" s="34"/>
      <c r="I17" s="35"/>
    </row>
    <row r="18" spans="1:9" x14ac:dyDescent="0.25">
      <c r="A18" s="15" t="s">
        <v>46</v>
      </c>
      <c r="B18" s="16" t="s">
        <v>47</v>
      </c>
      <c r="C18" s="17">
        <v>0</v>
      </c>
      <c r="D18" s="18">
        <f>ROUNDUP((C18/200),0)</f>
        <v>0</v>
      </c>
      <c r="F18" s="36" t="s">
        <v>48</v>
      </c>
      <c r="G18" s="37"/>
      <c r="H18" s="37"/>
      <c r="I18" s="38"/>
    </row>
    <row r="19" spans="1:9" ht="15.75" thickBot="1" x14ac:dyDescent="0.3">
      <c r="A19" s="15" t="s">
        <v>49</v>
      </c>
      <c r="B19" s="16" t="s">
        <v>50</v>
      </c>
      <c r="C19" s="17">
        <v>0</v>
      </c>
      <c r="D19" s="18">
        <f>ROUNDUP((C19/50),1)</f>
        <v>0</v>
      </c>
      <c r="F19" s="39" t="s">
        <v>51</v>
      </c>
      <c r="G19" s="40"/>
      <c r="H19" s="40"/>
      <c r="I19" s="41"/>
    </row>
    <row r="20" spans="1:9" x14ac:dyDescent="0.25">
      <c r="A20" s="15" t="s">
        <v>52</v>
      </c>
      <c r="B20" s="16" t="s">
        <v>53</v>
      </c>
      <c r="C20" s="17">
        <v>0</v>
      </c>
      <c r="D20" s="18">
        <f>ROUNDUP((C20/100),1)</f>
        <v>0</v>
      </c>
    </row>
    <row r="21" spans="1:9" x14ac:dyDescent="0.25">
      <c r="A21" s="15" t="s">
        <v>54</v>
      </c>
      <c r="B21" s="16" t="s">
        <v>50</v>
      </c>
      <c r="C21" s="17">
        <v>0</v>
      </c>
      <c r="D21" s="18">
        <f>ROUNDUP((C21/50),1)</f>
        <v>0</v>
      </c>
    </row>
    <row r="22" spans="1:9" x14ac:dyDescent="0.25">
      <c r="A22" s="15" t="s">
        <v>55</v>
      </c>
      <c r="B22" s="16" t="s">
        <v>28</v>
      </c>
      <c r="C22" s="17">
        <v>0</v>
      </c>
      <c r="D22" s="18">
        <f>ROUNDUP((C22/100),1)</f>
        <v>0</v>
      </c>
    </row>
    <row r="23" spans="1:9" x14ac:dyDescent="0.25">
      <c r="A23" s="15" t="s">
        <v>56</v>
      </c>
      <c r="B23" s="16" t="s">
        <v>36</v>
      </c>
      <c r="C23" s="17">
        <v>0</v>
      </c>
      <c r="D23" s="18">
        <f>ROUNDUP((C23/50),1)</f>
        <v>0</v>
      </c>
    </row>
    <row r="24" spans="1:9" x14ac:dyDescent="0.25">
      <c r="A24" s="15" t="s">
        <v>57</v>
      </c>
      <c r="B24" s="16" t="s">
        <v>58</v>
      </c>
      <c r="C24" s="17">
        <v>0</v>
      </c>
      <c r="D24" s="18">
        <f>ROUNDUP((C24/60),1)</f>
        <v>0</v>
      </c>
    </row>
    <row r="25" spans="1:9" ht="15.75" thickBot="1" x14ac:dyDescent="0.3">
      <c r="A25" s="15" t="s">
        <v>59</v>
      </c>
      <c r="B25" s="16" t="s">
        <v>17</v>
      </c>
      <c r="C25" s="17">
        <v>0</v>
      </c>
      <c r="D25" s="18">
        <f>ROUNDUP((C25/300),0)</f>
        <v>0</v>
      </c>
    </row>
    <row r="26" spans="1:9" ht="16.5" thickBot="1" x14ac:dyDescent="0.3">
      <c r="B26" s="25" t="s">
        <v>60</v>
      </c>
      <c r="C26" s="26"/>
      <c r="D26" s="20">
        <f>SUM(D3:D25)</f>
        <v>49.300000000000004</v>
      </c>
    </row>
    <row r="27" spans="1:9" ht="16.5" thickBot="1" x14ac:dyDescent="0.3">
      <c r="B27" s="25" t="s">
        <v>70</v>
      </c>
      <c r="C27" s="26"/>
      <c r="D27" s="20">
        <f>D26/SUM(Table135['# of Doors])</f>
        <v>16.433333333333334</v>
      </c>
    </row>
    <row r="29" spans="1:9" ht="26.25" x14ac:dyDescent="0.4">
      <c r="A29" s="1" t="s">
        <v>61</v>
      </c>
      <c r="C29" s="4"/>
      <c r="D29" s="4"/>
    </row>
    <row r="30" spans="1:9" ht="45" x14ac:dyDescent="0.25">
      <c r="A30" t="s">
        <v>0</v>
      </c>
      <c r="B30" t="s">
        <v>5</v>
      </c>
      <c r="C30" s="4" t="s">
        <v>3</v>
      </c>
      <c r="D30" s="4" t="s">
        <v>1</v>
      </c>
      <c r="E30" t="s">
        <v>4</v>
      </c>
      <c r="F30" s="2" t="s">
        <v>7</v>
      </c>
    </row>
    <row r="31" spans="1:9" x14ac:dyDescent="0.25">
      <c r="A31" s="17">
        <v>36</v>
      </c>
      <c r="B31" s="17">
        <v>36</v>
      </c>
      <c r="C31" s="17">
        <v>11</v>
      </c>
      <c r="D31" s="17">
        <f>(A31*2+B31*2)/12</f>
        <v>12</v>
      </c>
      <c r="E31">
        <f>C31*D31</f>
        <v>132</v>
      </c>
      <c r="F31">
        <f>IF(Table14[[#This Row],[LF per window]]=14,5.3,IF(Table14[[#This Row],[LF per window]]=16,7.2,IF(Table14[[#This Row],[LF per window]]=12,3.5,(Table14[[#This Row],[Length]]*Table14[[#This Row],[Height]]/144*0.38))))*Table14[[#This Row],['# of Windows]]</f>
        <v>38.5</v>
      </c>
    </row>
    <row r="32" spans="1:9" x14ac:dyDescent="0.25">
      <c r="A32" s="17"/>
      <c r="B32" s="17"/>
      <c r="C32" s="17"/>
      <c r="D32" s="17">
        <f>(A32+B32)/6</f>
        <v>0</v>
      </c>
      <c r="E32">
        <f t="shared" ref="E32:E35" si="0">C32*D32</f>
        <v>0</v>
      </c>
      <c r="F32">
        <f>IF(Table14[[#This Row],[LF per window]]=14,5.3,IF(Table14[[#This Row],[LF per window]]=16,7.2,IF(Table14[[#This Row],[LF per window]]=12,3.5,(Table14[[#This Row],[Length]]*Table14[[#This Row],[Height]]/144*0.38))))*Table14[[#This Row],['# of Windows]]</f>
        <v>0</v>
      </c>
    </row>
    <row r="33" spans="1:6" x14ac:dyDescent="0.25">
      <c r="A33" s="17"/>
      <c r="B33" s="17"/>
      <c r="C33" s="17"/>
      <c r="D33" s="17"/>
      <c r="E33">
        <f t="shared" si="0"/>
        <v>0</v>
      </c>
      <c r="F33">
        <f>IF(Table14[[#This Row],[LF per window]]=14,5.3,IF(Table14[[#This Row],[LF per window]]=16,7.2,IF(Table14[[#This Row],[LF per window]]=12,3.5,(Table14[[#This Row],[Length]]*Table14[[#This Row],[Height]]/144*0.38))))*Table14[[#This Row],['# of Windows]]</f>
        <v>0</v>
      </c>
    </row>
    <row r="34" spans="1:6" x14ac:dyDescent="0.25">
      <c r="A34" s="17"/>
      <c r="B34" s="17"/>
      <c r="C34" s="17"/>
      <c r="D34" s="17"/>
      <c r="E34">
        <f t="shared" si="0"/>
        <v>0</v>
      </c>
      <c r="F34">
        <f>IF(Table14[[#This Row],[LF per window]]=14,5.3,IF(Table14[[#This Row],[LF per window]]=16,7.2,IF(Table14[[#This Row],[LF per window]]=12,3.5,(Table14[[#This Row],[Length]]*Table14[[#This Row],[Height]]/144*0.38))))*Table14[[#This Row],['# of Windows]]</f>
        <v>0</v>
      </c>
    </row>
    <row r="35" spans="1:6" x14ac:dyDescent="0.25">
      <c r="A35" s="17"/>
      <c r="B35" s="17"/>
      <c r="C35" s="17"/>
      <c r="D35" s="17"/>
      <c r="E35">
        <f t="shared" si="0"/>
        <v>0</v>
      </c>
      <c r="F35">
        <f>IF(Table14[[#This Row],[LF per window]]=14,5.3,IF(Table14[[#This Row],[LF per window]]=16,7.2,IF(Table14[[#This Row],[LF per window]]=12,3.5,(Table14[[#This Row],[Length]]*Table14[[#This Row],[Height]]/144*0.38))))*Table14[[#This Row],['# of Windows]]</f>
        <v>0</v>
      </c>
    </row>
    <row r="37" spans="1:6" ht="26.25" x14ac:dyDescent="0.4">
      <c r="A37" s="1" t="s">
        <v>9</v>
      </c>
      <c r="C37" s="4"/>
      <c r="D37" s="4"/>
    </row>
    <row r="38" spans="1:6" ht="45" x14ac:dyDescent="0.25">
      <c r="A38" t="s">
        <v>0</v>
      </c>
      <c r="B38" t="s">
        <v>5</v>
      </c>
      <c r="C38" s="4" t="s">
        <v>8</v>
      </c>
      <c r="D38" s="2" t="s">
        <v>7</v>
      </c>
    </row>
    <row r="39" spans="1:6" x14ac:dyDescent="0.25">
      <c r="A39" s="17">
        <v>36</v>
      </c>
      <c r="B39" s="17">
        <v>80</v>
      </c>
      <c r="C39" s="17">
        <v>3</v>
      </c>
      <c r="D39">
        <f>(Table135[[#This Row],[Length]]*Table135[[#This Row],[Height]]/144)*Table135[[#This Row],['# of Doors]]</f>
        <v>60</v>
      </c>
    </row>
    <row r="40" spans="1:6" x14ac:dyDescent="0.25">
      <c r="A40" s="17">
        <v>72</v>
      </c>
      <c r="B40" s="17">
        <v>80</v>
      </c>
      <c r="C40" s="17">
        <v>0</v>
      </c>
      <c r="D40">
        <f>(Table135[[#This Row],[Length]]*Table135[[#This Row],[Height]]/144)*Table135[[#This Row],['# of Doors]]</f>
        <v>0</v>
      </c>
    </row>
    <row r="41" spans="1:6" x14ac:dyDescent="0.25">
      <c r="A41" s="17"/>
      <c r="B41" s="17"/>
      <c r="C41" s="17"/>
      <c r="D41">
        <f>(Table135[[#This Row],[Length]]*Table135[[#This Row],[Height]]/144)*Table135[[#This Row],['# of Doors]]</f>
        <v>0</v>
      </c>
    </row>
    <row r="42" spans="1:6" x14ac:dyDescent="0.25">
      <c r="A42" s="17"/>
      <c r="B42" s="17"/>
      <c r="C42" s="17"/>
      <c r="D42">
        <f>(Table135[[#This Row],[Length]]*Table135[[#This Row],[Height]]/144)*Table135[[#This Row],['# of Doors]]</f>
        <v>0</v>
      </c>
    </row>
    <row r="43" spans="1:6" x14ac:dyDescent="0.25">
      <c r="A43" s="17"/>
      <c r="B43" s="17"/>
      <c r="C43" s="17"/>
      <c r="D43">
        <f>(Table135[[#This Row],[Length]]*Table135[[#This Row],[Height]]/144)*Table135[[#This Row],['# of Doors]]</f>
        <v>0</v>
      </c>
    </row>
    <row r="46" spans="1:6" x14ac:dyDescent="0.25">
      <c r="D46" s="4"/>
    </row>
  </sheetData>
  <mergeCells count="7">
    <mergeCell ref="B26:C26"/>
    <mergeCell ref="B27:C27"/>
    <mergeCell ref="K1:M1"/>
    <mergeCell ref="A1:D1"/>
    <mergeCell ref="F17:I17"/>
    <mergeCell ref="F18:I18"/>
    <mergeCell ref="F19:I19"/>
  </mergeCells>
  <conditionalFormatting sqref="D5">
    <cfRule type="cellIs" dxfId="5" priority="2" operator="greaterThan">
      <formula>49</formula>
    </cfRule>
  </conditionalFormatting>
  <conditionalFormatting sqref="M3">
    <cfRule type="cellIs" dxfId="4" priority="6" operator="lessThan">
      <formula>0.04</formula>
    </cfRule>
  </conditionalFormatting>
  <conditionalFormatting sqref="M4">
    <cfRule type="containsText" dxfId="2" priority="5" operator="containsText" text="No">
      <formula>NOT(ISERROR(SEARCH("No",M4)))</formula>
    </cfRule>
  </conditionalFormatting>
  <conditionalFormatting sqref="M5:M6">
    <cfRule type="containsText" dxfId="1" priority="3" operator="containsText" text="Yes">
      <formula>NOT(ISERROR(SEARCH("Yes",M5)))</formula>
    </cfRule>
  </conditionalFormatting>
  <conditionalFormatting sqref="M8:M9">
    <cfRule type="containsText" dxfId="0" priority="1" operator="containsText" text="Yes">
      <formula>NOT(ISERROR(SEARCH("Yes",M8)))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63C8EDB2-8B09-4E34-964D-2EE87AC2359D}">
            <xm:f>NOT(ISERROR(SEARCH("Yes",M4)))</xm:f>
            <xm:f>"Yes"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09B007AA81E6448E3E716D8F131E13" ma:contentTypeVersion="3" ma:contentTypeDescription="Create a new document." ma:contentTypeScope="" ma:versionID="07369c6e16fe3b27bb2c195953121633">
  <xsd:schema xmlns:xsd="http://www.w3.org/2001/XMLSchema" xmlns:xs="http://www.w3.org/2001/XMLSchema" xmlns:p="http://schemas.microsoft.com/office/2006/metadata/properties" xmlns:ns3="9cc40011-7658-4b6d-b732-bfbfc551a8ad" targetNamespace="http://schemas.microsoft.com/office/2006/metadata/properties" ma:root="true" ma:fieldsID="9f0b91124abd2b0aabd472728a81095b" ns3:_="">
    <xsd:import namespace="9cc40011-7658-4b6d-b732-bfbfc551a8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40011-7658-4b6d-b732-bfbfc551a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339EEF-568E-460C-AA35-7D9F3DB1B2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F63DC1-F707-4F97-A6C3-3BBCC77085C6}">
  <ds:schemaRefs>
    <ds:schemaRef ds:uri="http://purl.org/dc/terms/"/>
    <ds:schemaRef ds:uri="http://schemas.microsoft.com/office/2006/documentManagement/types"/>
    <ds:schemaRef ds:uri="9cc40011-7658-4b6d-b732-bfbfc551a8ad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B2067E6-7AC1-4C18-8D20-EC8FB4B882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c40011-7658-4b6d-b732-bfbfc551a8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Occupancy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Metzger</dc:creator>
  <cp:lastModifiedBy>Mitch Quintana</cp:lastModifiedBy>
  <cp:lastPrinted>2022-12-08T17:09:20Z</cp:lastPrinted>
  <dcterms:created xsi:type="dcterms:W3CDTF">2022-12-08T16:18:57Z</dcterms:created>
  <dcterms:modified xsi:type="dcterms:W3CDTF">2025-06-16T19:02:50Z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0x0101004D09B007AA81E6448E3E716D8F131E13</vt:lpwstr>
  </property>
</Properties>
</file>
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S:\Sales Resources\! SUNBELT\Calculators\"/>
    </mc:Choice>
  </mc:AlternateContent>
  <xr:revisionPtr revIDLastSave="0" documentId="13_ncr:1_{A18B799D-0E02-4149-A207-9CE0812046B9}" xr6:coauthVersionLast="47" xr6:coauthVersionMax="47" xr10:uidLastSave="{00000000-0000-0000-0000-000000000000}"/>
  <bookViews>
    <workbookView xWindow="-110" yWindow="-110" windowWidth="38620" windowHeight="21100" firstSheet="2" activeTab="2" xr2:uid="{00000000-000D-0000-FFFF-FFFF00000000}"/>
  </bookViews>
  <sheets>
    <sheet name="General Info" sheetId="4" r:id="rId1"/>
    <sheet name="ASHRAE data" sheetId="3" r:id="rId2"/>
    <sheet name="Clg Block - Block" sheetId="1" r:id="rId3"/>
    <sheet name="Htg Block - Block" sheetId="2" r:id="rId4"/>
  </sheets>
  <definedNames>
    <definedName name="_xlnm.Print_Area" localSheetId="1">'ASHRAE data'!#REF!</definedName>
    <definedName name="_xlnm.Print_Area" localSheetId="2">'Clg Block - Block'!$A$1:$J$71</definedName>
    <definedName name="_xlnm.Print_Area" localSheetId="0">'General Info'!$A$1:$B$36</definedName>
    <definedName name="_xlnm.Print_Area" localSheetId="3">'Htg Block - Block'!$A$1:$I$45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1" l="1"/>
  <c r="Q81" i="1"/>
  <c r="O81" i="1" s="1"/>
  <c r="Q82" i="1"/>
  <c r="O82" i="1" s="1"/>
  <c r="Q83" i="1"/>
  <c r="Q84" i="1"/>
  <c r="M82" i="1"/>
  <c r="M83" i="1"/>
  <c r="M81" i="1"/>
  <c r="S84" i="1"/>
  <c r="O84" i="1"/>
  <c r="O83" i="1"/>
  <c r="S83" i="1" s="1"/>
  <c r="S82" i="1"/>
  <c r="S49" i="1"/>
  <c r="S52" i="1" s="1"/>
  <c r="Q52" i="1"/>
  <c r="O52" i="1"/>
  <c r="B19" i="4"/>
  <c r="B22" i="4"/>
  <c r="Q32" i="1"/>
  <c r="O32" i="1" s="1"/>
  <c r="S32" i="1" s="1"/>
  <c r="O85" i="1" l="1"/>
  <c r="Q85" i="1"/>
  <c r="S81" i="1"/>
  <c r="S85" i="1" s="1"/>
  <c r="N86" i="1" s="1"/>
  <c r="E50" i="4"/>
  <c r="B21" i="4" l="1"/>
  <c r="B20" i="4"/>
  <c r="Q47" i="1"/>
  <c r="O47" i="1" s="1"/>
  <c r="S47" i="1" s="1"/>
  <c r="Q31" i="1"/>
  <c r="O31" i="1" s="1"/>
  <c r="S31" i="1" s="1"/>
  <c r="Q44" i="1"/>
  <c r="O44" i="1" s="1"/>
  <c r="S44" i="1" s="1"/>
  <c r="Q45" i="1"/>
  <c r="O45" i="1" s="1"/>
  <c r="S45" i="1" s="1"/>
  <c r="Q46" i="1"/>
  <c r="O46" i="1" s="1"/>
  <c r="S46" i="1" s="1"/>
  <c r="Q48" i="1"/>
  <c r="Q66" i="1" l="1"/>
  <c r="Q67" i="1"/>
  <c r="Q68" i="1"/>
  <c r="Q65" i="1"/>
  <c r="Q49" i="1"/>
  <c r="Q50" i="1"/>
  <c r="Q51" i="1"/>
  <c r="G8" i="2"/>
  <c r="C40" i="1"/>
  <c r="C39" i="1"/>
  <c r="D18" i="1"/>
  <c r="D41" i="2"/>
  <c r="Q30" i="1"/>
  <c r="O30" i="1" s="1"/>
  <c r="S30" i="1" s="1"/>
  <c r="D16" i="1" l="1"/>
  <c r="Q27" i="1"/>
  <c r="C29" i="1"/>
  <c r="C27" i="1"/>
  <c r="C22" i="2"/>
  <c r="C21" i="2"/>
  <c r="C20" i="2"/>
  <c r="C28" i="1"/>
  <c r="C30" i="1"/>
  <c r="G8" i="1"/>
  <c r="F52" i="4"/>
  <c r="B27" i="4"/>
  <c r="D44" i="1" s="1"/>
  <c r="C28" i="2"/>
  <c r="Q28" i="1"/>
  <c r="O28" i="1" s="1"/>
  <c r="S28" i="1" s="1"/>
  <c r="Q29" i="1"/>
  <c r="O29" i="1" s="1"/>
  <c r="S29" i="1" s="1"/>
  <c r="C23" i="2"/>
  <c r="B26" i="4"/>
  <c r="B25" i="4"/>
  <c r="D39" i="1" s="1"/>
  <c r="O27" i="1" l="1"/>
  <c r="Q33" i="1"/>
  <c r="D28" i="2"/>
  <c r="D40" i="1"/>
  <c r="C18" i="1"/>
  <c r="C17" i="1"/>
  <c r="C16" i="1"/>
  <c r="C19" i="1"/>
  <c r="O33" i="1" l="1"/>
  <c r="O34" i="1"/>
  <c r="S27" i="1"/>
  <c r="S33" i="1" s="1"/>
  <c r="G7" i="2"/>
  <c r="D16" i="2"/>
  <c r="G7" i="1"/>
  <c r="D32" i="2" l="1"/>
  <c r="D27" i="2"/>
  <c r="D23" i="1"/>
  <c r="C16" i="2"/>
  <c r="X32" i="1" l="1"/>
  <c r="X36" i="1" s="1"/>
  <c r="X38" i="1" s="1"/>
  <c r="X39" i="1" s="1"/>
  <c r="S51" i="1" l="1"/>
  <c r="O50" i="1"/>
  <c r="S50" i="1" s="1"/>
  <c r="O49" i="1"/>
  <c r="O48" i="1"/>
  <c r="S48" i="1" s="1"/>
  <c r="O66" i="1"/>
  <c r="O67" i="1"/>
  <c r="S67" i="1" s="1"/>
  <c r="O68" i="1"/>
  <c r="O65" i="1"/>
  <c r="S65" i="1" s="1"/>
  <c r="S68" i="1"/>
  <c r="S66" i="1"/>
  <c r="C32" i="2"/>
  <c r="Q69" i="1"/>
  <c r="C27" i="2"/>
  <c r="D12" i="1"/>
  <c r="G6" i="1"/>
  <c r="E39" i="1" s="1"/>
  <c r="G64" i="1"/>
  <c r="D57" i="1"/>
  <c r="E57" i="1" s="1"/>
  <c r="E58" i="1"/>
  <c r="D49" i="1"/>
  <c r="D35" i="1"/>
  <c r="F27" i="1"/>
  <c r="I27" i="1" s="1"/>
  <c r="F28" i="1"/>
  <c r="I28" i="1" s="1"/>
  <c r="F29" i="1"/>
  <c r="I29" i="1" s="1"/>
  <c r="F30" i="1"/>
  <c r="I30" i="1" s="1"/>
  <c r="F31" i="1"/>
  <c r="I31" i="1" s="1"/>
  <c r="G5" i="2"/>
  <c r="G4" i="2"/>
  <c r="J52" i="3"/>
  <c r="H52" i="3"/>
  <c r="F52" i="3"/>
  <c r="D52" i="3"/>
  <c r="J51" i="3"/>
  <c r="H51" i="3"/>
  <c r="F51" i="3"/>
  <c r="D51" i="3"/>
  <c r="J50" i="3"/>
  <c r="H50" i="3"/>
  <c r="F50" i="3"/>
  <c r="D50" i="3"/>
  <c r="J49" i="3"/>
  <c r="H49" i="3"/>
  <c r="F49" i="3"/>
  <c r="D49" i="3"/>
  <c r="J48" i="3"/>
  <c r="H48" i="3"/>
  <c r="F48" i="3"/>
  <c r="D48" i="3"/>
  <c r="J47" i="3"/>
  <c r="H47" i="3"/>
  <c r="F47" i="3"/>
  <c r="D47" i="3"/>
  <c r="J46" i="3"/>
  <c r="H46" i="3"/>
  <c r="F46" i="3"/>
  <c r="D46" i="3"/>
  <c r="J45" i="3"/>
  <c r="H45" i="3"/>
  <c r="F45" i="3"/>
  <c r="D45" i="3"/>
  <c r="J44" i="3"/>
  <c r="H44" i="3"/>
  <c r="F44" i="3"/>
  <c r="D44" i="3"/>
  <c r="J41" i="3"/>
  <c r="H41" i="3"/>
  <c r="F41" i="3"/>
  <c r="D41" i="3"/>
  <c r="J40" i="3"/>
  <c r="H40" i="3"/>
  <c r="F40" i="3"/>
  <c r="D40" i="3"/>
  <c r="J39" i="3"/>
  <c r="H39" i="3"/>
  <c r="F39" i="3"/>
  <c r="D39" i="3"/>
  <c r="J38" i="3"/>
  <c r="H38" i="3"/>
  <c r="F38" i="3"/>
  <c r="D38" i="3"/>
  <c r="J37" i="3"/>
  <c r="H37" i="3"/>
  <c r="F37" i="3"/>
  <c r="D37" i="3"/>
  <c r="J36" i="3"/>
  <c r="H36" i="3"/>
  <c r="F36" i="3"/>
  <c r="D36" i="3"/>
  <c r="J35" i="3"/>
  <c r="H35" i="3"/>
  <c r="F35" i="3"/>
  <c r="D35" i="3"/>
  <c r="J34" i="3"/>
  <c r="H34" i="3"/>
  <c r="F34" i="3"/>
  <c r="D34" i="3"/>
  <c r="J33" i="3"/>
  <c r="H33" i="3"/>
  <c r="F33" i="3"/>
  <c r="D33" i="3"/>
  <c r="J30" i="3"/>
  <c r="H30" i="3"/>
  <c r="F30" i="3"/>
  <c r="D30" i="3"/>
  <c r="J29" i="3"/>
  <c r="H29" i="3"/>
  <c r="F29" i="3"/>
  <c r="D29" i="3"/>
  <c r="J28" i="3"/>
  <c r="H28" i="3"/>
  <c r="F28" i="3"/>
  <c r="D28" i="3"/>
  <c r="J27" i="3"/>
  <c r="H27" i="3"/>
  <c r="F27" i="3"/>
  <c r="D27" i="3"/>
  <c r="J26" i="3"/>
  <c r="H26" i="3"/>
  <c r="F26" i="3"/>
  <c r="D26" i="3"/>
  <c r="J25" i="3"/>
  <c r="H25" i="3"/>
  <c r="F25" i="3"/>
  <c r="D25" i="3"/>
  <c r="J24" i="3"/>
  <c r="H24" i="3"/>
  <c r="F24" i="3"/>
  <c r="D24" i="3"/>
  <c r="J23" i="3"/>
  <c r="H23" i="3"/>
  <c r="F23" i="3"/>
  <c r="D23" i="3"/>
  <c r="J22" i="3"/>
  <c r="H22" i="3"/>
  <c r="F22" i="3"/>
  <c r="D22" i="3"/>
  <c r="E49" i="1"/>
  <c r="G3" i="1"/>
  <c r="C4" i="1"/>
  <c r="C5" i="1"/>
  <c r="C6" i="1"/>
  <c r="C7" i="1"/>
  <c r="C3" i="1"/>
  <c r="E59" i="1"/>
  <c r="J59" i="1" s="1"/>
  <c r="G6" i="2"/>
  <c r="D36" i="2"/>
  <c r="G3" i="2"/>
  <c r="C4" i="2"/>
  <c r="C5" i="2"/>
  <c r="C6" i="2"/>
  <c r="C7" i="2"/>
  <c r="C3" i="2"/>
  <c r="D17" i="1"/>
  <c r="D21" i="2" s="1"/>
  <c r="D22" i="2"/>
  <c r="D12" i="2"/>
  <c r="C23" i="1"/>
  <c r="I16" i="2"/>
  <c r="I17" i="2" s="1"/>
  <c r="C53" i="1"/>
  <c r="E53" i="1" s="1"/>
  <c r="I53" i="1" s="1"/>
  <c r="I54" i="1" s="1"/>
  <c r="C12" i="1"/>
  <c r="C12" i="2" s="1"/>
  <c r="C35" i="1"/>
  <c r="C36" i="2" s="1"/>
  <c r="E36" i="2" l="1"/>
  <c r="I36" i="2" s="1"/>
  <c r="I37" i="2" s="1"/>
  <c r="E28" i="2"/>
  <c r="I28" i="2" s="1"/>
  <c r="I57" i="1"/>
  <c r="J57" i="1"/>
  <c r="I58" i="1"/>
  <c r="J58" i="1"/>
  <c r="E16" i="1"/>
  <c r="I16" i="1" s="1"/>
  <c r="I39" i="1"/>
  <c r="E40" i="1"/>
  <c r="I40" i="1" s="1"/>
  <c r="S69" i="1"/>
  <c r="N70" i="1" s="1"/>
  <c r="F64" i="1"/>
  <c r="E12" i="1"/>
  <c r="I12" i="1" s="1"/>
  <c r="I13" i="1" s="1"/>
  <c r="E19" i="1"/>
  <c r="E17" i="1"/>
  <c r="I17" i="1" s="1"/>
  <c r="E35" i="1"/>
  <c r="I35" i="1" s="1"/>
  <c r="I36" i="1" s="1"/>
  <c r="E44" i="1"/>
  <c r="I44" i="1" s="1"/>
  <c r="I45" i="1" s="1"/>
  <c r="E23" i="1"/>
  <c r="I23" i="1" s="1"/>
  <c r="I24" i="1" s="1"/>
  <c r="I59" i="1"/>
  <c r="O69" i="1"/>
  <c r="I32" i="1"/>
  <c r="N53" i="1"/>
  <c r="E18" i="1"/>
  <c r="I18" i="1" s="1"/>
  <c r="E12" i="2"/>
  <c r="I12" i="2" s="1"/>
  <c r="I13" i="2" s="1"/>
  <c r="D20" i="2"/>
  <c r="E32" i="2"/>
  <c r="I32" i="2" s="1"/>
  <c r="I33" i="2" s="1"/>
  <c r="E23" i="2"/>
  <c r="F41" i="2"/>
  <c r="E20" i="2"/>
  <c r="D19" i="1"/>
  <c r="E27" i="2"/>
  <c r="I27" i="2" s="1"/>
  <c r="I29" i="2" s="1"/>
  <c r="E22" i="2"/>
  <c r="I22" i="2" s="1"/>
  <c r="E21" i="2"/>
  <c r="I21" i="2" s="1"/>
  <c r="I60" i="1" l="1"/>
  <c r="J60" i="1"/>
  <c r="I41" i="1"/>
  <c r="I19" i="1"/>
  <c r="I20" i="1" s="1"/>
  <c r="D23" i="2"/>
  <c r="I23" i="2" s="1"/>
  <c r="I20" i="2"/>
  <c r="I24" i="2" l="1"/>
  <c r="C49" i="1"/>
  <c r="N34" i="1" l="1"/>
  <c r="C64" i="1" s="1"/>
  <c r="C67" i="1" s="1"/>
  <c r="J49" i="1"/>
  <c r="J50" i="1" s="1"/>
  <c r="I49" i="1"/>
  <c r="I50" i="1" s="1"/>
  <c r="C41" i="2" l="1"/>
  <c r="E41" i="2" s="1"/>
  <c r="I41" i="2" s="1"/>
  <c r="I42" i="2" s="1"/>
  <c r="I43" i="2" s="1"/>
  <c r="I44" i="2" s="1"/>
  <c r="J64" i="1"/>
  <c r="J65" i="1" s="1"/>
  <c r="J67" i="1" s="1"/>
  <c r="I64" i="1" l="1"/>
  <c r="I65" i="1" s="1"/>
  <c r="I67" i="1" s="1"/>
  <c r="I68" i="1" s="1"/>
  <c r="I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ibrown</author>
  </authors>
  <commentList>
    <comment ref="B2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ibrown:</t>
        </r>
        <r>
          <rPr>
            <sz val="8"/>
            <color indexed="81"/>
            <rFont val="Tahoma"/>
            <family val="2"/>
          </rPr>
          <t xml:space="preserve">
Go to ASHRAE Data Sheet for Window Types</t>
        </r>
      </text>
    </comment>
    <comment ref="B2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ibrown:</t>
        </r>
        <r>
          <rPr>
            <sz val="8"/>
            <color indexed="81"/>
            <rFont val="Tahoma"/>
            <family val="2"/>
          </rPr>
          <t xml:space="preserve">
Go to ASHRAE Data Sheet for People Loads
</t>
        </r>
      </text>
    </comment>
    <comment ref="B29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ibrown:</t>
        </r>
        <r>
          <rPr>
            <sz val="8"/>
            <color indexed="81"/>
            <rFont val="Tahoma"/>
            <family val="2"/>
          </rPr>
          <t xml:space="preserve">
Go to ASHRAE Data Sheet for People Loads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ibrown</author>
  </authors>
  <commentList>
    <comment ref="F67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ibrown: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temperature difference between supply and return</t>
        </r>
      </text>
    </comment>
  </commentList>
</comments>
</file>

<file path=xl/sharedStrings.xml><?xml version="1.0" encoding="utf-8"?>
<sst xmlns="http://schemas.openxmlformats.org/spreadsheetml/2006/main" count="557" uniqueCount="270">
  <si>
    <t>General Information Sheet</t>
  </si>
  <si>
    <t>NO TOUCHY, TOUCHY IF TEXT IS BLACK</t>
  </si>
  <si>
    <t>Job:</t>
  </si>
  <si>
    <t>56x60 Office</t>
  </si>
  <si>
    <t>Job Name</t>
  </si>
  <si>
    <t>Job #:</t>
  </si>
  <si>
    <t>Date:</t>
  </si>
  <si>
    <t>By:</t>
  </si>
  <si>
    <t>Chk'd By:</t>
  </si>
  <si>
    <t>Load Solar Time:</t>
  </si>
  <si>
    <t>5:00pm</t>
  </si>
  <si>
    <t>Zone:</t>
  </si>
  <si>
    <t>N/A</t>
  </si>
  <si>
    <t>total building square footage</t>
  </si>
  <si>
    <t>this is used for Roof and Floor Only</t>
  </si>
  <si>
    <t>Outside Dsgn Temp Heating (F):</t>
  </si>
  <si>
    <t>based on location, If Triple code use -10</t>
  </si>
  <si>
    <t>Outside Dsgn Temp Cooling (F):</t>
  </si>
  <si>
    <t>based on location, If Triple code use 110</t>
  </si>
  <si>
    <t>Inside Dsgn Temp Heating (F):</t>
  </si>
  <si>
    <t>Per C302.1 IECC (Energy Code)</t>
  </si>
  <si>
    <t>Inside Dsgn Temp Cooling (F):</t>
  </si>
  <si>
    <t>Standard</t>
  </si>
  <si>
    <t>Roof U value</t>
  </si>
  <si>
    <t>1 divided by r-value</t>
  </si>
  <si>
    <t>Typically:</t>
  </si>
  <si>
    <t>R-51</t>
  </si>
  <si>
    <t>R-30+R-20 (non Vented Roof)</t>
  </si>
  <si>
    <t>Wall U value (Side Walls Only)</t>
  </si>
  <si>
    <t>R-21</t>
  </si>
  <si>
    <t>R-21+R3.2CI (Idaho sidewalls Only)</t>
  </si>
  <si>
    <t>Wall U value (End Walls Only)</t>
  </si>
  <si>
    <t>R-21+R5 (Triple Code per WA / 2021 IECC, ALL Walls)</t>
  </si>
  <si>
    <t>Floor U value</t>
  </si>
  <si>
    <t>R-30</t>
  </si>
  <si>
    <t>Glass U value</t>
  </si>
  <si>
    <t>Min U-Value Per 2021 IECC</t>
  </si>
  <si>
    <t>Glass SC</t>
  </si>
  <si>
    <t>Double Glass with Thermal Break and 1/4" Air Space</t>
  </si>
  <si>
    <t>Door U value</t>
  </si>
  <si>
    <t>Typical (1 divided by r-value)</t>
  </si>
  <si>
    <t xml:space="preserve">Roll Up Door </t>
  </si>
  <si>
    <t>Store Front Door Value</t>
  </si>
  <si>
    <t>People Sensible</t>
  </si>
  <si>
    <t>People Latent</t>
  </si>
  <si>
    <t>Occupant at moderately active office work</t>
  </si>
  <si>
    <t>Lights per SF</t>
  </si>
  <si>
    <t>Computers</t>
  </si>
  <si>
    <t># of Exhaust Fans</t>
  </si>
  <si>
    <t># of Doors @ 20sq ft (36x80)</t>
  </si>
  <si>
    <t>Quantity of doors</t>
  </si>
  <si>
    <t># of Doors @ 21sq ft (36x84)</t>
  </si>
  <si>
    <t># of Doors @ 32 sq ft (48x96)</t>
  </si>
  <si>
    <t>other doors (28sf)</t>
  </si>
  <si>
    <t>Group B - Office Facilities</t>
  </si>
  <si>
    <t>Office sq ft</t>
  </si>
  <si>
    <t>Total area Square Footage.</t>
  </si>
  <si>
    <t>Lobby Area sq ft</t>
  </si>
  <si>
    <t>Conference Room sq ft</t>
  </si>
  <si>
    <t>Printer</t>
  </si>
  <si>
    <t>Break area/kitchen sq ft</t>
  </si>
  <si>
    <t>Telephone / Data Room sq ft</t>
  </si>
  <si>
    <t>Printer Room</t>
  </si>
  <si>
    <t>Wall SQ FT</t>
  </si>
  <si>
    <t>Wood</t>
  </si>
  <si>
    <t>Container</t>
  </si>
  <si>
    <t>Windows</t>
  </si>
  <si>
    <t>Store Front</t>
  </si>
  <si>
    <t>North</t>
  </si>
  <si>
    <t>length x 10</t>
  </si>
  <si>
    <t xml:space="preserve"> length x8</t>
  </si>
  <si>
    <t>East</t>
  </si>
  <si>
    <t>length x 9.5</t>
  </si>
  <si>
    <t>South</t>
  </si>
  <si>
    <t xml:space="preserve">length x 10 </t>
  </si>
  <si>
    <t>West</t>
  </si>
  <si>
    <t>Education Group E</t>
  </si>
  <si>
    <t>Art Room</t>
  </si>
  <si>
    <t>Auditoriums</t>
  </si>
  <si>
    <t>Science Room</t>
  </si>
  <si>
    <t>Music Room</t>
  </si>
  <si>
    <t>Daycare 0-4</t>
  </si>
  <si>
    <t>Classroom 5-8</t>
  </si>
  <si>
    <t>Classroom 9+</t>
  </si>
  <si>
    <t>Locker Room</t>
  </si>
  <si>
    <t>Medical</t>
  </si>
  <si>
    <t>Office Area</t>
  </si>
  <si>
    <t>Exam Room</t>
  </si>
  <si>
    <t>Wating Room</t>
  </si>
  <si>
    <t>Proceedure</t>
  </si>
  <si>
    <t>Residential</t>
  </si>
  <si>
    <t>Bedroom</t>
  </si>
  <si>
    <t>Living Room</t>
  </si>
  <si>
    <t>Multipurpose Assembly</t>
  </si>
  <si>
    <t>Kitchen</t>
  </si>
  <si>
    <t>Design Criteria that this sheet is currently set for is in blue.</t>
  </si>
  <si>
    <t>44 Degree N. Latitude</t>
  </si>
  <si>
    <t>Jan.</t>
  </si>
  <si>
    <t>Feb.</t>
  </si>
  <si>
    <t>Mar.</t>
  </si>
  <si>
    <t>Apr.</t>
  </si>
  <si>
    <t>May.</t>
  </si>
  <si>
    <t>June</t>
  </si>
  <si>
    <t>July</t>
  </si>
  <si>
    <t>Aug.</t>
  </si>
  <si>
    <t>Sep.</t>
  </si>
  <si>
    <t>Oct.</t>
  </si>
  <si>
    <t>Nov.</t>
  </si>
  <si>
    <t>Dec.</t>
  </si>
  <si>
    <t xml:space="preserve">North </t>
  </si>
  <si>
    <t>NE</t>
  </si>
  <si>
    <t>SE</t>
  </si>
  <si>
    <t>SW</t>
  </si>
  <si>
    <t>W</t>
  </si>
  <si>
    <t>NW</t>
  </si>
  <si>
    <t>Horiz.</t>
  </si>
  <si>
    <t xml:space="preserve">SOLER TIME (CLF) FOR GLASS </t>
  </si>
  <si>
    <t>WALL TYPE</t>
  </si>
  <si>
    <t>LIGHT</t>
  </si>
  <si>
    <t>MEDIUM</t>
  </si>
  <si>
    <t>HEAVY</t>
  </si>
  <si>
    <t>Aluminum frame no thermal break (Uf=1.9)</t>
  </si>
  <si>
    <t>Aluminum frame thermal break (Uf=1.0)</t>
  </si>
  <si>
    <t>Wood or Vinyl Frame (Uf=0.4)</t>
  </si>
  <si>
    <t>Degree of Activity</t>
  </si>
  <si>
    <t>Typical Application</t>
  </si>
  <si>
    <t>Total Heat Adults, Male, BTU/H</t>
  </si>
  <si>
    <t>Total Heat, Adjusted, BTH/H</t>
  </si>
  <si>
    <t>Sensible Heat, BTH/H</t>
  </si>
  <si>
    <t>Latent Heat, BTU/H</t>
  </si>
  <si>
    <t>R Value</t>
  </si>
  <si>
    <t>Seated at Theater</t>
  </si>
  <si>
    <t>Theater - Matinee</t>
  </si>
  <si>
    <t>Single Glazing</t>
  </si>
  <si>
    <t>Theater - Evening</t>
  </si>
  <si>
    <t>Glass</t>
  </si>
  <si>
    <t>Seated, very light work</t>
  </si>
  <si>
    <t>Offices, Hotels, Apartments</t>
  </si>
  <si>
    <t>1/8" Acrylic</t>
  </si>
  <si>
    <t>Moderately Active Office</t>
  </si>
  <si>
    <t>Standing, Light Work, Walking</t>
  </si>
  <si>
    <t>Department Store, Retai Store</t>
  </si>
  <si>
    <t>Double Glass</t>
  </si>
  <si>
    <t>Walking, Standing</t>
  </si>
  <si>
    <t>Drug Store, Bank</t>
  </si>
  <si>
    <t>1/4" Air Space</t>
  </si>
  <si>
    <t>Sedentary Work</t>
  </si>
  <si>
    <t>Restaurant</t>
  </si>
  <si>
    <t>3/8" Air Space</t>
  </si>
  <si>
    <t>Light Bench Work</t>
  </si>
  <si>
    <t>Factory</t>
  </si>
  <si>
    <t xml:space="preserve">1/2" and Greater Air Space </t>
  </si>
  <si>
    <t>Moderate Dancing</t>
  </si>
  <si>
    <t>Dance Hall</t>
  </si>
  <si>
    <t>Walking, 3 mph; Light Machine Work</t>
  </si>
  <si>
    <t>Double Glass, e=0.40</t>
  </si>
  <si>
    <t>Bowling</t>
  </si>
  <si>
    <t>Bowling Alley</t>
  </si>
  <si>
    <t>Heavy Work</t>
  </si>
  <si>
    <t>Heavy Machine Work, Lifting</t>
  </si>
  <si>
    <t>Athletics</t>
  </si>
  <si>
    <t>Gymnasium</t>
  </si>
  <si>
    <t>Taken from ASHRAE Fundamentals Handbook 1989</t>
  </si>
  <si>
    <t>Double Glass, e=0.15</t>
  </si>
  <si>
    <t>1/4" Argon Space</t>
  </si>
  <si>
    <t>3/8" Argon Space</t>
  </si>
  <si>
    <t xml:space="preserve">1/2" and Greater Argon Space </t>
  </si>
  <si>
    <t>Double Glazing, 1/8" Acrylic or Polycarbonate</t>
  </si>
  <si>
    <t>Double Glazing, 1/4" Acrylic or Polycarbonate</t>
  </si>
  <si>
    <t>Triple Glass</t>
  </si>
  <si>
    <t>Triple Glass, e=0.40</t>
  </si>
  <si>
    <t>Triple Glass or Double Glass with Polyester Film Suspended in Between, e=0.15 on Surface 2, 3, 4, or 5</t>
  </si>
  <si>
    <t>Triple Glass or Double Glass with Polyester Film Suspended in Between, e=0.15 on Surfaces 2 or 3, and 4 or 5</t>
  </si>
  <si>
    <t>Cooling Load Calc. Sheet</t>
  </si>
  <si>
    <t>Time:</t>
  </si>
  <si>
    <t>Block</t>
  </si>
  <si>
    <t>Area or Room Name:</t>
  </si>
  <si>
    <t>Outside Dsgn Temp (F):</t>
  </si>
  <si>
    <t>Inside Dsgn Temp (F):</t>
  </si>
  <si>
    <t>Floor Area (sq. ft.):</t>
  </si>
  <si>
    <t>Roof</t>
  </si>
  <si>
    <t>Area</t>
  </si>
  <si>
    <t>U-value</t>
  </si>
  <si>
    <t>DT</t>
  </si>
  <si>
    <t>Sensible</t>
  </si>
  <si>
    <t>Latent</t>
  </si>
  <si>
    <t>Subtotal:</t>
  </si>
  <si>
    <t xml:space="preserve">  </t>
  </si>
  <si>
    <t>Wall</t>
  </si>
  <si>
    <t>Floor</t>
  </si>
  <si>
    <t>sqft of each space</t>
  </si>
  <si>
    <t>Outdoor Ventillation Requirments per 2021 IMC section 403.3 (Office Area)</t>
  </si>
  <si>
    <t>Mixed Air Temp Calculation (TRA x (%TRA) + TOSA x (%TOSA)</t>
  </si>
  <si>
    <t>Solar</t>
  </si>
  <si>
    <t>SHGF</t>
  </si>
  <si>
    <t>CLF</t>
  </si>
  <si>
    <t>SC</t>
  </si>
  <si>
    <t>Rp</t>
  </si>
  <si>
    <t>Pz</t>
  </si>
  <si>
    <t>Ra</t>
  </si>
  <si>
    <t>Az</t>
  </si>
  <si>
    <t>Occy/1000 s. ft</t>
  </si>
  <si>
    <t>Total cfm</t>
  </si>
  <si>
    <t>RA</t>
  </si>
  <si>
    <t>cfm</t>
  </si>
  <si>
    <t>RAT</t>
  </si>
  <si>
    <t>deg F.</t>
  </si>
  <si>
    <t>Lobbies</t>
  </si>
  <si>
    <t>OAT</t>
  </si>
  <si>
    <t>Confrence Rm</t>
  </si>
  <si>
    <t>%RA</t>
  </si>
  <si>
    <t>%</t>
  </si>
  <si>
    <t>Break Area</t>
  </si>
  <si>
    <t>%OSA</t>
  </si>
  <si>
    <t>Tele/Data Room</t>
  </si>
  <si>
    <t>MAT=</t>
  </si>
  <si>
    <t>deg.F</t>
  </si>
  <si>
    <t>Subtotal</t>
  </si>
  <si>
    <t>Glazing</t>
  </si>
  <si>
    <t>OSA=</t>
  </si>
  <si>
    <t>BTU Requirements</t>
  </si>
  <si>
    <t>SAT</t>
  </si>
  <si>
    <t>Pz=People per zone</t>
  </si>
  <si>
    <t>Delta "T"</t>
  </si>
  <si>
    <t>Az=Zone floor area</t>
  </si>
  <si>
    <t>AS Constant</t>
  </si>
  <si>
    <t>Metal Door</t>
  </si>
  <si>
    <t>Rp=CFM/ person (table 403.3.1.1)</t>
  </si>
  <si>
    <t>Total BTU</t>
  </si>
  <si>
    <t>BTU/H</t>
  </si>
  <si>
    <t>Ra=CFM/Ft (table 403.3.1.1)</t>
  </si>
  <si>
    <t>Total KW</t>
  </si>
  <si>
    <t>kW</t>
  </si>
  <si>
    <t>Occupancy per 1000 sq. f.t (table 403.3.1.1)</t>
  </si>
  <si>
    <t>Outdoor Ventillation Requirments per 2021 IMC section 403.3 (Education)</t>
  </si>
  <si>
    <t>Storefront Door</t>
  </si>
  <si>
    <t>Art Classroom</t>
  </si>
  <si>
    <t>Science</t>
  </si>
  <si>
    <t>People</t>
  </si>
  <si>
    <t># of</t>
  </si>
  <si>
    <t xml:space="preserve">Sensible </t>
  </si>
  <si>
    <t>Music/Theater</t>
  </si>
  <si>
    <t>Occupants</t>
  </si>
  <si>
    <t>/person</t>
  </si>
  <si>
    <t>Lights</t>
  </si>
  <si>
    <t>Watts/Sq</t>
  </si>
  <si>
    <t>Total</t>
  </si>
  <si>
    <t>Misc. Equip.</t>
  </si>
  <si>
    <t>Items</t>
  </si>
  <si>
    <t xml:space="preserve">Watts per </t>
  </si>
  <si>
    <t xml:space="preserve">Total </t>
  </si>
  <si>
    <t>Misc.</t>
  </si>
  <si>
    <t>OSA</t>
  </si>
  <si>
    <t>Grains/lb</t>
  </si>
  <si>
    <t>Evap.</t>
  </si>
  <si>
    <t>OSA db</t>
  </si>
  <si>
    <t>Room</t>
  </si>
  <si>
    <r>
      <t>h</t>
    </r>
    <r>
      <rPr>
        <vertAlign val="subscript"/>
        <sz val="12"/>
        <rFont val="Arial"/>
        <family val="2"/>
      </rPr>
      <t>fg</t>
    </r>
  </si>
  <si>
    <t>Temp</t>
  </si>
  <si>
    <t>Outdoor Ventillation Requirments per 2021 IMC section 403.3  (Medical)</t>
  </si>
  <si>
    <t xml:space="preserve"> </t>
  </si>
  <si>
    <t>HRV/ERV 200s</t>
  </si>
  <si>
    <t>Totals for Area:</t>
  </si>
  <si>
    <t>Totals :</t>
  </si>
  <si>
    <t>Tons:</t>
  </si>
  <si>
    <t>Outdoor Ventillation Requirments per 2021 IMC section 403.3  (Residential)</t>
  </si>
  <si>
    <t>Heating Load Calc. Sheet</t>
  </si>
  <si>
    <t xml:space="preserve">Ventillation </t>
  </si>
  <si>
    <t xml:space="preserve">Exhaust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</si>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</sst>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dd/yy"/>
  </numFmts>
  <fonts count="23">
    <font>
      <sz val="10"/>
      <name val="Arial"/>
    </font>
    <font>
      <b/>
      <i/>
      <sz val="12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8"/>
      <name val="Arial"/>
      <family val="2"/>
    </font>
    <font>
      <vertAlign val="subscript"/>
      <sz val="12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4"/>
      <color indexed="81"/>
      <name val="Tahoma"/>
      <family val="2"/>
    </font>
    <font>
      <u/>
      <sz val="10"/>
      <name val="Arial"/>
      <family val="2"/>
    </font>
    <font>
      <sz val="9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2" fillId="0" borderId="0" xfId="0" applyNumberFormat="1" applyFont="1" applyAlignment="1">
      <alignment horizontal="centerContinuous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2" xfId="0" applyBorder="1"/>
    <xf numFmtId="0" fontId="5" fillId="0" borderId="0" xfId="0" applyFont="1"/>
    <xf numFmtId="3" fontId="0" fillId="0" borderId="10" xfId="0" applyNumberFormat="1" applyBorder="1"/>
    <xf numFmtId="3" fontId="0" fillId="0" borderId="0" xfId="0" applyNumberFormat="1"/>
    <xf numFmtId="0" fontId="5" fillId="2" borderId="13" xfId="0" applyFont="1" applyFill="1" applyBorder="1" applyAlignment="1">
      <alignment horizontal="centerContinuous" vertical="center"/>
    </xf>
    <xf numFmtId="0" fontId="0" fillId="2" borderId="14" xfId="0" applyFill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2" borderId="17" xfId="0" applyFill="1" applyBorder="1"/>
    <xf numFmtId="3" fontId="0" fillId="0" borderId="16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0" fontId="0" fillId="0" borderId="19" xfId="0" applyBorder="1"/>
    <xf numFmtId="3" fontId="3" fillId="0" borderId="20" xfId="0" applyNumberFormat="1" applyFont="1" applyBorder="1" applyAlignment="1" applyProtection="1">
      <alignment horizontal="center"/>
      <protection locked="0"/>
    </xf>
    <xf numFmtId="1" fontId="0" fillId="0" borderId="20" xfId="0" applyNumberFormat="1" applyBorder="1" applyAlignment="1">
      <alignment horizontal="center"/>
    </xf>
    <xf numFmtId="3" fontId="0" fillId="0" borderId="20" xfId="0" applyNumberFormat="1" applyBorder="1"/>
    <xf numFmtId="0" fontId="7" fillId="0" borderId="0" xfId="0" applyFont="1" applyAlignment="1">
      <alignment horizontal="right"/>
    </xf>
    <xf numFmtId="3" fontId="7" fillId="0" borderId="20" xfId="0" applyNumberFormat="1" applyFont="1" applyBorder="1"/>
    <xf numFmtId="0" fontId="0" fillId="0" borderId="10" xfId="0" applyBorder="1" applyAlignment="1">
      <alignment horizontal="right"/>
    </xf>
    <xf numFmtId="0" fontId="5" fillId="2" borderId="13" xfId="0" applyFont="1" applyFill="1" applyBorder="1" applyAlignment="1">
      <alignment horizontal="centerContinuous"/>
    </xf>
    <xf numFmtId="0" fontId="5" fillId="2" borderId="14" xfId="0" applyFont="1" applyFill="1" applyBorder="1" applyAlignment="1">
      <alignment horizontal="centerContinuous"/>
    </xf>
    <xf numFmtId="0" fontId="0" fillId="2" borderId="13" xfId="0" applyFill="1" applyBorder="1"/>
    <xf numFmtId="0" fontId="0" fillId="2" borderId="21" xfId="0" applyFill="1" applyBorder="1"/>
    <xf numFmtId="0" fontId="0" fillId="2" borderId="14" xfId="0" applyFill="1" applyBorder="1"/>
    <xf numFmtId="0" fontId="0" fillId="2" borderId="14" xfId="0" applyFill="1" applyBorder="1" applyAlignment="1">
      <alignment horizontal="centerContinuous"/>
    </xf>
    <xf numFmtId="0" fontId="0" fillId="0" borderId="18" xfId="0" applyBorder="1" applyAlignment="1">
      <alignment horizontal="center"/>
    </xf>
    <xf numFmtId="1" fontId="3" fillId="0" borderId="20" xfId="0" applyNumberFormat="1" applyFont="1" applyBorder="1" applyAlignment="1" applyProtection="1">
      <alignment horizontal="center"/>
      <protection locked="0"/>
    </xf>
    <xf numFmtId="18" fontId="0" fillId="0" borderId="0" xfId="0" applyNumberFormat="1"/>
    <xf numFmtId="0" fontId="7" fillId="0" borderId="20" xfId="0" applyFont="1" applyBorder="1" applyAlignment="1">
      <alignment horizontal="right"/>
    </xf>
    <xf numFmtId="3" fontId="4" fillId="0" borderId="20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3" fontId="0" fillId="0" borderId="23" xfId="0" applyNumberFormat="1" applyBorder="1" applyAlignment="1">
      <alignment horizontal="center"/>
    </xf>
    <xf numFmtId="0" fontId="5" fillId="2" borderId="9" xfId="0" applyFont="1" applyFill="1" applyBorder="1" applyAlignment="1">
      <alignment horizontal="centerContinuous"/>
    </xf>
    <xf numFmtId="0" fontId="0" fillId="2" borderId="12" xfId="0" applyFill="1" applyBorder="1" applyAlignment="1">
      <alignment horizontal="centerContinuous"/>
    </xf>
    <xf numFmtId="0" fontId="8" fillId="0" borderId="24" xfId="0" applyFont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3" fontId="0" fillId="0" borderId="25" xfId="0" applyNumberFormat="1" applyBorder="1"/>
    <xf numFmtId="3" fontId="0" fillId="0" borderId="0" xfId="0" applyNumberFormat="1" applyAlignment="1">
      <alignment horizontal="center"/>
    </xf>
    <xf numFmtId="3" fontId="4" fillId="0" borderId="26" xfId="0" applyNumberFormat="1" applyFon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5" fillId="2" borderId="13" xfId="0" applyFont="1" applyFill="1" applyBorder="1"/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20" xfId="0" applyBorder="1" applyAlignment="1">
      <alignment horizontal="left"/>
    </xf>
    <xf numFmtId="3" fontId="0" fillId="0" borderId="20" xfId="0" applyNumberFormat="1" applyBorder="1" applyAlignment="1">
      <alignment horizontal="center"/>
    </xf>
    <xf numFmtId="0" fontId="3" fillId="0" borderId="20" xfId="0" applyFont="1" applyBorder="1" applyAlignment="1" applyProtection="1">
      <alignment horizontal="left"/>
      <protection locked="0"/>
    </xf>
    <xf numFmtId="0" fontId="0" fillId="0" borderId="28" xfId="0" applyBorder="1" applyAlignment="1">
      <alignment horizontal="center"/>
    </xf>
    <xf numFmtId="0" fontId="0" fillId="2" borderId="29" xfId="0" applyFill="1" applyBorder="1"/>
    <xf numFmtId="3" fontId="0" fillId="0" borderId="22" xfId="0" applyNumberFormat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0" fontId="5" fillId="2" borderId="9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31" xfId="0" applyFill="1" applyBorder="1" applyAlignment="1">
      <alignment vertical="center"/>
    </xf>
    <xf numFmtId="3" fontId="0" fillId="0" borderId="24" xfId="0" applyNumberFormat="1" applyBorder="1"/>
    <xf numFmtId="3" fontId="0" fillId="0" borderId="30" xfId="0" applyNumberFormat="1" applyBorder="1"/>
    <xf numFmtId="0" fontId="3" fillId="0" borderId="0" xfId="0" applyFont="1" applyAlignment="1" applyProtection="1">
      <alignment horizontal="center"/>
      <protection locked="0"/>
    </xf>
    <xf numFmtId="0" fontId="5" fillId="2" borderId="15" xfId="0" applyFont="1" applyFill="1" applyBorder="1"/>
    <xf numFmtId="0" fontId="5" fillId="2" borderId="16" xfId="0" applyFont="1" applyFill="1" applyBorder="1" applyAlignment="1">
      <alignment horizontal="right"/>
    </xf>
    <xf numFmtId="3" fontId="7" fillId="0" borderId="16" xfId="0" applyNumberFormat="1" applyFont="1" applyBorder="1"/>
    <xf numFmtId="3" fontId="7" fillId="0" borderId="18" xfId="0" applyNumberFormat="1" applyFont="1" applyBorder="1"/>
    <xf numFmtId="0" fontId="10" fillId="0" borderId="0" xfId="0" applyFont="1" applyAlignment="1">
      <alignment horizontal="right"/>
    </xf>
    <xf numFmtId="0" fontId="0" fillId="0" borderId="17" xfId="0" applyBorder="1"/>
    <xf numFmtId="0" fontId="0" fillId="2" borderId="2" xfId="0" applyFill="1" applyBorder="1" applyAlignment="1">
      <alignment horizontal="centerContinuous"/>
    </xf>
    <xf numFmtId="0" fontId="6" fillId="0" borderId="23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" borderId="10" xfId="0" applyFill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0" fillId="0" borderId="31" xfId="0" applyBorder="1"/>
    <xf numFmtId="3" fontId="4" fillId="0" borderId="27" xfId="0" applyNumberFormat="1" applyFon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10" fillId="0" borderId="0" xfId="0" applyFont="1"/>
    <xf numFmtId="1" fontId="0" fillId="0" borderId="0" xfId="0" applyNumberFormat="1"/>
    <xf numFmtId="0" fontId="11" fillId="0" borderId="13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2" fillId="0" borderId="32" xfId="0" applyFont="1" applyBorder="1" applyProtection="1">
      <protection locked="0"/>
    </xf>
    <xf numFmtId="0" fontId="12" fillId="0" borderId="33" xfId="0" applyFont="1" applyBorder="1" applyProtection="1">
      <protection locked="0"/>
    </xf>
    <xf numFmtId="164" fontId="12" fillId="0" borderId="20" xfId="0" applyNumberFormat="1" applyFont="1" applyBorder="1" applyAlignment="1" applyProtection="1">
      <alignment horizontal="center"/>
      <protection locked="0"/>
    </xf>
    <xf numFmtId="0" fontId="12" fillId="0" borderId="34" xfId="0" applyFont="1" applyBorder="1" applyProtection="1">
      <protection locked="0"/>
    </xf>
    <xf numFmtId="2" fontId="12" fillId="0" borderId="20" xfId="0" applyNumberFormat="1" applyFont="1" applyBorder="1" applyAlignment="1" applyProtection="1">
      <alignment horizontal="center"/>
      <protection locked="0"/>
    </xf>
    <xf numFmtId="3" fontId="12" fillId="0" borderId="26" xfId="0" applyNumberFormat="1" applyFont="1" applyBorder="1" applyAlignment="1" applyProtection="1">
      <alignment horizontal="center"/>
      <protection locked="0"/>
    </xf>
    <xf numFmtId="3" fontId="12" fillId="0" borderId="20" xfId="0" applyNumberFormat="1" applyFont="1" applyBorder="1" applyAlignment="1" applyProtection="1">
      <alignment horizontal="center"/>
      <protection locked="0"/>
    </xf>
    <xf numFmtId="3" fontId="12" fillId="0" borderId="27" xfId="0" applyNumberFormat="1" applyFont="1" applyBorder="1" applyAlignment="1" applyProtection="1">
      <alignment horizontal="center"/>
      <protection locked="0"/>
    </xf>
    <xf numFmtId="20" fontId="0" fillId="0" borderId="0" xfId="0" applyNumberFormat="1"/>
    <xf numFmtId="0" fontId="0" fillId="0" borderId="8" xfId="0" applyBorder="1"/>
    <xf numFmtId="20" fontId="0" fillId="0" borderId="8" xfId="0" applyNumberFormat="1" applyBorder="1"/>
    <xf numFmtId="0" fontId="3" fillId="0" borderId="2" xfId="0" applyFont="1" applyBorder="1"/>
    <xf numFmtId="0" fontId="3" fillId="0" borderId="0" xfId="0" applyFont="1"/>
    <xf numFmtId="0" fontId="3" fillId="0" borderId="10" xfId="0" applyFont="1" applyBorder="1"/>
    <xf numFmtId="20" fontId="3" fillId="0" borderId="0" xfId="0" applyNumberFormat="1" applyFont="1"/>
    <xf numFmtId="0" fontId="13" fillId="0" borderId="0" xfId="0" applyFont="1"/>
    <xf numFmtId="0" fontId="14" fillId="0" borderId="0" xfId="0" applyFont="1"/>
    <xf numFmtId="0" fontId="12" fillId="0" borderId="0" xfId="0" applyFont="1"/>
    <xf numFmtId="3" fontId="12" fillId="0" borderId="23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0" fillId="0" borderId="5" xfId="0" applyFont="1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165" fontId="3" fillId="0" borderId="20" xfId="0" applyNumberFormat="1" applyFont="1" applyBorder="1" applyAlignment="1">
      <alignment horizontal="center"/>
    </xf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3" fontId="3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0" fillId="0" borderId="0" xfId="0" applyNumberFormat="1"/>
    <xf numFmtId="0" fontId="0" fillId="0" borderId="35" xfId="0" applyBorder="1"/>
    <xf numFmtId="0" fontId="0" fillId="4" borderId="26" xfId="0" applyFill="1" applyBorder="1" applyAlignment="1">
      <alignment horizontal="center"/>
    </xf>
    <xf numFmtId="0" fontId="0" fillId="0" borderId="36" xfId="0" applyBorder="1"/>
    <xf numFmtId="0" fontId="0" fillId="4" borderId="20" xfId="0" applyFill="1" applyBorder="1" applyAlignment="1">
      <alignment horizontal="center"/>
    </xf>
    <xf numFmtId="0" fontId="0" fillId="0" borderId="37" xfId="0" applyBorder="1" applyAlignment="1">
      <alignment horizontal="right"/>
    </xf>
    <xf numFmtId="0" fontId="0" fillId="0" borderId="38" xfId="0" applyBorder="1"/>
    <xf numFmtId="0" fontId="0" fillId="0" borderId="39" xfId="0" applyBorder="1"/>
    <xf numFmtId="0" fontId="2" fillId="0" borderId="0" xfId="0" applyFont="1"/>
    <xf numFmtId="0" fontId="4" fillId="0" borderId="0" xfId="0" applyFont="1"/>
    <xf numFmtId="3" fontId="3" fillId="0" borderId="40" xfId="0" applyNumberFormat="1" applyFon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4" borderId="0" xfId="0" applyFill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4" borderId="42" xfId="0" applyFill="1" applyBorder="1" applyAlignment="1">
      <alignment horizontal="left"/>
    </xf>
    <xf numFmtId="0" fontId="0" fillId="4" borderId="0" xfId="0" applyFill="1" applyAlignment="1">
      <alignment horizontal="center"/>
    </xf>
    <xf numFmtId="1" fontId="0" fillId="0" borderId="43" xfId="0" applyNumberForma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0" fillId="0" borderId="38" xfId="0" applyNumberFormat="1" applyBorder="1"/>
    <xf numFmtId="0" fontId="21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36" xfId="0" applyFont="1" applyBorder="1"/>
    <xf numFmtId="0" fontId="4" fillId="4" borderId="20" xfId="0" applyFont="1" applyFill="1" applyBorder="1" applyAlignment="1">
      <alignment horizontal="center"/>
    </xf>
    <xf numFmtId="0" fontId="0" fillId="4" borderId="5" xfId="0" applyFill="1" applyBorder="1"/>
    <xf numFmtId="0" fontId="0" fillId="4" borderId="9" xfId="0" applyFill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1" fontId="0" fillId="4" borderId="10" xfId="0" applyNumberFormat="1" applyFill="1" applyBorder="1"/>
    <xf numFmtId="0" fontId="4" fillId="0" borderId="20" xfId="0" applyFont="1" applyBorder="1"/>
    <xf numFmtId="1" fontId="0" fillId="4" borderId="0" xfId="0" applyNumberFormat="1" applyFill="1"/>
    <xf numFmtId="3" fontId="12" fillId="0" borderId="26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" fontId="4" fillId="0" borderId="20" xfId="0" applyNumberFormat="1" applyFont="1" applyBorder="1" applyAlignment="1" applyProtection="1">
      <alignment horizontal="center"/>
      <protection locked="0"/>
    </xf>
    <xf numFmtId="2" fontId="4" fillId="0" borderId="20" xfId="0" applyNumberFormat="1" applyFont="1" applyBorder="1" applyAlignment="1" applyProtection="1">
      <alignment horizontal="center"/>
      <protection locked="0"/>
    </xf>
    <xf numFmtId="3" fontId="4" fillId="0" borderId="20" xfId="0" applyNumberFormat="1" applyFont="1" applyBorder="1" applyAlignment="1" applyProtection="1">
      <alignment horizontal="center"/>
      <protection locked="0"/>
    </xf>
    <xf numFmtId="0" fontId="22" fillId="0" borderId="20" xfId="0" applyFont="1" applyBorder="1" applyAlignment="1">
      <alignment horizontal="center"/>
    </xf>
    <xf numFmtId="164" fontId="4" fillId="0" borderId="20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0" fontId="22" fillId="0" borderId="20" xfId="0" applyFont="1" applyBorder="1" applyAlignment="1">
      <alignment horizontal="center" vertical="center"/>
    </xf>
    <xf numFmtId="0" fontId="4" fillId="0" borderId="19" xfId="0" applyFont="1" applyBorder="1"/>
    <xf numFmtId="0" fontId="22" fillId="0" borderId="0" xfId="0" applyFont="1"/>
    <xf numFmtId="2" fontId="4" fillId="0" borderId="20" xfId="0" applyNumberFormat="1" applyFont="1" applyBorder="1" applyAlignment="1">
      <alignment horizontal="center"/>
    </xf>
    <xf numFmtId="0" fontId="7" fillId="0" borderId="20" xfId="0" applyFont="1" applyBorder="1"/>
    <xf numFmtId="0" fontId="7" fillId="0" borderId="0" xfId="0" applyFont="1"/>
    <xf numFmtId="3" fontId="4" fillId="0" borderId="27" xfId="0" applyNumberFormat="1" applyFont="1" applyBorder="1" applyAlignment="1" applyProtection="1">
      <alignment horizontal="center"/>
      <protection locked="0"/>
    </xf>
    <xf numFmtId="0" fontId="4" fillId="0" borderId="51" xfId="0" applyFont="1" applyBorder="1"/>
    <xf numFmtId="164" fontId="22" fillId="0" borderId="20" xfId="0" applyNumberFormat="1" applyFont="1" applyBorder="1" applyAlignment="1">
      <alignment horizontal="center"/>
    </xf>
    <xf numFmtId="3" fontId="22" fillId="0" borderId="23" xfId="0" applyNumberFormat="1" applyFont="1" applyBorder="1" applyAlignment="1" applyProtection="1">
      <alignment horizontal="center"/>
      <protection locked="0"/>
    </xf>
    <xf numFmtId="3" fontId="22" fillId="0" borderId="20" xfId="0" applyNumberFormat="1" applyFont="1" applyBorder="1" applyAlignment="1" applyProtection="1">
      <alignment horizontal="center"/>
      <protection locked="0"/>
    </xf>
    <xf numFmtId="4" fontId="4" fillId="0" borderId="20" xfId="0" applyNumberFormat="1" applyFont="1" applyBorder="1" applyAlignment="1">
      <alignment horizontal="left" indent="2"/>
    </xf>
    <xf numFmtId="0" fontId="0" fillId="0" borderId="0" xfId="0" applyAlignment="1">
      <alignment horizontal="center"/>
    </xf>
    <xf numFmtId="1" fontId="4" fillId="0" borderId="7" xfId="0" applyNumberFormat="1" applyFont="1" applyBorder="1" applyAlignment="1" applyProtection="1">
      <alignment horizontal="center"/>
      <protection locked="0"/>
    </xf>
    <xf numFmtId="1" fontId="4" fillId="0" borderId="48" xfId="0" applyNumberFormat="1" applyFont="1" applyBorder="1" applyAlignment="1" applyProtection="1">
      <alignment horizontal="center"/>
      <protection locked="0"/>
    </xf>
    <xf numFmtId="20" fontId="4" fillId="0" borderId="49" xfId="0" applyNumberFormat="1" applyFont="1" applyBorder="1" applyAlignment="1" applyProtection="1">
      <alignment horizontal="center"/>
      <protection locked="0"/>
    </xf>
    <xf numFmtId="20" fontId="4" fillId="0" borderId="41" xfId="0" applyNumberFormat="1" applyFont="1" applyBorder="1" applyAlignment="1" applyProtection="1">
      <alignment horizontal="center"/>
      <protection locked="0"/>
    </xf>
    <xf numFmtId="0" fontId="4" fillId="0" borderId="49" xfId="0" applyFont="1" applyBorder="1" applyAlignment="1" applyProtection="1">
      <alignment horizontal="center"/>
      <protection locked="0"/>
    </xf>
    <xf numFmtId="0" fontId="4" fillId="0" borderId="41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48" xfId="0" applyFont="1" applyBorder="1" applyAlignment="1" applyProtection="1">
      <alignment horizontal="center"/>
      <protection locked="0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" fontId="12" fillId="0" borderId="7" xfId="0" applyNumberFormat="1" applyFont="1" applyBorder="1" applyAlignment="1" applyProtection="1">
      <alignment horizontal="center"/>
      <protection locked="0"/>
    </xf>
    <xf numFmtId="1" fontId="12" fillId="0" borderId="48" xfId="0" applyNumberFormat="1" applyFont="1" applyBorder="1" applyAlignment="1" applyProtection="1">
      <alignment horizontal="center"/>
      <protection locked="0"/>
    </xf>
    <xf numFmtId="0" fontId="13" fillId="0" borderId="49" xfId="0" applyFont="1" applyBorder="1" applyAlignment="1" applyProtection="1">
      <alignment horizontal="center"/>
      <protection locked="0"/>
    </xf>
    <xf numFmtId="20" fontId="12" fillId="0" borderId="49" xfId="0" applyNumberFormat="1" applyFont="1" applyBorder="1" applyAlignment="1" applyProtection="1">
      <alignment horizontal="center"/>
      <protection locked="0"/>
    </xf>
    <xf numFmtId="20" fontId="12" fillId="0" borderId="41" xfId="0" applyNumberFormat="1" applyFont="1" applyBorder="1" applyAlignment="1" applyProtection="1">
      <alignment horizontal="center"/>
      <protection locked="0"/>
    </xf>
    <xf numFmtId="0" fontId="12" fillId="0" borderId="49" xfId="0" applyFont="1" applyBorder="1" applyAlignment="1" applyProtection="1">
      <alignment horizontal="center"/>
      <protection locked="0"/>
    </xf>
    <xf numFmtId="0" fontId="12" fillId="0" borderId="41" xfId="0" applyFont="1" applyBorder="1" applyAlignment="1" applyProtection="1">
      <alignment horizontal="center"/>
      <protection locked="0"/>
    </xf>
    <xf numFmtId="165" fontId="13" fillId="0" borderId="49" xfId="0" applyNumberFormat="1" applyFont="1" applyBorder="1" applyAlignment="1" applyProtection="1">
      <alignment horizontal="center"/>
      <protection locked="0"/>
    </xf>
    <xf numFmtId="0" fontId="7" fillId="0" borderId="5" xfId="0" applyFont="1" applyBorder="1"/>
    <xf numFmtId="0" fontId="7" fillId="0" borderId="49" xfId="0" applyFont="1" applyBorder="1" applyAlignment="1" applyProtection="1">
      <alignment horizontal="center"/>
      <protection locked="0"/>
    </xf>
    <xf numFmtId="0" fontId="4" fillId="0" borderId="50" xfId="0" applyFont="1" applyBorder="1" applyAlignment="1" applyProtection="1">
      <protection locked="0"/>
    </xf>
    <xf numFmtId="165" fontId="7" fillId="0" borderId="49" xfId="0" applyNumberFormat="1" applyFont="1" applyBorder="1" applyAlignment="1" applyProtection="1">
      <alignment horizontal="center"/>
      <protection locked="0"/>
    </xf>
    <xf numFmtId="165" fontId="4" fillId="0" borderId="50" xfId="0" applyNumberFormat="1" applyFont="1" applyBorder="1" applyAlignment="1" applyProtection="1">
      <protection locked="0"/>
    </xf>
    <xf numFmtId="0" fontId="12" fillId="0" borderId="50" xfId="0" applyFont="1" applyBorder="1" applyAlignment="1" applyProtection="1">
      <protection locked="0"/>
    </xf>
    <xf numFmtId="165" fontId="12" fillId="0" borderId="50" xfId="0" applyNumberFormat="1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3366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"/>
  <sheetViews>
    <sheetView workbookViewId="0">
      <selection activeCell="B17" sqref="B17"/>
    </sheetView>
  </sheetViews>
  <sheetFormatPr defaultRowHeight="12.6"/>
  <cols>
    <col min="1" max="1" width="27.7109375" customWidth="1"/>
    <col min="2" max="2" width="20.42578125" customWidth="1"/>
    <col min="3" max="3" width="10.42578125" customWidth="1"/>
    <col min="6" max="6" width="9.140625" customWidth="1"/>
  </cols>
  <sheetData>
    <row r="2" spans="1:4" ht="12.95" thickBot="1"/>
    <row r="3" spans="1:4" ht="15.95" thickBot="1">
      <c r="A3" s="108" t="s">
        <v>0</v>
      </c>
      <c r="B3" s="109"/>
      <c r="D3" s="21" t="s">
        <v>1</v>
      </c>
    </row>
    <row r="4" spans="1:4">
      <c r="A4" s="110"/>
      <c r="B4" s="111"/>
    </row>
    <row r="5" spans="1:4">
      <c r="A5" s="112" t="s">
        <v>2</v>
      </c>
      <c r="B5" s="114" t="s">
        <v>3</v>
      </c>
      <c r="C5" t="s">
        <v>4</v>
      </c>
    </row>
    <row r="6" spans="1:4">
      <c r="A6" s="112" t="s">
        <v>5</v>
      </c>
      <c r="B6" s="114">
        <v>24289</v>
      </c>
    </row>
    <row r="7" spans="1:4">
      <c r="A7" s="112" t="s">
        <v>6</v>
      </c>
      <c r="B7" s="139">
        <v>45601</v>
      </c>
    </row>
    <row r="8" spans="1:4">
      <c r="A8" s="112" t="s">
        <v>7</v>
      </c>
      <c r="B8" s="114"/>
    </row>
    <row r="9" spans="1:4">
      <c r="A9" s="112" t="s">
        <v>8</v>
      </c>
      <c r="B9" s="114"/>
    </row>
    <row r="10" spans="1:4">
      <c r="A10" s="112" t="s">
        <v>9</v>
      </c>
      <c r="B10" s="184" t="s">
        <v>10</v>
      </c>
    </row>
    <row r="11" spans="1:4">
      <c r="A11" s="112" t="s">
        <v>11</v>
      </c>
      <c r="B11" s="184" t="s">
        <v>12</v>
      </c>
    </row>
    <row r="12" spans="1:4">
      <c r="A12" s="112" t="s">
        <v>13</v>
      </c>
      <c r="B12" s="189">
        <v>3600</v>
      </c>
      <c r="C12" t="s">
        <v>14</v>
      </c>
    </row>
    <row r="13" spans="1:4">
      <c r="A13" s="74"/>
      <c r="B13" s="184"/>
    </row>
    <row r="14" spans="1:4">
      <c r="A14" s="112" t="s">
        <v>15</v>
      </c>
      <c r="B14" s="189">
        <v>25</v>
      </c>
      <c r="C14" s="154" t="s">
        <v>16</v>
      </c>
    </row>
    <row r="15" spans="1:4">
      <c r="A15" s="112" t="s">
        <v>17</v>
      </c>
      <c r="B15" s="189">
        <v>84</v>
      </c>
      <c r="C15" s="154" t="s">
        <v>18</v>
      </c>
    </row>
    <row r="16" spans="1:4">
      <c r="A16" s="181" t="s">
        <v>19</v>
      </c>
      <c r="B16" s="184">
        <v>72</v>
      </c>
      <c r="C16" s="154" t="s">
        <v>20</v>
      </c>
    </row>
    <row r="17" spans="1:7">
      <c r="A17" s="181" t="s">
        <v>21</v>
      </c>
      <c r="B17" s="184">
        <v>75</v>
      </c>
      <c r="C17" s="154" t="s">
        <v>20</v>
      </c>
    </row>
    <row r="18" spans="1:7">
      <c r="A18" s="112"/>
      <c r="B18" s="114"/>
      <c r="F18" s="154" t="s">
        <v>22</v>
      </c>
    </row>
    <row r="19" spans="1:7">
      <c r="A19" s="112" t="s">
        <v>23</v>
      </c>
      <c r="B19" s="200">
        <f>1/50</f>
        <v>0.02</v>
      </c>
      <c r="C19" s="154" t="s">
        <v>24</v>
      </c>
      <c r="E19" s="154" t="s">
        <v>25</v>
      </c>
      <c r="F19" s="154" t="s">
        <v>26</v>
      </c>
      <c r="G19" s="154" t="s">
        <v>27</v>
      </c>
    </row>
    <row r="20" spans="1:7">
      <c r="A20" s="181" t="s">
        <v>28</v>
      </c>
      <c r="B20" s="200">
        <f>1/(21+5)</f>
        <v>3.8461538461538464E-2</v>
      </c>
      <c r="C20" s="154" t="s">
        <v>24</v>
      </c>
      <c r="F20" s="154" t="s">
        <v>29</v>
      </c>
      <c r="G20" s="154" t="s">
        <v>30</v>
      </c>
    </row>
    <row r="21" spans="1:7">
      <c r="A21" s="181" t="s">
        <v>31</v>
      </c>
      <c r="B21" s="200">
        <f>1/(21+5)</f>
        <v>3.8461538461538464E-2</v>
      </c>
      <c r="C21" s="154" t="s">
        <v>24</v>
      </c>
      <c r="F21" s="154" t="s">
        <v>29</v>
      </c>
      <c r="G21" s="154" t="s">
        <v>32</v>
      </c>
    </row>
    <row r="22" spans="1:7">
      <c r="A22" s="112" t="s">
        <v>33</v>
      </c>
      <c r="B22" s="200">
        <f>1/30</f>
        <v>3.3333333333333333E-2</v>
      </c>
      <c r="C22" s="154" t="s">
        <v>24</v>
      </c>
      <c r="F22" s="154" t="s">
        <v>34</v>
      </c>
    </row>
    <row r="23" spans="1:7">
      <c r="A23" s="181" t="s">
        <v>35</v>
      </c>
      <c r="B23" s="200">
        <v>0.28000000000000003</v>
      </c>
      <c r="C23" s="154" t="s">
        <v>36</v>
      </c>
    </row>
    <row r="24" spans="1:7">
      <c r="A24" s="112" t="s">
        <v>37</v>
      </c>
      <c r="B24" s="184">
        <v>0.68</v>
      </c>
      <c r="C24" s="132" t="s">
        <v>38</v>
      </c>
    </row>
    <row r="25" spans="1:7">
      <c r="A25" s="181" t="s">
        <v>39</v>
      </c>
      <c r="B25" s="185">
        <f>1/12</f>
        <v>8.3333333333333329E-2</v>
      </c>
      <c r="C25" s="154" t="s">
        <v>40</v>
      </c>
    </row>
    <row r="26" spans="1:7">
      <c r="A26" s="181" t="s">
        <v>41</v>
      </c>
      <c r="B26" s="195">
        <f>1/7.7</f>
        <v>0.12987012987012986</v>
      </c>
      <c r="C26" s="154" t="s">
        <v>40</v>
      </c>
    </row>
    <row r="27" spans="1:7">
      <c r="A27" s="181" t="s">
        <v>42</v>
      </c>
      <c r="B27" s="185">
        <f>1/3.4</f>
        <v>0.29411764705882354</v>
      </c>
      <c r="C27" s="132"/>
    </row>
    <row r="28" spans="1:7">
      <c r="A28" s="112" t="s">
        <v>43</v>
      </c>
      <c r="B28" s="184">
        <v>250</v>
      </c>
    </row>
    <row r="29" spans="1:7">
      <c r="A29" s="112" t="s">
        <v>44</v>
      </c>
      <c r="B29" s="184">
        <v>200</v>
      </c>
      <c r="C29" s="132" t="s">
        <v>45</v>
      </c>
    </row>
    <row r="30" spans="1:7">
      <c r="A30" s="112" t="s">
        <v>46</v>
      </c>
      <c r="B30" s="184">
        <v>1</v>
      </c>
    </row>
    <row r="31" spans="1:7">
      <c r="A31" s="112" t="s">
        <v>47</v>
      </c>
      <c r="B31" s="184">
        <v>250</v>
      </c>
    </row>
    <row r="32" spans="1:7">
      <c r="A32" s="112" t="s">
        <v>48</v>
      </c>
      <c r="B32" s="189">
        <v>2</v>
      </c>
    </row>
    <row r="33" spans="1:6">
      <c r="A33" s="112"/>
      <c r="B33" s="113"/>
    </row>
    <row r="34" spans="1:6">
      <c r="A34" s="181" t="s">
        <v>49</v>
      </c>
      <c r="B34" s="189">
        <v>2</v>
      </c>
      <c r="C34" s="154" t="s">
        <v>50</v>
      </c>
      <c r="E34" s="154"/>
    </row>
    <row r="35" spans="1:6">
      <c r="A35" s="181" t="s">
        <v>51</v>
      </c>
      <c r="B35" s="189">
        <v>0</v>
      </c>
      <c r="C35" s="154"/>
      <c r="E35" s="154"/>
    </row>
    <row r="36" spans="1:6">
      <c r="A36" s="181" t="s">
        <v>52</v>
      </c>
      <c r="B36" s="189">
        <v>0</v>
      </c>
    </row>
    <row r="37" spans="1:6">
      <c r="A37" s="112" t="s">
        <v>53</v>
      </c>
      <c r="B37" s="189">
        <v>0</v>
      </c>
    </row>
    <row r="38" spans="1:6">
      <c r="A38" s="112"/>
      <c r="B38" s="189"/>
    </row>
    <row r="39" spans="1:6" ht="12.95">
      <c r="A39" s="196" t="s">
        <v>54</v>
      </c>
      <c r="B39" s="112"/>
    </row>
    <row r="40" spans="1:6">
      <c r="A40" s="181" t="s">
        <v>55</v>
      </c>
      <c r="B40" s="189">
        <v>0</v>
      </c>
      <c r="C40" t="s">
        <v>56</v>
      </c>
      <c r="E40" s="154"/>
    </row>
    <row r="41" spans="1:6">
      <c r="A41" s="181" t="s">
        <v>57</v>
      </c>
      <c r="B41" s="189">
        <v>0</v>
      </c>
    </row>
    <row r="42" spans="1:6">
      <c r="A42" s="181" t="s">
        <v>58</v>
      </c>
      <c r="B42" s="189">
        <v>0</v>
      </c>
      <c r="D42" t="s">
        <v>59</v>
      </c>
      <c r="E42" s="154">
        <v>130</v>
      </c>
    </row>
    <row r="43" spans="1:6">
      <c r="A43" s="181" t="s">
        <v>60</v>
      </c>
      <c r="B43" s="189">
        <v>0</v>
      </c>
    </row>
    <row r="44" spans="1:6">
      <c r="A44" s="181" t="s">
        <v>61</v>
      </c>
      <c r="B44" s="189">
        <v>0</v>
      </c>
    </row>
    <row r="45" spans="1:6">
      <c r="A45" s="181" t="s">
        <v>62</v>
      </c>
      <c r="B45" s="189">
        <v>0</v>
      </c>
    </row>
    <row r="46" spans="1:6">
      <c r="A46" s="112"/>
      <c r="B46" s="112"/>
    </row>
    <row r="47" spans="1:6" ht="12.95">
      <c r="A47" s="196" t="s">
        <v>63</v>
      </c>
      <c r="B47" s="112"/>
      <c r="C47" s="154" t="s">
        <v>64</v>
      </c>
      <c r="D47" s="154" t="s">
        <v>65</v>
      </c>
      <c r="E47" s="197" t="s">
        <v>66</v>
      </c>
      <c r="F47" s="197" t="s">
        <v>67</v>
      </c>
    </row>
    <row r="48" spans="1:6">
      <c r="A48" s="181" t="s">
        <v>68</v>
      </c>
      <c r="B48" s="192">
        <v>0</v>
      </c>
      <c r="C48" s="154" t="s">
        <v>69</v>
      </c>
      <c r="D48" s="154" t="s">
        <v>70</v>
      </c>
      <c r="E48" s="194">
        <v>0</v>
      </c>
      <c r="F48" s="194">
        <v>0</v>
      </c>
    </row>
    <row r="49" spans="1:6">
      <c r="A49" s="181" t="s">
        <v>71</v>
      </c>
      <c r="B49" s="192">
        <v>0</v>
      </c>
      <c r="C49" s="154" t="s">
        <v>72</v>
      </c>
      <c r="D49" s="154" t="s">
        <v>70</v>
      </c>
      <c r="E49" s="194">
        <v>0</v>
      </c>
      <c r="F49" s="194">
        <v>0</v>
      </c>
    </row>
    <row r="50" spans="1:6">
      <c r="A50" s="181" t="s">
        <v>73</v>
      </c>
      <c r="B50" s="192">
        <v>0</v>
      </c>
      <c r="C50" s="154" t="s">
        <v>74</v>
      </c>
      <c r="D50" s="154" t="s">
        <v>70</v>
      </c>
      <c r="E50" s="194">
        <f>(0*12)</f>
        <v>0</v>
      </c>
      <c r="F50" s="194">
        <v>0</v>
      </c>
    </row>
    <row r="51" spans="1:6">
      <c r="A51" s="181" t="s">
        <v>75</v>
      </c>
      <c r="B51" s="192">
        <v>0</v>
      </c>
      <c r="C51" s="154" t="s">
        <v>72</v>
      </c>
      <c r="D51" s="154" t="s">
        <v>70</v>
      </c>
      <c r="E51" s="194">
        <v>0</v>
      </c>
      <c r="F51" s="194">
        <v>0</v>
      </c>
    </row>
    <row r="52" spans="1:6">
      <c r="A52" s="112"/>
      <c r="B52" s="112"/>
      <c r="E52" s="194"/>
      <c r="F52" s="154">
        <f>SUM(F48:F51)</f>
        <v>0</v>
      </c>
    </row>
    <row r="53" spans="1:6" ht="12.95">
      <c r="A53" s="196" t="s">
        <v>76</v>
      </c>
      <c r="B53" s="112"/>
    </row>
    <row r="54" spans="1:6">
      <c r="A54" s="181" t="s">
        <v>77</v>
      </c>
      <c r="B54" s="189">
        <v>0</v>
      </c>
      <c r="C54" t="s">
        <v>56</v>
      </c>
    </row>
    <row r="55" spans="1:6">
      <c r="A55" s="181" t="s">
        <v>78</v>
      </c>
      <c r="B55" s="189">
        <v>0</v>
      </c>
    </row>
    <row r="56" spans="1:6">
      <c r="A56" s="181" t="s">
        <v>79</v>
      </c>
      <c r="B56" s="189">
        <v>0</v>
      </c>
    </row>
    <row r="57" spans="1:6">
      <c r="A57" s="181" t="s">
        <v>80</v>
      </c>
      <c r="B57" s="189">
        <v>0</v>
      </c>
    </row>
    <row r="58" spans="1:6">
      <c r="A58" s="181" t="s">
        <v>81</v>
      </c>
      <c r="B58" s="189">
        <v>0</v>
      </c>
    </row>
    <row r="59" spans="1:6">
      <c r="A59" s="181" t="s">
        <v>82</v>
      </c>
      <c r="B59" s="189">
        <v>0</v>
      </c>
    </row>
    <row r="60" spans="1:6">
      <c r="A60" s="181" t="s">
        <v>83</v>
      </c>
      <c r="B60" s="189">
        <v>0</v>
      </c>
    </row>
    <row r="61" spans="1:6">
      <c r="A61" s="181" t="s">
        <v>84</v>
      </c>
      <c r="B61" s="189">
        <v>0</v>
      </c>
    </row>
    <row r="62" spans="1:6">
      <c r="A62" s="181"/>
      <c r="B62" s="189"/>
    </row>
    <row r="63" spans="1:6" ht="12.95">
      <c r="A63" s="196" t="s">
        <v>85</v>
      </c>
      <c r="B63" s="112"/>
    </row>
    <row r="64" spans="1:6">
      <c r="A64" s="112" t="s">
        <v>86</v>
      </c>
      <c r="B64" s="189">
        <v>0</v>
      </c>
      <c r="C64" t="s">
        <v>56</v>
      </c>
    </row>
    <row r="65" spans="1:11">
      <c r="A65" s="112" t="s">
        <v>87</v>
      </c>
      <c r="B65" s="189">
        <v>0</v>
      </c>
    </row>
    <row r="66" spans="1:11">
      <c r="A66" s="112" t="s">
        <v>88</v>
      </c>
      <c r="B66" s="189">
        <v>0</v>
      </c>
    </row>
    <row r="67" spans="1:11">
      <c r="A67" s="112" t="s">
        <v>89</v>
      </c>
      <c r="B67" s="189">
        <v>0</v>
      </c>
    </row>
    <row r="68" spans="1:11">
      <c r="A68" s="181"/>
      <c r="B68" s="189"/>
    </row>
    <row r="70" spans="1:11" ht="12.95">
      <c r="A70" s="196" t="s">
        <v>90</v>
      </c>
      <c r="B70" s="112"/>
    </row>
    <row r="71" spans="1:11">
      <c r="A71" s="148" t="s">
        <v>91</v>
      </c>
      <c r="B71" s="189">
        <v>0</v>
      </c>
    </row>
    <row r="72" spans="1:11">
      <c r="A72" s="148" t="s">
        <v>92</v>
      </c>
      <c r="B72" s="189">
        <v>0</v>
      </c>
    </row>
    <row r="73" spans="1:11">
      <c r="A73" s="148" t="s">
        <v>93</v>
      </c>
      <c r="B73" s="189"/>
    </row>
    <row r="74" spans="1:11" ht="12.95">
      <c r="A74" s="112" t="s">
        <v>94</v>
      </c>
      <c r="B74" s="189"/>
      <c r="F74" s="197"/>
      <c r="G74" s="197"/>
      <c r="H74" s="197"/>
      <c r="I74" s="197"/>
      <c r="J74" s="197"/>
      <c r="K74" s="197"/>
    </row>
    <row r="75" spans="1:11">
      <c r="A75" s="181"/>
      <c r="B75" s="189"/>
    </row>
  </sheetData>
  <phoneticPr fontId="0" type="noConversion"/>
  <pageMargins left="0.5" right="0.5" top="0.75" bottom="0.75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V146"/>
  <sheetViews>
    <sheetView topLeftCell="A64" zoomScale="73" zoomScaleNormal="73" workbookViewId="0">
      <selection activeCell="W23" sqref="W23"/>
    </sheetView>
  </sheetViews>
  <sheetFormatPr defaultRowHeight="12.6"/>
  <cols>
    <col min="1" max="1" width="20.85546875" bestFit="1" customWidth="1"/>
    <col min="2" max="2" width="25.140625" customWidth="1"/>
    <col min="14" max="14" width="24" customWidth="1"/>
    <col min="15" max="15" width="10" customWidth="1"/>
    <col min="16" max="16" width="17.7109375" customWidth="1"/>
  </cols>
  <sheetData>
    <row r="3" spans="2:14" ht="12.95">
      <c r="B3" s="131" t="s">
        <v>95</v>
      </c>
      <c r="C3" s="197"/>
      <c r="D3" s="197"/>
      <c r="E3" s="197"/>
      <c r="F3" s="197"/>
    </row>
    <row r="7" spans="2:14" ht="13.5" thickBot="1">
      <c r="B7" s="130" t="s">
        <v>96</v>
      </c>
    </row>
    <row r="8" spans="2:14" ht="12.95" thickBot="1">
      <c r="B8" s="4"/>
      <c r="C8" s="5" t="s">
        <v>97</v>
      </c>
      <c r="D8" s="5" t="s">
        <v>98</v>
      </c>
      <c r="E8" s="5" t="s">
        <v>99</v>
      </c>
      <c r="F8" s="5" t="s">
        <v>100</v>
      </c>
      <c r="G8" s="5" t="s">
        <v>101</v>
      </c>
      <c r="H8" s="126" t="s">
        <v>102</v>
      </c>
      <c r="I8" s="5" t="s">
        <v>103</v>
      </c>
      <c r="J8" s="5" t="s">
        <v>104</v>
      </c>
      <c r="K8" s="5" t="s">
        <v>105</v>
      </c>
      <c r="L8" s="5" t="s">
        <v>106</v>
      </c>
      <c r="M8" s="5" t="s">
        <v>107</v>
      </c>
      <c r="N8" s="7" t="s">
        <v>108</v>
      </c>
    </row>
    <row r="9" spans="2:14">
      <c r="B9" s="115" t="s">
        <v>109</v>
      </c>
      <c r="C9">
        <v>17</v>
      </c>
      <c r="D9">
        <v>22</v>
      </c>
      <c r="E9">
        <v>27</v>
      </c>
      <c r="F9">
        <v>33</v>
      </c>
      <c r="G9">
        <v>36</v>
      </c>
      <c r="H9" s="127">
        <v>47</v>
      </c>
      <c r="I9">
        <v>37</v>
      </c>
      <c r="J9">
        <v>34</v>
      </c>
      <c r="K9">
        <v>28</v>
      </c>
      <c r="L9">
        <v>23</v>
      </c>
      <c r="M9">
        <v>18</v>
      </c>
      <c r="N9" s="124">
        <v>15</v>
      </c>
    </row>
    <row r="10" spans="2:14">
      <c r="B10" s="116" t="s">
        <v>110</v>
      </c>
      <c r="C10">
        <v>17</v>
      </c>
      <c r="D10">
        <v>43</v>
      </c>
      <c r="E10">
        <v>87</v>
      </c>
      <c r="F10">
        <v>136</v>
      </c>
      <c r="G10">
        <v>162</v>
      </c>
      <c r="H10" s="127">
        <v>169</v>
      </c>
      <c r="I10">
        <v>159</v>
      </c>
      <c r="J10">
        <v>132</v>
      </c>
      <c r="K10">
        <v>80</v>
      </c>
      <c r="L10">
        <v>42</v>
      </c>
      <c r="M10">
        <v>18</v>
      </c>
      <c r="N10" s="124">
        <v>15</v>
      </c>
    </row>
    <row r="11" spans="2:14">
      <c r="B11" s="116" t="s">
        <v>71</v>
      </c>
      <c r="C11">
        <v>138</v>
      </c>
      <c r="D11">
        <v>178</v>
      </c>
      <c r="E11">
        <v>211</v>
      </c>
      <c r="F11">
        <v>221</v>
      </c>
      <c r="G11">
        <v>219</v>
      </c>
      <c r="H11" s="127">
        <v>215</v>
      </c>
      <c r="I11">
        <v>215</v>
      </c>
      <c r="J11">
        <v>214</v>
      </c>
      <c r="K11">
        <v>198</v>
      </c>
      <c r="L11">
        <v>171</v>
      </c>
      <c r="M11">
        <v>135</v>
      </c>
      <c r="N11" s="124">
        <v>115</v>
      </c>
    </row>
    <row r="12" spans="2:14">
      <c r="B12" s="116" t="s">
        <v>111</v>
      </c>
      <c r="C12">
        <v>232</v>
      </c>
      <c r="D12">
        <v>246</v>
      </c>
      <c r="E12">
        <v>238</v>
      </c>
      <c r="F12">
        <v>210</v>
      </c>
      <c r="G12">
        <v>183</v>
      </c>
      <c r="H12" s="127">
        <v>171</v>
      </c>
      <c r="I12">
        <v>179</v>
      </c>
      <c r="J12">
        <v>202</v>
      </c>
      <c r="K12">
        <v>227</v>
      </c>
      <c r="L12">
        <v>237</v>
      </c>
      <c r="M12">
        <v>227</v>
      </c>
      <c r="N12" s="124">
        <v>217</v>
      </c>
    </row>
    <row r="13" spans="2:14">
      <c r="B13" s="116" t="s">
        <v>73</v>
      </c>
      <c r="C13">
        <v>252</v>
      </c>
      <c r="D13">
        <v>247</v>
      </c>
      <c r="E13">
        <v>218</v>
      </c>
      <c r="F13">
        <v>171</v>
      </c>
      <c r="G13">
        <v>132</v>
      </c>
      <c r="H13" s="127">
        <v>115</v>
      </c>
      <c r="I13">
        <v>128</v>
      </c>
      <c r="J13">
        <v>165</v>
      </c>
      <c r="K13">
        <v>211</v>
      </c>
      <c r="L13">
        <v>239</v>
      </c>
      <c r="M13">
        <v>248</v>
      </c>
      <c r="N13" s="124">
        <v>246</v>
      </c>
    </row>
    <row r="14" spans="2:14">
      <c r="B14" s="116" t="s">
        <v>112</v>
      </c>
      <c r="C14">
        <v>232</v>
      </c>
      <c r="D14">
        <v>246</v>
      </c>
      <c r="E14">
        <v>238</v>
      </c>
      <c r="F14">
        <v>210</v>
      </c>
      <c r="G14">
        <v>183</v>
      </c>
      <c r="H14" s="127">
        <v>171</v>
      </c>
      <c r="I14">
        <v>179</v>
      </c>
      <c r="J14">
        <v>202</v>
      </c>
      <c r="K14">
        <v>227</v>
      </c>
      <c r="L14">
        <v>237</v>
      </c>
      <c r="M14">
        <v>227</v>
      </c>
      <c r="N14" s="124">
        <v>217</v>
      </c>
    </row>
    <row r="15" spans="2:14">
      <c r="B15" s="116" t="s">
        <v>113</v>
      </c>
      <c r="C15">
        <v>138</v>
      </c>
      <c r="D15">
        <v>178</v>
      </c>
      <c r="E15">
        <v>211</v>
      </c>
      <c r="F15">
        <v>221</v>
      </c>
      <c r="G15">
        <v>219</v>
      </c>
      <c r="H15" s="127">
        <v>215</v>
      </c>
      <c r="I15">
        <v>215</v>
      </c>
      <c r="J15">
        <v>214</v>
      </c>
      <c r="K15">
        <v>198</v>
      </c>
      <c r="L15">
        <v>171</v>
      </c>
      <c r="M15">
        <v>135</v>
      </c>
      <c r="N15" s="124">
        <v>115</v>
      </c>
    </row>
    <row r="16" spans="2:14">
      <c r="B16" s="116" t="s">
        <v>114</v>
      </c>
      <c r="C16">
        <v>17</v>
      </c>
      <c r="D16">
        <v>43</v>
      </c>
      <c r="E16">
        <v>87</v>
      </c>
      <c r="F16">
        <v>136</v>
      </c>
      <c r="G16">
        <v>162</v>
      </c>
      <c r="H16" s="127">
        <v>169</v>
      </c>
      <c r="I16">
        <v>159</v>
      </c>
      <c r="J16">
        <v>132</v>
      </c>
      <c r="K16">
        <v>80</v>
      </c>
      <c r="L16">
        <v>42</v>
      </c>
      <c r="M16">
        <v>18</v>
      </c>
      <c r="N16" s="124">
        <v>15</v>
      </c>
    </row>
    <row r="17" spans="2:14" ht="12.95" thickBot="1">
      <c r="B17" s="118" t="s">
        <v>115</v>
      </c>
      <c r="C17" s="17">
        <v>109</v>
      </c>
      <c r="D17" s="17">
        <v>160</v>
      </c>
      <c r="E17" s="17">
        <v>206</v>
      </c>
      <c r="F17" s="17">
        <v>240</v>
      </c>
      <c r="G17" s="17">
        <v>257</v>
      </c>
      <c r="H17" s="128">
        <v>261</v>
      </c>
      <c r="I17" s="17">
        <v>254</v>
      </c>
      <c r="J17" s="17">
        <v>236</v>
      </c>
      <c r="K17" s="17">
        <v>199</v>
      </c>
      <c r="L17" s="17">
        <v>157</v>
      </c>
      <c r="M17" s="17">
        <v>109</v>
      </c>
      <c r="N17" s="20">
        <v>89</v>
      </c>
    </row>
    <row r="18" spans="2:14" ht="12.95" thickBot="1"/>
    <row r="19" spans="2:14">
      <c r="B19" s="4" t="s">
        <v>116</v>
      </c>
      <c r="C19" s="5"/>
      <c r="D19" s="5"/>
      <c r="E19" s="5"/>
      <c r="F19" s="5"/>
      <c r="G19" s="5"/>
      <c r="H19" s="5"/>
      <c r="I19" s="5"/>
      <c r="J19" s="5"/>
      <c r="K19" s="7"/>
    </row>
    <row r="20" spans="2:14" ht="12.95">
      <c r="B20" s="231" t="s">
        <v>117</v>
      </c>
      <c r="C20" s="123"/>
      <c r="K20" s="124"/>
    </row>
    <row r="21" spans="2:14" ht="13.5" thickBot="1">
      <c r="B21" s="231" t="s">
        <v>118</v>
      </c>
      <c r="C21" s="123">
        <v>0.125</v>
      </c>
      <c r="D21" s="123">
        <v>0.14583333333333334</v>
      </c>
      <c r="E21" s="123">
        <v>0.16666666666666666</v>
      </c>
      <c r="F21" s="123">
        <v>0.1875</v>
      </c>
      <c r="G21" s="123">
        <v>0.20833333333333334</v>
      </c>
      <c r="H21" s="123">
        <v>0.22916666666666666</v>
      </c>
      <c r="I21" s="123">
        <v>0.25</v>
      </c>
      <c r="J21" s="123">
        <v>0.27083333333333331</v>
      </c>
      <c r="K21" s="125">
        <v>0.3125</v>
      </c>
    </row>
    <row r="22" spans="2:14">
      <c r="B22" s="115" t="s">
        <v>109</v>
      </c>
      <c r="C22">
        <v>0.82</v>
      </c>
      <c r="D22">
        <f t="shared" ref="D22:D30" si="0">(C22+E22)/2</f>
        <v>0.78499999999999992</v>
      </c>
      <c r="E22">
        <v>0.75</v>
      </c>
      <c r="F22">
        <f t="shared" ref="F22:F30" si="1">(E22+G22)/2</f>
        <v>0.75</v>
      </c>
      <c r="G22">
        <v>0.75</v>
      </c>
      <c r="H22">
        <f t="shared" ref="H22:H30" si="2">(G22+I22)/2</f>
        <v>0.79499999999999993</v>
      </c>
      <c r="I22">
        <v>0.84</v>
      </c>
      <c r="J22">
        <f t="shared" ref="J22:J30" si="3">(I22+K22)/2</f>
        <v>0.72499999999999998</v>
      </c>
      <c r="K22" s="124">
        <v>0.61</v>
      </c>
    </row>
    <row r="23" spans="2:14">
      <c r="B23" s="116" t="s">
        <v>110</v>
      </c>
      <c r="C23">
        <v>0.28000000000000003</v>
      </c>
      <c r="D23">
        <f t="shared" si="0"/>
        <v>0.27</v>
      </c>
      <c r="E23">
        <v>0.26</v>
      </c>
      <c r="F23">
        <f t="shared" si="1"/>
        <v>0.245</v>
      </c>
      <c r="G23">
        <v>0.23</v>
      </c>
      <c r="H23">
        <f t="shared" si="2"/>
        <v>0.21000000000000002</v>
      </c>
      <c r="I23">
        <v>0.19</v>
      </c>
      <c r="J23">
        <f t="shared" si="3"/>
        <v>0.16999999999999998</v>
      </c>
      <c r="K23" s="124">
        <v>0.15</v>
      </c>
    </row>
    <row r="24" spans="2:14">
      <c r="B24" s="116" t="s">
        <v>71</v>
      </c>
      <c r="C24">
        <v>0.28999999999999998</v>
      </c>
      <c r="D24">
        <f t="shared" si="0"/>
        <v>0.27</v>
      </c>
      <c r="E24">
        <v>0.25</v>
      </c>
      <c r="F24">
        <f t="shared" si="1"/>
        <v>0.23499999999999999</v>
      </c>
      <c r="G24">
        <v>0.22</v>
      </c>
      <c r="H24">
        <f t="shared" si="2"/>
        <v>0.20500000000000002</v>
      </c>
      <c r="I24">
        <v>0.19</v>
      </c>
      <c r="J24">
        <f t="shared" si="3"/>
        <v>0.16999999999999998</v>
      </c>
      <c r="K24" s="124">
        <v>0.15</v>
      </c>
    </row>
    <row r="25" spans="2:14">
      <c r="B25" s="116" t="s">
        <v>111</v>
      </c>
      <c r="C25">
        <v>0.37</v>
      </c>
      <c r="D25">
        <f t="shared" si="0"/>
        <v>0.35</v>
      </c>
      <c r="E25">
        <v>0.33</v>
      </c>
      <c r="F25">
        <f t="shared" si="1"/>
        <v>0.30500000000000005</v>
      </c>
      <c r="G25">
        <v>0.28000000000000003</v>
      </c>
      <c r="H25">
        <f t="shared" si="2"/>
        <v>0.26</v>
      </c>
      <c r="I25">
        <v>0.24</v>
      </c>
      <c r="J25">
        <f t="shared" si="3"/>
        <v>0.215</v>
      </c>
      <c r="K25" s="124">
        <v>0.19</v>
      </c>
    </row>
    <row r="26" spans="2:14">
      <c r="B26" s="116" t="s">
        <v>73</v>
      </c>
      <c r="C26">
        <v>0.59</v>
      </c>
      <c r="D26">
        <f t="shared" si="0"/>
        <v>0.54499999999999993</v>
      </c>
      <c r="E26">
        <v>0.5</v>
      </c>
      <c r="F26">
        <f t="shared" si="1"/>
        <v>0.46499999999999997</v>
      </c>
      <c r="G26">
        <v>0.43</v>
      </c>
      <c r="H26">
        <f t="shared" si="2"/>
        <v>0.39500000000000002</v>
      </c>
      <c r="I26">
        <v>0.36</v>
      </c>
      <c r="J26">
        <f t="shared" si="3"/>
        <v>0.32</v>
      </c>
      <c r="K26" s="124">
        <v>0.28000000000000003</v>
      </c>
    </row>
    <row r="27" spans="2:14">
      <c r="B27" s="116" t="s">
        <v>112</v>
      </c>
      <c r="C27">
        <v>0.6</v>
      </c>
      <c r="D27">
        <f t="shared" si="0"/>
        <v>0.63</v>
      </c>
      <c r="E27">
        <v>0.66</v>
      </c>
      <c r="F27">
        <f t="shared" si="1"/>
        <v>0.66</v>
      </c>
      <c r="G27">
        <v>0.66</v>
      </c>
      <c r="H27">
        <f t="shared" si="2"/>
        <v>0.62</v>
      </c>
      <c r="I27">
        <v>0.57999999999999996</v>
      </c>
      <c r="J27">
        <f t="shared" si="3"/>
        <v>0.505</v>
      </c>
      <c r="K27" s="124">
        <v>0.43</v>
      </c>
    </row>
    <row r="28" spans="2:14">
      <c r="B28" s="116" t="s">
        <v>113</v>
      </c>
      <c r="C28">
        <v>0.45</v>
      </c>
      <c r="D28">
        <f t="shared" si="0"/>
        <v>0.51</v>
      </c>
      <c r="E28">
        <v>0.56999999999999995</v>
      </c>
      <c r="F28">
        <f t="shared" si="1"/>
        <v>0.60499999999999998</v>
      </c>
      <c r="G28">
        <v>0.64</v>
      </c>
      <c r="H28">
        <f t="shared" si="2"/>
        <v>0.625</v>
      </c>
      <c r="I28">
        <v>0.61</v>
      </c>
      <c r="J28">
        <f t="shared" si="3"/>
        <v>0.52500000000000002</v>
      </c>
      <c r="K28" s="124">
        <v>0.44</v>
      </c>
    </row>
    <row r="29" spans="2:14">
      <c r="B29" s="116" t="s">
        <v>114</v>
      </c>
      <c r="C29">
        <v>0.33</v>
      </c>
      <c r="D29">
        <f t="shared" si="0"/>
        <v>0.4</v>
      </c>
      <c r="E29">
        <v>0.47</v>
      </c>
      <c r="F29">
        <f t="shared" si="1"/>
        <v>0.53</v>
      </c>
      <c r="G29">
        <v>0.59</v>
      </c>
      <c r="H29">
        <f t="shared" si="2"/>
        <v>0.59499999999999997</v>
      </c>
      <c r="I29">
        <v>0.6</v>
      </c>
      <c r="J29">
        <f t="shared" si="3"/>
        <v>0.51</v>
      </c>
      <c r="K29" s="124">
        <v>0.42</v>
      </c>
    </row>
    <row r="30" spans="2:14" ht="12.95" thickBot="1">
      <c r="B30" s="118" t="s">
        <v>115</v>
      </c>
      <c r="C30">
        <v>0.73</v>
      </c>
      <c r="D30">
        <f t="shared" si="0"/>
        <v>0.65999999999999992</v>
      </c>
      <c r="E30">
        <v>0.59</v>
      </c>
      <c r="F30">
        <f t="shared" si="1"/>
        <v>0.59</v>
      </c>
      <c r="G30">
        <v>0.59</v>
      </c>
      <c r="H30">
        <f t="shared" si="2"/>
        <v>0.53</v>
      </c>
      <c r="I30">
        <v>0.47</v>
      </c>
      <c r="J30">
        <f t="shared" si="3"/>
        <v>0.42</v>
      </c>
      <c r="K30" s="124">
        <v>0.37</v>
      </c>
    </row>
    <row r="31" spans="2:14" ht="12.95">
      <c r="B31" s="231" t="s">
        <v>117</v>
      </c>
      <c r="K31" s="124"/>
    </row>
    <row r="32" spans="2:14" ht="13.5" thickBot="1">
      <c r="B32" s="231" t="s">
        <v>119</v>
      </c>
      <c r="C32" s="123">
        <v>0.125</v>
      </c>
      <c r="D32" s="123">
        <v>0.14583333333333334</v>
      </c>
      <c r="E32" s="123">
        <v>0.16666666666666666</v>
      </c>
      <c r="F32" s="123">
        <v>0.1875</v>
      </c>
      <c r="G32" s="123">
        <v>0.20833333333333334</v>
      </c>
      <c r="H32" s="129">
        <v>0.22916666666666666</v>
      </c>
      <c r="I32" s="123">
        <v>0.25</v>
      </c>
      <c r="J32" s="123">
        <v>0.27083333333333331</v>
      </c>
      <c r="K32" s="125">
        <v>0.3125</v>
      </c>
    </row>
    <row r="33" spans="2:11">
      <c r="B33" s="115" t="s">
        <v>109</v>
      </c>
      <c r="C33">
        <v>0.76</v>
      </c>
      <c r="D33">
        <f t="shared" ref="D33:D41" si="4">(C33+E33)/2</f>
        <v>0.75</v>
      </c>
      <c r="E33">
        <v>0.74</v>
      </c>
      <c r="F33">
        <f t="shared" ref="F33:F41" si="5">(E33+G33)/2</f>
        <v>0.745</v>
      </c>
      <c r="G33">
        <v>0.75</v>
      </c>
      <c r="H33" s="127">
        <f t="shared" ref="H33:H41" si="6">(G33+I33)/2</f>
        <v>0.77</v>
      </c>
      <c r="I33">
        <v>0.79</v>
      </c>
      <c r="J33">
        <f t="shared" ref="J33:J41" si="7">(I33+K33)/2</f>
        <v>0.7</v>
      </c>
      <c r="K33" s="124">
        <v>0.61</v>
      </c>
    </row>
    <row r="34" spans="2:11">
      <c r="B34" s="116" t="s">
        <v>110</v>
      </c>
      <c r="C34">
        <v>0.28000000000000003</v>
      </c>
      <c r="D34">
        <f t="shared" si="4"/>
        <v>0.27</v>
      </c>
      <c r="E34">
        <v>0.26</v>
      </c>
      <c r="F34">
        <f t="shared" si="5"/>
        <v>0.245</v>
      </c>
      <c r="G34">
        <v>0.23</v>
      </c>
      <c r="H34" s="127">
        <f t="shared" si="6"/>
        <v>0.22</v>
      </c>
      <c r="I34">
        <v>0.21</v>
      </c>
      <c r="J34">
        <f t="shared" si="7"/>
        <v>0.19</v>
      </c>
      <c r="K34" s="124">
        <v>0.17</v>
      </c>
    </row>
    <row r="35" spans="2:11">
      <c r="B35" s="116" t="s">
        <v>71</v>
      </c>
      <c r="C35">
        <v>0.28999999999999998</v>
      </c>
      <c r="D35">
        <f t="shared" si="4"/>
        <v>0.27500000000000002</v>
      </c>
      <c r="E35">
        <v>0.26</v>
      </c>
      <c r="F35">
        <f t="shared" si="5"/>
        <v>0.245</v>
      </c>
      <c r="G35">
        <v>0.23</v>
      </c>
      <c r="H35" s="127">
        <f t="shared" si="6"/>
        <v>0.22</v>
      </c>
      <c r="I35">
        <v>0.21</v>
      </c>
      <c r="J35">
        <f t="shared" si="7"/>
        <v>0.19</v>
      </c>
      <c r="K35" s="124">
        <v>0.17</v>
      </c>
    </row>
    <row r="36" spans="2:11">
      <c r="B36" s="116" t="s">
        <v>111</v>
      </c>
      <c r="C36">
        <v>0.36</v>
      </c>
      <c r="D36">
        <f t="shared" si="4"/>
        <v>0.34499999999999997</v>
      </c>
      <c r="E36">
        <v>0.33</v>
      </c>
      <c r="F36">
        <f t="shared" si="5"/>
        <v>0.31</v>
      </c>
      <c r="G36">
        <v>0.28999999999999998</v>
      </c>
      <c r="H36" s="127">
        <f t="shared" si="6"/>
        <v>0.27</v>
      </c>
      <c r="I36">
        <v>0.25</v>
      </c>
      <c r="J36">
        <f t="shared" si="7"/>
        <v>0.22999999999999998</v>
      </c>
      <c r="K36" s="124">
        <v>0.21</v>
      </c>
    </row>
    <row r="37" spans="2:11">
      <c r="B37" s="116" t="s">
        <v>73</v>
      </c>
      <c r="C37">
        <v>0.53</v>
      </c>
      <c r="D37">
        <f t="shared" si="4"/>
        <v>0.5</v>
      </c>
      <c r="E37">
        <v>0.47</v>
      </c>
      <c r="F37">
        <f t="shared" si="5"/>
        <v>0.43999999999999995</v>
      </c>
      <c r="G37">
        <v>0.41</v>
      </c>
      <c r="H37" s="127">
        <f t="shared" si="6"/>
        <v>0.38500000000000001</v>
      </c>
      <c r="I37">
        <v>0.36</v>
      </c>
      <c r="J37">
        <f t="shared" si="7"/>
        <v>0.32499999999999996</v>
      </c>
      <c r="K37" s="124">
        <v>0.28999999999999998</v>
      </c>
    </row>
    <row r="38" spans="2:11">
      <c r="B38" s="116" t="s">
        <v>112</v>
      </c>
      <c r="C38">
        <v>0.53</v>
      </c>
      <c r="D38">
        <f t="shared" si="4"/>
        <v>0.55499999999999994</v>
      </c>
      <c r="E38">
        <v>0.57999999999999996</v>
      </c>
      <c r="F38">
        <f t="shared" si="5"/>
        <v>0.58499999999999996</v>
      </c>
      <c r="G38">
        <v>0.59</v>
      </c>
      <c r="H38" s="127">
        <f t="shared" si="6"/>
        <v>0.56000000000000005</v>
      </c>
      <c r="I38">
        <v>0.53</v>
      </c>
      <c r="J38">
        <f t="shared" si="7"/>
        <v>0.47</v>
      </c>
      <c r="K38" s="124">
        <v>0.41</v>
      </c>
    </row>
    <row r="39" spans="2:11">
      <c r="B39" s="116" t="s">
        <v>113</v>
      </c>
      <c r="C39">
        <v>0.4</v>
      </c>
      <c r="D39">
        <f t="shared" si="4"/>
        <v>0.45</v>
      </c>
      <c r="E39">
        <v>0.5</v>
      </c>
      <c r="F39">
        <f t="shared" si="5"/>
        <v>0.53</v>
      </c>
      <c r="G39">
        <v>0.56000000000000005</v>
      </c>
      <c r="H39" s="127">
        <f t="shared" si="6"/>
        <v>0.55500000000000005</v>
      </c>
      <c r="I39">
        <v>0.55000000000000004</v>
      </c>
      <c r="J39">
        <f t="shared" si="7"/>
        <v>0.48</v>
      </c>
      <c r="K39" s="124">
        <v>0.41</v>
      </c>
    </row>
    <row r="40" spans="2:11">
      <c r="B40" s="116" t="s">
        <v>114</v>
      </c>
      <c r="C40">
        <v>0.3</v>
      </c>
      <c r="D40">
        <f t="shared" si="4"/>
        <v>0.36</v>
      </c>
      <c r="E40">
        <v>0.42</v>
      </c>
      <c r="F40">
        <f t="shared" si="5"/>
        <v>0.46499999999999997</v>
      </c>
      <c r="G40">
        <v>0.51</v>
      </c>
      <c r="H40" s="127">
        <f t="shared" si="6"/>
        <v>0.52500000000000002</v>
      </c>
      <c r="I40">
        <v>0.54</v>
      </c>
      <c r="J40">
        <f t="shared" si="7"/>
        <v>0.46500000000000002</v>
      </c>
      <c r="K40" s="124">
        <v>0.39</v>
      </c>
    </row>
    <row r="41" spans="2:11" ht="12.95" thickBot="1">
      <c r="B41" s="118" t="s">
        <v>115</v>
      </c>
      <c r="C41">
        <v>0.66</v>
      </c>
      <c r="D41">
        <f t="shared" si="4"/>
        <v>0.6100000000000001</v>
      </c>
      <c r="E41">
        <v>0.56000000000000005</v>
      </c>
      <c r="F41">
        <f t="shared" si="5"/>
        <v>0.56000000000000005</v>
      </c>
      <c r="G41">
        <v>0.56000000000000005</v>
      </c>
      <c r="H41" s="127">
        <f t="shared" si="6"/>
        <v>0.51500000000000001</v>
      </c>
      <c r="I41">
        <v>0.47</v>
      </c>
      <c r="J41">
        <f t="shared" si="7"/>
        <v>0.42499999999999999</v>
      </c>
      <c r="K41" s="124">
        <v>0.38</v>
      </c>
    </row>
    <row r="42" spans="2:11" ht="12.95">
      <c r="B42" s="231" t="s">
        <v>117</v>
      </c>
      <c r="K42" s="124"/>
    </row>
    <row r="43" spans="2:11" ht="13.5" thickBot="1">
      <c r="B43" s="231" t="s">
        <v>120</v>
      </c>
      <c r="C43" s="123">
        <v>0.125</v>
      </c>
      <c r="D43" s="123">
        <v>0.14583333333333334</v>
      </c>
      <c r="E43" s="123">
        <v>0.16666666666666666</v>
      </c>
      <c r="F43" s="123">
        <v>0.1875</v>
      </c>
      <c r="G43" s="123">
        <v>0.20833333333333334</v>
      </c>
      <c r="H43" s="123">
        <v>0.22916666666666666</v>
      </c>
      <c r="I43" s="123">
        <v>0.25</v>
      </c>
      <c r="J43" s="123">
        <v>0.27083333333333331</v>
      </c>
      <c r="K43" s="125">
        <v>0.3125</v>
      </c>
    </row>
    <row r="44" spans="2:11">
      <c r="B44" s="115" t="s">
        <v>109</v>
      </c>
      <c r="C44">
        <v>0.72</v>
      </c>
      <c r="D44">
        <f t="shared" ref="D44:D52" si="8">(C44+E44)/2</f>
        <v>0.71</v>
      </c>
      <c r="E44">
        <v>0.7</v>
      </c>
      <c r="F44">
        <f t="shared" ref="F44:F52" si="9">(E44+G44)/2</f>
        <v>0.7</v>
      </c>
      <c r="G44">
        <v>0.7</v>
      </c>
      <c r="H44">
        <f t="shared" ref="H44:H52" si="10">(G44+I44)/2</f>
        <v>0.72499999999999998</v>
      </c>
      <c r="I44">
        <v>0.75</v>
      </c>
      <c r="J44">
        <f t="shared" ref="J44:J52" si="11">(I44+K44)/2</f>
        <v>0.65999999999999992</v>
      </c>
      <c r="K44" s="124">
        <v>0.56999999999999995</v>
      </c>
    </row>
    <row r="45" spans="2:11">
      <c r="B45" s="116" t="s">
        <v>110</v>
      </c>
      <c r="C45">
        <v>0.26</v>
      </c>
      <c r="D45">
        <f t="shared" si="8"/>
        <v>0.25</v>
      </c>
      <c r="E45">
        <v>0.24</v>
      </c>
      <c r="F45">
        <f t="shared" si="9"/>
        <v>0.22999999999999998</v>
      </c>
      <c r="G45">
        <v>0.22</v>
      </c>
      <c r="H45">
        <f t="shared" si="10"/>
        <v>0.21000000000000002</v>
      </c>
      <c r="I45">
        <v>0.2</v>
      </c>
      <c r="J45">
        <f t="shared" si="11"/>
        <v>0.185</v>
      </c>
      <c r="K45" s="124">
        <v>0.17</v>
      </c>
    </row>
    <row r="46" spans="2:11">
      <c r="B46" s="116" t="s">
        <v>71</v>
      </c>
      <c r="C46">
        <v>0.26</v>
      </c>
      <c r="D46">
        <f t="shared" si="8"/>
        <v>0.245</v>
      </c>
      <c r="E46">
        <v>0.23</v>
      </c>
      <c r="F46">
        <f t="shared" si="9"/>
        <v>0.22500000000000001</v>
      </c>
      <c r="G46">
        <v>0.22</v>
      </c>
      <c r="H46">
        <f t="shared" si="10"/>
        <v>0.20500000000000002</v>
      </c>
      <c r="I46">
        <v>0.19</v>
      </c>
      <c r="J46">
        <f t="shared" si="11"/>
        <v>0.18</v>
      </c>
      <c r="K46" s="124">
        <v>0.17</v>
      </c>
    </row>
    <row r="47" spans="2:11">
      <c r="B47" s="116" t="s">
        <v>111</v>
      </c>
      <c r="C47">
        <v>0.33</v>
      </c>
      <c r="D47">
        <f t="shared" si="8"/>
        <v>0.315</v>
      </c>
      <c r="E47">
        <v>0.3</v>
      </c>
      <c r="F47">
        <f t="shared" si="9"/>
        <v>0.28500000000000003</v>
      </c>
      <c r="G47">
        <v>0.27</v>
      </c>
      <c r="H47">
        <f t="shared" si="10"/>
        <v>0.255</v>
      </c>
      <c r="I47">
        <v>0.24</v>
      </c>
      <c r="J47">
        <f t="shared" si="11"/>
        <v>0.22</v>
      </c>
      <c r="K47" s="124">
        <v>0.2</v>
      </c>
    </row>
    <row r="48" spans="2:11">
      <c r="B48" s="116" t="s">
        <v>73</v>
      </c>
      <c r="C48">
        <v>0.5</v>
      </c>
      <c r="D48">
        <f t="shared" si="8"/>
        <v>0.46499999999999997</v>
      </c>
      <c r="E48">
        <v>0.43</v>
      </c>
      <c r="F48">
        <f t="shared" si="9"/>
        <v>0.4</v>
      </c>
      <c r="G48">
        <v>0.37</v>
      </c>
      <c r="H48">
        <f t="shared" si="10"/>
        <v>0.34499999999999997</v>
      </c>
      <c r="I48">
        <v>0.32</v>
      </c>
      <c r="J48">
        <f t="shared" si="11"/>
        <v>0.29000000000000004</v>
      </c>
      <c r="K48" s="124">
        <v>0.26</v>
      </c>
    </row>
    <row r="49" spans="2:22">
      <c r="B49" s="116" t="s">
        <v>112</v>
      </c>
      <c r="C49">
        <v>0.52</v>
      </c>
      <c r="D49">
        <f t="shared" si="8"/>
        <v>0.54</v>
      </c>
      <c r="E49">
        <v>0.56000000000000005</v>
      </c>
      <c r="F49">
        <f t="shared" si="9"/>
        <v>0.56000000000000005</v>
      </c>
      <c r="G49">
        <v>0.56000000000000005</v>
      </c>
      <c r="H49">
        <f t="shared" si="10"/>
        <v>0.52500000000000002</v>
      </c>
      <c r="I49">
        <v>0.49</v>
      </c>
      <c r="J49">
        <f t="shared" si="11"/>
        <v>0.43</v>
      </c>
      <c r="K49" s="124">
        <v>0.37</v>
      </c>
    </row>
    <row r="50" spans="2:22">
      <c r="B50" s="116" t="s">
        <v>113</v>
      </c>
      <c r="C50">
        <v>0.4</v>
      </c>
      <c r="D50">
        <f t="shared" si="8"/>
        <v>0.44500000000000001</v>
      </c>
      <c r="E50">
        <v>0.49</v>
      </c>
      <c r="F50">
        <f t="shared" si="9"/>
        <v>0.51500000000000001</v>
      </c>
      <c r="G50">
        <v>0.54</v>
      </c>
      <c r="H50">
        <f t="shared" si="10"/>
        <v>0.53</v>
      </c>
      <c r="I50">
        <v>0.52</v>
      </c>
      <c r="J50">
        <f t="shared" si="11"/>
        <v>0.45</v>
      </c>
      <c r="K50" s="124">
        <v>0.38</v>
      </c>
    </row>
    <row r="51" spans="2:22">
      <c r="B51" s="116" t="s">
        <v>114</v>
      </c>
      <c r="C51">
        <v>0.3</v>
      </c>
      <c r="D51">
        <f t="shared" si="8"/>
        <v>0.35499999999999998</v>
      </c>
      <c r="E51">
        <v>0.41</v>
      </c>
      <c r="F51">
        <f t="shared" si="9"/>
        <v>0.45499999999999996</v>
      </c>
      <c r="G51">
        <v>0.5</v>
      </c>
      <c r="H51">
        <f t="shared" si="10"/>
        <v>0.505</v>
      </c>
      <c r="I51">
        <v>0.51</v>
      </c>
      <c r="J51">
        <f t="shared" si="11"/>
        <v>0.435</v>
      </c>
      <c r="K51" s="124">
        <v>0.36</v>
      </c>
    </row>
    <row r="52" spans="2:22" ht="12.95" thickBot="1">
      <c r="B52" s="118" t="s">
        <v>115</v>
      </c>
      <c r="C52" s="17">
        <v>0.62</v>
      </c>
      <c r="D52" s="17">
        <f t="shared" si="8"/>
        <v>0.56499999999999995</v>
      </c>
      <c r="E52" s="17">
        <v>0.51</v>
      </c>
      <c r="F52" s="17">
        <f t="shared" si="9"/>
        <v>0.51</v>
      </c>
      <c r="G52" s="17">
        <v>0.51</v>
      </c>
      <c r="H52" s="17">
        <f t="shared" si="10"/>
        <v>0.46499999999999997</v>
      </c>
      <c r="I52" s="17">
        <v>0.42</v>
      </c>
      <c r="J52" s="17">
        <f t="shared" si="11"/>
        <v>0.38500000000000001</v>
      </c>
      <c r="K52" s="20">
        <v>0.35</v>
      </c>
    </row>
    <row r="54" spans="2:22" ht="12.95">
      <c r="F54" s="197"/>
      <c r="G54" s="197"/>
      <c r="H54" s="197"/>
      <c r="I54" s="197"/>
      <c r="J54" s="197"/>
      <c r="K54" s="197"/>
    </row>
    <row r="59" spans="2:22" ht="12.75" customHeight="1" thickBot="1"/>
    <row r="60" spans="2:22" ht="70.5" customHeight="1">
      <c r="B60" s="4"/>
      <c r="C60" s="135" t="s">
        <v>121</v>
      </c>
      <c r="D60" s="5"/>
      <c r="E60" s="135" t="s">
        <v>122</v>
      </c>
      <c r="F60" s="5"/>
      <c r="G60" s="135" t="s">
        <v>123</v>
      </c>
      <c r="H60" s="5"/>
      <c r="I60" s="5"/>
      <c r="J60" s="7"/>
      <c r="M60" s="137" t="s">
        <v>124</v>
      </c>
      <c r="N60" s="135"/>
      <c r="O60" s="135" t="s">
        <v>125</v>
      </c>
      <c r="P60" s="135"/>
      <c r="Q60" s="135" t="s">
        <v>126</v>
      </c>
      <c r="R60" s="135" t="s">
        <v>127</v>
      </c>
      <c r="S60" s="135" t="s">
        <v>128</v>
      </c>
      <c r="T60" s="138" t="s">
        <v>129</v>
      </c>
      <c r="U60" s="134"/>
      <c r="V60" s="134"/>
    </row>
    <row r="61" spans="2:22">
      <c r="B61" s="9"/>
      <c r="C61" t="s">
        <v>130</v>
      </c>
      <c r="E61" t="s">
        <v>130</v>
      </c>
      <c r="G61" t="s">
        <v>130</v>
      </c>
      <c r="J61" s="124"/>
      <c r="M61" s="9" t="s">
        <v>131</v>
      </c>
      <c r="O61" t="s">
        <v>132</v>
      </c>
      <c r="Q61">
        <v>390</v>
      </c>
      <c r="R61">
        <v>330</v>
      </c>
      <c r="S61">
        <v>225</v>
      </c>
      <c r="T61" s="124">
        <v>105</v>
      </c>
    </row>
    <row r="62" spans="2:22">
      <c r="B62" s="136" t="s">
        <v>133</v>
      </c>
      <c r="J62" s="124"/>
      <c r="M62" s="9" t="s">
        <v>131</v>
      </c>
      <c r="O62" t="s">
        <v>134</v>
      </c>
      <c r="Q62">
        <v>390</v>
      </c>
      <c r="R62">
        <v>350</v>
      </c>
      <c r="S62">
        <v>245</v>
      </c>
      <c r="T62" s="124">
        <v>105</v>
      </c>
    </row>
    <row r="63" spans="2:22">
      <c r="B63" s="9" t="s">
        <v>135</v>
      </c>
      <c r="C63">
        <v>1.31</v>
      </c>
      <c r="E63">
        <v>1.0900000000000001</v>
      </c>
      <c r="G63">
        <v>0.9</v>
      </c>
      <c r="J63" s="124"/>
      <c r="M63" s="9" t="s">
        <v>136</v>
      </c>
      <c r="O63" t="s">
        <v>137</v>
      </c>
      <c r="Q63">
        <v>450</v>
      </c>
      <c r="R63">
        <v>400</v>
      </c>
      <c r="S63">
        <v>245</v>
      </c>
      <c r="T63" s="124">
        <v>155</v>
      </c>
    </row>
    <row r="64" spans="2:22">
      <c r="B64" s="9" t="s">
        <v>138</v>
      </c>
      <c r="C64">
        <v>1.26</v>
      </c>
      <c r="E64">
        <v>1.02</v>
      </c>
      <c r="G64">
        <v>0.84</v>
      </c>
      <c r="J64" s="124"/>
      <c r="M64" s="9" t="s">
        <v>139</v>
      </c>
      <c r="O64" t="s">
        <v>137</v>
      </c>
      <c r="Q64">
        <v>475</v>
      </c>
      <c r="R64">
        <v>450</v>
      </c>
      <c r="S64">
        <v>250</v>
      </c>
      <c r="T64" s="124">
        <v>200</v>
      </c>
    </row>
    <row r="65" spans="2:20">
      <c r="B65" s="9"/>
      <c r="J65" s="124"/>
      <c r="M65" s="9" t="s">
        <v>140</v>
      </c>
      <c r="O65" t="s">
        <v>141</v>
      </c>
      <c r="Q65">
        <v>550</v>
      </c>
      <c r="R65">
        <v>450</v>
      </c>
      <c r="S65">
        <v>250</v>
      </c>
      <c r="T65" s="124">
        <v>200</v>
      </c>
    </row>
    <row r="66" spans="2:20">
      <c r="B66" s="136" t="s">
        <v>142</v>
      </c>
      <c r="J66" s="124"/>
      <c r="M66" s="9" t="s">
        <v>143</v>
      </c>
      <c r="O66" t="s">
        <v>144</v>
      </c>
      <c r="Q66">
        <v>550</v>
      </c>
      <c r="R66">
        <v>500</v>
      </c>
      <c r="S66">
        <v>250</v>
      </c>
      <c r="T66" s="124">
        <v>250</v>
      </c>
    </row>
    <row r="67" spans="2:20">
      <c r="B67" s="9" t="s">
        <v>145</v>
      </c>
      <c r="C67">
        <v>0.92</v>
      </c>
      <c r="E67" s="145">
        <v>0.7</v>
      </c>
      <c r="G67">
        <v>0.54</v>
      </c>
      <c r="J67" s="124"/>
      <c r="M67" s="9" t="s">
        <v>146</v>
      </c>
      <c r="O67" t="s">
        <v>147</v>
      </c>
      <c r="Q67">
        <v>490</v>
      </c>
      <c r="R67">
        <v>550</v>
      </c>
      <c r="S67">
        <v>275</v>
      </c>
      <c r="T67" s="124">
        <v>275</v>
      </c>
    </row>
    <row r="68" spans="2:20">
      <c r="B68" s="9" t="s">
        <v>148</v>
      </c>
      <c r="C68">
        <v>0.88</v>
      </c>
      <c r="E68">
        <v>0.66</v>
      </c>
      <c r="G68">
        <v>0.5</v>
      </c>
      <c r="J68" s="124"/>
      <c r="M68" s="9" t="s">
        <v>149</v>
      </c>
      <c r="O68" t="s">
        <v>150</v>
      </c>
      <c r="Q68">
        <v>800</v>
      </c>
      <c r="R68">
        <v>750</v>
      </c>
      <c r="S68">
        <v>275</v>
      </c>
      <c r="T68" s="124">
        <v>475</v>
      </c>
    </row>
    <row r="69" spans="2:20">
      <c r="B69" s="9" t="s">
        <v>151</v>
      </c>
      <c r="C69">
        <v>0.87</v>
      </c>
      <c r="E69">
        <v>0.64</v>
      </c>
      <c r="G69">
        <v>0.49</v>
      </c>
      <c r="J69" s="124"/>
      <c r="M69" s="9" t="s">
        <v>152</v>
      </c>
      <c r="O69" t="s">
        <v>153</v>
      </c>
      <c r="Q69">
        <v>900</v>
      </c>
      <c r="R69">
        <v>850</v>
      </c>
      <c r="S69">
        <v>305</v>
      </c>
      <c r="T69" s="124">
        <v>545</v>
      </c>
    </row>
    <row r="70" spans="2:20">
      <c r="B70" s="9"/>
      <c r="J70" s="124"/>
      <c r="M70" s="9" t="s">
        <v>154</v>
      </c>
      <c r="O70" t="s">
        <v>150</v>
      </c>
      <c r="Q70">
        <v>1000</v>
      </c>
      <c r="R70">
        <v>1000</v>
      </c>
      <c r="S70">
        <v>375</v>
      </c>
      <c r="T70" s="124">
        <v>625</v>
      </c>
    </row>
    <row r="71" spans="2:20">
      <c r="B71" s="136" t="s">
        <v>155</v>
      </c>
      <c r="J71" s="124"/>
      <c r="M71" s="9" t="s">
        <v>156</v>
      </c>
      <c r="O71" t="s">
        <v>157</v>
      </c>
      <c r="Q71">
        <v>1500</v>
      </c>
      <c r="R71">
        <v>1450</v>
      </c>
      <c r="S71">
        <v>580</v>
      </c>
      <c r="T71" s="124">
        <v>870</v>
      </c>
    </row>
    <row r="72" spans="2:20">
      <c r="B72" s="9" t="s">
        <v>145</v>
      </c>
      <c r="C72">
        <v>0.87</v>
      </c>
      <c r="E72">
        <v>0.65</v>
      </c>
      <c r="G72">
        <v>0.49</v>
      </c>
      <c r="J72" s="124"/>
      <c r="M72" s="9" t="s">
        <v>158</v>
      </c>
      <c r="O72" t="s">
        <v>150</v>
      </c>
      <c r="Q72">
        <v>1500</v>
      </c>
      <c r="R72">
        <v>1450</v>
      </c>
      <c r="S72">
        <v>580</v>
      </c>
      <c r="T72" s="124">
        <v>870</v>
      </c>
    </row>
    <row r="73" spans="2:20">
      <c r="B73" s="9" t="s">
        <v>148</v>
      </c>
      <c r="C73">
        <v>0.83</v>
      </c>
      <c r="E73">
        <v>0.6</v>
      </c>
      <c r="G73">
        <v>0.45</v>
      </c>
      <c r="J73" s="124"/>
      <c r="M73" s="9" t="s">
        <v>159</v>
      </c>
      <c r="O73" t="s">
        <v>150</v>
      </c>
      <c r="Q73">
        <v>1600</v>
      </c>
      <c r="R73">
        <v>1600</v>
      </c>
      <c r="S73">
        <v>635</v>
      </c>
      <c r="T73" s="124">
        <v>965</v>
      </c>
    </row>
    <row r="74" spans="2:20" ht="12.95" thickBot="1">
      <c r="B74" s="9" t="s">
        <v>151</v>
      </c>
      <c r="C74">
        <v>0.81</v>
      </c>
      <c r="E74">
        <v>0.57999999999999996</v>
      </c>
      <c r="G74">
        <v>0.43</v>
      </c>
      <c r="J74" s="124"/>
      <c r="M74" s="16" t="s">
        <v>160</v>
      </c>
      <c r="N74" s="17"/>
      <c r="O74" s="17" t="s">
        <v>161</v>
      </c>
      <c r="P74" s="17"/>
      <c r="Q74" s="17">
        <v>2000</v>
      </c>
      <c r="R74" s="17">
        <v>1800</v>
      </c>
      <c r="S74" s="17">
        <v>710</v>
      </c>
      <c r="T74" s="20">
        <v>1090</v>
      </c>
    </row>
    <row r="75" spans="2:20">
      <c r="B75" s="9"/>
      <c r="J75" s="124"/>
      <c r="M75" s="9" t="s">
        <v>162</v>
      </c>
    </row>
    <row r="76" spans="2:20">
      <c r="B76" s="136" t="s">
        <v>163</v>
      </c>
      <c r="J76" s="124"/>
    </row>
    <row r="77" spans="2:20">
      <c r="B77" s="9" t="s">
        <v>145</v>
      </c>
      <c r="C77">
        <v>0.84</v>
      </c>
      <c r="E77">
        <v>0.61</v>
      </c>
      <c r="G77">
        <v>0.46</v>
      </c>
      <c r="J77" s="124"/>
    </row>
    <row r="78" spans="2:20">
      <c r="B78" s="9" t="s">
        <v>148</v>
      </c>
      <c r="C78">
        <v>0.78</v>
      </c>
      <c r="E78">
        <v>0.56000000000000005</v>
      </c>
      <c r="G78">
        <v>0.41</v>
      </c>
      <c r="J78" s="124"/>
      <c r="K78" s="132"/>
    </row>
    <row r="79" spans="2:20">
      <c r="B79" s="9" t="s">
        <v>151</v>
      </c>
      <c r="C79">
        <v>0.76</v>
      </c>
      <c r="E79">
        <v>0.54</v>
      </c>
      <c r="G79">
        <v>0.39</v>
      </c>
      <c r="J79" s="124"/>
    </row>
    <row r="80" spans="2:20">
      <c r="B80" s="9"/>
      <c r="J80" s="124"/>
    </row>
    <row r="81" spans="2:10">
      <c r="B81" s="136" t="s">
        <v>142</v>
      </c>
      <c r="J81" s="124"/>
    </row>
    <row r="82" spans="2:10">
      <c r="B82" s="9" t="s">
        <v>164</v>
      </c>
      <c r="C82">
        <v>0.88</v>
      </c>
      <c r="E82">
        <v>0.66</v>
      </c>
      <c r="G82">
        <v>0.5</v>
      </c>
      <c r="J82" s="124"/>
    </row>
    <row r="83" spans="2:10">
      <c r="B83" s="9" t="s">
        <v>165</v>
      </c>
      <c r="C83">
        <v>0.86</v>
      </c>
      <c r="E83">
        <v>0.63</v>
      </c>
      <c r="G83">
        <v>0.48</v>
      </c>
      <c r="J83" s="124"/>
    </row>
    <row r="84" spans="2:10">
      <c r="B84" s="9" t="s">
        <v>166</v>
      </c>
      <c r="C84">
        <v>0.82</v>
      </c>
      <c r="E84">
        <v>0.62</v>
      </c>
      <c r="G84">
        <v>0.47</v>
      </c>
      <c r="J84" s="124"/>
    </row>
    <row r="85" spans="2:10">
      <c r="B85" s="9"/>
      <c r="J85" s="124"/>
    </row>
    <row r="86" spans="2:10">
      <c r="B86" s="136" t="s">
        <v>155</v>
      </c>
      <c r="J86" s="124"/>
    </row>
    <row r="87" spans="2:10">
      <c r="B87" s="9" t="s">
        <v>164</v>
      </c>
      <c r="C87">
        <v>0.83</v>
      </c>
      <c r="E87">
        <v>0.6</v>
      </c>
      <c r="G87">
        <v>0.45</v>
      </c>
      <c r="J87" s="124"/>
    </row>
    <row r="88" spans="2:10">
      <c r="B88" s="9" t="s">
        <v>165</v>
      </c>
      <c r="C88">
        <v>0.79</v>
      </c>
      <c r="E88">
        <v>0.56999999999999995</v>
      </c>
      <c r="G88">
        <v>0.42</v>
      </c>
      <c r="J88" s="124"/>
    </row>
    <row r="89" spans="2:10">
      <c r="B89" s="9" t="s">
        <v>166</v>
      </c>
      <c r="C89">
        <v>0.78</v>
      </c>
      <c r="E89">
        <v>0.56000000000000005</v>
      </c>
      <c r="G89">
        <v>0.41</v>
      </c>
      <c r="J89" s="124"/>
    </row>
    <row r="90" spans="2:10">
      <c r="B90" s="9"/>
      <c r="J90" s="124"/>
    </row>
    <row r="91" spans="2:10">
      <c r="B91" s="136" t="s">
        <v>163</v>
      </c>
      <c r="J91" s="124"/>
    </row>
    <row r="92" spans="2:10">
      <c r="B92" s="9" t="s">
        <v>164</v>
      </c>
      <c r="C92">
        <v>0.78</v>
      </c>
      <c r="E92">
        <v>0.56000000000000005</v>
      </c>
      <c r="G92">
        <v>0.41</v>
      </c>
      <c r="J92" s="124"/>
    </row>
    <row r="93" spans="2:10">
      <c r="B93" s="9" t="s">
        <v>165</v>
      </c>
      <c r="C93">
        <v>0.74</v>
      </c>
      <c r="E93">
        <v>0.51</v>
      </c>
      <c r="G93">
        <v>0.37</v>
      </c>
      <c r="J93" s="124"/>
    </row>
    <row r="94" spans="2:10">
      <c r="B94" s="9" t="s">
        <v>166</v>
      </c>
      <c r="C94">
        <v>0.73</v>
      </c>
      <c r="E94">
        <v>0.5</v>
      </c>
      <c r="G94">
        <v>0.36</v>
      </c>
      <c r="J94" s="124"/>
    </row>
    <row r="95" spans="2:10">
      <c r="B95" s="9"/>
      <c r="J95" s="124"/>
    </row>
    <row r="96" spans="2:10">
      <c r="B96" s="136" t="s">
        <v>167</v>
      </c>
      <c r="J96" s="124"/>
    </row>
    <row r="97" spans="2:10">
      <c r="B97" s="9" t="s">
        <v>145</v>
      </c>
      <c r="C97">
        <v>0.89</v>
      </c>
      <c r="E97">
        <v>0.67</v>
      </c>
      <c r="G97">
        <v>0.51</v>
      </c>
      <c r="J97" s="124"/>
    </row>
    <row r="98" spans="2:10">
      <c r="B98" s="9" t="s">
        <v>148</v>
      </c>
      <c r="C98">
        <v>0.86</v>
      </c>
      <c r="E98">
        <v>0.64</v>
      </c>
      <c r="G98">
        <v>0.48</v>
      </c>
      <c r="J98" s="124"/>
    </row>
    <row r="99" spans="2:10">
      <c r="B99" s="9" t="s">
        <v>151</v>
      </c>
      <c r="C99">
        <v>0.85</v>
      </c>
      <c r="E99">
        <v>0.62</v>
      </c>
      <c r="G99">
        <v>0.47</v>
      </c>
      <c r="J99" s="124"/>
    </row>
    <row r="100" spans="2:10">
      <c r="B100" s="9"/>
      <c r="J100" s="124"/>
    </row>
    <row r="101" spans="2:10">
      <c r="B101" s="136" t="s">
        <v>168</v>
      </c>
      <c r="J101" s="124"/>
    </row>
    <row r="102" spans="2:10">
      <c r="B102" s="9" t="s">
        <v>145</v>
      </c>
      <c r="C102">
        <v>0.86</v>
      </c>
      <c r="E102">
        <v>0.64</v>
      </c>
      <c r="G102">
        <v>0.48</v>
      </c>
      <c r="J102" s="124"/>
    </row>
    <row r="103" spans="2:10">
      <c r="B103" s="9" t="s">
        <v>148</v>
      </c>
      <c r="C103">
        <v>0.84</v>
      </c>
      <c r="E103">
        <v>0.61</v>
      </c>
      <c r="G103">
        <v>0.46</v>
      </c>
      <c r="J103" s="124"/>
    </row>
    <row r="104" spans="2:10">
      <c r="B104" s="9" t="s">
        <v>151</v>
      </c>
      <c r="C104">
        <v>0.82</v>
      </c>
      <c r="E104">
        <v>0.6</v>
      </c>
      <c r="G104">
        <v>0.45</v>
      </c>
      <c r="J104" s="124"/>
    </row>
    <row r="105" spans="2:10">
      <c r="B105" s="9"/>
      <c r="J105" s="124"/>
    </row>
    <row r="106" spans="2:10">
      <c r="B106" s="136" t="s">
        <v>169</v>
      </c>
      <c r="J106" s="124"/>
    </row>
    <row r="107" spans="2:10">
      <c r="B107" s="9" t="s">
        <v>145</v>
      </c>
      <c r="C107">
        <v>0.79</v>
      </c>
      <c r="E107">
        <v>0.56999999999999995</v>
      </c>
      <c r="G107">
        <v>0.42</v>
      </c>
      <c r="J107" s="124"/>
    </row>
    <row r="108" spans="2:10">
      <c r="B108" s="9" t="s">
        <v>148</v>
      </c>
      <c r="C108">
        <v>0.76</v>
      </c>
      <c r="E108">
        <v>0.54</v>
      </c>
      <c r="G108">
        <v>0.39</v>
      </c>
      <c r="J108" s="124"/>
    </row>
    <row r="109" spans="2:10">
      <c r="B109" s="9" t="s">
        <v>151</v>
      </c>
      <c r="C109">
        <v>0.75</v>
      </c>
      <c r="E109">
        <v>0.53</v>
      </c>
      <c r="G109">
        <v>0.38</v>
      </c>
      <c r="J109" s="124"/>
    </row>
    <row r="110" spans="2:10">
      <c r="B110" s="9"/>
      <c r="J110" s="124"/>
    </row>
    <row r="111" spans="2:10">
      <c r="B111" s="136" t="s">
        <v>170</v>
      </c>
      <c r="J111" s="124"/>
    </row>
    <row r="112" spans="2:10">
      <c r="B112" s="9" t="s">
        <v>145</v>
      </c>
      <c r="C112">
        <v>0.77</v>
      </c>
      <c r="E112">
        <v>0.55000000000000004</v>
      </c>
      <c r="G112">
        <v>0.4</v>
      </c>
      <c r="J112" s="124"/>
    </row>
    <row r="113" spans="2:10">
      <c r="B113" s="9" t="s">
        <v>148</v>
      </c>
      <c r="C113">
        <v>0.74</v>
      </c>
      <c r="E113">
        <v>0.52</v>
      </c>
      <c r="G113">
        <v>0.37</v>
      </c>
      <c r="J113" s="124"/>
    </row>
    <row r="114" spans="2:10">
      <c r="B114" s="9" t="s">
        <v>151</v>
      </c>
      <c r="C114">
        <v>0.72</v>
      </c>
      <c r="E114">
        <v>0.5</v>
      </c>
      <c r="G114">
        <v>0.36</v>
      </c>
      <c r="J114" s="124"/>
    </row>
    <row r="115" spans="2:10">
      <c r="B115" s="9"/>
      <c r="J115" s="124"/>
    </row>
    <row r="116" spans="2:10">
      <c r="B116" s="136" t="s">
        <v>171</v>
      </c>
      <c r="J116" s="124"/>
    </row>
    <row r="117" spans="2:10">
      <c r="B117" s="9" t="s">
        <v>145</v>
      </c>
      <c r="C117">
        <v>0.76</v>
      </c>
      <c r="E117">
        <v>0.53</v>
      </c>
      <c r="G117">
        <v>0.39</v>
      </c>
      <c r="J117" s="124"/>
    </row>
    <row r="118" spans="2:10">
      <c r="B118" s="9" t="s">
        <v>148</v>
      </c>
      <c r="C118">
        <v>0.72</v>
      </c>
      <c r="E118">
        <v>0.5</v>
      </c>
      <c r="G118">
        <v>0.35</v>
      </c>
      <c r="J118" s="124"/>
    </row>
    <row r="119" spans="2:10">
      <c r="B119" s="9" t="s">
        <v>151</v>
      </c>
      <c r="C119">
        <v>0.7</v>
      </c>
      <c r="E119">
        <v>0.48</v>
      </c>
      <c r="G119">
        <v>0.34</v>
      </c>
      <c r="J119" s="124"/>
    </row>
    <row r="120" spans="2:10">
      <c r="B120" s="9"/>
      <c r="J120" s="124"/>
    </row>
    <row r="121" spans="2:10">
      <c r="B121" s="136" t="s">
        <v>172</v>
      </c>
      <c r="J121" s="124"/>
    </row>
    <row r="122" spans="2:10">
      <c r="B122" s="9" t="s">
        <v>145</v>
      </c>
      <c r="C122">
        <v>0.73</v>
      </c>
      <c r="E122">
        <v>0.53</v>
      </c>
      <c r="G122">
        <v>0.36</v>
      </c>
      <c r="J122" s="124"/>
    </row>
    <row r="123" spans="2:10">
      <c r="B123" s="9" t="s">
        <v>148</v>
      </c>
      <c r="C123">
        <v>0.69</v>
      </c>
      <c r="E123">
        <v>0.47</v>
      </c>
      <c r="G123">
        <v>0.32</v>
      </c>
      <c r="J123" s="124"/>
    </row>
    <row r="124" spans="2:10">
      <c r="B124" s="9" t="s">
        <v>151</v>
      </c>
      <c r="C124">
        <v>0.67</v>
      </c>
      <c r="E124">
        <v>0.45</v>
      </c>
      <c r="G124">
        <v>0.31</v>
      </c>
      <c r="J124" s="124"/>
    </row>
    <row r="125" spans="2:10">
      <c r="B125" s="9"/>
      <c r="J125" s="124"/>
    </row>
    <row r="126" spans="2:10">
      <c r="B126" s="136" t="s">
        <v>169</v>
      </c>
      <c r="J126" s="124"/>
    </row>
    <row r="127" spans="2:10">
      <c r="B127" s="9" t="s">
        <v>164</v>
      </c>
      <c r="C127">
        <v>0.77</v>
      </c>
      <c r="E127">
        <v>0.54</v>
      </c>
      <c r="G127">
        <v>0.39</v>
      </c>
      <c r="J127" s="124"/>
    </row>
    <row r="128" spans="2:10">
      <c r="B128" s="9" t="s">
        <v>165</v>
      </c>
      <c r="C128">
        <v>0.74</v>
      </c>
      <c r="E128">
        <v>0.52</v>
      </c>
      <c r="G128">
        <v>0.37</v>
      </c>
      <c r="J128" s="124"/>
    </row>
    <row r="129" spans="2:10">
      <c r="B129" s="9" t="s">
        <v>166</v>
      </c>
      <c r="C129">
        <v>0.73</v>
      </c>
      <c r="E129">
        <v>0.51</v>
      </c>
      <c r="G129">
        <v>0.36</v>
      </c>
      <c r="J129" s="124"/>
    </row>
    <row r="130" spans="2:10">
      <c r="B130" s="9"/>
      <c r="J130" s="124"/>
    </row>
    <row r="131" spans="2:10">
      <c r="B131" s="136" t="s">
        <v>170</v>
      </c>
      <c r="J131" s="124"/>
    </row>
    <row r="132" spans="2:10">
      <c r="B132" s="9" t="s">
        <v>164</v>
      </c>
      <c r="C132">
        <v>0.74</v>
      </c>
      <c r="E132">
        <v>0.52</v>
      </c>
      <c r="G132">
        <v>0.37</v>
      </c>
      <c r="J132" s="124"/>
    </row>
    <row r="133" spans="2:10">
      <c r="B133" s="9" t="s">
        <v>165</v>
      </c>
      <c r="C133">
        <v>0.72</v>
      </c>
      <c r="E133">
        <v>0.49</v>
      </c>
      <c r="G133">
        <v>0.35</v>
      </c>
      <c r="J133" s="124"/>
    </row>
    <row r="134" spans="2:10">
      <c r="B134" s="9" t="s">
        <v>166</v>
      </c>
      <c r="C134">
        <v>0.71</v>
      </c>
      <c r="E134">
        <v>0.48</v>
      </c>
      <c r="G134">
        <v>0.34</v>
      </c>
      <c r="J134" s="124"/>
    </row>
    <row r="135" spans="2:10">
      <c r="B135" s="9"/>
      <c r="J135" s="124"/>
    </row>
    <row r="136" spans="2:10">
      <c r="B136" s="136" t="s">
        <v>171</v>
      </c>
      <c r="J136" s="124"/>
    </row>
    <row r="137" spans="2:10">
      <c r="B137" s="9" t="s">
        <v>164</v>
      </c>
      <c r="C137">
        <v>0.72</v>
      </c>
      <c r="E137">
        <v>0.5</v>
      </c>
      <c r="G137">
        <v>0.35</v>
      </c>
      <c r="J137" s="124"/>
    </row>
    <row r="138" spans="2:10">
      <c r="B138" s="9" t="s">
        <v>165</v>
      </c>
      <c r="C138">
        <v>0.69</v>
      </c>
      <c r="E138">
        <v>0.47</v>
      </c>
      <c r="G138">
        <v>0.33</v>
      </c>
      <c r="J138" s="124"/>
    </row>
    <row r="139" spans="2:10">
      <c r="B139" s="9" t="s">
        <v>166</v>
      </c>
      <c r="C139">
        <v>0.68</v>
      </c>
      <c r="E139">
        <v>0.46</v>
      </c>
      <c r="G139">
        <v>0.31</v>
      </c>
      <c r="J139" s="124"/>
    </row>
    <row r="140" spans="2:10">
      <c r="B140" s="9"/>
      <c r="J140" s="124"/>
    </row>
    <row r="141" spans="2:10">
      <c r="B141" s="136" t="s">
        <v>172</v>
      </c>
      <c r="J141" s="124"/>
    </row>
    <row r="142" spans="2:10">
      <c r="B142" s="9" t="s">
        <v>164</v>
      </c>
      <c r="C142">
        <v>0.69</v>
      </c>
      <c r="E142">
        <v>0.47</v>
      </c>
      <c r="G142">
        <v>0.32</v>
      </c>
      <c r="J142" s="124"/>
    </row>
    <row r="143" spans="2:10">
      <c r="B143" s="9" t="s">
        <v>165</v>
      </c>
      <c r="C143">
        <v>0.66</v>
      </c>
      <c r="E143">
        <v>0.44</v>
      </c>
      <c r="G143">
        <v>0.3</v>
      </c>
      <c r="J143" s="124"/>
    </row>
    <row r="144" spans="2:10">
      <c r="B144" s="9" t="s">
        <v>166</v>
      </c>
      <c r="C144">
        <v>0.65</v>
      </c>
      <c r="E144">
        <v>0.43</v>
      </c>
      <c r="G144">
        <v>0.28999999999999998</v>
      </c>
      <c r="J144" s="124"/>
    </row>
    <row r="145" spans="2:10" ht="12.95" thickBot="1">
      <c r="B145" s="16"/>
      <c r="C145" s="17"/>
      <c r="D145" s="17"/>
      <c r="E145" s="17"/>
      <c r="F145" s="17"/>
      <c r="G145" s="17"/>
      <c r="H145" s="17"/>
      <c r="I145" s="17"/>
      <c r="J145" s="20"/>
    </row>
    <row r="146" spans="2:10">
      <c r="B146" s="9" t="s">
        <v>162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12"/>
  <sheetViews>
    <sheetView tabSelected="1" zoomScale="75" zoomScaleNormal="75" workbookViewId="0">
      <selection activeCell="T7" sqref="T7"/>
    </sheetView>
  </sheetViews>
  <sheetFormatPr defaultRowHeight="12.6"/>
  <cols>
    <col min="2" max="2" width="9.7109375" customWidth="1"/>
    <col min="6" max="6" width="11.28515625" customWidth="1"/>
    <col min="9" max="9" width="10" bestFit="1" customWidth="1"/>
    <col min="13" max="13" width="14.5703125" customWidth="1"/>
    <col min="18" max="18" width="14.28515625" bestFit="1" customWidth="1"/>
    <col min="19" max="19" width="10.85546875" bestFit="1" customWidth="1"/>
    <col min="20" max="20" width="11" bestFit="1" customWidth="1"/>
    <col min="23" max="23" width="11.85546875" customWidth="1"/>
  </cols>
  <sheetData>
    <row r="1" spans="1:19" ht="15" customHeight="1" thickBot="1">
      <c r="A1" s="1" t="s">
        <v>173</v>
      </c>
      <c r="B1" s="2"/>
      <c r="C1" s="3"/>
      <c r="D1" s="3"/>
      <c r="E1" s="3"/>
      <c r="F1" s="3"/>
      <c r="G1" s="3"/>
      <c r="H1" s="3"/>
      <c r="I1" s="2"/>
      <c r="J1" s="2"/>
    </row>
    <row r="2" spans="1:19" ht="15" customHeight="1">
      <c r="A2" s="1"/>
      <c r="B2" s="4"/>
      <c r="C2" s="5"/>
      <c r="D2" s="5"/>
      <c r="E2" s="6"/>
      <c r="F2" s="5"/>
      <c r="G2" s="5"/>
      <c r="H2" s="7"/>
      <c r="I2" s="8"/>
      <c r="J2" s="8"/>
    </row>
    <row r="3" spans="1:19" ht="15" customHeight="1">
      <c r="A3" s="1"/>
      <c r="B3" s="9" t="s">
        <v>2</v>
      </c>
      <c r="C3" s="232" t="str">
        <f>'General Info'!B5</f>
        <v>56x60 Office</v>
      </c>
      <c r="D3" s="233"/>
      <c r="E3" s="10" t="s">
        <v>174</v>
      </c>
      <c r="G3" s="207" t="str">
        <f>'General Info'!B10</f>
        <v>5:00pm</v>
      </c>
      <c r="H3" s="208"/>
      <c r="I3" s="8"/>
      <c r="J3" s="8"/>
    </row>
    <row r="4" spans="1:19" ht="15" customHeight="1">
      <c r="A4" s="1"/>
      <c r="B4" s="9" t="s">
        <v>5</v>
      </c>
      <c r="C4" s="232">
        <f>'General Info'!B6</f>
        <v>24289</v>
      </c>
      <c r="D4" s="233"/>
      <c r="E4" s="10" t="s">
        <v>11</v>
      </c>
      <c r="G4" s="209" t="s">
        <v>175</v>
      </c>
      <c r="H4" s="210"/>
      <c r="I4" s="8"/>
      <c r="J4" s="8"/>
    </row>
    <row r="5" spans="1:19" ht="15" customHeight="1">
      <c r="A5" s="1"/>
      <c r="B5" s="9" t="s">
        <v>6</v>
      </c>
      <c r="C5" s="234">
        <f>'General Info'!B7</f>
        <v>45601</v>
      </c>
      <c r="D5" s="235"/>
      <c r="E5" s="11" t="s">
        <v>176</v>
      </c>
      <c r="G5" s="211" t="s">
        <v>175</v>
      </c>
      <c r="H5" s="212"/>
      <c r="I5" s="8"/>
      <c r="J5" s="8"/>
    </row>
    <row r="6" spans="1:19" ht="15" customHeight="1">
      <c r="A6" s="1"/>
      <c r="B6" s="9" t="s">
        <v>7</v>
      </c>
      <c r="C6" s="232">
        <f>'General Info'!B8</f>
        <v>0</v>
      </c>
      <c r="D6" s="233"/>
      <c r="E6" s="10" t="s">
        <v>177</v>
      </c>
      <c r="G6" s="205">
        <f>'General Info'!B15</f>
        <v>84</v>
      </c>
      <c r="H6" s="206"/>
      <c r="I6" s="8"/>
      <c r="J6" s="8"/>
    </row>
    <row r="7" spans="1:19" ht="15" customHeight="1">
      <c r="A7" s="1"/>
      <c r="B7" s="9" t="s">
        <v>8</v>
      </c>
      <c r="C7" s="232">
        <f>'General Info'!B9</f>
        <v>0</v>
      </c>
      <c r="D7" s="233"/>
      <c r="E7" s="10" t="s">
        <v>178</v>
      </c>
      <c r="F7" s="12"/>
      <c r="G7" s="205">
        <f>'General Info'!B17</f>
        <v>75</v>
      </c>
      <c r="H7" s="206"/>
      <c r="I7" s="8"/>
      <c r="J7" s="8"/>
    </row>
    <row r="8" spans="1:19" ht="15" customHeight="1">
      <c r="A8" s="1"/>
      <c r="B8" s="9"/>
      <c r="C8" s="13"/>
      <c r="D8" s="14"/>
      <c r="E8" s="10" t="s">
        <v>179</v>
      </c>
      <c r="F8" s="12"/>
      <c r="G8" s="191">
        <f>'General Info'!B12</f>
        <v>3600</v>
      </c>
      <c r="H8" s="15"/>
      <c r="I8" s="8"/>
      <c r="J8" s="8"/>
    </row>
    <row r="9" spans="1:19" ht="15" customHeight="1" thickBot="1">
      <c r="A9" s="1"/>
      <c r="B9" s="16"/>
      <c r="C9" s="17"/>
      <c r="D9" s="17"/>
      <c r="E9" s="18"/>
      <c r="F9" s="17"/>
      <c r="G9" s="19"/>
      <c r="H9" s="20"/>
      <c r="I9" s="8"/>
      <c r="J9" s="8"/>
    </row>
    <row r="10" spans="1:19" ht="15" customHeight="1" thickBot="1">
      <c r="A10" s="21"/>
      <c r="F10" s="17"/>
      <c r="G10" s="17"/>
      <c r="H10" s="17"/>
      <c r="I10" s="22"/>
      <c r="J10" s="23"/>
    </row>
    <row r="11" spans="1:19" ht="15" customHeight="1" thickBot="1">
      <c r="A11" s="24" t="s">
        <v>180</v>
      </c>
      <c r="B11" s="25"/>
      <c r="C11" s="26" t="s">
        <v>181</v>
      </c>
      <c r="D11" s="27" t="s">
        <v>182</v>
      </c>
      <c r="E11" s="28" t="s">
        <v>183</v>
      </c>
      <c r="F11" s="29"/>
      <c r="G11" s="29"/>
      <c r="H11" s="29"/>
      <c r="I11" s="30" t="s">
        <v>184</v>
      </c>
      <c r="J11" s="31" t="s">
        <v>185</v>
      </c>
    </row>
    <row r="12" spans="1:19" ht="15" customHeight="1" thickBot="1">
      <c r="A12" s="21"/>
      <c r="B12" s="32"/>
      <c r="C12" s="188">
        <f>G8</f>
        <v>3600</v>
      </c>
      <c r="D12" s="117">
        <f>'General Info'!B19</f>
        <v>0.02</v>
      </c>
      <c r="E12" s="34">
        <f>G$6-G$7+25</f>
        <v>34</v>
      </c>
      <c r="I12" s="35">
        <f>C12*D12*E12</f>
        <v>2448</v>
      </c>
      <c r="J12" s="35"/>
    </row>
    <row r="13" spans="1:19" ht="15" customHeight="1">
      <c r="A13" s="21"/>
      <c r="H13" s="36" t="s">
        <v>186</v>
      </c>
      <c r="I13" s="37">
        <f>SUM(I12:I12)</f>
        <v>2448</v>
      </c>
      <c r="J13" s="37"/>
      <c r="S13" s="154" t="s">
        <v>187</v>
      </c>
    </row>
    <row r="14" spans="1:19" ht="15" customHeight="1" thickBot="1">
      <c r="A14" s="21"/>
      <c r="F14" s="17"/>
      <c r="G14" s="17"/>
      <c r="H14" s="38"/>
      <c r="I14" s="23"/>
      <c r="J14" s="23"/>
    </row>
    <row r="15" spans="1:19" ht="15" customHeight="1" thickBot="1">
      <c r="A15" s="39" t="s">
        <v>188</v>
      </c>
      <c r="B15" s="40"/>
      <c r="C15" s="26" t="s">
        <v>181</v>
      </c>
      <c r="D15" s="27" t="s">
        <v>182</v>
      </c>
      <c r="E15" s="28" t="s">
        <v>183</v>
      </c>
      <c r="F15" s="41"/>
      <c r="G15" s="42"/>
      <c r="H15" s="43"/>
      <c r="I15" s="30" t="s">
        <v>184</v>
      </c>
      <c r="J15" s="31" t="s">
        <v>185</v>
      </c>
    </row>
    <row r="16" spans="1:19" ht="15" customHeight="1">
      <c r="A16" s="21"/>
      <c r="B16" s="115" t="s">
        <v>109</v>
      </c>
      <c r="C16" s="186">
        <f>'General Info'!B48</f>
        <v>0</v>
      </c>
      <c r="D16" s="117">
        <f>'General Info'!$B$20</f>
        <v>3.8461538461538464E-2</v>
      </c>
      <c r="E16" s="34">
        <f>G$6-G$7</f>
        <v>9</v>
      </c>
      <c r="I16" s="35">
        <f>C16*D16*E16</f>
        <v>0</v>
      </c>
      <c r="J16" s="35"/>
      <c r="K16" s="154"/>
      <c r="M16" s="154"/>
    </row>
    <row r="17" spans="1:28" ht="15" customHeight="1">
      <c r="A17" s="21"/>
      <c r="B17" s="116" t="s">
        <v>71</v>
      </c>
      <c r="C17" s="186">
        <f>'General Info'!B49</f>
        <v>0</v>
      </c>
      <c r="D17" s="117">
        <f>'General Info'!$B$21</f>
        <v>3.8461538461538464E-2</v>
      </c>
      <c r="E17" s="34">
        <f>G$6-G$7+5</f>
        <v>14</v>
      </c>
      <c r="I17" s="35">
        <f>C17*D17*E17</f>
        <v>0</v>
      </c>
      <c r="J17" s="35"/>
      <c r="K17" s="154"/>
      <c r="M17" s="154"/>
    </row>
    <row r="18" spans="1:28" ht="15" customHeight="1">
      <c r="A18" s="21"/>
      <c r="B18" s="116" t="s">
        <v>73</v>
      </c>
      <c r="C18" s="186">
        <f>'General Info'!B50</f>
        <v>0</v>
      </c>
      <c r="D18" s="117">
        <f>'General Info'!$B$20</f>
        <v>3.8461538461538464E-2</v>
      </c>
      <c r="E18" s="34">
        <f>G$6-G$7+5</f>
        <v>14</v>
      </c>
      <c r="I18" s="35">
        <f>C18*D18*E18</f>
        <v>0</v>
      </c>
      <c r="J18" s="35"/>
      <c r="K18" s="154"/>
    </row>
    <row r="19" spans="1:28" ht="15" customHeight="1">
      <c r="A19" s="21"/>
      <c r="B19" s="116" t="s">
        <v>75</v>
      </c>
      <c r="C19" s="186">
        <f>'General Info'!B51</f>
        <v>0</v>
      </c>
      <c r="D19" s="117">
        <f>'General Info'!$B$21</f>
        <v>3.8461538461538464E-2</v>
      </c>
      <c r="E19" s="34">
        <f>G$6-G$7+5</f>
        <v>14</v>
      </c>
      <c r="I19" s="35">
        <f>C19*D19*E19</f>
        <v>0</v>
      </c>
      <c r="J19" s="35"/>
      <c r="K19" s="154"/>
    </row>
    <row r="20" spans="1:28" ht="15" customHeight="1">
      <c r="A20" s="21"/>
      <c r="C20" s="155"/>
      <c r="H20" s="36" t="s">
        <v>186</v>
      </c>
      <c r="I20" s="37">
        <f>SUM(I16:I19)</f>
        <v>0</v>
      </c>
      <c r="J20" s="37"/>
    </row>
    <row r="21" spans="1:28" ht="15" customHeight="1" thickBot="1">
      <c r="A21" s="21"/>
      <c r="H21" s="36"/>
      <c r="I21" s="140"/>
      <c r="J21" s="140"/>
    </row>
    <row r="22" spans="1:28" ht="15" customHeight="1" thickBot="1">
      <c r="A22" s="24" t="s">
        <v>189</v>
      </c>
      <c r="B22" s="25"/>
      <c r="C22" s="26" t="s">
        <v>181</v>
      </c>
      <c r="D22" s="27" t="s">
        <v>182</v>
      </c>
      <c r="E22" s="28" t="s">
        <v>183</v>
      </c>
      <c r="F22" s="29"/>
      <c r="G22" s="29"/>
      <c r="H22" s="29"/>
      <c r="I22" s="30" t="s">
        <v>184</v>
      </c>
      <c r="J22" s="31" t="s">
        <v>185</v>
      </c>
    </row>
    <row r="23" spans="1:28" ht="15" customHeight="1" thickBot="1">
      <c r="A23" s="21"/>
      <c r="B23" s="32"/>
      <c r="C23" s="188">
        <f>G8</f>
        <v>3600</v>
      </c>
      <c r="D23" s="117">
        <f>'General Info'!B22</f>
        <v>3.3333333333333333E-2</v>
      </c>
      <c r="E23" s="34">
        <f>G$6-G$7</f>
        <v>9</v>
      </c>
      <c r="I23" s="35">
        <f>C23*D23*E23</f>
        <v>1080</v>
      </c>
      <c r="J23" s="35"/>
      <c r="Q23" s="154" t="s">
        <v>190</v>
      </c>
    </row>
    <row r="24" spans="1:28" ht="15" customHeight="1" thickBot="1">
      <c r="A24" s="21"/>
      <c r="H24" s="36" t="s">
        <v>186</v>
      </c>
      <c r="I24" s="37">
        <f>SUM(I23:I23)</f>
        <v>1080</v>
      </c>
      <c r="J24" s="37"/>
    </row>
    <row r="25" spans="1:28" ht="15" customHeight="1" thickBot="1">
      <c r="A25" s="21"/>
      <c r="H25" s="12"/>
      <c r="I25" s="23"/>
      <c r="J25" s="23"/>
      <c r="M25" s="216" t="s">
        <v>191</v>
      </c>
      <c r="N25" s="217"/>
      <c r="O25" s="217"/>
      <c r="P25" s="217"/>
      <c r="Q25" s="217"/>
      <c r="R25" s="217"/>
      <c r="S25" s="218"/>
      <c r="W25" s="221" t="s">
        <v>192</v>
      </c>
      <c r="X25" s="217"/>
      <c r="Y25" s="217"/>
      <c r="Z25" s="217"/>
      <c r="AA25" s="217"/>
      <c r="AB25" s="218"/>
    </row>
    <row r="26" spans="1:28" ht="15" customHeight="1" thickTop="1" thickBot="1">
      <c r="A26" s="39" t="s">
        <v>193</v>
      </c>
      <c r="B26" s="44"/>
      <c r="C26" s="26" t="s">
        <v>181</v>
      </c>
      <c r="D26" s="27" t="s">
        <v>194</v>
      </c>
      <c r="E26" s="27" t="s">
        <v>195</v>
      </c>
      <c r="F26" s="45" t="s">
        <v>196</v>
      </c>
      <c r="G26" s="41"/>
      <c r="H26" s="43"/>
      <c r="I26" s="30" t="s">
        <v>184</v>
      </c>
      <c r="J26" s="31" t="s">
        <v>185</v>
      </c>
      <c r="M26" s="146"/>
      <c r="N26" s="147" t="s">
        <v>197</v>
      </c>
      <c r="O26" s="111" t="s">
        <v>198</v>
      </c>
      <c r="P26" s="147" t="s">
        <v>199</v>
      </c>
      <c r="Q26" s="111" t="s">
        <v>200</v>
      </c>
      <c r="R26" s="164" t="s">
        <v>201</v>
      </c>
      <c r="S26" s="157" t="s">
        <v>202</v>
      </c>
      <c r="W26" s="175" t="s">
        <v>203</v>
      </c>
      <c r="X26">
        <v>1200</v>
      </c>
      <c r="Y26" t="s">
        <v>204</v>
      </c>
      <c r="AB26" s="124"/>
    </row>
    <row r="27" spans="1:28" ht="15" customHeight="1">
      <c r="A27" s="21"/>
      <c r="B27" s="115" t="s">
        <v>109</v>
      </c>
      <c r="C27" s="186">
        <f>'General Info'!E48</f>
        <v>0</v>
      </c>
      <c r="D27" s="186">
        <v>47</v>
      </c>
      <c r="E27" s="187">
        <v>0.72</v>
      </c>
      <c r="F27" s="119">
        <f>'General Info'!$B$24</f>
        <v>0.68</v>
      </c>
      <c r="I27" s="35">
        <f>C27*D27*E27*F27</f>
        <v>0</v>
      </c>
      <c r="J27" s="35"/>
      <c r="K27" s="154"/>
      <c r="M27" s="173" t="s">
        <v>86</v>
      </c>
      <c r="N27" s="149">
        <v>5</v>
      </c>
      <c r="O27" s="75">
        <f>ROUNDUP(((R27/1000)*Q27),0)</f>
        <v>0</v>
      </c>
      <c r="P27" s="149">
        <v>0.06</v>
      </c>
      <c r="Q27" s="75">
        <f>'General Info'!B40</f>
        <v>0</v>
      </c>
      <c r="R27" s="149">
        <v>5</v>
      </c>
      <c r="S27" s="166">
        <f>(N27*O27)+(P27*Q27)</f>
        <v>0</v>
      </c>
      <c r="W27" s="175" t="s">
        <v>205</v>
      </c>
      <c r="X27">
        <v>70</v>
      </c>
      <c r="Y27" t="s">
        <v>206</v>
      </c>
      <c r="AB27" s="124"/>
    </row>
    <row r="28" spans="1:28" ht="15" customHeight="1">
      <c r="A28" s="21"/>
      <c r="B28" s="116" t="s">
        <v>71</v>
      </c>
      <c r="C28" s="186">
        <f>'General Info'!E49</f>
        <v>0</v>
      </c>
      <c r="D28" s="186">
        <v>215</v>
      </c>
      <c r="E28" s="187">
        <v>0.28999999999999998</v>
      </c>
      <c r="F28" s="119">
        <f>'General Info'!$B$24</f>
        <v>0.68</v>
      </c>
      <c r="I28" s="35">
        <f>C28*D28*E28*F28</f>
        <v>0</v>
      </c>
      <c r="J28" s="35"/>
      <c r="K28" s="154"/>
      <c r="M28" s="173" t="s">
        <v>207</v>
      </c>
      <c r="N28" s="174">
        <v>5</v>
      </c>
      <c r="O28" s="75">
        <f t="shared" ref="O28:O29" si="0">ROUNDUP(((R28/1000)*Q28),1)</f>
        <v>0</v>
      </c>
      <c r="P28" s="149">
        <v>0.06</v>
      </c>
      <c r="Q28" s="75">
        <f>'General Info'!B41</f>
        <v>0</v>
      </c>
      <c r="R28" s="174">
        <v>10</v>
      </c>
      <c r="S28" s="166">
        <f t="shared" ref="S28:S29" si="1">(N28*O28)+(P28*Q28)</f>
        <v>0</v>
      </c>
      <c r="W28" s="175" t="s">
        <v>208</v>
      </c>
      <c r="X28">
        <v>-14</v>
      </c>
      <c r="Y28" t="s">
        <v>206</v>
      </c>
      <c r="AB28" s="124"/>
    </row>
    <row r="29" spans="1:28" ht="15" customHeight="1">
      <c r="A29" s="21"/>
      <c r="B29" s="116" t="s">
        <v>73</v>
      </c>
      <c r="C29" s="186">
        <f>'General Info'!E50</f>
        <v>0</v>
      </c>
      <c r="D29" s="186">
        <v>115</v>
      </c>
      <c r="E29" s="187">
        <v>0.55000000000000004</v>
      </c>
      <c r="F29" s="119">
        <f>'General Info'!$B$24</f>
        <v>0.68</v>
      </c>
      <c r="G29" s="47"/>
      <c r="I29" s="35">
        <f>C29*D29*E29*F29</f>
        <v>0</v>
      </c>
      <c r="J29" s="35"/>
      <c r="K29" s="154"/>
      <c r="M29" s="173" t="s">
        <v>209</v>
      </c>
      <c r="N29" s="149">
        <v>5</v>
      </c>
      <c r="O29" s="75">
        <f t="shared" si="0"/>
        <v>0</v>
      </c>
      <c r="P29" s="149">
        <v>0.06</v>
      </c>
      <c r="Q29" s="75">
        <f>'General Info'!B42</f>
        <v>0</v>
      </c>
      <c r="R29" s="149">
        <v>50</v>
      </c>
      <c r="S29" s="166">
        <f t="shared" si="1"/>
        <v>0</v>
      </c>
      <c r="W29" s="175" t="s">
        <v>210</v>
      </c>
      <c r="X29">
        <v>0.7</v>
      </c>
      <c r="Y29" t="s">
        <v>211</v>
      </c>
      <c r="AB29" s="124"/>
    </row>
    <row r="30" spans="1:28" ht="15" customHeight="1">
      <c r="A30" s="21"/>
      <c r="B30" s="116" t="s">
        <v>113</v>
      </c>
      <c r="C30" s="186">
        <f>'General Info'!E51</f>
        <v>0</v>
      </c>
      <c r="D30" s="186">
        <v>215</v>
      </c>
      <c r="E30" s="187">
        <v>0.54</v>
      </c>
      <c r="F30" s="119">
        <f>'General Info'!$B$24</f>
        <v>0.68</v>
      </c>
      <c r="I30" s="35">
        <f>C30*D30*E30*F30</f>
        <v>0</v>
      </c>
      <c r="J30" s="35"/>
      <c r="K30" s="154"/>
      <c r="M30" s="173" t="s">
        <v>212</v>
      </c>
      <c r="N30" s="149">
        <v>7.5</v>
      </c>
      <c r="O30" s="75">
        <f>ROUNDUP(((R30/1000)*Q30),1)</f>
        <v>0</v>
      </c>
      <c r="P30" s="149">
        <v>0.18</v>
      </c>
      <c r="Q30" s="75">
        <f>'General Info'!B43</f>
        <v>0</v>
      </c>
      <c r="R30" s="174">
        <v>70</v>
      </c>
      <c r="S30" s="166">
        <f>(N30*O30)+(P30*Q30)</f>
        <v>0</v>
      </c>
      <c r="W30" s="175" t="s">
        <v>213</v>
      </c>
      <c r="X30">
        <v>0.3</v>
      </c>
      <c r="Y30" t="s">
        <v>211</v>
      </c>
      <c r="AB30" s="124"/>
    </row>
    <row r="31" spans="1:28" ht="15" customHeight="1" thickBot="1">
      <c r="A31" s="21"/>
      <c r="B31" s="118" t="s">
        <v>115</v>
      </c>
      <c r="C31" s="46">
        <v>0</v>
      </c>
      <c r="D31" s="186">
        <v>261</v>
      </c>
      <c r="E31" s="187">
        <v>0.64</v>
      </c>
      <c r="F31" s="119">
        <f>'General Info'!$B$24</f>
        <v>0.68</v>
      </c>
      <c r="I31" s="35">
        <f>C31*D31*E31*F31</f>
        <v>0</v>
      </c>
      <c r="J31" s="35"/>
      <c r="M31" s="199" t="s">
        <v>214</v>
      </c>
      <c r="N31" s="149">
        <v>5</v>
      </c>
      <c r="O31" s="75">
        <f>ROUNDUP(((R31/1000)*Q31),1)</f>
        <v>0</v>
      </c>
      <c r="P31" s="149">
        <v>0.06</v>
      </c>
      <c r="Q31" s="75">
        <f>'General Info'!B44</f>
        <v>0</v>
      </c>
      <c r="R31" s="174">
        <v>60</v>
      </c>
      <c r="S31" s="166">
        <f>(N31*O31)+(P31*Q31)</f>
        <v>0</v>
      </c>
      <c r="W31" s="9"/>
      <c r="AB31" s="124"/>
    </row>
    <row r="32" spans="1:28" ht="15" customHeight="1" thickBot="1">
      <c r="A32" s="21"/>
      <c r="H32" s="48" t="s">
        <v>186</v>
      </c>
      <c r="I32" s="37">
        <f>SUM(I27:I31)</f>
        <v>0</v>
      </c>
      <c r="J32" s="37"/>
      <c r="M32" s="173" t="s">
        <v>62</v>
      </c>
      <c r="N32" s="149">
        <v>5</v>
      </c>
      <c r="O32" s="75">
        <f>ROUNDUP(((R32/1000)*Q32),0)</f>
        <v>0</v>
      </c>
      <c r="P32" s="149">
        <v>0.06</v>
      </c>
      <c r="Q32" s="75">
        <f>'General Info'!B45</f>
        <v>0</v>
      </c>
      <c r="R32" s="149">
        <v>4</v>
      </c>
      <c r="S32" s="166">
        <f>(N32*O32)+(P32*Q32)</f>
        <v>0</v>
      </c>
      <c r="W32" s="176" t="s">
        <v>215</v>
      </c>
      <c r="X32" s="17">
        <f>(X27*X29)+(X30*X28)</f>
        <v>44.8</v>
      </c>
      <c r="Y32" s="17" t="s">
        <v>216</v>
      </c>
      <c r="Z32" s="17"/>
      <c r="AA32" s="17"/>
      <c r="AB32" s="20"/>
    </row>
    <row r="33" spans="1:25" ht="15" customHeight="1" thickBot="1">
      <c r="A33" s="21"/>
      <c r="I33" s="23"/>
      <c r="J33" s="23"/>
      <c r="M33" s="148" t="s">
        <v>217</v>
      </c>
      <c r="N33" s="112"/>
      <c r="O33" s="35">
        <f>SUM(O27:O32)</f>
        <v>0</v>
      </c>
      <c r="P33" s="112"/>
      <c r="Q33" s="35">
        <f>SUM(Q27:Q32)</f>
        <v>0</v>
      </c>
      <c r="R33" s="112"/>
      <c r="S33" s="166">
        <f>SUM(S27:S32)</f>
        <v>0</v>
      </c>
    </row>
    <row r="34" spans="1:25" ht="15" customHeight="1" thickBot="1">
      <c r="A34" s="39" t="s">
        <v>218</v>
      </c>
      <c r="B34" s="40"/>
      <c r="C34" s="26" t="s">
        <v>181</v>
      </c>
      <c r="D34" s="27" t="s">
        <v>182</v>
      </c>
      <c r="E34" s="28" t="s">
        <v>183</v>
      </c>
      <c r="F34" s="41"/>
      <c r="G34" s="42"/>
      <c r="H34" s="43"/>
      <c r="I34" s="30" t="s">
        <v>184</v>
      </c>
      <c r="J34" s="31" t="s">
        <v>185</v>
      </c>
      <c r="M34" s="150" t="s">
        <v>219</v>
      </c>
      <c r="N34" s="168">
        <f>S33</f>
        <v>0</v>
      </c>
      <c r="O34" s="35">
        <f>SUM(O27:O32)</f>
        <v>0</v>
      </c>
      <c r="P34" s="151"/>
      <c r="Q34" s="151"/>
      <c r="R34" s="151"/>
      <c r="S34" s="152"/>
      <c r="W34" s="177" t="s">
        <v>220</v>
      </c>
      <c r="X34" s="178"/>
      <c r="Y34" s="179"/>
    </row>
    <row r="35" spans="1:25" ht="15" customHeight="1" thickBot="1">
      <c r="A35" s="21"/>
      <c r="B35" s="32"/>
      <c r="C35" s="49">
        <f>SUM(C27:C31)</f>
        <v>0</v>
      </c>
      <c r="D35" s="185">
        <f>'General Info'!B23</f>
        <v>0.28000000000000003</v>
      </c>
      <c r="E35" s="34">
        <f>G$6-G$7</f>
        <v>9</v>
      </c>
      <c r="I35" s="35">
        <f>C35*D35*E35</f>
        <v>0</v>
      </c>
      <c r="J35" s="35"/>
      <c r="W35" s="175" t="s">
        <v>221</v>
      </c>
      <c r="X35">
        <v>105</v>
      </c>
      <c r="Y35" s="124" t="s">
        <v>206</v>
      </c>
    </row>
    <row r="36" spans="1:25" ht="15" customHeight="1">
      <c r="A36" s="21"/>
      <c r="H36" s="36" t="s">
        <v>186</v>
      </c>
      <c r="I36" s="37">
        <f>SUM(I35:I35)</f>
        <v>0</v>
      </c>
      <c r="J36" s="37"/>
      <c r="M36" s="161" t="s">
        <v>222</v>
      </c>
      <c r="S36" s="158"/>
      <c r="W36" s="175" t="s">
        <v>223</v>
      </c>
      <c r="X36" s="160">
        <f>X35-X32</f>
        <v>60.2</v>
      </c>
      <c r="Y36" s="124" t="s">
        <v>206</v>
      </c>
    </row>
    <row r="37" spans="1:25" ht="15" customHeight="1" thickBot="1">
      <c r="A37" s="21"/>
      <c r="H37" s="36"/>
      <c r="I37" s="140"/>
      <c r="J37" s="140"/>
      <c r="M37" s="161" t="s">
        <v>224</v>
      </c>
      <c r="S37" s="158"/>
      <c r="W37" s="175" t="s">
        <v>225</v>
      </c>
      <c r="X37" s="160">
        <v>1.05</v>
      </c>
      <c r="Y37" s="124"/>
    </row>
    <row r="38" spans="1:25" ht="15" customHeight="1" thickBot="1">
      <c r="A38" s="39" t="s">
        <v>226</v>
      </c>
      <c r="B38" s="40"/>
      <c r="C38" s="26" t="s">
        <v>181</v>
      </c>
      <c r="D38" s="27" t="s">
        <v>182</v>
      </c>
      <c r="E38" s="28" t="s">
        <v>183</v>
      </c>
      <c r="F38" s="41"/>
      <c r="G38" s="42"/>
      <c r="H38" s="43"/>
      <c r="I38" s="30" t="s">
        <v>184</v>
      </c>
      <c r="J38" s="31" t="s">
        <v>185</v>
      </c>
      <c r="M38" s="163" t="s">
        <v>227</v>
      </c>
      <c r="N38" s="160"/>
      <c r="O38" s="160"/>
      <c r="S38" s="158"/>
      <c r="W38" s="175" t="s">
        <v>228</v>
      </c>
      <c r="X38" s="160">
        <f>X26*X36*X37</f>
        <v>75852</v>
      </c>
      <c r="Y38" s="124" t="s">
        <v>229</v>
      </c>
    </row>
    <row r="39" spans="1:25" ht="15" customHeight="1" thickBot="1">
      <c r="A39" s="21"/>
      <c r="B39" s="193"/>
      <c r="C39" s="49">
        <f>(20*'General Info'!B34)+(21*'General Info'!B35)+(32*'General Info'!B36)</f>
        <v>40</v>
      </c>
      <c r="D39" s="185">
        <f>'General Info'!B25</f>
        <v>8.3333333333333329E-2</v>
      </c>
      <c r="E39" s="34">
        <f>G$6-G$7</f>
        <v>9</v>
      </c>
      <c r="I39" s="35">
        <f>C39*D39*E39</f>
        <v>29.999999999999996</v>
      </c>
      <c r="J39" s="35"/>
      <c r="K39" s="154"/>
      <c r="M39" s="163" t="s">
        <v>230</v>
      </c>
      <c r="N39" s="160"/>
      <c r="O39" s="160"/>
      <c r="S39" s="159"/>
      <c r="W39" s="176" t="s">
        <v>231</v>
      </c>
      <c r="X39" s="180">
        <f>X38/3412</f>
        <v>22.230949589683469</v>
      </c>
      <c r="Y39" s="20" t="s">
        <v>232</v>
      </c>
    </row>
    <row r="40" spans="1:25" ht="15" customHeight="1" thickBot="1">
      <c r="A40" s="21"/>
      <c r="B40" s="32"/>
      <c r="C40" s="49">
        <f>(32*'General Info'!B37)</f>
        <v>0</v>
      </c>
      <c r="D40" s="185">
        <f>'General Info'!B26</f>
        <v>0.12987012987012986</v>
      </c>
      <c r="E40" s="34">
        <f>G$6-G$7</f>
        <v>9</v>
      </c>
      <c r="I40" s="35">
        <f>C40*D40*E40</f>
        <v>0</v>
      </c>
      <c r="J40" s="35"/>
      <c r="K40" s="154"/>
      <c r="M40" s="163" t="s">
        <v>233</v>
      </c>
      <c r="N40" s="162"/>
      <c r="O40" s="165"/>
      <c r="P40" s="165"/>
      <c r="Q40" s="14"/>
      <c r="R40" s="14"/>
      <c r="S40" s="14"/>
      <c r="W40" s="160"/>
      <c r="X40" s="182"/>
    </row>
    <row r="41" spans="1:25" ht="15" customHeight="1" thickBot="1">
      <c r="A41" s="21"/>
      <c r="H41" s="36" t="s">
        <v>186</v>
      </c>
      <c r="I41" s="37">
        <f>SUM(I39:I40)</f>
        <v>29.999999999999996</v>
      </c>
      <c r="J41" s="37"/>
    </row>
    <row r="42" spans="1:25" ht="15" customHeight="1" thickBot="1">
      <c r="A42" s="21"/>
      <c r="H42" s="36"/>
      <c r="I42" s="140"/>
      <c r="J42" s="140"/>
      <c r="M42" s="216" t="s">
        <v>234</v>
      </c>
      <c r="N42" s="217"/>
      <c r="O42" s="217"/>
      <c r="P42" s="217"/>
      <c r="Q42" s="217"/>
      <c r="R42" s="217"/>
      <c r="S42" s="218"/>
    </row>
    <row r="43" spans="1:25" ht="15" customHeight="1" thickTop="1" thickBot="1">
      <c r="A43" s="39" t="s">
        <v>235</v>
      </c>
      <c r="B43" s="40"/>
      <c r="C43" s="26" t="s">
        <v>181</v>
      </c>
      <c r="D43" s="27" t="s">
        <v>182</v>
      </c>
      <c r="E43" s="28" t="s">
        <v>183</v>
      </c>
      <c r="F43" s="41"/>
      <c r="G43" s="42"/>
      <c r="H43" s="43"/>
      <c r="I43" s="30" t="s">
        <v>184</v>
      </c>
      <c r="J43" s="31" t="s">
        <v>185</v>
      </c>
      <c r="M43" s="146"/>
      <c r="N43" s="147" t="s">
        <v>197</v>
      </c>
      <c r="O43" s="111" t="s">
        <v>198</v>
      </c>
      <c r="P43" s="147" t="s">
        <v>199</v>
      </c>
      <c r="Q43" s="111" t="s">
        <v>200</v>
      </c>
      <c r="R43" s="164" t="s">
        <v>201</v>
      </c>
      <c r="S43" s="157" t="s">
        <v>202</v>
      </c>
    </row>
    <row r="44" spans="1:25" ht="15" customHeight="1" thickBot="1">
      <c r="A44" s="21"/>
      <c r="B44" s="32"/>
      <c r="C44" s="49">
        <v>0</v>
      </c>
      <c r="D44" s="185">
        <f>'General Info'!B27</f>
        <v>0.29411764705882354</v>
      </c>
      <c r="E44" s="34">
        <f>G$6-G$7</f>
        <v>9</v>
      </c>
      <c r="I44" s="35">
        <f>C44*D44*E44</f>
        <v>0</v>
      </c>
      <c r="J44" s="35"/>
      <c r="M44" s="173" t="s">
        <v>236</v>
      </c>
      <c r="N44" s="149">
        <v>10</v>
      </c>
      <c r="O44" s="75">
        <f t="shared" ref="O44:O46" si="2">Q44/1000*R44</f>
        <v>0</v>
      </c>
      <c r="P44" s="149">
        <v>0.18</v>
      </c>
      <c r="Q44" s="75">
        <f>'General Info'!B54</f>
        <v>0</v>
      </c>
      <c r="R44" s="149">
        <v>20</v>
      </c>
      <c r="S44" s="166">
        <f t="shared" ref="S44:S46" si="3">(N44*O44)+(P44*Q44)</f>
        <v>0</v>
      </c>
    </row>
    <row r="45" spans="1:25" ht="15" customHeight="1">
      <c r="A45" s="21"/>
      <c r="H45" s="36" t="s">
        <v>186</v>
      </c>
      <c r="I45" s="37">
        <f>SUM(I44:I44)</f>
        <v>0</v>
      </c>
      <c r="J45" s="37"/>
      <c r="M45" s="173" t="s">
        <v>78</v>
      </c>
      <c r="N45" s="149">
        <v>5</v>
      </c>
      <c r="O45" s="75">
        <f t="shared" si="2"/>
        <v>0</v>
      </c>
      <c r="P45" s="149">
        <v>0.06</v>
      </c>
      <c r="Q45" s="75">
        <f>'General Info'!B55</f>
        <v>0</v>
      </c>
      <c r="R45" s="149">
        <v>150</v>
      </c>
      <c r="S45" s="166">
        <f t="shared" si="3"/>
        <v>0</v>
      </c>
    </row>
    <row r="46" spans="1:25" ht="15" customHeight="1" thickBot="1">
      <c r="A46" s="21"/>
      <c r="H46" s="36"/>
      <c r="I46" s="140"/>
      <c r="J46" s="140"/>
      <c r="M46" s="173" t="s">
        <v>237</v>
      </c>
      <c r="N46" s="149">
        <v>10</v>
      </c>
      <c r="O46" s="75">
        <f t="shared" si="2"/>
        <v>0</v>
      </c>
      <c r="P46" s="149">
        <v>0.18</v>
      </c>
      <c r="Q46" s="75">
        <f>'General Info'!B56</f>
        <v>0</v>
      </c>
      <c r="R46" s="149">
        <v>25</v>
      </c>
      <c r="S46" s="166">
        <f t="shared" si="3"/>
        <v>0</v>
      </c>
    </row>
    <row r="47" spans="1:25" ht="15" customHeight="1">
      <c r="A47" s="50" t="s">
        <v>238</v>
      </c>
      <c r="B47" s="51"/>
      <c r="C47" s="52" t="s">
        <v>239</v>
      </c>
      <c r="D47" s="53" t="s">
        <v>240</v>
      </c>
      <c r="E47" s="53" t="s">
        <v>185</v>
      </c>
      <c r="F47" s="54"/>
      <c r="G47" s="55"/>
      <c r="H47" s="56"/>
      <c r="I47" s="57" t="s">
        <v>184</v>
      </c>
      <c r="J47" s="57" t="s">
        <v>185</v>
      </c>
      <c r="M47" s="199" t="s">
        <v>241</v>
      </c>
      <c r="N47" s="149">
        <v>10</v>
      </c>
      <c r="O47" s="75">
        <f t="shared" ref="O47" si="4">Q47/1000*R47</f>
        <v>0</v>
      </c>
      <c r="P47" s="149">
        <v>0.06</v>
      </c>
      <c r="Q47" s="75">
        <f>'General Info'!B57</f>
        <v>0</v>
      </c>
      <c r="R47" s="149">
        <v>35</v>
      </c>
      <c r="S47" s="166">
        <f t="shared" ref="S47" si="5">(N47*O47)+(P47*Q47)</f>
        <v>0</v>
      </c>
    </row>
    <row r="48" spans="1:25" ht="15" customHeight="1" thickBot="1">
      <c r="A48" s="58"/>
      <c r="B48" s="59"/>
      <c r="C48" s="60" t="s">
        <v>242</v>
      </c>
      <c r="D48" s="61" t="s">
        <v>243</v>
      </c>
      <c r="E48" s="61" t="s">
        <v>243</v>
      </c>
      <c r="F48" s="62"/>
      <c r="G48" s="63"/>
      <c r="H48" s="64"/>
      <c r="I48" s="65"/>
      <c r="J48" s="65"/>
      <c r="M48" s="173" t="s">
        <v>81</v>
      </c>
      <c r="N48" s="149">
        <v>10</v>
      </c>
      <c r="O48" s="75">
        <f>Q48/1000*R48</f>
        <v>0</v>
      </c>
      <c r="P48" s="149">
        <v>0.18</v>
      </c>
      <c r="Q48" s="75">
        <f>'General Info'!B58</f>
        <v>0</v>
      </c>
      <c r="R48" s="149">
        <v>25</v>
      </c>
      <c r="S48" s="166">
        <f>(N48*O48)+(P48*Q48)</f>
        <v>0</v>
      </c>
    </row>
    <row r="49" spans="1:19" ht="15" customHeight="1" thickBot="1">
      <c r="A49" s="21"/>
      <c r="B49" s="32"/>
      <c r="C49" s="188">
        <f>O33</f>
        <v>0</v>
      </c>
      <c r="D49" s="121">
        <f>'General Info'!B28</f>
        <v>250</v>
      </c>
      <c r="E49" s="121">
        <f>'General Info'!B29</f>
        <v>200</v>
      </c>
      <c r="I49" s="35">
        <f>C49*D49</f>
        <v>0</v>
      </c>
      <c r="J49" s="35">
        <f>C49*E49</f>
        <v>0</v>
      </c>
      <c r="M49" s="173" t="s">
        <v>82</v>
      </c>
      <c r="N49" s="149">
        <v>10</v>
      </c>
      <c r="O49" s="75">
        <f>Q49/1000*R49</f>
        <v>0</v>
      </c>
      <c r="P49" s="149">
        <v>0.12</v>
      </c>
      <c r="Q49" s="75">
        <f>'General Info'!B59</f>
        <v>0</v>
      </c>
      <c r="R49" s="149">
        <v>25</v>
      </c>
      <c r="S49" s="166">
        <f>(N49*O49)+(P49*Q49)</f>
        <v>0</v>
      </c>
    </row>
    <row r="50" spans="1:19" ht="15" customHeight="1">
      <c r="A50" s="21"/>
      <c r="C50" s="12"/>
      <c r="D50" s="66"/>
      <c r="H50" s="36" t="s">
        <v>186</v>
      </c>
      <c r="I50" s="37">
        <f>SUM(I49:I49)</f>
        <v>0</v>
      </c>
      <c r="J50" s="37">
        <f>SUM(J49:J49)</f>
        <v>0</v>
      </c>
      <c r="M50" s="173" t="s">
        <v>83</v>
      </c>
      <c r="N50" s="149">
        <v>10</v>
      </c>
      <c r="O50" s="75">
        <f>Q50/1000*R50</f>
        <v>0</v>
      </c>
      <c r="P50" s="149">
        <v>0.12</v>
      </c>
      <c r="Q50" s="75">
        <f>'General Info'!B60</f>
        <v>0</v>
      </c>
      <c r="R50" s="149">
        <v>35</v>
      </c>
      <c r="S50" s="166">
        <f>(N50*O50)+(P50*Q50)</f>
        <v>0</v>
      </c>
    </row>
    <row r="51" spans="1:19" ht="15" customHeight="1" thickBot="1">
      <c r="A51" s="21"/>
      <c r="I51" s="23"/>
      <c r="J51" s="23"/>
      <c r="M51" s="173" t="s">
        <v>84</v>
      </c>
      <c r="N51" s="149">
        <v>0.25</v>
      </c>
      <c r="O51" s="75">
        <v>0</v>
      </c>
      <c r="P51" s="149" t="s">
        <v>12</v>
      </c>
      <c r="Q51" s="75">
        <f>'General Info'!B61</f>
        <v>0</v>
      </c>
      <c r="R51" s="174" t="s">
        <v>12</v>
      </c>
      <c r="S51" s="167">
        <f>Q51*N51</f>
        <v>0</v>
      </c>
    </row>
    <row r="52" spans="1:19" ht="15" customHeight="1" thickBot="1">
      <c r="A52" s="39" t="s">
        <v>244</v>
      </c>
      <c r="B52" s="40"/>
      <c r="C52" s="26" t="s">
        <v>181</v>
      </c>
      <c r="D52" s="27" t="s">
        <v>245</v>
      </c>
      <c r="E52" s="45" t="s">
        <v>246</v>
      </c>
      <c r="F52" s="42"/>
      <c r="G52" s="42"/>
      <c r="H52" s="43"/>
      <c r="I52" s="30" t="s">
        <v>184</v>
      </c>
      <c r="J52" s="31" t="s">
        <v>185</v>
      </c>
      <c r="M52" s="148" t="s">
        <v>217</v>
      </c>
      <c r="N52" s="112"/>
      <c r="O52" s="35">
        <f>SUM(O44:O51)</f>
        <v>0</v>
      </c>
      <c r="P52" s="112"/>
      <c r="Q52" s="35">
        <f>SUM(Q44:Q51)</f>
        <v>0</v>
      </c>
      <c r="R52" s="112"/>
      <c r="S52" s="166">
        <f>SUM(S44:S51)</f>
        <v>0</v>
      </c>
    </row>
    <row r="53" spans="1:19" ht="15" customHeight="1" thickBot="1">
      <c r="A53" s="21"/>
      <c r="B53" s="32"/>
      <c r="C53" s="67">
        <f>G8</f>
        <v>3600</v>
      </c>
      <c r="D53" s="120">
        <v>1</v>
      </c>
      <c r="E53" s="68">
        <f>C53*D53</f>
        <v>3600</v>
      </c>
      <c r="I53" s="35">
        <f>E53*3.413</f>
        <v>12286.8</v>
      </c>
      <c r="J53" s="35"/>
      <c r="M53" s="150" t="s">
        <v>219</v>
      </c>
      <c r="N53" s="168">
        <f>S52</f>
        <v>0</v>
      </c>
      <c r="O53" s="151"/>
      <c r="P53" s="151"/>
      <c r="Q53" s="151"/>
      <c r="R53" s="151"/>
      <c r="S53" s="152"/>
    </row>
    <row r="54" spans="1:19" ht="15" customHeight="1">
      <c r="A54" s="21"/>
      <c r="H54" s="36" t="s">
        <v>186</v>
      </c>
      <c r="I54" s="37">
        <f>SUM(I53:I53)</f>
        <v>12286.8</v>
      </c>
      <c r="J54" s="35"/>
    </row>
    <row r="55" spans="1:19" ht="15" customHeight="1" thickBot="1">
      <c r="A55" s="21"/>
      <c r="I55" s="23"/>
      <c r="J55" s="23"/>
      <c r="M55" s="161" t="s">
        <v>222</v>
      </c>
      <c r="S55" s="158"/>
    </row>
    <row r="56" spans="1:19" ht="15" customHeight="1" thickBot="1">
      <c r="A56" s="69" t="s">
        <v>247</v>
      </c>
      <c r="B56" s="42"/>
      <c r="C56" s="70" t="s">
        <v>248</v>
      </c>
      <c r="D56" s="71" t="s">
        <v>249</v>
      </c>
      <c r="E56" s="72" t="s">
        <v>250</v>
      </c>
      <c r="F56" s="41"/>
      <c r="G56" s="42"/>
      <c r="H56" s="43"/>
      <c r="I56" s="30" t="s">
        <v>184</v>
      </c>
      <c r="J56" s="31" t="s">
        <v>185</v>
      </c>
      <c r="M56" s="161" t="s">
        <v>224</v>
      </c>
      <c r="S56" s="158"/>
    </row>
    <row r="57" spans="1:19" ht="15" customHeight="1">
      <c r="A57" s="21"/>
      <c r="B57" s="73" t="s">
        <v>47</v>
      </c>
      <c r="C57" s="201">
        <v>8</v>
      </c>
      <c r="D57" s="133">
        <f>'General Info'!B31</f>
        <v>250</v>
      </c>
      <c r="E57" s="57">
        <f>C57*D57</f>
        <v>2000</v>
      </c>
      <c r="I57" s="35">
        <f>E57*3.413</f>
        <v>6826</v>
      </c>
      <c r="J57" s="35">
        <f t="shared" ref="J57:J58" si="6">E57*3.413*0.25</f>
        <v>1706.5</v>
      </c>
      <c r="M57" s="163" t="s">
        <v>227</v>
      </c>
      <c r="N57" s="160"/>
      <c r="O57" s="160"/>
      <c r="S57" s="158"/>
    </row>
    <row r="58" spans="1:19" ht="15" customHeight="1">
      <c r="A58" s="21"/>
      <c r="B58" s="74" t="s">
        <v>251</v>
      </c>
      <c r="C58" s="202">
        <v>0</v>
      </c>
      <c r="D58" s="121">
        <v>800</v>
      </c>
      <c r="E58" s="75">
        <f>C58*D58</f>
        <v>0</v>
      </c>
      <c r="I58" s="35">
        <f>E58*3.413</f>
        <v>0</v>
      </c>
      <c r="J58" s="35">
        <f t="shared" si="6"/>
        <v>0</v>
      </c>
      <c r="M58" s="163" t="s">
        <v>230</v>
      </c>
      <c r="N58" s="160"/>
      <c r="O58" s="160"/>
      <c r="S58" s="159"/>
    </row>
    <row r="59" spans="1:19" ht="15" customHeight="1">
      <c r="A59" s="21"/>
      <c r="B59" s="76"/>
      <c r="C59" s="202">
        <v>0</v>
      </c>
      <c r="D59" s="33"/>
      <c r="E59" s="75">
        <f>C59*D59</f>
        <v>0</v>
      </c>
      <c r="I59" s="35">
        <f>E59*3.413*0.75</f>
        <v>0</v>
      </c>
      <c r="J59" s="35">
        <f>E59*3.413*0.25</f>
        <v>0</v>
      </c>
      <c r="M59" s="163" t="s">
        <v>233</v>
      </c>
      <c r="N59" s="162"/>
      <c r="O59" s="165"/>
      <c r="P59" s="165"/>
      <c r="Q59" s="14"/>
      <c r="R59" s="14"/>
      <c r="S59" s="14"/>
    </row>
    <row r="60" spans="1:19" ht="15" customHeight="1">
      <c r="A60" s="21"/>
      <c r="H60" s="36" t="s">
        <v>186</v>
      </c>
      <c r="I60" s="37">
        <f>SUM(I57:I59)</f>
        <v>6826</v>
      </c>
      <c r="J60" s="37">
        <f>SUM(J57:J59)</f>
        <v>1706.5</v>
      </c>
    </row>
    <row r="61" spans="1:19" ht="15" customHeight="1" thickBot="1">
      <c r="A61" s="21"/>
      <c r="I61" s="23"/>
      <c r="J61" s="23"/>
    </row>
    <row r="62" spans="1:19" ht="15" customHeight="1" thickBot="1">
      <c r="A62" s="50" t="s">
        <v>252</v>
      </c>
      <c r="B62" s="51"/>
      <c r="C62" s="170" t="s">
        <v>246</v>
      </c>
      <c r="D62" s="53" t="s">
        <v>253</v>
      </c>
      <c r="E62" s="53" t="s">
        <v>254</v>
      </c>
      <c r="F62" s="53" t="s">
        <v>255</v>
      </c>
      <c r="G62" s="77" t="s">
        <v>256</v>
      </c>
      <c r="H62" s="78"/>
      <c r="I62" s="79" t="s">
        <v>184</v>
      </c>
      <c r="J62" s="80" t="s">
        <v>185</v>
      </c>
    </row>
    <row r="63" spans="1:19" ht="15" customHeight="1" thickBot="1">
      <c r="A63" s="81"/>
      <c r="B63" s="82"/>
      <c r="C63" s="83" t="s">
        <v>252</v>
      </c>
      <c r="D63" s="84"/>
      <c r="E63" s="85" t="s">
        <v>257</v>
      </c>
      <c r="F63" s="84"/>
      <c r="G63" s="86" t="s">
        <v>258</v>
      </c>
      <c r="H63" s="87"/>
      <c r="I63" s="88"/>
      <c r="J63" s="89"/>
      <c r="M63" s="216" t="s">
        <v>259</v>
      </c>
      <c r="N63" s="219"/>
      <c r="O63" s="219"/>
      <c r="P63" s="219"/>
      <c r="Q63" s="219"/>
      <c r="R63" s="219"/>
      <c r="S63" s="220"/>
    </row>
    <row r="64" spans="1:19" ht="15" customHeight="1" thickTop="1" thickBot="1">
      <c r="A64" s="21"/>
      <c r="B64" s="32" t="s">
        <v>260</v>
      </c>
      <c r="C64" s="49">
        <f>N34+N53+N70</f>
        <v>0</v>
      </c>
      <c r="D64" s="188">
        <v>20</v>
      </c>
      <c r="E64" s="188">
        <v>970</v>
      </c>
      <c r="F64" s="34">
        <f>G6</f>
        <v>84</v>
      </c>
      <c r="G64" s="34">
        <f>G7</f>
        <v>75</v>
      </c>
      <c r="I64" s="35">
        <f>C64*(F64-G64)*1.08</f>
        <v>0</v>
      </c>
      <c r="J64" s="35">
        <f>ROUND((C64*60*D64/(14.8*7000))*E64,0)</f>
        <v>0</v>
      </c>
      <c r="M64" s="146"/>
      <c r="N64" s="147" t="s">
        <v>197</v>
      </c>
      <c r="O64" s="111" t="s">
        <v>198</v>
      </c>
      <c r="P64" s="147" t="s">
        <v>199</v>
      </c>
      <c r="Q64" s="111" t="s">
        <v>200</v>
      </c>
      <c r="R64" s="164" t="s">
        <v>201</v>
      </c>
      <c r="S64" s="157" t="s">
        <v>202</v>
      </c>
    </row>
    <row r="65" spans="1:22" ht="15" customHeight="1">
      <c r="A65" s="21"/>
      <c r="C65" s="12"/>
      <c r="D65" s="14"/>
      <c r="H65" s="36" t="s">
        <v>186</v>
      </c>
      <c r="I65" s="37">
        <f>SUM(I64)</f>
        <v>0</v>
      </c>
      <c r="J65" s="37">
        <f>SUM(J64)</f>
        <v>0</v>
      </c>
      <c r="M65" s="148" t="s">
        <v>86</v>
      </c>
      <c r="N65" s="149">
        <v>5</v>
      </c>
      <c r="O65" s="75">
        <f>Q65/1000*R65</f>
        <v>0</v>
      </c>
      <c r="P65" s="149">
        <v>0.06</v>
      </c>
      <c r="Q65" s="75">
        <f>'General Info'!B64</f>
        <v>0</v>
      </c>
      <c r="R65" s="149">
        <v>5</v>
      </c>
      <c r="S65" s="166">
        <f>(N65*O65)+(P65*Q65)</f>
        <v>0</v>
      </c>
    </row>
    <row r="66" spans="1:22" ht="15" customHeight="1" thickBot="1">
      <c r="A66" s="21"/>
      <c r="F66" s="13"/>
      <c r="I66" s="23"/>
      <c r="J66" s="23"/>
      <c r="M66" s="148" t="s">
        <v>87</v>
      </c>
      <c r="N66" s="149">
        <v>15</v>
      </c>
      <c r="O66" s="75">
        <f>Q66/1000*R66</f>
        <v>0</v>
      </c>
      <c r="P66" s="149" t="s">
        <v>12</v>
      </c>
      <c r="Q66" s="75">
        <f>'General Info'!B65</f>
        <v>0</v>
      </c>
      <c r="R66" s="149">
        <v>20</v>
      </c>
      <c r="S66" s="167">
        <f>Q66/1000*R66*N66</f>
        <v>0</v>
      </c>
    </row>
    <row r="67" spans="1:22" ht="15" customHeight="1" thickBot="1">
      <c r="A67" s="51" t="s">
        <v>261</v>
      </c>
      <c r="B67" s="51"/>
      <c r="C67" s="203">
        <f>+C64/127</f>
        <v>0</v>
      </c>
      <c r="D67" s="36"/>
      <c r="E67" s="23"/>
      <c r="F67" s="90"/>
      <c r="G67" s="91"/>
      <c r="H67" s="92" t="s">
        <v>262</v>
      </c>
      <c r="I67" s="93">
        <f>I65+I60+I54+I50+I36+I32+I20+I13+I24+I45+I41</f>
        <v>22670.799999999999</v>
      </c>
      <c r="J67" s="94">
        <f>J65+J60+J54+J50+J36+J32+J20+J13</f>
        <v>1706.5</v>
      </c>
      <c r="M67" s="148" t="s">
        <v>88</v>
      </c>
      <c r="N67" s="149">
        <v>5</v>
      </c>
      <c r="O67" s="75">
        <f>Q67/1000*R67</f>
        <v>0</v>
      </c>
      <c r="P67" s="149">
        <v>0.06</v>
      </c>
      <c r="Q67" s="75">
        <f>'General Info'!B66</f>
        <v>0</v>
      </c>
      <c r="R67" s="149">
        <v>30</v>
      </c>
      <c r="S67" s="166">
        <f>(N67*O67)+(P67*Q67)</f>
        <v>0</v>
      </c>
    </row>
    <row r="68" spans="1:22" ht="15" customHeight="1" thickBot="1">
      <c r="A68" s="81"/>
      <c r="B68" s="82"/>
      <c r="C68" s="144"/>
      <c r="D68" s="36"/>
      <c r="E68" s="145"/>
      <c r="H68" s="95" t="s">
        <v>263</v>
      </c>
      <c r="I68" s="215">
        <f>IF(J67&lt;=-1,I67,IF(J67&gt;=0,I67+J67))</f>
        <v>24377.3</v>
      </c>
      <c r="J68" s="215"/>
      <c r="M68" s="148" t="s">
        <v>89</v>
      </c>
      <c r="N68" s="149">
        <v>15</v>
      </c>
      <c r="O68" s="75">
        <f>Q68/1000*R68</f>
        <v>0</v>
      </c>
      <c r="P68" s="149" t="s">
        <v>12</v>
      </c>
      <c r="Q68" s="75">
        <f>'General Info'!B67</f>
        <v>0</v>
      </c>
      <c r="R68" s="149">
        <v>20</v>
      </c>
      <c r="S68" s="167">
        <f>Q68/1000*R68*N68</f>
        <v>0</v>
      </c>
    </row>
    <row r="69" spans="1:22" ht="15" customHeight="1">
      <c r="A69" s="21"/>
      <c r="C69" s="143"/>
      <c r="D69" s="36"/>
      <c r="E69" s="23"/>
      <c r="F69" s="12"/>
      <c r="H69" s="95" t="s">
        <v>264</v>
      </c>
      <c r="I69" s="214">
        <f>I68/12000</f>
        <v>2.0314416666666668</v>
      </c>
      <c r="J69" s="204"/>
      <c r="M69" s="148" t="s">
        <v>217</v>
      </c>
      <c r="N69" s="112"/>
      <c r="O69" s="35">
        <f>SUM(O65:O68)</f>
        <v>0</v>
      </c>
      <c r="P69" s="112"/>
      <c r="Q69" s="35">
        <f>SUM(Q65:Q68)</f>
        <v>0</v>
      </c>
      <c r="R69" s="112"/>
      <c r="S69" s="166">
        <f>SUM(S65:S68)</f>
        <v>0</v>
      </c>
    </row>
    <row r="70" spans="1:22" ht="13.5" thickBot="1">
      <c r="H70" s="95"/>
      <c r="I70" s="213"/>
      <c r="J70" s="204"/>
      <c r="M70" s="150" t="s">
        <v>219</v>
      </c>
      <c r="N70" s="168">
        <f>S69</f>
        <v>0</v>
      </c>
      <c r="O70" s="151"/>
      <c r="P70" s="151"/>
      <c r="Q70" s="151"/>
      <c r="R70" s="151"/>
      <c r="S70" s="152"/>
    </row>
    <row r="71" spans="1:22">
      <c r="A71" s="204"/>
      <c r="B71" s="204"/>
      <c r="C71" s="204"/>
      <c r="D71" s="204"/>
      <c r="E71" s="204"/>
      <c r="F71" s="204"/>
      <c r="G71" s="204"/>
      <c r="H71" s="204"/>
    </row>
    <row r="72" spans="1:22">
      <c r="B72" s="14"/>
      <c r="C72" s="14"/>
      <c r="D72" s="14"/>
      <c r="E72" s="14"/>
      <c r="G72" s="13"/>
      <c r="M72" s="161" t="s">
        <v>222</v>
      </c>
      <c r="S72" s="158"/>
    </row>
    <row r="73" spans="1:22">
      <c r="B73" s="14"/>
      <c r="C73" s="66"/>
      <c r="D73" s="14"/>
      <c r="E73" s="66"/>
      <c r="G73" s="14"/>
      <c r="M73" s="161" t="s">
        <v>224</v>
      </c>
      <c r="S73" s="158"/>
      <c r="V73" s="66"/>
    </row>
    <row r="74" spans="1:22">
      <c r="B74" s="14"/>
      <c r="C74" s="14"/>
      <c r="D74" s="14"/>
      <c r="E74" s="14"/>
      <c r="G74" s="14"/>
      <c r="M74" s="163" t="s">
        <v>227</v>
      </c>
      <c r="N74" s="160"/>
      <c r="O74" s="160"/>
      <c r="S74" s="158"/>
      <c r="V74" s="23"/>
    </row>
    <row r="75" spans="1:22">
      <c r="B75" s="14"/>
      <c r="C75" s="156"/>
      <c r="D75" s="14"/>
      <c r="E75" s="14"/>
      <c r="G75" s="13"/>
      <c r="M75" s="163" t="s">
        <v>230</v>
      </c>
      <c r="N75" s="160"/>
      <c r="O75" s="160"/>
      <c r="S75" s="159"/>
      <c r="V75" s="23"/>
    </row>
    <row r="76" spans="1:22">
      <c r="B76" s="14"/>
      <c r="C76" s="14"/>
      <c r="D76" s="14"/>
      <c r="E76" s="14"/>
      <c r="G76" s="14"/>
      <c r="M76" s="163" t="s">
        <v>233</v>
      </c>
      <c r="N76" s="162"/>
      <c r="O76" s="165"/>
      <c r="P76" s="165"/>
      <c r="Q76" s="14"/>
      <c r="R76" s="14"/>
      <c r="S76" s="14"/>
      <c r="T76" s="14"/>
      <c r="V76" s="23"/>
    </row>
    <row r="77" spans="1:22">
      <c r="A77" s="12"/>
      <c r="M77" s="90"/>
      <c r="N77" s="90"/>
      <c r="O77" s="142"/>
      <c r="P77" s="142"/>
      <c r="Q77" s="142"/>
      <c r="R77" s="142"/>
      <c r="S77" s="66"/>
      <c r="T77" s="66"/>
      <c r="V77" s="23"/>
    </row>
    <row r="78" spans="1:22" ht="12.95" thickBot="1">
      <c r="M78" s="90"/>
      <c r="N78" s="90"/>
      <c r="O78" s="142"/>
      <c r="P78" s="142"/>
      <c r="Q78" s="142"/>
      <c r="R78" s="142"/>
      <c r="S78" s="66"/>
      <c r="T78" s="66"/>
      <c r="V78" s="23"/>
    </row>
    <row r="79" spans="1:22" ht="12.95" thickBot="1">
      <c r="M79" s="216" t="s">
        <v>265</v>
      </c>
      <c r="N79" s="219"/>
      <c r="O79" s="219"/>
      <c r="P79" s="219"/>
      <c r="Q79" s="219"/>
      <c r="R79" s="219"/>
      <c r="S79" s="220"/>
      <c r="T79" s="66"/>
      <c r="V79" s="23"/>
    </row>
    <row r="80" spans="1:22" ht="12.95" thickTop="1">
      <c r="M80" s="146"/>
      <c r="N80" s="147" t="s">
        <v>197</v>
      </c>
      <c r="O80" s="111" t="s">
        <v>198</v>
      </c>
      <c r="P80" s="147" t="s">
        <v>199</v>
      </c>
      <c r="Q80" s="111" t="s">
        <v>200</v>
      </c>
      <c r="R80" s="164" t="s">
        <v>201</v>
      </c>
      <c r="S80" s="157" t="s">
        <v>202</v>
      </c>
      <c r="T80" s="66"/>
      <c r="V80" s="23"/>
    </row>
    <row r="81" spans="13:22">
      <c r="M81" s="148" t="str">
        <f>+'General Info'!A71</f>
        <v>Bedroom</v>
      </c>
      <c r="N81" s="149">
        <v>5</v>
      </c>
      <c r="O81" s="75">
        <f>Q81/1000*R81</f>
        <v>0</v>
      </c>
      <c r="P81" s="149">
        <v>0.06</v>
      </c>
      <c r="Q81" s="75">
        <f>+'General Info'!B71</f>
        <v>0</v>
      </c>
      <c r="R81" s="149">
        <v>10</v>
      </c>
      <c r="S81" s="166">
        <f>(N81*O81)+(P81*Q81)</f>
        <v>0</v>
      </c>
      <c r="T81" s="66"/>
      <c r="V81" s="23"/>
    </row>
    <row r="82" spans="13:22">
      <c r="M82" s="148" t="str">
        <f>+'General Info'!A72</f>
        <v>Living Room</v>
      </c>
      <c r="N82" s="149">
        <v>5</v>
      </c>
      <c r="O82" s="75">
        <f>Q82/1000*R82</f>
        <v>0</v>
      </c>
      <c r="P82" s="149">
        <v>0.06</v>
      </c>
      <c r="Q82" s="75">
        <f>+'General Info'!B72</f>
        <v>0</v>
      </c>
      <c r="R82" s="149">
        <v>10</v>
      </c>
      <c r="S82" s="167">
        <f>Q82/1000*R82*N82</f>
        <v>0</v>
      </c>
      <c r="T82" s="66"/>
      <c r="V82" s="23"/>
    </row>
    <row r="83" spans="13:22">
      <c r="M83" s="148" t="str">
        <f>+'General Info'!A73</f>
        <v>Multipurpose Assembly</v>
      </c>
      <c r="N83" s="149">
        <v>5</v>
      </c>
      <c r="O83" s="75">
        <f>Q83/1000*R83</f>
        <v>0</v>
      </c>
      <c r="P83" s="149">
        <v>0.06</v>
      </c>
      <c r="Q83" s="75">
        <f>+'General Info'!B73</f>
        <v>0</v>
      </c>
      <c r="R83" s="149">
        <v>120</v>
      </c>
      <c r="S83" s="166">
        <f>(N83*O83)+(P83*Q83)</f>
        <v>0</v>
      </c>
      <c r="T83" s="66"/>
      <c r="V83" s="23"/>
    </row>
    <row r="84" spans="13:22">
      <c r="M84" s="148" t="str">
        <f>+'General Info'!A74</f>
        <v>Kitchen</v>
      </c>
      <c r="N84" s="149">
        <v>15</v>
      </c>
      <c r="O84" s="75">
        <f>Q84/1000*R84</f>
        <v>0</v>
      </c>
      <c r="P84" s="149" t="s">
        <v>12</v>
      </c>
      <c r="Q84" s="75">
        <f>+'General Info'!B74</f>
        <v>0</v>
      </c>
      <c r="R84" s="149">
        <v>20</v>
      </c>
      <c r="S84" s="167">
        <f>Q84/1000*R84*N84</f>
        <v>0</v>
      </c>
      <c r="T84" s="66"/>
      <c r="V84" s="23"/>
    </row>
    <row r="85" spans="13:22">
      <c r="M85" s="148" t="s">
        <v>217</v>
      </c>
      <c r="N85" s="112"/>
      <c r="O85" s="35">
        <f>SUM(O81:O84)</f>
        <v>0</v>
      </c>
      <c r="P85" s="112"/>
      <c r="Q85" s="35">
        <f>SUM(Q81:Q84)</f>
        <v>0</v>
      </c>
      <c r="R85" s="112"/>
      <c r="S85" s="166">
        <f>SUM(S81:S84)</f>
        <v>0</v>
      </c>
      <c r="T85" s="66"/>
      <c r="V85" s="23"/>
    </row>
    <row r="86" spans="13:22" ht="12.95" thickBot="1">
      <c r="M86" s="150" t="s">
        <v>219</v>
      </c>
      <c r="N86" s="168">
        <f>S85</f>
        <v>0</v>
      </c>
      <c r="O86" s="151"/>
      <c r="P86" s="151"/>
      <c r="Q86" s="151"/>
      <c r="R86" s="151"/>
      <c r="S86" s="152"/>
      <c r="T86" s="66"/>
      <c r="V86" s="23"/>
    </row>
    <row r="87" spans="13:22">
      <c r="T87" s="66"/>
      <c r="V87" s="23"/>
    </row>
    <row r="88" spans="13:22">
      <c r="M88" s="161" t="s">
        <v>222</v>
      </c>
      <c r="S88" s="158"/>
      <c r="T88" s="66"/>
      <c r="V88" s="23"/>
    </row>
    <row r="89" spans="13:22">
      <c r="M89" s="161" t="s">
        <v>224</v>
      </c>
      <c r="S89" s="158"/>
      <c r="T89" s="66"/>
      <c r="V89" s="23"/>
    </row>
    <row r="90" spans="13:22">
      <c r="M90" s="163" t="s">
        <v>227</v>
      </c>
      <c r="N90" s="160"/>
      <c r="O90" s="160"/>
      <c r="S90" s="158"/>
      <c r="T90" s="66"/>
      <c r="V90" s="23"/>
    </row>
    <row r="91" spans="13:22">
      <c r="M91" s="163" t="s">
        <v>230</v>
      </c>
      <c r="N91" s="160"/>
      <c r="O91" s="160"/>
      <c r="S91" s="159"/>
      <c r="T91" s="66"/>
      <c r="V91" s="23"/>
    </row>
    <row r="92" spans="13:22">
      <c r="M92" s="163" t="s">
        <v>233</v>
      </c>
      <c r="N92" s="162"/>
      <c r="O92" s="165"/>
      <c r="P92" s="165"/>
      <c r="Q92" s="14"/>
      <c r="R92" s="14"/>
      <c r="S92" s="14"/>
      <c r="T92" s="66"/>
      <c r="V92" s="23"/>
    </row>
    <row r="93" spans="13:22">
      <c r="M93" s="222"/>
      <c r="N93" s="222"/>
      <c r="O93" s="142"/>
      <c r="P93" s="142"/>
      <c r="Q93" s="142"/>
      <c r="R93" s="142"/>
      <c r="S93" s="66"/>
      <c r="T93" s="66"/>
      <c r="V93" s="23"/>
    </row>
    <row r="94" spans="13:22">
      <c r="M94" s="222"/>
      <c r="N94" s="222"/>
      <c r="O94" s="142"/>
      <c r="P94" s="142"/>
      <c r="Q94" s="142"/>
      <c r="R94" s="142"/>
      <c r="S94" s="66"/>
      <c r="T94" s="66"/>
      <c r="V94" s="23"/>
    </row>
    <row r="95" spans="13:22">
      <c r="M95" s="222"/>
      <c r="N95" s="222"/>
      <c r="O95" s="142"/>
      <c r="P95" s="142"/>
      <c r="Q95" s="142"/>
      <c r="R95" s="142"/>
      <c r="S95" s="66"/>
      <c r="T95" s="66"/>
      <c r="V95" s="23"/>
    </row>
    <row r="96" spans="13:22">
      <c r="M96" s="222"/>
      <c r="N96" s="222"/>
      <c r="O96" s="142"/>
      <c r="P96" s="142"/>
      <c r="Q96" s="142"/>
      <c r="R96" s="142"/>
      <c r="S96" s="66"/>
      <c r="T96" s="66"/>
      <c r="V96" s="23"/>
    </row>
    <row r="97" spans="2:22">
      <c r="M97" s="222"/>
      <c r="N97" s="222"/>
      <c r="O97" s="142"/>
      <c r="P97" s="142"/>
      <c r="Q97" s="142"/>
      <c r="R97" s="142"/>
      <c r="S97" s="66"/>
      <c r="T97" s="66"/>
      <c r="V97" s="23"/>
    </row>
    <row r="98" spans="2:22">
      <c r="M98" s="222"/>
      <c r="N98" s="222"/>
      <c r="O98" s="142"/>
      <c r="P98" s="142"/>
      <c r="Q98" s="142"/>
      <c r="R98" s="142"/>
      <c r="S98" s="66"/>
      <c r="T98" s="66"/>
      <c r="V98" s="23"/>
    </row>
    <row r="99" spans="2:22">
      <c r="M99" s="222"/>
      <c r="N99" s="222"/>
      <c r="O99" s="142"/>
      <c r="P99" s="142"/>
      <c r="Q99" s="142"/>
      <c r="R99" s="142"/>
      <c r="S99" s="66"/>
      <c r="T99" s="66"/>
      <c r="V99" s="23"/>
    </row>
    <row r="100" spans="2:22">
      <c r="M100" s="222"/>
      <c r="N100" s="222"/>
      <c r="O100" s="142"/>
      <c r="P100" s="142"/>
      <c r="Q100" s="142"/>
      <c r="R100" s="142"/>
      <c r="S100" s="66"/>
      <c r="T100" s="66"/>
      <c r="V100" s="23"/>
    </row>
    <row r="101" spans="2:22" ht="12.95">
      <c r="M101" s="222"/>
      <c r="N101" s="222"/>
      <c r="O101" s="142"/>
      <c r="P101" s="142"/>
      <c r="Q101" s="142"/>
      <c r="R101" s="142"/>
      <c r="S101" s="66"/>
      <c r="T101" s="66"/>
      <c r="U101" s="36"/>
      <c r="V101" s="140"/>
    </row>
    <row r="102" spans="2:22">
      <c r="M102" s="222"/>
      <c r="N102" s="222"/>
      <c r="O102" s="142"/>
      <c r="P102" s="142"/>
      <c r="Q102" s="142"/>
      <c r="R102" s="142"/>
      <c r="S102" s="66"/>
      <c r="T102" s="66"/>
    </row>
    <row r="103" spans="2:22" ht="12.95">
      <c r="M103" s="21"/>
      <c r="N103" s="36"/>
      <c r="O103" s="141"/>
      <c r="S103" s="36"/>
      <c r="T103" s="66"/>
    </row>
    <row r="104" spans="2:22" ht="12.95">
      <c r="T104" s="140"/>
    </row>
    <row r="112" spans="2:22">
      <c r="B112" s="13"/>
    </row>
  </sheetData>
  <mergeCells count="29">
    <mergeCell ref="M79:S79"/>
    <mergeCell ref="M63:S63"/>
    <mergeCell ref="W25:AB25"/>
    <mergeCell ref="M102:N102"/>
    <mergeCell ref="M99:N99"/>
    <mergeCell ref="M98:N98"/>
    <mergeCell ref="M96:N96"/>
    <mergeCell ref="M94:N94"/>
    <mergeCell ref="M93:N93"/>
    <mergeCell ref="M95:N95"/>
    <mergeCell ref="M101:N101"/>
    <mergeCell ref="M100:N100"/>
    <mergeCell ref="M97:N97"/>
    <mergeCell ref="I70:J70"/>
    <mergeCell ref="I69:J69"/>
    <mergeCell ref="I68:J68"/>
    <mergeCell ref="M25:S25"/>
    <mergeCell ref="M42:S42"/>
    <mergeCell ref="A71:H71"/>
    <mergeCell ref="G6:H6"/>
    <mergeCell ref="C3:D3"/>
    <mergeCell ref="G3:H3"/>
    <mergeCell ref="C4:D4"/>
    <mergeCell ref="G4:H4"/>
    <mergeCell ref="C5:D5"/>
    <mergeCell ref="C7:D7"/>
    <mergeCell ref="G5:H5"/>
    <mergeCell ref="C6:D6"/>
    <mergeCell ref="G7:H7"/>
  </mergeCells>
  <phoneticPr fontId="0" type="noConversion"/>
  <printOptions horizontalCentered="1"/>
  <pageMargins left="0.75" right="0.75" top="1" bottom="1" header="0.7" footer="0.5"/>
  <pageSetup scale="61" orientation="portrait" r:id="rId1"/>
  <headerFooter alignWithMargins="0"/>
  <ignoredErrors>
    <ignoredError sqref="D12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5"/>
  <sheetViews>
    <sheetView zoomScale="75" workbookViewId="0">
      <selection activeCell="B41" sqref="B41"/>
    </sheetView>
  </sheetViews>
  <sheetFormatPr defaultRowHeight="12.6"/>
  <cols>
    <col min="6" max="6" width="11.42578125" customWidth="1"/>
    <col min="9" max="9" width="10" bestFit="1" customWidth="1"/>
  </cols>
  <sheetData>
    <row r="1" spans="1:13" ht="15" customHeight="1" thickBot="1">
      <c r="A1" s="1" t="s">
        <v>266</v>
      </c>
      <c r="B1" s="2"/>
      <c r="C1" s="2"/>
      <c r="D1" s="2"/>
      <c r="E1" s="2"/>
      <c r="F1" s="2"/>
      <c r="G1" s="2"/>
      <c r="H1" s="2"/>
      <c r="I1" s="2"/>
    </row>
    <row r="2" spans="1:13" ht="15" customHeight="1">
      <c r="A2" s="21"/>
      <c r="B2" s="4"/>
      <c r="C2" s="5"/>
      <c r="D2" s="5"/>
      <c r="E2" s="6"/>
      <c r="F2" s="5"/>
      <c r="G2" s="5"/>
      <c r="H2" s="7"/>
    </row>
    <row r="3" spans="1:13" ht="15" customHeight="1">
      <c r="A3" s="21"/>
      <c r="B3" s="9" t="s">
        <v>2</v>
      </c>
      <c r="C3" s="225" t="str">
        <f>'General Info'!B5</f>
        <v>56x60 Office</v>
      </c>
      <c r="D3" s="236"/>
      <c r="E3" s="10" t="s">
        <v>174</v>
      </c>
      <c r="G3" s="226" t="str">
        <f>'General Info'!B10</f>
        <v>5:00pm</v>
      </c>
      <c r="H3" s="227"/>
    </row>
    <row r="4" spans="1:13" ht="15" customHeight="1">
      <c r="A4" s="21"/>
      <c r="B4" s="9" t="s">
        <v>5</v>
      </c>
      <c r="C4" s="225">
        <f>'General Info'!B6</f>
        <v>24289</v>
      </c>
      <c r="D4" s="236"/>
      <c r="E4" s="10" t="s">
        <v>11</v>
      </c>
      <c r="G4" s="228" t="str">
        <f>'Clg Block - Block'!G4:H4</f>
        <v>Block</v>
      </c>
      <c r="H4" s="229"/>
    </row>
    <row r="5" spans="1:13" ht="15" customHeight="1">
      <c r="A5" s="21"/>
      <c r="B5" s="9" t="s">
        <v>6</v>
      </c>
      <c r="C5" s="230">
        <f>'General Info'!B7</f>
        <v>45601</v>
      </c>
      <c r="D5" s="237"/>
      <c r="E5" s="11" t="s">
        <v>176</v>
      </c>
      <c r="G5" s="228" t="str">
        <f>'Clg Block - Block'!G5:H5</f>
        <v>Block</v>
      </c>
      <c r="H5" s="229"/>
    </row>
    <row r="6" spans="1:13" ht="15" customHeight="1">
      <c r="A6" s="21"/>
      <c r="B6" s="9" t="s">
        <v>7</v>
      </c>
      <c r="C6" s="225">
        <f>'General Info'!B8</f>
        <v>0</v>
      </c>
      <c r="D6" s="236"/>
      <c r="E6" s="10" t="s">
        <v>177</v>
      </c>
      <c r="G6" s="223">
        <f>'General Info'!B14</f>
        <v>25</v>
      </c>
      <c r="H6" s="224"/>
    </row>
    <row r="7" spans="1:13" ht="15" customHeight="1">
      <c r="A7" s="21"/>
      <c r="B7" s="9" t="s">
        <v>8</v>
      </c>
      <c r="C7" s="225">
        <f>'General Info'!B9</f>
        <v>0</v>
      </c>
      <c r="D7" s="236"/>
      <c r="E7" s="10" t="s">
        <v>178</v>
      </c>
      <c r="F7" s="12"/>
      <c r="G7" s="205">
        <f>'General Info'!B16</f>
        <v>72</v>
      </c>
      <c r="H7" s="206"/>
    </row>
    <row r="8" spans="1:13" ht="15" customHeight="1">
      <c r="A8" s="21"/>
      <c r="B8" s="9"/>
      <c r="C8" s="13"/>
      <c r="D8" s="14"/>
      <c r="E8" s="10" t="s">
        <v>179</v>
      </c>
      <c r="F8" s="12"/>
      <c r="G8" s="191">
        <f>'General Info'!B12</f>
        <v>3600</v>
      </c>
      <c r="H8" s="15"/>
      <c r="I8" s="9"/>
    </row>
    <row r="9" spans="1:13" ht="15" customHeight="1" thickBot="1">
      <c r="A9" s="21"/>
      <c r="B9" s="16"/>
      <c r="C9" s="17"/>
      <c r="D9" s="17"/>
      <c r="E9" s="18"/>
      <c r="F9" s="17"/>
      <c r="G9" s="19"/>
      <c r="H9" s="20"/>
      <c r="I9" s="9"/>
    </row>
    <row r="10" spans="1:13" ht="15" customHeight="1" thickBot="1">
      <c r="A10" s="21"/>
      <c r="F10" s="96"/>
      <c r="G10" s="96"/>
      <c r="H10" s="96"/>
      <c r="I10" s="17"/>
    </row>
    <row r="11" spans="1:13" ht="15" customHeight="1" thickBot="1">
      <c r="A11" s="24" t="s">
        <v>180</v>
      </c>
      <c r="B11" s="25"/>
      <c r="C11" s="26" t="s">
        <v>181</v>
      </c>
      <c r="D11" s="27" t="s">
        <v>182</v>
      </c>
      <c r="E11" s="28" t="s">
        <v>183</v>
      </c>
      <c r="F11" s="29"/>
      <c r="G11" s="29"/>
      <c r="H11" s="29"/>
      <c r="I11" s="45" t="s">
        <v>184</v>
      </c>
    </row>
    <row r="12" spans="1:13" ht="15" customHeight="1" thickBot="1">
      <c r="A12" s="21"/>
      <c r="B12" s="32"/>
      <c r="C12" s="121">
        <f>'Clg Block - Block'!C12</f>
        <v>3600</v>
      </c>
      <c r="D12" s="190">
        <f>'General Info'!B19</f>
        <v>0.02</v>
      </c>
      <c r="E12" s="34">
        <f>G7-G6</f>
        <v>47</v>
      </c>
      <c r="I12" s="35">
        <f>C12*D12*E12</f>
        <v>3384</v>
      </c>
    </row>
    <row r="13" spans="1:13" ht="15" customHeight="1">
      <c r="A13" s="21"/>
      <c r="H13" s="36" t="s">
        <v>186</v>
      </c>
      <c r="I13" s="37">
        <f>SUM(I12:I12)</f>
        <v>3384</v>
      </c>
    </row>
    <row r="14" spans="1:13" ht="15" customHeight="1" thickBot="1">
      <c r="A14" s="21"/>
      <c r="H14" s="36"/>
      <c r="I14" s="140"/>
    </row>
    <row r="15" spans="1:13" ht="15" customHeight="1" thickBot="1">
      <c r="A15" s="24" t="s">
        <v>189</v>
      </c>
      <c r="B15" s="25"/>
      <c r="C15" s="26" t="s">
        <v>181</v>
      </c>
      <c r="D15" s="27" t="s">
        <v>182</v>
      </c>
      <c r="E15" s="28" t="s">
        <v>183</v>
      </c>
      <c r="F15" s="29"/>
      <c r="G15" s="29"/>
      <c r="H15" s="29"/>
      <c r="I15" s="45" t="s">
        <v>184</v>
      </c>
      <c r="M15" s="153"/>
    </row>
    <row r="16" spans="1:13" ht="15" customHeight="1" thickBot="1">
      <c r="A16" s="21"/>
      <c r="B16" s="32"/>
      <c r="C16" s="121">
        <f>'Clg Block - Block'!G8</f>
        <v>3600</v>
      </c>
      <c r="D16" s="190">
        <f>'General Info'!B22</f>
        <v>3.3333333333333333E-2</v>
      </c>
      <c r="E16" s="34">
        <v>40</v>
      </c>
      <c r="I16" s="35">
        <f>C16*D16*E16</f>
        <v>4800</v>
      </c>
    </row>
    <row r="17" spans="1:9" ht="15" customHeight="1">
      <c r="A17" s="21"/>
      <c r="H17" s="36" t="s">
        <v>186</v>
      </c>
      <c r="I17" s="37">
        <f>SUM(I16:I16)</f>
        <v>4800</v>
      </c>
    </row>
    <row r="18" spans="1:9" ht="15" customHeight="1" thickBot="1">
      <c r="A18" s="21"/>
      <c r="F18" s="17"/>
      <c r="G18" s="17"/>
      <c r="H18" s="38"/>
    </row>
    <row r="19" spans="1:9" ht="15" customHeight="1" thickBot="1">
      <c r="A19" s="39" t="s">
        <v>188</v>
      </c>
      <c r="B19" s="40"/>
      <c r="C19" s="26" t="s">
        <v>181</v>
      </c>
      <c r="D19" s="27" t="s">
        <v>182</v>
      </c>
      <c r="E19" s="28" t="s">
        <v>183</v>
      </c>
      <c r="F19" s="41"/>
      <c r="G19" s="42"/>
      <c r="H19" s="43"/>
      <c r="I19" s="70" t="s">
        <v>184</v>
      </c>
    </row>
    <row r="20" spans="1:9" ht="15" customHeight="1">
      <c r="A20" s="21"/>
      <c r="B20" s="115" t="s">
        <v>109</v>
      </c>
      <c r="C20" s="186">
        <f>'General Info'!B48</f>
        <v>0</v>
      </c>
      <c r="D20" s="190">
        <f>'Clg Block - Block'!D16</f>
        <v>3.8461538461538464E-2</v>
      </c>
      <c r="E20" s="34">
        <f>G7-G6</f>
        <v>47</v>
      </c>
      <c r="I20" s="35">
        <f>C20*D20*E20</f>
        <v>0</v>
      </c>
    </row>
    <row r="21" spans="1:9" ht="15" customHeight="1">
      <c r="A21" s="21"/>
      <c r="B21" s="116" t="s">
        <v>71</v>
      </c>
      <c r="C21" s="186">
        <f>'General Info'!B49</f>
        <v>0</v>
      </c>
      <c r="D21" s="190">
        <f>'Clg Block - Block'!D17</f>
        <v>3.8461538461538464E-2</v>
      </c>
      <c r="E21" s="34">
        <f>G7-G6</f>
        <v>47</v>
      </c>
      <c r="I21" s="35">
        <f>C21*D21*E21</f>
        <v>0</v>
      </c>
    </row>
    <row r="22" spans="1:9" ht="15" customHeight="1">
      <c r="A22" s="21"/>
      <c r="B22" s="116" t="s">
        <v>73</v>
      </c>
      <c r="C22" s="186">
        <f>'General Info'!B50</f>
        <v>0</v>
      </c>
      <c r="D22" s="190">
        <f>'Clg Block - Block'!D18</f>
        <v>3.8461538461538464E-2</v>
      </c>
      <c r="E22" s="34">
        <f>G7-G6</f>
        <v>47</v>
      </c>
      <c r="I22" s="35">
        <f>C22*D22*E22</f>
        <v>0</v>
      </c>
    </row>
    <row r="23" spans="1:9" ht="15" customHeight="1">
      <c r="A23" s="21"/>
      <c r="B23" s="116" t="s">
        <v>75</v>
      </c>
      <c r="C23" s="186">
        <f>'General Info'!B51</f>
        <v>0</v>
      </c>
      <c r="D23" s="190">
        <f>'Clg Block - Block'!D19</f>
        <v>3.8461538461538464E-2</v>
      </c>
      <c r="E23" s="34">
        <f>G7-G6</f>
        <v>47</v>
      </c>
      <c r="I23" s="35">
        <f>C23*D23*E23</f>
        <v>0</v>
      </c>
    </row>
    <row r="24" spans="1:9" ht="15" customHeight="1">
      <c r="A24" s="21"/>
      <c r="H24" s="36" t="s">
        <v>186</v>
      </c>
      <c r="I24" s="37">
        <f>SUM(I20:I23)</f>
        <v>0</v>
      </c>
    </row>
    <row r="25" spans="1:9" ht="15" customHeight="1" thickBot="1">
      <c r="A25" s="21"/>
      <c r="H25" s="36"/>
      <c r="I25" s="140"/>
    </row>
    <row r="26" spans="1:9" ht="15" customHeight="1" thickBot="1">
      <c r="A26" s="24" t="s">
        <v>226</v>
      </c>
      <c r="B26" s="25"/>
      <c r="C26" s="26" t="s">
        <v>181</v>
      </c>
      <c r="D26" s="27" t="s">
        <v>182</v>
      </c>
      <c r="E26" s="28" t="s">
        <v>183</v>
      </c>
      <c r="F26" s="29"/>
      <c r="G26" s="29"/>
      <c r="H26" s="29"/>
      <c r="I26" s="45" t="s">
        <v>184</v>
      </c>
    </row>
    <row r="27" spans="1:9" ht="15" customHeight="1" thickBot="1">
      <c r="A27" s="21"/>
      <c r="B27" s="32"/>
      <c r="C27" s="121">
        <f>'Clg Block - Block'!C39</f>
        <v>40</v>
      </c>
      <c r="D27" s="117">
        <f>'General Info'!B25</f>
        <v>8.3333333333333329E-2</v>
      </c>
      <c r="E27" s="34">
        <f>G$7-G$6</f>
        <v>47</v>
      </c>
      <c r="I27" s="35">
        <f>C27*D27*E27</f>
        <v>156.66666666666666</v>
      </c>
    </row>
    <row r="28" spans="1:9" ht="15" customHeight="1" thickBot="1">
      <c r="A28" s="21"/>
      <c r="B28" s="32"/>
      <c r="C28" s="121">
        <f>'Clg Block - Block'!C40</f>
        <v>0</v>
      </c>
      <c r="D28" s="117">
        <f>'General Info'!B26</f>
        <v>0.12987012987012986</v>
      </c>
      <c r="E28" s="34">
        <f>G$7-G$6</f>
        <v>47</v>
      </c>
      <c r="I28" s="35">
        <f>C28*D28*E28</f>
        <v>0</v>
      </c>
    </row>
    <row r="29" spans="1:9" ht="15" customHeight="1">
      <c r="A29" s="21"/>
      <c r="H29" s="36" t="s">
        <v>186</v>
      </c>
      <c r="I29" s="37">
        <f>SUM(I27:I27)</f>
        <v>156.66666666666666</v>
      </c>
    </row>
    <row r="30" spans="1:9" ht="15" customHeight="1" thickBot="1">
      <c r="A30" s="21"/>
      <c r="H30" s="36"/>
      <c r="I30" s="140"/>
    </row>
    <row r="31" spans="1:9" ht="15" customHeight="1" thickBot="1">
      <c r="A31" s="24" t="s">
        <v>235</v>
      </c>
      <c r="B31" s="25"/>
      <c r="C31" s="26" t="s">
        <v>181</v>
      </c>
      <c r="D31" s="27" t="s">
        <v>182</v>
      </c>
      <c r="E31" s="28" t="s">
        <v>183</v>
      </c>
      <c r="F31" s="29"/>
      <c r="G31" s="29"/>
      <c r="H31" s="29"/>
      <c r="I31" s="45" t="s">
        <v>184</v>
      </c>
    </row>
    <row r="32" spans="1:9" ht="15" customHeight="1" thickBot="1">
      <c r="A32" s="21"/>
      <c r="B32" s="32"/>
      <c r="C32" s="121">
        <f>'Clg Block - Block'!C44</f>
        <v>0</v>
      </c>
      <c r="D32" s="117">
        <f>'General Info'!B25*0</f>
        <v>0</v>
      </c>
      <c r="E32" s="34">
        <f>G$7-G$6</f>
        <v>47</v>
      </c>
      <c r="I32" s="35">
        <f>C32*D32*E32</f>
        <v>0</v>
      </c>
    </row>
    <row r="33" spans="1:18" ht="15" customHeight="1">
      <c r="A33" s="21"/>
      <c r="H33" s="36" t="s">
        <v>186</v>
      </c>
      <c r="I33" s="37">
        <f>SUM(I32:I32)</f>
        <v>0</v>
      </c>
    </row>
    <row r="34" spans="1:18" ht="15" customHeight="1" thickBot="1">
      <c r="A34" s="21"/>
      <c r="H34" s="12"/>
    </row>
    <row r="35" spans="1:18" ht="15" customHeight="1" thickBot="1">
      <c r="A35" s="39" t="s">
        <v>218</v>
      </c>
      <c r="B35" s="40"/>
      <c r="C35" s="26" t="s">
        <v>181</v>
      </c>
      <c r="D35" s="27" t="s">
        <v>182</v>
      </c>
      <c r="E35" s="28" t="s">
        <v>183</v>
      </c>
      <c r="F35" s="41"/>
      <c r="G35" s="42"/>
      <c r="H35" s="43"/>
      <c r="I35" s="70" t="s">
        <v>184</v>
      </c>
      <c r="M35" s="14"/>
      <c r="N35" s="14"/>
      <c r="O35" s="14"/>
      <c r="P35" s="14"/>
      <c r="R35" s="14"/>
    </row>
    <row r="36" spans="1:18" ht="15" customHeight="1" thickBot="1">
      <c r="A36" s="21"/>
      <c r="B36" s="32"/>
      <c r="C36" s="122">
        <f>'Clg Block - Block'!C35</f>
        <v>0</v>
      </c>
      <c r="D36" s="117">
        <f>'General Info'!B23</f>
        <v>0.28000000000000003</v>
      </c>
      <c r="E36" s="34">
        <f>G7-G6</f>
        <v>47</v>
      </c>
      <c r="I36" s="35">
        <f>C36*D36*E36</f>
        <v>0</v>
      </c>
      <c r="M36" s="14"/>
      <c r="N36" s="14"/>
      <c r="O36" s="14"/>
      <c r="P36" s="14"/>
      <c r="R36" s="14"/>
    </row>
    <row r="37" spans="1:18" ht="15" customHeight="1">
      <c r="A37" s="21"/>
      <c r="H37" s="36" t="s">
        <v>186</v>
      </c>
      <c r="I37" s="37">
        <f>SUM(I36:I36)</f>
        <v>0</v>
      </c>
      <c r="R37" s="14"/>
    </row>
    <row r="38" spans="1:18" ht="15" customHeight="1" thickBot="1">
      <c r="A38" s="21"/>
      <c r="L38" s="12"/>
    </row>
    <row r="39" spans="1:18" ht="15" customHeight="1">
      <c r="A39" s="50" t="s">
        <v>252</v>
      </c>
      <c r="B39" s="97"/>
      <c r="C39" s="169" t="s">
        <v>267</v>
      </c>
      <c r="D39" s="172" t="s">
        <v>268</v>
      </c>
      <c r="E39" s="53" t="s">
        <v>269</v>
      </c>
      <c r="F39" s="98" t="s">
        <v>183</v>
      </c>
      <c r="G39" s="77"/>
      <c r="H39" s="78"/>
      <c r="I39" s="99" t="s">
        <v>184</v>
      </c>
    </row>
    <row r="40" spans="1:18" ht="15" customHeight="1" thickBot="1">
      <c r="A40" s="81"/>
      <c r="B40" s="100"/>
      <c r="C40" s="171" t="s">
        <v>252</v>
      </c>
      <c r="D40" s="101" t="s">
        <v>252</v>
      </c>
      <c r="E40" s="101" t="s">
        <v>252</v>
      </c>
      <c r="F40" s="84"/>
      <c r="G40" s="86"/>
      <c r="H40" s="87"/>
      <c r="I40" s="102"/>
    </row>
    <row r="41" spans="1:18" ht="15" customHeight="1" thickBot="1">
      <c r="A41" s="21"/>
      <c r="B41" s="32"/>
      <c r="C41" s="183">
        <f>'Clg Block - Block'!N34</f>
        <v>0</v>
      </c>
      <c r="D41" s="198">
        <f>'General Info'!B32*100</f>
        <v>200</v>
      </c>
      <c r="E41" s="103">
        <f>C41+D41</f>
        <v>200</v>
      </c>
      <c r="F41" s="104">
        <f>G7-G6</f>
        <v>47</v>
      </c>
      <c r="I41" s="35">
        <f>E41*F41</f>
        <v>9400</v>
      </c>
    </row>
    <row r="42" spans="1:18" ht="15" customHeight="1" thickBot="1">
      <c r="A42" s="21"/>
      <c r="F42" s="14"/>
      <c r="H42" s="36" t="s">
        <v>186</v>
      </c>
      <c r="I42" s="37">
        <f>SUM(I41)</f>
        <v>9400</v>
      </c>
    </row>
    <row r="43" spans="1:18" ht="15" customHeight="1" thickBot="1">
      <c r="A43" s="21"/>
      <c r="C43" s="143"/>
      <c r="D43" s="36"/>
      <c r="E43" s="23"/>
      <c r="F43" s="105"/>
      <c r="G43" s="91"/>
      <c r="H43" s="92" t="s">
        <v>262</v>
      </c>
      <c r="I43" s="94">
        <f>I42+I37+I24+I13+I29+I33+I17</f>
        <v>17740.666666666664</v>
      </c>
    </row>
    <row r="44" spans="1:18" ht="15" customHeight="1">
      <c r="A44" s="21"/>
      <c r="C44" s="144"/>
      <c r="D44" s="36"/>
      <c r="E44" s="145"/>
      <c r="H44" s="106" t="s">
        <v>232</v>
      </c>
      <c r="I44" s="107">
        <f>I43/3416</f>
        <v>5.1934035909445742</v>
      </c>
    </row>
    <row r="45" spans="1:18" ht="15" customHeight="1">
      <c r="A45" s="21"/>
      <c r="C45" s="143"/>
      <c r="D45" s="36"/>
      <c r="E45" s="23"/>
      <c r="F45" s="12"/>
      <c r="H45" s="95"/>
      <c r="I45" s="107"/>
    </row>
  </sheetData>
  <mergeCells count="10">
    <mergeCell ref="G6:H6"/>
    <mergeCell ref="G7:H7"/>
    <mergeCell ref="C6:D6"/>
    <mergeCell ref="C7:D7"/>
    <mergeCell ref="C3:D3"/>
    <mergeCell ref="G3:H3"/>
    <mergeCell ref="G4:H4"/>
    <mergeCell ref="G5:H5"/>
    <mergeCell ref="C4:D4"/>
    <mergeCell ref="C5:D5"/>
  </mergeCells>
  <phoneticPr fontId="0" type="noConversion"/>
  <printOptions horizontalCentered="1"/>
  <pageMargins left="0.75" right="0.75" top="1" bottom="1" header="0.56999999999999995" footer="0.5"/>
  <pageSetup orientation="portrait" r:id="rId1"/>
  <headerFooter alignWithMargins="0"/>
  <ignoredErrors>
    <ignoredError sqref="D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Elkhorn Engineers, P.L.L.C.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Arnie Halll</dc:creator>
  <cp:keywords/>
  <dc:description/>
  <cp:lastModifiedBy>Hank Kennedy</cp:lastModifiedBy>
  <cp:revision/>
  <dcterms:created xsi:type="dcterms:W3CDTF">1998-05-14T22:38:56Z</dcterms:created>
  <dcterms:modified xsi:type="dcterms:W3CDTF">2025-12-09T15:43:05Z</dcterms:modified>
  <cp:category/>
  <cp:contentStatus/>
</cp:coreProperties>
</file>
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"/>
    </mc:Choice>
  </mc:AlternateContent>
  <xr:revisionPtr revIDLastSave="2" documentId="13_ncr:1_{C9C001BA-72EE-4ED1-BC88-A081EEFE7B13}" xr6:coauthVersionLast="47" xr6:coauthVersionMax="47" xr10:uidLastSave="{471CC9D1-A2CD-416D-959B-2AB4F9D0EF3A}"/>
  <bookViews>
    <workbookView xWindow="705" yWindow="75" windowWidth="21585" windowHeight="13410" tabRatio="775" firstSheet="4" activeTab="4" xr2:uid="{00000000-000D-0000-FFFF-FFFF00000000}"/>
  </bookViews>
  <sheets>
    <sheet name="Washington Only" sheetId="1" state="hidden" r:id="rId1"/>
    <sheet name="Idaho Only Old" sheetId="13" state="hidden" r:id="rId2"/>
    <sheet name="Idaho Only" sheetId="6" state="hidden" r:id="rId3"/>
    <sheet name="Oregon Only" sheetId="3" state="hidden" r:id="rId4"/>
    <sheet name="All States" sheetId="14" r:id="rId5"/>
    <sheet name="Sheet1" sheetId="15" r:id="rId6"/>
    <sheet name="Tri-State" sheetId="4" state="hidden" r:id="rId7"/>
    <sheet name="Colorado" sheetId="8" state="hidden" r:id="rId8"/>
    <sheet name="NO EDIT_Washington Summary" sheetId="5" state="hidden" r:id="rId9"/>
    <sheet name="Washington Page Print" sheetId="7" state="hidden" r:id="rId10"/>
    <sheet name="Montana" sheetId="9" state="hidden" r:id="rId11"/>
    <sheet name="California" sheetId="10" state="hidden" r:id="rId12"/>
    <sheet name="Nevada" sheetId="11" state="hidden" r:id="rId13"/>
  </sheets>
  <definedNames>
    <definedName name="_xleta.AND" hidden="1" xlm="1">#NAME?</definedName>
    <definedName name="amps">'All States'!$G$11</definedName>
    <definedName name="bardcost">'All States'!$G$10</definedName>
    <definedName name="buildings">'All States'!$G$5</definedName>
    <definedName name="CA">'All States'!$N$12</definedName>
    <definedName name="CO">'All States'!$N$11</definedName>
    <definedName name="drops">'All States'!$G$9</definedName>
    <definedName name="elect_eng">'All States'!$AE$68</definedName>
    <definedName name="ID">'All States'!$N$6</definedName>
    <definedName name="matcost">'All States'!$G$7</definedName>
    <definedName name="mech_eng">'All States'!$AE$67</definedName>
    <definedName name="mods">'All States'!$G$6</definedName>
    <definedName name="MT">'All States'!$N$9</definedName>
    <definedName name="NV">'All States'!$N$13</definedName>
    <definedName name="Oregon">'All States'!$N$8</definedName>
    <definedName name="sqft">'All States'!$G$8</definedName>
    <definedName name="UT">'All States'!$N$10</definedName>
    <definedName name="WA">'All States'!$N$7</definedName>
    <definedName name="WY">'All States'!$N$14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72" i="14" l="1"/>
  <c r="G10" i="14"/>
  <c r="H13" i="1" s="1"/>
  <c r="G8" i="14"/>
  <c r="A10" i="15"/>
  <c r="H3" i="15"/>
  <c r="H4" i="15"/>
  <c r="H5" i="15"/>
  <c r="H6" i="15"/>
  <c r="H7" i="15"/>
  <c r="H8" i="15"/>
  <c r="H2" i="15"/>
  <c r="B8" i="15"/>
  <c r="B7" i="15"/>
  <c r="B6" i="15"/>
  <c r="B5" i="15"/>
  <c r="B4" i="15"/>
  <c r="G3" i="15"/>
  <c r="G4" i="15"/>
  <c r="G5" i="15"/>
  <c r="G6" i="15"/>
  <c r="G7" i="15"/>
  <c r="G8" i="15"/>
  <c r="G2" i="15"/>
  <c r="D4" i="15"/>
  <c r="D6" i="15"/>
  <c r="D5" i="15"/>
  <c r="D2" i="15"/>
  <c r="E7" i="15"/>
  <c r="B3" i="15"/>
  <c r="B2" i="15"/>
  <c r="H4" i="1"/>
  <c r="H12" i="1"/>
  <c r="H9" i="1"/>
  <c r="AL151" i="14" l="1"/>
  <c r="AD154" i="14" s="1"/>
  <c r="H11" i="1"/>
  <c r="AD152" i="14" l="1"/>
  <c r="AD157" i="14"/>
  <c r="AD155" i="14"/>
  <c r="AD153" i="14"/>
  <c r="AD156" i="14"/>
  <c r="X155" i="14"/>
  <c r="AG149" i="14"/>
  <c r="W150" i="14" s="1"/>
  <c r="AA35" i="1"/>
  <c r="AH126" i="1"/>
  <c r="AH127" i="1"/>
  <c r="AH128" i="1"/>
  <c r="AH129" i="1"/>
  <c r="AH130" i="1"/>
  <c r="AH131" i="1"/>
  <c r="AH132" i="1"/>
  <c r="AJ132" i="1"/>
  <c r="F11" i="14"/>
  <c r="H41" i="14" s="1"/>
  <c r="AI29" i="1"/>
  <c r="H40" i="14"/>
  <c r="AE101" i="14"/>
  <c r="AF102" i="14"/>
  <c r="H39" i="14"/>
  <c r="F13" i="14"/>
  <c r="Z71" i="14"/>
  <c r="Z76" i="14" s="1"/>
  <c r="H49" i="14"/>
  <c r="H38" i="14"/>
  <c r="H54" i="14" s="1"/>
  <c r="AE67" i="14"/>
  <c r="Z77" i="14"/>
  <c r="Z129" i="14"/>
  <c r="Z130" i="14"/>
  <c r="Z131" i="14"/>
  <c r="AE128" i="14"/>
  <c r="AE132" i="14" s="1"/>
  <c r="Z119" i="14"/>
  <c r="H51" i="14" s="1"/>
  <c r="Z102" i="14"/>
  <c r="Y65" i="14"/>
  <c r="X65" i="14"/>
  <c r="W65" i="14"/>
  <c r="V65" i="14"/>
  <c r="U65" i="14"/>
  <c r="T65" i="14"/>
  <c r="Y64" i="14"/>
  <c r="X64" i="14"/>
  <c r="W64" i="14"/>
  <c r="V64" i="14"/>
  <c r="U64" i="14"/>
  <c r="T64" i="14"/>
  <c r="Y63" i="14"/>
  <c r="X63" i="14"/>
  <c r="W63" i="14"/>
  <c r="V63" i="14"/>
  <c r="U63" i="14"/>
  <c r="T63" i="14"/>
  <c r="Z63" i="14" s="1"/>
  <c r="Y62" i="14"/>
  <c r="X62" i="14"/>
  <c r="W62" i="14"/>
  <c r="V62" i="14"/>
  <c r="U62" i="14"/>
  <c r="T62" i="14"/>
  <c r="Y61" i="14"/>
  <c r="X61" i="14"/>
  <c r="W61" i="14"/>
  <c r="V61" i="14"/>
  <c r="U61" i="14"/>
  <c r="T61" i="14"/>
  <c r="Y60" i="14"/>
  <c r="X60" i="14"/>
  <c r="W60" i="14"/>
  <c r="V60" i="14"/>
  <c r="U60" i="14"/>
  <c r="T60" i="14"/>
  <c r="Y59" i="14"/>
  <c r="X59" i="14"/>
  <c r="W59" i="14"/>
  <c r="V59" i="14"/>
  <c r="U59" i="14"/>
  <c r="T59" i="14"/>
  <c r="Y58" i="14"/>
  <c r="X58" i="14"/>
  <c r="W58" i="14"/>
  <c r="V58" i="14"/>
  <c r="U58" i="14"/>
  <c r="T58" i="14"/>
  <c r="Y57" i="14"/>
  <c r="X57" i="14"/>
  <c r="W57" i="14"/>
  <c r="V57" i="14"/>
  <c r="U57" i="14"/>
  <c r="Z57" i="14" s="1"/>
  <c r="T57" i="14"/>
  <c r="Y56" i="14"/>
  <c r="X56" i="14"/>
  <c r="W56" i="14"/>
  <c r="V56" i="14"/>
  <c r="U56" i="14"/>
  <c r="Z56" i="14" s="1"/>
  <c r="T56" i="14"/>
  <c r="Y55" i="14"/>
  <c r="X55" i="14"/>
  <c r="W55" i="14"/>
  <c r="V55" i="14"/>
  <c r="U55" i="14"/>
  <c r="T55" i="14"/>
  <c r="Y54" i="14"/>
  <c r="X54" i="14"/>
  <c r="W54" i="14"/>
  <c r="V54" i="14"/>
  <c r="U54" i="14"/>
  <c r="T54" i="14"/>
  <c r="Y53" i="14"/>
  <c r="X53" i="14"/>
  <c r="W53" i="14"/>
  <c r="V53" i="14"/>
  <c r="U53" i="14"/>
  <c r="T53" i="14"/>
  <c r="Y52" i="14"/>
  <c r="X52" i="14"/>
  <c r="W52" i="14"/>
  <c r="V52" i="14"/>
  <c r="U52" i="14"/>
  <c r="T52" i="14"/>
  <c r="Y51" i="14"/>
  <c r="X51" i="14"/>
  <c r="W51" i="14"/>
  <c r="V51" i="14"/>
  <c r="U51" i="14"/>
  <c r="T51" i="14"/>
  <c r="Z51" i="14" s="1"/>
  <c r="Y50" i="14"/>
  <c r="X50" i="14"/>
  <c r="W50" i="14"/>
  <c r="V50" i="14"/>
  <c r="U50" i="14"/>
  <c r="T50" i="14"/>
  <c r="Y49" i="14"/>
  <c r="X49" i="14"/>
  <c r="W49" i="14"/>
  <c r="V49" i="14"/>
  <c r="U49" i="14"/>
  <c r="T49" i="14"/>
  <c r="Y48" i="14"/>
  <c r="X48" i="14"/>
  <c r="W48" i="14"/>
  <c r="V48" i="14"/>
  <c r="U48" i="14"/>
  <c r="T48" i="14"/>
  <c r="Y47" i="14"/>
  <c r="X47" i="14"/>
  <c r="W47" i="14"/>
  <c r="V47" i="14"/>
  <c r="U47" i="14"/>
  <c r="T47" i="14"/>
  <c r="Y46" i="14"/>
  <c r="X46" i="14"/>
  <c r="W46" i="14"/>
  <c r="V46" i="14"/>
  <c r="U46" i="14"/>
  <c r="T46" i="14"/>
  <c r="Y45" i="14"/>
  <c r="X45" i="14"/>
  <c r="W45" i="14"/>
  <c r="V45" i="14"/>
  <c r="U45" i="14"/>
  <c r="Z45" i="14" s="1"/>
  <c r="T45" i="14"/>
  <c r="Y44" i="14"/>
  <c r="X44" i="14"/>
  <c r="W44" i="14"/>
  <c r="V44" i="14"/>
  <c r="U44" i="14"/>
  <c r="Z44" i="14" s="1"/>
  <c r="T44" i="14"/>
  <c r="AG38" i="14"/>
  <c r="AF38" i="14"/>
  <c r="G34" i="14" s="1"/>
  <c r="AE38" i="14"/>
  <c r="AD38" i="14"/>
  <c r="W38" i="14" s="1"/>
  <c r="G32" i="14" s="1"/>
  <c r="Z38" i="14"/>
  <c r="Y38" i="14"/>
  <c r="AG37" i="14"/>
  <c r="AF37" i="14"/>
  <c r="AE37" i="14"/>
  <c r="AD37" i="14"/>
  <c r="V37" i="14"/>
  <c r="AG36" i="14"/>
  <c r="AF36" i="14"/>
  <c r="AE36" i="14"/>
  <c r="AD36" i="14"/>
  <c r="V36" i="14"/>
  <c r="V35" i="14"/>
  <c r="AH31" i="14"/>
  <c r="AG31" i="14"/>
  <c r="AF31" i="14"/>
  <c r="AE31" i="14"/>
  <c r="AD31" i="14"/>
  <c r="Y31" i="14"/>
  <c r="AH30" i="14"/>
  <c r="AG30" i="14"/>
  <c r="AF30" i="14"/>
  <c r="AE30" i="14"/>
  <c r="AD30" i="14"/>
  <c r="Z30" i="14"/>
  <c r="Y30" i="14"/>
  <c r="X30" i="14"/>
  <c r="W30" i="14"/>
  <c r="AH29" i="14"/>
  <c r="AG29" i="14"/>
  <c r="AF29" i="14"/>
  <c r="AE29" i="14"/>
  <c r="AD29" i="14"/>
  <c r="Z29" i="14"/>
  <c r="Y29" i="14"/>
  <c r="X29" i="14"/>
  <c r="W29" i="14"/>
  <c r="AG26" i="14"/>
  <c r="AF26" i="14"/>
  <c r="AE26" i="14"/>
  <c r="AD26" i="14"/>
  <c r="AG25" i="14"/>
  <c r="AF25" i="14"/>
  <c r="AE25" i="14"/>
  <c r="AD25" i="14"/>
  <c r="AG24" i="14"/>
  <c r="AF24" i="14"/>
  <c r="AE24" i="14"/>
  <c r="AD24" i="14"/>
  <c r="H27" i="14"/>
  <c r="AG23" i="14"/>
  <c r="AF23" i="14"/>
  <c r="AE23" i="14"/>
  <c r="AD23" i="14"/>
  <c r="W22" i="14"/>
  <c r="AT19" i="14"/>
  <c r="H5" i="6"/>
  <c r="H14" i="6"/>
  <c r="H13" i="6"/>
  <c r="T44" i="4"/>
  <c r="U44" i="4"/>
  <c r="Z44" i="4" s="1"/>
  <c r="V44" i="4"/>
  <c r="W44" i="4"/>
  <c r="X44" i="4"/>
  <c r="Y44" i="4"/>
  <c r="T45" i="4"/>
  <c r="U45" i="4"/>
  <c r="V45" i="4"/>
  <c r="W45" i="4"/>
  <c r="X45" i="4"/>
  <c r="Y45" i="4"/>
  <c r="Z45" i="4" s="1"/>
  <c r="T46" i="4"/>
  <c r="U46" i="4"/>
  <c r="Z46" i="4" s="1"/>
  <c r="V46" i="4"/>
  <c r="W46" i="4"/>
  <c r="X46" i="4"/>
  <c r="Y46" i="4"/>
  <c r="T47" i="4"/>
  <c r="U47" i="4"/>
  <c r="Z47" i="4" s="1"/>
  <c r="V47" i="4"/>
  <c r="W47" i="4"/>
  <c r="X47" i="4"/>
  <c r="Y47" i="4"/>
  <c r="U48" i="4"/>
  <c r="V48" i="4"/>
  <c r="W48" i="4"/>
  <c r="X48" i="4"/>
  <c r="Y48" i="4"/>
  <c r="U49" i="4"/>
  <c r="V49" i="4"/>
  <c r="W49" i="4"/>
  <c r="X49" i="4"/>
  <c r="Y49" i="4"/>
  <c r="U50" i="4"/>
  <c r="V50" i="4"/>
  <c r="W50" i="4"/>
  <c r="X50" i="4"/>
  <c r="Y50" i="4"/>
  <c r="T51" i="4"/>
  <c r="U51" i="4"/>
  <c r="V51" i="4"/>
  <c r="W51" i="4"/>
  <c r="X51" i="4"/>
  <c r="Y51" i="4"/>
  <c r="T52" i="4"/>
  <c r="U52" i="4"/>
  <c r="V52" i="4"/>
  <c r="W52" i="4"/>
  <c r="X52" i="4"/>
  <c r="Y52" i="4"/>
  <c r="T53" i="4"/>
  <c r="U53" i="4"/>
  <c r="V53" i="4"/>
  <c r="W53" i="4"/>
  <c r="X53" i="4"/>
  <c r="Y53" i="4"/>
  <c r="T54" i="4"/>
  <c r="U54" i="4"/>
  <c r="V54" i="4"/>
  <c r="W54" i="4"/>
  <c r="X54" i="4"/>
  <c r="Y54" i="4"/>
  <c r="T55" i="4"/>
  <c r="U55" i="4"/>
  <c r="Z55" i="4" s="1"/>
  <c r="V55" i="4"/>
  <c r="W55" i="4"/>
  <c r="X55" i="4"/>
  <c r="Y55" i="4"/>
  <c r="T56" i="4"/>
  <c r="U56" i="4"/>
  <c r="Z56" i="4" s="1"/>
  <c r="V56" i="4"/>
  <c r="W56" i="4"/>
  <c r="X56" i="4"/>
  <c r="Y56" i="4"/>
  <c r="T57" i="4"/>
  <c r="U57" i="4"/>
  <c r="V57" i="4"/>
  <c r="W57" i="4"/>
  <c r="X57" i="4"/>
  <c r="Y57" i="4"/>
  <c r="T58" i="4"/>
  <c r="U58" i="4"/>
  <c r="Z58" i="4" s="1"/>
  <c r="V58" i="4"/>
  <c r="W58" i="4"/>
  <c r="X58" i="4"/>
  <c r="Y58" i="4"/>
  <c r="T59" i="4"/>
  <c r="U59" i="4"/>
  <c r="Z59" i="4" s="1"/>
  <c r="V59" i="4"/>
  <c r="W59" i="4"/>
  <c r="X59" i="4"/>
  <c r="Y59" i="4"/>
  <c r="T60" i="4"/>
  <c r="U60" i="4"/>
  <c r="Z60" i="4" s="1"/>
  <c r="V60" i="4"/>
  <c r="W60" i="4"/>
  <c r="X60" i="4"/>
  <c r="Y60" i="4"/>
  <c r="U61" i="4"/>
  <c r="Z61" i="4" s="1"/>
  <c r="V61" i="4"/>
  <c r="W61" i="4"/>
  <c r="X61" i="4"/>
  <c r="Y61" i="4"/>
  <c r="T62" i="4"/>
  <c r="Z62" i="4" s="1"/>
  <c r="U62" i="4"/>
  <c r="V62" i="4"/>
  <c r="W62" i="4"/>
  <c r="X62" i="4"/>
  <c r="Y62" i="4"/>
  <c r="T63" i="4"/>
  <c r="U63" i="4"/>
  <c r="V63" i="4"/>
  <c r="W63" i="4"/>
  <c r="X63" i="4"/>
  <c r="Y63" i="4"/>
  <c r="T64" i="4"/>
  <c r="U64" i="4"/>
  <c r="V64" i="4"/>
  <c r="W64" i="4"/>
  <c r="X64" i="4"/>
  <c r="Y64" i="4"/>
  <c r="U43" i="4"/>
  <c r="V43" i="4"/>
  <c r="W43" i="4"/>
  <c r="X43" i="4"/>
  <c r="Y43" i="4"/>
  <c r="T43" i="4"/>
  <c r="AG77" i="6"/>
  <c r="AG76" i="6"/>
  <c r="AG75" i="6"/>
  <c r="AG74" i="6"/>
  <c r="AG73" i="6"/>
  <c r="AG72" i="6"/>
  <c r="AG71" i="6"/>
  <c r="AG70" i="6"/>
  <c r="AG65" i="6"/>
  <c r="AG60" i="6"/>
  <c r="AG61" i="6"/>
  <c r="AG62" i="6"/>
  <c r="AG63" i="6"/>
  <c r="AG64" i="6"/>
  <c r="AG59" i="6"/>
  <c r="AG58" i="6"/>
  <c r="AA77" i="6"/>
  <c r="AA76" i="6"/>
  <c r="T61" i="4" s="1"/>
  <c r="AA75" i="6"/>
  <c r="AA65" i="6"/>
  <c r="T50" i="4" s="1"/>
  <c r="Z50" i="4" s="1"/>
  <c r="AA64" i="6"/>
  <c r="T49" i="4" s="1"/>
  <c r="AA63" i="6"/>
  <c r="T48" i="4" s="1"/>
  <c r="AB28" i="13"/>
  <c r="Z28" i="13" s="1"/>
  <c r="Q5" i="13" s="1"/>
  <c r="H13" i="13" s="1"/>
  <c r="Z25" i="13"/>
  <c r="AB21" i="13"/>
  <c r="Z21" i="13" s="1"/>
  <c r="Q7" i="13" s="1"/>
  <c r="H15" i="13" s="1"/>
  <c r="Z18" i="13"/>
  <c r="H16" i="13"/>
  <c r="Q8" i="13"/>
  <c r="H5" i="13"/>
  <c r="AB36" i="13" s="1"/>
  <c r="Z36" i="13" s="1"/>
  <c r="Q6" i="13" s="1"/>
  <c r="H14" i="13" s="1"/>
  <c r="G23" i="4"/>
  <c r="Z43" i="4"/>
  <c r="AJ21" i="1"/>
  <c r="AJ20" i="1"/>
  <c r="AI41" i="1"/>
  <c r="AJ54" i="1"/>
  <c r="AI54" i="1"/>
  <c r="AH54" i="1"/>
  <c r="W153" i="14" l="1"/>
  <c r="Z155" i="14" s="1"/>
  <c r="X153" i="14"/>
  <c r="Y153" i="14"/>
  <c r="Z153" i="14"/>
  <c r="AB125" i="1"/>
  <c r="AB126" i="1" s="1"/>
  <c r="P8" i="1" s="1"/>
  <c r="W25" i="14" s="1"/>
  <c r="Z101" i="14"/>
  <c r="Z104" i="14" s="1"/>
  <c r="H48" i="14" s="1"/>
  <c r="G26" i="14"/>
  <c r="H26" i="14" s="1"/>
  <c r="H55" i="14"/>
  <c r="H44" i="14"/>
  <c r="Z132" i="14"/>
  <c r="H45" i="14"/>
  <c r="Z61" i="14"/>
  <c r="W31" i="14"/>
  <c r="Z48" i="14"/>
  <c r="Z60" i="14"/>
  <c r="Z62" i="14"/>
  <c r="Z31" i="14"/>
  <c r="H47" i="14"/>
  <c r="Z47" i="14"/>
  <c r="Z49" i="14"/>
  <c r="Z46" i="14"/>
  <c r="Z50" i="14"/>
  <c r="X38" i="14"/>
  <c r="G33" i="14" s="1"/>
  <c r="G35" i="14" s="1"/>
  <c r="V38" i="14"/>
  <c r="Z59" i="14"/>
  <c r="X31" i="14"/>
  <c r="Z58" i="14"/>
  <c r="Z57" i="4"/>
  <c r="Z48" i="4"/>
  <c r="G21" i="4" s="1"/>
  <c r="Z49" i="4"/>
  <c r="G22" i="4"/>
  <c r="S4" i="10"/>
  <c r="E9" i="8"/>
  <c r="E4" i="8"/>
  <c r="B6" i="11"/>
  <c r="X156" i="14" l="1"/>
  <c r="X157" i="14"/>
  <c r="Y155" i="14"/>
  <c r="Y156" i="14"/>
  <c r="G25" i="14"/>
  <c r="G24" i="14"/>
  <c r="H42" i="14" s="1"/>
  <c r="H24" i="14"/>
  <c r="H41" i="4"/>
  <c r="B12" i="10"/>
  <c r="B9" i="11"/>
  <c r="B10" i="11" s="1"/>
  <c r="B8" i="11"/>
  <c r="B9" i="10"/>
  <c r="B14" i="11"/>
  <c r="B7" i="11"/>
  <c r="B18" i="10"/>
  <c r="B11" i="10"/>
  <c r="B10" i="10"/>
  <c r="B8" i="10"/>
  <c r="Z156" i="14" l="1"/>
  <c r="Z157" i="14" s="1"/>
  <c r="W5" i="14"/>
  <c r="H23" i="14"/>
  <c r="X5" i="14"/>
  <c r="F8" i="8"/>
  <c r="E6" i="8"/>
  <c r="F6" i="8" s="1"/>
  <c r="E7" i="8"/>
  <c r="F7" i="8" s="1"/>
  <c r="H38" i="7"/>
  <c r="F8" i="7"/>
  <c r="F7" i="7"/>
  <c r="F6" i="7"/>
  <c r="I6" i="7"/>
  <c r="E8" i="7"/>
  <c r="E7" i="7"/>
  <c r="E6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5" i="7"/>
  <c r="B24" i="7"/>
  <c r="B23" i="7"/>
  <c r="B20" i="7"/>
  <c r="B19" i="7"/>
  <c r="B15" i="7"/>
  <c r="B14" i="7"/>
  <c r="B13" i="7"/>
  <c r="B12" i="7"/>
  <c r="B11" i="7"/>
  <c r="B10" i="7"/>
  <c r="B9" i="7"/>
  <c r="B8" i="7"/>
  <c r="B7" i="7"/>
  <c r="B6" i="7"/>
  <c r="B5" i="7"/>
  <c r="B3" i="7"/>
  <c r="W5" i="4"/>
  <c r="I13" i="3"/>
  <c r="G29" i="14" l="1"/>
  <c r="H43" i="14" s="1"/>
  <c r="Y55" i="3"/>
  <c r="Z55" i="3"/>
  <c r="Z38" i="4"/>
  <c r="Z72" i="3"/>
  <c r="AA72" i="3" s="1"/>
  <c r="P3" i="3"/>
  <c r="P3" i="1"/>
  <c r="J17" i="1"/>
  <c r="J16" i="1"/>
  <c r="W22" i="4"/>
  <c r="AG26" i="4"/>
  <c r="AF26" i="4"/>
  <c r="AE26" i="4"/>
  <c r="AD26" i="4"/>
  <c r="AG25" i="4"/>
  <c r="AF25" i="4"/>
  <c r="AE25" i="4"/>
  <c r="AD25" i="4"/>
  <c r="AG24" i="4"/>
  <c r="AF24" i="4"/>
  <c r="AE24" i="4"/>
  <c r="AD24" i="4"/>
  <c r="AG23" i="4"/>
  <c r="AF23" i="4"/>
  <c r="AE23" i="4"/>
  <c r="AD23" i="4"/>
  <c r="Z128" i="14" l="1"/>
  <c r="H52" i="14" s="1"/>
  <c r="AB55" i="3"/>
  <c r="Y58" i="3" s="1"/>
  <c r="AA73" i="3"/>
  <c r="Z73" i="3"/>
  <c r="Y72" i="3" s="1"/>
  <c r="P14" i="3" s="1"/>
  <c r="W25" i="4"/>
  <c r="G14" i="4" s="1"/>
  <c r="Y61" i="3" l="1"/>
  <c r="AA61" i="3"/>
  <c r="Q20" i="3" s="1"/>
  <c r="AA58" i="3"/>
  <c r="Y38" i="4"/>
  <c r="AB21" i="3"/>
  <c r="AA21" i="3" s="1"/>
  <c r="AG38" i="4"/>
  <c r="AF38" i="4"/>
  <c r="G31" i="4" s="1"/>
  <c r="AE38" i="4"/>
  <c r="AD38" i="4"/>
  <c r="AG37" i="4"/>
  <c r="AF37" i="4"/>
  <c r="AE37" i="4"/>
  <c r="AD37" i="4"/>
  <c r="AG36" i="4"/>
  <c r="AF36" i="4"/>
  <c r="AE36" i="4"/>
  <c r="AD36" i="4"/>
  <c r="Y31" i="4"/>
  <c r="AC54" i="1"/>
  <c r="V37" i="4"/>
  <c r="V36" i="4"/>
  <c r="V35" i="4"/>
  <c r="W30" i="4"/>
  <c r="X30" i="4"/>
  <c r="Y30" i="4"/>
  <c r="Z30" i="4"/>
  <c r="X29" i="4"/>
  <c r="Y29" i="4"/>
  <c r="Z29" i="4"/>
  <c r="W29" i="4"/>
  <c r="AH31" i="4"/>
  <c r="AG31" i="4"/>
  <c r="AF31" i="4"/>
  <c r="AE31" i="4"/>
  <c r="AD31" i="4"/>
  <c r="AH30" i="4"/>
  <c r="AG30" i="4"/>
  <c r="AF30" i="4"/>
  <c r="AE30" i="4"/>
  <c r="AH29" i="4"/>
  <c r="AG29" i="4"/>
  <c r="AF29" i="4"/>
  <c r="AE29" i="4"/>
  <c r="AD30" i="4"/>
  <c r="AD29" i="4"/>
  <c r="O8" i="5"/>
  <c r="P8" i="5"/>
  <c r="H23" i="4"/>
  <c r="AT19" i="4"/>
  <c r="AA23" i="3"/>
  <c r="H21" i="4"/>
  <c r="Z21" i="3"/>
  <c r="AL54" i="1"/>
  <c r="AA54" i="1" s="1"/>
  <c r="AA29" i="1"/>
  <c r="AA26" i="1"/>
  <c r="P15" i="5"/>
  <c r="O15" i="5"/>
  <c r="V36" i="6"/>
  <c r="T36" i="6" s="1"/>
  <c r="H15" i="6" s="1"/>
  <c r="H17" i="6" s="1"/>
  <c r="V28" i="6"/>
  <c r="T28" i="6" s="1"/>
  <c r="T25" i="6"/>
  <c r="V21" i="6"/>
  <c r="T21" i="6" s="1"/>
  <c r="T18" i="6"/>
  <c r="Q17" i="5"/>
  <c r="Q19" i="5"/>
  <c r="Q18" i="5"/>
  <c r="P19" i="5"/>
  <c r="P18" i="5"/>
  <c r="P17" i="5"/>
  <c r="P13" i="5"/>
  <c r="P12" i="5"/>
  <c r="P11" i="5"/>
  <c r="P9" i="5"/>
  <c r="P7" i="5"/>
  <c r="P6" i="5"/>
  <c r="P5" i="5"/>
  <c r="P4" i="5"/>
  <c r="G5" i="1"/>
  <c r="O5" i="5" s="1"/>
  <c r="O6" i="5"/>
  <c r="O9" i="5"/>
  <c r="O11" i="5"/>
  <c r="O12" i="5"/>
  <c r="O13" i="5"/>
  <c r="O17" i="5"/>
  <c r="O18" i="5"/>
  <c r="O19" i="5"/>
  <c r="O4" i="5"/>
  <c r="P27" i="3"/>
  <c r="F20" i="3"/>
  <c r="G12" i="3"/>
  <c r="G10" i="3"/>
  <c r="B26" i="5"/>
  <c r="B26" i="7" s="1"/>
  <c r="B24" i="5"/>
  <c r="B23" i="5"/>
  <c r="B22" i="5"/>
  <c r="B22" i="7" s="1"/>
  <c r="B21" i="5"/>
  <c r="B21" i="7" s="1"/>
  <c r="B18" i="5"/>
  <c r="B18" i="7" s="1"/>
  <c r="B17" i="5"/>
  <c r="B17" i="7" s="1"/>
  <c r="B16" i="5"/>
  <c r="B16" i="7" s="1"/>
  <c r="G19" i="1"/>
  <c r="P26" i="1"/>
  <c r="E7" i="5"/>
  <c r="I8" i="5"/>
  <c r="I8" i="7" s="1"/>
  <c r="AI22" i="1"/>
  <c r="G7" i="1" s="1"/>
  <c r="O7" i="5" s="1"/>
  <c r="Y74" i="3"/>
  <c r="Y124" i="3"/>
  <c r="Q21" i="3" s="1"/>
  <c r="Y122" i="3"/>
  <c r="Y121" i="3"/>
  <c r="AH32" i="3"/>
  <c r="O7" i="3"/>
  <c r="Z38" i="3"/>
  <c r="AG71" i="3"/>
  <c r="AB46" i="3"/>
  <c r="Z46" i="3"/>
  <c r="AB45" i="3"/>
  <c r="AA45" i="3"/>
  <c r="Z45" i="3"/>
  <c r="Y43" i="3"/>
  <c r="P5" i="3"/>
  <c r="AA46" i="3" s="1"/>
  <c r="Y104" i="3"/>
  <c r="AB117" i="3"/>
  <c r="AA117" i="3" s="1"/>
  <c r="Y114" i="3"/>
  <c r="Y94" i="3"/>
  <c r="AF37" i="3"/>
  <c r="Z31" i="3"/>
  <c r="Y52" i="3"/>
  <c r="Y69" i="3"/>
  <c r="Y35" i="3"/>
  <c r="Y31" i="3"/>
  <c r="Y28" i="3"/>
  <c r="Y2" i="3"/>
  <c r="AI101" i="1"/>
  <c r="AI102" i="1"/>
  <c r="AC105" i="1" s="1"/>
  <c r="AI103" i="1"/>
  <c r="AI104" i="1"/>
  <c r="AI105" i="1"/>
  <c r="AI106" i="1"/>
  <c r="AI100" i="1"/>
  <c r="AB105" i="1" s="1"/>
  <c r="AA105" i="1" s="1"/>
  <c r="AH101" i="1"/>
  <c r="AH102" i="1"/>
  <c r="AH103" i="1"/>
  <c r="AH104" i="1"/>
  <c r="AH105" i="1"/>
  <c r="AH106" i="1"/>
  <c r="AH100" i="1"/>
  <c r="P5" i="1"/>
  <c r="AD60" i="1" s="1"/>
  <c r="AD63" i="1"/>
  <c r="AD62" i="1"/>
  <c r="AA2" i="1"/>
  <c r="AD59" i="1"/>
  <c r="AC60" i="1"/>
  <c r="AB60" i="1" s="1"/>
  <c r="AB21" i="1"/>
  <c r="I7" i="5" s="1"/>
  <c r="I7" i="7" s="1"/>
  <c r="AA18" i="1"/>
  <c r="AB68" i="1"/>
  <c r="AA65" i="1"/>
  <c r="AA57" i="1"/>
  <c r="AA51" i="1"/>
  <c r="AA46" i="1"/>
  <c r="AB48" i="1"/>
  <c r="AB46" i="1"/>
  <c r="AA41" i="1"/>
  <c r="AA38" i="1"/>
  <c r="P7" i="1"/>
  <c r="AA32" i="1"/>
  <c r="AA116" i="1"/>
  <c r="P9" i="1" s="1"/>
  <c r="AA113" i="1"/>
  <c r="AA98" i="1"/>
  <c r="AJ22" i="1"/>
  <c r="AA21" i="1"/>
  <c r="I11" i="5" s="1"/>
  <c r="I11" i="7" s="1"/>
  <c r="AK86" i="1"/>
  <c r="AA87" i="1" s="1"/>
  <c r="W38" i="4" l="1"/>
  <c r="G29" i="4" s="1"/>
  <c r="H40" i="4"/>
  <c r="H39" i="4"/>
  <c r="H35" i="4"/>
  <c r="X38" i="4"/>
  <c r="G30" i="4" s="1"/>
  <c r="AA68" i="1"/>
  <c r="Q13" i="1" s="1"/>
  <c r="I26" i="5" s="1"/>
  <c r="I26" i="7" s="1"/>
  <c r="AB103" i="1"/>
  <c r="AA103" i="1" s="1"/>
  <c r="AA101" i="1" s="1"/>
  <c r="Q12" i="1" s="1"/>
  <c r="I33" i="5" s="1"/>
  <c r="I33" i="7" s="1"/>
  <c r="Q18" i="1"/>
  <c r="AB54" i="1"/>
  <c r="Q19" i="1" s="1"/>
  <c r="G16" i="14" s="1"/>
  <c r="Z109" i="3"/>
  <c r="AF111" i="3" s="1"/>
  <c r="W31" i="4"/>
  <c r="G16" i="4" s="1"/>
  <c r="V38" i="4"/>
  <c r="Z31" i="4"/>
  <c r="G15" i="4" s="1"/>
  <c r="X31" i="4"/>
  <c r="G13" i="4" s="1"/>
  <c r="H24" i="4"/>
  <c r="X5" i="4" s="1"/>
  <c r="G26" i="4" s="1"/>
  <c r="H20" i="4"/>
  <c r="Y38" i="3"/>
  <c r="P8" i="3" s="1"/>
  <c r="Y21" i="3"/>
  <c r="P11" i="3" s="1"/>
  <c r="Y75" i="3"/>
  <c r="Q18" i="3" s="1"/>
  <c r="P12" i="3"/>
  <c r="P7" i="3"/>
  <c r="Z99" i="3"/>
  <c r="AC103" i="1"/>
  <c r="AB92" i="1"/>
  <c r="AD54" i="1"/>
  <c r="Q17" i="1" s="1"/>
  <c r="G18" i="14" s="1"/>
  <c r="I37" i="5" l="1"/>
  <c r="I37" i="7" s="1"/>
  <c r="G19" i="14"/>
  <c r="G32" i="4"/>
  <c r="AF107" i="3"/>
  <c r="AF106" i="3"/>
  <c r="AF110" i="3"/>
  <c r="AF108" i="3"/>
  <c r="AF109" i="3"/>
  <c r="I38" i="5"/>
  <c r="I38" i="7" s="1"/>
  <c r="G17" i="4"/>
  <c r="P9" i="3"/>
  <c r="P13" i="3"/>
  <c r="AF97" i="3"/>
  <c r="AF100" i="3"/>
  <c r="AF99" i="3"/>
  <c r="AF98" i="3"/>
  <c r="AF96" i="3"/>
  <c r="AF101" i="3"/>
  <c r="I12" i="5"/>
  <c r="I12" i="7" s="1"/>
  <c r="AH94" i="1"/>
  <c r="AH90" i="1"/>
  <c r="AH89" i="1"/>
  <c r="AH93" i="1"/>
  <c r="AH92" i="1"/>
  <c r="AH91" i="1"/>
  <c r="Q20" i="1"/>
  <c r="I35" i="5"/>
  <c r="I35" i="7" s="1"/>
  <c r="H34" i="4" l="1"/>
  <c r="Y107" i="3"/>
  <c r="AB109" i="3" s="1"/>
  <c r="AA107" i="3"/>
  <c r="AB107" i="3"/>
  <c r="Z107" i="3"/>
  <c r="AA109" i="3" s="1"/>
  <c r="Z97" i="3"/>
  <c r="AB97" i="3"/>
  <c r="Y97" i="3"/>
  <c r="AB99" i="3" s="1"/>
  <c r="AA97" i="3"/>
  <c r="AA90" i="1"/>
  <c r="AD92" i="1" s="1"/>
  <c r="AD90" i="1"/>
  <c r="AC90" i="1"/>
  <c r="AB90" i="1"/>
  <c r="Z110" i="3" l="1"/>
  <c r="Z111" i="3" s="1"/>
  <c r="Z100" i="3"/>
  <c r="Z101" i="3" s="1"/>
  <c r="AA99" i="3"/>
  <c r="AB93" i="1"/>
  <c r="AB94" i="1" s="1"/>
  <c r="AC92" i="1"/>
  <c r="AB100" i="3" l="1"/>
  <c r="AB101" i="3" s="1"/>
  <c r="P6" i="3" s="1"/>
  <c r="AA100" i="3"/>
  <c r="AB110" i="3"/>
  <c r="AB111" i="3" s="1"/>
  <c r="AA110" i="3"/>
  <c r="AC93" i="1"/>
  <c r="AD93" i="1"/>
  <c r="AD94" i="1" s="1"/>
  <c r="Z117" i="3" l="1"/>
  <c r="Y117" i="3" s="1"/>
  <c r="Q16" i="3" s="1"/>
  <c r="Y46" i="3" s="1"/>
  <c r="Q17" i="3" s="1"/>
  <c r="AA48" i="1"/>
  <c r="Q10" i="1" s="1"/>
  <c r="I17" i="5" s="1"/>
  <c r="P6" i="1"/>
  <c r="I13" i="5" s="1"/>
  <c r="I13" i="7" s="1"/>
  <c r="AA60" i="1"/>
  <c r="Q11" i="1" s="1"/>
  <c r="I21" i="5" l="1"/>
  <c r="I21" i="7" s="1"/>
  <c r="I22" i="5"/>
  <c r="I22" i="7" s="1"/>
  <c r="Q22" i="3"/>
  <c r="Q24" i="3" s="1"/>
  <c r="Q26" i="3" s="1"/>
  <c r="G21" i="3" s="1"/>
  <c r="I15" i="5"/>
  <c r="I15" i="7" s="1"/>
  <c r="Q15" i="1"/>
  <c r="G17" i="14" s="1"/>
  <c r="I16" i="5"/>
  <c r="Q22" i="1" l="1"/>
  <c r="I42" i="5"/>
  <c r="I42" i="7" s="1"/>
  <c r="I16" i="7"/>
  <c r="G20" i="3"/>
  <c r="Q25" i="1"/>
  <c r="H20" i="1" s="1"/>
  <c r="H19" i="1"/>
  <c r="G20" i="14" l="1"/>
  <c r="H46" i="14" l="1"/>
  <c r="H56" i="14" s="1"/>
  <c r="H5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Mitch Quintana</author>
  </authors>
  <commentList>
    <comment ref="AE101" authorId="0" shapeId="0" xr:uid="{8E6078DE-CE5C-43EC-A7DF-2ACF10C82145}">
      <text>
        <r>
          <rPr>
            <b/>
            <sz val="9"/>
            <color indexed="81"/>
            <rFont val="Tahoma"/>
            <family val="2"/>
          </rPr>
          <t>Mitch Quintana:</t>
        </r>
        <r>
          <rPr>
            <sz val="9"/>
            <color indexed="81"/>
            <rFont val="Tahoma"/>
            <family val="2"/>
          </rPr>
          <t xml:space="preserve">
15% of sqft</t>
        </r>
      </text>
    </comment>
  </commentList>
</comments>
</file>

<file path=xl/sharedStrings.xml><?xml version="1.0" encoding="utf-8"?>
<sst xmlns="http://schemas.openxmlformats.org/spreadsheetml/2006/main" count="853" uniqueCount="440">
  <si>
    <t>Calculation Tables</t>
  </si>
  <si>
    <t>WAC 296-15oF-3000</t>
  </si>
  <si>
    <t>Temp Locations of this sheet:</t>
  </si>
  <si>
    <t>General Building Information</t>
  </si>
  <si>
    <t>Washington Only</t>
  </si>
  <si>
    <t>S:\2022 Sales</t>
  </si>
  <si>
    <t>Structural Plan Review time period:</t>
  </si>
  <si>
    <t>J:\NWBS Design Department\State Applications</t>
  </si>
  <si>
    <t>No</t>
  </si>
  <si>
    <t>A=Assembly, I=Industrial, H=Hazard</t>
  </si>
  <si>
    <t>Building Square feet:</t>
  </si>
  <si>
    <t>Type of Building:</t>
  </si>
  <si>
    <t>Office</t>
  </si>
  <si>
    <t>Permit fee</t>
  </si>
  <si>
    <t>Index to form</t>
  </si>
  <si>
    <t>This side is all driven thorough</t>
  </si>
  <si>
    <t>Make updates to this side</t>
  </si>
  <si>
    <t>Electrical Plan Review Fee:</t>
  </si>
  <si>
    <t xml:space="preserve">formulas. Only update </t>
  </si>
  <si>
    <t>Number of Buildings</t>
  </si>
  <si>
    <t>Feeder Cost</t>
  </si>
  <si>
    <t>costs on adjacent side</t>
  </si>
  <si>
    <t>How many Mods is the building:</t>
  </si>
  <si>
    <t>A &amp; B is 2 mods</t>
  </si>
  <si>
    <t>Thermostat cost:</t>
  </si>
  <si>
    <t xml:space="preserve">Structural Plan Review fee </t>
  </si>
  <si>
    <t>Design SQFT Entry:</t>
  </si>
  <si>
    <t>Fire Life Safety</t>
  </si>
  <si>
    <t>Total number of plumbing fixtures:</t>
  </si>
  <si>
    <t>Total Electrical Plan-Review Fee</t>
  </si>
  <si>
    <t>Thermostat: Total number of units:</t>
  </si>
  <si>
    <t>Plumbing fee:</t>
  </si>
  <si>
    <t>Electrical</t>
  </si>
  <si>
    <t>Panel Amps</t>
  </si>
  <si>
    <t>Quantity</t>
  </si>
  <si>
    <t>Plan Review Total Fee:</t>
  </si>
  <si>
    <t>First panel(s):</t>
  </si>
  <si>
    <t>Second panel(s):</t>
  </si>
  <si>
    <t>NLEA Fee</t>
  </si>
  <si>
    <t>First Section</t>
  </si>
  <si>
    <t>Type of Building</t>
  </si>
  <si>
    <t>Additional Sections</t>
  </si>
  <si>
    <t>Fee</t>
  </si>
  <si>
    <t>Code</t>
  </si>
  <si>
    <t>Name</t>
  </si>
  <si>
    <t>Occupancy</t>
  </si>
  <si>
    <t>Multiplier for Abas</t>
  </si>
  <si>
    <t>Total Insignia Fee</t>
  </si>
  <si>
    <t>B</t>
  </si>
  <si>
    <t/>
  </si>
  <si>
    <t>Educational</t>
  </si>
  <si>
    <t>E</t>
  </si>
  <si>
    <t>Grand Total Fees:</t>
  </si>
  <si>
    <t>One-off</t>
  </si>
  <si>
    <t>Calculation for Sales:</t>
  </si>
  <si>
    <t>Tri State Labor</t>
  </si>
  <si>
    <t>Plan Review</t>
  </si>
  <si>
    <t>Labor</t>
  </si>
  <si>
    <t>Minimum Hours</t>
  </si>
  <si>
    <t>Fees For:</t>
  </si>
  <si>
    <t>Electrical Plan Submission Fee</t>
  </si>
  <si>
    <t xml:space="preserve">Supramental </t>
  </si>
  <si>
    <t>Submission</t>
  </si>
  <si>
    <t>Handling fee</t>
  </si>
  <si>
    <t>Submission Fee</t>
  </si>
  <si>
    <t>Minimum Fee:</t>
  </si>
  <si>
    <t>Minimum Plan Review Fee</t>
  </si>
  <si>
    <t>Minimum Plan</t>
  </si>
  <si>
    <t>Hours</t>
  </si>
  <si>
    <t>Cost per</t>
  </si>
  <si>
    <t>Review Fee</t>
  </si>
  <si>
    <t>Hour</t>
  </si>
  <si>
    <t>Structural Plan Review</t>
  </si>
  <si>
    <t>Structural Plan Review Fee</t>
  </si>
  <si>
    <t>Term</t>
  </si>
  <si>
    <t>Multiplier</t>
  </si>
  <si>
    <t>1 Year Plan</t>
  </si>
  <si>
    <t>Master Plan</t>
  </si>
  <si>
    <t xml:space="preserve">Insignia Fees </t>
  </si>
  <si>
    <t xml:space="preserve">First Section </t>
  </si>
  <si>
    <t>Additional</t>
  </si>
  <si>
    <t>Number of</t>
  </si>
  <si>
    <t>NLEA</t>
  </si>
  <si>
    <t>First</t>
  </si>
  <si>
    <t>Each Additional</t>
  </si>
  <si>
    <t>Notification to Local Enforcement Agency</t>
  </si>
  <si>
    <t>Section</t>
  </si>
  <si>
    <t>Additional Mods</t>
  </si>
  <si>
    <t>Notification</t>
  </si>
  <si>
    <t>Insignias</t>
  </si>
  <si>
    <t>1 year Plan</t>
  </si>
  <si>
    <t>Review</t>
  </si>
  <si>
    <t>Over</t>
  </si>
  <si>
    <t>Sqft Limit</t>
  </si>
  <si>
    <t>Timeframe</t>
  </si>
  <si>
    <t>Additional Requirement</t>
  </si>
  <si>
    <t>Yes</t>
  </si>
  <si>
    <t xml:space="preserve">Required for: </t>
  </si>
  <si>
    <t>A, I or H</t>
  </si>
  <si>
    <t>Plumbing</t>
  </si>
  <si>
    <t>First Section +</t>
  </si>
  <si>
    <t xml:space="preserve">Cost per </t>
  </si>
  <si>
    <t xml:space="preserve"> fixtures</t>
  </si>
  <si>
    <t>Fixture</t>
  </si>
  <si>
    <t>Sample Notes for Table:</t>
  </si>
  <si>
    <t>Washington State Department of Labor &amp; Industries</t>
  </si>
  <si>
    <t>$2,001.00 to $25,000.00</t>
  </si>
  <si>
    <t>$69.25 for the first $2,000.00 plus $14.00 for each additional $1,000.00, or fraction thereof, to and including $25,000.00</t>
  </si>
  <si>
    <t>$25,001.00 to $50,000.00</t>
  </si>
  <si>
    <t>$391.25 for the first $25,000.00 plus $10.10 for each additional $1,000.00, or fraction thereof, to and including $50,000.00</t>
  </si>
  <si>
    <t>$50,001.00 to $100,000.00</t>
  </si>
  <si>
    <t>$643.75 for the first $50,000.00 plus $7.00 for each additional $1,000.00, or fraction thereof, to and including $100,000.00</t>
  </si>
  <si>
    <t>$100,001.00 to $500,000.00</t>
  </si>
  <si>
    <t>$993.75 for the first $100,000.00 plus $5.60 for each additional $1,000.00, or fraction thereof, to and including $500,000.00</t>
  </si>
  <si>
    <t>$500,001.00 to $1,000,000.00</t>
  </si>
  <si>
    <t>$3,233.75 for the first $500,000.00 plus $4.75 for each additional $1,000.00, or fraction thereof, to and including $1,000,000.00</t>
  </si>
  <si>
    <t>$1,000,001.00 and up</t>
  </si>
  <si>
    <t>$5,608.75 for the first $1,000,000.00 plus $3.65 for each additional $1,000.00, or fraction thereof</t>
  </si>
  <si>
    <t xml:space="preserve">Data Input table: </t>
  </si>
  <si>
    <t>Result</t>
  </si>
  <si>
    <t>Range</t>
  </si>
  <si>
    <t xml:space="preserve">First </t>
  </si>
  <si>
    <t>Incremental</t>
  </si>
  <si>
    <t>From</t>
  </si>
  <si>
    <t>To</t>
  </si>
  <si>
    <t>Cost</t>
  </si>
  <si>
    <t>Limit</t>
  </si>
  <si>
    <t>Amount</t>
  </si>
  <si>
    <t>First Fee</t>
  </si>
  <si>
    <t>Remainder</t>
  </si>
  <si>
    <t>WAC 296-46B-906</t>
  </si>
  <si>
    <t>Amperage Panels</t>
  </si>
  <si>
    <t>Commercial  Industrial Panels</t>
  </si>
  <si>
    <t xml:space="preserve">Service </t>
  </si>
  <si>
    <t xml:space="preserve">Additional </t>
  </si>
  <si>
    <t>Service</t>
  </si>
  <si>
    <t>First Panel</t>
  </si>
  <si>
    <t>Second Panel</t>
  </si>
  <si>
    <t>Feeder</t>
  </si>
  <si>
    <t>First Panel(s)</t>
  </si>
  <si>
    <t>Second Panel(s)</t>
  </si>
  <si>
    <t>(1mil intended for over)</t>
  </si>
  <si>
    <t>Electrical Percentage calculation</t>
  </si>
  <si>
    <t xml:space="preserve">Calculation: </t>
  </si>
  <si>
    <t xml:space="preserve">Thermostat: </t>
  </si>
  <si>
    <t>Class 2 Low-voltage Thermostat</t>
  </si>
  <si>
    <t>Each additional</t>
  </si>
  <si>
    <t>Unit</t>
  </si>
  <si>
    <t>Thermostat</t>
  </si>
  <si>
    <t>Only using First thermostat cost per Brian</t>
  </si>
  <si>
    <t>Thermostat Percentage calculation Percentage calculation</t>
  </si>
  <si>
    <t>Electrical Plan Review Fee</t>
  </si>
  <si>
    <t>Plan Review Mod</t>
  </si>
  <si>
    <t>Service/</t>
  </si>
  <si>
    <t>Inspection Cost</t>
  </si>
  <si>
    <t>Idaho Only</t>
  </si>
  <si>
    <t>Items for Idaho Web Entry</t>
  </si>
  <si>
    <t>How many Square feet is the building:</t>
  </si>
  <si>
    <t xml:space="preserve">Material including labor </t>
  </si>
  <si>
    <t>Cost of Bard(s)</t>
  </si>
  <si>
    <t>Material cost including labor:</t>
  </si>
  <si>
    <t xml:space="preserve">Cost of Bards </t>
  </si>
  <si>
    <t>Idaho Site:</t>
  </si>
  <si>
    <t>https://dbs.idaho.gov/modular-fee-calculator/</t>
  </si>
  <si>
    <t>Enter the following into the site:</t>
  </si>
  <si>
    <t>Total Construction Value</t>
  </si>
  <si>
    <t>Cost of Electrical System</t>
  </si>
  <si>
    <t>Cost of Plumbing System</t>
  </si>
  <si>
    <t>Cost of HVAC System</t>
  </si>
  <si>
    <t>Restrooms</t>
  </si>
  <si>
    <t xml:space="preserve">Number of </t>
  </si>
  <si>
    <t>Fee / Fixture</t>
  </si>
  <si>
    <t>Enter amount</t>
  </si>
  <si>
    <t>Fixtures</t>
  </si>
  <si>
    <t>Material Including labor cost</t>
  </si>
  <si>
    <t>Fee multiplier</t>
  </si>
  <si>
    <t>Cost from BOM</t>
  </si>
  <si>
    <t>Building</t>
  </si>
  <si>
    <t>Fee Multiplier</t>
  </si>
  <si>
    <t>Sqft</t>
  </si>
  <si>
    <t>Permit Fees</t>
  </si>
  <si>
    <t>Plan Review Fees</t>
  </si>
  <si>
    <t>Electrical, Plumbing, HVAC Fees</t>
  </si>
  <si>
    <t>Filing Fees</t>
  </si>
  <si>
    <t>Total Fees</t>
  </si>
  <si>
    <t>Idaho Permit Fees</t>
  </si>
  <si>
    <t>Valuation Min</t>
  </si>
  <si>
    <t>Valuation Max</t>
  </si>
  <si>
    <t>Initial Fee Coverage</t>
  </si>
  <si>
    <t>Initial Cost</t>
  </si>
  <si>
    <t>Additional Fee Increment</t>
  </si>
  <si>
    <t>Additional Increment Amount</t>
  </si>
  <si>
    <t>Permit Fee</t>
  </si>
  <si>
    <t>+</t>
  </si>
  <si>
    <t>Idaho Plan Review Fee</t>
  </si>
  <si>
    <t>Oregon  Only</t>
  </si>
  <si>
    <t>Custom plans or Design master:</t>
  </si>
  <si>
    <t>Custom Plans</t>
  </si>
  <si>
    <t>Building Sprinklers</t>
  </si>
  <si>
    <t>Does the building have Sprinklers or Fire Alarm:</t>
  </si>
  <si>
    <t>Total Building Valuation</t>
  </si>
  <si>
    <t>A=Assembly, I=Industrial, H=Hazard,</t>
  </si>
  <si>
    <t xml:space="preserve"> Business</t>
  </si>
  <si>
    <t>E=Educational</t>
  </si>
  <si>
    <t>Insignia Fee</t>
  </si>
  <si>
    <t>Mechanical Permit Fee:</t>
  </si>
  <si>
    <t>Plumbing Permit fee:</t>
  </si>
  <si>
    <t>Line</t>
  </si>
  <si>
    <t>Does the unit have an Air Conditioner/Air Handaling:</t>
  </si>
  <si>
    <t>How many Forced Air HVAC / Heat Pump / Gravity Type furnace:</t>
  </si>
  <si>
    <t>Structural plan review fee</t>
  </si>
  <si>
    <t>Fire Life Safety plan review</t>
  </si>
  <si>
    <t>Plumbing plan review fee:</t>
  </si>
  <si>
    <t>Also used for Tri-State</t>
  </si>
  <si>
    <t xml:space="preserve">Fee of </t>
  </si>
  <si>
    <t xml:space="preserve">Cost of first </t>
  </si>
  <si>
    <t>Cost of</t>
  </si>
  <si>
    <t xml:space="preserve">Insignia </t>
  </si>
  <si>
    <t>Insignia</t>
  </si>
  <si>
    <t xml:space="preserve">Plan Review </t>
  </si>
  <si>
    <t>Mechanical  Review Fee:</t>
  </si>
  <si>
    <t>Additional Section</t>
  </si>
  <si>
    <t>Mods</t>
  </si>
  <si>
    <t>Additional Sect</t>
  </si>
  <si>
    <t>Electrical fee:</t>
  </si>
  <si>
    <t>Total Plan Review Fee:</t>
  </si>
  <si>
    <t>Plan Review Fee</t>
  </si>
  <si>
    <t>Building Occupancy Type</t>
  </si>
  <si>
    <t>for Russ</t>
  </si>
  <si>
    <t>Bus</t>
  </si>
  <si>
    <t>Edu</t>
  </si>
  <si>
    <t>Fire if Yes</t>
  </si>
  <si>
    <t>Spiracular</t>
  </si>
  <si>
    <t>Fire life safety</t>
  </si>
  <si>
    <t xml:space="preserve">if it's an </t>
  </si>
  <si>
    <t>if Sqft &gt; or =</t>
  </si>
  <si>
    <t>is it</t>
  </si>
  <si>
    <t xml:space="preserve">if it's </t>
  </si>
  <si>
    <t>A, E, I or H</t>
  </si>
  <si>
    <t>Mechanical</t>
  </si>
  <si>
    <t>Air handling</t>
  </si>
  <si>
    <t>Air-Handling</t>
  </si>
  <si>
    <t xml:space="preserve">Gravity Type </t>
  </si>
  <si>
    <t>Ventilation</t>
  </si>
  <si>
    <t>Fee for Air-</t>
  </si>
  <si>
    <t xml:space="preserve">Gravity </t>
  </si>
  <si>
    <t>Minimum Fee</t>
  </si>
  <si>
    <t>up to cfm</t>
  </si>
  <si>
    <t>per each unit</t>
  </si>
  <si>
    <t>Furnace</t>
  </si>
  <si>
    <t>Handling unit(s)</t>
  </si>
  <si>
    <t>check this line for * and **</t>
  </si>
  <si>
    <t>Air Conditioner</t>
  </si>
  <si>
    <t>TOTAL  Mechanical Permit Fee</t>
  </si>
  <si>
    <t>Surcharge Fee</t>
  </si>
  <si>
    <t>Brian: is there a minimum fee of $13 on top of air handling?</t>
  </si>
  <si>
    <t>Fee Minimum</t>
  </si>
  <si>
    <t>is there a minimum fee on toop of Gravity type furnace?</t>
  </si>
  <si>
    <t>Plan Review fee</t>
  </si>
  <si>
    <t>is there a minimum fee regardless of air handling and gravity?</t>
  </si>
  <si>
    <t>Surcharge fee</t>
  </si>
  <si>
    <t xml:space="preserve"> Plan Review fee</t>
  </si>
  <si>
    <t>Plumbing fee</t>
  </si>
  <si>
    <t xml:space="preserve">Plumbing fee </t>
  </si>
  <si>
    <t>Additional Fixtures</t>
  </si>
  <si>
    <t>Additional Fixture</t>
  </si>
  <si>
    <t>Plumbing plan review fee</t>
  </si>
  <si>
    <t>Oregon Custom and Design Master</t>
  </si>
  <si>
    <t>Permit Fees - Custom Plans</t>
  </si>
  <si>
    <t>Structural Permit</t>
  </si>
  <si>
    <t>Permit Fees - Design Master Plans</t>
  </si>
  <si>
    <t>Struct Permit fee</t>
  </si>
  <si>
    <t>Custom or Design master</t>
  </si>
  <si>
    <t>Calculation</t>
  </si>
  <si>
    <t>Entered</t>
  </si>
  <si>
    <t>Design Master</t>
  </si>
  <si>
    <t>Business one hour</t>
  </si>
  <si>
    <t>All States</t>
  </si>
  <si>
    <t xml:space="preserve">IDAHO </t>
  </si>
  <si>
    <t xml:space="preserve">Building </t>
  </si>
  <si>
    <t>Idaho-from the web</t>
  </si>
  <si>
    <t>Number of Buildings:</t>
  </si>
  <si>
    <t>States</t>
  </si>
  <si>
    <t>Tagged?</t>
  </si>
  <si>
    <t>Fee per first/additional</t>
  </si>
  <si>
    <t>Number of mods:</t>
  </si>
  <si>
    <t>A &amp; B is 2 Mods</t>
  </si>
  <si>
    <t>ID</t>
  </si>
  <si>
    <t>Building Material Cost</t>
  </si>
  <si>
    <t>WA</t>
  </si>
  <si>
    <t>Building Square Footage</t>
  </si>
  <si>
    <t>OR</t>
  </si>
  <si>
    <t>Number of plumbing fixtures:</t>
  </si>
  <si>
    <t>MT</t>
  </si>
  <si>
    <t>UT</t>
  </si>
  <si>
    <t>CO</t>
  </si>
  <si>
    <t>Master or 1 Year Plan?</t>
  </si>
  <si>
    <t>CA</t>
  </si>
  <si>
    <t>NV</t>
  </si>
  <si>
    <t>WY</t>
  </si>
  <si>
    <t>Washington</t>
  </si>
  <si>
    <t xml:space="preserve">          STEPS FOR TRI STATE CALCULATION</t>
  </si>
  <si>
    <t>Washington Total</t>
  </si>
  <si>
    <t>2.</t>
  </si>
  <si>
    <t xml:space="preserve">Fill in Idaho on the "Idaho Only" sheet.  </t>
  </si>
  <si>
    <t>3.</t>
  </si>
  <si>
    <t>Take the values and place them into the Idaho Web</t>
  </si>
  <si>
    <t>Idaho Total</t>
  </si>
  <si>
    <t>from Washington Tri-State Labor</t>
  </si>
  <si>
    <t xml:space="preserve">  Calculator.  Enter the values from the Web</t>
  </si>
  <si>
    <t>First Building</t>
  </si>
  <si>
    <t xml:space="preserve"> "Calculated Fee" section and enter them here</t>
  </si>
  <si>
    <t>Plan review Fees</t>
  </si>
  <si>
    <t xml:space="preserve"> - - -</t>
  </si>
  <si>
    <t>Elect, Plumbing and HVAC</t>
  </si>
  <si>
    <t>Filing Fee</t>
  </si>
  <si>
    <t>From Washington Insignia Fees</t>
  </si>
  <si>
    <t>Oregon</t>
  </si>
  <si>
    <t>Building Fee</t>
  </si>
  <si>
    <t>Additional Section Fee</t>
  </si>
  <si>
    <t>Plan Reveiew Fee</t>
  </si>
  <si>
    <t>Oregon Total</t>
  </si>
  <si>
    <t>From Oregon Tri-State section</t>
  </si>
  <si>
    <t>Section/Building</t>
  </si>
  <si>
    <t>Buildings</t>
  </si>
  <si>
    <t>Structural Engineering Fees</t>
  </si>
  <si>
    <t>Mechanical Engineering Fees</t>
  </si>
  <si>
    <t>Architectural Engineering Fees</t>
  </si>
  <si>
    <t>If eliminating WA, can delete HRV if meeting fresh air requirements.</t>
  </si>
  <si>
    <t>Electrical Engineering Fees</t>
  </si>
  <si>
    <t>ID Plan Review Fees</t>
  </si>
  <si>
    <t>ID Inspection Fees</t>
  </si>
  <si>
    <t>NTA Plan Review Fees</t>
  </si>
  <si>
    <t>NTA Inspection Fees</t>
  </si>
  <si>
    <t>Washington Tag Fees</t>
  </si>
  <si>
    <t>Oregon Tag Fees</t>
  </si>
  <si>
    <t>Colorado Tag Fees</t>
  </si>
  <si>
    <t>Montana Tag Fees</t>
  </si>
  <si>
    <t>Utah Tag Fees</t>
  </si>
  <si>
    <t>Needs Updating</t>
  </si>
  <si>
    <t>California Tag Fees</t>
  </si>
  <si>
    <t>Nevada Tag Fees</t>
  </si>
  <si>
    <t>Internal Engineering</t>
  </si>
  <si>
    <t>3rd Party Engineering</t>
  </si>
  <si>
    <t>Total State Fees</t>
  </si>
  <si>
    <t>Total Engineering and State Fees</t>
  </si>
  <si>
    <t>Self contained for WA needs a plumbing mechanical stamp.  Account for that in engineering.</t>
  </si>
  <si>
    <t>For Oregon, enter electrical engineering if over a 400 amp service.</t>
  </si>
  <si>
    <t>Mechanical Eng Multiplier</t>
  </si>
  <si>
    <t>Electrical Engingeering Cost</t>
  </si>
  <si>
    <t>Inspecting</t>
  </si>
  <si>
    <t>ID or NTA</t>
  </si>
  <si>
    <t>Plan</t>
  </si>
  <si>
    <t>NTA Fees</t>
  </si>
  <si>
    <t>NTA Cost</t>
  </si>
  <si>
    <t>Per Building</t>
  </si>
  <si>
    <t>Per Mod</t>
  </si>
  <si>
    <t>Plan Reivew</t>
  </si>
  <si>
    <t>Colorado</t>
  </si>
  <si>
    <t>askJenn</t>
  </si>
  <si>
    <t>Plan Review Fee Multiplier</t>
  </si>
  <si>
    <t>Colorado Total</t>
  </si>
  <si>
    <t>Montana Fees</t>
  </si>
  <si>
    <t>Units with 1 or 2 Mods</t>
  </si>
  <si>
    <t>Units with 3 or 4 Mods</t>
  </si>
  <si>
    <t>Units with 5 or More Mods</t>
  </si>
  <si>
    <t>Insignia Cost (Per Mod)</t>
  </si>
  <si>
    <t>California Fees</t>
  </si>
  <si>
    <t>Nevada Fees</t>
  </si>
  <si>
    <t>Idaho Inspection Fee:</t>
  </si>
  <si>
    <t>Nevada Review</t>
  </si>
  <si>
    <t>Total</t>
  </si>
  <si>
    <t>Building Value</t>
  </si>
  <si>
    <t>PE</t>
  </si>
  <si>
    <t>Engineering</t>
  </si>
  <si>
    <t>Plan Review General</t>
  </si>
  <si>
    <t>Modular Processing</t>
  </si>
  <si>
    <t>Price/Sqft</t>
  </si>
  <si>
    <t>Tri State</t>
  </si>
  <si>
    <t>Based on Washington</t>
  </si>
  <si>
    <t>Grand Total Tri State Fee:</t>
  </si>
  <si>
    <t>Tri State Fee Per Building:</t>
  </si>
  <si>
    <t>Tri State Fees Per Building</t>
  </si>
  <si>
    <t>Idaho Tag Fees</t>
  </si>
  <si>
    <t>CO Fee Calculator</t>
  </si>
  <si>
    <t>Squarefeet of building</t>
  </si>
  <si>
    <t>plan review fee</t>
  </si>
  <si>
    <t>Number of Mods</t>
  </si>
  <si>
    <t>ABAS Units</t>
  </si>
  <si>
    <t>Insignia fee per Mod</t>
  </si>
  <si>
    <t>CO Plan Review Fee</t>
  </si>
  <si>
    <t>CO insignia Fee</t>
  </si>
  <si>
    <t>CO NTA Fee</t>
  </si>
  <si>
    <t>Washington Factory-Built Housing and Commercial Structure Fees</t>
  </si>
  <si>
    <t>Data Entered on "Washington Only" sheet</t>
  </si>
  <si>
    <t>GENERAL INFORMATION</t>
  </si>
  <si>
    <t>Auto fill</t>
  </si>
  <si>
    <t xml:space="preserve">Manufacture:                                  </t>
  </si>
  <si>
    <t>NWBS</t>
  </si>
  <si>
    <t xml:space="preserve">Manufacturer #                                 </t>
  </si>
  <si>
    <t>M-175</t>
  </si>
  <si>
    <t xml:space="preserve">1.  Building Use:                             </t>
  </si>
  <si>
    <t xml:space="preserve">2.  Building occupancy:                   </t>
  </si>
  <si>
    <t xml:space="preserve">3.  Type of construction:             </t>
  </si>
  <si>
    <t>V-B</t>
  </si>
  <si>
    <t xml:space="preserve">4.  Square footage of building:  </t>
  </si>
  <si>
    <t xml:space="preserve">5.  Valuation of the building shall be based on the following:
</t>
  </si>
  <si>
    <t>Square footage of the building multiplied by the amount in the BVD valuation table</t>
  </si>
  <si>
    <r>
      <t xml:space="preserve">6. 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valuation</t>
    </r>
  </si>
  <si>
    <t>PERMIT FEE</t>
  </si>
  <si>
    <t xml:space="preserve">7.  Calculate from building permit fee table using the total valuation </t>
  </si>
  <si>
    <t>STRUCTURAL PLAN REVIEW FEE*</t>
  </si>
  <si>
    <t>FIRE AND LIFE-SAFETY PLAN REVIEW FEE (if required)</t>
  </si>
  <si>
    <t>10.  Fire and life-safety plan review:</t>
  </si>
  <si>
    <t>PLUMBING PLAN-REVIEW FEE</t>
  </si>
  <si>
    <t xml:space="preserve">12.  Medical gas $23.20 + $7.50 per gas outlet </t>
  </si>
  <si>
    <t>DESIGN RENEWAL OR ADDENDUM</t>
  </si>
  <si>
    <t>13. 12.23% of building permit + $104.60</t>
  </si>
  <si>
    <t>RESUBMITTAL</t>
  </si>
  <si>
    <t>14. 12.23% of building permit + $104.60</t>
  </si>
  <si>
    <t>ELECTRICAL PLAN-REVIEW FEE</t>
  </si>
  <si>
    <r>
      <t>15.  See WAC </t>
    </r>
    <r>
      <rPr>
        <b/>
        <sz val="11"/>
        <color theme="1"/>
        <rFont val="Calibri"/>
        <family val="2"/>
        <scheme val="minor"/>
      </rPr>
      <t xml:space="preserve">296-46B-906 </t>
    </r>
    <r>
      <rPr>
        <sz val="11"/>
        <color theme="1"/>
        <rFont val="Calibri"/>
        <family val="2"/>
        <scheme val="minor"/>
      </rPr>
      <t>(9) for electrical review fees</t>
    </r>
  </si>
  <si>
    <t>NOTIFICATION TO LOCAL ENFORCEMENT AGENCY (NLEA)</t>
  </si>
  <si>
    <t>16.  Notification to local enforcement agency fee</t>
  </si>
  <si>
    <t>INSIGNIA FEES</t>
  </si>
  <si>
    <t>17.  First section</t>
  </si>
  <si>
    <t>18.  Each additional section (1)</t>
  </si>
  <si>
    <t>TOTAL FEES</t>
  </si>
  <si>
    <r>
      <t xml:space="preserve">19. 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plan review fees: Add lines 8 or 9 and 10 through 15 </t>
    </r>
  </si>
  <si>
    <r>
      <t xml:space="preserve">20. 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fees due: Includes plan fees, insignia fees, and NLEA fees </t>
    </r>
  </si>
  <si>
    <r>
      <t xml:space="preserve">21. 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 amount paid</t>
    </r>
  </si>
  <si>
    <t>MT STATE PLAN FEES X.XX / 100</t>
  </si>
  <si>
    <t>California State Fees Calculator</t>
  </si>
  <si>
    <t>No Idaho Inspection, has to be NTA or Radco.</t>
  </si>
  <si>
    <t># of Buildings in Order</t>
  </si>
  <si>
    <t># of Mods</t>
  </si>
  <si>
    <t>Rough in inspection fees</t>
  </si>
  <si>
    <t>Final inspection</t>
  </si>
  <si>
    <t>Engineering (Add to Front Page of Quote)</t>
  </si>
  <si>
    <t>Use the Idaho only page and government website to figure.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</si>
</sst>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?_);_(@_)"/>
    <numFmt numFmtId="165" formatCode="_(* #,##0.000_);_(* \(#,##0.000\);_(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_(* #,##0_);_(* \(#,##0\);_(* &quot;-&quot;???_);_(@_)"/>
    <numFmt numFmtId="169" formatCode="_(* #,##0.00000_);_(* \(#,##0.00000\);_(* &quot;-&quot;??_);_(@_)"/>
    <numFmt numFmtId="170" formatCode="_(* #,##0.0000_);_(* \(#,##0.0000\);_(* &quot;-&quot;??_);_(@_)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1706BA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i/>
      <sz val="11"/>
      <color indexed="8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6600CC"/>
      <name val="Calibri"/>
      <family val="2"/>
      <scheme val="minor"/>
    </font>
    <font>
      <i/>
      <sz val="1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rgb="FF0066FF"/>
      <name val="Calibri"/>
      <family val="2"/>
      <scheme val="minor"/>
    </font>
    <font>
      <b/>
      <sz val="11"/>
      <color rgb="FF0066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 val="singleAccounting"/>
      <sz val="12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3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CB9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theme="0" tint="-0.249977111117893"/>
        <bgColor indexed="64"/>
      </pattern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rgb="FF9F3FFF"/>
        <bgColor indexed="64"/>
      </patternFill>
    </fill>
    <fill>
      <gradientFill degree="270">
        <stop position="0">
          <color theme="4" tint="0.80001220740379042"/>
        </stop>
        <stop position="1">
          <color theme="0"/>
        </stop>
      </gradientFill>
    </fill>
    <fill>
      <gradientFill degree="270">
        <stop position="0">
          <color theme="0"/>
        </stop>
        <stop position="1">
          <color rgb="FFDCB9FF"/>
        </stop>
      </gradientFill>
    </fill>
    <fill>
      <patternFill patternType="solid">
        <fgColor rgb="FF1706BA"/>
        <bgColor indexed="64"/>
      </patternFill>
    </fill>
    <fill>
      <patternFill patternType="solid">
        <fgColor rgb="FFC00000"/>
        <bgColor indexed="64"/>
      </patternFill>
    </fill>
    <fill>
      <gradientFill degree="90">
        <stop position="0">
          <color theme="9" tint="-0.25098422193060094"/>
        </stop>
        <stop position="1">
          <color theme="0" tint="-0.25098422193060094"/>
        </stop>
      </gradientFill>
    </fill>
    <fill>
      <gradientFill degree="90">
        <stop position="0">
          <color rgb="FF9F3FFF"/>
        </stop>
        <stop position="1">
          <color theme="0" tint="-0.25098422193060094"/>
        </stop>
      </gradientFill>
    </fill>
    <fill>
      <gradientFill degree="90">
        <stop position="0">
          <color rgb="FF1706BA"/>
        </stop>
        <stop position="1">
          <color theme="0" tint="-0.25098422193060094"/>
        </stop>
      </gradientFill>
    </fill>
    <fill>
      <gradientFill>
        <stop position="0">
          <color theme="0" tint="-5.0965910824915313E-2"/>
        </stop>
        <stop position="1">
          <color theme="0"/>
        </stop>
      </gradientFill>
    </fill>
    <fill>
      <gradientFill>
        <stop position="0">
          <color theme="0" tint="-0.1490218817712943"/>
        </stop>
        <stop position="1">
          <color theme="0" tint="-5.0965910824915313E-2"/>
        </stop>
      </gradientFill>
    </fill>
    <fill>
      <gradientFill degree="90">
        <stop position="0">
          <color theme="0" tint="-0.25098422193060094"/>
        </stop>
        <stop position="1">
          <color theme="0" tint="-0.1490218817712943"/>
        </stop>
      </gradientFill>
    </fill>
    <fill>
      <gradientFill degree="180">
        <stop position="0">
          <color theme="0" tint="-0.1490218817712943"/>
        </stop>
        <stop position="1">
          <color theme="0" tint="-0.25098422193060094"/>
        </stop>
      </gradientFill>
    </fill>
    <fill>
      <gradientFill>
        <stop position="0">
          <color theme="0" tint="-0.49803155613879818"/>
        </stop>
        <stop position="1">
          <color theme="0" tint="-0.25098422193060094"/>
        </stop>
      </gradientFill>
    </fill>
    <fill>
      <gradientFill degree="180">
        <stop position="0">
          <color theme="0" tint="-0.49803155613879818"/>
        </stop>
        <stop position="1">
          <color theme="1" tint="0.34900967436750391"/>
        </stop>
      </gradientFill>
    </fill>
    <fill>
      <gradientFill>
        <stop position="0">
          <color theme="1" tint="0.25098422193060094"/>
        </stop>
        <stop position="1">
          <color theme="1" tint="0.34900967436750391"/>
        </stop>
      </gradientFill>
    </fill>
    <fill>
      <patternFill patternType="solid">
        <fgColor theme="1" tint="0.249977111117893"/>
        <bgColor indexed="64"/>
      </patternFill>
    </fill>
    <fill>
      <gradientFill degree="90">
        <stop position="0">
          <color theme="1"/>
        </stop>
        <stop position="1">
          <color theme="1" tint="5.0965910824915313E-2"/>
        </stop>
      </gradientFill>
    </fill>
    <fill>
      <gradientFill degree="90">
        <stop position="0">
          <color theme="1" tint="0.1490218817712943"/>
        </stop>
        <stop position="1">
          <color theme="1" tint="0.25098422193060094"/>
        </stop>
      </gradientFill>
    </fill>
    <fill>
      <gradientFill degree="90">
        <stop position="0">
          <color theme="1" tint="5.0965910824915313E-2"/>
        </stop>
        <stop position="1">
          <color theme="1" tint="0.1490218817712943"/>
        </stop>
      </gradientFill>
    </fill>
    <fill>
      <gradientFill degree="90">
        <stop position="0">
          <color theme="1" tint="0.25098422193060094"/>
        </stop>
        <stop position="1">
          <color theme="1" tint="0.34900967436750391"/>
        </stop>
      </gradientFill>
    </fill>
    <fill>
      <gradientFill degree="90">
        <stop position="0">
          <color theme="1" tint="0.34900967436750391"/>
        </stop>
        <stop position="1">
          <color theme="1" tint="0.49803155613879818"/>
        </stop>
      </gradientFill>
    </fill>
    <fill>
      <gradientFill degree="90">
        <stop position="0">
          <color theme="1" tint="0.49803155613879818"/>
        </stop>
        <stop position="1">
          <color theme="0" tint="-0.34900967436750391"/>
        </stop>
      </gradientFill>
    </fill>
    <fill>
      <gradientFill degree="90">
        <stop position="0">
          <color theme="0" tint="-0.34900967436750391"/>
        </stop>
        <stop position="1">
          <color theme="0" tint="-0.25098422193060094"/>
        </stop>
      </gradientFill>
    </fill>
    <fill>
      <gradientFill degree="90">
        <stop position="0">
          <color theme="0" tint="-0.1490218817712943"/>
        </stop>
        <stop position="1">
          <color theme="0" tint="-5.0965910824915313E-2"/>
        </stop>
      </gradientFill>
    </fill>
    <fill>
      <gradientFill degree="90">
        <stop position="0">
          <color theme="0" tint="-5.0965910824915313E-2"/>
        </stop>
        <stop position="1">
          <color theme="0"/>
        </stop>
      </gradientFill>
    </fill>
    <fill>
      <gradientFill degree="180">
        <stop position="0">
          <color theme="0" tint="-5.0965910824915313E-2"/>
        </stop>
        <stop position="1">
          <color theme="0"/>
        </stop>
      </gradientFill>
    </fill>
    <fill>
      <gradientFill degree="180">
        <stop position="0">
          <color theme="0" tint="-0.1490218817712943"/>
        </stop>
        <stop position="1">
          <color theme="0" tint="-5.0965910824915313E-2"/>
        </stop>
      </gradientFill>
    </fill>
    <fill>
      <gradientFill>
        <stop position="0">
          <color theme="0" tint="-0.1490218817712943"/>
        </stop>
        <stop position="1">
          <color theme="0" tint="-0.25098422193060094"/>
        </stop>
      </gradientFill>
    </fill>
    <fill>
      <gradientFill degree="180">
        <stop position="0">
          <color theme="0" tint="-0.49803155613879818"/>
        </stop>
        <stop position="1">
          <color theme="0" tint="-0.25098422193060094"/>
        </stop>
      </gradientFill>
    </fill>
    <fill>
      <gradientFill>
        <stop position="0">
          <color theme="0" tint="-0.49803155613879818"/>
        </stop>
        <stop position="1">
          <color theme="1" tint="0.34900967436750391"/>
        </stop>
      </gradientFill>
    </fill>
    <fill>
      <gradientFill degree="180">
        <stop position="0">
          <color theme="1" tint="0.25098422193060094"/>
        </stop>
        <stop position="1">
          <color theme="1" tint="0.34900967436750391"/>
        </stop>
      </gradientFill>
    </fill>
    <fill>
      <gradientFill>
        <stop position="0">
          <color theme="1" tint="0.25098422193060094"/>
        </stop>
        <stop position="1">
          <color theme="1" tint="5.0965910824915313E-2"/>
        </stop>
      </gradientFill>
    </fill>
    <fill>
      <gradientFill degree="90">
        <stop position="0">
          <color rgb="FFC00000"/>
        </stop>
        <stop position="1">
          <color rgb="FFFF612F"/>
        </stop>
      </gradientFill>
    </fill>
    <fill>
      <gradientFill degree="90">
        <stop position="0">
          <color rgb="FFFF612F"/>
        </stop>
        <stop position="1">
          <color rgb="FFFF9979"/>
        </stop>
      </gradientFill>
    </fill>
    <fill>
      <gradientFill degree="90">
        <stop position="0">
          <color rgb="FFFF9979"/>
        </stop>
        <stop position="1">
          <color rgb="FFFFD0C1"/>
        </stop>
      </gradientFill>
    </fill>
    <fill>
      <gradientFill>
        <stop position="0">
          <color theme="1"/>
        </stop>
        <stop position="1">
          <color theme="1" tint="0.34900967436750391"/>
        </stop>
      </gradientFill>
    </fill>
    <fill>
      <patternFill patternType="solid">
        <fgColor theme="1"/>
        <bgColor auto="1"/>
      </patternFill>
    </fill>
    <fill>
      <gradientFill>
        <stop position="0">
          <color theme="1"/>
        </stop>
        <stop position="1">
          <color theme="1" tint="0.25098422193060094"/>
        </stop>
      </gradientFill>
    </fill>
    <fill>
      <patternFill patternType="solid">
        <fgColor rgb="FF0000FF"/>
        <bgColor indexed="64"/>
      </patternFill>
    </fill>
    <fill>
      <patternFill patternType="solid">
        <fgColor rgb="FF0000FF"/>
        <bgColor auto="1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612F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 diagonalUp="1">
      <left/>
      <right/>
      <top/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thin">
        <color indexed="23"/>
      </top>
      <bottom style="thin">
        <color indexed="9"/>
      </bottom>
      <diagonal/>
    </border>
    <border>
      <left style="thin">
        <color theme="0"/>
      </left>
      <right/>
      <top style="thin">
        <color theme="0"/>
      </top>
      <bottom style="thin">
        <color indexed="23"/>
      </bottom>
      <diagonal/>
    </border>
    <border>
      <left/>
      <right style="thin">
        <color indexed="23"/>
      </right>
      <top style="thin">
        <color theme="0"/>
      </top>
      <bottom style="thin">
        <color indexed="23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indexed="23"/>
      </top>
      <bottom style="thin">
        <color indexed="9"/>
      </bottom>
      <diagonal/>
    </border>
    <border>
      <left/>
      <right/>
      <top style="thin">
        <color indexed="23"/>
      </top>
      <bottom/>
      <diagonal/>
    </border>
    <border>
      <left/>
      <right style="medium">
        <color auto="1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2" tint="-0.499984740745262"/>
      </bottom>
      <diagonal/>
    </border>
    <border>
      <left/>
      <right style="medium">
        <color theme="2" tint="-0.499984740745262"/>
      </right>
      <top style="medium">
        <color theme="0"/>
      </top>
      <bottom style="medium">
        <color theme="2" tint="-0.499984740745262"/>
      </bottom>
      <diagonal/>
    </border>
    <border>
      <left style="medium">
        <color theme="2" tint="-0.499984740745262"/>
      </left>
      <right/>
      <top style="medium">
        <color theme="0"/>
      </top>
      <bottom style="medium">
        <color theme="2" tint="-0.499984740745262"/>
      </bottom>
      <diagonal/>
    </border>
    <border>
      <left style="medium">
        <color auto="1"/>
      </left>
      <right/>
      <top style="thin">
        <color indexed="23"/>
      </top>
      <bottom/>
      <diagonal/>
    </border>
    <border>
      <left style="medium">
        <color auto="1"/>
      </left>
      <right/>
      <top style="thin">
        <color theme="2" tint="-0.499984740745262"/>
      </top>
      <bottom style="thin">
        <color indexed="9"/>
      </bottom>
      <diagonal/>
    </border>
    <border>
      <left/>
      <right/>
      <top style="thin">
        <color theme="2" tint="-0.499984740745262"/>
      </top>
      <bottom style="thin">
        <color indexed="9"/>
      </bottom>
      <diagonal/>
    </border>
    <border>
      <left style="medium">
        <color indexed="64"/>
      </left>
      <right/>
      <top style="thin">
        <color indexed="9"/>
      </top>
      <bottom style="thin">
        <color theme="2" tint="-0.499984740745262"/>
      </bottom>
      <diagonal/>
    </border>
    <border>
      <left/>
      <right/>
      <top style="thin">
        <color indexed="9"/>
      </top>
      <bottom style="thin">
        <color theme="2" tint="-0.499984740745262"/>
      </bottom>
      <diagonal/>
    </border>
    <border>
      <left style="medium">
        <color indexed="23"/>
      </left>
      <right style="medium">
        <color theme="0"/>
      </right>
      <top style="medium">
        <color indexed="23"/>
      </top>
      <bottom style="medium">
        <color theme="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theme="0"/>
      </top>
      <bottom style="thin">
        <color indexed="23"/>
      </bottom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/>
      <right style="medium">
        <color rgb="FFC00000"/>
      </right>
      <top/>
      <bottom/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2" tint="-0.499984740745262"/>
      </bottom>
      <diagonal/>
    </border>
    <border>
      <left style="medium">
        <color theme="2" tint="-0.499984740745262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5" fillId="0" borderId="0" applyNumberFormat="0" applyFill="0" applyBorder="0" applyAlignment="0" applyProtection="0"/>
  </cellStyleXfs>
  <cellXfs count="1229">
    <xf numFmtId="0" fontId="0" fillId="0" borderId="0" xfId="0"/>
    <xf numFmtId="0" fontId="12" fillId="28" borderId="0" xfId="2" applyNumberFormat="1" applyFont="1" applyFill="1" applyBorder="1" applyAlignment="1" applyProtection="1">
      <alignment horizontal="center"/>
      <protection locked="0"/>
    </xf>
    <xf numFmtId="0" fontId="8" fillId="28" borderId="0" xfId="2" applyNumberFormat="1" applyFont="1" applyFill="1" applyBorder="1" applyAlignment="1" applyProtection="1">
      <alignment horizontal="center"/>
      <protection locked="0"/>
    </xf>
    <xf numFmtId="0" fontId="8" fillId="28" borderId="71" xfId="2" applyNumberFormat="1" applyFont="1" applyFill="1" applyBorder="1" applyAlignment="1" applyProtection="1">
      <alignment horizontal="center"/>
      <protection locked="0"/>
    </xf>
    <xf numFmtId="44" fontId="8" fillId="28" borderId="0" xfId="1" applyFont="1" applyFill="1" applyBorder="1" applyAlignment="1" applyProtection="1">
      <alignment horizontal="center"/>
      <protection locked="0"/>
    </xf>
    <xf numFmtId="43" fontId="5" fillId="11" borderId="2" xfId="2" applyFont="1" applyFill="1" applyBorder="1" applyAlignment="1" applyProtection="1">
      <alignment horizontal="center"/>
    </xf>
    <xf numFmtId="43" fontId="16" fillId="11" borderId="2" xfId="2" applyFont="1" applyFill="1" applyBorder="1" applyProtection="1"/>
    <xf numFmtId="43" fontId="5" fillId="11" borderId="2" xfId="2" applyFont="1" applyFill="1" applyBorder="1" applyProtection="1"/>
    <xf numFmtId="44" fontId="0" fillId="0" borderId="0" xfId="1" applyFont="1" applyAlignment="1" applyProtection="1"/>
    <xf numFmtId="166" fontId="13" fillId="26" borderId="0" xfId="2" applyNumberFormat="1" applyFont="1" applyFill="1" applyBorder="1" applyAlignment="1" applyProtection="1"/>
    <xf numFmtId="43" fontId="13" fillId="26" borderId="0" xfId="2" applyFont="1" applyFill="1" applyBorder="1" applyAlignment="1" applyProtection="1">
      <alignment horizontal="right"/>
    </xf>
    <xf numFmtId="0" fontId="12" fillId="28" borderId="0" xfId="2" applyNumberFormat="1" applyFont="1" applyFill="1" applyBorder="1" applyAlignment="1" applyProtection="1">
      <alignment horizontal="center"/>
    </xf>
    <xf numFmtId="43" fontId="0" fillId="27" borderId="0" xfId="2" applyFont="1" applyFill="1" applyBorder="1" applyProtection="1"/>
    <xf numFmtId="0" fontId="24" fillId="0" borderId="0" xfId="0" applyFont="1" applyAlignment="1">
      <alignment horizontal="left"/>
    </xf>
    <xf numFmtId="43" fontId="0" fillId="27" borderId="0" xfId="2" applyFont="1" applyFill="1" applyProtection="1"/>
    <xf numFmtId="0" fontId="0" fillId="0" borderId="0" xfId="0" applyAlignment="1">
      <alignment horizontal="left"/>
    </xf>
    <xf numFmtId="166" fontId="20" fillId="26" borderId="0" xfId="2" applyNumberFormat="1" applyFont="1" applyFill="1" applyBorder="1" applyAlignment="1" applyProtection="1">
      <alignment horizontal="center"/>
    </xf>
    <xf numFmtId="0" fontId="26" fillId="21" borderId="0" xfId="0" applyFont="1" applyFill="1" applyAlignment="1">
      <alignment horizontal="left"/>
    </xf>
    <xf numFmtId="0" fontId="0" fillId="21" borderId="0" xfId="0" applyFill="1"/>
    <xf numFmtId="44" fontId="0" fillId="0" borderId="0" xfId="1" applyFont="1" applyFill="1" applyBorder="1" applyAlignment="1" applyProtection="1">
      <alignment horizontal="left"/>
    </xf>
    <xf numFmtId="0" fontId="8" fillId="28" borderId="0" xfId="2" applyNumberFormat="1" applyFont="1" applyFill="1" applyBorder="1" applyAlignment="1" applyProtection="1">
      <alignment horizontal="center"/>
    </xf>
    <xf numFmtId="44" fontId="0" fillId="0" borderId="0" xfId="1" applyFont="1" applyFill="1" applyBorder="1" applyAlignment="1" applyProtection="1">
      <alignment horizontal="center"/>
    </xf>
    <xf numFmtId="43" fontId="0" fillId="27" borderId="0" xfId="2" applyFont="1" applyFill="1" applyBorder="1" applyAlignment="1" applyProtection="1">
      <alignment horizontal="right"/>
    </xf>
    <xf numFmtId="43" fontId="15" fillId="26" borderId="51" xfId="2" applyFont="1" applyFill="1" applyBorder="1" applyAlignment="1" applyProtection="1">
      <alignment horizontal="center"/>
    </xf>
    <xf numFmtId="4" fontId="27" fillId="21" borderId="0" xfId="0" applyNumberFormat="1" applyFont="1" applyFill="1"/>
    <xf numFmtId="44" fontId="0" fillId="0" borderId="0" xfId="1" applyFont="1" applyBorder="1" applyAlignment="1" applyProtection="1"/>
    <xf numFmtId="44" fontId="28" fillId="21" borderId="0" xfId="0" applyNumberFormat="1" applyFont="1" applyFill="1"/>
    <xf numFmtId="44" fontId="29" fillId="0" borderId="0" xfId="1" applyFont="1" applyFill="1" applyBorder="1" applyAlignment="1" applyProtection="1"/>
    <xf numFmtId="166" fontId="8" fillId="27" borderId="0" xfId="2" applyNumberFormat="1" applyFont="1" applyFill="1" applyBorder="1" applyAlignment="1" applyProtection="1">
      <alignment horizontal="center"/>
    </xf>
    <xf numFmtId="44" fontId="29" fillId="21" borderId="0" xfId="1" applyFont="1" applyFill="1" applyBorder="1" applyAlignment="1" applyProtection="1"/>
    <xf numFmtId="170" fontId="8" fillId="27" borderId="0" xfId="2" applyNumberFormat="1" applyFont="1" applyFill="1" applyBorder="1" applyAlignment="1" applyProtection="1">
      <alignment horizontal="center"/>
    </xf>
    <xf numFmtId="0" fontId="24" fillId="0" borderId="0" xfId="0" applyFont="1"/>
    <xf numFmtId="43" fontId="0" fillId="27" borderId="6" xfId="2" applyFont="1" applyFill="1" applyBorder="1" applyProtection="1"/>
    <xf numFmtId="43" fontId="0" fillId="27" borderId="6" xfId="2" applyFont="1" applyFill="1" applyBorder="1" applyAlignment="1" applyProtection="1">
      <alignment horizontal="center"/>
    </xf>
    <xf numFmtId="0" fontId="0" fillId="0" borderId="0" xfId="0" applyAlignment="1">
      <alignment vertical="top"/>
    </xf>
    <xf numFmtId="8" fontId="24" fillId="0" borderId="0" xfId="0" applyNumberFormat="1" applyFont="1"/>
    <xf numFmtId="44" fontId="0" fillId="0" borderId="0" xfId="1" applyFont="1" applyFill="1" applyBorder="1" applyAlignment="1" applyProtection="1"/>
    <xf numFmtId="0" fontId="24" fillId="21" borderId="0" xfId="0" applyFont="1" applyFill="1"/>
    <xf numFmtId="43" fontId="5" fillId="11" borderId="1" xfId="2" applyFont="1" applyFill="1" applyBorder="1" applyAlignment="1" applyProtection="1">
      <alignment horizontal="center"/>
    </xf>
    <xf numFmtId="43" fontId="5" fillId="11" borderId="3" xfId="2" applyFont="1" applyFill="1" applyBorder="1" applyProtection="1"/>
    <xf numFmtId="166" fontId="13" fillId="26" borderId="4" xfId="2" applyNumberFormat="1" applyFont="1" applyFill="1" applyBorder="1" applyAlignment="1" applyProtection="1"/>
    <xf numFmtId="43" fontId="0" fillId="27" borderId="76" xfId="2" applyFont="1" applyFill="1" applyBorder="1" applyProtection="1"/>
    <xf numFmtId="43" fontId="0" fillId="27" borderId="4" xfId="2" applyFont="1" applyFill="1" applyBorder="1" applyProtection="1"/>
    <xf numFmtId="43" fontId="0" fillId="27" borderId="5" xfId="2" applyFont="1" applyFill="1" applyBorder="1" applyProtection="1"/>
    <xf numFmtId="43" fontId="0" fillId="27" borderId="7" xfId="2" applyFont="1" applyFill="1" applyBorder="1" applyProtection="1"/>
    <xf numFmtId="43" fontId="15" fillId="26" borderId="76" xfId="2" applyFont="1" applyFill="1" applyBorder="1" applyAlignment="1" applyProtection="1">
      <alignment horizontal="center"/>
    </xf>
    <xf numFmtId="43" fontId="15" fillId="26" borderId="87" xfId="2" applyFont="1" applyFill="1" applyBorder="1" applyAlignment="1" applyProtection="1">
      <alignment horizontal="center"/>
    </xf>
    <xf numFmtId="44" fontId="0" fillId="6" borderId="0" xfId="1" applyFont="1" applyFill="1" applyAlignment="1" applyProtection="1"/>
    <xf numFmtId="43" fontId="0" fillId="6" borderId="0" xfId="2" applyFont="1" applyFill="1" applyProtection="1"/>
    <xf numFmtId="43" fontId="0" fillId="45" borderId="0" xfId="2" applyFont="1" applyFill="1" applyProtection="1"/>
    <xf numFmtId="43" fontId="0" fillId="44" borderId="0" xfId="2" applyFont="1" applyFill="1" applyProtection="1"/>
    <xf numFmtId="43" fontId="0" fillId="43" borderId="0" xfId="2" applyFont="1" applyFill="1" applyProtection="1"/>
    <xf numFmtId="43" fontId="0" fillId="42" borderId="0" xfId="2" applyFont="1" applyFill="1" applyProtection="1"/>
    <xf numFmtId="43" fontId="0" fillId="41" borderId="0" xfId="2" applyFont="1" applyFill="1" applyProtection="1"/>
    <xf numFmtId="43" fontId="0" fillId="39" borderId="0" xfId="2" applyFont="1" applyFill="1" applyProtection="1"/>
    <xf numFmtId="43" fontId="0" fillId="38" borderId="0" xfId="2" applyFont="1" applyFill="1" applyProtection="1"/>
    <xf numFmtId="43" fontId="0" fillId="0" borderId="0" xfId="2" applyFont="1" applyProtection="1"/>
    <xf numFmtId="43" fontId="17" fillId="6" borderId="0" xfId="2" applyFont="1" applyFill="1" applyProtection="1"/>
    <xf numFmtId="43" fontId="4" fillId="13" borderId="0" xfId="2" applyFont="1" applyFill="1" applyProtection="1"/>
    <xf numFmtId="43" fontId="17" fillId="18" borderId="0" xfId="2" applyFont="1" applyFill="1" applyProtection="1"/>
    <xf numFmtId="43" fontId="12" fillId="18" borderId="0" xfId="2" applyFont="1" applyFill="1" applyProtection="1"/>
    <xf numFmtId="166" fontId="0" fillId="0" borderId="0" xfId="2" applyNumberFormat="1" applyFont="1" applyAlignment="1" applyProtection="1">
      <alignment horizontal="right"/>
    </xf>
    <xf numFmtId="43" fontId="17" fillId="16" borderId="1" xfId="2" applyFont="1" applyFill="1" applyBorder="1" applyAlignment="1" applyProtection="1">
      <alignment horizontal="left"/>
    </xf>
    <xf numFmtId="43" fontId="17" fillId="16" borderId="2" xfId="2" applyFont="1" applyFill="1" applyBorder="1" applyAlignment="1" applyProtection="1">
      <alignment horizontal="center"/>
    </xf>
    <xf numFmtId="43" fontId="17" fillId="16" borderId="3" xfId="2" applyFont="1" applyFill="1" applyBorder="1" applyAlignment="1" applyProtection="1">
      <alignment horizontal="center"/>
    </xf>
    <xf numFmtId="43" fontId="4" fillId="13" borderId="35" xfId="2" applyFont="1" applyFill="1" applyBorder="1" applyProtection="1"/>
    <xf numFmtId="43" fontId="17" fillId="22" borderId="0" xfId="2" applyFont="1" applyFill="1" applyAlignment="1" applyProtection="1">
      <alignment horizontal="left"/>
    </xf>
    <xf numFmtId="43" fontId="17" fillId="16" borderId="32" xfId="2" applyFont="1" applyFill="1" applyBorder="1" applyAlignment="1" applyProtection="1">
      <alignment horizontal="left"/>
    </xf>
    <xf numFmtId="43" fontId="17" fillId="16" borderId="33" xfId="2" applyFont="1" applyFill="1" applyBorder="1" applyAlignment="1" applyProtection="1">
      <alignment horizontal="left"/>
    </xf>
    <xf numFmtId="43" fontId="17" fillId="16" borderId="34" xfId="2" applyFont="1" applyFill="1" applyBorder="1" applyAlignment="1" applyProtection="1">
      <alignment horizontal="left"/>
    </xf>
    <xf numFmtId="43" fontId="11" fillId="13" borderId="0" xfId="2" applyFont="1" applyFill="1" applyProtection="1"/>
    <xf numFmtId="43" fontId="16" fillId="34" borderId="1" xfId="2" applyFont="1" applyFill="1" applyBorder="1" applyAlignment="1" applyProtection="1">
      <alignment horizontal="left"/>
    </xf>
    <xf numFmtId="43" fontId="16" fillId="34" borderId="2" xfId="2" applyFont="1" applyFill="1" applyBorder="1" applyAlignment="1" applyProtection="1">
      <alignment horizontal="left"/>
    </xf>
    <xf numFmtId="43" fontId="16" fillId="34" borderId="2" xfId="2" applyFont="1" applyFill="1" applyBorder="1" applyAlignment="1" applyProtection="1">
      <alignment horizontal="right"/>
    </xf>
    <xf numFmtId="43" fontId="0" fillId="34" borderId="2" xfId="2" applyFont="1" applyFill="1" applyBorder="1" applyProtection="1"/>
    <xf numFmtId="43" fontId="0" fillId="34" borderId="3" xfId="2" applyFont="1" applyFill="1" applyBorder="1" applyProtection="1"/>
    <xf numFmtId="43" fontId="4" fillId="13" borderId="36" xfId="2" applyFont="1" applyFill="1" applyBorder="1" applyProtection="1"/>
    <xf numFmtId="43" fontId="17" fillId="18" borderId="10" xfId="2" applyFont="1" applyFill="1" applyBorder="1" applyProtection="1"/>
    <xf numFmtId="43" fontId="17" fillId="16" borderId="1" xfId="2" applyFont="1" applyFill="1" applyBorder="1" applyAlignment="1" applyProtection="1">
      <alignment horizontal="right"/>
    </xf>
    <xf numFmtId="43" fontId="17" fillId="16" borderId="2" xfId="2" applyFont="1" applyFill="1" applyBorder="1" applyAlignment="1" applyProtection="1">
      <alignment horizontal="right"/>
    </xf>
    <xf numFmtId="43" fontId="11" fillId="27" borderId="4" xfId="2" applyFont="1" applyFill="1" applyBorder="1" applyProtection="1"/>
    <xf numFmtId="43" fontId="11" fillId="27" borderId="0" xfId="2" applyFont="1" applyFill="1" applyBorder="1" applyProtection="1"/>
    <xf numFmtId="43" fontId="11" fillId="27" borderId="76" xfId="2" applyFont="1" applyFill="1" applyBorder="1" applyProtection="1"/>
    <xf numFmtId="43" fontId="14" fillId="26" borderId="0" xfId="2" applyFont="1" applyFill="1" applyBorder="1" applyAlignment="1" applyProtection="1">
      <alignment horizontal="right"/>
    </xf>
    <xf numFmtId="43" fontId="4" fillId="13" borderId="0" xfId="2" applyFont="1" applyFill="1" applyBorder="1" applyProtection="1"/>
    <xf numFmtId="43" fontId="17" fillId="18" borderId="0" xfId="2" applyFont="1" applyFill="1" applyBorder="1" applyProtection="1"/>
    <xf numFmtId="165" fontId="4" fillId="3" borderId="16" xfId="2" applyNumberFormat="1" applyFont="1" applyFill="1" applyBorder="1" applyProtection="1"/>
    <xf numFmtId="165" fontId="4" fillId="3" borderId="17" xfId="2" applyNumberFormat="1" applyFont="1" applyFill="1" applyBorder="1" applyProtection="1"/>
    <xf numFmtId="44" fontId="4" fillId="3" borderId="17" xfId="1" applyFont="1" applyFill="1" applyBorder="1" applyProtection="1"/>
    <xf numFmtId="43" fontId="4" fillId="3" borderId="18" xfId="2" applyFont="1" applyFill="1" applyBorder="1" applyProtection="1"/>
    <xf numFmtId="43" fontId="11" fillId="26" borderId="0" xfId="2" applyFont="1" applyFill="1" applyBorder="1" applyAlignment="1" applyProtection="1"/>
    <xf numFmtId="43" fontId="0" fillId="0" borderId="0" xfId="2" quotePrefix="1" applyFont="1" applyProtection="1"/>
    <xf numFmtId="39" fontId="4" fillId="26" borderId="0" xfId="2" applyNumberFormat="1" applyFont="1" applyFill="1" applyBorder="1" applyAlignment="1" applyProtection="1">
      <alignment horizontal="center"/>
    </xf>
    <xf numFmtId="43" fontId="5" fillId="35" borderId="4" xfId="2" applyFont="1" applyFill="1" applyBorder="1" applyProtection="1"/>
    <xf numFmtId="43" fontId="5" fillId="35" borderId="0" xfId="2" applyFont="1" applyFill="1" applyBorder="1" applyProtection="1"/>
    <xf numFmtId="43" fontId="5" fillId="35" borderId="76" xfId="2" applyFont="1" applyFill="1" applyBorder="1" applyProtection="1"/>
    <xf numFmtId="43" fontId="0" fillId="46" borderId="0" xfId="2" applyFont="1" applyFill="1" applyProtection="1"/>
    <xf numFmtId="43" fontId="13" fillId="26" borderId="81" xfId="2" applyFont="1" applyFill="1" applyBorder="1" applyAlignment="1" applyProtection="1">
      <alignment horizontal="right"/>
    </xf>
    <xf numFmtId="43" fontId="13" fillId="26" borderId="82" xfId="2" applyFont="1" applyFill="1" applyBorder="1" applyAlignment="1" applyProtection="1">
      <alignment horizontal="right"/>
    </xf>
    <xf numFmtId="44" fontId="4" fillId="26" borderId="82" xfId="1" applyFont="1" applyFill="1" applyBorder="1" applyAlignment="1" applyProtection="1">
      <alignment horizontal="center"/>
    </xf>
    <xf numFmtId="43" fontId="0" fillId="13" borderId="0" xfId="2" applyFont="1" applyFill="1" applyBorder="1" applyProtection="1"/>
    <xf numFmtId="43" fontId="0" fillId="48" borderId="0" xfId="2" applyFont="1" applyFill="1" applyProtection="1"/>
    <xf numFmtId="43" fontId="13" fillId="26" borderId="4" xfId="2" applyFont="1" applyFill="1" applyBorder="1" applyAlignment="1" applyProtection="1">
      <alignment horizontal="right"/>
    </xf>
    <xf numFmtId="44" fontId="4" fillId="26" borderId="0" xfId="1" applyFont="1" applyFill="1" applyBorder="1" applyAlignment="1" applyProtection="1">
      <alignment horizontal="center"/>
    </xf>
    <xf numFmtId="43" fontId="0" fillId="0" borderId="0" xfId="2" applyFont="1" applyBorder="1" applyProtection="1"/>
    <xf numFmtId="43" fontId="0" fillId="47" borderId="0" xfId="2" applyFont="1" applyFill="1" applyProtection="1"/>
    <xf numFmtId="43" fontId="13" fillId="26" borderId="74" xfId="2" applyFont="1" applyFill="1" applyBorder="1" applyAlignment="1" applyProtection="1">
      <alignment horizontal="right"/>
    </xf>
    <xf numFmtId="43" fontId="13" fillId="26" borderId="50" xfId="2" applyFont="1" applyFill="1" applyBorder="1" applyAlignment="1" applyProtection="1">
      <alignment horizontal="right"/>
    </xf>
    <xf numFmtId="44" fontId="4" fillId="26" borderId="50" xfId="1" applyFont="1" applyFill="1" applyBorder="1" applyAlignment="1" applyProtection="1">
      <alignment horizontal="center"/>
    </xf>
    <xf numFmtId="43" fontId="0" fillId="49" borderId="0" xfId="2" applyFont="1" applyFill="1" applyProtection="1"/>
    <xf numFmtId="43" fontId="0" fillId="50" borderId="0" xfId="2" applyFont="1" applyFill="1" applyProtection="1"/>
    <xf numFmtId="44" fontId="17" fillId="26" borderId="85" xfId="1" applyFont="1" applyFill="1" applyBorder="1" applyAlignment="1" applyProtection="1">
      <alignment horizontal="center"/>
    </xf>
    <xf numFmtId="44" fontId="4" fillId="3" borderId="16" xfId="1" applyFont="1" applyFill="1" applyBorder="1" applyProtection="1"/>
    <xf numFmtId="43" fontId="0" fillId="51" borderId="0" xfId="2" applyFont="1" applyFill="1" applyProtection="1"/>
    <xf numFmtId="44" fontId="17" fillId="26" borderId="0" xfId="1" applyFont="1" applyFill="1" applyBorder="1" applyAlignment="1" applyProtection="1">
      <alignment horizontal="center"/>
    </xf>
    <xf numFmtId="43" fontId="0" fillId="52" borderId="0" xfId="2" applyFont="1" applyFill="1" applyProtection="1"/>
    <xf numFmtId="43" fontId="11" fillId="36" borderId="4" xfId="2" applyFont="1" applyFill="1" applyBorder="1" applyProtection="1"/>
    <xf numFmtId="43" fontId="11" fillId="36" borderId="0" xfId="2" applyFont="1" applyFill="1" applyBorder="1" applyAlignment="1" applyProtection="1"/>
    <xf numFmtId="43" fontId="2" fillId="36" borderId="0" xfId="2" applyFont="1" applyFill="1" applyBorder="1" applyAlignment="1" applyProtection="1"/>
    <xf numFmtId="43" fontId="11" fillId="36" borderId="76" xfId="2" applyFont="1" applyFill="1" applyBorder="1" applyAlignment="1" applyProtection="1"/>
    <xf numFmtId="164" fontId="4" fillId="3" borderId="17" xfId="2" applyNumberFormat="1" applyFont="1" applyFill="1" applyBorder="1" applyProtection="1"/>
    <xf numFmtId="43" fontId="0" fillId="40" borderId="0" xfId="2" applyFont="1" applyFill="1" applyProtection="1"/>
    <xf numFmtId="43" fontId="14" fillId="26" borderId="0" xfId="2" applyFont="1" applyFill="1" applyBorder="1" applyAlignment="1" applyProtection="1">
      <alignment horizontal="center"/>
    </xf>
    <xf numFmtId="39" fontId="4" fillId="26" borderId="76" xfId="2" applyNumberFormat="1" applyFont="1" applyFill="1" applyBorder="1" applyAlignment="1" applyProtection="1">
      <alignment horizontal="center"/>
    </xf>
    <xf numFmtId="43" fontId="0" fillId="53" borderId="0" xfId="2" applyFont="1" applyFill="1" applyProtection="1"/>
    <xf numFmtId="43" fontId="0" fillId="54" borderId="0" xfId="2" applyFont="1" applyFill="1" applyProtection="1"/>
    <xf numFmtId="39" fontId="4" fillId="26" borderId="0" xfId="2" quotePrefix="1" applyNumberFormat="1" applyFont="1" applyFill="1" applyBorder="1" applyAlignment="1" applyProtection="1">
      <alignment horizontal="center"/>
    </xf>
    <xf numFmtId="10" fontId="4" fillId="3" borderId="29" xfId="2" applyNumberFormat="1" applyFont="1" applyFill="1" applyBorder="1" applyProtection="1"/>
    <xf numFmtId="164" fontId="4" fillId="3" borderId="30" xfId="2" applyNumberFormat="1" applyFont="1" applyFill="1" applyBorder="1" applyProtection="1"/>
    <xf numFmtId="44" fontId="4" fillId="3" borderId="30" xfId="1" applyFont="1" applyFill="1" applyBorder="1" applyProtection="1"/>
    <xf numFmtId="43" fontId="4" fillId="3" borderId="31" xfId="2" applyFont="1" applyFill="1" applyBorder="1" applyProtection="1"/>
    <xf numFmtId="43" fontId="4" fillId="3" borderId="5" xfId="2" applyFont="1" applyFill="1" applyBorder="1" applyProtection="1"/>
    <xf numFmtId="43" fontId="4" fillId="3" borderId="6" xfId="2" applyFont="1" applyFill="1" applyBorder="1" applyProtection="1"/>
    <xf numFmtId="43" fontId="4" fillId="3" borderId="7" xfId="2" applyFont="1" applyFill="1" applyBorder="1" applyProtection="1"/>
    <xf numFmtId="43" fontId="11" fillId="13" borderId="0" xfId="2" applyFont="1" applyFill="1" applyBorder="1" applyProtection="1"/>
    <xf numFmtId="43" fontId="13" fillId="26" borderId="83" xfId="2" applyFont="1" applyFill="1" applyBorder="1" applyAlignment="1" applyProtection="1">
      <alignment horizontal="right"/>
    </xf>
    <xf numFmtId="43" fontId="13" fillId="26" borderId="84" xfId="2" applyFont="1" applyFill="1" applyBorder="1" applyAlignment="1" applyProtection="1">
      <alignment horizontal="right"/>
    </xf>
    <xf numFmtId="43" fontId="17" fillId="2" borderId="1" xfId="2" applyFont="1" applyFill="1" applyBorder="1" applyAlignment="1" applyProtection="1">
      <alignment horizontal="left"/>
    </xf>
    <xf numFmtId="43" fontId="17" fillId="2" borderId="2" xfId="2" applyFont="1" applyFill="1" applyBorder="1" applyAlignment="1" applyProtection="1">
      <alignment horizontal="center"/>
    </xf>
    <xf numFmtId="43" fontId="17" fillId="2" borderId="3" xfId="2" applyFont="1" applyFill="1" applyBorder="1" applyAlignment="1" applyProtection="1">
      <alignment horizontal="center"/>
    </xf>
    <xf numFmtId="43" fontId="17" fillId="2" borderId="0" xfId="2" applyFont="1" applyFill="1" applyAlignment="1" applyProtection="1">
      <alignment horizontal="center"/>
    </xf>
    <xf numFmtId="43" fontId="17" fillId="2" borderId="32" xfId="2" applyFont="1" applyFill="1" applyBorder="1" applyAlignment="1" applyProtection="1">
      <alignment horizontal="center"/>
    </xf>
    <xf numFmtId="43" fontId="17" fillId="2" borderId="33" xfId="2" applyFont="1" applyFill="1" applyBorder="1" applyAlignment="1" applyProtection="1">
      <alignment horizontal="center"/>
    </xf>
    <xf numFmtId="43" fontId="17" fillId="2" borderId="34" xfId="2" applyFont="1" applyFill="1" applyBorder="1" applyAlignment="1" applyProtection="1">
      <alignment horizontal="center"/>
    </xf>
    <xf numFmtId="43" fontId="17" fillId="2" borderId="1" xfId="2" applyFont="1" applyFill="1" applyBorder="1" applyAlignment="1" applyProtection="1">
      <alignment horizontal="right"/>
    </xf>
    <xf numFmtId="43" fontId="17" fillId="2" borderId="2" xfId="2" applyFont="1" applyFill="1" applyBorder="1" applyAlignment="1" applyProtection="1">
      <alignment horizontal="right"/>
    </xf>
    <xf numFmtId="43" fontId="17" fillId="2" borderId="3" xfId="2" applyFont="1" applyFill="1" applyBorder="1" applyAlignment="1" applyProtection="1">
      <alignment horizontal="right"/>
    </xf>
    <xf numFmtId="43" fontId="17" fillId="2" borderId="1" xfId="2" applyFont="1" applyFill="1" applyBorder="1" applyAlignment="1" applyProtection="1">
      <alignment horizontal="center"/>
    </xf>
    <xf numFmtId="43" fontId="12" fillId="2" borderId="4" xfId="2" applyFont="1" applyFill="1" applyBorder="1" applyAlignment="1" applyProtection="1">
      <alignment horizontal="right"/>
    </xf>
    <xf numFmtId="43" fontId="12" fillId="2" borderId="0" xfId="2" applyFont="1" applyFill="1" applyBorder="1" applyAlignment="1" applyProtection="1">
      <alignment horizontal="right"/>
    </xf>
    <xf numFmtId="43" fontId="12" fillId="2" borderId="0" xfId="2" applyFont="1" applyFill="1" applyAlignment="1" applyProtection="1">
      <alignment horizontal="center"/>
    </xf>
    <xf numFmtId="43" fontId="4" fillId="3" borderId="16" xfId="2" applyFont="1" applyFill="1" applyBorder="1" applyProtection="1"/>
    <xf numFmtId="43" fontId="4" fillId="3" borderId="17" xfId="2" applyFont="1" applyFill="1" applyBorder="1" applyAlignment="1" applyProtection="1">
      <alignment horizontal="center"/>
    </xf>
    <xf numFmtId="44" fontId="4" fillId="3" borderId="18" xfId="1" applyFont="1" applyFill="1" applyBorder="1" applyProtection="1"/>
    <xf numFmtId="44" fontId="4" fillId="3" borderId="16" xfId="1" applyFont="1" applyFill="1" applyBorder="1" applyAlignment="1" applyProtection="1">
      <alignment horizontal="center"/>
    </xf>
    <xf numFmtId="164" fontId="4" fillId="3" borderId="17" xfId="2" applyNumberFormat="1" applyFont="1" applyFill="1" applyBorder="1" applyAlignment="1" applyProtection="1">
      <alignment horizontal="right"/>
    </xf>
    <xf numFmtId="44" fontId="4" fillId="3" borderId="17" xfId="1" applyFont="1" applyFill="1" applyBorder="1" applyAlignment="1" applyProtection="1">
      <alignment horizontal="right"/>
    </xf>
    <xf numFmtId="43" fontId="4" fillId="3" borderId="18" xfId="2" applyFont="1" applyFill="1" applyBorder="1" applyAlignment="1" applyProtection="1">
      <alignment horizontal="right"/>
    </xf>
    <xf numFmtId="43" fontId="4" fillId="3" borderId="28" xfId="2" applyFont="1" applyFill="1" applyBorder="1" applyProtection="1"/>
    <xf numFmtId="43" fontId="4" fillId="3" borderId="20" xfId="2" applyFont="1" applyFill="1" applyBorder="1" applyAlignment="1" applyProtection="1">
      <alignment horizontal="center"/>
    </xf>
    <xf numFmtId="44" fontId="4" fillId="3" borderId="24" xfId="1" applyFont="1" applyFill="1" applyBorder="1" applyProtection="1"/>
    <xf numFmtId="43" fontId="2" fillId="37" borderId="4" xfId="2" applyFont="1" applyFill="1" applyBorder="1" applyProtection="1"/>
    <xf numFmtId="43" fontId="31" fillId="37" borderId="0" xfId="2" applyFont="1" applyFill="1" applyBorder="1" applyAlignment="1" applyProtection="1"/>
    <xf numFmtId="43" fontId="2" fillId="37" borderId="0" xfId="2" applyFont="1" applyFill="1" applyBorder="1" applyAlignment="1" applyProtection="1">
      <alignment horizontal="right"/>
    </xf>
    <xf numFmtId="43" fontId="31" fillId="37" borderId="0" xfId="2" applyFont="1" applyFill="1" applyBorder="1" applyAlignment="1" applyProtection="1">
      <alignment horizontal="right"/>
    </xf>
    <xf numFmtId="43" fontId="31" fillId="37" borderId="76" xfId="2" applyFont="1" applyFill="1" applyBorder="1" applyAlignment="1" applyProtection="1">
      <alignment horizontal="right"/>
    </xf>
    <xf numFmtId="10" fontId="11" fillId="3" borderId="29" xfId="2" applyNumberFormat="1" applyFont="1" applyFill="1" applyBorder="1" applyProtection="1"/>
    <xf numFmtId="164" fontId="11" fillId="3" borderId="30" xfId="2" applyNumberFormat="1" applyFont="1" applyFill="1" applyBorder="1" applyProtection="1"/>
    <xf numFmtId="44" fontId="11" fillId="3" borderId="30" xfId="1" applyFont="1" applyFill="1" applyBorder="1" applyProtection="1"/>
    <xf numFmtId="43" fontId="11" fillId="3" borderId="31" xfId="2" applyFont="1" applyFill="1" applyBorder="1" applyProtection="1"/>
    <xf numFmtId="43" fontId="11" fillId="3" borderId="29" xfId="2" applyFont="1" applyFill="1" applyBorder="1" applyProtection="1"/>
    <xf numFmtId="43" fontId="11" fillId="3" borderId="30" xfId="2" applyFont="1" applyFill="1" applyBorder="1" applyProtection="1"/>
    <xf numFmtId="44" fontId="11" fillId="3" borderId="31" xfId="1" applyFont="1" applyFill="1" applyBorder="1" applyProtection="1"/>
    <xf numFmtId="43" fontId="13" fillId="26" borderId="80" xfId="2" applyFont="1" applyFill="1" applyBorder="1" applyAlignment="1" applyProtection="1">
      <alignment horizontal="right"/>
    </xf>
    <xf numFmtId="43" fontId="13" fillId="26" borderId="75" xfId="2" applyFont="1" applyFill="1" applyBorder="1" applyAlignment="1" applyProtection="1">
      <alignment horizontal="right"/>
    </xf>
    <xf numFmtId="43" fontId="17" fillId="25" borderId="1" xfId="2" applyFont="1" applyFill="1" applyBorder="1" applyAlignment="1" applyProtection="1">
      <alignment horizontal="left"/>
    </xf>
    <xf numFmtId="43" fontId="12" fillId="25" borderId="2" xfId="2" applyFont="1" applyFill="1" applyBorder="1" applyAlignment="1" applyProtection="1">
      <alignment horizontal="center"/>
    </xf>
    <xf numFmtId="43" fontId="12" fillId="25" borderId="3" xfId="2" applyFont="1" applyFill="1" applyBorder="1" applyAlignment="1" applyProtection="1">
      <alignment horizontal="center"/>
    </xf>
    <xf numFmtId="43" fontId="11" fillId="13" borderId="35" xfId="2" applyFont="1" applyFill="1" applyBorder="1" applyProtection="1"/>
    <xf numFmtId="43" fontId="12" fillId="25" borderId="0" xfId="2" applyFont="1" applyFill="1" applyAlignment="1" applyProtection="1">
      <alignment horizontal="center"/>
    </xf>
    <xf numFmtId="43" fontId="17" fillId="25" borderId="32" xfId="2" applyFont="1" applyFill="1" applyBorder="1" applyAlignment="1" applyProtection="1">
      <alignment horizontal="left"/>
    </xf>
    <xf numFmtId="43" fontId="12" fillId="25" borderId="33" xfId="2" applyFont="1" applyFill="1" applyBorder="1" applyAlignment="1" applyProtection="1">
      <alignment horizontal="center"/>
    </xf>
    <xf numFmtId="43" fontId="12" fillId="25" borderId="34" xfId="2" applyFont="1" applyFill="1" applyBorder="1" applyAlignment="1" applyProtection="1">
      <alignment horizontal="center"/>
    </xf>
    <xf numFmtId="43" fontId="12" fillId="25" borderId="1" xfId="2" applyFont="1" applyFill="1" applyBorder="1" applyAlignment="1" applyProtection="1">
      <alignment horizontal="right"/>
    </xf>
    <xf numFmtId="43" fontId="17" fillId="25" borderId="2" xfId="2" applyFont="1" applyFill="1" applyBorder="1" applyAlignment="1" applyProtection="1">
      <alignment horizontal="right"/>
    </xf>
    <xf numFmtId="43" fontId="12" fillId="25" borderId="2" xfId="2" applyFont="1" applyFill="1" applyBorder="1" applyAlignment="1" applyProtection="1">
      <alignment horizontal="right"/>
    </xf>
    <xf numFmtId="43" fontId="12" fillId="25" borderId="3" xfId="2" applyFont="1" applyFill="1" applyBorder="1" applyAlignment="1" applyProtection="1">
      <alignment horizontal="right"/>
    </xf>
    <xf numFmtId="43" fontId="11" fillId="13" borderId="36" xfId="2" applyFont="1" applyFill="1" applyBorder="1" applyProtection="1"/>
    <xf numFmtId="43" fontId="12" fillId="18" borderId="10" xfId="2" applyFont="1" applyFill="1" applyBorder="1" applyProtection="1"/>
    <xf numFmtId="43" fontId="12" fillId="25" borderId="13" xfId="2" applyFont="1" applyFill="1" applyBorder="1" applyAlignment="1" applyProtection="1">
      <alignment horizontal="center"/>
    </xf>
    <xf numFmtId="43" fontId="17" fillId="25" borderId="2" xfId="2" applyFont="1" applyFill="1" applyBorder="1" applyAlignment="1" applyProtection="1">
      <alignment horizontal="center"/>
    </xf>
    <xf numFmtId="43" fontId="12" fillId="25" borderId="14" xfId="2" applyFont="1" applyFill="1" applyBorder="1" applyAlignment="1" applyProtection="1">
      <alignment horizontal="center"/>
    </xf>
    <xf numFmtId="43" fontId="12" fillId="25" borderId="4" xfId="2" applyFont="1" applyFill="1" applyBorder="1" applyAlignment="1" applyProtection="1">
      <alignment horizontal="right"/>
    </xf>
    <xf numFmtId="43" fontId="12" fillId="25" borderId="0" xfId="2" applyFont="1" applyFill="1" applyBorder="1" applyAlignment="1" applyProtection="1">
      <alignment horizontal="right"/>
    </xf>
    <xf numFmtId="43" fontId="4" fillId="3" borderId="42" xfId="2" applyFont="1" applyFill="1" applyBorder="1" applyProtection="1"/>
    <xf numFmtId="44" fontId="4" fillId="3" borderId="43" xfId="1" applyFont="1" applyFill="1" applyBorder="1" applyAlignment="1" applyProtection="1">
      <alignment horizontal="center"/>
    </xf>
    <xf numFmtId="166" fontId="4" fillId="3" borderId="44" xfId="2" applyNumberFormat="1" applyFont="1" applyFill="1" applyBorder="1" applyProtection="1"/>
    <xf numFmtId="43" fontId="32" fillId="27" borderId="4" xfId="2" applyFont="1" applyFill="1" applyBorder="1" applyProtection="1"/>
    <xf numFmtId="44" fontId="33" fillId="26" borderId="77" xfId="1" applyFont="1" applyFill="1" applyBorder="1" applyAlignment="1" applyProtection="1">
      <alignment horizontal="center"/>
    </xf>
    <xf numFmtId="44" fontId="33" fillId="26" borderId="78" xfId="1" applyFont="1" applyFill="1" applyBorder="1" applyAlignment="1" applyProtection="1">
      <alignment horizontal="center"/>
    </xf>
    <xf numFmtId="44" fontId="34" fillId="26" borderId="79" xfId="1" applyFont="1" applyFill="1" applyBorder="1" applyAlignment="1" applyProtection="1">
      <alignment horizontal="right"/>
    </xf>
    <xf numFmtId="43" fontId="0" fillId="27" borderId="76" xfId="2" quotePrefix="1" applyFont="1" applyFill="1" applyBorder="1" applyProtection="1"/>
    <xf numFmtId="43" fontId="11" fillId="0" borderId="0" xfId="2" applyFont="1" applyProtection="1"/>
    <xf numFmtId="44" fontId="4" fillId="0" borderId="16" xfId="1" applyFont="1" applyFill="1" applyBorder="1" applyProtection="1"/>
    <xf numFmtId="44" fontId="11" fillId="3" borderId="17" xfId="1" applyFont="1" applyFill="1" applyBorder="1" applyProtection="1"/>
    <xf numFmtId="43" fontId="11" fillId="3" borderId="18" xfId="2" applyFont="1" applyFill="1" applyBorder="1" applyAlignment="1" applyProtection="1">
      <alignment horizontal="right"/>
    </xf>
    <xf numFmtId="43" fontId="11" fillId="3" borderId="40" xfId="2" applyFont="1" applyFill="1" applyBorder="1" applyProtection="1"/>
    <xf numFmtId="165" fontId="11" fillId="3" borderId="20" xfId="2" applyNumberFormat="1" applyFont="1" applyFill="1" applyBorder="1" applyAlignment="1" applyProtection="1">
      <alignment horizontal="center"/>
    </xf>
    <xf numFmtId="43" fontId="11" fillId="3" borderId="41" xfId="2" applyFont="1" applyFill="1" applyBorder="1" applyProtection="1"/>
    <xf numFmtId="43" fontId="11" fillId="27" borderId="5" xfId="2" applyFont="1" applyFill="1" applyBorder="1" applyProtection="1"/>
    <xf numFmtId="44" fontId="11" fillId="0" borderId="28" xfId="1" applyFont="1" applyFill="1" applyBorder="1" applyProtection="1"/>
    <xf numFmtId="167" fontId="11" fillId="3" borderId="20" xfId="1" applyNumberFormat="1" applyFont="1" applyFill="1" applyBorder="1" applyProtection="1"/>
    <xf numFmtId="44" fontId="11" fillId="3" borderId="20" xfId="1" applyFont="1" applyFill="1" applyBorder="1" applyProtection="1"/>
    <xf numFmtId="43" fontId="11" fillId="3" borderId="24" xfId="2" applyFont="1" applyFill="1" applyBorder="1" applyAlignment="1" applyProtection="1">
      <alignment horizontal="right"/>
    </xf>
    <xf numFmtId="43" fontId="4" fillId="4" borderId="48" xfId="2" applyFont="1" applyFill="1" applyBorder="1" applyProtection="1"/>
    <xf numFmtId="165" fontId="4" fillId="4" borderId="37" xfId="2" applyNumberFormat="1" applyFont="1" applyFill="1" applyBorder="1" applyAlignment="1" applyProtection="1">
      <alignment horizontal="center"/>
    </xf>
    <xf numFmtId="43" fontId="4" fillId="4" borderId="49" xfId="2" applyFont="1" applyFill="1" applyBorder="1" applyProtection="1"/>
    <xf numFmtId="43" fontId="4" fillId="3" borderId="40" xfId="2" applyFont="1" applyFill="1" applyBorder="1" applyProtection="1"/>
    <xf numFmtId="165" fontId="4" fillId="3" borderId="20" xfId="2" applyNumberFormat="1" applyFont="1" applyFill="1" applyBorder="1" applyAlignment="1" applyProtection="1">
      <alignment horizontal="center"/>
    </xf>
    <xf numFmtId="43" fontId="4" fillId="3" borderId="41" xfId="2" applyFont="1" applyFill="1" applyBorder="1" applyProtection="1"/>
    <xf numFmtId="43" fontId="4" fillId="3" borderId="21" xfId="2" applyFont="1" applyFill="1" applyBorder="1" applyProtection="1"/>
    <xf numFmtId="43" fontId="4" fillId="3" borderId="22" xfId="2" applyFont="1" applyFill="1" applyBorder="1" applyAlignment="1" applyProtection="1">
      <alignment horizontal="center"/>
    </xf>
    <xf numFmtId="43" fontId="4" fillId="3" borderId="23" xfId="2" applyFont="1" applyFill="1" applyBorder="1" applyProtection="1"/>
    <xf numFmtId="43" fontId="17" fillId="15" borderId="1" xfId="2" applyFont="1" applyFill="1" applyBorder="1" applyAlignment="1" applyProtection="1">
      <alignment horizontal="left"/>
    </xf>
    <xf numFmtId="43" fontId="17" fillId="15" borderId="2" xfId="2" applyFont="1" applyFill="1" applyBorder="1" applyAlignment="1" applyProtection="1">
      <alignment horizontal="center"/>
    </xf>
    <xf numFmtId="43" fontId="17" fillId="15" borderId="3" xfId="2" applyFont="1" applyFill="1" applyBorder="1" applyAlignment="1" applyProtection="1">
      <alignment horizontal="center"/>
    </xf>
    <xf numFmtId="43" fontId="17" fillId="25" borderId="0" xfId="2" applyFont="1" applyFill="1" applyAlignment="1" applyProtection="1">
      <alignment horizontal="center"/>
    </xf>
    <xf numFmtId="43" fontId="17" fillId="15" borderId="32" xfId="2" applyFont="1" applyFill="1" applyBorder="1" applyAlignment="1" applyProtection="1">
      <alignment horizontal="left"/>
    </xf>
    <xf numFmtId="43" fontId="17" fillId="15" borderId="33" xfId="2" applyFont="1" applyFill="1" applyBorder="1" applyAlignment="1" applyProtection="1">
      <alignment horizontal="center"/>
    </xf>
    <xf numFmtId="43" fontId="17" fillId="15" borderId="34" xfId="2" applyFont="1" applyFill="1" applyBorder="1" applyAlignment="1" applyProtection="1">
      <alignment horizontal="center"/>
    </xf>
    <xf numFmtId="43" fontId="17" fillId="15" borderId="1" xfId="2" applyFont="1" applyFill="1" applyBorder="1" applyAlignment="1" applyProtection="1">
      <alignment horizontal="right"/>
    </xf>
    <xf numFmtId="43" fontId="17" fillId="15" borderId="2" xfId="2" applyFont="1" applyFill="1" applyBorder="1" applyAlignment="1" applyProtection="1">
      <alignment horizontal="right"/>
    </xf>
    <xf numFmtId="43" fontId="17" fillId="15" borderId="3" xfId="2" applyFont="1" applyFill="1" applyBorder="1" applyAlignment="1" applyProtection="1">
      <alignment horizontal="right"/>
    </xf>
    <xf numFmtId="43" fontId="17" fillId="15" borderId="13" xfId="2" applyFont="1" applyFill="1" applyBorder="1" applyAlignment="1" applyProtection="1">
      <alignment horizontal="center"/>
    </xf>
    <xf numFmtId="43" fontId="17" fillId="15" borderId="14" xfId="2" applyFont="1" applyFill="1" applyBorder="1" applyAlignment="1" applyProtection="1">
      <alignment horizontal="center"/>
    </xf>
    <xf numFmtId="43" fontId="17" fillId="15" borderId="4" xfId="2" applyFont="1" applyFill="1" applyBorder="1" applyAlignment="1" applyProtection="1">
      <alignment horizontal="right"/>
    </xf>
    <xf numFmtId="43" fontId="17" fillId="15" borderId="0" xfId="2" applyFont="1" applyFill="1" applyBorder="1" applyAlignment="1" applyProtection="1">
      <alignment horizontal="right"/>
    </xf>
    <xf numFmtId="44" fontId="4" fillId="0" borderId="16" xfId="1" applyFont="1" applyFill="1" applyBorder="1" applyAlignment="1" applyProtection="1">
      <alignment horizontal="right"/>
    </xf>
    <xf numFmtId="166" fontId="4" fillId="3" borderId="17" xfId="2" applyNumberFormat="1" applyFont="1" applyFill="1" applyBorder="1" applyAlignment="1" applyProtection="1">
      <alignment horizontal="right"/>
    </xf>
    <xf numFmtId="166" fontId="4" fillId="3" borderId="18" xfId="2" applyNumberFormat="1" applyFont="1" applyFill="1" applyBorder="1" applyAlignment="1" applyProtection="1">
      <alignment horizontal="right"/>
    </xf>
    <xf numFmtId="44" fontId="4" fillId="0" borderId="28" xfId="1" applyFont="1" applyFill="1" applyBorder="1" applyAlignment="1" applyProtection="1">
      <alignment horizontal="right"/>
    </xf>
    <xf numFmtId="167" fontId="4" fillId="3" borderId="20" xfId="1" applyNumberFormat="1" applyFont="1" applyFill="1" applyBorder="1" applyAlignment="1" applyProtection="1">
      <alignment horizontal="right"/>
    </xf>
    <xf numFmtId="44" fontId="4" fillId="3" borderId="20" xfId="1" applyFont="1" applyFill="1" applyBorder="1" applyAlignment="1" applyProtection="1">
      <alignment horizontal="right"/>
    </xf>
    <xf numFmtId="43" fontId="4" fillId="3" borderId="24" xfId="2" applyFont="1" applyFill="1" applyBorder="1" applyAlignment="1" applyProtection="1">
      <alignment horizontal="right"/>
    </xf>
    <xf numFmtId="43" fontId="4" fillId="15" borderId="48" xfId="2" applyFont="1" applyFill="1" applyBorder="1" applyProtection="1"/>
    <xf numFmtId="165" fontId="4" fillId="15" borderId="37" xfId="2" applyNumberFormat="1" applyFont="1" applyFill="1" applyBorder="1" applyAlignment="1" applyProtection="1">
      <alignment horizontal="center"/>
    </xf>
    <xf numFmtId="43" fontId="4" fillId="15" borderId="49" xfId="2" applyFont="1" applyFill="1" applyBorder="1" applyProtection="1"/>
    <xf numFmtId="43" fontId="11" fillId="3" borderId="4" xfId="2" applyFont="1" applyFill="1" applyBorder="1" applyAlignment="1" applyProtection="1">
      <alignment horizontal="center"/>
    </xf>
    <xf numFmtId="43" fontId="12" fillId="16" borderId="0" xfId="2" applyFont="1" applyFill="1" applyAlignment="1" applyProtection="1">
      <alignment horizontal="left"/>
    </xf>
    <xf numFmtId="43" fontId="12" fillId="16" borderId="32" xfId="2" applyFont="1" applyFill="1" applyBorder="1" applyAlignment="1" applyProtection="1">
      <alignment horizontal="center"/>
    </xf>
    <xf numFmtId="43" fontId="12" fillId="16" borderId="33" xfId="2" applyFont="1" applyFill="1" applyBorder="1" applyAlignment="1" applyProtection="1">
      <alignment horizontal="center"/>
    </xf>
    <xf numFmtId="43" fontId="17" fillId="16" borderId="33" xfId="2" applyFont="1" applyFill="1" applyBorder="1" applyAlignment="1" applyProtection="1">
      <alignment horizontal="center"/>
    </xf>
    <xf numFmtId="43" fontId="12" fillId="16" borderId="34" xfId="2" applyFont="1" applyFill="1" applyBorder="1" applyAlignment="1" applyProtection="1">
      <alignment horizontal="center"/>
    </xf>
    <xf numFmtId="43" fontId="11" fillId="13" borderId="0" xfId="2" applyFont="1" applyFill="1" applyAlignment="1" applyProtection="1">
      <alignment horizontal="center"/>
    </xf>
    <xf numFmtId="43" fontId="11" fillId="3" borderId="0" xfId="2" applyFont="1" applyFill="1" applyBorder="1" applyProtection="1"/>
    <xf numFmtId="44" fontId="11" fillId="3" borderId="0" xfId="1" applyFont="1" applyFill="1" applyBorder="1" applyProtection="1"/>
    <xf numFmtId="43" fontId="17" fillId="16" borderId="55" xfId="2" applyFont="1" applyFill="1" applyBorder="1" applyAlignment="1" applyProtection="1">
      <alignment horizontal="left"/>
    </xf>
    <xf numFmtId="43" fontId="12" fillId="16" borderId="56" xfId="2" applyFont="1" applyFill="1" applyBorder="1" applyAlignment="1" applyProtection="1">
      <alignment horizontal="center"/>
    </xf>
    <xf numFmtId="43" fontId="12" fillId="16" borderId="54" xfId="2" applyFont="1" applyFill="1" applyBorder="1" applyAlignment="1" applyProtection="1">
      <alignment horizontal="center"/>
    </xf>
    <xf numFmtId="43" fontId="17" fillId="16" borderId="3" xfId="2" applyFont="1" applyFill="1" applyBorder="1" applyAlignment="1" applyProtection="1">
      <alignment horizontal="right"/>
    </xf>
    <xf numFmtId="43" fontId="17" fillId="0" borderId="3" xfId="2" applyFont="1" applyBorder="1" applyAlignment="1" applyProtection="1">
      <alignment horizontal="right"/>
    </xf>
    <xf numFmtId="43" fontId="17" fillId="16" borderId="11" xfId="2" applyFont="1" applyFill="1" applyBorder="1" applyAlignment="1" applyProtection="1">
      <alignment horizontal="right"/>
    </xf>
    <xf numFmtId="43" fontId="17" fillId="16" borderId="10" xfId="2" applyFont="1" applyFill="1" applyBorder="1" applyAlignment="1" applyProtection="1">
      <alignment horizontal="right"/>
    </xf>
    <xf numFmtId="43" fontId="12" fillId="16" borderId="10" xfId="2" applyFont="1" applyFill="1" applyBorder="1" applyAlignment="1" applyProtection="1">
      <alignment horizontal="right"/>
    </xf>
    <xf numFmtId="43" fontId="17" fillId="16" borderId="12" xfId="2" applyFont="1" applyFill="1" applyBorder="1" applyAlignment="1" applyProtection="1">
      <alignment horizontal="right"/>
    </xf>
    <xf numFmtId="43" fontId="17" fillId="16" borderId="5" xfId="2" applyFont="1" applyFill="1" applyBorder="1" applyAlignment="1" applyProtection="1">
      <alignment horizontal="right"/>
    </xf>
    <xf numFmtId="43" fontId="17" fillId="16" borderId="6" xfId="2" applyFont="1" applyFill="1" applyBorder="1" applyAlignment="1" applyProtection="1">
      <alignment horizontal="right"/>
    </xf>
    <xf numFmtId="43" fontId="17" fillId="0" borderId="7" xfId="2" applyFont="1" applyBorder="1" applyAlignment="1" applyProtection="1">
      <alignment horizontal="right"/>
    </xf>
    <xf numFmtId="43" fontId="4" fillId="3" borderId="25" xfId="2" applyFont="1" applyFill="1" applyBorder="1" applyAlignment="1" applyProtection="1">
      <alignment horizontal="center"/>
    </xf>
    <xf numFmtId="44" fontId="4" fillId="3" borderId="26" xfId="1" applyFont="1" applyFill="1" applyBorder="1" applyProtection="1"/>
    <xf numFmtId="43" fontId="4" fillId="3" borderId="26" xfId="2" applyFont="1" applyFill="1" applyBorder="1" applyProtection="1"/>
    <xf numFmtId="44" fontId="11" fillId="3" borderId="26" xfId="1" applyFont="1" applyFill="1" applyBorder="1" applyProtection="1"/>
    <xf numFmtId="44" fontId="4" fillId="3" borderId="27" xfId="1" applyFont="1" applyFill="1" applyBorder="1" applyProtection="1"/>
    <xf numFmtId="43" fontId="4" fillId="3" borderId="53" xfId="2" applyFont="1" applyFill="1" applyBorder="1" applyProtection="1"/>
    <xf numFmtId="43" fontId="4" fillId="0" borderId="0" xfId="2" applyFont="1" applyProtection="1"/>
    <xf numFmtId="43" fontId="4" fillId="3" borderId="17" xfId="2" applyFont="1" applyFill="1" applyBorder="1" applyProtection="1"/>
    <xf numFmtId="43" fontId="4" fillId="0" borderId="60" xfId="2" applyFont="1" applyBorder="1" applyProtection="1"/>
    <xf numFmtId="43" fontId="11" fillId="3" borderId="28" xfId="2" applyFont="1" applyFill="1" applyBorder="1" applyAlignment="1" applyProtection="1">
      <alignment horizontal="center"/>
    </xf>
    <xf numFmtId="43" fontId="11" fillId="3" borderId="20" xfId="2" applyFont="1" applyFill="1" applyBorder="1" applyProtection="1"/>
    <xf numFmtId="44" fontId="11" fillId="3" borderId="24" xfId="1" applyFont="1" applyFill="1" applyBorder="1" applyProtection="1"/>
    <xf numFmtId="43" fontId="4" fillId="3" borderId="58" xfId="2" applyFont="1" applyFill="1" applyBorder="1" applyProtection="1"/>
    <xf numFmtId="43" fontId="19" fillId="3" borderId="37" xfId="2" applyFont="1" applyFill="1" applyBorder="1" applyAlignment="1" applyProtection="1">
      <alignment horizontal="center"/>
    </xf>
    <xf numFmtId="43" fontId="11" fillId="3" borderId="37" xfId="2" applyFont="1" applyFill="1" applyBorder="1" applyProtection="1"/>
    <xf numFmtId="43" fontId="11" fillId="3" borderId="59" xfId="2" applyFont="1" applyFill="1" applyBorder="1" applyProtection="1"/>
    <xf numFmtId="43" fontId="17" fillId="16" borderId="11" xfId="2" applyFont="1" applyFill="1" applyBorder="1" applyAlignment="1" applyProtection="1">
      <alignment horizontal="left"/>
    </xf>
    <xf numFmtId="43" fontId="17" fillId="16" borderId="11" xfId="2" applyFont="1" applyFill="1" applyBorder="1" applyProtection="1"/>
    <xf numFmtId="43" fontId="17" fillId="16" borderId="10" xfId="2" applyFont="1" applyFill="1" applyBorder="1" applyAlignment="1" applyProtection="1">
      <alignment horizontal="left"/>
    </xf>
    <xf numFmtId="43" fontId="11" fillId="16" borderId="10" xfId="2" applyFont="1" applyFill="1" applyBorder="1" applyProtection="1"/>
    <xf numFmtId="44" fontId="4" fillId="3" borderId="28" xfId="1" applyFont="1" applyFill="1" applyBorder="1" applyAlignment="1" applyProtection="1">
      <alignment horizontal="center"/>
    </xf>
    <xf numFmtId="43" fontId="4" fillId="3" borderId="20" xfId="2" applyFont="1" applyFill="1" applyBorder="1" applyProtection="1"/>
    <xf numFmtId="43" fontId="11" fillId="3" borderId="24" xfId="2" applyFont="1" applyFill="1" applyBorder="1" applyProtection="1"/>
    <xf numFmtId="44" fontId="4" fillId="0" borderId="16" xfId="1" applyFont="1" applyBorder="1" applyProtection="1"/>
    <xf numFmtId="43" fontId="4" fillId="3" borderId="4" xfId="2" applyFont="1" applyFill="1" applyBorder="1" applyProtection="1"/>
    <xf numFmtId="43" fontId="19" fillId="3" borderId="0" xfId="2" applyFont="1" applyFill="1" applyBorder="1" applyAlignment="1" applyProtection="1">
      <alignment horizontal="center"/>
    </xf>
    <xf numFmtId="44" fontId="4" fillId="3" borderId="20" xfId="1" applyFont="1" applyFill="1" applyBorder="1" applyProtection="1"/>
    <xf numFmtId="43" fontId="4" fillId="3" borderId="29" xfId="2" applyFont="1" applyFill="1" applyBorder="1" applyProtection="1"/>
    <xf numFmtId="43" fontId="19" fillId="3" borderId="30" xfId="2" applyFont="1" applyFill="1" applyBorder="1" applyAlignment="1" applyProtection="1">
      <alignment horizontal="center"/>
    </xf>
    <xf numFmtId="10" fontId="11" fillId="3" borderId="0" xfId="2" applyNumberFormat="1" applyFont="1" applyFill="1" applyBorder="1" applyProtection="1"/>
    <xf numFmtId="164" fontId="11" fillId="3" borderId="0" xfId="2" applyNumberFormat="1" applyFont="1" applyFill="1" applyBorder="1" applyProtection="1"/>
    <xf numFmtId="43" fontId="17" fillId="24" borderId="1" xfId="2" applyFont="1" applyFill="1" applyBorder="1" applyAlignment="1" applyProtection="1">
      <alignment horizontal="left"/>
    </xf>
    <xf numFmtId="43" fontId="17" fillId="24" borderId="2" xfId="2" applyFont="1" applyFill="1" applyBorder="1" applyAlignment="1" applyProtection="1">
      <alignment horizontal="center"/>
    </xf>
    <xf numFmtId="43" fontId="12" fillId="24" borderId="2" xfId="2" applyFont="1" applyFill="1" applyBorder="1" applyAlignment="1" applyProtection="1">
      <alignment horizontal="center"/>
    </xf>
    <xf numFmtId="43" fontId="12" fillId="24" borderId="3" xfId="2" applyFont="1" applyFill="1" applyBorder="1" applyAlignment="1" applyProtection="1">
      <alignment horizontal="center"/>
    </xf>
    <xf numFmtId="43" fontId="12" fillId="24" borderId="0" xfId="2" applyFont="1" applyFill="1" applyAlignment="1" applyProtection="1">
      <alignment horizontal="left"/>
    </xf>
    <xf numFmtId="43" fontId="17" fillId="24" borderId="32" xfId="2" applyFont="1" applyFill="1" applyBorder="1" applyAlignment="1" applyProtection="1">
      <alignment horizontal="left"/>
    </xf>
    <xf numFmtId="43" fontId="12" fillId="24" borderId="33" xfId="2" applyFont="1" applyFill="1" applyBorder="1" applyAlignment="1" applyProtection="1">
      <alignment horizontal="left"/>
    </xf>
    <xf numFmtId="43" fontId="12" fillId="24" borderId="34" xfId="2" applyFont="1" applyFill="1" applyBorder="1" applyAlignment="1" applyProtection="1">
      <alignment horizontal="left"/>
    </xf>
    <xf numFmtId="43" fontId="17" fillId="24" borderId="1" xfId="2" applyFont="1" applyFill="1" applyBorder="1" applyAlignment="1" applyProtection="1">
      <alignment horizontal="right"/>
    </xf>
    <xf numFmtId="43" fontId="17" fillId="24" borderId="2" xfId="2" applyFont="1" applyFill="1" applyBorder="1" applyAlignment="1" applyProtection="1">
      <alignment horizontal="right"/>
    </xf>
    <xf numFmtId="43" fontId="17" fillId="24" borderId="4" xfId="2" applyFont="1" applyFill="1" applyBorder="1" applyAlignment="1" applyProtection="1">
      <alignment horizontal="right"/>
    </xf>
    <xf numFmtId="43" fontId="17" fillId="24" borderId="0" xfId="2" applyFont="1" applyFill="1" applyBorder="1" applyAlignment="1" applyProtection="1">
      <alignment horizontal="center"/>
    </xf>
    <xf numFmtId="43" fontId="12" fillId="24" borderId="0" xfId="2" applyFont="1" applyFill="1" applyBorder="1" applyAlignment="1" applyProtection="1">
      <alignment horizontal="center"/>
    </xf>
    <xf numFmtId="43" fontId="17" fillId="24" borderId="0" xfId="2" applyFont="1" applyFill="1" applyBorder="1" applyAlignment="1" applyProtection="1">
      <alignment horizontal="right"/>
    </xf>
    <xf numFmtId="168" fontId="4" fillId="3" borderId="17" xfId="2" applyNumberFormat="1" applyFont="1" applyFill="1" applyBorder="1" applyProtection="1"/>
    <xf numFmtId="43" fontId="11" fillId="3" borderId="18" xfId="2" applyFont="1" applyFill="1" applyBorder="1" applyProtection="1"/>
    <xf numFmtId="0" fontId="4" fillId="0" borderId="17" xfId="2" applyNumberFormat="1" applyFont="1" applyBorder="1" applyAlignment="1" applyProtection="1">
      <alignment horizontal="center"/>
    </xf>
    <xf numFmtId="43" fontId="17" fillId="24" borderId="4" xfId="2" applyFont="1" applyFill="1" applyBorder="1" applyAlignment="1" applyProtection="1">
      <alignment horizontal="left"/>
    </xf>
    <xf numFmtId="43" fontId="11" fillId="3" borderId="5" xfId="2" applyFont="1" applyFill="1" applyBorder="1" applyProtection="1"/>
    <xf numFmtId="43" fontId="11" fillId="3" borderId="6" xfId="2" applyFont="1" applyFill="1" applyBorder="1" applyProtection="1"/>
    <xf numFmtId="43" fontId="11" fillId="3" borderId="7" xfId="2" applyFont="1" applyFill="1" applyBorder="1" applyProtection="1"/>
    <xf numFmtId="43" fontId="12" fillId="15" borderId="0" xfId="2" applyFont="1" applyFill="1" applyAlignment="1" applyProtection="1">
      <alignment horizontal="left"/>
    </xf>
    <xf numFmtId="43" fontId="11" fillId="7" borderId="1" xfId="2" applyFont="1" applyFill="1" applyBorder="1" applyAlignment="1" applyProtection="1">
      <alignment horizontal="center"/>
    </xf>
    <xf numFmtId="43" fontId="11" fillId="7" borderId="2" xfId="2" applyFont="1" applyFill="1" applyBorder="1" applyProtection="1"/>
    <xf numFmtId="43" fontId="11" fillId="4" borderId="4" xfId="2" applyFont="1" applyFill="1" applyBorder="1" applyAlignment="1" applyProtection="1">
      <alignment horizontal="center"/>
    </xf>
    <xf numFmtId="43" fontId="11" fillId="4" borderId="0" xfId="2" applyFont="1" applyFill="1" applyBorder="1" applyProtection="1"/>
    <xf numFmtId="43" fontId="11" fillId="10" borderId="4" xfId="2" applyFont="1" applyFill="1" applyBorder="1" applyAlignment="1" applyProtection="1">
      <alignment horizontal="center"/>
    </xf>
    <xf numFmtId="43" fontId="11" fillId="10" borderId="0" xfId="2" applyFont="1" applyFill="1" applyBorder="1" applyProtection="1"/>
    <xf numFmtId="43" fontId="11" fillId="8" borderId="4" xfId="2" applyFont="1" applyFill="1" applyBorder="1" applyAlignment="1" applyProtection="1">
      <alignment horizontal="center"/>
    </xf>
    <xf numFmtId="43" fontId="11" fillId="8" borderId="0" xfId="2" applyFont="1" applyFill="1" applyBorder="1" applyProtection="1"/>
    <xf numFmtId="43" fontId="11" fillId="12" borderId="4" xfId="2" applyFont="1" applyFill="1" applyBorder="1" applyAlignment="1" applyProtection="1">
      <alignment horizontal="center"/>
    </xf>
    <xf numFmtId="43" fontId="11" fillId="12" borderId="0" xfId="2" applyFont="1" applyFill="1" applyBorder="1" applyProtection="1"/>
    <xf numFmtId="43" fontId="11" fillId="5" borderId="4" xfId="2" applyFont="1" applyFill="1" applyBorder="1" applyAlignment="1" applyProtection="1">
      <alignment horizontal="center"/>
    </xf>
    <xf numFmtId="43" fontId="11" fillId="5" borderId="0" xfId="2" applyFont="1" applyFill="1" applyBorder="1" applyProtection="1"/>
    <xf numFmtId="43" fontId="17" fillId="15" borderId="0" xfId="2" applyFont="1" applyFill="1" applyAlignment="1" applyProtection="1">
      <alignment horizontal="center"/>
    </xf>
    <xf numFmtId="43" fontId="12" fillId="15" borderId="0" xfId="2" applyFont="1" applyFill="1" applyAlignment="1" applyProtection="1">
      <alignment horizontal="center"/>
    </xf>
    <xf numFmtId="43" fontId="12" fillId="15" borderId="2" xfId="2" applyFont="1" applyFill="1" applyBorder="1" applyAlignment="1" applyProtection="1">
      <alignment horizontal="center"/>
    </xf>
    <xf numFmtId="43" fontId="12" fillId="15" borderId="3" xfId="2" applyFont="1" applyFill="1" applyBorder="1" applyAlignment="1" applyProtection="1">
      <alignment horizontal="center"/>
    </xf>
    <xf numFmtId="43" fontId="17" fillId="15" borderId="1" xfId="2" applyFont="1" applyFill="1" applyBorder="1" applyAlignment="1" applyProtection="1">
      <alignment horizontal="center"/>
    </xf>
    <xf numFmtId="43" fontId="17" fillId="15" borderId="0" xfId="2" applyFont="1" applyFill="1" applyAlignment="1" applyProtection="1">
      <alignment horizontal="right"/>
    </xf>
    <xf numFmtId="43" fontId="17" fillId="15" borderId="4" xfId="2" applyFont="1" applyFill="1" applyBorder="1" applyAlignment="1" applyProtection="1">
      <alignment horizontal="center"/>
    </xf>
    <xf numFmtId="43" fontId="17" fillId="15" borderId="10" xfId="2" applyFont="1" applyFill="1" applyBorder="1" applyAlignment="1" applyProtection="1">
      <alignment horizontal="center"/>
    </xf>
    <xf numFmtId="43" fontId="17" fillId="15" borderId="0" xfId="2" applyFont="1" applyFill="1" applyBorder="1" applyAlignment="1" applyProtection="1">
      <alignment horizontal="center"/>
    </xf>
    <xf numFmtId="43" fontId="4" fillId="0" borderId="19" xfId="2" applyFont="1" applyBorder="1" applyAlignment="1" applyProtection="1">
      <alignment horizontal="center"/>
    </xf>
    <xf numFmtId="44" fontId="4" fillId="7" borderId="0" xfId="1" applyFont="1" applyFill="1" applyBorder="1" applyProtection="1"/>
    <xf numFmtId="44" fontId="4" fillId="0" borderId="4" xfId="1" applyFont="1" applyBorder="1" applyProtection="1"/>
    <xf numFmtId="43" fontId="4" fillId="0" borderId="0" xfId="2" applyFont="1" applyBorder="1" applyProtection="1"/>
    <xf numFmtId="44" fontId="4" fillId="4" borderId="0" xfId="1" applyFont="1" applyFill="1" applyBorder="1" applyProtection="1"/>
    <xf numFmtId="43" fontId="4" fillId="3" borderId="30" xfId="2" applyFont="1" applyFill="1" applyBorder="1" applyProtection="1"/>
    <xf numFmtId="44" fontId="4" fillId="10" borderId="0" xfId="1" applyFont="1" applyFill="1" applyBorder="1" applyProtection="1"/>
    <xf numFmtId="43" fontId="4" fillId="0" borderId="45" xfId="2" applyFont="1" applyBorder="1" applyProtection="1"/>
    <xf numFmtId="43" fontId="4" fillId="0" borderId="46" xfId="2" applyFont="1" applyFill="1" applyBorder="1" applyProtection="1"/>
    <xf numFmtId="43" fontId="4" fillId="0" borderId="45" xfId="2" applyFont="1" applyFill="1" applyBorder="1" applyProtection="1"/>
    <xf numFmtId="44" fontId="4" fillId="8" borderId="0" xfId="1" quotePrefix="1" applyFont="1" applyFill="1" applyBorder="1" applyProtection="1"/>
    <xf numFmtId="44" fontId="4" fillId="8" borderId="0" xfId="1" applyFont="1" applyFill="1" applyBorder="1" applyProtection="1"/>
    <xf numFmtId="43" fontId="4" fillId="0" borderId="47" xfId="2" applyFont="1" applyBorder="1" applyProtection="1"/>
    <xf numFmtId="43" fontId="4" fillId="0" borderId="47" xfId="2" applyFont="1" applyFill="1" applyBorder="1" applyProtection="1"/>
    <xf numFmtId="44" fontId="4" fillId="12" borderId="0" xfId="1" applyFont="1" applyFill="1" applyBorder="1" applyAlignment="1" applyProtection="1">
      <alignment horizontal="center"/>
    </xf>
    <xf numFmtId="43" fontId="4" fillId="15" borderId="47" xfId="2" applyFont="1" applyFill="1" applyBorder="1" applyProtection="1"/>
    <xf numFmtId="43" fontId="17" fillId="15" borderId="46" xfId="2" applyFont="1" applyFill="1" applyBorder="1" applyAlignment="1" applyProtection="1">
      <alignment horizontal="left"/>
    </xf>
    <xf numFmtId="43" fontId="4" fillId="0" borderId="15" xfId="2" applyFont="1" applyBorder="1" applyAlignment="1" applyProtection="1">
      <alignment horizontal="center"/>
    </xf>
    <xf numFmtId="44" fontId="4" fillId="5" borderId="0" xfId="1" applyFont="1" applyFill="1" applyBorder="1" applyProtection="1"/>
    <xf numFmtId="43" fontId="4" fillId="0" borderId="17" xfId="2" applyFont="1" applyBorder="1" applyProtection="1"/>
    <xf numFmtId="44" fontId="4" fillId="0" borderId="18" xfId="1" applyFont="1" applyBorder="1" applyProtection="1"/>
    <xf numFmtId="43" fontId="11" fillId="0" borderId="5" xfId="2" applyFont="1" applyBorder="1" applyProtection="1"/>
    <xf numFmtId="43" fontId="11" fillId="0" borderId="6" xfId="2" applyFont="1" applyBorder="1" applyProtection="1"/>
    <xf numFmtId="43" fontId="11" fillId="0" borderId="7" xfId="2" applyFont="1" applyBorder="1" applyProtection="1"/>
    <xf numFmtId="43" fontId="17" fillId="15" borderId="55" xfId="2" applyFont="1" applyFill="1" applyBorder="1" applyAlignment="1" applyProtection="1">
      <alignment horizontal="left"/>
    </xf>
    <xf numFmtId="43" fontId="17" fillId="15" borderId="56" xfId="2" applyFont="1" applyFill="1" applyBorder="1" applyAlignment="1" applyProtection="1">
      <alignment horizontal="center"/>
    </xf>
    <xf numFmtId="43" fontId="17" fillId="15" borderId="54" xfId="2" applyFont="1" applyFill="1" applyBorder="1" applyAlignment="1" applyProtection="1">
      <alignment horizontal="center"/>
    </xf>
    <xf numFmtId="43" fontId="17" fillId="18" borderId="57" xfId="2" applyFont="1" applyFill="1" applyBorder="1" applyProtection="1"/>
    <xf numFmtId="43" fontId="17" fillId="15" borderId="0" xfId="2" applyFont="1" applyFill="1" applyBorder="1" applyAlignment="1" applyProtection="1">
      <alignment horizontal="left"/>
    </xf>
    <xf numFmtId="43" fontId="17" fillId="15" borderId="12" xfId="2" applyFont="1" applyFill="1" applyBorder="1" applyAlignment="1" applyProtection="1">
      <alignment horizontal="center"/>
    </xf>
    <xf numFmtId="44" fontId="4" fillId="15" borderId="16" xfId="1" applyFont="1" applyFill="1" applyBorder="1" applyAlignment="1" applyProtection="1">
      <alignment horizontal="center"/>
    </xf>
    <xf numFmtId="44" fontId="4" fillId="3" borderId="17" xfId="1" applyFont="1" applyFill="1" applyBorder="1" applyAlignment="1" applyProtection="1">
      <alignment horizontal="center"/>
    </xf>
    <xf numFmtId="43" fontId="4" fillId="3" borderId="18" xfId="2" applyFont="1" applyFill="1" applyBorder="1" applyAlignment="1" applyProtection="1">
      <alignment horizontal="left"/>
    </xf>
    <xf numFmtId="43" fontId="17" fillId="29" borderId="55" xfId="2" applyFont="1" applyFill="1" applyBorder="1" applyAlignment="1" applyProtection="1">
      <alignment horizontal="left"/>
    </xf>
    <xf numFmtId="43" fontId="17" fillId="29" borderId="56" xfId="2" applyFont="1" applyFill="1" applyBorder="1" applyAlignment="1" applyProtection="1">
      <alignment horizontal="center"/>
    </xf>
    <xf numFmtId="43" fontId="17" fillId="29" borderId="54" xfId="2" applyFont="1" applyFill="1" applyBorder="1" applyAlignment="1" applyProtection="1">
      <alignment horizontal="center"/>
    </xf>
    <xf numFmtId="43" fontId="17" fillId="29" borderId="4" xfId="2" applyFont="1" applyFill="1" applyBorder="1" applyAlignment="1" applyProtection="1">
      <alignment horizontal="right"/>
    </xf>
    <xf numFmtId="43" fontId="17" fillId="29" borderId="0" xfId="2" applyFont="1" applyFill="1" applyBorder="1" applyAlignment="1" applyProtection="1">
      <alignment horizontal="left"/>
    </xf>
    <xf numFmtId="43" fontId="17" fillId="29" borderId="2" xfId="2" applyFont="1" applyFill="1" applyBorder="1" applyAlignment="1" applyProtection="1">
      <alignment horizontal="center"/>
    </xf>
    <xf numFmtId="43" fontId="17" fillId="29" borderId="0" xfId="2" applyFont="1" applyFill="1" applyBorder="1" applyAlignment="1" applyProtection="1">
      <alignment horizontal="center"/>
    </xf>
    <xf numFmtId="43" fontId="17" fillId="29" borderId="1" xfId="2" applyFont="1" applyFill="1" applyBorder="1" applyAlignment="1" applyProtection="1">
      <alignment horizontal="right"/>
    </xf>
    <xf numFmtId="43" fontId="17" fillId="29" borderId="3" xfId="2" applyFont="1" applyFill="1" applyBorder="1" applyAlignment="1" applyProtection="1">
      <alignment horizontal="center"/>
    </xf>
    <xf numFmtId="44" fontId="4" fillId="0" borderId="16" xfId="1" applyFont="1" applyFill="1" applyBorder="1" applyAlignment="1" applyProtection="1">
      <alignment horizontal="center"/>
    </xf>
    <xf numFmtId="166" fontId="0" fillId="0" borderId="0" xfId="0" applyNumberFormat="1" applyAlignment="1">
      <alignment horizontal="right"/>
    </xf>
    <xf numFmtId="43" fontId="0" fillId="55" borderId="0" xfId="2" applyFont="1" applyFill="1" applyProtection="1"/>
    <xf numFmtId="43" fontId="0" fillId="56" borderId="0" xfId="2" applyFont="1" applyFill="1" applyProtection="1"/>
    <xf numFmtId="43" fontId="0" fillId="57" borderId="0" xfId="2" applyFont="1" applyFill="1" applyProtection="1"/>
    <xf numFmtId="43" fontId="0" fillId="58" borderId="0" xfId="2" applyFont="1" applyFill="1" applyProtection="1"/>
    <xf numFmtId="43" fontId="0" fillId="59" borderId="0" xfId="2" applyFont="1" applyFill="1" applyProtection="1"/>
    <xf numFmtId="43" fontId="0" fillId="60" borderId="0" xfId="2" applyFont="1" applyFill="1" applyProtection="1"/>
    <xf numFmtId="43" fontId="0" fillId="61" borderId="0" xfId="2" applyFont="1" applyFill="1" applyProtection="1"/>
    <xf numFmtId="43" fontId="2" fillId="33" borderId="1" xfId="2" applyFont="1" applyFill="1" applyBorder="1" applyAlignment="1" applyProtection="1">
      <alignment horizontal="center"/>
    </xf>
    <xf numFmtId="43" fontId="2" fillId="33" borderId="2" xfId="2" applyFont="1" applyFill="1" applyBorder="1" applyAlignment="1" applyProtection="1">
      <alignment horizontal="center"/>
    </xf>
    <xf numFmtId="43" fontId="30" fillId="33" borderId="2" xfId="2" applyFont="1" applyFill="1" applyBorder="1" applyProtection="1"/>
    <xf numFmtId="43" fontId="2" fillId="33" borderId="2" xfId="2" applyFont="1" applyFill="1" applyBorder="1" applyProtection="1"/>
    <xf numFmtId="43" fontId="2" fillId="33" borderId="3" xfId="2" applyFont="1" applyFill="1" applyBorder="1" applyProtection="1"/>
    <xf numFmtId="43" fontId="13" fillId="26" borderId="0" xfId="2" applyFont="1" applyFill="1" applyBorder="1" applyAlignment="1" applyProtection="1"/>
    <xf numFmtId="43" fontId="4" fillId="26" borderId="0" xfId="2" applyFont="1" applyFill="1" applyBorder="1" applyAlignment="1" applyProtection="1">
      <alignment horizontal="right"/>
    </xf>
    <xf numFmtId="43" fontId="17" fillId="16" borderId="0" xfId="2" applyFont="1" applyFill="1" applyAlignment="1" applyProtection="1">
      <alignment horizontal="center"/>
    </xf>
    <xf numFmtId="43" fontId="17" fillId="16" borderId="4" xfId="2" applyFont="1" applyFill="1" applyBorder="1" applyAlignment="1" applyProtection="1">
      <alignment horizontal="right"/>
    </xf>
    <xf numFmtId="43" fontId="17" fillId="16" borderId="0" xfId="2" applyFont="1" applyFill="1" applyBorder="1" applyAlignment="1" applyProtection="1">
      <alignment horizontal="right"/>
    </xf>
    <xf numFmtId="43" fontId="12" fillId="16" borderId="0" xfId="2" applyFont="1" applyFill="1" applyAlignment="1" applyProtection="1">
      <alignment horizontal="center"/>
    </xf>
    <xf numFmtId="44" fontId="4" fillId="3" borderId="28" xfId="1" applyFont="1" applyFill="1" applyBorder="1" applyProtection="1"/>
    <xf numFmtId="44" fontId="4" fillId="3" borderId="20" xfId="1" applyFont="1" applyFill="1" applyBorder="1" applyAlignment="1" applyProtection="1">
      <alignment horizontal="center"/>
    </xf>
    <xf numFmtId="43" fontId="0" fillId="27" borderId="6" xfId="2" quotePrefix="1" applyFont="1" applyFill="1" applyBorder="1" applyProtection="1"/>
    <xf numFmtId="43" fontId="0" fillId="0" borderId="0" xfId="2" applyFont="1" applyBorder="1" applyAlignment="1" applyProtection="1">
      <alignment horizontal="center"/>
    </xf>
    <xf numFmtId="43" fontId="2" fillId="33" borderId="1" xfId="2" applyFont="1" applyFill="1" applyBorder="1" applyProtection="1"/>
    <xf numFmtId="166" fontId="2" fillId="33" borderId="2" xfId="2" applyNumberFormat="1" applyFont="1" applyFill="1" applyBorder="1" applyProtection="1"/>
    <xf numFmtId="43" fontId="0" fillId="3" borderId="4" xfId="2" applyFont="1" applyFill="1" applyBorder="1" applyAlignment="1" applyProtection="1">
      <alignment horizontal="center"/>
    </xf>
    <xf numFmtId="43" fontId="0" fillId="3" borderId="0" xfId="2" applyFont="1" applyFill="1" applyBorder="1" applyProtection="1"/>
    <xf numFmtId="43" fontId="4" fillId="3" borderId="0" xfId="2" applyFont="1" applyFill="1" applyBorder="1" applyProtection="1"/>
    <xf numFmtId="43" fontId="18" fillId="3" borderId="0" xfId="2" applyFont="1" applyFill="1" applyBorder="1" applyProtection="1"/>
    <xf numFmtId="43" fontId="0" fillId="3" borderId="5" xfId="2" applyFont="1" applyFill="1" applyBorder="1" applyProtection="1"/>
    <xf numFmtId="43" fontId="0" fillId="3" borderId="6" xfId="2" applyFont="1" applyFill="1" applyBorder="1" applyProtection="1"/>
    <xf numFmtId="43" fontId="0" fillId="3" borderId="7" xfId="2" applyFont="1" applyFill="1" applyBorder="1" applyProtection="1"/>
    <xf numFmtId="43" fontId="17" fillId="30" borderId="1" xfId="2" applyFont="1" applyFill="1" applyBorder="1" applyAlignment="1" applyProtection="1">
      <alignment horizontal="center"/>
    </xf>
    <xf numFmtId="43" fontId="17" fillId="30" borderId="2" xfId="2" applyFont="1" applyFill="1" applyBorder="1" applyAlignment="1" applyProtection="1">
      <alignment horizontal="center"/>
    </xf>
    <xf numFmtId="43" fontId="30" fillId="30" borderId="2" xfId="2" applyFont="1" applyFill="1" applyBorder="1" applyProtection="1"/>
    <xf numFmtId="43" fontId="17" fillId="30" borderId="2" xfId="2" applyFont="1" applyFill="1" applyBorder="1" applyProtection="1"/>
    <xf numFmtId="43" fontId="17" fillId="30" borderId="3" xfId="2" applyFont="1" applyFill="1" applyBorder="1" applyProtection="1"/>
    <xf numFmtId="166" fontId="11" fillId="26" borderId="0" xfId="2" applyNumberFormat="1" applyFont="1" applyFill="1" applyBorder="1" applyAlignment="1" applyProtection="1"/>
    <xf numFmtId="43" fontId="0" fillId="32" borderId="25" xfId="2" applyFont="1" applyFill="1" applyBorder="1" applyProtection="1"/>
    <xf numFmtId="43" fontId="0" fillId="32" borderId="26" xfId="2" applyFont="1" applyFill="1" applyBorder="1" applyProtection="1"/>
    <xf numFmtId="43" fontId="3" fillId="32" borderId="26" xfId="2" applyFont="1" applyFill="1" applyBorder="1" applyProtection="1"/>
    <xf numFmtId="43" fontId="35" fillId="32" borderId="26" xfId="3" applyNumberFormat="1" applyFill="1" applyBorder="1" applyProtection="1"/>
    <xf numFmtId="43" fontId="0" fillId="32" borderId="27" xfId="2" applyFont="1" applyFill="1" applyBorder="1" applyProtection="1"/>
    <xf numFmtId="43" fontId="3" fillId="27" borderId="0" xfId="2" applyFont="1" applyFill="1" applyBorder="1" applyProtection="1"/>
    <xf numFmtId="43" fontId="0" fillId="27" borderId="61" xfId="2" applyFont="1" applyFill="1" applyBorder="1" applyProtection="1"/>
    <xf numFmtId="43" fontId="0" fillId="27" borderId="61" xfId="2" applyFont="1" applyFill="1" applyBorder="1" applyAlignment="1" applyProtection="1">
      <alignment horizontal="right"/>
    </xf>
    <xf numFmtId="43" fontId="0" fillId="31" borderId="61" xfId="2" applyFont="1" applyFill="1" applyBorder="1" applyProtection="1"/>
    <xf numFmtId="43" fontId="4" fillId="26" borderId="61" xfId="2" applyFont="1" applyFill="1" applyBorder="1" applyAlignment="1" applyProtection="1">
      <alignment horizontal="right"/>
    </xf>
    <xf numFmtId="43" fontId="4" fillId="31" borderId="61" xfId="2" applyFont="1" applyFill="1" applyBorder="1" applyAlignment="1" applyProtection="1">
      <alignment horizontal="right"/>
    </xf>
    <xf numFmtId="43" fontId="17" fillId="2" borderId="4" xfId="2" applyFont="1" applyFill="1" applyBorder="1" applyAlignment="1" applyProtection="1">
      <alignment horizontal="left"/>
    </xf>
    <xf numFmtId="43" fontId="17" fillId="2" borderId="0" xfId="2" applyFont="1" applyFill="1" applyBorder="1" applyAlignment="1" applyProtection="1">
      <alignment horizontal="right"/>
    </xf>
    <xf numFmtId="43" fontId="0" fillId="0" borderId="0" xfId="2" applyFont="1" applyBorder="1" applyAlignment="1" applyProtection="1">
      <alignment horizontal="center" vertical="center"/>
    </xf>
    <xf numFmtId="43" fontId="17" fillId="25" borderId="14" xfId="2" applyFont="1" applyFill="1" applyBorder="1" applyAlignment="1" applyProtection="1">
      <alignment horizontal="center"/>
    </xf>
    <xf numFmtId="43" fontId="17" fillId="25" borderId="4" xfId="2" applyFont="1" applyFill="1" applyBorder="1" applyAlignment="1" applyProtection="1">
      <alignment horizontal="left"/>
    </xf>
    <xf numFmtId="43" fontId="17" fillId="25" borderId="0" xfId="2" applyFont="1" applyFill="1" applyBorder="1" applyAlignment="1" applyProtection="1">
      <alignment horizontal="right"/>
    </xf>
    <xf numFmtId="165" fontId="4" fillId="3" borderId="44" xfId="2" applyNumberFormat="1" applyFont="1" applyFill="1" applyBorder="1" applyProtection="1"/>
    <xf numFmtId="43" fontId="4" fillId="3" borderId="44" xfId="2" applyFont="1" applyFill="1" applyBorder="1" applyProtection="1"/>
    <xf numFmtId="43" fontId="2" fillId="6" borderId="0" xfId="2" applyFont="1" applyFill="1" applyProtection="1"/>
    <xf numFmtId="43" fontId="0" fillId="13" borderId="0" xfId="2" applyFont="1" applyFill="1" applyProtection="1"/>
    <xf numFmtId="43" fontId="2" fillId="18" borderId="0" xfId="2" applyFont="1" applyFill="1" applyProtection="1"/>
    <xf numFmtId="43" fontId="11" fillId="14" borderId="0" xfId="2" applyFont="1" applyFill="1" applyProtection="1"/>
    <xf numFmtId="43" fontId="6" fillId="16" borderId="1" xfId="2" applyFont="1" applyFill="1" applyBorder="1" applyAlignment="1" applyProtection="1">
      <alignment horizontal="left"/>
    </xf>
    <xf numFmtId="43" fontId="6" fillId="16" borderId="2" xfId="2" applyFont="1" applyFill="1" applyBorder="1" applyAlignment="1" applyProtection="1">
      <alignment horizontal="center"/>
    </xf>
    <xf numFmtId="43" fontId="6" fillId="16" borderId="3" xfId="2" applyFont="1" applyFill="1" applyBorder="1" applyAlignment="1" applyProtection="1">
      <alignment horizontal="center"/>
    </xf>
    <xf numFmtId="43" fontId="0" fillId="13" borderId="35" xfId="2" applyFont="1" applyFill="1" applyBorder="1" applyProtection="1"/>
    <xf numFmtId="43" fontId="2" fillId="18" borderId="8" xfId="2" applyFont="1" applyFill="1" applyBorder="1" applyProtection="1"/>
    <xf numFmtId="43" fontId="6" fillId="22" borderId="0" xfId="2" applyFont="1" applyFill="1" applyAlignment="1" applyProtection="1">
      <alignment horizontal="left"/>
    </xf>
    <xf numFmtId="43" fontId="6" fillId="16" borderId="32" xfId="2" applyFont="1" applyFill="1" applyBorder="1" applyAlignment="1" applyProtection="1">
      <alignment horizontal="left"/>
    </xf>
    <xf numFmtId="43" fontId="6" fillId="16" borderId="33" xfId="2" applyFont="1" applyFill="1" applyBorder="1" applyAlignment="1" applyProtection="1">
      <alignment horizontal="left"/>
    </xf>
    <xf numFmtId="43" fontId="6" fillId="16" borderId="34" xfId="2" applyFont="1" applyFill="1" applyBorder="1" applyAlignment="1" applyProtection="1">
      <alignment horizontal="left"/>
    </xf>
    <xf numFmtId="43" fontId="0" fillId="17" borderId="0" xfId="2" applyFont="1" applyFill="1" applyProtection="1"/>
    <xf numFmtId="43" fontId="6" fillId="16" borderId="1" xfId="2" applyFont="1" applyFill="1" applyBorder="1" applyAlignment="1" applyProtection="1">
      <alignment horizontal="right"/>
    </xf>
    <xf numFmtId="43" fontId="0" fillId="13" borderId="36" xfId="2" applyFont="1" applyFill="1" applyBorder="1" applyProtection="1"/>
    <xf numFmtId="43" fontId="2" fillId="18" borderId="10" xfId="2" applyFont="1" applyFill="1" applyBorder="1" applyProtection="1"/>
    <xf numFmtId="43" fontId="6" fillId="16" borderId="2" xfId="2" applyFont="1" applyFill="1" applyBorder="1" applyAlignment="1" applyProtection="1">
      <alignment horizontal="right"/>
    </xf>
    <xf numFmtId="44" fontId="0" fillId="3" borderId="16" xfId="1" applyFont="1" applyFill="1" applyBorder="1" applyProtection="1"/>
    <xf numFmtId="164" fontId="0" fillId="3" borderId="17" xfId="2" applyNumberFormat="1" applyFont="1" applyFill="1" applyBorder="1" applyProtection="1"/>
    <xf numFmtId="44" fontId="0" fillId="3" borderId="17" xfId="1" applyFont="1" applyFill="1" applyBorder="1" applyProtection="1"/>
    <xf numFmtId="43" fontId="0" fillId="3" borderId="18" xfId="2" applyFont="1" applyFill="1" applyBorder="1" applyProtection="1"/>
    <xf numFmtId="43" fontId="2" fillId="18" borderId="0" xfId="2" applyFont="1" applyFill="1" applyBorder="1" applyProtection="1"/>
    <xf numFmtId="165" fontId="0" fillId="3" borderId="16" xfId="2" applyNumberFormat="1" applyFont="1" applyFill="1" applyBorder="1" applyProtection="1"/>
    <xf numFmtId="165" fontId="0" fillId="3" borderId="17" xfId="2" applyNumberFormat="1" applyFont="1" applyFill="1" applyBorder="1" applyProtection="1"/>
    <xf numFmtId="43" fontId="15" fillId="26" borderId="51" xfId="2" applyFont="1" applyFill="1" applyBorder="1" applyAlignment="1" applyProtection="1"/>
    <xf numFmtId="43" fontId="15" fillId="26" borderId="52" xfId="2" applyFont="1" applyFill="1" applyBorder="1" applyAlignment="1" applyProtection="1"/>
    <xf numFmtId="10" fontId="0" fillId="3" borderId="29" xfId="2" applyNumberFormat="1" applyFont="1" applyFill="1" applyBorder="1" applyProtection="1"/>
    <xf numFmtId="164" fontId="0" fillId="3" borderId="30" xfId="2" applyNumberFormat="1" applyFont="1" applyFill="1" applyBorder="1" applyProtection="1"/>
    <xf numFmtId="44" fontId="0" fillId="3" borderId="30" xfId="1" applyFont="1" applyFill="1" applyBorder="1" applyProtection="1"/>
    <xf numFmtId="43" fontId="0" fillId="3" borderId="31" xfId="2" applyFont="1" applyFill="1" applyBorder="1" applyProtection="1"/>
    <xf numFmtId="43" fontId="6" fillId="2" borderId="1" xfId="2" applyFont="1" applyFill="1" applyBorder="1" applyAlignment="1" applyProtection="1">
      <alignment horizontal="left"/>
    </xf>
    <xf numFmtId="43" fontId="6" fillId="2" borderId="2" xfId="2" applyFont="1" applyFill="1" applyBorder="1" applyAlignment="1" applyProtection="1">
      <alignment horizontal="center"/>
    </xf>
    <xf numFmtId="43" fontId="6" fillId="2" borderId="3" xfId="2" applyFont="1" applyFill="1" applyBorder="1" applyAlignment="1" applyProtection="1">
      <alignment horizontal="center"/>
    </xf>
    <xf numFmtId="43" fontId="6" fillId="2" borderId="0" xfId="2" applyFont="1" applyFill="1" applyAlignment="1" applyProtection="1">
      <alignment horizontal="center"/>
    </xf>
    <xf numFmtId="43" fontId="6" fillId="2" borderId="32" xfId="2" applyFont="1" applyFill="1" applyBorder="1" applyAlignment="1" applyProtection="1">
      <alignment horizontal="center"/>
    </xf>
    <xf numFmtId="43" fontId="6" fillId="2" borderId="33" xfId="2" applyFont="1" applyFill="1" applyBorder="1" applyAlignment="1" applyProtection="1">
      <alignment horizontal="center"/>
    </xf>
    <xf numFmtId="43" fontId="6" fillId="2" borderId="34" xfId="2" applyFont="1" applyFill="1" applyBorder="1" applyAlignment="1" applyProtection="1">
      <alignment horizontal="center"/>
    </xf>
    <xf numFmtId="43" fontId="6" fillId="2" borderId="1" xfId="2" applyFont="1" applyFill="1" applyBorder="1" applyAlignment="1" applyProtection="1">
      <alignment horizontal="right"/>
    </xf>
    <xf numFmtId="43" fontId="6" fillId="2" borderId="2" xfId="2" applyFont="1" applyFill="1" applyBorder="1" applyAlignment="1" applyProtection="1">
      <alignment horizontal="right"/>
    </xf>
    <xf numFmtId="43" fontId="6" fillId="2" borderId="3" xfId="2" applyFont="1" applyFill="1" applyBorder="1" applyAlignment="1" applyProtection="1">
      <alignment horizontal="right"/>
    </xf>
    <xf numFmtId="43" fontId="6" fillId="2" borderId="4" xfId="2" applyFont="1" applyFill="1" applyBorder="1" applyAlignment="1" applyProtection="1">
      <alignment horizontal="right"/>
    </xf>
    <xf numFmtId="43" fontId="6" fillId="2" borderId="0" xfId="2" applyFont="1" applyFill="1" applyBorder="1" applyAlignment="1" applyProtection="1">
      <alignment horizontal="right"/>
    </xf>
    <xf numFmtId="43" fontId="0" fillId="3" borderId="17" xfId="2" applyFont="1" applyFill="1" applyBorder="1" applyProtection="1"/>
    <xf numFmtId="43" fontId="0" fillId="3" borderId="17" xfId="2" applyFont="1" applyFill="1" applyBorder="1" applyAlignment="1" applyProtection="1">
      <alignment horizontal="center"/>
    </xf>
    <xf numFmtId="44" fontId="0" fillId="3" borderId="16" xfId="1" applyFont="1" applyFill="1" applyBorder="1" applyAlignment="1" applyProtection="1">
      <alignment horizontal="center"/>
    </xf>
    <xf numFmtId="164" fontId="0" fillId="3" borderId="17" xfId="2" applyNumberFormat="1" applyFont="1" applyFill="1" applyBorder="1" applyAlignment="1" applyProtection="1">
      <alignment horizontal="right"/>
    </xf>
    <xf numFmtId="44" fontId="0" fillId="3" borderId="17" xfId="1" applyFont="1" applyFill="1" applyBorder="1" applyAlignment="1" applyProtection="1">
      <alignment horizontal="right"/>
    </xf>
    <xf numFmtId="43" fontId="0" fillId="3" borderId="18" xfId="2" applyFont="1" applyFill="1" applyBorder="1" applyAlignment="1" applyProtection="1">
      <alignment horizontal="right"/>
    </xf>
    <xf numFmtId="43" fontId="0" fillId="3" borderId="20" xfId="2" applyFont="1" applyFill="1" applyBorder="1" applyProtection="1"/>
    <xf numFmtId="43" fontId="0" fillId="3" borderId="20" xfId="2" applyFont="1" applyFill="1" applyBorder="1" applyAlignment="1" applyProtection="1">
      <alignment horizontal="center"/>
    </xf>
    <xf numFmtId="44" fontId="0" fillId="3" borderId="20" xfId="1" applyFont="1" applyFill="1" applyBorder="1" applyProtection="1"/>
    <xf numFmtId="43" fontId="5" fillId="11" borderId="1" xfId="2" applyFont="1" applyFill="1" applyBorder="1" applyProtection="1"/>
    <xf numFmtId="43" fontId="0" fillId="3" borderId="21" xfId="2" applyFont="1" applyFill="1" applyBorder="1" applyProtection="1"/>
    <xf numFmtId="43" fontId="0" fillId="3" borderId="22" xfId="2" applyFont="1" applyFill="1" applyBorder="1" applyProtection="1"/>
    <xf numFmtId="44" fontId="0" fillId="3" borderId="23" xfId="1" applyFont="1" applyFill="1" applyBorder="1" applyProtection="1"/>
    <xf numFmtId="43" fontId="6" fillId="16" borderId="0" xfId="2" applyFont="1" applyFill="1" applyAlignment="1" applyProtection="1">
      <alignment horizontal="left"/>
    </xf>
    <xf numFmtId="44" fontId="0" fillId="3" borderId="0" xfId="1" applyFont="1" applyFill="1" applyBorder="1" applyProtection="1"/>
    <xf numFmtId="0" fontId="0" fillId="0" borderId="0" xfId="2" applyNumberFormat="1" applyFont="1" applyAlignment="1" applyProtection="1">
      <alignment horizontal="center"/>
    </xf>
    <xf numFmtId="43" fontId="6" fillId="16" borderId="4" xfId="2" applyFont="1" applyFill="1" applyBorder="1" applyAlignment="1" applyProtection="1">
      <alignment horizontal="right"/>
    </xf>
    <xf numFmtId="43" fontId="6" fillId="16" borderId="0" xfId="2" applyFont="1" applyFill="1" applyBorder="1" applyAlignment="1" applyProtection="1">
      <alignment horizontal="center"/>
    </xf>
    <xf numFmtId="43" fontId="6" fillId="16" borderId="0" xfId="2" applyFont="1" applyFill="1" applyBorder="1" applyAlignment="1" applyProtection="1">
      <alignment horizontal="right"/>
    </xf>
    <xf numFmtId="0" fontId="0" fillId="0" borderId="0" xfId="2" applyNumberFormat="1" applyFont="1" applyFill="1" applyBorder="1" applyAlignment="1" applyProtection="1">
      <alignment horizontal="center"/>
    </xf>
    <xf numFmtId="166" fontId="0" fillId="3" borderId="17" xfId="2" applyNumberFormat="1" applyFont="1" applyFill="1" applyBorder="1" applyProtection="1"/>
    <xf numFmtId="43" fontId="6" fillId="21" borderId="1" xfId="2" applyFont="1" applyFill="1" applyBorder="1" applyAlignment="1" applyProtection="1">
      <alignment horizontal="left"/>
    </xf>
    <xf numFmtId="43" fontId="6" fillId="21" borderId="2" xfId="2" applyFont="1" applyFill="1" applyBorder="1" applyAlignment="1" applyProtection="1">
      <alignment horizontal="center"/>
    </xf>
    <xf numFmtId="43" fontId="6" fillId="21" borderId="3" xfId="2" applyFont="1" applyFill="1" applyBorder="1" applyAlignment="1" applyProtection="1">
      <alignment horizontal="center"/>
    </xf>
    <xf numFmtId="43" fontId="6" fillId="21" borderId="0" xfId="2" applyFont="1" applyFill="1" applyAlignment="1" applyProtection="1">
      <alignment horizontal="left"/>
    </xf>
    <xf numFmtId="43" fontId="6" fillId="21" borderId="32" xfId="2" applyFont="1" applyFill="1" applyBorder="1" applyAlignment="1" applyProtection="1">
      <alignment horizontal="left"/>
    </xf>
    <xf numFmtId="43" fontId="6" fillId="21" borderId="33" xfId="2" applyFont="1" applyFill="1" applyBorder="1" applyAlignment="1" applyProtection="1">
      <alignment horizontal="left"/>
    </xf>
    <xf numFmtId="43" fontId="6" fillId="21" borderId="34" xfId="2" applyFont="1" applyFill="1" applyBorder="1" applyAlignment="1" applyProtection="1">
      <alignment horizontal="left"/>
    </xf>
    <xf numFmtId="43" fontId="6" fillId="21" borderId="1" xfId="2" applyFont="1" applyFill="1" applyBorder="1" applyAlignment="1" applyProtection="1">
      <alignment horizontal="right"/>
    </xf>
    <xf numFmtId="43" fontId="6" fillId="21" borderId="2" xfId="2" applyFont="1" applyFill="1" applyBorder="1" applyAlignment="1" applyProtection="1">
      <alignment horizontal="right"/>
    </xf>
    <xf numFmtId="43" fontId="6" fillId="21" borderId="4" xfId="2" applyFont="1" applyFill="1" applyBorder="1" applyAlignment="1" applyProtection="1">
      <alignment horizontal="right"/>
    </xf>
    <xf numFmtId="43" fontId="6" fillId="21" borderId="0" xfId="2" applyFont="1" applyFill="1" applyBorder="1" applyAlignment="1" applyProtection="1">
      <alignment horizontal="center"/>
    </xf>
    <xf numFmtId="43" fontId="6" fillId="21" borderId="0" xfId="2" applyFont="1" applyFill="1" applyBorder="1" applyAlignment="1" applyProtection="1">
      <alignment horizontal="right"/>
    </xf>
    <xf numFmtId="43" fontId="3" fillId="13" borderId="0" xfId="2" applyFont="1" applyFill="1" applyBorder="1" applyProtection="1"/>
    <xf numFmtId="43" fontId="3" fillId="13" borderId="0" xfId="2" applyFont="1" applyFill="1" applyBorder="1" applyAlignment="1" applyProtection="1">
      <alignment horizontal="right"/>
    </xf>
    <xf numFmtId="43" fontId="3" fillId="13" borderId="0" xfId="2" applyFont="1" applyFill="1" applyBorder="1" applyAlignment="1" applyProtection="1">
      <alignment horizontal="center" vertical="center"/>
    </xf>
    <xf numFmtId="44" fontId="3" fillId="13" borderId="9" xfId="1" applyFont="1" applyFill="1" applyBorder="1" applyProtection="1"/>
    <xf numFmtId="43" fontId="6" fillId="20" borderId="1" xfId="2" applyFont="1" applyFill="1" applyBorder="1" applyAlignment="1" applyProtection="1">
      <alignment horizontal="left"/>
    </xf>
    <xf numFmtId="43" fontId="6" fillId="20" borderId="2" xfId="2" applyFont="1" applyFill="1" applyBorder="1" applyAlignment="1" applyProtection="1">
      <alignment horizontal="center"/>
    </xf>
    <xf numFmtId="43" fontId="6" fillId="20" borderId="3" xfId="2" applyFont="1" applyFill="1" applyBorder="1" applyAlignment="1" applyProtection="1">
      <alignment horizontal="center"/>
    </xf>
    <xf numFmtId="43" fontId="6" fillId="20" borderId="32" xfId="2" applyFont="1" applyFill="1" applyBorder="1" applyAlignment="1" applyProtection="1">
      <alignment horizontal="left"/>
    </xf>
    <xf numFmtId="43" fontId="6" fillId="20" borderId="33" xfId="2" applyFont="1" applyFill="1" applyBorder="1" applyAlignment="1" applyProtection="1">
      <alignment horizontal="left"/>
    </xf>
    <xf numFmtId="43" fontId="6" fillId="20" borderId="34" xfId="2" applyFont="1" applyFill="1" applyBorder="1" applyAlignment="1" applyProtection="1">
      <alignment horizontal="left"/>
    </xf>
    <xf numFmtId="43" fontId="6" fillId="20" borderId="1" xfId="2" applyFont="1" applyFill="1" applyBorder="1" applyAlignment="1" applyProtection="1">
      <alignment horizontal="right"/>
    </xf>
    <xf numFmtId="43" fontId="6" fillId="20" borderId="2" xfId="2" applyFont="1" applyFill="1" applyBorder="1" applyAlignment="1" applyProtection="1">
      <alignment horizontal="right"/>
    </xf>
    <xf numFmtId="43" fontId="6" fillId="20" borderId="4" xfId="2" applyFont="1" applyFill="1" applyBorder="1" applyAlignment="1" applyProtection="1">
      <alignment horizontal="right"/>
    </xf>
    <xf numFmtId="43" fontId="6" fillId="20" borderId="0" xfId="2" applyFont="1" applyFill="1" applyBorder="1" applyAlignment="1" applyProtection="1">
      <alignment horizontal="center"/>
    </xf>
    <xf numFmtId="43" fontId="6" fillId="20" borderId="0" xfId="2" applyFont="1" applyFill="1" applyBorder="1" applyAlignment="1" applyProtection="1">
      <alignment horizontal="right"/>
    </xf>
    <xf numFmtId="43" fontId="0" fillId="3" borderId="16" xfId="2" applyFont="1" applyFill="1" applyBorder="1" applyProtection="1"/>
    <xf numFmtId="43" fontId="3" fillId="13" borderId="9" xfId="2" applyFont="1" applyFill="1" applyBorder="1" applyProtection="1"/>
    <xf numFmtId="43" fontId="6" fillId="23" borderId="1" xfId="2" applyFont="1" applyFill="1" applyBorder="1" applyAlignment="1" applyProtection="1">
      <alignment horizontal="left"/>
    </xf>
    <xf numFmtId="43" fontId="6" fillId="23" borderId="2" xfId="2" applyFont="1" applyFill="1" applyBorder="1" applyAlignment="1" applyProtection="1">
      <alignment horizontal="center"/>
    </xf>
    <xf numFmtId="43" fontId="6" fillId="23" borderId="3" xfId="2" applyFont="1" applyFill="1" applyBorder="1" applyAlignment="1" applyProtection="1">
      <alignment horizontal="center"/>
    </xf>
    <xf numFmtId="43" fontId="6" fillId="23" borderId="0" xfId="2" applyFont="1" applyFill="1" applyAlignment="1" applyProtection="1">
      <alignment horizontal="center"/>
    </xf>
    <xf numFmtId="43" fontId="6" fillId="23" borderId="32" xfId="2" applyFont="1" applyFill="1" applyBorder="1" applyAlignment="1" applyProtection="1">
      <alignment horizontal="left"/>
    </xf>
    <xf numFmtId="43" fontId="6" fillId="23" borderId="33" xfId="2" applyFont="1" applyFill="1" applyBorder="1" applyAlignment="1" applyProtection="1">
      <alignment horizontal="center"/>
    </xf>
    <xf numFmtId="43" fontId="6" fillId="23" borderId="34" xfId="2" applyFont="1" applyFill="1" applyBorder="1" applyAlignment="1" applyProtection="1">
      <alignment horizontal="center"/>
    </xf>
    <xf numFmtId="43" fontId="6" fillId="23" borderId="1" xfId="2" applyFont="1" applyFill="1" applyBorder="1" applyAlignment="1" applyProtection="1">
      <alignment horizontal="right"/>
    </xf>
    <xf numFmtId="43" fontId="6" fillId="23" borderId="2" xfId="2" applyFont="1" applyFill="1" applyBorder="1" applyAlignment="1" applyProtection="1">
      <alignment horizontal="right"/>
    </xf>
    <xf numFmtId="43" fontId="6" fillId="23" borderId="13" xfId="2" applyFont="1" applyFill="1" applyBorder="1" applyAlignment="1" applyProtection="1">
      <alignment horizontal="center"/>
    </xf>
    <xf numFmtId="43" fontId="6" fillId="23" borderId="14" xfId="2" applyFont="1" applyFill="1" applyBorder="1" applyAlignment="1" applyProtection="1">
      <alignment horizontal="center"/>
    </xf>
    <xf numFmtId="43" fontId="6" fillId="23" borderId="4" xfId="2" applyFont="1" applyFill="1" applyBorder="1" applyAlignment="1" applyProtection="1">
      <alignment horizontal="right"/>
    </xf>
    <xf numFmtId="43" fontId="6" fillId="23" borderId="0" xfId="2" applyFont="1" applyFill="1" applyBorder="1" applyAlignment="1" applyProtection="1">
      <alignment horizontal="right"/>
    </xf>
    <xf numFmtId="43" fontId="6" fillId="23" borderId="0" xfId="2" applyFont="1" applyFill="1" applyBorder="1" applyAlignment="1" applyProtection="1">
      <alignment horizontal="center"/>
    </xf>
    <xf numFmtId="43" fontId="0" fillId="3" borderId="38" xfId="2" applyFont="1" applyFill="1" applyBorder="1" applyProtection="1"/>
    <xf numFmtId="165" fontId="0" fillId="3" borderId="17" xfId="2" applyNumberFormat="1" applyFont="1" applyFill="1" applyBorder="1" applyAlignment="1" applyProtection="1">
      <alignment horizontal="center"/>
    </xf>
    <xf numFmtId="43" fontId="0" fillId="3" borderId="39" xfId="2" applyFont="1" applyFill="1" applyBorder="1" applyProtection="1"/>
    <xf numFmtId="167" fontId="0" fillId="3" borderId="17" xfId="1" applyNumberFormat="1" applyFont="1" applyFill="1" applyBorder="1" applyProtection="1"/>
    <xf numFmtId="43" fontId="0" fillId="3" borderId="40" xfId="2" applyFont="1" applyFill="1" applyBorder="1" applyProtection="1"/>
    <xf numFmtId="165" fontId="0" fillId="3" borderId="20" xfId="2" applyNumberFormat="1" applyFont="1" applyFill="1" applyBorder="1" applyAlignment="1" applyProtection="1">
      <alignment horizontal="center"/>
    </xf>
    <xf numFmtId="43" fontId="0" fillId="3" borderId="41" xfId="2" applyFont="1" applyFill="1" applyBorder="1" applyProtection="1"/>
    <xf numFmtId="43" fontId="0" fillId="3" borderId="23" xfId="2" applyFont="1" applyFill="1" applyBorder="1" applyProtection="1"/>
    <xf numFmtId="43" fontId="6" fillId="24" borderId="1" xfId="2" applyFont="1" applyFill="1" applyBorder="1" applyAlignment="1" applyProtection="1">
      <alignment horizontal="left"/>
    </xf>
    <xf numFmtId="43" fontId="6" fillId="24" borderId="2" xfId="2" applyFont="1" applyFill="1" applyBorder="1" applyAlignment="1" applyProtection="1">
      <alignment horizontal="center"/>
    </xf>
    <xf numFmtId="43" fontId="6" fillId="24" borderId="3" xfId="2" applyFont="1" applyFill="1" applyBorder="1" applyAlignment="1" applyProtection="1">
      <alignment horizontal="center"/>
    </xf>
    <xf numFmtId="43" fontId="6" fillId="24" borderId="0" xfId="2" applyFont="1" applyFill="1" applyAlignment="1" applyProtection="1">
      <alignment horizontal="left"/>
    </xf>
    <xf numFmtId="43" fontId="6" fillId="24" borderId="32" xfId="2" applyFont="1" applyFill="1" applyBorder="1" applyAlignment="1" applyProtection="1">
      <alignment horizontal="left"/>
    </xf>
    <xf numFmtId="43" fontId="6" fillId="24" borderId="33" xfId="2" applyFont="1" applyFill="1" applyBorder="1" applyAlignment="1" applyProtection="1">
      <alignment horizontal="left"/>
    </xf>
    <xf numFmtId="43" fontId="6" fillId="24" borderId="34" xfId="2" applyFont="1" applyFill="1" applyBorder="1" applyAlignment="1" applyProtection="1">
      <alignment horizontal="left"/>
    </xf>
    <xf numFmtId="166" fontId="0" fillId="0" borderId="0" xfId="2" applyNumberFormat="1" applyFont="1" applyProtection="1"/>
    <xf numFmtId="43" fontId="6" fillId="24" borderId="1" xfId="2" applyFont="1" applyFill="1" applyBorder="1" applyAlignment="1" applyProtection="1">
      <alignment horizontal="right"/>
    </xf>
    <xf numFmtId="43" fontId="6" fillId="24" borderId="2" xfId="2" applyFont="1" applyFill="1" applyBorder="1" applyAlignment="1" applyProtection="1">
      <alignment horizontal="right"/>
    </xf>
    <xf numFmtId="43" fontId="6" fillId="24" borderId="4" xfId="2" applyFont="1" applyFill="1" applyBorder="1" applyAlignment="1" applyProtection="1">
      <alignment horizontal="right"/>
    </xf>
    <xf numFmtId="43" fontId="6" fillId="24" borderId="0" xfId="2" applyFont="1" applyFill="1" applyBorder="1" applyAlignment="1" applyProtection="1">
      <alignment horizontal="center"/>
    </xf>
    <xf numFmtId="43" fontId="6" fillId="24" borderId="0" xfId="2" applyFont="1" applyFill="1" applyBorder="1" applyAlignment="1" applyProtection="1">
      <alignment horizontal="right"/>
    </xf>
    <xf numFmtId="43" fontId="0" fillId="0" borderId="17" xfId="2" applyFont="1" applyBorder="1" applyProtection="1"/>
    <xf numFmtId="168" fontId="0" fillId="3" borderId="17" xfId="2" applyNumberFormat="1" applyFont="1" applyFill="1" applyBorder="1" applyProtection="1"/>
    <xf numFmtId="44" fontId="0" fillId="3" borderId="18" xfId="1" applyFont="1" applyFill="1" applyBorder="1" applyProtection="1"/>
    <xf numFmtId="166" fontId="0" fillId="3" borderId="18" xfId="2" applyNumberFormat="1" applyFont="1" applyFill="1" applyBorder="1" applyProtection="1"/>
    <xf numFmtId="44" fontId="0" fillId="3" borderId="29" xfId="1" applyFont="1" applyFill="1" applyBorder="1" applyProtection="1"/>
    <xf numFmtId="43" fontId="0" fillId="0" borderId="30" xfId="2" applyFont="1" applyBorder="1" applyProtection="1"/>
    <xf numFmtId="168" fontId="0" fillId="3" borderId="30" xfId="2" applyNumberFormat="1" applyFont="1" applyFill="1" applyBorder="1" applyProtection="1"/>
    <xf numFmtId="44" fontId="0" fillId="3" borderId="31" xfId="1" applyFont="1" applyFill="1" applyBorder="1" applyProtection="1"/>
    <xf numFmtId="44" fontId="0" fillId="3" borderId="5" xfId="1" applyFont="1" applyFill="1" applyBorder="1" applyProtection="1"/>
    <xf numFmtId="44" fontId="0" fillId="3" borderId="6" xfId="1" applyFont="1" applyFill="1" applyBorder="1" applyProtection="1"/>
    <xf numFmtId="43" fontId="6" fillId="25" borderId="1" xfId="2" applyFont="1" applyFill="1" applyBorder="1" applyAlignment="1" applyProtection="1">
      <alignment horizontal="left"/>
    </xf>
    <xf numFmtId="43" fontId="6" fillId="25" borderId="2" xfId="2" applyFont="1" applyFill="1" applyBorder="1" applyAlignment="1" applyProtection="1">
      <alignment horizontal="center"/>
    </xf>
    <xf numFmtId="43" fontId="6" fillId="25" borderId="3" xfId="2" applyFont="1" applyFill="1" applyBorder="1" applyAlignment="1" applyProtection="1">
      <alignment horizontal="center"/>
    </xf>
    <xf numFmtId="43" fontId="6" fillId="25" borderId="0" xfId="2" applyFont="1" applyFill="1" applyAlignment="1" applyProtection="1">
      <alignment horizontal="center"/>
    </xf>
    <xf numFmtId="43" fontId="6" fillId="25" borderId="32" xfId="2" applyFont="1" applyFill="1" applyBorder="1" applyAlignment="1" applyProtection="1">
      <alignment horizontal="left"/>
    </xf>
    <xf numFmtId="43" fontId="6" fillId="25" borderId="33" xfId="2" applyFont="1" applyFill="1" applyBorder="1" applyAlignment="1" applyProtection="1">
      <alignment horizontal="center"/>
    </xf>
    <xf numFmtId="43" fontId="6" fillId="25" borderId="34" xfId="2" applyFont="1" applyFill="1" applyBorder="1" applyAlignment="1" applyProtection="1">
      <alignment horizontal="center"/>
    </xf>
    <xf numFmtId="43" fontId="6" fillId="25" borderId="1" xfId="2" applyFont="1" applyFill="1" applyBorder="1" applyAlignment="1" applyProtection="1">
      <alignment horizontal="right"/>
    </xf>
    <xf numFmtId="43" fontId="6" fillId="25" borderId="2" xfId="2" applyFont="1" applyFill="1" applyBorder="1" applyAlignment="1" applyProtection="1">
      <alignment horizontal="right"/>
    </xf>
    <xf numFmtId="43" fontId="6" fillId="25" borderId="3" xfId="2" applyFont="1" applyFill="1" applyBorder="1" applyAlignment="1" applyProtection="1">
      <alignment horizontal="right"/>
    </xf>
    <xf numFmtId="43" fontId="6" fillId="25" borderId="13" xfId="2" applyFont="1" applyFill="1" applyBorder="1" applyAlignment="1" applyProtection="1">
      <alignment horizontal="center"/>
    </xf>
    <xf numFmtId="43" fontId="6" fillId="25" borderId="14" xfId="2" applyFont="1" applyFill="1" applyBorder="1" applyAlignment="1" applyProtection="1">
      <alignment horizontal="center"/>
    </xf>
    <xf numFmtId="43" fontId="6" fillId="25" borderId="4" xfId="2" applyFont="1" applyFill="1" applyBorder="1" applyAlignment="1" applyProtection="1">
      <alignment horizontal="right"/>
    </xf>
    <xf numFmtId="43" fontId="6" fillId="25" borderId="0" xfId="2" applyFont="1" applyFill="1" applyBorder="1" applyAlignment="1" applyProtection="1">
      <alignment horizontal="right"/>
    </xf>
    <xf numFmtId="43" fontId="0" fillId="3" borderId="42" xfId="2" applyFont="1" applyFill="1" applyBorder="1" applyProtection="1"/>
    <xf numFmtId="165" fontId="0" fillId="3" borderId="43" xfId="2" applyNumberFormat="1" applyFont="1" applyFill="1" applyBorder="1" applyAlignment="1" applyProtection="1">
      <alignment horizontal="center"/>
    </xf>
    <xf numFmtId="166" fontId="0" fillId="3" borderId="44" xfId="2" applyNumberFormat="1" applyFont="1" applyFill="1" applyBorder="1" applyProtection="1"/>
    <xf numFmtId="44" fontId="0" fillId="14" borderId="16" xfId="1" applyFont="1" applyFill="1" applyBorder="1" applyProtection="1"/>
    <xf numFmtId="44" fontId="0" fillId="0" borderId="28" xfId="1" applyFont="1" applyFill="1" applyBorder="1" applyProtection="1"/>
    <xf numFmtId="167" fontId="0" fillId="3" borderId="20" xfId="1" applyNumberFormat="1" applyFont="1" applyFill="1" applyBorder="1" applyProtection="1"/>
    <xf numFmtId="43" fontId="0" fillId="3" borderId="24" xfId="2" applyFont="1" applyFill="1" applyBorder="1" applyAlignment="1" applyProtection="1">
      <alignment horizontal="right"/>
    </xf>
    <xf numFmtId="43" fontId="0" fillId="4" borderId="48" xfId="2" applyFont="1" applyFill="1" applyBorder="1" applyProtection="1"/>
    <xf numFmtId="165" fontId="0" fillId="4" borderId="37" xfId="2" applyNumberFormat="1" applyFont="1" applyFill="1" applyBorder="1" applyAlignment="1" applyProtection="1">
      <alignment horizontal="center"/>
    </xf>
    <xf numFmtId="43" fontId="0" fillId="4" borderId="49" xfId="2" applyFont="1" applyFill="1" applyBorder="1" applyProtection="1"/>
    <xf numFmtId="43" fontId="0" fillId="3" borderId="22" xfId="2" applyFont="1" applyFill="1" applyBorder="1" applyAlignment="1" applyProtection="1">
      <alignment horizontal="center"/>
    </xf>
    <xf numFmtId="10" fontId="0" fillId="3" borderId="0" xfId="2" applyNumberFormat="1" applyFont="1" applyFill="1" applyBorder="1" applyProtection="1"/>
    <xf numFmtId="164" fontId="0" fillId="3" borderId="0" xfId="2" applyNumberFormat="1" applyFont="1" applyFill="1" applyBorder="1" applyProtection="1"/>
    <xf numFmtId="43" fontId="6" fillId="15" borderId="0" xfId="2" applyFont="1" applyFill="1" applyAlignment="1" applyProtection="1">
      <alignment horizontal="left"/>
    </xf>
    <xf numFmtId="43" fontId="0" fillId="7" borderId="1" xfId="2" applyFont="1" applyFill="1" applyBorder="1" applyAlignment="1" applyProtection="1">
      <alignment horizontal="center"/>
    </xf>
    <xf numFmtId="43" fontId="0" fillId="7" borderId="2" xfId="2" applyFont="1" applyFill="1" applyBorder="1" applyProtection="1"/>
    <xf numFmtId="43" fontId="0" fillId="4" borderId="4" xfId="2" applyFont="1" applyFill="1" applyBorder="1" applyAlignment="1" applyProtection="1">
      <alignment horizontal="center"/>
    </xf>
    <xf numFmtId="43" fontId="0" fillId="4" borderId="0" xfId="2" applyFont="1" applyFill="1" applyBorder="1" applyProtection="1"/>
    <xf numFmtId="43" fontId="7" fillId="10" borderId="4" xfId="2" applyFont="1" applyFill="1" applyBorder="1" applyAlignment="1" applyProtection="1">
      <alignment horizontal="center"/>
    </xf>
    <xf numFmtId="43" fontId="7" fillId="10" borderId="0" xfId="2" applyFont="1" applyFill="1" applyBorder="1" applyProtection="1"/>
    <xf numFmtId="43" fontId="0" fillId="8" borderId="4" xfId="2" applyFont="1" applyFill="1" applyBorder="1" applyAlignment="1" applyProtection="1">
      <alignment horizontal="center"/>
    </xf>
    <xf numFmtId="43" fontId="0" fillId="8" borderId="0" xfId="2" applyFont="1" applyFill="1" applyBorder="1" applyProtection="1"/>
    <xf numFmtId="43" fontId="0" fillId="12" borderId="4" xfId="2" applyFont="1" applyFill="1" applyBorder="1" applyAlignment="1" applyProtection="1">
      <alignment horizontal="center"/>
    </xf>
    <xf numFmtId="43" fontId="0" fillId="12" borderId="0" xfId="2" applyFont="1" applyFill="1" applyBorder="1" applyProtection="1"/>
    <xf numFmtId="43" fontId="0" fillId="5" borderId="4" xfId="2" applyFont="1" applyFill="1" applyBorder="1" applyAlignment="1" applyProtection="1">
      <alignment horizontal="center"/>
    </xf>
    <xf numFmtId="43" fontId="0" fillId="5" borderId="0" xfId="2" applyFont="1" applyFill="1" applyBorder="1" applyProtection="1"/>
    <xf numFmtId="43" fontId="6" fillId="15" borderId="0" xfId="2" applyFont="1" applyFill="1" applyAlignment="1" applyProtection="1">
      <alignment horizontal="center"/>
    </xf>
    <xf numFmtId="43" fontId="6" fillId="15" borderId="1" xfId="2" applyFont="1" applyFill="1" applyBorder="1" applyAlignment="1" applyProtection="1">
      <alignment horizontal="left"/>
    </xf>
    <xf numFmtId="43" fontId="6" fillId="15" borderId="2" xfId="2" applyFont="1" applyFill="1" applyBorder="1" applyAlignment="1" applyProtection="1">
      <alignment horizontal="center"/>
    </xf>
    <xf numFmtId="43" fontId="6" fillId="15" borderId="3" xfId="2" applyFont="1" applyFill="1" applyBorder="1" applyAlignment="1" applyProtection="1">
      <alignment horizontal="center"/>
    </xf>
    <xf numFmtId="43" fontId="6" fillId="15" borderId="1" xfId="2" applyFont="1" applyFill="1" applyBorder="1" applyAlignment="1" applyProtection="1">
      <alignment horizontal="center"/>
    </xf>
    <xf numFmtId="43" fontId="0" fillId="13" borderId="0" xfId="2" applyFont="1" applyFill="1" applyAlignment="1" applyProtection="1">
      <alignment horizontal="center"/>
    </xf>
    <xf numFmtId="43" fontId="6" fillId="15" borderId="1" xfId="2" applyFont="1" applyFill="1" applyBorder="1" applyAlignment="1" applyProtection="1">
      <alignment horizontal="right"/>
    </xf>
    <xf numFmtId="43" fontId="6" fillId="15" borderId="2" xfId="2" applyFont="1" applyFill="1" applyBorder="1" applyAlignment="1" applyProtection="1">
      <alignment horizontal="right"/>
    </xf>
    <xf numFmtId="43" fontId="6" fillId="15" borderId="3" xfId="2" applyFont="1" applyFill="1" applyBorder="1" applyAlignment="1" applyProtection="1">
      <alignment horizontal="right"/>
    </xf>
    <xf numFmtId="43" fontId="6" fillId="15" borderId="4" xfId="2" applyFont="1" applyFill="1" applyBorder="1" applyAlignment="1" applyProtection="1">
      <alignment horizontal="center"/>
    </xf>
    <xf numFmtId="43" fontId="6" fillId="15" borderId="10" xfId="2" applyFont="1" applyFill="1" applyBorder="1" applyAlignment="1" applyProtection="1">
      <alignment horizontal="center"/>
    </xf>
    <xf numFmtId="43" fontId="6" fillId="15" borderId="0" xfId="2" applyFont="1" applyFill="1" applyBorder="1" applyAlignment="1" applyProtection="1">
      <alignment horizontal="center"/>
    </xf>
    <xf numFmtId="43" fontId="6" fillId="15" borderId="4" xfId="2" applyFont="1" applyFill="1" applyBorder="1" applyAlignment="1" applyProtection="1">
      <alignment horizontal="right"/>
    </xf>
    <xf numFmtId="43" fontId="6" fillId="15" borderId="0" xfId="2" applyFont="1" applyFill="1" applyBorder="1" applyAlignment="1" applyProtection="1">
      <alignment horizontal="right"/>
    </xf>
    <xf numFmtId="43" fontId="0" fillId="0" borderId="19" xfId="2" applyFont="1" applyBorder="1" applyAlignment="1" applyProtection="1">
      <alignment horizontal="center"/>
    </xf>
    <xf numFmtId="43" fontId="0" fillId="7" borderId="0" xfId="2" applyFont="1" applyFill="1" applyBorder="1" applyProtection="1"/>
    <xf numFmtId="44" fontId="0" fillId="0" borderId="4" xfId="1" applyFont="1" applyBorder="1" applyProtection="1"/>
    <xf numFmtId="43" fontId="0" fillId="3" borderId="29" xfId="2" applyFont="1" applyFill="1" applyBorder="1" applyProtection="1"/>
    <xf numFmtId="43" fontId="0" fillId="3" borderId="30" xfId="2" applyFont="1" applyFill="1" applyBorder="1" applyProtection="1"/>
    <xf numFmtId="43" fontId="0" fillId="10" borderId="0" xfId="2" applyFont="1" applyFill="1" applyBorder="1" applyProtection="1"/>
    <xf numFmtId="43" fontId="0" fillId="0" borderId="45" xfId="2" applyFont="1" applyBorder="1" applyProtection="1"/>
    <xf numFmtId="43" fontId="0" fillId="0" borderId="46" xfId="2" applyFont="1" applyFill="1" applyBorder="1" applyProtection="1"/>
    <xf numFmtId="43" fontId="0" fillId="0" borderId="45" xfId="2" applyFont="1" applyFill="1" applyBorder="1" applyProtection="1"/>
    <xf numFmtId="43" fontId="0" fillId="8" borderId="0" xfId="2" quotePrefix="1" applyFont="1" applyFill="1" applyBorder="1" applyProtection="1"/>
    <xf numFmtId="43" fontId="0" fillId="0" borderId="47" xfId="2" applyFont="1" applyBorder="1" applyProtection="1"/>
    <xf numFmtId="43" fontId="0" fillId="0" borderId="47" xfId="2" applyFont="1" applyFill="1" applyBorder="1" applyProtection="1"/>
    <xf numFmtId="43" fontId="0" fillId="12" borderId="0" xfId="2" applyFont="1" applyFill="1" applyBorder="1" applyAlignment="1" applyProtection="1">
      <alignment horizontal="center"/>
    </xf>
    <xf numFmtId="43" fontId="0" fillId="15" borderId="47" xfId="2" applyFont="1" applyFill="1" applyBorder="1" applyProtection="1"/>
    <xf numFmtId="43" fontId="6" fillId="15" borderId="46" xfId="2" applyFont="1" applyFill="1" applyBorder="1" applyAlignment="1" applyProtection="1">
      <alignment horizontal="left"/>
    </xf>
    <xf numFmtId="43" fontId="0" fillId="0" borderId="15" xfId="2" applyFont="1" applyBorder="1" applyAlignment="1" applyProtection="1">
      <alignment horizontal="center"/>
    </xf>
    <xf numFmtId="44" fontId="0" fillId="0" borderId="16" xfId="1" applyFont="1" applyBorder="1" applyProtection="1"/>
    <xf numFmtId="44" fontId="0" fillId="0" borderId="18" xfId="1" applyFont="1" applyBorder="1" applyProtection="1"/>
    <xf numFmtId="43" fontId="0" fillId="0" borderId="5" xfId="2" applyFont="1" applyBorder="1" applyProtection="1"/>
    <xf numFmtId="43" fontId="0" fillId="0" borderId="6" xfId="2" applyFont="1" applyBorder="1" applyProtection="1"/>
    <xf numFmtId="43" fontId="0" fillId="0" borderId="7" xfId="2" applyFont="1" applyBorder="1" applyProtection="1"/>
    <xf numFmtId="43" fontId="2" fillId="19" borderId="0" xfId="2" applyFont="1" applyFill="1" applyProtection="1"/>
    <xf numFmtId="43" fontId="6" fillId="9" borderId="0" xfId="2" applyFont="1" applyFill="1" applyAlignment="1" applyProtection="1">
      <alignment horizontal="left"/>
    </xf>
    <xf numFmtId="43" fontId="6" fillId="9" borderId="32" xfId="2" applyFont="1" applyFill="1" applyBorder="1" applyAlignment="1" applyProtection="1">
      <alignment horizontal="center"/>
    </xf>
    <xf numFmtId="43" fontId="6" fillId="9" borderId="33" xfId="2" applyFont="1" applyFill="1" applyBorder="1" applyAlignment="1" applyProtection="1">
      <alignment horizontal="center"/>
    </xf>
    <xf numFmtId="43" fontId="6" fillId="9" borderId="34" xfId="2" applyFont="1" applyFill="1" applyBorder="1" applyAlignment="1" applyProtection="1">
      <alignment horizontal="center"/>
    </xf>
    <xf numFmtId="43" fontId="6" fillId="9" borderId="1" xfId="2" applyFont="1" applyFill="1" applyBorder="1" applyAlignment="1" applyProtection="1">
      <alignment horizontal="left"/>
    </xf>
    <xf numFmtId="43" fontId="6" fillId="9" borderId="2" xfId="2" applyFont="1" applyFill="1" applyBorder="1" applyAlignment="1" applyProtection="1">
      <alignment horizontal="center"/>
    </xf>
    <xf numFmtId="43" fontId="6" fillId="9" borderId="3" xfId="2" applyFont="1" applyFill="1" applyBorder="1" applyAlignment="1" applyProtection="1">
      <alignment horizontal="center"/>
    </xf>
    <xf numFmtId="43" fontId="6" fillId="9" borderId="1" xfId="2" applyFont="1" applyFill="1" applyBorder="1" applyAlignment="1" applyProtection="1">
      <alignment horizontal="center"/>
    </xf>
    <xf numFmtId="43" fontId="6" fillId="9" borderId="1" xfId="2" applyFont="1" applyFill="1" applyBorder="1" applyAlignment="1" applyProtection="1">
      <alignment horizontal="right"/>
    </xf>
    <xf numFmtId="43" fontId="6" fillId="9" borderId="2" xfId="2" applyFont="1" applyFill="1" applyBorder="1" applyAlignment="1" applyProtection="1">
      <alignment horizontal="right"/>
    </xf>
    <xf numFmtId="43" fontId="6" fillId="9" borderId="3" xfId="2" applyFont="1" applyFill="1" applyBorder="1" applyAlignment="1" applyProtection="1">
      <alignment horizontal="right"/>
    </xf>
    <xf numFmtId="43" fontId="2" fillId="19" borderId="10" xfId="2" applyFont="1" applyFill="1" applyBorder="1" applyProtection="1"/>
    <xf numFmtId="43" fontId="6" fillId="9" borderId="4" xfId="2" applyFont="1" applyFill="1" applyBorder="1" applyAlignment="1" applyProtection="1">
      <alignment horizontal="center"/>
    </xf>
    <xf numFmtId="43" fontId="6" fillId="9" borderId="0" xfId="2" applyFont="1" applyFill="1" applyBorder="1" applyAlignment="1" applyProtection="1">
      <alignment horizontal="center"/>
    </xf>
    <xf numFmtId="43" fontId="6" fillId="9" borderId="4" xfId="2" applyFont="1" applyFill="1" applyBorder="1" applyAlignment="1" applyProtection="1">
      <alignment horizontal="right"/>
    </xf>
    <xf numFmtId="43" fontId="6" fillId="9" borderId="0" xfId="2" applyFont="1" applyFill="1" applyBorder="1" applyAlignment="1" applyProtection="1">
      <alignment horizontal="right"/>
    </xf>
    <xf numFmtId="43" fontId="0" fillId="0" borderId="4" xfId="2" applyFont="1" applyBorder="1" applyAlignment="1" applyProtection="1">
      <alignment horizontal="center"/>
    </xf>
    <xf numFmtId="43" fontId="0" fillId="0" borderId="0" xfId="2" applyFont="1" applyAlignment="1" applyProtection="1">
      <alignment horizontal="center"/>
    </xf>
    <xf numFmtId="37" fontId="0" fillId="13" borderId="0" xfId="2" applyNumberFormat="1" applyFont="1" applyFill="1" applyBorder="1" applyProtection="1"/>
    <xf numFmtId="44" fontId="0" fillId="3" borderId="24" xfId="1" applyFont="1" applyFill="1" applyBorder="1" applyProtection="1"/>
    <xf numFmtId="43" fontId="0" fillId="0" borderId="4" xfId="2" applyFont="1" applyBorder="1" applyProtection="1"/>
    <xf numFmtId="43" fontId="0" fillId="13" borderId="0" xfId="2" quotePrefix="1" applyFont="1" applyFill="1" applyBorder="1" applyProtection="1"/>
    <xf numFmtId="43" fontId="6" fillId="9" borderId="4" xfId="2" applyFont="1" applyFill="1" applyBorder="1" applyAlignment="1" applyProtection="1">
      <alignment horizontal="left"/>
    </xf>
    <xf numFmtId="43" fontId="0" fillId="0" borderId="5" xfId="2" quotePrefix="1" applyFont="1" applyBorder="1" applyProtection="1"/>
    <xf numFmtId="43" fontId="0" fillId="13" borderId="0" xfId="2" applyFont="1" applyFill="1" applyBorder="1" applyAlignment="1" applyProtection="1">
      <alignment horizontal="center"/>
    </xf>
    <xf numFmtId="43" fontId="0" fillId="13" borderId="17" xfId="2" applyFont="1" applyFill="1" applyBorder="1" applyProtection="1"/>
    <xf numFmtId="43" fontId="9" fillId="13" borderId="17" xfId="2" applyFont="1" applyFill="1" applyBorder="1" applyProtection="1"/>
    <xf numFmtId="43" fontId="0" fillId="3" borderId="24" xfId="2" applyFont="1" applyFill="1" applyBorder="1" applyProtection="1"/>
    <xf numFmtId="43" fontId="0" fillId="0" borderId="16" xfId="2" applyFont="1" applyBorder="1" applyAlignment="1" applyProtection="1">
      <alignment horizontal="center"/>
    </xf>
    <xf numFmtId="43" fontId="9" fillId="13" borderId="17" xfId="2" applyFont="1" applyFill="1" applyBorder="1" applyAlignment="1" applyProtection="1">
      <alignment horizontal="center"/>
    </xf>
    <xf numFmtId="44" fontId="0" fillId="0" borderId="17" xfId="1" applyFont="1" applyBorder="1" applyProtection="1"/>
    <xf numFmtId="43" fontId="0" fillId="0" borderId="18" xfId="2" applyFont="1" applyBorder="1" applyProtection="1"/>
    <xf numFmtId="43" fontId="6" fillId="9" borderId="11" xfId="2" applyFont="1" applyFill="1" applyBorder="1" applyAlignment="1" applyProtection="1">
      <alignment horizontal="left"/>
    </xf>
    <xf numFmtId="43" fontId="6" fillId="9" borderId="10" xfId="2" applyFont="1" applyFill="1" applyBorder="1" applyAlignment="1" applyProtection="1">
      <alignment horizontal="center"/>
    </xf>
    <xf numFmtId="43" fontId="6" fillId="9" borderId="12" xfId="2" applyFont="1" applyFill="1" applyBorder="1" applyAlignment="1" applyProtection="1">
      <alignment horizontal="center"/>
    </xf>
    <xf numFmtId="43" fontId="0" fillId="17" borderId="25" xfId="2" applyFont="1" applyFill="1" applyBorder="1" applyProtection="1"/>
    <xf numFmtId="43" fontId="0" fillId="17" borderId="26" xfId="2" applyFont="1" applyFill="1" applyBorder="1" applyProtection="1"/>
    <xf numFmtId="43" fontId="6" fillId="3" borderId="26" xfId="2" applyFont="1" applyFill="1" applyBorder="1" applyAlignment="1" applyProtection="1">
      <alignment horizontal="center"/>
    </xf>
    <xf numFmtId="43" fontId="6" fillId="3" borderId="27" xfId="2" applyFont="1" applyFill="1" applyBorder="1" applyAlignment="1" applyProtection="1">
      <alignment horizontal="center"/>
    </xf>
    <xf numFmtId="43" fontId="6" fillId="16" borderId="32" xfId="2" applyFont="1" applyFill="1" applyBorder="1" applyAlignment="1" applyProtection="1">
      <alignment horizontal="center"/>
    </xf>
    <xf numFmtId="43" fontId="6" fillId="16" borderId="33" xfId="2" applyFont="1" applyFill="1" applyBorder="1" applyAlignment="1" applyProtection="1">
      <alignment horizontal="center"/>
    </xf>
    <xf numFmtId="43" fontId="6" fillId="16" borderId="34" xfId="2" applyFont="1" applyFill="1" applyBorder="1" applyAlignment="1" applyProtection="1">
      <alignment horizontal="center"/>
    </xf>
    <xf numFmtId="43" fontId="6" fillId="16" borderId="3" xfId="2" applyFont="1" applyFill="1" applyBorder="1" applyAlignment="1" applyProtection="1">
      <alignment horizontal="right"/>
    </xf>
    <xf numFmtId="43" fontId="6" fillId="16" borderId="11" xfId="2" applyFont="1" applyFill="1" applyBorder="1" applyAlignment="1" applyProtection="1">
      <alignment horizontal="right"/>
    </xf>
    <xf numFmtId="43" fontId="6" fillId="16" borderId="10" xfId="2" applyFont="1" applyFill="1" applyBorder="1" applyAlignment="1" applyProtection="1">
      <alignment horizontal="right"/>
    </xf>
    <xf numFmtId="43" fontId="6" fillId="16" borderId="12" xfId="2" applyFont="1" applyFill="1" applyBorder="1" applyAlignment="1" applyProtection="1">
      <alignment horizontal="right"/>
    </xf>
    <xf numFmtId="43" fontId="0" fillId="3" borderId="25" xfId="2" applyFont="1" applyFill="1" applyBorder="1" applyAlignment="1" applyProtection="1">
      <alignment horizontal="center"/>
    </xf>
    <xf numFmtId="37" fontId="0" fillId="3" borderId="26" xfId="2" applyNumberFormat="1" applyFont="1" applyFill="1" applyBorder="1" applyProtection="1"/>
    <xf numFmtId="43" fontId="0" fillId="3" borderId="26" xfId="2" applyFont="1" applyFill="1" applyBorder="1" applyProtection="1"/>
    <xf numFmtId="44" fontId="0" fillId="3" borderId="26" xfId="1" applyFont="1" applyFill="1" applyBorder="1" applyProtection="1"/>
    <xf numFmtId="44" fontId="0" fillId="3" borderId="27" xfId="1" applyFont="1" applyFill="1" applyBorder="1" applyProtection="1"/>
    <xf numFmtId="43" fontId="0" fillId="3" borderId="28" xfId="2" applyFont="1" applyFill="1" applyBorder="1" applyAlignment="1" applyProtection="1">
      <alignment horizontal="center"/>
    </xf>
    <xf numFmtId="43" fontId="10" fillId="3" borderId="30" xfId="2" applyFont="1" applyFill="1" applyBorder="1" applyAlignment="1" applyProtection="1">
      <alignment horizontal="center"/>
    </xf>
    <xf numFmtId="43" fontId="9" fillId="3" borderId="20" xfId="2" applyFont="1" applyFill="1" applyBorder="1" applyProtection="1"/>
    <xf numFmtId="43" fontId="6" fillId="16" borderId="11" xfId="2" applyFont="1" applyFill="1" applyBorder="1" applyAlignment="1" applyProtection="1">
      <alignment horizontal="left"/>
    </xf>
    <xf numFmtId="43" fontId="6" fillId="16" borderId="10" xfId="2" applyFont="1" applyFill="1" applyBorder="1" applyAlignment="1" applyProtection="1">
      <alignment horizontal="center"/>
    </xf>
    <xf numFmtId="43" fontId="6" fillId="16" borderId="12" xfId="2" applyFont="1" applyFill="1" applyBorder="1" applyAlignment="1" applyProtection="1">
      <alignment horizontal="center"/>
    </xf>
    <xf numFmtId="0" fontId="23" fillId="13" borderId="47" xfId="0" applyFont="1" applyFill="1" applyBorder="1" applyAlignment="1">
      <alignment horizontal="left"/>
    </xf>
    <xf numFmtId="0" fontId="23" fillId="13" borderId="61" xfId="0" applyFont="1" applyFill="1" applyBorder="1" applyAlignment="1">
      <alignment horizontal="center"/>
    </xf>
    <xf numFmtId="0" fontId="23" fillId="13" borderId="46" xfId="0" applyFont="1" applyFill="1" applyBorder="1" applyAlignment="1">
      <alignment horizontal="center"/>
    </xf>
    <xf numFmtId="0" fontId="24" fillId="13" borderId="47" xfId="0" applyFont="1" applyFill="1" applyBorder="1" applyAlignment="1">
      <alignment horizontal="left"/>
    </xf>
    <xf numFmtId="0" fontId="24" fillId="13" borderId="61" xfId="0" applyFont="1" applyFill="1" applyBorder="1" applyAlignment="1">
      <alignment horizontal="left"/>
    </xf>
    <xf numFmtId="0" fontId="24" fillId="13" borderId="46" xfId="0" applyFont="1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47" xfId="0" applyFill="1" applyBorder="1" applyAlignment="1">
      <alignment horizontal="left"/>
    </xf>
    <xf numFmtId="0" fontId="0" fillId="13" borderId="61" xfId="0" applyFill="1" applyBorder="1" applyAlignment="1">
      <alignment horizontal="left"/>
    </xf>
    <xf numFmtId="0" fontId="0" fillId="13" borderId="46" xfId="0" applyFill="1" applyBorder="1" applyAlignment="1">
      <alignment horizontal="left"/>
    </xf>
    <xf numFmtId="0" fontId="25" fillId="13" borderId="62" xfId="0" applyFont="1" applyFill="1" applyBorder="1" applyAlignment="1">
      <alignment horizontal="left"/>
    </xf>
    <xf numFmtId="0" fontId="26" fillId="13" borderId="62" xfId="0" applyFont="1" applyFill="1" applyBorder="1" applyAlignment="1">
      <alignment horizontal="left"/>
    </xf>
    <xf numFmtId="0" fontId="26" fillId="13" borderId="46" xfId="0" applyFont="1" applyFill="1" applyBorder="1" applyAlignment="1">
      <alignment horizontal="left"/>
    </xf>
    <xf numFmtId="0" fontId="0" fillId="13" borderId="63" xfId="0" applyFill="1" applyBorder="1" applyAlignment="1">
      <alignment horizontal="left"/>
    </xf>
    <xf numFmtId="0" fontId="0" fillId="13" borderId="8" xfId="0" applyFill="1" applyBorder="1" applyAlignment="1">
      <alignment horizontal="left"/>
    </xf>
    <xf numFmtId="0" fontId="0" fillId="13" borderId="64" xfId="0" applyFill="1" applyBorder="1" applyAlignment="1">
      <alignment horizontal="left"/>
    </xf>
    <xf numFmtId="44" fontId="0" fillId="13" borderId="65" xfId="1" applyFont="1" applyFill="1" applyBorder="1" applyAlignment="1" applyProtection="1">
      <alignment horizontal="left"/>
    </xf>
    <xf numFmtId="0" fontId="0" fillId="13" borderId="69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0" fillId="13" borderId="72" xfId="0" applyFill="1" applyBorder="1" applyAlignment="1">
      <alignment horizontal="left"/>
    </xf>
    <xf numFmtId="44" fontId="0" fillId="13" borderId="68" xfId="1" applyFont="1" applyFill="1" applyBorder="1" applyAlignment="1" applyProtection="1">
      <alignment horizontal="left"/>
    </xf>
    <xf numFmtId="0" fontId="0" fillId="13" borderId="66" xfId="0" applyFill="1" applyBorder="1" applyAlignment="1">
      <alignment horizontal="left"/>
    </xf>
    <xf numFmtId="0" fontId="0" fillId="13" borderId="10" xfId="0" applyFill="1" applyBorder="1" applyAlignment="1">
      <alignment horizontal="left"/>
    </xf>
    <xf numFmtId="0" fontId="0" fillId="13" borderId="67" xfId="0" applyFill="1" applyBorder="1" applyAlignment="1">
      <alignment horizontal="left"/>
    </xf>
    <xf numFmtId="44" fontId="29" fillId="13" borderId="68" xfId="1" applyFont="1" applyFill="1" applyBorder="1" applyAlignment="1" applyProtection="1">
      <alignment horizontal="left"/>
    </xf>
    <xf numFmtId="44" fontId="29" fillId="13" borderId="62" xfId="1" applyFont="1" applyFill="1" applyBorder="1" applyAlignment="1" applyProtection="1">
      <alignment horizontal="center"/>
    </xf>
    <xf numFmtId="4" fontId="27" fillId="13" borderId="62" xfId="0" applyNumberFormat="1" applyFont="1" applyFill="1" applyBorder="1"/>
    <xf numFmtId="44" fontId="0" fillId="13" borderId="62" xfId="1" applyFont="1" applyFill="1" applyBorder="1" applyAlignment="1" applyProtection="1"/>
    <xf numFmtId="44" fontId="28" fillId="13" borderId="62" xfId="0" applyNumberFormat="1" applyFont="1" applyFill="1" applyBorder="1"/>
    <xf numFmtId="0" fontId="0" fillId="13" borderId="47" xfId="0" applyFill="1" applyBorder="1"/>
    <xf numFmtId="0" fontId="0" fillId="13" borderId="61" xfId="0" applyFill="1" applyBorder="1"/>
    <xf numFmtId="0" fontId="0" fillId="13" borderId="46" xfId="0" applyFill="1" applyBorder="1"/>
    <xf numFmtId="44" fontId="29" fillId="13" borderId="62" xfId="1" applyFont="1" applyFill="1" applyBorder="1" applyAlignment="1" applyProtection="1"/>
    <xf numFmtId="0" fontId="0" fillId="13" borderId="47" xfId="0" quotePrefix="1" applyFill="1" applyBorder="1" applyAlignment="1">
      <alignment horizontal="left"/>
    </xf>
    <xf numFmtId="0" fontId="24" fillId="13" borderId="47" xfId="0" applyFont="1" applyFill="1" applyBorder="1"/>
    <xf numFmtId="0" fontId="24" fillId="13" borderId="61" xfId="0" applyFont="1" applyFill="1" applyBorder="1"/>
    <xf numFmtId="0" fontId="24" fillId="13" borderId="62" xfId="0" applyFont="1" applyFill="1" applyBorder="1"/>
    <xf numFmtId="44" fontId="0" fillId="13" borderId="65" xfId="1" applyFont="1" applyFill="1" applyBorder="1" applyAlignment="1" applyProtection="1"/>
    <xf numFmtId="0" fontId="4" fillId="13" borderId="69" xfId="0" applyFont="1" applyFill="1" applyBorder="1" applyAlignment="1">
      <alignment horizontal="left"/>
    </xf>
    <xf numFmtId="44" fontId="29" fillId="13" borderId="68" xfId="1" applyFont="1" applyFill="1" applyBorder="1" applyAlignment="1" applyProtection="1"/>
    <xf numFmtId="0" fontId="0" fillId="13" borderId="68" xfId="0" applyFill="1" applyBorder="1" applyAlignment="1">
      <alignment vertical="top"/>
    </xf>
    <xf numFmtId="0" fontId="0" fillId="13" borderId="70" xfId="0" applyFill="1" applyBorder="1" applyAlignment="1">
      <alignment vertical="top"/>
    </xf>
    <xf numFmtId="8" fontId="24" fillId="13" borderId="62" xfId="0" applyNumberFormat="1" applyFont="1" applyFill="1" applyBorder="1"/>
    <xf numFmtId="44" fontId="0" fillId="13" borderId="70" xfId="1" applyFont="1" applyFill="1" applyBorder="1" applyAlignment="1" applyProtection="1"/>
    <xf numFmtId="44" fontId="0" fillId="13" borderId="62" xfId="0" applyNumberFormat="1" applyFill="1" applyBorder="1"/>
    <xf numFmtId="43" fontId="0" fillId="65" borderId="0" xfId="2" applyFont="1" applyFill="1" applyProtection="1"/>
    <xf numFmtId="43" fontId="0" fillId="66" borderId="0" xfId="2" applyFont="1" applyFill="1" applyProtection="1"/>
    <xf numFmtId="43" fontId="0" fillId="67" borderId="0" xfId="2" applyFont="1" applyFill="1" applyProtection="1"/>
    <xf numFmtId="43" fontId="0" fillId="14" borderId="0" xfId="2" applyFont="1" applyFill="1" applyBorder="1" applyProtection="1"/>
    <xf numFmtId="43" fontId="16" fillId="27" borderId="4" xfId="2" applyFont="1" applyFill="1" applyBorder="1" applyAlignment="1" applyProtection="1">
      <alignment horizontal="left"/>
    </xf>
    <xf numFmtId="43" fontId="16" fillId="27" borderId="0" xfId="2" applyFont="1" applyFill="1" applyBorder="1" applyAlignment="1" applyProtection="1">
      <alignment horizontal="left"/>
    </xf>
    <xf numFmtId="43" fontId="16" fillId="27" borderId="0" xfId="2" applyFont="1" applyFill="1" applyBorder="1" applyAlignment="1" applyProtection="1">
      <alignment horizontal="right"/>
    </xf>
    <xf numFmtId="37" fontId="8" fillId="28" borderId="0" xfId="2" applyNumberFormat="1" applyFont="1" applyFill="1" applyBorder="1" applyAlignment="1" applyProtection="1">
      <alignment horizontal="center"/>
      <protection locked="0"/>
    </xf>
    <xf numFmtId="44" fontId="0" fillId="0" borderId="16" xfId="1" applyFont="1" applyFill="1" applyBorder="1" applyProtection="1"/>
    <xf numFmtId="43" fontId="17" fillId="16" borderId="76" xfId="2" applyFont="1" applyFill="1" applyBorder="1" applyAlignment="1" applyProtection="1">
      <alignment horizontal="right"/>
    </xf>
    <xf numFmtId="44" fontId="4" fillId="3" borderId="18" xfId="1" applyFont="1" applyFill="1" applyBorder="1" applyAlignment="1" applyProtection="1">
      <alignment horizontal="right"/>
    </xf>
    <xf numFmtId="43" fontId="2" fillId="68" borderId="1" xfId="2" applyFont="1" applyFill="1" applyBorder="1" applyAlignment="1" applyProtection="1">
      <alignment horizontal="left"/>
    </xf>
    <xf numFmtId="43" fontId="2" fillId="68" borderId="2" xfId="2" applyFont="1" applyFill="1" applyBorder="1" applyAlignment="1" applyProtection="1">
      <alignment horizontal="center"/>
    </xf>
    <xf numFmtId="43" fontId="2" fillId="68" borderId="3" xfId="2" applyFont="1" applyFill="1" applyBorder="1" applyAlignment="1" applyProtection="1">
      <alignment horizontal="center"/>
    </xf>
    <xf numFmtId="43" fontId="2" fillId="68" borderId="1" xfId="2" applyFont="1" applyFill="1" applyBorder="1" applyAlignment="1" applyProtection="1">
      <alignment horizontal="right"/>
    </xf>
    <xf numFmtId="43" fontId="2" fillId="68" borderId="2" xfId="2" applyFont="1" applyFill="1" applyBorder="1" applyAlignment="1" applyProtection="1">
      <alignment horizontal="right"/>
    </xf>
    <xf numFmtId="43" fontId="2" fillId="68" borderId="3" xfId="2" applyFont="1" applyFill="1" applyBorder="1" applyAlignment="1" applyProtection="1">
      <alignment horizontal="right"/>
    </xf>
    <xf numFmtId="43" fontId="2" fillId="68" borderId="4" xfId="2" applyFont="1" applyFill="1" applyBorder="1" applyAlignment="1" applyProtection="1">
      <alignment horizontal="right"/>
    </xf>
    <xf numFmtId="43" fontId="2" fillId="68" borderId="0" xfId="2" applyFont="1" applyFill="1" applyBorder="1" applyAlignment="1" applyProtection="1">
      <alignment horizontal="right"/>
    </xf>
    <xf numFmtId="43" fontId="2" fillId="68" borderId="76" xfId="2" applyFont="1" applyFill="1" applyBorder="1" applyAlignment="1" applyProtection="1">
      <alignment horizontal="right"/>
    </xf>
    <xf numFmtId="43" fontId="2" fillId="68" borderId="32" xfId="2" applyFont="1" applyFill="1" applyBorder="1" applyAlignment="1" applyProtection="1">
      <alignment horizontal="center"/>
    </xf>
    <xf numFmtId="43" fontId="2" fillId="68" borderId="33" xfId="2" applyFont="1" applyFill="1" applyBorder="1" applyAlignment="1" applyProtection="1">
      <alignment horizontal="center"/>
    </xf>
    <xf numFmtId="43" fontId="2" fillId="68" borderId="34" xfId="2" applyFont="1" applyFill="1" applyBorder="1" applyAlignment="1" applyProtection="1">
      <alignment horizontal="center"/>
    </xf>
    <xf numFmtId="43" fontId="2" fillId="68" borderId="1" xfId="2" applyFont="1" applyFill="1" applyBorder="1" applyAlignment="1" applyProtection="1">
      <alignment horizontal="center"/>
    </xf>
    <xf numFmtId="43" fontId="2" fillId="68" borderId="16" xfId="2" applyFont="1" applyFill="1" applyBorder="1" applyAlignment="1" applyProtection="1">
      <alignment horizontal="center"/>
    </xf>
    <xf numFmtId="43" fontId="2" fillId="68" borderId="17" xfId="2" applyFont="1" applyFill="1" applyBorder="1" applyAlignment="1" applyProtection="1">
      <alignment horizontal="center"/>
    </xf>
    <xf numFmtId="44" fontId="31" fillId="68" borderId="18" xfId="1" applyFont="1" applyFill="1" applyBorder="1" applyAlignment="1" applyProtection="1">
      <alignment horizontal="center"/>
    </xf>
    <xf numFmtId="43" fontId="36" fillId="11" borderId="2" xfId="2" applyFont="1" applyFill="1" applyBorder="1" applyAlignment="1" applyProtection="1">
      <alignment horizontal="center"/>
    </xf>
    <xf numFmtId="43" fontId="12" fillId="27" borderId="0" xfId="2" applyFont="1" applyFill="1" applyBorder="1" applyProtection="1"/>
    <xf numFmtId="43" fontId="0" fillId="13" borderId="4" xfId="2" applyFont="1" applyFill="1" applyBorder="1" applyAlignment="1" applyProtection="1">
      <alignment horizontal="center"/>
    </xf>
    <xf numFmtId="166" fontId="0" fillId="13" borderId="0" xfId="2" applyNumberFormat="1" applyFont="1" applyFill="1" applyBorder="1" applyAlignment="1" applyProtection="1">
      <alignment horizontal="center"/>
    </xf>
    <xf numFmtId="43" fontId="0" fillId="13" borderId="4" xfId="2" applyFont="1" applyFill="1" applyBorder="1" applyProtection="1"/>
    <xf numFmtId="43" fontId="4" fillId="13" borderId="0" xfId="2" applyFont="1" applyFill="1" applyBorder="1" applyAlignment="1" applyProtection="1">
      <alignment horizontal="right"/>
    </xf>
    <xf numFmtId="4" fontId="4" fillId="13" borderId="0" xfId="2" applyNumberFormat="1" applyFont="1" applyFill="1" applyBorder="1" applyAlignment="1" applyProtection="1">
      <alignment horizontal="center" vertical="center"/>
    </xf>
    <xf numFmtId="44" fontId="11" fillId="13" borderId="0" xfId="1" applyFont="1" applyFill="1" applyBorder="1" applyProtection="1"/>
    <xf numFmtId="166" fontId="0" fillId="13" borderId="0" xfId="2" applyNumberFormat="1" applyFont="1" applyFill="1" applyBorder="1" applyProtection="1"/>
    <xf numFmtId="43" fontId="11" fillId="13" borderId="0" xfId="2" applyFont="1" applyFill="1" applyBorder="1" applyAlignment="1" applyProtection="1">
      <alignment horizontal="right"/>
    </xf>
    <xf numFmtId="43" fontId="4" fillId="13" borderId="4" xfId="2" applyFont="1" applyFill="1" applyBorder="1" applyProtection="1"/>
    <xf numFmtId="44" fontId="4" fillId="13" borderId="0" xfId="1" applyFont="1" applyFill="1" applyBorder="1" applyAlignment="1" applyProtection="1">
      <alignment horizontal="center" vertical="center"/>
    </xf>
    <xf numFmtId="44" fontId="4" fillId="13" borderId="0" xfId="1" applyFont="1" applyFill="1" applyBorder="1" applyProtection="1"/>
    <xf numFmtId="166" fontId="4" fillId="13" borderId="0" xfId="2" applyNumberFormat="1" applyFont="1" applyFill="1" applyBorder="1" applyProtection="1"/>
    <xf numFmtId="44" fontId="4" fillId="13" borderId="9" xfId="1" applyFont="1" applyFill="1" applyBorder="1" applyProtection="1"/>
    <xf numFmtId="43" fontId="4" fillId="13" borderId="0" xfId="2" applyFont="1" applyFill="1" applyAlignment="1" applyProtection="1">
      <alignment horizontal="right"/>
    </xf>
    <xf numFmtId="44" fontId="4" fillId="13" borderId="0" xfId="1" applyFont="1" applyFill="1" applyProtection="1"/>
    <xf numFmtId="166" fontId="4" fillId="13" borderId="0" xfId="2" applyNumberFormat="1" applyFont="1" applyFill="1" applyBorder="1" applyAlignment="1" applyProtection="1">
      <alignment horizontal="right"/>
    </xf>
    <xf numFmtId="166" fontId="18" fillId="13" borderId="0" xfId="2" applyNumberFormat="1" applyFont="1" applyFill="1" applyBorder="1" applyProtection="1"/>
    <xf numFmtId="43" fontId="0" fillId="13" borderId="0" xfId="2" applyFont="1" applyFill="1" applyBorder="1" applyAlignment="1" applyProtection="1">
      <alignment horizontal="right"/>
    </xf>
    <xf numFmtId="43" fontId="18" fillId="13" borderId="0" xfId="2" applyFont="1" applyFill="1" applyBorder="1" applyProtection="1"/>
    <xf numFmtId="43" fontId="4" fillId="13" borderId="0" xfId="2" applyFont="1" applyFill="1" applyBorder="1" applyAlignment="1" applyProtection="1">
      <alignment horizontal="center" vertical="center"/>
    </xf>
    <xf numFmtId="43" fontId="17" fillId="13" borderId="0" xfId="2" applyFont="1" applyFill="1" applyBorder="1" applyAlignment="1" applyProtection="1">
      <alignment horizontal="right"/>
    </xf>
    <xf numFmtId="43" fontId="17" fillId="13" borderId="0" xfId="2" applyFont="1" applyFill="1" applyBorder="1" applyAlignment="1" applyProtection="1">
      <alignment horizontal="center" vertical="center"/>
    </xf>
    <xf numFmtId="44" fontId="17" fillId="13" borderId="9" xfId="1" applyFont="1" applyFill="1" applyBorder="1" applyProtection="1"/>
    <xf numFmtId="43" fontId="11" fillId="13" borderId="0" xfId="2" applyFont="1" applyFill="1" applyBorder="1" applyAlignment="1" applyProtection="1">
      <alignment horizontal="center" vertical="center"/>
    </xf>
    <xf numFmtId="43" fontId="12" fillId="13" borderId="0" xfId="2" applyFont="1" applyFill="1" applyBorder="1" applyProtection="1"/>
    <xf numFmtId="43" fontId="17" fillId="13" borderId="0" xfId="2" applyFont="1" applyFill="1" applyBorder="1" applyAlignment="1" applyProtection="1"/>
    <xf numFmtId="43" fontId="17" fillId="13" borderId="9" xfId="2" applyFont="1" applyFill="1" applyBorder="1" applyAlignment="1" applyProtection="1"/>
    <xf numFmtId="166" fontId="0" fillId="13" borderId="0" xfId="2" applyNumberFormat="1" applyFont="1" applyFill="1" applyProtection="1"/>
    <xf numFmtId="43" fontId="0" fillId="13" borderId="57" xfId="2" applyFont="1" applyFill="1" applyBorder="1" applyProtection="1"/>
    <xf numFmtId="43" fontId="0" fillId="13" borderId="57" xfId="2" applyFont="1" applyFill="1" applyBorder="1" applyAlignment="1" applyProtection="1">
      <alignment horizontal="right"/>
    </xf>
    <xf numFmtId="169" fontId="4" fillId="13" borderId="57" xfId="2" applyNumberFormat="1" applyFont="1" applyFill="1" applyBorder="1" applyProtection="1"/>
    <xf numFmtId="43" fontId="0" fillId="13" borderId="5" xfId="2" applyFont="1" applyFill="1" applyBorder="1" applyProtection="1"/>
    <xf numFmtId="43" fontId="0" fillId="13" borderId="6" xfId="2" applyFont="1" applyFill="1" applyBorder="1" applyProtection="1"/>
    <xf numFmtId="43" fontId="4" fillId="13" borderId="6" xfId="2" applyFont="1" applyFill="1" applyBorder="1" applyProtection="1"/>
    <xf numFmtId="43" fontId="0" fillId="13" borderId="7" xfId="2" applyFont="1" applyFill="1" applyBorder="1" applyProtection="1"/>
    <xf numFmtId="44" fontId="0" fillId="13" borderId="0" xfId="1" applyFont="1" applyFill="1" applyBorder="1" applyProtection="1"/>
    <xf numFmtId="43" fontId="0" fillId="13" borderId="0" xfId="2" applyFont="1" applyFill="1" applyBorder="1" applyAlignment="1" applyProtection="1">
      <alignment horizontal="center" vertical="center"/>
    </xf>
    <xf numFmtId="43" fontId="0" fillId="13" borderId="0" xfId="2" applyFont="1" applyFill="1" applyAlignment="1" applyProtection="1">
      <alignment horizontal="right"/>
    </xf>
    <xf numFmtId="44" fontId="0" fillId="13" borderId="0" xfId="1" applyFont="1" applyFill="1" applyProtection="1"/>
    <xf numFmtId="44" fontId="3" fillId="13" borderId="0" xfId="1" applyFont="1" applyFill="1" applyBorder="1" applyProtection="1"/>
    <xf numFmtId="43" fontId="21" fillId="13" borderId="0" xfId="2" applyFont="1" applyFill="1" applyBorder="1" applyAlignment="1" applyProtection="1">
      <alignment horizontal="right"/>
    </xf>
    <xf numFmtId="44" fontId="21" fillId="13" borderId="0" xfId="1" applyFont="1" applyFill="1" applyBorder="1" applyProtection="1"/>
    <xf numFmtId="43" fontId="21" fillId="13" borderId="4" xfId="2" applyFont="1" applyFill="1" applyBorder="1" applyProtection="1"/>
    <xf numFmtId="169" fontId="0" fillId="13" borderId="57" xfId="2" applyNumberFormat="1" applyFont="1" applyFill="1" applyBorder="1" applyProtection="1"/>
    <xf numFmtId="3" fontId="0" fillId="13" borderId="0" xfId="2" applyNumberFormat="1" applyFont="1" applyFill="1" applyBorder="1" applyAlignment="1" applyProtection="1">
      <alignment horizontal="right" vertical="center"/>
    </xf>
    <xf numFmtId="4" fontId="0" fillId="13" borderId="0" xfId="2" applyNumberFormat="1" applyFont="1" applyFill="1" applyBorder="1" applyAlignment="1" applyProtection="1">
      <alignment horizontal="right" vertical="center"/>
    </xf>
    <xf numFmtId="0" fontId="0" fillId="13" borderId="0" xfId="0" applyFill="1"/>
    <xf numFmtId="43" fontId="2" fillId="30" borderId="2" xfId="2" applyFont="1" applyFill="1" applyBorder="1" applyAlignment="1" applyProtection="1">
      <alignment horizontal="left"/>
    </xf>
    <xf numFmtId="43" fontId="17" fillId="13" borderId="4" xfId="2" applyFont="1" applyFill="1" applyBorder="1" applyProtection="1"/>
    <xf numFmtId="43" fontId="17" fillId="13" borderId="0" xfId="2" applyFont="1" applyFill="1" applyBorder="1" applyProtection="1"/>
    <xf numFmtId="43" fontId="17" fillId="13" borderId="0" xfId="2" applyFont="1" applyFill="1" applyBorder="1" applyAlignment="1" applyProtection="1">
      <alignment horizontal="center"/>
    </xf>
    <xf numFmtId="43" fontId="20" fillId="26" borderId="0" xfId="2" applyFont="1" applyFill="1" applyBorder="1" applyAlignment="1" applyProtection="1">
      <alignment horizontal="center"/>
    </xf>
    <xf numFmtId="43" fontId="0" fillId="14" borderId="0" xfId="2" applyFont="1" applyFill="1" applyAlignment="1" applyProtection="1">
      <alignment horizontal="right"/>
    </xf>
    <xf numFmtId="43" fontId="11" fillId="13" borderId="0" xfId="2" quotePrefix="1" applyFont="1" applyFill="1" applyProtection="1"/>
    <xf numFmtId="166" fontId="4" fillId="3" borderId="17" xfId="2" applyNumberFormat="1" applyFont="1" applyFill="1" applyBorder="1" applyProtection="1"/>
    <xf numFmtId="43" fontId="17" fillId="16" borderId="7" xfId="2" applyFont="1" applyFill="1" applyBorder="1" applyAlignment="1" applyProtection="1">
      <alignment horizontal="right"/>
    </xf>
    <xf numFmtId="43" fontId="4" fillId="16" borderId="10" xfId="2" applyFont="1" applyFill="1" applyBorder="1" applyProtection="1"/>
    <xf numFmtId="44" fontId="4" fillId="0" borderId="0" xfId="1" applyFont="1" applyProtection="1"/>
    <xf numFmtId="166" fontId="0" fillId="0" borderId="0" xfId="2" applyNumberFormat="1" applyFont="1" applyAlignment="1" applyProtection="1"/>
    <xf numFmtId="43" fontId="0" fillId="14" borderId="0" xfId="2" applyFont="1" applyFill="1" applyProtection="1"/>
    <xf numFmtId="44" fontId="0" fillId="0" borderId="0" xfId="1" applyFont="1"/>
    <xf numFmtId="44" fontId="0" fillId="23" borderId="62" xfId="1" applyFont="1" applyFill="1" applyBorder="1"/>
    <xf numFmtId="0" fontId="3" fillId="0" borderId="62" xfId="0" applyFont="1" applyBorder="1"/>
    <xf numFmtId="0" fontId="0" fillId="16" borderId="62" xfId="0" applyFill="1" applyBorder="1" applyProtection="1">
      <protection locked="0"/>
    </xf>
    <xf numFmtId="0" fontId="3" fillId="0" borderId="0" xfId="0" applyFont="1"/>
    <xf numFmtId="0" fontId="0" fillId="14" borderId="62" xfId="0" applyFill="1" applyBorder="1"/>
    <xf numFmtId="0" fontId="0" fillId="14" borderId="62" xfId="1" applyNumberFormat="1" applyFont="1" applyFill="1" applyBorder="1"/>
    <xf numFmtId="6" fontId="0" fillId="0" borderId="0" xfId="1" applyNumberFormat="1" applyFont="1"/>
    <xf numFmtId="44" fontId="0" fillId="71" borderId="62" xfId="1" applyFont="1" applyFill="1" applyBorder="1"/>
    <xf numFmtId="43" fontId="13" fillId="26" borderId="6" xfId="2" applyFont="1" applyFill="1" applyBorder="1" applyAlignment="1" applyProtection="1">
      <alignment horizontal="right"/>
    </xf>
    <xf numFmtId="44" fontId="34" fillId="26" borderId="79" xfId="1" applyFont="1" applyFill="1" applyBorder="1" applyAlignment="1" applyProtection="1">
      <alignment horizontal="left"/>
    </xf>
    <xf numFmtId="43" fontId="0" fillId="27" borderId="55" xfId="2" applyFont="1" applyFill="1" applyBorder="1" applyProtection="1"/>
    <xf numFmtId="43" fontId="0" fillId="27" borderId="56" xfId="2" applyFont="1" applyFill="1" applyBorder="1" applyProtection="1"/>
    <xf numFmtId="43" fontId="0" fillId="27" borderId="54" xfId="2" applyFont="1" applyFill="1" applyBorder="1" applyProtection="1"/>
    <xf numFmtId="44" fontId="33" fillId="26" borderId="97" xfId="1" applyFont="1" applyFill="1" applyBorder="1" applyAlignment="1" applyProtection="1">
      <alignment horizontal="center"/>
    </xf>
    <xf numFmtId="43" fontId="11" fillId="26" borderId="0" xfId="2" applyFont="1" applyFill="1" applyBorder="1" applyAlignment="1" applyProtection="1">
      <protection locked="0"/>
    </xf>
    <xf numFmtId="44" fontId="17" fillId="26" borderId="85" xfId="1" applyFont="1" applyFill="1" applyBorder="1" applyAlignment="1" applyProtection="1">
      <alignment horizontal="center"/>
      <protection locked="0"/>
    </xf>
    <xf numFmtId="43" fontId="0" fillId="0" borderId="0" xfId="2" applyFont="1" applyProtection="1">
      <protection locked="0"/>
    </xf>
    <xf numFmtId="43" fontId="17" fillId="6" borderId="0" xfId="2" applyFont="1" applyFill="1" applyProtection="1">
      <protection locked="0"/>
    </xf>
    <xf numFmtId="43" fontId="4" fillId="13" borderId="0" xfId="2" applyFont="1" applyFill="1" applyProtection="1">
      <protection locked="0"/>
    </xf>
    <xf numFmtId="43" fontId="17" fillId="18" borderId="0" xfId="2" applyFont="1" applyFill="1" applyProtection="1">
      <protection locked="0"/>
    </xf>
    <xf numFmtId="43" fontId="12" fillId="18" borderId="0" xfId="2" applyFont="1" applyFill="1" applyProtection="1">
      <protection locked="0"/>
    </xf>
    <xf numFmtId="43" fontId="17" fillId="16" borderId="1" xfId="2" applyFont="1" applyFill="1" applyBorder="1" applyAlignment="1" applyProtection="1">
      <alignment horizontal="left"/>
      <protection locked="0"/>
    </xf>
    <xf numFmtId="43" fontId="17" fillId="16" borderId="2" xfId="2" applyFont="1" applyFill="1" applyBorder="1" applyAlignment="1" applyProtection="1">
      <alignment horizontal="center"/>
      <protection locked="0"/>
    </xf>
    <xf numFmtId="43" fontId="17" fillId="16" borderId="3" xfId="2" applyFont="1" applyFill="1" applyBorder="1" applyAlignment="1" applyProtection="1">
      <alignment horizontal="center"/>
      <protection locked="0"/>
    </xf>
    <xf numFmtId="43" fontId="4" fillId="13" borderId="35" xfId="2" applyFont="1" applyFill="1" applyBorder="1" applyProtection="1">
      <protection locked="0"/>
    </xf>
    <xf numFmtId="43" fontId="17" fillId="18" borderId="8" xfId="2" applyFont="1" applyFill="1" applyBorder="1" applyProtection="1">
      <protection locked="0"/>
    </xf>
    <xf numFmtId="43" fontId="17" fillId="22" borderId="0" xfId="2" applyFont="1" applyFill="1" applyAlignment="1" applyProtection="1">
      <alignment horizontal="left"/>
      <protection locked="0"/>
    </xf>
    <xf numFmtId="43" fontId="17" fillId="16" borderId="32" xfId="2" applyFont="1" applyFill="1" applyBorder="1" applyAlignment="1" applyProtection="1">
      <alignment horizontal="left"/>
      <protection locked="0"/>
    </xf>
    <xf numFmtId="43" fontId="17" fillId="16" borderId="33" xfId="2" applyFont="1" applyFill="1" applyBorder="1" applyAlignment="1" applyProtection="1">
      <alignment horizontal="left"/>
      <protection locked="0"/>
    </xf>
    <xf numFmtId="43" fontId="17" fillId="16" borderId="34" xfId="2" applyFont="1" applyFill="1" applyBorder="1" applyAlignment="1" applyProtection="1">
      <alignment horizontal="left"/>
      <protection locked="0"/>
    </xf>
    <xf numFmtId="43" fontId="11" fillId="13" borderId="0" xfId="2" applyFont="1" applyFill="1" applyProtection="1">
      <protection locked="0"/>
    </xf>
    <xf numFmtId="43" fontId="17" fillId="16" borderId="1" xfId="2" applyFont="1" applyFill="1" applyBorder="1" applyAlignment="1" applyProtection="1">
      <alignment horizontal="center"/>
      <protection locked="0"/>
    </xf>
    <xf numFmtId="43" fontId="4" fillId="13" borderId="36" xfId="2" applyFont="1" applyFill="1" applyBorder="1" applyProtection="1">
      <protection locked="0"/>
    </xf>
    <xf numFmtId="43" fontId="17" fillId="18" borderId="10" xfId="2" applyFont="1" applyFill="1" applyBorder="1" applyProtection="1">
      <protection locked="0"/>
    </xf>
    <xf numFmtId="43" fontId="17" fillId="16" borderId="1" xfId="2" applyFont="1" applyFill="1" applyBorder="1" applyAlignment="1" applyProtection="1">
      <alignment horizontal="right"/>
      <protection locked="0"/>
    </xf>
    <xf numFmtId="43" fontId="17" fillId="16" borderId="2" xfId="2" applyFont="1" applyFill="1" applyBorder="1" applyAlignment="1" applyProtection="1">
      <alignment horizontal="right"/>
      <protection locked="0"/>
    </xf>
    <xf numFmtId="43" fontId="14" fillId="26" borderId="4" xfId="2" applyFont="1" applyFill="1" applyBorder="1" applyAlignment="1" applyProtection="1">
      <alignment horizontal="right"/>
      <protection locked="0"/>
    </xf>
    <xf numFmtId="166" fontId="17" fillId="26" borderId="0" xfId="2" applyNumberFormat="1" applyFont="1" applyFill="1" applyBorder="1" applyAlignment="1" applyProtection="1">
      <alignment horizontal="center"/>
      <protection locked="0"/>
    </xf>
    <xf numFmtId="43" fontId="0" fillId="27" borderId="0" xfId="2" applyFont="1" applyFill="1" applyBorder="1" applyAlignment="1" applyProtection="1">
      <alignment horizontal="right"/>
      <protection locked="0"/>
    </xf>
    <xf numFmtId="43" fontId="4" fillId="13" borderId="0" xfId="2" applyFont="1" applyFill="1" applyBorder="1" applyProtection="1">
      <protection locked="0"/>
    </xf>
    <xf numFmtId="43" fontId="17" fillId="18" borderId="0" xfId="2" applyFont="1" applyFill="1" applyBorder="1" applyProtection="1">
      <protection locked="0"/>
    </xf>
    <xf numFmtId="165" fontId="4" fillId="3" borderId="16" xfId="2" applyNumberFormat="1" applyFont="1" applyFill="1" applyBorder="1" applyProtection="1">
      <protection locked="0"/>
    </xf>
    <xf numFmtId="165" fontId="4" fillId="3" borderId="17" xfId="2" applyNumberFormat="1" applyFont="1" applyFill="1" applyBorder="1" applyProtection="1">
      <protection locked="0"/>
    </xf>
    <xf numFmtId="44" fontId="4" fillId="3" borderId="17" xfId="1" applyFont="1" applyFill="1" applyBorder="1" applyProtection="1">
      <protection locked="0"/>
    </xf>
    <xf numFmtId="43" fontId="4" fillId="3" borderId="18" xfId="2" applyFont="1" applyFill="1" applyBorder="1" applyProtection="1">
      <protection locked="0"/>
    </xf>
    <xf numFmtId="43" fontId="0" fillId="27" borderId="4" xfId="2" applyFont="1" applyFill="1" applyBorder="1" applyAlignment="1" applyProtection="1">
      <alignment horizontal="right"/>
      <protection locked="0"/>
    </xf>
    <xf numFmtId="39" fontId="4" fillId="26" borderId="0" xfId="2" applyNumberFormat="1" applyFont="1" applyFill="1" applyBorder="1" applyAlignment="1" applyProtection="1">
      <alignment horizontal="center"/>
      <protection locked="0"/>
    </xf>
    <xf numFmtId="44" fontId="4" fillId="3" borderId="16" xfId="1" applyFont="1" applyFill="1" applyBorder="1" applyProtection="1">
      <protection locked="0"/>
    </xf>
    <xf numFmtId="164" fontId="4" fillId="3" borderId="17" xfId="2" applyNumberFormat="1" applyFont="1" applyFill="1" applyBorder="1" applyProtection="1">
      <protection locked="0"/>
    </xf>
    <xf numFmtId="10" fontId="4" fillId="3" borderId="29" xfId="2" applyNumberFormat="1" applyFont="1" applyFill="1" applyBorder="1" applyProtection="1">
      <protection locked="0"/>
    </xf>
    <xf numFmtId="164" fontId="4" fillId="3" borderId="30" xfId="2" applyNumberFormat="1" applyFont="1" applyFill="1" applyBorder="1" applyProtection="1">
      <protection locked="0"/>
    </xf>
    <xf numFmtId="44" fontId="4" fillId="3" borderId="30" xfId="1" applyFont="1" applyFill="1" applyBorder="1" applyProtection="1">
      <protection locked="0"/>
    </xf>
    <xf numFmtId="43" fontId="4" fillId="3" borderId="31" xfId="2" applyFont="1" applyFill="1" applyBorder="1" applyProtection="1">
      <protection locked="0"/>
    </xf>
    <xf numFmtId="43" fontId="4" fillId="3" borderId="5" xfId="2" applyFont="1" applyFill="1" applyBorder="1" applyProtection="1">
      <protection locked="0"/>
    </xf>
    <xf numFmtId="43" fontId="4" fillId="3" borderId="6" xfId="2" applyFont="1" applyFill="1" applyBorder="1" applyProtection="1">
      <protection locked="0"/>
    </xf>
    <xf numFmtId="43" fontId="4" fillId="3" borderId="7" xfId="2" applyFont="1" applyFill="1" applyBorder="1" applyProtection="1">
      <protection locked="0"/>
    </xf>
    <xf numFmtId="43" fontId="11" fillId="13" borderId="0" xfId="2" applyFont="1" applyFill="1" applyBorder="1" applyProtection="1">
      <protection locked="0"/>
    </xf>
    <xf numFmtId="43" fontId="6" fillId="16" borderId="1" xfId="2" applyFont="1" applyFill="1" applyBorder="1" applyAlignment="1" applyProtection="1">
      <alignment horizontal="left"/>
      <protection locked="0"/>
    </xf>
    <xf numFmtId="43" fontId="6" fillId="16" borderId="2" xfId="2" applyFont="1" applyFill="1" applyBorder="1" applyAlignment="1" applyProtection="1">
      <alignment horizontal="center"/>
      <protection locked="0"/>
    </xf>
    <xf numFmtId="43" fontId="6" fillId="16" borderId="3" xfId="2" applyFont="1" applyFill="1" applyBorder="1" applyAlignment="1" applyProtection="1">
      <alignment horizontal="center"/>
      <protection locked="0"/>
    </xf>
    <xf numFmtId="43" fontId="0" fillId="13" borderId="35" xfId="2" applyFont="1" applyFill="1" applyBorder="1" applyProtection="1">
      <protection locked="0"/>
    </xf>
    <xf numFmtId="43" fontId="2" fillId="18" borderId="8" xfId="2" applyFont="1" applyFill="1" applyBorder="1" applyProtection="1">
      <protection locked="0"/>
    </xf>
    <xf numFmtId="43" fontId="6" fillId="16" borderId="0" xfId="2" applyFont="1" applyFill="1" applyAlignment="1" applyProtection="1">
      <alignment horizontal="left"/>
      <protection locked="0"/>
    </xf>
    <xf numFmtId="43" fontId="6" fillId="16" borderId="32" xfId="2" applyFont="1" applyFill="1" applyBorder="1" applyAlignment="1" applyProtection="1">
      <alignment horizontal="left"/>
      <protection locked="0"/>
    </xf>
    <xf numFmtId="43" fontId="6" fillId="16" borderId="33" xfId="2" applyFont="1" applyFill="1" applyBorder="1" applyAlignment="1" applyProtection="1">
      <alignment horizontal="left"/>
      <protection locked="0"/>
    </xf>
    <xf numFmtId="43" fontId="6" fillId="16" borderId="34" xfId="2" applyFont="1" applyFill="1" applyBorder="1" applyAlignment="1" applyProtection="1">
      <alignment horizontal="left"/>
      <protection locked="0"/>
    </xf>
    <xf numFmtId="43" fontId="6" fillId="16" borderId="1" xfId="2" applyFont="1" applyFill="1" applyBorder="1" applyAlignment="1" applyProtection="1">
      <alignment horizontal="right"/>
      <protection locked="0"/>
    </xf>
    <xf numFmtId="43" fontId="0" fillId="13" borderId="36" xfId="2" applyFont="1" applyFill="1" applyBorder="1" applyProtection="1">
      <protection locked="0"/>
    </xf>
    <xf numFmtId="43" fontId="2" fillId="18" borderId="10" xfId="2" applyFont="1" applyFill="1" applyBorder="1" applyProtection="1">
      <protection locked="0"/>
    </xf>
    <xf numFmtId="43" fontId="6" fillId="16" borderId="2" xfId="2" applyFont="1" applyFill="1" applyBorder="1" applyAlignment="1" applyProtection="1">
      <alignment horizontal="right"/>
      <protection locked="0"/>
    </xf>
    <xf numFmtId="43" fontId="6" fillId="16" borderId="4" xfId="2" applyFont="1" applyFill="1" applyBorder="1" applyAlignment="1" applyProtection="1">
      <alignment horizontal="right"/>
      <protection locked="0"/>
    </xf>
    <xf numFmtId="43" fontId="6" fillId="16" borderId="0" xfId="2" applyFont="1" applyFill="1" applyBorder="1" applyAlignment="1" applyProtection="1">
      <alignment horizontal="center"/>
      <protection locked="0"/>
    </xf>
    <xf numFmtId="43" fontId="0" fillId="13" borderId="0" xfId="2" applyFont="1" applyFill="1" applyProtection="1">
      <protection locked="0"/>
    </xf>
    <xf numFmtId="43" fontId="2" fillId="18" borderId="0" xfId="2" applyFont="1" applyFill="1" applyProtection="1">
      <protection locked="0"/>
    </xf>
    <xf numFmtId="43" fontId="6" fillId="16" borderId="0" xfId="2" applyFont="1" applyFill="1" applyBorder="1" applyAlignment="1" applyProtection="1">
      <alignment horizontal="right"/>
      <protection locked="0"/>
    </xf>
    <xf numFmtId="44" fontId="0" fillId="3" borderId="16" xfId="1" applyFont="1" applyFill="1" applyBorder="1" applyProtection="1">
      <protection locked="0"/>
    </xf>
    <xf numFmtId="164" fontId="0" fillId="3" borderId="17" xfId="2" applyNumberFormat="1" applyFont="1" applyFill="1" applyBorder="1" applyProtection="1">
      <protection locked="0"/>
    </xf>
    <xf numFmtId="44" fontId="0" fillId="3" borderId="17" xfId="1" applyFont="1" applyFill="1" applyBorder="1" applyProtection="1">
      <protection locked="0"/>
    </xf>
    <xf numFmtId="43" fontId="0" fillId="3" borderId="18" xfId="2" applyFont="1" applyFill="1" applyBorder="1" applyProtection="1">
      <protection locked="0"/>
    </xf>
    <xf numFmtId="166" fontId="0" fillId="3" borderId="17" xfId="2" applyNumberFormat="1" applyFont="1" applyFill="1" applyBorder="1" applyProtection="1">
      <protection locked="0"/>
    </xf>
    <xf numFmtId="10" fontId="0" fillId="3" borderId="29" xfId="2" applyNumberFormat="1" applyFont="1" applyFill="1" applyBorder="1" applyProtection="1">
      <protection locked="0"/>
    </xf>
    <xf numFmtId="164" fontId="0" fillId="3" borderId="30" xfId="2" applyNumberFormat="1" applyFont="1" applyFill="1" applyBorder="1" applyProtection="1">
      <protection locked="0"/>
    </xf>
    <xf numFmtId="44" fontId="0" fillId="3" borderId="30" xfId="1" applyFont="1" applyFill="1" applyBorder="1" applyProtection="1">
      <protection locked="0"/>
    </xf>
    <xf numFmtId="43" fontId="0" fillId="3" borderId="31" xfId="2" applyFont="1" applyFill="1" applyBorder="1" applyProtection="1">
      <protection locked="0"/>
    </xf>
    <xf numFmtId="43" fontId="0" fillId="3" borderId="5" xfId="2" applyFont="1" applyFill="1" applyBorder="1" applyProtection="1">
      <protection locked="0"/>
    </xf>
    <xf numFmtId="43" fontId="0" fillId="3" borderId="6" xfId="2" applyFont="1" applyFill="1" applyBorder="1" applyProtection="1">
      <protection locked="0"/>
    </xf>
    <xf numFmtId="43" fontId="0" fillId="3" borderId="7" xfId="2" applyFont="1" applyFill="1" applyBorder="1" applyProtection="1">
      <protection locked="0"/>
    </xf>
    <xf numFmtId="43" fontId="11" fillId="13" borderId="0" xfId="2" applyFont="1" applyFill="1" applyAlignment="1" applyProtection="1">
      <alignment horizontal="center"/>
      <protection locked="0"/>
    </xf>
    <xf numFmtId="43" fontId="6" fillId="24" borderId="1" xfId="2" applyFont="1" applyFill="1" applyBorder="1" applyAlignment="1" applyProtection="1">
      <alignment horizontal="left"/>
      <protection locked="0"/>
    </xf>
    <xf numFmtId="43" fontId="6" fillId="24" borderId="2" xfId="2" applyFont="1" applyFill="1" applyBorder="1" applyAlignment="1" applyProtection="1">
      <alignment horizontal="center"/>
      <protection locked="0"/>
    </xf>
    <xf numFmtId="43" fontId="6" fillId="24" borderId="3" xfId="2" applyFont="1" applyFill="1" applyBorder="1" applyAlignment="1" applyProtection="1">
      <alignment horizontal="center"/>
      <protection locked="0"/>
    </xf>
    <xf numFmtId="43" fontId="6" fillId="24" borderId="0" xfId="2" applyFont="1" applyFill="1" applyAlignment="1" applyProtection="1">
      <alignment horizontal="left"/>
      <protection locked="0"/>
    </xf>
    <xf numFmtId="43" fontId="6" fillId="24" borderId="32" xfId="2" applyFont="1" applyFill="1" applyBorder="1" applyAlignment="1" applyProtection="1">
      <alignment horizontal="left"/>
      <protection locked="0"/>
    </xf>
    <xf numFmtId="43" fontId="6" fillId="24" borderId="33" xfId="2" applyFont="1" applyFill="1" applyBorder="1" applyAlignment="1" applyProtection="1">
      <alignment horizontal="left"/>
      <protection locked="0"/>
    </xf>
    <xf numFmtId="43" fontId="6" fillId="24" borderId="96" xfId="2" applyFont="1" applyFill="1" applyBorder="1" applyAlignment="1" applyProtection="1">
      <alignment horizontal="left"/>
      <protection locked="0"/>
    </xf>
    <xf numFmtId="43" fontId="6" fillId="24" borderId="1" xfId="2" applyFont="1" applyFill="1" applyBorder="1" applyAlignment="1" applyProtection="1">
      <alignment horizontal="right"/>
      <protection locked="0"/>
    </xf>
    <xf numFmtId="43" fontId="6" fillId="24" borderId="2" xfId="2" applyFont="1" applyFill="1" applyBorder="1" applyAlignment="1" applyProtection="1">
      <alignment horizontal="right"/>
      <protection locked="0"/>
    </xf>
    <xf numFmtId="43" fontId="6" fillId="24" borderId="3" xfId="2" applyFont="1" applyFill="1" applyBorder="1" applyAlignment="1" applyProtection="1">
      <alignment horizontal="right"/>
      <protection locked="0"/>
    </xf>
    <xf numFmtId="43" fontId="6" fillId="24" borderId="4" xfId="2" applyFont="1" applyFill="1" applyBorder="1" applyAlignment="1" applyProtection="1">
      <alignment horizontal="right"/>
      <protection locked="0"/>
    </xf>
    <xf numFmtId="43" fontId="6" fillId="24" borderId="0" xfId="2" applyFont="1" applyFill="1" applyBorder="1" applyAlignment="1" applyProtection="1">
      <alignment horizontal="right"/>
      <protection locked="0"/>
    </xf>
    <xf numFmtId="43" fontId="6" fillId="24" borderId="76" xfId="2" applyFont="1" applyFill="1" applyBorder="1" applyAlignment="1" applyProtection="1">
      <alignment horizontal="right"/>
      <protection locked="0"/>
    </xf>
    <xf numFmtId="43" fontId="6" fillId="24" borderId="0" xfId="2" applyFont="1" applyFill="1" applyBorder="1" applyAlignment="1" applyProtection="1">
      <alignment horizontal="center"/>
      <protection locked="0"/>
    </xf>
    <xf numFmtId="43" fontId="6" fillId="24" borderId="76" xfId="2" applyFont="1" applyFill="1" applyBorder="1" applyAlignment="1" applyProtection="1">
      <alignment horizontal="center"/>
      <protection locked="0"/>
    </xf>
    <xf numFmtId="44" fontId="0" fillId="0" borderId="16" xfId="1" applyFont="1" applyFill="1" applyBorder="1" applyProtection="1">
      <protection locked="0"/>
    </xf>
    <xf numFmtId="43" fontId="0" fillId="0" borderId="17" xfId="2" applyFont="1" applyBorder="1" applyProtection="1">
      <protection locked="0"/>
    </xf>
    <xf numFmtId="168" fontId="0" fillId="3" borderId="17" xfId="2" applyNumberFormat="1" applyFont="1" applyFill="1" applyBorder="1" applyProtection="1">
      <protection locked="0"/>
    </xf>
    <xf numFmtId="44" fontId="0" fillId="3" borderId="18" xfId="1" applyFont="1" applyFill="1" applyBorder="1" applyProtection="1">
      <protection locked="0"/>
    </xf>
    <xf numFmtId="43" fontId="11" fillId="0" borderId="0" xfId="2" applyFont="1" applyProtection="1">
      <protection locked="0"/>
    </xf>
    <xf numFmtId="44" fontId="0" fillId="3" borderId="29" xfId="1" applyFont="1" applyFill="1" applyBorder="1" applyProtection="1">
      <protection locked="0"/>
    </xf>
    <xf numFmtId="43" fontId="0" fillId="0" borderId="30" xfId="2" applyFont="1" applyBorder="1" applyProtection="1">
      <protection locked="0"/>
    </xf>
    <xf numFmtId="168" fontId="0" fillId="3" borderId="30" xfId="2" applyNumberFormat="1" applyFont="1" applyFill="1" applyBorder="1" applyProtection="1">
      <protection locked="0"/>
    </xf>
    <xf numFmtId="44" fontId="0" fillId="3" borderId="31" xfId="1" applyFont="1" applyFill="1" applyBorder="1" applyProtection="1">
      <protection locked="0"/>
    </xf>
    <xf numFmtId="44" fontId="0" fillId="3" borderId="5" xfId="1" applyFont="1" applyFill="1" applyBorder="1" applyProtection="1">
      <protection locked="0"/>
    </xf>
    <xf numFmtId="44" fontId="0" fillId="3" borderId="6" xfId="1" applyFont="1" applyFill="1" applyBorder="1" applyProtection="1">
      <protection locked="0"/>
    </xf>
    <xf numFmtId="43" fontId="2" fillId="69" borderId="1" xfId="2" applyFont="1" applyFill="1" applyBorder="1" applyAlignment="1" applyProtection="1">
      <alignment horizontal="left"/>
      <protection locked="0"/>
    </xf>
    <xf numFmtId="43" fontId="2" fillId="69" borderId="2" xfId="2" applyFont="1" applyFill="1" applyBorder="1" applyAlignment="1" applyProtection="1">
      <alignment horizontal="right"/>
      <protection locked="0"/>
    </xf>
    <xf numFmtId="43" fontId="2" fillId="69" borderId="3" xfId="2" applyFont="1" applyFill="1" applyBorder="1" applyAlignment="1" applyProtection="1">
      <alignment horizontal="right"/>
      <protection locked="0"/>
    </xf>
    <xf numFmtId="43" fontId="3" fillId="13" borderId="35" xfId="2" applyFont="1" applyFill="1" applyBorder="1" applyProtection="1">
      <protection locked="0"/>
    </xf>
    <xf numFmtId="43" fontId="2" fillId="69" borderId="4" xfId="2" applyFont="1" applyFill="1" applyBorder="1" applyAlignment="1" applyProtection="1">
      <alignment horizontal="right"/>
      <protection locked="0"/>
    </xf>
    <xf numFmtId="43" fontId="2" fillId="69" borderId="0" xfId="2" applyFont="1" applyFill="1" applyBorder="1" applyAlignment="1" applyProtection="1">
      <alignment horizontal="right"/>
      <protection locked="0"/>
    </xf>
    <xf numFmtId="43" fontId="2" fillId="69" borderId="76" xfId="2" applyFont="1" applyFill="1" applyBorder="1" applyAlignment="1" applyProtection="1">
      <alignment horizontal="right"/>
      <protection locked="0"/>
    </xf>
    <xf numFmtId="43" fontId="3" fillId="13" borderId="36" xfId="2" applyFont="1" applyFill="1" applyBorder="1" applyProtection="1">
      <protection locked="0"/>
    </xf>
    <xf numFmtId="43" fontId="3" fillId="13" borderId="0" xfId="2" applyFont="1" applyFill="1" applyProtection="1">
      <protection locked="0"/>
    </xf>
    <xf numFmtId="166" fontId="0" fillId="3" borderId="18" xfId="2" applyNumberFormat="1" applyFont="1" applyFill="1" applyBorder="1" applyProtection="1">
      <protection locked="0"/>
    </xf>
    <xf numFmtId="166" fontId="0" fillId="0" borderId="0" xfId="2" applyNumberFormat="1" applyFont="1" applyProtection="1">
      <protection locked="0"/>
    </xf>
    <xf numFmtId="0" fontId="0" fillId="0" borderId="0" xfId="0" applyProtection="1">
      <protection locked="0"/>
    </xf>
    <xf numFmtId="43" fontId="0" fillId="38" borderId="0" xfId="2" applyFont="1" applyFill="1" applyProtection="1">
      <protection locked="0"/>
    </xf>
    <xf numFmtId="43" fontId="0" fillId="0" borderId="0" xfId="2" quotePrefix="1" applyFont="1" applyProtection="1">
      <protection locked="0"/>
    </xf>
    <xf numFmtId="166" fontId="2" fillId="62" borderId="93" xfId="2" applyNumberFormat="1" applyFont="1" applyFill="1" applyBorder="1" applyAlignment="1" applyProtection="1">
      <alignment horizontal="right"/>
      <protection locked="0"/>
    </xf>
    <xf numFmtId="43" fontId="37" fillId="62" borderId="88" xfId="2" applyFont="1" applyFill="1" applyBorder="1" applyProtection="1">
      <protection locked="0"/>
    </xf>
    <xf numFmtId="43" fontId="2" fillId="62" borderId="88" xfId="2" applyFont="1" applyFill="1" applyBorder="1" applyProtection="1">
      <protection locked="0"/>
    </xf>
    <xf numFmtId="43" fontId="2" fillId="62" borderId="89" xfId="2" applyFont="1" applyFill="1" applyBorder="1" applyProtection="1">
      <protection locked="0"/>
    </xf>
    <xf numFmtId="166" fontId="2" fillId="63" borderId="94" xfId="2" applyNumberFormat="1" applyFont="1" applyFill="1" applyBorder="1" applyAlignment="1" applyProtection="1">
      <alignment horizontal="right"/>
      <protection locked="0"/>
    </xf>
    <xf numFmtId="43" fontId="17" fillId="63" borderId="0" xfId="2" applyFont="1" applyFill="1" applyBorder="1" applyProtection="1">
      <protection locked="0"/>
    </xf>
    <xf numFmtId="43" fontId="2" fillId="63" borderId="0" xfId="2" applyFont="1" applyFill="1" applyBorder="1" applyProtection="1">
      <protection locked="0"/>
    </xf>
    <xf numFmtId="43" fontId="2" fillId="63" borderId="90" xfId="2" applyFont="1" applyFill="1" applyBorder="1" applyProtection="1">
      <protection locked="0"/>
    </xf>
    <xf numFmtId="166" fontId="2" fillId="64" borderId="94" xfId="2" applyNumberFormat="1" applyFont="1" applyFill="1" applyBorder="1" applyAlignment="1" applyProtection="1">
      <alignment horizontal="right"/>
      <protection locked="0"/>
    </xf>
    <xf numFmtId="43" fontId="17" fillId="64" borderId="0" xfId="2" applyFont="1" applyFill="1" applyBorder="1" applyProtection="1">
      <protection locked="0"/>
    </xf>
    <xf numFmtId="43" fontId="2" fillId="64" borderId="0" xfId="2" applyFont="1" applyFill="1" applyBorder="1" applyProtection="1">
      <protection locked="0"/>
    </xf>
    <xf numFmtId="43" fontId="2" fillId="64" borderId="90" xfId="2" applyFont="1" applyFill="1" applyBorder="1" applyProtection="1">
      <protection locked="0"/>
    </xf>
    <xf numFmtId="43" fontId="0" fillId="0" borderId="86" xfId="2" applyFont="1" applyBorder="1" applyProtection="1">
      <protection locked="0"/>
    </xf>
    <xf numFmtId="43" fontId="11" fillId="36" borderId="94" xfId="2" applyFont="1" applyFill="1" applyBorder="1" applyAlignment="1" applyProtection="1">
      <protection locked="0"/>
    </xf>
    <xf numFmtId="43" fontId="2" fillId="36" borderId="0" xfId="2" applyFont="1" applyFill="1" applyBorder="1" applyAlignment="1" applyProtection="1">
      <protection locked="0"/>
    </xf>
    <xf numFmtId="43" fontId="11" fillId="36" borderId="0" xfId="2" applyFont="1" applyFill="1" applyBorder="1" applyAlignment="1" applyProtection="1">
      <protection locked="0"/>
    </xf>
    <xf numFmtId="43" fontId="11" fillId="36" borderId="90" xfId="2" applyFont="1" applyFill="1" applyBorder="1" applyAlignment="1" applyProtection="1">
      <protection locked="0"/>
    </xf>
    <xf numFmtId="43" fontId="0" fillId="0" borderId="72" xfId="2" applyFont="1" applyBorder="1" applyProtection="1">
      <protection locked="0"/>
    </xf>
    <xf numFmtId="166" fontId="0" fillId="13" borderId="94" xfId="2" quotePrefix="1" applyNumberFormat="1" applyFont="1" applyFill="1" applyBorder="1" applyAlignment="1" applyProtection="1">
      <alignment horizontal="right"/>
      <protection locked="0"/>
    </xf>
    <xf numFmtId="43" fontId="0" fillId="13" borderId="0" xfId="2" applyFont="1" applyFill="1" applyBorder="1" applyProtection="1">
      <protection locked="0"/>
    </xf>
    <xf numFmtId="43" fontId="0" fillId="13" borderId="90" xfId="2" applyFont="1" applyFill="1" applyBorder="1" applyProtection="1">
      <protection locked="0"/>
    </xf>
    <xf numFmtId="43" fontId="0" fillId="0" borderId="36" xfId="2" applyFont="1" applyBorder="1" applyProtection="1">
      <protection locked="0"/>
    </xf>
    <xf numFmtId="166" fontId="0" fillId="13" borderId="0" xfId="2" applyNumberFormat="1" applyFont="1" applyFill="1" applyBorder="1" applyAlignment="1" applyProtection="1">
      <alignment horizontal="right"/>
      <protection locked="0"/>
    </xf>
    <xf numFmtId="43" fontId="0" fillId="0" borderId="35" xfId="2" applyFont="1" applyBorder="1" applyProtection="1">
      <protection locked="0"/>
    </xf>
    <xf numFmtId="166" fontId="0" fillId="13" borderId="94" xfId="2" applyNumberFormat="1" applyFont="1" applyFill="1" applyBorder="1" applyAlignment="1" applyProtection="1">
      <alignment horizontal="right"/>
      <protection locked="0"/>
    </xf>
    <xf numFmtId="166" fontId="0" fillId="13" borderId="95" xfId="2" applyNumberFormat="1" applyFont="1" applyFill="1" applyBorder="1" applyAlignment="1" applyProtection="1">
      <alignment horizontal="right"/>
      <protection locked="0"/>
    </xf>
    <xf numFmtId="43" fontId="11" fillId="13" borderId="91" xfId="2" applyFont="1" applyFill="1" applyBorder="1" applyProtection="1">
      <protection locked="0"/>
    </xf>
    <xf numFmtId="43" fontId="0" fillId="13" borderId="91" xfId="2" applyFont="1" applyFill="1" applyBorder="1" applyProtection="1">
      <protection locked="0"/>
    </xf>
    <xf numFmtId="43" fontId="0" fillId="13" borderId="92" xfId="2" applyFont="1" applyFill="1" applyBorder="1" applyProtection="1">
      <protection locked="0"/>
    </xf>
    <xf numFmtId="43" fontId="17" fillId="2" borderId="1" xfId="2" applyFont="1" applyFill="1" applyBorder="1" applyAlignment="1" applyProtection="1">
      <alignment horizontal="left"/>
      <protection locked="0"/>
    </xf>
    <xf numFmtId="43" fontId="17" fillId="2" borderId="2" xfId="2" applyFont="1" applyFill="1" applyBorder="1" applyAlignment="1" applyProtection="1">
      <alignment horizontal="center"/>
      <protection locked="0"/>
    </xf>
    <xf numFmtId="43" fontId="17" fillId="2" borderId="3" xfId="2" applyFont="1" applyFill="1" applyBorder="1" applyAlignment="1" applyProtection="1">
      <alignment horizontal="center"/>
      <protection locked="0"/>
    </xf>
    <xf numFmtId="43" fontId="17" fillId="2" borderId="0" xfId="2" applyFont="1" applyFill="1" applyAlignment="1" applyProtection="1">
      <alignment horizontal="center"/>
      <protection locked="0"/>
    </xf>
    <xf numFmtId="43" fontId="17" fillId="2" borderId="32" xfId="2" applyFont="1" applyFill="1" applyBorder="1" applyAlignment="1" applyProtection="1">
      <alignment horizontal="center"/>
      <protection locked="0"/>
    </xf>
    <xf numFmtId="43" fontId="17" fillId="2" borderId="33" xfId="2" applyFont="1" applyFill="1" applyBorder="1" applyAlignment="1" applyProtection="1">
      <alignment horizontal="center"/>
      <protection locked="0"/>
    </xf>
    <xf numFmtId="43" fontId="17" fillId="2" borderId="34" xfId="2" applyFont="1" applyFill="1" applyBorder="1" applyAlignment="1" applyProtection="1">
      <alignment horizontal="center"/>
      <protection locked="0"/>
    </xf>
    <xf numFmtId="43" fontId="17" fillId="2" borderId="1" xfId="2" applyFont="1" applyFill="1" applyBorder="1" applyAlignment="1" applyProtection="1">
      <alignment horizontal="right"/>
      <protection locked="0"/>
    </xf>
    <xf numFmtId="43" fontId="17" fillId="2" borderId="2" xfId="2" applyFont="1" applyFill="1" applyBorder="1" applyAlignment="1" applyProtection="1">
      <alignment horizontal="right"/>
      <protection locked="0"/>
    </xf>
    <xf numFmtId="43" fontId="17" fillId="2" borderId="3" xfId="2" applyFont="1" applyFill="1" applyBorder="1" applyAlignment="1" applyProtection="1">
      <alignment horizontal="right"/>
      <protection locked="0"/>
    </xf>
    <xf numFmtId="43" fontId="17" fillId="2" borderId="1" xfId="2" applyFont="1" applyFill="1" applyBorder="1" applyAlignment="1" applyProtection="1">
      <alignment horizontal="center"/>
      <protection locked="0"/>
    </xf>
    <xf numFmtId="43" fontId="17" fillId="2" borderId="4" xfId="2" applyFont="1" applyFill="1" applyBorder="1" applyAlignment="1" applyProtection="1">
      <alignment horizontal="left"/>
      <protection locked="0"/>
    </xf>
    <xf numFmtId="43" fontId="17" fillId="2" borderId="0" xfId="2" applyFont="1" applyFill="1" applyBorder="1" applyAlignment="1" applyProtection="1">
      <alignment horizontal="right"/>
      <protection locked="0"/>
    </xf>
    <xf numFmtId="43" fontId="12" fillId="2" borderId="0" xfId="2" applyFont="1" applyFill="1" applyAlignment="1" applyProtection="1">
      <alignment horizontal="center"/>
      <protection locked="0"/>
    </xf>
    <xf numFmtId="43" fontId="4" fillId="3" borderId="16" xfId="2" applyFont="1" applyFill="1" applyBorder="1" applyProtection="1">
      <protection locked="0"/>
    </xf>
    <xf numFmtId="44" fontId="4" fillId="3" borderId="17" xfId="1" applyFont="1" applyFill="1" applyBorder="1" applyAlignment="1" applyProtection="1">
      <alignment horizontal="center"/>
      <protection locked="0"/>
    </xf>
    <xf numFmtId="44" fontId="4" fillId="3" borderId="18" xfId="1" applyFont="1" applyFill="1" applyBorder="1" applyProtection="1">
      <protection locked="0"/>
    </xf>
    <xf numFmtId="44" fontId="4" fillId="3" borderId="16" xfId="1" applyFont="1" applyFill="1" applyBorder="1" applyAlignment="1" applyProtection="1">
      <alignment horizontal="center"/>
      <protection locked="0"/>
    </xf>
    <xf numFmtId="164" fontId="4" fillId="3" borderId="17" xfId="2" applyNumberFormat="1" applyFont="1" applyFill="1" applyBorder="1" applyAlignment="1" applyProtection="1">
      <alignment horizontal="right"/>
      <protection locked="0"/>
    </xf>
    <xf numFmtId="166" fontId="4" fillId="3" borderId="17" xfId="2" applyNumberFormat="1" applyFont="1" applyFill="1" applyBorder="1" applyAlignment="1" applyProtection="1">
      <alignment horizontal="right"/>
      <protection locked="0"/>
    </xf>
    <xf numFmtId="43" fontId="4" fillId="3" borderId="18" xfId="2" applyFont="1" applyFill="1" applyBorder="1" applyAlignment="1" applyProtection="1">
      <alignment horizontal="right"/>
      <protection locked="0"/>
    </xf>
    <xf numFmtId="43" fontId="4" fillId="3" borderId="28" xfId="2" applyFont="1" applyFill="1" applyBorder="1" applyProtection="1">
      <protection locked="0"/>
    </xf>
    <xf numFmtId="44" fontId="4" fillId="3" borderId="20" xfId="1" applyFont="1" applyFill="1" applyBorder="1" applyAlignment="1" applyProtection="1">
      <alignment horizontal="center"/>
      <protection locked="0"/>
    </xf>
    <xf numFmtId="44" fontId="4" fillId="3" borderId="24" xfId="1" applyFont="1" applyFill="1" applyBorder="1" applyProtection="1">
      <protection locked="0"/>
    </xf>
    <xf numFmtId="43" fontId="11" fillId="3" borderId="29" xfId="2" applyFont="1" applyFill="1" applyBorder="1" applyProtection="1">
      <protection locked="0"/>
    </xf>
    <xf numFmtId="43" fontId="11" fillId="3" borderId="30" xfId="2" applyFont="1" applyFill="1" applyBorder="1" applyProtection="1">
      <protection locked="0"/>
    </xf>
    <xf numFmtId="44" fontId="11" fillId="3" borderId="31" xfId="1" applyFont="1" applyFill="1" applyBorder="1" applyProtection="1">
      <protection locked="0"/>
    </xf>
    <xf numFmtId="43" fontId="17" fillId="25" borderId="1" xfId="2" applyFont="1" applyFill="1" applyBorder="1" applyAlignment="1" applyProtection="1">
      <alignment horizontal="left"/>
      <protection locked="0"/>
    </xf>
    <xf numFmtId="43" fontId="12" fillId="25" borderId="2" xfId="2" applyFont="1" applyFill="1" applyBorder="1" applyAlignment="1" applyProtection="1">
      <alignment horizontal="center"/>
      <protection locked="0"/>
    </xf>
    <xf numFmtId="43" fontId="12" fillId="25" borderId="3" xfId="2" applyFont="1" applyFill="1" applyBorder="1" applyAlignment="1" applyProtection="1">
      <alignment horizontal="center"/>
      <protection locked="0"/>
    </xf>
    <xf numFmtId="43" fontId="11" fillId="13" borderId="35" xfId="2" applyFont="1" applyFill="1" applyBorder="1" applyProtection="1">
      <protection locked="0"/>
    </xf>
    <xf numFmtId="43" fontId="12" fillId="25" borderId="0" xfId="2" applyFont="1" applyFill="1" applyAlignment="1" applyProtection="1">
      <alignment horizontal="center"/>
      <protection locked="0"/>
    </xf>
    <xf numFmtId="43" fontId="17" fillId="25" borderId="32" xfId="2" applyFont="1" applyFill="1" applyBorder="1" applyAlignment="1" applyProtection="1">
      <alignment horizontal="left"/>
      <protection locked="0"/>
    </xf>
    <xf numFmtId="43" fontId="12" fillId="25" borderId="33" xfId="2" applyFont="1" applyFill="1" applyBorder="1" applyAlignment="1" applyProtection="1">
      <alignment horizontal="center"/>
      <protection locked="0"/>
    </xf>
    <xf numFmtId="43" fontId="12" fillId="25" borderId="34" xfId="2" applyFont="1" applyFill="1" applyBorder="1" applyAlignment="1" applyProtection="1">
      <alignment horizontal="center"/>
      <protection locked="0"/>
    </xf>
    <xf numFmtId="43" fontId="12" fillId="25" borderId="1" xfId="2" applyFont="1" applyFill="1" applyBorder="1" applyAlignment="1" applyProtection="1">
      <alignment horizontal="right"/>
      <protection locked="0"/>
    </xf>
    <xf numFmtId="43" fontId="17" fillId="25" borderId="2" xfId="2" applyFont="1" applyFill="1" applyBorder="1" applyAlignment="1" applyProtection="1">
      <alignment horizontal="right"/>
      <protection locked="0"/>
    </xf>
    <xf numFmtId="43" fontId="12" fillId="25" borderId="2" xfId="2" applyFont="1" applyFill="1" applyBorder="1" applyAlignment="1" applyProtection="1">
      <alignment horizontal="right"/>
      <protection locked="0"/>
    </xf>
    <xf numFmtId="43" fontId="12" fillId="25" borderId="3" xfId="2" applyFont="1" applyFill="1" applyBorder="1" applyAlignment="1" applyProtection="1">
      <alignment horizontal="right"/>
      <protection locked="0"/>
    </xf>
    <xf numFmtId="43" fontId="11" fillId="13" borderId="36" xfId="2" applyFont="1" applyFill="1" applyBorder="1" applyProtection="1">
      <protection locked="0"/>
    </xf>
    <xf numFmtId="43" fontId="12" fillId="18" borderId="10" xfId="2" applyFont="1" applyFill="1" applyBorder="1" applyProtection="1">
      <protection locked="0"/>
    </xf>
    <xf numFmtId="43" fontId="12" fillId="25" borderId="13" xfId="2" applyFont="1" applyFill="1" applyBorder="1" applyAlignment="1" applyProtection="1">
      <alignment horizontal="center"/>
      <protection locked="0"/>
    </xf>
    <xf numFmtId="43" fontId="17" fillId="25" borderId="2" xfId="2" applyFont="1" applyFill="1" applyBorder="1" applyAlignment="1" applyProtection="1">
      <alignment horizontal="center"/>
      <protection locked="0"/>
    </xf>
    <xf numFmtId="43" fontId="17" fillId="25" borderId="14" xfId="2" applyFont="1" applyFill="1" applyBorder="1" applyAlignment="1" applyProtection="1">
      <alignment horizontal="center"/>
      <protection locked="0"/>
    </xf>
    <xf numFmtId="43" fontId="17" fillId="25" borderId="4" xfId="2" applyFont="1" applyFill="1" applyBorder="1" applyAlignment="1" applyProtection="1">
      <alignment horizontal="left"/>
      <protection locked="0"/>
    </xf>
    <xf numFmtId="43" fontId="17" fillId="25" borderId="0" xfId="2" applyFont="1" applyFill="1" applyBorder="1" applyAlignment="1" applyProtection="1">
      <alignment horizontal="right"/>
      <protection locked="0"/>
    </xf>
    <xf numFmtId="43" fontId="4" fillId="3" borderId="42" xfId="2" applyFont="1" applyFill="1" applyBorder="1" applyProtection="1">
      <protection locked="0"/>
    </xf>
    <xf numFmtId="44" fontId="4" fillId="3" borderId="43" xfId="1" applyFont="1" applyFill="1" applyBorder="1" applyAlignment="1" applyProtection="1">
      <alignment horizontal="center"/>
      <protection locked="0"/>
    </xf>
    <xf numFmtId="165" fontId="4" fillId="3" borderId="44" xfId="2" applyNumberFormat="1" applyFont="1" applyFill="1" applyBorder="1" applyProtection="1">
      <protection locked="0"/>
    </xf>
    <xf numFmtId="44" fontId="4" fillId="0" borderId="16" xfId="1" applyFont="1" applyFill="1" applyBorder="1" applyProtection="1">
      <protection locked="0"/>
    </xf>
    <xf numFmtId="43" fontId="11" fillId="3" borderId="18" xfId="2" applyFont="1" applyFill="1" applyBorder="1" applyAlignment="1" applyProtection="1">
      <alignment horizontal="right"/>
      <protection locked="0"/>
    </xf>
    <xf numFmtId="43" fontId="11" fillId="3" borderId="40" xfId="2" applyFont="1" applyFill="1" applyBorder="1" applyProtection="1">
      <protection locked="0"/>
    </xf>
    <xf numFmtId="165" fontId="11" fillId="3" borderId="20" xfId="2" applyNumberFormat="1" applyFont="1" applyFill="1" applyBorder="1" applyAlignment="1" applyProtection="1">
      <alignment horizontal="center"/>
      <protection locked="0"/>
    </xf>
    <xf numFmtId="43" fontId="11" fillId="3" borderId="41" xfId="2" applyFont="1" applyFill="1" applyBorder="1" applyProtection="1">
      <protection locked="0"/>
    </xf>
    <xf numFmtId="44" fontId="11" fillId="0" borderId="28" xfId="1" applyFont="1" applyFill="1" applyBorder="1" applyProtection="1">
      <protection locked="0"/>
    </xf>
    <xf numFmtId="167" fontId="11" fillId="3" borderId="20" xfId="1" applyNumberFormat="1" applyFont="1" applyFill="1" applyBorder="1" applyProtection="1">
      <protection locked="0"/>
    </xf>
    <xf numFmtId="44" fontId="11" fillId="3" borderId="20" xfId="1" applyFont="1" applyFill="1" applyBorder="1" applyProtection="1">
      <protection locked="0"/>
    </xf>
    <xf numFmtId="43" fontId="11" fillId="3" borderId="24" xfId="2" applyFont="1" applyFill="1" applyBorder="1" applyAlignment="1" applyProtection="1">
      <alignment horizontal="right"/>
      <protection locked="0"/>
    </xf>
    <xf numFmtId="43" fontId="4" fillId="4" borderId="48" xfId="2" applyFont="1" applyFill="1" applyBorder="1" applyProtection="1">
      <protection locked="0"/>
    </xf>
    <xf numFmtId="165" fontId="4" fillId="4" borderId="37" xfId="2" applyNumberFormat="1" applyFont="1" applyFill="1" applyBorder="1" applyAlignment="1" applyProtection="1">
      <alignment horizontal="center"/>
      <protection locked="0"/>
    </xf>
    <xf numFmtId="43" fontId="4" fillId="4" borderId="49" xfId="2" applyFont="1" applyFill="1" applyBorder="1" applyProtection="1">
      <protection locked="0"/>
    </xf>
    <xf numFmtId="43" fontId="4" fillId="3" borderId="40" xfId="2" applyFont="1" applyFill="1" applyBorder="1" applyProtection="1">
      <protection locked="0"/>
    </xf>
    <xf numFmtId="165" fontId="4" fillId="3" borderId="20" xfId="2" applyNumberFormat="1" applyFont="1" applyFill="1" applyBorder="1" applyAlignment="1" applyProtection="1">
      <alignment horizontal="center"/>
      <protection locked="0"/>
    </xf>
    <xf numFmtId="43" fontId="4" fillId="3" borderId="41" xfId="2" applyFont="1" applyFill="1" applyBorder="1" applyProtection="1">
      <protection locked="0"/>
    </xf>
    <xf numFmtId="10" fontId="11" fillId="3" borderId="29" xfId="2" applyNumberFormat="1" applyFont="1" applyFill="1" applyBorder="1" applyProtection="1">
      <protection locked="0"/>
    </xf>
    <xf numFmtId="164" fontId="11" fillId="3" borderId="30" xfId="2" applyNumberFormat="1" applyFont="1" applyFill="1" applyBorder="1" applyProtection="1">
      <protection locked="0"/>
    </xf>
    <xf numFmtId="44" fontId="11" fillId="3" borderId="30" xfId="1" applyFont="1" applyFill="1" applyBorder="1" applyProtection="1">
      <protection locked="0"/>
    </xf>
    <xf numFmtId="43" fontId="11" fillId="3" borderId="31" xfId="2" applyFont="1" applyFill="1" applyBorder="1" applyProtection="1">
      <protection locked="0"/>
    </xf>
    <xf numFmtId="43" fontId="4" fillId="3" borderId="21" xfId="2" applyFont="1" applyFill="1" applyBorder="1" applyProtection="1">
      <protection locked="0"/>
    </xf>
    <xf numFmtId="43" fontId="4" fillId="3" borderId="22" xfId="2" applyFont="1" applyFill="1" applyBorder="1" applyAlignment="1" applyProtection="1">
      <alignment horizontal="center"/>
      <protection locked="0"/>
    </xf>
    <xf numFmtId="43" fontId="4" fillId="3" borderId="23" xfId="2" applyFont="1" applyFill="1" applyBorder="1" applyProtection="1">
      <protection locked="0"/>
    </xf>
    <xf numFmtId="43" fontId="17" fillId="15" borderId="1" xfId="2" applyFont="1" applyFill="1" applyBorder="1" applyAlignment="1" applyProtection="1">
      <alignment horizontal="left"/>
      <protection locked="0"/>
    </xf>
    <xf numFmtId="43" fontId="17" fillId="15" borderId="2" xfId="2" applyFont="1" applyFill="1" applyBorder="1" applyAlignment="1" applyProtection="1">
      <alignment horizontal="center"/>
      <protection locked="0"/>
    </xf>
    <xf numFmtId="43" fontId="17" fillId="15" borderId="3" xfId="2" applyFont="1" applyFill="1" applyBorder="1" applyAlignment="1" applyProtection="1">
      <alignment horizontal="center"/>
      <protection locked="0"/>
    </xf>
    <xf numFmtId="43" fontId="17" fillId="25" borderId="0" xfId="2" applyFont="1" applyFill="1" applyAlignment="1" applyProtection="1">
      <alignment horizontal="center"/>
      <protection locked="0"/>
    </xf>
    <xf numFmtId="43" fontId="17" fillId="15" borderId="32" xfId="2" applyFont="1" applyFill="1" applyBorder="1" applyAlignment="1" applyProtection="1">
      <alignment horizontal="left"/>
      <protection locked="0"/>
    </xf>
    <xf numFmtId="43" fontId="17" fillId="15" borderId="33" xfId="2" applyFont="1" applyFill="1" applyBorder="1" applyAlignment="1" applyProtection="1">
      <alignment horizontal="center"/>
      <protection locked="0"/>
    </xf>
    <xf numFmtId="43" fontId="17" fillId="15" borderId="34" xfId="2" applyFont="1" applyFill="1" applyBorder="1" applyAlignment="1" applyProtection="1">
      <alignment horizontal="center"/>
      <protection locked="0"/>
    </xf>
    <xf numFmtId="43" fontId="17" fillId="15" borderId="1" xfId="2" applyFont="1" applyFill="1" applyBorder="1" applyAlignment="1" applyProtection="1">
      <alignment horizontal="right"/>
      <protection locked="0"/>
    </xf>
    <xf numFmtId="43" fontId="17" fillId="15" borderId="2" xfId="2" applyFont="1" applyFill="1" applyBorder="1" applyAlignment="1" applyProtection="1">
      <alignment horizontal="right"/>
      <protection locked="0"/>
    </xf>
    <xf numFmtId="43" fontId="17" fillId="15" borderId="3" xfId="2" applyFont="1" applyFill="1" applyBorder="1" applyAlignment="1" applyProtection="1">
      <alignment horizontal="right"/>
      <protection locked="0"/>
    </xf>
    <xf numFmtId="43" fontId="17" fillId="15" borderId="13" xfId="2" applyFont="1" applyFill="1" applyBorder="1" applyAlignment="1" applyProtection="1">
      <alignment horizontal="center"/>
      <protection locked="0"/>
    </xf>
    <xf numFmtId="43" fontId="17" fillId="15" borderId="14" xfId="2" applyFont="1" applyFill="1" applyBorder="1" applyAlignment="1" applyProtection="1">
      <alignment horizontal="center"/>
      <protection locked="0"/>
    </xf>
    <xf numFmtId="43" fontId="17" fillId="15" borderId="4" xfId="2" applyFont="1" applyFill="1" applyBorder="1" applyAlignment="1" applyProtection="1">
      <alignment horizontal="right"/>
      <protection locked="0"/>
    </xf>
    <xf numFmtId="43" fontId="17" fillId="15" borderId="0" xfId="2" applyFont="1" applyFill="1" applyBorder="1" applyAlignment="1" applyProtection="1">
      <alignment horizontal="right"/>
      <protection locked="0"/>
    </xf>
    <xf numFmtId="43" fontId="4" fillId="3" borderId="44" xfId="2" applyFont="1" applyFill="1" applyBorder="1" applyProtection="1">
      <protection locked="0"/>
    </xf>
    <xf numFmtId="44" fontId="4" fillId="0" borderId="16" xfId="1" applyFont="1" applyFill="1" applyBorder="1" applyAlignment="1" applyProtection="1">
      <alignment horizontal="right"/>
      <protection locked="0"/>
    </xf>
    <xf numFmtId="166" fontId="4" fillId="3" borderId="18" xfId="2" applyNumberFormat="1" applyFont="1" applyFill="1" applyBorder="1" applyAlignment="1" applyProtection="1">
      <alignment horizontal="right"/>
      <protection locked="0"/>
    </xf>
    <xf numFmtId="44" fontId="4" fillId="0" borderId="28" xfId="1" applyFont="1" applyFill="1" applyBorder="1" applyAlignment="1" applyProtection="1">
      <alignment horizontal="right"/>
      <protection locked="0"/>
    </xf>
    <xf numFmtId="167" fontId="4" fillId="3" borderId="20" xfId="1" applyNumberFormat="1" applyFont="1" applyFill="1" applyBorder="1" applyAlignment="1" applyProtection="1">
      <alignment horizontal="right"/>
      <protection locked="0"/>
    </xf>
    <xf numFmtId="44" fontId="4" fillId="3" borderId="20" xfId="1" applyFont="1" applyFill="1" applyBorder="1" applyAlignment="1" applyProtection="1">
      <alignment horizontal="right"/>
      <protection locked="0"/>
    </xf>
    <xf numFmtId="43" fontId="4" fillId="3" borderId="24" xfId="2" applyFont="1" applyFill="1" applyBorder="1" applyAlignment="1" applyProtection="1">
      <alignment horizontal="right"/>
      <protection locked="0"/>
    </xf>
    <xf numFmtId="43" fontId="4" fillId="15" borderId="48" xfId="2" applyFont="1" applyFill="1" applyBorder="1" applyProtection="1">
      <protection locked="0"/>
    </xf>
    <xf numFmtId="165" fontId="4" fillId="15" borderId="37" xfId="2" applyNumberFormat="1" applyFont="1" applyFill="1" applyBorder="1" applyAlignment="1" applyProtection="1">
      <alignment horizontal="center"/>
      <protection locked="0"/>
    </xf>
    <xf numFmtId="43" fontId="4" fillId="15" borderId="49" xfId="2" applyFont="1" applyFill="1" applyBorder="1" applyProtection="1">
      <protection locked="0"/>
    </xf>
    <xf numFmtId="43" fontId="12" fillId="16" borderId="0" xfId="2" applyFont="1" applyFill="1" applyAlignment="1" applyProtection="1">
      <alignment horizontal="left"/>
      <protection locked="0"/>
    </xf>
    <xf numFmtId="43" fontId="12" fillId="16" borderId="32" xfId="2" applyFont="1" applyFill="1" applyBorder="1" applyAlignment="1" applyProtection="1">
      <alignment horizontal="center"/>
      <protection locked="0"/>
    </xf>
    <xf numFmtId="43" fontId="12" fillId="16" borderId="33" xfId="2" applyFont="1" applyFill="1" applyBorder="1" applyAlignment="1" applyProtection="1">
      <alignment horizontal="center"/>
      <protection locked="0"/>
    </xf>
    <xf numFmtId="43" fontId="17" fillId="16" borderId="33" xfId="2" applyFont="1" applyFill="1" applyBorder="1" applyAlignment="1" applyProtection="1">
      <alignment horizontal="center"/>
      <protection locked="0"/>
    </xf>
    <xf numFmtId="43" fontId="12" fillId="16" borderId="34" xfId="2" applyFont="1" applyFill="1" applyBorder="1" applyAlignment="1" applyProtection="1">
      <alignment horizontal="center"/>
      <protection locked="0"/>
    </xf>
    <xf numFmtId="43" fontId="17" fillId="16" borderId="55" xfId="2" applyFont="1" applyFill="1" applyBorder="1" applyAlignment="1" applyProtection="1">
      <alignment horizontal="left"/>
      <protection locked="0"/>
    </xf>
    <xf numFmtId="43" fontId="12" fillId="16" borderId="56" xfId="2" applyFont="1" applyFill="1" applyBorder="1" applyAlignment="1" applyProtection="1">
      <alignment horizontal="center"/>
      <protection locked="0"/>
    </xf>
    <xf numFmtId="43" fontId="12" fillId="16" borderId="54" xfId="2" applyFont="1" applyFill="1" applyBorder="1" applyAlignment="1" applyProtection="1">
      <alignment horizontal="center"/>
      <protection locked="0"/>
    </xf>
    <xf numFmtId="43" fontId="17" fillId="16" borderId="3" xfId="2" applyFont="1" applyFill="1" applyBorder="1" applyAlignment="1" applyProtection="1">
      <alignment horizontal="right"/>
      <protection locked="0"/>
    </xf>
    <xf numFmtId="43" fontId="17" fillId="0" borderId="3" xfId="2" applyFont="1" applyBorder="1" applyAlignment="1" applyProtection="1">
      <alignment horizontal="right"/>
      <protection locked="0"/>
    </xf>
    <xf numFmtId="43" fontId="17" fillId="16" borderId="11" xfId="2" applyFont="1" applyFill="1" applyBorder="1" applyAlignment="1" applyProtection="1">
      <alignment horizontal="right"/>
      <protection locked="0"/>
    </xf>
    <xf numFmtId="43" fontId="17" fillId="16" borderId="10" xfId="2" applyFont="1" applyFill="1" applyBorder="1" applyAlignment="1" applyProtection="1">
      <alignment horizontal="right"/>
      <protection locked="0"/>
    </xf>
    <xf numFmtId="43" fontId="12" fillId="16" borderId="10" xfId="2" applyFont="1" applyFill="1" applyBorder="1" applyAlignment="1" applyProtection="1">
      <alignment horizontal="right"/>
      <protection locked="0"/>
    </xf>
    <xf numFmtId="43" fontId="17" fillId="16" borderId="12" xfId="2" applyFont="1" applyFill="1" applyBorder="1" applyAlignment="1" applyProtection="1">
      <alignment horizontal="right"/>
      <protection locked="0"/>
    </xf>
    <xf numFmtId="43" fontId="17" fillId="16" borderId="5" xfId="2" applyFont="1" applyFill="1" applyBorder="1" applyAlignment="1" applyProtection="1">
      <alignment horizontal="right"/>
      <protection locked="0"/>
    </xf>
    <xf numFmtId="43" fontId="17" fillId="16" borderId="6" xfId="2" applyFont="1" applyFill="1" applyBorder="1" applyAlignment="1" applyProtection="1">
      <alignment horizontal="right"/>
      <protection locked="0"/>
    </xf>
    <xf numFmtId="43" fontId="17" fillId="0" borderId="7" xfId="2" applyFont="1" applyBorder="1" applyAlignment="1" applyProtection="1">
      <alignment horizontal="right"/>
      <protection locked="0"/>
    </xf>
    <xf numFmtId="43" fontId="4" fillId="3" borderId="25" xfId="2" applyFont="1" applyFill="1" applyBorder="1" applyAlignment="1" applyProtection="1">
      <alignment horizontal="center"/>
      <protection locked="0"/>
    </xf>
    <xf numFmtId="44" fontId="4" fillId="3" borderId="26" xfId="1" applyFont="1" applyFill="1" applyBorder="1" applyProtection="1">
      <protection locked="0"/>
    </xf>
    <xf numFmtId="43" fontId="4" fillId="3" borderId="26" xfId="2" applyFont="1" applyFill="1" applyBorder="1" applyProtection="1">
      <protection locked="0"/>
    </xf>
    <xf numFmtId="44" fontId="11" fillId="3" borderId="26" xfId="1" applyFont="1" applyFill="1" applyBorder="1" applyProtection="1">
      <protection locked="0"/>
    </xf>
    <xf numFmtId="44" fontId="4" fillId="3" borderId="27" xfId="1" applyFont="1" applyFill="1" applyBorder="1" applyProtection="1">
      <protection locked="0"/>
    </xf>
    <xf numFmtId="43" fontId="4" fillId="3" borderId="53" xfId="2" applyFont="1" applyFill="1" applyBorder="1" applyProtection="1">
      <protection locked="0"/>
    </xf>
    <xf numFmtId="43" fontId="4" fillId="0" borderId="0" xfId="2" applyFont="1" applyProtection="1">
      <protection locked="0"/>
    </xf>
    <xf numFmtId="43" fontId="4" fillId="3" borderId="17" xfId="2" applyFont="1" applyFill="1" applyBorder="1" applyProtection="1">
      <protection locked="0"/>
    </xf>
    <xf numFmtId="43" fontId="4" fillId="0" borderId="60" xfId="2" applyFont="1" applyBorder="1" applyProtection="1">
      <protection locked="0"/>
    </xf>
    <xf numFmtId="43" fontId="11" fillId="3" borderId="28" xfId="2" applyFont="1" applyFill="1" applyBorder="1" applyAlignment="1" applyProtection="1">
      <alignment horizontal="center"/>
      <protection locked="0"/>
    </xf>
    <xf numFmtId="43" fontId="11" fillId="3" borderId="20" xfId="2" applyFont="1" applyFill="1" applyBorder="1" applyProtection="1">
      <protection locked="0"/>
    </xf>
    <xf numFmtId="44" fontId="11" fillId="3" borderId="24" xfId="1" applyFont="1" applyFill="1" applyBorder="1" applyProtection="1">
      <protection locked="0"/>
    </xf>
    <xf numFmtId="43" fontId="4" fillId="3" borderId="58" xfId="2" applyFont="1" applyFill="1" applyBorder="1" applyProtection="1">
      <protection locked="0"/>
    </xf>
    <xf numFmtId="43" fontId="19" fillId="3" borderId="37" xfId="2" applyFont="1" applyFill="1" applyBorder="1" applyAlignment="1" applyProtection="1">
      <alignment horizontal="center"/>
      <protection locked="0"/>
    </xf>
    <xf numFmtId="43" fontId="11" fillId="3" borderId="37" xfId="2" applyFont="1" applyFill="1" applyBorder="1" applyProtection="1">
      <protection locked="0"/>
    </xf>
    <xf numFmtId="43" fontId="11" fillId="3" borderId="59" xfId="2" applyFont="1" applyFill="1" applyBorder="1" applyProtection="1">
      <protection locked="0"/>
    </xf>
    <xf numFmtId="43" fontId="17" fillId="16" borderId="11" xfId="2" applyFont="1" applyFill="1" applyBorder="1" applyAlignment="1" applyProtection="1">
      <alignment horizontal="left"/>
      <protection locked="0"/>
    </xf>
    <xf numFmtId="43" fontId="17" fillId="16" borderId="11" xfId="2" applyFont="1" applyFill="1" applyBorder="1" applyProtection="1">
      <protection locked="0"/>
    </xf>
    <xf numFmtId="43" fontId="17" fillId="16" borderId="10" xfId="2" applyFont="1" applyFill="1" applyBorder="1" applyAlignment="1" applyProtection="1">
      <alignment horizontal="left"/>
      <protection locked="0"/>
    </xf>
    <xf numFmtId="43" fontId="11" fillId="16" borderId="10" xfId="2" applyFont="1" applyFill="1" applyBorder="1" applyProtection="1">
      <protection locked="0"/>
    </xf>
    <xf numFmtId="44" fontId="4" fillId="3" borderId="28" xfId="1" applyFont="1" applyFill="1" applyBorder="1" applyAlignment="1" applyProtection="1">
      <alignment horizontal="center"/>
      <protection locked="0"/>
    </xf>
    <xf numFmtId="43" fontId="4" fillId="3" borderId="20" xfId="2" applyFont="1" applyFill="1" applyBorder="1" applyProtection="1">
      <protection locked="0"/>
    </xf>
    <xf numFmtId="43" fontId="11" fillId="3" borderId="24" xfId="2" applyFont="1" applyFill="1" applyBorder="1" applyProtection="1">
      <protection locked="0"/>
    </xf>
    <xf numFmtId="44" fontId="4" fillId="0" borderId="16" xfId="1" applyFont="1" applyBorder="1" applyProtection="1">
      <protection locked="0"/>
    </xf>
    <xf numFmtId="43" fontId="4" fillId="3" borderId="4" xfId="2" applyFont="1" applyFill="1" applyBorder="1" applyProtection="1">
      <protection locked="0"/>
    </xf>
    <xf numFmtId="43" fontId="19" fillId="3" borderId="0" xfId="2" applyFont="1" applyFill="1" applyBorder="1" applyAlignment="1" applyProtection="1">
      <alignment horizontal="center"/>
      <protection locked="0"/>
    </xf>
    <xf numFmtId="43" fontId="11" fillId="3" borderId="0" xfId="2" applyFont="1" applyFill="1" applyBorder="1" applyProtection="1">
      <protection locked="0"/>
    </xf>
    <xf numFmtId="44" fontId="4" fillId="3" borderId="20" xfId="1" applyFont="1" applyFill="1" applyBorder="1" applyProtection="1">
      <protection locked="0"/>
    </xf>
    <xf numFmtId="43" fontId="4" fillId="3" borderId="29" xfId="2" applyFont="1" applyFill="1" applyBorder="1" applyProtection="1">
      <protection locked="0"/>
    </xf>
    <xf numFmtId="43" fontId="19" fillId="3" borderId="30" xfId="2" applyFont="1" applyFill="1" applyBorder="1" applyAlignment="1" applyProtection="1">
      <alignment horizontal="center"/>
      <protection locked="0"/>
    </xf>
    <xf numFmtId="166" fontId="11" fillId="13" borderId="0" xfId="2" applyNumberFormat="1" applyFont="1" applyFill="1" applyProtection="1">
      <protection locked="0"/>
    </xf>
    <xf numFmtId="43" fontId="16" fillId="34" borderId="62" xfId="2" applyFont="1" applyFill="1" applyBorder="1" applyAlignment="1" applyProtection="1">
      <alignment horizontal="left"/>
    </xf>
    <xf numFmtId="43" fontId="13" fillId="26" borderId="62" xfId="2" applyFont="1" applyFill="1" applyBorder="1" applyAlignment="1" applyProtection="1">
      <alignment horizontal="center"/>
    </xf>
    <xf numFmtId="43" fontId="11" fillId="27" borderId="6" xfId="2" applyFont="1" applyFill="1" applyBorder="1" applyProtection="1"/>
    <xf numFmtId="44" fontId="33" fillId="26" borderId="55" xfId="1" applyFont="1" applyFill="1" applyBorder="1" applyAlignment="1" applyProtection="1">
      <alignment horizontal="center"/>
    </xf>
    <xf numFmtId="44" fontId="34" fillId="26" borderId="98" xfId="1" applyFont="1" applyFill="1" applyBorder="1" applyAlignment="1" applyProtection="1">
      <alignment horizontal="left"/>
    </xf>
    <xf numFmtId="44" fontId="34" fillId="26" borderId="98" xfId="1" applyFont="1" applyFill="1" applyBorder="1" applyAlignment="1" applyProtection="1">
      <alignment horizontal="right"/>
    </xf>
    <xf numFmtId="44" fontId="33" fillId="26" borderId="54" xfId="1" applyFont="1" applyFill="1" applyBorder="1" applyAlignment="1" applyProtection="1">
      <alignment horizontal="center"/>
    </xf>
    <xf numFmtId="44" fontId="0" fillId="3" borderId="0" xfId="1" applyFont="1" applyFill="1" applyBorder="1" applyProtection="1">
      <protection locked="0"/>
    </xf>
    <xf numFmtId="166" fontId="0" fillId="3" borderId="0" xfId="2" applyNumberFormat="1" applyFont="1" applyFill="1" applyBorder="1" applyProtection="1">
      <protection locked="0"/>
    </xf>
    <xf numFmtId="43" fontId="0" fillId="3" borderId="0" xfId="2" applyFont="1" applyFill="1" applyBorder="1" applyProtection="1">
      <protection locked="0"/>
    </xf>
    <xf numFmtId="43" fontId="0" fillId="39" borderId="0" xfId="2" applyFont="1" applyFill="1" applyProtection="1">
      <protection locked="0"/>
    </xf>
    <xf numFmtId="43" fontId="0" fillId="0" borderId="0" xfId="2" applyFont="1" applyBorder="1" applyProtection="1">
      <protection locked="0"/>
    </xf>
    <xf numFmtId="43" fontId="0" fillId="27" borderId="54" xfId="2" applyFont="1" applyFill="1" applyBorder="1" applyProtection="1">
      <protection locked="0"/>
    </xf>
    <xf numFmtId="44" fontId="0" fillId="0" borderId="0" xfId="1" applyFont="1" applyProtection="1">
      <protection locked="0"/>
    </xf>
    <xf numFmtId="0" fontId="38" fillId="70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1" applyNumberFormat="1" applyFont="1" applyProtection="1">
      <protection locked="0"/>
    </xf>
    <xf numFmtId="6" fontId="0" fillId="0" borderId="0" xfId="1" applyNumberFormat="1" applyFont="1" applyProtection="1">
      <protection locked="0"/>
    </xf>
    <xf numFmtId="43" fontId="16" fillId="34" borderId="62" xfId="2" applyFont="1" applyFill="1" applyBorder="1" applyAlignment="1" applyProtection="1">
      <alignment horizontal="left"/>
      <protection locked="0"/>
    </xf>
    <xf numFmtId="43" fontId="0" fillId="44" borderId="0" xfId="2" applyFont="1" applyFill="1" applyProtection="1">
      <protection locked="0"/>
    </xf>
    <xf numFmtId="43" fontId="0" fillId="72" borderId="62" xfId="2" applyFon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3" fontId="0" fillId="27" borderId="56" xfId="2" applyFont="1" applyFill="1" applyBorder="1" applyProtection="1">
      <protection locked="0"/>
    </xf>
    <xf numFmtId="43" fontId="0" fillId="73" borderId="0" xfId="2" applyFont="1" applyFill="1" applyBorder="1" applyProtection="1"/>
    <xf numFmtId="9" fontId="6" fillId="15" borderId="0" xfId="2" applyNumberFormat="1" applyFont="1" applyFill="1" applyBorder="1" applyAlignment="1" applyProtection="1">
      <alignment horizontal="center"/>
    </xf>
    <xf numFmtId="37" fontId="12" fillId="28" borderId="0" xfId="2" applyNumberFormat="1" applyFont="1" applyFill="1" applyBorder="1" applyAlignment="1" applyProtection="1">
      <alignment horizontal="center"/>
      <protection locked="0"/>
    </xf>
    <xf numFmtId="44" fontId="33" fillId="26" borderId="77" xfId="1" applyFont="1" applyFill="1" applyBorder="1" applyAlignment="1" applyProtection="1">
      <alignment horizontal="center"/>
    </xf>
    <xf numFmtId="44" fontId="33" fillId="26" borderId="97" xfId="1" applyFont="1" applyFill="1" applyBorder="1" applyAlignment="1" applyProtection="1">
      <alignment horizontal="center"/>
    </xf>
    <xf numFmtId="44" fontId="33" fillId="26" borderId="78" xfId="1" applyFont="1" applyFill="1" applyBorder="1" applyAlignment="1" applyProtection="1">
      <alignment horizontal="center"/>
    </xf>
    <xf numFmtId="0" fontId="38" fillId="7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43" fontId="2" fillId="18" borderId="57" xfId="2" applyFont="1" applyFill="1" applyBorder="1" applyProtection="1"/>
    <xf numFmtId="43" fontId="2" fillId="18" borderId="73" xfId="2" applyFont="1" applyFill="1" applyBorder="1" applyProtection="1"/>
    <xf numFmtId="43" fontId="0" fillId="13" borderId="76" xfId="2" applyFont="1" applyFill="1" applyBorder="1" applyAlignment="1" applyProtection="1">
      <alignment horizontal="center"/>
    </xf>
    <xf numFmtId="43" fontId="0" fillId="13" borderId="76" xfId="2" applyFont="1" applyFill="1" applyBorder="1" applyProtection="1"/>
    <xf numFmtId="44" fontId="0" fillId="13" borderId="57" xfId="1" applyFont="1" applyFill="1" applyBorder="1" applyProtection="1"/>
    <xf numFmtId="43" fontId="0" fillId="27" borderId="57" xfId="2" applyFont="1" applyFill="1" applyBorder="1" applyProtection="1"/>
    <xf numFmtId="43" fontId="0" fillId="27" borderId="57" xfId="2" applyFont="1" applyFill="1" applyBorder="1" applyAlignment="1" applyProtection="1">
      <alignment horizontal="right"/>
    </xf>
    <xf numFmtId="44" fontId="8" fillId="27" borderId="57" xfId="1" applyFont="1" applyFill="1" applyBorder="1" applyAlignment="1" applyProtection="1">
      <alignment horizontal="center"/>
    </xf>
    <xf numFmtId="43" fontId="21" fillId="13" borderId="57" xfId="2" applyFont="1" applyFill="1" applyBorder="1" applyProtection="1"/>
    <xf numFmtId="43" fontId="21" fillId="13" borderId="57" xfId="2" applyFont="1" applyFill="1" applyBorder="1" applyAlignment="1" applyProtection="1">
      <alignment horizontal="right"/>
    </xf>
    <xf numFmtId="44" fontId="22" fillId="13" borderId="57" xfId="1" applyFont="1" applyFill="1" applyBorder="1" applyProtection="1"/>
    <xf numFmtId="43" fontId="6" fillId="2" borderId="76" xfId="2" applyFont="1" applyFill="1" applyBorder="1" applyAlignment="1" applyProtection="1">
      <alignment horizontal="right"/>
    </xf>
    <xf numFmtId="43" fontId="6" fillId="16" borderId="76" xfId="2" applyFont="1" applyFill="1" applyBorder="1" applyAlignment="1" applyProtection="1">
      <alignment horizontal="center"/>
    </xf>
    <xf numFmtId="43" fontId="6" fillId="21" borderId="76" xfId="2" applyFont="1" applyFill="1" applyBorder="1" applyAlignment="1" applyProtection="1">
      <alignment horizontal="center"/>
    </xf>
    <xf numFmtId="43" fontId="6" fillId="20" borderId="76" xfId="2" applyFont="1" applyFill="1" applyBorder="1" applyAlignment="1" applyProtection="1">
      <alignment horizontal="center"/>
    </xf>
    <xf numFmtId="43" fontId="6" fillId="23" borderId="76" xfId="2" applyFont="1" applyFill="1" applyBorder="1" applyAlignment="1" applyProtection="1">
      <alignment horizontal="center"/>
    </xf>
    <xf numFmtId="43" fontId="6" fillId="24" borderId="76" xfId="2" applyFont="1" applyFill="1" applyBorder="1" applyAlignment="1" applyProtection="1">
      <alignment horizontal="center"/>
    </xf>
    <xf numFmtId="43" fontId="6" fillId="25" borderId="76" xfId="2" applyFont="1" applyFill="1" applyBorder="1" applyAlignment="1" applyProtection="1">
      <alignment horizontal="right"/>
    </xf>
    <xf numFmtId="43" fontId="6" fillId="15" borderId="76" xfId="2" applyFont="1" applyFill="1" applyBorder="1" applyAlignment="1" applyProtection="1">
      <alignment horizontal="center"/>
    </xf>
    <xf numFmtId="43" fontId="6" fillId="15" borderId="76" xfId="2" applyFont="1" applyFill="1" applyBorder="1" applyAlignment="1" applyProtection="1">
      <alignment horizontal="right"/>
    </xf>
    <xf numFmtId="44" fontId="0" fillId="0" borderId="76" xfId="1" applyFont="1" applyBorder="1" applyProtection="1"/>
    <xf numFmtId="43" fontId="2" fillId="19" borderId="57" xfId="2" applyFont="1" applyFill="1" applyBorder="1" applyProtection="1"/>
    <xf numFmtId="43" fontId="6" fillId="9" borderId="76" xfId="2" applyFont="1" applyFill="1" applyBorder="1" applyAlignment="1" applyProtection="1">
      <alignment horizontal="center"/>
    </xf>
    <xf numFmtId="43" fontId="6" fillId="9" borderId="76" xfId="2" applyFont="1" applyFill="1" applyBorder="1" applyAlignment="1" applyProtection="1">
      <alignment horizontal="right"/>
    </xf>
    <xf numFmtId="43" fontId="6" fillId="16" borderId="76" xfId="2" applyFont="1" applyFill="1" applyBorder="1" applyAlignment="1" applyProtection="1">
      <alignment horizontal="right"/>
    </xf>
    <xf numFmtId="43" fontId="17" fillId="13" borderId="76" xfId="2" applyFont="1" applyFill="1" applyBorder="1" applyProtection="1"/>
    <xf numFmtId="43" fontId="4" fillId="13" borderId="76" xfId="2" applyFont="1" applyFill="1" applyBorder="1" applyProtection="1"/>
    <xf numFmtId="43" fontId="0" fillId="27" borderId="10" xfId="2" applyFont="1" applyFill="1" applyBorder="1" applyProtection="1"/>
    <xf numFmtId="43" fontId="0" fillId="27" borderId="10" xfId="2" applyFont="1" applyFill="1" applyBorder="1" applyAlignment="1" applyProtection="1">
      <alignment horizontal="right"/>
    </xf>
    <xf numFmtId="43" fontId="0" fillId="31" borderId="10" xfId="2" applyFont="1" applyFill="1" applyBorder="1" applyProtection="1"/>
    <xf numFmtId="43" fontId="17" fillId="2" borderId="76" xfId="2" applyFont="1" applyFill="1" applyBorder="1" applyAlignment="1" applyProtection="1">
      <alignment horizontal="right"/>
    </xf>
    <xf numFmtId="43" fontId="12" fillId="18" borderId="57" xfId="2" applyFont="1" applyFill="1" applyBorder="1" applyProtection="1"/>
    <xf numFmtId="43" fontId="17" fillId="25" borderId="76" xfId="2" applyFont="1" applyFill="1" applyBorder="1" applyAlignment="1" applyProtection="1">
      <alignment horizontal="right"/>
    </xf>
    <xf numFmtId="43" fontId="17" fillId="15" borderId="76" xfId="2" applyFont="1" applyFill="1" applyBorder="1" applyAlignment="1" applyProtection="1">
      <alignment horizontal="right"/>
    </xf>
    <xf numFmtId="43" fontId="11" fillId="3" borderId="76" xfId="2" applyFont="1" applyFill="1" applyBorder="1" applyProtection="1"/>
    <xf numFmtId="43" fontId="17" fillId="18" borderId="57" xfId="2" applyFont="1" applyFill="1" applyBorder="1" applyProtection="1">
      <protection locked="0"/>
    </xf>
    <xf numFmtId="43" fontId="17" fillId="2" borderId="76" xfId="2" applyFont="1" applyFill="1" applyBorder="1" applyAlignment="1" applyProtection="1">
      <alignment horizontal="right"/>
      <protection locked="0"/>
    </xf>
    <xf numFmtId="43" fontId="12" fillId="18" borderId="57" xfId="2" applyFont="1" applyFill="1" applyBorder="1" applyProtection="1">
      <protection locked="0"/>
    </xf>
    <xf numFmtId="43" fontId="17" fillId="25" borderId="76" xfId="2" applyFont="1" applyFill="1" applyBorder="1" applyAlignment="1" applyProtection="1">
      <alignment horizontal="right"/>
      <protection locked="0"/>
    </xf>
    <xf numFmtId="43" fontId="17" fillId="15" borderId="76" xfId="2" applyFont="1" applyFill="1" applyBorder="1" applyAlignment="1" applyProtection="1">
      <alignment horizontal="right"/>
      <protection locked="0"/>
    </xf>
    <xf numFmtId="43" fontId="11" fillId="3" borderId="76" xfId="2" applyFont="1" applyFill="1" applyBorder="1" applyProtection="1">
      <protection locked="0"/>
    </xf>
    <xf numFmtId="43" fontId="18" fillId="13" borderId="76" xfId="2" applyFont="1" applyFill="1" applyBorder="1" applyProtection="1"/>
    <xf numFmtId="43" fontId="12" fillId="2" borderId="76" xfId="2" applyFont="1" applyFill="1" applyBorder="1" applyAlignment="1" applyProtection="1">
      <alignment horizontal="right"/>
    </xf>
    <xf numFmtId="43" fontId="12" fillId="25" borderId="76" xfId="2" applyFont="1" applyFill="1" applyBorder="1" applyAlignment="1" applyProtection="1">
      <alignment horizontal="right"/>
    </xf>
    <xf numFmtId="43" fontId="12" fillId="24" borderId="76" xfId="2" applyFont="1" applyFill="1" applyBorder="1" applyAlignment="1" applyProtection="1">
      <alignment horizontal="center"/>
    </xf>
    <xf numFmtId="43" fontId="17" fillId="15" borderId="76" xfId="2" applyFont="1" applyFill="1" applyBorder="1" applyAlignment="1" applyProtection="1">
      <alignment horizontal="center"/>
    </xf>
    <xf numFmtId="44" fontId="4" fillId="0" borderId="76" xfId="1" applyFont="1" applyBorder="1" applyProtection="1"/>
    <xf numFmtId="43" fontId="17" fillId="29" borderId="76" xfId="2" applyFont="1" applyFill="1" applyBorder="1" applyAlignment="1" applyProtection="1">
      <alignment horizontal="center"/>
    </xf>
    <xf numFmtId="43" fontId="2" fillId="18" borderId="57" xfId="2" applyFont="1" applyFill="1" applyBorder="1" applyProtection="1">
      <protection locked="0"/>
    </xf>
    <xf numFmtId="43" fontId="6" fillId="16" borderId="76" xfId="2" applyFont="1" applyFill="1" applyBorder="1" applyAlignment="1" applyProtection="1">
      <alignment horizontal="center"/>
      <protection locked="0"/>
    </xf>
    <xf numFmtId="43" fontId="0" fillId="0" borderId="67" xfId="2" applyFont="1" applyBorder="1" applyProtection="1">
      <protection locked="0"/>
    </xf>
  </cellXfs>
  <cellStyles count="4">
    <cellStyle name="Comma" xfId="2" builtinId="3"/>
    <cellStyle name="Currency" xfId="1" builtinId="4"/>
    <cellStyle name="Hyperlink" xfId="3" builtinId="8"/>
    <cellStyle name="Normal" xfId="0" builtinId="0"/>
  </cellStyles>
  <dxfs count="18">
    <dxf>
      <font>
        <b/>
        <i val="0"/>
        <color rgb="FF1706BA"/>
      </font>
      <fill>
        <gradientFill degree="90">
          <stop position="0">
            <color rgb="FFFFFFCC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rgb="FFFFFFCC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rgb="FFFFFFCC"/>
          </stop>
          <stop position="1">
            <color theme="0" tint="-0.25098422193060094"/>
          </stop>
        </gradientFill>
      </fill>
    </dxf>
    <dxf>
      <border>
        <bottom style="thin">
          <color theme="2" tint="-0.499984740745262"/>
        </bottom>
        <vertical/>
        <horizontal/>
      </border>
    </dxf>
    <dxf>
      <font>
        <color theme="0" tint="-0.24994659260841701"/>
      </font>
    </dxf>
    <dxf>
      <border>
        <top style="thin">
          <color theme="2" tint="-0.499984740745262"/>
        </top>
        <bottom style="thin">
          <color theme="0"/>
        </bottom>
        <vertical/>
        <horizontal/>
      </border>
    </dxf>
    <dxf>
      <font>
        <b val="0"/>
        <i val="0"/>
        <strike val="0"/>
        <color theme="0" tint="-0.24994659260841701"/>
      </font>
      <fill>
        <patternFill>
          <bgColor theme="0" tint="-0.24994659260841701"/>
        </patternFill>
      </fill>
      <border>
        <vertical/>
        <horizontal/>
      </border>
    </dxf>
    <dxf>
      <fill>
        <gradientFill degree="90">
          <stop position="0">
            <color rgb="FFFFFFCC"/>
          </stop>
          <stop position="1">
            <color theme="0" tint="-0.25098422193060094"/>
          </stop>
        </gradientFill>
      </fill>
    </dxf>
    <dxf>
      <font>
        <strike val="0"/>
        <color theme="0" tint="-0.24994659260841701"/>
      </font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b val="0"/>
        <i val="0"/>
        <strike val="0"/>
        <color theme="0" tint="-0.24994659260841701"/>
      </font>
      <fill>
        <patternFill>
          <bgColor theme="0" tint="-0.24994659260841701"/>
        </patternFill>
      </fill>
      <border>
        <vertical/>
        <horizontal/>
      </border>
    </dxf>
    <dxf>
      <border>
        <bottom style="thin">
          <color theme="2" tint="-0.499984740745262"/>
        </bottom>
        <vertical/>
        <horizontal/>
      </border>
    </dxf>
    <dxf>
      <font>
        <color theme="0" tint="-0.24994659260841701"/>
      </font>
    </dxf>
    <dxf>
      <border>
        <top style="thin">
          <color theme="2" tint="-0.499984740745262"/>
        </top>
        <bottom style="thin">
          <color theme="0"/>
        </bottom>
        <vertical/>
        <horizontal/>
      </border>
    </dxf>
    <dxf>
      <font>
        <b/>
        <i val="0"/>
        <color rgb="FF1706BA"/>
      </font>
      <fill>
        <gradientFill degree="90">
          <stop position="0">
            <color rgb="FFFFFFCC"/>
          </stop>
          <stop position="1">
            <color theme="0" tint="-0.25098422193060094"/>
          </stop>
        </gradientFill>
      </fill>
      <border>
        <left/>
        <right/>
        <top/>
        <bottom/>
        <vertical/>
        <horizontal/>
      </border>
    </dxf>
    <dxf>
      <fill>
        <gradientFill degree="90">
          <stop position="0">
            <color rgb="FFFFFFCC"/>
          </stop>
          <stop position="1">
            <color theme="0" tint="-0.25098422193060094"/>
          </stop>
        </gradientFill>
      </fill>
    </dxf>
    <dxf>
      <fill>
        <gradientFill degree="90">
          <stop position="0">
            <color theme="0" tint="-5.0965910824915313E-2"/>
          </stop>
          <stop position="1">
            <color rgb="FFFFFF00"/>
          </stop>
        </gradient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1">
            <color rgb="FFFFFF00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gradientFill degree="90">
          <stop position="0">
            <color rgb="FFFFFFCC"/>
          </stop>
          <stop position="1">
            <color theme="0" tint="-0.25098422193060094"/>
          </stop>
        </gradientFill>
      </fill>
    </dxf>
  </dxfs>
  <tableStyles count="0" defaultTableStyle="TableStyleMedium2" defaultPivotStyle="PivotStyleLight16"/>
  <colors>
    <mruColors>
      <color rgb="FFFF612F"/>
      <color rgb="FF0000FF"/>
      <color rgb="FF4A41F9"/>
      <color rgb="FFC00000"/>
      <color rgb="FFFF9979"/>
      <color rgb="FFFFD0C1"/>
      <color rgb="FFCC3300"/>
      <color rgb="FF1706BA"/>
      <color rgb="FF9F3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114301</xdr:rowOff>
    </xdr:from>
    <xdr:to>
      <xdr:col>1</xdr:col>
      <xdr:colOff>449917</xdr:colOff>
      <xdr:row>4</xdr:row>
      <xdr:rowOff>161926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C90D9BF-AC8B-463A-8F02-885E980C9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114301"/>
          <a:ext cx="916641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114301</xdr:rowOff>
    </xdr:from>
    <xdr:to>
      <xdr:col>1</xdr:col>
      <xdr:colOff>488017</xdr:colOff>
      <xdr:row>4</xdr:row>
      <xdr:rowOff>161926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60C50-0AC2-4259-BCA4-D5A7290DA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114301"/>
          <a:ext cx="916641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114301</xdr:rowOff>
    </xdr:from>
    <xdr:to>
      <xdr:col>1</xdr:col>
      <xdr:colOff>488017</xdr:colOff>
      <xdr:row>4</xdr:row>
      <xdr:rowOff>161926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7D6896F-799B-4E63-93A6-731FAD1EA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114301"/>
          <a:ext cx="916641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114301</xdr:rowOff>
    </xdr:from>
    <xdr:to>
      <xdr:col>1</xdr:col>
      <xdr:colOff>411817</xdr:colOff>
      <xdr:row>4</xdr:row>
      <xdr:rowOff>159685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4A5CE09-0363-4760-9031-54E454252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114301"/>
          <a:ext cx="914400" cy="9200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114301</xdr:rowOff>
    </xdr:from>
    <xdr:to>
      <xdr:col>1</xdr:col>
      <xdr:colOff>478156</xdr:colOff>
      <xdr:row>4</xdr:row>
      <xdr:rowOff>209551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F1B5135-D41B-4FD5-8464-7F6BA93F3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114301"/>
          <a:ext cx="914400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180976</xdr:colOff>
      <xdr:row>0</xdr:row>
      <xdr:rowOff>114301</xdr:rowOff>
    </xdr:from>
    <xdr:to>
      <xdr:col>1</xdr:col>
      <xdr:colOff>485776</xdr:colOff>
      <xdr:row>5</xdr:row>
      <xdr:rowOff>9526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4C93AA3-C616-A2CB-7DBF-28041836A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114301"/>
          <a:ext cx="914400" cy="914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142876</xdr:colOff>
      <xdr:row>0</xdr:row>
      <xdr:rowOff>133351</xdr:rowOff>
    </xdr:from>
    <xdr:to>
      <xdr:col>11</xdr:col>
      <xdr:colOff>459442</xdr:colOff>
      <xdr:row>5</xdr:row>
      <xdr:rowOff>9526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6E62DA-1DFE-49B8-B7FC-968280AF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6" y="133351"/>
          <a:ext cx="916641" cy="91440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bs.idaho.gov/modular-fee-calculator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bs.idaho.gov/modular-fee-calculator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  <pageSetUpPr autoPageBreaks="0"/>
  </sheetPr>
  <dimension ref="A1:AQ165"/>
  <sheetViews>
    <sheetView showGridLines="0" zoomScale="70" zoomScaleNormal="70" workbookViewId="0">
      <selection activeCell="H8" sqref="H8"/>
    </sheetView>
  </sheetViews>
  <sheetFormatPr defaultColWidth="9.28515625" defaultRowHeight="15"/>
  <cols>
    <col min="1" max="2" width="9.7109375" style="56" customWidth="1"/>
    <col min="3" max="3" width="3.28515625" style="56" customWidth="1"/>
    <col min="4" max="4" width="13.5703125" style="56" customWidth="1"/>
    <col min="5" max="5" width="13.7109375" style="56" customWidth="1"/>
    <col min="6" max="6" width="13.28515625" style="56" customWidth="1"/>
    <col min="7" max="7" width="19.85546875" style="56" bestFit="1" customWidth="1"/>
    <col min="8" max="8" width="13" style="56" bestFit="1" customWidth="1"/>
    <col min="9" max="9" width="10.28515625" style="56" bestFit="1" customWidth="1"/>
    <col min="10" max="10" width="11.85546875" style="56" customWidth="1"/>
    <col min="11" max="11" width="12.85546875" style="56" customWidth="1"/>
    <col min="12" max="12" width="3.28515625" style="56" customWidth="1"/>
    <col min="13" max="16" width="12.85546875" style="56" customWidth="1"/>
    <col min="17" max="17" width="14.5703125" style="56" bestFit="1" customWidth="1"/>
    <col min="18" max="19" width="12.85546875" style="56" customWidth="1"/>
    <col min="20" max="20" width="12.42578125" style="56" bestFit="1" customWidth="1"/>
    <col min="21" max="21" width="12.42578125" style="56" customWidth="1"/>
    <col min="22" max="22" width="21.42578125" style="56" customWidth="1"/>
    <col min="23" max="23" width="5" style="56" customWidth="1"/>
    <col min="24" max="24" width="12.85546875" style="56" customWidth="1"/>
    <col min="25" max="25" width="9.5703125" style="56" customWidth="1"/>
    <col min="26" max="26" width="9.28515625" style="56" customWidth="1"/>
    <col min="27" max="27" width="14.5703125" style="56" customWidth="1"/>
    <col min="28" max="28" width="14" style="56" customWidth="1"/>
    <col min="29" max="29" width="11.5703125" style="56" customWidth="1"/>
    <col min="30" max="30" width="12.28515625" style="56" customWidth="1"/>
    <col min="31" max="31" width="5.5703125" style="56" customWidth="1"/>
    <col min="32" max="33" width="3" style="56" customWidth="1"/>
    <col min="34" max="34" width="15.42578125" style="56" customWidth="1"/>
    <col min="35" max="35" width="15.140625" style="56" customWidth="1"/>
    <col min="36" max="36" width="16.28515625" style="56" customWidth="1"/>
    <col min="37" max="37" width="14.5703125" style="56" customWidth="1"/>
    <col min="38" max="38" width="14" style="56" customWidth="1"/>
    <col min="39" max="39" width="11.42578125" style="56" customWidth="1"/>
    <col min="40" max="43" width="11.85546875" style="56" customWidth="1"/>
    <col min="44" max="44" width="9.28515625" style="56" customWidth="1"/>
    <col min="45" max="16384" width="9.28515625" style="56"/>
  </cols>
  <sheetData>
    <row r="1" spans="1:43" ht="16.5" customHeight="1" thickBot="1">
      <c r="A1" s="759"/>
      <c r="B1" s="759"/>
      <c r="C1" s="48"/>
      <c r="D1" s="48"/>
      <c r="E1" s="48"/>
      <c r="F1" s="48"/>
      <c r="G1" s="48"/>
      <c r="H1" s="48"/>
      <c r="I1" s="48"/>
      <c r="J1" s="48"/>
      <c r="K1" s="48"/>
      <c r="L1" s="48"/>
      <c r="M1" s="760"/>
      <c r="N1" s="49"/>
      <c r="O1" s="49"/>
      <c r="P1" s="50"/>
      <c r="Q1" s="51"/>
      <c r="R1" s="52"/>
      <c r="S1" s="53"/>
      <c r="T1" s="54"/>
      <c r="U1" s="55"/>
      <c r="W1" s="411"/>
      <c r="AC1" s="442" t="s">
        <v>0</v>
      </c>
      <c r="AD1" s="442"/>
      <c r="AE1" s="442"/>
      <c r="AF1" s="442"/>
      <c r="AG1" s="443"/>
      <c r="AH1" s="444"/>
      <c r="AI1" s="444" t="s">
        <v>1</v>
      </c>
      <c r="AJ1" s="444"/>
      <c r="AK1" s="444"/>
      <c r="AL1" s="444"/>
      <c r="AM1" s="444"/>
      <c r="AN1" s="444"/>
      <c r="AO1" s="444"/>
      <c r="AP1" s="444"/>
      <c r="AQ1" s="444"/>
    </row>
    <row r="2" spans="1:43" ht="15.75" thickBot="1">
      <c r="A2" s="48"/>
      <c r="B2" s="48"/>
      <c r="U2" s="411"/>
      <c r="V2" s="445" t="s">
        <v>2</v>
      </c>
      <c r="AA2" s="446" t="str">
        <f>AH2</f>
        <v>General Building Information</v>
      </c>
      <c r="AB2" s="447"/>
      <c r="AC2" s="447"/>
      <c r="AD2" s="448"/>
      <c r="AE2" s="449"/>
      <c r="AF2" s="1178"/>
      <c r="AG2" s="451"/>
      <c r="AH2" s="452" t="s">
        <v>3</v>
      </c>
      <c r="AI2" s="453"/>
      <c r="AJ2" s="453"/>
      <c r="AK2" s="454"/>
      <c r="AL2" s="443"/>
      <c r="AM2" s="443"/>
      <c r="AN2" s="443"/>
      <c r="AO2" s="443"/>
      <c r="AP2" s="443"/>
      <c r="AQ2" s="443"/>
    </row>
    <row r="3" spans="1:43" ht="21">
      <c r="A3" s="48"/>
      <c r="B3" s="48"/>
      <c r="D3" s="38"/>
      <c r="E3" s="5"/>
      <c r="F3" s="5"/>
      <c r="G3" s="6" t="s">
        <v>4</v>
      </c>
      <c r="H3" s="7"/>
      <c r="I3" s="7"/>
      <c r="J3" s="7"/>
      <c r="K3" s="39"/>
      <c r="M3" s="494"/>
      <c r="N3" s="7"/>
      <c r="O3" s="7"/>
      <c r="P3" s="7" t="str">
        <f>CONCATENATE(G3," - Fees")</f>
        <v>Washington Only - Fees</v>
      </c>
      <c r="Q3" s="7"/>
      <c r="R3" s="7"/>
      <c r="S3" s="7"/>
      <c r="T3" s="39"/>
      <c r="U3" s="411"/>
      <c r="V3" s="455" t="s">
        <v>5</v>
      </c>
      <c r="AA3" s="456"/>
      <c r="AB3" s="447"/>
      <c r="AC3" s="447"/>
      <c r="AD3" s="448"/>
      <c r="AE3" s="457"/>
      <c r="AF3" s="1179"/>
      <c r="AG3" s="451"/>
      <c r="AH3" s="456"/>
      <c r="AI3" s="459"/>
      <c r="AJ3" s="447"/>
      <c r="AK3" s="448"/>
      <c r="AL3" s="443"/>
      <c r="AM3" s="443"/>
      <c r="AN3" s="443"/>
      <c r="AO3" s="443"/>
      <c r="AP3" s="443"/>
      <c r="AQ3" s="443"/>
    </row>
    <row r="4" spans="1:43">
      <c r="A4" s="48"/>
      <c r="B4" s="48"/>
      <c r="D4" s="42"/>
      <c r="E4" s="398"/>
      <c r="F4" s="9"/>
      <c r="G4" s="10" t="s">
        <v>6</v>
      </c>
      <c r="H4" s="1172" t="str">
        <f>+'All States'!G12</f>
        <v>Master Plan</v>
      </c>
      <c r="I4" s="12"/>
      <c r="J4" s="12"/>
      <c r="K4" s="41"/>
      <c r="M4" s="787"/>
      <c r="N4" s="680"/>
      <c r="O4" s="680"/>
      <c r="P4" s="680"/>
      <c r="Q4" s="680"/>
      <c r="R4" s="680"/>
      <c r="S4" s="680"/>
      <c r="T4" s="1180"/>
      <c r="U4" s="411"/>
      <c r="V4" s="455" t="s">
        <v>7</v>
      </c>
      <c r="AA4" s="460"/>
      <c r="AB4" s="461"/>
      <c r="AC4" s="462"/>
      <c r="AD4" s="463"/>
      <c r="AE4" s="100"/>
      <c r="AF4" s="464"/>
      <c r="AG4" s="451"/>
      <c r="AH4" s="465"/>
      <c r="AI4" s="466"/>
      <c r="AJ4" s="462"/>
      <c r="AK4" s="463"/>
      <c r="AL4" s="443"/>
      <c r="AM4" s="443"/>
      <c r="AN4" s="443"/>
      <c r="AO4" s="443"/>
      <c r="AP4" s="443"/>
      <c r="AQ4" s="443"/>
    </row>
    <row r="5" spans="1:43">
      <c r="A5" s="48"/>
      <c r="B5" s="48"/>
      <c r="D5" s="42"/>
      <c r="E5" s="398"/>
      <c r="F5" s="9"/>
      <c r="G5" s="10" t="str">
        <f>CONCATENATE("Is the building an ", AI63,":")</f>
        <v>Is the building an A, I or H:</v>
      </c>
      <c r="H5" s="1" t="s">
        <v>8</v>
      </c>
      <c r="I5" s="14" t="s">
        <v>9</v>
      </c>
      <c r="J5" s="12"/>
      <c r="K5" s="41"/>
      <c r="M5" s="789"/>
      <c r="N5" s="100"/>
      <c r="O5" s="804" t="s">
        <v>10</v>
      </c>
      <c r="P5" s="831">
        <f>H11</f>
        <v>4320</v>
      </c>
      <c r="Q5" s="822"/>
      <c r="R5" s="100"/>
      <c r="S5" s="100"/>
      <c r="T5" s="1180"/>
      <c r="U5" s="411"/>
      <c r="V5" s="455"/>
      <c r="AA5" s="460"/>
      <c r="AB5" s="461"/>
      <c r="AC5" s="462"/>
      <c r="AD5" s="463"/>
      <c r="AE5" s="443"/>
      <c r="AF5" s="444"/>
      <c r="AG5" s="451"/>
      <c r="AH5" s="465"/>
      <c r="AI5" s="466"/>
      <c r="AJ5" s="462"/>
      <c r="AK5" s="463"/>
      <c r="AL5" s="443"/>
      <c r="AM5" s="443"/>
      <c r="AN5" s="443"/>
      <c r="AO5" s="443"/>
      <c r="AP5" s="443"/>
      <c r="AQ5" s="443"/>
    </row>
    <row r="6" spans="1:43">
      <c r="A6" s="48"/>
      <c r="B6" s="48"/>
      <c r="D6" s="42"/>
      <c r="E6" s="398"/>
      <c r="F6" s="9"/>
      <c r="G6" s="10" t="s">
        <v>11</v>
      </c>
      <c r="H6" s="1" t="s">
        <v>12</v>
      </c>
      <c r="I6" s="12"/>
      <c r="J6" s="12"/>
      <c r="K6" s="41"/>
      <c r="M6" s="789"/>
      <c r="N6" s="100"/>
      <c r="O6" s="804" t="s">
        <v>13</v>
      </c>
      <c r="P6" s="832">
        <f>AD94</f>
        <v>3491.25</v>
      </c>
      <c r="Q6" s="822"/>
      <c r="R6" s="443"/>
      <c r="S6" s="100"/>
      <c r="T6" s="1181"/>
      <c r="U6" s="411"/>
      <c r="V6" s="500" t="s">
        <v>14</v>
      </c>
      <c r="AA6" s="460"/>
      <c r="AB6" s="461" t="s">
        <v>15</v>
      </c>
      <c r="AC6" s="462"/>
      <c r="AD6" s="463"/>
      <c r="AE6" s="443"/>
      <c r="AF6" s="444"/>
      <c r="AG6" s="451"/>
      <c r="AH6" s="465"/>
      <c r="AI6" s="466" t="s">
        <v>16</v>
      </c>
      <c r="AJ6" s="462"/>
      <c r="AK6" s="463"/>
      <c r="AL6" s="443"/>
      <c r="AM6" s="443"/>
      <c r="AN6" s="443"/>
      <c r="AO6" s="443"/>
      <c r="AP6" s="443"/>
      <c r="AQ6" s="443"/>
    </row>
    <row r="7" spans="1:43">
      <c r="A7" s="48"/>
      <c r="B7" s="48"/>
      <c r="D7" s="42"/>
      <c r="E7" s="398"/>
      <c r="F7" s="9"/>
      <c r="G7" s="10" t="str">
        <f>IF(H6=AI22,CONCATENATE(AH22," cost:"), "---  ")</f>
        <v xml:space="preserve">---  </v>
      </c>
      <c r="H7" s="16">
        <v>0</v>
      </c>
      <c r="I7" s="12"/>
      <c r="J7" s="12"/>
      <c r="K7" s="41"/>
      <c r="M7" s="789"/>
      <c r="N7" s="100"/>
      <c r="O7" s="804" t="s">
        <v>17</v>
      </c>
      <c r="P7" s="822">
        <f>AA35</f>
        <v>220.89999999999998</v>
      </c>
      <c r="Q7" s="443"/>
      <c r="R7" s="443"/>
      <c r="S7" s="100"/>
      <c r="T7" s="1181"/>
      <c r="U7" s="411"/>
      <c r="V7" s="504">
        <v>3</v>
      </c>
      <c r="AA7" s="460"/>
      <c r="AB7" s="461" t="s">
        <v>18</v>
      </c>
      <c r="AC7" s="462"/>
      <c r="AD7" s="463"/>
      <c r="AE7" s="443"/>
      <c r="AF7" s="444"/>
      <c r="AG7" s="451"/>
      <c r="AH7" s="465"/>
      <c r="AI7" s="466"/>
      <c r="AJ7" s="462"/>
      <c r="AK7" s="463"/>
      <c r="AL7" s="443"/>
      <c r="AM7" s="443"/>
      <c r="AN7" s="443"/>
      <c r="AO7" s="443"/>
      <c r="AP7" s="443"/>
      <c r="AQ7" s="443"/>
    </row>
    <row r="8" spans="1:43">
      <c r="A8" s="48"/>
      <c r="B8" s="48"/>
      <c r="D8" s="42"/>
      <c r="E8" s="398"/>
      <c r="F8" s="9"/>
      <c r="G8" s="10" t="s">
        <v>19</v>
      </c>
      <c r="H8" s="2">
        <v>2</v>
      </c>
      <c r="I8" s="12"/>
      <c r="J8" s="12"/>
      <c r="K8" s="41"/>
      <c r="M8" s="789"/>
      <c r="N8" s="100"/>
      <c r="O8" s="804" t="s">
        <v>20</v>
      </c>
      <c r="P8" s="822">
        <f>+AB126</f>
        <v>48.684999999999995</v>
      </c>
      <c r="Q8" s="443"/>
      <c r="R8" s="443"/>
      <c r="S8" s="100"/>
      <c r="T8" s="1181"/>
      <c r="U8" s="411"/>
      <c r="V8" s="504">
        <v>4</v>
      </c>
      <c r="AA8" s="460"/>
      <c r="AB8" s="461" t="s">
        <v>21</v>
      </c>
      <c r="AC8" s="462"/>
      <c r="AD8" s="463"/>
      <c r="AE8" s="443"/>
      <c r="AF8" s="444"/>
      <c r="AG8" s="451"/>
      <c r="AH8" s="465"/>
      <c r="AI8" s="466"/>
      <c r="AJ8" s="462"/>
      <c r="AK8" s="463"/>
      <c r="AL8" s="443"/>
      <c r="AM8" s="443"/>
      <c r="AN8" s="443"/>
      <c r="AO8" s="443"/>
      <c r="AP8" s="443"/>
      <c r="AQ8" s="443"/>
    </row>
    <row r="9" spans="1:43">
      <c r="A9" s="48"/>
      <c r="B9" s="48"/>
      <c r="D9" s="42"/>
      <c r="E9" s="398"/>
      <c r="F9" s="9"/>
      <c r="G9" s="10" t="s">
        <v>22</v>
      </c>
      <c r="H9" s="3">
        <f>+mods</f>
        <v>6</v>
      </c>
      <c r="I9" s="12" t="s">
        <v>23</v>
      </c>
      <c r="J9" s="12"/>
      <c r="K9" s="41"/>
      <c r="M9" s="789"/>
      <c r="N9" s="100"/>
      <c r="O9" s="804" t="s">
        <v>24</v>
      </c>
      <c r="P9" s="822">
        <f>H13*AA116*AI120</f>
        <v>173.25</v>
      </c>
      <c r="Q9" s="443"/>
      <c r="R9" s="443"/>
      <c r="S9" s="100"/>
      <c r="T9" s="1181"/>
      <c r="U9" s="411"/>
      <c r="V9" s="504">
        <v>4</v>
      </c>
      <c r="AA9" s="460"/>
      <c r="AB9" s="461"/>
      <c r="AC9" s="462"/>
      <c r="AD9" s="463"/>
      <c r="AE9" s="443"/>
      <c r="AF9" s="444"/>
      <c r="AG9" s="451"/>
      <c r="AH9" s="465"/>
      <c r="AI9" s="466"/>
      <c r="AJ9" s="462"/>
      <c r="AK9" s="463"/>
      <c r="AL9" s="443"/>
      <c r="AM9" s="443"/>
      <c r="AN9" s="443"/>
      <c r="AO9" s="443"/>
      <c r="AP9" s="443"/>
      <c r="AQ9" s="443"/>
    </row>
    <row r="10" spans="1:43">
      <c r="A10" s="48"/>
      <c r="B10" s="48"/>
      <c r="D10" s="42"/>
      <c r="E10" s="398"/>
      <c r="F10" s="9"/>
      <c r="G10" s="10"/>
      <c r="H10" s="10"/>
      <c r="I10" s="12"/>
      <c r="J10" s="12"/>
      <c r="K10" s="41"/>
      <c r="M10" s="789"/>
      <c r="N10" s="100"/>
      <c r="O10" s="804" t="s">
        <v>25</v>
      </c>
      <c r="P10" s="823"/>
      <c r="Q10" s="822">
        <f>IF(AA48&lt;AA41,AA41,AA48)</f>
        <v>2265.82125</v>
      </c>
      <c r="R10" s="443"/>
      <c r="S10" s="100"/>
      <c r="T10" s="1181"/>
      <c r="U10" s="411"/>
      <c r="V10" s="504">
        <v>1</v>
      </c>
      <c r="AA10" s="460"/>
      <c r="AB10" s="461"/>
      <c r="AC10" s="462"/>
      <c r="AD10" s="463"/>
      <c r="AE10" s="443"/>
      <c r="AF10" s="444"/>
      <c r="AG10" s="451"/>
      <c r="AH10" s="465"/>
      <c r="AI10" s="466"/>
      <c r="AJ10" s="462"/>
      <c r="AK10" s="463"/>
      <c r="AL10" s="443"/>
      <c r="AM10" s="443"/>
      <c r="AN10" s="443"/>
      <c r="AO10" s="443"/>
      <c r="AP10" s="443"/>
      <c r="AQ10" s="443"/>
    </row>
    <row r="11" spans="1:43">
      <c r="A11" s="48"/>
      <c r="B11" s="48"/>
      <c r="D11" s="42"/>
      <c r="E11" s="398"/>
      <c r="F11" s="9"/>
      <c r="G11" s="10" t="s">
        <v>26</v>
      </c>
      <c r="H11" s="2">
        <f>+sqft</f>
        <v>4320</v>
      </c>
      <c r="I11" s="12"/>
      <c r="J11" s="12"/>
      <c r="K11" s="41"/>
      <c r="M11" s="789"/>
      <c r="N11" s="100"/>
      <c r="O11" s="804" t="s">
        <v>27</v>
      </c>
      <c r="P11" s="823"/>
      <c r="Q11" s="822">
        <f>AA60</f>
        <v>1127.6737499999999</v>
      </c>
      <c r="R11" s="443"/>
      <c r="S11" s="100"/>
      <c r="T11" s="1181"/>
      <c r="U11" s="411"/>
      <c r="V11" s="504">
        <v>2</v>
      </c>
      <c r="AA11" s="460"/>
      <c r="AB11" s="461"/>
      <c r="AC11" s="462"/>
      <c r="AD11" s="463"/>
      <c r="AE11" s="443"/>
      <c r="AF11" s="444"/>
      <c r="AG11" s="451"/>
      <c r="AH11" s="465"/>
      <c r="AI11" s="466"/>
      <c r="AJ11" s="462"/>
      <c r="AK11" s="463"/>
      <c r="AL11" s="443"/>
      <c r="AM11" s="443"/>
      <c r="AN11" s="443"/>
      <c r="AO11" s="443"/>
      <c r="AP11" s="443"/>
      <c r="AQ11" s="443"/>
    </row>
    <row r="12" spans="1:43">
      <c r="A12" s="48"/>
      <c r="B12" s="48"/>
      <c r="D12" s="42"/>
      <c r="E12" s="398"/>
      <c r="F12" s="9"/>
      <c r="G12" s="10" t="s">
        <v>28</v>
      </c>
      <c r="H12" s="2">
        <f>+drops</f>
        <v>5</v>
      </c>
      <c r="I12" s="12"/>
      <c r="J12" s="12"/>
      <c r="K12" s="41"/>
      <c r="M12" s="789"/>
      <c r="N12" s="100"/>
      <c r="O12" s="804" t="s">
        <v>29</v>
      </c>
      <c r="P12" s="1182"/>
      <c r="Q12" s="815">
        <f>SUM(P7:P9)</f>
        <v>442.83499999999998</v>
      </c>
      <c r="R12" s="443"/>
      <c r="S12" s="100"/>
      <c r="T12" s="1181"/>
      <c r="U12" s="411"/>
      <c r="V12" s="504">
        <v>4</v>
      </c>
      <c r="AA12" s="460"/>
      <c r="AB12" s="461"/>
      <c r="AC12" s="462"/>
      <c r="AD12" s="463"/>
      <c r="AE12" s="443"/>
      <c r="AF12" s="444"/>
      <c r="AG12" s="451"/>
      <c r="AH12" s="465"/>
      <c r="AI12" s="466"/>
      <c r="AJ12" s="462"/>
      <c r="AK12" s="463"/>
      <c r="AL12" s="443"/>
      <c r="AM12" s="443"/>
      <c r="AN12" s="443"/>
      <c r="AO12" s="443"/>
      <c r="AP12" s="443"/>
      <c r="AQ12" s="443"/>
    </row>
    <row r="13" spans="1:43">
      <c r="A13" s="48"/>
      <c r="B13" s="48"/>
      <c r="D13" s="42"/>
      <c r="E13" s="398"/>
      <c r="F13" s="9"/>
      <c r="G13" s="10" t="s">
        <v>30</v>
      </c>
      <c r="H13" s="2">
        <f>ROUNDUP(bardcost/5000,0)</f>
        <v>10</v>
      </c>
      <c r="I13" s="12"/>
      <c r="J13" s="12"/>
      <c r="K13" s="41"/>
      <c r="M13" s="789"/>
      <c r="N13" s="443"/>
      <c r="O13" s="824" t="s">
        <v>31</v>
      </c>
      <c r="P13" s="443"/>
      <c r="Q13" s="825">
        <f>AA68</f>
        <v>60.7</v>
      </c>
      <c r="R13" s="443"/>
      <c r="S13" s="100"/>
      <c r="T13" s="1181"/>
      <c r="U13" s="411"/>
      <c r="V13" s="504">
        <v>4</v>
      </c>
      <c r="AA13" s="460"/>
      <c r="AB13" s="461"/>
      <c r="AC13" s="462"/>
      <c r="AD13" s="463"/>
      <c r="AE13" s="443"/>
      <c r="AF13" s="444"/>
      <c r="AG13" s="451"/>
      <c r="AH13" s="465"/>
      <c r="AI13" s="466"/>
      <c r="AJ13" s="462"/>
      <c r="AK13" s="463"/>
      <c r="AL13" s="443"/>
      <c r="AM13" s="443"/>
      <c r="AN13" s="443"/>
      <c r="AO13" s="443"/>
      <c r="AP13" s="443"/>
      <c r="AQ13" s="443"/>
    </row>
    <row r="14" spans="1:43">
      <c r="A14" s="48"/>
      <c r="B14" s="48"/>
      <c r="D14" s="42"/>
      <c r="E14" s="12"/>
      <c r="F14" s="12"/>
      <c r="G14" s="12"/>
      <c r="H14" s="12"/>
      <c r="I14" s="12"/>
      <c r="J14" s="12"/>
      <c r="K14" s="41"/>
      <c r="M14" s="789"/>
      <c r="N14" s="443"/>
      <c r="O14" s="443"/>
      <c r="P14" s="443"/>
      <c r="Q14" s="443"/>
      <c r="R14" s="443"/>
      <c r="S14" s="100"/>
      <c r="T14" s="1181"/>
      <c r="U14" s="411"/>
      <c r="V14" s="504">
        <v>5</v>
      </c>
      <c r="AA14" s="460"/>
      <c r="AB14" s="461"/>
      <c r="AC14" s="462"/>
      <c r="AD14" s="463"/>
      <c r="AE14" s="443"/>
      <c r="AF14" s="444"/>
      <c r="AG14" s="451"/>
      <c r="AH14" s="465"/>
      <c r="AI14" s="466"/>
      <c r="AJ14" s="462"/>
      <c r="AK14" s="463"/>
      <c r="AL14" s="443"/>
      <c r="AM14" s="443"/>
      <c r="AN14" s="443"/>
      <c r="AO14" s="443"/>
      <c r="AP14" s="443"/>
      <c r="AQ14" s="443"/>
    </row>
    <row r="15" spans="1:43" ht="15.75" thickBot="1">
      <c r="A15" s="48"/>
      <c r="B15" s="48"/>
      <c r="D15" s="42"/>
      <c r="E15" s="12"/>
      <c r="F15" s="12"/>
      <c r="G15" s="22" t="s">
        <v>32</v>
      </c>
      <c r="H15" s="467" t="s">
        <v>33</v>
      </c>
      <c r="I15" s="468" t="s">
        <v>34</v>
      </c>
      <c r="J15" s="12"/>
      <c r="K15" s="41"/>
      <c r="M15" s="789"/>
      <c r="N15" s="518"/>
      <c r="O15" s="519" t="s">
        <v>35</v>
      </c>
      <c r="P15" s="520"/>
      <c r="Q15" s="521">
        <f>SUM(Q10:Q13)</f>
        <v>3897.0299999999997</v>
      </c>
      <c r="R15" s="443"/>
      <c r="S15" s="100"/>
      <c r="T15" s="1181"/>
      <c r="U15" s="411"/>
      <c r="V15" s="504"/>
      <c r="AA15" s="460"/>
      <c r="AB15" s="461"/>
      <c r="AC15" s="462"/>
      <c r="AD15" s="463"/>
      <c r="AE15" s="443"/>
      <c r="AF15" s="444"/>
      <c r="AG15" s="451"/>
      <c r="AH15" s="465"/>
      <c r="AI15" s="466"/>
      <c r="AJ15" s="462"/>
      <c r="AK15" s="463"/>
      <c r="AL15" s="443"/>
      <c r="AM15" s="443"/>
      <c r="AN15" s="443"/>
      <c r="AO15" s="443"/>
      <c r="AP15" s="443"/>
      <c r="AQ15" s="443"/>
    </row>
    <row r="16" spans="1:43" ht="16.5" thickTop="1" thickBot="1">
      <c r="A16" s="48"/>
      <c r="B16" s="48"/>
      <c r="D16" s="42"/>
      <c r="E16" s="12"/>
      <c r="F16" s="12"/>
      <c r="G16" s="10" t="s">
        <v>36</v>
      </c>
      <c r="H16" s="2">
        <v>200</v>
      </c>
      <c r="I16" s="2">
        <v>1</v>
      </c>
      <c r="J16" s="786" t="str">
        <f>IF(AND(H16&gt;1,I16=""),"&lt;- Enter Quantity","")</f>
        <v/>
      </c>
      <c r="K16" s="41"/>
      <c r="M16" s="789"/>
      <c r="N16" s="100"/>
      <c r="O16" s="804"/>
      <c r="P16" s="823"/>
      <c r="Q16" s="826"/>
      <c r="R16" s="443"/>
      <c r="S16" s="100"/>
      <c r="T16" s="1181"/>
      <c r="U16" s="411"/>
      <c r="V16" s="504">
        <v>6</v>
      </c>
      <c r="AA16" s="469"/>
      <c r="AB16" s="470"/>
      <c r="AC16" s="471"/>
      <c r="AD16" s="472"/>
      <c r="AE16" s="443"/>
      <c r="AF16" s="444"/>
      <c r="AG16" s="451"/>
      <c r="AH16" s="414"/>
      <c r="AI16" s="415"/>
      <c r="AJ16" s="415"/>
      <c r="AK16" s="416"/>
      <c r="AL16" s="443"/>
      <c r="AM16" s="443"/>
      <c r="AN16" s="443"/>
      <c r="AO16" s="443"/>
      <c r="AP16" s="443"/>
      <c r="AQ16" s="443"/>
    </row>
    <row r="17" spans="1:43" ht="15.75" thickBot="1">
      <c r="A17" s="48"/>
      <c r="B17" s="48"/>
      <c r="D17" s="42"/>
      <c r="E17" s="12"/>
      <c r="F17" s="12"/>
      <c r="G17" s="10" t="s">
        <v>37</v>
      </c>
      <c r="H17" s="2"/>
      <c r="I17" s="2">
        <v>0</v>
      </c>
      <c r="J17" s="786" t="str">
        <f>IF(AND(H17&gt;1,I17=""),"&lt;- Enter Quantity","")</f>
        <v/>
      </c>
      <c r="K17" s="41"/>
      <c r="M17" s="789"/>
      <c r="N17" s="100"/>
      <c r="O17" s="827" t="s">
        <v>38</v>
      </c>
      <c r="P17" s="443"/>
      <c r="Q17" s="828">
        <f>AD54</f>
        <v>101.50560000000002</v>
      </c>
      <c r="R17" s="443"/>
      <c r="S17" s="100"/>
      <c r="T17" s="1181"/>
      <c r="U17" s="411"/>
      <c r="V17" s="504">
        <v>7</v>
      </c>
      <c r="AA17" s="443"/>
      <c r="AB17" s="443"/>
      <c r="AC17" s="443"/>
      <c r="AD17" s="100"/>
      <c r="AE17" s="443"/>
      <c r="AF17" s="444"/>
      <c r="AG17" s="443"/>
      <c r="AH17" s="443"/>
      <c r="AI17" s="443"/>
      <c r="AJ17" s="443"/>
      <c r="AK17" s="443"/>
      <c r="AL17" s="443"/>
      <c r="AM17" s="443"/>
      <c r="AN17" s="443"/>
      <c r="AO17" s="443"/>
      <c r="AP17" s="443"/>
      <c r="AQ17" s="443"/>
    </row>
    <row r="18" spans="1:43" ht="15.75" thickBot="1">
      <c r="A18" s="48"/>
      <c r="B18" s="48"/>
      <c r="D18" s="42"/>
      <c r="E18" s="12"/>
      <c r="F18" s="12"/>
      <c r="G18" s="10"/>
      <c r="H18" s="28"/>
      <c r="I18" s="12"/>
      <c r="J18" s="12"/>
      <c r="K18" s="41"/>
      <c r="M18" s="789"/>
      <c r="N18" s="100"/>
      <c r="O18" s="827" t="s">
        <v>39</v>
      </c>
      <c r="P18" s="443"/>
      <c r="Q18" s="828">
        <f>AA54</f>
        <v>756.71680000000003</v>
      </c>
      <c r="R18" s="443"/>
      <c r="S18" s="100"/>
      <c r="T18" s="1181"/>
      <c r="U18" s="411"/>
      <c r="V18" s="504">
        <v>8</v>
      </c>
      <c r="AA18" s="473" t="str">
        <f>AH18</f>
        <v>Type of Building</v>
      </c>
      <c r="AB18" s="474"/>
      <c r="AC18" s="474"/>
      <c r="AD18" s="475"/>
      <c r="AE18" s="449"/>
      <c r="AF18" s="444"/>
      <c r="AG18" s="476"/>
      <c r="AH18" s="477" t="s">
        <v>40</v>
      </c>
      <c r="AI18" s="478"/>
      <c r="AJ18" s="479"/>
      <c r="AK18" s="443"/>
      <c r="AL18" s="443"/>
      <c r="AM18" s="443"/>
      <c r="AN18" s="443"/>
      <c r="AO18" s="443"/>
      <c r="AP18" s="443"/>
      <c r="AQ18" s="443"/>
    </row>
    <row r="19" spans="1:43">
      <c r="A19" s="48"/>
      <c r="B19" s="48"/>
      <c r="D19" s="42"/>
      <c r="E19" s="12"/>
      <c r="F19" s="1183"/>
      <c r="G19" s="1184" t="str">
        <f>O15</f>
        <v>Plan Review Total Fee:</v>
      </c>
      <c r="H19" s="1185">
        <f>Q15</f>
        <v>3897.0299999999997</v>
      </c>
      <c r="I19" s="1183"/>
      <c r="J19" s="12"/>
      <c r="K19" s="41"/>
      <c r="M19" s="789"/>
      <c r="N19" s="100"/>
      <c r="O19" s="827" t="s">
        <v>41</v>
      </c>
      <c r="P19" s="443"/>
      <c r="Q19" s="828">
        <f>AB54</f>
        <v>336.22400000000005</v>
      </c>
      <c r="R19" s="443"/>
      <c r="S19" s="100"/>
      <c r="T19" s="1181"/>
      <c r="U19" s="411"/>
      <c r="V19" s="504">
        <v>9</v>
      </c>
      <c r="AA19" s="480" t="s">
        <v>42</v>
      </c>
      <c r="AB19" s="481" t="s">
        <v>43</v>
      </c>
      <c r="AC19" s="481"/>
      <c r="AD19" s="482"/>
      <c r="AE19" s="457"/>
      <c r="AF19" s="444"/>
      <c r="AG19" s="476"/>
      <c r="AH19" s="474" t="s">
        <v>44</v>
      </c>
      <c r="AI19" s="474" t="s">
        <v>45</v>
      </c>
      <c r="AJ19" s="474" t="s">
        <v>42</v>
      </c>
      <c r="AK19" s="443"/>
      <c r="AL19" s="443"/>
      <c r="AM19" s="443"/>
      <c r="AN19" s="443"/>
      <c r="AO19" s="443"/>
      <c r="AP19" s="443"/>
      <c r="AQ19" s="443"/>
    </row>
    <row r="20" spans="1:43">
      <c r="A20" s="48"/>
      <c r="B20" s="48"/>
      <c r="D20" s="42"/>
      <c r="E20" s="12"/>
      <c r="F20" s="12"/>
      <c r="G20" s="22" t="s">
        <v>46</v>
      </c>
      <c r="H20" s="30">
        <f>Q25</f>
        <v>38.970299999999995</v>
      </c>
      <c r="I20" s="12"/>
      <c r="J20" s="12"/>
      <c r="K20" s="41"/>
      <c r="M20" s="829"/>
      <c r="N20" s="1186"/>
      <c r="O20" s="1187" t="s">
        <v>47</v>
      </c>
      <c r="P20" s="1186"/>
      <c r="Q20" s="1188">
        <f>SUM(Q17:Q19)</f>
        <v>1194.4464000000003</v>
      </c>
      <c r="R20" s="100"/>
      <c r="S20" s="100"/>
      <c r="T20" s="1181"/>
      <c r="U20" s="411"/>
      <c r="AA20" s="483"/>
      <c r="AB20" s="484"/>
      <c r="AC20" s="484"/>
      <c r="AD20" s="1189"/>
      <c r="AE20" s="443"/>
      <c r="AF20" s="444"/>
      <c r="AG20" s="476"/>
      <c r="AH20" s="485" t="s">
        <v>12</v>
      </c>
      <c r="AI20" s="486" t="s">
        <v>48</v>
      </c>
      <c r="AJ20" s="462">
        <f>1.064*110.93</f>
        <v>118.02952000000002</v>
      </c>
      <c r="AK20" s="443"/>
      <c r="AL20" s="443"/>
      <c r="AM20" s="443"/>
      <c r="AN20" s="443"/>
      <c r="AO20" s="443"/>
      <c r="AP20" s="443"/>
      <c r="AQ20" s="443"/>
    </row>
    <row r="21" spans="1:43" ht="15.75" thickBot="1">
      <c r="A21" s="48"/>
      <c r="B21" s="48"/>
      <c r="D21" s="43"/>
      <c r="E21" s="32"/>
      <c r="F21" s="32"/>
      <c r="G21" s="32"/>
      <c r="H21" s="33"/>
      <c r="I21" s="32"/>
      <c r="J21" s="406" t="s">
        <v>49</v>
      </c>
      <c r="K21" s="44"/>
      <c r="M21" s="789"/>
      <c r="N21" s="100"/>
      <c r="O21" s="804"/>
      <c r="P21" s="823"/>
      <c r="Q21" s="822"/>
      <c r="R21" s="100"/>
      <c r="S21" s="100"/>
      <c r="T21" s="1181"/>
      <c r="U21" s="411"/>
      <c r="AA21" s="487">
        <f>VLOOKUP(H6,AH20:AJ24,3,)</f>
        <v>118.02952000000002</v>
      </c>
      <c r="AB21" s="488" t="str">
        <f>VLOOKUP(H6,AH20:AJ24,2,)</f>
        <v>B</v>
      </c>
      <c r="AC21" s="489"/>
      <c r="AD21" s="490"/>
      <c r="AE21" s="443"/>
      <c r="AF21" s="444"/>
      <c r="AG21" s="476"/>
      <c r="AH21" s="491" t="s">
        <v>50</v>
      </c>
      <c r="AI21" s="492" t="s">
        <v>51</v>
      </c>
      <c r="AJ21" s="493">
        <f>1.064*123.09</f>
        <v>130.96776</v>
      </c>
      <c r="AK21" s="443"/>
      <c r="AL21" s="443"/>
      <c r="AM21" s="443"/>
      <c r="AN21" s="443"/>
      <c r="AO21" s="443"/>
      <c r="AP21" s="443"/>
      <c r="AQ21" s="443"/>
    </row>
    <row r="22" spans="1:43" ht="15.75" thickBot="1">
      <c r="A22" s="48"/>
      <c r="B22" s="48"/>
      <c r="M22" s="789"/>
      <c r="N22" s="518"/>
      <c r="O22" s="519" t="s">
        <v>52</v>
      </c>
      <c r="P22" s="518"/>
      <c r="Q22" s="534">
        <f>1*(Q15+Q20)</f>
        <v>5091.4763999999996</v>
      </c>
      <c r="R22" s="443"/>
      <c r="S22" s="443"/>
      <c r="T22" s="1181"/>
      <c r="U22" s="411"/>
      <c r="AA22" s="469"/>
      <c r="AB22" s="470"/>
      <c r="AC22" s="471"/>
      <c r="AD22" s="472"/>
      <c r="AE22" s="443"/>
      <c r="AF22" s="444"/>
      <c r="AG22" s="476"/>
      <c r="AH22" s="491" t="s">
        <v>53</v>
      </c>
      <c r="AI22" s="492" t="str">
        <f>AH22</f>
        <v>One-off</v>
      </c>
      <c r="AJ22" s="493">
        <f>H7</f>
        <v>0</v>
      </c>
      <c r="AK22" s="443"/>
      <c r="AL22" s="443"/>
      <c r="AM22" s="443"/>
      <c r="AN22" s="443"/>
      <c r="AO22" s="443"/>
      <c r="AP22" s="443"/>
      <c r="AQ22" s="443"/>
    </row>
    <row r="23" spans="1:43" ht="15.75" thickTop="1">
      <c r="A23" s="48"/>
      <c r="B23" s="48"/>
      <c r="D23" s="104"/>
      <c r="E23" s="104"/>
      <c r="F23" s="104"/>
      <c r="G23" s="104"/>
      <c r="H23" s="104"/>
      <c r="M23" s="789"/>
      <c r="N23" s="100"/>
      <c r="O23" s="100"/>
      <c r="P23" s="443"/>
      <c r="Q23" s="443"/>
      <c r="R23" s="443"/>
      <c r="S23" s="443"/>
      <c r="T23" s="1181"/>
      <c r="U23" s="411"/>
      <c r="AA23" s="443"/>
      <c r="AB23" s="443"/>
      <c r="AC23" s="443"/>
      <c r="AD23" s="100"/>
      <c r="AE23" s="443"/>
      <c r="AF23" s="444"/>
      <c r="AG23" s="476"/>
      <c r="AH23" s="491"/>
      <c r="AI23" s="491"/>
      <c r="AJ23" s="493"/>
      <c r="AK23" s="443"/>
      <c r="AL23" s="443"/>
      <c r="AM23" s="443"/>
      <c r="AN23" s="443"/>
      <c r="AO23" s="443"/>
      <c r="AP23" s="443"/>
      <c r="AQ23" s="443"/>
    </row>
    <row r="24" spans="1:43">
      <c r="A24" s="48"/>
      <c r="B24" s="48"/>
      <c r="M24" s="789"/>
      <c r="N24" s="100"/>
      <c r="O24" s="100"/>
      <c r="P24" s="443"/>
      <c r="Q24" s="443"/>
      <c r="R24" s="443"/>
      <c r="S24" s="443"/>
      <c r="T24" s="1181"/>
      <c r="U24" s="411"/>
      <c r="AA24" s="443"/>
      <c r="AB24" s="443"/>
      <c r="AC24" s="443"/>
      <c r="AD24" s="443"/>
      <c r="AE24" s="443"/>
      <c r="AF24" s="444"/>
      <c r="AG24" s="476"/>
      <c r="AH24" s="495"/>
      <c r="AI24" s="496"/>
      <c r="AJ24" s="497"/>
      <c r="AK24" s="443"/>
      <c r="AL24" s="443"/>
      <c r="AM24" s="443"/>
      <c r="AN24" s="443"/>
      <c r="AO24" s="443"/>
      <c r="AP24" s="443"/>
      <c r="AQ24" s="443"/>
    </row>
    <row r="25" spans="1:43" ht="15.75" thickBot="1">
      <c r="A25" s="48"/>
      <c r="B25" s="48"/>
      <c r="M25" s="789"/>
      <c r="N25" s="100"/>
      <c r="O25" s="815"/>
      <c r="P25" s="816" t="s">
        <v>54</v>
      </c>
      <c r="Q25" s="830">
        <f>Q15/Q26</f>
        <v>38.970299999999995</v>
      </c>
      <c r="R25" s="815"/>
      <c r="S25" s="443"/>
      <c r="T25" s="1181"/>
      <c r="U25" s="411"/>
      <c r="Y25" s="104"/>
      <c r="AA25" s="443"/>
      <c r="AB25" s="443"/>
      <c r="AC25" s="443"/>
      <c r="AD25" s="443"/>
      <c r="AE25" s="443"/>
      <c r="AF25" s="444"/>
      <c r="AG25" s="476"/>
      <c r="AH25" s="443"/>
      <c r="AI25" s="443"/>
      <c r="AJ25" s="443"/>
      <c r="AK25" s="443"/>
      <c r="AL25" s="443"/>
      <c r="AM25" s="443"/>
      <c r="AN25" s="443"/>
      <c r="AO25" s="443"/>
      <c r="AP25" s="443"/>
      <c r="AQ25" s="443"/>
    </row>
    <row r="26" spans="1:43" ht="15.75" thickBot="1">
      <c r="A26" s="48"/>
      <c r="B26" s="48"/>
      <c r="M26" s="789"/>
      <c r="N26" s="100"/>
      <c r="O26" s="100"/>
      <c r="P26" s="100" t="str">
        <f>CONCATENATE( "Abas using $ ",Q26)</f>
        <v>Abas using $ 100</v>
      </c>
      <c r="Q26" s="822">
        <v>100</v>
      </c>
      <c r="R26" s="100"/>
      <c r="S26" s="804"/>
      <c r="T26" s="1181"/>
      <c r="U26" s="411"/>
      <c r="Y26" s="104"/>
      <c r="AA26" s="446" t="str">
        <f>AH26</f>
        <v>Tri State Labor</v>
      </c>
      <c r="AB26" s="447"/>
      <c r="AC26" s="447"/>
      <c r="AD26" s="448"/>
      <c r="AE26" s="449"/>
      <c r="AF26" s="1178"/>
      <c r="AG26" s="498"/>
      <c r="AH26" s="452" t="s">
        <v>55</v>
      </c>
      <c r="AI26" s="453"/>
      <c r="AJ26" s="453"/>
      <c r="AK26" s="454"/>
      <c r="AL26" s="443"/>
      <c r="AM26" s="443"/>
      <c r="AN26" s="443"/>
      <c r="AO26" s="443"/>
      <c r="AP26" s="443"/>
      <c r="AQ26" s="443"/>
    </row>
    <row r="27" spans="1:43" ht="15.75" thickBot="1">
      <c r="A27" s="48"/>
      <c r="B27" s="48"/>
      <c r="M27" s="818"/>
      <c r="N27" s="819"/>
      <c r="O27" s="819"/>
      <c r="P27" s="819"/>
      <c r="Q27" s="819"/>
      <c r="R27" s="819"/>
      <c r="S27" s="819"/>
      <c r="T27" s="821"/>
      <c r="U27" s="411"/>
      <c r="Y27" s="761"/>
      <c r="AA27" s="456"/>
      <c r="AB27" s="447"/>
      <c r="AC27" s="447"/>
      <c r="AD27" s="448"/>
      <c r="AE27" s="457"/>
      <c r="AF27" s="1179"/>
      <c r="AG27" s="498"/>
      <c r="AH27" s="456"/>
      <c r="AI27" s="459"/>
      <c r="AJ27" s="447"/>
      <c r="AK27" s="448"/>
      <c r="AL27" s="443"/>
      <c r="AM27" s="443"/>
      <c r="AN27" s="443"/>
      <c r="AO27" s="443"/>
      <c r="AP27" s="443"/>
      <c r="AQ27" s="443"/>
    </row>
    <row r="28" spans="1:43">
      <c r="A28" s="48"/>
      <c r="B28" s="48"/>
      <c r="M28" s="411"/>
      <c r="N28" s="411"/>
      <c r="O28" s="411"/>
      <c r="P28" s="411"/>
      <c r="Q28" s="411"/>
      <c r="R28" s="411"/>
      <c r="S28" s="411"/>
      <c r="Y28" s="761"/>
      <c r="Z28" s="202"/>
      <c r="AA28" s="501" t="s">
        <v>56</v>
      </c>
      <c r="AB28" s="502"/>
      <c r="AC28" s="502"/>
      <c r="AD28" s="1190"/>
      <c r="AE28" s="443"/>
      <c r="AF28" s="444"/>
      <c r="AG28" s="498"/>
      <c r="AH28" s="501"/>
      <c r="AI28" s="503" t="s">
        <v>57</v>
      </c>
      <c r="AJ28" s="502" t="s">
        <v>58</v>
      </c>
      <c r="AK28" s="1190"/>
      <c r="AL28" s="443"/>
      <c r="AM28" s="443"/>
      <c r="AN28" s="443"/>
      <c r="AO28" s="443"/>
      <c r="AP28" s="443"/>
      <c r="AQ28" s="443"/>
    </row>
    <row r="29" spans="1:43">
      <c r="A29" s="96"/>
      <c r="B29" s="96"/>
      <c r="M29" s="411"/>
      <c r="N29" s="411"/>
      <c r="O29" s="411"/>
      <c r="P29" s="411"/>
      <c r="Q29" s="411"/>
      <c r="R29" s="411"/>
      <c r="S29" s="411"/>
      <c r="Y29" s="761"/>
      <c r="AA29" s="460">
        <f>AI29*AJ29</f>
        <v>333.88319999999999</v>
      </c>
      <c r="AB29" s="461"/>
      <c r="AC29" s="462"/>
      <c r="AD29" s="463"/>
      <c r="AE29" s="443"/>
      <c r="AF29" s="444"/>
      <c r="AG29" s="498"/>
      <c r="AH29" s="460"/>
      <c r="AI29" s="462">
        <f>1.064*104.6</f>
        <v>111.2944</v>
      </c>
      <c r="AJ29" s="505">
        <v>3</v>
      </c>
      <c r="AK29" s="463"/>
      <c r="AL29" s="846"/>
      <c r="AM29" s="443"/>
      <c r="AN29" s="443"/>
      <c r="AO29" s="443"/>
      <c r="AP29" s="443"/>
      <c r="AQ29" s="443"/>
    </row>
    <row r="30" spans="1:43" ht="15.75" thickBot="1">
      <c r="A30" s="101"/>
      <c r="B30" s="101"/>
      <c r="M30" s="411"/>
      <c r="N30" s="411"/>
      <c r="O30" s="411"/>
      <c r="P30" s="411"/>
      <c r="Q30" s="411"/>
      <c r="R30" s="411"/>
      <c r="S30" s="411"/>
      <c r="Y30" s="761"/>
      <c r="AA30" s="469"/>
      <c r="AB30" s="470"/>
      <c r="AC30" s="471"/>
      <c r="AD30" s="472"/>
      <c r="AE30" s="443"/>
      <c r="AF30" s="444"/>
      <c r="AG30" s="498"/>
      <c r="AH30" s="414"/>
      <c r="AI30" s="415"/>
      <c r="AJ30" s="415"/>
      <c r="AK30" s="416"/>
      <c r="AL30" s="443"/>
      <c r="AM30" s="443"/>
      <c r="AN30" s="443"/>
      <c r="AO30" s="443"/>
      <c r="AP30" s="443"/>
      <c r="AQ30" s="443"/>
    </row>
    <row r="31" spans="1:43" ht="15.75" thickBot="1">
      <c r="A31" s="105"/>
      <c r="B31" s="105"/>
      <c r="M31" s="411"/>
      <c r="N31" s="411"/>
      <c r="O31" s="411"/>
      <c r="P31" s="411"/>
      <c r="Q31" s="411"/>
      <c r="R31" s="411"/>
      <c r="S31" s="411"/>
      <c r="Y31" s="104"/>
      <c r="AA31" s="443"/>
      <c r="AB31" s="443"/>
      <c r="AC31" s="443"/>
      <c r="AD31" s="443"/>
      <c r="AE31" s="443"/>
      <c r="AF31" s="444"/>
      <c r="AG31" s="443"/>
      <c r="AH31" s="443"/>
      <c r="AI31" s="443"/>
      <c r="AJ31" s="443"/>
      <c r="AK31" s="443"/>
      <c r="AL31" s="443"/>
      <c r="AM31" s="443"/>
      <c r="AN31" s="443"/>
      <c r="AO31" s="443"/>
      <c r="AP31" s="443"/>
      <c r="AQ31" s="443"/>
    </row>
    <row r="32" spans="1:43" ht="15.75" thickBot="1">
      <c r="A32" s="109"/>
      <c r="B32" s="109"/>
      <c r="M32" s="411"/>
      <c r="N32" s="411"/>
      <c r="O32" s="411"/>
      <c r="P32" s="411"/>
      <c r="Q32" s="411"/>
      <c r="R32" s="411"/>
      <c r="S32" s="411"/>
      <c r="Y32" s="104"/>
      <c r="AA32" s="506" t="str">
        <f>AI32</f>
        <v>Electrical Plan Submission Fee</v>
      </c>
      <c r="AB32" s="507"/>
      <c r="AC32" s="507"/>
      <c r="AD32" s="508"/>
      <c r="AE32" s="449"/>
      <c r="AF32" s="1178"/>
      <c r="AG32" s="509"/>
      <c r="AH32" s="510" t="s">
        <v>59</v>
      </c>
      <c r="AI32" s="511" t="s">
        <v>60</v>
      </c>
      <c r="AJ32" s="511"/>
      <c r="AK32" s="512"/>
      <c r="AL32" s="443"/>
      <c r="AM32" s="443"/>
      <c r="AN32" s="443"/>
      <c r="AO32" s="443"/>
      <c r="AP32" s="443"/>
      <c r="AQ32" s="443"/>
    </row>
    <row r="33" spans="1:43">
      <c r="A33" s="110"/>
      <c r="B33" s="110"/>
      <c r="M33" s="411"/>
      <c r="N33" s="411"/>
      <c r="O33" s="411"/>
      <c r="P33" s="411"/>
      <c r="Q33" s="411"/>
      <c r="R33" s="411"/>
      <c r="S33" s="411"/>
      <c r="Y33" s="104"/>
      <c r="AA33" s="513" t="s">
        <v>56</v>
      </c>
      <c r="AB33" s="507"/>
      <c r="AC33" s="507"/>
      <c r="AD33" s="508"/>
      <c r="AE33" s="457"/>
      <c r="AF33" s="1179"/>
      <c r="AG33" s="509"/>
      <c r="AH33" s="513" t="s">
        <v>61</v>
      </c>
      <c r="AI33" s="514" t="s">
        <v>56</v>
      </c>
      <c r="AJ33" s="507" t="s">
        <v>56</v>
      </c>
      <c r="AK33" s="508"/>
      <c r="AL33" s="443"/>
      <c r="AM33" s="443"/>
      <c r="AN33" s="443"/>
      <c r="AO33" s="443"/>
      <c r="AP33" s="443"/>
      <c r="AQ33" s="443"/>
    </row>
    <row r="34" spans="1:43">
      <c r="A34" s="113"/>
      <c r="B34" s="113"/>
      <c r="M34" s="411"/>
      <c r="N34" s="411"/>
      <c r="O34" s="411"/>
      <c r="P34" s="411"/>
      <c r="Q34" s="411"/>
      <c r="R34" s="411"/>
      <c r="S34" s="411"/>
      <c r="Y34" s="104"/>
      <c r="AA34" s="515" t="s">
        <v>42</v>
      </c>
      <c r="AB34" s="516"/>
      <c r="AC34" s="516"/>
      <c r="AD34" s="1191"/>
      <c r="AE34" s="443"/>
      <c r="AF34" s="444"/>
      <c r="AG34" s="509"/>
      <c r="AH34" s="515" t="s">
        <v>62</v>
      </c>
      <c r="AI34" s="517" t="s">
        <v>63</v>
      </c>
      <c r="AJ34" s="516" t="s">
        <v>64</v>
      </c>
      <c r="AK34" s="1191"/>
      <c r="AL34" s="443"/>
      <c r="AM34" s="443"/>
      <c r="AN34" s="443"/>
      <c r="AO34" s="443"/>
      <c r="AP34" s="443"/>
      <c r="AQ34" s="443"/>
    </row>
    <row r="35" spans="1:43">
      <c r="A35" s="115"/>
      <c r="B35" s="115"/>
      <c r="M35" s="411"/>
      <c r="N35" s="411"/>
      <c r="O35" s="411"/>
      <c r="P35" s="411"/>
      <c r="Q35" s="411"/>
      <c r="R35" s="411"/>
      <c r="S35" s="411"/>
      <c r="Y35" s="104"/>
      <c r="AA35" s="460">
        <f>SUM(AH35:AJ35)</f>
        <v>220.89999999999998</v>
      </c>
      <c r="AB35" s="461"/>
      <c r="AC35" s="462"/>
      <c r="AD35" s="463"/>
      <c r="AE35" s="443"/>
      <c r="AF35" s="444"/>
      <c r="AG35" s="509"/>
      <c r="AH35" s="460">
        <v>105.9</v>
      </c>
      <c r="AI35" s="462">
        <v>26.2</v>
      </c>
      <c r="AJ35" s="462">
        <v>88.8</v>
      </c>
      <c r="AK35" s="463"/>
      <c r="AL35" s="846"/>
      <c r="AM35" s="443"/>
      <c r="AN35" s="443"/>
      <c r="AO35" s="443"/>
      <c r="AP35" s="443"/>
      <c r="AQ35" s="443"/>
    </row>
    <row r="36" spans="1:43" ht="15.75" thickBot="1">
      <c r="A36" s="121"/>
      <c r="B36" s="121"/>
      <c r="M36" s="411"/>
      <c r="N36" s="411"/>
      <c r="O36" s="411"/>
      <c r="P36" s="411"/>
      <c r="Q36" s="411"/>
      <c r="R36" s="411"/>
      <c r="S36" s="411"/>
      <c r="Y36" s="104"/>
      <c r="AA36" s="469"/>
      <c r="AB36" s="470"/>
      <c r="AC36" s="471"/>
      <c r="AD36" s="472"/>
      <c r="AE36" s="443"/>
      <c r="AF36" s="444"/>
      <c r="AG36" s="509"/>
      <c r="AH36" s="414"/>
      <c r="AI36" s="415"/>
      <c r="AJ36" s="415"/>
      <c r="AK36" s="416"/>
      <c r="AL36" s="443"/>
      <c r="AM36" s="443"/>
      <c r="AN36" s="443"/>
      <c r="AO36" s="443"/>
      <c r="AP36" s="443"/>
      <c r="AQ36" s="443"/>
    </row>
    <row r="37" spans="1:43" ht="15.75" thickBot="1">
      <c r="A37" s="124"/>
      <c r="B37" s="124"/>
      <c r="M37" s="411"/>
      <c r="N37" s="411"/>
      <c r="O37" s="411"/>
      <c r="P37" s="411"/>
      <c r="Q37" s="411"/>
      <c r="R37" s="411"/>
      <c r="S37" s="411"/>
      <c r="X37" s="104"/>
      <c r="AA37" s="443"/>
      <c r="AB37" s="443"/>
      <c r="AC37" s="443"/>
      <c r="AD37" s="443"/>
      <c r="AE37" s="443"/>
      <c r="AF37" s="444"/>
      <c r="AG37" s="443"/>
      <c r="AH37" s="443"/>
      <c r="AI37" s="443"/>
      <c r="AJ37" s="443"/>
      <c r="AK37" s="443"/>
      <c r="AL37" s="443"/>
      <c r="AM37" s="443"/>
      <c r="AN37" s="443"/>
      <c r="AO37" s="443"/>
      <c r="AP37" s="443"/>
      <c r="AQ37" s="443"/>
    </row>
    <row r="38" spans="1:43" ht="15.75" thickBot="1">
      <c r="A38" s="125"/>
      <c r="B38" s="125"/>
      <c r="M38" s="411"/>
      <c r="N38" s="411"/>
      <c r="O38" s="411"/>
      <c r="P38" s="411"/>
      <c r="Q38" s="411"/>
      <c r="R38" s="411"/>
      <c r="S38" s="411"/>
      <c r="AA38" s="522" t="str">
        <f>AI38</f>
        <v>Minimum Plan Review Fee</v>
      </c>
      <c r="AB38" s="523"/>
      <c r="AC38" s="523"/>
      <c r="AD38" s="524"/>
      <c r="AE38" s="449"/>
      <c r="AF38" s="1178"/>
      <c r="AG38" s="451"/>
      <c r="AH38" s="525" t="s">
        <v>65</v>
      </c>
      <c r="AI38" s="526" t="s">
        <v>66</v>
      </c>
      <c r="AJ38" s="526"/>
      <c r="AK38" s="527"/>
      <c r="AL38" s="443"/>
      <c r="AM38" s="443"/>
      <c r="AN38" s="443"/>
      <c r="AO38" s="443"/>
      <c r="AP38" s="443"/>
      <c r="AQ38" s="443"/>
    </row>
    <row r="39" spans="1:43">
      <c r="M39" s="411"/>
      <c r="N39" s="411"/>
      <c r="O39" s="411"/>
      <c r="P39" s="411"/>
      <c r="Q39" s="411"/>
      <c r="R39" s="411"/>
      <c r="S39" s="411"/>
      <c r="AA39" s="522" t="s">
        <v>67</v>
      </c>
      <c r="AB39" s="523"/>
      <c r="AC39" s="523"/>
      <c r="AD39" s="524"/>
      <c r="AE39" s="457"/>
      <c r="AF39" s="1179"/>
      <c r="AG39" s="451"/>
      <c r="AH39" s="528" t="s">
        <v>68</v>
      </c>
      <c r="AI39" s="529" t="s">
        <v>69</v>
      </c>
      <c r="AJ39" s="523"/>
      <c r="AK39" s="524"/>
      <c r="AL39" s="443"/>
      <c r="AM39" s="443"/>
      <c r="AN39" s="443"/>
      <c r="AO39" s="443"/>
      <c r="AP39" s="443"/>
      <c r="AQ39" s="443"/>
    </row>
    <row r="40" spans="1:43">
      <c r="M40" s="411"/>
      <c r="N40" s="411"/>
      <c r="O40" s="411"/>
      <c r="P40" s="411"/>
      <c r="Q40" s="411"/>
      <c r="R40" s="411"/>
      <c r="S40" s="411"/>
      <c r="AA40" s="530" t="s">
        <v>70</v>
      </c>
      <c r="AB40" s="531"/>
      <c r="AC40" s="531"/>
      <c r="AD40" s="1192"/>
      <c r="AE40" s="443"/>
      <c r="AF40" s="444"/>
      <c r="AG40" s="451"/>
      <c r="AH40" s="530"/>
      <c r="AI40" s="532" t="s">
        <v>71</v>
      </c>
      <c r="AJ40" s="531"/>
      <c r="AK40" s="1192"/>
      <c r="AL40" s="443"/>
      <c r="AM40" s="443"/>
      <c r="AN40" s="443"/>
      <c r="AO40" s="443"/>
      <c r="AP40" s="443"/>
      <c r="AQ40" s="443"/>
    </row>
    <row r="41" spans="1:43">
      <c r="M41" s="411"/>
      <c r="N41" s="411"/>
      <c r="O41" s="411"/>
      <c r="P41" s="411"/>
      <c r="Q41" s="411"/>
      <c r="R41" s="411"/>
      <c r="S41" s="411"/>
      <c r="AA41" s="460">
        <f>AH41*AI41</f>
        <v>295.52600000000001</v>
      </c>
      <c r="AB41" s="461"/>
      <c r="AC41" s="462"/>
      <c r="AD41" s="463"/>
      <c r="AE41" s="443"/>
      <c r="AF41" s="444"/>
      <c r="AG41" s="451"/>
      <c r="AH41" s="533">
        <v>2.5</v>
      </c>
      <c r="AI41" s="462">
        <f>111.1*1.064</f>
        <v>118.21040000000001</v>
      </c>
      <c r="AJ41" s="462"/>
      <c r="AK41" s="463"/>
      <c r="AL41" s="443"/>
      <c r="AM41" s="443"/>
      <c r="AN41" s="443"/>
      <c r="AO41" s="443"/>
      <c r="AP41" s="443"/>
      <c r="AQ41" s="443"/>
    </row>
    <row r="42" spans="1:43" ht="15.75" thickBot="1">
      <c r="M42" s="411"/>
      <c r="N42" s="411"/>
      <c r="O42" s="411"/>
      <c r="P42" s="411"/>
      <c r="Q42" s="411"/>
      <c r="R42" s="411"/>
      <c r="S42" s="411"/>
      <c r="AA42" s="469"/>
      <c r="AB42" s="470"/>
      <c r="AC42" s="471"/>
      <c r="AD42" s="472"/>
      <c r="AE42" s="443"/>
      <c r="AF42" s="444"/>
      <c r="AG42" s="451"/>
      <c r="AH42" s="414"/>
      <c r="AI42" s="415"/>
      <c r="AJ42" s="415"/>
      <c r="AK42" s="416"/>
      <c r="AL42" s="443"/>
      <c r="AM42" s="443"/>
      <c r="AN42" s="443"/>
      <c r="AO42" s="443"/>
      <c r="AP42" s="443"/>
      <c r="AQ42" s="443"/>
    </row>
    <row r="43" spans="1:43">
      <c r="M43" s="411"/>
      <c r="N43" s="411"/>
      <c r="O43" s="411"/>
      <c r="P43" s="411"/>
      <c r="Q43" s="411"/>
      <c r="R43" s="411"/>
      <c r="S43" s="411"/>
      <c r="AA43" s="443"/>
      <c r="AB43" s="443"/>
      <c r="AC43" s="443"/>
      <c r="AD43" s="443"/>
      <c r="AE43" s="443"/>
      <c r="AF43" s="444"/>
      <c r="AG43" s="451"/>
      <c r="AH43" s="411"/>
      <c r="AI43" s="411"/>
      <c r="AJ43" s="411"/>
      <c r="AK43" s="411"/>
      <c r="AL43" s="443"/>
      <c r="AM43" s="443"/>
      <c r="AN43" s="443"/>
      <c r="AO43" s="443"/>
      <c r="AP43" s="443"/>
      <c r="AQ43" s="443"/>
    </row>
    <row r="44" spans="1:43" ht="15.75" thickBot="1">
      <c r="M44" s="411"/>
      <c r="N44" s="411"/>
      <c r="O44" s="411"/>
      <c r="P44" s="411"/>
      <c r="Q44" s="411"/>
      <c r="R44" s="411"/>
      <c r="S44" s="411"/>
      <c r="AA44" s="443"/>
      <c r="AB44" s="443"/>
      <c r="AC44" s="443"/>
      <c r="AD44" s="443"/>
      <c r="AE44" s="443"/>
      <c r="AF44" s="444"/>
      <c r="AG44" s="451"/>
      <c r="AH44" s="443"/>
      <c r="AI44" s="443"/>
      <c r="AJ44" s="443"/>
      <c r="AK44" s="443"/>
      <c r="AL44" s="443"/>
      <c r="AM44" s="443"/>
      <c r="AN44" s="443"/>
      <c r="AO44" s="443"/>
      <c r="AP44" s="443"/>
      <c r="AQ44" s="443"/>
    </row>
    <row r="45" spans="1:43" ht="15.75" thickBot="1">
      <c r="M45" s="411"/>
      <c r="N45" s="411"/>
      <c r="O45" s="411"/>
      <c r="P45" s="411"/>
      <c r="Q45" s="411"/>
      <c r="R45" s="411"/>
      <c r="S45" s="411"/>
      <c r="AA45" s="535" t="s">
        <v>72</v>
      </c>
      <c r="AB45" s="536"/>
      <c r="AC45" s="536"/>
      <c r="AD45" s="537"/>
      <c r="AE45" s="449"/>
      <c r="AF45" s="1178"/>
      <c r="AG45" s="538"/>
      <c r="AH45" s="539" t="s">
        <v>73</v>
      </c>
      <c r="AI45" s="540"/>
      <c r="AJ45" s="541"/>
      <c r="AK45" s="443"/>
      <c r="AL45" s="443"/>
      <c r="AM45" s="443"/>
      <c r="AN45" s="443"/>
      <c r="AO45" s="443"/>
      <c r="AP45" s="443"/>
      <c r="AQ45" s="443"/>
    </row>
    <row r="46" spans="1:43">
      <c r="M46" s="411"/>
      <c r="N46" s="411"/>
      <c r="O46" s="411"/>
      <c r="P46" s="411"/>
      <c r="Q46" s="411"/>
      <c r="R46" s="411"/>
      <c r="S46" s="411"/>
      <c r="AA46" s="542" t="str">
        <f>H4</f>
        <v>Master Plan</v>
      </c>
      <c r="AB46" s="543" t="str">
        <f>H4</f>
        <v>Master Plan</v>
      </c>
      <c r="AC46" s="536"/>
      <c r="AD46" s="537"/>
      <c r="AE46" s="457"/>
      <c r="AF46" s="1179"/>
      <c r="AG46" s="538"/>
      <c r="AH46" s="544" t="s">
        <v>74</v>
      </c>
      <c r="AI46" s="536" t="s">
        <v>75</v>
      </c>
      <c r="AJ46" s="545"/>
      <c r="AK46" s="443"/>
      <c r="AL46" s="443"/>
      <c r="AM46" s="443"/>
      <c r="AN46" s="443"/>
      <c r="AO46" s="443"/>
      <c r="AP46" s="443"/>
      <c r="AQ46" s="443"/>
    </row>
    <row r="47" spans="1:43">
      <c r="M47" s="411"/>
      <c r="N47" s="411"/>
      <c r="O47" s="411"/>
      <c r="P47" s="411"/>
      <c r="Q47" s="411"/>
      <c r="R47" s="411"/>
      <c r="S47" s="411"/>
      <c r="AA47" s="546" t="s">
        <v>42</v>
      </c>
      <c r="AB47" s="547" t="s">
        <v>75</v>
      </c>
      <c r="AC47" s="548"/>
      <c r="AD47" s="1193"/>
      <c r="AE47" s="443"/>
      <c r="AF47" s="444"/>
      <c r="AG47" s="538"/>
      <c r="AH47" s="549" t="s">
        <v>76</v>
      </c>
      <c r="AI47" s="550">
        <v>0.45400000000000001</v>
      </c>
      <c r="AJ47" s="551"/>
      <c r="AK47" s="443"/>
      <c r="AL47" s="443"/>
      <c r="AM47" s="443"/>
      <c r="AN47" s="443"/>
      <c r="AO47" s="443"/>
      <c r="AP47" s="443"/>
      <c r="AQ47" s="443"/>
    </row>
    <row r="48" spans="1:43">
      <c r="M48" s="411"/>
      <c r="N48" s="411"/>
      <c r="O48" s="411"/>
      <c r="P48" s="411"/>
      <c r="Q48" s="411"/>
      <c r="R48" s="411"/>
      <c r="S48" s="411"/>
      <c r="AA48" s="460">
        <f>AD94*AB48</f>
        <v>2265.82125</v>
      </c>
      <c r="AB48" s="552">
        <f>VLOOKUP(H4,AH47:AI49,2,0)</f>
        <v>0.64900000000000002</v>
      </c>
      <c r="AC48" s="462"/>
      <c r="AD48" s="463"/>
      <c r="AE48" s="443"/>
      <c r="AF48" s="444"/>
      <c r="AG48" s="538"/>
      <c r="AH48" s="553" t="s">
        <v>77</v>
      </c>
      <c r="AI48" s="554">
        <v>0.64900000000000002</v>
      </c>
      <c r="AJ48" s="555"/>
      <c r="AK48" s="443"/>
      <c r="AL48" s="443"/>
      <c r="AM48" s="443"/>
      <c r="AN48" s="443"/>
      <c r="AO48" s="443"/>
      <c r="AP48" s="443"/>
      <c r="AQ48" s="443"/>
    </row>
    <row r="49" spans="13:43" ht="15.75" thickBot="1">
      <c r="M49" s="411"/>
      <c r="N49" s="411"/>
      <c r="O49" s="411"/>
      <c r="P49" s="411"/>
      <c r="Q49" s="411"/>
      <c r="R49" s="411"/>
      <c r="S49" s="411"/>
      <c r="AA49" s="469"/>
      <c r="AB49" s="470"/>
      <c r="AC49" s="471"/>
      <c r="AD49" s="472"/>
      <c r="AE49" s="443"/>
      <c r="AF49" s="444"/>
      <c r="AG49" s="538"/>
      <c r="AH49" s="495"/>
      <c r="AI49" s="496"/>
      <c r="AJ49" s="556"/>
      <c r="AK49" s="443"/>
      <c r="AL49" s="443"/>
      <c r="AM49" s="443"/>
      <c r="AN49" s="443"/>
      <c r="AO49" s="443"/>
      <c r="AP49" s="443"/>
      <c r="AQ49" s="443"/>
    </row>
    <row r="50" spans="13:43" ht="15.75" thickBot="1">
      <c r="X50" s="104"/>
      <c r="AA50" s="443"/>
      <c r="AB50" s="443"/>
      <c r="AC50" s="443"/>
      <c r="AD50" s="443"/>
      <c r="AE50" s="443"/>
      <c r="AF50" s="444"/>
      <c r="AG50" s="443"/>
      <c r="AH50" s="443"/>
      <c r="AI50" s="443"/>
      <c r="AJ50" s="443"/>
      <c r="AK50" s="443"/>
      <c r="AL50" s="443"/>
      <c r="AM50" s="443"/>
      <c r="AN50" s="443"/>
      <c r="AO50" s="443"/>
      <c r="AP50" s="443"/>
      <c r="AQ50" s="443"/>
    </row>
    <row r="51" spans="13:43" ht="15.75" thickBot="1">
      <c r="AA51" s="557" t="str">
        <f>AH51</f>
        <v xml:space="preserve">Insignia Fees </v>
      </c>
      <c r="AB51" s="558"/>
      <c r="AC51" s="558"/>
      <c r="AD51" s="559"/>
      <c r="AE51" s="449"/>
      <c r="AF51" s="1178"/>
      <c r="AG51" s="560"/>
      <c r="AH51" s="561" t="s">
        <v>78</v>
      </c>
      <c r="AI51" s="562"/>
      <c r="AJ51" s="562"/>
      <c r="AK51" s="562"/>
      <c r="AL51" s="563"/>
      <c r="AM51" s="443"/>
      <c r="AN51" s="443"/>
      <c r="AO51" s="443"/>
      <c r="AP51" s="443"/>
      <c r="AQ51" s="443"/>
    </row>
    <row r="52" spans="13:43">
      <c r="Y52" s="564"/>
      <c r="AA52" s="565" t="s">
        <v>79</v>
      </c>
      <c r="AB52" s="566" t="s">
        <v>80</v>
      </c>
      <c r="AC52" s="558" t="s">
        <v>81</v>
      </c>
      <c r="AD52" s="559" t="s">
        <v>82</v>
      </c>
      <c r="AE52" s="457"/>
      <c r="AF52" s="1179"/>
      <c r="AG52" s="560"/>
      <c r="AH52" s="565" t="s">
        <v>83</v>
      </c>
      <c r="AI52" s="566" t="s">
        <v>84</v>
      </c>
      <c r="AJ52" s="558" t="s">
        <v>82</v>
      </c>
      <c r="AK52" s="558"/>
      <c r="AL52" s="559" t="s">
        <v>81</v>
      </c>
      <c r="AM52" s="443" t="s">
        <v>85</v>
      </c>
      <c r="AN52" s="443"/>
      <c r="AO52" s="443"/>
      <c r="AP52" s="443"/>
      <c r="AQ52" s="443"/>
    </row>
    <row r="53" spans="13:43">
      <c r="Y53" s="564"/>
      <c r="AA53" s="567"/>
      <c r="AB53" s="569" t="s">
        <v>86</v>
      </c>
      <c r="AC53" s="568" t="s">
        <v>87</v>
      </c>
      <c r="AD53" s="1194" t="s">
        <v>42</v>
      </c>
      <c r="AE53" s="443"/>
      <c r="AF53" s="444"/>
      <c r="AG53" s="560"/>
      <c r="AH53" s="567" t="s">
        <v>86</v>
      </c>
      <c r="AI53" s="569" t="s">
        <v>86</v>
      </c>
      <c r="AJ53" s="568" t="s">
        <v>88</v>
      </c>
      <c r="AK53" s="568"/>
      <c r="AL53" s="1194" t="s">
        <v>89</v>
      </c>
      <c r="AM53" s="443"/>
      <c r="AN53" s="443"/>
      <c r="AO53" s="443"/>
      <c r="AP53" s="443"/>
      <c r="AQ53" s="443"/>
    </row>
    <row r="54" spans="13:43">
      <c r="AA54" s="766">
        <f>AH54*AL54</f>
        <v>756.71680000000003</v>
      </c>
      <c r="AB54" s="570">
        <f>AC54*AI54*AL54</f>
        <v>336.22400000000005</v>
      </c>
      <c r="AC54" s="571">
        <f>IF(H9&lt;1,0,H9-1)</f>
        <v>5</v>
      </c>
      <c r="AD54" s="572">
        <f>AJ54*AL54</f>
        <v>101.50560000000002</v>
      </c>
      <c r="AE54" s="443"/>
      <c r="AF54" s="444"/>
      <c r="AG54" s="560"/>
      <c r="AH54" s="460">
        <f>1.064*355.6</f>
        <v>378.35840000000002</v>
      </c>
      <c r="AI54" s="462">
        <f>1.064*31.6</f>
        <v>33.622400000000006</v>
      </c>
      <c r="AJ54" s="462">
        <f>1.064*47.7</f>
        <v>50.752800000000008</v>
      </c>
      <c r="AK54" s="462"/>
      <c r="AL54" s="573">
        <f>IF(H8&lt;=0,1,H8)</f>
        <v>2</v>
      </c>
      <c r="AM54" s="846"/>
      <c r="AN54" s="846"/>
      <c r="AO54" s="846"/>
      <c r="AP54" s="443"/>
      <c r="AQ54" s="443"/>
    </row>
    <row r="55" spans="13:43" ht="15.75" thickBot="1">
      <c r="AA55" s="574"/>
      <c r="AB55" s="575"/>
      <c r="AC55" s="576"/>
      <c r="AD55" s="577"/>
      <c r="AE55" s="443"/>
      <c r="AF55" s="444"/>
      <c r="AG55" s="560"/>
      <c r="AH55" s="578"/>
      <c r="AI55" s="579"/>
      <c r="AJ55" s="579"/>
      <c r="AK55" s="579"/>
      <c r="AL55" s="416"/>
      <c r="AM55" s="443"/>
      <c r="AN55" s="443"/>
      <c r="AO55" s="443"/>
      <c r="AP55" s="443"/>
      <c r="AQ55" s="443"/>
    </row>
    <row r="56" spans="13:43" ht="15.75" thickBot="1">
      <c r="AA56" s="443"/>
      <c r="AB56" s="443"/>
      <c r="AC56" s="443"/>
      <c r="AD56" s="443"/>
      <c r="AE56" s="443"/>
      <c r="AF56" s="444"/>
      <c r="AG56" s="443"/>
      <c r="AH56" s="443"/>
      <c r="AI56" s="443"/>
      <c r="AJ56" s="443"/>
      <c r="AK56" s="443"/>
      <c r="AL56" s="443"/>
      <c r="AM56" s="443"/>
      <c r="AN56" s="443"/>
      <c r="AO56" s="443"/>
      <c r="AP56" s="443"/>
      <c r="AQ56" s="443"/>
    </row>
    <row r="57" spans="13:43" ht="15.75" thickBot="1">
      <c r="AA57" s="580" t="str">
        <f>AH57</f>
        <v>Fire Life Safety</v>
      </c>
      <c r="AB57" s="581"/>
      <c r="AC57" s="581"/>
      <c r="AD57" s="582"/>
      <c r="AE57" s="449"/>
      <c r="AF57" s="1178"/>
      <c r="AG57" s="583"/>
      <c r="AH57" s="584" t="s">
        <v>27</v>
      </c>
      <c r="AI57" s="585"/>
      <c r="AJ57" s="586"/>
      <c r="AK57" s="443"/>
      <c r="AL57" s="443"/>
      <c r="AM57" s="443"/>
      <c r="AN57" s="443"/>
      <c r="AO57" s="443"/>
      <c r="AP57" s="443"/>
      <c r="AQ57" s="443"/>
    </row>
    <row r="58" spans="13:43" ht="15.75" thickBot="1">
      <c r="AA58" s="587" t="s">
        <v>90</v>
      </c>
      <c r="AB58" s="588" t="s">
        <v>90</v>
      </c>
      <c r="AC58" s="588" t="s">
        <v>91</v>
      </c>
      <c r="AD58" s="589" t="s">
        <v>92</v>
      </c>
      <c r="AE58" s="457"/>
      <c r="AF58" s="1179"/>
      <c r="AG58" s="583"/>
      <c r="AH58" s="590" t="s">
        <v>74</v>
      </c>
      <c r="AI58" s="581" t="s">
        <v>75</v>
      </c>
      <c r="AJ58" s="591" t="s">
        <v>93</v>
      </c>
      <c r="AK58" s="443"/>
      <c r="AL58" s="443"/>
      <c r="AM58" s="443"/>
      <c r="AN58" s="443"/>
      <c r="AO58" s="443"/>
      <c r="AP58" s="443"/>
      <c r="AQ58" s="443"/>
    </row>
    <row r="59" spans="13:43">
      <c r="AA59" s="592" t="s">
        <v>42</v>
      </c>
      <c r="AB59" s="593" t="s">
        <v>75</v>
      </c>
      <c r="AC59" s="593" t="s">
        <v>94</v>
      </c>
      <c r="AD59" s="1195">
        <f>AJ59</f>
        <v>4000</v>
      </c>
      <c r="AE59" s="443"/>
      <c r="AF59" s="444"/>
      <c r="AG59" s="583"/>
      <c r="AH59" s="594" t="s">
        <v>90</v>
      </c>
      <c r="AI59" s="595">
        <v>0.19400000000000001</v>
      </c>
      <c r="AJ59" s="596">
        <v>4000</v>
      </c>
      <c r="AK59" s="443"/>
      <c r="AL59" s="443"/>
      <c r="AM59" s="443"/>
      <c r="AN59" s="443"/>
      <c r="AO59" s="443"/>
      <c r="AP59" s="443"/>
      <c r="AQ59" s="443"/>
    </row>
    <row r="60" spans="13:43">
      <c r="AA60" s="597">
        <f>IF(OR(AD60="Yes",AD63="Yes"),AD94*AB60,0)</f>
        <v>1127.6737499999999</v>
      </c>
      <c r="AB60" s="552">
        <f>VLOOKUP(AC60,AH59:AI60,2,)</f>
        <v>0.32300000000000001</v>
      </c>
      <c r="AC60" s="462" t="str">
        <f>H4</f>
        <v>Master Plan</v>
      </c>
      <c r="AD60" s="490" t="str">
        <f>IF(P5&gt;=AJ59,"Yes","No")</f>
        <v>Yes</v>
      </c>
      <c r="AE60" s="443"/>
      <c r="AF60" s="444"/>
      <c r="AG60" s="583"/>
      <c r="AH60" s="553" t="s">
        <v>77</v>
      </c>
      <c r="AI60" s="554">
        <v>0.32300000000000001</v>
      </c>
      <c r="AJ60" s="555"/>
      <c r="AK60" s="443"/>
      <c r="AL60" s="443"/>
      <c r="AM60" s="443"/>
      <c r="AN60" s="443"/>
      <c r="AO60" s="443"/>
      <c r="AP60" s="443"/>
      <c r="AQ60" s="443"/>
    </row>
    <row r="61" spans="13:43" ht="15.75" thickBot="1">
      <c r="AA61" s="598"/>
      <c r="AB61" s="599"/>
      <c r="AC61" s="493"/>
      <c r="AD61" s="600"/>
      <c r="AE61" s="443"/>
      <c r="AF61" s="444"/>
      <c r="AG61" s="583"/>
      <c r="AH61" s="601" t="s">
        <v>95</v>
      </c>
      <c r="AI61" s="602"/>
      <c r="AJ61" s="603" t="s">
        <v>96</v>
      </c>
      <c r="AK61" s="443"/>
      <c r="AL61" s="443"/>
      <c r="AM61" s="443"/>
      <c r="AN61" s="443"/>
      <c r="AO61" s="443"/>
      <c r="AP61" s="443"/>
      <c r="AQ61" s="443"/>
    </row>
    <row r="62" spans="13:43">
      <c r="AA62" s="587"/>
      <c r="AB62" s="588"/>
      <c r="AC62" s="588"/>
      <c r="AD62" s="589" t="str">
        <f>CONCATENATE("Is the building ",AI63)</f>
        <v>Is the building A, I or H</v>
      </c>
      <c r="AE62" s="443"/>
      <c r="AF62" s="444"/>
      <c r="AG62" s="583"/>
      <c r="AH62" s="601"/>
      <c r="AI62" s="602"/>
      <c r="AJ62" s="603" t="s">
        <v>8</v>
      </c>
      <c r="AK62" s="443"/>
      <c r="AL62" s="443"/>
      <c r="AM62" s="443"/>
      <c r="AN62" s="443"/>
      <c r="AO62" s="443"/>
      <c r="AP62" s="443"/>
      <c r="AQ62" s="443"/>
    </row>
    <row r="63" spans="13:43" ht="15.75" thickBot="1">
      <c r="AA63" s="469"/>
      <c r="AB63" s="470"/>
      <c r="AC63" s="471"/>
      <c r="AD63" s="472" t="str">
        <f>H5</f>
        <v>No</v>
      </c>
      <c r="AE63" s="443"/>
      <c r="AF63" s="444"/>
      <c r="AG63" s="583"/>
      <c r="AH63" s="495" t="s">
        <v>97</v>
      </c>
      <c r="AI63" s="604" t="s">
        <v>98</v>
      </c>
      <c r="AJ63" s="556"/>
      <c r="AK63" s="443"/>
      <c r="AL63" s="443"/>
      <c r="AM63" s="443"/>
      <c r="AN63" s="443"/>
      <c r="AO63" s="443"/>
      <c r="AP63" s="443"/>
      <c r="AQ63" s="443"/>
    </row>
    <row r="64" spans="13:43" ht="15.75" thickBot="1">
      <c r="AA64" s="605"/>
      <c r="AB64" s="606"/>
      <c r="AC64" s="499"/>
      <c r="AD64" s="411"/>
      <c r="AE64" s="443"/>
      <c r="AF64" s="444"/>
      <c r="AG64" s="583"/>
      <c r="AH64" s="411"/>
      <c r="AI64" s="411"/>
      <c r="AJ64" s="411"/>
      <c r="AK64" s="443"/>
      <c r="AL64" s="443"/>
      <c r="AM64" s="443"/>
      <c r="AN64" s="443"/>
      <c r="AO64" s="443"/>
      <c r="AP64" s="443"/>
      <c r="AQ64" s="443"/>
    </row>
    <row r="65" spans="27:43" ht="15.75" thickBot="1">
      <c r="AA65" s="557" t="str">
        <f>AH65</f>
        <v>Plumbing</v>
      </c>
      <c r="AB65" s="558"/>
      <c r="AC65" s="558"/>
      <c r="AD65" s="559"/>
      <c r="AE65" s="449"/>
      <c r="AF65" s="1178"/>
      <c r="AG65" s="560"/>
      <c r="AH65" s="561" t="s">
        <v>99</v>
      </c>
      <c r="AI65" s="562"/>
      <c r="AJ65" s="562"/>
      <c r="AK65" s="563"/>
      <c r="AL65" s="443"/>
      <c r="AM65" s="443"/>
      <c r="AN65" s="443"/>
      <c r="AO65" s="443"/>
      <c r="AP65" s="443"/>
      <c r="AQ65" s="443"/>
    </row>
    <row r="66" spans="27:43">
      <c r="AA66" s="565" t="s">
        <v>100</v>
      </c>
      <c r="AB66" s="558" t="s">
        <v>81</v>
      </c>
      <c r="AC66" s="558"/>
      <c r="AD66" s="559"/>
      <c r="AE66" s="457"/>
      <c r="AF66" s="1179"/>
      <c r="AG66" s="560"/>
      <c r="AH66" s="565" t="s">
        <v>99</v>
      </c>
      <c r="AI66" s="566" t="s">
        <v>101</v>
      </c>
      <c r="AJ66" s="558"/>
      <c r="AK66" s="559"/>
      <c r="AL66" s="443"/>
      <c r="AM66" s="443"/>
      <c r="AN66" s="443"/>
      <c r="AO66" s="443"/>
      <c r="AP66" s="443"/>
      <c r="AQ66" s="443"/>
    </row>
    <row r="67" spans="27:43">
      <c r="AA67" s="567" t="s">
        <v>38</v>
      </c>
      <c r="AB67" s="568" t="s">
        <v>102</v>
      </c>
      <c r="AC67" s="568"/>
      <c r="AD67" s="1194"/>
      <c r="AE67" s="443"/>
      <c r="AF67" s="444"/>
      <c r="AG67" s="560"/>
      <c r="AH67" s="567" t="s">
        <v>42</v>
      </c>
      <c r="AI67" s="569" t="s">
        <v>103</v>
      </c>
      <c r="AJ67" s="568"/>
      <c r="AK67" s="1194"/>
      <c r="AL67" s="443"/>
      <c r="AM67" s="443"/>
      <c r="AN67" s="443"/>
      <c r="AO67" s="443"/>
      <c r="AP67" s="443"/>
      <c r="AQ67" s="443"/>
    </row>
    <row r="68" spans="27:43">
      <c r="AA68" s="460">
        <f>IF(H12&gt;0,AH68+(AB68*AI68),0)</f>
        <v>60.7</v>
      </c>
      <c r="AB68" s="571">
        <f>H12</f>
        <v>5</v>
      </c>
      <c r="AC68" s="462"/>
      <c r="AD68" s="463"/>
      <c r="AE68" s="443"/>
      <c r="AF68" s="444"/>
      <c r="AG68" s="560"/>
      <c r="AH68" s="460">
        <v>23.2</v>
      </c>
      <c r="AI68" s="462">
        <v>7.5</v>
      </c>
      <c r="AJ68" s="462"/>
      <c r="AK68" s="463"/>
      <c r="AL68" s="846"/>
      <c r="AM68" s="846"/>
      <c r="AN68" s="443"/>
      <c r="AO68" s="443"/>
      <c r="AP68" s="443"/>
      <c r="AQ68" s="443"/>
    </row>
    <row r="69" spans="27:43" ht="15.75" thickBot="1">
      <c r="AA69" s="469"/>
      <c r="AB69" s="470"/>
      <c r="AC69" s="471"/>
      <c r="AD69" s="472"/>
      <c r="AE69" s="443"/>
      <c r="AF69" s="444"/>
      <c r="AG69" s="560"/>
      <c r="AH69" s="414"/>
      <c r="AI69" s="415"/>
      <c r="AJ69" s="415"/>
      <c r="AK69" s="416"/>
      <c r="AL69" s="443"/>
      <c r="AM69" s="443"/>
      <c r="AN69" s="443"/>
      <c r="AO69" s="443"/>
      <c r="AP69" s="443"/>
      <c r="AQ69" s="443"/>
    </row>
    <row r="70" spans="27:43">
      <c r="AA70" s="443"/>
      <c r="AB70" s="443"/>
      <c r="AC70" s="443"/>
      <c r="AD70" s="443"/>
      <c r="AE70" s="443"/>
      <c r="AF70" s="444"/>
      <c r="AG70" s="443"/>
      <c r="AH70" s="443"/>
      <c r="AI70" s="443"/>
      <c r="AJ70" s="443"/>
      <c r="AK70" s="443"/>
      <c r="AL70" s="443"/>
      <c r="AM70" s="443"/>
      <c r="AN70" s="443"/>
      <c r="AO70" s="443"/>
      <c r="AP70" s="443"/>
      <c r="AQ70" s="443"/>
    </row>
    <row r="71" spans="27:43">
      <c r="AA71" s="443"/>
      <c r="AB71" s="443"/>
      <c r="AC71" s="443"/>
      <c r="AD71" s="443"/>
      <c r="AE71" s="443"/>
      <c r="AF71" s="444"/>
      <c r="AG71" s="443"/>
      <c r="AH71" s="443"/>
      <c r="AI71" s="443"/>
      <c r="AJ71" s="443"/>
      <c r="AK71" s="443"/>
      <c r="AL71" s="443"/>
      <c r="AM71" s="443"/>
      <c r="AN71" s="443"/>
      <c r="AO71" s="443"/>
      <c r="AP71" s="443"/>
      <c r="AQ71" s="443"/>
    </row>
    <row r="72" spans="27:43" ht="15.75" thickBot="1">
      <c r="AA72" s="443"/>
      <c r="AB72" s="443"/>
      <c r="AC72" s="443"/>
      <c r="AD72" s="443"/>
      <c r="AE72" s="443"/>
      <c r="AF72" s="444"/>
      <c r="AG72" s="607"/>
      <c r="AH72" s="607" t="s">
        <v>104</v>
      </c>
      <c r="AJ72" s="607" t="s">
        <v>105</v>
      </c>
      <c r="AK72" s="607"/>
      <c r="AL72" s="607"/>
      <c r="AM72" s="607"/>
      <c r="AN72" s="607"/>
      <c r="AO72" s="607"/>
      <c r="AP72" s="607"/>
      <c r="AQ72" s="607"/>
    </row>
    <row r="73" spans="27:43">
      <c r="AA73" s="443"/>
      <c r="AB73" s="443"/>
      <c r="AC73" s="443"/>
      <c r="AD73" s="443"/>
      <c r="AE73" s="443"/>
      <c r="AF73" s="444"/>
      <c r="AG73" s="607"/>
      <c r="AH73" s="608">
        <v>1</v>
      </c>
      <c r="AI73" s="609" t="s">
        <v>106</v>
      </c>
      <c r="AJ73" s="609"/>
      <c r="AK73" s="609"/>
      <c r="AL73" s="609"/>
      <c r="AM73" s="609"/>
      <c r="AN73" s="609"/>
      <c r="AO73" s="609"/>
      <c r="AP73" s="609"/>
      <c r="AQ73" s="609"/>
    </row>
    <row r="74" spans="27:43">
      <c r="AA74" s="443"/>
      <c r="AB74" s="443"/>
      <c r="AC74" s="443"/>
      <c r="AD74" s="443"/>
      <c r="AE74" s="443"/>
      <c r="AF74" s="444"/>
      <c r="AG74" s="607"/>
      <c r="AH74" s="410"/>
      <c r="AI74" s="411" t="s">
        <v>107</v>
      </c>
      <c r="AJ74" s="411"/>
      <c r="AK74" s="411"/>
      <c r="AL74" s="411"/>
      <c r="AM74" s="411"/>
      <c r="AN74" s="411"/>
      <c r="AO74" s="411"/>
      <c r="AP74" s="411"/>
      <c r="AQ74" s="411"/>
    </row>
    <row r="75" spans="27:43">
      <c r="AA75" s="443"/>
      <c r="AB75" s="443"/>
      <c r="AC75" s="443"/>
      <c r="AD75" s="443"/>
      <c r="AE75" s="443"/>
      <c r="AF75" s="444"/>
      <c r="AG75" s="607"/>
      <c r="AH75" s="610">
        <v>2</v>
      </c>
      <c r="AI75" s="611" t="s">
        <v>108</v>
      </c>
      <c r="AJ75" s="611"/>
      <c r="AK75" s="611"/>
      <c r="AL75" s="611"/>
      <c r="AM75" s="611"/>
      <c r="AN75" s="611"/>
      <c r="AO75" s="611"/>
      <c r="AP75" s="611"/>
      <c r="AQ75" s="611"/>
    </row>
    <row r="76" spans="27:43">
      <c r="AA76" s="443"/>
      <c r="AB76" s="443"/>
      <c r="AC76" s="443"/>
      <c r="AD76" s="443"/>
      <c r="AE76" s="443"/>
      <c r="AF76" s="444"/>
      <c r="AG76" s="607"/>
      <c r="AH76" s="410"/>
      <c r="AI76" s="411" t="s">
        <v>109</v>
      </c>
      <c r="AJ76" s="411"/>
      <c r="AK76" s="411"/>
      <c r="AL76" s="411"/>
      <c r="AM76" s="411"/>
      <c r="AN76" s="411"/>
      <c r="AO76" s="411"/>
      <c r="AP76" s="411"/>
      <c r="AQ76" s="411"/>
    </row>
    <row r="77" spans="27:43">
      <c r="AA77" s="443"/>
      <c r="AB77" s="443"/>
      <c r="AC77" s="443"/>
      <c r="AD77" s="443"/>
      <c r="AE77" s="443"/>
      <c r="AF77" s="444"/>
      <c r="AG77" s="607"/>
      <c r="AH77" s="612">
        <v>3</v>
      </c>
      <c r="AI77" s="613" t="s">
        <v>110</v>
      </c>
      <c r="AJ77" s="613"/>
      <c r="AK77" s="613"/>
      <c r="AL77" s="613"/>
      <c r="AM77" s="613"/>
      <c r="AN77" s="613"/>
      <c r="AO77" s="613"/>
      <c r="AP77" s="613"/>
      <c r="AQ77" s="613"/>
    </row>
    <row r="78" spans="27:43">
      <c r="AA78" s="443"/>
      <c r="AB78" s="443"/>
      <c r="AC78" s="443"/>
      <c r="AD78" s="443"/>
      <c r="AE78" s="443"/>
      <c r="AF78" s="444"/>
      <c r="AG78" s="607"/>
      <c r="AH78" s="410"/>
      <c r="AI78" s="411" t="s">
        <v>111</v>
      </c>
      <c r="AJ78" s="411"/>
      <c r="AK78" s="411"/>
      <c r="AL78" s="411"/>
      <c r="AM78" s="411"/>
      <c r="AN78" s="411"/>
      <c r="AO78" s="411"/>
      <c r="AP78" s="411"/>
      <c r="AQ78" s="411"/>
    </row>
    <row r="79" spans="27:43">
      <c r="AA79" s="443"/>
      <c r="AB79" s="443"/>
      <c r="AC79" s="443"/>
      <c r="AD79" s="443"/>
      <c r="AE79" s="443"/>
      <c r="AF79" s="444"/>
      <c r="AG79" s="607"/>
      <c r="AH79" s="614">
        <v>4</v>
      </c>
      <c r="AI79" s="615" t="s">
        <v>112</v>
      </c>
      <c r="AJ79" s="615"/>
      <c r="AK79" s="615"/>
      <c r="AL79" s="615"/>
      <c r="AM79" s="615"/>
      <c r="AN79" s="615"/>
      <c r="AO79" s="615"/>
      <c r="AP79" s="615"/>
      <c r="AQ79" s="615"/>
    </row>
    <row r="80" spans="27:43">
      <c r="AA80" s="443"/>
      <c r="AB80" s="443"/>
      <c r="AC80" s="443"/>
      <c r="AD80" s="443"/>
      <c r="AE80" s="443"/>
      <c r="AF80" s="444"/>
      <c r="AG80" s="607"/>
      <c r="AH80" s="410"/>
      <c r="AI80" s="411" t="s">
        <v>113</v>
      </c>
      <c r="AJ80" s="411"/>
      <c r="AK80" s="411"/>
      <c r="AL80" s="411"/>
      <c r="AM80" s="411"/>
      <c r="AN80" s="411"/>
      <c r="AO80" s="411"/>
      <c r="AP80" s="411"/>
      <c r="AQ80" s="411"/>
    </row>
    <row r="81" spans="24:43">
      <c r="AA81" s="443"/>
      <c r="AB81" s="443"/>
      <c r="AC81" s="443"/>
      <c r="AD81" s="443"/>
      <c r="AE81" s="443"/>
      <c r="AF81" s="444"/>
      <c r="AG81" s="607"/>
      <c r="AH81" s="616">
        <v>5</v>
      </c>
      <c r="AI81" s="617" t="s">
        <v>114</v>
      </c>
      <c r="AJ81" s="617"/>
      <c r="AK81" s="617"/>
      <c r="AL81" s="617"/>
      <c r="AM81" s="617"/>
      <c r="AN81" s="617"/>
      <c r="AO81" s="617"/>
      <c r="AP81" s="617"/>
      <c r="AQ81" s="617"/>
    </row>
    <row r="82" spans="24:43">
      <c r="AA82" s="443"/>
      <c r="AB82" s="443"/>
      <c r="AC82" s="443"/>
      <c r="AD82" s="443"/>
      <c r="AE82" s="443"/>
      <c r="AF82" s="444"/>
      <c r="AG82" s="607"/>
      <c r="AH82" s="410"/>
      <c r="AI82" s="411" t="s">
        <v>115</v>
      </c>
      <c r="AJ82" s="411"/>
      <c r="AK82" s="411"/>
      <c r="AL82" s="411"/>
      <c r="AM82" s="411"/>
      <c r="AN82" s="411"/>
      <c r="AO82" s="411"/>
      <c r="AP82" s="411"/>
      <c r="AQ82" s="411"/>
    </row>
    <row r="83" spans="24:43">
      <c r="AA83" s="443"/>
      <c r="AB83" s="443"/>
      <c r="AC83" s="443"/>
      <c r="AD83" s="443"/>
      <c r="AE83" s="443"/>
      <c r="AF83" s="444"/>
      <c r="AG83" s="607"/>
      <c r="AH83" s="618">
        <v>6</v>
      </c>
      <c r="AI83" s="619" t="s">
        <v>116</v>
      </c>
      <c r="AJ83" s="619"/>
      <c r="AK83" s="619"/>
      <c r="AL83" s="619"/>
      <c r="AM83" s="619"/>
      <c r="AN83" s="619"/>
      <c r="AO83" s="619"/>
      <c r="AP83" s="619"/>
      <c r="AQ83" s="619"/>
    </row>
    <row r="84" spans="24:43">
      <c r="AA84" s="443"/>
      <c r="AB84" s="443"/>
      <c r="AC84" s="443"/>
      <c r="AD84" s="443"/>
      <c r="AE84" s="443"/>
      <c r="AF84" s="444"/>
      <c r="AG84" s="607"/>
      <c r="AH84" s="410"/>
      <c r="AI84" s="411" t="s">
        <v>117</v>
      </c>
      <c r="AJ84" s="411"/>
      <c r="AK84" s="411"/>
      <c r="AL84" s="411"/>
      <c r="AM84" s="411"/>
      <c r="AN84" s="411"/>
      <c r="AO84" s="411"/>
      <c r="AP84" s="411"/>
      <c r="AQ84" s="411"/>
    </row>
    <row r="85" spans="24:43" ht="15.75" thickBot="1">
      <c r="AA85" s="443"/>
      <c r="AB85" s="443"/>
      <c r="AC85" s="443"/>
      <c r="AD85" s="443"/>
      <c r="AE85" s="443"/>
      <c r="AF85" s="444"/>
      <c r="AG85" s="607"/>
      <c r="AH85" s="414"/>
      <c r="AI85" s="415"/>
      <c r="AJ85" s="415"/>
      <c r="AK85" s="415"/>
      <c r="AL85" s="415"/>
      <c r="AM85" s="415"/>
      <c r="AN85" s="415"/>
      <c r="AO85" s="415"/>
      <c r="AP85" s="415"/>
      <c r="AQ85" s="415"/>
    </row>
    <row r="86" spans="24:43" ht="15.75" thickBot="1">
      <c r="AA86" s="443"/>
      <c r="AB86" s="443"/>
      <c r="AC86" s="443"/>
      <c r="AD86" s="443"/>
      <c r="AE86" s="443"/>
      <c r="AF86" s="444"/>
      <c r="AG86" s="607"/>
      <c r="AH86" s="620" t="s">
        <v>118</v>
      </c>
      <c r="AI86" s="620"/>
      <c r="AJ86" s="620"/>
      <c r="AK86" s="620" t="str">
        <f>AJ72</f>
        <v>Washington State Department of Labor &amp; Industries</v>
      </c>
      <c r="AL86" s="620"/>
      <c r="AM86" s="620"/>
      <c r="AN86" s="620"/>
      <c r="AO86" s="620"/>
      <c r="AP86" s="620"/>
      <c r="AQ86" s="620"/>
    </row>
    <row r="87" spans="24:43" ht="15.75" thickBot="1">
      <c r="AA87" s="621" t="str">
        <f>AK86</f>
        <v>Washington State Department of Labor &amp; Industries</v>
      </c>
      <c r="AB87" s="622"/>
      <c r="AC87" s="622"/>
      <c r="AD87" s="623"/>
      <c r="AE87" s="449"/>
      <c r="AF87" s="1178"/>
      <c r="AG87" s="607"/>
      <c r="AH87" s="624" t="s">
        <v>119</v>
      </c>
      <c r="AI87" s="622" t="s">
        <v>120</v>
      </c>
      <c r="AJ87" s="622"/>
      <c r="AK87" s="622" t="s">
        <v>121</v>
      </c>
      <c r="AL87" s="622" t="s">
        <v>83</v>
      </c>
      <c r="AM87" s="622" t="s">
        <v>122</v>
      </c>
      <c r="AN87" s="623" t="s">
        <v>122</v>
      </c>
      <c r="AO87" s="443"/>
      <c r="AP87" s="625"/>
      <c r="AQ87" s="443"/>
    </row>
    <row r="88" spans="24:43">
      <c r="AA88" s="626" t="s">
        <v>42</v>
      </c>
      <c r="AB88" s="627" t="s">
        <v>83</v>
      </c>
      <c r="AC88" s="627" t="s">
        <v>122</v>
      </c>
      <c r="AD88" s="628" t="s">
        <v>122</v>
      </c>
      <c r="AE88" s="457"/>
      <c r="AF88" s="1179"/>
      <c r="AG88" s="607"/>
      <c r="AH88" s="629"/>
      <c r="AI88" s="630" t="s">
        <v>123</v>
      </c>
      <c r="AJ88" s="630" t="s">
        <v>124</v>
      </c>
      <c r="AK88" s="631" t="s">
        <v>125</v>
      </c>
      <c r="AL88" s="631" t="s">
        <v>126</v>
      </c>
      <c r="AM88" s="631" t="s">
        <v>127</v>
      </c>
      <c r="AN88" s="1196" t="s">
        <v>42</v>
      </c>
      <c r="AO88" s="443"/>
      <c r="AP88" s="443"/>
      <c r="AQ88" s="443"/>
    </row>
    <row r="89" spans="24:43">
      <c r="AA89" s="632"/>
      <c r="AB89" s="633" t="s">
        <v>126</v>
      </c>
      <c r="AC89" s="633" t="s">
        <v>127</v>
      </c>
      <c r="AD89" s="1197" t="s">
        <v>42</v>
      </c>
      <c r="AE89" s="443"/>
      <c r="AF89" s="444"/>
      <c r="AG89" s="607"/>
      <c r="AH89" s="634" t="str">
        <f>IF(AND(AB92&gt;=AI89,AB92&lt;=AJ89),"yes","no")</f>
        <v>no</v>
      </c>
      <c r="AI89" s="635">
        <v>2001</v>
      </c>
      <c r="AJ89" s="635">
        <v>25000</v>
      </c>
      <c r="AK89" s="636">
        <v>69.25</v>
      </c>
      <c r="AL89" s="104">
        <v>2000</v>
      </c>
      <c r="AM89" s="104">
        <v>1000</v>
      </c>
      <c r="AN89" s="1198">
        <v>14</v>
      </c>
      <c r="AO89" s="443"/>
      <c r="AP89" s="443"/>
      <c r="AQ89" s="443"/>
    </row>
    <row r="90" spans="24:43">
      <c r="AA90" s="533">
        <f>VLOOKUP("yes",AH89:AN94,4,FALSE)</f>
        <v>3233.75</v>
      </c>
      <c r="AB90" s="485">
        <f>VLOOKUP("yes",AH89:AN94,2,FALSE)</f>
        <v>500001</v>
      </c>
      <c r="AC90" s="485">
        <f>VLOOKUP("yes",AH89:AN94,6,FALSE)</f>
        <v>1000</v>
      </c>
      <c r="AD90" s="463">
        <f>VLOOKUP("yes",AH89:AN94,7,FALSE)</f>
        <v>4.75</v>
      </c>
      <c r="AE90" s="443"/>
      <c r="AF90" s="444"/>
      <c r="AG90" s="607"/>
      <c r="AH90" s="634" t="str">
        <f>IF(AND(AB92&gt;=AI90,AB92&lt;=AJ90),"yes","no")</f>
        <v>no</v>
      </c>
      <c r="AI90" s="611">
        <v>25001</v>
      </c>
      <c r="AJ90" s="611">
        <v>50000</v>
      </c>
      <c r="AK90" s="636">
        <v>391.25</v>
      </c>
      <c r="AL90" s="104">
        <v>25000</v>
      </c>
      <c r="AM90" s="104">
        <v>1000</v>
      </c>
      <c r="AN90" s="1198">
        <v>10.1</v>
      </c>
      <c r="AO90" s="443"/>
      <c r="AP90" s="443"/>
      <c r="AQ90" s="443"/>
    </row>
    <row r="91" spans="24:43" ht="15.75" thickBot="1">
      <c r="AA91" s="637"/>
      <c r="AB91" s="638"/>
      <c r="AC91" s="638"/>
      <c r="AD91" s="472"/>
      <c r="AE91" s="443"/>
      <c r="AF91" s="444"/>
      <c r="AG91" s="607"/>
      <c r="AH91" s="634" t="str">
        <f>IF(AND(AB92&gt;=AI91,AB92&lt;=AJ91),"yes","no")</f>
        <v>no</v>
      </c>
      <c r="AI91" s="639">
        <v>50001</v>
      </c>
      <c r="AJ91" s="639">
        <v>100000</v>
      </c>
      <c r="AK91" s="636">
        <v>643.75</v>
      </c>
      <c r="AL91" s="104">
        <v>50000</v>
      </c>
      <c r="AM91" s="104">
        <v>1000</v>
      </c>
      <c r="AN91" s="1198">
        <v>7</v>
      </c>
      <c r="AO91" s="443"/>
      <c r="AP91" s="443"/>
      <c r="AQ91" s="443"/>
    </row>
    <row r="92" spans="24:43">
      <c r="AA92" s="640" t="s">
        <v>127</v>
      </c>
      <c r="AB92" s="641">
        <f>P5*AA21</f>
        <v>509887.52640000009</v>
      </c>
      <c r="AC92" s="642" t="str">
        <f>CONCATENATE("First $", AB90)</f>
        <v>First $500001</v>
      </c>
      <c r="AD92" s="641">
        <f>AA90</f>
        <v>3233.75</v>
      </c>
      <c r="AE92" s="443"/>
      <c r="AF92" s="444"/>
      <c r="AG92" s="607"/>
      <c r="AH92" s="634" t="str">
        <f>IF(AND(AB92&gt;=AI92,AB92&lt;=AJ92),"yes","no")</f>
        <v>no</v>
      </c>
      <c r="AI92" s="643">
        <v>100001</v>
      </c>
      <c r="AJ92" s="615">
        <v>500000</v>
      </c>
      <c r="AK92" s="636">
        <v>993.75</v>
      </c>
      <c r="AL92" s="104">
        <v>100000</v>
      </c>
      <c r="AM92" s="104">
        <v>1000</v>
      </c>
      <c r="AN92" s="1198">
        <v>5.6</v>
      </c>
      <c r="AO92" s="443"/>
      <c r="AP92" s="443"/>
      <c r="AQ92" s="443"/>
    </row>
    <row r="93" spans="24:43">
      <c r="AA93" s="644" t="s">
        <v>128</v>
      </c>
      <c r="AB93" s="641">
        <f>AB90</f>
        <v>500001</v>
      </c>
      <c r="AC93" s="645" t="str">
        <f>CONCATENATE("Fee on $",AB94)</f>
        <v>Fee on $10000</v>
      </c>
      <c r="AD93" s="641">
        <f>(AB94/AC90)*AD90</f>
        <v>47.5</v>
      </c>
      <c r="AE93" s="443"/>
      <c r="AF93" s="444"/>
      <c r="AG93" s="607"/>
      <c r="AH93" s="634" t="str">
        <f>IF(AND(AB92&gt;=AI93,AB92&lt;=AJ93),"yes","no")</f>
        <v>yes</v>
      </c>
      <c r="AI93" s="646">
        <v>500001</v>
      </c>
      <c r="AJ93" s="646">
        <v>1000000</v>
      </c>
      <c r="AK93" s="636">
        <v>3233.75</v>
      </c>
      <c r="AL93" s="104">
        <v>500000</v>
      </c>
      <c r="AM93" s="104">
        <v>1000</v>
      </c>
      <c r="AN93" s="1198">
        <v>4.75</v>
      </c>
      <c r="AO93" s="443"/>
      <c r="AP93" s="443"/>
      <c r="AQ93" s="443"/>
    </row>
    <row r="94" spans="24:43">
      <c r="AA94" s="644" t="s">
        <v>129</v>
      </c>
      <c r="AB94" s="350">
        <f>ROUNDUP(SUM( AB92-AB93),-3)</f>
        <v>10000</v>
      </c>
      <c r="AC94" s="647" t="s">
        <v>13</v>
      </c>
      <c r="AD94" s="648">
        <f>1.064*SUM(AD92:AD93)</f>
        <v>3491.25</v>
      </c>
      <c r="AE94" s="443"/>
      <c r="AF94" s="444"/>
      <c r="AG94" s="607"/>
      <c r="AH94" s="649" t="str">
        <f>IF(AND(AB92&gt;=AI94,AB92&lt;=AJ94),"yes","no")</f>
        <v>no</v>
      </c>
      <c r="AI94" s="619">
        <v>1000001</v>
      </c>
      <c r="AJ94" s="619">
        <v>100000000</v>
      </c>
      <c r="AK94" s="650">
        <v>5608.75</v>
      </c>
      <c r="AL94" s="570">
        <v>1000000</v>
      </c>
      <c r="AM94" s="570">
        <v>1000</v>
      </c>
      <c r="AN94" s="651">
        <v>3.65</v>
      </c>
      <c r="AO94" s="443"/>
      <c r="AP94" s="443"/>
      <c r="AQ94" s="443"/>
    </row>
    <row r="95" spans="24:43" ht="15.75" thickBot="1">
      <c r="AA95" s="443"/>
      <c r="AB95" s="443"/>
      <c r="AC95" s="443"/>
      <c r="AD95" s="443"/>
      <c r="AE95" s="443"/>
      <c r="AF95" s="444"/>
      <c r="AG95" s="607"/>
      <c r="AH95" s="652"/>
      <c r="AI95" s="653"/>
      <c r="AJ95" s="653"/>
      <c r="AK95" s="653"/>
      <c r="AL95" s="653"/>
      <c r="AM95" s="653"/>
      <c r="AN95" s="654"/>
      <c r="AO95" s="443"/>
      <c r="AP95" s="443"/>
      <c r="AQ95" s="443"/>
    </row>
    <row r="96" spans="24:43">
      <c r="X96" s="91"/>
      <c r="AA96" s="443"/>
      <c r="AB96" s="443"/>
      <c r="AC96" s="443"/>
      <c r="AD96" s="443"/>
      <c r="AE96" s="443"/>
      <c r="AF96" s="655"/>
      <c r="AG96" s="655"/>
      <c r="AH96" s="655" t="s">
        <v>130</v>
      </c>
      <c r="AI96" s="655"/>
      <c r="AJ96" s="655"/>
      <c r="AK96" s="655"/>
      <c r="AL96" s="655"/>
      <c r="AM96" s="655"/>
      <c r="AN96" s="655"/>
      <c r="AO96" s="655"/>
      <c r="AP96" s="655"/>
      <c r="AQ96" s="655"/>
    </row>
    <row r="97" spans="27:43" ht="15.75" thickBot="1">
      <c r="AA97" s="443"/>
      <c r="AB97" s="443"/>
      <c r="AC97" s="443"/>
      <c r="AD97" s="443"/>
      <c r="AE97" s="443"/>
      <c r="AF97" s="655"/>
      <c r="AG97" s="656"/>
      <c r="AH97" s="657" t="s">
        <v>131</v>
      </c>
      <c r="AI97" s="657"/>
      <c r="AJ97" s="658"/>
      <c r="AK97" s="658" t="s">
        <v>132</v>
      </c>
      <c r="AL97" s="658"/>
      <c r="AM97" s="659"/>
      <c r="AN97" s="625"/>
      <c r="AO97" s="443"/>
      <c r="AP97" s="443"/>
      <c r="AQ97" s="443"/>
    </row>
    <row r="98" spans="27:43" ht="15.75" thickBot="1">
      <c r="AA98" s="660" t="str">
        <f>AK97</f>
        <v>Commercial  Industrial Panels</v>
      </c>
      <c r="AB98" s="661"/>
      <c r="AC98" s="661"/>
      <c r="AD98" s="662"/>
      <c r="AE98" s="449"/>
      <c r="AF98" s="1199"/>
      <c r="AG98" s="656"/>
      <c r="AH98" s="663" t="s">
        <v>119</v>
      </c>
      <c r="AI98" s="661"/>
      <c r="AJ98" s="661" t="s">
        <v>120</v>
      </c>
      <c r="AK98" s="661"/>
      <c r="AL98" s="661" t="s">
        <v>133</v>
      </c>
      <c r="AM98" s="662" t="s">
        <v>134</v>
      </c>
      <c r="AN98" s="625"/>
      <c r="AO98" s="443"/>
      <c r="AP98" s="443"/>
      <c r="AQ98" s="443"/>
    </row>
    <row r="99" spans="27:43">
      <c r="AA99" s="664" t="s">
        <v>42</v>
      </c>
      <c r="AB99" s="665" t="s">
        <v>135</v>
      </c>
      <c r="AC99" s="665" t="s">
        <v>134</v>
      </c>
      <c r="AD99" s="666"/>
      <c r="AE99" s="457"/>
      <c r="AF99" s="667"/>
      <c r="AG99" s="656"/>
      <c r="AH99" s="668" t="s">
        <v>136</v>
      </c>
      <c r="AI99" s="669" t="s">
        <v>137</v>
      </c>
      <c r="AJ99" s="669" t="s">
        <v>123</v>
      </c>
      <c r="AK99" s="669" t="s">
        <v>124</v>
      </c>
      <c r="AL99" s="669" t="s">
        <v>138</v>
      </c>
      <c r="AM99" s="1200" t="s">
        <v>138</v>
      </c>
      <c r="AN99" s="443"/>
      <c r="AO99" s="443"/>
      <c r="AP99" s="443"/>
      <c r="AQ99" s="443"/>
    </row>
    <row r="100" spans="27:43">
      <c r="AA100" s="670"/>
      <c r="AB100" s="671" t="s">
        <v>138</v>
      </c>
      <c r="AC100" s="671" t="s">
        <v>138</v>
      </c>
      <c r="AD100" s="1201"/>
      <c r="AE100" s="443"/>
      <c r="AF100" s="655"/>
      <c r="AG100" s="656"/>
      <c r="AH100" s="672" t="str">
        <f t="shared" ref="AH100:AH106" si="0">IF(AND($H$16&gt;=AJ100,$H$16&lt;=AK100),"1st used","no")</f>
        <v>no</v>
      </c>
      <c r="AI100" s="673" t="str">
        <f t="shared" ref="AI100:AI106" si="1">IF(AND($H$17&gt;=AJ100,$H$17&lt;=AK100),"2nd used","no")</f>
        <v>2nd used</v>
      </c>
      <c r="AJ100" s="674">
        <v>0</v>
      </c>
      <c r="AK100" s="100">
        <v>100</v>
      </c>
      <c r="AL100" s="462">
        <v>114.2</v>
      </c>
      <c r="AM100" s="572">
        <v>69.599999999999994</v>
      </c>
      <c r="AN100" s="443"/>
      <c r="AO100" s="443"/>
      <c r="AP100" s="443"/>
      <c r="AQ100" s="443"/>
    </row>
    <row r="101" spans="27:43">
      <c r="AA101" s="533">
        <f>AA103+AA105</f>
        <v>48.684999999999995</v>
      </c>
      <c r="AB101" s="485"/>
      <c r="AC101" s="485"/>
      <c r="AD101" s="573"/>
      <c r="AE101" s="443"/>
      <c r="AF101" s="655"/>
      <c r="AG101" s="656"/>
      <c r="AH101" s="672" t="str">
        <f t="shared" si="0"/>
        <v>1st used</v>
      </c>
      <c r="AI101" s="673" t="str">
        <f t="shared" si="1"/>
        <v>no</v>
      </c>
      <c r="AJ101" s="100">
        <v>101</v>
      </c>
      <c r="AK101" s="100">
        <v>200</v>
      </c>
      <c r="AL101" s="493">
        <v>139.1</v>
      </c>
      <c r="AM101" s="675">
        <v>88.8</v>
      </c>
      <c r="AN101" s="443"/>
      <c r="AO101" s="443"/>
      <c r="AP101" s="443"/>
      <c r="AQ101" s="443"/>
    </row>
    <row r="102" spans="27:43">
      <c r="AA102" s="670" t="s">
        <v>139</v>
      </c>
      <c r="AB102" s="671"/>
      <c r="AC102" s="671"/>
      <c r="AD102" s="1201"/>
      <c r="AE102" s="443"/>
      <c r="AF102" s="655"/>
      <c r="AG102" s="656"/>
      <c r="AH102" s="672" t="str">
        <f t="shared" si="0"/>
        <v>no</v>
      </c>
      <c r="AI102" s="673" t="str">
        <f t="shared" si="1"/>
        <v>no</v>
      </c>
      <c r="AJ102" s="100">
        <v>201</v>
      </c>
      <c r="AK102" s="100">
        <v>400</v>
      </c>
      <c r="AL102" s="493">
        <v>268</v>
      </c>
      <c r="AM102" s="675">
        <v>105.9</v>
      </c>
      <c r="AN102" s="443"/>
      <c r="AO102" s="443"/>
      <c r="AP102" s="443"/>
      <c r="AQ102" s="443"/>
    </row>
    <row r="103" spans="27:43">
      <c r="AA103" s="676">
        <f>IF(OR(H16="",I16&lt;1),0,I16*AB103*AI109)</f>
        <v>48.684999999999995</v>
      </c>
      <c r="AB103" s="485">
        <f>VLOOKUP("1st used",AH100:AM106,5,FALSE)</f>
        <v>139.1</v>
      </c>
      <c r="AC103" s="485">
        <f>VLOOKUP("1st used",AH100:AM106,6,FALSE)</f>
        <v>88.8</v>
      </c>
      <c r="AD103" s="463"/>
      <c r="AE103" s="443"/>
      <c r="AF103" s="655"/>
      <c r="AG103" s="656"/>
      <c r="AH103" s="672" t="str">
        <f t="shared" si="0"/>
        <v>no</v>
      </c>
      <c r="AI103" s="673" t="str">
        <f t="shared" si="1"/>
        <v>no</v>
      </c>
      <c r="AJ103" s="677">
        <v>401</v>
      </c>
      <c r="AK103" s="100">
        <v>600</v>
      </c>
      <c r="AL103" s="493">
        <v>312.3</v>
      </c>
      <c r="AM103" s="675">
        <v>124.7</v>
      </c>
      <c r="AN103" s="443"/>
      <c r="AO103" s="443"/>
      <c r="AP103" s="443"/>
      <c r="AQ103" s="443"/>
    </row>
    <row r="104" spans="27:43">
      <c r="AA104" s="678" t="s">
        <v>140</v>
      </c>
      <c r="AB104" s="671"/>
      <c r="AC104" s="671"/>
      <c r="AD104" s="1201"/>
      <c r="AE104" s="443"/>
      <c r="AF104" s="655"/>
      <c r="AG104" s="656"/>
      <c r="AH104" s="672" t="str">
        <f t="shared" si="0"/>
        <v>no</v>
      </c>
      <c r="AI104" s="673" t="str">
        <f t="shared" si="1"/>
        <v>no</v>
      </c>
      <c r="AJ104" s="677">
        <v>601</v>
      </c>
      <c r="AK104" s="100">
        <v>800</v>
      </c>
      <c r="AL104" s="493">
        <v>404.1</v>
      </c>
      <c r="AM104" s="675">
        <v>169.9</v>
      </c>
      <c r="AN104" s="443"/>
      <c r="AO104" s="443"/>
      <c r="AP104" s="443"/>
      <c r="AQ104" s="443"/>
    </row>
    <row r="105" spans="27:43" ht="15.75" thickBot="1">
      <c r="AA105" s="679">
        <f>IF(OR(H17="",I17&lt;1),0,I17*AB105*AI109)</f>
        <v>0</v>
      </c>
      <c r="AB105" s="415">
        <f>VLOOKUP("2nd used",AI100:AM106,4,FALSE)</f>
        <v>114.2</v>
      </c>
      <c r="AC105" s="415" t="e">
        <f>VLOOKUP("2nd used",AI102:AM108,5,FALSE)</f>
        <v>#N/A</v>
      </c>
      <c r="AD105" s="416"/>
      <c r="AE105" s="443"/>
      <c r="AF105" s="655"/>
      <c r="AG105" s="656"/>
      <c r="AH105" s="672" t="str">
        <f t="shared" si="0"/>
        <v>no</v>
      </c>
      <c r="AI105" s="673" t="str">
        <f t="shared" si="1"/>
        <v>no</v>
      </c>
      <c r="AJ105" s="680">
        <v>801</v>
      </c>
      <c r="AK105" s="680">
        <v>1000</v>
      </c>
      <c r="AL105" s="493">
        <v>493.3</v>
      </c>
      <c r="AM105" s="675">
        <v>205.5</v>
      </c>
      <c r="AN105" s="443"/>
      <c r="AO105" s="443"/>
      <c r="AP105" s="443"/>
      <c r="AQ105" s="443"/>
    </row>
    <row r="106" spans="27:43">
      <c r="AA106" s="443"/>
      <c r="AB106" s="443"/>
      <c r="AC106" s="443"/>
      <c r="AD106" s="443"/>
      <c r="AE106" s="443"/>
      <c r="AF106" s="655"/>
      <c r="AG106" s="656"/>
      <c r="AH106" s="672" t="str">
        <f t="shared" si="0"/>
        <v>no</v>
      </c>
      <c r="AI106" s="673" t="str">
        <f t="shared" si="1"/>
        <v>no</v>
      </c>
      <c r="AJ106" s="681">
        <v>1001</v>
      </c>
      <c r="AK106" s="682">
        <v>1000000</v>
      </c>
      <c r="AL106" s="493">
        <v>538.20000000000005</v>
      </c>
      <c r="AM106" s="683">
        <v>386.9</v>
      </c>
      <c r="AN106" s="443"/>
      <c r="AO106" s="443"/>
      <c r="AP106" s="443"/>
      <c r="AQ106" s="443"/>
    </row>
    <row r="107" spans="27:43">
      <c r="AA107" s="443"/>
      <c r="AB107" s="443"/>
      <c r="AC107" s="443"/>
      <c r="AD107" s="443"/>
      <c r="AE107" s="443"/>
      <c r="AF107" s="655"/>
      <c r="AG107" s="656"/>
      <c r="AH107" s="684"/>
      <c r="AJ107" s="681"/>
      <c r="AK107" s="685" t="s">
        <v>141</v>
      </c>
      <c r="AL107" s="686"/>
      <c r="AM107" s="687"/>
      <c r="AN107" s="443"/>
      <c r="AO107" s="443"/>
      <c r="AP107" s="443"/>
      <c r="AQ107" s="443"/>
    </row>
    <row r="108" spans="27:43">
      <c r="AA108" s="443"/>
      <c r="AB108" s="443"/>
      <c r="AC108" s="443"/>
      <c r="AD108" s="443"/>
      <c r="AE108" s="443"/>
      <c r="AF108" s="655"/>
      <c r="AG108" s="656"/>
      <c r="AH108" s="688" t="s">
        <v>142</v>
      </c>
      <c r="AJ108" s="689"/>
      <c r="AK108" s="689"/>
      <c r="AL108" s="689"/>
      <c r="AM108" s="690"/>
      <c r="AN108" s="443"/>
      <c r="AO108" s="443"/>
      <c r="AP108" s="443"/>
      <c r="AQ108" s="443"/>
    </row>
    <row r="109" spans="27:43">
      <c r="AA109" s="443"/>
      <c r="AB109" s="443"/>
      <c r="AC109" s="443"/>
      <c r="AD109" s="443"/>
      <c r="AE109" s="443"/>
      <c r="AF109" s="655"/>
      <c r="AG109" s="656"/>
      <c r="AH109" s="691" t="s">
        <v>143</v>
      </c>
      <c r="AI109" s="692">
        <v>0.35</v>
      </c>
      <c r="AJ109" s="693"/>
      <c r="AK109" s="693"/>
      <c r="AL109" s="694"/>
      <c r="AM109" s="443"/>
      <c r="AN109" s="443"/>
      <c r="AO109" s="443"/>
      <c r="AP109" s="443"/>
      <c r="AQ109" s="443"/>
    </row>
    <row r="110" spans="27:43" ht="15.75" thickBot="1">
      <c r="AA110" s="443"/>
      <c r="AB110" s="443"/>
      <c r="AC110" s="443"/>
      <c r="AD110" s="443"/>
      <c r="AE110" s="443"/>
      <c r="AF110" s="655"/>
      <c r="AG110" s="656"/>
      <c r="AH110" s="637"/>
      <c r="AI110" s="638"/>
      <c r="AJ110" s="638"/>
      <c r="AK110" s="638"/>
      <c r="AL110" s="472"/>
      <c r="AM110" s="443"/>
      <c r="AN110" s="443"/>
      <c r="AO110" s="443"/>
      <c r="AP110" s="443"/>
      <c r="AQ110" s="443"/>
    </row>
    <row r="111" spans="27:43">
      <c r="AA111" s="443"/>
      <c r="AB111" s="443"/>
      <c r="AC111" s="443"/>
      <c r="AD111" s="443"/>
      <c r="AE111" s="443"/>
      <c r="AF111" s="655"/>
      <c r="AG111" s="656"/>
      <c r="AH111" s="443"/>
      <c r="AI111" s="443"/>
      <c r="AJ111" s="443"/>
      <c r="AK111" s="443"/>
      <c r="AL111" s="443"/>
      <c r="AM111" s="443"/>
      <c r="AN111" s="443"/>
      <c r="AO111" s="443"/>
      <c r="AP111" s="443"/>
      <c r="AQ111" s="443"/>
    </row>
    <row r="112" spans="27:43" ht="15.75" thickBot="1">
      <c r="AA112" s="443"/>
      <c r="AB112" s="443"/>
      <c r="AC112" s="443"/>
      <c r="AD112" s="443"/>
      <c r="AE112" s="443"/>
      <c r="AF112" s="655"/>
      <c r="AG112" s="498"/>
      <c r="AH112" s="695" t="s">
        <v>144</v>
      </c>
      <c r="AI112" s="696"/>
      <c r="AJ112" s="696" t="s">
        <v>145</v>
      </c>
      <c r="AK112" s="696"/>
      <c r="AL112" s="697"/>
      <c r="AM112" s="443"/>
      <c r="AN112" s="625"/>
      <c r="AO112" s="443"/>
      <c r="AP112" s="443"/>
      <c r="AQ112" s="443"/>
    </row>
    <row r="113" spans="27:43" ht="15.75" thickBot="1">
      <c r="AA113" s="446" t="str">
        <f>AJ112</f>
        <v>Class 2 Low-voltage Thermostat</v>
      </c>
      <c r="AB113" s="447"/>
      <c r="AC113" s="447"/>
      <c r="AD113" s="448"/>
      <c r="AE113" s="449"/>
      <c r="AF113" s="1199"/>
      <c r="AG113" s="498"/>
      <c r="AH113" s="456"/>
      <c r="AI113" s="459"/>
      <c r="AJ113" s="459"/>
      <c r="AK113" s="459" t="s">
        <v>83</v>
      </c>
      <c r="AL113" s="698" t="s">
        <v>146</v>
      </c>
      <c r="AM113" s="443"/>
      <c r="AN113" s="625"/>
      <c r="AO113" s="443"/>
      <c r="AP113" s="443"/>
      <c r="AQ113" s="443"/>
    </row>
    <row r="114" spans="27:43">
      <c r="AA114" s="456" t="s">
        <v>42</v>
      </c>
      <c r="AB114" s="459"/>
      <c r="AC114" s="459"/>
      <c r="AD114" s="698"/>
      <c r="AE114" s="457"/>
      <c r="AF114" s="667"/>
      <c r="AG114" s="498"/>
      <c r="AH114" s="699"/>
      <c r="AI114" s="700"/>
      <c r="AJ114" s="700"/>
      <c r="AK114" s="700" t="s">
        <v>147</v>
      </c>
      <c r="AL114" s="701" t="s">
        <v>148</v>
      </c>
      <c r="AM114" s="443"/>
      <c r="AN114" s="443"/>
      <c r="AO114" s="443"/>
      <c r="AP114" s="443"/>
      <c r="AQ114" s="443"/>
    </row>
    <row r="115" spans="27:43">
      <c r="AA115" s="501"/>
      <c r="AB115" s="503"/>
      <c r="AC115" s="503"/>
      <c r="AD115" s="1202"/>
      <c r="AE115" s="443"/>
      <c r="AF115" s="655"/>
      <c r="AG115" s="498"/>
      <c r="AH115" s="702"/>
      <c r="AI115" s="703"/>
      <c r="AJ115" s="704"/>
      <c r="AK115" s="705">
        <v>49.5</v>
      </c>
      <c r="AL115" s="706">
        <v>15.3</v>
      </c>
      <c r="AM115" s="443"/>
      <c r="AN115" s="443"/>
      <c r="AO115" s="443"/>
      <c r="AP115" s="443"/>
      <c r="AQ115" s="443"/>
    </row>
    <row r="116" spans="27:43">
      <c r="AA116" s="533">
        <f>AK115</f>
        <v>49.5</v>
      </c>
      <c r="AB116" s="485"/>
      <c r="AC116" s="485"/>
      <c r="AD116" s="463"/>
      <c r="AE116" s="443"/>
      <c r="AF116" s="655"/>
      <c r="AG116" s="498"/>
      <c r="AH116" s="707"/>
      <c r="AI116" s="491"/>
      <c r="AJ116" s="491"/>
      <c r="AK116" s="493"/>
      <c r="AL116" s="675"/>
      <c r="AM116" s="443"/>
      <c r="AN116" s="443"/>
      <c r="AO116" s="443"/>
      <c r="AP116" s="443"/>
      <c r="AQ116" s="443"/>
    </row>
    <row r="117" spans="27:43" ht="15.75" thickBot="1">
      <c r="AA117" s="637"/>
      <c r="AB117" s="708" t="s">
        <v>149</v>
      </c>
      <c r="AC117" s="638"/>
      <c r="AD117" s="472"/>
      <c r="AE117" s="443"/>
      <c r="AF117" s="655"/>
      <c r="AG117" s="498"/>
      <c r="AH117" s="707"/>
      <c r="AI117" s="491"/>
      <c r="AJ117" s="491"/>
      <c r="AK117" s="493"/>
      <c r="AL117" s="675"/>
      <c r="AM117" s="443"/>
      <c r="AN117" s="443"/>
      <c r="AO117" s="443"/>
      <c r="AP117" s="443"/>
      <c r="AQ117" s="443"/>
    </row>
    <row r="118" spans="27:43">
      <c r="AA118" s="443"/>
      <c r="AB118" s="443"/>
      <c r="AC118" s="443"/>
      <c r="AD118" s="443"/>
      <c r="AE118" s="443"/>
      <c r="AF118" s="655"/>
      <c r="AG118" s="498"/>
      <c r="AH118" s="707"/>
      <c r="AI118" s="491"/>
      <c r="AJ118" s="709"/>
      <c r="AK118" s="493"/>
      <c r="AL118" s="683"/>
      <c r="AM118" s="443"/>
      <c r="AN118" s="443"/>
      <c r="AO118" s="443"/>
      <c r="AP118" s="443"/>
      <c r="AQ118" s="443"/>
    </row>
    <row r="119" spans="27:43">
      <c r="AA119" s="443"/>
      <c r="AB119" s="443"/>
      <c r="AC119" s="443"/>
      <c r="AD119" s="443"/>
      <c r="AE119" s="443"/>
      <c r="AF119" s="655"/>
      <c r="AG119" s="498"/>
      <c r="AH119" s="710" t="s">
        <v>150</v>
      </c>
      <c r="AI119" s="711"/>
      <c r="AJ119" s="711"/>
      <c r="AK119" s="711"/>
      <c r="AL119" s="712"/>
      <c r="AM119" s="443"/>
      <c r="AN119" s="443"/>
      <c r="AO119" s="443"/>
      <c r="AP119" s="443"/>
      <c r="AQ119" s="443"/>
    </row>
    <row r="120" spans="27:43">
      <c r="AA120" s="443"/>
      <c r="AB120" s="443"/>
      <c r="AC120" s="443"/>
      <c r="AD120" s="443"/>
      <c r="AE120" s="443"/>
      <c r="AF120" s="655"/>
      <c r="AG120" s="498"/>
      <c r="AH120" s="691" t="s">
        <v>143</v>
      </c>
      <c r="AI120" s="692">
        <v>0.35</v>
      </c>
      <c r="AJ120" s="693"/>
      <c r="AK120" s="693"/>
      <c r="AL120" s="694"/>
      <c r="AM120" s="443"/>
      <c r="AN120" s="443"/>
      <c r="AO120" s="443"/>
      <c r="AP120" s="443"/>
      <c r="AQ120" s="443"/>
    </row>
    <row r="121" spans="27:43" ht="15.75" thickBot="1">
      <c r="AA121" s="443"/>
      <c r="AB121" s="443"/>
      <c r="AC121" s="443"/>
      <c r="AD121" s="443"/>
      <c r="AE121" s="443"/>
      <c r="AF121" s="655"/>
      <c r="AG121" s="498"/>
      <c r="AH121" s="637"/>
      <c r="AI121" s="638"/>
      <c r="AJ121" s="638"/>
      <c r="AK121" s="638"/>
      <c r="AL121" s="472"/>
      <c r="AM121" s="443"/>
      <c r="AN121" s="443"/>
      <c r="AO121" s="443"/>
      <c r="AP121" s="443"/>
      <c r="AQ121" s="443"/>
    </row>
    <row r="122" spans="27:43">
      <c r="AA122" s="443"/>
      <c r="AB122" s="443"/>
      <c r="AC122" s="443"/>
      <c r="AD122" s="443"/>
      <c r="AE122" s="443"/>
      <c r="AF122" s="655"/>
      <c r="AG122" s="498"/>
      <c r="AH122" s="443"/>
      <c r="AI122" s="443"/>
      <c r="AJ122" s="443"/>
      <c r="AK122" s="443"/>
      <c r="AL122" s="443"/>
      <c r="AM122" s="443"/>
      <c r="AN122" s="443"/>
      <c r="AO122" s="443"/>
      <c r="AP122" s="443"/>
      <c r="AQ122" s="443"/>
    </row>
    <row r="123" spans="27:43" ht="15.75" thickBot="1">
      <c r="AA123" s="443"/>
      <c r="AB123" s="443"/>
      <c r="AC123" s="443"/>
      <c r="AD123" s="443"/>
      <c r="AE123" s="443"/>
      <c r="AF123" s="655"/>
      <c r="AG123" s="498"/>
      <c r="AH123" s="443"/>
      <c r="AI123" s="443"/>
      <c r="AJ123" s="443"/>
      <c r="AK123" s="443"/>
      <c r="AL123" s="443"/>
      <c r="AM123" s="443"/>
      <c r="AN123" s="443"/>
      <c r="AO123" s="443"/>
      <c r="AP123" s="443"/>
      <c r="AQ123" s="443"/>
    </row>
    <row r="124" spans="27:43">
      <c r="AA124" s="621" t="s">
        <v>151</v>
      </c>
      <c r="AB124" s="622"/>
      <c r="AC124" s="622"/>
      <c r="AD124" s="622" t="s">
        <v>152</v>
      </c>
      <c r="AE124" s="622"/>
      <c r="AF124" s="655"/>
      <c r="AG124" s="498"/>
      <c r="AH124" s="624" t="s">
        <v>119</v>
      </c>
      <c r="AI124" s="622" t="s">
        <v>120</v>
      </c>
      <c r="AJ124" s="622"/>
      <c r="AK124" s="622" t="s">
        <v>153</v>
      </c>
      <c r="AL124" s="622" t="s">
        <v>80</v>
      </c>
      <c r="AM124" s="443"/>
      <c r="AN124" s="443"/>
      <c r="AO124" s="443"/>
      <c r="AP124" s="443"/>
      <c r="AQ124" s="443"/>
    </row>
    <row r="125" spans="27:43">
      <c r="AA125" s="629" t="s">
        <v>154</v>
      </c>
      <c r="AB125" s="630">
        <f>+SUMIF(AH126:AH132,"yes",AK126:AK132)</f>
        <v>139.1</v>
      </c>
      <c r="AC125" s="630"/>
      <c r="AD125" s="1171">
        <v>0.35</v>
      </c>
      <c r="AE125" s="631"/>
      <c r="AF125" s="655"/>
      <c r="AG125" s="498"/>
      <c r="AH125" s="629"/>
      <c r="AI125" s="630" t="s">
        <v>123</v>
      </c>
      <c r="AJ125" s="630" t="s">
        <v>124</v>
      </c>
      <c r="AK125" s="631" t="s">
        <v>138</v>
      </c>
      <c r="AL125" s="631" t="s">
        <v>138</v>
      </c>
      <c r="AM125" s="443"/>
      <c r="AN125" s="443"/>
      <c r="AO125" s="443"/>
      <c r="AP125" s="443"/>
      <c r="AQ125" s="443"/>
    </row>
    <row r="126" spans="27:43">
      <c r="AA126" s="629" t="s">
        <v>56</v>
      </c>
      <c r="AB126" s="630">
        <f>+AB125*AD125</f>
        <v>48.684999999999995</v>
      </c>
      <c r="AC126" s="630"/>
      <c r="AD126" s="631"/>
      <c r="AE126" s="631"/>
      <c r="AF126" s="655"/>
      <c r="AG126" s="498"/>
      <c r="AH126" s="634" t="str">
        <f t="shared" ref="AH126:AH132" si="2">IF(AND(amps&gt;=AI126,amps&lt;=AJ126),"yes","no")</f>
        <v>no</v>
      </c>
      <c r="AI126" s="635">
        <v>0</v>
      </c>
      <c r="AJ126" s="635">
        <v>100</v>
      </c>
      <c r="AK126" s="636">
        <v>114.2</v>
      </c>
      <c r="AL126" s="104">
        <v>69.599999999999994</v>
      </c>
      <c r="AM126" s="443"/>
      <c r="AN126" s="443"/>
      <c r="AO126" s="443"/>
      <c r="AP126" s="443"/>
      <c r="AQ126" s="443"/>
    </row>
    <row r="127" spans="27:43">
      <c r="AA127" s="629"/>
      <c r="AB127" s="630"/>
      <c r="AC127" s="630"/>
      <c r="AD127" s="631"/>
      <c r="AE127" s="631"/>
      <c r="AF127" s="655"/>
      <c r="AG127" s="498"/>
      <c r="AH127" s="634" t="str">
        <f t="shared" si="2"/>
        <v>yes</v>
      </c>
      <c r="AI127" s="611">
        <v>101</v>
      </c>
      <c r="AJ127" s="611">
        <v>200</v>
      </c>
      <c r="AK127" s="636">
        <v>139.1</v>
      </c>
      <c r="AL127" s="104">
        <v>88.8</v>
      </c>
      <c r="AM127" s="443"/>
      <c r="AN127" s="443"/>
      <c r="AO127" s="443"/>
      <c r="AP127" s="443"/>
      <c r="AQ127" s="443"/>
    </row>
    <row r="128" spans="27:43">
      <c r="AA128" s="443"/>
      <c r="AB128" s="443"/>
      <c r="AC128" s="443"/>
      <c r="AD128" s="443"/>
      <c r="AE128" s="443"/>
      <c r="AF128" s="655"/>
      <c r="AG128" s="498"/>
      <c r="AH128" s="634" t="str">
        <f t="shared" si="2"/>
        <v>no</v>
      </c>
      <c r="AI128" s="639">
        <v>201</v>
      </c>
      <c r="AJ128" s="639">
        <v>400</v>
      </c>
      <c r="AK128" s="636">
        <v>268</v>
      </c>
      <c r="AL128" s="104">
        <v>105.9</v>
      </c>
      <c r="AM128" s="443"/>
      <c r="AN128" s="443"/>
      <c r="AO128" s="443"/>
      <c r="AP128" s="443"/>
      <c r="AQ128" s="443"/>
    </row>
    <row r="129" spans="27:43">
      <c r="AA129" s="443"/>
      <c r="AB129" s="443"/>
      <c r="AC129" s="443"/>
      <c r="AD129" s="443"/>
      <c r="AE129" s="443"/>
      <c r="AF129" s="655"/>
      <c r="AG129" s="498"/>
      <c r="AH129" s="634" t="str">
        <f t="shared" si="2"/>
        <v>no</v>
      </c>
      <c r="AI129" s="643">
        <v>401</v>
      </c>
      <c r="AJ129" s="615">
        <v>600</v>
      </c>
      <c r="AK129" s="636">
        <v>312.3</v>
      </c>
      <c r="AL129" s="104">
        <v>124.7</v>
      </c>
      <c r="AM129" s="443"/>
      <c r="AN129" s="443"/>
      <c r="AO129" s="443"/>
      <c r="AP129" s="443"/>
      <c r="AQ129" s="443"/>
    </row>
    <row r="130" spans="27:43">
      <c r="AA130" s="443"/>
      <c r="AB130" s="443"/>
      <c r="AC130" s="443"/>
      <c r="AD130" s="443"/>
      <c r="AE130" s="443"/>
      <c r="AF130" s="655"/>
      <c r="AG130" s="498"/>
      <c r="AH130" s="634" t="str">
        <f t="shared" si="2"/>
        <v>no</v>
      </c>
      <c r="AI130" s="646">
        <v>601</v>
      </c>
      <c r="AJ130" s="646">
        <v>800</v>
      </c>
      <c r="AK130" s="636">
        <v>404.1</v>
      </c>
      <c r="AL130" s="104">
        <v>169.9</v>
      </c>
      <c r="AM130" s="443"/>
      <c r="AN130" s="443"/>
      <c r="AO130" s="443"/>
      <c r="AP130" s="443"/>
      <c r="AQ130" s="443"/>
    </row>
    <row r="131" spans="27:43">
      <c r="AA131" s="443"/>
      <c r="AB131" s="443"/>
      <c r="AC131" s="443"/>
      <c r="AD131" s="443"/>
      <c r="AE131" s="443"/>
      <c r="AF131" s="655"/>
      <c r="AG131" s="498"/>
      <c r="AH131" s="634" t="str">
        <f t="shared" si="2"/>
        <v>no</v>
      </c>
      <c r="AI131" s="619">
        <v>801</v>
      </c>
      <c r="AJ131" s="619">
        <v>1000</v>
      </c>
      <c r="AK131" s="650">
        <v>493.3</v>
      </c>
      <c r="AL131" s="570">
        <v>205.5</v>
      </c>
      <c r="AM131" s="443"/>
      <c r="AN131" s="443"/>
      <c r="AO131" s="443"/>
      <c r="AP131" s="443"/>
      <c r="AQ131" s="443"/>
    </row>
    <row r="132" spans="27:43">
      <c r="AA132" s="443"/>
      <c r="AB132" s="443"/>
      <c r="AC132" s="443"/>
      <c r="AD132" s="443"/>
      <c r="AE132" s="443"/>
      <c r="AF132" s="655"/>
      <c r="AG132" s="498"/>
      <c r="AH132" s="634" t="str">
        <f t="shared" si="2"/>
        <v>no</v>
      </c>
      <c r="AI132" s="1170">
        <v>1001</v>
      </c>
      <c r="AJ132" s="1170" t="str">
        <f>+"+"</f>
        <v>+</v>
      </c>
      <c r="AK132" s="650">
        <v>538.20000000000005</v>
      </c>
      <c r="AL132" s="570">
        <v>286.89999999999998</v>
      </c>
      <c r="AM132" s="443"/>
      <c r="AN132" s="443"/>
      <c r="AO132" s="443"/>
      <c r="AP132" s="443"/>
      <c r="AQ132" s="443"/>
    </row>
    <row r="133" spans="27:43">
      <c r="AA133" s="443"/>
      <c r="AB133" s="443"/>
      <c r="AC133" s="443"/>
      <c r="AD133" s="443"/>
      <c r="AE133" s="443"/>
      <c r="AF133" s="655"/>
      <c r="AG133" s="498"/>
      <c r="AH133" s="443"/>
      <c r="AI133" s="443"/>
      <c r="AJ133" s="443"/>
      <c r="AK133" s="443"/>
      <c r="AL133" s="443"/>
      <c r="AM133" s="443"/>
      <c r="AN133" s="443"/>
      <c r="AO133" s="443"/>
      <c r="AP133" s="443"/>
      <c r="AQ133" s="443"/>
    </row>
    <row r="134" spans="27:43">
      <c r="AA134" s="443"/>
      <c r="AB134" s="443"/>
      <c r="AC134" s="443"/>
      <c r="AD134" s="443"/>
      <c r="AE134" s="443"/>
      <c r="AF134" s="655"/>
      <c r="AG134" s="498"/>
      <c r="AH134" s="443"/>
      <c r="AI134" s="443"/>
      <c r="AJ134" s="443"/>
      <c r="AK134" s="443"/>
      <c r="AL134" s="443"/>
      <c r="AM134" s="443"/>
      <c r="AN134" s="443"/>
      <c r="AO134" s="443"/>
      <c r="AP134" s="443"/>
      <c r="AQ134" s="443"/>
    </row>
    <row r="135" spans="27:43">
      <c r="AA135" s="443"/>
      <c r="AB135" s="443"/>
      <c r="AC135" s="443"/>
      <c r="AD135" s="443"/>
      <c r="AE135" s="443"/>
      <c r="AF135" s="655"/>
      <c r="AG135" s="498"/>
      <c r="AH135" s="443"/>
      <c r="AI135" s="443"/>
      <c r="AJ135" s="443"/>
      <c r="AK135" s="443"/>
      <c r="AL135" s="443"/>
      <c r="AM135" s="443"/>
      <c r="AN135" s="443"/>
      <c r="AO135" s="443"/>
      <c r="AP135" s="443"/>
      <c r="AQ135" s="443"/>
    </row>
    <row r="136" spans="27:43">
      <c r="AA136" s="443"/>
      <c r="AB136" s="443"/>
      <c r="AC136" s="443"/>
      <c r="AD136" s="443"/>
      <c r="AE136" s="443"/>
      <c r="AF136" s="655"/>
      <c r="AG136" s="498"/>
      <c r="AH136" s="443"/>
      <c r="AI136" s="443"/>
      <c r="AJ136" s="443"/>
      <c r="AK136" s="443"/>
      <c r="AL136" s="443"/>
      <c r="AM136" s="443"/>
      <c r="AN136" s="443"/>
      <c r="AO136" s="443"/>
      <c r="AP136" s="443"/>
      <c r="AQ136" s="443"/>
    </row>
    <row r="137" spans="27:43">
      <c r="AA137" s="443"/>
      <c r="AB137" s="443"/>
      <c r="AC137" s="443"/>
      <c r="AD137" s="443"/>
      <c r="AE137" s="443"/>
      <c r="AF137" s="655"/>
      <c r="AG137" s="498"/>
      <c r="AH137" s="443"/>
      <c r="AI137" s="443"/>
      <c r="AJ137" s="443"/>
      <c r="AK137" s="443"/>
      <c r="AL137" s="443"/>
      <c r="AM137" s="443"/>
      <c r="AN137" s="443"/>
      <c r="AO137" s="443"/>
      <c r="AP137" s="443"/>
      <c r="AQ137" s="443"/>
    </row>
    <row r="138" spans="27:43">
      <c r="AA138" s="443"/>
      <c r="AB138" s="443"/>
      <c r="AC138" s="443"/>
      <c r="AD138" s="443"/>
      <c r="AE138" s="443"/>
      <c r="AF138" s="655"/>
      <c r="AG138" s="498"/>
      <c r="AH138" s="443"/>
      <c r="AI138" s="443"/>
      <c r="AJ138" s="443"/>
      <c r="AK138" s="443"/>
      <c r="AL138" s="443"/>
      <c r="AM138" s="443"/>
      <c r="AN138" s="443"/>
      <c r="AO138" s="443"/>
      <c r="AP138" s="443"/>
      <c r="AQ138" s="443"/>
    </row>
    <row r="139" spans="27:43">
      <c r="AA139" s="443"/>
      <c r="AB139" s="443"/>
      <c r="AC139" s="443"/>
      <c r="AD139" s="443"/>
      <c r="AE139" s="443"/>
      <c r="AF139" s="655"/>
      <c r="AG139" s="498"/>
      <c r="AH139" s="443"/>
      <c r="AI139" s="443"/>
      <c r="AJ139" s="443"/>
      <c r="AK139" s="443"/>
      <c r="AL139" s="443"/>
      <c r="AM139" s="443"/>
      <c r="AN139" s="443"/>
      <c r="AO139" s="443"/>
      <c r="AP139" s="443"/>
      <c r="AQ139" s="443"/>
    </row>
    <row r="140" spans="27:43">
      <c r="AA140" s="443"/>
      <c r="AB140" s="443"/>
      <c r="AC140" s="443"/>
      <c r="AD140" s="443"/>
      <c r="AE140" s="443"/>
      <c r="AF140" s="655"/>
      <c r="AG140" s="498"/>
      <c r="AH140" s="443"/>
      <c r="AI140" s="443"/>
      <c r="AJ140" s="443"/>
      <c r="AK140" s="443"/>
      <c r="AL140" s="443"/>
      <c r="AM140" s="443"/>
      <c r="AN140" s="443"/>
      <c r="AO140" s="443"/>
      <c r="AP140" s="443"/>
      <c r="AQ140" s="443"/>
    </row>
    <row r="141" spans="27:43">
      <c r="AA141" s="443"/>
      <c r="AB141" s="443"/>
      <c r="AC141" s="443"/>
      <c r="AD141" s="443"/>
      <c r="AE141" s="443"/>
      <c r="AF141" s="655"/>
      <c r="AG141" s="498"/>
      <c r="AH141" s="443"/>
      <c r="AI141" s="443"/>
      <c r="AJ141" s="443"/>
      <c r="AK141" s="443"/>
      <c r="AL141" s="443"/>
      <c r="AM141" s="443"/>
      <c r="AN141" s="443"/>
      <c r="AO141" s="443"/>
      <c r="AP141" s="443"/>
      <c r="AQ141" s="443"/>
    </row>
    <row r="142" spans="27:43">
      <c r="AA142" s="443"/>
      <c r="AB142" s="443"/>
      <c r="AC142" s="443"/>
      <c r="AD142" s="443"/>
      <c r="AE142" s="443"/>
      <c r="AF142" s="655"/>
      <c r="AG142" s="498"/>
      <c r="AH142" s="443"/>
      <c r="AI142" s="443"/>
      <c r="AJ142" s="443"/>
      <c r="AK142" s="443"/>
      <c r="AL142" s="443"/>
      <c r="AM142" s="443"/>
      <c r="AN142" s="443"/>
      <c r="AO142" s="443"/>
      <c r="AP142" s="443"/>
      <c r="AQ142" s="443"/>
    </row>
    <row r="143" spans="27:43">
      <c r="AA143" s="443"/>
      <c r="AB143" s="443"/>
      <c r="AC143" s="443"/>
      <c r="AD143" s="443"/>
      <c r="AE143" s="443"/>
      <c r="AF143" s="655"/>
      <c r="AG143" s="498"/>
      <c r="AH143" s="443"/>
      <c r="AI143" s="443"/>
      <c r="AJ143" s="443"/>
      <c r="AK143" s="443"/>
      <c r="AL143" s="443"/>
      <c r="AM143" s="443"/>
      <c r="AN143" s="443"/>
      <c r="AO143" s="443"/>
      <c r="AP143" s="443"/>
      <c r="AQ143" s="443"/>
    </row>
    <row r="144" spans="27:43">
      <c r="AA144" s="443"/>
      <c r="AB144" s="443"/>
      <c r="AC144" s="443"/>
      <c r="AD144" s="443"/>
      <c r="AE144" s="443"/>
      <c r="AF144" s="655"/>
      <c r="AG144" s="498"/>
      <c r="AH144" s="443"/>
      <c r="AI144" s="443"/>
      <c r="AJ144" s="443"/>
      <c r="AK144" s="443"/>
      <c r="AL144" s="443"/>
      <c r="AM144" s="443"/>
      <c r="AN144" s="443"/>
      <c r="AO144" s="443"/>
      <c r="AP144" s="443"/>
      <c r="AQ144" s="443"/>
    </row>
    <row r="145" spans="27:43">
      <c r="AA145" s="443"/>
      <c r="AB145" s="443"/>
      <c r="AC145" s="443"/>
      <c r="AD145" s="443"/>
      <c r="AE145" s="443"/>
      <c r="AF145" s="655"/>
      <c r="AG145" s="498"/>
      <c r="AH145" s="443"/>
      <c r="AI145" s="443"/>
      <c r="AJ145" s="443"/>
      <c r="AK145" s="443"/>
      <c r="AL145" s="443"/>
      <c r="AM145" s="443"/>
      <c r="AN145" s="443"/>
      <c r="AO145" s="443"/>
      <c r="AP145" s="443"/>
      <c r="AQ145" s="443"/>
    </row>
    <row r="146" spans="27:43">
      <c r="AA146" s="443"/>
      <c r="AB146" s="443"/>
      <c r="AC146" s="443"/>
      <c r="AD146" s="443"/>
      <c r="AE146" s="443"/>
      <c r="AF146" s="655"/>
      <c r="AG146" s="498"/>
      <c r="AH146" s="443"/>
      <c r="AI146" s="443"/>
      <c r="AJ146" s="443"/>
      <c r="AK146" s="443"/>
      <c r="AL146" s="443"/>
      <c r="AM146" s="443"/>
      <c r="AN146" s="443"/>
      <c r="AO146" s="443"/>
      <c r="AP146" s="443"/>
      <c r="AQ146" s="443"/>
    </row>
    <row r="147" spans="27:43">
      <c r="AA147" s="443"/>
      <c r="AB147" s="443"/>
      <c r="AC147" s="443"/>
      <c r="AD147" s="443"/>
      <c r="AE147" s="443"/>
      <c r="AF147" s="655"/>
      <c r="AG147" s="498"/>
      <c r="AH147" s="443"/>
      <c r="AI147" s="443"/>
      <c r="AJ147" s="443"/>
      <c r="AK147" s="443"/>
      <c r="AL147" s="443"/>
      <c r="AM147" s="443"/>
      <c r="AN147" s="443"/>
      <c r="AO147" s="443"/>
      <c r="AP147" s="443"/>
      <c r="AQ147" s="443"/>
    </row>
    <row r="148" spans="27:43">
      <c r="AA148" s="443"/>
      <c r="AB148" s="443"/>
      <c r="AC148" s="443"/>
      <c r="AD148" s="443"/>
      <c r="AE148" s="443"/>
      <c r="AF148" s="655"/>
      <c r="AG148" s="498"/>
      <c r="AH148" s="443"/>
      <c r="AI148" s="443"/>
      <c r="AJ148" s="443"/>
      <c r="AK148" s="443"/>
      <c r="AL148" s="443"/>
      <c r="AM148" s="443"/>
      <c r="AN148" s="443"/>
      <c r="AO148" s="443"/>
      <c r="AP148" s="443"/>
      <c r="AQ148" s="443"/>
    </row>
    <row r="149" spans="27:43">
      <c r="AA149" s="443"/>
      <c r="AB149" s="443"/>
      <c r="AC149" s="443"/>
      <c r="AD149" s="443"/>
      <c r="AE149" s="443"/>
      <c r="AF149" s="655"/>
      <c r="AG149" s="498"/>
      <c r="AH149" s="443"/>
      <c r="AI149" s="443"/>
      <c r="AJ149" s="443"/>
      <c r="AK149" s="443"/>
      <c r="AL149" s="443"/>
      <c r="AM149" s="443"/>
      <c r="AN149" s="443"/>
      <c r="AO149" s="443"/>
      <c r="AP149" s="443"/>
      <c r="AQ149" s="443"/>
    </row>
    <row r="150" spans="27:43">
      <c r="AA150" s="443"/>
      <c r="AB150" s="443"/>
      <c r="AC150" s="443"/>
      <c r="AD150" s="443"/>
      <c r="AE150" s="443"/>
      <c r="AF150" s="655"/>
      <c r="AG150" s="498"/>
      <c r="AH150" s="443"/>
      <c r="AI150" s="443"/>
      <c r="AJ150" s="443"/>
      <c r="AK150" s="443"/>
      <c r="AL150" s="443"/>
      <c r="AM150" s="443"/>
      <c r="AN150" s="443"/>
      <c r="AO150" s="443"/>
      <c r="AP150" s="443"/>
      <c r="AQ150" s="443"/>
    </row>
    <row r="151" spans="27:43">
      <c r="AA151" s="443"/>
      <c r="AB151" s="443"/>
      <c r="AC151" s="443"/>
      <c r="AD151" s="443"/>
      <c r="AE151" s="443"/>
      <c r="AF151" s="655"/>
      <c r="AG151" s="498"/>
      <c r="AH151" s="443"/>
      <c r="AI151" s="443"/>
      <c r="AJ151" s="443"/>
      <c r="AK151" s="443"/>
      <c r="AL151" s="443"/>
      <c r="AM151" s="443"/>
      <c r="AN151" s="443"/>
      <c r="AO151" s="443"/>
      <c r="AP151" s="443"/>
      <c r="AQ151" s="443"/>
    </row>
    <row r="152" spans="27:43">
      <c r="AA152" s="443"/>
      <c r="AB152" s="443"/>
      <c r="AC152" s="443"/>
      <c r="AD152" s="443"/>
      <c r="AE152" s="443"/>
      <c r="AF152" s="655"/>
      <c r="AG152" s="498"/>
      <c r="AH152" s="443"/>
      <c r="AI152" s="443"/>
      <c r="AJ152" s="443"/>
      <c r="AK152" s="443"/>
      <c r="AL152" s="443"/>
      <c r="AM152" s="443"/>
      <c r="AN152" s="443"/>
      <c r="AO152" s="443"/>
      <c r="AP152" s="443"/>
      <c r="AQ152" s="443"/>
    </row>
    <row r="153" spans="27:43">
      <c r="AA153" s="443"/>
      <c r="AB153" s="443"/>
      <c r="AC153" s="443"/>
      <c r="AD153" s="443"/>
      <c r="AE153" s="443"/>
      <c r="AF153" s="655"/>
      <c r="AG153" s="498"/>
      <c r="AH153" s="443"/>
      <c r="AI153" s="443"/>
      <c r="AJ153" s="443"/>
      <c r="AK153" s="443"/>
      <c r="AL153" s="443"/>
      <c r="AM153" s="443"/>
      <c r="AN153" s="443"/>
      <c r="AO153" s="443"/>
      <c r="AP153" s="443"/>
      <c r="AQ153" s="443"/>
    </row>
    <row r="154" spans="27:43">
      <c r="AA154" s="443"/>
      <c r="AB154" s="443"/>
      <c r="AC154" s="443"/>
      <c r="AD154" s="443"/>
      <c r="AE154" s="443"/>
      <c r="AF154" s="655"/>
      <c r="AG154" s="498"/>
      <c r="AH154" s="443"/>
      <c r="AI154" s="443"/>
      <c r="AJ154" s="443"/>
      <c r="AK154" s="443"/>
      <c r="AL154" s="443"/>
      <c r="AM154" s="443"/>
      <c r="AN154" s="443"/>
      <c r="AO154" s="443"/>
      <c r="AP154" s="443"/>
      <c r="AQ154" s="443"/>
    </row>
    <row r="155" spans="27:43">
      <c r="AA155" s="443"/>
      <c r="AB155" s="443"/>
      <c r="AC155" s="443"/>
      <c r="AD155" s="443"/>
      <c r="AE155" s="443"/>
      <c r="AF155" s="655"/>
      <c r="AG155" s="498"/>
      <c r="AH155" s="443"/>
      <c r="AI155" s="443"/>
      <c r="AJ155" s="443"/>
      <c r="AK155" s="443"/>
      <c r="AL155" s="443"/>
      <c r="AM155" s="443"/>
      <c r="AN155" s="443"/>
      <c r="AO155" s="443"/>
      <c r="AP155" s="443"/>
      <c r="AQ155" s="443"/>
    </row>
    <row r="156" spans="27:43">
      <c r="AA156" s="443"/>
      <c r="AB156" s="443"/>
      <c r="AC156" s="443"/>
      <c r="AD156" s="443"/>
      <c r="AE156" s="443"/>
      <c r="AF156" s="655"/>
      <c r="AG156" s="498"/>
      <c r="AH156" s="443"/>
      <c r="AI156" s="443"/>
      <c r="AJ156" s="443"/>
      <c r="AK156" s="443"/>
      <c r="AL156" s="443"/>
      <c r="AM156" s="443"/>
      <c r="AN156" s="443"/>
      <c r="AO156" s="443"/>
      <c r="AP156" s="443"/>
      <c r="AQ156" s="443"/>
    </row>
    <row r="157" spans="27:43">
      <c r="AA157" s="443"/>
      <c r="AB157" s="443"/>
      <c r="AC157" s="443"/>
      <c r="AD157" s="443"/>
      <c r="AE157" s="443"/>
      <c r="AF157" s="655"/>
      <c r="AG157" s="498"/>
      <c r="AH157" s="443"/>
      <c r="AI157" s="443"/>
      <c r="AJ157" s="443"/>
      <c r="AK157" s="443"/>
      <c r="AL157" s="443"/>
      <c r="AM157" s="443"/>
      <c r="AN157" s="443"/>
      <c r="AO157" s="443"/>
      <c r="AP157" s="443"/>
      <c r="AQ157" s="443"/>
    </row>
    <row r="158" spans="27:43">
      <c r="AA158" s="443"/>
      <c r="AB158" s="443"/>
      <c r="AC158" s="443"/>
      <c r="AD158" s="443"/>
      <c r="AE158" s="443"/>
      <c r="AF158" s="655"/>
      <c r="AG158" s="498"/>
      <c r="AH158" s="443"/>
      <c r="AI158" s="443"/>
      <c r="AJ158" s="443"/>
      <c r="AK158" s="443"/>
      <c r="AL158" s="443"/>
      <c r="AM158" s="443"/>
      <c r="AN158" s="443"/>
      <c r="AO158" s="443"/>
      <c r="AP158" s="443"/>
      <c r="AQ158" s="443"/>
    </row>
    <row r="159" spans="27:43">
      <c r="AA159" s="443"/>
      <c r="AB159" s="443"/>
      <c r="AC159" s="443"/>
      <c r="AD159" s="443"/>
      <c r="AE159" s="443"/>
      <c r="AF159" s="655"/>
      <c r="AG159" s="498"/>
      <c r="AH159" s="443"/>
      <c r="AI159" s="443"/>
      <c r="AJ159" s="443"/>
      <c r="AK159" s="443"/>
      <c r="AL159" s="443"/>
      <c r="AM159" s="443"/>
      <c r="AN159" s="443"/>
      <c r="AO159" s="443"/>
      <c r="AP159" s="443"/>
      <c r="AQ159" s="443"/>
    </row>
    <row r="160" spans="27:43">
      <c r="AA160" s="443"/>
      <c r="AB160" s="443"/>
      <c r="AC160" s="443"/>
      <c r="AD160" s="443"/>
      <c r="AE160" s="443"/>
      <c r="AF160" s="655"/>
      <c r="AG160" s="498"/>
      <c r="AH160" s="443"/>
      <c r="AI160" s="443"/>
      <c r="AJ160" s="443"/>
      <c r="AK160" s="443"/>
      <c r="AL160" s="443"/>
      <c r="AM160" s="443"/>
      <c r="AN160" s="443"/>
      <c r="AO160" s="443"/>
      <c r="AP160" s="443"/>
      <c r="AQ160" s="443"/>
    </row>
    <row r="161" spans="27:43">
      <c r="AA161" s="443"/>
      <c r="AB161" s="443"/>
      <c r="AC161" s="443"/>
      <c r="AD161" s="443"/>
      <c r="AE161" s="443"/>
      <c r="AF161" s="655"/>
      <c r="AG161" s="498"/>
      <c r="AH161" s="443"/>
      <c r="AI161" s="443"/>
      <c r="AJ161" s="443"/>
      <c r="AK161" s="443"/>
      <c r="AL161" s="443"/>
      <c r="AM161" s="443"/>
      <c r="AN161" s="443"/>
      <c r="AO161" s="443"/>
      <c r="AP161" s="443"/>
      <c r="AQ161" s="443"/>
    </row>
    <row r="162" spans="27:43">
      <c r="AA162" s="443"/>
      <c r="AB162" s="443"/>
      <c r="AC162" s="443"/>
      <c r="AD162" s="443"/>
      <c r="AE162" s="443"/>
      <c r="AF162" s="655"/>
      <c r="AG162" s="498"/>
      <c r="AH162" s="443"/>
      <c r="AI162" s="443"/>
      <c r="AJ162" s="443"/>
      <c r="AK162" s="443"/>
      <c r="AL162" s="443"/>
      <c r="AM162" s="443"/>
      <c r="AN162" s="443"/>
      <c r="AO162" s="443"/>
      <c r="AP162" s="443"/>
      <c r="AQ162" s="443"/>
    </row>
    <row r="163" spans="27:43">
      <c r="AA163" s="443"/>
      <c r="AB163" s="443"/>
      <c r="AC163" s="443"/>
      <c r="AD163" s="443"/>
      <c r="AE163" s="443"/>
      <c r="AF163" s="655"/>
      <c r="AG163" s="498"/>
      <c r="AH163" s="443"/>
      <c r="AI163" s="443"/>
      <c r="AJ163" s="443"/>
      <c r="AK163" s="443"/>
      <c r="AL163" s="443"/>
      <c r="AM163" s="443"/>
      <c r="AN163" s="443"/>
      <c r="AO163" s="443"/>
      <c r="AP163" s="443"/>
      <c r="AQ163" s="443"/>
    </row>
    <row r="164" spans="27:43">
      <c r="AA164" s="443"/>
      <c r="AB164" s="443"/>
      <c r="AC164" s="443"/>
      <c r="AD164" s="443"/>
      <c r="AE164" s="443"/>
      <c r="AF164" s="655"/>
      <c r="AG164" s="498"/>
      <c r="AH164" s="443"/>
      <c r="AI164" s="443"/>
      <c r="AJ164" s="443"/>
      <c r="AK164" s="443"/>
      <c r="AL164" s="443"/>
      <c r="AM164" s="443"/>
      <c r="AN164" s="443"/>
      <c r="AO164" s="443"/>
      <c r="AP164" s="443"/>
      <c r="AQ164" s="443"/>
    </row>
    <row r="165" spans="27:43">
      <c r="AA165" s="443"/>
      <c r="AB165" s="443"/>
      <c r="AC165" s="443"/>
      <c r="AD165" s="443"/>
      <c r="AE165" s="443"/>
      <c r="AF165" s="655"/>
      <c r="AG165" s="498"/>
      <c r="AH165" s="443"/>
      <c r="AI165" s="443"/>
      <c r="AJ165" s="443"/>
      <c r="AK165" s="443"/>
      <c r="AL165" s="443"/>
      <c r="AM165" s="443"/>
      <c r="AN165" s="443"/>
      <c r="AO165" s="443"/>
      <c r="AP165" s="443"/>
      <c r="AQ165" s="443"/>
    </row>
  </sheetData>
  <sheetProtection sheet="1" selectLockedCells="1"/>
  <conditionalFormatting sqref="G7:G8">
    <cfRule type="expression" dxfId="17" priority="8">
      <formula>H6=$AH$22</formula>
    </cfRule>
  </conditionalFormatting>
  <conditionalFormatting sqref="I16">
    <cfRule type="expression" dxfId="16" priority="2">
      <formula>$J$16="&lt;- Enter quantity"</formula>
    </cfRule>
  </conditionalFormatting>
  <conditionalFormatting sqref="I17">
    <cfRule type="expression" dxfId="15" priority="1">
      <formula>$J$17="&lt;- Enter quantity"</formula>
    </cfRule>
  </conditionalFormatting>
  <dataValidations count="2">
    <dataValidation type="list" allowBlank="1" showInputMessage="1" showErrorMessage="1" prompt="Select the type of Building" sqref="H6" xr:uid="{00000000-0002-0000-0000-000000000000}">
      <formula1>$AH$20:$AH$24</formula1>
    </dataValidation>
    <dataValidation type="list" allowBlank="1" showInputMessage="1" showErrorMessage="1" sqref="H5" xr:uid="{5DF0D12F-9889-441E-9C7D-EEDDF95E5B46}">
      <formula1>$AJ$61:$AJ$62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EE2FE-7120-4F9C-889D-AAF37B854310}">
  <sheetPr codeName="Sheet2">
    <tabColor rgb="FF9F3FFF"/>
  </sheetPr>
  <dimension ref="A1:AR56"/>
  <sheetViews>
    <sheetView showGridLines="0" zoomScale="85" zoomScaleNormal="85" workbookViewId="0">
      <selection activeCell="F24" sqref="F24"/>
    </sheetView>
  </sheetViews>
  <sheetFormatPr defaultRowHeight="15"/>
  <cols>
    <col min="3" max="3" width="3.28515625" customWidth="1"/>
    <col min="4" max="4" width="13" customWidth="1"/>
    <col min="7" max="7" width="13.42578125" customWidth="1"/>
    <col min="8" max="8" width="13.28515625" customWidth="1"/>
    <col min="12" max="12" width="12.85546875" customWidth="1"/>
    <col min="13" max="13" width="3.28515625" customWidth="1"/>
    <col min="14" max="21" width="12.85546875" customWidth="1"/>
    <col min="22" max="25" width="9.140625" customWidth="1"/>
    <col min="26" max="26" width="12" customWidth="1"/>
    <col min="27" max="27" width="9.140625" customWidth="1"/>
    <col min="28" max="28" width="11.28515625" customWidth="1"/>
    <col min="29" max="30" width="9.140625" customWidth="1"/>
    <col min="31" max="32" width="3" customWidth="1"/>
    <col min="33" max="33" width="19.140625" customWidth="1"/>
    <col min="34" max="36" width="15.140625" customWidth="1"/>
    <col min="37" max="43" width="9.140625" customWidth="1"/>
  </cols>
  <sheetData>
    <row r="1" spans="1:44" ht="16.5" customHeight="1" thickBot="1">
      <c r="A1" s="759"/>
      <c r="B1" s="759"/>
      <c r="C1" s="48"/>
      <c r="D1" s="48"/>
      <c r="E1" s="48"/>
      <c r="F1" s="48"/>
      <c r="G1" s="48"/>
      <c r="H1" s="48"/>
      <c r="I1" s="48"/>
      <c r="J1" s="48"/>
      <c r="K1" s="49"/>
      <c r="L1" s="49"/>
      <c r="M1" s="49"/>
      <c r="N1" s="49"/>
      <c r="O1" s="50"/>
      <c r="P1" s="51"/>
      <c r="Q1" s="52"/>
      <c r="R1" s="53"/>
      <c r="S1" s="54"/>
      <c r="T1" s="55"/>
      <c r="U1" s="56"/>
      <c r="V1" s="56"/>
      <c r="W1" s="56"/>
      <c r="X1" s="56"/>
      <c r="Y1" s="56"/>
      <c r="Z1" s="57"/>
      <c r="AA1" s="57"/>
      <c r="AB1" s="57"/>
      <c r="AC1" s="57"/>
      <c r="AD1" s="58"/>
      <c r="AE1" s="59"/>
      <c r="AF1" s="59"/>
      <c r="AG1" s="59"/>
      <c r="AH1" s="59"/>
      <c r="AI1" s="59"/>
      <c r="AJ1" s="59"/>
      <c r="AK1" s="60"/>
      <c r="AL1" s="60"/>
      <c r="AM1" s="60"/>
      <c r="AN1" s="60"/>
      <c r="AO1" s="60"/>
      <c r="AP1" s="60"/>
      <c r="AQ1" s="56"/>
      <c r="AR1" s="56"/>
    </row>
    <row r="2" spans="1:44" ht="15.75" thickBot="1">
      <c r="A2" s="48"/>
      <c r="B2" s="48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62"/>
      <c r="AA2" s="63"/>
      <c r="AB2" s="63"/>
      <c r="AC2" s="64"/>
      <c r="AD2" s="65"/>
      <c r="AE2" s="369"/>
      <c r="AF2" s="66"/>
      <c r="AG2" s="67"/>
      <c r="AH2" s="68"/>
      <c r="AI2" s="68"/>
      <c r="AJ2" s="69"/>
      <c r="AK2" s="70"/>
      <c r="AL2" s="70"/>
      <c r="AM2" s="70"/>
      <c r="AN2" s="70"/>
      <c r="AO2" s="70"/>
      <c r="AP2" s="70"/>
      <c r="AQ2" s="56"/>
      <c r="AR2" s="56"/>
    </row>
    <row r="3" spans="1:44" ht="21">
      <c r="A3" s="48"/>
      <c r="B3" s="48"/>
      <c r="C3" s="56"/>
      <c r="D3" s="417"/>
      <c r="E3" s="418"/>
      <c r="F3" s="418"/>
      <c r="G3" s="418"/>
      <c r="H3" s="419" t="s">
        <v>155</v>
      </c>
      <c r="I3" s="420"/>
      <c r="J3" s="420"/>
      <c r="K3" s="420"/>
      <c r="L3" s="421"/>
      <c r="M3" s="411"/>
      <c r="N3" s="417"/>
      <c r="O3" s="418"/>
      <c r="P3" s="834" t="s">
        <v>156</v>
      </c>
      <c r="Q3" s="418"/>
      <c r="R3" s="419"/>
      <c r="S3" s="421"/>
      <c r="W3" s="56"/>
      <c r="X3" s="56"/>
      <c r="Y3" s="56"/>
      <c r="Z3" s="78"/>
      <c r="AA3" s="63"/>
      <c r="AB3" s="63"/>
      <c r="AC3" s="64"/>
      <c r="AD3" s="76"/>
      <c r="AE3" s="77"/>
      <c r="AF3" s="66"/>
      <c r="AG3" s="78"/>
      <c r="AH3" s="79"/>
      <c r="AI3" s="63"/>
      <c r="AJ3" s="64"/>
      <c r="AK3" s="70"/>
      <c r="AL3" s="70"/>
      <c r="AM3" s="70"/>
      <c r="AN3" s="70"/>
      <c r="AO3" s="70"/>
      <c r="AP3" s="70"/>
      <c r="AQ3" s="56"/>
      <c r="AR3" s="56"/>
    </row>
    <row r="4" spans="1:44">
      <c r="A4" s="48"/>
      <c r="B4" s="48"/>
      <c r="C4" s="56"/>
      <c r="D4" s="42"/>
      <c r="E4" s="12"/>
      <c r="F4" s="12"/>
      <c r="G4" s="12"/>
      <c r="H4" s="12"/>
      <c r="I4" s="12"/>
      <c r="J4" s="12"/>
      <c r="K4" s="12"/>
      <c r="L4" s="41"/>
      <c r="M4" s="411"/>
      <c r="N4" s="835"/>
      <c r="O4" s="836"/>
      <c r="P4" s="836"/>
      <c r="Q4" s="836"/>
      <c r="R4" s="837"/>
      <c r="S4" s="1203"/>
      <c r="T4" s="411"/>
      <c r="V4" s="56"/>
      <c r="W4" s="56"/>
      <c r="X4" s="56"/>
      <c r="Y4" s="56"/>
      <c r="Z4" s="112"/>
      <c r="AA4" s="120"/>
      <c r="AB4" s="88"/>
      <c r="AC4" s="89"/>
      <c r="AD4" s="84"/>
      <c r="AE4" s="85"/>
      <c r="AF4" s="66"/>
      <c r="AG4" s="86"/>
      <c r="AH4" s="87"/>
      <c r="AI4" s="88"/>
      <c r="AJ4" s="89"/>
      <c r="AK4" s="70"/>
      <c r="AL4" s="70"/>
      <c r="AM4" s="70"/>
      <c r="AN4" s="70"/>
      <c r="AO4" s="70"/>
      <c r="AP4" s="70"/>
      <c r="AQ4" s="56"/>
      <c r="AR4" s="56"/>
    </row>
    <row r="5" spans="1:44">
      <c r="A5" s="48"/>
      <c r="B5" s="48"/>
      <c r="C5" s="56"/>
      <c r="D5" s="42"/>
      <c r="E5" s="90"/>
      <c r="F5" s="422"/>
      <c r="G5" s="399" t="s">
        <v>157</v>
      </c>
      <c r="H5" s="2">
        <f>8*24</f>
        <v>192</v>
      </c>
      <c r="I5" s="12"/>
      <c r="J5" s="12"/>
      <c r="K5" s="12"/>
      <c r="L5" s="41"/>
      <c r="M5" s="411"/>
      <c r="N5" s="789"/>
      <c r="O5" s="84"/>
      <c r="P5" s="790" t="s">
        <v>158</v>
      </c>
      <c r="Q5" s="796">
        <f>Z28</f>
        <v>19235</v>
      </c>
      <c r="R5" s="792"/>
      <c r="S5" s="1181"/>
      <c r="T5" s="411"/>
      <c r="V5" s="56"/>
      <c r="W5" s="56"/>
      <c r="X5" s="56"/>
      <c r="Y5" s="56"/>
      <c r="Z5" s="112"/>
      <c r="AA5" s="120"/>
      <c r="AB5" s="88"/>
      <c r="AC5" s="89"/>
      <c r="AD5" s="58"/>
      <c r="AE5" s="59"/>
      <c r="AF5" s="66"/>
      <c r="AG5" s="86"/>
      <c r="AH5" s="87"/>
      <c r="AI5" s="88"/>
      <c r="AJ5" s="89"/>
      <c r="AK5" s="70"/>
      <c r="AL5" s="70"/>
      <c r="AM5" s="70"/>
      <c r="AN5" s="70"/>
      <c r="AO5" s="70"/>
      <c r="AP5" s="70"/>
      <c r="AQ5" s="56"/>
      <c r="AR5" s="56"/>
    </row>
    <row r="6" spans="1:44">
      <c r="A6" s="48"/>
      <c r="B6" s="48"/>
      <c r="C6" s="56"/>
      <c r="D6" s="42"/>
      <c r="E6" s="90"/>
      <c r="F6" s="422"/>
      <c r="G6" s="399" t="s">
        <v>28</v>
      </c>
      <c r="H6" s="2">
        <v>0</v>
      </c>
      <c r="I6" s="12"/>
      <c r="J6" s="12"/>
      <c r="K6" s="12"/>
      <c r="L6" s="41"/>
      <c r="M6" s="411"/>
      <c r="N6" s="795"/>
      <c r="O6" s="84"/>
      <c r="P6" s="790" t="s">
        <v>32</v>
      </c>
      <c r="Q6" s="796">
        <f>Z36</f>
        <v>316.79999999999995</v>
      </c>
      <c r="R6" s="792"/>
      <c r="S6" s="1181"/>
      <c r="V6" s="56"/>
      <c r="W6" s="56"/>
      <c r="X6" s="56"/>
      <c r="Y6" s="56"/>
      <c r="Z6" s="112"/>
      <c r="AA6" s="120" t="s">
        <v>15</v>
      </c>
      <c r="AB6" s="88"/>
      <c r="AC6" s="89"/>
      <c r="AD6" s="58"/>
      <c r="AE6" s="59"/>
      <c r="AF6" s="66"/>
      <c r="AG6" s="86"/>
      <c r="AH6" s="87" t="s">
        <v>16</v>
      </c>
      <c r="AI6" s="88"/>
      <c r="AJ6" s="89"/>
      <c r="AK6" s="70"/>
      <c r="AL6" s="70"/>
      <c r="AM6" s="70"/>
      <c r="AN6" s="70"/>
      <c r="AO6" s="70"/>
      <c r="AP6" s="70"/>
      <c r="AQ6" s="56"/>
      <c r="AR6" s="56"/>
    </row>
    <row r="7" spans="1:44">
      <c r="A7" s="48"/>
      <c r="B7" s="48"/>
      <c r="C7" s="56"/>
      <c r="D7" s="42"/>
      <c r="E7" s="90"/>
      <c r="F7" s="422"/>
      <c r="G7" s="399" t="s">
        <v>159</v>
      </c>
      <c r="H7" s="4">
        <v>4700</v>
      </c>
      <c r="I7" s="12"/>
      <c r="J7" s="12"/>
      <c r="K7" s="12"/>
      <c r="L7" s="41"/>
      <c r="M7" s="412"/>
      <c r="N7" s="795"/>
      <c r="O7" s="84"/>
      <c r="P7" s="790" t="s">
        <v>99</v>
      </c>
      <c r="Q7" s="796">
        <f>Z21</f>
        <v>0</v>
      </c>
      <c r="R7" s="797"/>
      <c r="S7" s="1204"/>
      <c r="V7" s="56"/>
      <c r="W7" s="56"/>
      <c r="X7" s="56"/>
      <c r="Y7" s="56"/>
      <c r="Z7" s="112"/>
      <c r="AA7" s="120" t="s">
        <v>18</v>
      </c>
      <c r="AB7" s="88"/>
      <c r="AC7" s="89"/>
      <c r="AD7" s="58"/>
      <c r="AE7" s="59"/>
      <c r="AF7" s="66"/>
      <c r="AG7" s="86"/>
      <c r="AH7" s="87"/>
      <c r="AI7" s="88"/>
      <c r="AJ7" s="89"/>
      <c r="AK7" s="70"/>
      <c r="AL7" s="70"/>
      <c r="AM7" s="70"/>
      <c r="AN7" s="70"/>
      <c r="AO7" s="70"/>
      <c r="AP7" s="70"/>
      <c r="AQ7" s="56"/>
      <c r="AR7" s="56"/>
    </row>
    <row r="8" spans="1:44">
      <c r="A8" s="48"/>
      <c r="B8" s="48"/>
      <c r="C8" s="56"/>
      <c r="D8" s="42"/>
      <c r="E8" s="90"/>
      <c r="F8" s="422"/>
      <c r="G8" s="399" t="s">
        <v>160</v>
      </c>
      <c r="H8" s="4">
        <v>19235</v>
      </c>
      <c r="I8" s="12"/>
      <c r="J8" s="12"/>
      <c r="K8" s="12"/>
      <c r="L8" s="41"/>
      <c r="M8" s="411"/>
      <c r="N8" s="795"/>
      <c r="O8" s="134"/>
      <c r="P8" s="790" t="s">
        <v>161</v>
      </c>
      <c r="Q8" s="796">
        <f>H7</f>
        <v>4700</v>
      </c>
      <c r="R8" s="792"/>
      <c r="S8" s="1204"/>
      <c r="V8" s="56"/>
      <c r="W8" s="56"/>
      <c r="X8" s="56"/>
      <c r="Y8" s="56"/>
      <c r="Z8" s="112"/>
      <c r="AA8" s="120" t="s">
        <v>21</v>
      </c>
      <c r="AB8" s="88"/>
      <c r="AC8" s="89"/>
      <c r="AD8" s="58"/>
      <c r="AE8" s="59"/>
      <c r="AF8" s="66"/>
      <c r="AG8" s="86"/>
      <c r="AH8" s="87"/>
      <c r="AI8" s="88"/>
      <c r="AJ8" s="89"/>
      <c r="AK8" s="70"/>
      <c r="AL8" s="70"/>
      <c r="AM8" s="70"/>
      <c r="AN8" s="70"/>
      <c r="AO8" s="70"/>
      <c r="AP8" s="70"/>
      <c r="AQ8" s="56"/>
      <c r="AR8" s="56"/>
    </row>
    <row r="9" spans="1:44">
      <c r="A9" s="48"/>
      <c r="B9" s="48"/>
      <c r="C9" s="56"/>
      <c r="D9" s="42"/>
      <c r="E9" s="12"/>
      <c r="F9" s="12"/>
      <c r="G9" s="12"/>
      <c r="H9" s="12"/>
      <c r="I9" s="12"/>
      <c r="J9" s="12"/>
      <c r="K9" s="12"/>
      <c r="L9" s="41"/>
      <c r="M9" s="411"/>
      <c r="N9" s="795"/>
      <c r="O9" s="833"/>
      <c r="P9" s="84"/>
      <c r="Q9" s="84"/>
      <c r="R9" s="84"/>
      <c r="S9" s="1204"/>
      <c r="V9" s="56"/>
      <c r="W9" s="56"/>
      <c r="X9" s="56"/>
      <c r="Y9" s="56"/>
      <c r="Z9" s="112"/>
      <c r="AA9" s="120"/>
      <c r="AB9" s="88"/>
      <c r="AC9" s="89"/>
      <c r="AD9" s="58"/>
      <c r="AE9" s="59"/>
      <c r="AF9" s="66"/>
      <c r="AG9" s="86"/>
      <c r="AH9" s="87"/>
      <c r="AI9" s="88"/>
      <c r="AJ9" s="89"/>
      <c r="AK9" s="70"/>
      <c r="AL9" s="70"/>
      <c r="AM9" s="70"/>
      <c r="AN9" s="70"/>
      <c r="AO9" s="70"/>
      <c r="AP9" s="70"/>
      <c r="AQ9" s="56"/>
      <c r="AR9" s="56"/>
    </row>
    <row r="10" spans="1:44" ht="15.75" thickBot="1">
      <c r="A10" s="48"/>
      <c r="B10" s="48"/>
      <c r="C10" s="56"/>
      <c r="D10" s="42"/>
      <c r="E10" s="398"/>
      <c r="F10" s="9"/>
      <c r="G10" s="399"/>
      <c r="H10" s="399"/>
      <c r="I10" s="399"/>
      <c r="J10" s="399"/>
      <c r="K10" s="12"/>
      <c r="L10" s="41"/>
      <c r="M10" s="412"/>
      <c r="N10" s="818"/>
      <c r="O10" s="819"/>
      <c r="P10" s="819"/>
      <c r="Q10" s="819"/>
      <c r="R10" s="819"/>
      <c r="S10" s="821"/>
      <c r="V10" s="56"/>
      <c r="W10" s="56"/>
      <c r="X10" s="56"/>
      <c r="Y10" s="56"/>
      <c r="Z10" s="112"/>
      <c r="AA10" s="120"/>
      <c r="AB10" s="88"/>
      <c r="AC10" s="89"/>
      <c r="AD10" s="58"/>
      <c r="AE10" s="59"/>
      <c r="AF10" s="66"/>
      <c r="AG10" s="86"/>
      <c r="AH10" s="87"/>
      <c r="AI10" s="88"/>
      <c r="AJ10" s="89"/>
      <c r="AK10" s="70"/>
      <c r="AL10" s="70"/>
      <c r="AM10" s="70"/>
      <c r="AN10" s="70"/>
      <c r="AO10" s="70"/>
      <c r="AP10" s="70"/>
      <c r="AQ10" s="56"/>
      <c r="AR10" s="56"/>
    </row>
    <row r="11" spans="1:44">
      <c r="A11" s="48"/>
      <c r="B11" s="48"/>
      <c r="C11" s="56"/>
      <c r="D11" s="423"/>
      <c r="E11" s="424"/>
      <c r="F11" s="424"/>
      <c r="G11" s="425" t="s">
        <v>162</v>
      </c>
      <c r="H11" s="426" t="s">
        <v>163</v>
      </c>
      <c r="I11" s="424"/>
      <c r="J11" s="424"/>
      <c r="K11" s="424"/>
      <c r="L11" s="427"/>
      <c r="M11" s="411"/>
      <c r="N11" s="411"/>
      <c r="O11" s="411"/>
      <c r="P11" s="411"/>
      <c r="Q11" s="411"/>
      <c r="R11" s="411"/>
      <c r="S11" s="411"/>
      <c r="V11" s="56"/>
      <c r="W11" s="56"/>
      <c r="X11" s="56"/>
      <c r="Y11" s="56"/>
      <c r="Z11" s="112"/>
      <c r="AA11" s="120"/>
      <c r="AB11" s="88"/>
      <c r="AC11" s="89"/>
      <c r="AD11" s="58"/>
      <c r="AE11" s="59"/>
      <c r="AF11" s="66"/>
      <c r="AG11" s="86"/>
      <c r="AH11" s="87"/>
      <c r="AI11" s="88"/>
      <c r="AJ11" s="89"/>
      <c r="AK11" s="70"/>
      <c r="AL11" s="70"/>
      <c r="AM11" s="70"/>
      <c r="AN11" s="70"/>
      <c r="AO11" s="70"/>
      <c r="AP11" s="70"/>
      <c r="AQ11" s="56"/>
      <c r="AR11" s="56"/>
    </row>
    <row r="12" spans="1:44">
      <c r="A12" s="48"/>
      <c r="B12" s="48"/>
      <c r="C12" s="56"/>
      <c r="D12" s="42"/>
      <c r="E12" s="12"/>
      <c r="F12" s="12"/>
      <c r="G12" s="428" t="s">
        <v>164</v>
      </c>
      <c r="H12" s="12"/>
      <c r="I12" s="12"/>
      <c r="J12" s="12"/>
      <c r="K12" s="12"/>
      <c r="L12" s="41"/>
      <c r="M12" s="411"/>
      <c r="N12" s="411"/>
      <c r="O12" s="411"/>
      <c r="P12" s="411"/>
      <c r="Q12" s="411"/>
      <c r="R12" s="411"/>
      <c r="S12" s="411"/>
      <c r="T12" s="411"/>
      <c r="U12" s="411"/>
      <c r="V12" s="56"/>
      <c r="W12" s="56"/>
      <c r="X12" s="56"/>
      <c r="Y12" s="56"/>
      <c r="Z12" s="112"/>
      <c r="AA12" s="120"/>
      <c r="AB12" s="88"/>
      <c r="AC12" s="89"/>
      <c r="AD12" s="58"/>
      <c r="AE12" s="59"/>
      <c r="AF12" s="66"/>
      <c r="AG12" s="86"/>
      <c r="AH12" s="87"/>
      <c r="AI12" s="88"/>
      <c r="AJ12" s="89"/>
      <c r="AK12" s="70"/>
      <c r="AL12" s="70"/>
      <c r="AM12" s="70"/>
      <c r="AN12" s="70"/>
      <c r="AO12" s="70"/>
      <c r="AP12" s="70"/>
      <c r="AQ12" s="56"/>
      <c r="AR12" s="56"/>
    </row>
    <row r="13" spans="1:44">
      <c r="A13" s="48"/>
      <c r="B13" s="48"/>
      <c r="C13" s="56"/>
      <c r="D13" s="42"/>
      <c r="E13" s="12"/>
      <c r="F13" s="1205"/>
      <c r="G13" s="1206" t="s">
        <v>165</v>
      </c>
      <c r="H13" s="1207">
        <f>Q5</f>
        <v>19235</v>
      </c>
      <c r="I13" s="12"/>
      <c r="J13" s="12"/>
      <c r="K13" s="12"/>
      <c r="L13" s="41"/>
      <c r="M13" s="412"/>
      <c r="N13" s="412"/>
      <c r="O13" s="412"/>
      <c r="P13" s="412"/>
      <c r="Q13" s="412"/>
      <c r="R13" s="412"/>
      <c r="S13" s="412"/>
      <c r="T13" s="411"/>
      <c r="U13" s="411"/>
      <c r="V13" s="56"/>
      <c r="W13" s="56"/>
      <c r="X13" s="56"/>
      <c r="Y13" s="56"/>
      <c r="Z13" s="112"/>
      <c r="AA13" s="120"/>
      <c r="AB13" s="88"/>
      <c r="AC13" s="89"/>
      <c r="AD13" s="58"/>
      <c r="AE13" s="59"/>
      <c r="AF13" s="66"/>
      <c r="AG13" s="86"/>
      <c r="AH13" s="87"/>
      <c r="AI13" s="88"/>
      <c r="AJ13" s="89"/>
      <c r="AK13" s="70"/>
      <c r="AL13" s="70"/>
      <c r="AM13" s="70"/>
      <c r="AN13" s="70"/>
      <c r="AO13" s="70"/>
      <c r="AP13" s="70"/>
      <c r="AQ13" s="56"/>
      <c r="AR13" s="56"/>
    </row>
    <row r="14" spans="1:44">
      <c r="A14" s="48"/>
      <c r="B14" s="48"/>
      <c r="C14" s="56"/>
      <c r="D14" s="42"/>
      <c r="E14" s="12"/>
      <c r="F14" s="429"/>
      <c r="G14" s="430" t="s">
        <v>166</v>
      </c>
      <c r="H14" s="431">
        <f>Q6</f>
        <v>316.79999999999995</v>
      </c>
      <c r="I14" s="12"/>
      <c r="J14" s="12"/>
      <c r="K14" s="12"/>
      <c r="L14" s="41"/>
      <c r="M14" s="411"/>
      <c r="N14" s="411"/>
      <c r="O14" s="411"/>
      <c r="P14" s="411"/>
      <c r="Q14" s="411"/>
      <c r="R14" s="411"/>
      <c r="S14" s="411"/>
      <c r="T14" s="412"/>
      <c r="U14" s="412"/>
      <c r="V14" s="56"/>
      <c r="W14" s="56"/>
      <c r="X14" s="56"/>
      <c r="Y14" s="56"/>
      <c r="Z14" s="112"/>
      <c r="AA14" s="120"/>
      <c r="AB14" s="88"/>
      <c r="AC14" s="89"/>
      <c r="AD14" s="58"/>
      <c r="AE14" s="59"/>
      <c r="AF14" s="66"/>
      <c r="AG14" s="86"/>
      <c r="AH14" s="87"/>
      <c r="AI14" s="88"/>
      <c r="AJ14" s="89"/>
      <c r="AK14" s="70"/>
      <c r="AL14" s="70"/>
      <c r="AM14" s="70"/>
      <c r="AN14" s="70"/>
      <c r="AO14" s="70"/>
      <c r="AP14" s="70"/>
      <c r="AQ14" s="56"/>
      <c r="AR14" s="56"/>
    </row>
    <row r="15" spans="1:44">
      <c r="A15" s="48"/>
      <c r="B15" s="48"/>
      <c r="C15" s="56"/>
      <c r="D15" s="42"/>
      <c r="E15" s="399"/>
      <c r="F15" s="432"/>
      <c r="G15" s="432" t="s">
        <v>167</v>
      </c>
      <c r="H15" s="433">
        <f>Q7</f>
        <v>0</v>
      </c>
      <c r="I15" s="399"/>
      <c r="J15" s="399"/>
      <c r="K15" s="399"/>
      <c r="L15" s="41"/>
      <c r="M15" s="411"/>
      <c r="N15" s="411"/>
      <c r="O15" s="411"/>
      <c r="P15" s="411"/>
      <c r="Q15" s="411"/>
      <c r="R15" s="411"/>
      <c r="S15" s="411"/>
      <c r="T15" s="411"/>
      <c r="U15" s="411"/>
      <c r="V15" s="56"/>
      <c r="W15" s="56"/>
      <c r="X15" s="56"/>
      <c r="Y15" s="56"/>
      <c r="Z15" s="112"/>
      <c r="AA15" s="120"/>
      <c r="AB15" s="88"/>
      <c r="AC15" s="89"/>
      <c r="AD15" s="58"/>
      <c r="AE15" s="59"/>
      <c r="AF15" s="66"/>
      <c r="AG15" s="86"/>
      <c r="AH15" s="87"/>
      <c r="AI15" s="88"/>
      <c r="AJ15" s="89"/>
      <c r="AK15" s="70"/>
      <c r="AL15" s="70"/>
      <c r="AM15" s="70"/>
      <c r="AN15" s="70"/>
      <c r="AO15" s="70"/>
      <c r="AP15" s="70"/>
      <c r="AQ15" s="56"/>
      <c r="AR15" s="56"/>
    </row>
    <row r="16" spans="1:44" ht="15.75" thickBot="1">
      <c r="A16" s="48"/>
      <c r="B16" s="48"/>
      <c r="C16" s="56"/>
      <c r="D16" s="42"/>
      <c r="E16" s="12"/>
      <c r="F16" s="429"/>
      <c r="G16" s="430" t="s">
        <v>168</v>
      </c>
      <c r="H16" s="431">
        <f>Q8</f>
        <v>4700</v>
      </c>
      <c r="I16" s="12"/>
      <c r="J16" s="12"/>
      <c r="K16" s="12"/>
      <c r="L16" s="41"/>
      <c r="M16" s="412"/>
      <c r="N16" s="412"/>
      <c r="O16" s="412"/>
      <c r="P16" s="412"/>
      <c r="Q16" s="412"/>
      <c r="R16" s="412"/>
      <c r="S16" s="412"/>
      <c r="T16" s="411"/>
      <c r="U16" s="411"/>
      <c r="V16" s="56"/>
      <c r="W16" s="56"/>
      <c r="X16" s="56"/>
      <c r="Y16" s="56"/>
      <c r="Z16" s="127"/>
      <c r="AA16" s="128"/>
      <c r="AB16" s="129"/>
      <c r="AC16" s="130"/>
      <c r="AD16" s="58"/>
      <c r="AE16" s="59"/>
      <c r="AF16" s="66"/>
      <c r="AG16" s="131"/>
      <c r="AH16" s="132"/>
      <c r="AI16" s="132"/>
      <c r="AJ16" s="133"/>
      <c r="AK16" s="70"/>
      <c r="AL16" s="70"/>
      <c r="AM16" s="70"/>
      <c r="AN16" s="70"/>
      <c r="AO16" s="70"/>
      <c r="AP16" s="70"/>
      <c r="AQ16" s="56"/>
      <c r="AR16" s="56"/>
    </row>
    <row r="17" spans="1:44" ht="15.75" thickBot="1">
      <c r="A17" s="48"/>
      <c r="B17" s="48"/>
      <c r="C17" s="56"/>
      <c r="D17" s="42"/>
      <c r="E17" s="12"/>
      <c r="F17" s="12"/>
      <c r="G17" s="22"/>
      <c r="H17" s="12"/>
      <c r="I17" s="12"/>
      <c r="J17" s="12"/>
      <c r="K17" s="12"/>
      <c r="L17" s="41"/>
      <c r="M17" s="411"/>
      <c r="N17" s="411"/>
      <c r="O17" s="411"/>
      <c r="P17" s="411"/>
      <c r="Q17" s="411"/>
      <c r="R17" s="411"/>
      <c r="S17" s="411"/>
      <c r="T17" s="412"/>
      <c r="U17" s="412"/>
      <c r="V17" s="56"/>
      <c r="W17" s="56"/>
      <c r="X17" s="56"/>
      <c r="Y17" s="56"/>
      <c r="Z17" s="70"/>
      <c r="AA17" s="70"/>
      <c r="AB17" s="70"/>
      <c r="AC17" s="134"/>
      <c r="AD17" s="70"/>
      <c r="AE17" s="6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56"/>
      <c r="AR17" s="56"/>
    </row>
    <row r="18" spans="1:44" ht="15.75" thickBot="1">
      <c r="A18" s="48"/>
      <c r="B18" s="48"/>
      <c r="C18" s="56"/>
      <c r="D18" s="43"/>
      <c r="E18" s="32"/>
      <c r="F18" s="32"/>
      <c r="G18" s="32"/>
      <c r="H18" s="33"/>
      <c r="I18" s="32"/>
      <c r="J18" s="32"/>
      <c r="K18" s="406"/>
      <c r="L18" s="44"/>
      <c r="M18" s="411"/>
      <c r="N18" s="411"/>
      <c r="O18" s="411"/>
      <c r="P18" s="411"/>
      <c r="Q18" s="411"/>
      <c r="R18" s="411"/>
      <c r="S18" s="411"/>
      <c r="T18" s="411"/>
      <c r="U18" s="411"/>
      <c r="V18" s="56"/>
      <c r="W18" s="56"/>
      <c r="X18" s="56"/>
      <c r="Y18" s="56"/>
      <c r="Z18" s="137" t="str">
        <f>AG18</f>
        <v>Restrooms</v>
      </c>
      <c r="AA18" s="138"/>
      <c r="AB18" s="138"/>
      <c r="AC18" s="139"/>
      <c r="AD18" s="65"/>
      <c r="AE18" s="59"/>
      <c r="AF18" s="140"/>
      <c r="AG18" s="141" t="s">
        <v>169</v>
      </c>
      <c r="AH18" s="142"/>
      <c r="AI18" s="143"/>
      <c r="AJ18" s="70"/>
      <c r="AK18" s="70"/>
      <c r="AL18" s="70"/>
      <c r="AM18" s="70"/>
      <c r="AN18" s="70"/>
      <c r="AO18" s="70"/>
      <c r="AP18" s="70"/>
      <c r="AQ18" s="56"/>
      <c r="AR18" s="56"/>
    </row>
    <row r="19" spans="1:44">
      <c r="A19" s="48"/>
      <c r="B19" s="48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412"/>
      <c r="N19" s="412"/>
      <c r="O19" s="412"/>
      <c r="P19" s="412"/>
      <c r="Q19" s="412"/>
      <c r="R19" s="412"/>
      <c r="S19" s="412"/>
      <c r="T19" s="411"/>
      <c r="U19" s="411"/>
      <c r="V19" s="56"/>
      <c r="W19" s="56"/>
      <c r="X19" s="56"/>
      <c r="Y19" s="56"/>
      <c r="Z19" s="144"/>
      <c r="AA19" s="145"/>
      <c r="AB19" s="145" t="s">
        <v>170</v>
      </c>
      <c r="AC19" s="146"/>
      <c r="AD19" s="76"/>
      <c r="AE19" s="59"/>
      <c r="AF19" s="140"/>
      <c r="AG19" s="147"/>
      <c r="AH19" s="138" t="s">
        <v>171</v>
      </c>
      <c r="AI19" s="139"/>
      <c r="AJ19" s="70"/>
      <c r="AK19" s="70"/>
      <c r="AL19" s="70"/>
      <c r="AM19" s="70"/>
      <c r="AN19" s="70"/>
      <c r="AO19" s="70"/>
      <c r="AP19" s="70"/>
      <c r="AQ19" s="56"/>
      <c r="AR19" s="56"/>
    </row>
    <row r="20" spans="1:44">
      <c r="A20" s="96"/>
      <c r="B20" s="96"/>
      <c r="C20" s="56"/>
      <c r="D20" s="104"/>
      <c r="E20" s="104"/>
      <c r="F20" s="104"/>
      <c r="G20" s="436"/>
      <c r="H20" s="436"/>
      <c r="I20" s="56"/>
      <c r="J20" s="56"/>
      <c r="K20" s="56"/>
      <c r="L20" s="56"/>
      <c r="M20" s="411"/>
      <c r="N20" s="411"/>
      <c r="O20" s="411"/>
      <c r="P20" s="411"/>
      <c r="Q20" s="411"/>
      <c r="R20" s="411"/>
      <c r="S20" s="411"/>
      <c r="T20" s="412"/>
      <c r="U20" s="412"/>
      <c r="V20" s="56"/>
      <c r="W20" s="56"/>
      <c r="X20" s="56"/>
      <c r="Y20" s="56"/>
      <c r="Z20" s="434" t="s">
        <v>172</v>
      </c>
      <c r="AA20" s="435"/>
      <c r="AB20" s="435" t="s">
        <v>173</v>
      </c>
      <c r="AC20" s="1208" t="s">
        <v>42</v>
      </c>
      <c r="AD20" s="70"/>
      <c r="AE20" s="60"/>
      <c r="AF20" s="150"/>
      <c r="AG20" s="151"/>
      <c r="AH20" s="373">
        <v>150</v>
      </c>
      <c r="AI20" s="153"/>
      <c r="AJ20" s="70"/>
      <c r="AK20" s="70"/>
      <c r="AL20" s="70"/>
      <c r="AM20" s="70"/>
      <c r="AN20" s="70"/>
      <c r="AO20" s="70"/>
      <c r="AP20" s="70"/>
      <c r="AQ20" s="56"/>
      <c r="AR20" s="56"/>
    </row>
    <row r="21" spans="1:44">
      <c r="A21" s="101"/>
      <c r="B21" s="101"/>
      <c r="C21" s="56"/>
      <c r="M21" s="411"/>
      <c r="N21" s="411"/>
      <c r="O21" s="411"/>
      <c r="P21" s="411"/>
      <c r="Q21" s="411"/>
      <c r="R21" s="411"/>
      <c r="S21" s="411"/>
      <c r="T21" s="411"/>
      <c r="U21" s="411"/>
      <c r="V21" s="56"/>
      <c r="W21" s="56"/>
      <c r="X21" s="56"/>
      <c r="Y21" s="56"/>
      <c r="Z21" s="154">
        <f>AB21*AH20</f>
        <v>0</v>
      </c>
      <c r="AA21" s="155"/>
      <c r="AB21" s="238">
        <f>H6</f>
        <v>0</v>
      </c>
      <c r="AC21" s="157"/>
      <c r="AD21" s="70"/>
      <c r="AE21" s="60"/>
      <c r="AF21" s="150"/>
      <c r="AG21" s="158"/>
      <c r="AH21" s="405"/>
      <c r="AI21" s="160"/>
      <c r="AJ21" s="70"/>
      <c r="AK21" s="70"/>
      <c r="AL21" s="70"/>
      <c r="AM21" s="70"/>
      <c r="AN21" s="70"/>
      <c r="AO21" s="70"/>
      <c r="AP21" s="70"/>
      <c r="AQ21" s="56"/>
      <c r="AR21" s="56"/>
    </row>
    <row r="22" spans="1:44" ht="15.75" thickBot="1">
      <c r="A22" s="105"/>
      <c r="B22" s="105"/>
      <c r="C22" s="56"/>
      <c r="M22" s="412"/>
      <c r="N22" s="412"/>
      <c r="O22" s="412"/>
      <c r="P22" s="412"/>
      <c r="Q22" s="412"/>
      <c r="R22" s="412"/>
      <c r="S22" s="412"/>
      <c r="T22" s="411"/>
      <c r="U22" s="411"/>
      <c r="V22" s="56"/>
      <c r="W22" s="91"/>
      <c r="X22" s="56"/>
      <c r="Y22" s="56"/>
      <c r="Z22" s="127"/>
      <c r="AA22" s="128"/>
      <c r="AB22" s="129"/>
      <c r="AC22" s="130"/>
      <c r="AD22" s="70"/>
      <c r="AE22" s="60"/>
      <c r="AF22" s="150"/>
      <c r="AG22" s="158"/>
      <c r="AH22" s="405"/>
      <c r="AI22" s="160"/>
      <c r="AJ22" s="70"/>
      <c r="AK22" s="70"/>
      <c r="AL22" s="70"/>
      <c r="AM22" s="70"/>
      <c r="AN22" s="70"/>
      <c r="AO22" s="70"/>
      <c r="AP22" s="70"/>
      <c r="AQ22" s="56"/>
      <c r="AR22" s="56"/>
    </row>
    <row r="23" spans="1:44" ht="15.75" thickBot="1">
      <c r="A23" s="109"/>
      <c r="B23" s="109"/>
      <c r="C23" s="56"/>
      <c r="M23" s="411"/>
      <c r="N23" s="411"/>
      <c r="O23" s="411"/>
      <c r="P23" s="411"/>
      <c r="Q23" s="411"/>
      <c r="R23" s="411"/>
      <c r="S23" s="411"/>
      <c r="T23" s="412"/>
      <c r="U23" s="412"/>
      <c r="V23" s="56"/>
      <c r="W23" s="56"/>
      <c r="X23" s="56"/>
      <c r="Y23" s="56"/>
      <c r="Z23" s="70"/>
      <c r="AA23" s="70"/>
      <c r="AB23" s="70"/>
      <c r="AC23" s="134"/>
      <c r="AD23" s="70"/>
      <c r="AE23" s="60"/>
      <c r="AF23" s="150"/>
      <c r="AG23" s="170"/>
      <c r="AH23" s="171"/>
      <c r="AI23" s="172"/>
      <c r="AJ23" s="70"/>
      <c r="AK23" s="70"/>
      <c r="AL23" s="70"/>
      <c r="AM23" s="70"/>
      <c r="AN23" s="70"/>
      <c r="AO23" s="70"/>
      <c r="AP23" s="70"/>
      <c r="AQ23" s="56"/>
      <c r="AR23" s="56"/>
    </row>
    <row r="24" spans="1:44" ht="15.75" thickBot="1">
      <c r="A24" s="110"/>
      <c r="B24" s="110"/>
      <c r="C24" s="56"/>
      <c r="M24" s="411"/>
      <c r="N24" s="411"/>
      <c r="O24" s="411"/>
      <c r="P24" s="411"/>
      <c r="Q24" s="411"/>
      <c r="R24" s="411"/>
      <c r="S24" s="411"/>
      <c r="T24" s="411"/>
      <c r="U24" s="411"/>
      <c r="V24" s="56"/>
      <c r="W24" s="56"/>
      <c r="X24" s="104"/>
      <c r="Y24" s="56"/>
      <c r="Z24" s="70"/>
      <c r="AA24" s="70"/>
      <c r="AB24" s="70"/>
      <c r="AC24" s="70"/>
      <c r="AD24" s="70"/>
      <c r="AE24" s="6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56"/>
      <c r="AR24" s="56"/>
    </row>
    <row r="25" spans="1:44" ht="15.75" thickBot="1">
      <c r="A25" s="113"/>
      <c r="B25" s="113"/>
      <c r="C25" s="56"/>
      <c r="M25" s="412"/>
      <c r="N25" s="412"/>
      <c r="O25" s="412"/>
      <c r="P25" s="412"/>
      <c r="Q25" s="412"/>
      <c r="R25" s="412"/>
      <c r="S25" s="412"/>
      <c r="T25" s="411"/>
      <c r="U25" s="411"/>
      <c r="V25" s="56"/>
      <c r="W25" s="56"/>
      <c r="X25" s="104"/>
      <c r="Y25" s="56"/>
      <c r="Z25" s="175" t="str">
        <f>AG25</f>
        <v>Material Including labor cost</v>
      </c>
      <c r="AA25" s="176"/>
      <c r="AB25" s="176"/>
      <c r="AC25" s="177"/>
      <c r="AD25" s="178"/>
      <c r="AE25" s="1209"/>
      <c r="AF25" s="179"/>
      <c r="AG25" s="180" t="s">
        <v>174</v>
      </c>
      <c r="AH25" s="181"/>
      <c r="AI25" s="182"/>
      <c r="AJ25" s="70"/>
      <c r="AK25" s="70"/>
      <c r="AL25" s="70"/>
      <c r="AM25" s="70"/>
      <c r="AN25" s="70"/>
      <c r="AO25" s="70"/>
      <c r="AP25" s="70"/>
      <c r="AQ25" s="56"/>
      <c r="AR25" s="56"/>
    </row>
    <row r="26" spans="1:44" ht="15.75" thickBot="1">
      <c r="A26" s="115"/>
      <c r="B26" s="115"/>
      <c r="C26" s="56"/>
      <c r="M26" s="412"/>
      <c r="N26" s="412"/>
      <c r="O26" s="412"/>
      <c r="P26" s="412"/>
      <c r="Q26" s="412"/>
      <c r="R26" s="412"/>
      <c r="S26" s="412"/>
      <c r="T26" s="412"/>
      <c r="U26" s="412"/>
      <c r="V26" s="56"/>
      <c r="W26" s="56"/>
      <c r="X26" s="104"/>
      <c r="Y26" s="56"/>
      <c r="Z26" s="183"/>
      <c r="AA26" s="184"/>
      <c r="AB26" s="185"/>
      <c r="AC26" s="186"/>
      <c r="AD26" s="187"/>
      <c r="AE26" s="188"/>
      <c r="AF26" s="179"/>
      <c r="AG26" s="189"/>
      <c r="AH26" s="190"/>
      <c r="AI26" s="437" t="s">
        <v>175</v>
      </c>
      <c r="AJ26" s="70"/>
      <c r="AK26" s="70"/>
      <c r="AL26" s="70"/>
      <c r="AM26" s="70"/>
      <c r="AN26" s="70"/>
      <c r="AO26" s="70"/>
      <c r="AP26" s="70"/>
      <c r="AQ26" s="56"/>
      <c r="AR26" s="56"/>
    </row>
    <row r="27" spans="1:44">
      <c r="A27" s="121"/>
      <c r="B27" s="121"/>
      <c r="C27" s="56"/>
      <c r="M27" s="412"/>
      <c r="N27" s="412"/>
      <c r="O27" s="412"/>
      <c r="P27" s="412"/>
      <c r="Q27" s="412"/>
      <c r="R27" s="412"/>
      <c r="S27" s="412"/>
      <c r="T27" s="412"/>
      <c r="U27" s="412"/>
      <c r="V27" s="56"/>
      <c r="W27" s="56"/>
      <c r="X27" s="104"/>
      <c r="Y27" s="56"/>
      <c r="Z27" s="438" t="s">
        <v>172</v>
      </c>
      <c r="AA27" s="439"/>
      <c r="AB27" s="439" t="s">
        <v>176</v>
      </c>
      <c r="AC27" s="1210"/>
      <c r="AD27" s="70"/>
      <c r="AE27" s="60"/>
      <c r="AF27" s="179"/>
      <c r="AG27" s="194"/>
      <c r="AH27" s="195"/>
      <c r="AI27" s="440">
        <v>1</v>
      </c>
      <c r="AJ27" s="70"/>
      <c r="AK27" s="70"/>
      <c r="AL27" s="70"/>
      <c r="AM27" s="70"/>
      <c r="AN27" s="70"/>
      <c r="AO27" s="70"/>
      <c r="AP27" s="70"/>
      <c r="AQ27" s="56"/>
      <c r="AR27" s="56"/>
    </row>
    <row r="28" spans="1:44">
      <c r="A28" s="124"/>
      <c r="B28" s="124"/>
      <c r="C28" s="56"/>
      <c r="M28" s="411"/>
      <c r="N28" s="411"/>
      <c r="O28" s="411"/>
      <c r="P28" s="411"/>
      <c r="Q28" s="411"/>
      <c r="R28" s="411"/>
      <c r="S28" s="411"/>
      <c r="T28" s="412"/>
      <c r="U28" s="412"/>
      <c r="V28" s="56"/>
      <c r="W28" s="56"/>
      <c r="X28" s="104"/>
      <c r="Y28" s="202"/>
      <c r="Z28" s="203">
        <f>AB28*AI27</f>
        <v>19235</v>
      </c>
      <c r="AA28" s="88"/>
      <c r="AB28" s="88">
        <f>H8</f>
        <v>19235</v>
      </c>
      <c r="AC28" s="205"/>
      <c r="AD28" s="70"/>
      <c r="AE28" s="60"/>
      <c r="AF28" s="179"/>
      <c r="AG28" s="206"/>
      <c r="AH28" s="207"/>
      <c r="AI28" s="208"/>
      <c r="AJ28" s="70"/>
      <c r="AK28" s="70"/>
      <c r="AL28" s="70"/>
      <c r="AM28" s="70"/>
      <c r="AN28" s="70"/>
      <c r="AO28" s="70"/>
      <c r="AP28" s="70"/>
      <c r="AQ28" s="56"/>
      <c r="AR28" s="56"/>
    </row>
    <row r="29" spans="1:44" ht="15.75" thickBot="1">
      <c r="A29" s="125"/>
      <c r="B29" s="125"/>
      <c r="C29" s="56"/>
      <c r="M29" s="56"/>
      <c r="N29" s="56"/>
      <c r="O29" s="56"/>
      <c r="P29" s="56"/>
      <c r="Q29" s="56"/>
      <c r="R29" s="56"/>
      <c r="S29" s="56"/>
      <c r="T29" s="411"/>
      <c r="U29" s="411"/>
      <c r="V29" s="56"/>
      <c r="W29" s="56"/>
      <c r="X29" s="104"/>
      <c r="Y29" s="56"/>
      <c r="Z29" s="210"/>
      <c r="AA29" s="211"/>
      <c r="AB29" s="212"/>
      <c r="AC29" s="213"/>
      <c r="AD29" s="70"/>
      <c r="AE29" s="60"/>
      <c r="AF29" s="179"/>
      <c r="AG29" s="214"/>
      <c r="AH29" s="215"/>
      <c r="AI29" s="216"/>
      <c r="AJ29" s="70"/>
      <c r="AK29" s="70"/>
      <c r="AL29" s="70"/>
      <c r="AM29" s="70"/>
      <c r="AN29" s="70"/>
      <c r="AO29" s="70"/>
      <c r="AP29" s="70"/>
      <c r="AQ29" s="56"/>
      <c r="AR29" s="56"/>
    </row>
    <row r="30" spans="1:44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104"/>
      <c r="Y30" s="56"/>
      <c r="Z30" s="183"/>
      <c r="AA30" s="185"/>
      <c r="AB30" s="185"/>
      <c r="AC30" s="186"/>
      <c r="AD30" s="70"/>
      <c r="AE30" s="60"/>
      <c r="AF30" s="179"/>
      <c r="AG30" s="217"/>
      <c r="AH30" s="218"/>
      <c r="AI30" s="219"/>
      <c r="AJ30" s="70"/>
      <c r="AK30" s="70"/>
      <c r="AL30" s="70"/>
      <c r="AM30" s="70"/>
      <c r="AN30" s="70"/>
      <c r="AO30" s="70"/>
      <c r="AP30" s="70"/>
      <c r="AQ30" s="56"/>
      <c r="AR30" s="56"/>
    </row>
    <row r="31" spans="1:44" ht="15.75" thickBot="1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104"/>
      <c r="Y31" s="56"/>
      <c r="Z31" s="166"/>
      <c r="AA31" s="167"/>
      <c r="AB31" s="168"/>
      <c r="AC31" s="169"/>
      <c r="AD31" s="70"/>
      <c r="AE31" s="60"/>
      <c r="AF31" s="179"/>
      <c r="AG31" s="220"/>
      <c r="AH31" s="221"/>
      <c r="AI31" s="222"/>
      <c r="AJ31" s="70"/>
      <c r="AK31" s="70"/>
      <c r="AL31" s="70"/>
      <c r="AM31" s="70"/>
      <c r="AN31" s="70"/>
      <c r="AO31" s="70"/>
      <c r="AP31" s="70"/>
      <c r="AQ31" s="56"/>
      <c r="AR31" s="56"/>
    </row>
    <row r="32" spans="1:44" ht="15.75" thickBot="1">
      <c r="A32" s="5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104"/>
      <c r="Y32" s="56"/>
      <c r="Z32" s="70"/>
      <c r="AA32" s="70"/>
      <c r="AB32" s="70"/>
      <c r="AC32" s="70"/>
      <c r="AD32" s="70"/>
      <c r="AE32" s="6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56"/>
      <c r="AR32" s="56"/>
    </row>
    <row r="33" spans="2:44" ht="15.75" thickBot="1"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104"/>
      <c r="Y33" s="56"/>
      <c r="Z33" s="223" t="s">
        <v>172</v>
      </c>
      <c r="AA33" s="224"/>
      <c r="AB33" s="224"/>
      <c r="AC33" s="225"/>
      <c r="AD33" s="65"/>
      <c r="AE33" s="369"/>
      <c r="AF33" s="226"/>
      <c r="AG33" s="227" t="s">
        <v>32</v>
      </c>
      <c r="AH33" s="228"/>
      <c r="AI33" s="229"/>
      <c r="AJ33" s="70"/>
      <c r="AK33" s="70"/>
      <c r="AL33" s="70"/>
      <c r="AM33" s="70"/>
      <c r="AN33" s="70"/>
      <c r="AO33" s="70"/>
      <c r="AP33" s="70"/>
      <c r="AQ33" s="56"/>
      <c r="AR33" s="56"/>
    </row>
    <row r="34" spans="2:44" ht="15.75" thickBot="1"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T34" s="56"/>
      <c r="U34" s="56"/>
      <c r="V34" s="56"/>
      <c r="W34" s="56"/>
      <c r="X34" s="104"/>
      <c r="Y34" s="56"/>
      <c r="Z34" s="230"/>
      <c r="AA34" s="231"/>
      <c r="AB34" s="231" t="s">
        <v>177</v>
      </c>
      <c r="AC34" s="232"/>
      <c r="AD34" s="76"/>
      <c r="AE34" s="77"/>
      <c r="AF34" s="226"/>
      <c r="AG34" s="233"/>
      <c r="AH34" s="224"/>
      <c r="AI34" s="234" t="s">
        <v>178</v>
      </c>
      <c r="AJ34" s="70"/>
      <c r="AK34" s="70"/>
      <c r="AL34" s="70"/>
      <c r="AM34" s="70"/>
      <c r="AN34" s="70"/>
      <c r="AO34" s="70"/>
      <c r="AP34" s="70"/>
      <c r="AQ34" s="56"/>
      <c r="AR34" s="56"/>
    </row>
    <row r="35" spans="2:44">
      <c r="B35" s="56"/>
      <c r="C35" s="56"/>
      <c r="V35" s="56"/>
      <c r="W35" s="56"/>
      <c r="X35" s="104"/>
      <c r="Y35" s="56"/>
      <c r="Z35" s="235" t="s">
        <v>42</v>
      </c>
      <c r="AA35" s="236"/>
      <c r="AB35" s="236" t="s">
        <v>179</v>
      </c>
      <c r="AC35" s="1211"/>
      <c r="AD35" s="58"/>
      <c r="AE35" s="59"/>
      <c r="AF35" s="226"/>
      <c r="AG35" s="194"/>
      <c r="AH35" s="195"/>
      <c r="AI35" s="441">
        <v>1.65</v>
      </c>
      <c r="AJ35" s="70"/>
      <c r="AK35" s="70"/>
      <c r="AL35" s="70"/>
      <c r="AM35" s="70"/>
      <c r="AN35" s="70"/>
      <c r="AO35" s="70"/>
      <c r="AP35" s="70"/>
      <c r="AQ35" s="56"/>
      <c r="AR35" s="56"/>
    </row>
    <row r="36" spans="2:44">
      <c r="B36" s="56"/>
      <c r="W36" s="56"/>
      <c r="X36" s="56"/>
      <c r="Y36" s="56"/>
      <c r="Z36" s="237">
        <f>AB36*AI35</f>
        <v>316.79999999999995</v>
      </c>
      <c r="AA36" s="238"/>
      <c r="AB36" s="238">
        <f>H5</f>
        <v>192</v>
      </c>
      <c r="AC36" s="239"/>
      <c r="AD36" s="58"/>
      <c r="AE36" s="59"/>
      <c r="AF36" s="226"/>
      <c r="AG36" s="217"/>
      <c r="AH36" s="218"/>
      <c r="AI36" s="219"/>
      <c r="AJ36" s="70"/>
      <c r="AK36" s="70"/>
      <c r="AL36" s="70"/>
      <c r="AM36" s="70"/>
      <c r="AN36" s="70"/>
      <c r="AO36" s="70"/>
      <c r="AP36" s="70"/>
      <c r="AQ36" s="56"/>
      <c r="AR36" s="56"/>
    </row>
    <row r="37" spans="2:44" ht="15.75" thickBot="1">
      <c r="W37" s="56"/>
      <c r="X37" s="56"/>
      <c r="Y37" s="56"/>
      <c r="Z37" s="240"/>
      <c r="AA37" s="241"/>
      <c r="AB37" s="242"/>
      <c r="AC37" s="243"/>
      <c r="AD37" s="58"/>
      <c r="AE37" s="59"/>
      <c r="AF37" s="226"/>
      <c r="AG37" s="244"/>
      <c r="AH37" s="245"/>
      <c r="AI37" s="246"/>
      <c r="AJ37" s="70"/>
      <c r="AK37" s="70"/>
      <c r="AL37" s="70"/>
      <c r="AM37" s="70"/>
      <c r="AN37" s="70"/>
      <c r="AO37" s="70"/>
      <c r="AP37" s="70"/>
      <c r="AQ37" s="56"/>
      <c r="AR37" s="56"/>
    </row>
    <row r="38" spans="2:44">
      <c r="W38" s="56"/>
      <c r="X38" s="56"/>
      <c r="Y38" s="56"/>
      <c r="Z38" s="230"/>
      <c r="AA38" s="231"/>
      <c r="AB38" s="231"/>
      <c r="AC38" s="232"/>
      <c r="AD38" s="58"/>
      <c r="AE38" s="59"/>
      <c r="AF38" s="226"/>
      <c r="AG38" s="244"/>
      <c r="AH38" s="245"/>
      <c r="AI38" s="246"/>
      <c r="AJ38" s="70"/>
      <c r="AK38" s="70"/>
      <c r="AL38" s="70"/>
      <c r="AM38" s="70"/>
      <c r="AN38" s="70"/>
      <c r="AO38" s="70"/>
      <c r="AP38" s="70"/>
      <c r="AQ38" s="56"/>
      <c r="AR38" s="56"/>
    </row>
    <row r="39" spans="2:44" ht="15.75" thickBot="1">
      <c r="W39" s="56"/>
      <c r="X39" s="56"/>
      <c r="Y39" s="56"/>
      <c r="Z39" s="127"/>
      <c r="AA39" s="128"/>
      <c r="AB39" s="129"/>
      <c r="AC39" s="130"/>
      <c r="AD39" s="58"/>
      <c r="AE39" s="59"/>
      <c r="AF39" s="226"/>
      <c r="AG39" s="220"/>
      <c r="AH39" s="221"/>
      <c r="AI39" s="222"/>
      <c r="AJ39" s="70"/>
      <c r="AK39" s="70"/>
      <c r="AL39" s="70"/>
      <c r="AM39" s="70"/>
      <c r="AN39" s="70"/>
      <c r="AO39" s="70"/>
      <c r="AP39" s="70"/>
      <c r="AQ39" s="56"/>
      <c r="AR39" s="56"/>
    </row>
    <row r="40" spans="2:44">
      <c r="W40" s="56"/>
      <c r="X40" s="56"/>
      <c r="Y40" s="56"/>
      <c r="Z40" s="70"/>
      <c r="AA40" s="70"/>
      <c r="AB40" s="70"/>
      <c r="AC40" s="70"/>
      <c r="AD40" s="70"/>
      <c r="AE40" s="6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56"/>
      <c r="AR40" s="56"/>
    </row>
    <row r="41" spans="2:44" ht="15.75" thickBot="1">
      <c r="B41" s="56"/>
      <c r="W41" s="56"/>
      <c r="X41" s="56"/>
      <c r="Y41" s="56"/>
      <c r="Z41" s="70"/>
      <c r="AA41" s="70"/>
      <c r="AB41" s="70"/>
      <c r="AC41" s="70"/>
      <c r="AD41" s="70"/>
      <c r="AE41" s="60"/>
      <c r="AF41" s="248"/>
      <c r="AG41" s="249"/>
      <c r="AH41" s="250"/>
      <c r="AI41" s="251"/>
      <c r="AJ41" s="250"/>
      <c r="AK41" s="252"/>
      <c r="AL41" s="70"/>
      <c r="AM41" s="253"/>
      <c r="AN41" s="70"/>
      <c r="AO41" s="70"/>
      <c r="AP41" s="70"/>
      <c r="AQ41" s="56"/>
      <c r="AR41" s="56"/>
    </row>
    <row r="42" spans="2:44" ht="15.75" thickBot="1">
      <c r="B42" s="56"/>
      <c r="W42" s="56"/>
      <c r="X42" s="56"/>
      <c r="Y42" s="56"/>
      <c r="Z42" s="256"/>
      <c r="AA42" s="257"/>
      <c r="AB42" s="257"/>
      <c r="AC42" s="258"/>
      <c r="AD42" s="178"/>
      <c r="AE42" s="369"/>
      <c r="AF42" s="248"/>
      <c r="AG42" s="78"/>
      <c r="AH42" s="79"/>
      <c r="AI42" s="79"/>
      <c r="AJ42" s="79"/>
      <c r="AK42" s="259"/>
      <c r="AL42" s="70"/>
      <c r="AM42" s="253"/>
      <c r="AN42" s="70"/>
      <c r="AO42" s="70"/>
      <c r="AP42" s="70"/>
      <c r="AQ42" s="56"/>
      <c r="AR42" s="56"/>
    </row>
    <row r="43" spans="2:44">
      <c r="B43" s="56"/>
      <c r="W43" s="56"/>
      <c r="X43" s="56"/>
      <c r="Y43" s="56"/>
      <c r="Z43" s="78"/>
      <c r="AA43" s="79"/>
      <c r="AB43" s="79"/>
      <c r="AC43" s="260"/>
      <c r="AD43" s="187"/>
      <c r="AE43" s="77"/>
      <c r="AF43" s="248"/>
      <c r="AG43" s="261"/>
      <c r="AH43" s="262"/>
      <c r="AI43" s="262"/>
      <c r="AJ43" s="263"/>
      <c r="AK43" s="264"/>
      <c r="AL43" s="70"/>
      <c r="AM43" s="70"/>
      <c r="AN43" s="70"/>
      <c r="AO43" s="70"/>
      <c r="AP43" s="70"/>
      <c r="AQ43" s="56"/>
      <c r="AR43" s="56"/>
    </row>
    <row r="44" spans="2:44" ht="15.75" thickBot="1">
      <c r="B44" s="56"/>
      <c r="W44" s="56"/>
      <c r="X44" s="56"/>
      <c r="Y44" s="56"/>
      <c r="Z44" s="265"/>
      <c r="AA44" s="266"/>
      <c r="AB44" s="266"/>
      <c r="AC44" s="267"/>
      <c r="AD44" s="70"/>
      <c r="AE44" s="59"/>
      <c r="AF44" s="248"/>
      <c r="AG44" s="268"/>
      <c r="AH44" s="269"/>
      <c r="AI44" s="270"/>
      <c r="AJ44" s="271"/>
      <c r="AK44" s="272"/>
      <c r="AL44" s="70"/>
      <c r="AM44" s="70"/>
      <c r="AN44" s="70"/>
      <c r="AO44" s="70"/>
      <c r="AP44" s="70"/>
      <c r="AQ44" s="56"/>
      <c r="AR44" s="56"/>
    </row>
    <row r="45" spans="2:44">
      <c r="B45" s="56"/>
      <c r="W45" s="56"/>
      <c r="X45" s="56"/>
      <c r="Y45" s="56"/>
      <c r="Z45" s="273"/>
      <c r="AA45" s="274"/>
      <c r="AB45" s="275"/>
      <c r="AC45" s="276"/>
      <c r="AD45" s="70"/>
      <c r="AE45" s="60"/>
      <c r="AF45" s="248"/>
      <c r="AG45" s="277"/>
      <c r="AH45" s="278"/>
      <c r="AI45" s="278"/>
      <c r="AJ45" s="212"/>
      <c r="AK45" s="279"/>
      <c r="AL45" s="70"/>
      <c r="AM45" s="70"/>
      <c r="AN45" s="70"/>
      <c r="AO45" s="70"/>
      <c r="AP45" s="70"/>
      <c r="AQ45" s="56"/>
      <c r="AR45" s="56"/>
    </row>
    <row r="46" spans="2:44">
      <c r="B46" s="56"/>
      <c r="W46" s="56"/>
      <c r="X46" s="56"/>
      <c r="Y46" s="56"/>
      <c r="Z46" s="280"/>
      <c r="AA46" s="281"/>
      <c r="AB46" s="282"/>
      <c r="AC46" s="283"/>
      <c r="AD46" s="70"/>
      <c r="AE46" s="60"/>
      <c r="AF46" s="248"/>
      <c r="AG46" s="284"/>
      <c r="AH46" s="262"/>
      <c r="AI46" s="262"/>
      <c r="AJ46" s="263"/>
      <c r="AK46" s="264"/>
      <c r="AL46" s="70"/>
      <c r="AM46" s="70"/>
      <c r="AN46" s="70"/>
      <c r="AO46" s="70"/>
      <c r="AP46" s="70"/>
      <c r="AQ46" s="56"/>
      <c r="AR46" s="56"/>
    </row>
    <row r="47" spans="2:44">
      <c r="B47" s="56"/>
      <c r="W47" s="56"/>
      <c r="X47" s="56"/>
      <c r="Y47" s="56"/>
      <c r="Z47" s="285"/>
      <c r="AA47" s="286"/>
      <c r="AB47" s="287"/>
      <c r="AC47" s="264"/>
      <c r="AD47" s="70"/>
      <c r="AE47" s="60"/>
      <c r="AF47" s="248"/>
      <c r="AG47" s="288"/>
      <c r="AH47" s="278"/>
      <c r="AI47" s="289"/>
      <c r="AJ47" s="212"/>
      <c r="AK47" s="290"/>
      <c r="AL47" s="70"/>
      <c r="AM47" s="70"/>
      <c r="AN47" s="70"/>
      <c r="AO47" s="70"/>
      <c r="AP47" s="70"/>
      <c r="AQ47" s="56"/>
      <c r="AR47" s="56"/>
    </row>
    <row r="48" spans="2:44">
      <c r="B48" s="56"/>
      <c r="W48" s="56"/>
      <c r="X48" s="56"/>
      <c r="Y48" s="56"/>
      <c r="Z48" s="291"/>
      <c r="AA48" s="275"/>
      <c r="AB48" s="275"/>
      <c r="AC48" s="89"/>
      <c r="AD48" s="70"/>
      <c r="AE48" s="60"/>
      <c r="AF48" s="248"/>
      <c r="AG48" s="277"/>
      <c r="AH48" s="278"/>
      <c r="AI48" s="289"/>
      <c r="AJ48" s="212"/>
      <c r="AK48" s="279"/>
      <c r="AL48" s="70"/>
      <c r="AM48" s="70"/>
      <c r="AN48" s="70"/>
      <c r="AO48" s="70"/>
      <c r="AP48" s="70"/>
      <c r="AQ48" s="56"/>
      <c r="AR48" s="56"/>
    </row>
    <row r="49" spans="2:44">
      <c r="B49" s="56"/>
      <c r="W49" s="56"/>
      <c r="X49" s="56"/>
      <c r="Y49" s="56"/>
      <c r="Z49" s="292"/>
      <c r="AA49" s="293"/>
      <c r="AB49" s="254"/>
      <c r="AC49" s="1212"/>
      <c r="AD49" s="70"/>
      <c r="AE49" s="60"/>
      <c r="AF49" s="248"/>
      <c r="AG49" s="261"/>
      <c r="AH49" s="262"/>
      <c r="AI49" s="262"/>
      <c r="AJ49" s="263"/>
      <c r="AK49" s="264"/>
      <c r="AL49" s="70"/>
      <c r="AM49" s="70"/>
      <c r="AN49" s="70"/>
      <c r="AO49" s="70"/>
      <c r="AP49" s="70"/>
      <c r="AQ49" s="56"/>
      <c r="AR49" s="56"/>
    </row>
    <row r="50" spans="2:44">
      <c r="B50" s="56"/>
      <c r="W50" s="56"/>
      <c r="X50" s="56"/>
      <c r="Y50" s="56"/>
      <c r="Z50" s="285"/>
      <c r="AA50" s="262"/>
      <c r="AB50" s="287"/>
      <c r="AC50" s="264"/>
      <c r="AD50" s="70"/>
      <c r="AE50" s="60"/>
      <c r="AF50" s="248"/>
      <c r="AG50" s="288"/>
      <c r="AH50" s="278"/>
      <c r="AI50" s="294"/>
      <c r="AJ50" s="212"/>
      <c r="AK50" s="290"/>
      <c r="AL50" s="70"/>
      <c r="AM50" s="70"/>
      <c r="AN50" s="70"/>
      <c r="AO50" s="70"/>
      <c r="AP50" s="70"/>
      <c r="AQ50" s="56"/>
      <c r="AR50" s="56"/>
    </row>
    <row r="51" spans="2:44">
      <c r="W51" s="56"/>
      <c r="X51" s="56"/>
      <c r="Y51" s="56"/>
      <c r="Z51" s="291"/>
      <c r="AA51" s="275"/>
      <c r="AB51" s="202"/>
      <c r="AC51" s="89"/>
      <c r="AD51" s="70"/>
      <c r="AE51" s="60"/>
      <c r="AF51" s="248"/>
      <c r="AG51" s="277"/>
      <c r="AH51" s="278"/>
      <c r="AI51" s="294"/>
      <c r="AJ51" s="212"/>
      <c r="AK51" s="279"/>
      <c r="AL51" s="70"/>
      <c r="AM51" s="70"/>
      <c r="AN51" s="70"/>
      <c r="AO51" s="70"/>
      <c r="AP51" s="70"/>
      <c r="AQ51" s="56"/>
      <c r="AR51" s="56"/>
    </row>
    <row r="52" spans="2:44" ht="15.75" thickBot="1">
      <c r="W52" s="56"/>
      <c r="X52" s="56"/>
      <c r="Y52" s="56"/>
      <c r="Z52" s="295"/>
      <c r="AA52" s="296"/>
      <c r="AB52" s="171"/>
      <c r="AC52" s="169"/>
      <c r="AD52" s="70"/>
      <c r="AE52" s="60"/>
      <c r="AF52" s="248"/>
      <c r="AG52" s="284"/>
      <c r="AH52" s="262"/>
      <c r="AI52" s="262"/>
      <c r="AJ52" s="263"/>
      <c r="AK52" s="264"/>
      <c r="AL52" s="70"/>
      <c r="AM52" s="70"/>
      <c r="AN52" s="70"/>
      <c r="AO52" s="70"/>
      <c r="AP52" s="70"/>
      <c r="AQ52" s="56"/>
      <c r="AR52" s="56"/>
    </row>
    <row r="53" spans="2:44">
      <c r="W53" s="56"/>
      <c r="X53" s="56"/>
      <c r="Y53" s="56"/>
      <c r="Z53" s="70"/>
      <c r="AA53" s="70"/>
      <c r="AB53" s="70"/>
      <c r="AC53" s="70"/>
      <c r="AD53" s="70"/>
      <c r="AE53" s="60"/>
      <c r="AF53" s="248"/>
      <c r="AG53" s="288"/>
      <c r="AH53" s="278"/>
      <c r="AI53" s="278"/>
      <c r="AJ53" s="212"/>
      <c r="AK53" s="290"/>
      <c r="AL53" s="70"/>
      <c r="AM53" s="70"/>
      <c r="AN53" s="70"/>
      <c r="AO53" s="70"/>
      <c r="AP53" s="70"/>
      <c r="AQ53" s="56"/>
      <c r="AR53" s="56"/>
    </row>
    <row r="54" spans="2:44" ht="15.75" thickBot="1">
      <c r="W54" s="56"/>
      <c r="X54" s="56"/>
      <c r="Y54" s="56"/>
      <c r="Z54" s="70"/>
      <c r="AA54" s="70"/>
      <c r="AB54" s="70"/>
      <c r="AC54" s="70"/>
      <c r="AD54" s="70"/>
      <c r="AE54" s="60"/>
      <c r="AF54" s="248"/>
      <c r="AG54" s="170"/>
      <c r="AH54" s="171"/>
      <c r="AI54" s="171"/>
      <c r="AJ54" s="171"/>
      <c r="AK54" s="169"/>
      <c r="AL54" s="70"/>
      <c r="AM54" s="70"/>
      <c r="AN54" s="70"/>
      <c r="AO54" s="70"/>
      <c r="AP54" s="70"/>
      <c r="AQ54" s="56"/>
      <c r="AR54" s="56"/>
    </row>
    <row r="55" spans="2:44">
      <c r="W55" s="56"/>
      <c r="X55" s="56"/>
      <c r="Y55" s="56"/>
      <c r="Z55" s="70"/>
      <c r="AA55" s="70"/>
      <c r="AB55" s="70"/>
      <c r="AC55" s="70"/>
      <c r="AD55" s="70"/>
      <c r="AE55" s="6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56"/>
      <c r="AR55" s="56"/>
    </row>
    <row r="56" spans="2:44">
      <c r="W56" s="56"/>
      <c r="X56" s="56"/>
      <c r="Y56" s="56"/>
      <c r="Z56" s="70"/>
      <c r="AA56" s="70"/>
      <c r="AB56" s="70"/>
      <c r="AC56" s="70"/>
      <c r="AD56" s="70"/>
      <c r="AE56" s="6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56"/>
      <c r="AR56" s="56"/>
    </row>
  </sheetData>
  <sheetProtection selectLockedCells="1"/>
  <hyperlinks>
    <hyperlink ref="H11" r:id="rId1" xr:uid="{3D58BFD7-65DD-4E7F-B4E0-E436FCE4A635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9C1AB-E07E-4577-8E38-2FE22672855F}">
  <sheetPr codeName="Sheet3">
    <tabColor rgb="FF9F3FFF"/>
  </sheetPr>
  <dimension ref="A1:AL79"/>
  <sheetViews>
    <sheetView showGridLines="0" topLeftCell="D1" zoomScale="85" zoomScaleNormal="85" workbookViewId="0">
      <selection activeCell="H5" sqref="H5"/>
    </sheetView>
  </sheetViews>
  <sheetFormatPr defaultRowHeight="15"/>
  <cols>
    <col min="3" max="3" width="3.28515625" customWidth="1"/>
    <col min="4" max="4" width="13" customWidth="1"/>
    <col min="7" max="7" width="13.42578125" customWidth="1"/>
    <col min="8" max="8" width="13.28515625" customWidth="1"/>
    <col min="12" max="12" width="12.85546875" customWidth="1"/>
    <col min="13" max="13" width="3.28515625" customWidth="1"/>
    <col min="14" max="15" width="12.85546875" customWidth="1"/>
    <col min="16" max="18" width="9.140625" customWidth="1"/>
    <col min="19" max="19" width="9.140625" style="973" customWidth="1"/>
    <col min="20" max="20" width="12" style="973" hidden="1" customWidth="1"/>
    <col min="21" max="21" width="9.140625" style="973" hidden="1" customWidth="1"/>
    <col min="22" max="22" width="11.28515625" style="973" hidden="1" customWidth="1"/>
    <col min="23" max="24" width="9.140625" style="973" hidden="1" customWidth="1"/>
    <col min="25" max="26" width="3" style="973" hidden="1" customWidth="1"/>
    <col min="27" max="27" width="19.140625" style="973" hidden="1" customWidth="1"/>
    <col min="28" max="30" width="15.140625" style="973" hidden="1" customWidth="1"/>
    <col min="31" max="36" width="9.140625" style="973" hidden="1" customWidth="1"/>
    <col min="37" max="37" width="9.140625" customWidth="1"/>
  </cols>
  <sheetData>
    <row r="1" spans="1:38" ht="16.5" customHeight="1" thickBot="1">
      <c r="A1" s="759"/>
      <c r="B1" s="759"/>
      <c r="C1" s="48"/>
      <c r="D1" s="48"/>
      <c r="E1" s="48"/>
      <c r="F1" s="48"/>
      <c r="G1" s="48"/>
      <c r="H1" s="48"/>
      <c r="I1" s="48"/>
      <c r="J1" s="48"/>
      <c r="K1" s="49"/>
      <c r="L1" s="49"/>
      <c r="M1" s="49"/>
      <c r="N1" s="55"/>
      <c r="O1" s="56"/>
      <c r="P1" s="56"/>
      <c r="Q1" s="56"/>
      <c r="R1" s="56"/>
      <c r="S1" s="864"/>
      <c r="T1" s="865"/>
      <c r="U1" s="865"/>
      <c r="V1" s="865"/>
      <c r="W1" s="865"/>
      <c r="X1" s="866"/>
      <c r="Y1" s="867"/>
      <c r="Z1" s="867"/>
      <c r="AA1" s="867"/>
      <c r="AB1" s="867"/>
      <c r="AC1" s="867"/>
      <c r="AD1" s="867"/>
      <c r="AE1" s="868"/>
      <c r="AF1" s="868"/>
      <c r="AG1" s="868"/>
      <c r="AH1" s="868"/>
      <c r="AI1" s="868"/>
      <c r="AJ1" s="868"/>
      <c r="AK1" s="56"/>
      <c r="AL1" s="56"/>
    </row>
    <row r="2" spans="1:38" ht="15.75" thickBot="1">
      <c r="A2" s="48"/>
      <c r="B2" s="48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864"/>
      <c r="T2" s="869"/>
      <c r="U2" s="870"/>
      <c r="V2" s="870"/>
      <c r="W2" s="871"/>
      <c r="X2" s="872"/>
      <c r="Y2" s="1213"/>
      <c r="Z2" s="874"/>
      <c r="AA2" s="875"/>
      <c r="AB2" s="876"/>
      <c r="AC2" s="876"/>
      <c r="AD2" s="877"/>
      <c r="AE2" s="878"/>
      <c r="AF2" s="878"/>
      <c r="AG2" s="878"/>
      <c r="AH2" s="878"/>
      <c r="AI2" s="878"/>
      <c r="AJ2" s="878"/>
      <c r="AK2" s="56"/>
      <c r="AL2" s="56"/>
    </row>
    <row r="3" spans="1:38" ht="21">
      <c r="A3" s="48"/>
      <c r="B3" s="48"/>
      <c r="C3" s="56"/>
      <c r="D3" s="417"/>
      <c r="E3" s="418"/>
      <c r="F3" s="418"/>
      <c r="G3" s="418"/>
      <c r="H3" s="419" t="s">
        <v>155</v>
      </c>
      <c r="I3" s="420"/>
      <c r="J3" s="420"/>
      <c r="K3" s="420"/>
      <c r="L3" s="421"/>
      <c r="M3" s="411"/>
      <c r="Q3" s="56"/>
      <c r="R3" s="56"/>
      <c r="S3" s="864"/>
      <c r="T3" s="882"/>
      <c r="U3" s="870"/>
      <c r="V3" s="870"/>
      <c r="W3" s="871"/>
      <c r="X3" s="880"/>
      <c r="Y3" s="881"/>
      <c r="Z3" s="874"/>
      <c r="AA3" s="882"/>
      <c r="AB3" s="883"/>
      <c r="AC3" s="870"/>
      <c r="AD3" s="871"/>
      <c r="AE3" s="878"/>
      <c r="AF3" s="878"/>
      <c r="AG3" s="878"/>
      <c r="AH3" s="878"/>
      <c r="AI3" s="878"/>
      <c r="AJ3" s="878"/>
      <c r="AK3" s="56"/>
      <c r="AL3" s="56"/>
    </row>
    <row r="4" spans="1:38">
      <c r="A4" s="48"/>
      <c r="B4" s="48"/>
      <c r="C4" s="56"/>
      <c r="D4" s="42"/>
      <c r="E4" s="12"/>
      <c r="F4" s="12"/>
      <c r="G4" s="12"/>
      <c r="H4" s="12"/>
      <c r="I4" s="12"/>
      <c r="J4" s="12"/>
      <c r="K4" s="12"/>
      <c r="L4" s="41"/>
      <c r="M4" s="411"/>
      <c r="N4" s="411"/>
      <c r="P4" s="56"/>
      <c r="Q4" s="56"/>
      <c r="R4" s="56"/>
      <c r="S4" s="864"/>
      <c r="T4" s="895"/>
      <c r="U4" s="896"/>
      <c r="V4" s="891"/>
      <c r="W4" s="892"/>
      <c r="X4" s="887"/>
      <c r="Y4" s="888"/>
      <c r="Z4" s="874"/>
      <c r="AA4" s="889"/>
      <c r="AB4" s="890"/>
      <c r="AC4" s="891"/>
      <c r="AD4" s="892"/>
      <c r="AE4" s="878"/>
      <c r="AF4" s="878"/>
      <c r="AG4" s="878"/>
      <c r="AH4" s="878"/>
      <c r="AI4" s="878"/>
      <c r="AJ4" s="878"/>
      <c r="AK4" s="56"/>
      <c r="AL4" s="56"/>
    </row>
    <row r="5" spans="1:38">
      <c r="A5" s="48"/>
      <c r="B5" s="48"/>
      <c r="C5" s="56"/>
      <c r="D5" s="42"/>
      <c r="E5" s="90"/>
      <c r="F5" s="422"/>
      <c r="G5" s="399" t="s">
        <v>157</v>
      </c>
      <c r="H5" s="2">
        <f>8*24</f>
        <v>192</v>
      </c>
      <c r="I5" s="12"/>
      <c r="J5" s="12"/>
      <c r="K5" s="12"/>
      <c r="L5" s="41"/>
      <c r="M5" s="411"/>
      <c r="N5" s="411"/>
      <c r="P5" s="56"/>
      <c r="Q5" s="56"/>
      <c r="R5" s="56"/>
      <c r="S5" s="864"/>
      <c r="T5" s="895"/>
      <c r="U5" s="896"/>
      <c r="V5" s="891"/>
      <c r="W5" s="892"/>
      <c r="X5" s="866"/>
      <c r="Y5" s="867"/>
      <c r="Z5" s="874"/>
      <c r="AA5" s="889"/>
      <c r="AB5" s="890"/>
      <c r="AC5" s="891"/>
      <c r="AD5" s="892"/>
      <c r="AE5" s="878"/>
      <c r="AF5" s="878"/>
      <c r="AG5" s="878"/>
      <c r="AH5" s="878"/>
      <c r="AI5" s="878"/>
      <c r="AJ5" s="878"/>
      <c r="AK5" s="56"/>
      <c r="AL5" s="56"/>
    </row>
    <row r="6" spans="1:38">
      <c r="A6" s="48"/>
      <c r="B6" s="48"/>
      <c r="C6" s="56"/>
      <c r="D6" s="42"/>
      <c r="E6" s="90"/>
      <c r="F6" s="422"/>
      <c r="G6" s="399" t="s">
        <v>28</v>
      </c>
      <c r="H6" s="2">
        <v>0</v>
      </c>
      <c r="I6" s="12"/>
      <c r="J6" s="12"/>
      <c r="K6" s="12"/>
      <c r="L6" s="41"/>
      <c r="M6" s="411"/>
      <c r="P6" s="56"/>
      <c r="Q6" s="56"/>
      <c r="R6" s="56"/>
      <c r="S6" s="864"/>
      <c r="T6" s="895"/>
      <c r="U6" s="896" t="s">
        <v>15</v>
      </c>
      <c r="V6" s="891"/>
      <c r="W6" s="892"/>
      <c r="X6" s="866"/>
      <c r="Y6" s="867"/>
      <c r="Z6" s="874"/>
      <c r="AA6" s="889"/>
      <c r="AB6" s="890" t="s">
        <v>16</v>
      </c>
      <c r="AC6" s="891"/>
      <c r="AD6" s="892"/>
      <c r="AE6" s="878"/>
      <c r="AF6" s="878"/>
      <c r="AG6" s="878"/>
      <c r="AH6" s="878"/>
      <c r="AI6" s="878"/>
      <c r="AJ6" s="878"/>
      <c r="AK6" s="56"/>
      <c r="AL6" s="56"/>
    </row>
    <row r="7" spans="1:38">
      <c r="A7" s="48"/>
      <c r="B7" s="48"/>
      <c r="C7" s="56"/>
      <c r="D7" s="42"/>
      <c r="E7" s="90"/>
      <c r="F7" s="422"/>
      <c r="G7" s="399" t="s">
        <v>159</v>
      </c>
      <c r="H7" s="4">
        <v>4700</v>
      </c>
      <c r="I7" s="12"/>
      <c r="J7" s="12"/>
      <c r="K7" s="12"/>
      <c r="L7" s="41"/>
      <c r="M7" s="412"/>
      <c r="P7" s="56"/>
      <c r="Q7" s="56"/>
      <c r="R7" s="56"/>
      <c r="S7" s="864"/>
      <c r="T7" s="895"/>
      <c r="U7" s="896" t="s">
        <v>18</v>
      </c>
      <c r="V7" s="891"/>
      <c r="W7" s="892"/>
      <c r="X7" s="866"/>
      <c r="Y7" s="867"/>
      <c r="Z7" s="874"/>
      <c r="AA7" s="889"/>
      <c r="AB7" s="890"/>
      <c r="AC7" s="891"/>
      <c r="AD7" s="892"/>
      <c r="AE7" s="878"/>
      <c r="AF7" s="878"/>
      <c r="AG7" s="878"/>
      <c r="AH7" s="878"/>
      <c r="AI7" s="878"/>
      <c r="AJ7" s="878"/>
      <c r="AK7" s="56"/>
      <c r="AL7" s="56"/>
    </row>
    <row r="8" spans="1:38">
      <c r="A8" s="48"/>
      <c r="B8" s="48"/>
      <c r="C8" s="56"/>
      <c r="D8" s="42"/>
      <c r="E8" s="90"/>
      <c r="F8" s="422"/>
      <c r="G8" s="399" t="s">
        <v>160</v>
      </c>
      <c r="H8" s="4">
        <v>19235</v>
      </c>
      <c r="I8" s="12"/>
      <c r="J8" s="12"/>
      <c r="K8" s="12"/>
      <c r="L8" s="41"/>
      <c r="M8" s="411"/>
      <c r="P8" s="56"/>
      <c r="Q8" s="56"/>
      <c r="R8" s="56"/>
      <c r="S8" s="864"/>
      <c r="T8" s="895"/>
      <c r="U8" s="896" t="s">
        <v>21</v>
      </c>
      <c r="V8" s="891"/>
      <c r="W8" s="892"/>
      <c r="X8" s="866"/>
      <c r="Y8" s="867"/>
      <c r="Z8" s="874"/>
      <c r="AA8" s="889"/>
      <c r="AB8" s="890"/>
      <c r="AC8" s="891"/>
      <c r="AD8" s="892"/>
      <c r="AE8" s="878"/>
      <c r="AF8" s="878"/>
      <c r="AG8" s="878"/>
      <c r="AH8" s="878"/>
      <c r="AI8" s="878"/>
      <c r="AJ8" s="878"/>
      <c r="AK8" s="56"/>
      <c r="AL8" s="56"/>
    </row>
    <row r="9" spans="1:38">
      <c r="A9" s="48"/>
      <c r="B9" s="48"/>
      <c r="C9" s="56"/>
      <c r="D9" s="42"/>
      <c r="E9" s="12"/>
      <c r="F9" s="12"/>
      <c r="G9" s="12"/>
      <c r="H9" s="12"/>
      <c r="I9" s="12"/>
      <c r="J9" s="12"/>
      <c r="K9" s="12"/>
      <c r="L9" s="41"/>
      <c r="M9" s="411"/>
      <c r="P9" s="56"/>
      <c r="Q9" s="56"/>
      <c r="R9" s="56"/>
      <c r="S9" s="864"/>
      <c r="T9" s="895"/>
      <c r="U9" s="896"/>
      <c r="V9" s="891"/>
      <c r="W9" s="892"/>
      <c r="X9" s="866"/>
      <c r="Y9" s="867"/>
      <c r="Z9" s="874"/>
      <c r="AA9" s="889"/>
      <c r="AB9" s="890"/>
      <c r="AC9" s="891"/>
      <c r="AD9" s="892"/>
      <c r="AE9" s="878"/>
      <c r="AF9" s="878"/>
      <c r="AG9" s="878"/>
      <c r="AH9" s="878"/>
      <c r="AI9" s="878"/>
      <c r="AJ9" s="878"/>
      <c r="AK9" s="56"/>
      <c r="AL9" s="56"/>
    </row>
    <row r="10" spans="1:38">
      <c r="A10" s="48"/>
      <c r="B10" s="48"/>
      <c r="C10" s="56"/>
      <c r="D10" s="42"/>
      <c r="E10" s="398"/>
      <c r="F10" s="9"/>
      <c r="G10" s="399"/>
      <c r="H10" s="399"/>
      <c r="I10" s="399"/>
      <c r="J10" s="399"/>
      <c r="K10" s="12"/>
      <c r="L10" s="41"/>
      <c r="M10" s="412"/>
      <c r="P10" s="56"/>
      <c r="Q10" s="56"/>
      <c r="R10" s="56"/>
      <c r="S10" s="864"/>
      <c r="T10" s="895"/>
      <c r="U10" s="896"/>
      <c r="V10" s="891"/>
      <c r="W10" s="892"/>
      <c r="X10" s="866"/>
      <c r="Y10" s="867"/>
      <c r="Z10" s="874"/>
      <c r="AA10" s="889"/>
      <c r="AB10" s="890"/>
      <c r="AC10" s="891"/>
      <c r="AD10" s="892"/>
      <c r="AE10" s="878"/>
      <c r="AF10" s="878"/>
      <c r="AG10" s="878"/>
      <c r="AH10" s="878"/>
      <c r="AI10" s="878"/>
      <c r="AJ10" s="878"/>
      <c r="AK10" s="56"/>
      <c r="AL10" s="56"/>
    </row>
    <row r="11" spans="1:38">
      <c r="A11" s="48"/>
      <c r="B11" s="48"/>
      <c r="C11" s="56"/>
      <c r="D11" s="423"/>
      <c r="E11" s="424"/>
      <c r="F11" s="424"/>
      <c r="G11" s="425" t="s">
        <v>162</v>
      </c>
      <c r="H11" s="426" t="s">
        <v>163</v>
      </c>
      <c r="I11" s="424"/>
      <c r="J11" s="424"/>
      <c r="K11" s="424"/>
      <c r="L11" s="427"/>
      <c r="M11" s="411"/>
      <c r="P11" s="56"/>
      <c r="Q11" s="56"/>
      <c r="R11" s="56"/>
      <c r="S11" s="864"/>
      <c r="T11" s="895"/>
      <c r="U11" s="896"/>
      <c r="V11" s="891"/>
      <c r="W11" s="892"/>
      <c r="X11" s="866"/>
      <c r="Y11" s="867"/>
      <c r="Z11" s="874"/>
      <c r="AA11" s="889"/>
      <c r="AB11" s="890"/>
      <c r="AC11" s="891"/>
      <c r="AD11" s="892"/>
      <c r="AE11" s="878"/>
      <c r="AF11" s="878"/>
      <c r="AG11" s="878"/>
      <c r="AH11" s="878"/>
      <c r="AI11" s="878"/>
      <c r="AJ11" s="878"/>
      <c r="AK11" s="56"/>
      <c r="AL11" s="56"/>
    </row>
    <row r="12" spans="1:38">
      <c r="A12" s="48"/>
      <c r="B12" s="48"/>
      <c r="C12" s="56"/>
      <c r="D12" s="42"/>
      <c r="E12" s="12"/>
      <c r="F12" s="12"/>
      <c r="G12" s="428" t="s">
        <v>164</v>
      </c>
      <c r="H12" s="12"/>
      <c r="I12" s="12"/>
      <c r="J12" s="12"/>
      <c r="K12" s="12"/>
      <c r="L12" s="41"/>
      <c r="M12" s="411"/>
      <c r="N12" s="411"/>
      <c r="O12" s="411"/>
      <c r="P12" s="56"/>
      <c r="Q12" s="56"/>
      <c r="R12" s="56"/>
      <c r="S12" s="864"/>
      <c r="T12" s="895"/>
      <c r="U12" s="896"/>
      <c r="V12" s="891"/>
      <c r="W12" s="892"/>
      <c r="X12" s="866"/>
      <c r="Y12" s="867"/>
      <c r="Z12" s="874"/>
      <c r="AA12" s="889"/>
      <c r="AB12" s="890"/>
      <c r="AC12" s="891"/>
      <c r="AD12" s="892"/>
      <c r="AE12" s="878"/>
      <c r="AF12" s="878"/>
      <c r="AG12" s="878"/>
      <c r="AH12" s="878"/>
      <c r="AI12" s="878"/>
      <c r="AJ12" s="878"/>
      <c r="AK12" s="56"/>
      <c r="AL12" s="56"/>
    </row>
    <row r="13" spans="1:38">
      <c r="A13" s="48"/>
      <c r="B13" s="48"/>
      <c r="C13" s="56"/>
      <c r="D13" s="42"/>
      <c r="E13" s="12"/>
      <c r="F13" s="1205"/>
      <c r="G13" s="1206" t="s">
        <v>180</v>
      </c>
      <c r="H13" s="1207">
        <f>+SUM(AG57:AG65)</f>
        <v>257</v>
      </c>
      <c r="I13" s="12"/>
      <c r="J13" s="12"/>
      <c r="K13" s="12"/>
      <c r="L13" s="41"/>
      <c r="M13" s="412"/>
      <c r="N13" s="411"/>
      <c r="O13" s="411"/>
      <c r="P13" s="56"/>
      <c r="Q13" s="56"/>
      <c r="R13" s="56"/>
      <c r="S13" s="864"/>
      <c r="T13" s="895"/>
      <c r="U13" s="896"/>
      <c r="V13" s="891"/>
      <c r="W13" s="892"/>
      <c r="X13" s="866"/>
      <c r="Y13" s="867"/>
      <c r="Z13" s="874"/>
      <c r="AA13" s="889"/>
      <c r="AB13" s="890"/>
      <c r="AC13" s="891"/>
      <c r="AD13" s="892"/>
      <c r="AE13" s="878"/>
      <c r="AF13" s="878"/>
      <c r="AG13" s="878"/>
      <c r="AH13" s="878"/>
      <c r="AI13" s="878"/>
      <c r="AJ13" s="878"/>
      <c r="AK13" s="56"/>
      <c r="AL13" s="56"/>
    </row>
    <row r="14" spans="1:38">
      <c r="A14" s="48"/>
      <c r="B14" s="48"/>
      <c r="C14" s="56"/>
      <c r="D14" s="42"/>
      <c r="E14" s="12"/>
      <c r="F14" s="429"/>
      <c r="G14" s="430" t="s">
        <v>181</v>
      </c>
      <c r="H14" s="431">
        <f>+SUM(AG69:AG77)</f>
        <v>208.80999999999997</v>
      </c>
      <c r="I14" s="12"/>
      <c r="J14" s="12"/>
      <c r="K14" s="12"/>
      <c r="L14" s="41"/>
      <c r="M14" s="411"/>
      <c r="N14" s="412"/>
      <c r="O14" s="412"/>
      <c r="P14" s="56"/>
      <c r="Q14" s="56"/>
      <c r="R14" s="56"/>
      <c r="S14" s="864"/>
      <c r="T14" s="895"/>
      <c r="U14" s="896"/>
      <c r="V14" s="891"/>
      <c r="W14" s="892"/>
      <c r="X14" s="866"/>
      <c r="Y14" s="867"/>
      <c r="Z14" s="874"/>
      <c r="AA14" s="889"/>
      <c r="AB14" s="890"/>
      <c r="AC14" s="891"/>
      <c r="AD14" s="892"/>
      <c r="AE14" s="878"/>
      <c r="AF14" s="878"/>
      <c r="AG14" s="878"/>
      <c r="AH14" s="878"/>
      <c r="AI14" s="878"/>
      <c r="AJ14" s="878"/>
      <c r="AK14" s="56"/>
      <c r="AL14" s="56"/>
    </row>
    <row r="15" spans="1:38">
      <c r="A15" s="48"/>
      <c r="B15" s="48"/>
      <c r="C15" s="56"/>
      <c r="D15" s="42"/>
      <c r="E15" s="399"/>
      <c r="F15" s="432"/>
      <c r="G15" s="432" t="s">
        <v>182</v>
      </c>
      <c r="H15" s="433">
        <f>+(H7+T36+H6*AB20)*0.025</f>
        <v>125.42000000000002</v>
      </c>
      <c r="I15" s="399"/>
      <c r="J15" s="399"/>
      <c r="K15" s="399"/>
      <c r="L15" s="41"/>
      <c r="M15" s="411"/>
      <c r="N15" s="411"/>
      <c r="O15" s="411"/>
      <c r="P15" s="56"/>
      <c r="Q15" s="56"/>
      <c r="R15" s="56"/>
      <c r="S15" s="864"/>
      <c r="T15" s="895"/>
      <c r="U15" s="896"/>
      <c r="V15" s="891"/>
      <c r="W15" s="892"/>
      <c r="X15" s="866"/>
      <c r="Y15" s="867"/>
      <c r="Z15" s="874"/>
      <c r="AA15" s="889"/>
      <c r="AB15" s="890"/>
      <c r="AC15" s="891"/>
      <c r="AD15" s="892"/>
      <c r="AE15" s="878"/>
      <c r="AF15" s="878"/>
      <c r="AG15" s="878"/>
      <c r="AH15" s="878"/>
      <c r="AI15" s="878"/>
      <c r="AJ15" s="878"/>
      <c r="AK15" s="56"/>
      <c r="AL15" s="56"/>
    </row>
    <row r="16" spans="1:38" ht="15.75" thickBot="1">
      <c r="A16" s="48"/>
      <c r="B16" s="48"/>
      <c r="C16" s="56"/>
      <c r="D16" s="42"/>
      <c r="E16" s="12"/>
      <c r="F16" s="429"/>
      <c r="G16" s="430" t="s">
        <v>183</v>
      </c>
      <c r="H16" s="431">
        <v>90</v>
      </c>
      <c r="I16" s="12"/>
      <c r="J16" s="12"/>
      <c r="K16" s="12"/>
      <c r="L16" s="41"/>
      <c r="M16" s="412"/>
      <c r="N16" s="411"/>
      <c r="O16" s="411"/>
      <c r="P16" s="56"/>
      <c r="Q16" s="56"/>
      <c r="R16" s="56"/>
      <c r="S16" s="864"/>
      <c r="T16" s="897"/>
      <c r="U16" s="898"/>
      <c r="V16" s="899"/>
      <c r="W16" s="900"/>
      <c r="X16" s="866"/>
      <c r="Y16" s="867"/>
      <c r="Z16" s="874"/>
      <c r="AA16" s="901"/>
      <c r="AB16" s="902"/>
      <c r="AC16" s="902"/>
      <c r="AD16" s="903"/>
      <c r="AE16" s="878"/>
      <c r="AF16" s="878"/>
      <c r="AG16" s="878"/>
      <c r="AH16" s="878"/>
      <c r="AI16" s="878"/>
      <c r="AJ16" s="878"/>
      <c r="AK16" s="56"/>
      <c r="AL16" s="56"/>
    </row>
    <row r="17" spans="1:38" ht="15.75" thickBot="1">
      <c r="A17" s="48"/>
      <c r="B17" s="48"/>
      <c r="C17" s="56"/>
      <c r="D17" s="42"/>
      <c r="E17" s="12"/>
      <c r="F17" s="429"/>
      <c r="G17" s="430" t="s">
        <v>184</v>
      </c>
      <c r="H17" s="431">
        <f>+SUM(H13:H16)</f>
        <v>681.23</v>
      </c>
      <c r="I17" s="12"/>
      <c r="J17" s="12"/>
      <c r="K17" s="12"/>
      <c r="L17" s="41"/>
      <c r="M17" s="411"/>
      <c r="N17" s="412"/>
      <c r="O17" s="412"/>
      <c r="P17" s="56"/>
      <c r="Q17" s="56"/>
      <c r="R17" s="56"/>
      <c r="S17" s="864"/>
      <c r="T17" s="878"/>
      <c r="U17" s="878"/>
      <c r="V17" s="878"/>
      <c r="W17" s="904"/>
      <c r="X17" s="878"/>
      <c r="Y17" s="868"/>
      <c r="Z17" s="878"/>
      <c r="AA17" s="878"/>
      <c r="AB17" s="878"/>
      <c r="AC17" s="878"/>
      <c r="AD17" s="878"/>
      <c r="AE17" s="878"/>
      <c r="AF17" s="878"/>
      <c r="AG17" s="878"/>
      <c r="AH17" s="878"/>
      <c r="AI17" s="878"/>
      <c r="AJ17" s="878"/>
      <c r="AK17" s="56"/>
      <c r="AL17" s="56"/>
    </row>
    <row r="18" spans="1:38" ht="15.75" thickBot="1">
      <c r="A18" s="48"/>
      <c r="B18" s="48"/>
      <c r="C18" s="56"/>
      <c r="D18" s="43"/>
      <c r="E18" s="32"/>
      <c r="F18" s="32"/>
      <c r="G18" s="32"/>
      <c r="H18" s="33"/>
      <c r="I18" s="32"/>
      <c r="J18" s="32"/>
      <c r="K18" s="406"/>
      <c r="L18" s="44"/>
      <c r="M18" s="411"/>
      <c r="N18" s="411"/>
      <c r="O18" s="411"/>
      <c r="P18" s="56"/>
      <c r="Q18" s="56"/>
      <c r="R18" s="56"/>
      <c r="S18" s="864"/>
      <c r="T18" s="1005" t="str">
        <f>AA18</f>
        <v>Restrooms</v>
      </c>
      <c r="U18" s="1006"/>
      <c r="V18" s="1006"/>
      <c r="W18" s="1007"/>
      <c r="X18" s="872"/>
      <c r="Y18" s="867"/>
      <c r="Z18" s="1008"/>
      <c r="AA18" s="1009" t="s">
        <v>169</v>
      </c>
      <c r="AB18" s="1010"/>
      <c r="AC18" s="1011"/>
      <c r="AD18" s="878"/>
      <c r="AE18" s="878"/>
      <c r="AF18" s="878"/>
      <c r="AG18" s="878"/>
      <c r="AH18" s="878"/>
      <c r="AI18" s="878"/>
      <c r="AJ18" s="878"/>
      <c r="AK18" s="56"/>
      <c r="AL18" s="56"/>
    </row>
    <row r="19" spans="1:38">
      <c r="A19" s="48"/>
      <c r="B19" s="48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412"/>
      <c r="N19" s="411"/>
      <c r="O19" s="411"/>
      <c r="P19" s="56"/>
      <c r="Q19" s="56"/>
      <c r="R19" s="56"/>
      <c r="S19" s="864"/>
      <c r="T19" s="1012"/>
      <c r="U19" s="1013"/>
      <c r="V19" s="1013" t="s">
        <v>170</v>
      </c>
      <c r="W19" s="1014"/>
      <c r="X19" s="880"/>
      <c r="Y19" s="867"/>
      <c r="Z19" s="1008"/>
      <c r="AA19" s="1015"/>
      <c r="AB19" s="1006" t="s">
        <v>171</v>
      </c>
      <c r="AC19" s="1007"/>
      <c r="AD19" s="878"/>
      <c r="AE19" s="878"/>
      <c r="AF19" s="878"/>
      <c r="AG19" s="878"/>
      <c r="AH19" s="878"/>
      <c r="AI19" s="878"/>
      <c r="AJ19" s="878"/>
      <c r="AK19" s="56"/>
      <c r="AL19" s="56"/>
    </row>
    <row r="20" spans="1:38">
      <c r="A20" s="96"/>
      <c r="B20" s="96"/>
      <c r="C20" s="56"/>
      <c r="D20" s="104"/>
      <c r="E20" s="104"/>
      <c r="F20" s="104"/>
      <c r="G20" s="436"/>
      <c r="H20" s="436"/>
      <c r="I20" s="56"/>
      <c r="J20" s="56"/>
      <c r="K20" s="56"/>
      <c r="L20" s="56"/>
      <c r="M20" s="411"/>
      <c r="N20" s="412"/>
      <c r="O20" s="412"/>
      <c r="P20" s="56"/>
      <c r="Q20" s="56"/>
      <c r="R20" s="56"/>
      <c r="S20" s="864"/>
      <c r="T20" s="1016" t="s">
        <v>172</v>
      </c>
      <c r="U20" s="1017"/>
      <c r="V20" s="1017" t="s">
        <v>173</v>
      </c>
      <c r="W20" s="1214" t="s">
        <v>42</v>
      </c>
      <c r="X20" s="878"/>
      <c r="Y20" s="868"/>
      <c r="Z20" s="1018"/>
      <c r="AA20" s="1019"/>
      <c r="AB20" s="1020">
        <v>150</v>
      </c>
      <c r="AC20" s="1021"/>
      <c r="AD20" s="878"/>
      <c r="AE20" s="878"/>
      <c r="AF20" s="878"/>
      <c r="AG20" s="878"/>
      <c r="AH20" s="878"/>
      <c r="AI20" s="878"/>
      <c r="AJ20" s="878"/>
      <c r="AK20" s="56"/>
      <c r="AL20" s="56"/>
    </row>
    <row r="21" spans="1:38">
      <c r="A21" s="101"/>
      <c r="B21" s="101"/>
      <c r="C21" s="56"/>
      <c r="M21" s="411"/>
      <c r="N21" s="411"/>
      <c r="O21" s="411"/>
      <c r="P21" s="56"/>
      <c r="Q21" s="56"/>
      <c r="R21" s="56"/>
      <c r="S21" s="864"/>
      <c r="T21" s="1022">
        <f>V21*AB20</f>
        <v>0</v>
      </c>
      <c r="U21" s="1023"/>
      <c r="V21" s="1024">
        <f>H6</f>
        <v>0</v>
      </c>
      <c r="W21" s="1025"/>
      <c r="X21" s="878"/>
      <c r="Y21" s="868"/>
      <c r="Z21" s="1018"/>
      <c r="AA21" s="1026"/>
      <c r="AB21" s="1027"/>
      <c r="AC21" s="1028"/>
      <c r="AD21" s="878"/>
      <c r="AE21" s="878"/>
      <c r="AF21" s="878"/>
      <c r="AG21" s="878"/>
      <c r="AH21" s="878"/>
      <c r="AI21" s="878"/>
      <c r="AJ21" s="878"/>
      <c r="AK21" s="56"/>
      <c r="AL21" s="56"/>
    </row>
    <row r="22" spans="1:38" ht="15.75" thickBot="1">
      <c r="A22" s="105"/>
      <c r="B22" s="105"/>
      <c r="C22" s="56"/>
      <c r="M22" s="412"/>
      <c r="N22" s="411"/>
      <c r="O22" s="411"/>
      <c r="P22" s="56"/>
      <c r="Q22" s="91"/>
      <c r="R22" s="56"/>
      <c r="S22" s="864"/>
      <c r="T22" s="897"/>
      <c r="U22" s="898"/>
      <c r="V22" s="899"/>
      <c r="W22" s="900"/>
      <c r="X22" s="878"/>
      <c r="Y22" s="868"/>
      <c r="Z22" s="1018"/>
      <c r="AA22" s="1026"/>
      <c r="AB22" s="1027"/>
      <c r="AC22" s="1028"/>
      <c r="AD22" s="878"/>
      <c r="AE22" s="878"/>
      <c r="AF22" s="878"/>
      <c r="AG22" s="878"/>
      <c r="AH22" s="878"/>
      <c r="AI22" s="878"/>
      <c r="AJ22" s="878"/>
      <c r="AK22" s="56"/>
      <c r="AL22" s="56"/>
    </row>
    <row r="23" spans="1:38" ht="15.75" thickBot="1">
      <c r="A23" s="109"/>
      <c r="B23" s="109"/>
      <c r="C23" s="56"/>
      <c r="M23" s="411"/>
      <c r="N23" s="412"/>
      <c r="O23" s="412"/>
      <c r="P23" s="56"/>
      <c r="Q23" s="56"/>
      <c r="R23" s="56"/>
      <c r="S23" s="864"/>
      <c r="T23" s="878"/>
      <c r="U23" s="878"/>
      <c r="V23" s="878"/>
      <c r="W23" s="904"/>
      <c r="X23" s="878"/>
      <c r="Y23" s="868"/>
      <c r="Z23" s="1018"/>
      <c r="AA23" s="1029"/>
      <c r="AB23" s="1030"/>
      <c r="AC23" s="1031"/>
      <c r="AD23" s="878"/>
      <c r="AE23" s="878"/>
      <c r="AF23" s="878"/>
      <c r="AG23" s="878"/>
      <c r="AH23" s="878"/>
      <c r="AI23" s="878"/>
      <c r="AJ23" s="878"/>
      <c r="AK23" s="56"/>
      <c r="AL23" s="56"/>
    </row>
    <row r="24" spans="1:38" ht="15.75" thickBot="1">
      <c r="A24" s="110"/>
      <c r="B24" s="110"/>
      <c r="C24" s="56"/>
      <c r="M24" s="411"/>
      <c r="N24" s="411"/>
      <c r="O24" s="411"/>
      <c r="P24" s="56"/>
      <c r="Q24" s="56"/>
      <c r="R24" s="104"/>
      <c r="S24" s="864"/>
      <c r="T24" s="878"/>
      <c r="U24" s="878"/>
      <c r="V24" s="878"/>
      <c r="W24" s="878"/>
      <c r="X24" s="878"/>
      <c r="Y24" s="868"/>
      <c r="Z24" s="878"/>
      <c r="AA24" s="878"/>
      <c r="AB24" s="878"/>
      <c r="AC24" s="878"/>
      <c r="AD24" s="878"/>
      <c r="AE24" s="878"/>
      <c r="AF24" s="878"/>
      <c r="AG24" s="878"/>
      <c r="AH24" s="878"/>
      <c r="AI24" s="878"/>
      <c r="AJ24" s="878"/>
      <c r="AK24" s="56"/>
      <c r="AL24" s="56"/>
    </row>
    <row r="25" spans="1:38" ht="15.75" thickBot="1">
      <c r="A25" s="113"/>
      <c r="B25" s="113"/>
      <c r="C25" s="56"/>
      <c r="M25" s="412"/>
      <c r="N25" s="411"/>
      <c r="O25" s="411"/>
      <c r="P25" s="56"/>
      <c r="Q25" s="56"/>
      <c r="R25" s="104"/>
      <c r="S25" s="864"/>
      <c r="T25" s="1032" t="str">
        <f>AA25</f>
        <v>Material Including labor cost</v>
      </c>
      <c r="U25" s="1033"/>
      <c r="V25" s="1033"/>
      <c r="W25" s="1034"/>
      <c r="X25" s="1035"/>
      <c r="Y25" s="1215"/>
      <c r="Z25" s="1036"/>
      <c r="AA25" s="1037" t="s">
        <v>174</v>
      </c>
      <c r="AB25" s="1038"/>
      <c r="AC25" s="1039"/>
      <c r="AD25" s="878"/>
      <c r="AE25" s="878"/>
      <c r="AF25" s="878"/>
      <c r="AG25" s="878"/>
      <c r="AH25" s="878"/>
      <c r="AI25" s="878"/>
      <c r="AJ25" s="878"/>
      <c r="AK25" s="56"/>
      <c r="AL25" s="56"/>
    </row>
    <row r="26" spans="1:38" ht="15.75" thickBot="1">
      <c r="A26" s="115"/>
      <c r="B26" s="115"/>
      <c r="C26" s="56"/>
      <c r="M26" s="412"/>
      <c r="N26" s="412"/>
      <c r="O26" s="412"/>
      <c r="P26" s="56"/>
      <c r="Q26" s="56"/>
      <c r="R26" s="104"/>
      <c r="S26" s="864"/>
      <c r="T26" s="1040"/>
      <c r="U26" s="1041"/>
      <c r="V26" s="1042"/>
      <c r="W26" s="1043"/>
      <c r="X26" s="1044"/>
      <c r="Y26" s="1045"/>
      <c r="Z26" s="1036"/>
      <c r="AA26" s="1046"/>
      <c r="AB26" s="1047"/>
      <c r="AC26" s="1048" t="s">
        <v>175</v>
      </c>
      <c r="AD26" s="878"/>
      <c r="AE26" s="878"/>
      <c r="AF26" s="878"/>
      <c r="AG26" s="878"/>
      <c r="AH26" s="878"/>
      <c r="AI26" s="878"/>
      <c r="AJ26" s="878"/>
      <c r="AK26" s="56"/>
      <c r="AL26" s="56"/>
    </row>
    <row r="27" spans="1:38">
      <c r="A27" s="121"/>
      <c r="B27" s="121"/>
      <c r="C27" s="56"/>
      <c r="M27" s="412"/>
      <c r="N27" s="412"/>
      <c r="O27" s="412"/>
      <c r="P27" s="56"/>
      <c r="Q27" s="56"/>
      <c r="R27" s="104"/>
      <c r="S27" s="864"/>
      <c r="T27" s="1049" t="s">
        <v>172</v>
      </c>
      <c r="U27" s="1050"/>
      <c r="V27" s="1050" t="s">
        <v>176</v>
      </c>
      <c r="W27" s="1216"/>
      <c r="X27" s="878"/>
      <c r="Y27" s="868"/>
      <c r="Z27" s="1036"/>
      <c r="AA27" s="1051"/>
      <c r="AB27" s="1052"/>
      <c r="AC27" s="1053">
        <v>1</v>
      </c>
      <c r="AD27" s="878"/>
      <c r="AE27" s="878"/>
      <c r="AF27" s="878"/>
      <c r="AG27" s="878"/>
      <c r="AH27" s="878"/>
      <c r="AI27" s="878"/>
      <c r="AJ27" s="878"/>
      <c r="AK27" s="56"/>
      <c r="AL27" s="56"/>
    </row>
    <row r="28" spans="1:38">
      <c r="A28" s="124"/>
      <c r="B28" s="124"/>
      <c r="C28" s="56"/>
      <c r="M28" s="411"/>
      <c r="N28" s="412"/>
      <c r="O28" s="412"/>
      <c r="P28" s="56"/>
      <c r="Q28" s="56"/>
      <c r="R28" s="104"/>
      <c r="S28" s="955"/>
      <c r="T28" s="1054">
        <f>V28*AC27</f>
        <v>19235</v>
      </c>
      <c r="U28" s="891"/>
      <c r="V28" s="891">
        <f>H8</f>
        <v>19235</v>
      </c>
      <c r="W28" s="1055"/>
      <c r="X28" s="878"/>
      <c r="Y28" s="868"/>
      <c r="Z28" s="1036"/>
      <c r="AA28" s="1056"/>
      <c r="AB28" s="1057"/>
      <c r="AC28" s="1058"/>
      <c r="AD28" s="878"/>
      <c r="AE28" s="878"/>
      <c r="AF28" s="878"/>
      <c r="AG28" s="878"/>
      <c r="AH28" s="878"/>
      <c r="AI28" s="878"/>
      <c r="AJ28" s="878"/>
      <c r="AK28" s="56"/>
      <c r="AL28" s="56"/>
    </row>
    <row r="29" spans="1:38" ht="15.75" thickBot="1">
      <c r="A29" s="125"/>
      <c r="B29" s="125"/>
      <c r="C29" s="56"/>
      <c r="M29" s="56"/>
      <c r="N29" s="411"/>
      <c r="O29" s="411"/>
      <c r="P29" s="56"/>
      <c r="Q29" s="56"/>
      <c r="R29" s="104"/>
      <c r="S29" s="864"/>
      <c r="T29" s="1059"/>
      <c r="U29" s="1060"/>
      <c r="V29" s="1061"/>
      <c r="W29" s="1062"/>
      <c r="X29" s="878"/>
      <c r="Y29" s="868"/>
      <c r="Z29" s="1036"/>
      <c r="AA29" s="1063"/>
      <c r="AB29" s="1064"/>
      <c r="AC29" s="1065"/>
      <c r="AD29" s="878"/>
      <c r="AE29" s="878"/>
      <c r="AF29" s="878"/>
      <c r="AG29" s="878"/>
      <c r="AH29" s="878"/>
      <c r="AI29" s="878"/>
      <c r="AJ29" s="878"/>
      <c r="AK29" s="56"/>
      <c r="AL29" s="56"/>
    </row>
    <row r="30" spans="1:38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104"/>
      <c r="S30" s="864"/>
      <c r="T30" s="1040"/>
      <c r="U30" s="1042"/>
      <c r="V30" s="1042"/>
      <c r="W30" s="1043"/>
      <c r="X30" s="878"/>
      <c r="Y30" s="868"/>
      <c r="Z30" s="1036"/>
      <c r="AA30" s="1066"/>
      <c r="AB30" s="1067"/>
      <c r="AC30" s="1068"/>
      <c r="AD30" s="878"/>
      <c r="AE30" s="878"/>
      <c r="AF30" s="878"/>
      <c r="AG30" s="878"/>
      <c r="AH30" s="878"/>
      <c r="AI30" s="878"/>
      <c r="AJ30" s="878"/>
      <c r="AK30" s="56"/>
      <c r="AL30" s="56"/>
    </row>
    <row r="31" spans="1:38" ht="15.75" thickBot="1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104"/>
      <c r="S31" s="864"/>
      <c r="T31" s="1069"/>
      <c r="U31" s="1070"/>
      <c r="V31" s="1071"/>
      <c r="W31" s="1072"/>
      <c r="X31" s="878"/>
      <c r="Y31" s="868"/>
      <c r="Z31" s="1036"/>
      <c r="AA31" s="1073"/>
      <c r="AB31" s="1074"/>
      <c r="AC31" s="1075"/>
      <c r="AD31" s="878"/>
      <c r="AE31" s="878"/>
      <c r="AF31" s="878"/>
      <c r="AG31" s="878"/>
      <c r="AH31" s="878"/>
      <c r="AI31" s="878"/>
      <c r="AJ31" s="878"/>
      <c r="AK31" s="56"/>
      <c r="AL31" s="56"/>
    </row>
    <row r="32" spans="1:38" ht="15.75" thickBot="1">
      <c r="A32" s="5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104"/>
      <c r="S32" s="864"/>
      <c r="T32" s="878"/>
      <c r="U32" s="878"/>
      <c r="V32" s="878"/>
      <c r="W32" s="878"/>
      <c r="X32" s="878"/>
      <c r="Y32" s="868"/>
      <c r="Z32" s="878"/>
      <c r="AA32" s="878"/>
      <c r="AB32" s="878"/>
      <c r="AC32" s="878"/>
      <c r="AD32" s="878"/>
      <c r="AE32" s="878"/>
      <c r="AF32" s="878"/>
      <c r="AG32" s="878"/>
      <c r="AH32" s="878"/>
      <c r="AI32" s="878"/>
      <c r="AJ32" s="878"/>
      <c r="AK32" s="56"/>
      <c r="AL32" s="56"/>
    </row>
    <row r="33" spans="2:38" ht="15.75" thickBot="1"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104"/>
      <c r="S33" s="864"/>
      <c r="T33" s="1076" t="s">
        <v>172</v>
      </c>
      <c r="U33" s="1077"/>
      <c r="V33" s="1077"/>
      <c r="W33" s="1078"/>
      <c r="X33" s="872"/>
      <c r="Y33" s="1213"/>
      <c r="Z33" s="1079"/>
      <c r="AA33" s="1080" t="s">
        <v>32</v>
      </c>
      <c r="AB33" s="1081"/>
      <c r="AC33" s="1082"/>
      <c r="AD33" s="878"/>
      <c r="AE33" s="878"/>
      <c r="AF33" s="878"/>
      <c r="AG33" s="878"/>
      <c r="AH33" s="878"/>
      <c r="AI33" s="878"/>
      <c r="AJ33" s="878"/>
      <c r="AK33" s="56"/>
      <c r="AL33" s="56"/>
    </row>
    <row r="34" spans="2:38" ht="15.75" thickBot="1"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N34" s="56"/>
      <c r="O34" s="56"/>
      <c r="P34" s="56"/>
      <c r="Q34" s="56"/>
      <c r="R34" s="104"/>
      <c r="S34" s="864"/>
      <c r="T34" s="1083"/>
      <c r="U34" s="1084"/>
      <c r="V34" s="1084" t="s">
        <v>177</v>
      </c>
      <c r="W34" s="1085"/>
      <c r="X34" s="880"/>
      <c r="Y34" s="881"/>
      <c r="Z34" s="1079"/>
      <c r="AA34" s="1086"/>
      <c r="AB34" s="1077"/>
      <c r="AC34" s="1087" t="s">
        <v>178</v>
      </c>
      <c r="AD34" s="878"/>
      <c r="AE34" s="878"/>
      <c r="AF34" s="878"/>
      <c r="AG34" s="878"/>
      <c r="AH34" s="878"/>
      <c r="AI34" s="878"/>
      <c r="AJ34" s="878"/>
      <c r="AK34" s="56"/>
      <c r="AL34" s="56"/>
    </row>
    <row r="35" spans="2:38">
      <c r="B35" s="56"/>
      <c r="C35" s="56"/>
      <c r="P35" s="56"/>
      <c r="Q35" s="56"/>
      <c r="R35" s="104"/>
      <c r="S35" s="864"/>
      <c r="T35" s="1088" t="s">
        <v>42</v>
      </c>
      <c r="U35" s="1089"/>
      <c r="V35" s="1089" t="s">
        <v>179</v>
      </c>
      <c r="W35" s="1217"/>
      <c r="X35" s="866"/>
      <c r="Y35" s="867"/>
      <c r="Z35" s="1079"/>
      <c r="AA35" s="1051"/>
      <c r="AB35" s="1052"/>
      <c r="AC35" s="1090">
        <v>1.65</v>
      </c>
      <c r="AD35" s="878"/>
      <c r="AE35" s="878"/>
      <c r="AF35" s="878"/>
      <c r="AG35" s="878"/>
      <c r="AH35" s="878"/>
      <c r="AI35" s="878"/>
      <c r="AJ35" s="878"/>
      <c r="AK35" s="56"/>
      <c r="AL35" s="56"/>
    </row>
    <row r="36" spans="2:38">
      <c r="B36" s="56"/>
      <c r="Q36" s="56"/>
      <c r="R36" s="56"/>
      <c r="S36" s="864"/>
      <c r="T36" s="1091">
        <f>V36*AC35</f>
        <v>316.79999999999995</v>
      </c>
      <c r="U36" s="1024"/>
      <c r="V36" s="1024">
        <f>H5</f>
        <v>192</v>
      </c>
      <c r="W36" s="1092"/>
      <c r="X36" s="866"/>
      <c r="Y36" s="867"/>
      <c r="Z36" s="1079"/>
      <c r="AA36" s="1066"/>
      <c r="AB36" s="1067"/>
      <c r="AC36" s="1068"/>
      <c r="AD36" s="878"/>
      <c r="AE36" s="878"/>
      <c r="AF36" s="878"/>
      <c r="AG36" s="878"/>
      <c r="AH36" s="878"/>
      <c r="AI36" s="878"/>
      <c r="AJ36" s="878"/>
      <c r="AK36" s="56"/>
      <c r="AL36" s="56"/>
    </row>
    <row r="37" spans="2:38" ht="15.75" thickBot="1">
      <c r="Q37" s="56"/>
      <c r="R37" s="56"/>
      <c r="S37" s="864"/>
      <c r="T37" s="1093"/>
      <c r="U37" s="1094"/>
      <c r="V37" s="1095"/>
      <c r="W37" s="1096"/>
      <c r="X37" s="866"/>
      <c r="Y37" s="867"/>
      <c r="Z37" s="1079"/>
      <c r="AA37" s="1097"/>
      <c r="AB37" s="1098"/>
      <c r="AC37" s="1099"/>
      <c r="AD37" s="878"/>
      <c r="AE37" s="878"/>
      <c r="AF37" s="878"/>
      <c r="AG37" s="878"/>
      <c r="AH37" s="878"/>
      <c r="AI37" s="878"/>
      <c r="AJ37" s="878"/>
      <c r="AK37" s="56"/>
      <c r="AL37" s="56"/>
    </row>
    <row r="38" spans="2:38">
      <c r="Q38" s="56"/>
      <c r="R38" s="56"/>
      <c r="S38" s="864"/>
      <c r="T38" s="1083"/>
      <c r="U38" s="1084"/>
      <c r="V38" s="1084"/>
      <c r="W38" s="1085"/>
      <c r="X38" s="866"/>
      <c r="Y38" s="867"/>
      <c r="Z38" s="1079"/>
      <c r="AA38" s="1097"/>
      <c r="AB38" s="1098"/>
      <c r="AC38" s="1099"/>
      <c r="AD38" s="878"/>
      <c r="AE38" s="878"/>
      <c r="AF38" s="878"/>
      <c r="AG38" s="878"/>
      <c r="AH38" s="878"/>
      <c r="AI38" s="878"/>
      <c r="AJ38" s="878"/>
      <c r="AK38" s="56"/>
      <c r="AL38" s="56"/>
    </row>
    <row r="39" spans="2:38" ht="15.75" thickBot="1">
      <c r="Q39" s="56"/>
      <c r="R39" s="56"/>
      <c r="S39" s="864"/>
      <c r="T39" s="897"/>
      <c r="U39" s="898"/>
      <c r="V39" s="899"/>
      <c r="W39" s="900"/>
      <c r="X39" s="866"/>
      <c r="Y39" s="867"/>
      <c r="Z39" s="1079"/>
      <c r="AA39" s="1073"/>
      <c r="AB39" s="1074"/>
      <c r="AC39" s="1075"/>
      <c r="AD39" s="878"/>
      <c r="AE39" s="878"/>
      <c r="AF39" s="878"/>
      <c r="AG39" s="878"/>
      <c r="AH39" s="878"/>
      <c r="AI39" s="878"/>
      <c r="AJ39" s="878"/>
      <c r="AK39" s="56"/>
      <c r="AL39" s="56"/>
    </row>
    <row r="40" spans="2:38">
      <c r="Q40" s="56"/>
      <c r="R40" s="56"/>
      <c r="S40" s="864"/>
      <c r="T40" s="878"/>
      <c r="U40" s="878"/>
      <c r="V40" s="878"/>
      <c r="W40" s="878"/>
      <c r="X40" s="878"/>
      <c r="Y40" s="868"/>
      <c r="Z40" s="878"/>
      <c r="AA40" s="878"/>
      <c r="AB40" s="878"/>
      <c r="AC40" s="878"/>
      <c r="AD40" s="878"/>
      <c r="AE40" s="878"/>
      <c r="AF40" s="878"/>
      <c r="AG40" s="878"/>
      <c r="AH40" s="878"/>
      <c r="AI40" s="878"/>
      <c r="AJ40" s="878"/>
      <c r="AK40" s="56"/>
      <c r="AL40" s="56"/>
    </row>
    <row r="41" spans="2:38" ht="15.75" thickBot="1">
      <c r="B41" s="56"/>
      <c r="Q41" s="56"/>
      <c r="R41" s="56"/>
      <c r="S41" s="864"/>
      <c r="T41" s="878"/>
      <c r="U41" s="878"/>
      <c r="V41" s="878"/>
      <c r="W41" s="878"/>
      <c r="X41" s="878"/>
      <c r="Y41" s="868"/>
      <c r="Z41" s="1100"/>
      <c r="AA41" s="1101"/>
      <c r="AB41" s="1102"/>
      <c r="AC41" s="1103"/>
      <c r="AD41" s="1102"/>
      <c r="AE41" s="1104"/>
      <c r="AF41" s="878"/>
      <c r="AG41" s="935"/>
      <c r="AH41" s="878"/>
      <c r="AI41" s="878"/>
      <c r="AJ41" s="878"/>
      <c r="AK41" s="56"/>
      <c r="AL41" s="56"/>
    </row>
    <row r="42" spans="2:38" ht="15.75" thickBot="1">
      <c r="B42" s="56"/>
      <c r="Q42" s="56"/>
      <c r="R42" s="56"/>
      <c r="S42" s="864"/>
      <c r="T42" s="1105"/>
      <c r="U42" s="1106"/>
      <c r="V42" s="1106"/>
      <c r="W42" s="1107"/>
      <c r="X42" s="1035"/>
      <c r="Y42" s="1213"/>
      <c r="Z42" s="1100"/>
      <c r="AA42" s="882"/>
      <c r="AB42" s="883"/>
      <c r="AC42" s="883"/>
      <c r="AD42" s="883"/>
      <c r="AE42" s="1108"/>
      <c r="AF42" s="878"/>
      <c r="AG42" s="935"/>
      <c r="AH42" s="878"/>
      <c r="AI42" s="878"/>
      <c r="AJ42" s="878"/>
      <c r="AK42" s="56"/>
      <c r="AL42" s="56"/>
    </row>
    <row r="43" spans="2:38">
      <c r="B43" s="56"/>
      <c r="Q43" s="56"/>
      <c r="R43" s="56"/>
      <c r="S43" s="864"/>
      <c r="T43" s="882"/>
      <c r="U43" s="883"/>
      <c r="V43" s="883"/>
      <c r="W43" s="1109"/>
      <c r="X43" s="1044"/>
      <c r="Y43" s="881"/>
      <c r="Z43" s="1100"/>
      <c r="AA43" s="1110"/>
      <c r="AB43" s="1111"/>
      <c r="AC43" s="1111"/>
      <c r="AD43" s="1112"/>
      <c r="AE43" s="1113"/>
      <c r="AF43" s="878"/>
      <c r="AG43" s="878"/>
      <c r="AH43" s="878"/>
      <c r="AI43" s="878"/>
      <c r="AJ43" s="878"/>
      <c r="AK43" s="56"/>
      <c r="AL43" s="56"/>
    </row>
    <row r="44" spans="2:38" ht="15.75" thickBot="1">
      <c r="B44" s="56"/>
      <c r="Q44" s="56"/>
      <c r="R44" s="56"/>
      <c r="S44" s="864"/>
      <c r="T44" s="1114"/>
      <c r="U44" s="1115"/>
      <c r="V44" s="1115"/>
      <c r="W44" s="1116"/>
      <c r="X44" s="878"/>
      <c r="Y44" s="867"/>
      <c r="Z44" s="1100"/>
      <c r="AA44" s="1117"/>
      <c r="AB44" s="1118"/>
      <c r="AC44" s="1119"/>
      <c r="AD44" s="1120"/>
      <c r="AE44" s="1121"/>
      <c r="AF44" s="878"/>
      <c r="AG44" s="878"/>
      <c r="AH44" s="878"/>
      <c r="AI44" s="878"/>
      <c r="AJ44" s="878"/>
      <c r="AK44" s="56"/>
      <c r="AL44" s="56"/>
    </row>
    <row r="45" spans="2:38">
      <c r="B45" s="56"/>
      <c r="Q45" s="56"/>
      <c r="R45" s="56"/>
      <c r="S45" s="864"/>
      <c r="T45" s="1122"/>
      <c r="U45" s="1123"/>
      <c r="V45" s="1124"/>
      <c r="W45" s="1125"/>
      <c r="X45" s="878"/>
      <c r="Y45" s="868"/>
      <c r="Z45" s="1100"/>
      <c r="AA45" s="1126"/>
      <c r="AB45" s="1127"/>
      <c r="AC45" s="1127"/>
      <c r="AD45" s="1061"/>
      <c r="AE45" s="1128"/>
      <c r="AF45" s="878"/>
      <c r="AG45" s="878"/>
      <c r="AH45" s="878"/>
      <c r="AI45" s="878"/>
      <c r="AJ45" s="878"/>
      <c r="AK45" s="56"/>
      <c r="AL45" s="56"/>
    </row>
    <row r="46" spans="2:38">
      <c r="B46" s="56"/>
      <c r="Q46" s="56"/>
      <c r="R46" s="56"/>
      <c r="S46" s="864"/>
      <c r="T46" s="1129"/>
      <c r="U46" s="1130"/>
      <c r="V46" s="1131"/>
      <c r="W46" s="1132"/>
      <c r="X46" s="878"/>
      <c r="Y46" s="868"/>
      <c r="Z46" s="1100"/>
      <c r="AA46" s="1133"/>
      <c r="AB46" s="1111"/>
      <c r="AC46" s="1111"/>
      <c r="AD46" s="1112"/>
      <c r="AE46" s="1113"/>
      <c r="AF46" s="878"/>
      <c r="AG46" s="878"/>
      <c r="AH46" s="878"/>
      <c r="AI46" s="878"/>
      <c r="AJ46" s="878"/>
      <c r="AK46" s="56"/>
      <c r="AL46" s="56"/>
    </row>
    <row r="47" spans="2:38">
      <c r="B47" s="56"/>
      <c r="Q47" s="56"/>
      <c r="R47" s="56"/>
      <c r="S47" s="864"/>
      <c r="T47" s="1134"/>
      <c r="U47" s="1135"/>
      <c r="V47" s="1136"/>
      <c r="W47" s="1113"/>
      <c r="X47" s="878"/>
      <c r="Y47" s="868"/>
      <c r="Z47" s="1100"/>
      <c r="AA47" s="1137"/>
      <c r="AB47" s="1127"/>
      <c r="AC47" s="1138"/>
      <c r="AD47" s="1061"/>
      <c r="AE47" s="1139"/>
      <c r="AF47" s="878"/>
      <c r="AG47" s="878"/>
      <c r="AH47" s="878"/>
      <c r="AI47" s="878"/>
      <c r="AJ47" s="878"/>
      <c r="AK47" s="56"/>
      <c r="AL47" s="56"/>
    </row>
    <row r="48" spans="2:38">
      <c r="B48" s="56"/>
      <c r="Q48" s="56"/>
      <c r="R48" s="56"/>
      <c r="S48" s="864"/>
      <c r="T48" s="1140"/>
      <c r="U48" s="1124"/>
      <c r="V48" s="1124"/>
      <c r="W48" s="892"/>
      <c r="X48" s="878"/>
      <c r="Y48" s="868"/>
      <c r="Z48" s="1100"/>
      <c r="AA48" s="1126"/>
      <c r="AB48" s="1127"/>
      <c r="AC48" s="1138"/>
      <c r="AD48" s="1061"/>
      <c r="AE48" s="1128"/>
      <c r="AF48" s="878"/>
      <c r="AG48" s="878"/>
      <c r="AH48" s="878"/>
      <c r="AI48" s="878"/>
      <c r="AJ48" s="878"/>
      <c r="AK48" s="56"/>
      <c r="AL48" s="56"/>
    </row>
    <row r="49" spans="2:38">
      <c r="B49" s="56"/>
      <c r="Q49" s="56"/>
      <c r="R49" s="56"/>
      <c r="S49" s="864"/>
      <c r="T49" s="1141"/>
      <c r="U49" s="1142"/>
      <c r="V49" s="1143"/>
      <c r="W49" s="1218"/>
      <c r="X49" s="878"/>
      <c r="Y49" s="868"/>
      <c r="Z49" s="1100"/>
      <c r="AA49" s="1110"/>
      <c r="AB49" s="1111"/>
      <c r="AC49" s="1111"/>
      <c r="AD49" s="1112"/>
      <c r="AE49" s="1113"/>
      <c r="AF49" s="878"/>
      <c r="AG49" s="878"/>
      <c r="AH49" s="878"/>
      <c r="AI49" s="878"/>
      <c r="AJ49" s="878"/>
      <c r="AK49" s="56"/>
      <c r="AL49" s="56"/>
    </row>
    <row r="50" spans="2:38">
      <c r="B50" s="56"/>
      <c r="Q50" s="56"/>
      <c r="R50" s="56"/>
      <c r="S50" s="864"/>
      <c r="T50" s="1134"/>
      <c r="U50" s="1111"/>
      <c r="V50" s="1136"/>
      <c r="W50" s="1113"/>
      <c r="X50" s="878"/>
      <c r="Y50" s="868"/>
      <c r="Z50" s="1100"/>
      <c r="AA50" s="1137"/>
      <c r="AB50" s="1127"/>
      <c r="AC50" s="1144"/>
      <c r="AD50" s="1061"/>
      <c r="AE50" s="1139"/>
      <c r="AF50" s="878"/>
      <c r="AG50" s="878"/>
      <c r="AH50" s="878"/>
      <c r="AI50" s="878"/>
      <c r="AJ50" s="878"/>
      <c r="AK50" s="56"/>
      <c r="AL50" s="56"/>
    </row>
    <row r="51" spans="2:38">
      <c r="Q51" s="56"/>
      <c r="R51" s="56"/>
      <c r="S51" s="864"/>
      <c r="T51" s="1140"/>
      <c r="U51" s="1124"/>
      <c r="V51" s="955"/>
      <c r="W51" s="892"/>
      <c r="X51" s="878"/>
      <c r="Y51" s="868"/>
      <c r="Z51" s="1100"/>
      <c r="AA51" s="1126"/>
      <c r="AB51" s="1127"/>
      <c r="AC51" s="1144"/>
      <c r="AD51" s="1061"/>
      <c r="AE51" s="1128"/>
      <c r="AF51" s="878"/>
      <c r="AG51" s="878"/>
      <c r="AH51" s="878"/>
      <c r="AI51" s="878"/>
      <c r="AJ51" s="878"/>
      <c r="AK51" s="56"/>
      <c r="AL51" s="56"/>
    </row>
    <row r="52" spans="2:38" ht="15.75" thickBot="1">
      <c r="Q52" s="56"/>
      <c r="R52" s="56"/>
      <c r="S52" s="864"/>
      <c r="T52" s="1145"/>
      <c r="U52" s="1146"/>
      <c r="V52" s="1030"/>
      <c r="W52" s="1072"/>
      <c r="X52" s="878"/>
      <c r="Y52" s="868"/>
      <c r="Z52" s="1100"/>
      <c r="AA52" s="1133"/>
      <c r="AB52" s="1111"/>
      <c r="AC52" s="1111"/>
      <c r="AD52" s="1112"/>
      <c r="AE52" s="1113"/>
      <c r="AF52" s="878"/>
      <c r="AG52" s="878"/>
      <c r="AH52" s="878"/>
      <c r="AI52" s="878"/>
      <c r="AJ52" s="878"/>
      <c r="AK52" s="56"/>
      <c r="AL52" s="56"/>
    </row>
    <row r="53" spans="2:38">
      <c r="Q53" s="56"/>
      <c r="R53" s="56"/>
      <c r="S53" s="864"/>
      <c r="T53" s="878"/>
      <c r="U53" s="878"/>
      <c r="V53" s="878"/>
      <c r="W53" s="878"/>
      <c r="X53" s="878"/>
      <c r="Y53" s="868"/>
      <c r="Z53" s="1100"/>
      <c r="AA53" s="1137"/>
      <c r="AB53" s="1127"/>
      <c r="AC53" s="1127"/>
      <c r="AD53" s="1061"/>
      <c r="AE53" s="1139"/>
      <c r="AF53" s="878"/>
      <c r="AG53" s="878"/>
      <c r="AH53" s="878"/>
      <c r="AI53" s="878"/>
      <c r="AJ53" s="878"/>
      <c r="AK53" s="56"/>
      <c r="AL53" s="56"/>
    </row>
    <row r="54" spans="2:38" ht="15.75" thickBot="1">
      <c r="Q54" s="56"/>
      <c r="R54" s="56"/>
      <c r="S54" s="864"/>
      <c r="T54" s="878"/>
      <c r="U54" s="878"/>
      <c r="V54" s="878"/>
      <c r="W54" s="878"/>
      <c r="X54" s="878"/>
      <c r="Y54" s="868"/>
      <c r="Z54" s="1100"/>
      <c r="AA54" s="1029"/>
      <c r="AB54" s="1030"/>
      <c r="AC54" s="1030"/>
      <c r="AD54" s="1030"/>
      <c r="AE54" s="1072"/>
      <c r="AF54" s="878"/>
      <c r="AG54" s="878"/>
      <c r="AH54" s="878"/>
      <c r="AI54" s="878"/>
      <c r="AJ54" s="878"/>
      <c r="AK54" s="56"/>
      <c r="AL54" s="56"/>
    </row>
    <row r="55" spans="2:38">
      <c r="Q55" s="56"/>
      <c r="R55" s="56"/>
      <c r="S55" s="864"/>
      <c r="T55" s="878"/>
      <c r="U55" s="878"/>
      <c r="V55" s="878"/>
      <c r="W55" s="878"/>
      <c r="X55" s="878"/>
      <c r="Y55" s="868"/>
      <c r="Z55" s="878"/>
      <c r="AA55" s="878"/>
      <c r="AB55" s="878"/>
      <c r="AC55" s="878"/>
      <c r="AD55" s="878"/>
      <c r="AE55" s="878"/>
      <c r="AF55" s="878"/>
      <c r="AG55" s="878"/>
      <c r="AH55" s="878"/>
      <c r="AI55" s="878"/>
      <c r="AJ55" s="878"/>
      <c r="AK55" s="56"/>
      <c r="AL55" s="56"/>
    </row>
    <row r="56" spans="2:38">
      <c r="Q56" s="56"/>
      <c r="R56" s="56"/>
      <c r="S56" s="864"/>
      <c r="T56" s="878"/>
      <c r="U56" s="878"/>
      <c r="V56" s="878"/>
      <c r="W56" s="878"/>
      <c r="X56" s="878"/>
      <c r="Y56" s="868"/>
      <c r="Z56" s="878"/>
      <c r="AA56" s="878" t="s">
        <v>185</v>
      </c>
      <c r="AB56" s="878"/>
      <c r="AC56" s="878"/>
      <c r="AD56" s="878"/>
      <c r="AE56" s="878"/>
      <c r="AF56" s="866"/>
      <c r="AG56" s="864"/>
      <c r="AH56" s="878"/>
      <c r="AI56" s="878"/>
      <c r="AJ56" s="878"/>
      <c r="AK56" s="56"/>
      <c r="AL56" s="56"/>
    </row>
    <row r="57" spans="2:38">
      <c r="AA57" s="878" t="s">
        <v>186</v>
      </c>
      <c r="AB57" s="878" t="s">
        <v>187</v>
      </c>
      <c r="AC57" s="878" t="s">
        <v>188</v>
      </c>
      <c r="AD57" s="878" t="s">
        <v>189</v>
      </c>
      <c r="AE57" s="878" t="s">
        <v>190</v>
      </c>
      <c r="AF57" s="878" t="s">
        <v>191</v>
      </c>
      <c r="AG57" s="864" t="s">
        <v>192</v>
      </c>
    </row>
    <row r="58" spans="2:38">
      <c r="AA58" s="972">
        <v>1</v>
      </c>
      <c r="AB58" s="1147">
        <v>500</v>
      </c>
      <c r="AC58" s="878">
        <v>500</v>
      </c>
      <c r="AD58" s="878">
        <v>18.8</v>
      </c>
      <c r="AE58" s="878">
        <v>0</v>
      </c>
      <c r="AF58" s="878">
        <v>0</v>
      </c>
      <c r="AG58" s="866">
        <f>+IF($H$8&lt;AB58,AD58,0)</f>
        <v>0</v>
      </c>
    </row>
    <row r="59" spans="2:38">
      <c r="AA59" s="972">
        <v>501</v>
      </c>
      <c r="AB59" s="1147">
        <v>2000</v>
      </c>
      <c r="AC59" s="878">
        <v>500</v>
      </c>
      <c r="AD59" s="878">
        <v>18.8</v>
      </c>
      <c r="AE59" s="878">
        <v>2.44</v>
      </c>
      <c r="AF59" s="878">
        <v>100</v>
      </c>
      <c r="AG59" s="866">
        <f>+IF($H$8&lt;=AB59,IF($H$8&gt;=AA59,AD59+ROUNDUP(($H$8-AC59)/AF59,0)*AE59,0),0)</f>
        <v>0</v>
      </c>
    </row>
    <row r="60" spans="2:38">
      <c r="AA60" s="972">
        <v>2001</v>
      </c>
      <c r="AB60" s="972">
        <v>25000</v>
      </c>
      <c r="AC60" s="864">
        <v>2000</v>
      </c>
      <c r="AD60" s="864">
        <v>55.4</v>
      </c>
      <c r="AE60" s="864">
        <v>11.2</v>
      </c>
      <c r="AF60" s="864">
        <v>1000</v>
      </c>
      <c r="AG60" s="866">
        <f t="shared" ref="AG60:AG64" si="0">+IF($H$8&lt;=AB60,IF($H$8&gt;=AA60,AD60+ROUNDUP(($H$8-AC60)/AF60,0)*AE60,0),0)</f>
        <v>257</v>
      </c>
    </row>
    <row r="61" spans="2:38">
      <c r="AA61" s="972">
        <v>25001</v>
      </c>
      <c r="AB61" s="972">
        <v>50000</v>
      </c>
      <c r="AC61" s="864">
        <v>25000</v>
      </c>
      <c r="AD61" s="864">
        <v>313.39999999999998</v>
      </c>
      <c r="AE61" s="864">
        <v>8.09</v>
      </c>
      <c r="AF61" s="864">
        <v>1000</v>
      </c>
      <c r="AG61" s="866">
        <f t="shared" si="0"/>
        <v>0</v>
      </c>
    </row>
    <row r="62" spans="2:38">
      <c r="AA62" s="864">
        <v>50001</v>
      </c>
      <c r="AB62" s="864">
        <v>100000</v>
      </c>
      <c r="AC62" s="864">
        <v>50000</v>
      </c>
      <c r="AD62" s="864">
        <v>515</v>
      </c>
      <c r="AE62" s="864">
        <v>5.6</v>
      </c>
      <c r="AF62" s="864">
        <v>1000</v>
      </c>
      <c r="AG62" s="866">
        <f t="shared" si="0"/>
        <v>0</v>
      </c>
    </row>
    <row r="63" spans="2:38">
      <c r="AA63" s="864">
        <f>+AB62+1</f>
        <v>100001</v>
      </c>
      <c r="AB63" s="864">
        <v>500000</v>
      </c>
      <c r="AC63" s="864">
        <v>100000</v>
      </c>
      <c r="AD63" s="864">
        <v>795</v>
      </c>
      <c r="AE63" s="864">
        <v>4.4800000000000004</v>
      </c>
      <c r="AF63" s="864">
        <v>1000</v>
      </c>
      <c r="AG63" s="866">
        <f t="shared" si="0"/>
        <v>0</v>
      </c>
    </row>
    <row r="64" spans="2:38">
      <c r="AA64" s="864">
        <f t="shared" ref="AA64:AA65" si="1">+AB63+1</f>
        <v>500001</v>
      </c>
      <c r="AB64" s="864">
        <v>1000000</v>
      </c>
      <c r="AC64" s="864">
        <v>500000</v>
      </c>
      <c r="AD64" s="864">
        <v>2587</v>
      </c>
      <c r="AE64" s="864">
        <v>3.8</v>
      </c>
      <c r="AF64" s="864">
        <v>1000</v>
      </c>
      <c r="AG64" s="866">
        <f t="shared" si="0"/>
        <v>0</v>
      </c>
    </row>
    <row r="65" spans="27:33">
      <c r="AA65" s="864">
        <f t="shared" si="1"/>
        <v>1000001</v>
      </c>
      <c r="AB65" s="864" t="s">
        <v>193</v>
      </c>
      <c r="AC65" s="864">
        <v>1000000</v>
      </c>
      <c r="AD65" s="864">
        <v>4487</v>
      </c>
      <c r="AE65" s="864">
        <v>2.92</v>
      </c>
      <c r="AF65" s="864">
        <v>1000</v>
      </c>
      <c r="AG65" s="866">
        <f>+IF($H$8&gt;=AA65,AD65+ROUNDUP(($H$8-AC65)/AF65,0)*AE65,0)</f>
        <v>0</v>
      </c>
    </row>
    <row r="66" spans="27:33">
      <c r="AA66" s="864"/>
      <c r="AB66" s="864"/>
      <c r="AC66" s="864"/>
      <c r="AD66" s="864"/>
      <c r="AE66" s="864"/>
      <c r="AF66" s="864"/>
      <c r="AG66" s="864"/>
    </row>
    <row r="67" spans="27:33">
      <c r="AA67" s="864"/>
      <c r="AB67" s="864"/>
      <c r="AC67" s="864"/>
      <c r="AD67" s="864"/>
      <c r="AE67" s="864"/>
      <c r="AF67" s="864"/>
      <c r="AG67" s="864"/>
    </row>
    <row r="68" spans="27:33">
      <c r="AA68" s="878" t="s">
        <v>194</v>
      </c>
      <c r="AB68" s="878"/>
      <c r="AC68" s="878"/>
      <c r="AD68" s="878"/>
      <c r="AE68" s="878"/>
      <c r="AF68" s="866"/>
      <c r="AG68" s="864"/>
    </row>
    <row r="69" spans="27:33">
      <c r="AA69" s="878" t="s">
        <v>186</v>
      </c>
      <c r="AB69" s="878" t="s">
        <v>187</v>
      </c>
      <c r="AC69" s="878" t="s">
        <v>188</v>
      </c>
      <c r="AD69" s="878" t="s">
        <v>189</v>
      </c>
      <c r="AE69" s="878" t="s">
        <v>190</v>
      </c>
      <c r="AF69" s="878" t="s">
        <v>191</v>
      </c>
      <c r="AG69" s="864" t="s">
        <v>192</v>
      </c>
    </row>
    <row r="70" spans="27:33">
      <c r="AA70" s="972">
        <v>1</v>
      </c>
      <c r="AB70" s="1147">
        <v>500</v>
      </c>
      <c r="AC70" s="878">
        <v>500</v>
      </c>
      <c r="AD70" s="878">
        <v>15.28</v>
      </c>
      <c r="AE70" s="878">
        <v>0</v>
      </c>
      <c r="AF70" s="878">
        <v>0</v>
      </c>
      <c r="AG70" s="866">
        <f>+IF($H$8&lt;AB70,AD70,0)</f>
        <v>0</v>
      </c>
    </row>
    <row r="71" spans="27:33">
      <c r="AA71" s="972">
        <v>501</v>
      </c>
      <c r="AB71" s="1147">
        <v>2000</v>
      </c>
      <c r="AC71" s="878">
        <v>500</v>
      </c>
      <c r="AD71" s="878">
        <v>15.28</v>
      </c>
      <c r="AE71" s="878">
        <v>1.98</v>
      </c>
      <c r="AF71" s="878">
        <v>100</v>
      </c>
      <c r="AG71" s="866">
        <f>+IF($H$8&lt;=AB71,IF($H$8&gt;=AA71,AD71+ROUNDUP(($H$8-AC71)/AF71,0)*AE71,0),0)</f>
        <v>0</v>
      </c>
    </row>
    <row r="72" spans="27:33">
      <c r="AA72" s="972">
        <v>2001</v>
      </c>
      <c r="AB72" s="972">
        <v>25000</v>
      </c>
      <c r="AC72" s="864">
        <v>2000</v>
      </c>
      <c r="AD72" s="864">
        <v>45.01</v>
      </c>
      <c r="AE72" s="864">
        <v>9.1</v>
      </c>
      <c r="AF72" s="864">
        <v>1000</v>
      </c>
      <c r="AG72" s="866">
        <f t="shared" ref="AG72:AG76" si="2">+IF($H$8&lt;=AB72,IF($H$8&gt;=AA72,AD72+ROUNDUP(($H$8-AC72)/AF72,0)*AE72,0),0)</f>
        <v>208.80999999999997</v>
      </c>
    </row>
    <row r="73" spans="27:33">
      <c r="AA73" s="972">
        <v>25001</v>
      </c>
      <c r="AB73" s="972">
        <v>50000</v>
      </c>
      <c r="AC73" s="864">
        <v>25000</v>
      </c>
      <c r="AD73" s="864">
        <v>254.64</v>
      </c>
      <c r="AE73" s="864">
        <v>6.57</v>
      </c>
      <c r="AF73" s="864">
        <v>1000</v>
      </c>
      <c r="AG73" s="866">
        <f t="shared" si="2"/>
        <v>0</v>
      </c>
    </row>
    <row r="74" spans="27:33">
      <c r="AA74" s="864">
        <v>50001</v>
      </c>
      <c r="AB74" s="864">
        <v>100000</v>
      </c>
      <c r="AC74" s="864">
        <v>50000</v>
      </c>
      <c r="AD74" s="864">
        <v>418.44</v>
      </c>
      <c r="AE74" s="864">
        <v>4.55</v>
      </c>
      <c r="AF74" s="864">
        <v>1000</v>
      </c>
      <c r="AG74" s="866">
        <f t="shared" si="2"/>
        <v>0</v>
      </c>
    </row>
    <row r="75" spans="27:33">
      <c r="AA75" s="864">
        <f>+AB74+1</f>
        <v>100001</v>
      </c>
      <c r="AB75" s="864">
        <v>500000</v>
      </c>
      <c r="AC75" s="864">
        <v>100000</v>
      </c>
      <c r="AD75" s="864">
        <v>645.94000000000005</v>
      </c>
      <c r="AE75" s="864">
        <v>3.64</v>
      </c>
      <c r="AF75" s="864">
        <v>1000</v>
      </c>
      <c r="AG75" s="866">
        <f t="shared" si="2"/>
        <v>0</v>
      </c>
    </row>
    <row r="76" spans="27:33">
      <c r="AA76" s="864">
        <f t="shared" ref="AA76:AA77" si="3">+AB75+1</f>
        <v>500001</v>
      </c>
      <c r="AB76" s="864">
        <v>1000000</v>
      </c>
      <c r="AC76" s="864">
        <v>500000</v>
      </c>
      <c r="AD76" s="864">
        <v>2101.94</v>
      </c>
      <c r="AE76" s="864">
        <v>3.09</v>
      </c>
      <c r="AF76" s="864">
        <v>1000</v>
      </c>
      <c r="AG76" s="866">
        <f t="shared" si="2"/>
        <v>0</v>
      </c>
    </row>
    <row r="77" spans="27:33">
      <c r="AA77" s="864">
        <f t="shared" si="3"/>
        <v>1000001</v>
      </c>
      <c r="AB77" s="864" t="s">
        <v>193</v>
      </c>
      <c r="AC77" s="864">
        <v>1000000</v>
      </c>
      <c r="AD77" s="864">
        <v>3645.69</v>
      </c>
      <c r="AE77" s="864">
        <v>2.37</v>
      </c>
      <c r="AF77" s="864">
        <v>1000</v>
      </c>
      <c r="AG77" s="866">
        <f>+IF($H$8&gt;=AA77,AD77+ROUNDUP(($H$8-AC77)/AF77,0)*AE77,0)</f>
        <v>0</v>
      </c>
    </row>
    <row r="78" spans="27:33">
      <c r="AA78" s="864"/>
      <c r="AB78" s="864"/>
      <c r="AC78" s="864"/>
      <c r="AD78" s="864"/>
      <c r="AE78" s="864"/>
      <c r="AF78" s="864"/>
      <c r="AG78" s="866"/>
    </row>
    <row r="79" spans="27:33">
      <c r="AA79" s="864"/>
      <c r="AB79" s="864"/>
      <c r="AC79" s="864"/>
      <c r="AD79" s="864"/>
      <c r="AE79" s="864"/>
      <c r="AF79" s="864"/>
      <c r="AG79" s="866"/>
    </row>
  </sheetData>
  <sheetProtection sheet="1" selectLockedCells="1"/>
  <hyperlinks>
    <hyperlink ref="H11" r:id="rId1" xr:uid="{8EB64A49-E45A-4D10-96C2-0C9B31796064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4069C-ECA9-4A00-BB19-112AE9E0E5EF}">
  <sheetPr codeName="Sheet4">
    <tabColor rgb="FF1706BA"/>
  </sheetPr>
  <dimension ref="A1:AO128"/>
  <sheetViews>
    <sheetView showGridLines="0" zoomScaleNormal="100" workbookViewId="0">
      <selection activeCell="H15" sqref="H15"/>
    </sheetView>
  </sheetViews>
  <sheetFormatPr defaultColWidth="9.28515625" defaultRowHeight="15"/>
  <cols>
    <col min="1" max="2" width="10.28515625" style="56" customWidth="1"/>
    <col min="3" max="3" width="3.28515625" style="56" customWidth="1"/>
    <col min="4" max="4" width="13.5703125" style="56" customWidth="1"/>
    <col min="5" max="5" width="13.7109375" style="56" customWidth="1"/>
    <col min="6" max="6" width="13.28515625" style="56" customWidth="1"/>
    <col min="7" max="7" width="19.85546875" style="56" bestFit="1" customWidth="1"/>
    <col min="8" max="8" width="13" style="56" bestFit="1" customWidth="1"/>
    <col min="9" max="9" width="10.28515625" style="56" bestFit="1" customWidth="1"/>
    <col min="10" max="10" width="11.85546875" style="56" customWidth="1"/>
    <col min="11" max="11" width="13.85546875" style="56" customWidth="1"/>
    <col min="12" max="12" width="3.28515625" style="56" customWidth="1"/>
    <col min="13" max="20" width="13.85546875" style="56" customWidth="1"/>
    <col min="21" max="21" width="12.42578125" style="56" hidden="1" customWidth="1"/>
    <col min="22" max="22" width="11.5703125" style="56" hidden="1" customWidth="1"/>
    <col min="23" max="24" width="0" style="56" hidden="1" customWidth="1"/>
    <col min="25" max="25" width="23" style="202" hidden="1" customWidth="1"/>
    <col min="26" max="26" width="14" style="202" hidden="1" customWidth="1"/>
    <col min="27" max="27" width="17.85546875" style="202" hidden="1" customWidth="1"/>
    <col min="28" max="28" width="15.140625" style="202" hidden="1" customWidth="1"/>
    <col min="29" max="29" width="11.140625" style="202" hidden="1" customWidth="1"/>
    <col min="30" max="31" width="3" style="202" hidden="1" customWidth="1"/>
    <col min="32" max="32" width="15.42578125" style="202" hidden="1" customWidth="1"/>
    <col min="33" max="33" width="15.140625" style="202" hidden="1" customWidth="1"/>
    <col min="34" max="34" width="16.42578125" style="202" hidden="1" customWidth="1"/>
    <col min="35" max="35" width="13.28515625" style="202" hidden="1" customWidth="1"/>
    <col min="36" max="36" width="14.140625" style="202" hidden="1" customWidth="1"/>
    <col min="37" max="37" width="11.42578125" style="202" hidden="1" customWidth="1"/>
    <col min="38" max="41" width="11.85546875" style="202" hidden="1" customWidth="1"/>
    <col min="42" max="42" width="9.28515625" style="56" customWidth="1"/>
    <col min="43" max="16384" width="9.28515625" style="56"/>
  </cols>
  <sheetData>
    <row r="1" spans="1:41" ht="16.5" customHeight="1" thickBot="1">
      <c r="A1" s="759"/>
      <c r="B1" s="759"/>
      <c r="C1" s="48"/>
      <c r="D1" s="760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50"/>
      <c r="Q1" s="51"/>
      <c r="R1" s="52"/>
      <c r="S1" s="53"/>
      <c r="T1" s="54"/>
      <c r="U1" s="55"/>
      <c r="Y1" s="57" t="s">
        <v>0</v>
      </c>
      <c r="Z1" s="57"/>
      <c r="AA1" s="57"/>
      <c r="AB1" s="57"/>
      <c r="AC1" s="58"/>
      <c r="AD1" s="59"/>
      <c r="AE1" s="59"/>
      <c r="AF1" s="59"/>
      <c r="AG1" s="59"/>
      <c r="AH1" s="59"/>
      <c r="AI1" s="59"/>
      <c r="AJ1" s="60"/>
      <c r="AK1" s="60"/>
      <c r="AL1" s="60"/>
      <c r="AM1" s="60"/>
      <c r="AN1" s="60"/>
      <c r="AO1" s="60"/>
    </row>
    <row r="2" spans="1:41" ht="15.75" thickBot="1">
      <c r="A2" s="48"/>
      <c r="B2" s="48"/>
      <c r="Y2" s="62" t="str">
        <f>AF2</f>
        <v>General Building Information</v>
      </c>
      <c r="Z2" s="63"/>
      <c r="AA2" s="63"/>
      <c r="AB2" s="64"/>
      <c r="AC2" s="65"/>
      <c r="AD2" s="369"/>
      <c r="AE2" s="66"/>
      <c r="AF2" s="67" t="s">
        <v>3</v>
      </c>
      <c r="AG2" s="68"/>
      <c r="AH2" s="68"/>
      <c r="AI2" s="69"/>
      <c r="AJ2" s="70"/>
      <c r="AK2" s="70"/>
      <c r="AL2" s="70"/>
      <c r="AM2" s="70"/>
      <c r="AN2" s="70"/>
      <c r="AO2" s="70"/>
    </row>
    <row r="3" spans="1:41" ht="21">
      <c r="A3" s="48"/>
      <c r="B3" s="48"/>
      <c r="D3" s="393"/>
      <c r="E3" s="394"/>
      <c r="F3" s="394"/>
      <c r="G3" s="395" t="s">
        <v>195</v>
      </c>
      <c r="H3" s="396"/>
      <c r="I3" s="396"/>
      <c r="J3" s="396"/>
      <c r="K3" s="397"/>
      <c r="M3" s="408"/>
      <c r="N3" s="396"/>
      <c r="O3" s="396"/>
      <c r="P3" s="396" t="str">
        <f>CONCATENATE(G3," - Fees")</f>
        <v>Oregon  Only - Fees</v>
      </c>
      <c r="Q3" s="396"/>
      <c r="R3" s="396"/>
      <c r="S3" s="409"/>
      <c r="T3" s="397"/>
      <c r="Y3" s="78"/>
      <c r="Z3" s="63"/>
      <c r="AA3" s="63"/>
      <c r="AB3" s="64"/>
      <c r="AC3" s="76"/>
      <c r="AD3" s="77"/>
      <c r="AE3" s="66"/>
      <c r="AF3" s="78"/>
      <c r="AG3" s="79"/>
      <c r="AH3" s="63"/>
      <c r="AI3" s="64"/>
      <c r="AJ3" s="70"/>
      <c r="AK3" s="70"/>
      <c r="AL3" s="70"/>
      <c r="AM3" s="70"/>
      <c r="AN3" s="70"/>
      <c r="AO3" s="70"/>
    </row>
    <row r="4" spans="1:41">
      <c r="A4" s="48"/>
      <c r="B4" s="48"/>
      <c r="D4" s="42"/>
      <c r="E4" s="12"/>
      <c r="F4" s="12"/>
      <c r="G4" s="12"/>
      <c r="H4" s="12"/>
      <c r="I4" s="12"/>
      <c r="J4" s="12"/>
      <c r="K4" s="41"/>
      <c r="M4" s="787"/>
      <c r="N4" s="680"/>
      <c r="O4" s="680"/>
      <c r="P4" s="680"/>
      <c r="Q4" s="680"/>
      <c r="R4" s="680"/>
      <c r="S4" s="788"/>
      <c r="T4" s="1180"/>
      <c r="Y4" s="112"/>
      <c r="Z4" s="120"/>
      <c r="AA4" s="88"/>
      <c r="AB4" s="89"/>
      <c r="AC4" s="84"/>
      <c r="AD4" s="85"/>
      <c r="AE4" s="66"/>
      <c r="AF4" s="86"/>
      <c r="AG4" s="87"/>
      <c r="AH4" s="88"/>
      <c r="AI4" s="89"/>
      <c r="AJ4" s="70"/>
      <c r="AK4" s="70"/>
      <c r="AL4" s="70"/>
      <c r="AM4" s="70"/>
      <c r="AN4" s="70"/>
      <c r="AO4" s="70"/>
    </row>
    <row r="5" spans="1:41">
      <c r="A5" s="48"/>
      <c r="B5" s="48"/>
      <c r="D5" s="42"/>
      <c r="E5" s="12"/>
      <c r="F5" s="12"/>
      <c r="G5" s="10" t="s">
        <v>19</v>
      </c>
      <c r="H5" s="3">
        <v>1</v>
      </c>
      <c r="I5" s="12"/>
      <c r="J5" s="12"/>
      <c r="K5" s="41"/>
      <c r="M5" s="789"/>
      <c r="N5" s="134"/>
      <c r="O5" s="790" t="s">
        <v>10</v>
      </c>
      <c r="P5" s="791">
        <f>H13</f>
        <v>240</v>
      </c>
      <c r="Q5" s="792"/>
      <c r="R5" s="100"/>
      <c r="S5" s="793"/>
      <c r="T5" s="1181"/>
      <c r="Y5" s="112"/>
      <c r="Z5" s="120"/>
      <c r="AA5" s="88"/>
      <c r="AB5" s="89"/>
      <c r="AC5" s="58"/>
      <c r="AD5" s="59"/>
      <c r="AE5" s="66"/>
      <c r="AF5" s="86"/>
      <c r="AG5" s="87"/>
      <c r="AH5" s="88"/>
      <c r="AI5" s="89"/>
      <c r="AJ5" s="70"/>
      <c r="AK5" s="70"/>
      <c r="AL5" s="70"/>
      <c r="AM5" s="70"/>
      <c r="AN5" s="70"/>
      <c r="AO5" s="70"/>
    </row>
    <row r="6" spans="1:41">
      <c r="A6" s="48"/>
      <c r="B6" s="48"/>
      <c r="D6" s="42"/>
      <c r="E6" s="12"/>
      <c r="F6" s="12"/>
      <c r="G6" s="10" t="s">
        <v>22</v>
      </c>
      <c r="H6" s="3">
        <v>2</v>
      </c>
      <c r="I6" s="12" t="s">
        <v>23</v>
      </c>
      <c r="J6" s="12"/>
      <c r="K6" s="41"/>
      <c r="M6" s="789"/>
      <c r="N6" s="134"/>
      <c r="O6" s="790" t="s">
        <v>13</v>
      </c>
      <c r="P6" s="791">
        <f>AB101</f>
        <v>135.85</v>
      </c>
      <c r="Q6" s="792"/>
      <c r="R6" s="100"/>
      <c r="S6" s="793"/>
      <c r="T6" s="1181"/>
      <c r="Y6" s="112"/>
      <c r="Z6" s="120" t="s">
        <v>15</v>
      </c>
      <c r="AA6" s="88"/>
      <c r="AB6" s="89"/>
      <c r="AC6" s="58"/>
      <c r="AD6" s="59"/>
      <c r="AE6" s="66"/>
      <c r="AF6" s="86"/>
      <c r="AG6" s="87" t="s">
        <v>16</v>
      </c>
      <c r="AH6" s="88"/>
      <c r="AI6" s="89"/>
      <c r="AJ6" s="70"/>
      <c r="AK6" s="70"/>
      <c r="AL6" s="70"/>
      <c r="AM6" s="70"/>
      <c r="AN6" s="70"/>
      <c r="AO6" s="70"/>
    </row>
    <row r="7" spans="1:41">
      <c r="A7" s="48"/>
      <c r="B7" s="48"/>
      <c r="D7" s="42"/>
      <c r="E7" s="12"/>
      <c r="F7" s="12"/>
      <c r="G7" s="10"/>
      <c r="H7" s="12"/>
      <c r="I7" s="12"/>
      <c r="J7" s="12"/>
      <c r="K7" s="41"/>
      <c r="M7" s="795"/>
      <c r="N7" s="84"/>
      <c r="O7" s="790" t="str">
        <f>CONCATENATE("Building Occupancy Type - ",H11)</f>
        <v>Building Occupancy Type -  Business</v>
      </c>
      <c r="P7" s="796">
        <f>P5*Y31</f>
        <v>13305.599999999999</v>
      </c>
      <c r="Q7" s="797"/>
      <c r="R7" s="84"/>
      <c r="S7" s="798"/>
      <c r="T7" s="1204"/>
      <c r="Y7" s="112"/>
      <c r="Z7" s="120" t="s">
        <v>18</v>
      </c>
      <c r="AA7" s="88"/>
      <c r="AB7" s="89"/>
      <c r="AC7" s="58"/>
      <c r="AD7" s="59"/>
      <c r="AE7" s="66"/>
      <c r="AF7" s="86"/>
      <c r="AG7" s="87"/>
      <c r="AH7" s="88"/>
      <c r="AI7" s="89"/>
      <c r="AJ7" s="70"/>
      <c r="AK7" s="70"/>
      <c r="AL7" s="70"/>
      <c r="AM7" s="70"/>
      <c r="AN7" s="70"/>
      <c r="AO7" s="70"/>
    </row>
    <row r="8" spans="1:41">
      <c r="A8" s="48"/>
      <c r="B8" s="48"/>
      <c r="D8" s="42"/>
      <c r="E8" s="398"/>
      <c r="F8" s="9"/>
      <c r="G8" s="399" t="s">
        <v>196</v>
      </c>
      <c r="H8" s="1" t="s">
        <v>197</v>
      </c>
      <c r="I8" s="12"/>
      <c r="J8" s="12"/>
      <c r="K8" s="41"/>
      <c r="M8" s="795"/>
      <c r="N8" s="134"/>
      <c r="O8" s="790" t="s">
        <v>198</v>
      </c>
      <c r="P8" s="796">
        <f>Y38</f>
        <v>0</v>
      </c>
      <c r="Q8" s="792"/>
      <c r="R8" s="84"/>
      <c r="S8" s="798"/>
      <c r="T8" s="1204"/>
      <c r="Y8" s="112"/>
      <c r="Z8" s="120" t="s">
        <v>21</v>
      </c>
      <c r="AA8" s="88"/>
      <c r="AB8" s="89"/>
      <c r="AC8" s="58"/>
      <c r="AD8" s="59"/>
      <c r="AE8" s="66"/>
      <c r="AF8" s="86"/>
      <c r="AG8" s="87"/>
      <c r="AH8" s="88"/>
      <c r="AI8" s="89"/>
      <c r="AJ8" s="70"/>
      <c r="AK8" s="70"/>
      <c r="AL8" s="70"/>
      <c r="AM8" s="70"/>
      <c r="AN8" s="70"/>
      <c r="AO8" s="70"/>
    </row>
    <row r="9" spans="1:41" ht="15.75" thickBot="1">
      <c r="A9" s="48"/>
      <c r="B9" s="48"/>
      <c r="D9" s="42"/>
      <c r="E9" s="398"/>
      <c r="F9" s="9"/>
      <c r="G9" s="399" t="s">
        <v>199</v>
      </c>
      <c r="H9" s="1" t="s">
        <v>8</v>
      </c>
      <c r="I9" s="12"/>
      <c r="J9" s="12"/>
      <c r="K9" s="41"/>
      <c r="M9" s="795"/>
      <c r="N9" s="84"/>
      <c r="O9" s="790" t="s">
        <v>200</v>
      </c>
      <c r="P9" s="799">
        <f>SUM(P7:P8)</f>
        <v>13305.599999999999</v>
      </c>
      <c r="Q9" s="443"/>
      <c r="R9" s="84"/>
      <c r="S9" s="798"/>
      <c r="T9" s="1204"/>
      <c r="Y9" s="112"/>
      <c r="Z9" s="120"/>
      <c r="AA9" s="88"/>
      <c r="AB9" s="89"/>
      <c r="AC9" s="58"/>
      <c r="AD9" s="59"/>
      <c r="AE9" s="66"/>
      <c r="AF9" s="86"/>
      <c r="AG9" s="87"/>
      <c r="AH9" s="88"/>
      <c r="AI9" s="89"/>
      <c r="AJ9" s="70"/>
      <c r="AK9" s="70"/>
      <c r="AL9" s="70"/>
      <c r="AM9" s="70"/>
      <c r="AN9" s="70"/>
      <c r="AO9" s="70"/>
    </row>
    <row r="10" spans="1:41" ht="15.75" thickTop="1">
      <c r="A10" s="48"/>
      <c r="B10" s="48"/>
      <c r="D10" s="42"/>
      <c r="E10" s="398"/>
      <c r="F10" s="9"/>
      <c r="G10" s="399" t="str">
        <f>CONCATENATE("Fire Life Safety: Is the building an ", AG49,":")</f>
        <v>Fire Life Safety: Is the building an A, E, I or H:</v>
      </c>
      <c r="H10" s="1" t="s">
        <v>8</v>
      </c>
      <c r="I10" s="14" t="s">
        <v>201</v>
      </c>
      <c r="J10" s="12"/>
      <c r="K10" s="41"/>
      <c r="M10" s="795"/>
      <c r="N10" s="84"/>
      <c r="O10" s="790"/>
      <c r="P10" s="797"/>
      <c r="Q10" s="443"/>
      <c r="R10" s="84"/>
      <c r="S10" s="798"/>
      <c r="T10" s="1204"/>
      <c r="Y10" s="112"/>
      <c r="Z10" s="120"/>
      <c r="AA10" s="88"/>
      <c r="AB10" s="89"/>
      <c r="AC10" s="58"/>
      <c r="AD10" s="59"/>
      <c r="AE10" s="66"/>
      <c r="AF10" s="86"/>
      <c r="AG10" s="87"/>
      <c r="AH10" s="88"/>
      <c r="AI10" s="89"/>
      <c r="AJ10" s="70"/>
      <c r="AK10" s="70"/>
      <c r="AL10" s="70"/>
      <c r="AM10" s="70"/>
      <c r="AN10" s="70"/>
      <c r="AO10" s="70"/>
    </row>
    <row r="11" spans="1:41">
      <c r="A11" s="48"/>
      <c r="B11" s="48"/>
      <c r="D11" s="42"/>
      <c r="E11" s="398"/>
      <c r="F11" s="9"/>
      <c r="G11" s="399" t="s">
        <v>11</v>
      </c>
      <c r="H11" s="1" t="s">
        <v>202</v>
      </c>
      <c r="I11" s="12"/>
      <c r="J11" s="12" t="s">
        <v>203</v>
      </c>
      <c r="K11" s="41"/>
      <c r="M11" s="795"/>
      <c r="N11" s="84"/>
      <c r="O11" s="790" t="s">
        <v>204</v>
      </c>
      <c r="P11" s="797">
        <f>Y21</f>
        <v>85</v>
      </c>
      <c r="Q11" s="797"/>
      <c r="R11" s="84"/>
      <c r="S11" s="798"/>
      <c r="T11" s="1204"/>
      <c r="Y11" s="112"/>
      <c r="Z11" s="120"/>
      <c r="AA11" s="88"/>
      <c r="AB11" s="89"/>
      <c r="AC11" s="58"/>
      <c r="AD11" s="59"/>
      <c r="AE11" s="66"/>
      <c r="AF11" s="86"/>
      <c r="AG11" s="87"/>
      <c r="AH11" s="88"/>
      <c r="AI11" s="89"/>
      <c r="AJ11" s="70"/>
      <c r="AK11" s="70"/>
      <c r="AL11" s="70"/>
      <c r="AM11" s="70"/>
      <c r="AN11" s="70"/>
      <c r="AO11" s="70"/>
    </row>
    <row r="12" spans="1:41">
      <c r="A12" s="48"/>
      <c r="B12" s="48"/>
      <c r="D12" s="42"/>
      <c r="E12" s="398"/>
      <c r="F12" s="9"/>
      <c r="G12" s="399" t="str">
        <f>IF(H11=AF32,CONCATENATE(AF32," cost:"), "---  ")</f>
        <v xml:space="preserve">---  </v>
      </c>
      <c r="H12" s="838"/>
      <c r="I12" s="12"/>
      <c r="J12" s="12"/>
      <c r="K12" s="41"/>
      <c r="M12" s="795"/>
      <c r="N12" s="443"/>
      <c r="O12" s="800" t="s">
        <v>31</v>
      </c>
      <c r="P12" s="801">
        <f>Y72</f>
        <v>0</v>
      </c>
      <c r="Q12" s="443"/>
      <c r="R12" s="84"/>
      <c r="S12" s="802"/>
      <c r="T12" s="1204"/>
      <c r="Y12" s="112"/>
      <c r="Z12" s="120"/>
      <c r="AA12" s="88"/>
      <c r="AB12" s="89"/>
      <c r="AC12" s="58"/>
      <c r="AD12" s="59"/>
      <c r="AE12" s="66"/>
      <c r="AF12" s="86"/>
      <c r="AG12" s="87"/>
      <c r="AH12" s="88"/>
      <c r="AI12" s="89"/>
      <c r="AJ12" s="70"/>
      <c r="AK12" s="70"/>
      <c r="AL12" s="70"/>
      <c r="AM12" s="70"/>
      <c r="AN12" s="70"/>
      <c r="AO12" s="70"/>
    </row>
    <row r="13" spans="1:41">
      <c r="A13" s="48"/>
      <c r="B13" s="48"/>
      <c r="D13" s="42"/>
      <c r="E13" s="398"/>
      <c r="F13" s="9"/>
      <c r="G13" s="399" t="s">
        <v>157</v>
      </c>
      <c r="H13" s="2">
        <v>240</v>
      </c>
      <c r="I13" s="81" t="str">
        <f>IF(H13&lt;10,"&lt;- Check the Square Feet","")</f>
        <v/>
      </c>
      <c r="J13" s="12"/>
      <c r="K13" s="41"/>
      <c r="M13" s="795"/>
      <c r="N13" s="58"/>
      <c r="O13" s="800" t="s">
        <v>205</v>
      </c>
      <c r="P13" s="84">
        <f>Y58</f>
        <v>26.65</v>
      </c>
      <c r="Q13" s="443"/>
      <c r="R13" s="84"/>
      <c r="S13" s="798"/>
      <c r="T13" s="1181"/>
      <c r="Y13" s="112"/>
      <c r="Z13" s="120"/>
      <c r="AA13" s="88"/>
      <c r="AB13" s="89"/>
      <c r="AC13" s="58"/>
      <c r="AD13" s="59"/>
      <c r="AE13" s="66"/>
      <c r="AF13" s="86"/>
      <c r="AG13" s="87"/>
      <c r="AH13" s="88"/>
      <c r="AI13" s="89"/>
      <c r="AJ13" s="70"/>
      <c r="AK13" s="70"/>
      <c r="AL13" s="70"/>
      <c r="AM13" s="70"/>
      <c r="AN13" s="70"/>
      <c r="AO13" s="70"/>
    </row>
    <row r="14" spans="1:41">
      <c r="A14" s="48"/>
      <c r="B14" s="48"/>
      <c r="D14" s="42"/>
      <c r="E14" s="398"/>
      <c r="F14" s="9"/>
      <c r="G14" s="399" t="s">
        <v>28</v>
      </c>
      <c r="H14" s="2">
        <v>0</v>
      </c>
      <c r="I14" s="399"/>
      <c r="J14" s="12"/>
      <c r="K14" s="41"/>
      <c r="M14" s="789"/>
      <c r="N14" s="443"/>
      <c r="O14" s="800" t="s">
        <v>206</v>
      </c>
      <c r="P14" s="801">
        <f>Y72</f>
        <v>0</v>
      </c>
      <c r="Q14" s="443"/>
      <c r="R14" s="84"/>
      <c r="S14" s="793"/>
      <c r="T14" s="1181"/>
      <c r="U14" s="56" t="s">
        <v>207</v>
      </c>
      <c r="Y14" s="112"/>
      <c r="Z14" s="120"/>
      <c r="AA14" s="88"/>
      <c r="AB14" s="89"/>
      <c r="AC14" s="58"/>
      <c r="AD14" s="59"/>
      <c r="AE14" s="66"/>
      <c r="AF14" s="86"/>
      <c r="AG14" s="87"/>
      <c r="AH14" s="88"/>
      <c r="AI14" s="89"/>
      <c r="AJ14" s="70"/>
      <c r="AK14" s="70"/>
      <c r="AL14" s="70"/>
      <c r="AM14" s="70"/>
      <c r="AN14" s="70"/>
      <c r="AO14" s="70"/>
    </row>
    <row r="15" spans="1:41">
      <c r="A15" s="48"/>
      <c r="B15" s="48"/>
      <c r="D15" s="42"/>
      <c r="E15" s="398"/>
      <c r="F15" s="9"/>
      <c r="G15" s="399" t="s">
        <v>208</v>
      </c>
      <c r="H15" s="2">
        <v>1</v>
      </c>
      <c r="I15" s="399"/>
      <c r="J15" s="12"/>
      <c r="K15" s="41"/>
      <c r="M15" s="795"/>
      <c r="N15" s="84"/>
      <c r="R15" s="84"/>
      <c r="S15" s="803"/>
      <c r="T15" s="1219"/>
      <c r="U15" s="845"/>
      <c r="Y15" s="112"/>
      <c r="Z15" s="120"/>
      <c r="AA15" s="88"/>
      <c r="AB15" s="89"/>
      <c r="AC15" s="58"/>
      <c r="AD15" s="59"/>
      <c r="AE15" s="66"/>
      <c r="AF15" s="86"/>
      <c r="AG15" s="87"/>
      <c r="AH15" s="88"/>
      <c r="AI15" s="89"/>
      <c r="AJ15" s="70"/>
      <c r="AK15" s="70"/>
      <c r="AL15" s="70"/>
      <c r="AM15" s="70"/>
      <c r="AN15" s="70"/>
      <c r="AO15" s="70"/>
    </row>
    <row r="16" spans="1:41" ht="15.75" thickBot="1">
      <c r="A16" s="48"/>
      <c r="B16" s="48"/>
      <c r="D16" s="42"/>
      <c r="E16" s="398"/>
      <c r="F16" s="9"/>
      <c r="G16" s="399" t="s">
        <v>209</v>
      </c>
      <c r="H16" s="2">
        <v>1</v>
      </c>
      <c r="I16" s="399"/>
      <c r="J16" s="12"/>
      <c r="K16" s="41"/>
      <c r="M16" s="795"/>
      <c r="N16" s="100"/>
      <c r="O16" s="790" t="s">
        <v>210</v>
      </c>
      <c r="P16" s="443"/>
      <c r="Q16" s="797">
        <f>Y117</f>
        <v>88.302499999999995</v>
      </c>
      <c r="R16" s="805"/>
      <c r="S16" s="803"/>
      <c r="T16" s="1219"/>
      <c r="U16" s="845">
        <v>11</v>
      </c>
      <c r="Y16" s="127"/>
      <c r="Z16" s="128"/>
      <c r="AA16" s="129"/>
      <c r="AB16" s="130"/>
      <c r="AC16" s="58"/>
      <c r="AD16" s="59"/>
      <c r="AE16" s="66"/>
      <c r="AF16" s="131"/>
      <c r="AG16" s="132"/>
      <c r="AH16" s="132"/>
      <c r="AI16" s="133"/>
      <c r="AJ16" s="70"/>
      <c r="AK16" s="70"/>
      <c r="AL16" s="70"/>
      <c r="AM16" s="70"/>
      <c r="AN16" s="70"/>
      <c r="AO16" s="70"/>
    </row>
    <row r="17" spans="1:41" ht="15.75" thickBot="1">
      <c r="A17" s="48"/>
      <c r="B17" s="48"/>
      <c r="D17" s="42"/>
      <c r="E17" s="398"/>
      <c r="F17" s="9"/>
      <c r="G17" s="399"/>
      <c r="H17" s="399"/>
      <c r="I17" s="399"/>
      <c r="J17" s="12"/>
      <c r="K17" s="41"/>
      <c r="M17" s="795"/>
      <c r="N17" s="58"/>
      <c r="O17" s="804" t="s">
        <v>211</v>
      </c>
      <c r="P17" s="100"/>
      <c r="Q17" s="100">
        <f>Y46</f>
        <v>0</v>
      </c>
      <c r="R17" s="805"/>
      <c r="S17" s="803"/>
      <c r="T17" s="1219"/>
      <c r="U17" s="845"/>
      <c r="Y17" s="70"/>
      <c r="Z17" s="70"/>
      <c r="AA17" s="70"/>
      <c r="AB17" s="134"/>
      <c r="AC17" s="70"/>
      <c r="AD17" s="6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</row>
    <row r="18" spans="1:41" ht="15.75" thickBot="1">
      <c r="A18" s="48"/>
      <c r="B18" s="48"/>
      <c r="D18" s="42"/>
      <c r="E18" s="398"/>
      <c r="F18" s="9"/>
      <c r="G18" s="399"/>
      <c r="H18" s="399"/>
      <c r="I18" s="399"/>
      <c r="J18" s="12"/>
      <c r="K18" s="41"/>
      <c r="M18" s="795"/>
      <c r="N18" s="58"/>
      <c r="O18" s="800" t="s">
        <v>212</v>
      </c>
      <c r="P18" s="58"/>
      <c r="Q18" s="801">
        <f>Y75</f>
        <v>0</v>
      </c>
      <c r="R18" s="805"/>
      <c r="S18" s="803"/>
      <c r="T18" s="1219"/>
      <c r="U18" s="845">
        <v>23</v>
      </c>
      <c r="Y18" s="769"/>
      <c r="Z18" s="770"/>
      <c r="AA18" s="770"/>
      <c r="AB18" s="771"/>
      <c r="AC18" s="65"/>
      <c r="AD18" s="59"/>
      <c r="AE18" s="400"/>
      <c r="AF18" s="778"/>
      <c r="AG18" s="779" t="s">
        <v>213</v>
      </c>
      <c r="AH18" s="780"/>
      <c r="AI18" s="70"/>
      <c r="AJ18" s="70"/>
      <c r="AK18" s="70"/>
      <c r="AL18" s="70"/>
      <c r="AM18" s="70"/>
      <c r="AN18" s="70"/>
      <c r="AO18" s="70"/>
    </row>
    <row r="19" spans="1:41">
      <c r="A19" s="48"/>
      <c r="B19" s="48"/>
      <c r="D19" s="42"/>
      <c r="E19" s="398"/>
      <c r="F19" s="9"/>
      <c r="G19" s="399"/>
      <c r="H19" s="399"/>
      <c r="I19" s="399"/>
      <c r="J19" s="399"/>
      <c r="K19" s="41"/>
      <c r="M19" s="795"/>
      <c r="S19" s="803"/>
      <c r="T19" s="1219"/>
      <c r="U19" s="845"/>
      <c r="Y19" s="772" t="s">
        <v>214</v>
      </c>
      <c r="Z19" s="773" t="s">
        <v>215</v>
      </c>
      <c r="AA19" s="773" t="s">
        <v>216</v>
      </c>
      <c r="AB19" s="774" t="s">
        <v>81</v>
      </c>
      <c r="AC19" s="76"/>
      <c r="AD19" s="59"/>
      <c r="AE19" s="400"/>
      <c r="AF19" s="781" t="s">
        <v>217</v>
      </c>
      <c r="AG19" s="770" t="s">
        <v>218</v>
      </c>
      <c r="AH19" s="771" t="s">
        <v>219</v>
      </c>
      <c r="AI19" s="70"/>
      <c r="AJ19" s="70"/>
      <c r="AK19" s="70"/>
      <c r="AL19" s="70"/>
      <c r="AM19" s="70"/>
      <c r="AN19" s="70"/>
      <c r="AO19" s="70"/>
    </row>
    <row r="20" spans="1:41">
      <c r="A20" s="48"/>
      <c r="B20" s="48"/>
      <c r="D20" s="42"/>
      <c r="E20" s="1183"/>
      <c r="F20" s="1184" t="str">
        <f>O22</f>
        <v>Total Plan Review Fee:</v>
      </c>
      <c r="G20" s="1185">
        <f>Q22</f>
        <v>163.96499999999997</v>
      </c>
      <c r="H20" s="1183"/>
      <c r="I20" s="12"/>
      <c r="J20" s="12"/>
      <c r="K20" s="41"/>
      <c r="M20" s="795"/>
      <c r="N20" s="58"/>
      <c r="O20" s="800" t="s">
        <v>220</v>
      </c>
      <c r="P20" s="801"/>
      <c r="Q20" s="84">
        <f>AA61</f>
        <v>6.6624999999999996</v>
      </c>
      <c r="R20" s="805"/>
      <c r="S20" s="803"/>
      <c r="T20" s="1219"/>
      <c r="U20" s="845">
        <v>38</v>
      </c>
      <c r="Y20" s="775" t="s">
        <v>89</v>
      </c>
      <c r="Z20" s="776" t="s">
        <v>86</v>
      </c>
      <c r="AA20" s="776" t="s">
        <v>221</v>
      </c>
      <c r="AB20" s="777" t="s">
        <v>222</v>
      </c>
      <c r="AC20" s="70"/>
      <c r="AD20" s="60"/>
      <c r="AE20" s="403"/>
      <c r="AF20" s="782" t="s">
        <v>39</v>
      </c>
      <c r="AG20" s="783" t="s">
        <v>223</v>
      </c>
      <c r="AH20" s="784" t="s">
        <v>42</v>
      </c>
      <c r="AI20" s="70"/>
      <c r="AJ20" s="70"/>
      <c r="AK20" s="70"/>
      <c r="AL20" s="70"/>
      <c r="AM20" s="70"/>
      <c r="AN20" s="70"/>
      <c r="AO20" s="70"/>
    </row>
    <row r="21" spans="1:41">
      <c r="A21" s="48"/>
      <c r="B21" s="48"/>
      <c r="D21" s="42"/>
      <c r="E21" s="12"/>
      <c r="F21" s="22" t="s">
        <v>46</v>
      </c>
      <c r="G21" s="30">
        <f>Q26</f>
        <v>1.6396499999999998</v>
      </c>
      <c r="H21" s="12"/>
      <c r="I21" s="12"/>
      <c r="J21" s="12"/>
      <c r="K21" s="41"/>
      <c r="M21" s="795"/>
      <c r="N21" s="58"/>
      <c r="O21" s="790" t="s">
        <v>224</v>
      </c>
      <c r="P21" s="806"/>
      <c r="Q21" s="797">
        <f>Y124</f>
        <v>69</v>
      </c>
      <c r="R21" s="805"/>
      <c r="S21" s="798"/>
      <c r="T21" s="1204"/>
      <c r="U21" s="845">
        <v>50</v>
      </c>
      <c r="Y21" s="154">
        <f>SUM(Z21:AA21)</f>
        <v>85</v>
      </c>
      <c r="Z21" s="373">
        <f>H5*AF21</f>
        <v>50</v>
      </c>
      <c r="AA21" s="156">
        <f>IF(AB21&lt;=0,"",AG21*AB21)</f>
        <v>35</v>
      </c>
      <c r="AB21" s="768">
        <f>IF(H6&lt;1,0,H6-1)</f>
        <v>1</v>
      </c>
      <c r="AC21" s="70"/>
      <c r="AD21" s="60"/>
      <c r="AE21" s="403"/>
      <c r="AF21" s="404">
        <v>50</v>
      </c>
      <c r="AG21" s="405">
        <v>35</v>
      </c>
      <c r="AH21" s="160">
        <v>60</v>
      </c>
      <c r="AI21" s="70"/>
      <c r="AJ21" s="70"/>
      <c r="AK21" s="70"/>
      <c r="AL21" s="70"/>
      <c r="AM21" s="70"/>
      <c r="AN21" s="70"/>
      <c r="AO21" s="70"/>
    </row>
    <row r="22" spans="1:41" ht="15.75" thickBot="1">
      <c r="A22" s="48"/>
      <c r="B22" s="48"/>
      <c r="D22" s="43"/>
      <c r="E22" s="32"/>
      <c r="F22" s="32"/>
      <c r="G22" s="32"/>
      <c r="H22" s="33"/>
      <c r="I22" s="32"/>
      <c r="J22" s="406" t="s">
        <v>49</v>
      </c>
      <c r="K22" s="44"/>
      <c r="M22" s="795"/>
      <c r="N22" s="84"/>
      <c r="O22" s="807" t="s">
        <v>225</v>
      </c>
      <c r="P22" s="808"/>
      <c r="Q22" s="809">
        <f>SUM(Q4:Q21)</f>
        <v>163.96499999999997</v>
      </c>
      <c r="R22" s="84"/>
      <c r="S22" s="798"/>
      <c r="T22" s="1204"/>
      <c r="U22" s="845"/>
      <c r="Y22" s="401"/>
      <c r="Z22" s="402"/>
      <c r="AA22" s="402" t="s">
        <v>226</v>
      </c>
      <c r="AB22" s="767"/>
      <c r="AC22" s="70"/>
      <c r="AD22" s="60"/>
      <c r="AE22" s="403"/>
      <c r="AF22" s="404"/>
      <c r="AG22" s="405"/>
      <c r="AH22" s="160"/>
      <c r="AI22" s="70"/>
      <c r="AJ22" s="70"/>
      <c r="AK22" s="70"/>
      <c r="AL22" s="70"/>
      <c r="AM22" s="70"/>
      <c r="AN22" s="70"/>
      <c r="AO22" s="70"/>
    </row>
    <row r="23" spans="1:41">
      <c r="A23" s="48"/>
      <c r="B23" s="48"/>
      <c r="D23" s="104"/>
      <c r="E23" s="104"/>
      <c r="F23" s="104"/>
      <c r="G23" s="104"/>
      <c r="H23" s="104"/>
      <c r="M23" s="789"/>
      <c r="N23" s="134"/>
      <c r="O23" s="794"/>
      <c r="P23" s="810"/>
      <c r="Q23" s="792"/>
      <c r="R23" s="100"/>
      <c r="S23" s="793"/>
      <c r="T23" s="1181"/>
      <c r="Y23" s="154"/>
      <c r="Z23" s="373"/>
      <c r="AA23" s="156">
        <f>AH21</f>
        <v>60</v>
      </c>
      <c r="AB23" s="768"/>
      <c r="AC23" s="70"/>
      <c r="AD23" s="60"/>
      <c r="AE23" s="403"/>
      <c r="AF23" s="404"/>
      <c r="AG23" s="405"/>
      <c r="AH23" s="160"/>
      <c r="AI23" s="70"/>
      <c r="AJ23" s="70"/>
      <c r="AK23" s="70"/>
      <c r="AL23" s="70"/>
      <c r="AM23" s="70"/>
      <c r="AN23" s="70"/>
      <c r="AO23" s="70"/>
    </row>
    <row r="24" spans="1:41" ht="15.75" thickBot="1">
      <c r="A24" s="48"/>
      <c r="B24" s="48"/>
      <c r="H24" s="407"/>
      <c r="M24" s="789"/>
      <c r="N24" s="811"/>
      <c r="O24" s="812" t="s">
        <v>52</v>
      </c>
      <c r="P24" s="812"/>
      <c r="Q24" s="813">
        <f>Q22</f>
        <v>163.96499999999997</v>
      </c>
      <c r="R24" s="443"/>
      <c r="S24" s="814"/>
      <c r="T24" s="1181"/>
      <c r="W24" s="104"/>
      <c r="Y24" s="166"/>
      <c r="Z24" s="167"/>
      <c r="AA24" s="168"/>
      <c r="AB24" s="169"/>
      <c r="AC24" s="70"/>
      <c r="AD24" s="60"/>
      <c r="AE24" s="403"/>
      <c r="AF24" s="158"/>
      <c r="AG24" s="159"/>
      <c r="AH24" s="160"/>
      <c r="AI24" s="70"/>
      <c r="AJ24" s="70"/>
      <c r="AK24" s="70"/>
      <c r="AL24" s="70"/>
      <c r="AM24" s="70"/>
      <c r="AN24" s="70"/>
      <c r="AO24" s="70"/>
    </row>
    <row r="25" spans="1:41" ht="16.5" thickTop="1" thickBot="1">
      <c r="A25" s="48"/>
      <c r="B25" s="48"/>
      <c r="M25" s="789"/>
      <c r="N25" s="100"/>
      <c r="O25" s="100"/>
      <c r="P25" s="443"/>
      <c r="Q25" s="443"/>
      <c r="R25" s="443"/>
      <c r="S25" s="443"/>
      <c r="T25" s="1181"/>
      <c r="W25" s="104"/>
      <c r="Y25" s="70"/>
      <c r="Z25" s="70"/>
      <c r="AA25" s="70"/>
      <c r="AB25" s="134"/>
      <c r="AC25" s="70"/>
      <c r="AD25" s="60"/>
      <c r="AE25" s="403"/>
      <c r="AF25" s="170"/>
      <c r="AG25" s="171"/>
      <c r="AH25" s="172"/>
      <c r="AI25" s="70"/>
      <c r="AJ25" s="70"/>
      <c r="AK25" s="70"/>
      <c r="AL25" s="70"/>
      <c r="AM25" s="70"/>
      <c r="AN25" s="70"/>
      <c r="AO25" s="70"/>
    </row>
    <row r="26" spans="1:41">
      <c r="A26" s="48"/>
      <c r="B26" s="48"/>
      <c r="M26" s="789"/>
      <c r="N26" s="815"/>
      <c r="O26" s="815"/>
      <c r="P26" s="816" t="s">
        <v>54</v>
      </c>
      <c r="Q26" s="817">
        <f>Q24/Q27</f>
        <v>1.6396499999999998</v>
      </c>
      <c r="R26" s="443"/>
      <c r="S26" s="443"/>
      <c r="T26" s="1181"/>
      <c r="W26" s="104"/>
      <c r="Y26" s="70"/>
      <c r="Z26" s="70"/>
      <c r="AA26" s="70"/>
      <c r="AB26" s="134"/>
      <c r="AC26" s="70"/>
      <c r="AD26" s="6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</row>
    <row r="27" spans="1:41" ht="15.75" thickBot="1">
      <c r="A27" s="48"/>
      <c r="B27" s="48"/>
      <c r="M27" s="789"/>
      <c r="N27" s="100"/>
      <c r="O27" s="443"/>
      <c r="P27" s="804" t="str">
        <f>CONCATENATE( "Abas using $ ",Q27)</f>
        <v>Abas using $ 100</v>
      </c>
      <c r="Q27" s="84">
        <v>100</v>
      </c>
      <c r="R27" s="84"/>
      <c r="S27" s="443"/>
      <c r="T27" s="1181"/>
      <c r="W27" s="104"/>
      <c r="Y27" s="70"/>
      <c r="Z27" s="70"/>
      <c r="AA27" s="70"/>
      <c r="AB27" s="134"/>
      <c r="AC27" s="70"/>
      <c r="AD27" s="6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</row>
    <row r="28" spans="1:41" ht="15.75" thickBot="1">
      <c r="A28" s="48"/>
      <c r="B28" s="48"/>
      <c r="L28" s="411"/>
      <c r="M28" s="789"/>
      <c r="N28" s="100"/>
      <c r="O28" s="100"/>
      <c r="P28" s="100"/>
      <c r="Q28" s="100"/>
      <c r="R28" s="84"/>
      <c r="S28" s="790"/>
      <c r="T28" s="1181"/>
      <c r="W28" s="104"/>
      <c r="X28" s="202"/>
      <c r="Y28" s="137" t="str">
        <f>AF28</f>
        <v>Building Occupancy Type</v>
      </c>
      <c r="Z28" s="138"/>
      <c r="AA28" s="138"/>
      <c r="AB28" s="139"/>
      <c r="AC28" s="65"/>
      <c r="AD28" s="59"/>
      <c r="AE28" s="140"/>
      <c r="AF28" s="141" t="s">
        <v>227</v>
      </c>
      <c r="AG28" s="142"/>
      <c r="AH28" s="143"/>
      <c r="AI28" s="70"/>
      <c r="AJ28" s="70"/>
      <c r="AK28" s="70"/>
      <c r="AL28" s="70"/>
      <c r="AM28" s="70"/>
      <c r="AN28" s="70"/>
      <c r="AO28" s="70"/>
    </row>
    <row r="29" spans="1:41" ht="15.75" thickBot="1">
      <c r="A29" s="96"/>
      <c r="B29" s="96"/>
      <c r="L29" s="412"/>
      <c r="M29" s="818"/>
      <c r="N29" s="819"/>
      <c r="O29" s="819"/>
      <c r="P29" s="819"/>
      <c r="Q29" s="819"/>
      <c r="R29" s="820" t="s">
        <v>228</v>
      </c>
      <c r="S29" s="820">
        <v>50</v>
      </c>
      <c r="T29" s="821"/>
      <c r="W29" s="104"/>
      <c r="Y29" s="144" t="s">
        <v>42</v>
      </c>
      <c r="Z29" s="145" t="s">
        <v>43</v>
      </c>
      <c r="AA29" s="145"/>
      <c r="AB29" s="146"/>
      <c r="AC29" s="76"/>
      <c r="AD29" s="59"/>
      <c r="AE29" s="140"/>
      <c r="AF29" s="147" t="s">
        <v>44</v>
      </c>
      <c r="AG29" s="138" t="s">
        <v>43</v>
      </c>
      <c r="AH29" s="139" t="s">
        <v>42</v>
      </c>
      <c r="AI29" s="70"/>
      <c r="AJ29" s="70"/>
      <c r="AK29" s="70"/>
      <c r="AL29" s="70"/>
      <c r="AM29" s="70"/>
      <c r="AN29" s="70"/>
      <c r="AO29" s="70"/>
    </row>
    <row r="30" spans="1:41">
      <c r="A30" s="101"/>
      <c r="B30" s="101"/>
      <c r="L30" s="412"/>
      <c r="M30" s="412"/>
      <c r="N30" s="412"/>
      <c r="O30" s="412"/>
      <c r="P30" s="412"/>
      <c r="Q30" s="412"/>
      <c r="R30" s="412"/>
      <c r="S30" s="412"/>
      <c r="T30" s="412"/>
      <c r="W30" s="104"/>
      <c r="Y30" s="148"/>
      <c r="Z30" s="149"/>
      <c r="AA30" s="149"/>
      <c r="AB30" s="1220"/>
      <c r="AC30" s="70"/>
      <c r="AD30" s="60"/>
      <c r="AE30" s="150"/>
      <c r="AF30" s="151" t="s">
        <v>202</v>
      </c>
      <c r="AG30" s="152" t="s">
        <v>229</v>
      </c>
      <c r="AH30" s="153">
        <v>55.44</v>
      </c>
      <c r="AI30" s="70"/>
      <c r="AJ30" s="70"/>
      <c r="AK30" s="70"/>
      <c r="AL30" s="70"/>
      <c r="AM30" s="70"/>
      <c r="AN30" s="70"/>
      <c r="AO30" s="70"/>
    </row>
    <row r="31" spans="1:41">
      <c r="A31" s="105"/>
      <c r="B31" s="105"/>
      <c r="L31" s="412"/>
      <c r="M31" s="412"/>
      <c r="N31" s="412"/>
      <c r="O31" s="412"/>
      <c r="P31" s="412"/>
      <c r="Q31" s="412"/>
      <c r="R31" s="412"/>
      <c r="S31" s="412"/>
      <c r="T31" s="412"/>
      <c r="W31" s="104"/>
      <c r="Y31" s="154">
        <f>VLOOKUP(H11,AF30:AH34,3,)</f>
        <v>55.44</v>
      </c>
      <c r="Z31" s="155" t="str">
        <f>VLOOKUP(H11,AF30:AH34,2,)</f>
        <v>Bus</v>
      </c>
      <c r="AA31" s="156"/>
      <c r="AB31" s="157"/>
      <c r="AC31" s="70"/>
      <c r="AD31" s="60"/>
      <c r="AE31" s="150"/>
      <c r="AF31" s="158" t="s">
        <v>50</v>
      </c>
      <c r="AG31" s="159" t="s">
        <v>230</v>
      </c>
      <c r="AH31" s="160">
        <v>59.1</v>
      </c>
      <c r="AI31" s="70"/>
      <c r="AJ31" s="70"/>
      <c r="AK31" s="70"/>
      <c r="AL31" s="70"/>
      <c r="AM31" s="70"/>
      <c r="AN31" s="70"/>
      <c r="AO31" s="70"/>
    </row>
    <row r="32" spans="1:41" ht="15.75" thickBot="1">
      <c r="A32" s="109"/>
      <c r="B32" s="109"/>
      <c r="L32" s="412"/>
      <c r="M32" s="412"/>
      <c r="N32" s="412"/>
      <c r="O32" s="412"/>
      <c r="P32" s="412"/>
      <c r="Q32" s="412"/>
      <c r="R32" s="412"/>
      <c r="S32" s="412"/>
      <c r="T32" s="412"/>
      <c r="W32" s="104"/>
      <c r="Y32" s="166"/>
      <c r="Z32" s="167"/>
      <c r="AA32" s="168"/>
      <c r="AB32" s="169"/>
      <c r="AC32" s="70"/>
      <c r="AD32" s="60"/>
      <c r="AE32" s="150"/>
      <c r="AF32" s="158" t="s">
        <v>53</v>
      </c>
      <c r="AG32" s="159"/>
      <c r="AH32" s="160">
        <f>H12</f>
        <v>0</v>
      </c>
      <c r="AI32" s="70"/>
      <c r="AJ32" s="70"/>
      <c r="AK32" s="70"/>
      <c r="AL32" s="70"/>
      <c r="AM32" s="70"/>
      <c r="AN32" s="70"/>
      <c r="AO32" s="70"/>
    </row>
    <row r="33" spans="1:41" ht="15.75" thickBot="1">
      <c r="A33" s="110"/>
      <c r="B33" s="110"/>
      <c r="L33" s="412"/>
      <c r="M33" s="412"/>
      <c r="N33" s="412"/>
      <c r="O33" s="412"/>
      <c r="P33" s="412"/>
      <c r="Q33" s="412"/>
      <c r="R33" s="412"/>
      <c r="S33" s="412"/>
      <c r="T33" s="412"/>
      <c r="W33" s="104"/>
      <c r="Y33" s="70"/>
      <c r="Z33" s="70"/>
      <c r="AA33" s="70"/>
      <c r="AB33" s="134"/>
      <c r="AC33" s="70"/>
      <c r="AD33" s="60"/>
      <c r="AE33" s="150"/>
      <c r="AF33" s="170"/>
      <c r="AG33" s="171"/>
      <c r="AH33" s="172"/>
      <c r="AI33" s="70"/>
      <c r="AJ33" s="70"/>
      <c r="AK33" s="70"/>
      <c r="AL33" s="70"/>
      <c r="AM33" s="70"/>
      <c r="AN33" s="70"/>
      <c r="AO33" s="70"/>
    </row>
    <row r="34" spans="1:41" ht="15.75" thickBot="1">
      <c r="A34" s="113"/>
      <c r="B34" s="113"/>
      <c r="L34" s="412"/>
      <c r="M34" s="411"/>
      <c r="N34" s="411"/>
      <c r="O34" s="411"/>
      <c r="P34" s="411"/>
      <c r="Q34" s="411"/>
      <c r="R34" s="411"/>
      <c r="S34" s="411"/>
      <c r="T34" s="411"/>
      <c r="W34" s="104"/>
      <c r="Y34" s="70"/>
      <c r="Z34" s="70"/>
      <c r="AA34" s="70"/>
      <c r="AB34" s="70"/>
      <c r="AC34" s="70"/>
      <c r="AD34" s="6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</row>
    <row r="35" spans="1:41" ht="15.75" thickBot="1">
      <c r="A35" s="115"/>
      <c r="B35" s="115"/>
      <c r="L35" s="411"/>
      <c r="M35" s="411"/>
      <c r="N35" s="411"/>
      <c r="O35" s="411"/>
      <c r="P35" s="411"/>
      <c r="Q35" s="411"/>
      <c r="R35" s="411"/>
      <c r="S35" s="411"/>
      <c r="T35" s="411"/>
      <c r="W35" s="104"/>
      <c r="Y35" s="175" t="str">
        <f>AF35</f>
        <v>Building Sprinklers</v>
      </c>
      <c r="Z35" s="176"/>
      <c r="AA35" s="176"/>
      <c r="AB35" s="177"/>
      <c r="AC35" s="178"/>
      <c r="AD35" s="1209"/>
      <c r="AE35" s="179"/>
      <c r="AF35" s="180" t="s">
        <v>198</v>
      </c>
      <c r="AG35" s="181"/>
      <c r="AH35" s="182"/>
      <c r="AI35" s="70"/>
      <c r="AJ35" s="70"/>
      <c r="AK35" s="70"/>
      <c r="AL35" s="70"/>
      <c r="AM35" s="70"/>
      <c r="AN35" s="70"/>
      <c r="AO35" s="70"/>
    </row>
    <row r="36" spans="1:41" ht="15.75" thickBot="1">
      <c r="A36" s="121"/>
      <c r="B36" s="121"/>
      <c r="L36" s="411"/>
      <c r="M36" s="413"/>
      <c r="N36" s="413"/>
      <c r="O36" s="413"/>
      <c r="P36" s="413"/>
      <c r="Q36" s="413"/>
      <c r="R36" s="413"/>
      <c r="S36" s="413"/>
      <c r="T36" s="413"/>
      <c r="Y36" s="183"/>
      <c r="Z36" s="184" t="s">
        <v>231</v>
      </c>
      <c r="AA36" s="185"/>
      <c r="AB36" s="186"/>
      <c r="AC36" s="187"/>
      <c r="AD36" s="188"/>
      <c r="AE36" s="179"/>
      <c r="AF36" s="189"/>
      <c r="AG36" s="190" t="s">
        <v>75</v>
      </c>
      <c r="AH36" s="191"/>
      <c r="AI36" s="70"/>
      <c r="AJ36" s="70"/>
      <c r="AK36" s="70"/>
      <c r="AL36" s="70"/>
      <c r="AM36" s="70"/>
      <c r="AN36" s="70"/>
      <c r="AO36" s="70"/>
    </row>
    <row r="37" spans="1:41">
      <c r="A37" s="124"/>
      <c r="B37" s="124"/>
      <c r="L37" s="413"/>
      <c r="M37" s="413"/>
      <c r="N37" s="413"/>
      <c r="O37" s="413"/>
      <c r="P37" s="413"/>
      <c r="Q37" s="413"/>
      <c r="R37" s="413"/>
      <c r="S37" s="413"/>
      <c r="T37" s="413"/>
      <c r="Y37" s="192"/>
      <c r="Z37" s="193"/>
      <c r="AA37" s="193"/>
      <c r="AB37" s="1221"/>
      <c r="AC37" s="70"/>
      <c r="AD37" s="60"/>
      <c r="AE37" s="179"/>
      <c r="AF37" s="194" t="str">
        <f>H10</f>
        <v>No</v>
      </c>
      <c r="AG37" s="195">
        <v>2.16</v>
      </c>
      <c r="AH37" s="196"/>
      <c r="AI37" s="70"/>
      <c r="AJ37" s="70"/>
      <c r="AK37" s="70"/>
      <c r="AL37" s="70"/>
      <c r="AM37" s="70"/>
      <c r="AN37" s="70"/>
      <c r="AO37" s="70"/>
    </row>
    <row r="38" spans="1:41">
      <c r="A38" s="125"/>
      <c r="B38" s="125"/>
      <c r="L38" s="413"/>
      <c r="M38" s="413"/>
      <c r="N38" s="413"/>
      <c r="O38" s="413"/>
      <c r="P38" s="413"/>
      <c r="Q38" s="413"/>
      <c r="R38" s="413"/>
      <c r="S38" s="413"/>
      <c r="T38" s="413"/>
      <c r="Y38" s="203">
        <f>Z38*P5</f>
        <v>0</v>
      </c>
      <c r="Z38" s="88">
        <f>IF(H9="Yes",AG37,0)</f>
        <v>0</v>
      </c>
      <c r="AA38" s="204"/>
      <c r="AB38" s="205"/>
      <c r="AC38" s="70"/>
      <c r="AD38" s="60"/>
      <c r="AE38" s="179"/>
      <c r="AF38" s="206"/>
      <c r="AG38" s="207"/>
      <c r="AH38" s="208"/>
      <c r="AI38" s="70"/>
      <c r="AJ38" s="70"/>
      <c r="AK38" s="70"/>
      <c r="AL38" s="70"/>
      <c r="AM38" s="70"/>
      <c r="AN38" s="70"/>
      <c r="AO38" s="70"/>
    </row>
    <row r="39" spans="1:41" ht="15.75" thickBot="1">
      <c r="L39" s="413"/>
      <c r="M39" s="413"/>
      <c r="N39" s="413"/>
      <c r="O39" s="413"/>
      <c r="P39" s="413"/>
      <c r="Q39" s="413"/>
      <c r="R39" s="413"/>
      <c r="S39" s="413"/>
      <c r="T39" s="413"/>
      <c r="Y39" s="210"/>
      <c r="Z39" s="211"/>
      <c r="AA39" s="212"/>
      <c r="AB39" s="213"/>
      <c r="AC39" s="70"/>
      <c r="AD39" s="60"/>
      <c r="AE39" s="179"/>
      <c r="AF39" s="214" t="s">
        <v>232</v>
      </c>
      <c r="AG39" s="215"/>
      <c r="AH39" s="216"/>
      <c r="AI39" s="70"/>
      <c r="AJ39" s="70"/>
      <c r="AK39" s="70"/>
      <c r="AL39" s="70"/>
      <c r="AM39" s="70"/>
      <c r="AN39" s="70"/>
      <c r="AO39" s="70"/>
    </row>
    <row r="40" spans="1:41">
      <c r="L40" s="413"/>
      <c r="M40" s="413"/>
      <c r="N40" s="413"/>
      <c r="O40" s="413"/>
      <c r="P40" s="413"/>
      <c r="Q40" s="413"/>
      <c r="R40" s="413"/>
      <c r="S40" s="413"/>
      <c r="T40" s="413"/>
      <c r="Y40" s="183"/>
      <c r="Z40" s="185"/>
      <c r="AA40" s="185"/>
      <c r="AB40" s="186"/>
      <c r="AC40" s="70"/>
      <c r="AD40" s="60"/>
      <c r="AE40" s="179"/>
      <c r="AF40" s="217" t="s">
        <v>96</v>
      </c>
      <c r="AG40" s="218"/>
      <c r="AH40" s="219"/>
      <c r="AI40" s="70"/>
      <c r="AJ40" s="70"/>
      <c r="AK40" s="70"/>
      <c r="AL40" s="70"/>
      <c r="AM40" s="70"/>
      <c r="AN40" s="70"/>
      <c r="AO40" s="70"/>
    </row>
    <row r="41" spans="1:41" ht="15.75" thickBot="1">
      <c r="L41" s="413"/>
      <c r="M41" s="413"/>
      <c r="N41" s="413"/>
      <c r="O41" s="413"/>
      <c r="P41" s="413"/>
      <c r="Q41" s="413"/>
      <c r="R41" s="413"/>
      <c r="S41" s="413"/>
      <c r="T41" s="413"/>
      <c r="Y41" s="166"/>
      <c r="Z41" s="167"/>
      <c r="AA41" s="168"/>
      <c r="AB41" s="169"/>
      <c r="AC41" s="70"/>
      <c r="AD41" s="60"/>
      <c r="AE41" s="179"/>
      <c r="AF41" s="220" t="s">
        <v>8</v>
      </c>
      <c r="AG41" s="221"/>
      <c r="AH41" s="222"/>
      <c r="AI41" s="70"/>
      <c r="AJ41" s="70"/>
      <c r="AK41" s="70"/>
      <c r="AL41" s="70"/>
      <c r="AM41" s="70"/>
      <c r="AN41" s="70"/>
      <c r="AO41" s="70"/>
    </row>
    <row r="42" spans="1:41" ht="15.75" thickBot="1">
      <c r="L42" s="413"/>
      <c r="M42" s="412"/>
      <c r="N42" s="412"/>
      <c r="O42" s="412"/>
      <c r="P42" s="412"/>
      <c r="Q42" s="412"/>
      <c r="R42" s="412"/>
      <c r="S42" s="412"/>
      <c r="T42" s="412"/>
      <c r="Y42" s="70"/>
      <c r="Z42" s="70"/>
      <c r="AA42" s="70"/>
      <c r="AB42" s="70"/>
      <c r="AC42" s="70"/>
      <c r="AD42" s="6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</row>
    <row r="43" spans="1:41" ht="15.75" thickBot="1">
      <c r="L43" s="412"/>
      <c r="M43" s="412"/>
      <c r="N43" s="412"/>
      <c r="O43" s="412"/>
      <c r="P43" s="412"/>
      <c r="Q43" s="412"/>
      <c r="R43" s="412"/>
      <c r="S43" s="412"/>
      <c r="T43" s="412"/>
      <c r="Y43" s="223" t="str">
        <f>AF43</f>
        <v>Fire life safety</v>
      </c>
      <c r="Z43" s="224"/>
      <c r="AA43" s="224"/>
      <c r="AB43" s="225"/>
      <c r="AC43" s="65"/>
      <c r="AD43" s="369"/>
      <c r="AE43" s="226"/>
      <c r="AF43" s="227" t="s">
        <v>233</v>
      </c>
      <c r="AG43" s="228"/>
      <c r="AH43" s="229"/>
      <c r="AI43" s="70"/>
      <c r="AJ43" s="70"/>
      <c r="AK43" s="70"/>
      <c r="AL43" s="70"/>
      <c r="AM43" s="70"/>
      <c r="AN43" s="70"/>
      <c r="AO43" s="70"/>
    </row>
    <row r="44" spans="1:41" ht="15.75" thickBot="1">
      <c r="L44" s="412"/>
      <c r="M44" s="412"/>
      <c r="N44" s="412"/>
      <c r="O44" s="412"/>
      <c r="P44" s="412"/>
      <c r="Q44" s="412"/>
      <c r="R44" s="412"/>
      <c r="S44" s="412"/>
      <c r="T44" s="412"/>
      <c r="Y44" s="230"/>
      <c r="Z44" s="231" t="s">
        <v>234</v>
      </c>
      <c r="AA44" s="231" t="s">
        <v>235</v>
      </c>
      <c r="AB44" s="232" t="s">
        <v>236</v>
      </c>
      <c r="AC44" s="76"/>
      <c r="AD44" s="77"/>
      <c r="AE44" s="226"/>
      <c r="AF44" s="233"/>
      <c r="AG44" s="224" t="s">
        <v>75</v>
      </c>
      <c r="AH44" s="234" t="s">
        <v>93</v>
      </c>
      <c r="AI44" s="70"/>
      <c r="AJ44" s="70"/>
      <c r="AK44" s="70"/>
      <c r="AL44" s="70"/>
      <c r="AM44" s="70"/>
      <c r="AN44" s="70"/>
      <c r="AO44" s="70"/>
    </row>
    <row r="45" spans="1:41">
      <c r="L45" s="412"/>
      <c r="M45" s="411"/>
      <c r="N45" s="411"/>
      <c r="O45" s="411"/>
      <c r="P45" s="411"/>
      <c r="Q45" s="411"/>
      <c r="R45" s="411"/>
      <c r="S45" s="411"/>
      <c r="T45" s="411"/>
      <c r="Y45" s="235"/>
      <c r="Z45" s="236" t="str">
        <f>AG49</f>
        <v>A, E, I or H</v>
      </c>
      <c r="AA45" s="236">
        <f>AH45</f>
        <v>4000</v>
      </c>
      <c r="AB45" s="1211" t="str">
        <f>AF31</f>
        <v>Educational</v>
      </c>
      <c r="AC45" s="58"/>
      <c r="AD45" s="59"/>
      <c r="AE45" s="226"/>
      <c r="AF45" s="194" t="s">
        <v>96</v>
      </c>
      <c r="AG45" s="195">
        <v>0.4</v>
      </c>
      <c r="AH45" s="196">
        <v>4000</v>
      </c>
      <c r="AI45" s="70"/>
      <c r="AJ45" s="70"/>
      <c r="AK45" s="70"/>
      <c r="AL45" s="70"/>
      <c r="AM45" s="70"/>
      <c r="AN45" s="70"/>
      <c r="AO45" s="70"/>
    </row>
    <row r="46" spans="1:41">
      <c r="L46" s="411"/>
      <c r="M46" s="411"/>
      <c r="N46" s="411"/>
      <c r="O46" s="411"/>
      <c r="P46" s="411"/>
      <c r="Q46" s="411"/>
      <c r="R46" s="411"/>
      <c r="S46" s="411"/>
      <c r="T46" s="411"/>
      <c r="Y46" s="237">
        <f>IF(SUM(Z46:AB46)&gt;0,Q16*AG45,0)</f>
        <v>0</v>
      </c>
      <c r="Z46" s="238">
        <f>IF(H10="Yes",1,0)</f>
        <v>0</v>
      </c>
      <c r="AA46" s="238">
        <f>IF(P5&gt;=AH45,1,0)</f>
        <v>0</v>
      </c>
      <c r="AB46" s="239">
        <f>IF(H11=AF31,1,0)</f>
        <v>0</v>
      </c>
      <c r="AC46" s="58"/>
      <c r="AD46" s="59"/>
      <c r="AE46" s="226"/>
      <c r="AF46" s="217" t="s">
        <v>8</v>
      </c>
      <c r="AG46" s="218"/>
      <c r="AH46" s="219"/>
      <c r="AI46" s="70"/>
      <c r="AJ46" s="70"/>
      <c r="AK46" s="70"/>
      <c r="AL46" s="70"/>
      <c r="AM46" s="70"/>
      <c r="AN46" s="70"/>
      <c r="AO46" s="70"/>
    </row>
    <row r="47" spans="1:41" ht="15.75" thickBot="1">
      <c r="L47" s="411"/>
      <c r="M47" s="411"/>
      <c r="N47" s="411"/>
      <c r="O47" s="411"/>
      <c r="P47" s="411"/>
      <c r="Q47" s="411"/>
      <c r="R47" s="411"/>
      <c r="S47" s="411"/>
      <c r="T47" s="411"/>
      <c r="Y47" s="240"/>
      <c r="Z47" s="241"/>
      <c r="AA47" s="242"/>
      <c r="AB47" s="243"/>
      <c r="AC47" s="58"/>
      <c r="AD47" s="59"/>
      <c r="AE47" s="226"/>
      <c r="AF47" s="244"/>
      <c r="AG47" s="245"/>
      <c r="AH47" s="246"/>
      <c r="AI47" s="70"/>
      <c r="AJ47" s="70"/>
      <c r="AK47" s="70"/>
      <c r="AL47" s="70"/>
      <c r="AM47" s="70"/>
      <c r="AN47" s="70"/>
      <c r="AO47" s="70"/>
    </row>
    <row r="48" spans="1:41">
      <c r="L48" s="411"/>
      <c r="M48" s="411"/>
      <c r="N48" s="411"/>
      <c r="O48" s="411"/>
      <c r="P48" s="411"/>
      <c r="Q48" s="411"/>
      <c r="R48" s="411"/>
      <c r="S48" s="411"/>
      <c r="T48" s="411"/>
      <c r="Y48" s="230"/>
      <c r="Z48" s="231"/>
      <c r="AA48" s="231"/>
      <c r="AB48" s="232"/>
      <c r="AC48" s="58"/>
      <c r="AD48" s="59"/>
      <c r="AE48" s="226"/>
      <c r="AF48" s="244"/>
      <c r="AG48" s="245"/>
      <c r="AH48" s="246"/>
      <c r="AI48" s="70"/>
      <c r="AJ48" s="70"/>
      <c r="AK48" s="70"/>
      <c r="AL48" s="70"/>
      <c r="AM48" s="70"/>
      <c r="AN48" s="70"/>
      <c r="AO48" s="70"/>
    </row>
    <row r="49" spans="12:41" ht="15.75" thickBot="1">
      <c r="L49" s="411"/>
      <c r="M49" s="411"/>
      <c r="N49" s="411"/>
      <c r="O49" s="411"/>
      <c r="P49" s="411"/>
      <c r="Q49" s="411"/>
      <c r="R49" s="411"/>
      <c r="S49" s="411"/>
      <c r="T49" s="411"/>
      <c r="Y49" s="127"/>
      <c r="Z49" s="128"/>
      <c r="AA49" s="129"/>
      <c r="AB49" s="130"/>
      <c r="AC49" s="58"/>
      <c r="AD49" s="59"/>
      <c r="AE49" s="226"/>
      <c r="AF49" s="220" t="s">
        <v>237</v>
      </c>
      <c r="AG49" s="221" t="s">
        <v>238</v>
      </c>
      <c r="AH49" s="222"/>
      <c r="AI49" s="70"/>
      <c r="AJ49" s="70"/>
      <c r="AK49" s="70"/>
      <c r="AL49" s="70"/>
      <c r="AM49" s="70"/>
      <c r="AN49" s="70"/>
      <c r="AO49" s="70"/>
    </row>
    <row r="50" spans="12:41">
      <c r="L50" s="411"/>
      <c r="M50" s="411"/>
      <c r="N50" s="411"/>
      <c r="O50" s="411"/>
      <c r="P50" s="411"/>
      <c r="Q50" s="411"/>
      <c r="R50" s="411"/>
      <c r="S50" s="411"/>
      <c r="T50" s="411"/>
      <c r="Y50" s="70"/>
      <c r="Z50" s="70"/>
      <c r="AA50" s="70"/>
      <c r="AB50" s="70"/>
      <c r="AC50" s="70"/>
      <c r="AD50" s="6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</row>
    <row r="51" spans="12:41" ht="15.75" thickBot="1">
      <c r="L51" s="411"/>
      <c r="M51" s="411"/>
      <c r="N51" s="411"/>
      <c r="O51" s="411"/>
      <c r="P51" s="411"/>
      <c r="Q51" s="411"/>
      <c r="R51" s="411"/>
      <c r="S51" s="411"/>
      <c r="T51" s="411"/>
      <c r="Y51" s="70"/>
      <c r="Z51" s="70"/>
      <c r="AA51" s="70"/>
      <c r="AB51" s="70"/>
      <c r="AC51" s="70"/>
      <c r="AD51" s="60"/>
      <c r="AE51" s="248"/>
      <c r="AF51" s="249"/>
      <c r="AG51" s="250"/>
      <c r="AH51" s="251" t="s">
        <v>239</v>
      </c>
      <c r="AI51" s="250"/>
      <c r="AJ51" s="252"/>
      <c r="AK51" s="70"/>
      <c r="AL51" s="253"/>
      <c r="AM51" s="70"/>
      <c r="AN51" s="70"/>
      <c r="AO51" s="70"/>
    </row>
    <row r="52" spans="12:41" ht="15.75" thickBot="1">
      <c r="L52" s="411"/>
      <c r="Y52" s="256" t="str">
        <f>AH51</f>
        <v>Mechanical</v>
      </c>
      <c r="Z52" s="257"/>
      <c r="AA52" s="257"/>
      <c r="AB52" s="258"/>
      <c r="AC52" s="178"/>
      <c r="AD52" s="369"/>
      <c r="AE52" s="248"/>
      <c r="AF52" s="78" t="s">
        <v>240</v>
      </c>
      <c r="AG52" s="79" t="s">
        <v>241</v>
      </c>
      <c r="AH52" s="79" t="s">
        <v>242</v>
      </c>
      <c r="AI52" s="79"/>
      <c r="AJ52" s="259" t="s">
        <v>243</v>
      </c>
      <c r="AK52" s="70"/>
      <c r="AL52" s="253"/>
      <c r="AM52" s="70"/>
      <c r="AN52" s="70"/>
      <c r="AO52" s="70"/>
    </row>
    <row r="53" spans="12:41">
      <c r="Y53" s="78" t="s">
        <v>244</v>
      </c>
      <c r="Z53" s="79" t="s">
        <v>245</v>
      </c>
      <c r="AA53" s="79"/>
      <c r="AB53" s="259" t="s">
        <v>246</v>
      </c>
      <c r="AC53" s="187"/>
      <c r="AD53" s="77"/>
      <c r="AE53" s="248"/>
      <c r="AF53" s="261" t="s">
        <v>247</v>
      </c>
      <c r="AG53" s="262" t="s">
        <v>248</v>
      </c>
      <c r="AH53" s="262" t="s">
        <v>249</v>
      </c>
      <c r="AI53" s="263"/>
      <c r="AJ53" s="264" t="s">
        <v>147</v>
      </c>
      <c r="AK53" s="70"/>
      <c r="AL53" s="70"/>
      <c r="AM53" s="70"/>
      <c r="AN53" s="70"/>
      <c r="AO53" s="70"/>
    </row>
    <row r="54" spans="12:41" ht="15.75" thickBot="1">
      <c r="Y54" s="265" t="s">
        <v>250</v>
      </c>
      <c r="Z54" s="266" t="s">
        <v>249</v>
      </c>
      <c r="AA54" s="266"/>
      <c r="AB54" s="842"/>
      <c r="AC54" s="70"/>
      <c r="AD54" s="59"/>
      <c r="AE54" s="248"/>
      <c r="AF54" s="268">
        <v>10000</v>
      </c>
      <c r="AG54" s="269">
        <v>5.85</v>
      </c>
      <c r="AH54" s="270">
        <v>7.8</v>
      </c>
      <c r="AI54" s="271"/>
      <c r="AJ54" s="272">
        <v>5.85</v>
      </c>
      <c r="AK54" s="70"/>
      <c r="AL54" s="70"/>
      <c r="AM54" s="70"/>
      <c r="AN54" s="70"/>
      <c r="AO54" s="70"/>
    </row>
    <row r="55" spans="12:41">
      <c r="X55" s="839" t="s">
        <v>251</v>
      </c>
      <c r="Y55" s="273">
        <f>H15*AG54</f>
        <v>5.85</v>
      </c>
      <c r="Z55" s="274">
        <f>AH54*H16</f>
        <v>7.8</v>
      </c>
      <c r="AA55" s="275"/>
      <c r="AB55" s="276">
        <f>IF(SUM(Y55:Z55)&gt;0,AF60,0)</f>
        <v>13</v>
      </c>
      <c r="AC55" s="70"/>
      <c r="AD55" s="60"/>
      <c r="AE55" s="248"/>
      <c r="AF55" s="277"/>
      <c r="AG55" s="278"/>
      <c r="AH55" s="278"/>
      <c r="AI55" s="212"/>
      <c r="AJ55" s="279"/>
      <c r="AK55" s="70"/>
      <c r="AL55" s="70"/>
      <c r="AM55" s="70"/>
      <c r="AN55" s="70"/>
      <c r="AO55" s="70"/>
    </row>
    <row r="56" spans="12:41">
      <c r="Y56" s="280"/>
      <c r="Z56" s="281"/>
      <c r="AA56" s="282"/>
      <c r="AB56" s="283"/>
      <c r="AC56" s="70"/>
      <c r="AD56" s="60"/>
      <c r="AE56" s="248"/>
      <c r="AF56" s="284" t="s">
        <v>252</v>
      </c>
      <c r="AG56" s="262"/>
      <c r="AH56" s="262"/>
      <c r="AI56" s="263"/>
      <c r="AJ56" s="264"/>
      <c r="AK56" s="70"/>
      <c r="AL56" s="70"/>
      <c r="AM56" s="70"/>
      <c r="AN56" s="70"/>
      <c r="AO56" s="70"/>
    </row>
    <row r="57" spans="12:41">
      <c r="Y57" s="285" t="s">
        <v>253</v>
      </c>
      <c r="Z57" s="286"/>
      <c r="AA57" s="843" t="s">
        <v>254</v>
      </c>
      <c r="AB57" s="264"/>
      <c r="AC57" s="70"/>
      <c r="AD57" s="60"/>
      <c r="AE57" s="248"/>
      <c r="AF57" s="288">
        <v>5.85</v>
      </c>
      <c r="AG57" s="278"/>
      <c r="AH57" s="289"/>
      <c r="AI57" s="212"/>
      <c r="AJ57" s="290"/>
      <c r="AK57" s="70"/>
      <c r="AL57" s="70"/>
      <c r="AM57" s="70"/>
      <c r="AN57" s="70"/>
      <c r="AO57" s="70"/>
    </row>
    <row r="58" spans="12:41">
      <c r="Y58" s="291">
        <f>SUM(Y55:AB55)</f>
        <v>26.65</v>
      </c>
      <c r="Z58" s="275"/>
      <c r="AA58" s="275">
        <f>Y58*AF63</f>
        <v>3.1979999999999995</v>
      </c>
      <c r="AB58" s="89"/>
      <c r="AC58" s="70"/>
      <c r="AD58" s="60"/>
      <c r="AE58" s="248"/>
      <c r="AF58" s="277"/>
      <c r="AG58" s="278"/>
      <c r="AH58" s="289"/>
      <c r="AI58" s="212"/>
      <c r="AJ58" s="279"/>
      <c r="AK58" s="70"/>
      <c r="AL58" s="70"/>
      <c r="AM58" s="70"/>
      <c r="AN58" s="70"/>
      <c r="AO58" s="70"/>
    </row>
    <row r="59" spans="12:41">
      <c r="R59" s="56" t="s">
        <v>255</v>
      </c>
      <c r="Y59" s="292"/>
      <c r="Z59" s="293"/>
      <c r="AA59" s="254"/>
      <c r="AB59" s="1212"/>
      <c r="AC59" s="70"/>
      <c r="AD59" s="60"/>
      <c r="AE59" s="248"/>
      <c r="AF59" s="261" t="s">
        <v>256</v>
      </c>
      <c r="AG59" s="262"/>
      <c r="AH59" s="262"/>
      <c r="AI59" s="263"/>
      <c r="AJ59" s="264"/>
      <c r="AK59" s="70"/>
      <c r="AL59" s="70"/>
      <c r="AM59" s="70"/>
      <c r="AN59" s="70"/>
      <c r="AO59" s="70"/>
    </row>
    <row r="60" spans="12:41">
      <c r="R60" s="56" t="s">
        <v>257</v>
      </c>
      <c r="Y60" s="285" t="s">
        <v>254</v>
      </c>
      <c r="Z60" s="262"/>
      <c r="AA60" s="262" t="s">
        <v>258</v>
      </c>
      <c r="AB60" s="264"/>
      <c r="AC60" s="70"/>
      <c r="AD60" s="60"/>
      <c r="AE60" s="248"/>
      <c r="AF60" s="288">
        <v>13</v>
      </c>
      <c r="AG60" s="278"/>
      <c r="AH60" s="294"/>
      <c r="AI60" s="212"/>
      <c r="AJ60" s="290"/>
      <c r="AK60" s="70"/>
      <c r="AL60" s="70"/>
      <c r="AM60" s="70"/>
      <c r="AN60" s="70"/>
      <c r="AO60" s="70"/>
    </row>
    <row r="61" spans="12:41">
      <c r="R61" s="56" t="s">
        <v>259</v>
      </c>
      <c r="Y61" s="291">
        <f>Y58*AF63</f>
        <v>3.1979999999999995</v>
      </c>
      <c r="Z61" s="275"/>
      <c r="AA61" s="844">
        <f>Y58*AH63</f>
        <v>6.6624999999999996</v>
      </c>
      <c r="AB61" s="89"/>
      <c r="AC61" s="70"/>
      <c r="AD61" s="60"/>
      <c r="AE61" s="248"/>
      <c r="AF61" s="277"/>
      <c r="AG61" s="278"/>
      <c r="AH61" s="294"/>
      <c r="AI61" s="212"/>
      <c r="AJ61" s="279"/>
      <c r="AK61" s="70"/>
      <c r="AL61" s="70"/>
      <c r="AM61" s="70"/>
      <c r="AN61" s="70"/>
      <c r="AO61" s="70"/>
    </row>
    <row r="62" spans="12:41" ht="15.75" thickBot="1">
      <c r="Y62" s="295"/>
      <c r="Z62" s="296"/>
      <c r="AA62" s="171"/>
      <c r="AB62" s="169"/>
      <c r="AC62" s="70"/>
      <c r="AD62" s="60"/>
      <c r="AE62" s="248"/>
      <c r="AF62" s="284" t="s">
        <v>260</v>
      </c>
      <c r="AG62" s="262"/>
      <c r="AH62" s="262" t="s">
        <v>261</v>
      </c>
      <c r="AI62" s="263"/>
      <c r="AJ62" s="264"/>
      <c r="AK62" s="70"/>
      <c r="AL62" s="70"/>
      <c r="AM62" s="70"/>
      <c r="AN62" s="70"/>
      <c r="AO62" s="70"/>
    </row>
    <row r="63" spans="12:41">
      <c r="Y63" s="70"/>
      <c r="Z63" s="70"/>
      <c r="AA63" s="70"/>
      <c r="AB63" s="70"/>
      <c r="AC63" s="70"/>
      <c r="AD63" s="60"/>
      <c r="AE63" s="248"/>
      <c r="AF63" s="288">
        <v>0.12</v>
      </c>
      <c r="AG63" s="278"/>
      <c r="AH63" s="289">
        <v>0.25</v>
      </c>
      <c r="AI63" s="212"/>
      <c r="AJ63" s="290"/>
      <c r="AK63" s="70"/>
      <c r="AL63" s="70"/>
      <c r="AM63" s="70"/>
      <c r="AN63" s="70"/>
      <c r="AO63" s="70"/>
    </row>
    <row r="64" spans="12:41" ht="15.75" thickBot="1">
      <c r="Y64" s="70"/>
      <c r="Z64" s="70"/>
      <c r="AA64" s="70"/>
      <c r="AB64" s="70"/>
      <c r="AC64" s="70"/>
      <c r="AD64" s="60"/>
      <c r="AE64" s="248"/>
      <c r="AF64" s="170"/>
      <c r="AG64" s="171"/>
      <c r="AH64" s="171"/>
      <c r="AI64" s="171"/>
      <c r="AJ64" s="169"/>
      <c r="AK64" s="70"/>
      <c r="AL64" s="70"/>
      <c r="AM64" s="70"/>
      <c r="AN64" s="70"/>
      <c r="AO64" s="70"/>
    </row>
    <row r="65" spans="25:41">
      <c r="Y65" s="70"/>
      <c r="Z65" s="70"/>
      <c r="AA65" s="70"/>
      <c r="AB65" s="70"/>
      <c r="AC65" s="70"/>
      <c r="AD65" s="6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</row>
    <row r="66" spans="25:41">
      <c r="Y66" s="840"/>
      <c r="Z66" s="840"/>
      <c r="AA66" s="70"/>
      <c r="AB66" s="70"/>
      <c r="AC66" s="70"/>
      <c r="AD66" s="6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</row>
    <row r="67" spans="25:41">
      <c r="Y67" s="70"/>
      <c r="Z67" s="70"/>
      <c r="AA67" s="70"/>
      <c r="AB67" s="70"/>
      <c r="AC67" s="70"/>
      <c r="AD67" s="6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</row>
    <row r="68" spans="25:41" ht="15.75" thickBot="1">
      <c r="Y68" s="297"/>
      <c r="Z68" s="298"/>
      <c r="AA68" s="255"/>
      <c r="AB68" s="254"/>
      <c r="AC68" s="70"/>
      <c r="AD68" s="60"/>
      <c r="AE68" s="179"/>
      <c r="AF68" s="254"/>
      <c r="AG68" s="254"/>
      <c r="AH68" s="254"/>
      <c r="AI68" s="70"/>
      <c r="AJ68" s="70"/>
      <c r="AK68" s="70"/>
      <c r="AL68" s="70"/>
      <c r="AM68" s="70"/>
      <c r="AN68" s="70"/>
      <c r="AO68" s="70"/>
    </row>
    <row r="69" spans="25:41" ht="15.75" thickBot="1">
      <c r="Y69" s="299" t="str">
        <f>AF69</f>
        <v>Plumbing</v>
      </c>
      <c r="Z69" s="300"/>
      <c r="AA69" s="301"/>
      <c r="AB69" s="302"/>
      <c r="AC69" s="178"/>
      <c r="AD69" s="1209"/>
      <c r="AE69" s="303"/>
      <c r="AF69" s="304" t="s">
        <v>99</v>
      </c>
      <c r="AG69" s="305"/>
      <c r="AH69" s="305"/>
      <c r="AI69" s="306"/>
      <c r="AJ69" s="70"/>
      <c r="AK69" s="70"/>
      <c r="AL69" s="70"/>
      <c r="AM69" s="70"/>
      <c r="AN69" s="70"/>
      <c r="AO69" s="70"/>
    </row>
    <row r="70" spans="25:41">
      <c r="Y70" s="307" t="s">
        <v>262</v>
      </c>
      <c r="Z70" s="300" t="s">
        <v>81</v>
      </c>
      <c r="AA70" s="308" t="s">
        <v>170</v>
      </c>
      <c r="AB70" s="302"/>
      <c r="AC70" s="187"/>
      <c r="AD70" s="188"/>
      <c r="AE70" s="303"/>
      <c r="AF70" s="307" t="s">
        <v>99</v>
      </c>
      <c r="AG70" s="308" t="s">
        <v>263</v>
      </c>
      <c r="AH70" s="308" t="s">
        <v>101</v>
      </c>
      <c r="AI70" s="302"/>
      <c r="AJ70" s="70"/>
      <c r="AK70" s="70"/>
      <c r="AL70" s="70"/>
      <c r="AM70" s="70"/>
      <c r="AN70" s="70"/>
      <c r="AO70" s="70"/>
    </row>
    <row r="71" spans="25:41">
      <c r="Y71" s="309"/>
      <c r="Z71" s="310" t="s">
        <v>173</v>
      </c>
      <c r="AA71" s="312" t="s">
        <v>264</v>
      </c>
      <c r="AB71" s="1222"/>
      <c r="AC71" s="70"/>
      <c r="AD71" s="60"/>
      <c r="AE71" s="303"/>
      <c r="AF71" s="309" t="s">
        <v>42</v>
      </c>
      <c r="AG71" s="312" t="str">
        <f>CONCATENATE("includes ",AG72," fixtrs")</f>
        <v>includes 3 fixtrs</v>
      </c>
      <c r="AH71" s="312" t="s">
        <v>265</v>
      </c>
      <c r="AI71" s="1222"/>
      <c r="AK71" s="70"/>
      <c r="AL71" s="70"/>
      <c r="AM71" s="70"/>
      <c r="AN71" s="70"/>
      <c r="AO71" s="70"/>
    </row>
    <row r="72" spans="25:41">
      <c r="Y72" s="112">
        <f>SUM(Z73:AA73)</f>
        <v>0</v>
      </c>
      <c r="Z72" s="313">
        <f>H14</f>
        <v>0</v>
      </c>
      <c r="AA72" s="841">
        <f>IF(Z72&gt;AG72,Z72-AG72,0)</f>
        <v>0</v>
      </c>
      <c r="AB72" s="314"/>
      <c r="AC72" s="70"/>
      <c r="AD72" s="60"/>
      <c r="AE72" s="303"/>
      <c r="AF72" s="112">
        <v>60</v>
      </c>
      <c r="AG72" s="315">
        <v>3</v>
      </c>
      <c r="AH72" s="88">
        <v>20</v>
      </c>
      <c r="AI72" s="314"/>
      <c r="AK72" s="70"/>
      <c r="AL72" s="70"/>
      <c r="AM72" s="70"/>
      <c r="AN72" s="70"/>
      <c r="AO72" s="70"/>
    </row>
    <row r="73" spans="25:41">
      <c r="Y73" s="112"/>
      <c r="Z73" s="88">
        <f>IF(AND(Z72&gt;0,Z72&lt;=3),AF72,0)</f>
        <v>0</v>
      </c>
      <c r="AA73" s="88">
        <f>IF(Z72&gt;AG72,AF72+(AA72*AH72),0)</f>
        <v>0</v>
      </c>
      <c r="AB73" s="314"/>
      <c r="AC73" s="70"/>
      <c r="AD73" s="60"/>
      <c r="AE73" s="303"/>
      <c r="AF73" s="112"/>
      <c r="AG73" s="315"/>
      <c r="AH73" s="88"/>
      <c r="AI73" s="314"/>
      <c r="AJ73" s="70"/>
      <c r="AK73" s="70"/>
      <c r="AL73" s="70"/>
      <c r="AM73" s="70"/>
      <c r="AN73" s="70"/>
      <c r="AO73" s="70"/>
    </row>
    <row r="74" spans="25:41">
      <c r="Y74" s="309" t="str">
        <f>AF74</f>
        <v>Plumbing plan review fee</v>
      </c>
      <c r="Z74" s="310"/>
      <c r="AA74" s="311"/>
      <c r="AB74" s="1222"/>
      <c r="AC74" s="70"/>
      <c r="AD74" s="60"/>
      <c r="AE74" s="303"/>
      <c r="AF74" s="316" t="s">
        <v>266</v>
      </c>
      <c r="AG74" s="312"/>
      <c r="AH74" s="312"/>
      <c r="AI74" s="1222"/>
      <c r="AJ74" s="70"/>
      <c r="AK74" s="70"/>
      <c r="AL74" s="70"/>
      <c r="AM74" s="70"/>
      <c r="AN74" s="70"/>
      <c r="AO74" s="70"/>
    </row>
    <row r="75" spans="25:41">
      <c r="Y75" s="112">
        <f>AF75*Y72</f>
        <v>0</v>
      </c>
      <c r="Z75" s="313"/>
      <c r="AA75" s="204"/>
      <c r="AB75" s="314"/>
      <c r="AC75" s="70"/>
      <c r="AD75" s="60"/>
      <c r="AE75" s="303"/>
      <c r="AF75" s="112">
        <v>0.3</v>
      </c>
      <c r="AG75" s="315"/>
      <c r="AH75" s="88"/>
      <c r="AI75" s="314"/>
      <c r="AJ75" s="70"/>
      <c r="AK75" s="70"/>
      <c r="AL75" s="70"/>
      <c r="AM75" s="70"/>
      <c r="AN75" s="70"/>
      <c r="AO75" s="70"/>
    </row>
    <row r="76" spans="25:41" ht="15.75" thickBot="1">
      <c r="Y76" s="166"/>
      <c r="Z76" s="167"/>
      <c r="AA76" s="168"/>
      <c r="AB76" s="169"/>
      <c r="AC76" s="70"/>
      <c r="AD76" s="60"/>
      <c r="AE76" s="303"/>
      <c r="AF76" s="131"/>
      <c r="AG76" s="318"/>
      <c r="AH76" s="318"/>
      <c r="AI76" s="319"/>
      <c r="AJ76" s="70"/>
      <c r="AK76" s="70"/>
      <c r="AL76" s="70"/>
      <c r="AM76" s="70"/>
      <c r="AN76" s="70"/>
      <c r="AO76" s="70"/>
    </row>
    <row r="77" spans="25:41">
      <c r="Y77" s="70"/>
      <c r="Z77" s="70"/>
      <c r="AA77" s="70"/>
      <c r="AB77" s="70"/>
      <c r="AC77" s="70"/>
      <c r="AD77" s="6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</row>
    <row r="78" spans="25:41">
      <c r="Y78" s="70"/>
      <c r="Z78" s="70"/>
      <c r="AA78" s="70"/>
      <c r="AB78" s="70"/>
      <c r="AC78" s="70"/>
      <c r="AD78" s="6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</row>
    <row r="79" spans="25:41" ht="15.75" thickBot="1">
      <c r="Y79" s="70"/>
      <c r="Z79" s="70"/>
      <c r="AA79" s="70"/>
      <c r="AB79" s="70"/>
      <c r="AC79" s="70"/>
      <c r="AD79" s="60"/>
      <c r="AE79" s="320"/>
      <c r="AF79" s="320" t="s">
        <v>104</v>
      </c>
      <c r="AG79" s="320"/>
      <c r="AH79" s="320" t="s">
        <v>267</v>
      </c>
      <c r="AI79" s="320"/>
      <c r="AJ79" s="320"/>
      <c r="AK79" s="320"/>
      <c r="AL79" s="320"/>
      <c r="AM79" s="320"/>
      <c r="AN79" s="320"/>
      <c r="AO79" s="320"/>
    </row>
    <row r="80" spans="25:41">
      <c r="Y80" s="70"/>
      <c r="Z80" s="70"/>
      <c r="AA80" s="70"/>
      <c r="AB80" s="70"/>
      <c r="AC80" s="70"/>
      <c r="AD80" s="60"/>
      <c r="AE80" s="320"/>
      <c r="AF80" s="321">
        <v>1</v>
      </c>
      <c r="AG80" s="322" t="s">
        <v>106</v>
      </c>
      <c r="AH80" s="322"/>
      <c r="AI80" s="322"/>
      <c r="AJ80" s="322"/>
      <c r="AK80" s="322"/>
      <c r="AL80" s="322"/>
      <c r="AM80" s="322"/>
      <c r="AN80" s="322"/>
      <c r="AO80" s="322"/>
    </row>
    <row r="81" spans="25:41">
      <c r="Y81" s="70"/>
      <c r="Z81" s="70"/>
      <c r="AA81" s="70"/>
      <c r="AB81" s="70"/>
      <c r="AC81" s="70"/>
      <c r="AD81" s="60"/>
      <c r="AE81" s="320"/>
      <c r="AF81" s="247"/>
      <c r="AG81" s="254" t="s">
        <v>107</v>
      </c>
      <c r="AH81" s="254"/>
      <c r="AI81" s="254"/>
      <c r="AJ81" s="254"/>
      <c r="AK81" s="254"/>
      <c r="AL81" s="254"/>
      <c r="AM81" s="254"/>
      <c r="AN81" s="254"/>
      <c r="AO81" s="254"/>
    </row>
    <row r="82" spans="25:41">
      <c r="Y82" s="70"/>
      <c r="Z82" s="70"/>
      <c r="AA82" s="70"/>
      <c r="AB82" s="70"/>
      <c r="AC82" s="70"/>
      <c r="AD82" s="60"/>
      <c r="AE82" s="320"/>
      <c r="AF82" s="323">
        <v>2</v>
      </c>
      <c r="AG82" s="324" t="s">
        <v>108</v>
      </c>
      <c r="AH82" s="324"/>
      <c r="AI82" s="324"/>
      <c r="AJ82" s="324"/>
      <c r="AK82" s="324"/>
      <c r="AL82" s="324"/>
      <c r="AM82" s="324"/>
      <c r="AN82" s="324"/>
      <c r="AO82" s="324"/>
    </row>
    <row r="83" spans="25:41">
      <c r="Y83" s="70"/>
      <c r="Z83" s="70"/>
      <c r="AA83" s="70"/>
      <c r="AB83" s="70"/>
      <c r="AC83" s="70"/>
      <c r="AD83" s="60"/>
      <c r="AE83" s="320"/>
      <c r="AF83" s="247"/>
      <c r="AG83" s="254" t="s">
        <v>109</v>
      </c>
      <c r="AH83" s="254"/>
      <c r="AI83" s="254"/>
      <c r="AJ83" s="254"/>
      <c r="AK83" s="254"/>
      <c r="AL83" s="254"/>
      <c r="AM83" s="254"/>
      <c r="AN83" s="254"/>
      <c r="AO83" s="254"/>
    </row>
    <row r="84" spans="25:41">
      <c r="Y84" s="70"/>
      <c r="Z84" s="70"/>
      <c r="AA84" s="70"/>
      <c r="AB84" s="70"/>
      <c r="AC84" s="70"/>
      <c r="AD84" s="60"/>
      <c r="AE84" s="320"/>
      <c r="AF84" s="325">
        <v>3</v>
      </c>
      <c r="AG84" s="326" t="s">
        <v>110</v>
      </c>
      <c r="AH84" s="326"/>
      <c r="AI84" s="326"/>
      <c r="AJ84" s="326"/>
      <c r="AK84" s="326"/>
      <c r="AL84" s="326"/>
      <c r="AM84" s="326"/>
      <c r="AN84" s="326"/>
      <c r="AO84" s="326"/>
    </row>
    <row r="85" spans="25:41">
      <c r="Y85" s="70"/>
      <c r="Z85" s="70"/>
      <c r="AA85" s="70"/>
      <c r="AB85" s="70"/>
      <c r="AC85" s="70"/>
      <c r="AD85" s="60"/>
      <c r="AE85" s="320"/>
      <c r="AF85" s="247"/>
      <c r="AG85" s="254" t="s">
        <v>111</v>
      </c>
      <c r="AH85" s="254"/>
      <c r="AI85" s="254"/>
      <c r="AJ85" s="254"/>
      <c r="AK85" s="254"/>
      <c r="AL85" s="254"/>
      <c r="AM85" s="254"/>
      <c r="AN85" s="254"/>
      <c r="AO85" s="254"/>
    </row>
    <row r="86" spans="25:41">
      <c r="Y86" s="70"/>
      <c r="Z86" s="70"/>
      <c r="AA86" s="70"/>
      <c r="AB86" s="70"/>
      <c r="AC86" s="70"/>
      <c r="AD86" s="60"/>
      <c r="AE86" s="320"/>
      <c r="AF86" s="327">
        <v>4</v>
      </c>
      <c r="AG86" s="328" t="s">
        <v>112</v>
      </c>
      <c r="AH86" s="328"/>
      <c r="AI86" s="328"/>
      <c r="AJ86" s="328"/>
      <c r="AK86" s="328"/>
      <c r="AL86" s="328"/>
      <c r="AM86" s="328"/>
      <c r="AN86" s="328"/>
      <c r="AO86" s="328"/>
    </row>
    <row r="87" spans="25:41">
      <c r="Y87" s="70"/>
      <c r="Z87" s="70"/>
      <c r="AA87" s="70"/>
      <c r="AB87" s="70"/>
      <c r="AC87" s="70"/>
      <c r="AD87" s="60"/>
      <c r="AE87" s="320"/>
      <c r="AF87" s="247"/>
      <c r="AG87" s="254" t="s">
        <v>113</v>
      </c>
      <c r="AH87" s="254"/>
      <c r="AI87" s="254"/>
      <c r="AJ87" s="254"/>
      <c r="AK87" s="254"/>
      <c r="AL87" s="254"/>
      <c r="AM87" s="254"/>
      <c r="AN87" s="254"/>
      <c r="AO87" s="254"/>
    </row>
    <row r="88" spans="25:41">
      <c r="Y88" s="70"/>
      <c r="Z88" s="70"/>
      <c r="AA88" s="70"/>
      <c r="AB88" s="70"/>
      <c r="AC88" s="70"/>
      <c r="AD88" s="60"/>
      <c r="AE88" s="320"/>
      <c r="AF88" s="329">
        <v>5</v>
      </c>
      <c r="AG88" s="330" t="s">
        <v>114</v>
      </c>
      <c r="AH88" s="330"/>
      <c r="AI88" s="330"/>
      <c r="AJ88" s="330"/>
      <c r="AK88" s="330"/>
      <c r="AL88" s="330"/>
      <c r="AM88" s="330"/>
      <c r="AN88" s="330"/>
      <c r="AO88" s="330"/>
    </row>
    <row r="89" spans="25:41">
      <c r="Y89" s="70"/>
      <c r="Z89" s="70"/>
      <c r="AA89" s="70"/>
      <c r="AB89" s="70"/>
      <c r="AC89" s="70"/>
      <c r="AD89" s="60"/>
      <c r="AE89" s="320"/>
      <c r="AF89" s="247"/>
      <c r="AG89" s="254" t="s">
        <v>115</v>
      </c>
      <c r="AH89" s="254"/>
      <c r="AI89" s="254"/>
      <c r="AJ89" s="254"/>
      <c r="AK89" s="254"/>
      <c r="AL89" s="254"/>
      <c r="AM89" s="254"/>
      <c r="AN89" s="254"/>
      <c r="AO89" s="254"/>
    </row>
    <row r="90" spans="25:41">
      <c r="Y90" s="70"/>
      <c r="Z90" s="70"/>
      <c r="AA90" s="70"/>
      <c r="AB90" s="70"/>
      <c r="AC90" s="70"/>
      <c r="AD90" s="60"/>
      <c r="AE90" s="320"/>
      <c r="AF90" s="331">
        <v>6</v>
      </c>
      <c r="AG90" s="332" t="s">
        <v>116</v>
      </c>
      <c r="AH90" s="332"/>
      <c r="AI90" s="332"/>
      <c r="AJ90" s="332"/>
      <c r="AK90" s="332"/>
      <c r="AL90" s="332"/>
      <c r="AM90" s="332"/>
      <c r="AN90" s="332"/>
      <c r="AO90" s="332"/>
    </row>
    <row r="91" spans="25:41">
      <c r="Y91" s="70"/>
      <c r="Z91" s="70"/>
      <c r="AA91" s="70"/>
      <c r="AB91" s="70"/>
      <c r="AC91" s="70"/>
      <c r="AD91" s="60"/>
      <c r="AE91" s="320"/>
      <c r="AF91" s="247"/>
      <c r="AG91" s="254" t="s">
        <v>117</v>
      </c>
      <c r="AH91" s="254"/>
      <c r="AI91" s="254"/>
      <c r="AJ91" s="254"/>
      <c r="AK91" s="254"/>
      <c r="AL91" s="254"/>
      <c r="AM91" s="254"/>
      <c r="AN91" s="254"/>
      <c r="AO91" s="254"/>
    </row>
    <row r="92" spans="25:41" ht="15.75" thickBot="1">
      <c r="Y92" s="70"/>
      <c r="Z92" s="70"/>
      <c r="AA92" s="70"/>
      <c r="AB92" s="70"/>
      <c r="AC92" s="70"/>
      <c r="AD92" s="60"/>
      <c r="AE92" s="320"/>
      <c r="AF92" s="317"/>
      <c r="AG92" s="318"/>
      <c r="AH92" s="318"/>
      <c r="AI92" s="318"/>
      <c r="AJ92" s="318"/>
      <c r="AK92" s="318"/>
      <c r="AL92" s="318"/>
      <c r="AM92" s="318"/>
      <c r="AN92" s="318"/>
      <c r="AO92" s="318"/>
    </row>
    <row r="93" spans="25:41" ht="15.75" thickBot="1">
      <c r="Y93" s="70"/>
      <c r="Z93" s="70"/>
      <c r="AA93" s="70"/>
      <c r="AB93" s="70"/>
      <c r="AC93" s="70"/>
      <c r="AD93" s="60"/>
      <c r="AE93" s="320"/>
      <c r="AF93" s="333" t="s">
        <v>118</v>
      </c>
      <c r="AG93" s="333"/>
      <c r="AH93" s="333" t="s">
        <v>268</v>
      </c>
      <c r="AI93" s="334"/>
      <c r="AJ93" s="334"/>
      <c r="AK93" s="334"/>
      <c r="AL93" s="334"/>
      <c r="AM93" s="334"/>
      <c r="AN93" s="334"/>
      <c r="AO93" s="334"/>
    </row>
    <row r="94" spans="25:41" ht="15.75" thickBot="1">
      <c r="Y94" s="223" t="str">
        <f>AH93</f>
        <v>Permit Fees - Custom Plans</v>
      </c>
      <c r="Z94" s="335"/>
      <c r="AA94" s="335"/>
      <c r="AB94" s="336"/>
      <c r="AC94" s="178"/>
      <c r="AD94" s="1209"/>
      <c r="AE94" s="320"/>
      <c r="AF94" s="337" t="s">
        <v>119</v>
      </c>
      <c r="AG94" s="224" t="s">
        <v>120</v>
      </c>
      <c r="AH94" s="224"/>
      <c r="AI94" s="224" t="s">
        <v>121</v>
      </c>
      <c r="AJ94" s="224" t="s">
        <v>83</v>
      </c>
      <c r="AK94" s="224" t="s">
        <v>122</v>
      </c>
      <c r="AL94" s="225" t="s">
        <v>122</v>
      </c>
      <c r="AM94" s="70"/>
      <c r="AN94" s="253"/>
      <c r="AO94" s="70"/>
    </row>
    <row r="95" spans="25:41">
      <c r="Y95" s="338" t="s">
        <v>269</v>
      </c>
      <c r="Z95" s="231" t="s">
        <v>83</v>
      </c>
      <c r="AA95" s="231" t="s">
        <v>122</v>
      </c>
      <c r="AB95" s="232" t="s">
        <v>122</v>
      </c>
      <c r="AC95" s="187"/>
      <c r="AD95" s="188"/>
      <c r="AE95" s="320"/>
      <c r="AF95" s="339"/>
      <c r="AG95" s="340" t="s">
        <v>123</v>
      </c>
      <c r="AH95" s="340" t="s">
        <v>124</v>
      </c>
      <c r="AI95" s="341" t="s">
        <v>125</v>
      </c>
      <c r="AJ95" s="341" t="s">
        <v>126</v>
      </c>
      <c r="AK95" s="341" t="s">
        <v>127</v>
      </c>
      <c r="AL95" s="1223" t="s">
        <v>42</v>
      </c>
      <c r="AM95" s="70"/>
      <c r="AN95" s="70"/>
      <c r="AO95" s="70"/>
    </row>
    <row r="96" spans="25:41">
      <c r="Y96" s="338" t="s">
        <v>42</v>
      </c>
      <c r="Z96" s="236" t="s">
        <v>126</v>
      </c>
      <c r="AA96" s="236" t="s">
        <v>127</v>
      </c>
      <c r="AB96" s="1211" t="s">
        <v>42</v>
      </c>
      <c r="AC96" s="70"/>
      <c r="AD96" s="60"/>
      <c r="AE96" s="320"/>
      <c r="AF96" s="342" t="str">
        <f>IF(AND(Z99&gt;=AG96,Z99&lt;=AH96),"yes","no")</f>
        <v>no</v>
      </c>
      <c r="AG96" s="343">
        <v>1</v>
      </c>
      <c r="AH96" s="343">
        <v>500</v>
      </c>
      <c r="AI96" s="344">
        <v>13</v>
      </c>
      <c r="AJ96" s="345">
        <v>0</v>
      </c>
      <c r="AK96" s="345">
        <v>0</v>
      </c>
      <c r="AL96" s="1224">
        <v>0</v>
      </c>
      <c r="AM96" s="70"/>
      <c r="AN96" s="70"/>
      <c r="AO96" s="70"/>
    </row>
    <row r="97" spans="25:41">
      <c r="Y97" s="151">
        <f>VLOOKUP("yes",AF96:AL101,4,FALSE)</f>
        <v>42.25</v>
      </c>
      <c r="Z97" s="275">
        <f>VLOOKUP("yes",AF96:AL101,2,FALSE)</f>
        <v>2001</v>
      </c>
      <c r="AA97" s="275">
        <f>VLOOKUP("yes",AF96:AL101,6,FALSE)</f>
        <v>1000</v>
      </c>
      <c r="AB97" s="89">
        <f>VLOOKUP("yes",AF96:AL101,7,FALSE)</f>
        <v>7.8</v>
      </c>
      <c r="AC97" s="70"/>
      <c r="AD97" s="60"/>
      <c r="AE97" s="320"/>
      <c r="AF97" s="342" t="str">
        <f>IF(AND(Z99&gt;=AG97,Z99&lt;=AH97),"yes","no")</f>
        <v>no</v>
      </c>
      <c r="AG97" s="346">
        <v>501</v>
      </c>
      <c r="AH97" s="346">
        <v>2000</v>
      </c>
      <c r="AI97" s="344">
        <v>13</v>
      </c>
      <c r="AJ97" s="345">
        <v>500</v>
      </c>
      <c r="AK97" s="345">
        <v>100</v>
      </c>
      <c r="AL97" s="1224">
        <v>1.95</v>
      </c>
      <c r="AM97" s="70"/>
      <c r="AN97" s="70"/>
      <c r="AO97" s="70"/>
    </row>
    <row r="98" spans="25:41" ht="15.75" thickBot="1">
      <c r="Y98" s="295"/>
      <c r="Z98" s="347"/>
      <c r="AA98" s="347"/>
      <c r="AB98" s="130"/>
      <c r="AC98" s="70"/>
      <c r="AD98" s="60"/>
      <c r="AE98" s="320"/>
      <c r="AF98" s="342" t="str">
        <f>IF(AND(Z99&gt;=AG98,Z99&lt;=AH98),"yes","no")</f>
        <v>yes</v>
      </c>
      <c r="AG98" s="348">
        <v>2001</v>
      </c>
      <c r="AH98" s="348">
        <v>25000</v>
      </c>
      <c r="AI98" s="344">
        <v>42.25</v>
      </c>
      <c r="AJ98" s="345">
        <v>2000</v>
      </c>
      <c r="AK98" s="345">
        <v>1000</v>
      </c>
      <c r="AL98" s="1224">
        <v>7.8</v>
      </c>
      <c r="AM98" s="70"/>
      <c r="AN98" s="70"/>
      <c r="AO98" s="70"/>
    </row>
    <row r="99" spans="25:41">
      <c r="Y99" s="349" t="s">
        <v>127</v>
      </c>
      <c r="Z99" s="350">
        <f>P5*Y31</f>
        <v>13305.599999999999</v>
      </c>
      <c r="AA99" s="351" t="str">
        <f>CONCATENATE("First $", Z97)</f>
        <v>First $2001</v>
      </c>
      <c r="AB99" s="350">
        <f>Y97</f>
        <v>42.25</v>
      </c>
      <c r="AC99" s="70"/>
      <c r="AD99" s="60"/>
      <c r="AE99" s="320"/>
      <c r="AF99" s="342" t="str">
        <f>IF(AND(Z99&gt;=AG99,Z99&lt;=AH99),"yes","no")</f>
        <v>no</v>
      </c>
      <c r="AG99" s="352">
        <v>25001</v>
      </c>
      <c r="AH99" s="353">
        <v>50000</v>
      </c>
      <c r="AI99" s="344">
        <v>221.65</v>
      </c>
      <c r="AJ99" s="345">
        <v>25000</v>
      </c>
      <c r="AK99" s="345">
        <v>1000</v>
      </c>
      <c r="AL99" s="1224">
        <v>5.85</v>
      </c>
      <c r="AM99" s="70"/>
      <c r="AN99" s="70"/>
      <c r="AO99" s="70"/>
    </row>
    <row r="100" spans="25:41">
      <c r="Y100" s="354" t="s">
        <v>128</v>
      </c>
      <c r="Z100" s="350">
        <f>Z97</f>
        <v>2001</v>
      </c>
      <c r="AA100" s="355" t="str">
        <f>CONCATENATE("Fee on $",Z101)</f>
        <v>Fee on $12000</v>
      </c>
      <c r="AB100" s="350">
        <f>(Z101/AA97)*AB97</f>
        <v>93.6</v>
      </c>
      <c r="AC100" s="70"/>
      <c r="AD100" s="60"/>
      <c r="AE100" s="320"/>
      <c r="AF100" s="342" t="str">
        <f>IF(AND(Z99&gt;=AG100,Z99&lt;=AH100),"yes","no")</f>
        <v>no</v>
      </c>
      <c r="AG100" s="356">
        <v>50001</v>
      </c>
      <c r="AH100" s="356">
        <v>100000</v>
      </c>
      <c r="AI100" s="344">
        <v>367</v>
      </c>
      <c r="AJ100" s="345">
        <v>50000</v>
      </c>
      <c r="AK100" s="345">
        <v>1000</v>
      </c>
      <c r="AL100" s="1224">
        <v>3.9</v>
      </c>
      <c r="AM100" s="70"/>
      <c r="AN100" s="70"/>
      <c r="AO100" s="70"/>
    </row>
    <row r="101" spans="25:41">
      <c r="Y101" s="354" t="s">
        <v>129</v>
      </c>
      <c r="Z101" s="350">
        <f>ROUNDUP(SUM( Z99-Z100),-3)</f>
        <v>12000</v>
      </c>
      <c r="AA101" s="357" t="s">
        <v>13</v>
      </c>
      <c r="AB101" s="358">
        <f>SUM(AB99:AB100)</f>
        <v>135.85</v>
      </c>
      <c r="AC101" s="70"/>
      <c r="AD101" s="60"/>
      <c r="AE101" s="320"/>
      <c r="AF101" s="359" t="str">
        <f>IF(AND(Z99&gt;=AG101,Z99&lt;=AH101),"yes","no")</f>
        <v>no</v>
      </c>
      <c r="AG101" s="360">
        <v>100001</v>
      </c>
      <c r="AH101" s="360">
        <v>100000000</v>
      </c>
      <c r="AI101" s="291">
        <v>562.9</v>
      </c>
      <c r="AJ101" s="361">
        <v>100000</v>
      </c>
      <c r="AK101" s="361">
        <v>1000</v>
      </c>
      <c r="AL101" s="362">
        <v>3.25</v>
      </c>
      <c r="AM101" s="70"/>
      <c r="AN101" s="70"/>
      <c r="AO101" s="70"/>
    </row>
    <row r="102" spans="25:41" ht="15.75" thickBot="1">
      <c r="Y102" s="70"/>
      <c r="Z102" s="70"/>
      <c r="AA102" s="70"/>
      <c r="AB102" s="70"/>
      <c r="AC102" s="70"/>
      <c r="AD102" s="60"/>
      <c r="AE102" s="320"/>
      <c r="AF102" s="363"/>
      <c r="AG102" s="364"/>
      <c r="AH102" s="364"/>
      <c r="AI102" s="364"/>
      <c r="AJ102" s="364"/>
      <c r="AK102" s="364"/>
      <c r="AL102" s="365"/>
      <c r="AM102" s="70"/>
      <c r="AN102" s="70"/>
      <c r="AO102" s="70"/>
    </row>
    <row r="103" spans="25:41" ht="15.75" thickBot="1">
      <c r="Y103" s="70"/>
      <c r="Z103" s="70"/>
      <c r="AA103" s="70"/>
      <c r="AB103" s="70"/>
      <c r="AC103" s="70"/>
      <c r="AD103" s="60"/>
      <c r="AE103" s="320"/>
      <c r="AF103" s="333" t="s">
        <v>118</v>
      </c>
      <c r="AG103" s="333"/>
      <c r="AH103" s="333" t="s">
        <v>270</v>
      </c>
      <c r="AI103" s="334"/>
      <c r="AJ103" s="334"/>
      <c r="AK103" s="334"/>
      <c r="AL103" s="334"/>
      <c r="AM103" s="334"/>
      <c r="AN103" s="334"/>
      <c r="AO103" s="334"/>
    </row>
    <row r="104" spans="25:41" ht="15.75" thickBot="1">
      <c r="Y104" s="223" t="str">
        <f>AH103</f>
        <v>Permit Fees - Design Master Plans</v>
      </c>
      <c r="Z104" s="335"/>
      <c r="AA104" s="335"/>
      <c r="AB104" s="336"/>
      <c r="AC104" s="178"/>
      <c r="AD104" s="1209"/>
      <c r="AE104" s="320"/>
      <c r="AF104" s="337" t="s">
        <v>119</v>
      </c>
      <c r="AG104" s="224" t="s">
        <v>120</v>
      </c>
      <c r="AH104" s="224"/>
      <c r="AI104" s="224" t="s">
        <v>121</v>
      </c>
      <c r="AJ104" s="224" t="s">
        <v>83</v>
      </c>
      <c r="AK104" s="224" t="s">
        <v>122</v>
      </c>
      <c r="AL104" s="225" t="s">
        <v>122</v>
      </c>
      <c r="AM104" s="70"/>
      <c r="AN104" s="253"/>
      <c r="AO104" s="70"/>
    </row>
    <row r="105" spans="25:41">
      <c r="Y105" s="338" t="s">
        <v>269</v>
      </c>
      <c r="Z105" s="231" t="s">
        <v>83</v>
      </c>
      <c r="AA105" s="231" t="s">
        <v>122</v>
      </c>
      <c r="AB105" s="232" t="s">
        <v>122</v>
      </c>
      <c r="AC105" s="187"/>
      <c r="AD105" s="188"/>
      <c r="AE105" s="320"/>
      <c r="AF105" s="339"/>
      <c r="AG105" s="340" t="s">
        <v>123</v>
      </c>
      <c r="AH105" s="340" t="s">
        <v>124</v>
      </c>
      <c r="AI105" s="341" t="s">
        <v>125</v>
      </c>
      <c r="AJ105" s="341" t="s">
        <v>126</v>
      </c>
      <c r="AK105" s="341" t="s">
        <v>127</v>
      </c>
      <c r="AL105" s="1223" t="s">
        <v>42</v>
      </c>
      <c r="AM105" s="70"/>
      <c r="AN105" s="70"/>
      <c r="AO105" s="70"/>
    </row>
    <row r="106" spans="25:41">
      <c r="Y106" s="338" t="s">
        <v>42</v>
      </c>
      <c r="Z106" s="236" t="s">
        <v>126</v>
      </c>
      <c r="AA106" s="236" t="s">
        <v>127</v>
      </c>
      <c r="AB106" s="1211" t="s">
        <v>42</v>
      </c>
      <c r="AC106" s="70"/>
      <c r="AD106" s="60"/>
      <c r="AE106" s="320"/>
      <c r="AF106" s="342" t="str">
        <f>IF(AND(Z109&gt;=AG106,Z109&lt;=AH106),"yes","no")</f>
        <v>no</v>
      </c>
      <c r="AG106" s="343">
        <v>1</v>
      </c>
      <c r="AH106" s="343">
        <v>500</v>
      </c>
      <c r="AI106" s="344">
        <v>19</v>
      </c>
      <c r="AJ106" s="345">
        <v>0</v>
      </c>
      <c r="AK106" s="345">
        <v>0</v>
      </c>
      <c r="AL106" s="1224">
        <v>0</v>
      </c>
      <c r="AM106" s="70"/>
      <c r="AN106" s="70"/>
      <c r="AO106" s="70"/>
    </row>
    <row r="107" spans="25:41">
      <c r="Y107" s="151">
        <f>VLOOKUP("yes",AF106:AL111,4,FALSE)</f>
        <v>58.5</v>
      </c>
      <c r="Z107" s="275">
        <f>VLOOKUP("yes",AF106:AL111,2,FALSE)</f>
        <v>2001</v>
      </c>
      <c r="AA107" s="275">
        <f>VLOOKUP("yes",AF106:AL111,6,FALSE)</f>
        <v>1000</v>
      </c>
      <c r="AB107" s="89">
        <f>VLOOKUP("yes",AF106:AL111,7,FALSE)</f>
        <v>11.7</v>
      </c>
      <c r="AC107" s="70"/>
      <c r="AD107" s="60"/>
      <c r="AE107" s="320"/>
      <c r="AF107" s="342" t="str">
        <f>IF(AND(Z109&gt;=AG107,Z109&lt;=AH107),"yes","no")</f>
        <v>no</v>
      </c>
      <c r="AG107" s="346">
        <v>501</v>
      </c>
      <c r="AH107" s="346">
        <v>2000</v>
      </c>
      <c r="AI107" s="344">
        <v>19</v>
      </c>
      <c r="AJ107" s="345">
        <v>500</v>
      </c>
      <c r="AK107" s="345">
        <v>100</v>
      </c>
      <c r="AL107" s="1224">
        <v>2.6</v>
      </c>
      <c r="AM107" s="70"/>
      <c r="AN107" s="70"/>
      <c r="AO107" s="70"/>
    </row>
    <row r="108" spans="25:41" ht="15.75" thickBot="1">
      <c r="Y108" s="295"/>
      <c r="Z108" s="347"/>
      <c r="AA108" s="347"/>
      <c r="AB108" s="130"/>
      <c r="AC108" s="70"/>
      <c r="AD108" s="60"/>
      <c r="AE108" s="320"/>
      <c r="AF108" s="342" t="str">
        <f>IF(AND(Z109&gt;=AG108,Z109&lt;=AH108),"yes","no")</f>
        <v>yes</v>
      </c>
      <c r="AG108" s="348">
        <v>2001</v>
      </c>
      <c r="AH108" s="348">
        <v>25000</v>
      </c>
      <c r="AI108" s="344">
        <v>58.5</v>
      </c>
      <c r="AJ108" s="345">
        <v>2000</v>
      </c>
      <c r="AK108" s="345">
        <v>1000</v>
      </c>
      <c r="AL108" s="1224">
        <v>11.7</v>
      </c>
      <c r="AM108" s="70"/>
      <c r="AN108" s="70"/>
      <c r="AO108" s="70"/>
    </row>
    <row r="109" spans="25:41">
      <c r="Y109" s="349" t="s">
        <v>127</v>
      </c>
      <c r="Z109" s="350">
        <f>P5*Y31</f>
        <v>13305.599999999999</v>
      </c>
      <c r="AA109" s="351" t="str">
        <f>CONCATENATE("First $", Z107)</f>
        <v>First $2001</v>
      </c>
      <c r="AB109" s="350">
        <f>Y107</f>
        <v>58.5</v>
      </c>
      <c r="AC109" s="70"/>
      <c r="AD109" s="60"/>
      <c r="AE109" s="320"/>
      <c r="AF109" s="342" t="str">
        <f>IF(AND(Z109&gt;=AG109,Z109&lt;=AH109),"yes","no")</f>
        <v>no</v>
      </c>
      <c r="AG109" s="352">
        <v>25001</v>
      </c>
      <c r="AH109" s="353">
        <v>50000</v>
      </c>
      <c r="AI109" s="344">
        <v>327.60000000000002</v>
      </c>
      <c r="AJ109" s="345">
        <v>25000</v>
      </c>
      <c r="AK109" s="345">
        <v>1000</v>
      </c>
      <c r="AL109" s="1224">
        <v>8.4499999999999993</v>
      </c>
      <c r="AM109" s="70"/>
      <c r="AN109" s="70"/>
      <c r="AO109" s="70"/>
    </row>
    <row r="110" spans="25:41">
      <c r="Y110" s="354" t="s">
        <v>128</v>
      </c>
      <c r="Z110" s="350">
        <f>Z97</f>
        <v>2001</v>
      </c>
      <c r="AA110" s="355" t="str">
        <f>CONCATENATE("Fee on $",Z111)</f>
        <v>Fee on $12000</v>
      </c>
      <c r="AB110" s="350">
        <f>(Z111/AA107)*AB107</f>
        <v>140.39999999999998</v>
      </c>
      <c r="AC110" s="70"/>
      <c r="AD110" s="60"/>
      <c r="AE110" s="320"/>
      <c r="AF110" s="342" t="str">
        <f>IF(AND(Z109&gt;=AG110,Z109&lt;=AH110),"yes","no")</f>
        <v>no</v>
      </c>
      <c r="AG110" s="356">
        <v>50001</v>
      </c>
      <c r="AH110" s="356">
        <v>100000</v>
      </c>
      <c r="AI110" s="344">
        <v>538.85</v>
      </c>
      <c r="AJ110" s="345">
        <v>50000</v>
      </c>
      <c r="AK110" s="345">
        <v>1000</v>
      </c>
      <c r="AL110" s="1224">
        <v>5.85</v>
      </c>
      <c r="AM110" s="70"/>
      <c r="AN110" s="70"/>
      <c r="AO110" s="70"/>
    </row>
    <row r="111" spans="25:41">
      <c r="Y111" s="354" t="s">
        <v>129</v>
      </c>
      <c r="Z111" s="350">
        <f>ROUNDUP(SUM( Z109-Z110),-3)</f>
        <v>12000</v>
      </c>
      <c r="AA111" s="357" t="s">
        <v>271</v>
      </c>
      <c r="AB111" s="358">
        <f>SUM(AB109:AB110)</f>
        <v>198.89999999999998</v>
      </c>
      <c r="AC111" s="70"/>
      <c r="AD111" s="60"/>
      <c r="AE111" s="320"/>
      <c r="AF111" s="359" t="str">
        <f>IF(AND(Z109&gt;=AG111,Z109&lt;=AH111),"yes","no")</f>
        <v>no</v>
      </c>
      <c r="AG111" s="360">
        <v>100001</v>
      </c>
      <c r="AH111" s="360">
        <v>100000000</v>
      </c>
      <c r="AI111" s="291">
        <v>831.35</v>
      </c>
      <c r="AJ111" s="361">
        <v>100000</v>
      </c>
      <c r="AK111" s="361">
        <v>1000</v>
      </c>
      <c r="AL111" s="362">
        <v>4.55</v>
      </c>
      <c r="AM111" s="70"/>
      <c r="AN111" s="70"/>
      <c r="AO111" s="70"/>
    </row>
    <row r="112" spans="25:41" ht="15.75" thickBot="1">
      <c r="Y112" s="58"/>
      <c r="Z112" s="58"/>
      <c r="AA112" s="58"/>
      <c r="AB112" s="58"/>
      <c r="AC112" s="70"/>
      <c r="AD112" s="60"/>
      <c r="AE112" s="320"/>
      <c r="AF112" s="363"/>
      <c r="AG112" s="364"/>
      <c r="AH112" s="364"/>
      <c r="AI112" s="364"/>
      <c r="AJ112" s="364"/>
      <c r="AK112" s="364"/>
      <c r="AL112" s="365"/>
      <c r="AM112" s="70"/>
      <c r="AN112" s="70"/>
      <c r="AO112" s="70"/>
    </row>
    <row r="113" spans="25:41" ht="15.75" thickBot="1">
      <c r="Y113" s="58"/>
      <c r="Z113" s="58"/>
      <c r="AA113" s="58"/>
      <c r="AB113" s="58"/>
      <c r="AC113" s="70"/>
      <c r="AD113" s="60"/>
      <c r="AE113" s="32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</row>
    <row r="114" spans="25:41" ht="15.75" thickBot="1">
      <c r="Y114" s="366" t="str">
        <f>AF114</f>
        <v>Custom or Design master</v>
      </c>
      <c r="Z114" s="367"/>
      <c r="AA114" s="367"/>
      <c r="AB114" s="368"/>
      <c r="AC114" s="65"/>
      <c r="AD114" s="369"/>
      <c r="AE114" s="320"/>
      <c r="AF114" s="366" t="s">
        <v>272</v>
      </c>
      <c r="AG114" s="367"/>
      <c r="AH114" s="368"/>
      <c r="AI114" s="70"/>
      <c r="AJ114" s="70"/>
      <c r="AK114" s="70"/>
      <c r="AL114" s="70"/>
      <c r="AM114" s="70"/>
      <c r="AN114" s="70"/>
      <c r="AO114" s="70"/>
    </row>
    <row r="115" spans="25:41">
      <c r="Y115" s="235" t="s">
        <v>269</v>
      </c>
      <c r="Z115" s="370" t="s">
        <v>273</v>
      </c>
      <c r="AA115" s="224" t="s">
        <v>42</v>
      </c>
      <c r="AB115" s="1223" t="s">
        <v>274</v>
      </c>
      <c r="AC115" s="76"/>
      <c r="AD115" s="77"/>
      <c r="AE115" s="320"/>
      <c r="AF115" s="337" t="s">
        <v>44</v>
      </c>
      <c r="AG115" s="224"/>
      <c r="AH115" s="225"/>
      <c r="AI115" s="70"/>
      <c r="AJ115" s="70"/>
      <c r="AK115" s="70"/>
      <c r="AL115" s="70"/>
      <c r="AM115" s="70"/>
      <c r="AN115" s="70"/>
      <c r="AO115" s="70"/>
    </row>
    <row r="116" spans="25:41">
      <c r="Y116" s="235" t="s">
        <v>42</v>
      </c>
      <c r="Z116" s="370"/>
      <c r="AA116" s="341"/>
      <c r="AB116" s="371"/>
      <c r="AC116" s="70"/>
      <c r="AD116" s="60"/>
      <c r="AE116" s="320"/>
      <c r="AF116" s="339" t="s">
        <v>202</v>
      </c>
      <c r="AG116" s="341"/>
      <c r="AH116" s="1223" t="s">
        <v>42</v>
      </c>
      <c r="AI116" s="70"/>
      <c r="AJ116" s="70"/>
      <c r="AK116" s="70"/>
      <c r="AL116" s="70"/>
      <c r="AM116" s="70"/>
      <c r="AN116" s="70"/>
      <c r="AO116" s="70"/>
    </row>
    <row r="117" spans="25:41">
      <c r="Y117" s="372">
        <f>Z117*AA117</f>
        <v>88.302499999999995</v>
      </c>
      <c r="Z117" s="373">
        <f>IF(AB117="Custom Plans",AB101,AB111)</f>
        <v>135.85</v>
      </c>
      <c r="AA117" s="155">
        <f>VLOOKUP(AB117,AF117:AH118,3,)</f>
        <v>0.65</v>
      </c>
      <c r="AB117" s="374" t="str">
        <f>H8</f>
        <v>Custom Plans</v>
      </c>
      <c r="AC117" s="70"/>
      <c r="AD117" s="60"/>
      <c r="AE117" s="320"/>
      <c r="AF117" s="158" t="s">
        <v>197</v>
      </c>
      <c r="AG117" s="152"/>
      <c r="AH117" s="153">
        <v>0.65</v>
      </c>
      <c r="AI117" s="70"/>
      <c r="AJ117" s="70"/>
      <c r="AK117" s="70"/>
      <c r="AL117" s="70"/>
      <c r="AM117" s="70"/>
      <c r="AN117" s="70"/>
      <c r="AO117" s="70"/>
    </row>
    <row r="118" spans="25:41" ht="15.75" thickBot="1">
      <c r="Y118" s="127"/>
      <c r="Z118" s="128"/>
      <c r="AA118" s="129"/>
      <c r="AB118" s="130"/>
      <c r="AC118" s="70"/>
      <c r="AD118" s="60"/>
      <c r="AE118" s="320"/>
      <c r="AF118" s="158" t="s">
        <v>275</v>
      </c>
      <c r="AG118" s="159"/>
      <c r="AH118" s="160">
        <v>0.65</v>
      </c>
      <c r="AI118" s="70"/>
      <c r="AJ118" s="70"/>
      <c r="AK118" s="70"/>
      <c r="AL118" s="70"/>
      <c r="AM118" s="70"/>
      <c r="AN118" s="70"/>
      <c r="AO118" s="70"/>
    </row>
    <row r="119" spans="25:41" ht="15.75" thickBot="1">
      <c r="Y119" s="70"/>
      <c r="Z119" s="70"/>
      <c r="AA119" s="70"/>
      <c r="AB119" s="134"/>
      <c r="AC119" s="70"/>
      <c r="AD119" s="60"/>
      <c r="AE119" s="320"/>
      <c r="AF119" s="170"/>
      <c r="AG119" s="171"/>
      <c r="AH119" s="172"/>
      <c r="AI119" s="70"/>
      <c r="AJ119" s="70"/>
      <c r="AK119" s="70"/>
      <c r="AL119" s="70"/>
      <c r="AM119" s="70"/>
      <c r="AN119" s="70"/>
      <c r="AO119" s="70"/>
    </row>
    <row r="120" spans="25:41" ht="15.75" thickBot="1">
      <c r="Y120" s="58"/>
      <c r="Z120" s="58"/>
      <c r="AA120" s="58"/>
      <c r="AB120" s="58"/>
      <c r="AC120" s="70"/>
      <c r="AD120" s="60"/>
      <c r="AE120" s="32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</row>
    <row r="121" spans="25:41" ht="15.75" thickBot="1">
      <c r="Y121" s="375" t="str">
        <f>AF121</f>
        <v>Electrical</v>
      </c>
      <c r="Z121" s="376"/>
      <c r="AA121" s="376"/>
      <c r="AB121" s="377"/>
      <c r="AC121" s="65"/>
      <c r="AD121" s="369"/>
      <c r="AE121" s="320"/>
      <c r="AF121" s="375" t="s">
        <v>32</v>
      </c>
      <c r="AG121" s="376"/>
      <c r="AH121" s="377"/>
      <c r="AI121" s="70"/>
      <c r="AJ121" s="70"/>
      <c r="AK121" s="70"/>
      <c r="AL121" s="70"/>
      <c r="AM121" s="70"/>
      <c r="AN121" s="70"/>
      <c r="AO121" s="70"/>
    </row>
    <row r="122" spans="25:41">
      <c r="Y122" s="378" t="str">
        <f>AF122</f>
        <v>Business one hour</v>
      </c>
      <c r="Z122" s="379"/>
      <c r="AA122" s="380"/>
      <c r="AB122" s="1225"/>
      <c r="AC122" s="76"/>
      <c r="AD122" s="77"/>
      <c r="AE122" s="320"/>
      <c r="AF122" s="382" t="s">
        <v>276</v>
      </c>
      <c r="AG122" s="380"/>
      <c r="AH122" s="383"/>
      <c r="AI122" s="70"/>
      <c r="AJ122" s="70"/>
      <c r="AK122" s="70"/>
      <c r="AL122" s="70"/>
      <c r="AM122" s="70"/>
      <c r="AN122" s="70"/>
      <c r="AO122" s="70"/>
    </row>
    <row r="123" spans="25:41">
      <c r="Y123" s="378" t="s">
        <v>42</v>
      </c>
      <c r="Z123" s="379"/>
      <c r="AA123" s="381"/>
      <c r="AB123" s="1225"/>
      <c r="AC123" s="70"/>
      <c r="AD123" s="60"/>
      <c r="AE123" s="320"/>
      <c r="AF123" s="378" t="s">
        <v>246</v>
      </c>
      <c r="AG123" s="381"/>
      <c r="AH123" s="1225"/>
      <c r="AI123" s="70"/>
      <c r="AJ123" s="70"/>
      <c r="AK123" s="70"/>
      <c r="AL123" s="70"/>
      <c r="AM123" s="70"/>
      <c r="AN123" s="70"/>
      <c r="AO123" s="70"/>
    </row>
    <row r="124" spans="25:41">
      <c r="Y124" s="384">
        <f>AF124</f>
        <v>69</v>
      </c>
      <c r="Z124" s="373"/>
      <c r="AA124" s="155"/>
      <c r="AB124" s="374"/>
      <c r="AC124" s="70"/>
      <c r="AD124" s="60"/>
      <c r="AE124" s="320"/>
      <c r="AF124" s="112">
        <v>69</v>
      </c>
      <c r="AG124" s="152"/>
      <c r="AH124" s="153"/>
      <c r="AI124" s="70"/>
      <c r="AJ124" s="70"/>
      <c r="AK124" s="70"/>
      <c r="AL124" s="70"/>
      <c r="AM124" s="70"/>
      <c r="AN124" s="70"/>
      <c r="AO124" s="70"/>
    </row>
    <row r="125" spans="25:41" ht="15.75" thickBot="1">
      <c r="Y125" s="127"/>
      <c r="Z125" s="128"/>
      <c r="AA125" s="129"/>
      <c r="AB125" s="130"/>
      <c r="AC125" s="70"/>
      <c r="AD125" s="60"/>
      <c r="AE125" s="320"/>
      <c r="AF125" s="158"/>
      <c r="AG125" s="159"/>
      <c r="AH125" s="160"/>
      <c r="AI125" s="70"/>
      <c r="AJ125" s="70"/>
      <c r="AK125" s="70"/>
      <c r="AL125" s="70"/>
      <c r="AM125" s="70"/>
      <c r="AN125" s="70"/>
      <c r="AO125" s="70"/>
    </row>
    <row r="126" spans="25:41" ht="15.75" thickBot="1">
      <c r="Y126" s="70"/>
      <c r="Z126" s="70"/>
      <c r="AA126" s="70"/>
      <c r="AB126" s="134"/>
      <c r="AC126" s="70"/>
      <c r="AD126" s="60"/>
      <c r="AE126" s="320"/>
      <c r="AF126" s="170"/>
      <c r="AG126" s="171"/>
      <c r="AH126" s="172"/>
      <c r="AI126" s="70"/>
      <c r="AJ126" s="70"/>
      <c r="AK126" s="70"/>
      <c r="AL126" s="70"/>
      <c r="AM126" s="70"/>
      <c r="AN126" s="70"/>
      <c r="AO126" s="70"/>
    </row>
    <row r="127" spans="25:41">
      <c r="Y127" s="70"/>
      <c r="Z127" s="70"/>
      <c r="AA127" s="70"/>
      <c r="AB127" s="70"/>
      <c r="AC127" s="70"/>
      <c r="AD127" s="60"/>
      <c r="AE127" s="32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</row>
    <row r="128" spans="25:41">
      <c r="Y128" s="70"/>
      <c r="Z128" s="70"/>
      <c r="AA128" s="70"/>
      <c r="AB128" s="70"/>
      <c r="AC128" s="70"/>
      <c r="AD128" s="60"/>
      <c r="AE128" s="32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</row>
  </sheetData>
  <sheetProtection algorithmName="SHA-512" hashValue="vawNLUMK4hKTdzaeBGgPY20un5Mswk4LZ1ik8d3mo7Urenj2q62sAW1lr9fON+Yyc27Phwp9V7GmHlFWVYlz3g==" saltValue="jOx/9ArCm+QfFAUo+LcNQQ==" spinCount="100000" sheet="1" selectLockedCells="1"/>
  <conditionalFormatting sqref="G12">
    <cfRule type="expression" dxfId="14" priority="3">
      <formula>H11=$AF$32</formula>
    </cfRule>
  </conditionalFormatting>
  <conditionalFormatting sqref="H12">
    <cfRule type="expression" dxfId="13" priority="4">
      <formula>H11=$AF$32</formula>
    </cfRule>
  </conditionalFormatting>
  <dataValidations count="4">
    <dataValidation type="list" allowBlank="1" showInputMessage="1" showErrorMessage="1" prompt="Select the type of Building" sqref="H11" xr:uid="{9DBEDD8A-BED6-4C34-89F0-92FEBA4369AB}">
      <formula1>$AF$30:$AF$34</formula1>
    </dataValidation>
    <dataValidation type="list" allowBlank="1" showInputMessage="1" showErrorMessage="1" sqref="H10" xr:uid="{DB161E3D-8940-4C3E-85D0-F94560E05763}">
      <formula1>$AF$45:$AF$46</formula1>
    </dataValidation>
    <dataValidation type="list" allowBlank="1" showInputMessage="1" showErrorMessage="1" sqref="H8" xr:uid="{272B2223-4FF2-40D3-832F-B23D8C3FB291}">
      <formula1>$AF$117:$AF$119</formula1>
    </dataValidation>
    <dataValidation type="list" allowBlank="1" showInputMessage="1" showErrorMessage="1" sqref="H9" xr:uid="{CBCDAA0D-B114-45DB-B876-30903FAA4CFE}">
      <formula1>$AF$40:$AF$41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C182-699D-4F04-A1D0-89A1B75F0FBE}">
  <sheetPr codeName="Sheet5">
    <tabColor rgb="FFCC3300"/>
  </sheetPr>
  <dimension ref="A1:AY157"/>
  <sheetViews>
    <sheetView showGridLines="0" tabSelected="1" topLeftCell="G1" zoomScale="55" zoomScaleNormal="55" workbookViewId="0">
      <selection activeCell="N7" sqref="N7"/>
    </sheetView>
  </sheetViews>
  <sheetFormatPr defaultRowHeight="15"/>
  <cols>
    <col min="3" max="3" width="3.28515625" customWidth="1"/>
    <col min="4" max="4" width="7.28515625" customWidth="1"/>
    <col min="7" max="7" width="22.5703125" customWidth="1"/>
    <col min="8" max="8" width="27.140625" bestFit="1" customWidth="1"/>
    <col min="9" max="9" width="7.28515625" customWidth="1"/>
    <col min="10" max="11" width="1.140625" customWidth="1"/>
    <col min="12" max="12" width="1.42578125" customWidth="1"/>
    <col min="13" max="13" width="17" style="385" customWidth="1"/>
    <col min="14" max="14" width="14.7109375" style="973" customWidth="1"/>
    <col min="16" max="16" width="9.140625" customWidth="1"/>
    <col min="18" max="18" width="10.42578125" style="973" customWidth="1"/>
    <col min="19" max="19" width="9.140625" style="973" customWidth="1"/>
    <col min="20" max="20" width="16.7109375" style="973" hidden="1" customWidth="1"/>
    <col min="21" max="21" width="15.42578125" style="973" hidden="1" customWidth="1"/>
    <col min="22" max="22" width="21.28515625" style="973" hidden="1" customWidth="1"/>
    <col min="23" max="23" width="15.85546875" style="973" hidden="1" customWidth="1"/>
    <col min="24" max="24" width="17.5703125" style="973" hidden="1" customWidth="1"/>
    <col min="25" max="25" width="19.140625" style="973" hidden="1" customWidth="1"/>
    <col min="26" max="26" width="15.85546875" style="973" hidden="1" customWidth="1"/>
    <col min="27" max="29" width="3.5703125" style="973" hidden="1" customWidth="1"/>
    <col min="30" max="33" width="15.140625" style="973" hidden="1" customWidth="1"/>
    <col min="34" max="34" width="12" style="973" hidden="1" customWidth="1"/>
    <col min="35" max="37" width="9.140625" style="973" hidden="1" customWidth="1"/>
    <col min="38" max="38" width="16.7109375" style="973" hidden="1" customWidth="1"/>
    <col min="39" max="39" width="9.140625" style="973" hidden="1" customWidth="1"/>
    <col min="40" max="40" width="9.140625" style="973" customWidth="1"/>
    <col min="41" max="42" width="9.140625" style="973"/>
    <col min="43" max="50" width="0" style="973" hidden="1" customWidth="1"/>
    <col min="51" max="51" width="9.140625" style="973"/>
  </cols>
  <sheetData>
    <row r="1" spans="1:51" s="56" customFormat="1" ht="16.5" customHeight="1" thickBot="1">
      <c r="A1" s="48"/>
      <c r="B1" s="48"/>
      <c r="C1" s="48"/>
      <c r="D1" s="48"/>
      <c r="E1" s="48"/>
      <c r="F1" s="48"/>
      <c r="G1" s="48"/>
      <c r="H1" s="48"/>
      <c r="I1" s="760"/>
      <c r="J1" s="49"/>
      <c r="K1" s="49"/>
      <c r="L1" s="49"/>
      <c r="M1" s="49"/>
      <c r="N1" s="1167"/>
      <c r="O1" s="51"/>
      <c r="P1" s="52"/>
      <c r="Q1" s="53"/>
      <c r="R1" s="1158"/>
      <c r="S1" s="974"/>
      <c r="T1" s="864"/>
      <c r="U1" s="864"/>
      <c r="V1" s="865"/>
      <c r="W1" s="865"/>
      <c r="X1" s="865"/>
      <c r="Y1" s="865"/>
      <c r="Z1" s="865"/>
      <c r="AA1" s="866"/>
      <c r="AB1" s="867"/>
      <c r="AC1" s="867"/>
      <c r="AD1" s="867"/>
      <c r="AE1" s="867"/>
      <c r="AF1" s="867"/>
      <c r="AG1" s="867"/>
      <c r="AH1" s="868"/>
      <c r="AI1" s="868"/>
      <c r="AJ1" s="868"/>
      <c r="AK1" s="868"/>
      <c r="AL1" s="868"/>
      <c r="AM1" s="868"/>
      <c r="AN1" s="864"/>
      <c r="AO1" s="864"/>
      <c r="AP1" s="864"/>
      <c r="AQ1" s="864"/>
      <c r="AR1" s="864"/>
      <c r="AS1" s="864"/>
      <c r="AT1" s="864"/>
      <c r="AU1" s="864"/>
      <c r="AV1" s="864"/>
      <c r="AW1" s="864"/>
      <c r="AX1" s="864"/>
      <c r="AY1" s="864"/>
    </row>
    <row r="2" spans="1:51" s="56" customFormat="1" ht="15.75" thickBot="1">
      <c r="A2" s="48"/>
      <c r="B2" s="48"/>
      <c r="M2" s="61"/>
      <c r="N2" s="864"/>
      <c r="R2" s="864"/>
      <c r="S2" s="864"/>
      <c r="T2" s="864"/>
      <c r="U2" s="864"/>
      <c r="V2" s="869"/>
      <c r="W2" s="870"/>
      <c r="X2" s="870"/>
      <c r="Y2" s="870"/>
      <c r="Z2" s="871"/>
      <c r="AA2" s="872"/>
      <c r="AB2" s="1213"/>
      <c r="AC2" s="874"/>
      <c r="AD2" s="875"/>
      <c r="AE2" s="876"/>
      <c r="AF2" s="876"/>
      <c r="AG2" s="877"/>
      <c r="AH2" s="878"/>
      <c r="AI2" s="878"/>
      <c r="AJ2" s="878"/>
      <c r="AK2" s="878"/>
      <c r="AL2" s="878"/>
      <c r="AM2" s="878"/>
      <c r="AN2" s="864"/>
      <c r="AO2" s="864"/>
      <c r="AP2" s="864"/>
      <c r="AQ2" s="864"/>
      <c r="AR2" s="864"/>
      <c r="AS2" s="864"/>
      <c r="AT2" s="864"/>
      <c r="AU2" s="864"/>
      <c r="AV2" s="864"/>
      <c r="AW2" s="864"/>
      <c r="AX2" s="864"/>
      <c r="AY2" s="864"/>
    </row>
    <row r="3" spans="1:51" s="56" customFormat="1" ht="21">
      <c r="A3" s="48"/>
      <c r="B3" s="48"/>
      <c r="D3" s="71"/>
      <c r="E3" s="72"/>
      <c r="F3" s="73"/>
      <c r="G3" s="72" t="s">
        <v>277</v>
      </c>
      <c r="H3" s="74"/>
      <c r="I3" s="75"/>
      <c r="N3" s="864"/>
      <c r="R3" s="864"/>
      <c r="S3" s="864"/>
      <c r="T3" s="864"/>
      <c r="U3" s="864"/>
      <c r="V3" s="879" t="s">
        <v>278</v>
      </c>
      <c r="W3" s="870" t="s">
        <v>279</v>
      </c>
      <c r="X3" s="870" t="s">
        <v>177</v>
      </c>
      <c r="Y3" s="870"/>
      <c r="Z3" s="871"/>
      <c r="AA3" s="880"/>
      <c r="AB3" s="881"/>
      <c r="AC3" s="874"/>
      <c r="AD3" s="882"/>
      <c r="AE3" s="883"/>
      <c r="AF3" s="870"/>
      <c r="AG3" s="871"/>
      <c r="AH3" s="878"/>
      <c r="AI3" s="878"/>
      <c r="AJ3" s="878"/>
      <c r="AK3" s="878"/>
      <c r="AL3" s="878"/>
      <c r="AM3" s="878"/>
      <c r="AN3" s="864"/>
      <c r="AO3" s="864"/>
      <c r="AP3" s="864"/>
      <c r="AQ3" s="864"/>
      <c r="AR3" s="864"/>
      <c r="AS3" s="864"/>
      <c r="AT3" s="864"/>
      <c r="AU3" s="864"/>
      <c r="AV3" s="864"/>
      <c r="AW3" s="864"/>
      <c r="AX3" s="864"/>
      <c r="AY3" s="864"/>
    </row>
    <row r="4" spans="1:51" s="56" customFormat="1" ht="12" customHeight="1">
      <c r="A4" s="48"/>
      <c r="B4" s="48"/>
      <c r="D4" s="762"/>
      <c r="E4" s="763"/>
      <c r="F4" s="764"/>
      <c r="G4" s="763"/>
      <c r="H4" s="12"/>
      <c r="I4" s="41"/>
      <c r="N4" s="864"/>
      <c r="R4" s="864"/>
      <c r="S4" s="864"/>
      <c r="T4" s="864"/>
      <c r="U4" s="864"/>
      <c r="V4" s="884" t="s">
        <v>280</v>
      </c>
      <c r="W4" s="885" t="s">
        <v>83</v>
      </c>
      <c r="X4" s="885" t="s">
        <v>80</v>
      </c>
      <c r="Y4" s="886"/>
      <c r="Z4" s="886"/>
      <c r="AA4" s="887"/>
      <c r="AB4" s="888"/>
      <c r="AC4" s="874"/>
      <c r="AD4" s="889"/>
      <c r="AE4" s="890"/>
      <c r="AF4" s="891"/>
      <c r="AG4" s="892"/>
      <c r="AH4" s="878"/>
      <c r="AI4" s="878"/>
      <c r="AJ4" s="878"/>
      <c r="AK4" s="878"/>
      <c r="AL4" s="878"/>
      <c r="AM4" s="878"/>
      <c r="AN4" s="864"/>
      <c r="AO4" s="864"/>
      <c r="AP4" s="864"/>
      <c r="AQ4" s="864"/>
      <c r="AR4" s="864"/>
      <c r="AS4" s="864"/>
      <c r="AT4" s="864"/>
      <c r="AU4" s="864"/>
      <c r="AV4" s="864"/>
      <c r="AW4" s="864"/>
      <c r="AX4" s="864"/>
      <c r="AY4" s="864"/>
    </row>
    <row r="5" spans="1:51" s="56" customFormat="1" ht="21">
      <c r="A5" s="48"/>
      <c r="B5" s="48"/>
      <c r="D5" s="80"/>
      <c r="E5" s="81"/>
      <c r="F5" s="10" t="s">
        <v>281</v>
      </c>
      <c r="G5" s="765">
        <v>1</v>
      </c>
      <c r="H5" s="12"/>
      <c r="I5" s="82"/>
      <c r="J5" s="91"/>
      <c r="K5" s="91"/>
      <c r="L5" s="91"/>
      <c r="M5" s="1148" t="s">
        <v>282</v>
      </c>
      <c r="N5" s="1166" t="s">
        <v>283</v>
      </c>
      <c r="R5" s="864"/>
      <c r="S5" s="864"/>
      <c r="T5" s="864"/>
      <c r="U5" s="864"/>
      <c r="V5" s="893" t="s">
        <v>284</v>
      </c>
      <c r="W5" s="894">
        <f>SUM(G24:G27)</f>
        <v>3833.125</v>
      </c>
      <c r="X5" s="894" t="str">
        <f>IF($G$5&lt;=1,"",H24+H26+H27)</f>
        <v/>
      </c>
      <c r="Y5" s="886"/>
      <c r="Z5" s="886"/>
      <c r="AA5" s="866"/>
      <c r="AB5" s="867"/>
      <c r="AC5" s="874"/>
      <c r="AD5" s="889"/>
      <c r="AE5" s="890"/>
      <c r="AF5" s="891"/>
      <c r="AG5" s="892"/>
      <c r="AH5" s="878"/>
      <c r="AI5" s="878"/>
      <c r="AJ5" s="878"/>
      <c r="AK5" s="878"/>
      <c r="AL5" s="878"/>
      <c r="AM5" s="878"/>
      <c r="AN5" s="864"/>
      <c r="AO5" s="864"/>
      <c r="AP5" s="864"/>
      <c r="AQ5" s="864"/>
      <c r="AR5" s="864"/>
      <c r="AS5" s="864"/>
      <c r="AT5" s="864"/>
      <c r="AU5" s="864"/>
      <c r="AV5" s="864"/>
      <c r="AW5" s="864"/>
      <c r="AX5" s="864"/>
      <c r="AY5" s="864"/>
    </row>
    <row r="6" spans="1:51" s="56" customFormat="1">
      <c r="A6" s="48"/>
      <c r="B6" s="48"/>
      <c r="D6" s="80"/>
      <c r="E6" s="90"/>
      <c r="F6" s="10" t="s">
        <v>285</v>
      </c>
      <c r="G6" s="765">
        <v>6</v>
      </c>
      <c r="H6" s="12" t="s">
        <v>286</v>
      </c>
      <c r="I6" s="82"/>
      <c r="K6" s="91"/>
      <c r="M6" s="1149" t="s">
        <v>287</v>
      </c>
      <c r="N6" s="1168" t="b">
        <v>0</v>
      </c>
      <c r="R6" s="864"/>
      <c r="S6" s="864"/>
      <c r="T6" s="864"/>
      <c r="U6" s="864"/>
      <c r="V6" s="893"/>
      <c r="W6" s="886"/>
      <c r="X6" s="886"/>
      <c r="Y6" s="886"/>
      <c r="Z6" s="886"/>
      <c r="AA6" s="866"/>
      <c r="AB6" s="867"/>
      <c r="AC6" s="874"/>
      <c r="AD6" s="889"/>
      <c r="AE6" s="890"/>
      <c r="AF6" s="891"/>
      <c r="AG6" s="892"/>
      <c r="AH6" s="878"/>
      <c r="AI6" s="878"/>
      <c r="AJ6" s="878"/>
      <c r="AK6" s="878"/>
      <c r="AL6" s="878"/>
      <c r="AM6" s="878"/>
      <c r="AN6" s="864"/>
      <c r="AO6" s="864"/>
      <c r="AP6" s="864"/>
      <c r="AQ6" s="864"/>
      <c r="AR6" s="864"/>
      <c r="AS6" s="864"/>
      <c r="AT6" s="864"/>
      <c r="AU6" s="864"/>
      <c r="AV6" s="864"/>
      <c r="AW6" s="864"/>
      <c r="AX6" s="864"/>
      <c r="AY6" s="864"/>
    </row>
    <row r="7" spans="1:51" s="56" customFormat="1">
      <c r="A7" s="48"/>
      <c r="B7" s="48"/>
      <c r="D7" s="80"/>
      <c r="E7" s="90"/>
      <c r="F7" s="10" t="s">
        <v>288</v>
      </c>
      <c r="G7" s="765">
        <v>212172</v>
      </c>
      <c r="H7" s="12"/>
      <c r="I7" s="82"/>
      <c r="K7" s="91"/>
      <c r="M7" s="1149" t="s">
        <v>289</v>
      </c>
      <c r="N7" s="1168" t="b">
        <v>1</v>
      </c>
      <c r="R7" s="864"/>
      <c r="S7" s="864"/>
      <c r="T7" s="864"/>
      <c r="U7" s="864"/>
      <c r="V7" s="893"/>
      <c r="W7" s="886"/>
      <c r="X7" s="886"/>
      <c r="Y7" s="886"/>
      <c r="Z7" s="886"/>
      <c r="AA7" s="866"/>
      <c r="AB7" s="867"/>
      <c r="AC7" s="874"/>
      <c r="AD7" s="889"/>
      <c r="AE7" s="890"/>
      <c r="AF7" s="891"/>
      <c r="AG7" s="892"/>
      <c r="AH7" s="878"/>
      <c r="AI7" s="878"/>
      <c r="AJ7" s="878"/>
      <c r="AK7" s="878"/>
      <c r="AL7" s="878"/>
      <c r="AM7" s="878"/>
      <c r="AN7" s="864"/>
      <c r="AO7" s="864"/>
      <c r="AP7" s="864"/>
      <c r="AQ7" s="864"/>
      <c r="AR7" s="864"/>
      <c r="AS7" s="864"/>
      <c r="AT7" s="864"/>
      <c r="AU7" s="864"/>
      <c r="AV7" s="864"/>
      <c r="AW7" s="864"/>
      <c r="AX7" s="864"/>
      <c r="AY7" s="864"/>
    </row>
    <row r="8" spans="1:51" s="56" customFormat="1">
      <c r="A8" s="48"/>
      <c r="B8" s="48"/>
      <c r="D8" s="80"/>
      <c r="E8" s="90"/>
      <c r="F8" s="10" t="s">
        <v>290</v>
      </c>
      <c r="G8" s="765">
        <f>72*60</f>
        <v>4320</v>
      </c>
      <c r="H8" s="12"/>
      <c r="I8" s="82"/>
      <c r="K8" s="91"/>
      <c r="M8" s="1149" t="s">
        <v>291</v>
      </c>
      <c r="N8" s="1168" t="b">
        <v>0</v>
      </c>
      <c r="R8" s="864"/>
      <c r="S8" s="864"/>
      <c r="T8" s="864"/>
      <c r="U8" s="864"/>
      <c r="V8" s="893"/>
      <c r="W8" s="886"/>
      <c r="X8" s="886"/>
      <c r="Y8" s="886"/>
      <c r="Z8" s="886"/>
      <c r="AA8" s="866"/>
      <c r="AB8" s="867"/>
      <c r="AC8" s="874"/>
      <c r="AD8" s="889"/>
      <c r="AE8" s="890"/>
      <c r="AF8" s="891"/>
      <c r="AG8" s="892"/>
      <c r="AH8" s="878"/>
      <c r="AI8" s="878"/>
      <c r="AJ8" s="878"/>
      <c r="AK8" s="878"/>
      <c r="AL8" s="878"/>
      <c r="AM8" s="878"/>
      <c r="AN8" s="864"/>
      <c r="AO8" s="864"/>
      <c r="AP8" s="864"/>
      <c r="AQ8" s="864"/>
      <c r="AR8" s="864"/>
      <c r="AS8" s="864"/>
      <c r="AT8" s="864"/>
      <c r="AU8" s="864"/>
      <c r="AV8" s="864"/>
      <c r="AW8" s="864"/>
      <c r="AX8" s="864"/>
      <c r="AY8" s="864"/>
    </row>
    <row r="9" spans="1:51" s="56" customFormat="1">
      <c r="A9" s="48"/>
      <c r="B9" s="48"/>
      <c r="D9" s="80"/>
      <c r="E9" s="90"/>
      <c r="F9" s="399" t="s">
        <v>292</v>
      </c>
      <c r="G9" s="765">
        <v>5</v>
      </c>
      <c r="H9" s="12"/>
      <c r="I9" s="82"/>
      <c r="K9" s="91"/>
      <c r="M9" s="1149" t="s">
        <v>293</v>
      </c>
      <c r="N9" s="1168" t="b">
        <v>0</v>
      </c>
      <c r="R9" s="864"/>
      <c r="S9" s="864"/>
      <c r="T9" s="864"/>
      <c r="U9" s="864"/>
      <c r="V9" s="893"/>
      <c r="W9" s="886"/>
      <c r="X9" s="886"/>
      <c r="Y9" s="886"/>
      <c r="Z9" s="886"/>
      <c r="AA9" s="866"/>
      <c r="AB9" s="867"/>
      <c r="AC9" s="874"/>
      <c r="AD9" s="889"/>
      <c r="AE9" s="890"/>
      <c r="AF9" s="891"/>
      <c r="AG9" s="892"/>
      <c r="AH9" s="878"/>
      <c r="AI9" s="878"/>
      <c r="AJ9" s="878"/>
      <c r="AK9" s="878"/>
      <c r="AL9" s="878"/>
      <c r="AM9" s="878"/>
      <c r="AN9" s="864"/>
      <c r="AO9" s="864"/>
      <c r="AP9" s="864"/>
      <c r="AQ9" s="864"/>
      <c r="AR9" s="864"/>
      <c r="AS9" s="864"/>
      <c r="AT9" s="864"/>
      <c r="AU9" s="864"/>
      <c r="AV9" s="864"/>
      <c r="AW9" s="864"/>
      <c r="AX9" s="864"/>
      <c r="AY9" s="864"/>
    </row>
    <row r="10" spans="1:51" s="56" customFormat="1">
      <c r="A10" s="48"/>
      <c r="B10" s="48"/>
      <c r="D10" s="80"/>
      <c r="E10" s="90"/>
      <c r="F10" s="399" t="s">
        <v>159</v>
      </c>
      <c r="G10" s="765">
        <f>38039+9468</f>
        <v>47507</v>
      </c>
      <c r="H10" s="12"/>
      <c r="I10" s="82"/>
      <c r="K10" s="91"/>
      <c r="M10" s="1149" t="s">
        <v>294</v>
      </c>
      <c r="N10" s="1168" t="b">
        <v>0</v>
      </c>
      <c r="R10" s="864"/>
      <c r="S10" s="864"/>
      <c r="T10" s="864"/>
      <c r="U10" s="864"/>
      <c r="V10" s="893"/>
      <c r="W10" s="886"/>
      <c r="X10" s="886"/>
      <c r="Y10" s="886"/>
      <c r="Z10" s="886"/>
      <c r="AA10" s="866"/>
      <c r="AB10" s="867"/>
      <c r="AC10" s="874"/>
      <c r="AD10" s="889"/>
      <c r="AE10" s="890"/>
      <c r="AF10" s="891"/>
      <c r="AG10" s="892"/>
      <c r="AH10" s="878"/>
      <c r="AI10" s="878"/>
      <c r="AJ10" s="878"/>
      <c r="AK10" s="878"/>
      <c r="AL10" s="878"/>
      <c r="AM10" s="878"/>
      <c r="AN10" s="864"/>
      <c r="AO10" s="864"/>
      <c r="AP10" s="864"/>
      <c r="AQ10" s="864"/>
      <c r="AR10" s="864"/>
      <c r="AS10" s="864"/>
      <c r="AT10" s="864"/>
      <c r="AU10" s="864"/>
      <c r="AV10" s="864"/>
      <c r="AW10" s="864"/>
      <c r="AX10" s="864"/>
      <c r="AY10" s="864"/>
    </row>
    <row r="11" spans="1:51" s="56" customFormat="1" ht="18" customHeight="1">
      <c r="A11" s="48"/>
      <c r="B11" s="48"/>
      <c r="D11" s="762"/>
      <c r="E11" s="763"/>
      <c r="F11" s="399" t="str">
        <f>IF(AND(OR(Oregon=TRUE,WA=TRUE),ID=FALSE,MT=FALSE,UT=FALSE,CO=FALSE,CA=FALSE,NV=FALSE,WY=FALSE),"Total Panel Amperage","")</f>
        <v>Total Panel Amperage</v>
      </c>
      <c r="G11" s="765">
        <v>125</v>
      </c>
      <c r="H11" s="12"/>
      <c r="I11" s="41"/>
      <c r="K11" s="91"/>
      <c r="M11" s="1149" t="s">
        <v>295</v>
      </c>
      <c r="N11" s="1168" t="b">
        <v>0</v>
      </c>
      <c r="R11" s="864"/>
      <c r="S11" s="864"/>
      <c r="T11" s="864"/>
      <c r="U11" s="864"/>
      <c r="V11" s="893"/>
      <c r="W11" s="886"/>
      <c r="X11" s="886"/>
      <c r="Y11" s="886"/>
      <c r="Z11" s="886"/>
      <c r="AA11" s="866"/>
      <c r="AB11" s="867"/>
      <c r="AC11" s="874"/>
      <c r="AD11" s="889"/>
      <c r="AE11" s="890"/>
      <c r="AF11" s="891"/>
      <c r="AG11" s="892"/>
      <c r="AH11" s="878"/>
      <c r="AI11" s="878"/>
      <c r="AJ11" s="878"/>
      <c r="AK11" s="878"/>
      <c r="AL11" s="878"/>
      <c r="AM11" s="878"/>
      <c r="AN11" s="864"/>
      <c r="AO11" s="864"/>
      <c r="AP11" s="864"/>
      <c r="AQ11" s="864"/>
      <c r="AR11" s="864"/>
      <c r="AS11" s="864"/>
      <c r="AT11" s="864"/>
      <c r="AU11" s="864"/>
      <c r="AV11" s="864"/>
      <c r="AW11" s="864"/>
      <c r="AX11" s="864"/>
      <c r="AY11" s="864"/>
    </row>
    <row r="12" spans="1:51" s="56" customFormat="1" ht="21">
      <c r="A12" s="48"/>
      <c r="B12" s="48"/>
      <c r="D12" s="762"/>
      <c r="E12" s="763"/>
      <c r="F12" s="399" t="s">
        <v>296</v>
      </c>
      <c r="G12" s="765" t="s">
        <v>77</v>
      </c>
      <c r="H12" s="12"/>
      <c r="I12" s="41"/>
      <c r="K12" s="91"/>
      <c r="M12" s="1149" t="s">
        <v>297</v>
      </c>
      <c r="N12" s="1168" t="b">
        <v>0</v>
      </c>
      <c r="R12" s="864"/>
      <c r="S12" s="864"/>
      <c r="T12" s="864"/>
      <c r="U12" s="864"/>
      <c r="V12" s="893"/>
      <c r="W12" s="886"/>
      <c r="X12" s="886"/>
      <c r="Y12" s="886"/>
      <c r="Z12" s="886"/>
      <c r="AA12" s="866"/>
      <c r="AB12" s="867"/>
      <c r="AC12" s="874"/>
      <c r="AD12" s="889"/>
      <c r="AE12" s="890"/>
      <c r="AF12" s="891"/>
      <c r="AG12" s="892"/>
      <c r="AH12" s="878"/>
      <c r="AI12" s="878"/>
      <c r="AJ12" s="878"/>
      <c r="AK12" s="878"/>
      <c r="AL12" s="878"/>
      <c r="AM12" s="878"/>
      <c r="AN12" s="864"/>
      <c r="AO12" s="864"/>
      <c r="AP12" s="864"/>
      <c r="AQ12" s="864"/>
      <c r="AR12" s="864"/>
      <c r="AS12" s="864"/>
      <c r="AT12" s="864"/>
      <c r="AU12" s="864"/>
      <c r="AV12" s="864"/>
      <c r="AW12" s="864"/>
      <c r="AX12" s="864"/>
      <c r="AY12" s="864"/>
    </row>
    <row r="13" spans="1:51" s="56" customFormat="1" ht="21">
      <c r="A13" s="48"/>
      <c r="B13" s="48"/>
      <c r="D13" s="762"/>
      <c r="E13" s="763"/>
      <c r="F13" s="399" t="str">
        <f>+IF(AND(WA=TRUE,drops&lt;&gt;0),"Self Contained?","")</f>
        <v>Self Contained?</v>
      </c>
      <c r="G13" s="1168" t="b">
        <v>0</v>
      </c>
      <c r="H13" s="12"/>
      <c r="I13" s="41"/>
      <c r="K13" s="91"/>
      <c r="M13" s="1149" t="s">
        <v>298</v>
      </c>
      <c r="N13" s="1168" t="b">
        <v>0</v>
      </c>
      <c r="R13" s="864"/>
      <c r="S13" s="864"/>
      <c r="T13" s="864"/>
      <c r="U13" s="864"/>
      <c r="V13" s="893"/>
      <c r="W13" s="886"/>
      <c r="X13" s="886"/>
      <c r="Y13" s="886"/>
      <c r="Z13" s="886"/>
      <c r="AA13" s="866"/>
      <c r="AB13" s="867"/>
      <c r="AC13" s="874"/>
      <c r="AD13" s="889"/>
      <c r="AE13" s="890"/>
      <c r="AF13" s="891"/>
      <c r="AG13" s="892"/>
      <c r="AH13" s="878"/>
      <c r="AI13" s="878"/>
      <c r="AJ13" s="878"/>
      <c r="AK13" s="878"/>
      <c r="AL13" s="878"/>
      <c r="AM13" s="878"/>
      <c r="AN13" s="864"/>
      <c r="AO13" s="864"/>
      <c r="AP13" s="864"/>
      <c r="AQ13" s="864"/>
      <c r="AR13" s="864"/>
      <c r="AS13" s="864"/>
      <c r="AT13" s="864"/>
      <c r="AU13" s="864"/>
      <c r="AV13" s="864"/>
      <c r="AW13" s="864"/>
      <c r="AX13" s="864"/>
      <c r="AY13" s="864"/>
    </row>
    <row r="14" spans="1:51" s="56" customFormat="1" ht="21">
      <c r="A14" s="48"/>
      <c r="B14" s="48"/>
      <c r="D14" s="762"/>
      <c r="E14" s="763"/>
      <c r="F14" s="764"/>
      <c r="G14" s="763"/>
      <c r="H14" s="12"/>
      <c r="I14" s="41"/>
      <c r="M14" s="1149" t="s">
        <v>299</v>
      </c>
      <c r="N14" s="1168" t="b">
        <v>0</v>
      </c>
      <c r="R14" s="864"/>
      <c r="S14" s="864"/>
      <c r="T14" s="864"/>
      <c r="U14" s="864"/>
      <c r="V14" s="893"/>
      <c r="W14" s="886"/>
      <c r="X14" s="886"/>
      <c r="Y14" s="886"/>
      <c r="Z14" s="886"/>
      <c r="AA14" s="866"/>
      <c r="AB14" s="867"/>
      <c r="AC14" s="874"/>
      <c r="AD14" s="889"/>
      <c r="AE14" s="890"/>
      <c r="AF14" s="891"/>
      <c r="AG14" s="892"/>
      <c r="AH14" s="878"/>
      <c r="AI14" s="878"/>
      <c r="AJ14" s="878"/>
      <c r="AK14" s="878"/>
      <c r="AL14" s="878"/>
      <c r="AM14" s="878"/>
      <c r="AN14" s="864"/>
      <c r="AO14" s="864"/>
      <c r="AP14" s="864"/>
      <c r="AQ14" s="864"/>
      <c r="AR14" s="864"/>
      <c r="AS14" s="864"/>
      <c r="AT14" s="864"/>
      <c r="AU14" s="864"/>
      <c r="AV14" s="864"/>
      <c r="AW14" s="864"/>
      <c r="AX14" s="864"/>
      <c r="AY14" s="864"/>
    </row>
    <row r="15" spans="1:51" s="56" customFormat="1" ht="15.75" thickBot="1">
      <c r="A15" s="48"/>
      <c r="B15" s="48"/>
      <c r="D15" s="93"/>
      <c r="E15" s="94"/>
      <c r="F15" s="94" t="s">
        <v>300</v>
      </c>
      <c r="G15" s="94"/>
      <c r="H15" s="94"/>
      <c r="I15" s="95"/>
      <c r="N15" s="864"/>
      <c r="R15" s="864"/>
      <c r="S15" s="864"/>
      <c r="T15" s="864"/>
      <c r="U15" s="864"/>
      <c r="V15" s="895"/>
      <c r="W15" s="891"/>
      <c r="X15" s="891"/>
      <c r="Y15" s="891"/>
      <c r="Z15" s="892"/>
      <c r="AA15" s="866"/>
      <c r="AB15" s="867"/>
      <c r="AC15" s="874"/>
      <c r="AD15" s="889"/>
      <c r="AE15" s="890"/>
      <c r="AF15" s="891"/>
      <c r="AG15" s="892"/>
      <c r="AH15" s="878"/>
      <c r="AI15" s="878"/>
      <c r="AJ15" s="878"/>
      <c r="AK15" s="878"/>
      <c r="AL15" s="878"/>
      <c r="AM15" s="878"/>
      <c r="AN15" s="864"/>
      <c r="AO15" s="864"/>
      <c r="AP15" s="864"/>
      <c r="AQ15" s="975"/>
      <c r="AR15" s="864"/>
      <c r="AS15" s="864"/>
      <c r="AT15" s="864"/>
      <c r="AU15" s="864"/>
      <c r="AV15" s="864"/>
      <c r="AW15" s="864"/>
      <c r="AX15" s="864"/>
      <c r="AY15" s="864"/>
    </row>
    <row r="16" spans="1:51" s="56" customFormat="1">
      <c r="A16" s="48"/>
      <c r="B16" s="48"/>
      <c r="D16" s="97"/>
      <c r="E16" s="98"/>
      <c r="F16" s="98" t="s">
        <v>221</v>
      </c>
      <c r="G16" s="99">
        <f>+'Washington Only'!Q19</f>
        <v>336.22400000000005</v>
      </c>
      <c r="H16" s="12"/>
      <c r="I16" s="41"/>
      <c r="N16" s="864"/>
      <c r="R16" s="864"/>
      <c r="S16" s="864"/>
      <c r="T16" s="864"/>
      <c r="U16" s="864"/>
      <c r="V16" s="895"/>
      <c r="W16" s="891"/>
      <c r="X16" s="891"/>
      <c r="Y16" s="891"/>
      <c r="Z16" s="892"/>
      <c r="AA16" s="866"/>
      <c r="AB16" s="867"/>
      <c r="AC16" s="874"/>
      <c r="AD16" s="889"/>
      <c r="AE16" s="890"/>
      <c r="AF16" s="891"/>
      <c r="AG16" s="892"/>
      <c r="AH16" s="878"/>
      <c r="AI16" s="878"/>
      <c r="AJ16" s="878"/>
      <c r="AK16" s="878"/>
      <c r="AL16" s="878"/>
      <c r="AM16" s="878"/>
      <c r="AN16" s="864"/>
      <c r="AO16" s="864"/>
      <c r="AP16" s="864"/>
      <c r="AQ16" s="975"/>
      <c r="AR16" s="864"/>
      <c r="AS16" s="976"/>
      <c r="AT16" s="977" t="s">
        <v>301</v>
      </c>
      <c r="AU16" s="978"/>
      <c r="AV16" s="978"/>
      <c r="AW16" s="978"/>
      <c r="AX16" s="979"/>
      <c r="AY16" s="864"/>
    </row>
    <row r="17" spans="1:51" s="56" customFormat="1">
      <c r="A17" s="48"/>
      <c r="B17" s="48"/>
      <c r="D17" s="102"/>
      <c r="E17" s="10"/>
      <c r="F17" s="10" t="s">
        <v>226</v>
      </c>
      <c r="G17" s="103">
        <f>+'Washington Only'!Q15/buildings</f>
        <v>3897.0299999999997</v>
      </c>
      <c r="H17" s="12"/>
      <c r="I17" s="41"/>
      <c r="N17" s="864"/>
      <c r="R17" s="864"/>
      <c r="S17" s="864"/>
      <c r="T17" s="864"/>
      <c r="U17" s="864"/>
      <c r="V17" s="895"/>
      <c r="W17" s="896"/>
      <c r="X17" s="891"/>
      <c r="Y17" s="891"/>
      <c r="Z17" s="892"/>
      <c r="AA17" s="866"/>
      <c r="AB17" s="867"/>
      <c r="AC17" s="874"/>
      <c r="AD17" s="889"/>
      <c r="AE17" s="890"/>
      <c r="AF17" s="891"/>
      <c r="AG17" s="892"/>
      <c r="AH17" s="878"/>
      <c r="AI17" s="878"/>
      <c r="AJ17" s="878"/>
      <c r="AK17" s="878"/>
      <c r="AL17" s="878"/>
      <c r="AM17" s="878"/>
      <c r="AN17" s="864"/>
      <c r="AO17" s="864"/>
      <c r="AP17" s="864"/>
      <c r="AQ17" s="975"/>
      <c r="AR17" s="864"/>
      <c r="AS17" s="980"/>
      <c r="AT17" s="981"/>
      <c r="AU17" s="982"/>
      <c r="AV17" s="982"/>
      <c r="AW17" s="982"/>
      <c r="AX17" s="983"/>
      <c r="AY17" s="864"/>
    </row>
    <row r="18" spans="1:51" s="56" customFormat="1">
      <c r="A18" s="48"/>
      <c r="B18" s="48"/>
      <c r="D18" s="106"/>
      <c r="E18" s="107"/>
      <c r="F18" s="107" t="s">
        <v>38</v>
      </c>
      <c r="G18" s="108">
        <f>+'Washington Only'!Q17</f>
        <v>101.50560000000002</v>
      </c>
      <c r="H18" s="12"/>
      <c r="I18" s="41"/>
      <c r="N18" s="864"/>
      <c r="R18" s="864"/>
      <c r="S18" s="864"/>
      <c r="T18" s="864"/>
      <c r="U18" s="864"/>
      <c r="V18" s="895"/>
      <c r="W18" s="896"/>
      <c r="X18" s="891"/>
      <c r="Y18" s="891"/>
      <c r="Z18" s="892"/>
      <c r="AA18" s="866"/>
      <c r="AB18" s="867"/>
      <c r="AC18" s="874"/>
      <c r="AD18" s="889"/>
      <c r="AE18" s="890"/>
      <c r="AF18" s="891"/>
      <c r="AG18" s="892"/>
      <c r="AH18" s="878"/>
      <c r="AI18" s="878"/>
      <c r="AJ18" s="878"/>
      <c r="AK18" s="878"/>
      <c r="AL18" s="878"/>
      <c r="AM18" s="878"/>
      <c r="AN18" s="864"/>
      <c r="AO18" s="864"/>
      <c r="AP18" s="864"/>
      <c r="AQ18" s="975"/>
      <c r="AR18" s="864"/>
      <c r="AS18" s="984"/>
      <c r="AT18" s="985"/>
      <c r="AU18" s="986"/>
      <c r="AV18" s="986"/>
      <c r="AW18" s="986"/>
      <c r="AX18" s="987"/>
      <c r="AY18" s="864"/>
    </row>
    <row r="19" spans="1:51" s="56" customFormat="1" ht="15.75" thickBot="1">
      <c r="A19" s="48"/>
      <c r="B19" s="48"/>
      <c r="D19" s="102"/>
      <c r="E19" s="10"/>
      <c r="F19" s="10" t="s">
        <v>39</v>
      </c>
      <c r="G19" s="103">
        <f>+'Washington Only'!Q18</f>
        <v>756.71680000000003</v>
      </c>
      <c r="H19" s="12"/>
      <c r="I19" s="41"/>
      <c r="N19" s="864"/>
      <c r="R19" s="864"/>
      <c r="S19" s="864"/>
      <c r="T19" s="864"/>
      <c r="U19" s="864"/>
      <c r="V19" s="895"/>
      <c r="W19" s="896"/>
      <c r="X19" s="891"/>
      <c r="Y19" s="891"/>
      <c r="Z19" s="892"/>
      <c r="AA19" s="866"/>
      <c r="AB19" s="867"/>
      <c r="AC19" s="874"/>
      <c r="AD19" s="889"/>
      <c r="AE19" s="890"/>
      <c r="AF19" s="891"/>
      <c r="AG19" s="892"/>
      <c r="AH19" s="878"/>
      <c r="AI19" s="878"/>
      <c r="AJ19" s="878"/>
      <c r="AK19" s="878"/>
      <c r="AL19" s="878"/>
      <c r="AM19" s="878"/>
      <c r="AN19" s="864"/>
      <c r="AO19" s="864"/>
      <c r="AP19" s="864"/>
      <c r="AQ19" s="988"/>
      <c r="AR19" s="864"/>
      <c r="AS19" s="989"/>
      <c r="AT19" s="990" t="str">
        <f>F22</f>
        <v>Idaho Total</v>
      </c>
      <c r="AU19" s="991"/>
      <c r="AV19" s="991"/>
      <c r="AW19" s="991"/>
      <c r="AX19" s="992"/>
      <c r="AY19" s="864"/>
    </row>
    <row r="20" spans="1:51" s="56" customFormat="1" ht="15.75" thickBot="1">
      <c r="A20" s="48"/>
      <c r="B20" s="48"/>
      <c r="D20" s="80"/>
      <c r="E20" s="90"/>
      <c r="F20" s="10" t="s">
        <v>302</v>
      </c>
      <c r="G20" s="111">
        <f>SUM(G16:G19)</f>
        <v>5091.4764000000005</v>
      </c>
      <c r="H20" s="12"/>
      <c r="I20" s="41"/>
      <c r="N20" s="864"/>
      <c r="R20" s="864"/>
      <c r="S20" s="864"/>
      <c r="T20" s="864"/>
      <c r="U20" s="864"/>
      <c r="V20" s="897"/>
      <c r="W20" s="898"/>
      <c r="X20" s="899"/>
      <c r="Y20" s="899"/>
      <c r="Z20" s="900"/>
      <c r="AA20" s="866"/>
      <c r="AB20" s="867"/>
      <c r="AC20" s="874"/>
      <c r="AD20" s="901"/>
      <c r="AE20" s="902"/>
      <c r="AF20" s="902"/>
      <c r="AG20" s="903"/>
      <c r="AH20" s="878"/>
      <c r="AI20" s="878"/>
      <c r="AJ20" s="878"/>
      <c r="AK20" s="878"/>
      <c r="AL20" s="878"/>
      <c r="AM20" s="878"/>
      <c r="AN20" s="864"/>
      <c r="AO20" s="864"/>
      <c r="AP20" s="864"/>
      <c r="AQ20" s="993"/>
      <c r="AR20" s="864"/>
      <c r="AS20" s="994" t="s">
        <v>303</v>
      </c>
      <c r="AT20" s="995" t="s">
        <v>304</v>
      </c>
      <c r="AU20" s="995"/>
      <c r="AV20" s="995"/>
      <c r="AW20" s="995"/>
      <c r="AX20" s="996"/>
      <c r="AY20" s="864"/>
    </row>
    <row r="21" spans="1:51" s="56" customFormat="1" ht="15.75" thickBot="1">
      <c r="A21" s="96"/>
      <c r="B21" s="96"/>
      <c r="D21" s="80"/>
      <c r="E21" s="90"/>
      <c r="F21" s="10"/>
      <c r="G21" s="114"/>
      <c r="H21" s="12"/>
      <c r="I21" s="41"/>
      <c r="N21" s="864"/>
      <c r="R21" s="864"/>
      <c r="S21" s="864"/>
      <c r="T21" s="864"/>
      <c r="U21" s="864"/>
      <c r="V21" s="878"/>
      <c r="W21" s="878"/>
      <c r="X21" s="878"/>
      <c r="Y21" s="878"/>
      <c r="Z21" s="904"/>
      <c r="AA21" s="878"/>
      <c r="AB21" s="868"/>
      <c r="AC21" s="878"/>
      <c r="AD21" s="878"/>
      <c r="AE21" s="878"/>
      <c r="AF21" s="878"/>
      <c r="AG21" s="878"/>
      <c r="AH21" s="878"/>
      <c r="AI21" s="878"/>
      <c r="AJ21" s="878"/>
      <c r="AK21" s="878"/>
      <c r="AL21" s="878"/>
      <c r="AM21" s="878"/>
      <c r="AN21" s="864"/>
      <c r="AO21" s="864"/>
      <c r="AP21" s="864"/>
      <c r="AQ21" s="993"/>
      <c r="AR21" s="864"/>
      <c r="AS21" s="994" t="s">
        <v>305</v>
      </c>
      <c r="AT21" s="995" t="s">
        <v>306</v>
      </c>
      <c r="AU21" s="995"/>
      <c r="AV21" s="995"/>
      <c r="AW21" s="995"/>
      <c r="AX21" s="996"/>
      <c r="AY21" s="864"/>
    </row>
    <row r="22" spans="1:51" s="56" customFormat="1" ht="15.75" thickBot="1">
      <c r="A22" s="101"/>
      <c r="B22" s="101"/>
      <c r="D22" s="116"/>
      <c r="E22" s="117"/>
      <c r="F22" s="118" t="s">
        <v>307</v>
      </c>
      <c r="G22" s="117"/>
      <c r="H22" s="117"/>
      <c r="I22" s="119"/>
      <c r="N22" s="864"/>
      <c r="R22" s="864"/>
      <c r="S22" s="864"/>
      <c r="T22" s="864"/>
      <c r="U22" s="864"/>
      <c r="V22" s="878"/>
      <c r="W22" s="905" t="str">
        <f>AD22</f>
        <v>from Washington Tri-State Labor</v>
      </c>
      <c r="X22" s="906"/>
      <c r="Y22" s="906"/>
      <c r="Z22" s="907"/>
      <c r="AA22" s="908"/>
      <c r="AB22" s="1226"/>
      <c r="AC22" s="910"/>
      <c r="AD22" s="911" t="s">
        <v>308</v>
      </c>
      <c r="AE22" s="912"/>
      <c r="AF22" s="912"/>
      <c r="AG22" s="913"/>
      <c r="AH22" s="878"/>
      <c r="AI22" s="878"/>
      <c r="AJ22" s="878"/>
      <c r="AK22" s="878"/>
      <c r="AL22" s="878"/>
      <c r="AM22" s="878"/>
      <c r="AN22" s="864"/>
      <c r="AO22" s="864"/>
      <c r="AP22" s="864"/>
      <c r="AQ22" s="864"/>
      <c r="AR22" s="997"/>
      <c r="AS22" s="998"/>
      <c r="AT22" s="995" t="s">
        <v>309</v>
      </c>
      <c r="AU22" s="995"/>
      <c r="AV22" s="995"/>
      <c r="AW22" s="995"/>
      <c r="AX22" s="996"/>
      <c r="AY22" s="864"/>
    </row>
    <row r="23" spans="1:51" s="56" customFormat="1">
      <c r="A23" s="105"/>
      <c r="B23" s="105"/>
      <c r="D23" s="80"/>
      <c r="E23" s="90"/>
      <c r="F23" s="83"/>
      <c r="G23" s="122" t="s">
        <v>310</v>
      </c>
      <c r="H23" s="122" t="str">
        <f>IF(H24="","","Additional Bldg(s)")</f>
        <v/>
      </c>
      <c r="I23" s="123"/>
      <c r="N23" s="864"/>
      <c r="R23" s="864"/>
      <c r="S23" s="864"/>
      <c r="T23" s="864"/>
      <c r="U23" s="864"/>
      <c r="V23" s="878"/>
      <c r="W23" s="914"/>
      <c r="X23" s="906"/>
      <c r="Y23" s="906"/>
      <c r="Z23" s="907"/>
      <c r="AA23" s="915"/>
      <c r="AB23" s="916"/>
      <c r="AC23" s="910"/>
      <c r="AD23" s="914">
        <f>'Washington Only'!AH27</f>
        <v>0</v>
      </c>
      <c r="AE23" s="917">
        <f>'Washington Only'!AI27</f>
        <v>0</v>
      </c>
      <c r="AF23" s="906">
        <f>'Washington Only'!AJ27</f>
        <v>0</v>
      </c>
      <c r="AG23" s="907">
        <f>'Washington Only'!AK27</f>
        <v>0</v>
      </c>
      <c r="AH23" s="878"/>
      <c r="AI23" s="878"/>
      <c r="AJ23" s="878"/>
      <c r="AK23" s="878"/>
      <c r="AL23" s="878"/>
      <c r="AM23" s="878"/>
      <c r="AN23" s="864"/>
      <c r="AO23" s="864"/>
      <c r="AP23" s="864"/>
      <c r="AQ23" s="864"/>
      <c r="AR23" s="999"/>
      <c r="AS23" s="998"/>
      <c r="AT23" s="995" t="s">
        <v>311</v>
      </c>
      <c r="AU23" s="995"/>
      <c r="AV23" s="995"/>
      <c r="AW23" s="995"/>
      <c r="AX23" s="996"/>
      <c r="AY23" s="864"/>
    </row>
    <row r="24" spans="1:51" s="56" customFormat="1">
      <c r="A24" s="109"/>
      <c r="B24" s="109"/>
      <c r="D24" s="106"/>
      <c r="E24" s="107"/>
      <c r="F24" s="107" t="s">
        <v>192</v>
      </c>
      <c r="G24" s="108">
        <f>+SUM(Z44:Z51)</f>
        <v>1301.24</v>
      </c>
      <c r="H24" s="92" t="str">
        <f>IF($G$5&lt;=1,"",G24)</f>
        <v/>
      </c>
      <c r="I24" s="123"/>
      <c r="N24" s="864"/>
      <c r="R24" s="864"/>
      <c r="S24" s="864"/>
      <c r="T24" s="864"/>
      <c r="U24" s="864"/>
      <c r="V24" s="878"/>
      <c r="W24" s="918" t="s">
        <v>56</v>
      </c>
      <c r="X24" s="919"/>
      <c r="Y24" s="919"/>
      <c r="Z24" s="1227"/>
      <c r="AA24" s="920"/>
      <c r="AB24" s="921"/>
      <c r="AC24" s="910"/>
      <c r="AD24" s="918">
        <f>'Washington Only'!AH28</f>
        <v>0</v>
      </c>
      <c r="AE24" s="922" t="str">
        <f>'Washington Only'!AI28</f>
        <v>Labor</v>
      </c>
      <c r="AF24" s="919" t="str">
        <f>'Washington Only'!AJ28</f>
        <v>Minimum Hours</v>
      </c>
      <c r="AG24" s="1227">
        <f>'Washington Only'!AK28</f>
        <v>0</v>
      </c>
      <c r="AH24" s="878"/>
      <c r="AI24" s="878"/>
      <c r="AJ24" s="878"/>
      <c r="AK24" s="878"/>
      <c r="AL24" s="878"/>
      <c r="AM24" s="878"/>
      <c r="AN24" s="864"/>
      <c r="AO24" s="864"/>
      <c r="AP24" s="864"/>
      <c r="AQ24" s="993"/>
      <c r="AR24" s="864"/>
      <c r="AS24" s="1000"/>
      <c r="AT24" s="995"/>
      <c r="AU24" s="995"/>
      <c r="AV24" s="995"/>
      <c r="AW24" s="995"/>
      <c r="AX24" s="996"/>
      <c r="AY24" s="864"/>
    </row>
    <row r="25" spans="1:51" s="56" customFormat="1">
      <c r="A25" s="110"/>
      <c r="B25" s="110"/>
      <c r="D25" s="102"/>
      <c r="E25" s="10"/>
      <c r="F25" s="10" t="s">
        <v>312</v>
      </c>
      <c r="G25" s="108">
        <f>+SUM(Z56:Z63)</f>
        <v>1057.26</v>
      </c>
      <c r="H25" s="126" t="s">
        <v>313</v>
      </c>
      <c r="I25" s="123"/>
      <c r="N25" s="864"/>
      <c r="R25" s="864"/>
      <c r="S25" s="864"/>
      <c r="T25" s="864"/>
      <c r="U25" s="864"/>
      <c r="V25" s="878"/>
      <c r="W25" s="923">
        <f>AE25*AF25+'Washington Only'!P7+'Washington Only'!P8</f>
        <v>603.46819999999991</v>
      </c>
      <c r="X25" s="924"/>
      <c r="Y25" s="925"/>
      <c r="Z25" s="926"/>
      <c r="AA25" s="920"/>
      <c r="AB25" s="921"/>
      <c r="AC25" s="910"/>
      <c r="AD25" s="923">
        <f>'Washington Only'!AH29</f>
        <v>0</v>
      </c>
      <c r="AE25" s="925">
        <f>'Washington Only'!AI29</f>
        <v>111.2944</v>
      </c>
      <c r="AF25" s="927">
        <f>'Washington Only'!AJ29</f>
        <v>3</v>
      </c>
      <c r="AG25" s="926">
        <f>'Washington Only'!AK29</f>
        <v>0</v>
      </c>
      <c r="AH25" s="878"/>
      <c r="AI25" s="878"/>
      <c r="AJ25" s="878"/>
      <c r="AK25" s="878"/>
      <c r="AL25" s="878"/>
      <c r="AM25" s="878"/>
      <c r="AN25" s="864"/>
      <c r="AO25" s="864"/>
      <c r="AP25" s="864"/>
      <c r="AQ25" s="993"/>
      <c r="AR25" s="864"/>
      <c r="AS25" s="1000"/>
      <c r="AT25" s="995"/>
      <c r="AU25" s="995"/>
      <c r="AV25" s="995"/>
      <c r="AW25" s="995"/>
      <c r="AX25" s="996"/>
      <c r="AY25" s="864"/>
    </row>
    <row r="26" spans="1:51" s="56" customFormat="1" ht="15.75" thickBot="1">
      <c r="A26" s="113"/>
      <c r="B26" s="113"/>
      <c r="D26" s="106"/>
      <c r="E26" s="107"/>
      <c r="F26" s="107" t="s">
        <v>314</v>
      </c>
      <c r="G26" s="108">
        <f>+((G9*150)+G8*'Idaho Only'!AC35+'All States'!G10)*0.025</f>
        <v>1384.625</v>
      </c>
      <c r="H26" s="92" t="str">
        <f>IF($G$5&lt;=1,"",G26)</f>
        <v/>
      </c>
      <c r="I26" s="123"/>
      <c r="N26" s="864"/>
      <c r="R26" s="864"/>
      <c r="S26" s="864"/>
      <c r="T26" s="864"/>
      <c r="U26" s="864"/>
      <c r="V26" s="878"/>
      <c r="W26" s="928"/>
      <c r="X26" s="929"/>
      <c r="Y26" s="930"/>
      <c r="Z26" s="931"/>
      <c r="AA26" s="920"/>
      <c r="AB26" s="921"/>
      <c r="AC26" s="910"/>
      <c r="AD26" s="932">
        <f>'Washington Only'!AH30</f>
        <v>0</v>
      </c>
      <c r="AE26" s="933">
        <f>'Washington Only'!AI30</f>
        <v>0</v>
      </c>
      <c r="AF26" s="933">
        <f>'Washington Only'!AJ30</f>
        <v>0</v>
      </c>
      <c r="AG26" s="934">
        <f>'Washington Only'!AK30</f>
        <v>0</v>
      </c>
      <c r="AH26" s="878"/>
      <c r="AI26" s="878"/>
      <c r="AJ26" s="935"/>
      <c r="AK26" s="878"/>
      <c r="AL26" s="878"/>
      <c r="AM26" s="878"/>
      <c r="AN26" s="864"/>
      <c r="AO26" s="864"/>
      <c r="AP26" s="864"/>
      <c r="AQ26" s="1228"/>
      <c r="AR26" s="864"/>
      <c r="AS26" s="1000"/>
      <c r="AT26" s="995"/>
      <c r="AU26" s="995"/>
      <c r="AV26" s="995"/>
      <c r="AW26" s="995"/>
      <c r="AX26" s="996"/>
      <c r="AY26" s="864"/>
    </row>
    <row r="27" spans="1:51" s="56" customFormat="1" ht="15.75" thickBot="1">
      <c r="A27" s="115"/>
      <c r="B27" s="115"/>
      <c r="D27" s="135"/>
      <c r="E27" s="136"/>
      <c r="F27" s="136" t="s">
        <v>315</v>
      </c>
      <c r="G27" s="108">
        <v>90</v>
      </c>
      <c r="H27" s="92" t="str">
        <f>IF($G$5&lt;=1,"",G27)</f>
        <v/>
      </c>
      <c r="I27" s="123"/>
      <c r="N27" s="864"/>
      <c r="R27" s="864"/>
      <c r="S27" s="864"/>
      <c r="T27" s="864"/>
      <c r="U27" s="864"/>
      <c r="V27" s="878"/>
      <c r="W27" s="878"/>
      <c r="X27" s="878"/>
      <c r="Y27" s="878"/>
      <c r="Z27" s="904"/>
      <c r="AA27" s="878"/>
      <c r="AB27" s="868"/>
      <c r="AC27" s="878"/>
      <c r="AD27" s="878"/>
      <c r="AE27" s="878"/>
      <c r="AF27" s="878"/>
      <c r="AG27" s="878"/>
      <c r="AH27" s="878"/>
      <c r="AI27" s="878"/>
      <c r="AJ27" s="878"/>
      <c r="AK27" s="878"/>
      <c r="AL27" s="878"/>
      <c r="AM27" s="878"/>
      <c r="AN27" s="864"/>
      <c r="AO27" s="864"/>
      <c r="AP27" s="864"/>
      <c r="AQ27" s="864"/>
      <c r="AR27" s="864"/>
      <c r="AS27" s="1001"/>
      <c r="AT27" s="1002"/>
      <c r="AU27" s="1002"/>
      <c r="AV27" s="1003"/>
      <c r="AW27" s="1003"/>
      <c r="AX27" s="1004"/>
      <c r="AY27" s="864"/>
    </row>
    <row r="28" spans="1:51" s="56" customFormat="1" ht="15.75" thickBot="1">
      <c r="A28" s="121"/>
      <c r="B28" s="121"/>
      <c r="D28" s="80"/>
      <c r="E28" s="90"/>
      <c r="F28" s="90"/>
      <c r="G28" s="90"/>
      <c r="H28" s="90"/>
      <c r="I28" s="123"/>
      <c r="N28" s="864"/>
      <c r="R28" s="864"/>
      <c r="S28" s="864"/>
      <c r="T28" s="864"/>
      <c r="U28" s="864"/>
      <c r="V28" s="878"/>
      <c r="W28" s="936"/>
      <c r="X28" s="937"/>
      <c r="Y28" s="937"/>
      <c r="Z28" s="938"/>
      <c r="AA28" s="908"/>
      <c r="AB28" s="1226"/>
      <c r="AC28" s="939"/>
      <c r="AD28" s="940" t="s">
        <v>316</v>
      </c>
      <c r="AE28" s="941"/>
      <c r="AF28" s="941"/>
      <c r="AG28" s="941"/>
      <c r="AH28" s="942"/>
      <c r="AI28" s="878"/>
      <c r="AJ28" s="878"/>
      <c r="AK28" s="878"/>
      <c r="AL28" s="878"/>
      <c r="AM28" s="878"/>
      <c r="AN28" s="864"/>
      <c r="AO28" s="864"/>
      <c r="AP28" s="864"/>
      <c r="AQ28" s="864"/>
      <c r="AR28" s="864"/>
      <c r="AS28" s="864"/>
      <c r="AT28" s="864"/>
      <c r="AU28" s="864"/>
      <c r="AV28" s="864"/>
      <c r="AW28" s="864"/>
      <c r="AX28" s="864"/>
      <c r="AY28" s="864"/>
    </row>
    <row r="29" spans="1:51" s="56" customFormat="1" ht="15.75" thickBot="1">
      <c r="A29" s="124"/>
      <c r="B29" s="124"/>
      <c r="D29" s="80"/>
      <c r="E29" s="90"/>
      <c r="F29" s="10" t="s">
        <v>307</v>
      </c>
      <c r="G29" s="111">
        <f>IF(G5&gt;1,W5+(G5-1)*X5,W5)</f>
        <v>3833.125</v>
      </c>
      <c r="H29" s="92"/>
      <c r="I29" s="123"/>
      <c r="N29" s="864"/>
      <c r="R29" s="864"/>
      <c r="S29" s="864"/>
      <c r="T29" s="864"/>
      <c r="U29" s="864"/>
      <c r="V29" s="878"/>
      <c r="W29" s="943" t="str">
        <f>'Washington Only'!AA52</f>
        <v xml:space="preserve">First Section </v>
      </c>
      <c r="X29" s="944" t="str">
        <f>'Washington Only'!AB52</f>
        <v>Additional</v>
      </c>
      <c r="Y29" s="944" t="str">
        <f>'Washington Only'!AC52</f>
        <v>Number of</v>
      </c>
      <c r="Z29" s="945" t="str">
        <f>'Washington Only'!AD52</f>
        <v>NLEA</v>
      </c>
      <c r="AA29" s="915"/>
      <c r="AB29" s="916"/>
      <c r="AC29" s="939"/>
      <c r="AD29" s="943" t="str">
        <f>'Washington Only'!AH52</f>
        <v>First</v>
      </c>
      <c r="AE29" s="944" t="str">
        <f>'Washington Only'!AI52</f>
        <v>Each Additional</v>
      </c>
      <c r="AF29" s="937" t="str">
        <f>'Washington Only'!AJ52</f>
        <v>NLEA</v>
      </c>
      <c r="AG29" s="937">
        <f>'Washington Only'!AK52</f>
        <v>0</v>
      </c>
      <c r="AH29" s="938" t="str">
        <f>'Washington Only'!AL52</f>
        <v>Number of</v>
      </c>
      <c r="AI29" s="878"/>
      <c r="AJ29" s="878"/>
      <c r="AK29" s="878"/>
      <c r="AL29" s="878"/>
      <c r="AM29" s="878"/>
      <c r="AN29" s="864"/>
      <c r="AO29" s="864"/>
      <c r="AP29" s="864"/>
      <c r="AQ29" s="864"/>
      <c r="AR29" s="864"/>
      <c r="AS29" s="864"/>
      <c r="AT29" s="864"/>
      <c r="AU29" s="864"/>
      <c r="AV29" s="864"/>
      <c r="AW29" s="864"/>
      <c r="AX29" s="864"/>
      <c r="AY29" s="864"/>
    </row>
    <row r="30" spans="1:51" s="56" customFormat="1">
      <c r="A30" s="125"/>
      <c r="B30" s="125"/>
      <c r="D30" s="80"/>
      <c r="E30" s="90"/>
      <c r="F30" s="22"/>
      <c r="G30" s="10"/>
      <c r="H30" s="12"/>
      <c r="I30" s="41"/>
      <c r="N30" s="864"/>
      <c r="R30" s="864"/>
      <c r="S30" s="864"/>
      <c r="T30" s="864"/>
      <c r="U30" s="864"/>
      <c r="V30" s="878"/>
      <c r="W30" s="946">
        <f>'Washington Only'!AA53</f>
        <v>0</v>
      </c>
      <c r="X30" s="947" t="str">
        <f>'Washington Only'!AB53</f>
        <v>Section</v>
      </c>
      <c r="Y30" s="947" t="str">
        <f>'Washington Only'!AC53</f>
        <v>Additional Mods</v>
      </c>
      <c r="Z30" s="948" t="str">
        <f>'Washington Only'!AD53</f>
        <v>Fee</v>
      </c>
      <c r="AA30" s="920"/>
      <c r="AB30" s="921"/>
      <c r="AC30" s="939"/>
      <c r="AD30" s="943" t="str">
        <f>'Washington Only'!AH53</f>
        <v>Section</v>
      </c>
      <c r="AE30" s="947" t="str">
        <f>'Washington Only'!AI53</f>
        <v>Section</v>
      </c>
      <c r="AF30" s="949" t="str">
        <f>'Washington Only'!AJ53</f>
        <v>Notification</v>
      </c>
      <c r="AG30" s="949">
        <f>'Washington Only'!AK53</f>
        <v>0</v>
      </c>
      <c r="AH30" s="950" t="str">
        <f>'Washington Only'!AL53</f>
        <v>Insignias</v>
      </c>
      <c r="AI30" s="878"/>
      <c r="AJ30" s="878"/>
      <c r="AK30" s="878"/>
      <c r="AL30" s="878"/>
      <c r="AM30" s="878"/>
      <c r="AN30" s="864"/>
      <c r="AO30" s="864"/>
      <c r="AP30" s="864"/>
      <c r="AQ30" s="864"/>
      <c r="AR30" s="864"/>
      <c r="AS30" s="864"/>
      <c r="AT30" s="864"/>
      <c r="AU30" s="864"/>
      <c r="AV30" s="864"/>
      <c r="AW30" s="864"/>
      <c r="AX30" s="864"/>
      <c r="AY30" s="864"/>
    </row>
    <row r="31" spans="1:51" s="56" customFormat="1">
      <c r="D31" s="161"/>
      <c r="E31" s="162"/>
      <c r="F31" s="163" t="s">
        <v>317</v>
      </c>
      <c r="G31" s="164"/>
      <c r="H31" s="164"/>
      <c r="I31" s="165"/>
      <c r="N31" s="864"/>
      <c r="R31" s="864"/>
      <c r="S31" s="864"/>
      <c r="T31" s="864"/>
      <c r="U31" s="864"/>
      <c r="V31" s="878"/>
      <c r="W31" s="951">
        <f>AD31*AH31</f>
        <v>378.35840000000002</v>
      </c>
      <c r="X31" s="952">
        <f>Y31*AE31*AH31</f>
        <v>168.11200000000002</v>
      </c>
      <c r="Y31" s="953">
        <f>IF(G6&lt;1,0,G6-1)</f>
        <v>5</v>
      </c>
      <c r="Z31" s="954">
        <f>AF31*AH31</f>
        <v>50.752800000000008</v>
      </c>
      <c r="AA31" s="920"/>
      <c r="AB31" s="921"/>
      <c r="AC31" s="939"/>
      <c r="AD31" s="923">
        <f>'Washington Only'!AH54</f>
        <v>378.35840000000002</v>
      </c>
      <c r="AE31" s="925">
        <f>'Washington Only'!AI54</f>
        <v>33.622400000000006</v>
      </c>
      <c r="AF31" s="925">
        <f>'Washington Only'!AJ54</f>
        <v>50.752800000000008</v>
      </c>
      <c r="AG31" s="925">
        <f>'Washington Only'!AK54</f>
        <v>0</v>
      </c>
      <c r="AH31" s="926">
        <f>IF(G5&lt;=0,1,G5)</f>
        <v>1</v>
      </c>
      <c r="AI31" s="878"/>
      <c r="AJ31" s="878"/>
      <c r="AK31" s="878"/>
      <c r="AL31" s="878"/>
      <c r="AM31" s="878"/>
      <c r="AN31" s="864"/>
      <c r="AO31" s="864"/>
      <c r="AP31" s="864"/>
      <c r="AQ31" s="864"/>
      <c r="AR31" s="864"/>
      <c r="AS31" s="864"/>
      <c r="AT31" s="864"/>
      <c r="AU31" s="864"/>
      <c r="AV31" s="864"/>
      <c r="AW31" s="864"/>
      <c r="AX31" s="864"/>
      <c r="AY31" s="864"/>
    </row>
    <row r="32" spans="1:51" s="56" customFormat="1" ht="15.75" thickBot="1">
      <c r="D32" s="106"/>
      <c r="E32" s="107"/>
      <c r="F32" s="107" t="s">
        <v>318</v>
      </c>
      <c r="G32" s="108">
        <f>W38</f>
        <v>50</v>
      </c>
      <c r="H32" s="12"/>
      <c r="I32" s="41"/>
      <c r="N32" s="864"/>
      <c r="R32" s="864"/>
      <c r="S32" s="864"/>
      <c r="T32" s="955"/>
      <c r="U32" s="955"/>
      <c r="V32" s="878"/>
      <c r="W32" s="956"/>
      <c r="X32" s="957"/>
      <c r="Y32" s="958"/>
      <c r="Z32" s="959"/>
      <c r="AA32" s="920"/>
      <c r="AB32" s="921"/>
      <c r="AC32" s="939"/>
      <c r="AD32" s="960"/>
      <c r="AE32" s="961"/>
      <c r="AF32" s="961"/>
      <c r="AG32" s="961"/>
      <c r="AH32" s="934"/>
      <c r="AI32" s="878"/>
      <c r="AJ32" s="878"/>
      <c r="AK32" s="878"/>
      <c r="AL32" s="878"/>
      <c r="AM32" s="878"/>
      <c r="AN32" s="864"/>
      <c r="AO32" s="864"/>
      <c r="AP32" s="864"/>
      <c r="AQ32" s="864"/>
      <c r="AR32" s="864"/>
      <c r="AS32" s="864"/>
      <c r="AT32" s="864"/>
      <c r="AU32" s="864"/>
      <c r="AV32" s="864"/>
      <c r="AW32" s="864"/>
      <c r="AX32" s="864"/>
      <c r="AY32" s="864"/>
    </row>
    <row r="33" spans="4:51" s="56" customFormat="1">
      <c r="D33" s="102"/>
      <c r="E33" s="10"/>
      <c r="F33" s="10" t="s">
        <v>319</v>
      </c>
      <c r="G33" s="103">
        <f>X38</f>
        <v>175</v>
      </c>
      <c r="H33" s="12"/>
      <c r="I33" s="41"/>
      <c r="N33" s="864"/>
      <c r="R33" s="864"/>
      <c r="S33" s="864"/>
      <c r="T33" s="864"/>
      <c r="U33" s="864"/>
      <c r="V33" s="878"/>
      <c r="W33" s="878"/>
      <c r="X33" s="878"/>
      <c r="Y33" s="878"/>
      <c r="Z33" s="904"/>
      <c r="AA33" s="878"/>
      <c r="AB33" s="868"/>
      <c r="AC33" s="878"/>
      <c r="AD33" s="878"/>
      <c r="AE33" s="878"/>
      <c r="AF33" s="878"/>
      <c r="AG33" s="878"/>
      <c r="AH33" s="878"/>
      <c r="AI33" s="878"/>
      <c r="AJ33" s="878"/>
      <c r="AK33" s="878"/>
      <c r="AL33" s="878"/>
      <c r="AM33" s="878"/>
      <c r="AN33" s="864"/>
      <c r="AO33" s="864"/>
      <c r="AP33" s="864"/>
      <c r="AQ33" s="864"/>
      <c r="AR33" s="864"/>
      <c r="AS33" s="864"/>
      <c r="AT33" s="864"/>
      <c r="AU33" s="864"/>
      <c r="AV33" s="864"/>
      <c r="AW33" s="864"/>
      <c r="AX33" s="864"/>
      <c r="AY33" s="864"/>
    </row>
    <row r="34" spans="4:51" s="56" customFormat="1" ht="15.75" thickBot="1">
      <c r="D34" s="173"/>
      <c r="E34" s="174"/>
      <c r="F34" s="174" t="s">
        <v>320</v>
      </c>
      <c r="G34" s="108">
        <f>AF38</f>
        <v>60</v>
      </c>
      <c r="H34" s="12"/>
      <c r="I34" s="41"/>
      <c r="K34" s="202"/>
      <c r="L34" s="202"/>
      <c r="M34" s="202"/>
      <c r="N34" s="955"/>
      <c r="O34" s="202"/>
      <c r="P34" s="202"/>
      <c r="Q34" s="202"/>
      <c r="R34" s="955"/>
      <c r="S34" s="955"/>
      <c r="T34" s="864"/>
      <c r="U34" s="864"/>
      <c r="V34" s="878"/>
      <c r="W34" s="878"/>
      <c r="X34" s="878"/>
      <c r="Y34" s="878"/>
      <c r="Z34" s="878"/>
      <c r="AA34" s="878"/>
      <c r="AB34" s="868"/>
      <c r="AC34" s="878"/>
      <c r="AD34" s="878"/>
      <c r="AE34" s="878"/>
      <c r="AF34" s="878"/>
      <c r="AG34" s="878"/>
      <c r="AH34" s="878"/>
      <c r="AI34" s="878"/>
      <c r="AJ34" s="878"/>
      <c r="AK34" s="878"/>
      <c r="AL34" s="878"/>
      <c r="AM34" s="878"/>
      <c r="AN34" s="864"/>
      <c r="AO34" s="864"/>
      <c r="AP34" s="864"/>
      <c r="AQ34" s="864"/>
      <c r="AR34" s="864"/>
      <c r="AS34" s="864"/>
      <c r="AT34" s="864"/>
      <c r="AU34" s="864"/>
      <c r="AV34" s="864"/>
      <c r="AW34" s="864"/>
      <c r="AX34" s="864"/>
      <c r="AY34" s="864"/>
    </row>
    <row r="35" spans="4:51" s="56" customFormat="1" ht="15.75" thickBot="1">
      <c r="D35" s="80"/>
      <c r="E35" s="90"/>
      <c r="F35" s="10" t="s">
        <v>321</v>
      </c>
      <c r="G35" s="111">
        <f>SUM(G32:G34)</f>
        <v>285</v>
      </c>
      <c r="H35" s="12"/>
      <c r="I35" s="41"/>
      <c r="N35" s="864"/>
      <c r="R35" s="864"/>
      <c r="S35" s="864"/>
      <c r="T35" s="864"/>
      <c r="U35" s="864"/>
      <c r="V35" s="962" t="str">
        <f>AD35</f>
        <v>From Oregon Tri-State section</v>
      </c>
      <c r="W35" s="963"/>
      <c r="X35" s="963"/>
      <c r="Y35" s="963"/>
      <c r="Z35" s="964"/>
      <c r="AA35" s="965"/>
      <c r="AB35" s="1226"/>
      <c r="AC35" s="910"/>
      <c r="AD35" s="962" t="s">
        <v>322</v>
      </c>
      <c r="AE35" s="963"/>
      <c r="AF35" s="963"/>
      <c r="AG35" s="964"/>
      <c r="AH35" s="878"/>
      <c r="AI35" s="878"/>
      <c r="AJ35" s="878"/>
      <c r="AK35" s="878"/>
      <c r="AL35" s="878"/>
      <c r="AM35" s="878"/>
      <c r="AN35" s="864"/>
      <c r="AO35" s="864"/>
      <c r="AP35" s="864"/>
      <c r="AQ35" s="864"/>
      <c r="AR35" s="864"/>
      <c r="AS35" s="864"/>
      <c r="AT35" s="864"/>
      <c r="AU35" s="864"/>
      <c r="AV35" s="864"/>
      <c r="AW35" s="864"/>
      <c r="AX35" s="864"/>
      <c r="AY35" s="864"/>
    </row>
    <row r="36" spans="4:51" s="56" customFormat="1">
      <c r="D36" s="80"/>
      <c r="E36" s="90"/>
      <c r="F36" s="10"/>
      <c r="G36" s="12"/>
      <c r="H36" s="12"/>
      <c r="I36" s="41"/>
      <c r="M36" s="61"/>
      <c r="N36" s="955"/>
      <c r="O36" s="202"/>
      <c r="R36" s="1159"/>
      <c r="S36" s="864"/>
      <c r="T36" s="864"/>
      <c r="U36" s="864"/>
      <c r="V36" s="966">
        <f>'Washington Only'!AA27</f>
        <v>0</v>
      </c>
      <c r="W36" s="967" t="s">
        <v>215</v>
      </c>
      <c r="X36" s="967" t="s">
        <v>216</v>
      </c>
      <c r="Y36" s="967" t="s">
        <v>81</v>
      </c>
      <c r="Z36" s="968" t="s">
        <v>170</v>
      </c>
      <c r="AA36" s="969"/>
      <c r="AB36" s="916"/>
      <c r="AC36" s="910"/>
      <c r="AD36" s="966" t="str">
        <f>'Oregon Only'!AF19</f>
        <v xml:space="preserve">Insignia </v>
      </c>
      <c r="AE36" s="967" t="str">
        <f>'Oregon Only'!AG19</f>
        <v>Insignia</v>
      </c>
      <c r="AF36" s="967" t="str">
        <f>'Oregon Only'!AH19</f>
        <v xml:space="preserve">Plan Review </v>
      </c>
      <c r="AG36" s="968">
        <f>'Oregon Only'!AI19</f>
        <v>0</v>
      </c>
      <c r="AH36" s="878"/>
      <c r="AI36" s="878"/>
      <c r="AJ36" s="878"/>
      <c r="AK36" s="878"/>
      <c r="AL36" s="878"/>
      <c r="AM36" s="878"/>
      <c r="AN36" s="864"/>
      <c r="AO36" s="864"/>
      <c r="AP36" s="864"/>
      <c r="AQ36" s="864"/>
      <c r="AR36" s="864"/>
      <c r="AS36" s="864"/>
      <c r="AT36" s="864"/>
      <c r="AU36" s="864"/>
      <c r="AV36" s="864"/>
      <c r="AW36" s="864"/>
      <c r="AX36" s="864"/>
      <c r="AY36" s="864"/>
    </row>
    <row r="37" spans="4:51" s="56" customFormat="1" ht="15.75" thickBot="1">
      <c r="D37" s="197"/>
      <c r="E37" s="90"/>
      <c r="F37" s="10"/>
      <c r="G37" s="12"/>
      <c r="H37" s="12"/>
      <c r="I37" s="201"/>
      <c r="M37" s="61"/>
      <c r="N37" s="955"/>
      <c r="O37" s="202"/>
      <c r="R37" s="1159"/>
      <c r="S37" s="864"/>
      <c r="T37" s="864"/>
      <c r="U37" s="864"/>
      <c r="V37" s="966" t="str">
        <f>'Washington Only'!AA28</f>
        <v>Plan Review</v>
      </c>
      <c r="W37" s="967" t="s">
        <v>323</v>
      </c>
      <c r="X37" s="967" t="s">
        <v>221</v>
      </c>
      <c r="Y37" s="967" t="s">
        <v>222</v>
      </c>
      <c r="Z37" s="968" t="s">
        <v>324</v>
      </c>
      <c r="AA37" s="970"/>
      <c r="AB37" s="921"/>
      <c r="AC37" s="910"/>
      <c r="AD37" s="966" t="str">
        <f>'Oregon Only'!AF20</f>
        <v>First Section</v>
      </c>
      <c r="AE37" s="967" t="str">
        <f>'Oregon Only'!AG20</f>
        <v>Additional Sect</v>
      </c>
      <c r="AF37" s="967" t="str">
        <f>'Oregon Only'!AH20</f>
        <v>Fee</v>
      </c>
      <c r="AG37" s="968">
        <f>'Oregon Only'!AI20</f>
        <v>0</v>
      </c>
      <c r="AH37" s="878"/>
      <c r="AI37" s="878"/>
      <c r="AJ37" s="878"/>
      <c r="AK37" s="878"/>
      <c r="AL37" s="878"/>
      <c r="AM37" s="878"/>
      <c r="AN37" s="864"/>
      <c r="AO37" s="864"/>
      <c r="AP37" s="864"/>
      <c r="AQ37" s="864"/>
      <c r="AR37" s="864"/>
      <c r="AS37" s="864"/>
      <c r="AT37" s="864"/>
      <c r="AU37" s="864"/>
      <c r="AV37" s="864"/>
      <c r="AW37" s="864"/>
      <c r="AX37" s="864"/>
      <c r="AY37" s="864"/>
    </row>
    <row r="38" spans="4:51" s="56" customFormat="1" ht="19.5" thickBot="1">
      <c r="D38" s="80"/>
      <c r="E38" s="198"/>
      <c r="F38" s="861"/>
      <c r="G38" s="200" t="s">
        <v>325</v>
      </c>
      <c r="H38" s="199">
        <f>(1200+IF(N10=TRUE,400,0)+IF(N12=TRUE,400,0)+IF(N13=TRUE,400,0)+IF(N14=TRUE,400,0))/G5</f>
        <v>1200</v>
      </c>
      <c r="I38" s="41"/>
      <c r="M38" s="61"/>
      <c r="N38" s="955"/>
      <c r="O38" s="202"/>
      <c r="R38" s="1159"/>
      <c r="S38" s="864"/>
      <c r="T38" s="864"/>
      <c r="U38" s="864"/>
      <c r="V38" s="923">
        <f>AE38*AF38</f>
        <v>2100</v>
      </c>
      <c r="W38" s="925">
        <f>G5*AD38</f>
        <v>50</v>
      </c>
      <c r="X38" s="925">
        <f>(Y38+Z38)*AE38</f>
        <v>175</v>
      </c>
      <c r="Y38" s="927">
        <f>IF(G6&lt;1,0,G6-1)</f>
        <v>5</v>
      </c>
      <c r="Z38" s="971">
        <f>IF(G5&lt;1,0,G5-1)</f>
        <v>0</v>
      </c>
      <c r="AA38" s="920"/>
      <c r="AB38" s="921"/>
      <c r="AC38" s="910"/>
      <c r="AD38" s="923">
        <f>'Oregon Only'!AF21</f>
        <v>50</v>
      </c>
      <c r="AE38" s="925">
        <f>'Oregon Only'!AG21</f>
        <v>35</v>
      </c>
      <c r="AF38" s="925">
        <f>'Oregon Only'!AH21</f>
        <v>60</v>
      </c>
      <c r="AG38" s="926">
        <f>'Oregon Only'!AI21</f>
        <v>0</v>
      </c>
      <c r="AH38" s="878"/>
      <c r="AI38" s="878"/>
      <c r="AJ38" s="878"/>
      <c r="AK38" s="878"/>
      <c r="AL38" s="878"/>
      <c r="AM38" s="878"/>
      <c r="AN38" s="864"/>
      <c r="AO38" s="864"/>
      <c r="AP38" s="864"/>
      <c r="AQ38" s="864"/>
      <c r="AR38" s="864"/>
      <c r="AS38" s="864"/>
      <c r="AT38" s="864"/>
      <c r="AU38" s="864"/>
      <c r="AV38" s="864"/>
      <c r="AW38" s="864"/>
      <c r="AX38" s="864"/>
      <c r="AY38" s="864"/>
    </row>
    <row r="39" spans="4:51" s="56" customFormat="1" ht="19.5" thickBot="1">
      <c r="D39" s="80"/>
      <c r="E39" s="198"/>
      <c r="F39" s="861"/>
      <c r="G39" s="200" t="s">
        <v>326</v>
      </c>
      <c r="H39" s="199" t="str">
        <f>+IF(AND(WA=TRUE,G13=TRUE),mech_eng*sqft,"-")</f>
        <v>-</v>
      </c>
      <c r="I39" s="41"/>
      <c r="M39" s="61"/>
      <c r="N39" s="955"/>
      <c r="O39" s="202"/>
      <c r="R39" s="1159"/>
      <c r="S39" s="864"/>
      <c r="T39" s="864"/>
      <c r="U39" s="864"/>
      <c r="V39" s="1155"/>
      <c r="W39" s="1155"/>
      <c r="X39" s="1155"/>
      <c r="Y39" s="1156"/>
      <c r="Z39" s="1156"/>
      <c r="AA39" s="920"/>
      <c r="AB39" s="921"/>
      <c r="AC39" s="910"/>
      <c r="AD39" s="1155"/>
      <c r="AE39" s="1155"/>
      <c r="AF39" s="1155"/>
      <c r="AG39" s="1157"/>
      <c r="AH39" s="878"/>
      <c r="AI39" s="878"/>
      <c r="AJ39" s="878"/>
      <c r="AK39" s="878"/>
      <c r="AL39" s="878"/>
      <c r="AM39" s="878"/>
      <c r="AN39" s="864"/>
      <c r="AO39" s="864"/>
      <c r="AP39" s="864"/>
      <c r="AQ39" s="864"/>
      <c r="AR39" s="864"/>
      <c r="AS39" s="864"/>
      <c r="AT39" s="864"/>
      <c r="AU39" s="864"/>
      <c r="AV39" s="864"/>
      <c r="AW39" s="864"/>
      <c r="AX39" s="864"/>
      <c r="AY39" s="864"/>
    </row>
    <row r="40" spans="4:51" s="56" customFormat="1" ht="19.5" thickBot="1">
      <c r="D40" s="80"/>
      <c r="E40" s="198"/>
      <c r="F40" s="861"/>
      <c r="G40" s="200" t="s">
        <v>327</v>
      </c>
      <c r="H40" s="199">
        <f>+IF(AND(WA=TRUE,sqft&gt;3999),4000/buildings,0)</f>
        <v>4000</v>
      </c>
      <c r="I40" s="41"/>
      <c r="M40" s="858" t="s">
        <v>328</v>
      </c>
      <c r="N40" s="1169"/>
      <c r="O40" s="860"/>
      <c r="P40" s="860"/>
      <c r="Q40" s="860"/>
      <c r="R40" s="1160"/>
      <c r="S40" s="864"/>
      <c r="T40" s="864"/>
      <c r="U40" s="864"/>
      <c r="V40" s="864"/>
      <c r="W40" s="864"/>
      <c r="X40" s="864"/>
      <c r="Y40" s="864"/>
      <c r="Z40" s="864"/>
      <c r="AA40" s="864"/>
      <c r="AB40" s="864"/>
      <c r="AC40" s="864"/>
      <c r="AD40" s="864"/>
      <c r="AE40" s="864"/>
      <c r="AF40" s="864"/>
      <c r="AG40" s="864"/>
      <c r="AH40" s="864"/>
      <c r="AI40" s="864"/>
      <c r="AJ40" s="864"/>
      <c r="AK40" s="864"/>
      <c r="AL40" s="864"/>
      <c r="AM40" s="864"/>
      <c r="AN40" s="864"/>
      <c r="AO40" s="864"/>
      <c r="AP40" s="864"/>
      <c r="AQ40" s="864"/>
      <c r="AR40" s="864"/>
      <c r="AS40" s="864"/>
      <c r="AT40" s="864"/>
      <c r="AU40" s="864"/>
      <c r="AV40" s="864"/>
      <c r="AW40" s="864"/>
      <c r="AX40" s="864"/>
      <c r="AY40" s="864"/>
    </row>
    <row r="41" spans="4:51" s="56" customFormat="1" ht="19.5" thickBot="1">
      <c r="D41" s="80"/>
      <c r="E41" s="198"/>
      <c r="F41" s="861"/>
      <c r="G41" s="200" t="s">
        <v>329</v>
      </c>
      <c r="H41" s="199" t="str">
        <f>+IF(AND(amps&gt;401,F11="Total Panel Amperage"),elect_eng*sqft/buildings,"-")</f>
        <v>-</v>
      </c>
      <c r="I41" s="41"/>
      <c r="N41" s="864"/>
      <c r="R41" s="864"/>
      <c r="S41" s="864"/>
      <c r="T41" s="864"/>
      <c r="U41" s="864"/>
      <c r="V41" s="864"/>
      <c r="W41" s="864"/>
      <c r="X41" s="864"/>
      <c r="Y41" s="864"/>
      <c r="Z41" s="864"/>
      <c r="AA41" s="864"/>
      <c r="AB41" s="864"/>
      <c r="AC41" s="864"/>
      <c r="AD41" s="864"/>
      <c r="AE41" s="864"/>
      <c r="AF41" s="864"/>
      <c r="AG41" s="864"/>
      <c r="AH41" s="864"/>
      <c r="AI41" s="864"/>
      <c r="AJ41" s="864"/>
      <c r="AK41" s="864"/>
      <c r="AL41" s="864"/>
      <c r="AM41" s="864"/>
      <c r="AN41" s="864"/>
      <c r="AO41" s="864"/>
      <c r="AP41" s="864"/>
      <c r="AQ41" s="864"/>
      <c r="AR41" s="864"/>
      <c r="AS41" s="864"/>
      <c r="AT41" s="864"/>
      <c r="AU41" s="864"/>
      <c r="AV41" s="864"/>
      <c r="AW41" s="864"/>
      <c r="AX41" s="864"/>
      <c r="AY41" s="864"/>
    </row>
    <row r="42" spans="4:51" s="56" customFormat="1" ht="19.5" thickBot="1">
      <c r="D42" s="80"/>
      <c r="E42" s="198"/>
      <c r="F42" s="861"/>
      <c r="G42" s="200" t="s">
        <v>330</v>
      </c>
      <c r="H42" s="199">
        <f>+IF(AND(Z71&lt;&gt;"NTA",Z71&lt;&gt;"Other"),G24/G5,0)</f>
        <v>0</v>
      </c>
      <c r="I42" s="41"/>
      <c r="M42" s="61"/>
      <c r="N42" s="955"/>
      <c r="O42" s="202"/>
      <c r="R42" s="1159"/>
      <c r="S42" s="864"/>
      <c r="T42" s="878" t="s">
        <v>185</v>
      </c>
      <c r="U42" s="878"/>
      <c r="V42" s="878"/>
      <c r="W42" s="878"/>
      <c r="X42" s="878"/>
      <c r="Y42" s="866"/>
      <c r="Z42" s="866"/>
      <c r="AA42" s="866"/>
      <c r="AB42" s="867"/>
      <c r="AC42" s="878"/>
      <c r="AD42" s="878"/>
      <c r="AE42" s="878"/>
      <c r="AF42" s="878"/>
      <c r="AG42" s="878"/>
      <c r="AH42" s="878"/>
      <c r="AI42" s="878"/>
      <c r="AJ42" s="935"/>
      <c r="AK42" s="878"/>
      <c r="AL42" s="878"/>
      <c r="AM42" s="878"/>
      <c r="AN42" s="864"/>
      <c r="AO42" s="864"/>
      <c r="AP42" s="864"/>
      <c r="AQ42" s="864"/>
      <c r="AR42" s="864"/>
      <c r="AS42" s="864"/>
      <c r="AT42" s="864"/>
      <c r="AU42" s="864"/>
      <c r="AV42" s="864"/>
      <c r="AW42" s="864"/>
      <c r="AX42" s="864"/>
      <c r="AY42" s="864"/>
    </row>
    <row r="43" spans="4:51" s="56" customFormat="1" ht="19.5" thickBot="1">
      <c r="D43" s="80"/>
      <c r="E43" s="198"/>
      <c r="F43" s="861"/>
      <c r="G43" s="200" t="s">
        <v>331</v>
      </c>
      <c r="H43" s="199">
        <f>+IF(Z72&lt;&gt;"NTA",(G29-G25)/G5,0)</f>
        <v>2775.8649999999998</v>
      </c>
      <c r="I43" s="41"/>
      <c r="M43" s="61"/>
      <c r="N43" s="955"/>
      <c r="O43" s="202"/>
      <c r="R43" s="1159"/>
      <c r="S43" s="864"/>
      <c r="T43" s="878" t="s">
        <v>186</v>
      </c>
      <c r="U43" s="878" t="s">
        <v>187</v>
      </c>
      <c r="V43" s="878" t="s">
        <v>188</v>
      </c>
      <c r="W43" s="878" t="s">
        <v>189</v>
      </c>
      <c r="X43" s="878" t="s">
        <v>190</v>
      </c>
      <c r="Y43" s="878" t="s">
        <v>191</v>
      </c>
      <c r="Z43" s="878" t="s">
        <v>192</v>
      </c>
      <c r="AA43" s="866"/>
      <c r="AB43" s="867"/>
      <c r="AC43" s="878"/>
      <c r="AD43" s="878"/>
      <c r="AE43" s="878"/>
      <c r="AF43" s="878"/>
      <c r="AG43" s="878"/>
      <c r="AH43" s="878"/>
      <c r="AI43" s="878"/>
      <c r="AJ43" s="935"/>
      <c r="AK43" s="878"/>
      <c r="AL43" s="878"/>
      <c r="AM43" s="878"/>
      <c r="AN43" s="864"/>
      <c r="AO43" s="864"/>
      <c r="AP43" s="864"/>
      <c r="AQ43" s="864"/>
      <c r="AR43" s="864"/>
      <c r="AS43" s="864"/>
      <c r="AT43" s="864"/>
      <c r="AU43" s="864"/>
      <c r="AV43" s="864"/>
      <c r="AW43" s="864"/>
      <c r="AX43" s="864"/>
      <c r="AY43" s="864"/>
    </row>
    <row r="44" spans="4:51" s="56" customFormat="1" ht="19.5" thickBot="1">
      <c r="D44" s="80"/>
      <c r="E44" s="198"/>
      <c r="F44" s="861"/>
      <c r="G44" s="200" t="s">
        <v>332</v>
      </c>
      <c r="H44" s="199">
        <f>+Z76</f>
        <v>2050</v>
      </c>
      <c r="I44" s="41"/>
      <c r="M44" s="61"/>
      <c r="N44" s="955"/>
      <c r="O44" s="202"/>
      <c r="R44" s="1159"/>
      <c r="S44" s="864"/>
      <c r="T44" s="972">
        <f>+'Idaho Only'!AA58</f>
        <v>1</v>
      </c>
      <c r="U44" s="972">
        <f>+'Idaho Only'!AB58</f>
        <v>500</v>
      </c>
      <c r="V44" s="972">
        <f>+'Idaho Only'!AC58</f>
        <v>500</v>
      </c>
      <c r="W44" s="972">
        <f>+'Idaho Only'!AD58</f>
        <v>18.8</v>
      </c>
      <c r="X44" s="972">
        <f>+'Idaho Only'!AE58</f>
        <v>0</v>
      </c>
      <c r="Y44" s="972">
        <f>+'Idaho Only'!AF58</f>
        <v>0</v>
      </c>
      <c r="Z44" s="866">
        <f>+IF(G7&lt;U44,W44,0)</f>
        <v>0</v>
      </c>
      <c r="AA44" s="866"/>
      <c r="AB44" s="867"/>
      <c r="AC44" s="878"/>
      <c r="AD44" s="878"/>
      <c r="AE44" s="878"/>
      <c r="AF44" s="878"/>
      <c r="AG44" s="878"/>
      <c r="AH44" s="878"/>
      <c r="AI44" s="878"/>
      <c r="AJ44" s="935"/>
      <c r="AK44" s="878"/>
      <c r="AL44" s="878"/>
      <c r="AM44" s="878"/>
      <c r="AN44" s="864"/>
      <c r="AO44" s="864"/>
      <c r="AP44" s="864"/>
      <c r="AQ44" s="864"/>
      <c r="AR44" s="864"/>
      <c r="AS44" s="864"/>
      <c r="AT44" s="864"/>
      <c r="AU44" s="864"/>
      <c r="AV44" s="864"/>
      <c r="AW44" s="864"/>
      <c r="AX44" s="864"/>
      <c r="AY44" s="864"/>
    </row>
    <row r="45" spans="4:51" s="56" customFormat="1" ht="19.5" thickBot="1">
      <c r="D45" s="80"/>
      <c r="E45" s="198"/>
      <c r="F45" s="861"/>
      <c r="G45" s="200" t="s">
        <v>333</v>
      </c>
      <c r="H45" s="199">
        <f>+Z77</f>
        <v>0</v>
      </c>
      <c r="I45" s="41"/>
      <c r="M45" s="61"/>
      <c r="N45" s="955"/>
      <c r="O45" s="202"/>
      <c r="R45" s="1159"/>
      <c r="S45" s="864"/>
      <c r="T45" s="972">
        <f>+'Idaho Only'!AA59</f>
        <v>501</v>
      </c>
      <c r="U45" s="972">
        <f>+'Idaho Only'!AB59</f>
        <v>2000</v>
      </c>
      <c r="V45" s="972">
        <f>+'Idaho Only'!AC59</f>
        <v>500</v>
      </c>
      <c r="W45" s="972">
        <f>+'Idaho Only'!AD59</f>
        <v>18.8</v>
      </c>
      <c r="X45" s="972">
        <f>+'Idaho Only'!AE59</f>
        <v>2.44</v>
      </c>
      <c r="Y45" s="972">
        <f>+'Idaho Only'!AF59</f>
        <v>100</v>
      </c>
      <c r="Z45" s="866">
        <f>+IF($G$7&lt;=U45,IF($G$7&gt;=T45,W45+ROUNDUP(($G$7-V45)/Y45,0)*X45,0),0)</f>
        <v>0</v>
      </c>
      <c r="AA45" s="866"/>
      <c r="AB45" s="867"/>
      <c r="AC45" s="878"/>
      <c r="AD45" s="878"/>
      <c r="AE45" s="878"/>
      <c r="AF45" s="878"/>
      <c r="AG45" s="878"/>
      <c r="AH45" s="878"/>
      <c r="AI45" s="878"/>
      <c r="AJ45" s="935"/>
      <c r="AK45" s="878"/>
      <c r="AL45" s="878"/>
      <c r="AM45" s="878"/>
      <c r="AN45" s="864"/>
      <c r="AO45" s="864"/>
      <c r="AP45" s="864"/>
      <c r="AQ45" s="864"/>
      <c r="AR45" s="864"/>
      <c r="AS45" s="864"/>
      <c r="AT45" s="864"/>
      <c r="AU45" s="864"/>
      <c r="AV45" s="864"/>
      <c r="AW45" s="864"/>
      <c r="AX45" s="864"/>
      <c r="AY45" s="864"/>
    </row>
    <row r="46" spans="4:51" s="56" customFormat="1" ht="19.5" thickBot="1">
      <c r="D46" s="80"/>
      <c r="E46" s="198"/>
      <c r="F46" s="857" t="s">
        <v>334</v>
      </c>
      <c r="G46" s="200"/>
      <c r="H46" s="199">
        <f>IF(WA=TRUE,G20,0)</f>
        <v>5091.4764000000005</v>
      </c>
      <c r="I46" s="41"/>
      <c r="M46" s="61"/>
      <c r="N46" s="955"/>
      <c r="O46" s="202"/>
      <c r="R46" s="1159"/>
      <c r="S46" s="864"/>
      <c r="T46" s="972">
        <f>+'Idaho Only'!AA60</f>
        <v>2001</v>
      </c>
      <c r="U46" s="972">
        <f>+'Idaho Only'!AB60</f>
        <v>25000</v>
      </c>
      <c r="V46" s="972">
        <f>+'Idaho Only'!AC60</f>
        <v>2000</v>
      </c>
      <c r="W46" s="972">
        <f>+'Idaho Only'!AD60</f>
        <v>55.4</v>
      </c>
      <c r="X46" s="972">
        <f>+'Idaho Only'!AE60</f>
        <v>11.2</v>
      </c>
      <c r="Y46" s="972">
        <f>+'Idaho Only'!AF60</f>
        <v>1000</v>
      </c>
      <c r="Z46" s="866">
        <f t="shared" ref="Z46:Z47" si="0">+IF($G$7&lt;=U46,IF($G$7&gt;=T46,W46+ROUNDUP(($G$7-V46)/Y46,0)*X46,0),0)</f>
        <v>0</v>
      </c>
      <c r="AA46" s="864"/>
      <c r="AB46" s="867"/>
      <c r="AC46" s="864"/>
      <c r="AD46" s="864"/>
      <c r="AE46" s="864"/>
      <c r="AF46" s="864"/>
      <c r="AG46" s="864"/>
      <c r="AH46" s="864"/>
      <c r="AI46" s="864"/>
      <c r="AJ46" s="864"/>
      <c r="AK46" s="864"/>
      <c r="AL46" s="864"/>
      <c r="AM46" s="864"/>
      <c r="AN46" s="864"/>
      <c r="AO46" s="864"/>
      <c r="AP46" s="864"/>
      <c r="AQ46" s="864"/>
      <c r="AR46" s="864"/>
      <c r="AS46" s="864"/>
      <c r="AT46" s="864"/>
      <c r="AU46" s="864"/>
      <c r="AV46" s="864"/>
      <c r="AW46" s="864"/>
      <c r="AX46" s="864"/>
      <c r="AY46" s="864"/>
    </row>
    <row r="47" spans="4:51" s="56" customFormat="1" ht="19.5" thickBot="1">
      <c r="D47" s="80"/>
      <c r="E47" s="198"/>
      <c r="F47" s="857" t="s">
        <v>335</v>
      </c>
      <c r="G47" s="200"/>
      <c r="H47" s="199">
        <f>IF(N8=TRUE,AD38+IF(G6&lt;2,0,AE38*(G6-1))+AF38/G5,0)</f>
        <v>0</v>
      </c>
      <c r="I47" s="41"/>
      <c r="M47" s="61"/>
      <c r="N47" s="955"/>
      <c r="O47" s="202"/>
      <c r="R47" s="1159"/>
      <c r="S47" s="864"/>
      <c r="T47" s="972">
        <f>+'Idaho Only'!AA61</f>
        <v>25001</v>
      </c>
      <c r="U47" s="972">
        <f>+'Idaho Only'!AB61</f>
        <v>50000</v>
      </c>
      <c r="V47" s="972">
        <f>+'Idaho Only'!AC61</f>
        <v>25000</v>
      </c>
      <c r="W47" s="972">
        <f>+'Idaho Only'!AD61</f>
        <v>313.39999999999998</v>
      </c>
      <c r="X47" s="972">
        <f>+'Idaho Only'!AE61</f>
        <v>8.09</v>
      </c>
      <c r="Y47" s="972">
        <f>+'Idaho Only'!AF61</f>
        <v>1000</v>
      </c>
      <c r="Z47" s="866">
        <f t="shared" si="0"/>
        <v>0</v>
      </c>
      <c r="AA47" s="864"/>
      <c r="AB47" s="867"/>
      <c r="AC47" s="864"/>
      <c r="AD47" s="864"/>
      <c r="AE47" s="864"/>
      <c r="AF47" s="864"/>
      <c r="AG47" s="864"/>
      <c r="AH47" s="864"/>
      <c r="AI47" s="864"/>
      <c r="AJ47" s="864"/>
      <c r="AK47" s="864"/>
      <c r="AL47" s="864"/>
      <c r="AM47" s="864"/>
      <c r="AN47" s="864"/>
      <c r="AO47" s="864"/>
      <c r="AP47" s="864"/>
      <c r="AQ47" s="864"/>
      <c r="AR47" s="864"/>
      <c r="AS47" s="864"/>
      <c r="AT47" s="864"/>
      <c r="AU47" s="864"/>
      <c r="AV47" s="864"/>
      <c r="AW47" s="864"/>
      <c r="AX47" s="864"/>
      <c r="AY47" s="864"/>
    </row>
    <row r="48" spans="4:51" s="56" customFormat="1" ht="19.5" thickBot="1">
      <c r="D48" s="80"/>
      <c r="E48" s="198"/>
      <c r="F48" s="857" t="s">
        <v>336</v>
      </c>
      <c r="G48" s="200"/>
      <c r="H48" s="199">
        <f>+IF(N11=TRUE,Z104,0)</f>
        <v>0</v>
      </c>
      <c r="I48" s="41"/>
      <c r="M48" s="61"/>
      <c r="N48" s="955"/>
      <c r="O48" s="202"/>
      <c r="R48" s="1159"/>
      <c r="S48" s="864"/>
      <c r="T48" s="972">
        <f>+'Idaho Only'!AA62</f>
        <v>50001</v>
      </c>
      <c r="U48" s="972">
        <f>+'Idaho Only'!AB62</f>
        <v>100000</v>
      </c>
      <c r="V48" s="972">
        <f>+'Idaho Only'!AC62</f>
        <v>50000</v>
      </c>
      <c r="W48" s="972">
        <f>+'Idaho Only'!AD62</f>
        <v>515</v>
      </c>
      <c r="X48" s="972">
        <f>+'Idaho Only'!AE62</f>
        <v>5.6</v>
      </c>
      <c r="Y48" s="972">
        <f>+'Idaho Only'!AF62</f>
        <v>1000</v>
      </c>
      <c r="Z48" s="866">
        <f>+IF($G$7&lt;=U48,IF($G$7&gt;=T48,W48+ROUNDUP(($G$7-V48)/Y48,0)*X48,0),0)</f>
        <v>0</v>
      </c>
      <c r="AA48" s="864"/>
      <c r="AB48" s="867"/>
      <c r="AC48" s="864"/>
      <c r="AD48" s="864"/>
      <c r="AE48" s="864"/>
      <c r="AF48" s="864"/>
      <c r="AG48" s="864"/>
      <c r="AH48" s="864"/>
      <c r="AI48" s="864"/>
      <c r="AJ48" s="864"/>
      <c r="AK48" s="864"/>
      <c r="AL48" s="864"/>
      <c r="AM48" s="864"/>
      <c r="AN48" s="864"/>
      <c r="AO48" s="864"/>
      <c r="AP48" s="864"/>
      <c r="AQ48" s="864"/>
      <c r="AR48" s="864"/>
      <c r="AS48" s="864"/>
      <c r="AT48" s="864"/>
      <c r="AU48" s="864"/>
      <c r="AV48" s="864"/>
      <c r="AW48" s="864"/>
      <c r="AX48" s="864"/>
      <c r="AY48" s="864"/>
    </row>
    <row r="49" spans="4:51" s="56" customFormat="1" ht="19.5" thickBot="1">
      <c r="D49" s="80"/>
      <c r="E49" s="198"/>
      <c r="F49" s="857" t="s">
        <v>337</v>
      </c>
      <c r="G49" s="200"/>
      <c r="H49" s="199">
        <f>+IF(N9=TRUE,IF(G6&lt;2,AE109,IF(G6&lt;5,AE110,AE111))/G5+G6*AE113,0)</f>
        <v>0</v>
      </c>
      <c r="I49" s="41"/>
      <c r="M49" s="61"/>
      <c r="N49" s="955"/>
      <c r="O49" s="202"/>
      <c r="R49" s="1159"/>
      <c r="S49" s="864"/>
      <c r="T49" s="972">
        <f>+'Idaho Only'!AA63</f>
        <v>100001</v>
      </c>
      <c r="U49" s="972">
        <f>+'Idaho Only'!AB63</f>
        <v>500000</v>
      </c>
      <c r="V49" s="972">
        <f>+'Idaho Only'!AC63</f>
        <v>100000</v>
      </c>
      <c r="W49" s="972">
        <f>+'Idaho Only'!AD63</f>
        <v>795</v>
      </c>
      <c r="X49" s="972">
        <f>+'Idaho Only'!AE63</f>
        <v>4.4800000000000004</v>
      </c>
      <c r="Y49" s="972">
        <f>+'Idaho Only'!AF63</f>
        <v>1000</v>
      </c>
      <c r="Z49" s="866">
        <f>+IF($G$7&lt;=U49,IF($G$7&gt;=T49,W49+ROUNDUP(($G$7-V49)/Y49,0)*X49,0),0)</f>
        <v>1301.24</v>
      </c>
      <c r="AA49" s="864"/>
      <c r="AB49" s="867"/>
      <c r="AC49" s="864"/>
      <c r="AD49" s="864"/>
      <c r="AE49" s="864"/>
      <c r="AF49" s="864"/>
      <c r="AG49" s="864"/>
      <c r="AH49" s="864"/>
      <c r="AI49" s="864"/>
      <c r="AJ49" s="864"/>
      <c r="AK49" s="864"/>
      <c r="AL49" s="864"/>
      <c r="AM49" s="864"/>
      <c r="AN49" s="864"/>
      <c r="AO49" s="864"/>
      <c r="AP49" s="864"/>
      <c r="AQ49" s="864"/>
      <c r="AR49" s="864"/>
      <c r="AS49" s="864"/>
      <c r="AT49" s="864"/>
      <c r="AU49" s="864"/>
      <c r="AV49" s="864"/>
      <c r="AW49" s="864"/>
      <c r="AX49" s="864"/>
      <c r="AY49" s="864"/>
    </row>
    <row r="50" spans="4:51" s="56" customFormat="1" ht="19.5" thickBot="1">
      <c r="D50" s="80"/>
      <c r="E50" s="198"/>
      <c r="F50" s="857" t="s">
        <v>338</v>
      </c>
      <c r="G50" s="200"/>
      <c r="H50" s="199" t="s">
        <v>339</v>
      </c>
      <c r="I50" s="41"/>
      <c r="M50" s="61"/>
      <c r="N50" s="955"/>
      <c r="O50" s="202"/>
      <c r="R50" s="1159"/>
      <c r="S50" s="864"/>
      <c r="T50" s="972">
        <f>+'Idaho Only'!AA64</f>
        <v>500001</v>
      </c>
      <c r="U50" s="972">
        <f>+'Idaho Only'!AB64</f>
        <v>1000000</v>
      </c>
      <c r="V50" s="972">
        <f>+'Idaho Only'!AC64</f>
        <v>500000</v>
      </c>
      <c r="W50" s="972">
        <f>+'Idaho Only'!AD64</f>
        <v>2587</v>
      </c>
      <c r="X50" s="972">
        <f>+'Idaho Only'!AE64</f>
        <v>3.8</v>
      </c>
      <c r="Y50" s="972">
        <f>+'Idaho Only'!AF64</f>
        <v>1000</v>
      </c>
      <c r="Z50" s="866">
        <f>+IF($G$7&lt;=U50,IF($G$7&gt;=T50,W50+ROUNDUP(($G$7-V50)/Y50,0)*X50,0),0)</f>
        <v>0</v>
      </c>
      <c r="AA50" s="864"/>
      <c r="AB50" s="867"/>
      <c r="AC50" s="864"/>
      <c r="AD50" s="864"/>
      <c r="AE50" s="864"/>
      <c r="AF50" s="864"/>
      <c r="AG50" s="864"/>
      <c r="AH50" s="864"/>
      <c r="AI50" s="864"/>
      <c r="AJ50" s="864"/>
      <c r="AK50" s="864"/>
      <c r="AL50" s="864"/>
      <c r="AM50" s="864"/>
      <c r="AN50" s="864"/>
      <c r="AO50" s="864"/>
      <c r="AP50" s="864"/>
      <c r="AQ50" s="864"/>
      <c r="AR50" s="864"/>
      <c r="AS50" s="864"/>
      <c r="AT50" s="864"/>
      <c r="AU50" s="864"/>
      <c r="AV50" s="864"/>
      <c r="AW50" s="864"/>
      <c r="AX50" s="864"/>
      <c r="AY50" s="864"/>
    </row>
    <row r="51" spans="4:51" s="56" customFormat="1" ht="19.5" thickBot="1">
      <c r="D51" s="80"/>
      <c r="E51" s="198"/>
      <c r="F51" s="857" t="s">
        <v>340</v>
      </c>
      <c r="G51" s="200"/>
      <c r="H51" s="199">
        <f>+IF(N12=TRUE,Z119,0)</f>
        <v>0</v>
      </c>
      <c r="I51" s="41"/>
      <c r="M51" s="61"/>
      <c r="N51" s="955"/>
      <c r="O51" s="202"/>
      <c r="R51" s="1159"/>
      <c r="S51" s="864"/>
      <c r="T51" s="972">
        <f>+'Idaho Only'!AA65</f>
        <v>1000001</v>
      </c>
      <c r="U51" s="972" t="str">
        <f>+'Idaho Only'!AB65</f>
        <v>+</v>
      </c>
      <c r="V51" s="972">
        <f>+'Idaho Only'!AC65</f>
        <v>1000000</v>
      </c>
      <c r="W51" s="972">
        <f>+'Idaho Only'!AD65</f>
        <v>4487</v>
      </c>
      <c r="X51" s="972">
        <f>+'Idaho Only'!AE65</f>
        <v>2.92</v>
      </c>
      <c r="Y51" s="972">
        <f>+'Idaho Only'!AF65</f>
        <v>1000</v>
      </c>
      <c r="Z51" s="866">
        <f>+IF($G$7&gt;=T51,W51+ROUNDUP(($G$7-V51)/Y51,0)*X51,0)</f>
        <v>0</v>
      </c>
      <c r="AA51" s="864"/>
      <c r="AB51" s="867"/>
      <c r="AC51" s="864"/>
      <c r="AD51" s="864"/>
      <c r="AE51" s="864"/>
      <c r="AF51" s="864"/>
      <c r="AG51" s="864"/>
      <c r="AH51" s="864"/>
      <c r="AI51" s="864"/>
      <c r="AJ51" s="864"/>
      <c r="AK51" s="864"/>
      <c r="AL51" s="864"/>
      <c r="AM51" s="864"/>
      <c r="AN51" s="864"/>
      <c r="AO51" s="864"/>
      <c r="AP51" s="864"/>
      <c r="AQ51" s="864"/>
      <c r="AR51" s="864"/>
      <c r="AS51" s="864"/>
      <c r="AT51" s="864"/>
      <c r="AU51" s="864"/>
      <c r="AV51" s="864"/>
      <c r="AW51" s="864"/>
      <c r="AX51" s="864"/>
      <c r="AY51" s="864"/>
    </row>
    <row r="52" spans="4:51" s="56" customFormat="1" ht="19.5" thickBot="1">
      <c r="D52" s="80"/>
      <c r="E52" s="198"/>
      <c r="F52" s="857" t="s">
        <v>341</v>
      </c>
      <c r="G52" s="200"/>
      <c r="H52" s="199">
        <f>+IF(N13=TRUE,Z132,0)</f>
        <v>0</v>
      </c>
      <c r="I52" s="41"/>
      <c r="M52" s="61"/>
      <c r="N52" s="955"/>
      <c r="O52" s="202"/>
      <c r="R52" s="1159"/>
      <c r="S52" s="864"/>
      <c r="T52" s="972">
        <f>+'Idaho Only'!AA66</f>
        <v>0</v>
      </c>
      <c r="U52" s="972">
        <f>+'Idaho Only'!AB66</f>
        <v>0</v>
      </c>
      <c r="V52" s="972">
        <f>+'Idaho Only'!AC66</f>
        <v>0</v>
      </c>
      <c r="W52" s="972">
        <f>+'Idaho Only'!AD66</f>
        <v>0</v>
      </c>
      <c r="X52" s="972">
        <f>+'Idaho Only'!AE66</f>
        <v>0</v>
      </c>
      <c r="Y52" s="972">
        <f>+'Idaho Only'!AF66</f>
        <v>0</v>
      </c>
      <c r="Z52" s="864"/>
      <c r="AA52" s="864"/>
      <c r="AB52" s="867"/>
      <c r="AC52" s="864"/>
      <c r="AD52" s="864"/>
      <c r="AE52" s="864"/>
      <c r="AF52" s="864"/>
      <c r="AG52" s="864"/>
      <c r="AH52" s="864"/>
      <c r="AI52" s="864"/>
      <c r="AJ52" s="864"/>
      <c r="AK52" s="864"/>
      <c r="AL52" s="864"/>
      <c r="AM52" s="864"/>
      <c r="AN52" s="864"/>
      <c r="AO52" s="864"/>
      <c r="AP52" s="864"/>
      <c r="AQ52" s="864"/>
      <c r="AR52" s="864"/>
      <c r="AS52" s="864"/>
      <c r="AT52" s="864"/>
      <c r="AU52" s="864"/>
      <c r="AV52" s="864"/>
      <c r="AW52" s="864"/>
      <c r="AX52" s="864"/>
      <c r="AY52" s="864"/>
    </row>
    <row r="53" spans="4:51" s="56" customFormat="1" ht="15.75" thickBot="1">
      <c r="D53" s="80"/>
      <c r="E53" s="1150"/>
      <c r="F53" s="1150"/>
      <c r="G53" s="1150"/>
      <c r="H53" s="1150"/>
      <c r="I53" s="41"/>
      <c r="M53" s="61"/>
      <c r="N53" s="955"/>
      <c r="O53" s="202"/>
      <c r="R53" s="1159"/>
      <c r="S53" s="864"/>
      <c r="T53" s="972">
        <f>+'Idaho Only'!AA67</f>
        <v>0</v>
      </c>
      <c r="U53" s="972">
        <f>+'Idaho Only'!AB67</f>
        <v>0</v>
      </c>
      <c r="V53" s="972">
        <f>+'Idaho Only'!AC67</f>
        <v>0</v>
      </c>
      <c r="W53" s="972">
        <f>+'Idaho Only'!AD67</f>
        <v>0</v>
      </c>
      <c r="X53" s="972">
        <f>+'Idaho Only'!AE67</f>
        <v>0</v>
      </c>
      <c r="Y53" s="972">
        <f>+'Idaho Only'!AF67</f>
        <v>0</v>
      </c>
      <c r="Z53" s="864"/>
      <c r="AA53" s="864"/>
      <c r="AB53" s="867"/>
      <c r="AC53" s="864"/>
      <c r="AD53" s="864"/>
      <c r="AE53" s="864"/>
      <c r="AF53" s="864"/>
      <c r="AG53" s="864"/>
      <c r="AH53" s="864"/>
      <c r="AI53" s="864"/>
      <c r="AJ53" s="864"/>
      <c r="AK53" s="864"/>
      <c r="AL53" s="864"/>
      <c r="AM53" s="864"/>
      <c r="AN53" s="864"/>
      <c r="AO53" s="864"/>
      <c r="AP53" s="864"/>
      <c r="AQ53" s="864"/>
      <c r="AR53" s="864"/>
      <c r="AS53" s="864"/>
      <c r="AT53" s="864"/>
      <c r="AU53" s="864"/>
      <c r="AV53" s="864"/>
      <c r="AW53" s="864"/>
      <c r="AX53" s="864"/>
      <c r="AY53" s="864"/>
    </row>
    <row r="54" spans="4:51" s="56" customFormat="1" ht="19.5" thickBot="1">
      <c r="D54" s="80"/>
      <c r="E54" s="1151"/>
      <c r="F54" s="1152" t="s">
        <v>342</v>
      </c>
      <c r="G54" s="1153"/>
      <c r="H54" s="1154">
        <f>+H38</f>
        <v>1200</v>
      </c>
      <c r="I54" s="41"/>
      <c r="M54" s="61"/>
      <c r="N54" s="955"/>
      <c r="O54" s="202"/>
      <c r="R54" s="1159"/>
      <c r="S54" s="864"/>
      <c r="T54" s="878" t="str">
        <f>+'Idaho Only'!AA68</f>
        <v>Idaho Plan Review Fee</v>
      </c>
      <c r="U54" s="878">
        <f>+'Idaho Only'!AB68</f>
        <v>0</v>
      </c>
      <c r="V54" s="878">
        <f>+'Idaho Only'!AC68</f>
        <v>0</v>
      </c>
      <c r="W54" s="878">
        <f>+'Idaho Only'!AD68</f>
        <v>0</v>
      </c>
      <c r="X54" s="878">
        <f>+'Idaho Only'!AE68</f>
        <v>0</v>
      </c>
      <c r="Y54" s="866">
        <f>+'Idaho Only'!AF68</f>
        <v>0</v>
      </c>
      <c r="Z54" s="866"/>
      <c r="AA54" s="864"/>
      <c r="AB54" s="867"/>
      <c r="AC54" s="864"/>
      <c r="AD54" s="864"/>
      <c r="AE54" s="864"/>
      <c r="AF54" s="864"/>
      <c r="AG54" s="864"/>
      <c r="AH54" s="864"/>
      <c r="AI54" s="864"/>
      <c r="AJ54" s="864"/>
      <c r="AK54" s="864"/>
      <c r="AL54" s="864"/>
      <c r="AM54" s="864"/>
      <c r="AN54" s="864"/>
      <c r="AO54" s="864"/>
      <c r="AP54" s="864"/>
      <c r="AQ54" s="864"/>
      <c r="AR54" s="864"/>
      <c r="AS54" s="864"/>
      <c r="AT54" s="864"/>
      <c r="AU54" s="864"/>
      <c r="AV54" s="864"/>
      <c r="AW54" s="864"/>
      <c r="AX54" s="864"/>
      <c r="AY54" s="864"/>
    </row>
    <row r="55" spans="4:51" s="56" customFormat="1" ht="19.5" thickBot="1">
      <c r="D55" s="80"/>
      <c r="E55" s="1151"/>
      <c r="F55" s="1152" t="s">
        <v>343</v>
      </c>
      <c r="G55" s="1153"/>
      <c r="H55" s="1154">
        <f>+SUM(H39:H41)</f>
        <v>4000</v>
      </c>
      <c r="I55" s="41"/>
      <c r="M55" s="61"/>
      <c r="N55" s="955"/>
      <c r="O55" s="202"/>
      <c r="R55" s="1159"/>
      <c r="S55" s="864"/>
      <c r="T55" s="878" t="str">
        <f>+'Idaho Only'!AA69</f>
        <v>Valuation Min</v>
      </c>
      <c r="U55" s="878" t="str">
        <f>+'Idaho Only'!AB69</f>
        <v>Valuation Max</v>
      </c>
      <c r="V55" s="878" t="str">
        <f>+'Idaho Only'!AC69</f>
        <v>Initial Fee Coverage</v>
      </c>
      <c r="W55" s="878" t="str">
        <f>+'Idaho Only'!AD69</f>
        <v>Initial Cost</v>
      </c>
      <c r="X55" s="878" t="str">
        <f>+'Idaho Only'!AE69</f>
        <v>Additional Fee Increment</v>
      </c>
      <c r="Y55" s="878" t="str">
        <f>+'Idaho Only'!AF69</f>
        <v>Additional Increment Amount</v>
      </c>
      <c r="Z55" s="878" t="s">
        <v>192</v>
      </c>
      <c r="AA55" s="864"/>
      <c r="AB55" s="867"/>
      <c r="AC55" s="864"/>
      <c r="AD55" s="864"/>
      <c r="AE55" s="864"/>
      <c r="AF55" s="864"/>
      <c r="AG55" s="864"/>
      <c r="AH55" s="864"/>
      <c r="AI55" s="864"/>
      <c r="AJ55" s="864"/>
      <c r="AK55" s="864"/>
      <c r="AL55" s="864"/>
      <c r="AM55" s="864"/>
      <c r="AN55" s="864"/>
      <c r="AO55" s="864"/>
      <c r="AP55" s="864"/>
      <c r="AQ55" s="864"/>
      <c r="AR55" s="864"/>
      <c r="AS55" s="864"/>
      <c r="AT55" s="864"/>
      <c r="AU55" s="864"/>
      <c r="AV55" s="864"/>
      <c r="AW55" s="864"/>
      <c r="AX55" s="864"/>
      <c r="AY55" s="864"/>
    </row>
    <row r="56" spans="4:51" s="56" customFormat="1" ht="19.5" thickBot="1">
      <c r="D56" s="80"/>
      <c r="E56" s="1151"/>
      <c r="F56" s="1152" t="s">
        <v>344</v>
      </c>
      <c r="G56" s="1153"/>
      <c r="H56" s="1154">
        <f>+SUM(H42:H52)</f>
        <v>9917.3414000000012</v>
      </c>
      <c r="I56" s="41"/>
      <c r="M56" s="61"/>
      <c r="N56" s="955"/>
      <c r="O56" s="202"/>
      <c r="R56" s="1159"/>
      <c r="S56" s="864"/>
      <c r="T56" s="972">
        <f>+'Idaho Only'!AA70</f>
        <v>1</v>
      </c>
      <c r="U56" s="972">
        <f>+'Idaho Only'!AB70</f>
        <v>500</v>
      </c>
      <c r="V56" s="972">
        <f>+'Idaho Only'!AC70</f>
        <v>500</v>
      </c>
      <c r="W56" s="972">
        <f>+'Idaho Only'!AD70</f>
        <v>15.28</v>
      </c>
      <c r="X56" s="972">
        <f>+'Idaho Only'!AE70</f>
        <v>0</v>
      </c>
      <c r="Y56" s="972">
        <f>+'Idaho Only'!AF70</f>
        <v>0</v>
      </c>
      <c r="Z56" s="866">
        <f>+IF(G7&lt;U56,W56,0)</f>
        <v>0</v>
      </c>
      <c r="AA56" s="864"/>
      <c r="AB56" s="867"/>
      <c r="AC56" s="864"/>
      <c r="AD56" s="864"/>
      <c r="AE56" s="864"/>
      <c r="AF56" s="864"/>
      <c r="AG56" s="864"/>
      <c r="AH56" s="864"/>
      <c r="AI56" s="864"/>
      <c r="AJ56" s="864"/>
      <c r="AK56" s="864"/>
      <c r="AL56" s="864"/>
      <c r="AM56" s="864"/>
      <c r="AN56" s="864"/>
      <c r="AO56" s="864"/>
      <c r="AP56" s="864"/>
      <c r="AQ56" s="864"/>
      <c r="AR56" s="864"/>
      <c r="AS56" s="864"/>
      <c r="AT56" s="864"/>
      <c r="AU56" s="864"/>
      <c r="AV56" s="864"/>
      <c r="AW56" s="864"/>
      <c r="AX56" s="864"/>
      <c r="AY56" s="864"/>
    </row>
    <row r="57" spans="4:51" s="56" customFormat="1" ht="19.5" thickBot="1">
      <c r="D57" s="80"/>
      <c r="E57" s="1151"/>
      <c r="F57" s="1152" t="s">
        <v>345</v>
      </c>
      <c r="G57" s="1153"/>
      <c r="H57" s="1154">
        <f>+SUM(H54:H56)</f>
        <v>15117.341400000001</v>
      </c>
      <c r="I57" s="41"/>
      <c r="M57" s="61"/>
      <c r="N57" s="955"/>
      <c r="O57" s="202"/>
      <c r="R57" s="1159"/>
      <c r="S57" s="864"/>
      <c r="T57" s="972">
        <f>+'Idaho Only'!AA71</f>
        <v>501</v>
      </c>
      <c r="U57" s="972">
        <f>+'Idaho Only'!AB71</f>
        <v>2000</v>
      </c>
      <c r="V57" s="972">
        <f>+'Idaho Only'!AC71</f>
        <v>500</v>
      </c>
      <c r="W57" s="972">
        <f>+'Idaho Only'!AD71</f>
        <v>15.28</v>
      </c>
      <c r="X57" s="972">
        <f>+'Idaho Only'!AE71</f>
        <v>1.98</v>
      </c>
      <c r="Y57" s="972">
        <f>+'Idaho Only'!AF71</f>
        <v>100</v>
      </c>
      <c r="Z57" s="866">
        <f>+IF($G$7&lt;=U57,IF($G$7&gt;=T57,W57+ROUNDUP(($G$7-V57)/Y57,0)*X57,0),0)</f>
        <v>0</v>
      </c>
      <c r="AA57" s="864"/>
      <c r="AB57" s="867"/>
      <c r="AC57" s="864"/>
      <c r="AD57" s="864"/>
      <c r="AE57" s="864"/>
      <c r="AF57" s="864"/>
      <c r="AG57" s="864"/>
      <c r="AH57" s="864"/>
      <c r="AI57" s="864"/>
      <c r="AJ57" s="864"/>
      <c r="AK57" s="864"/>
      <c r="AL57" s="864"/>
      <c r="AM57" s="864"/>
      <c r="AN57" s="864"/>
      <c r="AO57" s="864"/>
      <c r="AP57" s="864"/>
      <c r="AQ57" s="864"/>
      <c r="AR57" s="864"/>
      <c r="AS57" s="864"/>
      <c r="AT57" s="864"/>
      <c r="AU57" s="864"/>
      <c r="AV57" s="864"/>
      <c r="AW57" s="864"/>
      <c r="AX57" s="864"/>
      <c r="AY57" s="864"/>
    </row>
    <row r="58" spans="4:51" s="56" customFormat="1" ht="15.75" thickBot="1">
      <c r="D58" s="209"/>
      <c r="E58" s="1150"/>
      <c r="F58" s="1150"/>
      <c r="G58" s="1150"/>
      <c r="H58" s="1150"/>
      <c r="I58" s="44"/>
      <c r="M58" s="61"/>
      <c r="N58" s="955"/>
      <c r="O58" s="202"/>
      <c r="R58" s="1159"/>
      <c r="S58" s="864"/>
      <c r="T58" s="972">
        <f>+'Idaho Only'!AA72</f>
        <v>2001</v>
      </c>
      <c r="U58" s="972">
        <f>+'Idaho Only'!AB72</f>
        <v>25000</v>
      </c>
      <c r="V58" s="972">
        <f>+'Idaho Only'!AC72</f>
        <v>2000</v>
      </c>
      <c r="W58" s="972">
        <f>+'Idaho Only'!AD72</f>
        <v>45.01</v>
      </c>
      <c r="X58" s="972">
        <f>+'Idaho Only'!AE72</f>
        <v>9.1</v>
      </c>
      <c r="Y58" s="972">
        <f>+'Idaho Only'!AF72</f>
        <v>1000</v>
      </c>
      <c r="Z58" s="866">
        <f t="shared" ref="Z58:Z62" si="1">+IF($G$7&lt;=U58,IF($G$7&gt;=T58,W58+ROUNDUP(($G$7-V58)/Y58,0)*X58,0),0)</f>
        <v>0</v>
      </c>
      <c r="AA58" s="864"/>
      <c r="AB58" s="867"/>
      <c r="AC58" s="864"/>
      <c r="AD58" s="864"/>
      <c r="AE58" s="864"/>
      <c r="AF58" s="864"/>
      <c r="AG58" s="864"/>
      <c r="AH58" s="864"/>
      <c r="AI58" s="864"/>
      <c r="AJ58" s="864"/>
      <c r="AK58" s="864"/>
      <c r="AL58" s="864"/>
      <c r="AM58" s="864"/>
      <c r="AN58" s="864"/>
      <c r="AO58" s="864"/>
      <c r="AP58" s="864"/>
      <c r="AQ58" s="864"/>
      <c r="AR58" s="864"/>
      <c r="AS58" s="864"/>
      <c r="AT58" s="864"/>
      <c r="AU58" s="864"/>
      <c r="AV58" s="864"/>
      <c r="AW58" s="864"/>
      <c r="AX58" s="864"/>
      <c r="AY58" s="864"/>
    </row>
    <row r="59" spans="4:51" s="56" customFormat="1">
      <c r="D59" s="56" t="s">
        <v>346</v>
      </c>
      <c r="M59" s="61"/>
      <c r="N59" s="955"/>
      <c r="O59" s="202"/>
      <c r="R59" s="1159"/>
      <c r="S59" s="864"/>
      <c r="T59" s="972">
        <f>+'Idaho Only'!AA73</f>
        <v>25001</v>
      </c>
      <c r="U59" s="972">
        <f>+'Idaho Only'!AB73</f>
        <v>50000</v>
      </c>
      <c r="V59" s="972">
        <f>+'Idaho Only'!AC73</f>
        <v>25000</v>
      </c>
      <c r="W59" s="972">
        <f>+'Idaho Only'!AD73</f>
        <v>254.64</v>
      </c>
      <c r="X59" s="972">
        <f>+'Idaho Only'!AE73</f>
        <v>6.57</v>
      </c>
      <c r="Y59" s="972">
        <f>+'Idaho Only'!AF73</f>
        <v>1000</v>
      </c>
      <c r="Z59" s="866">
        <f t="shared" si="1"/>
        <v>0</v>
      </c>
      <c r="AA59" s="864"/>
      <c r="AB59" s="867"/>
      <c r="AC59" s="864"/>
      <c r="AD59" s="864"/>
      <c r="AE59" s="864"/>
      <c r="AF59" s="864"/>
      <c r="AG59" s="864"/>
      <c r="AH59" s="864"/>
      <c r="AI59" s="864"/>
      <c r="AJ59" s="864"/>
      <c r="AK59" s="864"/>
      <c r="AL59" s="864"/>
      <c r="AM59" s="864"/>
      <c r="AN59" s="864"/>
      <c r="AO59" s="864"/>
      <c r="AP59" s="864"/>
      <c r="AQ59" s="864"/>
      <c r="AR59" s="864"/>
      <c r="AS59" s="864"/>
      <c r="AT59" s="864"/>
      <c r="AU59" s="864"/>
      <c r="AV59" s="864"/>
      <c r="AW59" s="864"/>
      <c r="AX59" s="864"/>
      <c r="AY59" s="864"/>
    </row>
    <row r="60" spans="4:51" s="56" customFormat="1">
      <c r="D60" s="56" t="s">
        <v>347</v>
      </c>
      <c r="M60" s="61"/>
      <c r="N60" s="955"/>
      <c r="O60" s="202"/>
      <c r="R60" s="1159"/>
      <c r="S60" s="864"/>
      <c r="T60" s="972">
        <f>+'Idaho Only'!AA74</f>
        <v>50001</v>
      </c>
      <c r="U60" s="972">
        <f>+'Idaho Only'!AB74</f>
        <v>100000</v>
      </c>
      <c r="V60" s="972">
        <f>+'Idaho Only'!AC74</f>
        <v>50000</v>
      </c>
      <c r="W60" s="972">
        <f>+'Idaho Only'!AD74</f>
        <v>418.44</v>
      </c>
      <c r="X60" s="972">
        <f>+'Idaho Only'!AE74</f>
        <v>4.55</v>
      </c>
      <c r="Y60" s="972">
        <f>+'Idaho Only'!AF74</f>
        <v>1000</v>
      </c>
      <c r="Z60" s="866">
        <f t="shared" si="1"/>
        <v>0</v>
      </c>
      <c r="AA60" s="864"/>
      <c r="AB60" s="867"/>
      <c r="AC60" s="864"/>
      <c r="AD60" s="864"/>
      <c r="AE60" s="864"/>
      <c r="AF60" s="864"/>
      <c r="AG60" s="864"/>
      <c r="AH60" s="864"/>
      <c r="AI60" s="864"/>
      <c r="AJ60" s="864"/>
      <c r="AK60" s="864"/>
      <c r="AL60" s="864"/>
      <c r="AM60" s="864"/>
      <c r="AN60" s="864"/>
      <c r="AO60" s="864"/>
      <c r="AP60" s="864"/>
      <c r="AQ60" s="864"/>
      <c r="AR60" s="864"/>
      <c r="AS60" s="864"/>
      <c r="AT60" s="864"/>
      <c r="AU60" s="864"/>
      <c r="AV60" s="864"/>
      <c r="AW60" s="864"/>
      <c r="AX60" s="864"/>
      <c r="AY60" s="864"/>
    </row>
    <row r="61" spans="4:51" s="56" customFormat="1">
      <c r="M61" s="61"/>
      <c r="N61" s="955"/>
      <c r="O61" s="202"/>
      <c r="R61" s="1159"/>
      <c r="S61" s="864"/>
      <c r="T61" s="972">
        <f>+'Idaho Only'!AA75</f>
        <v>100001</v>
      </c>
      <c r="U61" s="972">
        <f>+'Idaho Only'!AB75</f>
        <v>500000</v>
      </c>
      <c r="V61" s="972">
        <f>+'Idaho Only'!AC75</f>
        <v>100000</v>
      </c>
      <c r="W61" s="972">
        <f>+'Idaho Only'!AD75</f>
        <v>645.94000000000005</v>
      </c>
      <c r="X61" s="972">
        <f>+'Idaho Only'!AE75</f>
        <v>3.64</v>
      </c>
      <c r="Y61" s="972">
        <f>+'Idaho Only'!AF75</f>
        <v>1000</v>
      </c>
      <c r="Z61" s="866">
        <f t="shared" si="1"/>
        <v>1057.26</v>
      </c>
      <c r="AA61" s="864"/>
      <c r="AB61" s="867"/>
      <c r="AC61" s="864"/>
      <c r="AD61" s="864"/>
      <c r="AE61" s="864"/>
      <c r="AF61" s="864"/>
      <c r="AG61" s="864"/>
      <c r="AH61" s="864"/>
      <c r="AI61" s="864"/>
      <c r="AJ61" s="864"/>
      <c r="AK61" s="864"/>
      <c r="AL61" s="864"/>
      <c r="AM61" s="864"/>
      <c r="AN61" s="864"/>
      <c r="AO61" s="864"/>
      <c r="AP61" s="864"/>
      <c r="AQ61" s="864"/>
      <c r="AR61" s="864"/>
      <c r="AS61" s="864"/>
      <c r="AT61" s="864"/>
      <c r="AU61" s="864"/>
      <c r="AV61" s="864"/>
      <c r="AW61" s="864"/>
      <c r="AX61" s="864"/>
      <c r="AY61" s="864"/>
    </row>
    <row r="62" spans="4:51" s="56" customFormat="1">
      <c r="M62" s="61"/>
      <c r="N62" s="955"/>
      <c r="O62" s="202"/>
      <c r="R62" s="1159"/>
      <c r="S62" s="864"/>
      <c r="T62" s="972">
        <f>+'Idaho Only'!AA76</f>
        <v>500001</v>
      </c>
      <c r="U62" s="972">
        <f>+'Idaho Only'!AB76</f>
        <v>1000000</v>
      </c>
      <c r="V62" s="972">
        <f>+'Idaho Only'!AC76</f>
        <v>500000</v>
      </c>
      <c r="W62" s="972">
        <f>+'Idaho Only'!AD76</f>
        <v>2101.94</v>
      </c>
      <c r="X62" s="972">
        <f>+'Idaho Only'!AE76</f>
        <v>3.09</v>
      </c>
      <c r="Y62" s="972">
        <f>+'Idaho Only'!AF76</f>
        <v>1000</v>
      </c>
      <c r="Z62" s="866">
        <f t="shared" si="1"/>
        <v>0</v>
      </c>
      <c r="AA62" s="864"/>
      <c r="AB62" s="867"/>
      <c r="AC62" s="864"/>
      <c r="AD62" s="864"/>
      <c r="AE62" s="864"/>
      <c r="AF62" s="864"/>
      <c r="AG62" s="864"/>
      <c r="AH62" s="864"/>
      <c r="AI62" s="864"/>
      <c r="AJ62" s="864"/>
      <c r="AK62" s="864"/>
      <c r="AL62" s="864"/>
      <c r="AM62" s="864"/>
      <c r="AN62" s="864"/>
      <c r="AO62" s="864"/>
      <c r="AP62" s="864"/>
      <c r="AQ62" s="864"/>
      <c r="AR62" s="864"/>
      <c r="AS62" s="864"/>
      <c r="AT62" s="864"/>
      <c r="AU62" s="864"/>
      <c r="AV62" s="864"/>
      <c r="AW62" s="864"/>
      <c r="AX62" s="864"/>
      <c r="AY62" s="864"/>
    </row>
    <row r="63" spans="4:51" s="56" customFormat="1">
      <c r="M63" s="61"/>
      <c r="N63" s="955"/>
      <c r="O63" s="202"/>
      <c r="R63" s="1159"/>
      <c r="S63" s="864"/>
      <c r="T63" s="972">
        <f>+'Idaho Only'!AA77</f>
        <v>1000001</v>
      </c>
      <c r="U63" s="972" t="str">
        <f>+'Idaho Only'!AB77</f>
        <v>+</v>
      </c>
      <c r="V63" s="972">
        <f>+'Idaho Only'!AC77</f>
        <v>1000000</v>
      </c>
      <c r="W63" s="972">
        <f>+'Idaho Only'!AD77</f>
        <v>3645.69</v>
      </c>
      <c r="X63" s="972">
        <f>+'Idaho Only'!AE77</f>
        <v>2.37</v>
      </c>
      <c r="Y63" s="972">
        <f>+'Idaho Only'!AF77</f>
        <v>1000</v>
      </c>
      <c r="Z63" s="866">
        <f>+IF($G$7&gt;=T63,W63+ROUNDUP(($G$7-V63)/Y63,0)*X63,0)</f>
        <v>0</v>
      </c>
      <c r="AA63" s="864"/>
      <c r="AB63" s="867"/>
      <c r="AC63" s="864"/>
      <c r="AD63" s="864"/>
      <c r="AE63" s="864"/>
      <c r="AF63" s="864"/>
      <c r="AG63" s="864"/>
      <c r="AH63" s="864"/>
      <c r="AI63" s="864"/>
      <c r="AJ63" s="864"/>
      <c r="AK63" s="864"/>
      <c r="AL63" s="864"/>
      <c r="AM63" s="864"/>
      <c r="AN63" s="864"/>
      <c r="AO63" s="864"/>
      <c r="AP63" s="864"/>
      <c r="AQ63" s="864"/>
      <c r="AR63" s="864"/>
      <c r="AS63" s="864"/>
      <c r="AT63" s="864"/>
      <c r="AU63" s="864"/>
      <c r="AV63" s="864"/>
      <c r="AW63" s="864"/>
      <c r="AX63" s="864"/>
      <c r="AY63" s="864"/>
    </row>
    <row r="64" spans="4:51" s="56" customFormat="1">
      <c r="M64" s="61"/>
      <c r="N64" s="955"/>
      <c r="O64" s="202"/>
      <c r="R64" s="1159"/>
      <c r="S64" s="864"/>
      <c r="T64" s="972">
        <f>+'Idaho Only'!AA78</f>
        <v>0</v>
      </c>
      <c r="U64" s="972">
        <f>+'Idaho Only'!AB78</f>
        <v>0</v>
      </c>
      <c r="V64" s="972">
        <f>+'Idaho Only'!AC78</f>
        <v>0</v>
      </c>
      <c r="W64" s="972">
        <f>+'Idaho Only'!AD78</f>
        <v>0</v>
      </c>
      <c r="X64" s="972">
        <f>+'Idaho Only'!AE78</f>
        <v>0</v>
      </c>
      <c r="Y64" s="972">
        <f>+'Idaho Only'!AF78</f>
        <v>0</v>
      </c>
      <c r="Z64" s="866"/>
      <c r="AA64" s="864"/>
      <c r="AB64" s="867"/>
      <c r="AC64" s="864"/>
      <c r="AD64" s="864"/>
      <c r="AE64" s="864"/>
      <c r="AF64" s="864"/>
      <c r="AG64" s="864"/>
      <c r="AH64" s="864"/>
      <c r="AI64" s="864"/>
      <c r="AJ64" s="864"/>
      <c r="AK64" s="864"/>
      <c r="AL64" s="864"/>
      <c r="AM64" s="864"/>
      <c r="AN64" s="864"/>
      <c r="AO64" s="864"/>
      <c r="AP64" s="864"/>
      <c r="AQ64" s="864"/>
      <c r="AR64" s="864"/>
      <c r="AS64" s="864"/>
      <c r="AT64" s="864"/>
      <c r="AU64" s="864"/>
      <c r="AV64" s="864"/>
      <c r="AW64" s="864"/>
      <c r="AX64" s="864"/>
      <c r="AY64" s="864"/>
    </row>
    <row r="65" spans="13:51" s="56" customFormat="1">
      <c r="M65" s="61"/>
      <c r="N65" s="955"/>
      <c r="O65" s="202"/>
      <c r="R65" s="1159"/>
      <c r="S65" s="864"/>
      <c r="T65" s="972">
        <f>+'Idaho Only'!AA79</f>
        <v>0</v>
      </c>
      <c r="U65" s="972">
        <f>+'Idaho Only'!AB79</f>
        <v>0</v>
      </c>
      <c r="V65" s="972">
        <f>+'Idaho Only'!AC79</f>
        <v>0</v>
      </c>
      <c r="W65" s="972">
        <f>+'Idaho Only'!AD79</f>
        <v>0</v>
      </c>
      <c r="X65" s="972">
        <f>+'Idaho Only'!AE79</f>
        <v>0</v>
      </c>
      <c r="Y65" s="972">
        <f>+'Idaho Only'!AF79</f>
        <v>0</v>
      </c>
      <c r="Z65" s="866"/>
      <c r="AA65" s="864"/>
      <c r="AB65" s="867"/>
      <c r="AC65" s="864"/>
      <c r="AD65" s="864"/>
      <c r="AE65" s="864"/>
      <c r="AF65" s="864"/>
      <c r="AG65" s="864"/>
      <c r="AH65" s="864"/>
      <c r="AI65" s="864"/>
      <c r="AJ65" s="864"/>
      <c r="AK65" s="864"/>
      <c r="AL65" s="864"/>
      <c r="AM65" s="864"/>
      <c r="AN65" s="864"/>
      <c r="AO65" s="864"/>
      <c r="AP65" s="864"/>
      <c r="AQ65" s="864"/>
      <c r="AR65" s="864"/>
      <c r="AS65" s="864"/>
      <c r="AT65" s="864"/>
      <c r="AU65" s="864"/>
      <c r="AV65" s="864"/>
      <c r="AW65" s="864"/>
      <c r="AX65" s="864"/>
      <c r="AY65" s="864"/>
    </row>
    <row r="66" spans="13:51" s="56" customFormat="1">
      <c r="M66" s="61"/>
      <c r="N66" s="955"/>
      <c r="O66" s="202"/>
      <c r="R66" s="1159"/>
      <c r="S66" s="864"/>
      <c r="T66" s="864"/>
      <c r="U66" s="864"/>
      <c r="V66" s="864"/>
      <c r="W66" s="864"/>
      <c r="X66" s="864"/>
      <c r="Y66" s="864"/>
      <c r="Z66" s="864"/>
      <c r="AA66" s="864"/>
      <c r="AB66" s="867"/>
      <c r="AC66" s="864"/>
      <c r="AD66" s="864"/>
      <c r="AE66" s="864"/>
      <c r="AF66" s="864"/>
      <c r="AG66" s="864"/>
      <c r="AH66" s="864"/>
      <c r="AI66" s="864"/>
      <c r="AJ66" s="864"/>
      <c r="AK66" s="864"/>
      <c r="AL66" s="864"/>
      <c r="AM66" s="864"/>
      <c r="AN66" s="864"/>
      <c r="AO66" s="864"/>
      <c r="AP66" s="864"/>
      <c r="AQ66" s="864"/>
      <c r="AR66" s="864"/>
      <c r="AS66" s="864"/>
      <c r="AT66" s="864"/>
      <c r="AU66" s="864"/>
      <c r="AV66" s="864"/>
      <c r="AW66" s="864"/>
      <c r="AX66" s="864"/>
      <c r="AY66" s="864"/>
    </row>
    <row r="67" spans="13:51" s="56" customFormat="1">
      <c r="M67" s="61"/>
      <c r="N67" s="955"/>
      <c r="O67" s="202"/>
      <c r="R67" s="1159"/>
      <c r="S67" s="864"/>
      <c r="T67" s="864"/>
      <c r="U67" s="864"/>
      <c r="V67" s="864"/>
      <c r="W67" s="864"/>
      <c r="X67" s="864"/>
      <c r="Y67" s="864"/>
      <c r="Z67" s="864"/>
      <c r="AA67" s="864"/>
      <c r="AB67" s="867"/>
      <c r="AC67" s="864"/>
      <c r="AD67" s="864" t="s">
        <v>348</v>
      </c>
      <c r="AE67" s="864">
        <f>11850/(72*56)</f>
        <v>2.9389880952380953</v>
      </c>
      <c r="AF67" s="864"/>
      <c r="AG67" s="864"/>
      <c r="AH67" s="864"/>
      <c r="AI67" s="864"/>
      <c r="AJ67" s="864"/>
      <c r="AK67" s="864"/>
      <c r="AL67" s="864"/>
      <c r="AM67" s="864"/>
      <c r="AN67" s="864"/>
      <c r="AO67" s="864"/>
      <c r="AP67" s="864"/>
      <c r="AQ67" s="864"/>
      <c r="AR67" s="864"/>
      <c r="AS67" s="864"/>
      <c r="AT67" s="864"/>
      <c r="AU67" s="864"/>
      <c r="AV67" s="864"/>
      <c r="AW67" s="864"/>
      <c r="AX67" s="864"/>
      <c r="AY67" s="864"/>
    </row>
    <row r="68" spans="13:51" s="56" customFormat="1">
      <c r="M68" s="61"/>
      <c r="N68" s="955"/>
      <c r="O68" s="202"/>
      <c r="R68" s="1159"/>
      <c r="S68" s="864"/>
      <c r="T68" s="864"/>
      <c r="U68" s="864"/>
      <c r="V68" s="864"/>
      <c r="W68" s="864"/>
      <c r="X68" s="864"/>
      <c r="Y68" s="864"/>
      <c r="Z68" s="864"/>
      <c r="AA68" s="864"/>
      <c r="AB68" s="867"/>
      <c r="AC68" s="864"/>
      <c r="AD68" s="864" t="s">
        <v>349</v>
      </c>
      <c r="AE68" s="864">
        <v>1.5</v>
      </c>
      <c r="AF68" s="864"/>
      <c r="AG68" s="864"/>
      <c r="AH68" s="864"/>
      <c r="AI68" s="864"/>
      <c r="AJ68" s="864"/>
      <c r="AK68" s="864"/>
      <c r="AL68" s="864"/>
      <c r="AM68" s="864"/>
      <c r="AN68" s="864"/>
      <c r="AO68" s="864"/>
      <c r="AP68" s="864"/>
      <c r="AQ68" s="864"/>
      <c r="AR68" s="864"/>
      <c r="AS68" s="864"/>
      <c r="AT68" s="864"/>
      <c r="AU68" s="864"/>
      <c r="AV68" s="864"/>
      <c r="AW68" s="864"/>
      <c r="AX68" s="864"/>
      <c r="AY68" s="864"/>
    </row>
    <row r="69" spans="13:51" s="56" customFormat="1">
      <c r="M69" s="61"/>
      <c r="N69" s="955"/>
      <c r="O69" s="202"/>
      <c r="R69" s="1159"/>
      <c r="S69" s="864"/>
      <c r="T69" s="864"/>
      <c r="U69" s="864"/>
      <c r="V69" s="864"/>
      <c r="W69" s="864"/>
      <c r="X69" s="864"/>
      <c r="Y69" s="864"/>
      <c r="Z69" s="864"/>
      <c r="AA69" s="864"/>
      <c r="AB69" s="867"/>
      <c r="AC69" s="864"/>
      <c r="AD69" s="864"/>
      <c r="AE69" s="864"/>
      <c r="AF69" s="864"/>
      <c r="AG69" s="864"/>
      <c r="AH69" s="864"/>
      <c r="AI69" s="864"/>
      <c r="AJ69" s="864"/>
      <c r="AK69" s="864"/>
      <c r="AL69" s="864"/>
      <c r="AM69" s="864"/>
      <c r="AN69" s="864"/>
      <c r="AO69" s="864"/>
      <c r="AP69" s="864"/>
      <c r="AQ69" s="864"/>
      <c r="AR69" s="864"/>
      <c r="AS69" s="864"/>
      <c r="AT69" s="864"/>
      <c r="AU69" s="864"/>
      <c r="AV69" s="864"/>
      <c r="AW69" s="864"/>
      <c r="AX69" s="864"/>
      <c r="AY69" s="864"/>
    </row>
    <row r="70" spans="13:51" s="56" customFormat="1">
      <c r="M70" s="61"/>
      <c r="N70" s="955"/>
      <c r="O70" s="202"/>
      <c r="R70" s="1159"/>
      <c r="S70" s="864"/>
      <c r="T70" s="864"/>
      <c r="U70" s="864"/>
      <c r="V70" s="864"/>
      <c r="W70" s="864"/>
      <c r="X70" s="864"/>
      <c r="Y70" s="864" t="s">
        <v>350</v>
      </c>
      <c r="Z70" s="864" t="s">
        <v>351</v>
      </c>
      <c r="AA70" s="864"/>
      <c r="AB70" s="867"/>
      <c r="AC70" s="864"/>
      <c r="AD70" s="864"/>
      <c r="AE70" s="864"/>
      <c r="AF70" s="864"/>
      <c r="AG70" s="864"/>
      <c r="AH70" s="864"/>
      <c r="AI70" s="864"/>
      <c r="AJ70" s="864"/>
      <c r="AK70" s="864"/>
      <c r="AL70" s="864"/>
      <c r="AM70" s="864"/>
      <c r="AN70" s="864"/>
      <c r="AO70" s="864"/>
      <c r="AP70" s="864"/>
      <c r="AQ70" s="864"/>
      <c r="AR70" s="864"/>
      <c r="AS70" s="864"/>
      <c r="AT70" s="864"/>
      <c r="AU70" s="864"/>
      <c r="AV70" s="864"/>
      <c r="AW70" s="864"/>
      <c r="AX70" s="864"/>
      <c r="AY70" s="864"/>
    </row>
    <row r="71" spans="13:51" s="56" customFormat="1">
      <c r="M71" s="61"/>
      <c r="N71" s="955"/>
      <c r="O71" s="202"/>
      <c r="R71" s="1159"/>
      <c r="S71" s="864"/>
      <c r="T71" s="864"/>
      <c r="U71" s="864"/>
      <c r="V71" s="864"/>
      <c r="W71" s="864"/>
      <c r="X71" s="864"/>
      <c r="Y71" s="864" t="s">
        <v>352</v>
      </c>
      <c r="Z71" s="864" t="str">
        <f>IF(N6=TRUE,IF(OR(N11=TRUE,N10=TRUE,N12=TRUE,N13=TRUE),"Both","ID"),IF(AND(N10=FALSE,N11=FALSE,N12=FALSE,N13=FALSE),IF(N7=TRUE,"NTA","Other"),"NTA"))</f>
        <v>NTA</v>
      </c>
      <c r="AA71" s="864"/>
      <c r="AB71" s="867"/>
      <c r="AC71" s="864"/>
      <c r="AD71" s="864"/>
      <c r="AE71" s="864"/>
      <c r="AF71" s="864"/>
      <c r="AG71" s="864"/>
      <c r="AH71" s="864"/>
      <c r="AI71" s="864"/>
      <c r="AJ71" s="864"/>
      <c r="AK71" s="864"/>
      <c r="AL71" s="864"/>
      <c r="AM71" s="864"/>
      <c r="AN71" s="864"/>
      <c r="AO71" s="864"/>
      <c r="AP71" s="864"/>
      <c r="AQ71" s="864"/>
      <c r="AR71" s="864"/>
      <c r="AS71" s="864"/>
      <c r="AT71" s="864"/>
      <c r="AU71" s="864"/>
      <c r="AV71" s="864"/>
      <c r="AW71" s="864"/>
      <c r="AX71" s="864"/>
      <c r="AY71" s="864"/>
    </row>
    <row r="72" spans="13:51" s="56" customFormat="1">
      <c r="M72" s="61"/>
      <c r="N72" s="955"/>
      <c r="O72" s="202"/>
      <c r="R72" s="1159"/>
      <c r="S72" s="864"/>
      <c r="T72" s="864"/>
      <c r="U72" s="864"/>
      <c r="V72" s="864"/>
      <c r="W72" s="864"/>
      <c r="X72" s="864"/>
      <c r="Y72" s="864" t="s">
        <v>222</v>
      </c>
      <c r="Z72" s="864" t="str">
        <f>+IF(OR(N10=TRUE,N11=TRUE,N12=TRUE),IF(N6=TRUE,"Both","NTA"),"ID")</f>
        <v>ID</v>
      </c>
      <c r="AA72" s="864"/>
      <c r="AB72" s="867"/>
      <c r="AC72" s="864"/>
      <c r="AD72" s="864"/>
      <c r="AE72" s="864"/>
      <c r="AF72" s="864"/>
      <c r="AG72" s="864"/>
      <c r="AH72" s="864"/>
      <c r="AI72" s="864"/>
      <c r="AJ72" s="864"/>
      <c r="AK72" s="864"/>
      <c r="AL72" s="864"/>
      <c r="AM72" s="864"/>
      <c r="AN72" s="864"/>
      <c r="AO72" s="864"/>
      <c r="AP72" s="864"/>
      <c r="AQ72" s="864"/>
      <c r="AR72" s="864"/>
      <c r="AS72" s="864"/>
      <c r="AT72" s="864"/>
      <c r="AU72" s="864"/>
      <c r="AV72" s="864"/>
      <c r="AW72" s="864"/>
      <c r="AX72" s="864"/>
      <c r="AY72" s="864"/>
    </row>
    <row r="73" spans="13:51" s="56" customFormat="1">
      <c r="M73" s="61"/>
      <c r="N73" s="955"/>
      <c r="O73" s="202"/>
      <c r="R73" s="1159"/>
      <c r="S73" s="864"/>
      <c r="T73" s="864"/>
      <c r="U73" s="864"/>
      <c r="V73" s="864"/>
      <c r="W73" s="864"/>
      <c r="X73" s="864"/>
      <c r="Y73" s="864"/>
      <c r="Z73" s="864"/>
      <c r="AA73" s="864"/>
      <c r="AB73" s="867"/>
      <c r="AC73" s="864"/>
      <c r="AD73" s="864"/>
      <c r="AE73" s="864"/>
      <c r="AF73" s="864"/>
      <c r="AG73" s="864"/>
      <c r="AH73" s="864"/>
      <c r="AI73" s="864"/>
      <c r="AJ73" s="864"/>
      <c r="AK73" s="864"/>
      <c r="AL73" s="864"/>
      <c r="AM73" s="864"/>
      <c r="AN73" s="864"/>
      <c r="AO73" s="864"/>
      <c r="AP73" s="864"/>
      <c r="AQ73" s="864"/>
      <c r="AR73" s="864"/>
      <c r="AS73" s="864"/>
      <c r="AT73" s="864"/>
      <c r="AU73" s="864"/>
      <c r="AV73" s="864"/>
      <c r="AW73" s="864"/>
      <c r="AX73" s="864"/>
      <c r="AY73" s="864"/>
    </row>
    <row r="74" spans="13:51" s="56" customFormat="1">
      <c r="M74" s="61"/>
      <c r="N74" s="955"/>
      <c r="O74" s="202"/>
      <c r="R74" s="1159"/>
      <c r="S74" s="864"/>
      <c r="T74" s="864"/>
      <c r="U74" s="864"/>
      <c r="V74" s="864"/>
      <c r="W74" s="864"/>
      <c r="X74" s="864"/>
      <c r="Y74" s="864"/>
      <c r="Z74" s="864"/>
      <c r="AA74" s="864"/>
      <c r="AB74" s="867"/>
      <c r="AC74" s="864"/>
      <c r="AD74" s="864" t="s">
        <v>353</v>
      </c>
      <c r="AE74" s="864"/>
      <c r="AF74" s="864"/>
      <c r="AG74" s="864"/>
      <c r="AH74" s="864"/>
      <c r="AI74" s="864"/>
      <c r="AJ74" s="864"/>
      <c r="AK74" s="864"/>
      <c r="AL74" s="864"/>
      <c r="AM74" s="864"/>
      <c r="AN74" s="864"/>
      <c r="AO74" s="864"/>
      <c r="AP74" s="864"/>
      <c r="AQ74" s="864"/>
      <c r="AR74" s="864"/>
      <c r="AS74" s="864"/>
      <c r="AT74" s="864"/>
      <c r="AU74" s="864"/>
      <c r="AV74" s="864"/>
      <c r="AW74" s="864"/>
      <c r="AX74" s="864"/>
      <c r="AY74" s="864"/>
    </row>
    <row r="75" spans="13:51" s="56" customFormat="1">
      <c r="M75" s="61"/>
      <c r="N75" s="955"/>
      <c r="O75" s="202"/>
      <c r="R75" s="1159"/>
      <c r="S75" s="864"/>
      <c r="T75" s="864"/>
      <c r="U75" s="864"/>
      <c r="V75" s="864"/>
      <c r="W75" s="864"/>
      <c r="X75" s="864"/>
      <c r="Y75" s="864" t="s">
        <v>354</v>
      </c>
      <c r="Z75" s="864"/>
      <c r="AA75" s="864"/>
      <c r="AB75" s="867"/>
      <c r="AC75" s="864"/>
      <c r="AD75" s="973"/>
      <c r="AE75" s="973" t="s">
        <v>355</v>
      </c>
      <c r="AF75" s="864" t="s">
        <v>356</v>
      </c>
      <c r="AG75" s="864"/>
      <c r="AH75" s="864"/>
      <c r="AI75" s="864"/>
      <c r="AJ75" s="864"/>
      <c r="AK75" s="864"/>
      <c r="AL75" s="864"/>
      <c r="AM75" s="864"/>
      <c r="AN75" s="864"/>
      <c r="AO75" s="864"/>
      <c r="AP75" s="864"/>
      <c r="AQ75" s="864"/>
      <c r="AR75" s="864"/>
      <c r="AS75" s="864"/>
      <c r="AT75" s="864"/>
      <c r="AU75" s="864"/>
      <c r="AV75" s="864"/>
      <c r="AW75" s="864"/>
      <c r="AX75" s="864"/>
      <c r="AY75" s="864"/>
    </row>
    <row r="76" spans="13:51" s="56" customFormat="1">
      <c r="M76" s="61"/>
      <c r="N76" s="955"/>
      <c r="O76" s="202"/>
      <c r="R76" s="1159"/>
      <c r="S76" s="864"/>
      <c r="T76" s="864"/>
      <c r="U76" s="864"/>
      <c r="V76" s="864"/>
      <c r="W76" s="864"/>
      <c r="X76" s="864"/>
      <c r="Y76" s="973" t="s">
        <v>56</v>
      </c>
      <c r="Z76" s="864">
        <f>+IF(AND(Z71&lt;&gt;"ID",Z71&lt;&gt;"Other"),(AE76+AF76*(G6-1))/G5,0)</f>
        <v>2050</v>
      </c>
      <c r="AA76" s="864"/>
      <c r="AB76" s="867"/>
      <c r="AC76" s="864"/>
      <c r="AD76" s="973" t="s">
        <v>357</v>
      </c>
      <c r="AE76" s="1161">
        <v>1800</v>
      </c>
      <c r="AF76" s="864">
        <v>50</v>
      </c>
      <c r="AG76" s="864"/>
      <c r="AH76" s="864"/>
      <c r="AI76" s="864"/>
      <c r="AJ76" s="864"/>
      <c r="AK76" s="864"/>
      <c r="AL76" s="864"/>
      <c r="AM76" s="864"/>
      <c r="AN76" s="864"/>
      <c r="AO76" s="864"/>
      <c r="AP76" s="864"/>
      <c r="AQ76" s="864"/>
      <c r="AR76" s="864"/>
      <c r="AS76" s="864"/>
      <c r="AT76" s="864"/>
      <c r="AU76" s="864"/>
      <c r="AV76" s="864"/>
      <c r="AW76" s="864"/>
      <c r="AX76" s="864"/>
      <c r="AY76" s="864"/>
    </row>
    <row r="77" spans="13:51" s="56" customFormat="1">
      <c r="M77" s="61"/>
      <c r="N77" s="955"/>
      <c r="O77" s="202"/>
      <c r="R77" s="1159"/>
      <c r="S77" s="864"/>
      <c r="T77" s="864"/>
      <c r="U77" s="864"/>
      <c r="V77" s="864"/>
      <c r="W77" s="864"/>
      <c r="X77" s="864"/>
      <c r="Y77" s="973" t="s">
        <v>154</v>
      </c>
      <c r="Z77" s="864">
        <f>+IF(Z72&lt;&gt;"ID",AF77*(G6)+AF77,0)</f>
        <v>0</v>
      </c>
      <c r="AA77" s="864"/>
      <c r="AB77" s="867"/>
      <c r="AC77" s="864"/>
      <c r="AD77" s="973" t="s">
        <v>154</v>
      </c>
      <c r="AE77" s="1161">
        <v>600</v>
      </c>
      <c r="AF77" s="864">
        <v>400</v>
      </c>
      <c r="AG77" s="864"/>
      <c r="AH77" s="864"/>
      <c r="AI77" s="864"/>
      <c r="AJ77" s="864"/>
      <c r="AK77" s="864"/>
      <c r="AL77" s="864"/>
      <c r="AM77" s="864"/>
      <c r="AN77" s="864"/>
      <c r="AO77" s="864"/>
      <c r="AP77" s="864"/>
      <c r="AQ77" s="864"/>
      <c r="AR77" s="864"/>
      <c r="AS77" s="864"/>
      <c r="AT77" s="864"/>
      <c r="AU77" s="864"/>
      <c r="AV77" s="864"/>
      <c r="AW77" s="864"/>
      <c r="AX77" s="864"/>
      <c r="AY77" s="864"/>
    </row>
    <row r="78" spans="13:51" s="56" customFormat="1">
      <c r="M78" s="61"/>
      <c r="N78" s="955"/>
      <c r="O78" s="202"/>
      <c r="R78" s="1159"/>
      <c r="S78" s="864"/>
      <c r="T78" s="864"/>
      <c r="U78" s="864"/>
      <c r="V78" s="864"/>
      <c r="W78" s="864"/>
      <c r="X78" s="864"/>
      <c r="Y78" s="864"/>
      <c r="Z78" s="864"/>
      <c r="AA78" s="864"/>
      <c r="AB78" s="867"/>
      <c r="AC78" s="864"/>
      <c r="AD78" s="864"/>
      <c r="AE78" s="864"/>
      <c r="AF78" s="864"/>
      <c r="AG78" s="864"/>
      <c r="AH78" s="864"/>
      <c r="AI78" s="864"/>
      <c r="AJ78" s="864"/>
      <c r="AK78" s="864"/>
      <c r="AL78" s="864"/>
      <c r="AM78" s="864"/>
      <c r="AN78" s="864"/>
      <c r="AO78" s="864"/>
      <c r="AP78" s="864"/>
      <c r="AQ78" s="864"/>
      <c r="AR78" s="864"/>
      <c r="AS78" s="864"/>
      <c r="AT78" s="864"/>
      <c r="AU78" s="864"/>
      <c r="AV78" s="864"/>
      <c r="AW78" s="864"/>
      <c r="AX78" s="864"/>
      <c r="AY78" s="864"/>
    </row>
    <row r="79" spans="13:51" s="56" customFormat="1">
      <c r="M79" s="61"/>
      <c r="N79" s="955"/>
      <c r="O79" s="202"/>
      <c r="R79" s="1159"/>
      <c r="S79" s="864"/>
      <c r="T79" s="864"/>
      <c r="U79" s="864"/>
      <c r="V79" s="864"/>
      <c r="W79" s="864"/>
      <c r="X79" s="864"/>
      <c r="Y79" s="864"/>
      <c r="Z79" s="864"/>
      <c r="AA79" s="864"/>
      <c r="AB79" s="867"/>
      <c r="AC79" s="864"/>
      <c r="AD79" s="864"/>
      <c r="AE79" s="864"/>
      <c r="AF79" s="864"/>
      <c r="AG79" s="864"/>
      <c r="AH79" s="864"/>
      <c r="AI79" s="864"/>
      <c r="AJ79" s="864"/>
      <c r="AK79" s="864"/>
      <c r="AL79" s="864"/>
      <c r="AM79" s="864"/>
      <c r="AN79" s="864"/>
      <c r="AO79" s="864"/>
      <c r="AP79" s="864"/>
      <c r="AQ79" s="864"/>
      <c r="AR79" s="864"/>
      <c r="AS79" s="864"/>
      <c r="AT79" s="864"/>
      <c r="AU79" s="864"/>
      <c r="AV79" s="864"/>
      <c r="AW79" s="864"/>
      <c r="AX79" s="864"/>
      <c r="AY79" s="864"/>
    </row>
    <row r="80" spans="13:51" s="56" customFormat="1">
      <c r="M80" s="61"/>
      <c r="N80" s="955"/>
      <c r="O80" s="202"/>
      <c r="R80" s="1159"/>
      <c r="S80" s="864"/>
      <c r="T80" s="864"/>
      <c r="U80" s="864"/>
      <c r="V80" s="864"/>
      <c r="W80" s="864"/>
      <c r="X80" s="864"/>
      <c r="Y80" s="864"/>
      <c r="Z80" s="864"/>
      <c r="AA80" s="864"/>
      <c r="AB80" s="867"/>
      <c r="AC80" s="864"/>
      <c r="AD80" s="864"/>
      <c r="AE80" s="864"/>
      <c r="AF80" s="864"/>
      <c r="AG80" s="864"/>
      <c r="AH80" s="864"/>
      <c r="AI80" s="864"/>
      <c r="AJ80" s="864"/>
      <c r="AK80" s="864"/>
      <c r="AL80" s="864"/>
      <c r="AM80" s="864"/>
      <c r="AN80" s="864"/>
      <c r="AO80" s="864"/>
      <c r="AP80" s="864"/>
      <c r="AQ80" s="864"/>
      <c r="AR80" s="864"/>
      <c r="AS80" s="864"/>
      <c r="AT80" s="864"/>
      <c r="AU80" s="864"/>
      <c r="AV80" s="864"/>
      <c r="AW80" s="864"/>
      <c r="AX80" s="864"/>
      <c r="AY80" s="864"/>
    </row>
    <row r="81" spans="13:51" s="56" customFormat="1">
      <c r="M81" s="61"/>
      <c r="N81" s="955"/>
      <c r="O81" s="202"/>
      <c r="R81" s="1159"/>
      <c r="S81" s="864"/>
      <c r="T81" s="864"/>
      <c r="U81" s="864"/>
      <c r="V81" s="864"/>
      <c r="W81" s="864"/>
      <c r="X81" s="864"/>
      <c r="Y81" s="864"/>
      <c r="Z81" s="864"/>
      <c r="AA81" s="864"/>
      <c r="AB81" s="867"/>
      <c r="AC81" s="864"/>
      <c r="AD81" s="864"/>
      <c r="AE81" s="864"/>
      <c r="AF81" s="864"/>
      <c r="AG81" s="864"/>
      <c r="AH81" s="864"/>
      <c r="AI81" s="864"/>
      <c r="AJ81" s="864"/>
      <c r="AK81" s="864"/>
      <c r="AL81" s="864"/>
      <c r="AM81" s="864"/>
      <c r="AN81" s="864"/>
      <c r="AO81" s="864"/>
      <c r="AP81" s="864"/>
      <c r="AQ81" s="864"/>
      <c r="AR81" s="864"/>
      <c r="AS81" s="864"/>
      <c r="AT81" s="864"/>
      <c r="AU81" s="864"/>
      <c r="AV81" s="864"/>
      <c r="AW81" s="864"/>
      <c r="AX81" s="864"/>
      <c r="AY81" s="864"/>
    </row>
    <row r="82" spans="13:51" s="56" customFormat="1">
      <c r="M82" s="61"/>
      <c r="N82" s="955"/>
      <c r="O82" s="202"/>
      <c r="R82" s="1159"/>
      <c r="S82" s="864"/>
      <c r="T82" s="864"/>
      <c r="U82" s="864"/>
      <c r="V82" s="864"/>
      <c r="W82" s="864"/>
      <c r="X82" s="864"/>
      <c r="Y82" s="864"/>
      <c r="Z82" s="864"/>
      <c r="AA82" s="864"/>
      <c r="AB82" s="867"/>
      <c r="AC82" s="864"/>
      <c r="AD82" s="864"/>
      <c r="AE82" s="864"/>
      <c r="AF82" s="864"/>
      <c r="AG82" s="864"/>
      <c r="AH82" s="864"/>
      <c r="AI82" s="864"/>
      <c r="AJ82" s="864"/>
      <c r="AK82" s="864"/>
      <c r="AL82" s="864"/>
      <c r="AM82" s="864"/>
      <c r="AN82" s="864"/>
      <c r="AO82" s="864"/>
      <c r="AP82" s="864"/>
      <c r="AQ82" s="864"/>
      <c r="AR82" s="864"/>
      <c r="AS82" s="864"/>
      <c r="AT82" s="864"/>
      <c r="AU82" s="864"/>
      <c r="AV82" s="864"/>
      <c r="AW82" s="864"/>
      <c r="AX82" s="864"/>
      <c r="AY82" s="864"/>
    </row>
    <row r="83" spans="13:51" s="56" customFormat="1">
      <c r="M83" s="61"/>
      <c r="N83" s="955"/>
      <c r="O83" s="202"/>
      <c r="R83" s="1159"/>
      <c r="S83" s="864"/>
      <c r="T83" s="864"/>
      <c r="U83" s="864"/>
      <c r="V83" s="864"/>
      <c r="W83" s="864"/>
      <c r="X83" s="864"/>
      <c r="Y83" s="864"/>
      <c r="Z83" s="864"/>
      <c r="AA83" s="864"/>
      <c r="AB83" s="867"/>
      <c r="AC83" s="864"/>
      <c r="AD83" s="864"/>
      <c r="AE83" s="864"/>
      <c r="AF83" s="864"/>
      <c r="AG83" s="864"/>
      <c r="AH83" s="864"/>
      <c r="AI83" s="864"/>
      <c r="AJ83" s="864"/>
      <c r="AK83" s="864"/>
      <c r="AL83" s="864"/>
      <c r="AM83" s="864"/>
      <c r="AN83" s="864"/>
      <c r="AO83" s="864"/>
      <c r="AP83" s="864"/>
      <c r="AQ83" s="864"/>
      <c r="AR83" s="864"/>
      <c r="AS83" s="864"/>
      <c r="AT83" s="864"/>
      <c r="AU83" s="864"/>
      <c r="AV83" s="864"/>
      <c r="AW83" s="864"/>
      <c r="AX83" s="864"/>
      <c r="AY83" s="864"/>
    </row>
    <row r="84" spans="13:51" s="56" customFormat="1">
      <c r="M84" s="61"/>
      <c r="N84" s="864"/>
      <c r="R84" s="864"/>
      <c r="S84" s="864"/>
      <c r="T84" s="864"/>
      <c r="U84" s="864"/>
      <c r="V84" s="864"/>
      <c r="W84" s="864"/>
      <c r="X84" s="864"/>
      <c r="Y84" s="864"/>
      <c r="Z84" s="864"/>
      <c r="AA84" s="864"/>
      <c r="AB84" s="867"/>
      <c r="AC84" s="864"/>
      <c r="AD84" s="864"/>
      <c r="AE84" s="864"/>
      <c r="AF84" s="864"/>
      <c r="AG84" s="864"/>
      <c r="AH84" s="864"/>
      <c r="AI84" s="864"/>
      <c r="AJ84" s="864"/>
      <c r="AK84" s="864"/>
      <c r="AL84" s="864"/>
      <c r="AM84" s="864"/>
      <c r="AN84" s="864"/>
      <c r="AO84" s="864"/>
      <c r="AP84" s="864"/>
      <c r="AQ84" s="864"/>
      <c r="AR84" s="864"/>
      <c r="AS84" s="864"/>
      <c r="AT84" s="864"/>
      <c r="AU84" s="864"/>
      <c r="AV84" s="864"/>
      <c r="AW84" s="864"/>
      <c r="AX84" s="864"/>
      <c r="AY84" s="864"/>
    </row>
    <row r="85" spans="13:51" s="56" customFormat="1">
      <c r="M85" s="61"/>
      <c r="N85" s="864"/>
      <c r="R85" s="864"/>
      <c r="S85" s="864"/>
      <c r="T85" s="864"/>
      <c r="U85" s="864"/>
      <c r="V85" s="864"/>
      <c r="W85" s="864"/>
      <c r="X85" s="864"/>
      <c r="Y85" s="864"/>
      <c r="Z85" s="864"/>
      <c r="AA85" s="864"/>
      <c r="AB85" s="867"/>
      <c r="AC85" s="864"/>
      <c r="AD85" s="864"/>
      <c r="AE85" s="864"/>
      <c r="AF85" s="864"/>
      <c r="AG85" s="864"/>
      <c r="AH85" s="864"/>
      <c r="AI85" s="864"/>
      <c r="AJ85" s="864"/>
      <c r="AK85" s="864"/>
      <c r="AL85" s="864"/>
      <c r="AM85" s="864"/>
      <c r="AN85" s="864"/>
      <c r="AO85" s="864"/>
      <c r="AP85" s="864"/>
      <c r="AQ85" s="864"/>
      <c r="AR85" s="864"/>
      <c r="AS85" s="864"/>
      <c r="AT85" s="864"/>
      <c r="AU85" s="864"/>
      <c r="AV85" s="864"/>
      <c r="AW85" s="864"/>
      <c r="AX85" s="864"/>
      <c r="AY85" s="864"/>
    </row>
    <row r="86" spans="13:51" s="56" customFormat="1">
      <c r="M86" s="61"/>
      <c r="N86" s="864"/>
      <c r="R86" s="864"/>
      <c r="S86" s="864"/>
      <c r="T86" s="864"/>
      <c r="U86" s="864"/>
      <c r="V86" s="864"/>
      <c r="W86" s="864"/>
      <c r="X86" s="864"/>
      <c r="Y86" s="864"/>
      <c r="Z86" s="864"/>
      <c r="AA86" s="864"/>
      <c r="AB86" s="867"/>
      <c r="AC86" s="864"/>
      <c r="AD86" s="864"/>
      <c r="AE86" s="864"/>
      <c r="AF86" s="864"/>
      <c r="AG86" s="864"/>
      <c r="AH86" s="864"/>
      <c r="AI86" s="864"/>
      <c r="AJ86" s="864"/>
      <c r="AK86" s="864"/>
      <c r="AL86" s="864"/>
      <c r="AM86" s="864"/>
      <c r="AN86" s="864"/>
      <c r="AO86" s="864"/>
      <c r="AP86" s="864"/>
      <c r="AQ86" s="864"/>
      <c r="AR86" s="864"/>
      <c r="AS86" s="864"/>
      <c r="AT86" s="864"/>
      <c r="AU86" s="864"/>
      <c r="AV86" s="864"/>
      <c r="AW86" s="864"/>
      <c r="AX86" s="864"/>
      <c r="AY86" s="864"/>
    </row>
    <row r="87" spans="13:51" s="56" customFormat="1">
      <c r="M87" s="61"/>
      <c r="N87" s="864"/>
      <c r="R87" s="864"/>
      <c r="S87" s="864"/>
      <c r="T87" s="864"/>
      <c r="U87" s="864"/>
      <c r="V87" s="864"/>
      <c r="W87" s="864"/>
      <c r="X87" s="864"/>
      <c r="Y87" s="864"/>
      <c r="Z87" s="864"/>
      <c r="AA87" s="864"/>
      <c r="AB87" s="864"/>
      <c r="AC87" s="864"/>
      <c r="AD87" s="864"/>
      <c r="AE87" s="864"/>
      <c r="AF87" s="864"/>
      <c r="AG87" s="864"/>
      <c r="AH87" s="864"/>
      <c r="AI87" s="864"/>
      <c r="AJ87" s="864"/>
      <c r="AK87" s="864"/>
      <c r="AL87" s="864"/>
      <c r="AM87" s="864"/>
      <c r="AN87" s="864"/>
      <c r="AO87" s="864"/>
      <c r="AP87" s="864"/>
      <c r="AQ87" s="864"/>
      <c r="AR87" s="864"/>
      <c r="AS87" s="864"/>
      <c r="AT87" s="864"/>
      <c r="AU87" s="864"/>
      <c r="AV87" s="864"/>
      <c r="AW87" s="864"/>
      <c r="AX87" s="864"/>
      <c r="AY87" s="864"/>
    </row>
    <row r="88" spans="13:51" s="56" customFormat="1">
      <c r="M88" s="61"/>
      <c r="N88" s="864"/>
      <c r="R88" s="864"/>
      <c r="S88" s="864"/>
      <c r="T88" s="864"/>
      <c r="U88" s="864"/>
      <c r="V88" s="864"/>
      <c r="W88" s="864"/>
      <c r="X88" s="864"/>
      <c r="Y88" s="864"/>
      <c r="Z88" s="864"/>
      <c r="AA88" s="864"/>
      <c r="AB88" s="864"/>
      <c r="AC88" s="864"/>
      <c r="AD88" s="864"/>
      <c r="AE88" s="864"/>
      <c r="AF88" s="864"/>
      <c r="AG88" s="864"/>
      <c r="AH88" s="864"/>
      <c r="AI88" s="864"/>
      <c r="AJ88" s="864"/>
      <c r="AK88" s="864"/>
      <c r="AL88" s="864"/>
      <c r="AM88" s="864"/>
      <c r="AN88" s="864"/>
      <c r="AO88" s="864"/>
      <c r="AP88" s="864"/>
      <c r="AQ88" s="864"/>
      <c r="AR88" s="864"/>
      <c r="AS88" s="864"/>
      <c r="AT88" s="864"/>
      <c r="AU88" s="864"/>
      <c r="AV88" s="864"/>
      <c r="AW88" s="864"/>
      <c r="AX88" s="864"/>
      <c r="AY88" s="864"/>
    </row>
    <row r="89" spans="13:51" s="56" customFormat="1">
      <c r="M89" s="61"/>
      <c r="N89" s="864"/>
      <c r="R89" s="864"/>
      <c r="S89" s="864"/>
      <c r="T89" s="864"/>
      <c r="U89" s="864"/>
      <c r="V89" s="864"/>
      <c r="W89" s="864"/>
      <c r="X89" s="864"/>
      <c r="Y89" s="864"/>
      <c r="Z89" s="864"/>
      <c r="AA89" s="864"/>
      <c r="AB89" s="864"/>
      <c r="AC89" s="864"/>
      <c r="AD89" s="864"/>
      <c r="AE89" s="864"/>
      <c r="AF89" s="864"/>
      <c r="AG89" s="864"/>
      <c r="AH89" s="864"/>
      <c r="AI89" s="864"/>
      <c r="AJ89" s="864"/>
      <c r="AK89" s="864"/>
      <c r="AL89" s="864"/>
      <c r="AM89" s="864"/>
      <c r="AN89" s="864"/>
      <c r="AO89" s="864"/>
      <c r="AP89" s="864"/>
      <c r="AQ89" s="864"/>
      <c r="AR89" s="864"/>
      <c r="AS89" s="864"/>
      <c r="AT89" s="864"/>
      <c r="AU89" s="864"/>
      <c r="AV89" s="864"/>
      <c r="AW89" s="864"/>
      <c r="AX89" s="864"/>
      <c r="AY89" s="864"/>
    </row>
    <row r="90" spans="13:51" s="56" customFormat="1">
      <c r="M90" s="61"/>
      <c r="N90" s="864"/>
      <c r="R90" s="864"/>
      <c r="S90" s="864"/>
      <c r="T90" s="864"/>
      <c r="U90" s="864"/>
      <c r="V90" s="864"/>
      <c r="W90" s="864"/>
      <c r="X90" s="864"/>
      <c r="Y90" s="864"/>
      <c r="Z90" s="864"/>
      <c r="AA90" s="864"/>
      <c r="AB90" s="864"/>
      <c r="AC90" s="864"/>
      <c r="AD90" s="864"/>
      <c r="AE90" s="864"/>
      <c r="AF90" s="864"/>
      <c r="AG90" s="864"/>
      <c r="AH90" s="864"/>
      <c r="AI90" s="864"/>
      <c r="AJ90" s="864"/>
      <c r="AK90" s="864"/>
      <c r="AL90" s="864"/>
      <c r="AM90" s="864"/>
      <c r="AN90" s="864"/>
      <c r="AO90" s="864"/>
      <c r="AP90" s="864"/>
      <c r="AQ90" s="864"/>
      <c r="AR90" s="864"/>
      <c r="AS90" s="864"/>
      <c r="AT90" s="864"/>
      <c r="AU90" s="864"/>
      <c r="AV90" s="864"/>
      <c r="AW90" s="864"/>
      <c r="AX90" s="864"/>
      <c r="AY90" s="864"/>
    </row>
    <row r="91" spans="13:51" s="56" customFormat="1">
      <c r="M91" s="61"/>
      <c r="N91" s="864"/>
      <c r="R91" s="864"/>
      <c r="S91" s="864"/>
      <c r="T91" s="864"/>
      <c r="U91" s="864"/>
      <c r="V91" s="864"/>
      <c r="W91" s="864"/>
      <c r="X91" s="864"/>
      <c r="Y91" s="864"/>
      <c r="Z91" s="864"/>
      <c r="AA91" s="864"/>
      <c r="AB91" s="864"/>
      <c r="AC91" s="864"/>
      <c r="AD91" s="864"/>
      <c r="AE91" s="864"/>
      <c r="AF91" s="864"/>
      <c r="AG91" s="864"/>
      <c r="AH91" s="864"/>
      <c r="AI91" s="864"/>
      <c r="AJ91" s="864"/>
      <c r="AK91" s="864"/>
      <c r="AL91" s="864"/>
      <c r="AM91" s="864"/>
      <c r="AN91" s="864"/>
      <c r="AO91" s="864"/>
      <c r="AP91" s="864"/>
      <c r="AQ91" s="864"/>
      <c r="AR91" s="864"/>
      <c r="AS91" s="864"/>
      <c r="AT91" s="864"/>
      <c r="AU91" s="864"/>
      <c r="AV91" s="864"/>
      <c r="AW91" s="864"/>
      <c r="AX91" s="864"/>
      <c r="AY91" s="864"/>
    </row>
    <row r="92" spans="13:51" s="56" customFormat="1">
      <c r="M92" s="61"/>
      <c r="N92" s="864"/>
      <c r="R92" s="864"/>
      <c r="S92" s="864"/>
      <c r="T92" s="864"/>
      <c r="U92" s="864"/>
      <c r="V92" s="864"/>
      <c r="W92" s="864"/>
      <c r="X92" s="864"/>
      <c r="Y92" s="864"/>
      <c r="Z92" s="864"/>
      <c r="AA92" s="864"/>
      <c r="AB92" s="864"/>
      <c r="AC92" s="864"/>
      <c r="AD92" s="864"/>
      <c r="AE92" s="864"/>
      <c r="AF92" s="864"/>
      <c r="AG92" s="864"/>
      <c r="AH92" s="864"/>
      <c r="AI92" s="864"/>
      <c r="AJ92" s="864"/>
      <c r="AK92" s="864"/>
      <c r="AL92" s="864"/>
      <c r="AM92" s="864"/>
      <c r="AN92" s="864"/>
      <c r="AO92" s="864"/>
      <c r="AP92" s="864"/>
      <c r="AQ92" s="864"/>
      <c r="AR92" s="864"/>
      <c r="AS92" s="864"/>
      <c r="AT92" s="864"/>
      <c r="AU92" s="864"/>
      <c r="AV92" s="864"/>
      <c r="AW92" s="864"/>
      <c r="AX92" s="864"/>
      <c r="AY92" s="864"/>
    </row>
    <row r="93" spans="13:51" s="56" customFormat="1">
      <c r="M93" s="61"/>
      <c r="N93" s="864"/>
      <c r="R93" s="864"/>
      <c r="S93" s="864"/>
      <c r="T93" s="864"/>
      <c r="U93" s="864"/>
      <c r="V93" s="864"/>
      <c r="W93" s="864"/>
      <c r="X93" s="864"/>
      <c r="Y93" s="864"/>
      <c r="Z93" s="864"/>
      <c r="AA93" s="864"/>
      <c r="AB93" s="864"/>
      <c r="AC93" s="864"/>
      <c r="AD93" s="864"/>
      <c r="AE93" s="864"/>
      <c r="AF93" s="864"/>
      <c r="AG93" s="864"/>
      <c r="AH93" s="864"/>
      <c r="AI93" s="864"/>
      <c r="AJ93" s="864"/>
      <c r="AK93" s="864"/>
      <c r="AL93" s="864"/>
      <c r="AM93" s="864"/>
      <c r="AN93" s="864"/>
      <c r="AO93" s="864"/>
      <c r="AP93" s="864"/>
      <c r="AQ93" s="864"/>
      <c r="AR93" s="864"/>
      <c r="AS93" s="864"/>
      <c r="AT93" s="864"/>
      <c r="AU93" s="864"/>
      <c r="AV93" s="864"/>
      <c r="AW93" s="864"/>
      <c r="AX93" s="864"/>
      <c r="AY93" s="864"/>
    </row>
    <row r="94" spans="13:51" s="56" customFormat="1">
      <c r="M94" s="61"/>
      <c r="N94" s="864"/>
      <c r="R94" s="864"/>
      <c r="S94" s="864"/>
      <c r="T94" s="864"/>
      <c r="U94" s="864"/>
      <c r="V94" s="864"/>
      <c r="W94" s="864"/>
      <c r="X94" s="864"/>
      <c r="Y94" s="864"/>
      <c r="Z94" s="864"/>
      <c r="AA94" s="864"/>
      <c r="AB94" s="864"/>
      <c r="AC94" s="864"/>
      <c r="AD94" s="864"/>
      <c r="AE94" s="864"/>
      <c r="AF94" s="864"/>
      <c r="AG94" s="864"/>
      <c r="AH94" s="864"/>
      <c r="AI94" s="864"/>
      <c r="AJ94" s="864"/>
      <c r="AK94" s="864"/>
      <c r="AL94" s="864"/>
      <c r="AM94" s="864"/>
      <c r="AN94" s="864"/>
      <c r="AO94" s="864"/>
      <c r="AP94" s="864"/>
      <c r="AQ94" s="864"/>
      <c r="AR94" s="864"/>
      <c r="AS94" s="864"/>
      <c r="AT94" s="864"/>
      <c r="AU94" s="864"/>
      <c r="AV94" s="864"/>
      <c r="AW94" s="864"/>
      <c r="AX94" s="864"/>
      <c r="AY94" s="864"/>
    </row>
    <row r="95" spans="13:51" s="56" customFormat="1">
      <c r="M95" s="61"/>
      <c r="N95" s="864"/>
      <c r="R95" s="864"/>
      <c r="S95" s="864"/>
      <c r="T95" s="864"/>
      <c r="U95" s="864"/>
      <c r="V95" s="864"/>
      <c r="W95" s="864"/>
      <c r="X95" s="864"/>
      <c r="Y95" s="864"/>
      <c r="Z95" s="864"/>
      <c r="AA95" s="864"/>
      <c r="AB95" s="864"/>
      <c r="AC95" s="864"/>
      <c r="AD95" s="864"/>
      <c r="AE95" s="864"/>
      <c r="AF95" s="864"/>
      <c r="AG95" s="864"/>
      <c r="AH95" s="864"/>
      <c r="AI95" s="864"/>
      <c r="AJ95" s="864"/>
      <c r="AK95" s="864"/>
      <c r="AL95" s="864"/>
      <c r="AM95" s="864"/>
      <c r="AN95" s="864"/>
      <c r="AO95" s="864"/>
      <c r="AP95" s="864"/>
      <c r="AQ95" s="864"/>
      <c r="AR95" s="864"/>
      <c r="AS95" s="864"/>
      <c r="AT95" s="864"/>
      <c r="AU95" s="864"/>
      <c r="AV95" s="864"/>
      <c r="AW95" s="864"/>
      <c r="AX95" s="864"/>
      <c r="AY95" s="864"/>
    </row>
    <row r="96" spans="13:51" s="56" customFormat="1">
      <c r="M96" s="61"/>
      <c r="N96" s="864"/>
      <c r="R96" s="864"/>
      <c r="S96" s="864"/>
      <c r="T96" s="864"/>
      <c r="U96" s="864"/>
      <c r="V96" s="864"/>
      <c r="W96" s="864"/>
      <c r="X96" s="864"/>
      <c r="Y96" s="864"/>
      <c r="Z96" s="864"/>
      <c r="AA96" s="864"/>
      <c r="AB96" s="864"/>
      <c r="AC96" s="864"/>
      <c r="AD96" s="864"/>
      <c r="AE96" s="864"/>
      <c r="AF96" s="864"/>
      <c r="AG96" s="864"/>
      <c r="AH96" s="864"/>
      <c r="AI96" s="864"/>
      <c r="AJ96" s="864"/>
      <c r="AK96" s="864"/>
      <c r="AL96" s="864"/>
      <c r="AM96" s="864"/>
      <c r="AN96" s="864"/>
      <c r="AO96" s="864"/>
      <c r="AP96" s="864"/>
      <c r="AQ96" s="864"/>
      <c r="AR96" s="864"/>
      <c r="AS96" s="864"/>
      <c r="AT96" s="864"/>
      <c r="AU96" s="864"/>
      <c r="AV96" s="864"/>
      <c r="AW96" s="864"/>
      <c r="AX96" s="864"/>
      <c r="AY96" s="864"/>
    </row>
    <row r="97" spans="1:51" s="56" customFormat="1">
      <c r="M97" s="61"/>
      <c r="N97" s="864"/>
      <c r="R97" s="864"/>
      <c r="S97" s="864"/>
      <c r="T97" s="864"/>
      <c r="U97" s="864"/>
      <c r="V97" s="864"/>
      <c r="W97" s="864"/>
      <c r="X97" s="864"/>
      <c r="Y97" s="864"/>
      <c r="Z97" s="864"/>
      <c r="AA97" s="864"/>
      <c r="AB97" s="864"/>
      <c r="AC97" s="864"/>
      <c r="AD97" s="864"/>
      <c r="AE97" s="864"/>
      <c r="AF97" s="864"/>
      <c r="AG97" s="864"/>
      <c r="AH97" s="864"/>
      <c r="AI97" s="864"/>
      <c r="AJ97" s="864"/>
      <c r="AK97" s="864"/>
      <c r="AL97" s="864"/>
      <c r="AM97" s="864"/>
      <c r="AN97" s="864"/>
      <c r="AO97" s="864"/>
      <c r="AP97" s="864"/>
      <c r="AQ97" s="864"/>
      <c r="AR97" s="864"/>
      <c r="AS97" s="864"/>
      <c r="AT97" s="864"/>
      <c r="AU97" s="864"/>
      <c r="AV97" s="864"/>
      <c r="AW97" s="864"/>
      <c r="AX97" s="864"/>
      <c r="AY97" s="864"/>
    </row>
    <row r="98" spans="1:51" s="56" customFormat="1">
      <c r="M98" s="61"/>
      <c r="N98" s="864"/>
      <c r="R98" s="864"/>
      <c r="S98" s="864"/>
      <c r="T98" s="864"/>
      <c r="U98" s="864"/>
      <c r="V98" s="864"/>
      <c r="W98" s="864"/>
      <c r="X98" s="864"/>
      <c r="Y98" s="864"/>
      <c r="Z98" s="864"/>
      <c r="AA98" s="864"/>
      <c r="AB98" s="864"/>
      <c r="AC98" s="864"/>
      <c r="AD98" s="864"/>
      <c r="AE98" s="864"/>
      <c r="AF98" s="864"/>
      <c r="AG98" s="864"/>
      <c r="AH98" s="864"/>
      <c r="AI98" s="864"/>
      <c r="AJ98" s="864"/>
      <c r="AK98" s="864"/>
      <c r="AL98" s="864"/>
      <c r="AM98" s="864"/>
      <c r="AN98" s="864"/>
      <c r="AO98" s="864"/>
      <c r="AP98" s="864"/>
      <c r="AQ98" s="864"/>
      <c r="AR98" s="864"/>
      <c r="AS98" s="864"/>
      <c r="AT98" s="864"/>
      <c r="AU98" s="864"/>
      <c r="AV98" s="864"/>
      <c r="AW98" s="864"/>
      <c r="AX98" s="864"/>
      <c r="AY98" s="864"/>
    </row>
    <row r="99" spans="1:51" s="56" customFormat="1">
      <c r="M99" s="61"/>
      <c r="N99" s="864"/>
      <c r="R99" s="864"/>
      <c r="S99" s="864"/>
      <c r="T99" s="864"/>
      <c r="U99" s="864"/>
      <c r="V99" s="864"/>
      <c r="W99" s="864"/>
      <c r="X99" s="864"/>
      <c r="Y99" s="864" t="s">
        <v>358</v>
      </c>
      <c r="Z99" s="864"/>
      <c r="AA99" s="864"/>
      <c r="AB99" s="867"/>
      <c r="AC99" s="864"/>
      <c r="AD99" s="864" t="s">
        <v>358</v>
      </c>
      <c r="AE99" s="864"/>
      <c r="AF99" s="864"/>
      <c r="AG99" s="864"/>
      <c r="AH99" s="864"/>
      <c r="AI99" s="864"/>
      <c r="AJ99" s="864"/>
      <c r="AK99" s="864"/>
      <c r="AL99" s="864"/>
      <c r="AM99" s="864"/>
      <c r="AN99" s="864"/>
      <c r="AO99" s="864"/>
      <c r="AP99" s="864"/>
      <c r="AQ99" s="864"/>
      <c r="AR99" s="864"/>
      <c r="AS99" s="864"/>
      <c r="AT99" s="864"/>
      <c r="AU99" s="864"/>
      <c r="AV99" s="864"/>
      <c r="AW99" s="864"/>
      <c r="AX99" s="864"/>
      <c r="AY99" s="864"/>
    </row>
    <row r="100" spans="1:51" s="56" customFormat="1">
      <c r="M100" s="61"/>
      <c r="N100" s="864"/>
      <c r="R100" s="864"/>
      <c r="S100" s="864"/>
      <c r="T100" s="864"/>
      <c r="U100" s="864"/>
      <c r="V100" s="864"/>
      <c r="W100" s="864"/>
      <c r="X100" s="864"/>
      <c r="Y100" s="864"/>
      <c r="Z100" s="864"/>
      <c r="AA100" s="864"/>
      <c r="AB100" s="867"/>
      <c r="AC100" s="864"/>
      <c r="AD100" s="864"/>
      <c r="AE100" s="864" t="s">
        <v>355</v>
      </c>
      <c r="AF100" s="864" t="s">
        <v>356</v>
      </c>
      <c r="AG100" s="864"/>
      <c r="AH100" s="864"/>
      <c r="AI100" s="864"/>
      <c r="AJ100" s="864"/>
      <c r="AK100" s="864"/>
      <c r="AL100" s="864"/>
      <c r="AM100" s="864"/>
      <c r="AN100" s="864"/>
      <c r="AO100" s="864"/>
      <c r="AP100" s="864"/>
      <c r="AQ100" s="864"/>
      <c r="AR100" s="864"/>
      <c r="AS100" s="864"/>
      <c r="AT100" s="864"/>
      <c r="AU100" s="864"/>
      <c r="AV100" s="864"/>
      <c r="AW100" s="864"/>
      <c r="AX100" s="864"/>
      <c r="AY100" s="864"/>
    </row>
    <row r="101" spans="1:51" s="56" customFormat="1">
      <c r="A101" s="56" t="s">
        <v>359</v>
      </c>
      <c r="M101" s="61"/>
      <c r="N101" s="864"/>
      <c r="R101" s="864"/>
      <c r="S101" s="864"/>
      <c r="T101" s="864"/>
      <c r="U101" s="864"/>
      <c r="V101" s="864"/>
      <c r="W101" s="864"/>
      <c r="X101" s="864"/>
      <c r="Y101" s="864" t="s">
        <v>226</v>
      </c>
      <c r="Z101" s="864">
        <f>(+AE101*G8)/G5</f>
        <v>835.92000000000007</v>
      </c>
      <c r="AA101" s="864"/>
      <c r="AB101" s="867"/>
      <c r="AC101" s="864"/>
      <c r="AD101" s="864" t="s">
        <v>360</v>
      </c>
      <c r="AE101" s="864">
        <f>0.15*1.29</f>
        <v>0.19350000000000001</v>
      </c>
      <c r="AF101" s="864"/>
      <c r="AG101" s="864"/>
      <c r="AH101" s="864"/>
      <c r="AI101" s="864"/>
      <c r="AJ101" s="864"/>
      <c r="AK101" s="864"/>
      <c r="AL101" s="864"/>
      <c r="AM101" s="864"/>
      <c r="AN101" s="864"/>
      <c r="AO101" s="864"/>
      <c r="AP101" s="864"/>
      <c r="AQ101" s="864"/>
      <c r="AR101" s="864"/>
      <c r="AS101" s="864"/>
      <c r="AT101" s="864"/>
      <c r="AU101" s="864"/>
      <c r="AV101" s="864"/>
      <c r="AW101" s="864"/>
      <c r="AX101" s="864"/>
      <c r="AY101" s="864"/>
    </row>
    <row r="102" spans="1:51" s="56" customFormat="1">
      <c r="M102" s="61"/>
      <c r="N102" s="864"/>
      <c r="R102" s="864"/>
      <c r="S102" s="864"/>
      <c r="T102" s="864"/>
      <c r="U102" s="864"/>
      <c r="V102" s="864"/>
      <c r="W102" s="864"/>
      <c r="X102" s="864"/>
      <c r="Y102" s="864" t="s">
        <v>192</v>
      </c>
      <c r="Z102" s="864">
        <f>+AF102*G6</f>
        <v>967.5</v>
      </c>
      <c r="AA102" s="864"/>
      <c r="AB102" s="867"/>
      <c r="AC102" s="864"/>
      <c r="AD102" s="864" t="s">
        <v>192</v>
      </c>
      <c r="AE102" s="864"/>
      <c r="AF102" s="864">
        <f>125*1.29</f>
        <v>161.25</v>
      </c>
      <c r="AG102" s="864"/>
      <c r="AH102" s="864"/>
      <c r="AI102" s="864"/>
      <c r="AJ102" s="864"/>
      <c r="AK102" s="864"/>
      <c r="AL102" s="864"/>
      <c r="AM102" s="864"/>
      <c r="AN102" s="864"/>
      <c r="AO102" s="864"/>
      <c r="AP102" s="864"/>
      <c r="AQ102" s="864"/>
      <c r="AR102" s="864"/>
      <c r="AS102" s="864"/>
      <c r="AT102" s="864"/>
      <c r="AU102" s="864"/>
      <c r="AV102" s="864"/>
      <c r="AW102" s="864"/>
      <c r="AX102" s="864"/>
      <c r="AY102" s="864"/>
    </row>
    <row r="103" spans="1:51" s="56" customFormat="1">
      <c r="M103" s="61"/>
      <c r="N103" s="864"/>
      <c r="R103" s="864"/>
      <c r="S103" s="864"/>
      <c r="T103" s="864"/>
      <c r="U103" s="864"/>
      <c r="V103" s="864"/>
      <c r="W103" s="864"/>
      <c r="X103" s="864"/>
      <c r="Y103" s="864"/>
      <c r="Z103" s="864"/>
      <c r="AA103" s="864"/>
      <c r="AB103" s="867"/>
      <c r="AC103" s="864"/>
      <c r="AD103" s="864"/>
      <c r="AE103" s="864"/>
      <c r="AF103" s="864"/>
      <c r="AG103" s="864"/>
      <c r="AH103" s="864"/>
      <c r="AI103" s="864"/>
      <c r="AJ103" s="864"/>
      <c r="AK103" s="864"/>
      <c r="AL103" s="864"/>
      <c r="AM103" s="864"/>
      <c r="AN103" s="864"/>
      <c r="AO103" s="864"/>
      <c r="AP103" s="864"/>
      <c r="AQ103" s="864"/>
      <c r="AR103" s="864"/>
      <c r="AS103" s="864"/>
      <c r="AT103" s="864"/>
      <c r="AU103" s="864"/>
      <c r="AV103" s="864"/>
      <c r="AW103" s="864"/>
      <c r="AX103" s="864"/>
      <c r="AY103" s="864"/>
    </row>
    <row r="104" spans="1:51" s="56" customFormat="1">
      <c r="M104" s="61"/>
      <c r="N104" s="864"/>
      <c r="R104" s="864"/>
      <c r="S104" s="864"/>
      <c r="T104" s="864"/>
      <c r="U104" s="864"/>
      <c r="V104" s="864"/>
      <c r="W104" s="864"/>
      <c r="X104" s="864"/>
      <c r="Y104" s="864" t="s">
        <v>361</v>
      </c>
      <c r="Z104" s="864">
        <f>+SUM(Z101:Z103)</f>
        <v>1803.42</v>
      </c>
      <c r="AA104" s="864"/>
      <c r="AB104" s="867"/>
      <c r="AC104" s="864"/>
      <c r="AD104" s="864"/>
      <c r="AE104" s="864"/>
      <c r="AF104" s="864"/>
      <c r="AG104" s="864"/>
      <c r="AH104" s="864"/>
      <c r="AI104" s="864"/>
      <c r="AJ104" s="864"/>
      <c r="AK104" s="864"/>
      <c r="AL104" s="864"/>
      <c r="AM104" s="864"/>
      <c r="AN104" s="864"/>
      <c r="AO104" s="864"/>
      <c r="AP104" s="864"/>
      <c r="AQ104" s="864"/>
      <c r="AR104" s="864"/>
      <c r="AS104" s="864"/>
      <c r="AT104" s="864"/>
      <c r="AU104" s="864"/>
      <c r="AV104" s="864"/>
      <c r="AW104" s="864"/>
      <c r="AX104" s="864"/>
      <c r="AY104" s="864"/>
    </row>
    <row r="105" spans="1:51" s="56" customFormat="1">
      <c r="M105" s="61"/>
      <c r="N105" s="864"/>
      <c r="R105" s="864"/>
      <c r="S105" s="864"/>
      <c r="T105" s="864"/>
      <c r="U105" s="864"/>
      <c r="V105" s="864"/>
      <c r="W105" s="864"/>
      <c r="X105" s="864"/>
      <c r="Y105" s="864"/>
      <c r="Z105" s="864"/>
      <c r="AA105" s="864"/>
      <c r="AB105" s="867"/>
      <c r="AC105" s="864"/>
      <c r="AD105" s="864"/>
      <c r="AE105" s="864"/>
      <c r="AF105" s="864"/>
      <c r="AG105" s="864"/>
      <c r="AH105" s="864"/>
      <c r="AI105" s="864"/>
      <c r="AJ105" s="864"/>
      <c r="AK105" s="864"/>
      <c r="AL105" s="864"/>
      <c r="AM105" s="864"/>
      <c r="AN105" s="864"/>
      <c r="AO105" s="864"/>
      <c r="AP105" s="864"/>
      <c r="AQ105" s="864"/>
      <c r="AR105" s="864"/>
      <c r="AS105" s="864"/>
      <c r="AT105" s="864"/>
      <c r="AU105" s="864"/>
      <c r="AV105" s="864"/>
      <c r="AW105" s="864"/>
      <c r="AX105" s="864"/>
      <c r="AY105" s="864"/>
    </row>
    <row r="106" spans="1:51" s="56" customFormat="1">
      <c r="M106" s="61"/>
      <c r="N106" s="864"/>
      <c r="R106" s="864"/>
      <c r="S106" s="864"/>
      <c r="T106" s="864"/>
      <c r="U106" s="864"/>
      <c r="V106" s="864"/>
      <c r="W106" s="864"/>
      <c r="X106" s="864"/>
      <c r="Y106" s="864"/>
      <c r="Z106" s="864"/>
      <c r="AA106" s="864"/>
      <c r="AB106" s="867"/>
      <c r="AC106" s="864"/>
      <c r="AD106" s="864"/>
      <c r="AE106" s="864"/>
      <c r="AF106" s="864"/>
      <c r="AG106" s="864"/>
      <c r="AH106" s="864"/>
      <c r="AI106" s="864"/>
      <c r="AJ106" s="864"/>
      <c r="AK106" s="864"/>
      <c r="AL106" s="864"/>
      <c r="AM106" s="864"/>
      <c r="AN106" s="864"/>
      <c r="AO106" s="864"/>
      <c r="AP106" s="864"/>
      <c r="AQ106" s="864"/>
      <c r="AR106" s="864"/>
      <c r="AS106" s="864"/>
      <c r="AT106" s="864"/>
      <c r="AU106" s="864"/>
      <c r="AV106" s="864"/>
      <c r="AW106" s="864"/>
      <c r="AX106" s="864"/>
      <c r="AY106" s="864"/>
    </row>
    <row r="107" spans="1:51" s="56" customFormat="1">
      <c r="M107" s="61"/>
      <c r="N107" s="864"/>
      <c r="R107" s="864"/>
      <c r="S107" s="864"/>
      <c r="T107" s="864"/>
      <c r="U107" s="864"/>
      <c r="V107" s="864"/>
      <c r="W107" s="864"/>
      <c r="X107" s="864"/>
      <c r="Y107" s="864"/>
      <c r="Z107" s="864"/>
      <c r="AA107" s="864"/>
      <c r="AB107" s="867"/>
      <c r="AC107" s="864"/>
      <c r="AD107" s="1162" t="s">
        <v>362</v>
      </c>
      <c r="AE107" s="1162"/>
      <c r="AF107" s="864"/>
      <c r="AG107" s="864"/>
      <c r="AH107" s="864"/>
      <c r="AI107" s="864"/>
      <c r="AJ107" s="864"/>
      <c r="AK107" s="864"/>
      <c r="AL107" s="864"/>
      <c r="AM107" s="864"/>
      <c r="AN107" s="864"/>
      <c r="AO107" s="864"/>
      <c r="AP107" s="864"/>
      <c r="AQ107" s="864"/>
      <c r="AR107" s="864"/>
      <c r="AS107" s="864"/>
      <c r="AT107" s="864"/>
      <c r="AU107" s="864"/>
      <c r="AV107" s="864"/>
      <c r="AW107" s="864"/>
      <c r="AX107" s="864"/>
      <c r="AY107" s="864"/>
    </row>
    <row r="108" spans="1:51" s="56" customFormat="1">
      <c r="M108" s="61"/>
      <c r="N108" s="864"/>
      <c r="R108" s="864"/>
      <c r="S108" s="864"/>
      <c r="T108" s="864"/>
      <c r="U108" s="864"/>
      <c r="V108" s="864"/>
      <c r="W108" s="864"/>
      <c r="X108" s="864"/>
      <c r="Y108" s="864"/>
      <c r="Z108" s="864"/>
      <c r="AA108" s="864"/>
      <c r="AB108" s="867"/>
      <c r="AC108" s="864"/>
      <c r="AD108" s="973" t="s">
        <v>56</v>
      </c>
      <c r="AE108" s="973" t="s">
        <v>75</v>
      </c>
      <c r="AF108" s="864"/>
      <c r="AG108" s="864"/>
      <c r="AH108" s="864"/>
      <c r="AI108" s="864"/>
      <c r="AJ108" s="864"/>
      <c r="AK108" s="864"/>
      <c r="AL108" s="864"/>
      <c r="AM108" s="864"/>
      <c r="AN108" s="864"/>
      <c r="AO108" s="864"/>
      <c r="AP108" s="864"/>
      <c r="AQ108" s="864"/>
      <c r="AR108" s="864"/>
      <c r="AS108" s="864"/>
      <c r="AT108" s="864"/>
      <c r="AU108" s="864"/>
      <c r="AV108" s="864"/>
      <c r="AW108" s="864"/>
      <c r="AX108" s="864"/>
      <c r="AY108" s="864"/>
    </row>
    <row r="109" spans="1:51" s="56" customFormat="1">
      <c r="M109" s="61"/>
      <c r="N109" s="864"/>
      <c r="R109" s="864"/>
      <c r="S109" s="864"/>
      <c r="T109" s="864"/>
      <c r="U109" s="864"/>
      <c r="V109" s="864"/>
      <c r="W109" s="864"/>
      <c r="X109" s="864"/>
      <c r="Y109" s="864"/>
      <c r="Z109" s="864"/>
      <c r="AA109" s="864"/>
      <c r="AB109" s="867"/>
      <c r="AC109" s="864"/>
      <c r="AD109" s="973" t="s">
        <v>363</v>
      </c>
      <c r="AE109" s="973">
        <v>430</v>
      </c>
      <c r="AF109" s="864"/>
      <c r="AG109" s="864"/>
      <c r="AH109" s="864"/>
      <c r="AI109" s="864"/>
      <c r="AJ109" s="864"/>
      <c r="AK109" s="864"/>
      <c r="AL109" s="864"/>
      <c r="AM109" s="864"/>
      <c r="AN109" s="864"/>
      <c r="AO109" s="864"/>
      <c r="AP109" s="864"/>
      <c r="AQ109" s="864"/>
      <c r="AR109" s="864"/>
      <c r="AS109" s="864"/>
      <c r="AT109" s="864"/>
      <c r="AU109" s="864"/>
      <c r="AV109" s="864"/>
      <c r="AW109" s="864"/>
      <c r="AX109" s="864"/>
      <c r="AY109" s="864"/>
    </row>
    <row r="110" spans="1:51" s="56" customFormat="1">
      <c r="M110" s="61"/>
      <c r="N110" s="864"/>
      <c r="R110" s="864"/>
      <c r="S110" s="864"/>
      <c r="T110" s="864"/>
      <c r="U110" s="864"/>
      <c r="V110" s="864"/>
      <c r="W110" s="864"/>
      <c r="X110" s="864"/>
      <c r="Y110" s="864"/>
      <c r="Z110" s="864"/>
      <c r="AA110" s="864"/>
      <c r="AB110" s="867"/>
      <c r="AC110" s="864"/>
      <c r="AD110" s="973" t="s">
        <v>364</v>
      </c>
      <c r="AE110" s="973">
        <v>615</v>
      </c>
      <c r="AF110" s="864"/>
      <c r="AG110" s="864"/>
      <c r="AH110" s="864"/>
      <c r="AI110" s="864"/>
      <c r="AJ110" s="864"/>
      <c r="AK110" s="864"/>
      <c r="AL110" s="864"/>
      <c r="AM110" s="864"/>
      <c r="AN110" s="864"/>
      <c r="AO110" s="864"/>
      <c r="AP110" s="864"/>
      <c r="AQ110" s="864"/>
      <c r="AR110" s="864"/>
      <c r="AS110" s="864"/>
      <c r="AT110" s="864"/>
      <c r="AU110" s="864"/>
      <c r="AV110" s="864"/>
      <c r="AW110" s="864"/>
      <c r="AX110" s="864"/>
      <c r="AY110" s="864"/>
    </row>
    <row r="111" spans="1:51" s="56" customFormat="1">
      <c r="M111" s="61"/>
      <c r="N111" s="864"/>
      <c r="R111" s="864"/>
      <c r="S111" s="864"/>
      <c r="T111" s="864"/>
      <c r="U111" s="864"/>
      <c r="V111" s="864"/>
      <c r="W111" s="864"/>
      <c r="X111" s="864"/>
      <c r="Y111" s="864"/>
      <c r="Z111" s="864"/>
      <c r="AA111" s="864"/>
      <c r="AB111" s="867"/>
      <c r="AC111" s="864"/>
      <c r="AD111" s="973" t="s">
        <v>365</v>
      </c>
      <c r="AE111" s="973">
        <v>875</v>
      </c>
      <c r="AF111" s="864"/>
      <c r="AG111" s="864"/>
      <c r="AH111" s="864"/>
      <c r="AI111" s="864"/>
      <c r="AJ111" s="864"/>
      <c r="AK111" s="864"/>
      <c r="AL111" s="864"/>
      <c r="AM111" s="864"/>
      <c r="AN111" s="864"/>
      <c r="AO111" s="864"/>
      <c r="AP111" s="864"/>
      <c r="AQ111" s="864"/>
      <c r="AR111" s="864"/>
      <c r="AS111" s="864"/>
      <c r="AT111" s="864"/>
      <c r="AU111" s="864"/>
      <c r="AV111" s="864"/>
      <c r="AW111" s="864"/>
      <c r="AX111" s="864"/>
      <c r="AY111" s="864"/>
    </row>
    <row r="112" spans="1:51" s="56" customFormat="1">
      <c r="M112" s="61"/>
      <c r="N112" s="864"/>
      <c r="R112" s="864"/>
      <c r="S112" s="864"/>
      <c r="T112" s="864"/>
      <c r="U112" s="864"/>
      <c r="V112" s="864"/>
      <c r="W112" s="864"/>
      <c r="X112" s="864"/>
      <c r="Y112" s="864"/>
      <c r="Z112" s="864"/>
      <c r="AA112" s="864"/>
      <c r="AB112" s="867"/>
      <c r="AC112" s="864"/>
      <c r="AD112" s="864"/>
      <c r="AE112" s="864"/>
      <c r="AF112" s="864"/>
      <c r="AG112" s="864"/>
      <c r="AH112" s="864"/>
      <c r="AI112" s="864"/>
      <c r="AJ112" s="864"/>
      <c r="AK112" s="864"/>
      <c r="AL112" s="864"/>
      <c r="AM112" s="864"/>
      <c r="AN112" s="864"/>
      <c r="AO112" s="864"/>
      <c r="AP112" s="864"/>
      <c r="AQ112" s="864"/>
      <c r="AR112" s="864"/>
      <c r="AS112" s="864"/>
      <c r="AT112" s="864"/>
      <c r="AU112" s="864"/>
      <c r="AV112" s="864"/>
      <c r="AW112" s="864"/>
      <c r="AX112" s="864"/>
      <c r="AY112" s="864"/>
    </row>
    <row r="113" spans="1:51" s="56" customFormat="1">
      <c r="M113" s="61"/>
      <c r="N113" s="864"/>
      <c r="R113" s="864"/>
      <c r="S113" s="864"/>
      <c r="T113" s="864"/>
      <c r="U113" s="864"/>
      <c r="V113" s="864"/>
      <c r="W113" s="864"/>
      <c r="X113" s="864"/>
      <c r="Y113" s="864"/>
      <c r="Z113" s="864"/>
      <c r="AA113" s="864"/>
      <c r="AB113" s="867"/>
      <c r="AC113" s="864"/>
      <c r="AD113" s="864" t="s">
        <v>366</v>
      </c>
      <c r="AE113" s="864">
        <v>40</v>
      </c>
      <c r="AF113" s="864"/>
      <c r="AG113" s="864"/>
      <c r="AH113" s="864"/>
      <c r="AI113" s="864"/>
      <c r="AJ113" s="864"/>
      <c r="AK113" s="864"/>
      <c r="AL113" s="864"/>
      <c r="AM113" s="864"/>
      <c r="AN113" s="864"/>
      <c r="AO113" s="864"/>
      <c r="AP113" s="864"/>
      <c r="AQ113" s="864"/>
      <c r="AR113" s="864"/>
      <c r="AS113" s="864"/>
      <c r="AT113" s="864"/>
      <c r="AU113" s="864"/>
      <c r="AV113" s="864"/>
      <c r="AW113" s="864"/>
      <c r="AX113" s="864"/>
      <c r="AY113" s="864"/>
    </row>
    <row r="114" spans="1:51" s="56" customFormat="1">
      <c r="M114" s="61"/>
      <c r="N114" s="864"/>
      <c r="R114" s="864"/>
      <c r="S114" s="864"/>
      <c r="T114" s="864"/>
      <c r="U114" s="864"/>
      <c r="V114" s="864"/>
      <c r="W114" s="864"/>
      <c r="X114" s="864"/>
      <c r="Y114" s="864"/>
      <c r="Z114" s="864"/>
      <c r="AA114" s="864"/>
      <c r="AB114" s="867"/>
      <c r="AC114" s="864"/>
      <c r="AD114" s="864"/>
      <c r="AE114" s="864"/>
      <c r="AF114" s="864"/>
      <c r="AG114" s="864"/>
      <c r="AH114" s="864"/>
      <c r="AI114" s="864"/>
      <c r="AJ114" s="864"/>
      <c r="AK114" s="864"/>
      <c r="AL114" s="864"/>
      <c r="AM114" s="864"/>
      <c r="AN114" s="864"/>
      <c r="AO114" s="864"/>
      <c r="AP114" s="864"/>
      <c r="AQ114" s="864"/>
      <c r="AR114" s="864"/>
      <c r="AS114" s="864"/>
      <c r="AT114" s="864"/>
      <c r="AU114" s="864"/>
      <c r="AV114" s="864"/>
      <c r="AW114" s="864"/>
      <c r="AX114" s="864"/>
      <c r="AY114" s="864"/>
    </row>
    <row r="115" spans="1:51" s="56" customFormat="1">
      <c r="M115" s="61"/>
      <c r="N115" s="864"/>
      <c r="R115" s="864"/>
      <c r="S115" s="864"/>
      <c r="T115" s="864"/>
      <c r="U115" s="864"/>
      <c r="V115" s="864"/>
      <c r="W115" s="864"/>
      <c r="X115" s="864"/>
      <c r="Y115" s="864"/>
      <c r="Z115" s="864"/>
      <c r="AA115" s="864"/>
      <c r="AB115" s="867"/>
      <c r="AC115" s="864"/>
      <c r="AD115" s="864"/>
      <c r="AE115" s="864"/>
      <c r="AF115" s="864"/>
      <c r="AG115" s="864"/>
      <c r="AH115" s="864"/>
      <c r="AI115" s="864"/>
      <c r="AJ115" s="864"/>
      <c r="AK115" s="864"/>
      <c r="AL115" s="864"/>
      <c r="AM115" s="864"/>
      <c r="AN115" s="864"/>
      <c r="AO115" s="864"/>
      <c r="AP115" s="864"/>
      <c r="AQ115" s="864"/>
      <c r="AR115" s="864"/>
      <c r="AS115" s="864"/>
      <c r="AT115" s="864"/>
      <c r="AU115" s="864"/>
      <c r="AV115" s="864"/>
      <c r="AW115" s="864"/>
      <c r="AX115" s="864"/>
      <c r="AY115" s="864"/>
    </row>
    <row r="116" spans="1:51" s="56" customFormat="1">
      <c r="M116" s="61"/>
      <c r="N116" s="864"/>
      <c r="R116" s="864"/>
      <c r="S116" s="864"/>
      <c r="T116" s="864"/>
      <c r="U116" s="864"/>
      <c r="V116" s="864"/>
      <c r="W116" s="864"/>
      <c r="X116" s="864"/>
      <c r="Y116" s="1163"/>
      <c r="Z116" s="1163"/>
      <c r="AA116" s="864"/>
      <c r="AB116" s="867"/>
      <c r="AC116" s="864"/>
      <c r="AD116" s="1163"/>
      <c r="AE116" s="1163"/>
      <c r="AF116" s="864"/>
      <c r="AG116" s="864"/>
      <c r="AH116" s="864"/>
      <c r="AI116" s="864"/>
      <c r="AJ116" s="864"/>
      <c r="AK116" s="864"/>
      <c r="AL116" s="864"/>
      <c r="AM116" s="864"/>
      <c r="AN116" s="864"/>
      <c r="AO116" s="864"/>
      <c r="AP116" s="864"/>
      <c r="AQ116" s="864"/>
      <c r="AR116" s="864"/>
      <c r="AS116" s="864"/>
      <c r="AT116" s="864"/>
      <c r="AU116" s="864"/>
      <c r="AV116" s="864"/>
      <c r="AW116" s="864"/>
      <c r="AX116" s="864"/>
      <c r="AY116" s="864"/>
    </row>
    <row r="117" spans="1:51" s="56" customFormat="1">
      <c r="M117" s="61"/>
      <c r="N117" s="864"/>
      <c r="R117" s="864"/>
      <c r="S117" s="864"/>
      <c r="T117" s="864"/>
      <c r="U117" s="864"/>
      <c r="V117" s="864"/>
      <c r="W117" s="864"/>
      <c r="X117" s="864"/>
      <c r="Y117" s="973" t="s">
        <v>367</v>
      </c>
      <c r="Z117" s="973"/>
      <c r="AA117" s="864"/>
      <c r="AB117" s="867"/>
      <c r="AC117" s="864"/>
      <c r="AD117" s="973" t="s">
        <v>367</v>
      </c>
      <c r="AE117" s="973"/>
      <c r="AF117" s="864"/>
      <c r="AG117" s="864"/>
      <c r="AH117" s="864"/>
      <c r="AI117" s="864"/>
      <c r="AJ117" s="864"/>
      <c r="AK117" s="864"/>
      <c r="AL117" s="864"/>
      <c r="AM117" s="864"/>
      <c r="AN117" s="864"/>
      <c r="AO117" s="864"/>
      <c r="AP117" s="864"/>
      <c r="AQ117" s="864"/>
      <c r="AR117" s="864"/>
      <c r="AS117" s="864"/>
      <c r="AT117" s="864"/>
      <c r="AU117" s="864"/>
      <c r="AV117" s="864"/>
      <c r="AW117" s="864"/>
      <c r="AX117" s="864"/>
      <c r="AY117" s="864"/>
    </row>
    <row r="118" spans="1:51" s="56" customFormat="1">
      <c r="M118" s="61"/>
      <c r="N118" s="864"/>
      <c r="R118" s="864"/>
      <c r="S118" s="864"/>
      <c r="T118" s="973"/>
      <c r="U118" s="973"/>
      <c r="V118" s="973"/>
      <c r="W118" s="973"/>
      <c r="X118" s="973"/>
      <c r="Y118" s="973" t="s">
        <v>332</v>
      </c>
      <c r="Z118" s="1161"/>
      <c r="AA118" s="864"/>
      <c r="AB118" s="867"/>
      <c r="AC118" s="864"/>
      <c r="AD118" s="973" t="s">
        <v>355</v>
      </c>
      <c r="AE118" s="973" t="s">
        <v>355</v>
      </c>
      <c r="AF118" s="864" t="s">
        <v>356</v>
      </c>
      <c r="AG118" s="864"/>
      <c r="AH118" s="864"/>
      <c r="AI118" s="973"/>
      <c r="AJ118" s="973"/>
      <c r="AK118" s="973"/>
      <c r="AL118" s="973"/>
      <c r="AM118" s="864"/>
      <c r="AN118" s="864"/>
      <c r="AO118" s="864"/>
      <c r="AP118" s="864"/>
      <c r="AQ118" s="864"/>
      <c r="AR118" s="864"/>
      <c r="AS118" s="864"/>
      <c r="AT118" s="864"/>
      <c r="AU118" s="864"/>
      <c r="AV118" s="864"/>
      <c r="AW118" s="864"/>
      <c r="AX118" s="864"/>
      <c r="AY118" s="864"/>
    </row>
    <row r="119" spans="1:51" s="56" customFormat="1">
      <c r="M119" s="61"/>
      <c r="N119" s="864"/>
      <c r="R119" s="864"/>
      <c r="S119" s="864"/>
      <c r="T119" s="864"/>
      <c r="U119" s="864"/>
      <c r="V119" s="864"/>
      <c r="W119" s="864"/>
      <c r="X119" s="864"/>
      <c r="Y119" s="973" t="s">
        <v>89</v>
      </c>
      <c r="Z119" s="1161">
        <f>+AF119*G6</f>
        <v>432</v>
      </c>
      <c r="AA119" s="864"/>
      <c r="AB119" s="867"/>
      <c r="AC119" s="864"/>
      <c r="AD119" s="973" t="s">
        <v>89</v>
      </c>
      <c r="AE119" s="864"/>
      <c r="AF119" s="1161">
        <v>72</v>
      </c>
      <c r="AG119" s="864"/>
      <c r="AH119" s="864"/>
      <c r="AI119" s="864"/>
      <c r="AJ119" s="864"/>
      <c r="AK119" s="864"/>
      <c r="AL119" s="864"/>
      <c r="AM119" s="864"/>
      <c r="AN119" s="864"/>
      <c r="AO119" s="864"/>
      <c r="AP119" s="864"/>
      <c r="AQ119" s="864"/>
      <c r="AR119" s="864"/>
      <c r="AS119" s="864"/>
      <c r="AT119" s="864"/>
      <c r="AU119" s="864"/>
      <c r="AV119" s="864"/>
      <c r="AW119" s="864"/>
      <c r="AX119" s="864"/>
      <c r="AY119" s="864"/>
    </row>
    <row r="120" spans="1:51">
      <c r="A120" s="56"/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61"/>
      <c r="N120" s="864"/>
      <c r="O120" s="56"/>
      <c r="P120" s="56"/>
      <c r="Q120" s="56"/>
      <c r="R120" s="864"/>
      <c r="S120" s="864"/>
      <c r="Z120" s="1161"/>
      <c r="AA120" s="864"/>
      <c r="AB120" s="867"/>
      <c r="AC120" s="864"/>
      <c r="AG120" s="864"/>
      <c r="AH120" s="864"/>
    </row>
    <row r="121" spans="1:51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61"/>
      <c r="N121" s="864"/>
      <c r="O121" s="56"/>
      <c r="P121" s="56"/>
      <c r="Q121" s="56"/>
      <c r="R121" s="864"/>
      <c r="S121" s="864"/>
      <c r="Z121" s="1161"/>
      <c r="AA121" s="864"/>
      <c r="AB121" s="867"/>
      <c r="AC121" s="864"/>
      <c r="AE121" s="1161"/>
      <c r="AF121" s="864"/>
      <c r="AG121" s="864"/>
      <c r="AH121" s="864"/>
    </row>
    <row r="122" spans="1:51">
      <c r="A122" s="56"/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61"/>
      <c r="N122" s="864"/>
      <c r="O122" s="56"/>
      <c r="P122" s="56"/>
      <c r="Q122" s="56"/>
      <c r="R122" s="864"/>
      <c r="Z122" s="1161"/>
      <c r="AA122" s="864"/>
      <c r="AB122" s="867"/>
      <c r="AC122" s="864"/>
      <c r="AE122" s="1161"/>
      <c r="AF122" s="864"/>
      <c r="AG122" s="864"/>
      <c r="AH122" s="864"/>
    </row>
    <row r="123" spans="1:51">
      <c r="A123" s="56"/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61"/>
      <c r="N123" s="864"/>
      <c r="O123" s="56"/>
      <c r="P123" s="56"/>
      <c r="Q123" s="56"/>
      <c r="R123" s="864"/>
      <c r="Y123" s="864"/>
      <c r="Z123" s="864"/>
      <c r="AA123" s="864"/>
      <c r="AB123" s="867"/>
      <c r="AC123" s="864"/>
      <c r="AE123" s="1161"/>
      <c r="AF123" s="864"/>
      <c r="AG123" s="864"/>
      <c r="AH123" s="864"/>
    </row>
    <row r="124" spans="1:51"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61"/>
      <c r="N124" s="864"/>
      <c r="O124" s="56"/>
      <c r="P124" s="56"/>
      <c r="Q124" s="56"/>
      <c r="R124" s="864"/>
      <c r="Y124" s="864"/>
      <c r="AA124" s="864"/>
      <c r="AB124" s="867"/>
      <c r="AC124" s="864"/>
      <c r="AD124" s="973" t="s">
        <v>368</v>
      </c>
      <c r="AF124" s="864"/>
      <c r="AG124" s="864"/>
      <c r="AH124" s="864"/>
    </row>
    <row r="125" spans="1:51"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61"/>
      <c r="N125" s="864"/>
      <c r="O125" s="56"/>
      <c r="P125" s="56"/>
      <c r="Q125" s="56"/>
      <c r="R125" s="864"/>
      <c r="AA125" s="864"/>
      <c r="AB125" s="867"/>
      <c r="AC125" s="864"/>
      <c r="AF125" s="864"/>
      <c r="AG125" s="864"/>
      <c r="AH125" s="864"/>
    </row>
    <row r="126" spans="1:51"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61"/>
      <c r="N126" s="864"/>
      <c r="O126" s="56"/>
      <c r="P126" s="56"/>
      <c r="Q126" s="56"/>
      <c r="Y126" s="973" t="s">
        <v>368</v>
      </c>
      <c r="AA126" s="864"/>
      <c r="AB126" s="867"/>
      <c r="AC126" s="864"/>
      <c r="AD126" s="973" t="s">
        <v>368</v>
      </c>
      <c r="AF126" s="864"/>
      <c r="AG126" s="864"/>
      <c r="AH126" s="864"/>
    </row>
    <row r="127" spans="1:51"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61"/>
      <c r="N127" s="864"/>
      <c r="O127" s="56"/>
      <c r="P127" s="56"/>
      <c r="Q127" s="56"/>
      <c r="Z127" s="973" t="s">
        <v>355</v>
      </c>
      <c r="AA127" s="864"/>
      <c r="AB127" s="867"/>
      <c r="AC127" s="864"/>
      <c r="AE127" s="973" t="s">
        <v>355</v>
      </c>
      <c r="AF127" s="864" t="s">
        <v>356</v>
      </c>
      <c r="AG127" s="864"/>
      <c r="AH127" s="864"/>
    </row>
    <row r="128" spans="1:51"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61"/>
      <c r="N128" s="864"/>
      <c r="O128" s="56"/>
      <c r="P128" s="56"/>
      <c r="Q128" s="56"/>
      <c r="Y128" s="973" t="s">
        <v>369</v>
      </c>
      <c r="Z128" s="1161">
        <f>+G29-G25</f>
        <v>2775.8649999999998</v>
      </c>
      <c r="AA128" s="864"/>
      <c r="AB128" s="867"/>
      <c r="AC128" s="864"/>
      <c r="AD128" s="973" t="s">
        <v>369</v>
      </c>
      <c r="AE128" s="1161">
        <f>2214.66-664</f>
        <v>1550.6599999999999</v>
      </c>
      <c r="AF128" s="864"/>
      <c r="AG128" s="864"/>
      <c r="AH128" s="864"/>
    </row>
    <row r="129" spans="2:39"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61"/>
      <c r="N129" s="864"/>
      <c r="O129" s="56"/>
      <c r="P129" s="56"/>
      <c r="Q129" s="56"/>
      <c r="Y129" s="973" t="s">
        <v>332</v>
      </c>
      <c r="Z129" s="1164">
        <f>+(AE129+(G6-1)*AF129)/G5</f>
        <v>1700</v>
      </c>
      <c r="AA129" s="864"/>
      <c r="AB129" s="867"/>
      <c r="AC129" s="864"/>
      <c r="AD129" s="973" t="s">
        <v>332</v>
      </c>
      <c r="AE129" s="1161">
        <v>1200</v>
      </c>
      <c r="AF129" s="864">
        <v>100</v>
      </c>
      <c r="AG129" s="864"/>
      <c r="AH129" s="864"/>
    </row>
    <row r="130" spans="2:39"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61"/>
      <c r="N130" s="864"/>
      <c r="O130" s="56"/>
      <c r="P130" s="56"/>
      <c r="Q130" s="56"/>
      <c r="Y130" s="973" t="s">
        <v>370</v>
      </c>
      <c r="Z130" s="1165">
        <f>+AE130/G5</f>
        <v>100</v>
      </c>
      <c r="AA130" s="864"/>
      <c r="AB130" s="867"/>
      <c r="AC130" s="864"/>
      <c r="AD130" s="973" t="s">
        <v>370</v>
      </c>
      <c r="AE130" s="1165">
        <v>100</v>
      </c>
      <c r="AF130" s="864"/>
      <c r="AG130" s="864"/>
      <c r="AH130" s="864"/>
    </row>
    <row r="131" spans="2:39"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61"/>
      <c r="N131" s="864"/>
      <c r="O131" s="56"/>
      <c r="P131" s="56"/>
      <c r="Q131" s="56"/>
      <c r="Y131" s="973" t="s">
        <v>89</v>
      </c>
      <c r="Z131" s="864">
        <f>+AF131*G6</f>
        <v>360</v>
      </c>
      <c r="AA131" s="864"/>
      <c r="AB131" s="867"/>
      <c r="AC131" s="864"/>
      <c r="AD131" s="973" t="s">
        <v>89</v>
      </c>
      <c r="AE131" s="864"/>
      <c r="AF131" s="1161">
        <v>60</v>
      </c>
      <c r="AG131" s="864"/>
      <c r="AH131" s="864"/>
    </row>
    <row r="132" spans="2:39">
      <c r="D132" s="56"/>
      <c r="E132" s="56"/>
      <c r="F132" s="56"/>
      <c r="G132" s="56"/>
      <c r="H132" s="56"/>
      <c r="I132" s="56"/>
      <c r="J132" s="56"/>
      <c r="K132" s="56"/>
      <c r="L132" s="56"/>
      <c r="M132" s="61"/>
      <c r="N132" s="864"/>
      <c r="O132" s="56"/>
      <c r="P132" s="56"/>
      <c r="Q132" s="56"/>
      <c r="Y132" s="973" t="s">
        <v>371</v>
      </c>
      <c r="Z132" s="1161">
        <f>+Z130+Z131</f>
        <v>460</v>
      </c>
      <c r="AA132" s="864"/>
      <c r="AB132" s="867"/>
      <c r="AC132" s="864"/>
      <c r="AD132" s="973" t="s">
        <v>371</v>
      </c>
      <c r="AE132" s="1161">
        <f>+SUM(AE128:AE131)</f>
        <v>2850.66</v>
      </c>
      <c r="AF132" s="864"/>
      <c r="AG132" s="864"/>
      <c r="AH132" s="864"/>
    </row>
    <row r="133" spans="2:39">
      <c r="D133" s="56"/>
      <c r="E133" s="56"/>
      <c r="F133" s="56"/>
      <c r="G133" s="56"/>
      <c r="H133" s="56"/>
      <c r="I133" s="56"/>
      <c r="J133" s="56"/>
      <c r="K133" s="56"/>
      <c r="L133" s="56"/>
      <c r="M133" s="61"/>
      <c r="N133" s="864"/>
      <c r="O133" s="56"/>
      <c r="P133" s="56"/>
      <c r="Q133" s="56"/>
      <c r="Y133" s="864"/>
      <c r="Z133" s="864"/>
      <c r="AA133" s="864"/>
      <c r="AB133" s="867"/>
      <c r="AC133" s="864"/>
      <c r="AD133" s="864"/>
      <c r="AE133" s="864"/>
      <c r="AF133" s="864"/>
      <c r="AG133" s="864"/>
      <c r="AH133" s="864"/>
    </row>
    <row r="134" spans="2:39">
      <c r="D134" s="56"/>
      <c r="E134" s="56"/>
      <c r="F134" s="56"/>
      <c r="G134" s="56"/>
      <c r="H134" s="56"/>
      <c r="I134" s="56"/>
      <c r="J134" s="56"/>
      <c r="K134" s="56"/>
      <c r="L134" s="56"/>
      <c r="M134" s="61"/>
      <c r="N134" s="864"/>
      <c r="O134" s="56"/>
      <c r="Y134" s="864"/>
      <c r="Z134" s="864"/>
      <c r="AA134" s="864"/>
      <c r="AB134" s="867"/>
      <c r="AC134" s="864"/>
      <c r="AD134" s="864"/>
      <c r="AE134" s="864"/>
      <c r="AF134" s="864"/>
      <c r="AG134" s="864"/>
      <c r="AH134" s="864"/>
    </row>
    <row r="135" spans="2:39" ht="15.75" thickBot="1">
      <c r="D135" s="56"/>
      <c r="E135" s="56"/>
      <c r="F135" s="56"/>
      <c r="G135" s="56"/>
      <c r="H135" s="56"/>
      <c r="I135" s="56"/>
      <c r="J135" s="56"/>
      <c r="K135" s="56"/>
      <c r="L135" s="56"/>
      <c r="M135" s="61"/>
      <c r="N135" s="864"/>
      <c r="O135" s="56"/>
      <c r="W135" s="443"/>
      <c r="X135" s="443"/>
      <c r="Y135" s="443"/>
      <c r="Z135" s="443"/>
      <c r="AA135" s="443"/>
      <c r="AB135" s="444"/>
      <c r="AC135" s="607"/>
      <c r="AD135" s="607" t="s">
        <v>104</v>
      </c>
      <c r="AE135" s="56"/>
      <c r="AF135" s="607" t="s">
        <v>105</v>
      </c>
      <c r="AG135" s="607"/>
      <c r="AH135" s="607"/>
      <c r="AI135" s="607"/>
      <c r="AJ135" s="607"/>
      <c r="AK135" s="607"/>
      <c r="AL135" s="607"/>
      <c r="AM135" s="607"/>
    </row>
    <row r="136" spans="2:39">
      <c r="D136" s="56"/>
      <c r="E136" s="56"/>
      <c r="F136" s="56"/>
      <c r="G136" s="56"/>
      <c r="H136" s="56"/>
      <c r="I136" s="56"/>
      <c r="J136" s="56"/>
      <c r="K136" s="56"/>
      <c r="L136" s="56"/>
      <c r="M136" s="61"/>
      <c r="N136" s="864"/>
      <c r="O136" s="56"/>
      <c r="W136" s="443"/>
      <c r="X136" s="443"/>
      <c r="Y136" s="443"/>
      <c r="Z136" s="443"/>
      <c r="AA136" s="443"/>
      <c r="AB136" s="444"/>
      <c r="AC136" s="607"/>
      <c r="AD136" s="608">
        <v>1</v>
      </c>
      <c r="AE136" s="609" t="s">
        <v>106</v>
      </c>
      <c r="AF136" s="609"/>
      <c r="AG136" s="609"/>
      <c r="AH136" s="609"/>
      <c r="AI136" s="609"/>
      <c r="AJ136" s="609"/>
      <c r="AK136" s="609"/>
      <c r="AL136" s="609"/>
      <c r="AM136" s="609"/>
    </row>
    <row r="137" spans="2:39">
      <c r="W137" s="443"/>
      <c r="X137" s="443"/>
      <c r="Y137" s="443"/>
      <c r="Z137" s="443"/>
      <c r="AA137" s="443"/>
      <c r="AB137" s="444"/>
      <c r="AC137" s="607"/>
      <c r="AD137" s="410"/>
      <c r="AE137" s="411" t="s">
        <v>107</v>
      </c>
      <c r="AF137" s="411"/>
      <c r="AG137" s="411"/>
      <c r="AH137" s="411"/>
      <c r="AI137" s="411"/>
      <c r="AJ137" s="411"/>
      <c r="AK137" s="411"/>
      <c r="AL137" s="411"/>
      <c r="AM137" s="411"/>
    </row>
    <row r="138" spans="2:39">
      <c r="W138" s="443"/>
      <c r="X138" s="443"/>
      <c r="Y138" s="443"/>
      <c r="Z138" s="443"/>
      <c r="AA138" s="443"/>
      <c r="AB138" s="444"/>
      <c r="AC138" s="607"/>
      <c r="AD138" s="610">
        <v>2</v>
      </c>
      <c r="AE138" s="611" t="s">
        <v>108</v>
      </c>
      <c r="AF138" s="611"/>
      <c r="AG138" s="611"/>
      <c r="AH138" s="611"/>
      <c r="AI138" s="611"/>
      <c r="AJ138" s="611"/>
      <c r="AK138" s="611"/>
      <c r="AL138" s="611"/>
      <c r="AM138" s="611"/>
    </row>
    <row r="139" spans="2:39">
      <c r="W139" s="443"/>
      <c r="X139" s="443"/>
      <c r="Y139" s="443"/>
      <c r="Z139" s="443"/>
      <c r="AA139" s="443"/>
      <c r="AB139" s="444"/>
      <c r="AC139" s="607"/>
      <c r="AD139" s="410"/>
      <c r="AE139" s="411" t="s">
        <v>109</v>
      </c>
      <c r="AF139" s="411"/>
      <c r="AG139" s="411"/>
      <c r="AH139" s="411"/>
      <c r="AI139" s="411"/>
      <c r="AJ139" s="411"/>
      <c r="AK139" s="411"/>
      <c r="AL139" s="411"/>
      <c r="AM139" s="411"/>
    </row>
    <row r="140" spans="2:39">
      <c r="W140" s="443"/>
      <c r="X140" s="443"/>
      <c r="Y140" s="443"/>
      <c r="Z140" s="443"/>
      <c r="AA140" s="443"/>
      <c r="AB140" s="444"/>
      <c r="AC140" s="607"/>
      <c r="AD140" s="612">
        <v>3</v>
      </c>
      <c r="AE140" s="613" t="s">
        <v>110</v>
      </c>
      <c r="AF140" s="613"/>
      <c r="AG140" s="613"/>
      <c r="AH140" s="613"/>
      <c r="AI140" s="613"/>
      <c r="AJ140" s="613"/>
      <c r="AK140" s="613"/>
      <c r="AL140" s="613"/>
      <c r="AM140" s="613"/>
    </row>
    <row r="141" spans="2:39">
      <c r="W141" s="443"/>
      <c r="X141" s="443"/>
      <c r="Y141" s="443"/>
      <c r="Z141" s="443"/>
      <c r="AA141" s="443"/>
      <c r="AB141" s="444"/>
      <c r="AC141" s="607"/>
      <c r="AD141" s="410"/>
      <c r="AE141" s="411" t="s">
        <v>111</v>
      </c>
      <c r="AF141" s="411"/>
      <c r="AG141" s="411"/>
      <c r="AH141" s="411"/>
      <c r="AI141" s="411"/>
      <c r="AJ141" s="411"/>
      <c r="AK141" s="411"/>
      <c r="AL141" s="411"/>
      <c r="AM141" s="411"/>
    </row>
    <row r="142" spans="2:39">
      <c r="W142" s="443"/>
      <c r="X142" s="443"/>
      <c r="Y142" s="443"/>
      <c r="Z142" s="443"/>
      <c r="AA142" s="443"/>
      <c r="AB142" s="444"/>
      <c r="AC142" s="607"/>
      <c r="AD142" s="614">
        <v>4</v>
      </c>
      <c r="AE142" s="615" t="s">
        <v>112</v>
      </c>
      <c r="AF142" s="615"/>
      <c r="AG142" s="615"/>
      <c r="AH142" s="615"/>
      <c r="AI142" s="615"/>
      <c r="AJ142" s="615"/>
      <c r="AK142" s="615"/>
      <c r="AL142" s="615"/>
      <c r="AM142" s="615"/>
    </row>
    <row r="143" spans="2:39">
      <c r="W143" s="443"/>
      <c r="X143" s="443"/>
      <c r="Y143" s="443"/>
      <c r="Z143" s="443"/>
      <c r="AA143" s="443"/>
      <c r="AB143" s="444"/>
      <c r="AC143" s="607"/>
      <c r="AD143" s="410"/>
      <c r="AE143" s="411" t="s">
        <v>113</v>
      </c>
      <c r="AF143" s="411"/>
      <c r="AG143" s="411"/>
      <c r="AH143" s="411"/>
      <c r="AI143" s="411"/>
      <c r="AJ143" s="411"/>
      <c r="AK143" s="411"/>
      <c r="AL143" s="411"/>
      <c r="AM143" s="411"/>
    </row>
    <row r="144" spans="2:39">
      <c r="W144" s="443"/>
      <c r="X144" s="443"/>
      <c r="Y144" s="443"/>
      <c r="Z144" s="443"/>
      <c r="AA144" s="443"/>
      <c r="AB144" s="444"/>
      <c r="AC144" s="607"/>
      <c r="AD144" s="616">
        <v>5</v>
      </c>
      <c r="AE144" s="617" t="s">
        <v>114</v>
      </c>
      <c r="AF144" s="617"/>
      <c r="AG144" s="617"/>
      <c r="AH144" s="617"/>
      <c r="AI144" s="617"/>
      <c r="AJ144" s="617"/>
      <c r="AK144" s="617"/>
      <c r="AL144" s="617"/>
      <c r="AM144" s="617"/>
    </row>
    <row r="145" spans="23:39">
      <c r="W145" s="443"/>
      <c r="X145" s="443"/>
      <c r="Y145" s="443"/>
      <c r="Z145" s="443"/>
      <c r="AA145" s="443"/>
      <c r="AB145" s="444"/>
      <c r="AC145" s="607"/>
      <c r="AD145" s="410"/>
      <c r="AE145" s="411" t="s">
        <v>115</v>
      </c>
      <c r="AF145" s="411"/>
      <c r="AG145" s="411"/>
      <c r="AH145" s="411"/>
      <c r="AI145" s="411"/>
      <c r="AJ145" s="411"/>
      <c r="AK145" s="411"/>
      <c r="AL145" s="411"/>
      <c r="AM145" s="411"/>
    </row>
    <row r="146" spans="23:39">
      <c r="W146" s="443"/>
      <c r="X146" s="443"/>
      <c r="Y146" s="443"/>
      <c r="Z146" s="443"/>
      <c r="AA146" s="443"/>
      <c r="AB146" s="444"/>
      <c r="AC146" s="607"/>
      <c r="AD146" s="618">
        <v>6</v>
      </c>
      <c r="AE146" s="619" t="s">
        <v>116</v>
      </c>
      <c r="AF146" s="619"/>
      <c r="AG146" s="619"/>
      <c r="AH146" s="619"/>
      <c r="AI146" s="619"/>
      <c r="AJ146" s="619"/>
      <c r="AK146" s="619"/>
      <c r="AL146" s="619"/>
      <c r="AM146" s="619"/>
    </row>
    <row r="147" spans="23:39">
      <c r="W147" s="443"/>
      <c r="X147" s="443"/>
      <c r="Y147" s="443"/>
      <c r="Z147" s="443"/>
      <c r="AA147" s="443"/>
      <c r="AB147" s="444"/>
      <c r="AC147" s="607"/>
      <c r="AD147" s="410"/>
      <c r="AE147" s="411" t="s">
        <v>117</v>
      </c>
      <c r="AF147" s="411"/>
      <c r="AG147" s="411"/>
      <c r="AH147" s="411"/>
      <c r="AI147" s="411"/>
      <c r="AJ147" s="411"/>
      <c r="AK147" s="411"/>
      <c r="AL147" s="411"/>
      <c r="AM147" s="411"/>
    </row>
    <row r="148" spans="23:39" ht="15.75" thickBot="1">
      <c r="W148" s="443"/>
      <c r="X148" s="443"/>
      <c r="Y148" s="443"/>
      <c r="Z148" s="443"/>
      <c r="AA148" s="443"/>
      <c r="AB148" s="444"/>
      <c r="AC148" s="607"/>
      <c r="AD148" s="414"/>
      <c r="AE148" s="415"/>
      <c r="AF148" s="415"/>
      <c r="AG148" s="415"/>
      <c r="AH148" s="415"/>
      <c r="AI148" s="415"/>
      <c r="AJ148" s="415"/>
      <c r="AK148" s="415"/>
      <c r="AL148" s="415"/>
      <c r="AM148" s="415"/>
    </row>
    <row r="149" spans="23:39" ht="15.75" thickBot="1">
      <c r="W149" s="443"/>
      <c r="X149" s="443"/>
      <c r="Y149" s="443"/>
      <c r="Z149" s="443"/>
      <c r="AA149" s="443"/>
      <c r="AB149" s="444"/>
      <c r="AC149" s="607"/>
      <c r="AD149" s="620" t="s">
        <v>118</v>
      </c>
      <c r="AE149" s="620"/>
      <c r="AF149" s="620"/>
      <c r="AG149" s="620" t="str">
        <f>AF135</f>
        <v>Washington State Department of Labor &amp; Industries</v>
      </c>
      <c r="AH149" s="620"/>
      <c r="AI149" s="620"/>
      <c r="AJ149" s="620"/>
      <c r="AK149" s="620"/>
      <c r="AL149" s="620"/>
      <c r="AM149" s="620"/>
    </row>
    <row r="150" spans="23:39" ht="15.75" thickBot="1">
      <c r="W150" s="621" t="str">
        <f>AG149</f>
        <v>Washington State Department of Labor &amp; Industries</v>
      </c>
      <c r="X150" s="622"/>
      <c r="Y150" s="622"/>
      <c r="Z150" s="623"/>
      <c r="AA150" s="449"/>
      <c r="AB150" s="450"/>
      <c r="AC150" s="607"/>
      <c r="AD150" s="624" t="s">
        <v>119</v>
      </c>
      <c r="AE150" s="622" t="s">
        <v>120</v>
      </c>
      <c r="AF150" s="622"/>
      <c r="AG150" s="622" t="s">
        <v>121</v>
      </c>
      <c r="AH150" s="622" t="s">
        <v>83</v>
      </c>
      <c r="AI150" s="622" t="s">
        <v>122</v>
      </c>
      <c r="AJ150" s="623" t="s">
        <v>122</v>
      </c>
      <c r="AK150" s="443"/>
      <c r="AL150" s="625" t="s">
        <v>372</v>
      </c>
      <c r="AM150" s="443"/>
    </row>
    <row r="151" spans="23:39">
      <c r="W151" s="626" t="s">
        <v>42</v>
      </c>
      <c r="X151" s="627" t="s">
        <v>83</v>
      </c>
      <c r="Y151" s="627" t="s">
        <v>122</v>
      </c>
      <c r="Z151" s="628" t="s">
        <v>122</v>
      </c>
      <c r="AA151" s="457"/>
      <c r="AB151" s="458"/>
      <c r="AC151" s="607"/>
      <c r="AD151" s="629"/>
      <c r="AE151" s="630" t="s">
        <v>123</v>
      </c>
      <c r="AF151" s="630" t="s">
        <v>124</v>
      </c>
      <c r="AG151" s="631" t="s">
        <v>125</v>
      </c>
      <c r="AH151" s="631" t="s">
        <v>126</v>
      </c>
      <c r="AI151" s="631" t="s">
        <v>127</v>
      </c>
      <c r="AJ151" s="1196" t="s">
        <v>42</v>
      </c>
      <c r="AK151" s="443"/>
      <c r="AL151" s="443">
        <f>+sqft*110.93</f>
        <v>479217.60000000003</v>
      </c>
      <c r="AM151" s="443"/>
    </row>
    <row r="152" spans="23:39">
      <c r="W152" s="632"/>
      <c r="X152" s="633" t="s">
        <v>126</v>
      </c>
      <c r="Y152" s="633" t="s">
        <v>127</v>
      </c>
      <c r="Z152" s="1197" t="s">
        <v>42</v>
      </c>
      <c r="AA152" s="443"/>
      <c r="AB152" s="444"/>
      <c r="AC152" s="607"/>
      <c r="AD152" s="634" t="str">
        <f>IF(AND($AL$151&gt;=AE152,$AL$151&lt;=AF152),"yes","no")</f>
        <v>no</v>
      </c>
      <c r="AE152" s="635">
        <v>2001</v>
      </c>
      <c r="AF152" s="635">
        <v>25000</v>
      </c>
      <c r="AG152" s="636">
        <v>69.25</v>
      </c>
      <c r="AH152" s="104">
        <v>2000</v>
      </c>
      <c r="AI152" s="104">
        <v>1000</v>
      </c>
      <c r="AJ152" s="1198">
        <v>14</v>
      </c>
      <c r="AK152" s="443"/>
      <c r="AL152" s="443"/>
      <c r="AM152" s="443"/>
    </row>
    <row r="153" spans="23:39">
      <c r="W153" s="533">
        <f>VLOOKUP("yes",AD152:AJ157,4,FALSE)</f>
        <v>993.75</v>
      </c>
      <c r="X153" s="485">
        <f>VLOOKUP("yes",AD152:AJ157,2,FALSE)</f>
        <v>100001</v>
      </c>
      <c r="Y153" s="485">
        <f>VLOOKUP("yes",AD152:AJ157,6,FALSE)</f>
        <v>1000</v>
      </c>
      <c r="Z153" s="463">
        <f>VLOOKUP("yes",AD152:AJ157,7,FALSE)</f>
        <v>5.6</v>
      </c>
      <c r="AA153" s="443"/>
      <c r="AB153" s="444"/>
      <c r="AC153" s="607"/>
      <c r="AD153" s="634" t="str">
        <f t="shared" ref="AD153:AD157" si="2">IF(AND($AL$151&gt;=AE153,$AL$151&lt;=AF153),"yes","no")</f>
        <v>no</v>
      </c>
      <c r="AE153" s="611">
        <v>25001</v>
      </c>
      <c r="AF153" s="611">
        <v>50000</v>
      </c>
      <c r="AG153" s="636">
        <v>391.25</v>
      </c>
      <c r="AH153" s="104">
        <v>25000</v>
      </c>
      <c r="AI153" s="104">
        <v>1000</v>
      </c>
      <c r="AJ153" s="1198">
        <v>10.1</v>
      </c>
      <c r="AK153" s="443"/>
      <c r="AL153" s="443"/>
      <c r="AM153" s="443"/>
    </row>
    <row r="154" spans="23:39" ht="15.75" thickBot="1">
      <c r="W154" s="637"/>
      <c r="X154" s="638"/>
      <c r="Y154" s="638"/>
      <c r="Z154" s="472"/>
      <c r="AA154" s="443"/>
      <c r="AB154" s="444"/>
      <c r="AC154" s="607"/>
      <c r="AD154" s="634" t="str">
        <f t="shared" si="2"/>
        <v>no</v>
      </c>
      <c r="AE154" s="639">
        <v>50001</v>
      </c>
      <c r="AF154" s="639">
        <v>100000</v>
      </c>
      <c r="AG154" s="636">
        <v>643.75</v>
      </c>
      <c r="AH154" s="104">
        <v>50000</v>
      </c>
      <c r="AI154" s="104">
        <v>1000</v>
      </c>
      <c r="AJ154" s="1198">
        <v>7</v>
      </c>
      <c r="AK154" s="443"/>
      <c r="AL154" s="443"/>
      <c r="AM154" s="443"/>
    </row>
    <row r="155" spans="23:39">
      <c r="W155" s="640" t="s">
        <v>127</v>
      </c>
      <c r="X155" s="641">
        <f>I69*T85</f>
        <v>0</v>
      </c>
      <c r="Y155" s="642" t="str">
        <f>CONCATENATE("First $", X153)</f>
        <v>First $100001</v>
      </c>
      <c r="Z155" s="641">
        <f>W153</f>
        <v>993.75</v>
      </c>
      <c r="AA155" s="443"/>
      <c r="AB155" s="444"/>
      <c r="AC155" s="607"/>
      <c r="AD155" s="634" t="str">
        <f t="shared" si="2"/>
        <v>yes</v>
      </c>
      <c r="AE155" s="643">
        <v>100001</v>
      </c>
      <c r="AF155" s="615">
        <v>500000</v>
      </c>
      <c r="AG155" s="636">
        <v>993.75</v>
      </c>
      <c r="AH155" s="104">
        <v>100000</v>
      </c>
      <c r="AI155" s="104">
        <v>1000</v>
      </c>
      <c r="AJ155" s="1198">
        <v>5.6</v>
      </c>
      <c r="AK155" s="443"/>
      <c r="AL155" s="443"/>
      <c r="AM155" s="443"/>
    </row>
    <row r="156" spans="23:39">
      <c r="W156" s="644" t="s">
        <v>128</v>
      </c>
      <c r="X156" s="641">
        <f>X153</f>
        <v>100001</v>
      </c>
      <c r="Y156" s="645" t="str">
        <f>CONCATENATE("Fee on $",X157)</f>
        <v>Fee on $379216.6</v>
      </c>
      <c r="Z156" s="641">
        <f>(X157/Y153)*Z153</f>
        <v>2123.6129599999999</v>
      </c>
      <c r="AA156" s="443"/>
      <c r="AB156" s="444"/>
      <c r="AC156" s="607"/>
      <c r="AD156" s="634" t="str">
        <f t="shared" si="2"/>
        <v>no</v>
      </c>
      <c r="AE156" s="646">
        <v>500001</v>
      </c>
      <c r="AF156" s="646">
        <v>1000000</v>
      </c>
      <c r="AG156" s="636">
        <v>3233.75</v>
      </c>
      <c r="AH156" s="104">
        <v>500000</v>
      </c>
      <c r="AI156" s="104">
        <v>1000</v>
      </c>
      <c r="AJ156" s="1198">
        <v>4.75</v>
      </c>
      <c r="AK156" s="443"/>
      <c r="AL156" s="443"/>
      <c r="AM156" s="443"/>
    </row>
    <row r="157" spans="23:39">
      <c r="W157" s="644" t="s">
        <v>129</v>
      </c>
      <c r="X157" s="350">
        <f>+AL151-X153</f>
        <v>379216.60000000003</v>
      </c>
      <c r="Y157" s="647" t="s">
        <v>13</v>
      </c>
      <c r="Z157" s="648">
        <f>1.064*SUM(Z155:Z156)</f>
        <v>3316.87418944</v>
      </c>
      <c r="AA157" s="443"/>
      <c r="AB157" s="444"/>
      <c r="AC157" s="607"/>
      <c r="AD157" s="634" t="str">
        <f t="shared" si="2"/>
        <v>no</v>
      </c>
      <c r="AE157" s="619">
        <v>1000001</v>
      </c>
      <c r="AF157" s="619">
        <v>100000000</v>
      </c>
      <c r="AG157" s="650">
        <v>5608.75</v>
      </c>
      <c r="AH157" s="570">
        <v>1000000</v>
      </c>
      <c r="AI157" s="570">
        <v>1000</v>
      </c>
      <c r="AJ157" s="651">
        <v>3.65</v>
      </c>
      <c r="AK157" s="443"/>
      <c r="AL157" s="443"/>
      <c r="AM157" s="443"/>
    </row>
  </sheetData>
  <sheetProtection sheet="1" selectLockedCells="1"/>
  <conditionalFormatting sqref="H24 H26">
    <cfRule type="expression" dxfId="12" priority="4">
      <formula>$G$5&gt;1</formula>
    </cfRule>
  </conditionalFormatting>
  <conditionalFormatting sqref="H25">
    <cfRule type="expression" dxfId="11" priority="6">
      <formula>$G$5&lt;2</formula>
    </cfRule>
  </conditionalFormatting>
  <conditionalFormatting sqref="H27">
    <cfRule type="expression" dxfId="10" priority="5">
      <formula>$G$5&gt;1</formula>
    </cfRule>
  </conditionalFormatting>
  <conditionalFormatting sqref="E11:G11">
    <cfRule type="expression" dxfId="9" priority="3">
      <formula>$F$11=""</formula>
    </cfRule>
  </conditionalFormatting>
  <conditionalFormatting sqref="F13:G13">
    <cfRule type="expression" dxfId="8" priority="2">
      <formula>OR(WA&lt;&gt;TRUE,$G$9=0)</formula>
    </cfRule>
  </conditionalFormatting>
  <conditionalFormatting sqref="V4">
    <cfRule type="expression" dxfId="7" priority="36">
      <formula>G19=#REF!</formula>
    </cfRule>
  </conditionalFormatting>
  <conditionalFormatting sqref="E12:G12">
    <cfRule type="expression" dxfId="6" priority="1">
      <formula>$F$11=""</formula>
    </cfRule>
  </conditionalFormatting>
  <dataValidations count="1">
    <dataValidation type="list" allowBlank="1" showInputMessage="1" showErrorMessage="1" sqref="G12" xr:uid="{B6BB5E6B-442C-4E14-A126-E4D03D6A2B02}">
      <formula1>"Master Plan, 1 Year Plan"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1171D-00C7-450C-B1A9-1E7214769B4F}">
  <dimension ref="A1:H10"/>
  <sheetViews>
    <sheetView workbookViewId="0">
      <selection activeCell="A11" sqref="A11"/>
    </sheetView>
  </sheetViews>
  <sheetFormatPr defaultRowHeight="15"/>
  <sheetData>
    <row r="1" spans="1:8">
      <c r="A1" t="s">
        <v>177</v>
      </c>
      <c r="B1" t="s">
        <v>179</v>
      </c>
      <c r="C1" t="s">
        <v>373</v>
      </c>
      <c r="D1" t="s">
        <v>374</v>
      </c>
      <c r="E1" t="s">
        <v>375</v>
      </c>
      <c r="F1" t="s">
        <v>376</v>
      </c>
      <c r="G1" t="s">
        <v>371</v>
      </c>
      <c r="H1" t="s">
        <v>377</v>
      </c>
    </row>
    <row r="2" spans="1:8">
      <c r="A2">
        <v>24289</v>
      </c>
      <c r="B2">
        <f>56*60</f>
        <v>3360</v>
      </c>
      <c r="D2">
        <f>380+330</f>
        <v>710</v>
      </c>
      <c r="F2">
        <v>8.75</v>
      </c>
      <c r="G2">
        <f>+SUM(C2:F2)</f>
        <v>718.75</v>
      </c>
      <c r="H2">
        <f>+G2/B2</f>
        <v>0.21391369047619047</v>
      </c>
    </row>
    <row r="3" spans="1:8">
      <c r="A3">
        <v>24290</v>
      </c>
      <c r="B3">
        <f>58*84+8*30</f>
        <v>5112</v>
      </c>
      <c r="C3">
        <v>380</v>
      </c>
      <c r="D3">
        <v>440</v>
      </c>
      <c r="F3">
        <v>8.75</v>
      </c>
      <c r="G3">
        <f t="shared" ref="G3:G8" si="0">+SUM(C3:F3)</f>
        <v>828.75</v>
      </c>
      <c r="H3">
        <f t="shared" ref="H3:H8" si="1">+G3/B3</f>
        <v>0.16211854460093897</v>
      </c>
    </row>
    <row r="4" spans="1:8">
      <c r="A4">
        <v>25044</v>
      </c>
      <c r="B4">
        <f>14*50</f>
        <v>700</v>
      </c>
      <c r="C4">
        <v>760</v>
      </c>
      <c r="D4">
        <f>275+55</f>
        <v>330</v>
      </c>
      <c r="E4">
        <v>330</v>
      </c>
      <c r="F4">
        <v>8.75</v>
      </c>
      <c r="G4">
        <f t="shared" si="0"/>
        <v>1428.75</v>
      </c>
      <c r="H4">
        <f t="shared" si="1"/>
        <v>2.0410714285714286</v>
      </c>
    </row>
    <row r="5" spans="1:8">
      <c r="A5">
        <v>25045</v>
      </c>
      <c r="B5">
        <f>24*60</f>
        <v>1440</v>
      </c>
      <c r="D5">
        <f>220+440</f>
        <v>660</v>
      </c>
      <c r="E5">
        <v>440</v>
      </c>
      <c r="F5">
        <v>8.75</v>
      </c>
      <c r="G5">
        <f t="shared" si="0"/>
        <v>1108.75</v>
      </c>
      <c r="H5">
        <f t="shared" si="1"/>
        <v>0.76996527777777779</v>
      </c>
    </row>
    <row r="6" spans="1:8">
      <c r="A6">
        <v>25051</v>
      </c>
      <c r="B6">
        <f>14*40</f>
        <v>560</v>
      </c>
      <c r="C6">
        <v>712.5</v>
      </c>
      <c r="D6">
        <f>220+55</f>
        <v>275</v>
      </c>
      <c r="E6">
        <v>330</v>
      </c>
      <c r="F6">
        <v>8.75</v>
      </c>
      <c r="G6">
        <f t="shared" si="0"/>
        <v>1326.25</v>
      </c>
      <c r="H6">
        <f t="shared" si="1"/>
        <v>2.3683035714285716</v>
      </c>
    </row>
    <row r="7" spans="1:8">
      <c r="A7">
        <v>25052</v>
      </c>
      <c r="B7">
        <f>14*60</f>
        <v>840</v>
      </c>
      <c r="E7">
        <f>3*110</f>
        <v>330</v>
      </c>
      <c r="F7">
        <v>8.75</v>
      </c>
      <c r="G7">
        <f t="shared" si="0"/>
        <v>338.75</v>
      </c>
      <c r="H7">
        <f t="shared" si="1"/>
        <v>0.40327380952380953</v>
      </c>
    </row>
    <row r="8" spans="1:8">
      <c r="A8">
        <v>24322</v>
      </c>
      <c r="B8">
        <f>28*64</f>
        <v>1792</v>
      </c>
      <c r="C8">
        <v>380</v>
      </c>
      <c r="D8">
        <v>55</v>
      </c>
      <c r="F8">
        <v>8.75</v>
      </c>
      <c r="G8">
        <f t="shared" si="0"/>
        <v>443.75</v>
      </c>
      <c r="H8">
        <f t="shared" si="1"/>
        <v>0.24762834821428573</v>
      </c>
    </row>
    <row r="10" spans="1:8">
      <c r="A10">
        <f>+G3+(sqft-1440)</f>
        <v>3708.75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5A77D-1B5D-42DF-84DC-18D4AA3066F9}">
  <sheetPr codeName="Sheet6">
    <tabColor rgb="FFCC3300"/>
  </sheetPr>
  <dimension ref="A1:AY139"/>
  <sheetViews>
    <sheetView showGridLines="0" topLeftCell="A12" zoomScale="55" zoomScaleNormal="55" workbookViewId="0">
      <selection activeCell="G10" sqref="G10"/>
    </sheetView>
  </sheetViews>
  <sheetFormatPr defaultRowHeight="15"/>
  <cols>
    <col min="3" max="3" width="3.28515625" customWidth="1"/>
    <col min="4" max="4" width="7.28515625" customWidth="1"/>
    <col min="7" max="7" width="22.5703125" customWidth="1"/>
    <col min="8" max="8" width="18" customWidth="1"/>
    <col min="9" max="9" width="7.28515625" customWidth="1"/>
    <col min="10" max="11" width="1.140625" customWidth="1"/>
    <col min="12" max="12" width="1.42578125" customWidth="1"/>
    <col min="13" max="13" width="17" style="385" customWidth="1"/>
    <col min="14" max="14" width="9.28515625" bestFit="1" customWidth="1"/>
    <col min="16" max="16" width="9.140625" customWidth="1"/>
    <col min="18" max="18" width="10.42578125" customWidth="1"/>
    <col min="19" max="19" width="9.140625" style="973"/>
    <col min="20" max="20" width="16.7109375" style="973" hidden="1" customWidth="1"/>
    <col min="21" max="21" width="15.42578125" style="973" hidden="1" customWidth="1"/>
    <col min="22" max="22" width="21.28515625" style="973" hidden="1" customWidth="1"/>
    <col min="23" max="23" width="15.85546875" style="973" hidden="1" customWidth="1"/>
    <col min="24" max="24" width="17.5703125" style="973" hidden="1" customWidth="1"/>
    <col min="25" max="25" width="19.140625" style="973" hidden="1" customWidth="1"/>
    <col min="26" max="26" width="15.85546875" style="973" hidden="1" customWidth="1"/>
    <col min="27" max="29" width="3.5703125" style="973" hidden="1" customWidth="1"/>
    <col min="30" max="33" width="15.140625" style="973" hidden="1" customWidth="1"/>
    <col min="34" max="34" width="12" style="973" hidden="1" customWidth="1"/>
    <col min="35" max="39" width="9.140625" style="973" hidden="1" customWidth="1"/>
    <col min="40" max="40" width="9.140625" style="973" customWidth="1"/>
    <col min="41" max="42" width="9.140625" style="973"/>
    <col min="43" max="50" width="0" style="973" hidden="1" customWidth="1"/>
    <col min="51" max="51" width="9.140625" style="973"/>
  </cols>
  <sheetData>
    <row r="1" spans="1:51" s="56" customFormat="1" ht="16.5" customHeight="1" thickBot="1">
      <c r="A1" s="48"/>
      <c r="B1" s="48"/>
      <c r="C1" s="48"/>
      <c r="D1" s="48"/>
      <c r="E1" s="48"/>
      <c r="F1" s="48"/>
      <c r="G1" s="48"/>
      <c r="H1" s="48"/>
      <c r="I1" s="760"/>
      <c r="J1" s="49"/>
      <c r="K1" s="49"/>
      <c r="L1" s="49"/>
      <c r="M1" s="49"/>
      <c r="N1" s="50"/>
      <c r="O1" s="51"/>
      <c r="P1" s="52"/>
      <c r="Q1" s="53"/>
      <c r="R1" s="54"/>
      <c r="S1" s="974"/>
      <c r="T1" s="864"/>
      <c r="U1" s="864"/>
      <c r="V1" s="865"/>
      <c r="W1" s="865"/>
      <c r="X1" s="865"/>
      <c r="Y1" s="865"/>
      <c r="Z1" s="865"/>
      <c r="AA1" s="866"/>
      <c r="AB1" s="867"/>
      <c r="AC1" s="867"/>
      <c r="AD1" s="867"/>
      <c r="AE1" s="867"/>
      <c r="AF1" s="867"/>
      <c r="AG1" s="867"/>
      <c r="AH1" s="868"/>
      <c r="AI1" s="868"/>
      <c r="AJ1" s="868"/>
      <c r="AK1" s="868"/>
      <c r="AL1" s="868"/>
      <c r="AM1" s="868"/>
      <c r="AN1" s="864"/>
      <c r="AO1" s="864"/>
      <c r="AP1" s="864"/>
      <c r="AQ1" s="864"/>
      <c r="AR1" s="864"/>
      <c r="AS1" s="864"/>
      <c r="AT1" s="864"/>
      <c r="AU1" s="864"/>
      <c r="AV1" s="864"/>
      <c r="AW1" s="864"/>
      <c r="AX1" s="864"/>
      <c r="AY1" s="864"/>
    </row>
    <row r="2" spans="1:51" s="56" customFormat="1" ht="15.75" thickBot="1">
      <c r="A2" s="48"/>
      <c r="B2" s="48"/>
      <c r="M2" s="61"/>
      <c r="S2" s="864"/>
      <c r="T2" s="864"/>
      <c r="U2" s="864"/>
      <c r="V2" s="869"/>
      <c r="W2" s="870"/>
      <c r="X2" s="870"/>
      <c r="Y2" s="870"/>
      <c r="Z2" s="871"/>
      <c r="AA2" s="872"/>
      <c r="AB2" s="873"/>
      <c r="AC2" s="874"/>
      <c r="AD2" s="875"/>
      <c r="AE2" s="876"/>
      <c r="AF2" s="876"/>
      <c r="AG2" s="877"/>
      <c r="AH2" s="878"/>
      <c r="AI2" s="878"/>
      <c r="AJ2" s="878"/>
      <c r="AK2" s="878"/>
      <c r="AL2" s="878"/>
      <c r="AM2" s="878"/>
      <c r="AN2" s="864"/>
      <c r="AO2" s="864"/>
      <c r="AP2" s="864"/>
      <c r="AQ2" s="864"/>
      <c r="AR2" s="864"/>
      <c r="AS2" s="864"/>
      <c r="AT2" s="864"/>
      <c r="AU2" s="864"/>
      <c r="AV2" s="864"/>
      <c r="AW2" s="864"/>
      <c r="AX2" s="864"/>
      <c r="AY2" s="864"/>
    </row>
    <row r="3" spans="1:51" s="56" customFormat="1" ht="21">
      <c r="A3" s="48"/>
      <c r="B3" s="48"/>
      <c r="D3" s="71"/>
      <c r="E3" s="72"/>
      <c r="F3" s="73"/>
      <c r="G3" s="72" t="s">
        <v>378</v>
      </c>
      <c r="H3" s="74"/>
      <c r="I3" s="75"/>
      <c r="S3" s="864"/>
      <c r="T3" s="864"/>
      <c r="U3" s="864"/>
      <c r="V3" s="879" t="s">
        <v>278</v>
      </c>
      <c r="W3" s="870" t="s">
        <v>279</v>
      </c>
      <c r="X3" s="870" t="s">
        <v>177</v>
      </c>
      <c r="Y3" s="870"/>
      <c r="Z3" s="871"/>
      <c r="AA3" s="880"/>
      <c r="AB3" s="881"/>
      <c r="AC3" s="874"/>
      <c r="AD3" s="882"/>
      <c r="AE3" s="883"/>
      <c r="AF3" s="870"/>
      <c r="AG3" s="871"/>
      <c r="AH3" s="878"/>
      <c r="AI3" s="878"/>
      <c r="AJ3" s="878"/>
      <c r="AK3" s="878"/>
      <c r="AL3" s="878"/>
      <c r="AM3" s="878"/>
      <c r="AN3" s="864"/>
      <c r="AO3" s="864"/>
      <c r="AP3" s="864"/>
      <c r="AQ3" s="864"/>
      <c r="AR3" s="864"/>
      <c r="AS3" s="864"/>
      <c r="AT3" s="864"/>
      <c r="AU3" s="864"/>
      <c r="AV3" s="864"/>
      <c r="AW3" s="864"/>
      <c r="AX3" s="864"/>
      <c r="AY3" s="864"/>
    </row>
    <row r="4" spans="1:51" s="56" customFormat="1" ht="12" customHeight="1">
      <c r="A4" s="48"/>
      <c r="B4" s="48"/>
      <c r="D4" s="762"/>
      <c r="E4" s="763"/>
      <c r="F4" s="764"/>
      <c r="G4" s="763"/>
      <c r="H4" s="12"/>
      <c r="I4" s="41"/>
      <c r="S4" s="864"/>
      <c r="T4" s="864"/>
      <c r="U4" s="864"/>
      <c r="V4" s="884" t="s">
        <v>280</v>
      </c>
      <c r="W4" s="885" t="s">
        <v>83</v>
      </c>
      <c r="X4" s="885" t="s">
        <v>80</v>
      </c>
      <c r="Y4" s="886"/>
      <c r="Z4" s="886"/>
      <c r="AA4" s="887"/>
      <c r="AB4" s="888"/>
      <c r="AC4" s="874"/>
      <c r="AD4" s="889"/>
      <c r="AE4" s="890"/>
      <c r="AF4" s="891"/>
      <c r="AG4" s="892"/>
      <c r="AH4" s="878"/>
      <c r="AI4" s="878"/>
      <c r="AJ4" s="878"/>
      <c r="AK4" s="878"/>
      <c r="AL4" s="878"/>
      <c r="AM4" s="878"/>
      <c r="AN4" s="864"/>
      <c r="AO4" s="864"/>
      <c r="AP4" s="864"/>
      <c r="AQ4" s="864"/>
      <c r="AR4" s="864"/>
      <c r="AS4" s="864"/>
      <c r="AT4" s="864"/>
      <c r="AU4" s="864"/>
      <c r="AV4" s="864"/>
      <c r="AW4" s="864"/>
      <c r="AX4" s="864"/>
      <c r="AY4" s="864"/>
    </row>
    <row r="5" spans="1:51" s="56" customFormat="1">
      <c r="A5" s="48"/>
      <c r="B5" s="48"/>
      <c r="D5" s="80"/>
      <c r="E5" s="81"/>
      <c r="F5" s="10" t="s">
        <v>281</v>
      </c>
      <c r="G5" s="765">
        <v>2</v>
      </c>
      <c r="H5" s="12" t="s">
        <v>379</v>
      </c>
      <c r="I5" s="82"/>
      <c r="J5" s="91"/>
      <c r="K5" s="91"/>
      <c r="L5" s="91"/>
      <c r="S5" s="864"/>
      <c r="T5" s="864"/>
      <c r="U5" s="864"/>
      <c r="V5" s="893" t="s">
        <v>284</v>
      </c>
      <c r="W5" s="894">
        <f>SUM(G21:G24)</f>
        <v>681.23</v>
      </c>
      <c r="X5" s="894">
        <f>IF($G$5&lt;=1,"",H21+H23+H24)</f>
        <v>472.42</v>
      </c>
      <c r="Y5" s="886"/>
      <c r="Z5" s="886"/>
      <c r="AA5" s="866"/>
      <c r="AB5" s="867"/>
      <c r="AC5" s="874"/>
      <c r="AD5" s="889"/>
      <c r="AE5" s="890"/>
      <c r="AF5" s="891"/>
      <c r="AG5" s="892"/>
      <c r="AH5" s="878"/>
      <c r="AI5" s="878"/>
      <c r="AJ5" s="878"/>
      <c r="AK5" s="878"/>
      <c r="AL5" s="878"/>
      <c r="AM5" s="878"/>
      <c r="AN5" s="864"/>
      <c r="AO5" s="864"/>
      <c r="AP5" s="864"/>
      <c r="AQ5" s="864"/>
      <c r="AR5" s="864"/>
      <c r="AS5" s="864"/>
      <c r="AT5" s="864"/>
      <c r="AU5" s="864"/>
      <c r="AV5" s="864"/>
      <c r="AW5" s="864"/>
      <c r="AX5" s="864"/>
      <c r="AY5" s="864"/>
    </row>
    <row r="6" spans="1:51" s="56" customFormat="1">
      <c r="A6" s="48"/>
      <c r="B6" s="48"/>
      <c r="D6" s="80"/>
      <c r="E6" s="90"/>
      <c r="F6" s="10" t="s">
        <v>285</v>
      </c>
      <c r="G6" s="765">
        <v>1</v>
      </c>
      <c r="H6" s="12" t="s">
        <v>286</v>
      </c>
      <c r="I6" s="82"/>
      <c r="K6" s="91"/>
      <c r="S6" s="864"/>
      <c r="T6" s="864"/>
      <c r="U6" s="864"/>
      <c r="V6" s="893"/>
      <c r="W6" s="886"/>
      <c r="X6" s="886"/>
      <c r="Y6" s="886"/>
      <c r="Z6" s="886"/>
      <c r="AA6" s="866"/>
      <c r="AB6" s="867"/>
      <c r="AC6" s="874"/>
      <c r="AD6" s="889"/>
      <c r="AE6" s="890"/>
      <c r="AF6" s="891"/>
      <c r="AG6" s="892"/>
      <c r="AH6" s="878"/>
      <c r="AI6" s="878"/>
      <c r="AJ6" s="878"/>
      <c r="AK6" s="878"/>
      <c r="AL6" s="878"/>
      <c r="AM6" s="878"/>
      <c r="AN6" s="864"/>
      <c r="AO6" s="864"/>
      <c r="AP6" s="864"/>
      <c r="AQ6" s="864"/>
      <c r="AR6" s="864"/>
      <c r="AS6" s="864"/>
      <c r="AT6" s="864"/>
      <c r="AU6" s="864"/>
      <c r="AV6" s="864"/>
      <c r="AW6" s="864"/>
      <c r="AX6" s="864"/>
      <c r="AY6" s="864"/>
    </row>
    <row r="7" spans="1:51" s="56" customFormat="1">
      <c r="A7" s="48"/>
      <c r="B7" s="48"/>
      <c r="D7" s="80"/>
      <c r="E7" s="90"/>
      <c r="F7" s="10" t="s">
        <v>288</v>
      </c>
      <c r="G7" s="765">
        <v>19235</v>
      </c>
      <c r="H7" s="12"/>
      <c r="I7" s="82"/>
      <c r="K7" s="91"/>
      <c r="S7" s="864"/>
      <c r="T7" s="864"/>
      <c r="U7" s="864"/>
      <c r="V7" s="893"/>
      <c r="W7" s="886"/>
      <c r="X7" s="886"/>
      <c r="Y7" s="886"/>
      <c r="Z7" s="886"/>
      <c r="AA7" s="866"/>
      <c r="AB7" s="867"/>
      <c r="AC7" s="874"/>
      <c r="AD7" s="889"/>
      <c r="AE7" s="890"/>
      <c r="AF7" s="891"/>
      <c r="AG7" s="892"/>
      <c r="AH7" s="878"/>
      <c r="AI7" s="878"/>
      <c r="AJ7" s="878"/>
      <c r="AK7" s="878"/>
      <c r="AL7" s="878"/>
      <c r="AM7" s="878"/>
      <c r="AN7" s="864"/>
      <c r="AO7" s="864"/>
      <c r="AP7" s="864"/>
      <c r="AQ7" s="864"/>
      <c r="AR7" s="864"/>
      <c r="AS7" s="864"/>
      <c r="AT7" s="864"/>
      <c r="AU7" s="864"/>
      <c r="AV7" s="864"/>
      <c r="AW7" s="864"/>
      <c r="AX7" s="864"/>
      <c r="AY7" s="864"/>
    </row>
    <row r="8" spans="1:51" s="56" customFormat="1">
      <c r="A8" s="48"/>
      <c r="B8" s="48"/>
      <c r="D8" s="80"/>
      <c r="E8" s="90"/>
      <c r="F8" s="10" t="s">
        <v>290</v>
      </c>
      <c r="G8" s="765">
        <v>192</v>
      </c>
      <c r="H8" s="12"/>
      <c r="I8" s="82"/>
      <c r="K8" s="91"/>
      <c r="S8" s="864"/>
      <c r="T8" s="864"/>
      <c r="U8" s="864"/>
      <c r="V8" s="893"/>
      <c r="W8" s="886"/>
      <c r="X8" s="886"/>
      <c r="Y8" s="886"/>
      <c r="Z8" s="886"/>
      <c r="AA8" s="866"/>
      <c r="AB8" s="867"/>
      <c r="AC8" s="874"/>
      <c r="AD8" s="889"/>
      <c r="AE8" s="890"/>
      <c r="AF8" s="891"/>
      <c r="AG8" s="892"/>
      <c r="AH8" s="878"/>
      <c r="AI8" s="878"/>
      <c r="AJ8" s="878"/>
      <c r="AK8" s="878"/>
      <c r="AL8" s="878"/>
      <c r="AM8" s="878"/>
      <c r="AN8" s="864"/>
      <c r="AO8" s="864"/>
      <c r="AP8" s="864"/>
      <c r="AQ8" s="864"/>
      <c r="AR8" s="864"/>
      <c r="AS8" s="864"/>
      <c r="AT8" s="864"/>
      <c r="AU8" s="864"/>
      <c r="AV8" s="864"/>
      <c r="AW8" s="864"/>
      <c r="AX8" s="864"/>
      <c r="AY8" s="864"/>
    </row>
    <row r="9" spans="1:51" s="56" customFormat="1">
      <c r="A9" s="48"/>
      <c r="B9" s="48"/>
      <c r="D9" s="80"/>
      <c r="E9" s="90"/>
      <c r="F9" s="399" t="s">
        <v>292</v>
      </c>
      <c r="G9" s="765">
        <v>0</v>
      </c>
      <c r="H9" s="12"/>
      <c r="I9" s="82"/>
      <c r="K9" s="91"/>
      <c r="S9" s="864"/>
      <c r="T9" s="864"/>
      <c r="U9" s="864"/>
      <c r="V9" s="893"/>
      <c r="W9" s="886"/>
      <c r="X9" s="886"/>
      <c r="Y9" s="886"/>
      <c r="Z9" s="886"/>
      <c r="AA9" s="866"/>
      <c r="AB9" s="867"/>
      <c r="AC9" s="874"/>
      <c r="AD9" s="889"/>
      <c r="AE9" s="890"/>
      <c r="AF9" s="891"/>
      <c r="AG9" s="892"/>
      <c r="AH9" s="878"/>
      <c r="AI9" s="878"/>
      <c r="AJ9" s="878"/>
      <c r="AK9" s="878"/>
      <c r="AL9" s="878"/>
      <c r="AM9" s="878"/>
      <c r="AN9" s="864"/>
      <c r="AO9" s="864"/>
      <c r="AP9" s="864"/>
      <c r="AQ9" s="864"/>
      <c r="AR9" s="864"/>
      <c r="AS9" s="864"/>
      <c r="AT9" s="864"/>
      <c r="AU9" s="864"/>
      <c r="AV9" s="864"/>
      <c r="AW9" s="864"/>
      <c r="AX9" s="864"/>
      <c r="AY9" s="864"/>
    </row>
    <row r="10" spans="1:51" s="56" customFormat="1">
      <c r="A10" s="48"/>
      <c r="B10" s="48"/>
      <c r="D10" s="80"/>
      <c r="E10" s="90"/>
      <c r="F10" s="399" t="s">
        <v>159</v>
      </c>
      <c r="G10" s="765">
        <v>4700</v>
      </c>
      <c r="H10" s="12"/>
      <c r="I10" s="82"/>
      <c r="K10" s="91"/>
      <c r="S10" s="864"/>
      <c r="T10" s="864"/>
      <c r="U10" s="864"/>
      <c r="V10" s="893"/>
      <c r="W10" s="886"/>
      <c r="X10" s="886"/>
      <c r="Y10" s="886"/>
      <c r="Z10" s="886"/>
      <c r="AA10" s="866"/>
      <c r="AB10" s="867"/>
      <c r="AC10" s="874"/>
      <c r="AD10" s="889"/>
      <c r="AE10" s="890"/>
      <c r="AF10" s="891"/>
      <c r="AG10" s="892"/>
      <c r="AH10" s="878"/>
      <c r="AI10" s="878"/>
      <c r="AJ10" s="878"/>
      <c r="AK10" s="878"/>
      <c r="AL10" s="878"/>
      <c r="AM10" s="878"/>
      <c r="AN10" s="864"/>
      <c r="AO10" s="864"/>
      <c r="AP10" s="864"/>
      <c r="AQ10" s="864"/>
      <c r="AR10" s="864"/>
      <c r="AS10" s="864"/>
      <c r="AT10" s="864"/>
      <c r="AU10" s="864"/>
      <c r="AV10" s="864"/>
      <c r="AW10" s="864"/>
      <c r="AX10" s="864"/>
      <c r="AY10" s="864"/>
    </row>
    <row r="11" spans="1:51" s="56" customFormat="1" ht="12" customHeight="1">
      <c r="A11" s="48"/>
      <c r="B11" s="48"/>
      <c r="D11" s="762"/>
      <c r="E11" s="763"/>
      <c r="F11" s="764"/>
      <c r="G11" s="763"/>
      <c r="H11" s="12"/>
      <c r="I11" s="41"/>
      <c r="K11" s="91"/>
      <c r="S11" s="864"/>
      <c r="T11" s="864"/>
      <c r="U11" s="864"/>
      <c r="V11" s="893"/>
      <c r="W11" s="886"/>
      <c r="X11" s="886"/>
      <c r="Y11" s="886"/>
      <c r="Z11" s="886"/>
      <c r="AA11" s="866"/>
      <c r="AB11" s="867"/>
      <c r="AC11" s="874"/>
      <c r="AD11" s="889"/>
      <c r="AE11" s="890"/>
      <c r="AF11" s="891"/>
      <c r="AG11" s="892"/>
      <c r="AH11" s="878"/>
      <c r="AI11" s="878"/>
      <c r="AJ11" s="878"/>
      <c r="AK11" s="878"/>
      <c r="AL11" s="878"/>
      <c r="AM11" s="878"/>
      <c r="AN11" s="864"/>
      <c r="AO11" s="864"/>
      <c r="AP11" s="864"/>
      <c r="AQ11" s="864"/>
      <c r="AR11" s="864"/>
      <c r="AS11" s="864"/>
      <c r="AT11" s="864"/>
      <c r="AU11" s="864"/>
      <c r="AV11" s="864"/>
      <c r="AW11" s="864"/>
      <c r="AX11" s="864"/>
      <c r="AY11" s="864"/>
    </row>
    <row r="12" spans="1:51" s="56" customFormat="1">
      <c r="A12" s="48"/>
      <c r="B12" s="48"/>
      <c r="D12" s="93"/>
      <c r="E12" s="94"/>
      <c r="F12" s="94" t="s">
        <v>300</v>
      </c>
      <c r="G12" s="94"/>
      <c r="H12" s="94"/>
      <c r="I12" s="95"/>
      <c r="K12" s="91"/>
      <c r="S12" s="864"/>
      <c r="T12" s="864"/>
      <c r="U12" s="864"/>
      <c r="V12" s="893"/>
      <c r="W12" s="886"/>
      <c r="X12" s="886"/>
      <c r="Y12" s="886"/>
      <c r="Z12" s="886"/>
      <c r="AA12" s="866"/>
      <c r="AB12" s="867"/>
      <c r="AC12" s="874"/>
      <c r="AD12" s="889"/>
      <c r="AE12" s="890"/>
      <c r="AF12" s="891"/>
      <c r="AG12" s="892"/>
      <c r="AH12" s="878"/>
      <c r="AI12" s="878"/>
      <c r="AJ12" s="878"/>
      <c r="AK12" s="878"/>
      <c r="AL12" s="878"/>
      <c r="AM12" s="878"/>
      <c r="AN12" s="864"/>
      <c r="AO12" s="864"/>
      <c r="AP12" s="864"/>
      <c r="AQ12" s="864"/>
      <c r="AR12" s="864"/>
      <c r="AS12" s="864"/>
      <c r="AT12" s="864"/>
      <c r="AU12" s="864"/>
      <c r="AV12" s="864"/>
      <c r="AW12" s="864"/>
      <c r="AX12" s="864"/>
      <c r="AY12" s="864"/>
    </row>
    <row r="13" spans="1:51" s="56" customFormat="1">
      <c r="A13" s="48"/>
      <c r="B13" s="48"/>
      <c r="D13" s="97"/>
      <c r="E13" s="98"/>
      <c r="F13" s="98" t="s">
        <v>221</v>
      </c>
      <c r="G13" s="99">
        <f>X31</f>
        <v>0</v>
      </c>
      <c r="H13" s="12"/>
      <c r="I13" s="41"/>
      <c r="K13" s="91"/>
      <c r="S13" s="864"/>
      <c r="T13" s="864"/>
      <c r="U13" s="864"/>
      <c r="V13" s="893"/>
      <c r="W13" s="886"/>
      <c r="X13" s="886"/>
      <c r="Y13" s="886"/>
      <c r="Z13" s="886"/>
      <c r="AA13" s="866"/>
      <c r="AB13" s="867"/>
      <c r="AC13" s="874"/>
      <c r="AD13" s="889"/>
      <c r="AE13" s="890"/>
      <c r="AF13" s="891"/>
      <c r="AG13" s="892"/>
      <c r="AH13" s="878"/>
      <c r="AI13" s="878"/>
      <c r="AJ13" s="878"/>
      <c r="AK13" s="878"/>
      <c r="AL13" s="878"/>
      <c r="AM13" s="878"/>
      <c r="AN13" s="864"/>
      <c r="AO13" s="864"/>
      <c r="AP13" s="864"/>
      <c r="AQ13" s="864"/>
      <c r="AR13" s="864"/>
      <c r="AS13" s="864"/>
      <c r="AT13" s="864"/>
      <c r="AU13" s="864"/>
      <c r="AV13" s="864"/>
      <c r="AW13" s="864"/>
      <c r="AX13" s="864"/>
      <c r="AY13" s="864"/>
    </row>
    <row r="14" spans="1:51" s="56" customFormat="1">
      <c r="A14" s="48"/>
      <c r="B14" s="48"/>
      <c r="D14" s="102"/>
      <c r="E14" s="10"/>
      <c r="F14" s="10" t="s">
        <v>226</v>
      </c>
      <c r="G14" s="103">
        <f>W25</f>
        <v>333.88319999999999</v>
      </c>
      <c r="H14" s="12"/>
      <c r="I14" s="41"/>
      <c r="S14" s="864"/>
      <c r="T14" s="864"/>
      <c r="U14" s="864"/>
      <c r="V14" s="893"/>
      <c r="W14" s="886"/>
      <c r="X14" s="886"/>
      <c r="Y14" s="886"/>
      <c r="Z14" s="886"/>
      <c r="AA14" s="866"/>
      <c r="AB14" s="867"/>
      <c r="AC14" s="874"/>
      <c r="AD14" s="889"/>
      <c r="AE14" s="890"/>
      <c r="AF14" s="891"/>
      <c r="AG14" s="892"/>
      <c r="AH14" s="878"/>
      <c r="AI14" s="878"/>
      <c r="AJ14" s="878"/>
      <c r="AK14" s="878"/>
      <c r="AL14" s="878"/>
      <c r="AM14" s="878"/>
      <c r="AN14" s="864"/>
      <c r="AO14" s="864"/>
      <c r="AP14" s="864"/>
      <c r="AQ14" s="864"/>
      <c r="AR14" s="864"/>
      <c r="AS14" s="864"/>
      <c r="AT14" s="864"/>
      <c r="AU14" s="864"/>
      <c r="AV14" s="864"/>
      <c r="AW14" s="864"/>
      <c r="AX14" s="864"/>
      <c r="AY14" s="864"/>
    </row>
    <row r="15" spans="1:51" s="56" customFormat="1" ht="15.75" thickBot="1">
      <c r="A15" s="48"/>
      <c r="B15" s="48"/>
      <c r="D15" s="106"/>
      <c r="E15" s="107"/>
      <c r="F15" s="107" t="s">
        <v>38</v>
      </c>
      <c r="G15" s="108">
        <f>Z31</f>
        <v>101.50560000000002</v>
      </c>
      <c r="H15" s="12"/>
      <c r="I15" s="41"/>
      <c r="S15" s="864"/>
      <c r="T15" s="864"/>
      <c r="U15" s="864"/>
      <c r="V15" s="895"/>
      <c r="W15" s="891"/>
      <c r="X15" s="891"/>
      <c r="Y15" s="891"/>
      <c r="Z15" s="892"/>
      <c r="AA15" s="866"/>
      <c r="AB15" s="867"/>
      <c r="AC15" s="874"/>
      <c r="AD15" s="889"/>
      <c r="AE15" s="890"/>
      <c r="AF15" s="891"/>
      <c r="AG15" s="892"/>
      <c r="AH15" s="878"/>
      <c r="AI15" s="878"/>
      <c r="AJ15" s="878"/>
      <c r="AK15" s="878"/>
      <c r="AL15" s="878"/>
      <c r="AM15" s="878"/>
      <c r="AN15" s="864"/>
      <c r="AO15" s="864"/>
      <c r="AP15" s="864"/>
      <c r="AQ15" s="975"/>
      <c r="AR15" s="864"/>
      <c r="AS15" s="864"/>
      <c r="AT15" s="864"/>
      <c r="AU15" s="864"/>
      <c r="AV15" s="864"/>
      <c r="AW15" s="864"/>
      <c r="AX15" s="864"/>
      <c r="AY15" s="864"/>
    </row>
    <row r="16" spans="1:51" s="56" customFormat="1" ht="15.75" thickBot="1">
      <c r="A16" s="48"/>
      <c r="B16" s="48"/>
      <c r="D16" s="102"/>
      <c r="E16" s="10"/>
      <c r="F16" s="10" t="s">
        <v>39</v>
      </c>
      <c r="G16" s="103">
        <f>W31</f>
        <v>756.71680000000003</v>
      </c>
      <c r="H16" s="12"/>
      <c r="I16" s="41"/>
      <c r="S16" s="864"/>
      <c r="T16" s="864"/>
      <c r="U16" s="864"/>
      <c r="V16" s="895"/>
      <c r="W16" s="891"/>
      <c r="X16" s="891"/>
      <c r="Y16" s="891"/>
      <c r="Z16" s="892"/>
      <c r="AA16" s="866"/>
      <c r="AB16" s="867"/>
      <c r="AC16" s="874"/>
      <c r="AD16" s="889"/>
      <c r="AE16" s="890"/>
      <c r="AF16" s="891"/>
      <c r="AG16" s="892"/>
      <c r="AH16" s="878"/>
      <c r="AI16" s="878"/>
      <c r="AJ16" s="878"/>
      <c r="AK16" s="878"/>
      <c r="AL16" s="878"/>
      <c r="AM16" s="878"/>
      <c r="AN16" s="864"/>
      <c r="AO16" s="864"/>
      <c r="AP16" s="864"/>
      <c r="AQ16" s="975"/>
      <c r="AR16" s="864"/>
      <c r="AS16" s="976"/>
      <c r="AT16" s="977" t="s">
        <v>301</v>
      </c>
      <c r="AU16" s="978"/>
      <c r="AV16" s="978"/>
      <c r="AW16" s="978"/>
      <c r="AX16" s="979"/>
      <c r="AY16" s="864"/>
    </row>
    <row r="17" spans="1:51" s="56" customFormat="1" ht="15.75" thickBot="1">
      <c r="A17" s="48"/>
      <c r="B17" s="48"/>
      <c r="D17" s="80"/>
      <c r="E17" s="90"/>
      <c r="F17" s="10" t="s">
        <v>302</v>
      </c>
      <c r="G17" s="111">
        <f>SUM(G13:G16)</f>
        <v>1192.1056000000001</v>
      </c>
      <c r="H17" s="12"/>
      <c r="I17" s="41"/>
      <c r="S17" s="864"/>
      <c r="T17" s="864"/>
      <c r="U17" s="864"/>
      <c r="V17" s="895"/>
      <c r="W17" s="896"/>
      <c r="X17" s="891"/>
      <c r="Y17" s="891"/>
      <c r="Z17" s="892"/>
      <c r="AA17" s="866"/>
      <c r="AB17" s="867"/>
      <c r="AC17" s="874"/>
      <c r="AD17" s="889"/>
      <c r="AE17" s="890"/>
      <c r="AF17" s="891"/>
      <c r="AG17" s="892"/>
      <c r="AH17" s="878"/>
      <c r="AI17" s="878"/>
      <c r="AJ17" s="878"/>
      <c r="AK17" s="878"/>
      <c r="AL17" s="878"/>
      <c r="AM17" s="878"/>
      <c r="AN17" s="864"/>
      <c r="AO17" s="864"/>
      <c r="AP17" s="864"/>
      <c r="AQ17" s="975"/>
      <c r="AR17" s="864"/>
      <c r="AS17" s="980"/>
      <c r="AT17" s="981"/>
      <c r="AU17" s="982"/>
      <c r="AV17" s="982"/>
      <c r="AW17" s="982"/>
      <c r="AX17" s="983"/>
      <c r="AY17" s="864"/>
    </row>
    <row r="18" spans="1:51" s="56" customFormat="1">
      <c r="A18" s="48"/>
      <c r="B18" s="48"/>
      <c r="D18" s="80"/>
      <c r="E18" s="90"/>
      <c r="F18" s="10"/>
      <c r="G18" s="114"/>
      <c r="H18" s="12"/>
      <c r="I18" s="41"/>
      <c r="S18" s="864"/>
      <c r="T18" s="864"/>
      <c r="U18" s="864"/>
      <c r="V18" s="895"/>
      <c r="W18" s="896"/>
      <c r="X18" s="891"/>
      <c r="Y18" s="891"/>
      <c r="Z18" s="892"/>
      <c r="AA18" s="866"/>
      <c r="AB18" s="867"/>
      <c r="AC18" s="874"/>
      <c r="AD18" s="889"/>
      <c r="AE18" s="890"/>
      <c r="AF18" s="891"/>
      <c r="AG18" s="892"/>
      <c r="AH18" s="878"/>
      <c r="AI18" s="878"/>
      <c r="AJ18" s="878"/>
      <c r="AK18" s="878"/>
      <c r="AL18" s="878"/>
      <c r="AM18" s="878"/>
      <c r="AN18" s="864"/>
      <c r="AO18" s="864"/>
      <c r="AP18" s="864"/>
      <c r="AQ18" s="975"/>
      <c r="AR18" s="864"/>
      <c r="AS18" s="984"/>
      <c r="AT18" s="985"/>
      <c r="AU18" s="986"/>
      <c r="AV18" s="986"/>
      <c r="AW18" s="986"/>
      <c r="AX18" s="987"/>
      <c r="AY18" s="864"/>
    </row>
    <row r="19" spans="1:51" s="56" customFormat="1">
      <c r="A19" s="48"/>
      <c r="B19" s="48"/>
      <c r="D19" s="116"/>
      <c r="E19" s="117"/>
      <c r="F19" s="118" t="s">
        <v>307</v>
      </c>
      <c r="G19" s="117"/>
      <c r="H19" s="117"/>
      <c r="I19" s="119"/>
      <c r="S19" s="864"/>
      <c r="T19" s="864"/>
      <c r="U19" s="864"/>
      <c r="V19" s="895"/>
      <c r="W19" s="896"/>
      <c r="X19" s="891"/>
      <c r="Y19" s="891"/>
      <c r="Z19" s="892"/>
      <c r="AA19" s="866"/>
      <c r="AB19" s="867"/>
      <c r="AC19" s="874"/>
      <c r="AD19" s="889"/>
      <c r="AE19" s="890"/>
      <c r="AF19" s="891"/>
      <c r="AG19" s="892"/>
      <c r="AH19" s="878"/>
      <c r="AI19" s="878"/>
      <c r="AJ19" s="878"/>
      <c r="AK19" s="878"/>
      <c r="AL19" s="878"/>
      <c r="AM19" s="878"/>
      <c r="AN19" s="864"/>
      <c r="AO19" s="864"/>
      <c r="AP19" s="864"/>
      <c r="AQ19" s="988"/>
      <c r="AR19" s="864"/>
      <c r="AS19" s="989"/>
      <c r="AT19" s="990" t="str">
        <f>F19</f>
        <v>Idaho Total</v>
      </c>
      <c r="AU19" s="991"/>
      <c r="AV19" s="991"/>
      <c r="AW19" s="991"/>
      <c r="AX19" s="992"/>
      <c r="AY19" s="864"/>
    </row>
    <row r="20" spans="1:51" s="56" customFormat="1" ht="15.75" thickBot="1">
      <c r="A20" s="48"/>
      <c r="B20" s="48"/>
      <c r="D20" s="80"/>
      <c r="E20" s="90"/>
      <c r="F20" s="83"/>
      <c r="G20" s="122" t="s">
        <v>310</v>
      </c>
      <c r="H20" s="122" t="str">
        <f>IF(H21="","","Additional Bldg(s)")</f>
        <v>Additional Bldg(s)</v>
      </c>
      <c r="I20" s="123"/>
      <c r="S20" s="864"/>
      <c r="T20" s="864"/>
      <c r="U20" s="864"/>
      <c r="V20" s="897"/>
      <c r="W20" s="898"/>
      <c r="X20" s="899"/>
      <c r="Y20" s="899"/>
      <c r="Z20" s="900"/>
      <c r="AA20" s="866"/>
      <c r="AB20" s="867"/>
      <c r="AC20" s="874"/>
      <c r="AD20" s="901"/>
      <c r="AE20" s="902"/>
      <c r="AF20" s="902"/>
      <c r="AG20" s="903"/>
      <c r="AH20" s="878"/>
      <c r="AI20" s="878"/>
      <c r="AJ20" s="878"/>
      <c r="AK20" s="878"/>
      <c r="AL20" s="878"/>
      <c r="AM20" s="878"/>
      <c r="AN20" s="864"/>
      <c r="AO20" s="864"/>
      <c r="AP20" s="864"/>
      <c r="AQ20" s="993"/>
      <c r="AR20" s="864"/>
      <c r="AS20" s="994" t="s">
        <v>303</v>
      </c>
      <c r="AT20" s="995" t="s">
        <v>304</v>
      </c>
      <c r="AU20" s="995"/>
      <c r="AV20" s="995"/>
      <c r="AW20" s="995"/>
      <c r="AX20" s="996"/>
      <c r="AY20" s="864"/>
    </row>
    <row r="21" spans="1:51" s="56" customFormat="1" ht="15.75" thickBot="1">
      <c r="A21" s="96"/>
      <c r="B21" s="96"/>
      <c r="D21" s="106"/>
      <c r="E21" s="107"/>
      <c r="F21" s="107" t="s">
        <v>192</v>
      </c>
      <c r="G21" s="108">
        <f>+SUM(Z43:Z50)</f>
        <v>257</v>
      </c>
      <c r="H21" s="92">
        <f>IF($G$5&lt;=1,"",G21)</f>
        <v>257</v>
      </c>
      <c r="I21" s="123"/>
      <c r="S21" s="864"/>
      <c r="T21" s="864"/>
      <c r="U21" s="864"/>
      <c r="V21" s="878"/>
      <c r="W21" s="878"/>
      <c r="X21" s="878"/>
      <c r="Y21" s="878"/>
      <c r="Z21" s="904"/>
      <c r="AA21" s="878"/>
      <c r="AB21" s="868"/>
      <c r="AC21" s="878"/>
      <c r="AD21" s="878"/>
      <c r="AE21" s="878"/>
      <c r="AF21" s="878"/>
      <c r="AG21" s="878"/>
      <c r="AH21" s="878"/>
      <c r="AI21" s="878"/>
      <c r="AJ21" s="878"/>
      <c r="AK21" s="878"/>
      <c r="AL21" s="878"/>
      <c r="AM21" s="878"/>
      <c r="AN21" s="864"/>
      <c r="AO21" s="864"/>
      <c r="AP21" s="864"/>
      <c r="AQ21" s="993"/>
      <c r="AR21" s="864"/>
      <c r="AS21" s="994" t="s">
        <v>305</v>
      </c>
      <c r="AT21" s="995" t="s">
        <v>306</v>
      </c>
      <c r="AU21" s="995"/>
      <c r="AV21" s="995"/>
      <c r="AW21" s="995"/>
      <c r="AX21" s="996"/>
      <c r="AY21" s="864"/>
    </row>
    <row r="22" spans="1:51" s="56" customFormat="1" ht="15.75" thickBot="1">
      <c r="A22" s="101"/>
      <c r="B22" s="101"/>
      <c r="D22" s="102"/>
      <c r="E22" s="10"/>
      <c r="F22" s="10" t="s">
        <v>312</v>
      </c>
      <c r="G22" s="108">
        <f>+SUM(Z55:Z62)</f>
        <v>208.80999999999997</v>
      </c>
      <c r="H22" s="126" t="s">
        <v>313</v>
      </c>
      <c r="I22" s="123"/>
      <c r="S22" s="864"/>
      <c r="T22" s="864"/>
      <c r="U22" s="864"/>
      <c r="V22" s="878"/>
      <c r="W22" s="905" t="str">
        <f>AD22</f>
        <v>from Washington Tri-State Labor</v>
      </c>
      <c r="X22" s="906"/>
      <c r="Y22" s="906"/>
      <c r="Z22" s="907"/>
      <c r="AA22" s="908"/>
      <c r="AB22" s="909"/>
      <c r="AC22" s="910"/>
      <c r="AD22" s="911" t="s">
        <v>308</v>
      </c>
      <c r="AE22" s="912"/>
      <c r="AF22" s="912"/>
      <c r="AG22" s="913"/>
      <c r="AH22" s="878"/>
      <c r="AI22" s="878"/>
      <c r="AJ22" s="878"/>
      <c r="AK22" s="878"/>
      <c r="AL22" s="878"/>
      <c r="AM22" s="878"/>
      <c r="AN22" s="864"/>
      <c r="AO22" s="864"/>
      <c r="AP22" s="864"/>
      <c r="AQ22" s="864"/>
      <c r="AR22" s="997"/>
      <c r="AS22" s="998"/>
      <c r="AT22" s="995" t="s">
        <v>309</v>
      </c>
      <c r="AU22" s="995"/>
      <c r="AV22" s="995"/>
      <c r="AW22" s="995"/>
      <c r="AX22" s="996"/>
      <c r="AY22" s="864"/>
    </row>
    <row r="23" spans="1:51" s="56" customFormat="1">
      <c r="A23" s="105"/>
      <c r="B23" s="105"/>
      <c r="D23" s="106"/>
      <c r="E23" s="107"/>
      <c r="F23" s="107" t="s">
        <v>314</v>
      </c>
      <c r="G23" s="108">
        <f>+((G9*150)+G8*'Idaho Only'!AC35+'Tri-State'!G10)*0.025</f>
        <v>125.42000000000002</v>
      </c>
      <c r="H23" s="92">
        <f>IF($G$5&lt;=1,"",G23)</f>
        <v>125.42000000000002</v>
      </c>
      <c r="I23" s="123"/>
      <c r="S23" s="864"/>
      <c r="T23" s="864"/>
      <c r="U23" s="864"/>
      <c r="V23" s="878"/>
      <c r="W23" s="914"/>
      <c r="X23" s="906"/>
      <c r="Y23" s="906"/>
      <c r="Z23" s="907"/>
      <c r="AA23" s="915"/>
      <c r="AB23" s="916"/>
      <c r="AC23" s="910"/>
      <c r="AD23" s="914">
        <f>'Washington Only'!AH27</f>
        <v>0</v>
      </c>
      <c r="AE23" s="917">
        <f>'Washington Only'!AI27</f>
        <v>0</v>
      </c>
      <c r="AF23" s="906">
        <f>'Washington Only'!AJ27</f>
        <v>0</v>
      </c>
      <c r="AG23" s="907">
        <f>'Washington Only'!AK27</f>
        <v>0</v>
      </c>
      <c r="AH23" s="878"/>
      <c r="AI23" s="878"/>
      <c r="AJ23" s="878"/>
      <c r="AK23" s="878"/>
      <c r="AL23" s="878"/>
      <c r="AM23" s="878"/>
      <c r="AN23" s="864"/>
      <c r="AO23" s="864"/>
      <c r="AP23" s="864"/>
      <c r="AQ23" s="864"/>
      <c r="AR23" s="999"/>
      <c r="AS23" s="998"/>
      <c r="AT23" s="995" t="s">
        <v>311</v>
      </c>
      <c r="AU23" s="995"/>
      <c r="AV23" s="995"/>
      <c r="AW23" s="995"/>
      <c r="AX23" s="996"/>
      <c r="AY23" s="864"/>
    </row>
    <row r="24" spans="1:51" s="56" customFormat="1">
      <c r="A24" s="109"/>
      <c r="B24" s="109"/>
      <c r="D24" s="135"/>
      <c r="E24" s="136"/>
      <c r="F24" s="136" t="s">
        <v>315</v>
      </c>
      <c r="G24" s="108">
        <v>90</v>
      </c>
      <c r="H24" s="92">
        <f>IF($G$5&lt;=1,"",G24)</f>
        <v>90</v>
      </c>
      <c r="I24" s="123"/>
      <c r="S24" s="864"/>
      <c r="T24" s="864"/>
      <c r="U24" s="864"/>
      <c r="V24" s="878"/>
      <c r="W24" s="918" t="s">
        <v>56</v>
      </c>
      <c r="X24" s="919"/>
      <c r="Y24" s="919"/>
      <c r="Z24" s="1227"/>
      <c r="AA24" s="920"/>
      <c r="AB24" s="921"/>
      <c r="AC24" s="910"/>
      <c r="AD24" s="918">
        <f>'Washington Only'!AH28</f>
        <v>0</v>
      </c>
      <c r="AE24" s="922" t="str">
        <f>'Washington Only'!AI28</f>
        <v>Labor</v>
      </c>
      <c r="AF24" s="919" t="str">
        <f>'Washington Only'!AJ28</f>
        <v>Minimum Hours</v>
      </c>
      <c r="AG24" s="1227">
        <f>'Washington Only'!AK28</f>
        <v>0</v>
      </c>
      <c r="AH24" s="878"/>
      <c r="AI24" s="878"/>
      <c r="AJ24" s="878"/>
      <c r="AK24" s="878"/>
      <c r="AL24" s="878"/>
      <c r="AM24" s="878"/>
      <c r="AN24" s="864"/>
      <c r="AO24" s="864"/>
      <c r="AP24" s="864"/>
      <c r="AQ24" s="993"/>
      <c r="AR24" s="864"/>
      <c r="AS24" s="1000"/>
      <c r="AT24" s="995"/>
      <c r="AU24" s="995"/>
      <c r="AV24" s="995"/>
      <c r="AW24" s="995"/>
      <c r="AX24" s="996"/>
      <c r="AY24" s="864"/>
    </row>
    <row r="25" spans="1:51" s="56" customFormat="1" ht="15.75" thickBot="1">
      <c r="A25" s="110"/>
      <c r="B25" s="110"/>
      <c r="D25" s="80"/>
      <c r="E25" s="90"/>
      <c r="F25" s="90"/>
      <c r="G25" s="862"/>
      <c r="H25" s="90"/>
      <c r="I25" s="123"/>
      <c r="S25" s="864"/>
      <c r="T25" s="864"/>
      <c r="U25" s="864"/>
      <c r="V25" s="878"/>
      <c r="W25" s="923">
        <f>AE25*AF25</f>
        <v>333.88319999999999</v>
      </c>
      <c r="X25" s="924"/>
      <c r="Y25" s="925"/>
      <c r="Z25" s="926"/>
      <c r="AA25" s="920"/>
      <c r="AB25" s="921"/>
      <c r="AC25" s="910"/>
      <c r="AD25" s="923">
        <f>'Washington Only'!AH29</f>
        <v>0</v>
      </c>
      <c r="AE25" s="925">
        <f>'Washington Only'!AI29</f>
        <v>111.2944</v>
      </c>
      <c r="AF25" s="927">
        <f>'Washington Only'!AJ29</f>
        <v>3</v>
      </c>
      <c r="AG25" s="926">
        <f>'Washington Only'!AK29</f>
        <v>0</v>
      </c>
      <c r="AH25" s="878"/>
      <c r="AI25" s="878"/>
      <c r="AJ25" s="878"/>
      <c r="AK25" s="878"/>
      <c r="AL25" s="878"/>
      <c r="AM25" s="878"/>
      <c r="AN25" s="864"/>
      <c r="AO25" s="864"/>
      <c r="AP25" s="864"/>
      <c r="AQ25" s="993"/>
      <c r="AR25" s="864"/>
      <c r="AS25" s="1000"/>
      <c r="AT25" s="995"/>
      <c r="AU25" s="995"/>
      <c r="AV25" s="995"/>
      <c r="AW25" s="995"/>
      <c r="AX25" s="996"/>
      <c r="AY25" s="864"/>
    </row>
    <row r="26" spans="1:51" s="56" customFormat="1" ht="15.75" thickBot="1">
      <c r="A26" s="113"/>
      <c r="B26" s="113"/>
      <c r="D26" s="80"/>
      <c r="E26" s="90"/>
      <c r="F26" s="10" t="s">
        <v>307</v>
      </c>
      <c r="G26" s="863">
        <f>IF(G5&gt;1,W5+(G5-1)*X5,W5)</f>
        <v>1153.6500000000001</v>
      </c>
      <c r="H26" s="92"/>
      <c r="I26" s="123"/>
      <c r="S26" s="864"/>
      <c r="T26" s="864"/>
      <c r="U26" s="864"/>
      <c r="V26" s="878"/>
      <c r="W26" s="928"/>
      <c r="X26" s="929"/>
      <c r="Y26" s="930"/>
      <c r="Z26" s="931"/>
      <c r="AA26" s="920"/>
      <c r="AB26" s="921"/>
      <c r="AC26" s="910"/>
      <c r="AD26" s="932">
        <f>'Washington Only'!AH30</f>
        <v>0</v>
      </c>
      <c r="AE26" s="933">
        <f>'Washington Only'!AI30</f>
        <v>0</v>
      </c>
      <c r="AF26" s="933">
        <f>'Washington Only'!AJ30</f>
        <v>0</v>
      </c>
      <c r="AG26" s="934">
        <f>'Washington Only'!AK30</f>
        <v>0</v>
      </c>
      <c r="AH26" s="878"/>
      <c r="AI26" s="878"/>
      <c r="AJ26" s="935"/>
      <c r="AK26" s="878"/>
      <c r="AL26" s="878"/>
      <c r="AM26" s="878"/>
      <c r="AN26" s="864"/>
      <c r="AO26" s="864"/>
      <c r="AP26" s="864"/>
      <c r="AQ26" s="1228"/>
      <c r="AR26" s="864"/>
      <c r="AS26" s="1000"/>
      <c r="AT26" s="995"/>
      <c r="AU26" s="995"/>
      <c r="AV26" s="995"/>
      <c r="AW26" s="995"/>
      <c r="AX26" s="996"/>
      <c r="AY26" s="864"/>
    </row>
    <row r="27" spans="1:51" s="56" customFormat="1" ht="15.75" thickBot="1">
      <c r="A27" s="115"/>
      <c r="B27" s="115"/>
      <c r="D27" s="80"/>
      <c r="E27" s="90"/>
      <c r="F27" s="22"/>
      <c r="G27" s="10"/>
      <c r="H27" s="12"/>
      <c r="I27" s="41"/>
      <c r="S27" s="864"/>
      <c r="T27" s="864"/>
      <c r="U27" s="864"/>
      <c r="V27" s="878"/>
      <c r="W27" s="878"/>
      <c r="X27" s="878"/>
      <c r="Y27" s="878"/>
      <c r="Z27" s="904"/>
      <c r="AA27" s="878"/>
      <c r="AB27" s="868"/>
      <c r="AC27" s="878"/>
      <c r="AD27" s="878"/>
      <c r="AE27" s="878"/>
      <c r="AF27" s="878"/>
      <c r="AG27" s="878"/>
      <c r="AH27" s="878"/>
      <c r="AI27" s="878"/>
      <c r="AJ27" s="878"/>
      <c r="AK27" s="878"/>
      <c r="AL27" s="878"/>
      <c r="AM27" s="878"/>
      <c r="AN27" s="864"/>
      <c r="AO27" s="864"/>
      <c r="AP27" s="864"/>
      <c r="AQ27" s="864"/>
      <c r="AR27" s="864"/>
      <c r="AS27" s="1001"/>
      <c r="AT27" s="1002"/>
      <c r="AU27" s="1002"/>
      <c r="AV27" s="1003"/>
      <c r="AW27" s="1003"/>
      <c r="AX27" s="1004"/>
      <c r="AY27" s="864"/>
    </row>
    <row r="28" spans="1:51" s="56" customFormat="1" ht="15.75" thickBot="1">
      <c r="A28" s="121"/>
      <c r="B28" s="121"/>
      <c r="D28" s="161"/>
      <c r="E28" s="162"/>
      <c r="F28" s="163" t="s">
        <v>317</v>
      </c>
      <c r="G28" s="164"/>
      <c r="H28" s="164"/>
      <c r="I28" s="165"/>
      <c r="S28" s="864"/>
      <c r="T28" s="864"/>
      <c r="U28" s="864"/>
      <c r="V28" s="878"/>
      <c r="W28" s="936"/>
      <c r="X28" s="937"/>
      <c r="Y28" s="937"/>
      <c r="Z28" s="938"/>
      <c r="AA28" s="908"/>
      <c r="AB28" s="909"/>
      <c r="AC28" s="939"/>
      <c r="AD28" s="940" t="s">
        <v>316</v>
      </c>
      <c r="AE28" s="941"/>
      <c r="AF28" s="941"/>
      <c r="AG28" s="941"/>
      <c r="AH28" s="942"/>
      <c r="AI28" s="878"/>
      <c r="AJ28" s="878"/>
      <c r="AK28" s="878"/>
      <c r="AL28" s="878"/>
      <c r="AM28" s="878"/>
      <c r="AN28" s="864"/>
      <c r="AO28" s="864"/>
      <c r="AP28" s="864"/>
      <c r="AQ28" s="864"/>
      <c r="AR28" s="864"/>
      <c r="AS28" s="864"/>
      <c r="AT28" s="864"/>
      <c r="AU28" s="864"/>
      <c r="AV28" s="864"/>
      <c r="AW28" s="864"/>
      <c r="AX28" s="864"/>
      <c r="AY28" s="864"/>
    </row>
    <row r="29" spans="1:51" s="56" customFormat="1" ht="15.75" thickBot="1">
      <c r="A29" s="124"/>
      <c r="B29" s="124"/>
      <c r="D29" s="106"/>
      <c r="E29" s="107"/>
      <c r="F29" s="107" t="s">
        <v>318</v>
      </c>
      <c r="G29" s="108">
        <f>W38</f>
        <v>100</v>
      </c>
      <c r="H29" s="12"/>
      <c r="I29" s="41"/>
      <c r="S29" s="864"/>
      <c r="T29" s="864"/>
      <c r="U29" s="864"/>
      <c r="V29" s="878"/>
      <c r="W29" s="943" t="str">
        <f>'Washington Only'!AA52</f>
        <v xml:space="preserve">First Section </v>
      </c>
      <c r="X29" s="944" t="str">
        <f>'Washington Only'!AB52</f>
        <v>Additional</v>
      </c>
      <c r="Y29" s="944" t="str">
        <f>'Washington Only'!AC52</f>
        <v>Number of</v>
      </c>
      <c r="Z29" s="945" t="str">
        <f>'Washington Only'!AD52</f>
        <v>NLEA</v>
      </c>
      <c r="AA29" s="915"/>
      <c r="AB29" s="916"/>
      <c r="AC29" s="939"/>
      <c r="AD29" s="943" t="str">
        <f>'Washington Only'!AH52</f>
        <v>First</v>
      </c>
      <c r="AE29" s="944" t="str">
        <f>'Washington Only'!AI52</f>
        <v>Each Additional</v>
      </c>
      <c r="AF29" s="937" t="str">
        <f>'Washington Only'!AJ52</f>
        <v>NLEA</v>
      </c>
      <c r="AG29" s="937">
        <f>'Washington Only'!AK52</f>
        <v>0</v>
      </c>
      <c r="AH29" s="938" t="str">
        <f>'Washington Only'!AL52</f>
        <v>Number of</v>
      </c>
      <c r="AI29" s="878"/>
      <c r="AJ29" s="878"/>
      <c r="AK29" s="878"/>
      <c r="AL29" s="878"/>
      <c r="AM29" s="878"/>
      <c r="AN29" s="864"/>
      <c r="AO29" s="864"/>
      <c r="AP29" s="864"/>
      <c r="AQ29" s="864"/>
      <c r="AR29" s="864"/>
      <c r="AS29" s="864"/>
      <c r="AT29" s="864"/>
      <c r="AU29" s="864"/>
      <c r="AV29" s="864"/>
      <c r="AW29" s="864"/>
      <c r="AX29" s="864"/>
      <c r="AY29" s="864"/>
    </row>
    <row r="30" spans="1:51" s="56" customFormat="1">
      <c r="A30" s="125"/>
      <c r="B30" s="125"/>
      <c r="D30" s="102"/>
      <c r="E30" s="10"/>
      <c r="F30" s="10" t="s">
        <v>319</v>
      </c>
      <c r="G30" s="103">
        <f>X38</f>
        <v>35</v>
      </c>
      <c r="H30" s="12"/>
      <c r="I30" s="41"/>
      <c r="S30" s="864"/>
      <c r="T30" s="864"/>
      <c r="U30" s="864"/>
      <c r="V30" s="878"/>
      <c r="W30" s="946">
        <f>'Washington Only'!AA53</f>
        <v>0</v>
      </c>
      <c r="X30" s="947" t="str">
        <f>'Washington Only'!AB53</f>
        <v>Section</v>
      </c>
      <c r="Y30" s="947" t="str">
        <f>'Washington Only'!AC53</f>
        <v>Additional Mods</v>
      </c>
      <c r="Z30" s="948" t="str">
        <f>'Washington Only'!AD53</f>
        <v>Fee</v>
      </c>
      <c r="AA30" s="920"/>
      <c r="AB30" s="921"/>
      <c r="AC30" s="939"/>
      <c r="AD30" s="943" t="str">
        <f>'Washington Only'!AH53</f>
        <v>Section</v>
      </c>
      <c r="AE30" s="947" t="str">
        <f>'Washington Only'!AI53</f>
        <v>Section</v>
      </c>
      <c r="AF30" s="949" t="str">
        <f>'Washington Only'!AJ53</f>
        <v>Notification</v>
      </c>
      <c r="AG30" s="949">
        <f>'Washington Only'!AK53</f>
        <v>0</v>
      </c>
      <c r="AH30" s="950" t="str">
        <f>'Washington Only'!AL53</f>
        <v>Insignias</v>
      </c>
      <c r="AI30" s="878"/>
      <c r="AJ30" s="878"/>
      <c r="AK30" s="878"/>
      <c r="AL30" s="878"/>
      <c r="AM30" s="878"/>
      <c r="AN30" s="864"/>
      <c r="AO30" s="864"/>
      <c r="AP30" s="864"/>
      <c r="AQ30" s="864"/>
      <c r="AR30" s="864"/>
      <c r="AS30" s="864"/>
      <c r="AT30" s="864"/>
      <c r="AU30" s="864"/>
      <c r="AV30" s="864"/>
      <c r="AW30" s="864"/>
      <c r="AX30" s="864"/>
      <c r="AY30" s="864"/>
    </row>
    <row r="31" spans="1:51" s="56" customFormat="1" ht="15.75" thickBot="1">
      <c r="D31" s="173"/>
      <c r="E31" s="174"/>
      <c r="F31" s="174" t="s">
        <v>320</v>
      </c>
      <c r="G31" s="108">
        <f>AF38</f>
        <v>60</v>
      </c>
      <c r="H31" s="12"/>
      <c r="I31" s="41"/>
      <c r="S31" s="864"/>
      <c r="T31" s="864"/>
      <c r="U31" s="864"/>
      <c r="V31" s="878"/>
      <c r="W31" s="951">
        <f>AD31*AH31</f>
        <v>756.71680000000003</v>
      </c>
      <c r="X31" s="952">
        <f>Y31*AE31*AH31</f>
        <v>0</v>
      </c>
      <c r="Y31" s="953">
        <f>IF(G6&lt;1,0,G6-1)</f>
        <v>0</v>
      </c>
      <c r="Z31" s="954">
        <f>AF31*AH31</f>
        <v>101.50560000000002</v>
      </c>
      <c r="AA31" s="920"/>
      <c r="AB31" s="921"/>
      <c r="AC31" s="939"/>
      <c r="AD31" s="923">
        <f>'Washington Only'!AH54</f>
        <v>378.35840000000002</v>
      </c>
      <c r="AE31" s="925">
        <f>'Washington Only'!AI54</f>
        <v>33.622400000000006</v>
      </c>
      <c r="AF31" s="925">
        <f>'Washington Only'!AJ54</f>
        <v>50.752800000000008</v>
      </c>
      <c r="AG31" s="925">
        <f>'Washington Only'!AK54</f>
        <v>0</v>
      </c>
      <c r="AH31" s="926">
        <f>IF(G5&lt;=0,1,G5)</f>
        <v>2</v>
      </c>
      <c r="AI31" s="878"/>
      <c r="AJ31" s="878"/>
      <c r="AK31" s="878"/>
      <c r="AL31" s="878"/>
      <c r="AM31" s="878"/>
      <c r="AN31" s="864"/>
      <c r="AO31" s="864"/>
      <c r="AP31" s="864"/>
      <c r="AQ31" s="864"/>
      <c r="AR31" s="864"/>
      <c r="AS31" s="864"/>
      <c r="AT31" s="864"/>
      <c r="AU31" s="864"/>
      <c r="AV31" s="864"/>
      <c r="AW31" s="864"/>
      <c r="AX31" s="864"/>
      <c r="AY31" s="864"/>
    </row>
    <row r="32" spans="1:51" s="56" customFormat="1" ht="15.75" thickBot="1">
      <c r="D32" s="80"/>
      <c r="E32" s="90"/>
      <c r="F32" s="10" t="s">
        <v>321</v>
      </c>
      <c r="G32" s="111">
        <f>SUM(G29:G31)</f>
        <v>195</v>
      </c>
      <c r="H32" s="12"/>
      <c r="I32" s="41"/>
      <c r="S32" s="864"/>
      <c r="T32" s="955"/>
      <c r="U32" s="955"/>
      <c r="V32" s="878"/>
      <c r="W32" s="956"/>
      <c r="X32" s="957"/>
      <c r="Y32" s="958"/>
      <c r="Z32" s="959"/>
      <c r="AA32" s="920"/>
      <c r="AB32" s="921"/>
      <c r="AC32" s="939"/>
      <c r="AD32" s="960"/>
      <c r="AE32" s="961"/>
      <c r="AF32" s="961"/>
      <c r="AG32" s="961"/>
      <c r="AH32" s="934"/>
      <c r="AI32" s="878"/>
      <c r="AJ32" s="878"/>
      <c r="AK32" s="878"/>
      <c r="AL32" s="878"/>
      <c r="AM32" s="878"/>
      <c r="AN32" s="864"/>
      <c r="AO32" s="864"/>
      <c r="AP32" s="864"/>
      <c r="AQ32" s="864"/>
      <c r="AR32" s="864"/>
      <c r="AS32" s="864"/>
      <c r="AT32" s="864"/>
      <c r="AU32" s="864"/>
      <c r="AV32" s="864"/>
      <c r="AW32" s="864"/>
      <c r="AX32" s="864"/>
      <c r="AY32" s="864"/>
    </row>
    <row r="33" spans="4:51" s="56" customFormat="1" ht="15.75" thickBot="1">
      <c r="D33" s="80"/>
      <c r="E33" s="90"/>
      <c r="F33" s="10"/>
      <c r="G33" s="12"/>
      <c r="H33" s="12"/>
      <c r="I33" s="41"/>
      <c r="S33" s="864"/>
      <c r="T33" s="864"/>
      <c r="U33" s="864"/>
      <c r="V33" s="878"/>
      <c r="W33" s="878"/>
      <c r="X33" s="878"/>
      <c r="Y33" s="878"/>
      <c r="Z33" s="904"/>
      <c r="AA33" s="878"/>
      <c r="AB33" s="868"/>
      <c r="AC33" s="878"/>
      <c r="AD33" s="878"/>
      <c r="AE33" s="878"/>
      <c r="AF33" s="878"/>
      <c r="AG33" s="878"/>
      <c r="AH33" s="878"/>
      <c r="AI33" s="878"/>
      <c r="AJ33" s="878"/>
      <c r="AK33" s="878"/>
      <c r="AL33" s="878"/>
      <c r="AM33" s="878"/>
      <c r="AN33" s="864"/>
      <c r="AO33" s="864"/>
      <c r="AP33" s="864"/>
      <c r="AQ33" s="864"/>
      <c r="AR33" s="864"/>
      <c r="AS33" s="864"/>
      <c r="AT33" s="864"/>
      <c r="AU33" s="864"/>
      <c r="AV33" s="864"/>
      <c r="AW33" s="864"/>
      <c r="AX33" s="864"/>
      <c r="AY33" s="864"/>
    </row>
    <row r="34" spans="4:51" s="56" customFormat="1" ht="19.5" thickBot="1">
      <c r="D34" s="197"/>
      <c r="E34" s="198"/>
      <c r="F34" s="199"/>
      <c r="G34" s="200" t="s">
        <v>380</v>
      </c>
      <c r="H34" s="199">
        <f>G17+G26+G32</f>
        <v>2540.7556000000004</v>
      </c>
      <c r="I34" s="201"/>
      <c r="K34" s="202"/>
      <c r="L34" s="202"/>
      <c r="M34" s="202"/>
      <c r="N34" s="202"/>
      <c r="O34" s="202"/>
      <c r="P34" s="202"/>
      <c r="Q34" s="202"/>
      <c r="R34" s="202"/>
      <c r="S34" s="955"/>
      <c r="T34" s="864"/>
      <c r="U34" s="864"/>
      <c r="V34" s="878"/>
      <c r="W34" s="878"/>
      <c r="X34" s="878"/>
      <c r="Y34" s="878"/>
      <c r="Z34" s="878"/>
      <c r="AA34" s="878"/>
      <c r="AB34" s="868"/>
      <c r="AC34" s="878"/>
      <c r="AD34" s="878"/>
      <c r="AE34" s="878"/>
      <c r="AF34" s="878"/>
      <c r="AG34" s="878"/>
      <c r="AH34" s="878"/>
      <c r="AI34" s="878"/>
      <c r="AJ34" s="878"/>
      <c r="AK34" s="878"/>
      <c r="AL34" s="878"/>
      <c r="AM34" s="878"/>
      <c r="AN34" s="864"/>
      <c r="AO34" s="864"/>
      <c r="AP34" s="864"/>
      <c r="AQ34" s="864"/>
      <c r="AR34" s="864"/>
      <c r="AS34" s="864"/>
      <c r="AT34" s="864"/>
      <c r="AU34" s="864"/>
      <c r="AV34" s="864"/>
      <c r="AW34" s="864"/>
      <c r="AX34" s="864"/>
      <c r="AY34" s="864"/>
    </row>
    <row r="35" spans="4:51" s="56" customFormat="1" ht="19.5" thickBot="1">
      <c r="D35" s="80"/>
      <c r="E35" s="198"/>
      <c r="F35" s="199"/>
      <c r="G35" s="200" t="s">
        <v>381</v>
      </c>
      <c r="H35" s="199">
        <f>+AD31+IF(G6&lt;2,0,(G6-1)*AE31)+W25/G5+AF31+G21+G22/G5+G23+G24+AD38+IF(G6&lt;2,0,AE38*(G6-1))+AF38/G5</f>
        <v>1252.8778</v>
      </c>
      <c r="I35" s="41"/>
      <c r="S35" s="864"/>
      <c r="T35" s="864"/>
      <c r="U35" s="864"/>
      <c r="V35" s="962" t="str">
        <f>AD35</f>
        <v>From Oregon Tri-State section</v>
      </c>
      <c r="W35" s="963"/>
      <c r="X35" s="963"/>
      <c r="Y35" s="963"/>
      <c r="Z35" s="964"/>
      <c r="AA35" s="965"/>
      <c r="AB35" s="909"/>
      <c r="AC35" s="910"/>
      <c r="AD35" s="962" t="s">
        <v>322</v>
      </c>
      <c r="AE35" s="963"/>
      <c r="AF35" s="963"/>
      <c r="AG35" s="964"/>
      <c r="AH35" s="878"/>
      <c r="AI35" s="878"/>
      <c r="AJ35" s="878"/>
      <c r="AK35" s="878"/>
      <c r="AL35" s="878"/>
      <c r="AM35" s="878"/>
      <c r="AN35" s="864"/>
      <c r="AO35" s="864"/>
      <c r="AP35" s="864"/>
      <c r="AQ35" s="864"/>
      <c r="AR35" s="864"/>
      <c r="AS35" s="864"/>
      <c r="AT35" s="864"/>
      <c r="AU35" s="864"/>
      <c r="AV35" s="864"/>
      <c r="AW35" s="864"/>
      <c r="AX35" s="864"/>
      <c r="AY35" s="864"/>
    </row>
    <row r="36" spans="4:51" s="56" customFormat="1">
      <c r="D36" s="80"/>
      <c r="E36" s="90"/>
      <c r="F36" s="10"/>
      <c r="G36" s="12"/>
      <c r="H36" s="12"/>
      <c r="I36" s="41"/>
      <c r="M36" s="61"/>
      <c r="N36" s="202"/>
      <c r="O36" s="202"/>
      <c r="R36" s="104"/>
      <c r="S36" s="864"/>
      <c r="T36" s="864"/>
      <c r="U36" s="864"/>
      <c r="V36" s="966">
        <f>'Washington Only'!AA27</f>
        <v>0</v>
      </c>
      <c r="W36" s="967" t="s">
        <v>215</v>
      </c>
      <c r="X36" s="967" t="s">
        <v>216</v>
      </c>
      <c r="Y36" s="967" t="s">
        <v>81</v>
      </c>
      <c r="Z36" s="968" t="s">
        <v>170</v>
      </c>
      <c r="AA36" s="969"/>
      <c r="AB36" s="916"/>
      <c r="AC36" s="910"/>
      <c r="AD36" s="966" t="str">
        <f>'Oregon Only'!AF19</f>
        <v xml:space="preserve">Insignia </v>
      </c>
      <c r="AE36" s="967" t="str">
        <f>'Oregon Only'!AG19</f>
        <v>Insignia</v>
      </c>
      <c r="AF36" s="967" t="str">
        <f>'Oregon Only'!AH19</f>
        <v xml:space="preserve">Plan Review </v>
      </c>
      <c r="AG36" s="968">
        <f>'Oregon Only'!AI19</f>
        <v>0</v>
      </c>
      <c r="AH36" s="878"/>
      <c r="AI36" s="878"/>
      <c r="AJ36" s="878"/>
      <c r="AK36" s="878"/>
      <c r="AL36" s="878"/>
      <c r="AM36" s="878"/>
      <c r="AN36" s="864"/>
      <c r="AO36" s="864"/>
      <c r="AP36" s="864"/>
      <c r="AQ36" s="864"/>
      <c r="AR36" s="864"/>
      <c r="AS36" s="864"/>
      <c r="AT36" s="864"/>
      <c r="AU36" s="864"/>
      <c r="AV36" s="864"/>
      <c r="AW36" s="864"/>
      <c r="AX36" s="864"/>
      <c r="AY36" s="864"/>
    </row>
    <row r="37" spans="4:51" s="56" customFormat="1" ht="15.75" thickBot="1">
      <c r="D37" s="80"/>
      <c r="E37" s="90"/>
      <c r="F37" s="10"/>
      <c r="G37" s="12"/>
      <c r="H37" s="12"/>
      <c r="I37" s="41"/>
      <c r="M37" s="61"/>
      <c r="N37" s="202"/>
      <c r="O37" s="202"/>
      <c r="R37" s="104"/>
      <c r="S37" s="864"/>
      <c r="T37" s="864"/>
      <c r="U37" s="864"/>
      <c r="V37" s="966" t="str">
        <f>'Washington Only'!AA28</f>
        <v>Plan Review</v>
      </c>
      <c r="W37" s="967" t="s">
        <v>323</v>
      </c>
      <c r="X37" s="967" t="s">
        <v>221</v>
      </c>
      <c r="Y37" s="967" t="s">
        <v>222</v>
      </c>
      <c r="Z37" s="968" t="s">
        <v>324</v>
      </c>
      <c r="AA37" s="970"/>
      <c r="AB37" s="921"/>
      <c r="AC37" s="910"/>
      <c r="AD37" s="966" t="str">
        <f>'Oregon Only'!AF20</f>
        <v>First Section</v>
      </c>
      <c r="AE37" s="967" t="str">
        <f>'Oregon Only'!AG20</f>
        <v>Additional Sect</v>
      </c>
      <c r="AF37" s="967" t="str">
        <f>'Oregon Only'!AH20</f>
        <v>Fee</v>
      </c>
      <c r="AG37" s="968">
        <f>'Oregon Only'!AI20</f>
        <v>0</v>
      </c>
      <c r="AH37" s="878"/>
      <c r="AI37" s="878"/>
      <c r="AJ37" s="878"/>
      <c r="AK37" s="878"/>
      <c r="AL37" s="878"/>
      <c r="AM37" s="878"/>
      <c r="AN37" s="864"/>
      <c r="AO37" s="864"/>
      <c r="AP37" s="864"/>
      <c r="AQ37" s="864"/>
      <c r="AR37" s="864"/>
      <c r="AS37" s="864"/>
      <c r="AT37" s="864"/>
      <c r="AU37" s="864"/>
      <c r="AV37" s="864"/>
      <c r="AW37" s="864"/>
      <c r="AX37" s="864"/>
      <c r="AY37" s="864"/>
    </row>
    <row r="38" spans="4:51" s="56" customFormat="1" ht="19.5" thickBot="1">
      <c r="D38" s="80"/>
      <c r="E38" s="1173" t="s">
        <v>382</v>
      </c>
      <c r="F38" s="1174"/>
      <c r="G38" s="1174"/>
      <c r="H38" s="1175"/>
      <c r="I38" s="41"/>
      <c r="M38" s="61"/>
      <c r="N38" s="202"/>
      <c r="O38" s="202"/>
      <c r="R38" s="104"/>
      <c r="S38" s="864"/>
      <c r="T38" s="864"/>
      <c r="U38" s="864"/>
      <c r="V38" s="923">
        <f>AE38*AF38</f>
        <v>2100</v>
      </c>
      <c r="W38" s="925">
        <f>G5*AD38</f>
        <v>100</v>
      </c>
      <c r="X38" s="925">
        <f>(Y38+Z38)*AE38</f>
        <v>35</v>
      </c>
      <c r="Y38" s="927">
        <f>IF(G6&lt;1,0,G6-1)</f>
        <v>0</v>
      </c>
      <c r="Z38" s="971">
        <f>IF(G5&lt;1,0,G5-1)</f>
        <v>1</v>
      </c>
      <c r="AA38" s="920"/>
      <c r="AB38" s="921"/>
      <c r="AC38" s="910"/>
      <c r="AD38" s="923">
        <f>'Oregon Only'!AF21</f>
        <v>50</v>
      </c>
      <c r="AE38" s="925">
        <f>'Oregon Only'!AG21</f>
        <v>35</v>
      </c>
      <c r="AF38" s="925">
        <f>'Oregon Only'!AH21</f>
        <v>60</v>
      </c>
      <c r="AG38" s="926">
        <f>'Oregon Only'!AI21</f>
        <v>0</v>
      </c>
      <c r="AH38" s="878"/>
      <c r="AI38" s="878"/>
      <c r="AJ38" s="878"/>
      <c r="AK38" s="878"/>
      <c r="AL38" s="878"/>
      <c r="AM38" s="878"/>
      <c r="AN38" s="864"/>
      <c r="AO38" s="864"/>
      <c r="AP38" s="864"/>
      <c r="AQ38" s="864"/>
      <c r="AR38" s="864"/>
      <c r="AS38" s="864"/>
      <c r="AT38" s="864"/>
      <c r="AU38" s="864"/>
      <c r="AV38" s="864"/>
      <c r="AW38" s="864"/>
      <c r="AX38" s="864"/>
      <c r="AY38" s="864"/>
    </row>
    <row r="39" spans="4:51" s="56" customFormat="1" ht="19.5" thickBot="1">
      <c r="D39" s="80"/>
      <c r="E39" s="198"/>
      <c r="F39" s="857" t="s">
        <v>334</v>
      </c>
      <c r="G39" s="200"/>
      <c r="H39" s="199">
        <f>W25/G5+AF31+IF(G6&lt;2,0,AE31*(G6-1))+AD31</f>
        <v>596.05280000000005</v>
      </c>
      <c r="I39" s="41"/>
      <c r="M39" s="858" t="s">
        <v>328</v>
      </c>
      <c r="N39" s="859"/>
      <c r="O39" s="860"/>
      <c r="P39" s="860"/>
      <c r="Q39" s="860"/>
      <c r="R39" s="860"/>
      <c r="S39" s="864"/>
      <c r="T39" s="864"/>
      <c r="U39" s="864"/>
      <c r="V39" s="864"/>
      <c r="W39" s="864"/>
      <c r="X39" s="864"/>
      <c r="Y39" s="864"/>
      <c r="Z39" s="864"/>
      <c r="AA39" s="864"/>
      <c r="AB39" s="864"/>
      <c r="AC39" s="864"/>
      <c r="AD39" s="864"/>
      <c r="AE39" s="864"/>
      <c r="AF39" s="864"/>
      <c r="AG39" s="864"/>
      <c r="AH39" s="864"/>
      <c r="AI39" s="864"/>
      <c r="AJ39" s="864"/>
      <c r="AK39" s="864"/>
      <c r="AL39" s="864"/>
      <c r="AM39" s="864"/>
      <c r="AN39" s="864"/>
      <c r="AO39" s="864"/>
      <c r="AP39" s="864"/>
      <c r="AQ39" s="864"/>
      <c r="AR39" s="864"/>
      <c r="AS39" s="864"/>
      <c r="AT39" s="864"/>
      <c r="AU39" s="864"/>
      <c r="AV39" s="864"/>
      <c r="AW39" s="864"/>
      <c r="AX39" s="864"/>
      <c r="AY39" s="864"/>
    </row>
    <row r="40" spans="4:51" s="56" customFormat="1" ht="19.5" thickBot="1">
      <c r="D40" s="80"/>
      <c r="E40" s="198"/>
      <c r="F40" s="857" t="s">
        <v>335</v>
      </c>
      <c r="G40" s="200"/>
      <c r="H40" s="199">
        <f>+AD38+IF(G6&lt;2,0,AE38*(G6-1))+AF38/G5</f>
        <v>80</v>
      </c>
      <c r="I40" s="41"/>
      <c r="S40" s="864"/>
      <c r="T40" s="864"/>
      <c r="U40" s="864"/>
      <c r="V40" s="864"/>
      <c r="W40" s="864"/>
      <c r="X40" s="864"/>
      <c r="Y40" s="864"/>
      <c r="Z40" s="864"/>
      <c r="AA40" s="864"/>
      <c r="AB40" s="864"/>
      <c r="AC40" s="864"/>
      <c r="AD40" s="864"/>
      <c r="AE40" s="864"/>
      <c r="AF40" s="864"/>
      <c r="AG40" s="864"/>
      <c r="AH40" s="864"/>
      <c r="AI40" s="864"/>
      <c r="AJ40" s="864"/>
      <c r="AK40" s="864"/>
      <c r="AL40" s="864"/>
      <c r="AM40" s="864"/>
      <c r="AN40" s="864"/>
      <c r="AO40" s="864"/>
      <c r="AP40" s="864"/>
      <c r="AQ40" s="864"/>
      <c r="AR40" s="864"/>
      <c r="AS40" s="864"/>
      <c r="AT40" s="864"/>
      <c r="AU40" s="864"/>
      <c r="AV40" s="864"/>
      <c r="AW40" s="864"/>
      <c r="AX40" s="864"/>
      <c r="AY40" s="864"/>
    </row>
    <row r="41" spans="4:51" s="56" customFormat="1" ht="19.5" thickBot="1">
      <c r="D41" s="80"/>
      <c r="E41" s="198"/>
      <c r="F41" s="857" t="s">
        <v>383</v>
      </c>
      <c r="G41" s="200"/>
      <c r="H41" s="199">
        <f>+G21+G22/G5+G23+G24</f>
        <v>576.82500000000005</v>
      </c>
      <c r="I41" s="41"/>
      <c r="M41" s="61"/>
      <c r="N41" s="202"/>
      <c r="O41" s="202"/>
      <c r="R41" s="104"/>
      <c r="S41" s="864"/>
      <c r="T41" s="878" t="s">
        <v>185</v>
      </c>
      <c r="U41" s="878"/>
      <c r="V41" s="878"/>
      <c r="W41" s="878"/>
      <c r="X41" s="878"/>
      <c r="Y41" s="866"/>
      <c r="Z41" s="866"/>
      <c r="AA41" s="866"/>
      <c r="AB41" s="867"/>
      <c r="AC41" s="878"/>
      <c r="AD41" s="878"/>
      <c r="AE41" s="878"/>
      <c r="AF41" s="878"/>
      <c r="AG41" s="878"/>
      <c r="AH41" s="878"/>
      <c r="AI41" s="878"/>
      <c r="AJ41" s="935"/>
      <c r="AK41" s="878"/>
      <c r="AL41" s="878"/>
      <c r="AM41" s="878"/>
      <c r="AN41" s="864"/>
      <c r="AO41" s="864"/>
      <c r="AP41" s="864"/>
      <c r="AQ41" s="864"/>
      <c r="AR41" s="864"/>
      <c r="AS41" s="864"/>
      <c r="AT41" s="864"/>
      <c r="AU41" s="864"/>
      <c r="AV41" s="864"/>
      <c r="AW41" s="864"/>
      <c r="AX41" s="864"/>
      <c r="AY41" s="864"/>
    </row>
    <row r="42" spans="4:51" s="56" customFormat="1">
      <c r="D42" s="80"/>
      <c r="E42" s="10"/>
      <c r="F42" s="12"/>
      <c r="G42" s="12"/>
      <c r="H42" s="90"/>
      <c r="I42" s="41"/>
      <c r="M42" s="61"/>
      <c r="N42" s="202"/>
      <c r="O42" s="202"/>
      <c r="R42" s="104"/>
      <c r="S42" s="864"/>
      <c r="T42" s="878" t="s">
        <v>186</v>
      </c>
      <c r="U42" s="878" t="s">
        <v>187</v>
      </c>
      <c r="V42" s="878" t="s">
        <v>188</v>
      </c>
      <c r="W42" s="878" t="s">
        <v>189</v>
      </c>
      <c r="X42" s="878" t="s">
        <v>190</v>
      </c>
      <c r="Y42" s="878" t="s">
        <v>191</v>
      </c>
      <c r="Z42" s="878" t="s">
        <v>192</v>
      </c>
      <c r="AA42" s="866"/>
      <c r="AB42" s="867"/>
      <c r="AC42" s="878"/>
      <c r="AD42" s="878"/>
      <c r="AE42" s="878"/>
      <c r="AF42" s="878"/>
      <c r="AG42" s="878"/>
      <c r="AH42" s="878"/>
      <c r="AI42" s="878"/>
      <c r="AJ42" s="935"/>
      <c r="AK42" s="878"/>
      <c r="AL42" s="878"/>
      <c r="AM42" s="878"/>
      <c r="AN42" s="864"/>
      <c r="AO42" s="864"/>
      <c r="AP42" s="864"/>
      <c r="AQ42" s="864"/>
      <c r="AR42" s="864"/>
      <c r="AS42" s="864"/>
      <c r="AT42" s="864"/>
      <c r="AU42" s="864"/>
      <c r="AV42" s="864"/>
      <c r="AW42" s="864"/>
      <c r="AX42" s="864"/>
      <c r="AY42" s="864"/>
    </row>
    <row r="43" spans="4:51" s="56" customFormat="1" ht="15.75" thickBot="1">
      <c r="D43" s="209"/>
      <c r="E43" s="856"/>
      <c r="F43" s="32"/>
      <c r="G43" s="32"/>
      <c r="H43" s="32"/>
      <c r="I43" s="44"/>
      <c r="M43" s="61"/>
      <c r="N43" s="202"/>
      <c r="O43" s="202"/>
      <c r="R43" s="104"/>
      <c r="S43" s="864"/>
      <c r="T43" s="972">
        <f>+'Idaho Only'!AA58</f>
        <v>1</v>
      </c>
      <c r="U43" s="972">
        <f>+'Idaho Only'!AB58</f>
        <v>500</v>
      </c>
      <c r="V43" s="972">
        <f>+'Idaho Only'!AC58</f>
        <v>500</v>
      </c>
      <c r="W43" s="972">
        <f>+'Idaho Only'!AD58</f>
        <v>18.8</v>
      </c>
      <c r="X43" s="972">
        <f>+'Idaho Only'!AE58</f>
        <v>0</v>
      </c>
      <c r="Y43" s="972">
        <f>+'Idaho Only'!AF58</f>
        <v>0</v>
      </c>
      <c r="Z43" s="866">
        <f>+IF(G7&lt;U43,W43,0)</f>
        <v>0</v>
      </c>
      <c r="AA43" s="866"/>
      <c r="AB43" s="867"/>
      <c r="AC43" s="878"/>
      <c r="AD43" s="878"/>
      <c r="AE43" s="878"/>
      <c r="AF43" s="878"/>
      <c r="AG43" s="878"/>
      <c r="AH43" s="878"/>
      <c r="AI43" s="878"/>
      <c r="AJ43" s="935"/>
      <c r="AK43" s="878"/>
      <c r="AL43" s="878"/>
      <c r="AM43" s="878"/>
      <c r="AN43" s="864"/>
      <c r="AO43" s="864"/>
      <c r="AP43" s="864"/>
      <c r="AQ43" s="864"/>
      <c r="AR43" s="864"/>
      <c r="AS43" s="864"/>
      <c r="AT43" s="864"/>
      <c r="AU43" s="864"/>
      <c r="AV43" s="864"/>
      <c r="AW43" s="864"/>
      <c r="AX43" s="864"/>
      <c r="AY43" s="864"/>
    </row>
    <row r="44" spans="4:51" s="56" customFormat="1">
      <c r="M44" s="61"/>
      <c r="N44" s="202"/>
      <c r="O44" s="202"/>
      <c r="R44" s="104"/>
      <c r="S44" s="864"/>
      <c r="T44" s="972">
        <f>+'Idaho Only'!AA59</f>
        <v>501</v>
      </c>
      <c r="U44" s="972">
        <f>+'Idaho Only'!AB59</f>
        <v>2000</v>
      </c>
      <c r="V44" s="972">
        <f>+'Idaho Only'!AC59</f>
        <v>500</v>
      </c>
      <c r="W44" s="972">
        <f>+'Idaho Only'!AD59</f>
        <v>18.8</v>
      </c>
      <c r="X44" s="972">
        <f>+'Idaho Only'!AE59</f>
        <v>2.44</v>
      </c>
      <c r="Y44" s="972">
        <f>+'Idaho Only'!AF59</f>
        <v>100</v>
      </c>
      <c r="Z44" s="866">
        <f>+IF($G$7&lt;=U44,IF($G$7&gt;=T44,W44+ROUNDUP(($G$7-V44)/Y44,0)*X44,0),0)</f>
        <v>0</v>
      </c>
      <c r="AA44" s="866"/>
      <c r="AB44" s="867"/>
      <c r="AC44" s="878"/>
      <c r="AD44" s="878"/>
      <c r="AE44" s="878"/>
      <c r="AF44" s="878"/>
      <c r="AG44" s="878"/>
      <c r="AH44" s="878"/>
      <c r="AI44" s="878"/>
      <c r="AJ44" s="935"/>
      <c r="AK44" s="878"/>
      <c r="AL44" s="878"/>
      <c r="AM44" s="878"/>
      <c r="AN44" s="864"/>
      <c r="AO44" s="864"/>
      <c r="AP44" s="864"/>
      <c r="AQ44" s="864"/>
      <c r="AR44" s="864"/>
      <c r="AS44" s="864"/>
      <c r="AT44" s="864"/>
      <c r="AU44" s="864"/>
      <c r="AV44" s="864"/>
      <c r="AW44" s="864"/>
      <c r="AX44" s="864"/>
      <c r="AY44" s="864"/>
    </row>
    <row r="45" spans="4:51" s="56" customFormat="1">
      <c r="M45" s="61"/>
      <c r="N45" s="202"/>
      <c r="O45" s="202"/>
      <c r="R45" s="104"/>
      <c r="S45" s="864"/>
      <c r="T45" s="972">
        <f>+'Idaho Only'!AA60</f>
        <v>2001</v>
      </c>
      <c r="U45" s="972">
        <f>+'Idaho Only'!AB60</f>
        <v>25000</v>
      </c>
      <c r="V45" s="972">
        <f>+'Idaho Only'!AC60</f>
        <v>2000</v>
      </c>
      <c r="W45" s="972">
        <f>+'Idaho Only'!AD60</f>
        <v>55.4</v>
      </c>
      <c r="X45" s="972">
        <f>+'Idaho Only'!AE60</f>
        <v>11.2</v>
      </c>
      <c r="Y45" s="972">
        <f>+'Idaho Only'!AF60</f>
        <v>1000</v>
      </c>
      <c r="Z45" s="866">
        <f t="shared" ref="Z45:Z49" si="0">+IF($G$7&lt;=U45,IF($G$7&gt;=T45,W45+ROUNDUP(($G$7-V45)/Y45,0)*X45,0),0)</f>
        <v>257</v>
      </c>
      <c r="AA45" s="864"/>
      <c r="AB45" s="864"/>
      <c r="AC45" s="864"/>
      <c r="AD45" s="864"/>
      <c r="AE45" s="864"/>
      <c r="AF45" s="864"/>
      <c r="AG45" s="864"/>
      <c r="AH45" s="864"/>
      <c r="AI45" s="864"/>
      <c r="AJ45" s="864"/>
      <c r="AK45" s="864"/>
      <c r="AL45" s="864"/>
      <c r="AM45" s="864"/>
      <c r="AN45" s="864"/>
      <c r="AO45" s="864"/>
      <c r="AP45" s="864"/>
      <c r="AQ45" s="864"/>
      <c r="AR45" s="864"/>
      <c r="AS45" s="864"/>
      <c r="AT45" s="864"/>
      <c r="AU45" s="864"/>
      <c r="AV45" s="864"/>
      <c r="AW45" s="864"/>
      <c r="AX45" s="864"/>
      <c r="AY45" s="864"/>
    </row>
    <row r="46" spans="4:51" s="56" customFormat="1">
      <c r="M46" s="61"/>
      <c r="N46" s="202"/>
      <c r="O46" s="202"/>
      <c r="R46" s="104"/>
      <c r="S46" s="864"/>
      <c r="T46" s="972">
        <f>+'Idaho Only'!AA61</f>
        <v>25001</v>
      </c>
      <c r="U46" s="972">
        <f>+'Idaho Only'!AB61</f>
        <v>50000</v>
      </c>
      <c r="V46" s="972">
        <f>+'Idaho Only'!AC61</f>
        <v>25000</v>
      </c>
      <c r="W46" s="972">
        <f>+'Idaho Only'!AD61</f>
        <v>313.39999999999998</v>
      </c>
      <c r="X46" s="972">
        <f>+'Idaho Only'!AE61</f>
        <v>8.09</v>
      </c>
      <c r="Y46" s="972">
        <f>+'Idaho Only'!AF61</f>
        <v>1000</v>
      </c>
      <c r="Z46" s="866">
        <f t="shared" si="0"/>
        <v>0</v>
      </c>
      <c r="AA46" s="864"/>
      <c r="AB46" s="864"/>
      <c r="AC46" s="864"/>
      <c r="AD46" s="864"/>
      <c r="AE46" s="864"/>
      <c r="AF46" s="864"/>
      <c r="AG46" s="864"/>
      <c r="AH46" s="864"/>
      <c r="AI46" s="864"/>
      <c r="AJ46" s="864"/>
      <c r="AK46" s="864"/>
      <c r="AL46" s="864"/>
      <c r="AM46" s="864"/>
      <c r="AN46" s="864"/>
      <c r="AO46" s="864"/>
      <c r="AP46" s="864"/>
      <c r="AQ46" s="864"/>
      <c r="AR46" s="864"/>
      <c r="AS46" s="864"/>
      <c r="AT46" s="864"/>
      <c r="AU46" s="864"/>
      <c r="AV46" s="864"/>
      <c r="AW46" s="864"/>
      <c r="AX46" s="864"/>
      <c r="AY46" s="864"/>
    </row>
    <row r="47" spans="4:51" s="56" customFormat="1">
      <c r="M47" s="61"/>
      <c r="N47" s="202"/>
      <c r="O47" s="202"/>
      <c r="R47" s="104"/>
      <c r="S47" s="864"/>
      <c r="T47" s="972">
        <f>+'Idaho Only'!AA62</f>
        <v>50001</v>
      </c>
      <c r="U47" s="972">
        <f>+'Idaho Only'!AB62</f>
        <v>100000</v>
      </c>
      <c r="V47" s="972">
        <f>+'Idaho Only'!AC62</f>
        <v>50000</v>
      </c>
      <c r="W47" s="972">
        <f>+'Idaho Only'!AD62</f>
        <v>515</v>
      </c>
      <c r="X47" s="972">
        <f>+'Idaho Only'!AE62</f>
        <v>5.6</v>
      </c>
      <c r="Y47" s="972">
        <f>+'Idaho Only'!AF62</f>
        <v>1000</v>
      </c>
      <c r="Z47" s="866">
        <f t="shared" si="0"/>
        <v>0</v>
      </c>
      <c r="AA47" s="864"/>
      <c r="AB47" s="864"/>
      <c r="AC47" s="864"/>
      <c r="AD47" s="864"/>
      <c r="AE47" s="864"/>
      <c r="AF47" s="864"/>
      <c r="AG47" s="864"/>
      <c r="AH47" s="864"/>
      <c r="AI47" s="864"/>
      <c r="AJ47" s="864"/>
      <c r="AK47" s="864"/>
      <c r="AL47" s="864"/>
      <c r="AM47" s="864"/>
      <c r="AN47" s="864"/>
      <c r="AO47" s="864"/>
      <c r="AP47" s="864"/>
      <c r="AQ47" s="864"/>
      <c r="AR47" s="864"/>
      <c r="AS47" s="864"/>
      <c r="AT47" s="864"/>
      <c r="AU47" s="864"/>
      <c r="AV47" s="864"/>
      <c r="AW47" s="864"/>
      <c r="AX47" s="864"/>
      <c r="AY47" s="864"/>
    </row>
    <row r="48" spans="4:51" s="56" customFormat="1">
      <c r="M48" s="61"/>
      <c r="N48" s="202"/>
      <c r="O48" s="202"/>
      <c r="R48" s="104"/>
      <c r="S48" s="864"/>
      <c r="T48" s="972">
        <f>+'Idaho Only'!AA63</f>
        <v>100001</v>
      </c>
      <c r="U48" s="972">
        <f>+'Idaho Only'!AB63</f>
        <v>500000</v>
      </c>
      <c r="V48" s="972">
        <f>+'Idaho Only'!AC63</f>
        <v>100000</v>
      </c>
      <c r="W48" s="972">
        <f>+'Idaho Only'!AD63</f>
        <v>795</v>
      </c>
      <c r="X48" s="972">
        <f>+'Idaho Only'!AE63</f>
        <v>4.4800000000000004</v>
      </c>
      <c r="Y48" s="972">
        <f>+'Idaho Only'!AF63</f>
        <v>1000</v>
      </c>
      <c r="Z48" s="866">
        <f t="shared" si="0"/>
        <v>0</v>
      </c>
      <c r="AA48" s="864"/>
      <c r="AB48" s="864"/>
      <c r="AC48" s="864"/>
      <c r="AD48" s="864"/>
      <c r="AE48" s="864"/>
      <c r="AF48" s="864"/>
      <c r="AG48" s="864"/>
      <c r="AH48" s="864"/>
      <c r="AI48" s="864"/>
      <c r="AJ48" s="864"/>
      <c r="AK48" s="864"/>
      <c r="AL48" s="864"/>
      <c r="AM48" s="864"/>
      <c r="AN48" s="864"/>
      <c r="AO48" s="864"/>
      <c r="AP48" s="864"/>
      <c r="AQ48" s="864"/>
      <c r="AR48" s="864"/>
      <c r="AS48" s="864"/>
      <c r="AT48" s="864"/>
      <c r="AU48" s="864"/>
      <c r="AV48" s="864"/>
      <c r="AW48" s="864"/>
      <c r="AX48" s="864"/>
      <c r="AY48" s="864"/>
    </row>
    <row r="49" spans="13:51" s="56" customFormat="1">
      <c r="M49" s="61"/>
      <c r="N49" s="202"/>
      <c r="O49" s="202"/>
      <c r="R49" s="104"/>
      <c r="S49" s="864"/>
      <c r="T49" s="972">
        <f>+'Idaho Only'!AA64</f>
        <v>500001</v>
      </c>
      <c r="U49" s="972">
        <f>+'Idaho Only'!AB64</f>
        <v>1000000</v>
      </c>
      <c r="V49" s="972">
        <f>+'Idaho Only'!AC64</f>
        <v>500000</v>
      </c>
      <c r="W49" s="972">
        <f>+'Idaho Only'!AD64</f>
        <v>2587</v>
      </c>
      <c r="X49" s="972">
        <f>+'Idaho Only'!AE64</f>
        <v>3.8</v>
      </c>
      <c r="Y49" s="972">
        <f>+'Idaho Only'!AF64</f>
        <v>1000</v>
      </c>
      <c r="Z49" s="866">
        <f t="shared" si="0"/>
        <v>0</v>
      </c>
      <c r="AA49" s="864"/>
      <c r="AB49" s="864"/>
      <c r="AC49" s="864"/>
      <c r="AD49" s="864"/>
      <c r="AE49" s="864"/>
      <c r="AF49" s="864"/>
      <c r="AG49" s="864"/>
      <c r="AH49" s="864"/>
      <c r="AI49" s="864"/>
      <c r="AJ49" s="864"/>
      <c r="AK49" s="864"/>
      <c r="AL49" s="864"/>
      <c r="AM49" s="864"/>
      <c r="AN49" s="864"/>
      <c r="AO49" s="864"/>
      <c r="AP49" s="864"/>
      <c r="AQ49" s="864"/>
      <c r="AR49" s="864"/>
      <c r="AS49" s="864"/>
      <c r="AT49" s="864"/>
      <c r="AU49" s="864"/>
      <c r="AV49" s="864"/>
      <c r="AW49" s="864"/>
      <c r="AX49" s="864"/>
      <c r="AY49" s="864"/>
    </row>
    <row r="50" spans="13:51" s="56" customFormat="1">
      <c r="M50" s="61"/>
      <c r="N50" s="202"/>
      <c r="O50" s="202"/>
      <c r="R50" s="104"/>
      <c r="S50" s="864"/>
      <c r="T50" s="972">
        <f>+'Idaho Only'!AA65</f>
        <v>1000001</v>
      </c>
      <c r="U50" s="972" t="str">
        <f>+'Idaho Only'!AB65</f>
        <v>+</v>
      </c>
      <c r="V50" s="972">
        <f>+'Idaho Only'!AC65</f>
        <v>1000000</v>
      </c>
      <c r="W50" s="972">
        <f>+'Idaho Only'!AD65</f>
        <v>4487</v>
      </c>
      <c r="X50" s="972">
        <f>+'Idaho Only'!AE65</f>
        <v>2.92</v>
      </c>
      <c r="Y50" s="972">
        <f>+'Idaho Only'!AF65</f>
        <v>1000</v>
      </c>
      <c r="Z50" s="866">
        <f>+IF($G$7&gt;=T50,W50+ROUNDUP(($G$7-V50)/Y50,0)*X50,0)</f>
        <v>0</v>
      </c>
      <c r="AA50" s="864"/>
      <c r="AB50" s="864"/>
      <c r="AC50" s="864"/>
      <c r="AD50" s="864"/>
      <c r="AE50" s="864"/>
      <c r="AF50" s="864"/>
      <c r="AG50" s="864"/>
      <c r="AH50" s="864"/>
      <c r="AI50" s="864"/>
      <c r="AJ50" s="864"/>
      <c r="AK50" s="864"/>
      <c r="AL50" s="864"/>
      <c r="AM50" s="864"/>
      <c r="AN50" s="864"/>
      <c r="AO50" s="864"/>
      <c r="AP50" s="864"/>
      <c r="AQ50" s="864"/>
      <c r="AR50" s="864"/>
      <c r="AS50" s="864"/>
      <c r="AT50" s="864"/>
      <c r="AU50" s="864"/>
      <c r="AV50" s="864"/>
      <c r="AW50" s="864"/>
      <c r="AX50" s="864"/>
      <c r="AY50" s="864"/>
    </row>
    <row r="51" spans="13:51" s="56" customFormat="1">
      <c r="M51" s="61"/>
      <c r="N51" s="202"/>
      <c r="O51" s="202"/>
      <c r="R51" s="104"/>
      <c r="S51" s="864"/>
      <c r="T51" s="972">
        <f>+'Idaho Only'!AA66</f>
        <v>0</v>
      </c>
      <c r="U51" s="972">
        <f>+'Idaho Only'!AB66</f>
        <v>0</v>
      </c>
      <c r="V51" s="972">
        <f>+'Idaho Only'!AC66</f>
        <v>0</v>
      </c>
      <c r="W51" s="972">
        <f>+'Idaho Only'!AD66</f>
        <v>0</v>
      </c>
      <c r="X51" s="972">
        <f>+'Idaho Only'!AE66</f>
        <v>0</v>
      </c>
      <c r="Y51" s="972">
        <f>+'Idaho Only'!AF66</f>
        <v>0</v>
      </c>
      <c r="Z51" s="864"/>
      <c r="AA51" s="864"/>
      <c r="AB51" s="864"/>
      <c r="AC51" s="864"/>
      <c r="AD51" s="864"/>
      <c r="AE51" s="864"/>
      <c r="AF51" s="864"/>
      <c r="AG51" s="864"/>
      <c r="AH51" s="864"/>
      <c r="AI51" s="864"/>
      <c r="AJ51" s="864"/>
      <c r="AK51" s="864"/>
      <c r="AL51" s="864"/>
      <c r="AM51" s="864"/>
      <c r="AN51" s="864"/>
      <c r="AO51" s="864"/>
      <c r="AP51" s="864"/>
      <c r="AQ51" s="864"/>
      <c r="AR51" s="864"/>
      <c r="AS51" s="864"/>
      <c r="AT51" s="864"/>
      <c r="AU51" s="864"/>
      <c r="AV51" s="864"/>
      <c r="AW51" s="864"/>
      <c r="AX51" s="864"/>
      <c r="AY51" s="864"/>
    </row>
    <row r="52" spans="13:51" s="56" customFormat="1">
      <c r="M52" s="61"/>
      <c r="N52" s="202"/>
      <c r="O52" s="202"/>
      <c r="R52" s="104"/>
      <c r="S52" s="864"/>
      <c r="T52" s="972">
        <f>+'Idaho Only'!AA67</f>
        <v>0</v>
      </c>
      <c r="U52" s="972">
        <f>+'Idaho Only'!AB67</f>
        <v>0</v>
      </c>
      <c r="V52" s="972">
        <f>+'Idaho Only'!AC67</f>
        <v>0</v>
      </c>
      <c r="W52" s="972">
        <f>+'Idaho Only'!AD67</f>
        <v>0</v>
      </c>
      <c r="X52" s="972">
        <f>+'Idaho Only'!AE67</f>
        <v>0</v>
      </c>
      <c r="Y52" s="972">
        <f>+'Idaho Only'!AF67</f>
        <v>0</v>
      </c>
      <c r="Z52" s="864"/>
      <c r="AA52" s="864"/>
      <c r="AB52" s="864"/>
      <c r="AC52" s="864"/>
      <c r="AD52" s="864"/>
      <c r="AE52" s="864"/>
      <c r="AF52" s="864"/>
      <c r="AG52" s="864"/>
      <c r="AH52" s="864"/>
      <c r="AI52" s="864"/>
      <c r="AJ52" s="864"/>
      <c r="AK52" s="864"/>
      <c r="AL52" s="864"/>
      <c r="AM52" s="864"/>
      <c r="AN52" s="864"/>
      <c r="AO52" s="864"/>
      <c r="AP52" s="864"/>
      <c r="AQ52" s="864"/>
      <c r="AR52" s="864"/>
      <c r="AS52" s="864"/>
      <c r="AT52" s="864"/>
      <c r="AU52" s="864"/>
      <c r="AV52" s="864"/>
      <c r="AW52" s="864"/>
      <c r="AX52" s="864"/>
      <c r="AY52" s="864"/>
    </row>
    <row r="53" spans="13:51" s="56" customFormat="1">
      <c r="M53" s="61"/>
      <c r="N53" s="202"/>
      <c r="O53" s="202"/>
      <c r="R53" s="104"/>
      <c r="S53" s="864"/>
      <c r="T53" s="878" t="str">
        <f>+'Idaho Only'!AA68</f>
        <v>Idaho Plan Review Fee</v>
      </c>
      <c r="U53" s="878">
        <f>+'Idaho Only'!AB68</f>
        <v>0</v>
      </c>
      <c r="V53" s="878">
        <f>+'Idaho Only'!AC68</f>
        <v>0</v>
      </c>
      <c r="W53" s="878">
        <f>+'Idaho Only'!AD68</f>
        <v>0</v>
      </c>
      <c r="X53" s="878">
        <f>+'Idaho Only'!AE68</f>
        <v>0</v>
      </c>
      <c r="Y53" s="866">
        <f>+'Idaho Only'!AF68</f>
        <v>0</v>
      </c>
      <c r="Z53" s="866"/>
      <c r="AA53" s="864"/>
      <c r="AB53" s="864"/>
      <c r="AC53" s="864"/>
      <c r="AD53" s="864"/>
      <c r="AE53" s="864"/>
      <c r="AF53" s="864"/>
      <c r="AG53" s="864"/>
      <c r="AH53" s="864"/>
      <c r="AI53" s="864"/>
      <c r="AJ53" s="864"/>
      <c r="AK53" s="864"/>
      <c r="AL53" s="864"/>
      <c r="AM53" s="864"/>
      <c r="AN53" s="864"/>
      <c r="AO53" s="864"/>
      <c r="AP53" s="864"/>
      <c r="AQ53" s="864"/>
      <c r="AR53" s="864"/>
      <c r="AS53" s="864"/>
      <c r="AT53" s="864"/>
      <c r="AU53" s="864"/>
      <c r="AV53" s="864"/>
      <c r="AW53" s="864"/>
      <c r="AX53" s="864"/>
      <c r="AY53" s="864"/>
    </row>
    <row r="54" spans="13:51" s="56" customFormat="1">
      <c r="M54" s="61"/>
      <c r="N54" s="202"/>
      <c r="O54" s="202"/>
      <c r="R54" s="104"/>
      <c r="S54" s="864"/>
      <c r="T54" s="878" t="str">
        <f>+'Idaho Only'!AA69</f>
        <v>Valuation Min</v>
      </c>
      <c r="U54" s="878" t="str">
        <f>+'Idaho Only'!AB69</f>
        <v>Valuation Max</v>
      </c>
      <c r="V54" s="878" t="str">
        <f>+'Idaho Only'!AC69</f>
        <v>Initial Fee Coverage</v>
      </c>
      <c r="W54" s="878" t="str">
        <f>+'Idaho Only'!AD69</f>
        <v>Initial Cost</v>
      </c>
      <c r="X54" s="878" t="str">
        <f>+'Idaho Only'!AE69</f>
        <v>Additional Fee Increment</v>
      </c>
      <c r="Y54" s="878" t="str">
        <f>+'Idaho Only'!AF69</f>
        <v>Additional Increment Amount</v>
      </c>
      <c r="Z54" s="878" t="s">
        <v>192</v>
      </c>
      <c r="AA54" s="864"/>
      <c r="AB54" s="864"/>
      <c r="AC54" s="864"/>
      <c r="AD54" s="864"/>
      <c r="AE54" s="864"/>
      <c r="AF54" s="864"/>
      <c r="AG54" s="864"/>
      <c r="AH54" s="864"/>
      <c r="AI54" s="864"/>
      <c r="AJ54" s="864"/>
      <c r="AK54" s="864"/>
      <c r="AL54" s="864"/>
      <c r="AM54" s="864"/>
      <c r="AN54" s="864"/>
      <c r="AO54" s="864"/>
      <c r="AP54" s="864"/>
      <c r="AQ54" s="864"/>
      <c r="AR54" s="864"/>
      <c r="AS54" s="864"/>
      <c r="AT54" s="864"/>
      <c r="AU54" s="864"/>
      <c r="AV54" s="864"/>
      <c r="AW54" s="864"/>
      <c r="AX54" s="864"/>
      <c r="AY54" s="864"/>
    </row>
    <row r="55" spans="13:51" s="56" customFormat="1">
      <c r="M55" s="61"/>
      <c r="N55" s="202"/>
      <c r="O55" s="202"/>
      <c r="R55" s="104"/>
      <c r="S55" s="864"/>
      <c r="T55" s="972">
        <f>+'Idaho Only'!AA70</f>
        <v>1</v>
      </c>
      <c r="U55" s="972">
        <f>+'Idaho Only'!AB70</f>
        <v>500</v>
      </c>
      <c r="V55" s="972">
        <f>+'Idaho Only'!AC70</f>
        <v>500</v>
      </c>
      <c r="W55" s="972">
        <f>+'Idaho Only'!AD70</f>
        <v>15.28</v>
      </c>
      <c r="X55" s="972">
        <f>+'Idaho Only'!AE70</f>
        <v>0</v>
      </c>
      <c r="Y55" s="972">
        <f>+'Idaho Only'!AF70</f>
        <v>0</v>
      </c>
      <c r="Z55" s="866">
        <f>+IF(G7&lt;U55,W55,0)</f>
        <v>0</v>
      </c>
      <c r="AA55" s="864"/>
      <c r="AB55" s="864"/>
      <c r="AC55" s="864"/>
      <c r="AD55" s="864"/>
      <c r="AE55" s="864"/>
      <c r="AF55" s="864"/>
      <c r="AG55" s="864"/>
      <c r="AH55" s="864"/>
      <c r="AI55" s="864"/>
      <c r="AJ55" s="864"/>
      <c r="AK55" s="864"/>
      <c r="AL55" s="864"/>
      <c r="AM55" s="864"/>
      <c r="AN55" s="864"/>
      <c r="AO55" s="864"/>
      <c r="AP55" s="864"/>
      <c r="AQ55" s="864"/>
      <c r="AR55" s="864"/>
      <c r="AS55" s="864"/>
      <c r="AT55" s="864"/>
      <c r="AU55" s="864"/>
      <c r="AV55" s="864"/>
      <c r="AW55" s="864"/>
      <c r="AX55" s="864"/>
      <c r="AY55" s="864"/>
    </row>
    <row r="56" spans="13:51" s="56" customFormat="1">
      <c r="M56" s="61"/>
      <c r="N56" s="202"/>
      <c r="O56" s="202"/>
      <c r="R56" s="104"/>
      <c r="S56" s="864"/>
      <c r="T56" s="972">
        <f>+'Idaho Only'!AA71</f>
        <v>501</v>
      </c>
      <c r="U56" s="972">
        <f>+'Idaho Only'!AB71</f>
        <v>2000</v>
      </c>
      <c r="V56" s="972">
        <f>+'Idaho Only'!AC71</f>
        <v>500</v>
      </c>
      <c r="W56" s="972">
        <f>+'Idaho Only'!AD71</f>
        <v>15.28</v>
      </c>
      <c r="X56" s="972">
        <f>+'Idaho Only'!AE71</f>
        <v>1.98</v>
      </c>
      <c r="Y56" s="972">
        <f>+'Idaho Only'!AF71</f>
        <v>100</v>
      </c>
      <c r="Z56" s="866">
        <f>+IF($G$7&lt;=U56,IF($G$7&gt;=T56,W56+ROUNDUP(($G$7-V56)/Y56,0)*X56,0),0)</f>
        <v>0</v>
      </c>
      <c r="AA56" s="864"/>
      <c r="AB56" s="864"/>
      <c r="AC56" s="864"/>
      <c r="AD56" s="864"/>
      <c r="AE56" s="864"/>
      <c r="AF56" s="864"/>
      <c r="AG56" s="864"/>
      <c r="AH56" s="864"/>
      <c r="AI56" s="864"/>
      <c r="AJ56" s="864"/>
      <c r="AK56" s="864"/>
      <c r="AL56" s="864"/>
      <c r="AM56" s="864"/>
      <c r="AN56" s="864"/>
      <c r="AO56" s="864"/>
      <c r="AP56" s="864"/>
      <c r="AQ56" s="864"/>
      <c r="AR56" s="864"/>
      <c r="AS56" s="864"/>
      <c r="AT56" s="864"/>
      <c r="AU56" s="864"/>
      <c r="AV56" s="864"/>
      <c r="AW56" s="864"/>
      <c r="AX56" s="864"/>
      <c r="AY56" s="864"/>
    </row>
    <row r="57" spans="13:51" s="56" customFormat="1">
      <c r="M57" s="61"/>
      <c r="N57" s="202"/>
      <c r="O57" s="202"/>
      <c r="R57" s="104"/>
      <c r="S57" s="864"/>
      <c r="T57" s="972">
        <f>+'Idaho Only'!AA72</f>
        <v>2001</v>
      </c>
      <c r="U57" s="972">
        <f>+'Idaho Only'!AB72</f>
        <v>25000</v>
      </c>
      <c r="V57" s="972">
        <f>+'Idaho Only'!AC72</f>
        <v>2000</v>
      </c>
      <c r="W57" s="972">
        <f>+'Idaho Only'!AD72</f>
        <v>45.01</v>
      </c>
      <c r="X57" s="972">
        <f>+'Idaho Only'!AE72</f>
        <v>9.1</v>
      </c>
      <c r="Y57" s="972">
        <f>+'Idaho Only'!AF72</f>
        <v>1000</v>
      </c>
      <c r="Z57" s="866">
        <f t="shared" ref="Z57:Z61" si="1">+IF($G$7&lt;=U57,IF($G$7&gt;=T57,W57+ROUNDUP(($G$7-V57)/Y57,0)*X57,0),0)</f>
        <v>208.80999999999997</v>
      </c>
      <c r="AA57" s="864"/>
      <c r="AB57" s="864"/>
      <c r="AC57" s="864"/>
      <c r="AD57" s="864"/>
      <c r="AE57" s="864"/>
      <c r="AF57" s="864"/>
      <c r="AG57" s="864"/>
      <c r="AH57" s="864"/>
      <c r="AI57" s="864"/>
      <c r="AJ57" s="864"/>
      <c r="AK57" s="864"/>
      <c r="AL57" s="864"/>
      <c r="AM57" s="864"/>
      <c r="AN57" s="864"/>
      <c r="AO57" s="864"/>
      <c r="AP57" s="864"/>
      <c r="AQ57" s="864"/>
      <c r="AR57" s="864"/>
      <c r="AS57" s="864"/>
      <c r="AT57" s="864"/>
      <c r="AU57" s="864"/>
      <c r="AV57" s="864"/>
      <c r="AW57" s="864"/>
      <c r="AX57" s="864"/>
      <c r="AY57" s="864"/>
    </row>
    <row r="58" spans="13:51" s="56" customFormat="1">
      <c r="M58" s="61"/>
      <c r="N58" s="202"/>
      <c r="O58" s="202"/>
      <c r="R58" s="104"/>
      <c r="S58" s="864"/>
      <c r="T58" s="972">
        <f>+'Idaho Only'!AA73</f>
        <v>25001</v>
      </c>
      <c r="U58" s="972">
        <f>+'Idaho Only'!AB73</f>
        <v>50000</v>
      </c>
      <c r="V58" s="972">
        <f>+'Idaho Only'!AC73</f>
        <v>25000</v>
      </c>
      <c r="W58" s="972">
        <f>+'Idaho Only'!AD73</f>
        <v>254.64</v>
      </c>
      <c r="X58" s="972">
        <f>+'Idaho Only'!AE73</f>
        <v>6.57</v>
      </c>
      <c r="Y58" s="972">
        <f>+'Idaho Only'!AF73</f>
        <v>1000</v>
      </c>
      <c r="Z58" s="866">
        <f t="shared" si="1"/>
        <v>0</v>
      </c>
      <c r="AA58" s="864"/>
      <c r="AB58" s="864"/>
      <c r="AC58" s="864"/>
      <c r="AD58" s="864"/>
      <c r="AE58" s="864"/>
      <c r="AF58" s="864"/>
      <c r="AG58" s="864"/>
      <c r="AH58" s="864"/>
      <c r="AI58" s="864"/>
      <c r="AJ58" s="864"/>
      <c r="AK58" s="864"/>
      <c r="AL58" s="864"/>
      <c r="AM58" s="864"/>
      <c r="AN58" s="864"/>
      <c r="AO58" s="864"/>
      <c r="AP58" s="864"/>
      <c r="AQ58" s="864"/>
      <c r="AR58" s="864"/>
      <c r="AS58" s="864"/>
      <c r="AT58" s="864"/>
      <c r="AU58" s="864"/>
      <c r="AV58" s="864"/>
      <c r="AW58" s="864"/>
      <c r="AX58" s="864"/>
      <c r="AY58" s="864"/>
    </row>
    <row r="59" spans="13:51" s="56" customFormat="1">
      <c r="M59" s="61"/>
      <c r="N59" s="202"/>
      <c r="O59" s="202"/>
      <c r="R59" s="104"/>
      <c r="S59" s="864"/>
      <c r="T59" s="972">
        <f>+'Idaho Only'!AA74</f>
        <v>50001</v>
      </c>
      <c r="U59" s="972">
        <f>+'Idaho Only'!AB74</f>
        <v>100000</v>
      </c>
      <c r="V59" s="972">
        <f>+'Idaho Only'!AC74</f>
        <v>50000</v>
      </c>
      <c r="W59" s="972">
        <f>+'Idaho Only'!AD74</f>
        <v>418.44</v>
      </c>
      <c r="X59" s="972">
        <f>+'Idaho Only'!AE74</f>
        <v>4.55</v>
      </c>
      <c r="Y59" s="972">
        <f>+'Idaho Only'!AF74</f>
        <v>1000</v>
      </c>
      <c r="Z59" s="866">
        <f t="shared" si="1"/>
        <v>0</v>
      </c>
      <c r="AA59" s="864"/>
      <c r="AB59" s="864"/>
      <c r="AC59" s="864"/>
      <c r="AD59" s="864"/>
      <c r="AE59" s="864"/>
      <c r="AF59" s="864"/>
      <c r="AG59" s="864"/>
      <c r="AH59" s="864"/>
      <c r="AI59" s="864"/>
      <c r="AJ59" s="864"/>
      <c r="AK59" s="864"/>
      <c r="AL59" s="864"/>
      <c r="AM59" s="864"/>
      <c r="AN59" s="864"/>
      <c r="AO59" s="864"/>
      <c r="AP59" s="864"/>
      <c r="AQ59" s="864"/>
      <c r="AR59" s="864"/>
      <c r="AS59" s="864"/>
      <c r="AT59" s="864"/>
      <c r="AU59" s="864"/>
      <c r="AV59" s="864"/>
      <c r="AW59" s="864"/>
      <c r="AX59" s="864"/>
      <c r="AY59" s="864"/>
    </row>
    <row r="60" spans="13:51" s="56" customFormat="1">
      <c r="M60" s="61"/>
      <c r="N60" s="202"/>
      <c r="O60" s="202"/>
      <c r="R60" s="104"/>
      <c r="S60" s="864"/>
      <c r="T60" s="972">
        <f>+'Idaho Only'!AA75</f>
        <v>100001</v>
      </c>
      <c r="U60" s="972">
        <f>+'Idaho Only'!AB75</f>
        <v>500000</v>
      </c>
      <c r="V60" s="972">
        <f>+'Idaho Only'!AC75</f>
        <v>100000</v>
      </c>
      <c r="W60" s="972">
        <f>+'Idaho Only'!AD75</f>
        <v>645.94000000000005</v>
      </c>
      <c r="X60" s="972">
        <f>+'Idaho Only'!AE75</f>
        <v>3.64</v>
      </c>
      <c r="Y60" s="972">
        <f>+'Idaho Only'!AF75</f>
        <v>1000</v>
      </c>
      <c r="Z60" s="866">
        <f t="shared" si="1"/>
        <v>0</v>
      </c>
      <c r="AA60" s="864"/>
      <c r="AB60" s="864"/>
      <c r="AC60" s="864"/>
      <c r="AD60" s="864"/>
      <c r="AE60" s="864"/>
      <c r="AF60" s="864"/>
      <c r="AG60" s="864"/>
      <c r="AH60" s="864"/>
      <c r="AI60" s="864"/>
      <c r="AJ60" s="864"/>
      <c r="AK60" s="864"/>
      <c r="AL60" s="864"/>
      <c r="AM60" s="864"/>
      <c r="AN60" s="864"/>
      <c r="AO60" s="864"/>
      <c r="AP60" s="864"/>
      <c r="AQ60" s="864"/>
      <c r="AR60" s="864"/>
      <c r="AS60" s="864"/>
      <c r="AT60" s="864"/>
      <c r="AU60" s="864"/>
      <c r="AV60" s="864"/>
      <c r="AW60" s="864"/>
      <c r="AX60" s="864"/>
      <c r="AY60" s="864"/>
    </row>
    <row r="61" spans="13:51" s="56" customFormat="1">
      <c r="M61" s="61"/>
      <c r="N61" s="202"/>
      <c r="O61" s="202"/>
      <c r="R61" s="104"/>
      <c r="S61" s="864"/>
      <c r="T61" s="972">
        <f>+'Idaho Only'!AA76</f>
        <v>500001</v>
      </c>
      <c r="U61" s="972">
        <f>+'Idaho Only'!AB76</f>
        <v>1000000</v>
      </c>
      <c r="V61" s="972">
        <f>+'Idaho Only'!AC76</f>
        <v>500000</v>
      </c>
      <c r="W61" s="972">
        <f>+'Idaho Only'!AD76</f>
        <v>2101.94</v>
      </c>
      <c r="X61" s="972">
        <f>+'Idaho Only'!AE76</f>
        <v>3.09</v>
      </c>
      <c r="Y61" s="972">
        <f>+'Idaho Only'!AF76</f>
        <v>1000</v>
      </c>
      <c r="Z61" s="866">
        <f t="shared" si="1"/>
        <v>0</v>
      </c>
      <c r="AA61" s="864"/>
      <c r="AB61" s="864"/>
      <c r="AC61" s="864"/>
      <c r="AD61" s="864"/>
      <c r="AE61" s="864"/>
      <c r="AF61" s="864"/>
      <c r="AG61" s="864"/>
      <c r="AH61" s="864"/>
      <c r="AI61" s="864"/>
      <c r="AJ61" s="864"/>
      <c r="AK61" s="864"/>
      <c r="AL61" s="864"/>
      <c r="AM61" s="864"/>
      <c r="AN61" s="864"/>
      <c r="AO61" s="864"/>
      <c r="AP61" s="864"/>
      <c r="AQ61" s="864"/>
      <c r="AR61" s="864"/>
      <c r="AS61" s="864"/>
      <c r="AT61" s="864"/>
      <c r="AU61" s="864"/>
      <c r="AV61" s="864"/>
      <c r="AW61" s="864"/>
      <c r="AX61" s="864"/>
      <c r="AY61" s="864"/>
    </row>
    <row r="62" spans="13:51" s="56" customFormat="1">
      <c r="M62" s="61"/>
      <c r="N62" s="202"/>
      <c r="O62" s="202"/>
      <c r="R62" s="104"/>
      <c r="S62" s="864"/>
      <c r="T62" s="972">
        <f>+'Idaho Only'!AA77</f>
        <v>1000001</v>
      </c>
      <c r="U62" s="972" t="str">
        <f>+'Idaho Only'!AB77</f>
        <v>+</v>
      </c>
      <c r="V62" s="972">
        <f>+'Idaho Only'!AC77</f>
        <v>1000000</v>
      </c>
      <c r="W62" s="972">
        <f>+'Idaho Only'!AD77</f>
        <v>3645.69</v>
      </c>
      <c r="X62" s="972">
        <f>+'Idaho Only'!AE77</f>
        <v>2.37</v>
      </c>
      <c r="Y62" s="972">
        <f>+'Idaho Only'!AF77</f>
        <v>1000</v>
      </c>
      <c r="Z62" s="866">
        <f>+IF($G$7&gt;=T62,W62+ROUNDUP(($G$7-V62)/Y62,0)*X62,0)</f>
        <v>0</v>
      </c>
      <c r="AA62" s="864"/>
      <c r="AB62" s="864"/>
      <c r="AC62" s="864"/>
      <c r="AD62" s="864"/>
      <c r="AE62" s="864"/>
      <c r="AF62" s="864"/>
      <c r="AG62" s="864"/>
      <c r="AH62" s="864"/>
      <c r="AI62" s="864"/>
      <c r="AJ62" s="864"/>
      <c r="AK62" s="864"/>
      <c r="AL62" s="864"/>
      <c r="AM62" s="864"/>
      <c r="AN62" s="864"/>
      <c r="AO62" s="864"/>
      <c r="AP62" s="864"/>
      <c r="AQ62" s="864"/>
      <c r="AR62" s="864"/>
      <c r="AS62" s="864"/>
      <c r="AT62" s="864"/>
      <c r="AU62" s="864"/>
      <c r="AV62" s="864"/>
      <c r="AW62" s="864"/>
      <c r="AX62" s="864"/>
      <c r="AY62" s="864"/>
    </row>
    <row r="63" spans="13:51" s="56" customFormat="1">
      <c r="M63" s="61"/>
      <c r="N63" s="202"/>
      <c r="O63" s="202"/>
      <c r="R63" s="104"/>
      <c r="S63" s="864"/>
      <c r="T63" s="972">
        <f>+'Idaho Only'!AA78</f>
        <v>0</v>
      </c>
      <c r="U63" s="972">
        <f>+'Idaho Only'!AB78</f>
        <v>0</v>
      </c>
      <c r="V63" s="972">
        <f>+'Idaho Only'!AC78</f>
        <v>0</v>
      </c>
      <c r="W63" s="972">
        <f>+'Idaho Only'!AD78</f>
        <v>0</v>
      </c>
      <c r="X63" s="972">
        <f>+'Idaho Only'!AE78</f>
        <v>0</v>
      </c>
      <c r="Y63" s="972">
        <f>+'Idaho Only'!AF78</f>
        <v>0</v>
      </c>
      <c r="Z63" s="866"/>
      <c r="AA63" s="864"/>
      <c r="AB63" s="864"/>
      <c r="AC63" s="864"/>
      <c r="AD63" s="864"/>
      <c r="AE63" s="864"/>
      <c r="AF63" s="864"/>
      <c r="AG63" s="864"/>
      <c r="AH63" s="864"/>
      <c r="AI63" s="864"/>
      <c r="AJ63" s="864"/>
      <c r="AK63" s="864"/>
      <c r="AL63" s="864"/>
      <c r="AM63" s="864"/>
      <c r="AN63" s="864"/>
      <c r="AO63" s="864"/>
      <c r="AP63" s="864"/>
      <c r="AQ63" s="864"/>
      <c r="AR63" s="864"/>
      <c r="AS63" s="864"/>
      <c r="AT63" s="864"/>
      <c r="AU63" s="864"/>
      <c r="AV63" s="864"/>
      <c r="AW63" s="864"/>
      <c r="AX63" s="864"/>
      <c r="AY63" s="864"/>
    </row>
    <row r="64" spans="13:51" s="56" customFormat="1">
      <c r="M64" s="61"/>
      <c r="N64" s="202"/>
      <c r="O64" s="202"/>
      <c r="R64" s="104"/>
      <c r="S64" s="864"/>
      <c r="T64" s="972">
        <f>+'Idaho Only'!AA79</f>
        <v>0</v>
      </c>
      <c r="U64" s="972">
        <f>+'Idaho Only'!AB79</f>
        <v>0</v>
      </c>
      <c r="V64" s="972">
        <f>+'Idaho Only'!AC79</f>
        <v>0</v>
      </c>
      <c r="W64" s="972">
        <f>+'Idaho Only'!AD79</f>
        <v>0</v>
      </c>
      <c r="X64" s="972">
        <f>+'Idaho Only'!AE79</f>
        <v>0</v>
      </c>
      <c r="Y64" s="972">
        <f>+'Idaho Only'!AF79</f>
        <v>0</v>
      </c>
      <c r="Z64" s="866"/>
      <c r="AA64" s="864"/>
      <c r="AB64" s="864"/>
      <c r="AC64" s="864"/>
      <c r="AD64" s="864"/>
      <c r="AE64" s="864"/>
      <c r="AF64" s="864"/>
      <c r="AG64" s="864"/>
      <c r="AH64" s="864"/>
      <c r="AI64" s="864"/>
      <c r="AJ64" s="864"/>
      <c r="AK64" s="864"/>
      <c r="AL64" s="864"/>
      <c r="AM64" s="864"/>
      <c r="AN64" s="864"/>
      <c r="AO64" s="864"/>
      <c r="AP64" s="864"/>
      <c r="AQ64" s="864"/>
      <c r="AR64" s="864"/>
      <c r="AS64" s="864"/>
      <c r="AT64" s="864"/>
      <c r="AU64" s="864"/>
      <c r="AV64" s="864"/>
      <c r="AW64" s="864"/>
      <c r="AX64" s="864"/>
      <c r="AY64" s="864"/>
    </row>
    <row r="65" spans="13:51" s="56" customFormat="1">
      <c r="M65" s="61"/>
      <c r="N65" s="202"/>
      <c r="O65" s="202"/>
      <c r="R65" s="104"/>
      <c r="S65" s="864"/>
      <c r="T65" s="864"/>
      <c r="U65" s="864"/>
      <c r="V65" s="864"/>
      <c r="W65" s="864"/>
      <c r="X65" s="864"/>
      <c r="Y65" s="864"/>
      <c r="Z65" s="864"/>
      <c r="AA65" s="864"/>
      <c r="AB65" s="864"/>
      <c r="AC65" s="864"/>
      <c r="AD65" s="864"/>
      <c r="AE65" s="864"/>
      <c r="AF65" s="864"/>
      <c r="AG65" s="864"/>
      <c r="AH65" s="864"/>
      <c r="AI65" s="864"/>
      <c r="AJ65" s="864"/>
      <c r="AK65" s="864"/>
      <c r="AL65" s="864"/>
      <c r="AM65" s="864"/>
      <c r="AN65" s="864"/>
      <c r="AO65" s="864"/>
      <c r="AP65" s="864"/>
      <c r="AQ65" s="864"/>
      <c r="AR65" s="864"/>
      <c r="AS65" s="864"/>
      <c r="AT65" s="864"/>
      <c r="AU65" s="864"/>
      <c r="AV65" s="864"/>
      <c r="AW65" s="864"/>
      <c r="AX65" s="864"/>
      <c r="AY65" s="864"/>
    </row>
    <row r="66" spans="13:51" s="56" customFormat="1">
      <c r="M66" s="61"/>
      <c r="N66" s="202"/>
      <c r="O66" s="202"/>
      <c r="R66" s="104"/>
      <c r="S66" s="864"/>
      <c r="T66" s="864"/>
      <c r="U66" s="864"/>
      <c r="V66" s="864"/>
      <c r="W66" s="864"/>
      <c r="X66" s="864"/>
      <c r="Y66" s="864"/>
      <c r="Z66" s="864"/>
      <c r="AA66" s="864"/>
      <c r="AB66" s="864"/>
      <c r="AC66" s="864"/>
      <c r="AD66" s="864"/>
      <c r="AE66" s="864"/>
      <c r="AF66" s="864"/>
      <c r="AG66" s="864"/>
      <c r="AH66" s="864"/>
      <c r="AI66" s="864"/>
      <c r="AJ66" s="864"/>
      <c r="AK66" s="864"/>
      <c r="AL66" s="864"/>
      <c r="AM66" s="864"/>
      <c r="AN66" s="864"/>
      <c r="AO66" s="864"/>
      <c r="AP66" s="864"/>
      <c r="AQ66" s="864"/>
      <c r="AR66" s="864"/>
      <c r="AS66" s="864"/>
      <c r="AT66" s="864"/>
      <c r="AU66" s="864"/>
      <c r="AV66" s="864"/>
      <c r="AW66" s="864"/>
      <c r="AX66" s="864"/>
      <c r="AY66" s="864"/>
    </row>
    <row r="67" spans="13:51" s="56" customFormat="1">
      <c r="M67" s="61"/>
      <c r="N67" s="202"/>
      <c r="O67" s="202"/>
      <c r="R67" s="104"/>
      <c r="S67" s="864"/>
      <c r="T67" s="864"/>
      <c r="U67" s="864"/>
      <c r="V67" s="864"/>
      <c r="W67" s="864"/>
      <c r="X67" s="864"/>
      <c r="Y67" s="864"/>
      <c r="Z67" s="864"/>
      <c r="AA67" s="864"/>
      <c r="AB67" s="864"/>
      <c r="AC67" s="864"/>
      <c r="AD67" s="864"/>
      <c r="AE67" s="864"/>
      <c r="AF67" s="864"/>
      <c r="AG67" s="864"/>
      <c r="AH67" s="864"/>
      <c r="AI67" s="864"/>
      <c r="AJ67" s="864"/>
      <c r="AK67" s="864"/>
      <c r="AL67" s="864"/>
      <c r="AM67" s="864"/>
      <c r="AN67" s="864"/>
      <c r="AO67" s="864"/>
      <c r="AP67" s="864"/>
      <c r="AQ67" s="864"/>
      <c r="AR67" s="864"/>
      <c r="AS67" s="864"/>
      <c r="AT67" s="864"/>
      <c r="AU67" s="864"/>
      <c r="AV67" s="864"/>
      <c r="AW67" s="864"/>
      <c r="AX67" s="864"/>
      <c r="AY67" s="864"/>
    </row>
    <row r="68" spans="13:51" s="56" customFormat="1">
      <c r="M68" s="61"/>
      <c r="N68" s="202"/>
      <c r="O68" s="202"/>
      <c r="R68" s="104"/>
      <c r="S68" s="864"/>
      <c r="T68" s="864"/>
      <c r="U68" s="864"/>
      <c r="V68" s="864"/>
      <c r="W68" s="864"/>
      <c r="X68" s="864"/>
      <c r="Y68" s="864"/>
      <c r="Z68" s="864"/>
      <c r="AA68" s="864"/>
      <c r="AB68" s="864"/>
      <c r="AC68" s="864"/>
      <c r="AD68" s="864"/>
      <c r="AE68" s="864"/>
      <c r="AF68" s="864"/>
      <c r="AG68" s="864"/>
      <c r="AH68" s="864"/>
      <c r="AI68" s="864"/>
      <c r="AJ68" s="864"/>
      <c r="AK68" s="864"/>
      <c r="AL68" s="864"/>
      <c r="AM68" s="864"/>
      <c r="AN68" s="864"/>
      <c r="AO68" s="864"/>
      <c r="AP68" s="864"/>
      <c r="AQ68" s="864"/>
      <c r="AR68" s="864"/>
      <c r="AS68" s="864"/>
      <c r="AT68" s="864"/>
      <c r="AU68" s="864"/>
      <c r="AV68" s="864"/>
      <c r="AW68" s="864"/>
      <c r="AX68" s="864"/>
      <c r="AY68" s="864"/>
    </row>
    <row r="69" spans="13:51" s="56" customFormat="1">
      <c r="M69" s="61"/>
      <c r="N69" s="202"/>
      <c r="O69" s="202"/>
      <c r="R69" s="104"/>
      <c r="S69" s="864"/>
      <c r="T69" s="864"/>
      <c r="U69" s="864"/>
      <c r="V69" s="864"/>
      <c r="W69" s="864"/>
      <c r="X69" s="864"/>
      <c r="Y69" s="864"/>
      <c r="Z69" s="864"/>
      <c r="AA69" s="864"/>
      <c r="AB69" s="864"/>
      <c r="AC69" s="864"/>
      <c r="AD69" s="864"/>
      <c r="AE69" s="864"/>
      <c r="AF69" s="864"/>
      <c r="AG69" s="864"/>
      <c r="AH69" s="864"/>
      <c r="AI69" s="864"/>
      <c r="AJ69" s="864"/>
      <c r="AK69" s="864"/>
      <c r="AL69" s="864"/>
      <c r="AM69" s="864"/>
      <c r="AN69" s="864"/>
      <c r="AO69" s="864"/>
      <c r="AP69" s="864"/>
      <c r="AQ69" s="864"/>
      <c r="AR69" s="864"/>
      <c r="AS69" s="864"/>
      <c r="AT69" s="864"/>
      <c r="AU69" s="864"/>
      <c r="AV69" s="864"/>
      <c r="AW69" s="864"/>
      <c r="AX69" s="864"/>
      <c r="AY69" s="864"/>
    </row>
    <row r="70" spans="13:51" s="56" customFormat="1">
      <c r="M70" s="61"/>
      <c r="N70" s="202"/>
      <c r="O70" s="202"/>
      <c r="R70" s="104"/>
      <c r="S70" s="864"/>
      <c r="T70" s="864"/>
      <c r="U70" s="864"/>
      <c r="V70" s="864"/>
      <c r="W70" s="864"/>
      <c r="X70" s="864"/>
      <c r="Y70" s="864"/>
      <c r="Z70" s="864"/>
      <c r="AA70" s="864"/>
      <c r="AB70" s="864"/>
      <c r="AC70" s="864"/>
      <c r="AD70" s="864"/>
      <c r="AE70" s="864"/>
      <c r="AF70" s="864"/>
      <c r="AG70" s="864"/>
      <c r="AH70" s="864"/>
      <c r="AI70" s="864"/>
      <c r="AJ70" s="864"/>
      <c r="AK70" s="864"/>
      <c r="AL70" s="864"/>
      <c r="AM70" s="864"/>
      <c r="AN70" s="864"/>
      <c r="AO70" s="864"/>
      <c r="AP70" s="864"/>
      <c r="AQ70" s="864"/>
      <c r="AR70" s="864"/>
      <c r="AS70" s="864"/>
      <c r="AT70" s="864"/>
      <c r="AU70" s="864"/>
      <c r="AV70" s="864"/>
      <c r="AW70" s="864"/>
      <c r="AX70" s="864"/>
      <c r="AY70" s="864"/>
    </row>
    <row r="71" spans="13:51" s="56" customFormat="1">
      <c r="M71" s="61"/>
      <c r="N71" s="202"/>
      <c r="O71" s="202"/>
      <c r="R71" s="104"/>
      <c r="S71" s="864"/>
      <c r="T71" s="864"/>
      <c r="U71" s="864"/>
      <c r="V71" s="864"/>
      <c r="W71" s="864"/>
      <c r="X71" s="864"/>
      <c r="Y71" s="864"/>
      <c r="Z71" s="864"/>
      <c r="AA71" s="864"/>
      <c r="AB71" s="864"/>
      <c r="AC71" s="864"/>
      <c r="AD71" s="864"/>
      <c r="AE71" s="864"/>
      <c r="AF71" s="864"/>
      <c r="AG71" s="864"/>
      <c r="AH71" s="864"/>
      <c r="AI71" s="864"/>
      <c r="AJ71" s="864"/>
      <c r="AK71" s="864"/>
      <c r="AL71" s="864"/>
      <c r="AM71" s="864"/>
      <c r="AN71" s="864"/>
      <c r="AO71" s="864"/>
      <c r="AP71" s="864"/>
      <c r="AQ71" s="864"/>
      <c r="AR71" s="864"/>
      <c r="AS71" s="864"/>
      <c r="AT71" s="864"/>
      <c r="AU71" s="864"/>
      <c r="AV71" s="864"/>
      <c r="AW71" s="864"/>
      <c r="AX71" s="864"/>
      <c r="AY71" s="864"/>
    </row>
    <row r="72" spans="13:51" s="56" customFormat="1">
      <c r="M72" s="61"/>
      <c r="N72" s="202"/>
      <c r="O72" s="202"/>
      <c r="R72" s="104"/>
      <c r="S72" s="864"/>
      <c r="T72" s="864"/>
      <c r="U72" s="864"/>
      <c r="V72" s="864"/>
      <c r="W72" s="864"/>
      <c r="X72" s="864"/>
      <c r="Y72" s="864"/>
      <c r="Z72" s="864"/>
      <c r="AA72" s="864"/>
      <c r="AB72" s="864"/>
      <c r="AC72" s="864"/>
      <c r="AD72" s="864"/>
      <c r="AE72" s="864"/>
      <c r="AF72" s="864"/>
      <c r="AG72" s="864"/>
      <c r="AH72" s="864"/>
      <c r="AI72" s="864"/>
      <c r="AJ72" s="864"/>
      <c r="AK72" s="864"/>
      <c r="AL72" s="864"/>
      <c r="AM72" s="864"/>
      <c r="AN72" s="864"/>
      <c r="AO72" s="864"/>
      <c r="AP72" s="864"/>
      <c r="AQ72" s="864"/>
      <c r="AR72" s="864"/>
      <c r="AS72" s="864"/>
      <c r="AT72" s="864"/>
      <c r="AU72" s="864"/>
      <c r="AV72" s="864"/>
      <c r="AW72" s="864"/>
      <c r="AX72" s="864"/>
      <c r="AY72" s="864"/>
    </row>
    <row r="73" spans="13:51" s="56" customFormat="1">
      <c r="M73" s="61"/>
      <c r="N73" s="202"/>
      <c r="O73" s="202"/>
      <c r="R73" s="104"/>
      <c r="S73" s="864"/>
      <c r="T73" s="864"/>
      <c r="U73" s="864"/>
      <c r="V73" s="864"/>
      <c r="W73" s="864"/>
      <c r="X73" s="864"/>
      <c r="Y73" s="864"/>
      <c r="Z73" s="864"/>
      <c r="AA73" s="864"/>
      <c r="AB73" s="864"/>
      <c r="AC73" s="864"/>
      <c r="AD73" s="864"/>
      <c r="AE73" s="864"/>
      <c r="AF73" s="864"/>
      <c r="AG73" s="864"/>
      <c r="AH73" s="864"/>
      <c r="AI73" s="864"/>
      <c r="AJ73" s="864"/>
      <c r="AK73" s="864"/>
      <c r="AL73" s="864"/>
      <c r="AM73" s="864"/>
      <c r="AN73" s="864"/>
      <c r="AO73" s="864"/>
      <c r="AP73" s="864"/>
      <c r="AQ73" s="864"/>
      <c r="AR73" s="864"/>
      <c r="AS73" s="864"/>
      <c r="AT73" s="864"/>
      <c r="AU73" s="864"/>
      <c r="AV73" s="864"/>
      <c r="AW73" s="864"/>
      <c r="AX73" s="864"/>
      <c r="AY73" s="864"/>
    </row>
    <row r="74" spans="13:51" s="56" customFormat="1">
      <c r="M74" s="61"/>
      <c r="N74" s="202"/>
      <c r="O74" s="202"/>
      <c r="R74" s="104"/>
      <c r="S74" s="864"/>
      <c r="T74" s="864"/>
      <c r="U74" s="864"/>
      <c r="V74" s="864"/>
      <c r="W74" s="864"/>
      <c r="X74" s="864"/>
      <c r="Y74" s="864"/>
      <c r="Z74" s="864"/>
      <c r="AA74" s="864"/>
      <c r="AB74" s="864"/>
      <c r="AC74" s="864"/>
      <c r="AD74" s="864"/>
      <c r="AE74" s="864"/>
      <c r="AF74" s="864"/>
      <c r="AG74" s="864"/>
      <c r="AH74" s="864"/>
      <c r="AI74" s="864"/>
      <c r="AJ74" s="864"/>
      <c r="AK74" s="864"/>
      <c r="AL74" s="864"/>
      <c r="AM74" s="864"/>
      <c r="AN74" s="864"/>
      <c r="AO74" s="864"/>
      <c r="AP74" s="864"/>
      <c r="AQ74" s="864"/>
      <c r="AR74" s="864"/>
      <c r="AS74" s="864"/>
      <c r="AT74" s="864"/>
      <c r="AU74" s="864"/>
      <c r="AV74" s="864"/>
      <c r="AW74" s="864"/>
      <c r="AX74" s="864"/>
      <c r="AY74" s="864"/>
    </row>
    <row r="75" spans="13:51" s="56" customFormat="1">
      <c r="M75" s="61"/>
      <c r="N75" s="202"/>
      <c r="O75" s="202"/>
      <c r="R75" s="104"/>
      <c r="S75" s="864"/>
      <c r="T75" s="864"/>
      <c r="U75" s="864"/>
      <c r="V75" s="864"/>
      <c r="W75" s="864"/>
      <c r="X75" s="864"/>
      <c r="Y75" s="864"/>
      <c r="Z75" s="864"/>
      <c r="AA75" s="864"/>
      <c r="AB75" s="864"/>
      <c r="AC75" s="864"/>
      <c r="AD75" s="864"/>
      <c r="AE75" s="864"/>
      <c r="AF75" s="864"/>
      <c r="AG75" s="864"/>
      <c r="AH75" s="864"/>
      <c r="AI75" s="864"/>
      <c r="AJ75" s="864"/>
      <c r="AK75" s="864"/>
      <c r="AL75" s="864"/>
      <c r="AM75" s="864"/>
      <c r="AN75" s="864"/>
      <c r="AO75" s="864"/>
      <c r="AP75" s="864"/>
      <c r="AQ75" s="864"/>
      <c r="AR75" s="864"/>
      <c r="AS75" s="864"/>
      <c r="AT75" s="864"/>
      <c r="AU75" s="864"/>
      <c r="AV75" s="864"/>
      <c r="AW75" s="864"/>
      <c r="AX75" s="864"/>
      <c r="AY75" s="864"/>
    </row>
    <row r="76" spans="13:51" s="56" customFormat="1">
      <c r="M76" s="61"/>
      <c r="N76" s="202"/>
      <c r="O76" s="202"/>
      <c r="R76" s="104"/>
      <c r="S76" s="864"/>
      <c r="T76" s="864"/>
      <c r="U76" s="864"/>
      <c r="V76" s="864"/>
      <c r="W76" s="864"/>
      <c r="X76" s="864"/>
      <c r="Y76" s="864"/>
      <c r="Z76" s="864"/>
      <c r="AA76" s="864"/>
      <c r="AB76" s="864"/>
      <c r="AC76" s="864"/>
      <c r="AD76" s="864"/>
      <c r="AE76" s="864"/>
      <c r="AF76" s="864"/>
      <c r="AG76" s="864"/>
      <c r="AH76" s="864"/>
      <c r="AI76" s="864"/>
      <c r="AJ76" s="864"/>
      <c r="AK76" s="864"/>
      <c r="AL76" s="864"/>
      <c r="AM76" s="864"/>
      <c r="AN76" s="864"/>
      <c r="AO76" s="864"/>
      <c r="AP76" s="864"/>
      <c r="AQ76" s="864"/>
      <c r="AR76" s="864"/>
      <c r="AS76" s="864"/>
      <c r="AT76" s="864"/>
      <c r="AU76" s="864"/>
      <c r="AV76" s="864"/>
      <c r="AW76" s="864"/>
      <c r="AX76" s="864"/>
      <c r="AY76" s="864"/>
    </row>
    <row r="77" spans="13:51" s="56" customFormat="1">
      <c r="M77" s="61"/>
      <c r="N77" s="202"/>
      <c r="O77" s="202"/>
      <c r="R77" s="104"/>
      <c r="S77" s="864"/>
      <c r="T77" s="864"/>
      <c r="U77" s="864"/>
      <c r="V77" s="864"/>
      <c r="W77" s="864"/>
      <c r="X77" s="864"/>
      <c r="Y77" s="864"/>
      <c r="Z77" s="864"/>
      <c r="AA77" s="864"/>
      <c r="AB77" s="864"/>
      <c r="AC77" s="864"/>
      <c r="AD77" s="864"/>
      <c r="AE77" s="864"/>
      <c r="AF77" s="864"/>
      <c r="AG77" s="864"/>
      <c r="AH77" s="864"/>
      <c r="AI77" s="864"/>
      <c r="AJ77" s="864"/>
      <c r="AK77" s="864"/>
      <c r="AL77" s="864"/>
      <c r="AM77" s="864"/>
      <c r="AN77" s="864"/>
      <c r="AO77" s="864"/>
      <c r="AP77" s="864"/>
      <c r="AQ77" s="864"/>
      <c r="AR77" s="864"/>
      <c r="AS77" s="864"/>
      <c r="AT77" s="864"/>
      <c r="AU77" s="864"/>
      <c r="AV77" s="864"/>
      <c r="AW77" s="864"/>
      <c r="AX77" s="864"/>
      <c r="AY77" s="864"/>
    </row>
    <row r="78" spans="13:51" s="56" customFormat="1">
      <c r="M78" s="61"/>
      <c r="N78" s="202"/>
      <c r="O78" s="202"/>
      <c r="R78" s="104"/>
      <c r="S78" s="864"/>
      <c r="T78" s="864"/>
      <c r="U78" s="864"/>
      <c r="V78" s="864"/>
      <c r="W78" s="864"/>
      <c r="X78" s="864"/>
      <c r="Y78" s="864"/>
      <c r="Z78" s="864"/>
      <c r="AA78" s="864"/>
      <c r="AB78" s="864"/>
      <c r="AC78" s="864"/>
      <c r="AD78" s="864"/>
      <c r="AE78" s="864"/>
      <c r="AF78" s="864"/>
      <c r="AG78" s="864"/>
      <c r="AH78" s="864"/>
      <c r="AI78" s="864"/>
      <c r="AJ78" s="864"/>
      <c r="AK78" s="864"/>
      <c r="AL78" s="864"/>
      <c r="AM78" s="864"/>
      <c r="AN78" s="864"/>
      <c r="AO78" s="864"/>
      <c r="AP78" s="864"/>
      <c r="AQ78" s="864"/>
      <c r="AR78" s="864"/>
      <c r="AS78" s="864"/>
      <c r="AT78" s="864"/>
      <c r="AU78" s="864"/>
      <c r="AV78" s="864"/>
      <c r="AW78" s="864"/>
      <c r="AX78" s="864"/>
      <c r="AY78" s="864"/>
    </row>
    <row r="79" spans="13:51" s="56" customFormat="1">
      <c r="M79" s="61"/>
      <c r="N79" s="202"/>
      <c r="O79" s="202"/>
      <c r="R79" s="104"/>
      <c r="S79" s="864"/>
      <c r="T79" s="864"/>
      <c r="U79" s="864"/>
      <c r="V79" s="864"/>
      <c r="W79" s="864"/>
      <c r="X79" s="864"/>
      <c r="Y79" s="864"/>
      <c r="Z79" s="864"/>
      <c r="AA79" s="864"/>
      <c r="AB79" s="864"/>
      <c r="AC79" s="864"/>
      <c r="AD79" s="864"/>
      <c r="AE79" s="864"/>
      <c r="AF79" s="864"/>
      <c r="AG79" s="864"/>
      <c r="AH79" s="864"/>
      <c r="AI79" s="864"/>
      <c r="AJ79" s="864"/>
      <c r="AK79" s="864"/>
      <c r="AL79" s="864"/>
      <c r="AM79" s="864"/>
      <c r="AN79" s="864"/>
      <c r="AO79" s="864"/>
      <c r="AP79" s="864"/>
      <c r="AQ79" s="864"/>
      <c r="AR79" s="864"/>
      <c r="AS79" s="864"/>
      <c r="AT79" s="864"/>
      <c r="AU79" s="864"/>
      <c r="AV79" s="864"/>
      <c r="AW79" s="864"/>
      <c r="AX79" s="864"/>
      <c r="AY79" s="864"/>
    </row>
    <row r="80" spans="13:51" s="56" customFormat="1">
      <c r="M80" s="61"/>
      <c r="N80" s="202"/>
      <c r="O80" s="202"/>
      <c r="R80" s="104"/>
      <c r="S80" s="864"/>
      <c r="T80" s="864"/>
      <c r="U80" s="864"/>
      <c r="V80" s="864"/>
      <c r="W80" s="864"/>
      <c r="X80" s="864"/>
      <c r="Y80" s="864"/>
      <c r="Z80" s="864"/>
      <c r="AA80" s="864"/>
      <c r="AB80" s="864"/>
      <c r="AC80" s="864"/>
      <c r="AD80" s="864"/>
      <c r="AE80" s="864"/>
      <c r="AF80" s="864"/>
      <c r="AG80" s="864"/>
      <c r="AH80" s="864"/>
      <c r="AI80" s="864"/>
      <c r="AJ80" s="864"/>
      <c r="AK80" s="864"/>
      <c r="AL80" s="864"/>
      <c r="AM80" s="864"/>
      <c r="AN80" s="864"/>
      <c r="AO80" s="864"/>
      <c r="AP80" s="864"/>
      <c r="AQ80" s="864"/>
      <c r="AR80" s="864"/>
      <c r="AS80" s="864"/>
      <c r="AT80" s="864"/>
      <c r="AU80" s="864"/>
      <c r="AV80" s="864"/>
      <c r="AW80" s="864"/>
      <c r="AX80" s="864"/>
      <c r="AY80" s="864"/>
    </row>
    <row r="81" spans="13:51" s="56" customFormat="1">
      <c r="M81" s="61"/>
      <c r="S81" s="864"/>
      <c r="T81" s="864"/>
      <c r="U81" s="864"/>
      <c r="V81" s="864"/>
      <c r="W81" s="864"/>
      <c r="X81" s="864"/>
      <c r="Y81" s="864"/>
      <c r="Z81" s="864"/>
      <c r="AA81" s="864"/>
      <c r="AB81" s="864"/>
      <c r="AC81" s="864"/>
      <c r="AD81" s="864"/>
      <c r="AE81" s="864"/>
      <c r="AF81" s="864"/>
      <c r="AG81" s="864"/>
      <c r="AH81" s="864"/>
      <c r="AI81" s="864"/>
      <c r="AJ81" s="864"/>
      <c r="AK81" s="864"/>
      <c r="AL81" s="864"/>
      <c r="AM81" s="864"/>
      <c r="AN81" s="864"/>
      <c r="AO81" s="864"/>
      <c r="AP81" s="864"/>
      <c r="AQ81" s="864"/>
      <c r="AR81" s="864"/>
      <c r="AS81" s="864"/>
      <c r="AT81" s="864"/>
      <c r="AU81" s="864"/>
      <c r="AV81" s="864"/>
      <c r="AW81" s="864"/>
      <c r="AX81" s="864"/>
      <c r="AY81" s="864"/>
    </row>
    <row r="82" spans="13:51" s="56" customFormat="1">
      <c r="M82" s="61"/>
      <c r="S82" s="864"/>
      <c r="T82" s="864"/>
      <c r="U82" s="864"/>
      <c r="V82" s="864"/>
      <c r="W82" s="864"/>
      <c r="X82" s="864"/>
      <c r="Y82" s="864"/>
      <c r="Z82" s="864"/>
      <c r="AA82" s="864"/>
      <c r="AB82" s="864"/>
      <c r="AC82" s="864"/>
      <c r="AD82" s="864"/>
      <c r="AE82" s="864"/>
      <c r="AF82" s="864"/>
      <c r="AG82" s="864"/>
      <c r="AH82" s="864"/>
      <c r="AI82" s="864"/>
      <c r="AJ82" s="864"/>
      <c r="AK82" s="864"/>
      <c r="AL82" s="864"/>
      <c r="AM82" s="864"/>
      <c r="AN82" s="864"/>
      <c r="AO82" s="864"/>
      <c r="AP82" s="864"/>
      <c r="AQ82" s="864"/>
      <c r="AR82" s="864"/>
      <c r="AS82" s="864"/>
      <c r="AT82" s="864"/>
      <c r="AU82" s="864"/>
      <c r="AV82" s="864"/>
      <c r="AW82" s="864"/>
      <c r="AX82" s="864"/>
      <c r="AY82" s="864"/>
    </row>
    <row r="83" spans="13:51" s="56" customFormat="1">
      <c r="M83" s="61"/>
      <c r="S83" s="864"/>
      <c r="T83" s="864"/>
      <c r="U83" s="864"/>
      <c r="V83" s="864"/>
      <c r="W83" s="864"/>
      <c r="X83" s="864"/>
      <c r="Y83" s="864"/>
      <c r="Z83" s="864"/>
      <c r="AA83" s="864"/>
      <c r="AB83" s="864"/>
      <c r="AC83" s="864"/>
      <c r="AD83" s="864"/>
      <c r="AE83" s="864"/>
      <c r="AF83" s="864"/>
      <c r="AG83" s="864"/>
      <c r="AH83" s="864"/>
      <c r="AI83" s="864"/>
      <c r="AJ83" s="864"/>
      <c r="AK83" s="864"/>
      <c r="AL83" s="864"/>
      <c r="AM83" s="864"/>
      <c r="AN83" s="864"/>
      <c r="AO83" s="864"/>
      <c r="AP83" s="864"/>
      <c r="AQ83" s="864"/>
      <c r="AR83" s="864"/>
      <c r="AS83" s="864"/>
      <c r="AT83" s="864"/>
      <c r="AU83" s="864"/>
      <c r="AV83" s="864"/>
      <c r="AW83" s="864"/>
      <c r="AX83" s="864"/>
      <c r="AY83" s="864"/>
    </row>
    <row r="84" spans="13:51" s="56" customFormat="1">
      <c r="M84" s="61"/>
      <c r="S84" s="864"/>
      <c r="T84" s="864"/>
      <c r="U84" s="864"/>
      <c r="V84" s="864"/>
      <c r="W84" s="864"/>
      <c r="X84" s="864"/>
      <c r="Y84" s="864"/>
      <c r="Z84" s="864"/>
      <c r="AA84" s="864"/>
      <c r="AB84" s="864"/>
      <c r="AC84" s="864"/>
      <c r="AD84" s="864"/>
      <c r="AE84" s="864"/>
      <c r="AF84" s="864"/>
      <c r="AG84" s="864"/>
      <c r="AH84" s="864"/>
      <c r="AI84" s="864"/>
      <c r="AJ84" s="864"/>
      <c r="AK84" s="864"/>
      <c r="AL84" s="864"/>
      <c r="AM84" s="864"/>
      <c r="AN84" s="864"/>
      <c r="AO84" s="864"/>
      <c r="AP84" s="864"/>
      <c r="AQ84" s="864"/>
      <c r="AR84" s="864"/>
      <c r="AS84" s="864"/>
      <c r="AT84" s="864"/>
      <c r="AU84" s="864"/>
      <c r="AV84" s="864"/>
      <c r="AW84" s="864"/>
      <c r="AX84" s="864"/>
      <c r="AY84" s="864"/>
    </row>
    <row r="85" spans="13:51" s="56" customFormat="1">
      <c r="M85" s="61"/>
      <c r="S85" s="864"/>
      <c r="T85" s="864"/>
      <c r="U85" s="864"/>
      <c r="V85" s="864"/>
      <c r="W85" s="864"/>
      <c r="X85" s="864"/>
      <c r="Y85" s="864"/>
      <c r="Z85" s="864"/>
      <c r="AA85" s="864"/>
      <c r="AB85" s="864"/>
      <c r="AC85" s="864"/>
      <c r="AD85" s="864"/>
      <c r="AE85" s="864"/>
      <c r="AF85" s="864"/>
      <c r="AG85" s="864"/>
      <c r="AH85" s="864"/>
      <c r="AI85" s="864"/>
      <c r="AJ85" s="864"/>
      <c r="AK85" s="864"/>
      <c r="AL85" s="864"/>
      <c r="AM85" s="864"/>
      <c r="AN85" s="864"/>
      <c r="AO85" s="864"/>
      <c r="AP85" s="864"/>
      <c r="AQ85" s="864"/>
      <c r="AR85" s="864"/>
      <c r="AS85" s="864"/>
      <c r="AT85" s="864"/>
      <c r="AU85" s="864"/>
      <c r="AV85" s="864"/>
      <c r="AW85" s="864"/>
      <c r="AX85" s="864"/>
      <c r="AY85" s="864"/>
    </row>
    <row r="86" spans="13:51" s="56" customFormat="1">
      <c r="M86" s="61"/>
      <c r="S86" s="864"/>
      <c r="T86" s="864"/>
      <c r="U86" s="864"/>
      <c r="V86" s="864"/>
      <c r="W86" s="864"/>
      <c r="X86" s="864"/>
      <c r="Y86" s="864"/>
      <c r="Z86" s="864"/>
      <c r="AA86" s="864"/>
      <c r="AB86" s="864"/>
      <c r="AC86" s="864"/>
      <c r="AD86" s="864"/>
      <c r="AE86" s="864"/>
      <c r="AF86" s="864"/>
      <c r="AG86" s="864"/>
      <c r="AH86" s="864"/>
      <c r="AI86" s="864"/>
      <c r="AJ86" s="864"/>
      <c r="AK86" s="864"/>
      <c r="AL86" s="864"/>
      <c r="AM86" s="864"/>
      <c r="AN86" s="864"/>
      <c r="AO86" s="864"/>
      <c r="AP86" s="864"/>
      <c r="AQ86" s="864"/>
      <c r="AR86" s="864"/>
      <c r="AS86" s="864"/>
      <c r="AT86" s="864"/>
      <c r="AU86" s="864"/>
      <c r="AV86" s="864"/>
      <c r="AW86" s="864"/>
      <c r="AX86" s="864"/>
      <c r="AY86" s="864"/>
    </row>
    <row r="87" spans="13:51" s="56" customFormat="1">
      <c r="M87" s="61"/>
      <c r="S87" s="864"/>
      <c r="T87" s="864"/>
      <c r="U87" s="864"/>
      <c r="V87" s="864"/>
      <c r="W87" s="864"/>
      <c r="X87" s="864"/>
      <c r="Y87" s="864"/>
      <c r="Z87" s="864"/>
      <c r="AA87" s="864"/>
      <c r="AB87" s="864"/>
      <c r="AC87" s="864"/>
      <c r="AD87" s="864"/>
      <c r="AE87" s="864"/>
      <c r="AF87" s="864"/>
      <c r="AG87" s="864"/>
      <c r="AH87" s="864"/>
      <c r="AI87" s="864"/>
      <c r="AJ87" s="864"/>
      <c r="AK87" s="864"/>
      <c r="AL87" s="864"/>
      <c r="AM87" s="864"/>
      <c r="AN87" s="864"/>
      <c r="AO87" s="864"/>
      <c r="AP87" s="864"/>
      <c r="AQ87" s="864"/>
      <c r="AR87" s="864"/>
      <c r="AS87" s="864"/>
      <c r="AT87" s="864"/>
      <c r="AU87" s="864"/>
      <c r="AV87" s="864"/>
      <c r="AW87" s="864"/>
      <c r="AX87" s="864"/>
      <c r="AY87" s="864"/>
    </row>
    <row r="88" spans="13:51" s="56" customFormat="1">
      <c r="M88" s="61"/>
      <c r="S88" s="864"/>
      <c r="T88" s="864"/>
      <c r="U88" s="864"/>
      <c r="V88" s="864"/>
      <c r="W88" s="864"/>
      <c r="X88" s="864"/>
      <c r="Y88" s="864"/>
      <c r="Z88" s="864"/>
      <c r="AA88" s="864"/>
      <c r="AB88" s="864"/>
      <c r="AC88" s="864"/>
      <c r="AD88" s="864"/>
      <c r="AE88" s="864"/>
      <c r="AF88" s="864"/>
      <c r="AG88" s="864"/>
      <c r="AH88" s="864"/>
      <c r="AI88" s="864"/>
      <c r="AJ88" s="864"/>
      <c r="AK88" s="864"/>
      <c r="AL88" s="864"/>
      <c r="AM88" s="864"/>
      <c r="AN88" s="864"/>
      <c r="AO88" s="864"/>
      <c r="AP88" s="864"/>
      <c r="AQ88" s="864"/>
      <c r="AR88" s="864"/>
      <c r="AS88" s="864"/>
      <c r="AT88" s="864"/>
      <c r="AU88" s="864"/>
      <c r="AV88" s="864"/>
      <c r="AW88" s="864"/>
      <c r="AX88" s="864"/>
      <c r="AY88" s="864"/>
    </row>
    <row r="89" spans="13:51" s="56" customFormat="1">
      <c r="M89" s="61"/>
      <c r="S89" s="864"/>
      <c r="T89" s="864"/>
      <c r="U89" s="864"/>
      <c r="V89" s="864"/>
      <c r="W89" s="864"/>
      <c r="X89" s="864"/>
      <c r="Y89" s="864"/>
      <c r="Z89" s="864"/>
      <c r="AA89" s="864"/>
      <c r="AB89" s="864"/>
      <c r="AC89" s="864"/>
      <c r="AD89" s="864"/>
      <c r="AE89" s="864"/>
      <c r="AF89" s="864"/>
      <c r="AG89" s="864"/>
      <c r="AH89" s="864"/>
      <c r="AI89" s="864"/>
      <c r="AJ89" s="864"/>
      <c r="AK89" s="864"/>
      <c r="AL89" s="864"/>
      <c r="AM89" s="864"/>
      <c r="AN89" s="864"/>
      <c r="AO89" s="864"/>
      <c r="AP89" s="864"/>
      <c r="AQ89" s="864"/>
      <c r="AR89" s="864"/>
      <c r="AS89" s="864"/>
      <c r="AT89" s="864"/>
      <c r="AU89" s="864"/>
      <c r="AV89" s="864"/>
      <c r="AW89" s="864"/>
      <c r="AX89" s="864"/>
      <c r="AY89" s="864"/>
    </row>
    <row r="90" spans="13:51" s="56" customFormat="1">
      <c r="M90" s="61"/>
      <c r="S90" s="864"/>
      <c r="T90" s="864"/>
      <c r="U90" s="864"/>
      <c r="V90" s="864"/>
      <c r="W90" s="864"/>
      <c r="X90" s="864"/>
      <c r="Y90" s="864"/>
      <c r="Z90" s="864"/>
      <c r="AA90" s="864"/>
      <c r="AB90" s="864"/>
      <c r="AC90" s="864"/>
      <c r="AD90" s="864"/>
      <c r="AE90" s="864"/>
      <c r="AF90" s="864"/>
      <c r="AG90" s="864"/>
      <c r="AH90" s="864"/>
      <c r="AI90" s="864"/>
      <c r="AJ90" s="864"/>
      <c r="AK90" s="864"/>
      <c r="AL90" s="864"/>
      <c r="AM90" s="864"/>
      <c r="AN90" s="864"/>
      <c r="AO90" s="864"/>
      <c r="AP90" s="864"/>
      <c r="AQ90" s="864"/>
      <c r="AR90" s="864"/>
      <c r="AS90" s="864"/>
      <c r="AT90" s="864"/>
      <c r="AU90" s="864"/>
      <c r="AV90" s="864"/>
      <c r="AW90" s="864"/>
      <c r="AX90" s="864"/>
      <c r="AY90" s="864"/>
    </row>
    <row r="91" spans="13:51" s="56" customFormat="1">
      <c r="M91" s="61"/>
      <c r="S91" s="864"/>
      <c r="T91" s="864"/>
      <c r="U91" s="864"/>
      <c r="V91" s="864"/>
      <c r="W91" s="864"/>
      <c r="X91" s="864"/>
      <c r="Y91" s="864"/>
      <c r="Z91" s="864"/>
      <c r="AA91" s="864"/>
      <c r="AB91" s="864"/>
      <c r="AC91" s="864"/>
      <c r="AD91" s="864"/>
      <c r="AE91" s="864"/>
      <c r="AF91" s="864"/>
      <c r="AG91" s="864"/>
      <c r="AH91" s="864"/>
      <c r="AI91" s="864"/>
      <c r="AJ91" s="864"/>
      <c r="AK91" s="864"/>
      <c r="AL91" s="864"/>
      <c r="AM91" s="864"/>
      <c r="AN91" s="864"/>
      <c r="AO91" s="864"/>
      <c r="AP91" s="864"/>
      <c r="AQ91" s="864"/>
      <c r="AR91" s="864"/>
      <c r="AS91" s="864"/>
      <c r="AT91" s="864"/>
      <c r="AU91" s="864"/>
      <c r="AV91" s="864"/>
      <c r="AW91" s="864"/>
      <c r="AX91" s="864"/>
      <c r="AY91" s="864"/>
    </row>
    <row r="92" spans="13:51" s="56" customFormat="1">
      <c r="M92" s="61"/>
      <c r="S92" s="864"/>
      <c r="T92" s="864"/>
      <c r="U92" s="864"/>
      <c r="V92" s="864"/>
      <c r="W92" s="864"/>
      <c r="X92" s="864"/>
      <c r="Y92" s="864"/>
      <c r="Z92" s="864"/>
      <c r="AA92" s="864"/>
      <c r="AB92" s="864"/>
      <c r="AC92" s="864"/>
      <c r="AD92" s="864"/>
      <c r="AE92" s="864"/>
      <c r="AF92" s="864"/>
      <c r="AG92" s="864"/>
      <c r="AH92" s="864"/>
      <c r="AI92" s="864"/>
      <c r="AJ92" s="864"/>
      <c r="AK92" s="864"/>
      <c r="AL92" s="864"/>
      <c r="AM92" s="864"/>
      <c r="AN92" s="864"/>
      <c r="AO92" s="864"/>
      <c r="AP92" s="864"/>
      <c r="AQ92" s="864"/>
      <c r="AR92" s="864"/>
      <c r="AS92" s="864"/>
      <c r="AT92" s="864"/>
      <c r="AU92" s="864"/>
      <c r="AV92" s="864"/>
      <c r="AW92" s="864"/>
      <c r="AX92" s="864"/>
      <c r="AY92" s="864"/>
    </row>
    <row r="93" spans="13:51" s="56" customFormat="1">
      <c r="M93" s="61"/>
      <c r="S93" s="864"/>
      <c r="T93" s="864"/>
      <c r="U93" s="864"/>
      <c r="V93" s="864"/>
      <c r="W93" s="864"/>
      <c r="X93" s="864"/>
      <c r="Y93" s="864"/>
      <c r="Z93" s="864"/>
      <c r="AA93" s="864"/>
      <c r="AB93" s="864"/>
      <c r="AC93" s="864"/>
      <c r="AD93" s="864"/>
      <c r="AE93" s="864"/>
      <c r="AF93" s="864"/>
      <c r="AG93" s="864"/>
      <c r="AH93" s="864"/>
      <c r="AI93" s="864"/>
      <c r="AJ93" s="864"/>
      <c r="AK93" s="864"/>
      <c r="AL93" s="864"/>
      <c r="AM93" s="864"/>
      <c r="AN93" s="864"/>
      <c r="AO93" s="864"/>
      <c r="AP93" s="864"/>
      <c r="AQ93" s="864"/>
      <c r="AR93" s="864"/>
      <c r="AS93" s="864"/>
      <c r="AT93" s="864"/>
      <c r="AU93" s="864"/>
      <c r="AV93" s="864"/>
      <c r="AW93" s="864"/>
      <c r="AX93" s="864"/>
      <c r="AY93" s="864"/>
    </row>
    <row r="94" spans="13:51" s="56" customFormat="1">
      <c r="M94" s="61"/>
      <c r="S94" s="864"/>
      <c r="T94" s="864"/>
      <c r="U94" s="864"/>
      <c r="V94" s="864"/>
      <c r="W94" s="864"/>
      <c r="X94" s="864"/>
      <c r="Y94" s="864"/>
      <c r="Z94" s="864"/>
      <c r="AA94" s="864"/>
      <c r="AB94" s="864"/>
      <c r="AC94" s="864"/>
      <c r="AD94" s="864"/>
      <c r="AE94" s="864"/>
      <c r="AF94" s="864"/>
      <c r="AG94" s="864"/>
      <c r="AH94" s="864"/>
      <c r="AI94" s="864"/>
      <c r="AJ94" s="864"/>
      <c r="AK94" s="864"/>
      <c r="AL94" s="864"/>
      <c r="AM94" s="864"/>
      <c r="AN94" s="864"/>
      <c r="AO94" s="864"/>
      <c r="AP94" s="864"/>
      <c r="AQ94" s="864"/>
      <c r="AR94" s="864"/>
      <c r="AS94" s="864"/>
      <c r="AT94" s="864"/>
      <c r="AU94" s="864"/>
      <c r="AV94" s="864"/>
      <c r="AW94" s="864"/>
      <c r="AX94" s="864"/>
      <c r="AY94" s="864"/>
    </row>
    <row r="95" spans="13:51" s="56" customFormat="1">
      <c r="M95" s="61"/>
      <c r="S95" s="864"/>
      <c r="T95" s="864"/>
      <c r="U95" s="864"/>
      <c r="V95" s="864"/>
      <c r="W95" s="864"/>
      <c r="X95" s="864"/>
      <c r="Y95" s="864"/>
      <c r="Z95" s="864"/>
      <c r="AA95" s="864"/>
      <c r="AB95" s="864"/>
      <c r="AC95" s="864"/>
      <c r="AD95" s="864"/>
      <c r="AE95" s="864"/>
      <c r="AF95" s="864"/>
      <c r="AG95" s="864"/>
      <c r="AH95" s="864"/>
      <c r="AI95" s="864"/>
      <c r="AJ95" s="864"/>
      <c r="AK95" s="864"/>
      <c r="AL95" s="864"/>
      <c r="AM95" s="864"/>
      <c r="AN95" s="864"/>
      <c r="AO95" s="864"/>
      <c r="AP95" s="864"/>
      <c r="AQ95" s="864"/>
      <c r="AR95" s="864"/>
      <c r="AS95" s="864"/>
      <c r="AT95" s="864"/>
      <c r="AU95" s="864"/>
      <c r="AV95" s="864"/>
      <c r="AW95" s="864"/>
      <c r="AX95" s="864"/>
      <c r="AY95" s="864"/>
    </row>
    <row r="96" spans="13:51" s="56" customFormat="1">
      <c r="M96" s="61"/>
      <c r="S96" s="864"/>
      <c r="T96" s="864"/>
      <c r="U96" s="864"/>
      <c r="V96" s="864"/>
      <c r="W96" s="864"/>
      <c r="X96" s="864"/>
      <c r="Y96" s="864"/>
      <c r="Z96" s="864"/>
      <c r="AA96" s="864"/>
      <c r="AB96" s="864"/>
      <c r="AC96" s="864"/>
      <c r="AD96" s="864"/>
      <c r="AE96" s="864"/>
      <c r="AF96" s="864"/>
      <c r="AG96" s="864"/>
      <c r="AH96" s="864"/>
      <c r="AI96" s="864"/>
      <c r="AJ96" s="864"/>
      <c r="AK96" s="864"/>
      <c r="AL96" s="864"/>
      <c r="AM96" s="864"/>
      <c r="AN96" s="864"/>
      <c r="AO96" s="864"/>
      <c r="AP96" s="864"/>
      <c r="AQ96" s="864"/>
      <c r="AR96" s="864"/>
      <c r="AS96" s="864"/>
      <c r="AT96" s="864"/>
      <c r="AU96" s="864"/>
      <c r="AV96" s="864"/>
      <c r="AW96" s="864"/>
      <c r="AX96" s="864"/>
      <c r="AY96" s="864"/>
    </row>
    <row r="97" spans="1:51" s="56" customFormat="1">
      <c r="M97" s="61"/>
      <c r="S97" s="864"/>
      <c r="T97" s="864"/>
      <c r="U97" s="864"/>
      <c r="V97" s="864"/>
      <c r="W97" s="864"/>
      <c r="X97" s="864"/>
      <c r="Y97" s="864"/>
      <c r="Z97" s="864"/>
      <c r="AA97" s="864"/>
      <c r="AB97" s="864"/>
      <c r="AC97" s="864"/>
      <c r="AD97" s="864"/>
      <c r="AE97" s="864"/>
      <c r="AF97" s="864"/>
      <c r="AG97" s="864"/>
      <c r="AH97" s="864"/>
      <c r="AI97" s="864"/>
      <c r="AJ97" s="864"/>
      <c r="AK97" s="864"/>
      <c r="AL97" s="864"/>
      <c r="AM97" s="864"/>
      <c r="AN97" s="864"/>
      <c r="AO97" s="864"/>
      <c r="AP97" s="864"/>
      <c r="AQ97" s="864"/>
      <c r="AR97" s="864"/>
      <c r="AS97" s="864"/>
      <c r="AT97" s="864"/>
      <c r="AU97" s="864"/>
      <c r="AV97" s="864"/>
      <c r="AW97" s="864"/>
      <c r="AX97" s="864"/>
      <c r="AY97" s="864"/>
    </row>
    <row r="98" spans="1:51" s="56" customFormat="1">
      <c r="M98" s="61"/>
      <c r="S98" s="864"/>
      <c r="T98" s="864"/>
      <c r="U98" s="864"/>
      <c r="V98" s="864"/>
      <c r="W98" s="864"/>
      <c r="X98" s="864"/>
      <c r="Y98" s="864"/>
      <c r="Z98" s="864"/>
      <c r="AA98" s="864"/>
      <c r="AB98" s="864"/>
      <c r="AC98" s="864"/>
      <c r="AD98" s="864"/>
      <c r="AE98" s="864"/>
      <c r="AF98" s="864"/>
      <c r="AG98" s="864"/>
      <c r="AH98" s="864"/>
      <c r="AI98" s="864"/>
      <c r="AJ98" s="864"/>
      <c r="AK98" s="864"/>
      <c r="AL98" s="864"/>
      <c r="AM98" s="864"/>
      <c r="AN98" s="864"/>
      <c r="AO98" s="864"/>
      <c r="AP98" s="864"/>
      <c r="AQ98" s="864"/>
      <c r="AR98" s="864"/>
      <c r="AS98" s="864"/>
      <c r="AT98" s="864"/>
      <c r="AU98" s="864"/>
      <c r="AV98" s="864"/>
      <c r="AW98" s="864"/>
      <c r="AX98" s="864"/>
      <c r="AY98" s="864"/>
    </row>
    <row r="99" spans="1:51" s="56" customFormat="1">
      <c r="M99" s="61"/>
      <c r="S99" s="864"/>
      <c r="T99" s="864"/>
      <c r="U99" s="864"/>
      <c r="V99" s="864"/>
      <c r="W99" s="864"/>
      <c r="X99" s="864"/>
      <c r="Y99" s="864"/>
      <c r="Z99" s="864"/>
      <c r="AA99" s="864"/>
      <c r="AB99" s="864"/>
      <c r="AC99" s="864"/>
      <c r="AD99" s="864"/>
      <c r="AE99" s="864"/>
      <c r="AF99" s="864"/>
      <c r="AG99" s="864"/>
      <c r="AH99" s="864"/>
      <c r="AI99" s="864"/>
      <c r="AJ99" s="864"/>
      <c r="AK99" s="864"/>
      <c r="AL99" s="864"/>
      <c r="AM99" s="864"/>
      <c r="AN99" s="864"/>
      <c r="AO99" s="864"/>
      <c r="AP99" s="864"/>
      <c r="AQ99" s="864"/>
      <c r="AR99" s="864"/>
      <c r="AS99" s="864"/>
      <c r="AT99" s="864"/>
      <c r="AU99" s="864"/>
      <c r="AV99" s="864"/>
      <c r="AW99" s="864"/>
      <c r="AX99" s="864"/>
      <c r="AY99" s="864"/>
    </row>
    <row r="100" spans="1:51" s="56" customFormat="1">
      <c r="M100" s="61"/>
      <c r="S100" s="864"/>
      <c r="T100" s="864"/>
      <c r="U100" s="864"/>
      <c r="V100" s="864"/>
      <c r="W100" s="864"/>
      <c r="X100" s="864"/>
      <c r="Y100" s="864"/>
      <c r="Z100" s="864"/>
      <c r="AA100" s="864"/>
      <c r="AB100" s="864"/>
      <c r="AC100" s="864"/>
      <c r="AD100" s="864"/>
      <c r="AE100" s="864"/>
      <c r="AF100" s="864"/>
      <c r="AG100" s="864"/>
      <c r="AH100" s="864"/>
      <c r="AI100" s="864"/>
      <c r="AJ100" s="864"/>
      <c r="AK100" s="864"/>
      <c r="AL100" s="864"/>
      <c r="AM100" s="864"/>
      <c r="AN100" s="864"/>
      <c r="AO100" s="864"/>
      <c r="AP100" s="864"/>
      <c r="AQ100" s="864"/>
      <c r="AR100" s="864"/>
      <c r="AS100" s="864"/>
      <c r="AT100" s="864"/>
      <c r="AU100" s="864"/>
      <c r="AV100" s="864"/>
      <c r="AW100" s="864"/>
      <c r="AX100" s="864"/>
      <c r="AY100" s="864"/>
    </row>
    <row r="101" spans="1:51" s="56" customFormat="1">
      <c r="M101" s="61"/>
      <c r="S101" s="864"/>
      <c r="T101" s="864"/>
      <c r="U101" s="864"/>
      <c r="V101" s="864"/>
      <c r="W101" s="864"/>
      <c r="X101" s="864"/>
      <c r="Y101" s="864"/>
      <c r="Z101" s="864"/>
      <c r="AA101" s="864"/>
      <c r="AB101" s="864"/>
      <c r="AC101" s="864"/>
      <c r="AD101" s="864"/>
      <c r="AE101" s="864"/>
      <c r="AF101" s="864"/>
      <c r="AG101" s="864"/>
      <c r="AH101" s="864"/>
      <c r="AI101" s="864"/>
      <c r="AJ101" s="864"/>
      <c r="AK101" s="864"/>
      <c r="AL101" s="864"/>
      <c r="AM101" s="864"/>
      <c r="AN101" s="864"/>
      <c r="AO101" s="864"/>
      <c r="AP101" s="864"/>
      <c r="AQ101" s="864"/>
      <c r="AR101" s="864"/>
      <c r="AS101" s="864"/>
      <c r="AT101" s="864"/>
      <c r="AU101" s="864"/>
      <c r="AV101" s="864"/>
      <c r="AW101" s="864"/>
      <c r="AX101" s="864"/>
      <c r="AY101" s="864"/>
    </row>
    <row r="102" spans="1:51" s="56" customFormat="1">
      <c r="M102" s="61"/>
      <c r="S102" s="864"/>
      <c r="T102" s="864"/>
      <c r="U102" s="864"/>
      <c r="V102" s="864"/>
      <c r="W102" s="864"/>
      <c r="X102" s="864"/>
      <c r="Y102" s="864"/>
      <c r="Z102" s="864"/>
      <c r="AA102" s="864"/>
      <c r="AB102" s="864"/>
      <c r="AC102" s="864"/>
      <c r="AD102" s="864"/>
      <c r="AE102" s="864"/>
      <c r="AF102" s="864"/>
      <c r="AG102" s="864"/>
      <c r="AH102" s="864"/>
      <c r="AI102" s="864"/>
      <c r="AJ102" s="864"/>
      <c r="AK102" s="864"/>
      <c r="AL102" s="864"/>
      <c r="AM102" s="864"/>
      <c r="AN102" s="864"/>
      <c r="AO102" s="864"/>
      <c r="AP102" s="864"/>
      <c r="AQ102" s="864"/>
      <c r="AR102" s="864"/>
      <c r="AS102" s="864"/>
      <c r="AT102" s="864"/>
      <c r="AU102" s="864"/>
      <c r="AV102" s="864"/>
      <c r="AW102" s="864"/>
      <c r="AX102" s="864"/>
      <c r="AY102" s="864"/>
    </row>
    <row r="103" spans="1:51" s="56" customFormat="1">
      <c r="M103" s="61"/>
      <c r="S103" s="864"/>
      <c r="T103" s="864"/>
      <c r="U103" s="864"/>
      <c r="V103" s="864"/>
      <c r="W103" s="864"/>
      <c r="X103" s="864"/>
      <c r="Y103" s="864"/>
      <c r="Z103" s="864"/>
      <c r="AA103" s="864"/>
      <c r="AB103" s="864"/>
      <c r="AC103" s="864"/>
      <c r="AD103" s="864"/>
      <c r="AE103" s="864"/>
      <c r="AF103" s="864"/>
      <c r="AG103" s="864"/>
      <c r="AH103" s="864"/>
      <c r="AI103" s="864"/>
      <c r="AJ103" s="864"/>
      <c r="AK103" s="864"/>
      <c r="AL103" s="864"/>
      <c r="AM103" s="864"/>
      <c r="AN103" s="864"/>
      <c r="AO103" s="864"/>
      <c r="AP103" s="864"/>
      <c r="AQ103" s="864"/>
      <c r="AR103" s="864"/>
      <c r="AS103" s="864"/>
      <c r="AT103" s="864"/>
      <c r="AU103" s="864"/>
      <c r="AV103" s="864"/>
      <c r="AW103" s="864"/>
      <c r="AX103" s="864"/>
      <c r="AY103" s="864"/>
    </row>
    <row r="104" spans="1:51" s="56" customFormat="1">
      <c r="A104" s="56" t="s">
        <v>359</v>
      </c>
      <c r="M104" s="61"/>
      <c r="S104" s="864"/>
      <c r="T104" s="864"/>
      <c r="U104" s="864"/>
      <c r="V104" s="864"/>
      <c r="W104" s="864"/>
      <c r="X104" s="864"/>
      <c r="Y104" s="864"/>
      <c r="Z104" s="864"/>
      <c r="AA104" s="864"/>
      <c r="AB104" s="864"/>
      <c r="AC104" s="864"/>
      <c r="AD104" s="864"/>
      <c r="AE104" s="864"/>
      <c r="AF104" s="864"/>
      <c r="AG104" s="864"/>
      <c r="AH104" s="864"/>
      <c r="AI104" s="864"/>
      <c r="AJ104" s="864"/>
      <c r="AK104" s="864"/>
      <c r="AL104" s="864"/>
      <c r="AM104" s="864"/>
      <c r="AN104" s="864"/>
      <c r="AO104" s="864"/>
      <c r="AP104" s="864"/>
      <c r="AQ104" s="864"/>
      <c r="AR104" s="864"/>
      <c r="AS104" s="864"/>
      <c r="AT104" s="864"/>
      <c r="AU104" s="864"/>
      <c r="AV104" s="864"/>
      <c r="AW104" s="864"/>
      <c r="AX104" s="864"/>
      <c r="AY104" s="864"/>
    </row>
    <row r="105" spans="1:51" s="56" customFormat="1">
      <c r="M105" s="61"/>
      <c r="S105" s="864"/>
      <c r="T105" s="864"/>
      <c r="U105" s="864"/>
      <c r="V105" s="864"/>
      <c r="W105" s="864"/>
      <c r="X105" s="864"/>
      <c r="Y105" s="864"/>
      <c r="Z105" s="864"/>
      <c r="AA105" s="864"/>
      <c r="AB105" s="864"/>
      <c r="AC105" s="864"/>
      <c r="AD105" s="864"/>
      <c r="AE105" s="864"/>
      <c r="AF105" s="864"/>
      <c r="AG105" s="864"/>
      <c r="AH105" s="864"/>
      <c r="AI105" s="864"/>
      <c r="AJ105" s="864"/>
      <c r="AK105" s="864"/>
      <c r="AL105" s="864"/>
      <c r="AM105" s="864"/>
      <c r="AN105" s="864"/>
      <c r="AO105" s="864"/>
      <c r="AP105" s="864"/>
      <c r="AQ105" s="864"/>
      <c r="AR105" s="864"/>
      <c r="AS105" s="864"/>
      <c r="AT105" s="864"/>
      <c r="AU105" s="864"/>
      <c r="AV105" s="864"/>
      <c r="AW105" s="864"/>
      <c r="AX105" s="864"/>
      <c r="AY105" s="864"/>
    </row>
    <row r="106" spans="1:51" s="56" customFormat="1">
      <c r="M106" s="61"/>
      <c r="S106" s="864"/>
      <c r="T106" s="864"/>
      <c r="U106" s="864"/>
      <c r="V106" s="864"/>
      <c r="W106" s="864"/>
      <c r="X106" s="864"/>
      <c r="Y106" s="864"/>
      <c r="Z106" s="864"/>
      <c r="AA106" s="864"/>
      <c r="AB106" s="864"/>
      <c r="AC106" s="864"/>
      <c r="AD106" s="864"/>
      <c r="AE106" s="864"/>
      <c r="AF106" s="864"/>
      <c r="AG106" s="864"/>
      <c r="AH106" s="864"/>
      <c r="AI106" s="864"/>
      <c r="AJ106" s="864"/>
      <c r="AK106" s="864"/>
      <c r="AL106" s="864"/>
      <c r="AM106" s="864"/>
      <c r="AN106" s="864"/>
      <c r="AO106" s="864"/>
      <c r="AP106" s="864"/>
      <c r="AQ106" s="864"/>
      <c r="AR106" s="864"/>
      <c r="AS106" s="864"/>
      <c r="AT106" s="864"/>
      <c r="AU106" s="864"/>
      <c r="AV106" s="864"/>
      <c r="AW106" s="864"/>
      <c r="AX106" s="864"/>
      <c r="AY106" s="864"/>
    </row>
    <row r="107" spans="1:51" s="56" customFormat="1">
      <c r="M107" s="61"/>
      <c r="S107" s="864"/>
      <c r="T107" s="864"/>
      <c r="U107" s="864"/>
      <c r="V107" s="864"/>
      <c r="W107" s="864"/>
      <c r="X107" s="864"/>
      <c r="Y107" s="864"/>
      <c r="Z107" s="864"/>
      <c r="AA107" s="864"/>
      <c r="AB107" s="864"/>
      <c r="AC107" s="864"/>
      <c r="AD107" s="864"/>
      <c r="AE107" s="864"/>
      <c r="AF107" s="864"/>
      <c r="AG107" s="864"/>
      <c r="AH107" s="864"/>
      <c r="AI107" s="864"/>
      <c r="AJ107" s="864"/>
      <c r="AK107" s="864"/>
      <c r="AL107" s="864"/>
      <c r="AM107" s="864"/>
      <c r="AN107" s="864"/>
      <c r="AO107" s="864"/>
      <c r="AP107" s="864"/>
      <c r="AQ107" s="864"/>
      <c r="AR107" s="864"/>
      <c r="AS107" s="864"/>
      <c r="AT107" s="864"/>
      <c r="AU107" s="864"/>
      <c r="AV107" s="864"/>
      <c r="AW107" s="864"/>
      <c r="AX107" s="864"/>
      <c r="AY107" s="864"/>
    </row>
    <row r="108" spans="1:51" s="56" customFormat="1">
      <c r="M108" s="61"/>
      <c r="S108" s="864"/>
      <c r="T108" s="864"/>
      <c r="U108" s="864"/>
      <c r="V108" s="864"/>
      <c r="W108" s="864"/>
      <c r="X108" s="864"/>
      <c r="Y108" s="864"/>
      <c r="Z108" s="864"/>
      <c r="AA108" s="864"/>
      <c r="AB108" s="864"/>
      <c r="AC108" s="864"/>
      <c r="AD108" s="864"/>
      <c r="AE108" s="864"/>
      <c r="AF108" s="864"/>
      <c r="AG108" s="864"/>
      <c r="AH108" s="864"/>
      <c r="AI108" s="864"/>
      <c r="AJ108" s="864"/>
      <c r="AK108" s="864"/>
      <c r="AL108" s="864"/>
      <c r="AM108" s="864"/>
      <c r="AN108" s="864"/>
      <c r="AO108" s="864"/>
      <c r="AP108" s="864"/>
      <c r="AQ108" s="864"/>
      <c r="AR108" s="864"/>
      <c r="AS108" s="864"/>
      <c r="AT108" s="864"/>
      <c r="AU108" s="864"/>
      <c r="AV108" s="864"/>
      <c r="AW108" s="864"/>
      <c r="AX108" s="864"/>
      <c r="AY108" s="864"/>
    </row>
    <row r="109" spans="1:51" s="56" customFormat="1">
      <c r="M109" s="61"/>
      <c r="S109" s="864"/>
      <c r="T109" s="864"/>
      <c r="U109" s="864"/>
      <c r="V109" s="864"/>
      <c r="W109" s="864"/>
      <c r="X109" s="864"/>
      <c r="Y109" s="864"/>
      <c r="Z109" s="864"/>
      <c r="AA109" s="864"/>
      <c r="AB109" s="864"/>
      <c r="AC109" s="864"/>
      <c r="AD109" s="864"/>
      <c r="AE109" s="864"/>
      <c r="AF109" s="864"/>
      <c r="AG109" s="864"/>
      <c r="AH109" s="864"/>
      <c r="AI109" s="864"/>
      <c r="AJ109" s="864"/>
      <c r="AK109" s="864"/>
      <c r="AL109" s="864"/>
      <c r="AM109" s="864"/>
      <c r="AN109" s="864"/>
      <c r="AO109" s="864"/>
      <c r="AP109" s="864"/>
      <c r="AQ109" s="864"/>
      <c r="AR109" s="864"/>
      <c r="AS109" s="864"/>
      <c r="AT109" s="864"/>
      <c r="AU109" s="864"/>
      <c r="AV109" s="864"/>
      <c r="AW109" s="864"/>
      <c r="AX109" s="864"/>
      <c r="AY109" s="864"/>
    </row>
    <row r="110" spans="1:51" s="56" customFormat="1">
      <c r="M110" s="61"/>
      <c r="S110" s="864"/>
      <c r="T110" s="864"/>
      <c r="U110" s="864"/>
      <c r="V110" s="864"/>
      <c r="W110" s="864"/>
      <c r="X110" s="864"/>
      <c r="Y110" s="864"/>
      <c r="Z110" s="864"/>
      <c r="AA110" s="864"/>
      <c r="AB110" s="864"/>
      <c r="AC110" s="864"/>
      <c r="AD110" s="864"/>
      <c r="AE110" s="864"/>
      <c r="AF110" s="864"/>
      <c r="AG110" s="864"/>
      <c r="AH110" s="864"/>
      <c r="AI110" s="864"/>
      <c r="AJ110" s="864"/>
      <c r="AK110" s="864"/>
      <c r="AL110" s="864"/>
      <c r="AM110" s="864"/>
      <c r="AN110" s="864"/>
      <c r="AO110" s="864"/>
      <c r="AP110" s="864"/>
      <c r="AQ110" s="864"/>
      <c r="AR110" s="864"/>
      <c r="AS110" s="864"/>
      <c r="AT110" s="864"/>
      <c r="AU110" s="864"/>
      <c r="AV110" s="864"/>
      <c r="AW110" s="864"/>
      <c r="AX110" s="864"/>
      <c r="AY110" s="864"/>
    </row>
    <row r="111" spans="1:51" s="56" customFormat="1">
      <c r="M111" s="61"/>
      <c r="S111" s="864"/>
      <c r="T111" s="864"/>
      <c r="U111" s="864"/>
      <c r="V111" s="864"/>
      <c r="W111" s="864"/>
      <c r="X111" s="864"/>
      <c r="Y111" s="864"/>
      <c r="Z111" s="864"/>
      <c r="AA111" s="864"/>
      <c r="AB111" s="864"/>
      <c r="AC111" s="864"/>
      <c r="AD111" s="864"/>
      <c r="AE111" s="864"/>
      <c r="AF111" s="864"/>
      <c r="AG111" s="864"/>
      <c r="AH111" s="864"/>
      <c r="AI111" s="864"/>
      <c r="AJ111" s="864"/>
      <c r="AK111" s="864"/>
      <c r="AL111" s="864"/>
      <c r="AM111" s="864"/>
      <c r="AN111" s="864"/>
      <c r="AO111" s="864"/>
      <c r="AP111" s="864"/>
      <c r="AQ111" s="864"/>
      <c r="AR111" s="864"/>
      <c r="AS111" s="864"/>
      <c r="AT111" s="864"/>
      <c r="AU111" s="864"/>
      <c r="AV111" s="864"/>
      <c r="AW111" s="864"/>
      <c r="AX111" s="864"/>
      <c r="AY111" s="864"/>
    </row>
    <row r="112" spans="1:51" s="56" customFormat="1">
      <c r="M112" s="61"/>
      <c r="S112" s="864"/>
      <c r="T112" s="864"/>
      <c r="U112" s="864"/>
      <c r="V112" s="864"/>
      <c r="W112" s="864"/>
      <c r="X112" s="864"/>
      <c r="Y112" s="864"/>
      <c r="Z112" s="864"/>
      <c r="AA112" s="864"/>
      <c r="AB112" s="864"/>
      <c r="AC112" s="864"/>
      <c r="AD112" s="864"/>
      <c r="AE112" s="864"/>
      <c r="AF112" s="864"/>
      <c r="AG112" s="864"/>
      <c r="AH112" s="864"/>
      <c r="AI112" s="864"/>
      <c r="AJ112" s="864"/>
      <c r="AK112" s="864"/>
      <c r="AL112" s="864"/>
      <c r="AM112" s="864"/>
      <c r="AN112" s="864"/>
      <c r="AO112" s="864"/>
      <c r="AP112" s="864"/>
      <c r="AQ112" s="864"/>
      <c r="AR112" s="864"/>
      <c r="AS112" s="864"/>
      <c r="AT112" s="864"/>
      <c r="AU112" s="864"/>
      <c r="AV112" s="864"/>
      <c r="AW112" s="864"/>
      <c r="AX112" s="864"/>
      <c r="AY112" s="864"/>
    </row>
    <row r="113" spans="1:51" s="56" customFormat="1">
      <c r="M113" s="61"/>
      <c r="S113" s="864"/>
      <c r="T113" s="864"/>
      <c r="U113" s="864"/>
      <c r="V113" s="864"/>
      <c r="W113" s="864"/>
      <c r="X113" s="864"/>
      <c r="Y113" s="864"/>
      <c r="Z113" s="864"/>
      <c r="AA113" s="864"/>
      <c r="AB113" s="864"/>
      <c r="AC113" s="864"/>
      <c r="AD113" s="864"/>
      <c r="AE113" s="864"/>
      <c r="AF113" s="864"/>
      <c r="AG113" s="864"/>
      <c r="AH113" s="864"/>
      <c r="AI113" s="864"/>
      <c r="AJ113" s="864"/>
      <c r="AK113" s="864"/>
      <c r="AL113" s="864"/>
      <c r="AM113" s="864"/>
      <c r="AN113" s="864"/>
      <c r="AO113" s="864"/>
      <c r="AP113" s="864"/>
      <c r="AQ113" s="864"/>
      <c r="AR113" s="864"/>
      <c r="AS113" s="864"/>
      <c r="AT113" s="864"/>
      <c r="AU113" s="864"/>
      <c r="AV113" s="864"/>
      <c r="AW113" s="864"/>
      <c r="AX113" s="864"/>
      <c r="AY113" s="864"/>
    </row>
    <row r="114" spans="1:51" s="56" customFormat="1">
      <c r="M114" s="61"/>
      <c r="S114" s="864"/>
      <c r="T114" s="864"/>
      <c r="U114" s="864"/>
      <c r="V114" s="864"/>
      <c r="W114" s="864"/>
      <c r="X114" s="864"/>
      <c r="Y114" s="864"/>
      <c r="Z114" s="864"/>
      <c r="AA114" s="864"/>
      <c r="AB114" s="864"/>
      <c r="AC114" s="864"/>
      <c r="AD114" s="864"/>
      <c r="AE114" s="864"/>
      <c r="AF114" s="864"/>
      <c r="AG114" s="864"/>
      <c r="AH114" s="864"/>
      <c r="AI114" s="864"/>
      <c r="AJ114" s="864"/>
      <c r="AK114" s="864"/>
      <c r="AL114" s="864"/>
      <c r="AM114" s="864"/>
      <c r="AN114" s="864"/>
      <c r="AO114" s="864"/>
      <c r="AP114" s="864"/>
      <c r="AQ114" s="864"/>
      <c r="AR114" s="864"/>
      <c r="AS114" s="864"/>
      <c r="AT114" s="864"/>
      <c r="AU114" s="864"/>
      <c r="AV114" s="864"/>
      <c r="AW114" s="864"/>
      <c r="AX114" s="864"/>
      <c r="AY114" s="864"/>
    </row>
    <row r="115" spans="1:51" s="56" customFormat="1">
      <c r="M115" s="61"/>
      <c r="S115" s="864"/>
      <c r="T115" s="864"/>
      <c r="U115" s="864"/>
      <c r="V115" s="864"/>
      <c r="W115" s="864"/>
      <c r="X115" s="864"/>
      <c r="Y115" s="864"/>
      <c r="Z115" s="864"/>
      <c r="AA115" s="864"/>
      <c r="AB115" s="864"/>
      <c r="AC115" s="864"/>
      <c r="AD115" s="864"/>
      <c r="AE115" s="864"/>
      <c r="AF115" s="864"/>
      <c r="AG115" s="864"/>
      <c r="AH115" s="864"/>
      <c r="AI115" s="864"/>
      <c r="AJ115" s="864"/>
      <c r="AK115" s="864"/>
      <c r="AL115" s="864"/>
      <c r="AM115" s="864"/>
      <c r="AN115" s="864"/>
      <c r="AO115" s="864"/>
      <c r="AP115" s="864"/>
      <c r="AQ115" s="864"/>
      <c r="AR115" s="864"/>
      <c r="AS115" s="864"/>
      <c r="AT115" s="864"/>
      <c r="AU115" s="864"/>
      <c r="AV115" s="864"/>
      <c r="AW115" s="864"/>
      <c r="AX115" s="864"/>
      <c r="AY115" s="864"/>
    </row>
    <row r="116" spans="1:51" s="56" customFormat="1">
      <c r="M116" s="61"/>
      <c r="S116" s="864"/>
      <c r="T116" s="864"/>
      <c r="U116" s="864"/>
      <c r="V116" s="864"/>
      <c r="W116" s="864"/>
      <c r="X116" s="864"/>
      <c r="Y116" s="864"/>
      <c r="Z116" s="864"/>
      <c r="AA116" s="864"/>
      <c r="AB116" s="864"/>
      <c r="AC116" s="864"/>
      <c r="AD116" s="864"/>
      <c r="AE116" s="864"/>
      <c r="AF116" s="864"/>
      <c r="AG116" s="864"/>
      <c r="AH116" s="864"/>
      <c r="AI116" s="864"/>
      <c r="AJ116" s="864"/>
      <c r="AK116" s="864"/>
      <c r="AL116" s="864"/>
      <c r="AM116" s="864"/>
      <c r="AN116" s="864"/>
      <c r="AO116" s="864"/>
      <c r="AP116" s="864"/>
      <c r="AQ116" s="864"/>
      <c r="AR116" s="864"/>
      <c r="AS116" s="864"/>
      <c r="AT116" s="864"/>
      <c r="AU116" s="864"/>
      <c r="AV116" s="864"/>
      <c r="AW116" s="864"/>
      <c r="AX116" s="864"/>
      <c r="AY116" s="864"/>
    </row>
    <row r="117" spans="1:51" s="56" customFormat="1">
      <c r="M117" s="61"/>
      <c r="S117" s="864"/>
      <c r="T117" s="864"/>
      <c r="U117" s="864"/>
      <c r="V117" s="864"/>
      <c r="W117" s="864"/>
      <c r="X117" s="864"/>
      <c r="Y117" s="864"/>
      <c r="Z117" s="864"/>
      <c r="AA117" s="864"/>
      <c r="AB117" s="864"/>
      <c r="AC117" s="864"/>
      <c r="AD117" s="864"/>
      <c r="AE117" s="864"/>
      <c r="AF117" s="864"/>
      <c r="AG117" s="864"/>
      <c r="AH117" s="864"/>
      <c r="AI117" s="864"/>
      <c r="AJ117" s="864"/>
      <c r="AK117" s="864"/>
      <c r="AL117" s="864"/>
      <c r="AM117" s="864"/>
      <c r="AN117" s="864"/>
      <c r="AO117" s="864"/>
      <c r="AP117" s="864"/>
      <c r="AQ117" s="864"/>
      <c r="AR117" s="864"/>
      <c r="AS117" s="864"/>
      <c r="AT117" s="864"/>
      <c r="AU117" s="864"/>
      <c r="AV117" s="864"/>
      <c r="AW117" s="864"/>
      <c r="AX117" s="864"/>
      <c r="AY117" s="864"/>
    </row>
    <row r="118" spans="1:51" s="56" customFormat="1">
      <c r="M118" s="61"/>
      <c r="S118" s="864"/>
      <c r="T118" s="864"/>
      <c r="U118" s="864"/>
      <c r="V118" s="864"/>
      <c r="W118" s="864"/>
      <c r="X118" s="864"/>
      <c r="Y118" s="864"/>
      <c r="Z118" s="864"/>
      <c r="AA118" s="864"/>
      <c r="AB118" s="864"/>
      <c r="AC118" s="864"/>
      <c r="AD118" s="864"/>
      <c r="AE118" s="864"/>
      <c r="AF118" s="864"/>
      <c r="AG118" s="864"/>
      <c r="AH118" s="864"/>
      <c r="AI118" s="864"/>
      <c r="AJ118" s="864"/>
      <c r="AK118" s="864"/>
      <c r="AL118" s="864"/>
      <c r="AM118" s="864"/>
      <c r="AN118" s="864"/>
      <c r="AO118" s="864"/>
      <c r="AP118" s="864"/>
      <c r="AQ118" s="864"/>
      <c r="AR118" s="864"/>
      <c r="AS118" s="864"/>
      <c r="AT118" s="864"/>
      <c r="AU118" s="864"/>
      <c r="AV118" s="864"/>
      <c r="AW118" s="864"/>
      <c r="AX118" s="864"/>
      <c r="AY118" s="864"/>
    </row>
    <row r="119" spans="1:51" s="56" customFormat="1">
      <c r="M119" s="61"/>
      <c r="S119" s="864"/>
      <c r="T119" s="864"/>
      <c r="U119" s="864"/>
      <c r="V119" s="864"/>
      <c r="W119" s="864"/>
      <c r="X119" s="864"/>
      <c r="Y119" s="864"/>
      <c r="Z119" s="864"/>
      <c r="AA119" s="864"/>
      <c r="AB119" s="864"/>
      <c r="AC119" s="864"/>
      <c r="AD119" s="864"/>
      <c r="AE119" s="864"/>
      <c r="AF119" s="864"/>
      <c r="AG119" s="864"/>
      <c r="AH119" s="864"/>
      <c r="AI119" s="864"/>
      <c r="AJ119" s="864"/>
      <c r="AK119" s="864"/>
      <c r="AL119" s="864"/>
      <c r="AM119" s="864"/>
      <c r="AN119" s="864"/>
      <c r="AO119" s="864"/>
      <c r="AP119" s="864"/>
      <c r="AQ119" s="864"/>
      <c r="AR119" s="864"/>
      <c r="AS119" s="864"/>
      <c r="AT119" s="864"/>
      <c r="AU119" s="864"/>
      <c r="AV119" s="864"/>
      <c r="AW119" s="864"/>
      <c r="AX119" s="864"/>
      <c r="AY119" s="864"/>
    </row>
    <row r="120" spans="1:51" s="56" customFormat="1">
      <c r="M120" s="61"/>
      <c r="S120" s="864"/>
      <c r="T120" s="864"/>
      <c r="U120" s="864"/>
      <c r="V120" s="864"/>
      <c r="W120" s="864"/>
      <c r="X120" s="864"/>
      <c r="Y120" s="864"/>
      <c r="Z120" s="864"/>
      <c r="AA120" s="864"/>
      <c r="AB120" s="864"/>
      <c r="AC120" s="864"/>
      <c r="AD120" s="864"/>
      <c r="AE120" s="864"/>
      <c r="AF120" s="864"/>
      <c r="AG120" s="864"/>
      <c r="AH120" s="864"/>
      <c r="AI120" s="864"/>
      <c r="AJ120" s="864"/>
      <c r="AK120" s="864"/>
      <c r="AL120" s="864"/>
      <c r="AM120" s="864"/>
      <c r="AN120" s="864"/>
      <c r="AO120" s="864"/>
      <c r="AP120" s="864"/>
      <c r="AQ120" s="864"/>
      <c r="AR120" s="864"/>
      <c r="AS120" s="864"/>
      <c r="AT120" s="864"/>
      <c r="AU120" s="864"/>
      <c r="AV120" s="864"/>
      <c r="AW120" s="864"/>
      <c r="AX120" s="864"/>
      <c r="AY120" s="864"/>
    </row>
    <row r="121" spans="1:51" s="56" customFormat="1">
      <c r="M121" s="61"/>
      <c r="S121" s="864"/>
      <c r="T121" s="864"/>
      <c r="U121" s="864"/>
      <c r="V121" s="864"/>
      <c r="W121" s="864"/>
      <c r="X121" s="864"/>
      <c r="Y121" s="864"/>
      <c r="Z121" s="864"/>
      <c r="AA121" s="864"/>
      <c r="AB121" s="864"/>
      <c r="AC121" s="864"/>
      <c r="AD121" s="864"/>
      <c r="AE121" s="864"/>
      <c r="AF121" s="864"/>
      <c r="AG121" s="864"/>
      <c r="AH121" s="864"/>
      <c r="AI121" s="864"/>
      <c r="AJ121" s="864"/>
      <c r="AK121" s="864"/>
      <c r="AL121" s="864"/>
      <c r="AM121" s="864"/>
      <c r="AN121" s="864"/>
      <c r="AO121" s="864"/>
      <c r="AP121" s="864"/>
      <c r="AQ121" s="864"/>
      <c r="AR121" s="864"/>
      <c r="AS121" s="864"/>
      <c r="AT121" s="864"/>
      <c r="AU121" s="864"/>
      <c r="AV121" s="864"/>
      <c r="AW121" s="864"/>
      <c r="AX121" s="864"/>
      <c r="AY121" s="864"/>
    </row>
    <row r="122" spans="1:51" s="56" customFormat="1">
      <c r="M122" s="61"/>
      <c r="S122" s="864"/>
      <c r="T122" s="864"/>
      <c r="U122" s="864"/>
      <c r="V122" s="864"/>
      <c r="W122" s="864"/>
      <c r="X122" s="864"/>
      <c r="Y122" s="864"/>
      <c r="Z122" s="864"/>
      <c r="AA122" s="864"/>
      <c r="AB122" s="864"/>
      <c r="AC122" s="864"/>
      <c r="AD122" s="864"/>
      <c r="AE122" s="864"/>
      <c r="AF122" s="864"/>
      <c r="AG122" s="864"/>
      <c r="AH122" s="864"/>
      <c r="AI122" s="864"/>
      <c r="AJ122" s="864"/>
      <c r="AK122" s="864"/>
      <c r="AL122" s="864"/>
      <c r="AM122" s="864"/>
      <c r="AN122" s="864"/>
      <c r="AO122" s="864"/>
      <c r="AP122" s="864"/>
      <c r="AQ122" s="864"/>
      <c r="AR122" s="864"/>
      <c r="AS122" s="864"/>
      <c r="AT122" s="864"/>
      <c r="AU122" s="864"/>
      <c r="AV122" s="864"/>
      <c r="AW122" s="864"/>
      <c r="AX122" s="864"/>
      <c r="AY122" s="864"/>
    </row>
    <row r="123" spans="1:51">
      <c r="A123" s="56"/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61"/>
      <c r="N123" s="56"/>
      <c r="O123" s="56"/>
      <c r="P123" s="56"/>
      <c r="Q123" s="56"/>
      <c r="R123" s="56"/>
      <c r="S123" s="864"/>
    </row>
    <row r="124" spans="1:51">
      <c r="A124" s="56"/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61"/>
      <c r="N124" s="56"/>
      <c r="O124" s="56"/>
      <c r="P124" s="56"/>
      <c r="Q124" s="56"/>
      <c r="R124" s="56"/>
      <c r="S124" s="864"/>
    </row>
    <row r="125" spans="1:51">
      <c r="A125" s="56"/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61"/>
      <c r="N125" s="56"/>
      <c r="O125" s="56"/>
      <c r="P125" s="56"/>
      <c r="Q125" s="56"/>
      <c r="R125" s="56"/>
    </row>
    <row r="126" spans="1:51">
      <c r="A126" s="56"/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61"/>
      <c r="N126" s="56"/>
      <c r="O126" s="56"/>
      <c r="P126" s="56"/>
      <c r="Q126" s="56"/>
      <c r="R126" s="56"/>
    </row>
    <row r="127" spans="1:51"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61"/>
      <c r="N127" s="56"/>
      <c r="O127" s="56"/>
      <c r="P127" s="56"/>
      <c r="Q127" s="56"/>
      <c r="R127" s="56"/>
    </row>
    <row r="128" spans="1:51"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61"/>
      <c r="N128" s="56"/>
      <c r="O128" s="56"/>
      <c r="P128" s="56"/>
      <c r="Q128" s="56"/>
      <c r="R128" s="56"/>
    </row>
    <row r="129" spans="2:17"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61"/>
      <c r="N129" s="56"/>
      <c r="O129" s="56"/>
      <c r="P129" s="56"/>
      <c r="Q129" s="56"/>
    </row>
    <row r="130" spans="2:17"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61"/>
      <c r="N130" s="56"/>
      <c r="O130" s="56"/>
      <c r="P130" s="56"/>
      <c r="Q130" s="56"/>
    </row>
    <row r="131" spans="2:17"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61"/>
      <c r="N131" s="56"/>
      <c r="O131" s="56"/>
      <c r="P131" s="56"/>
      <c r="Q131" s="56"/>
    </row>
    <row r="132" spans="2:17"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61"/>
      <c r="N132" s="56"/>
      <c r="O132" s="56"/>
      <c r="P132" s="56"/>
      <c r="Q132" s="56"/>
    </row>
    <row r="133" spans="2:17"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61"/>
      <c r="N133" s="56"/>
      <c r="O133" s="56"/>
      <c r="P133" s="56"/>
      <c r="Q133" s="56"/>
    </row>
    <row r="134" spans="2:17"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61"/>
      <c r="N134" s="56"/>
      <c r="O134" s="56"/>
      <c r="P134" s="56"/>
      <c r="Q134" s="56"/>
    </row>
    <row r="135" spans="2:17">
      <c r="D135" s="56"/>
      <c r="E135" s="56"/>
      <c r="F135" s="56"/>
      <c r="G135" s="56"/>
      <c r="H135" s="56"/>
      <c r="I135" s="56"/>
      <c r="J135" s="56"/>
      <c r="K135" s="56"/>
      <c r="L135" s="56"/>
      <c r="M135" s="61"/>
      <c r="N135" s="56"/>
      <c r="O135" s="56"/>
      <c r="P135" s="56"/>
      <c r="Q135" s="56"/>
    </row>
    <row r="136" spans="2:17">
      <c r="D136" s="56"/>
      <c r="E136" s="56"/>
      <c r="F136" s="56"/>
      <c r="G136" s="56"/>
      <c r="H136" s="56"/>
      <c r="I136" s="56"/>
      <c r="J136" s="56"/>
      <c r="K136" s="56"/>
      <c r="L136" s="56"/>
      <c r="M136" s="61"/>
      <c r="N136" s="56"/>
      <c r="O136" s="56"/>
      <c r="P136" s="56"/>
      <c r="Q136" s="56"/>
    </row>
    <row r="137" spans="2:17">
      <c r="D137" s="56"/>
      <c r="E137" s="56"/>
      <c r="F137" s="56"/>
      <c r="G137" s="56"/>
      <c r="H137" s="56"/>
      <c r="I137" s="56"/>
      <c r="J137" s="56"/>
      <c r="K137" s="56"/>
      <c r="L137" s="56"/>
      <c r="M137" s="61"/>
      <c r="N137" s="56"/>
      <c r="O137" s="56"/>
    </row>
    <row r="138" spans="2:17">
      <c r="D138" s="56"/>
      <c r="E138" s="56"/>
      <c r="F138" s="56"/>
      <c r="G138" s="56"/>
      <c r="H138" s="56"/>
      <c r="I138" s="56"/>
      <c r="J138" s="56"/>
      <c r="K138" s="56"/>
      <c r="L138" s="56"/>
      <c r="M138" s="61"/>
      <c r="N138" s="56"/>
      <c r="O138" s="56"/>
    </row>
    <row r="139" spans="2:17">
      <c r="D139" s="56"/>
      <c r="E139" s="56"/>
      <c r="F139" s="56"/>
      <c r="G139" s="56"/>
      <c r="H139" s="56"/>
      <c r="I139" s="56"/>
      <c r="J139" s="56"/>
      <c r="K139" s="56"/>
      <c r="L139" s="56"/>
      <c r="M139" s="61"/>
      <c r="N139" s="56"/>
      <c r="O139" s="56"/>
    </row>
  </sheetData>
  <sheetProtection sheet="1" objects="1" scenarios="1" selectLockedCells="1"/>
  <mergeCells count="1">
    <mergeCell ref="E38:H38"/>
  </mergeCells>
  <conditionalFormatting sqref="H21 H23">
    <cfRule type="expression" dxfId="5" priority="27">
      <formula>$G$5&gt;1</formula>
    </cfRule>
  </conditionalFormatting>
  <conditionalFormatting sqref="H22">
    <cfRule type="expression" dxfId="4" priority="30">
      <formula>$G$5&lt;2</formula>
    </cfRule>
  </conditionalFormatting>
  <conditionalFormatting sqref="H24">
    <cfRule type="expression" dxfId="3" priority="29">
      <formula>$G$5&gt;1</formula>
    </cfRule>
  </conditionalFormatting>
  <conditionalFormatting sqref="V4">
    <cfRule type="expression" dxfId="2" priority="31">
      <formula>G16=#REF!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3D39E-8038-46EC-B9B8-9F75E819E5E4}">
  <sheetPr codeName="Sheet7">
    <tabColor rgb="FFFFFF00"/>
  </sheetPr>
  <dimension ref="D2:J9"/>
  <sheetViews>
    <sheetView workbookViewId="0">
      <selection activeCell="E6" sqref="E6"/>
    </sheetView>
  </sheetViews>
  <sheetFormatPr defaultRowHeight="15"/>
  <cols>
    <col min="4" max="4" width="21.140625" bestFit="1" customWidth="1"/>
    <col min="5" max="5" width="11.5703125" bestFit="1" customWidth="1"/>
    <col min="6" max="6" width="10.85546875" customWidth="1"/>
    <col min="9" max="9" width="15" hidden="1" customWidth="1"/>
    <col min="10" max="10" width="9" bestFit="1" customWidth="1"/>
  </cols>
  <sheetData>
    <row r="2" spans="4:10">
      <c r="D2" s="851" t="s">
        <v>384</v>
      </c>
    </row>
    <row r="4" spans="4:10">
      <c r="D4" s="849" t="s">
        <v>385</v>
      </c>
      <c r="E4" s="850">
        <f>24*48</f>
        <v>1152</v>
      </c>
      <c r="I4" t="s">
        <v>386</v>
      </c>
      <c r="J4">
        <v>0.15</v>
      </c>
    </row>
    <row r="5" spans="4:10">
      <c r="D5" s="849" t="s">
        <v>387</v>
      </c>
      <c r="E5" s="850">
        <v>2</v>
      </c>
      <c r="F5" s="852" t="s">
        <v>388</v>
      </c>
      <c r="I5" t="s">
        <v>389</v>
      </c>
      <c r="J5" s="847">
        <v>125</v>
      </c>
    </row>
    <row r="6" spans="4:10">
      <c r="D6" s="849" t="s">
        <v>390</v>
      </c>
      <c r="E6" s="848">
        <f>$J$4*E4</f>
        <v>172.79999999999998</v>
      </c>
      <c r="F6" s="853">
        <f>E6/100</f>
        <v>1.7279999999999998</v>
      </c>
    </row>
    <row r="7" spans="4:10">
      <c r="D7" s="849" t="s">
        <v>391</v>
      </c>
      <c r="E7" s="848">
        <f>E5*$J$5</f>
        <v>250</v>
      </c>
      <c r="F7" s="853">
        <f>E7/125</f>
        <v>2</v>
      </c>
    </row>
    <row r="8" spans="4:10">
      <c r="D8" s="849" t="s">
        <v>392</v>
      </c>
      <c r="E8" s="848">
        <v>1200</v>
      </c>
      <c r="F8" s="853">
        <f>E8/100</f>
        <v>12</v>
      </c>
    </row>
    <row r="9" spans="4:10">
      <c r="D9" s="849" t="s">
        <v>371</v>
      </c>
      <c r="E9" s="855">
        <f>+SUM(E6:E8)</f>
        <v>1622.8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AB44A-B23E-4630-A5DF-BF51BD290547}">
  <sheetPr codeName="Sheet8">
    <tabColor theme="9" tint="-0.249977111117893"/>
    <pageSetUpPr fitToPage="1"/>
  </sheetPr>
  <dimension ref="B1:V44"/>
  <sheetViews>
    <sheetView showGridLines="0" zoomScaleNormal="100" workbookViewId="0">
      <selection activeCell="I22" sqref="I22"/>
    </sheetView>
  </sheetViews>
  <sheetFormatPr defaultRowHeight="15"/>
  <cols>
    <col min="1" max="1" width="2.85546875" customWidth="1"/>
    <col min="7" max="7" width="6.28515625" customWidth="1"/>
    <col min="8" max="8" width="23.140625" customWidth="1"/>
    <col min="9" max="9" width="14.28515625" style="8" bestFit="1" customWidth="1"/>
    <col min="10" max="10" width="3.28515625" style="8" customWidth="1"/>
    <col min="11" max="12" width="9" style="8" customWidth="1"/>
    <col min="13" max="13" width="3.28515625" style="8" customWidth="1"/>
    <col min="14" max="16" width="17.5703125" style="8" customWidth="1"/>
    <col min="17" max="17" width="4.7109375" style="8" customWidth="1"/>
    <col min="18" max="18" width="3.42578125" style="8" customWidth="1"/>
    <col min="21" max="21" width="11.7109375" style="8" hidden="1" customWidth="1"/>
    <col min="22" max="22" width="9.140625" hidden="1" customWidth="1"/>
    <col min="23" max="23" width="0" hidden="1" customWidth="1"/>
  </cols>
  <sheetData>
    <row r="1" spans="2:22" ht="16.5" customHeight="1">
      <c r="B1" s="386"/>
      <c r="C1" s="387"/>
      <c r="D1" s="388"/>
      <c r="E1" s="389"/>
      <c r="F1" s="390"/>
      <c r="G1" s="391"/>
      <c r="H1" s="392"/>
      <c r="I1" s="48"/>
      <c r="J1" s="48"/>
      <c r="K1" s="48"/>
      <c r="L1" s="47"/>
      <c r="M1" s="759"/>
      <c r="N1" s="758"/>
      <c r="O1" s="51"/>
      <c r="P1" s="52"/>
      <c r="Q1" s="53"/>
      <c r="R1" s="54"/>
      <c r="S1" s="55"/>
      <c r="T1" s="56"/>
      <c r="U1"/>
    </row>
    <row r="2" spans="2:22" ht="15.75" thickBot="1">
      <c r="K2" s="48"/>
      <c r="L2" s="48"/>
    </row>
    <row r="3" spans="2:22" ht="18.75">
      <c r="B3" s="713" t="s">
        <v>393</v>
      </c>
      <c r="C3" s="714"/>
      <c r="D3" s="714"/>
      <c r="E3" s="714"/>
      <c r="F3" s="714"/>
      <c r="G3" s="714"/>
      <c r="H3" s="714"/>
      <c r="I3" s="715"/>
      <c r="K3" s="48"/>
      <c r="L3" s="48"/>
      <c r="M3"/>
      <c r="N3" s="38"/>
      <c r="O3" s="785" t="s">
        <v>394</v>
      </c>
      <c r="P3" s="7"/>
      <c r="Q3" s="7"/>
      <c r="R3" s="39"/>
      <c r="U3" s="13"/>
    </row>
    <row r="4" spans="2:22">
      <c r="K4" s="48"/>
      <c r="L4" s="48"/>
      <c r="M4"/>
      <c r="N4" s="40"/>
      <c r="O4" s="10" t="str">
        <f>'Washington Only'!G4</f>
        <v>Structural Plan Review time period:</v>
      </c>
      <c r="P4" s="11" t="str">
        <f>'Washington Only'!H4</f>
        <v>Master Plan</v>
      </c>
      <c r="Q4" s="12"/>
      <c r="R4" s="41"/>
      <c r="U4" s="15"/>
    </row>
    <row r="5" spans="2:22" ht="15.75">
      <c r="B5" s="716" t="s">
        <v>395</v>
      </c>
      <c r="C5" s="717"/>
      <c r="D5" s="717"/>
      <c r="E5" s="717"/>
      <c r="F5" s="717"/>
      <c r="G5" s="717"/>
      <c r="H5" s="717"/>
      <c r="I5" s="718"/>
      <c r="K5" s="48"/>
      <c r="L5" s="48"/>
      <c r="M5"/>
      <c r="N5" s="40"/>
      <c r="O5" s="10" t="str">
        <f>'Washington Only'!G5</f>
        <v>Is the building an A, I or H:</v>
      </c>
      <c r="P5" s="11" t="str">
        <f>'Washington Only'!H5</f>
        <v>No</v>
      </c>
      <c r="Q5" s="12"/>
      <c r="R5" s="41"/>
      <c r="U5" s="17"/>
      <c r="V5" s="18" t="s">
        <v>396</v>
      </c>
    </row>
    <row r="6" spans="2:22">
      <c r="B6" s="719" t="s">
        <v>397</v>
      </c>
      <c r="C6" s="719"/>
      <c r="D6" s="719"/>
      <c r="E6" s="719" t="s">
        <v>398</v>
      </c>
      <c r="F6" s="720" t="s">
        <v>399</v>
      </c>
      <c r="G6" s="721"/>
      <c r="H6" s="722"/>
      <c r="I6" s="719" t="s">
        <v>400</v>
      </c>
      <c r="K6" s="48"/>
      <c r="L6" s="48"/>
      <c r="M6"/>
      <c r="N6" s="40"/>
      <c r="O6" s="10" t="str">
        <f>'Washington Only'!G6</f>
        <v>Type of Building:</v>
      </c>
      <c r="P6" s="11" t="str">
        <f>'Washington Only'!H6</f>
        <v>Office</v>
      </c>
      <c r="Q6" s="12"/>
      <c r="R6" s="41"/>
      <c r="U6" s="17"/>
      <c r="V6" s="18" t="s">
        <v>396</v>
      </c>
    </row>
    <row r="7" spans="2:22">
      <c r="B7" s="719" t="s">
        <v>401</v>
      </c>
      <c r="C7" s="719"/>
      <c r="D7" s="719"/>
      <c r="E7" s="723" t="str">
        <f>'Washington Only'!H6</f>
        <v>Office</v>
      </c>
      <c r="F7" s="720" t="s">
        <v>402</v>
      </c>
      <c r="G7" s="721"/>
      <c r="H7" s="722"/>
      <c r="I7" s="724" t="str">
        <f>'Washington Only'!AB21</f>
        <v>B</v>
      </c>
      <c r="K7" s="48"/>
      <c r="L7" s="48"/>
      <c r="M7"/>
      <c r="N7" s="40"/>
      <c r="O7" s="10" t="str">
        <f>'Washington Only'!G7</f>
        <v xml:space="preserve">---  </v>
      </c>
      <c r="P7" s="16">
        <f>'Washington Only'!H7</f>
        <v>0</v>
      </c>
      <c r="Q7" s="12"/>
      <c r="R7" s="41"/>
      <c r="U7" s="19"/>
    </row>
    <row r="8" spans="2:22">
      <c r="B8" s="719" t="s">
        <v>403</v>
      </c>
      <c r="C8" s="719"/>
      <c r="D8" s="719"/>
      <c r="E8" s="719" t="s">
        <v>404</v>
      </c>
      <c r="F8" s="720" t="s">
        <v>405</v>
      </c>
      <c r="G8" s="721"/>
      <c r="H8" s="722"/>
      <c r="I8" s="725">
        <f>'Washington Only'!H11</f>
        <v>4320</v>
      </c>
      <c r="K8" s="48"/>
      <c r="L8" s="48"/>
      <c r="M8"/>
      <c r="N8" s="40"/>
      <c r="O8" s="10" t="str">
        <f>'Washington Only'!G8</f>
        <v>Number of Buildings</v>
      </c>
      <c r="P8" s="20">
        <f>'Washington Only'!H8</f>
        <v>2</v>
      </c>
      <c r="Q8" s="12"/>
      <c r="R8" s="41"/>
      <c r="U8" s="19"/>
    </row>
    <row r="9" spans="2:22">
      <c r="B9" s="726" t="s">
        <v>406</v>
      </c>
      <c r="C9" s="727"/>
      <c r="D9" s="727"/>
      <c r="E9" s="727"/>
      <c r="F9" s="727"/>
      <c r="G9" s="727"/>
      <c r="H9" s="728"/>
      <c r="I9" s="729"/>
      <c r="K9" s="48"/>
      <c r="L9" s="48"/>
      <c r="M9"/>
      <c r="N9" s="40"/>
      <c r="O9" s="10" t="str">
        <f>'Washington Only'!G9</f>
        <v>How many Mods is the building:</v>
      </c>
      <c r="P9" s="20">
        <f>'Washington Only'!H9</f>
        <v>6</v>
      </c>
      <c r="Q9" s="12"/>
      <c r="R9" s="41"/>
      <c r="U9" s="19"/>
    </row>
    <row r="10" spans="2:22">
      <c r="B10" s="730" t="s">
        <v>407</v>
      </c>
      <c r="C10" s="731"/>
      <c r="D10" s="731"/>
      <c r="E10" s="731"/>
      <c r="F10" s="731"/>
      <c r="G10" s="731"/>
      <c r="H10" s="732"/>
      <c r="I10" s="733"/>
      <c r="K10" s="48"/>
      <c r="L10" s="48"/>
      <c r="M10"/>
      <c r="N10" s="40"/>
      <c r="O10" s="10"/>
      <c r="P10" s="10"/>
      <c r="Q10" s="12"/>
      <c r="R10" s="41"/>
      <c r="U10" s="21"/>
    </row>
    <row r="11" spans="2:22" ht="18">
      <c r="B11" s="734"/>
      <c r="C11" s="735"/>
      <c r="D11" s="735"/>
      <c r="E11" s="735"/>
      <c r="F11" s="735"/>
      <c r="G11" s="735"/>
      <c r="H11" s="736"/>
      <c r="I11" s="737">
        <f>'Washington Only'!AA21</f>
        <v>118.02952000000002</v>
      </c>
      <c r="K11" s="48"/>
      <c r="L11" s="48"/>
      <c r="M11"/>
      <c r="N11" s="40"/>
      <c r="O11" s="10" t="str">
        <f>'Washington Only'!G11</f>
        <v>Design SQFT Entry:</v>
      </c>
      <c r="P11" s="20">
        <f>'Washington Only'!H11</f>
        <v>4320</v>
      </c>
      <c r="Q11" s="12"/>
      <c r="R11" s="41"/>
      <c r="U11" s="24"/>
      <c r="V11" s="18">
        <v>1</v>
      </c>
    </row>
    <row r="12" spans="2:22" ht="17.25">
      <c r="B12" s="720" t="s">
        <v>408</v>
      </c>
      <c r="C12" s="721"/>
      <c r="D12" s="721"/>
      <c r="E12" s="721"/>
      <c r="F12" s="721"/>
      <c r="G12" s="721"/>
      <c r="H12" s="722"/>
      <c r="I12" s="738">
        <f>'Washington Only'!AB92</f>
        <v>509887.52640000009</v>
      </c>
      <c r="K12" s="48"/>
      <c r="L12" s="48"/>
      <c r="M12"/>
      <c r="N12" s="40"/>
      <c r="O12" s="10" t="str">
        <f>'Washington Only'!G12</f>
        <v>Total number of plumbing fixtures:</v>
      </c>
      <c r="P12" s="20">
        <f>'Washington Only'!H12</f>
        <v>5</v>
      </c>
      <c r="Q12" s="12"/>
      <c r="R12" s="41"/>
      <c r="U12" s="25"/>
    </row>
    <row r="13" spans="2:22" ht="18">
      <c r="B13" s="716" t="s">
        <v>409</v>
      </c>
      <c r="C13" s="717"/>
      <c r="D13" s="717"/>
      <c r="E13" s="717"/>
      <c r="F13" s="717"/>
      <c r="G13" s="717"/>
      <c r="H13" s="718"/>
      <c r="I13" s="739">
        <f>'Washington Only'!P6</f>
        <v>3491.25</v>
      </c>
      <c r="K13" s="96"/>
      <c r="L13" s="96"/>
      <c r="M13"/>
      <c r="N13" s="40"/>
      <c r="O13" s="10" t="str">
        <f>'Washington Only'!G13</f>
        <v>Thermostat: Total number of units:</v>
      </c>
      <c r="P13" s="20">
        <f>'Washington Only'!H13</f>
        <v>10</v>
      </c>
      <c r="Q13" s="12"/>
      <c r="R13" s="41"/>
      <c r="U13" s="26"/>
      <c r="V13" s="18">
        <v>2</v>
      </c>
    </row>
    <row r="14" spans="2:22" ht="17.25">
      <c r="B14" s="719" t="s">
        <v>410</v>
      </c>
      <c r="C14" s="719"/>
      <c r="D14" s="719"/>
      <c r="E14" s="719"/>
      <c r="F14" s="719"/>
      <c r="G14" s="719"/>
      <c r="H14" s="719"/>
      <c r="I14" s="740"/>
      <c r="K14" s="101"/>
      <c r="L14" s="101"/>
      <c r="M14"/>
      <c r="N14" s="40"/>
      <c r="O14" s="10"/>
      <c r="P14" s="12"/>
      <c r="Q14" s="12"/>
      <c r="R14" s="41"/>
      <c r="U14" s="29"/>
      <c r="V14" s="18">
        <v>2</v>
      </c>
    </row>
    <row r="15" spans="2:22" ht="18">
      <c r="B15" s="716" t="s">
        <v>411</v>
      </c>
      <c r="C15" s="717"/>
      <c r="D15" s="717"/>
      <c r="E15" s="717"/>
      <c r="F15" s="717"/>
      <c r="G15" s="717"/>
      <c r="H15" s="718"/>
      <c r="I15" s="741">
        <f>'Washington Only'!Q10</f>
        <v>2265.82125</v>
      </c>
      <c r="K15" s="105"/>
      <c r="L15" s="105"/>
      <c r="M15"/>
      <c r="N15" s="40"/>
      <c r="O15" s="10" t="str">
        <f>'Washington Only'!G8</f>
        <v>Number of Buildings</v>
      </c>
      <c r="P15" s="20">
        <f>'Washington Only'!H8</f>
        <v>2</v>
      </c>
      <c r="Q15" s="12"/>
      <c r="R15" s="41"/>
      <c r="U15" s="25"/>
    </row>
    <row r="16" spans="2:22" ht="17.25">
      <c r="B16" s="742" t="str">
        <f>CONCATENATE("8. One year design review (Valid for one year) multiply the total on line 7 by ",'Washington Only'!AI47)</f>
        <v>8. One year design review (Valid for one year) multiply the total on line 7 by 0.454</v>
      </c>
      <c r="C16" s="743"/>
      <c r="D16" s="743"/>
      <c r="E16" s="743"/>
      <c r="F16" s="743"/>
      <c r="G16" s="743"/>
      <c r="H16" s="744"/>
      <c r="I16" s="745" t="str">
        <f>IF('Washington Only'!H4='Washington Only'!AH47,'Washington Only'!Q10,"")</f>
        <v/>
      </c>
      <c r="K16" s="109"/>
      <c r="L16" s="109"/>
      <c r="M16"/>
      <c r="N16" s="42"/>
      <c r="O16" s="12"/>
      <c r="P16" s="12"/>
      <c r="Q16" s="12"/>
      <c r="R16" s="41"/>
      <c r="U16" s="25"/>
    </row>
    <row r="17" spans="2:22" ht="15.75">
      <c r="B17" s="720" t="str">
        <f>CONCATENATE("9.  Master plan review (Valid for the code cycle) multiply the total on line 7 by ",'Washington Only'!AI48)</f>
        <v>9.  Master plan review (Valid for the code cycle) multiply the total on line 7 by 0.649</v>
      </c>
      <c r="C17" s="721"/>
      <c r="D17" s="721"/>
      <c r="E17" s="721"/>
      <c r="F17" s="721"/>
      <c r="G17" s="721"/>
      <c r="H17" s="722"/>
      <c r="I17" s="740">
        <f>IF('Washington Only'!H4='Washington Only'!AH48,'Washington Only'!Q10,"")</f>
        <v>2265.82125</v>
      </c>
      <c r="K17" s="110"/>
      <c r="L17" s="110"/>
      <c r="M17"/>
      <c r="N17" s="42"/>
      <c r="O17" s="22" t="str">
        <f>'Washington Only'!G15</f>
        <v>Electrical</v>
      </c>
      <c r="P17" s="23" t="str">
        <f>'Washington Only'!H15</f>
        <v>Panel Amps</v>
      </c>
      <c r="Q17" s="46" t="str">
        <f>'Washington Only'!I15</f>
        <v>Quantity</v>
      </c>
      <c r="R17" s="45"/>
      <c r="U17" s="31"/>
    </row>
    <row r="18" spans="2:22">
      <c r="B18" s="746" t="str">
        <f>CONCATENATE("* Minimum plan review fee is ",'Washington Only'!AH41," hours X ",'Washington Only'!AI41," /hour")</f>
        <v>* Minimum plan review fee is 2.5 hours X 118.2104 /hour</v>
      </c>
      <c r="C18" s="721"/>
      <c r="D18" s="721"/>
      <c r="E18" s="721"/>
      <c r="F18" s="721"/>
      <c r="G18" s="721"/>
      <c r="H18" s="722"/>
      <c r="I18" s="740"/>
      <c r="K18" s="113"/>
      <c r="L18" s="113"/>
      <c r="M18"/>
      <c r="N18" s="42"/>
      <c r="O18" s="10" t="str">
        <f>'Washington Only'!G16</f>
        <v>First panel(s):</v>
      </c>
      <c r="P18" s="20">
        <f>'Washington Only'!H16</f>
        <v>200</v>
      </c>
      <c r="Q18" s="20">
        <f>'Washington Only'!I16</f>
        <v>1</v>
      </c>
      <c r="R18" s="45"/>
      <c r="U18" s="25"/>
    </row>
    <row r="19" spans="2:22" ht="18">
      <c r="B19" s="747" t="s">
        <v>412</v>
      </c>
      <c r="C19" s="748"/>
      <c r="D19" s="748"/>
      <c r="E19" s="748"/>
      <c r="F19" s="748"/>
      <c r="G19" s="748"/>
      <c r="H19" s="748"/>
      <c r="I19" s="749"/>
      <c r="K19" s="115"/>
      <c r="L19" s="115"/>
      <c r="M19"/>
      <c r="N19" s="42"/>
      <c r="O19" s="10" t="str">
        <f>'Washington Only'!G17</f>
        <v>Second panel(s):</v>
      </c>
      <c r="P19" s="20">
        <f>'Washington Only'!H17</f>
        <v>0</v>
      </c>
      <c r="Q19" s="20">
        <f>'Washington Only'!I17</f>
        <v>0</v>
      </c>
      <c r="R19" s="45"/>
      <c r="U19" s="29"/>
      <c r="V19" s="18">
        <v>3</v>
      </c>
    </row>
    <row r="20" spans="2:22" ht="17.25">
      <c r="B20" s="726" t="s">
        <v>413</v>
      </c>
      <c r="C20" s="727"/>
      <c r="D20" s="727"/>
      <c r="E20" s="727"/>
      <c r="F20" s="727"/>
      <c r="G20" s="727"/>
      <c r="H20" s="727"/>
      <c r="I20" s="750"/>
      <c r="K20" s="121"/>
      <c r="L20" s="121"/>
      <c r="M20"/>
      <c r="N20" s="42"/>
      <c r="O20" s="10"/>
      <c r="P20" s="28"/>
      <c r="Q20" s="12"/>
      <c r="R20" s="41"/>
      <c r="U20" s="29"/>
      <c r="V20" s="18">
        <v>3</v>
      </c>
    </row>
    <row r="21" spans="2:22" ht="18" thickBot="1">
      <c r="B21" s="751" t="str">
        <f>CONCATENATE("a.  One year design—Multiply the total on line 7 by ", 'Washington Only'!AI59)</f>
        <v>a.  One year design—Multiply the total on line 7 by 0.194</v>
      </c>
      <c r="C21" s="731"/>
      <c r="D21" s="731"/>
      <c r="E21" s="731"/>
      <c r="F21" s="731"/>
      <c r="G21" s="731"/>
      <c r="H21" s="731"/>
      <c r="I21" s="752" t="str">
        <f>IF('Washington Only'!H4='Washington Only'!AH47,'Washington Only'!Q11,"")</f>
        <v/>
      </c>
      <c r="K21" s="124"/>
      <c r="L21" s="124"/>
      <c r="M21"/>
      <c r="N21" s="43"/>
      <c r="O21" s="32"/>
      <c r="P21" s="33"/>
      <c r="Q21" s="32"/>
      <c r="R21" s="44"/>
      <c r="U21" s="34"/>
    </row>
    <row r="22" spans="2:22" ht="17.25">
      <c r="B22" s="730" t="str">
        <f>CONCATENATE("b.  Master plan design—Multiply the total on line 7 by ",'Washington Only'!AI60)</f>
        <v>b.  Master plan design—Multiply the total on line 7 by 0.323</v>
      </c>
      <c r="C22" s="731"/>
      <c r="D22" s="731"/>
      <c r="E22" s="731"/>
      <c r="F22" s="731"/>
      <c r="G22" s="731"/>
      <c r="H22" s="732"/>
      <c r="I22" s="752">
        <f>IF('Washington Only'!H4='Washington Only'!AH48,'Washington Only'!Q11,"")</f>
        <v>1127.6737499999999</v>
      </c>
      <c r="K22" s="125"/>
      <c r="L22" s="125"/>
      <c r="M22" s="25"/>
      <c r="N22" s="25"/>
      <c r="O22" s="25"/>
      <c r="P22" s="25"/>
      <c r="Q22" s="25"/>
      <c r="R22" s="27"/>
      <c r="U22" s="34"/>
    </row>
    <row r="23" spans="2:22" ht="18">
      <c r="B23" s="730" t="str">
        <f>CONCATENATE("*Required for all structures that are more than ",'Washington Only'!AJ59," square feet ")</f>
        <v xml:space="preserve">*Required for all structures that are more than 4000 square feet </v>
      </c>
      <c r="C23" s="731"/>
      <c r="D23" s="731"/>
      <c r="E23" s="731"/>
      <c r="F23" s="731"/>
      <c r="G23" s="731"/>
      <c r="H23" s="732"/>
      <c r="I23" s="753"/>
      <c r="K23" s="56"/>
      <c r="L23" s="56"/>
      <c r="M23" s="27"/>
      <c r="N23" s="27"/>
      <c r="O23" s="27"/>
      <c r="P23" s="27"/>
      <c r="Q23" s="27"/>
      <c r="R23" s="27"/>
      <c r="U23" s="35"/>
    </row>
    <row r="24" spans="2:22" ht="17.25">
      <c r="B24" s="734" t="str">
        <f>CONCATENATE("and for all ",'Washington Only'!AI63,"")</f>
        <v>and for all A, I or H</v>
      </c>
      <c r="C24" s="735"/>
      <c r="D24" s="735"/>
      <c r="E24" s="735"/>
      <c r="F24" s="735"/>
      <c r="G24" s="735"/>
      <c r="H24" s="735"/>
      <c r="I24" s="754"/>
      <c r="K24" s="27"/>
      <c r="L24" s="27"/>
      <c r="U24" s="29"/>
      <c r="V24" s="18">
        <v>5</v>
      </c>
    </row>
    <row r="25" spans="2:22" ht="15.75">
      <c r="B25" s="716" t="s">
        <v>414</v>
      </c>
      <c r="C25" s="717"/>
      <c r="D25" s="717"/>
      <c r="E25" s="717"/>
      <c r="F25" s="717"/>
      <c r="G25" s="717"/>
      <c r="H25" s="718"/>
      <c r="I25" s="755"/>
      <c r="M25" s="34"/>
      <c r="N25" s="34"/>
      <c r="O25" s="34"/>
      <c r="P25" s="34"/>
      <c r="Q25" s="34"/>
      <c r="R25" s="34"/>
      <c r="U25" s="36"/>
    </row>
    <row r="26" spans="2:22" ht="18">
      <c r="B26" s="720" t="str">
        <f>CONCATENATE("11.  Plumbing $",'Washington Only'!AH68," + $",'Washington Only'!AI68," per fixture")</f>
        <v>11.  Plumbing $23.2 + $7.5 per fixture</v>
      </c>
      <c r="C26" s="721"/>
      <c r="D26" s="721"/>
      <c r="E26" s="721"/>
      <c r="F26" s="721"/>
      <c r="G26" s="721"/>
      <c r="H26" s="722"/>
      <c r="I26" s="745">
        <f>'Washington Only'!Q13</f>
        <v>60.7</v>
      </c>
      <c r="M26" s="34"/>
      <c r="N26" s="34"/>
      <c r="O26" s="34"/>
      <c r="P26" s="34"/>
      <c r="Q26" s="34"/>
      <c r="R26" s="35"/>
      <c r="U26" s="31"/>
    </row>
    <row r="27" spans="2:22" ht="18">
      <c r="B27" s="720" t="s">
        <v>415</v>
      </c>
      <c r="C27" s="721"/>
      <c r="D27" s="721"/>
      <c r="E27" s="721"/>
      <c r="F27" s="721"/>
      <c r="G27" s="721"/>
      <c r="H27" s="722"/>
      <c r="I27" s="756"/>
      <c r="M27" s="35"/>
      <c r="N27" s="35"/>
      <c r="O27" s="35"/>
      <c r="P27" s="35"/>
      <c r="Q27" s="35"/>
      <c r="R27" s="27"/>
      <c r="U27" s="36"/>
    </row>
    <row r="28" spans="2:22" ht="18">
      <c r="B28" s="716" t="s">
        <v>416</v>
      </c>
      <c r="C28" s="717"/>
      <c r="D28" s="717"/>
      <c r="E28" s="717"/>
      <c r="F28" s="717"/>
      <c r="G28" s="717"/>
      <c r="H28" s="718"/>
      <c r="I28" s="749"/>
      <c r="M28" s="27"/>
      <c r="N28" s="27"/>
      <c r="O28" s="27"/>
      <c r="P28" s="27"/>
      <c r="Q28" s="27"/>
      <c r="R28" s="36"/>
      <c r="U28" s="31"/>
    </row>
    <row r="29" spans="2:22" ht="15.75">
      <c r="B29" s="720" t="s">
        <v>417</v>
      </c>
      <c r="C29" s="721"/>
      <c r="D29" s="721"/>
      <c r="E29" s="721"/>
      <c r="F29" s="721"/>
      <c r="G29" s="721"/>
      <c r="H29" s="722"/>
      <c r="I29" s="740"/>
      <c r="M29" s="36"/>
      <c r="N29" s="36"/>
      <c r="O29" s="36"/>
      <c r="P29" s="36"/>
      <c r="Q29" s="36"/>
      <c r="R29" s="31"/>
      <c r="U29" s="36"/>
    </row>
    <row r="30" spans="2:22" ht="15.75">
      <c r="B30" s="716" t="s">
        <v>418</v>
      </c>
      <c r="C30" s="717"/>
      <c r="D30" s="717"/>
      <c r="E30" s="717"/>
      <c r="F30" s="717"/>
      <c r="G30" s="717"/>
      <c r="H30" s="718"/>
      <c r="I30" s="749"/>
      <c r="M30" s="31"/>
      <c r="N30" s="31"/>
      <c r="O30" s="31"/>
      <c r="P30" s="31"/>
      <c r="Q30" s="31"/>
      <c r="R30" s="36"/>
      <c r="U30" s="35"/>
    </row>
    <row r="31" spans="2:22" ht="18">
      <c r="B31" s="720" t="s">
        <v>419</v>
      </c>
      <c r="C31" s="721"/>
      <c r="D31" s="721"/>
      <c r="E31" s="721"/>
      <c r="F31" s="721"/>
      <c r="G31" s="721"/>
      <c r="H31" s="722"/>
      <c r="I31" s="740"/>
      <c r="M31" s="36"/>
      <c r="N31" s="36"/>
      <c r="O31" s="36"/>
      <c r="P31" s="36"/>
      <c r="Q31" s="36"/>
      <c r="R31" s="31"/>
      <c r="U31" s="29"/>
      <c r="V31" s="18">
        <v>4</v>
      </c>
    </row>
    <row r="32" spans="2:22" ht="15.75">
      <c r="B32" s="716" t="s">
        <v>420</v>
      </c>
      <c r="C32" s="717"/>
      <c r="D32" s="717"/>
      <c r="E32" s="717"/>
      <c r="F32" s="717"/>
      <c r="G32" s="717"/>
      <c r="H32" s="718"/>
      <c r="I32" s="755"/>
      <c r="M32" s="31"/>
      <c r="N32" s="31"/>
      <c r="O32" s="31"/>
      <c r="P32" s="31"/>
      <c r="Q32" s="31"/>
      <c r="R32" s="36"/>
      <c r="U32" s="37"/>
      <c r="V32" s="18">
        <v>7</v>
      </c>
    </row>
    <row r="33" spans="2:22" ht="18">
      <c r="B33" s="720" t="s">
        <v>421</v>
      </c>
      <c r="C33" s="721"/>
      <c r="D33" s="721"/>
      <c r="E33" s="721"/>
      <c r="F33" s="721"/>
      <c r="G33" s="721"/>
      <c r="H33" s="722"/>
      <c r="I33" s="745">
        <f>'Washington Only'!Q12</f>
        <v>442.83499999999998</v>
      </c>
      <c r="M33" s="36"/>
      <c r="N33" s="36"/>
      <c r="O33" s="36"/>
      <c r="P33" s="36"/>
      <c r="Q33" s="36"/>
      <c r="R33" s="35"/>
      <c r="U33" s="27"/>
    </row>
    <row r="34" spans="2:22" ht="18">
      <c r="B34" s="716" t="s">
        <v>422</v>
      </c>
      <c r="C34" s="717"/>
      <c r="D34" s="717"/>
      <c r="E34" s="717"/>
      <c r="F34" s="717"/>
      <c r="G34" s="717"/>
      <c r="H34" s="718"/>
      <c r="I34" s="749"/>
      <c r="M34" s="35"/>
      <c r="N34" s="35"/>
      <c r="O34" s="35"/>
      <c r="P34" s="35"/>
      <c r="Q34" s="35"/>
      <c r="R34" s="27"/>
      <c r="U34" s="31"/>
    </row>
    <row r="35" spans="2:22" ht="18">
      <c r="B35" s="720" t="s">
        <v>423</v>
      </c>
      <c r="C35" s="721"/>
      <c r="D35" s="721"/>
      <c r="E35" s="721"/>
      <c r="F35" s="721"/>
      <c r="G35" s="721"/>
      <c r="H35" s="722"/>
      <c r="I35" s="745">
        <f>'Washington Only'!Q17</f>
        <v>101.50560000000002</v>
      </c>
      <c r="M35" s="27"/>
      <c r="N35" s="27"/>
      <c r="O35" s="27"/>
      <c r="P35" s="27"/>
      <c r="Q35" s="27"/>
      <c r="R35" s="31"/>
      <c r="U35" s="29"/>
      <c r="V35" s="18">
        <v>8</v>
      </c>
    </row>
    <row r="36" spans="2:22" ht="18">
      <c r="B36" s="716" t="s">
        <v>424</v>
      </c>
      <c r="C36" s="717"/>
      <c r="D36" s="717"/>
      <c r="E36" s="717"/>
      <c r="F36" s="717"/>
      <c r="G36" s="717"/>
      <c r="H36" s="718"/>
      <c r="I36" s="749"/>
      <c r="M36" s="31"/>
      <c r="N36" s="31"/>
      <c r="O36" s="31"/>
      <c r="P36" s="31"/>
      <c r="Q36" s="31"/>
      <c r="R36" s="27"/>
      <c r="U36" s="29"/>
      <c r="V36" s="18">
        <v>9</v>
      </c>
    </row>
    <row r="37" spans="2:22" ht="18">
      <c r="B37" s="720" t="s">
        <v>425</v>
      </c>
      <c r="C37" s="721"/>
      <c r="D37" s="721"/>
      <c r="E37" s="721"/>
      <c r="F37" s="721"/>
      <c r="G37" s="721"/>
      <c r="H37" s="722"/>
      <c r="I37" s="745">
        <f>'Washington Only'!Q18</f>
        <v>756.71680000000003</v>
      </c>
      <c r="M37" s="27"/>
      <c r="N37" s="27"/>
      <c r="O37" s="27"/>
      <c r="P37" s="27"/>
      <c r="Q37" s="27"/>
      <c r="R37" s="31"/>
      <c r="U37" s="31"/>
    </row>
    <row r="38" spans="2:22" ht="18">
      <c r="B38" s="720" t="s">
        <v>426</v>
      </c>
      <c r="C38" s="721"/>
      <c r="D38" s="721"/>
      <c r="E38" s="721"/>
      <c r="F38" s="721"/>
      <c r="G38" s="722"/>
      <c r="H38" s="757">
        <v>29.8</v>
      </c>
      <c r="I38" s="745">
        <f>'Washington Only'!Q19</f>
        <v>336.22400000000005</v>
      </c>
      <c r="M38" s="31"/>
      <c r="N38" s="31"/>
      <c r="O38" s="31"/>
      <c r="P38" s="31"/>
      <c r="Q38" s="31"/>
      <c r="R38" s="27"/>
      <c r="U38" s="36"/>
    </row>
    <row r="39" spans="2:22" ht="18">
      <c r="B39" s="716" t="s">
        <v>427</v>
      </c>
      <c r="C39" s="717"/>
      <c r="D39" s="717"/>
      <c r="E39" s="717"/>
      <c r="F39" s="717"/>
      <c r="G39" s="717"/>
      <c r="H39" s="718"/>
      <c r="I39" s="749"/>
      <c r="M39" s="27"/>
      <c r="N39" s="27"/>
      <c r="O39" s="27"/>
      <c r="P39" s="27"/>
      <c r="Q39" s="27"/>
      <c r="R39" s="27"/>
      <c r="U39" s="36"/>
    </row>
    <row r="40" spans="2:22" ht="18">
      <c r="B40" s="720" t="s">
        <v>428</v>
      </c>
      <c r="C40" s="721"/>
      <c r="D40" s="721"/>
      <c r="E40" s="721"/>
      <c r="F40" s="721"/>
      <c r="G40" s="721"/>
      <c r="H40" s="722"/>
      <c r="I40" s="740"/>
      <c r="M40" s="27"/>
      <c r="N40" s="27"/>
      <c r="O40" s="27"/>
      <c r="P40" s="27"/>
      <c r="Q40" s="27"/>
      <c r="R40" s="31"/>
      <c r="U40" s="29"/>
      <c r="V40" s="18">
        <v>6</v>
      </c>
    </row>
    <row r="41" spans="2:22" ht="15.75">
      <c r="B41" s="720" t="s">
        <v>429</v>
      </c>
      <c r="C41" s="721"/>
      <c r="D41" s="721"/>
      <c r="E41" s="721"/>
      <c r="F41" s="721"/>
      <c r="G41" s="721"/>
      <c r="H41" s="722"/>
      <c r="I41" s="740"/>
      <c r="M41" s="31"/>
      <c r="N41" s="31"/>
      <c r="O41" s="31"/>
      <c r="P41" s="31"/>
      <c r="Q41" s="31"/>
      <c r="R41" s="36"/>
    </row>
    <row r="42" spans="2:22" ht="17.25">
      <c r="B42" s="720" t="s">
        <v>430</v>
      </c>
      <c r="C42" s="721"/>
      <c r="D42" s="721"/>
      <c r="E42" s="721"/>
      <c r="F42" s="721"/>
      <c r="G42" s="721"/>
      <c r="H42" s="722"/>
      <c r="I42" s="745">
        <f>SUM(I16:I41)</f>
        <v>5091.4763999999996</v>
      </c>
      <c r="M42" s="36"/>
      <c r="N42" s="36"/>
      <c r="O42" s="36"/>
      <c r="P42" s="36"/>
      <c r="Q42" s="36"/>
      <c r="R42" s="36"/>
    </row>
    <row r="43" spans="2:22" ht="17.25">
      <c r="M43" s="36"/>
      <c r="N43" s="36"/>
      <c r="O43" s="36"/>
      <c r="P43" s="36"/>
      <c r="Q43" s="36"/>
      <c r="R43" s="27"/>
    </row>
    <row r="44" spans="2:22" ht="17.25">
      <c r="M44" s="27"/>
      <c r="N44" s="27"/>
      <c r="O44" s="27"/>
      <c r="P44" s="27"/>
      <c r="Q44" s="27"/>
    </row>
  </sheetData>
  <sheetProtection selectLockedCells="1" selectUnlockedCells="1"/>
  <conditionalFormatting sqref="O7">
    <cfRule type="expression" dxfId="1" priority="2">
      <formula>P6=$AD$22</formula>
    </cfRule>
  </conditionalFormatting>
  <conditionalFormatting sqref="P7">
    <cfRule type="expression" dxfId="0" priority="3">
      <formula>P6=$AD$22</formula>
    </cfRule>
  </conditionalFormatting>
  <pageMargins left="0.25" right="0.25" top="0.75" bottom="0.75" header="0.3" footer="0.3"/>
  <pageSetup scale="54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2D6F7-34B2-4CA4-A419-949AF9B5782E}">
  <sheetPr codeName="Sheet9">
    <tabColor theme="9" tint="-0.249977111117893"/>
  </sheetPr>
  <dimension ref="B1:I42"/>
  <sheetViews>
    <sheetView topLeftCell="A20" workbookViewId="0">
      <selection activeCell="I11" sqref="I11"/>
    </sheetView>
  </sheetViews>
  <sheetFormatPr defaultRowHeight="15"/>
  <cols>
    <col min="1" max="1" width="2.85546875" customWidth="1"/>
    <col min="7" max="7" width="6.28515625" customWidth="1"/>
    <col min="8" max="8" width="23.140625" customWidth="1"/>
    <col min="9" max="9" width="14.7109375" style="8" customWidth="1"/>
  </cols>
  <sheetData>
    <row r="1" spans="2:9" ht="16.5" customHeight="1">
      <c r="I1"/>
    </row>
    <row r="3" spans="2:9" ht="18.75">
      <c r="B3" s="713" t="str">
        <f>'NO EDIT_Washington Summary'!B3</f>
        <v>Washington Factory-Built Housing and Commercial Structure Fees</v>
      </c>
      <c r="C3" s="714"/>
      <c r="D3" s="714"/>
      <c r="E3" s="714"/>
      <c r="F3" s="714"/>
      <c r="G3" s="714"/>
      <c r="H3" s="714"/>
      <c r="I3" s="715"/>
    </row>
    <row r="5" spans="2:9" ht="15.75">
      <c r="B5" s="716" t="str">
        <f>'NO EDIT_Washington Summary'!B5</f>
        <v>GENERAL INFORMATION</v>
      </c>
      <c r="C5" s="717"/>
      <c r="D5" s="717"/>
      <c r="E5" s="717"/>
      <c r="F5" s="717"/>
      <c r="G5" s="717"/>
      <c r="H5" s="717"/>
      <c r="I5" s="718"/>
    </row>
    <row r="6" spans="2:9">
      <c r="B6" s="719" t="str">
        <f>'NO EDIT_Washington Summary'!B6</f>
        <v xml:space="preserve">Manufacture:                                  </v>
      </c>
      <c r="C6" s="719"/>
      <c r="D6" s="719"/>
      <c r="E6" s="719" t="str">
        <f>'NO EDIT_Washington Summary'!E6</f>
        <v>NWBS</v>
      </c>
      <c r="F6" s="720" t="str">
        <f>'NO EDIT_Washington Summary'!F6</f>
        <v xml:space="preserve">Manufacturer #                                 </v>
      </c>
      <c r="G6" s="721"/>
      <c r="H6" s="722"/>
      <c r="I6" s="719" t="str">
        <f>'NO EDIT_Washington Summary'!I6</f>
        <v>M-175</v>
      </c>
    </row>
    <row r="7" spans="2:9">
      <c r="B7" s="719" t="str">
        <f>'NO EDIT_Washington Summary'!B7</f>
        <v xml:space="preserve">1.  Building Use:                             </v>
      </c>
      <c r="C7" s="719"/>
      <c r="D7" s="719"/>
      <c r="E7" s="723" t="str">
        <f>'NO EDIT_Washington Summary'!E7</f>
        <v>Office</v>
      </c>
      <c r="F7" s="720" t="str">
        <f>'NO EDIT_Washington Summary'!F7</f>
        <v xml:space="preserve">2.  Building occupancy:                   </v>
      </c>
      <c r="G7" s="721"/>
      <c r="H7" s="722"/>
      <c r="I7" s="724" t="str">
        <f>'NO EDIT_Washington Summary'!I7</f>
        <v>B</v>
      </c>
    </row>
    <row r="8" spans="2:9">
      <c r="B8" s="719" t="str">
        <f>'NO EDIT_Washington Summary'!B8</f>
        <v xml:space="preserve">3.  Type of construction:             </v>
      </c>
      <c r="C8" s="719"/>
      <c r="D8" s="719"/>
      <c r="E8" s="719" t="str">
        <f>'NO EDIT_Washington Summary'!E8</f>
        <v>V-B</v>
      </c>
      <c r="F8" s="720" t="str">
        <f>'NO EDIT_Washington Summary'!F8</f>
        <v xml:space="preserve">4.  Square footage of building:  </v>
      </c>
      <c r="G8" s="721"/>
      <c r="H8" s="722"/>
      <c r="I8" s="725">
        <f>'NO EDIT_Washington Summary'!I8</f>
        <v>4320</v>
      </c>
    </row>
    <row r="9" spans="2:9">
      <c r="B9" s="726" t="str">
        <f>'NO EDIT_Washington Summary'!B9</f>
        <v xml:space="preserve">5.  Valuation of the building shall be based on the following:
</v>
      </c>
      <c r="C9" s="727"/>
      <c r="D9" s="727"/>
      <c r="E9" s="727"/>
      <c r="F9" s="727"/>
      <c r="G9" s="727"/>
      <c r="H9" s="728"/>
      <c r="I9" s="729"/>
    </row>
    <row r="10" spans="2:9">
      <c r="B10" s="730" t="str">
        <f>'NO EDIT_Washington Summary'!B10</f>
        <v>Square footage of the building multiplied by the amount in the BVD valuation table</v>
      </c>
      <c r="C10" s="731"/>
      <c r="D10" s="731"/>
      <c r="E10" s="731"/>
      <c r="F10" s="731"/>
      <c r="G10" s="731"/>
      <c r="H10" s="732"/>
      <c r="I10" s="733"/>
    </row>
    <row r="11" spans="2:9" ht="17.25">
      <c r="B11" s="734">
        <f>'NO EDIT_Washington Summary'!B11</f>
        <v>0</v>
      </c>
      <c r="C11" s="735"/>
      <c r="D11" s="735"/>
      <c r="E11" s="735"/>
      <c r="F11" s="735"/>
      <c r="G11" s="735"/>
      <c r="H11" s="736"/>
      <c r="I11" s="737">
        <f>'NO EDIT_Washington Summary'!I11</f>
        <v>118.02952000000002</v>
      </c>
    </row>
    <row r="12" spans="2:9" ht="17.25">
      <c r="B12" s="720" t="str">
        <f>'NO EDIT_Washington Summary'!B12</f>
        <v>6.  Total valuation</v>
      </c>
      <c r="C12" s="721"/>
      <c r="D12" s="721"/>
      <c r="E12" s="721"/>
      <c r="F12" s="721"/>
      <c r="G12" s="721"/>
      <c r="H12" s="722"/>
      <c r="I12" s="738">
        <f>'NO EDIT_Washington Summary'!I12</f>
        <v>509887.52640000009</v>
      </c>
    </row>
    <row r="13" spans="2:9" ht="15.75">
      <c r="B13" s="716" t="str">
        <f>'NO EDIT_Washington Summary'!B13</f>
        <v>PERMIT FEE</v>
      </c>
      <c r="C13" s="717"/>
      <c r="D13" s="717"/>
      <c r="E13" s="717"/>
      <c r="F13" s="717"/>
      <c r="G13" s="717"/>
      <c r="H13" s="718"/>
      <c r="I13" s="739">
        <f>'NO EDIT_Washington Summary'!I13</f>
        <v>3491.25</v>
      </c>
    </row>
    <row r="14" spans="2:9">
      <c r="B14" s="719" t="str">
        <f>'NO EDIT_Washington Summary'!B14</f>
        <v xml:space="preserve">7.  Calculate from building permit fee table using the total valuation </v>
      </c>
      <c r="C14" s="719"/>
      <c r="D14" s="719"/>
      <c r="E14" s="719"/>
      <c r="F14" s="719"/>
      <c r="G14" s="719"/>
      <c r="H14" s="719"/>
      <c r="I14" s="740"/>
    </row>
    <row r="15" spans="2:9" ht="18">
      <c r="B15" s="716" t="str">
        <f>'NO EDIT_Washington Summary'!B15</f>
        <v>STRUCTURAL PLAN REVIEW FEE*</v>
      </c>
      <c r="C15" s="717"/>
      <c r="D15" s="717"/>
      <c r="E15" s="717"/>
      <c r="F15" s="717"/>
      <c r="G15" s="717"/>
      <c r="H15" s="718"/>
      <c r="I15" s="741">
        <f>'NO EDIT_Washington Summary'!I15</f>
        <v>2265.82125</v>
      </c>
    </row>
    <row r="16" spans="2:9" ht="17.25">
      <c r="B16" s="742" t="str">
        <f>'NO EDIT_Washington Summary'!B16</f>
        <v>8. One year design review (Valid for one year) multiply the total on line 7 by 0.454</v>
      </c>
      <c r="C16" s="743"/>
      <c r="D16" s="743"/>
      <c r="E16" s="743"/>
      <c r="F16" s="743"/>
      <c r="G16" s="743"/>
      <c r="H16" s="744"/>
      <c r="I16" s="745" t="str">
        <f>'NO EDIT_Washington Summary'!I16</f>
        <v/>
      </c>
    </row>
    <row r="17" spans="2:9">
      <c r="B17" s="720" t="str">
        <f>'NO EDIT_Washington Summary'!B17</f>
        <v>9.  Master plan review (Valid for the code cycle) multiply the total on line 7 by 0.649</v>
      </c>
      <c r="C17" s="721"/>
      <c r="D17" s="721"/>
      <c r="E17" s="721"/>
      <c r="F17" s="721"/>
      <c r="G17" s="721"/>
      <c r="H17" s="722"/>
      <c r="I17" s="740"/>
    </row>
    <row r="18" spans="2:9">
      <c r="B18" s="746" t="str">
        <f>'NO EDIT_Washington Summary'!B18</f>
        <v>* Minimum plan review fee is 2.5 hours X 118.2104 /hour</v>
      </c>
      <c r="C18" s="721"/>
      <c r="D18" s="721"/>
      <c r="E18" s="721"/>
      <c r="F18" s="721"/>
      <c r="G18" s="721"/>
      <c r="H18" s="722"/>
      <c r="I18" s="740"/>
    </row>
    <row r="19" spans="2:9" ht="15.75">
      <c r="B19" s="747" t="str">
        <f>'NO EDIT_Washington Summary'!B19</f>
        <v>FIRE AND LIFE-SAFETY PLAN REVIEW FEE (if required)</v>
      </c>
      <c r="C19" s="748"/>
      <c r="D19" s="748"/>
      <c r="E19" s="748"/>
      <c r="F19" s="748"/>
      <c r="G19" s="748"/>
      <c r="H19" s="748"/>
      <c r="I19" s="749"/>
    </row>
    <row r="20" spans="2:9">
      <c r="B20" s="726" t="str">
        <f>'NO EDIT_Washington Summary'!B20</f>
        <v>10.  Fire and life-safety plan review:</v>
      </c>
      <c r="C20" s="727"/>
      <c r="D20" s="727"/>
      <c r="E20" s="727"/>
      <c r="F20" s="727"/>
      <c r="G20" s="727"/>
      <c r="H20" s="727"/>
      <c r="I20" s="750"/>
    </row>
    <row r="21" spans="2:9" ht="17.25">
      <c r="B21" s="751" t="str">
        <f>'NO EDIT_Washington Summary'!B21</f>
        <v>a.  One year design—Multiply the total on line 7 by 0.194</v>
      </c>
      <c r="C21" s="731"/>
      <c r="D21" s="731"/>
      <c r="E21" s="731"/>
      <c r="F21" s="731"/>
      <c r="G21" s="731"/>
      <c r="H21" s="731"/>
      <c r="I21" s="752" t="str">
        <f>'NO EDIT_Washington Summary'!I21</f>
        <v/>
      </c>
    </row>
    <row r="22" spans="2:9" ht="17.25">
      <c r="B22" s="730" t="str">
        <f>'NO EDIT_Washington Summary'!B22</f>
        <v>b.  Master plan design—Multiply the total on line 7 by 0.323</v>
      </c>
      <c r="C22" s="731"/>
      <c r="D22" s="731"/>
      <c r="E22" s="731"/>
      <c r="F22" s="731"/>
      <c r="G22" s="731"/>
      <c r="H22" s="732"/>
      <c r="I22" s="752">
        <f>'NO EDIT_Washington Summary'!I22</f>
        <v>1127.6737499999999</v>
      </c>
    </row>
    <row r="23" spans="2:9">
      <c r="B23" s="730" t="str">
        <f>'NO EDIT_Washington Summary'!B23</f>
        <v xml:space="preserve">*Required for all structures that are more than 4000 square feet </v>
      </c>
      <c r="C23" s="731"/>
      <c r="D23" s="731"/>
      <c r="E23" s="731"/>
      <c r="F23" s="731"/>
      <c r="G23" s="731"/>
      <c r="H23" s="732"/>
      <c r="I23" s="753"/>
    </row>
    <row r="24" spans="2:9">
      <c r="B24" s="734" t="str">
        <f>'NO EDIT_Washington Summary'!B24</f>
        <v>and for all A, I or H</v>
      </c>
      <c r="C24" s="735"/>
      <c r="D24" s="735"/>
      <c r="E24" s="735"/>
      <c r="F24" s="735"/>
      <c r="G24" s="735"/>
      <c r="H24" s="735"/>
      <c r="I24" s="754"/>
    </row>
    <row r="25" spans="2:9" ht="15.75">
      <c r="B25" s="716" t="str">
        <f>'NO EDIT_Washington Summary'!B25</f>
        <v>PLUMBING PLAN-REVIEW FEE</v>
      </c>
      <c r="C25" s="717"/>
      <c r="D25" s="717"/>
      <c r="E25" s="717"/>
      <c r="F25" s="717"/>
      <c r="G25" s="717"/>
      <c r="H25" s="718"/>
      <c r="I25" s="755"/>
    </row>
    <row r="26" spans="2:9" ht="17.25">
      <c r="B26" s="720" t="str">
        <f>'NO EDIT_Washington Summary'!B26</f>
        <v>11.  Plumbing $23.2 + $7.5 per fixture</v>
      </c>
      <c r="C26" s="721"/>
      <c r="D26" s="721"/>
      <c r="E26" s="721"/>
      <c r="F26" s="721"/>
      <c r="G26" s="721"/>
      <c r="H26" s="722"/>
      <c r="I26" s="745">
        <f>'NO EDIT_Washington Summary'!I26</f>
        <v>60.7</v>
      </c>
    </row>
    <row r="27" spans="2:9">
      <c r="B27" s="720" t="str">
        <f>'NO EDIT_Washington Summary'!B27</f>
        <v xml:space="preserve">12.  Medical gas $23.20 + $7.50 per gas outlet </v>
      </c>
      <c r="C27" s="721"/>
      <c r="D27" s="721"/>
      <c r="E27" s="721"/>
      <c r="F27" s="721"/>
      <c r="G27" s="721"/>
      <c r="H27" s="722"/>
      <c r="I27" s="756"/>
    </row>
    <row r="28" spans="2:9" ht="15.75">
      <c r="B28" s="716" t="str">
        <f>'NO EDIT_Washington Summary'!B28</f>
        <v>DESIGN RENEWAL OR ADDENDUM</v>
      </c>
      <c r="C28" s="717"/>
      <c r="D28" s="717"/>
      <c r="E28" s="717"/>
      <c r="F28" s="717"/>
      <c r="G28" s="717"/>
      <c r="H28" s="718"/>
      <c r="I28" s="749"/>
    </row>
    <row r="29" spans="2:9">
      <c r="B29" s="720" t="str">
        <f>'NO EDIT_Washington Summary'!B29</f>
        <v>13. 12.23% of building permit + $104.60</v>
      </c>
      <c r="C29" s="721"/>
      <c r="D29" s="721"/>
      <c r="E29" s="721"/>
      <c r="F29" s="721"/>
      <c r="G29" s="721"/>
      <c r="H29" s="722"/>
      <c r="I29" s="740"/>
    </row>
    <row r="30" spans="2:9" ht="15.75">
      <c r="B30" s="716" t="str">
        <f>'NO EDIT_Washington Summary'!B30</f>
        <v>RESUBMITTAL</v>
      </c>
      <c r="C30" s="717"/>
      <c r="D30" s="717"/>
      <c r="E30" s="717"/>
      <c r="F30" s="717"/>
      <c r="G30" s="717"/>
      <c r="H30" s="718"/>
      <c r="I30" s="749"/>
    </row>
    <row r="31" spans="2:9">
      <c r="B31" s="720" t="str">
        <f>'NO EDIT_Washington Summary'!B31</f>
        <v>14. 12.23% of building permit + $104.60</v>
      </c>
      <c r="C31" s="721"/>
      <c r="D31" s="721"/>
      <c r="E31" s="721"/>
      <c r="F31" s="721"/>
      <c r="G31" s="721"/>
      <c r="H31" s="722"/>
      <c r="I31" s="740"/>
    </row>
    <row r="32" spans="2:9" ht="15.75">
      <c r="B32" s="716" t="str">
        <f>'NO EDIT_Washington Summary'!B32</f>
        <v>ELECTRICAL PLAN-REVIEW FEE</v>
      </c>
      <c r="C32" s="717"/>
      <c r="D32" s="717"/>
      <c r="E32" s="717"/>
      <c r="F32" s="717"/>
      <c r="G32" s="717"/>
      <c r="H32" s="718"/>
      <c r="I32" s="755"/>
    </row>
    <row r="33" spans="2:9" ht="17.25">
      <c r="B33" s="720" t="str">
        <f>'NO EDIT_Washington Summary'!B33</f>
        <v>15.  See WAC 296-46B-906 (9) for electrical review fees</v>
      </c>
      <c r="C33" s="721"/>
      <c r="D33" s="721"/>
      <c r="E33" s="721"/>
      <c r="F33" s="721"/>
      <c r="G33" s="721"/>
      <c r="H33" s="722"/>
      <c r="I33" s="745">
        <f>'NO EDIT_Washington Summary'!I33</f>
        <v>442.83499999999998</v>
      </c>
    </row>
    <row r="34" spans="2:9" ht="15.75">
      <c r="B34" s="716" t="str">
        <f>'NO EDIT_Washington Summary'!B34</f>
        <v>NOTIFICATION TO LOCAL ENFORCEMENT AGENCY (NLEA)</v>
      </c>
      <c r="C34" s="717"/>
      <c r="D34" s="717"/>
      <c r="E34" s="717"/>
      <c r="F34" s="717"/>
      <c r="G34" s="717"/>
      <c r="H34" s="718"/>
      <c r="I34" s="749"/>
    </row>
    <row r="35" spans="2:9" ht="17.25">
      <c r="B35" s="720" t="str">
        <f>'NO EDIT_Washington Summary'!B35</f>
        <v>16.  Notification to local enforcement agency fee</v>
      </c>
      <c r="C35" s="721"/>
      <c r="D35" s="721"/>
      <c r="E35" s="721"/>
      <c r="F35" s="721"/>
      <c r="G35" s="721"/>
      <c r="H35" s="722"/>
      <c r="I35" s="745">
        <f>'NO EDIT_Washington Summary'!I35</f>
        <v>101.50560000000002</v>
      </c>
    </row>
    <row r="36" spans="2:9" ht="15.75">
      <c r="B36" s="716" t="str">
        <f>'NO EDIT_Washington Summary'!B36</f>
        <v>INSIGNIA FEES</v>
      </c>
      <c r="C36" s="717"/>
      <c r="D36" s="717"/>
      <c r="E36" s="717"/>
      <c r="F36" s="717"/>
      <c r="G36" s="717"/>
      <c r="H36" s="718"/>
      <c r="I36" s="749"/>
    </row>
    <row r="37" spans="2:9" ht="17.25">
      <c r="B37" s="720" t="str">
        <f>'NO EDIT_Washington Summary'!B37</f>
        <v>17.  First section</v>
      </c>
      <c r="C37" s="721"/>
      <c r="D37" s="721"/>
      <c r="E37" s="721"/>
      <c r="F37" s="721"/>
      <c r="G37" s="721"/>
      <c r="H37" s="722"/>
      <c r="I37" s="745">
        <f>'NO EDIT_Washington Summary'!I37</f>
        <v>756.71680000000003</v>
      </c>
    </row>
    <row r="38" spans="2:9" ht="17.25">
      <c r="B38" s="720" t="str">
        <f>'NO EDIT_Washington Summary'!B38</f>
        <v>18.  Each additional section (1)</v>
      </c>
      <c r="C38" s="721"/>
      <c r="D38" s="721"/>
      <c r="E38" s="721"/>
      <c r="F38" s="721"/>
      <c r="G38" s="722"/>
      <c r="H38" s="757">
        <f>'NO EDIT_Washington Summary'!H38</f>
        <v>29.8</v>
      </c>
      <c r="I38" s="745">
        <f>'NO EDIT_Washington Summary'!I38</f>
        <v>336.22400000000005</v>
      </c>
    </row>
    <row r="39" spans="2:9" ht="15.75">
      <c r="B39" s="716" t="str">
        <f>'NO EDIT_Washington Summary'!B39</f>
        <v>TOTAL FEES</v>
      </c>
      <c r="C39" s="717"/>
      <c r="D39" s="717"/>
      <c r="E39" s="717"/>
      <c r="F39" s="717"/>
      <c r="G39" s="717"/>
      <c r="H39" s="718"/>
      <c r="I39" s="749"/>
    </row>
    <row r="40" spans="2:9">
      <c r="B40" s="720" t="str">
        <f>'NO EDIT_Washington Summary'!B40</f>
        <v xml:space="preserve">19.  Total plan review fees: Add lines 8 or 9 and 10 through 15 </v>
      </c>
      <c r="C40" s="721"/>
      <c r="D40" s="721"/>
      <c r="E40" s="721"/>
      <c r="F40" s="721"/>
      <c r="G40" s="721"/>
      <c r="H40" s="722"/>
      <c r="I40" s="740"/>
    </row>
    <row r="41" spans="2:9">
      <c r="B41" s="720" t="str">
        <f>'NO EDIT_Washington Summary'!B41</f>
        <v xml:space="preserve">20.  Total fees due: Includes plan fees, insignia fees, and NLEA fees </v>
      </c>
      <c r="C41" s="721"/>
      <c r="D41" s="721"/>
      <c r="E41" s="721"/>
      <c r="F41" s="721"/>
      <c r="G41" s="721"/>
      <c r="H41" s="722"/>
      <c r="I41" s="740"/>
    </row>
    <row r="42" spans="2:9" ht="17.25">
      <c r="B42" s="720" t="str">
        <f>'NO EDIT_Washington Summary'!B42</f>
        <v>21.  Total amount paid</v>
      </c>
      <c r="C42" s="721"/>
      <c r="D42" s="721"/>
      <c r="E42" s="721"/>
      <c r="F42" s="721"/>
      <c r="G42" s="721"/>
      <c r="H42" s="722"/>
      <c r="I42" s="745">
        <f>'NO EDIT_Washington Summary'!I42</f>
        <v>5091.4763999999996</v>
      </c>
    </row>
  </sheetData>
  <sheetProtection algorithmName="SHA-512" hashValue="Dk9BsyyUFrvfqA7uEIED/aAvgiZEdrpIGvIjAf2dkIgLsME9vXBubLsrs6038AnkAovYcO6AkLCqL1Cuu5+sgA==" saltValue="R9eds8wY+erHNPjZ79OaUA==" spinCount="100000" sheet="1" selectLockedCells="1" selectUnlockedCells="1"/>
  <pageMargins left="0.25" right="0.25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0C6BC-08E0-41D4-8469-1202BC4CDB3B}">
  <sheetPr codeName="Sheet10">
    <tabColor rgb="FF7030A0"/>
  </sheetPr>
  <dimension ref="D6:E10"/>
  <sheetViews>
    <sheetView workbookViewId="0">
      <selection activeCell="E10" sqref="D6:E10"/>
    </sheetView>
  </sheetViews>
  <sheetFormatPr defaultRowHeight="15"/>
  <cols>
    <col min="4" max="4" width="24.5703125" bestFit="1" customWidth="1"/>
    <col min="5" max="5" width="9.85546875" bestFit="1" customWidth="1"/>
  </cols>
  <sheetData>
    <row r="6" spans="4:5">
      <c r="D6" s="1176" t="s">
        <v>431</v>
      </c>
      <c r="E6" s="1176"/>
    </row>
    <row r="7" spans="4:5">
      <c r="D7" t="s">
        <v>387</v>
      </c>
      <c r="E7" t="s">
        <v>75</v>
      </c>
    </row>
    <row r="8" spans="4:5">
      <c r="D8" t="s">
        <v>363</v>
      </c>
      <c r="E8">
        <v>4.3</v>
      </c>
    </row>
    <row r="9" spans="4:5">
      <c r="D9" t="s">
        <v>364</v>
      </c>
      <c r="E9">
        <v>6.15</v>
      </c>
    </row>
    <row r="10" spans="4:5">
      <c r="D10" t="s">
        <v>365</v>
      </c>
      <c r="E10">
        <v>8.75</v>
      </c>
    </row>
  </sheetData>
  <mergeCells count="1">
    <mergeCell ref="D6:E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CC0-02B5-43B7-9BBB-4C37717572EE}">
  <sheetPr codeName="Sheet11"/>
  <dimension ref="A1:S18"/>
  <sheetViews>
    <sheetView workbookViewId="0">
      <selection sqref="A1:B18"/>
    </sheetView>
  </sheetViews>
  <sheetFormatPr defaultRowHeight="15"/>
  <cols>
    <col min="1" max="1" width="27.28515625" customWidth="1"/>
    <col min="2" max="2" width="13" customWidth="1"/>
  </cols>
  <sheetData>
    <row r="1" spans="1:19">
      <c r="A1" s="1177" t="s">
        <v>432</v>
      </c>
      <c r="B1" s="1177"/>
    </row>
    <row r="2" spans="1:19">
      <c r="A2" s="1177" t="s">
        <v>433</v>
      </c>
      <c r="B2" s="1177"/>
    </row>
    <row r="4" spans="1:19">
      <c r="A4" t="s">
        <v>434</v>
      </c>
      <c r="B4">
        <v>1</v>
      </c>
      <c r="S4">
        <f>204698/840</f>
        <v>243.68809523809523</v>
      </c>
    </row>
    <row r="5" spans="1:19">
      <c r="A5" t="s">
        <v>435</v>
      </c>
      <c r="B5">
        <v>1</v>
      </c>
    </row>
    <row r="7" spans="1:19">
      <c r="A7" t="s">
        <v>355</v>
      </c>
    </row>
    <row r="8" spans="1:19">
      <c r="A8" t="s">
        <v>332</v>
      </c>
      <c r="B8" s="847">
        <f>1000/B4</f>
        <v>1000</v>
      </c>
    </row>
    <row r="9" spans="1:19">
      <c r="A9" t="s">
        <v>89</v>
      </c>
      <c r="B9" s="847">
        <f>68*B5</f>
        <v>68</v>
      </c>
    </row>
    <row r="10" spans="1:19">
      <c r="A10" t="s">
        <v>436</v>
      </c>
      <c r="B10" s="847">
        <f>600*B5</f>
        <v>600</v>
      </c>
    </row>
    <row r="11" spans="1:19">
      <c r="A11" t="s">
        <v>437</v>
      </c>
      <c r="B11" s="847">
        <f>600</f>
        <v>600</v>
      </c>
    </row>
    <row r="12" spans="1:19">
      <c r="A12" t="s">
        <v>371</v>
      </c>
      <c r="B12" s="847">
        <f>SUM(B8:B11)</f>
        <v>2268</v>
      </c>
    </row>
    <row r="18" spans="1:2">
      <c r="A18" t="s">
        <v>438</v>
      </c>
      <c r="B18" s="847">
        <f>1200/B4</f>
        <v>1200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72BF2-6307-41D0-A4A7-CE49DEFEBD5E}">
  <sheetPr codeName="Sheet12"/>
  <dimension ref="A1:C14"/>
  <sheetViews>
    <sheetView workbookViewId="0">
      <selection sqref="A1:B10"/>
    </sheetView>
  </sheetViews>
  <sheetFormatPr defaultRowHeight="15"/>
  <cols>
    <col min="1" max="1" width="23.140625" bestFit="1" customWidth="1"/>
    <col min="2" max="2" width="10.5703125" bestFit="1" customWidth="1"/>
  </cols>
  <sheetData>
    <row r="1" spans="1:3">
      <c r="A1" t="s">
        <v>434</v>
      </c>
      <c r="B1">
        <v>1</v>
      </c>
    </row>
    <row r="2" spans="1:3">
      <c r="A2" t="s">
        <v>435</v>
      </c>
      <c r="B2">
        <v>2</v>
      </c>
    </row>
    <row r="4" spans="1:3">
      <c r="A4" t="s">
        <v>355</v>
      </c>
    </row>
    <row r="6" spans="1:3">
      <c r="A6" t="s">
        <v>369</v>
      </c>
      <c r="B6" s="847">
        <f>2214.66-664</f>
        <v>1550.6599999999999</v>
      </c>
      <c r="C6" t="s">
        <v>439</v>
      </c>
    </row>
    <row r="7" spans="1:3">
      <c r="A7" t="s">
        <v>332</v>
      </c>
      <c r="B7" s="847">
        <f>1000/B1</f>
        <v>1000</v>
      </c>
    </row>
    <row r="8" spans="1:3">
      <c r="A8" t="s">
        <v>370</v>
      </c>
      <c r="B8" s="854">
        <f>100/B1</f>
        <v>100</v>
      </c>
    </row>
    <row r="9" spans="1:3">
      <c r="A9" t="s">
        <v>89</v>
      </c>
      <c r="B9" s="847">
        <f>60*B2</f>
        <v>120</v>
      </c>
    </row>
    <row r="10" spans="1:3">
      <c r="A10" t="s">
        <v>371</v>
      </c>
      <c r="B10" s="847">
        <f>+SUM(B6:B9)</f>
        <v>2770.66</v>
      </c>
    </row>
    <row r="11" spans="1:3">
      <c r="B11" s="847"/>
    </row>
    <row r="14" spans="1:3">
      <c r="A14" t="s">
        <v>438</v>
      </c>
      <c r="B14" s="847">
        <f>1200/B1</f>
        <v>1200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Ross</dc:creator>
  <cp:keywords/>
  <dc:description/>
  <cp:lastModifiedBy>Hank Kennedy</cp:lastModifiedBy>
  <cp:revision/>
  <dcterms:created xsi:type="dcterms:W3CDTF">2021-11-30T14:35:21Z</dcterms:created>
  <dcterms:modified xsi:type="dcterms:W3CDTF">2025-12-09T15:47:41Z</dcterms:modified>
  <cp:category/>
  <cp:contentStatus/>
</cp:coreProperties>
</file>
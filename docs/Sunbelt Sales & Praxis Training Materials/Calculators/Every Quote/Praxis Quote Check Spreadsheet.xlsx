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2"/>
  <workbookPr codeName="ThisWorkbook"/>
  <mc:AlternateContent xmlns:mc="http://schemas.openxmlformats.org/markup-compatibility/2006">
    <mc:Choice Requires="x15">
      <x15ac:absPath xmlns:x15ac="http://schemas.microsoft.com/office/spreadsheetml/2010/11/ac" url="S:\"/>
    </mc:Choice>
  </mc:AlternateContent>
  <xr:revisionPtr revIDLastSave="0" documentId="13_ncr:1_{117271A0-1D9E-4EA6-AE80-19F493DB6CDF}" xr6:coauthVersionLast="47" xr6:coauthVersionMax="47" xr10:uidLastSave="{00000000-0000-0000-0000-000000000000}"/>
  <bookViews>
    <workbookView xWindow="-28920" yWindow="-120" windowWidth="29040" windowHeight="15840" firstSheet="2" activeTab="2" xr2:uid="{00000000-000D-0000-FFFF-FFFF00000000}"/>
  </bookViews>
  <sheets>
    <sheet name="Paste Here" sheetId="2" r:id="rId1"/>
    <sheet name="Sheet1" sheetId="5" state="hidden" r:id="rId2"/>
    <sheet name="Check" sheetId="3" r:id="rId3"/>
  </sheets>
  <definedNames>
    <definedName name="HEIGHT">Check!$B$3</definedName>
    <definedName name="intwall">Check!$B$5</definedName>
    <definedName name="LENGTH">Check!$B$2</definedName>
    <definedName name="MODS">Check!$B$4</definedName>
    <definedName name="perimeter">Check!$E$2</definedName>
    <definedName name="perimsqft">Check!$E$3</definedName>
    <definedName name="sqft">Check!$E$1</definedName>
    <definedName name="WIDTH">Check!$B$1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3" i="3" l="1"/>
  <c r="F63" i="3"/>
  <c r="D63" i="3"/>
  <c r="C63" i="3"/>
  <c r="E15" i="3"/>
  <c r="C16" i="3"/>
  <c r="G16" i="3" s="1"/>
  <c r="E22" i="3"/>
  <c r="D22" i="3"/>
  <c r="D21" i="3"/>
  <c r="D10" i="3"/>
  <c r="D16" i="3"/>
  <c r="E23" i="3"/>
  <c r="D23" i="3"/>
  <c r="E62" i="3"/>
  <c r="E61" i="3"/>
  <c r="D57" i="3"/>
  <c r="D53" i="3"/>
  <c r="D52" i="3"/>
  <c r="F52" i="3" s="1"/>
  <c r="D51" i="3"/>
  <c r="F51" i="3" s="1"/>
  <c r="D50" i="3"/>
  <c r="E21" i="3" s="1"/>
  <c r="D49" i="3"/>
  <c r="F49" i="3" s="1"/>
  <c r="E59" i="3"/>
  <c r="D43" i="3"/>
  <c r="E28" i="3"/>
  <c r="F21" i="3" l="1"/>
  <c r="E53" i="3"/>
  <c r="F53" i="3" s="1"/>
  <c r="E60" i="3"/>
  <c r="F50" i="3"/>
  <c r="E24" i="3"/>
  <c r="E19" i="3"/>
  <c r="E2" i="3"/>
  <c r="E1" i="3"/>
  <c r="F23" i="3"/>
  <c r="E17" i="3"/>
  <c r="E18" i="3"/>
  <c r="E16" i="3"/>
  <c r="E14" i="3"/>
  <c r="A524" i="5"/>
  <c r="B2" i="5"/>
  <c r="C2" i="5"/>
  <c r="D2" i="5"/>
  <c r="E2" i="5"/>
  <c r="F2" i="5"/>
  <c r="G2" i="5"/>
  <c r="H2" i="5"/>
  <c r="I2" i="5"/>
  <c r="J2" i="5"/>
  <c r="K2" i="5"/>
  <c r="B3" i="5"/>
  <c r="C3" i="5"/>
  <c r="D3" i="5"/>
  <c r="E3" i="5"/>
  <c r="F3" i="5"/>
  <c r="G3" i="5"/>
  <c r="H3" i="5"/>
  <c r="I3" i="5"/>
  <c r="J3" i="5"/>
  <c r="K3" i="5"/>
  <c r="B4" i="5"/>
  <c r="C4" i="5"/>
  <c r="D4" i="5"/>
  <c r="E4" i="5"/>
  <c r="F4" i="5"/>
  <c r="G4" i="5"/>
  <c r="H4" i="5"/>
  <c r="I4" i="5"/>
  <c r="J4" i="5"/>
  <c r="K4" i="5"/>
  <c r="B5" i="5"/>
  <c r="C5" i="5"/>
  <c r="D5" i="5"/>
  <c r="E5" i="5"/>
  <c r="F5" i="5"/>
  <c r="G5" i="5"/>
  <c r="H5" i="5"/>
  <c r="I5" i="5"/>
  <c r="J5" i="5"/>
  <c r="K5" i="5"/>
  <c r="B6" i="5"/>
  <c r="C6" i="5"/>
  <c r="D6" i="5"/>
  <c r="E6" i="5"/>
  <c r="F6" i="5"/>
  <c r="G6" i="5"/>
  <c r="H6" i="5"/>
  <c r="I6" i="5"/>
  <c r="J6" i="5"/>
  <c r="K6" i="5"/>
  <c r="B7" i="5"/>
  <c r="C7" i="5"/>
  <c r="D7" i="5"/>
  <c r="E7" i="5"/>
  <c r="F7" i="5"/>
  <c r="G7" i="5"/>
  <c r="H7" i="5"/>
  <c r="I7" i="5"/>
  <c r="J7" i="5"/>
  <c r="K7" i="5"/>
  <c r="B8" i="5"/>
  <c r="C8" i="5"/>
  <c r="D8" i="5"/>
  <c r="E8" i="5"/>
  <c r="F8" i="5"/>
  <c r="G8" i="5"/>
  <c r="H8" i="5"/>
  <c r="I8" i="5"/>
  <c r="J8" i="5"/>
  <c r="K8" i="5"/>
  <c r="B9" i="5"/>
  <c r="C9" i="5"/>
  <c r="D9" i="5"/>
  <c r="E9" i="5"/>
  <c r="F9" i="5"/>
  <c r="G9" i="5"/>
  <c r="H9" i="5"/>
  <c r="I9" i="5"/>
  <c r="J9" i="5"/>
  <c r="K9" i="5"/>
  <c r="B10" i="5"/>
  <c r="C10" i="5"/>
  <c r="D10" i="5"/>
  <c r="E10" i="5"/>
  <c r="F10" i="5"/>
  <c r="G10" i="5"/>
  <c r="H10" i="5"/>
  <c r="I10" i="5"/>
  <c r="J10" i="5"/>
  <c r="K10" i="5"/>
  <c r="B11" i="5"/>
  <c r="C11" i="5"/>
  <c r="D11" i="5"/>
  <c r="E11" i="5"/>
  <c r="F11" i="5"/>
  <c r="G11" i="5"/>
  <c r="H11" i="5"/>
  <c r="I11" i="5"/>
  <c r="J11" i="5"/>
  <c r="K11" i="5"/>
  <c r="B12" i="5"/>
  <c r="C12" i="5"/>
  <c r="D12" i="5"/>
  <c r="E12" i="5"/>
  <c r="F12" i="5"/>
  <c r="G12" i="5"/>
  <c r="H12" i="5"/>
  <c r="I12" i="5"/>
  <c r="J12" i="5"/>
  <c r="K12" i="5"/>
  <c r="B13" i="5"/>
  <c r="C13" i="5"/>
  <c r="D13" i="5"/>
  <c r="E13" i="5"/>
  <c r="F13" i="5"/>
  <c r="G13" i="5"/>
  <c r="H13" i="5"/>
  <c r="I13" i="5"/>
  <c r="J13" i="5"/>
  <c r="K13" i="5"/>
  <c r="B14" i="5"/>
  <c r="C14" i="5"/>
  <c r="D14" i="5"/>
  <c r="E14" i="5"/>
  <c r="F14" i="5"/>
  <c r="G14" i="5"/>
  <c r="H14" i="5"/>
  <c r="I14" i="5"/>
  <c r="J14" i="5"/>
  <c r="K14" i="5"/>
  <c r="B15" i="5"/>
  <c r="C15" i="5"/>
  <c r="D15" i="5"/>
  <c r="E15" i="5"/>
  <c r="F15" i="5"/>
  <c r="G15" i="5"/>
  <c r="H15" i="5"/>
  <c r="I15" i="5"/>
  <c r="J15" i="5"/>
  <c r="K15" i="5"/>
  <c r="B16" i="5"/>
  <c r="C16" i="5"/>
  <c r="D16" i="5"/>
  <c r="E16" i="5"/>
  <c r="F16" i="5"/>
  <c r="G16" i="5"/>
  <c r="H16" i="5"/>
  <c r="I16" i="5"/>
  <c r="J16" i="5"/>
  <c r="K16" i="5"/>
  <c r="B17" i="5"/>
  <c r="C17" i="5"/>
  <c r="D17" i="5"/>
  <c r="E17" i="5"/>
  <c r="F17" i="5"/>
  <c r="G17" i="5"/>
  <c r="H17" i="5"/>
  <c r="I17" i="5"/>
  <c r="J17" i="5"/>
  <c r="K17" i="5"/>
  <c r="B18" i="5"/>
  <c r="C18" i="5"/>
  <c r="D18" i="5"/>
  <c r="E18" i="5"/>
  <c r="F18" i="5"/>
  <c r="G18" i="5"/>
  <c r="H18" i="5"/>
  <c r="I18" i="5"/>
  <c r="J18" i="5"/>
  <c r="K18" i="5"/>
  <c r="B19" i="5"/>
  <c r="C19" i="5"/>
  <c r="D19" i="5"/>
  <c r="E19" i="5"/>
  <c r="F19" i="5"/>
  <c r="G19" i="5"/>
  <c r="H19" i="5"/>
  <c r="I19" i="5"/>
  <c r="J19" i="5"/>
  <c r="K19" i="5"/>
  <c r="B20" i="5"/>
  <c r="C20" i="5"/>
  <c r="D20" i="5"/>
  <c r="E20" i="5"/>
  <c r="F20" i="5"/>
  <c r="G20" i="5"/>
  <c r="H20" i="5"/>
  <c r="I20" i="5"/>
  <c r="J20" i="5"/>
  <c r="K20" i="5"/>
  <c r="B21" i="5"/>
  <c r="C21" i="5"/>
  <c r="D21" i="5"/>
  <c r="E21" i="5"/>
  <c r="F21" i="5"/>
  <c r="G21" i="5"/>
  <c r="H21" i="5"/>
  <c r="I21" i="5"/>
  <c r="J21" i="5"/>
  <c r="K21" i="5"/>
  <c r="B22" i="5"/>
  <c r="C22" i="5"/>
  <c r="A22" i="5" s="1"/>
  <c r="D22" i="5"/>
  <c r="E22" i="5"/>
  <c r="F22" i="5"/>
  <c r="G22" i="5"/>
  <c r="H22" i="5"/>
  <c r="I22" i="5"/>
  <c r="J22" i="5"/>
  <c r="K22" i="5"/>
  <c r="B23" i="5"/>
  <c r="C23" i="5"/>
  <c r="D23" i="5"/>
  <c r="E23" i="5"/>
  <c r="F23" i="5"/>
  <c r="G23" i="5"/>
  <c r="H23" i="5"/>
  <c r="I23" i="5"/>
  <c r="J23" i="5"/>
  <c r="K23" i="5"/>
  <c r="B24" i="5"/>
  <c r="C24" i="5"/>
  <c r="D24" i="5"/>
  <c r="E24" i="5"/>
  <c r="F24" i="5"/>
  <c r="G24" i="5"/>
  <c r="H24" i="5"/>
  <c r="I24" i="5"/>
  <c r="J24" i="5"/>
  <c r="K24" i="5"/>
  <c r="B25" i="5"/>
  <c r="C25" i="5"/>
  <c r="D25" i="5"/>
  <c r="E25" i="5"/>
  <c r="F25" i="5"/>
  <c r="G25" i="5"/>
  <c r="H25" i="5"/>
  <c r="I25" i="5"/>
  <c r="J25" i="5"/>
  <c r="K25" i="5"/>
  <c r="B26" i="5"/>
  <c r="C26" i="5"/>
  <c r="D26" i="5"/>
  <c r="E26" i="5"/>
  <c r="F26" i="5"/>
  <c r="G26" i="5"/>
  <c r="H26" i="5"/>
  <c r="I26" i="5"/>
  <c r="J26" i="5"/>
  <c r="K26" i="5"/>
  <c r="B27" i="5"/>
  <c r="C27" i="5"/>
  <c r="D27" i="5"/>
  <c r="E27" i="5"/>
  <c r="F27" i="5"/>
  <c r="G27" i="5"/>
  <c r="H27" i="5"/>
  <c r="I27" i="5"/>
  <c r="J27" i="5"/>
  <c r="K27" i="5"/>
  <c r="B28" i="5"/>
  <c r="C28" i="5"/>
  <c r="D28" i="5"/>
  <c r="E28" i="5"/>
  <c r="F28" i="5"/>
  <c r="G28" i="5"/>
  <c r="H28" i="5"/>
  <c r="I28" i="5"/>
  <c r="J28" i="5"/>
  <c r="K28" i="5"/>
  <c r="B29" i="5"/>
  <c r="C29" i="5"/>
  <c r="D29" i="5"/>
  <c r="E29" i="5"/>
  <c r="F29" i="5"/>
  <c r="G29" i="5"/>
  <c r="H29" i="5"/>
  <c r="I29" i="5"/>
  <c r="J29" i="5"/>
  <c r="K29" i="5"/>
  <c r="B30" i="5"/>
  <c r="C30" i="5"/>
  <c r="D30" i="5"/>
  <c r="E30" i="5"/>
  <c r="F30" i="5"/>
  <c r="G30" i="5"/>
  <c r="H30" i="5"/>
  <c r="I30" i="5"/>
  <c r="J30" i="5"/>
  <c r="K30" i="5"/>
  <c r="B31" i="5"/>
  <c r="C31" i="5"/>
  <c r="D31" i="5"/>
  <c r="E31" i="5"/>
  <c r="F31" i="5"/>
  <c r="G31" i="5"/>
  <c r="H31" i="5"/>
  <c r="I31" i="5"/>
  <c r="J31" i="5"/>
  <c r="K31" i="5"/>
  <c r="B32" i="5"/>
  <c r="C32" i="5"/>
  <c r="D32" i="5"/>
  <c r="E32" i="5"/>
  <c r="F32" i="5"/>
  <c r="G32" i="5"/>
  <c r="H32" i="5"/>
  <c r="I32" i="5"/>
  <c r="J32" i="5"/>
  <c r="K32" i="5"/>
  <c r="B33" i="5"/>
  <c r="C33" i="5"/>
  <c r="D33" i="5"/>
  <c r="E33" i="5"/>
  <c r="F33" i="5"/>
  <c r="G33" i="5"/>
  <c r="H33" i="5"/>
  <c r="I33" i="5"/>
  <c r="J33" i="5"/>
  <c r="K33" i="5"/>
  <c r="B34" i="5"/>
  <c r="C34" i="5"/>
  <c r="D34" i="5"/>
  <c r="E34" i="5"/>
  <c r="F34" i="5"/>
  <c r="G34" i="5"/>
  <c r="H34" i="5"/>
  <c r="I34" i="5"/>
  <c r="J34" i="5"/>
  <c r="K34" i="5"/>
  <c r="B35" i="5"/>
  <c r="C35" i="5"/>
  <c r="D35" i="5"/>
  <c r="E35" i="5"/>
  <c r="F35" i="5"/>
  <c r="G35" i="5"/>
  <c r="H35" i="5"/>
  <c r="I35" i="5"/>
  <c r="J35" i="5"/>
  <c r="K35" i="5"/>
  <c r="B36" i="5"/>
  <c r="C36" i="5"/>
  <c r="D36" i="5"/>
  <c r="E36" i="5"/>
  <c r="F36" i="5"/>
  <c r="G36" i="5"/>
  <c r="H36" i="5"/>
  <c r="I36" i="5"/>
  <c r="J36" i="5"/>
  <c r="K36" i="5"/>
  <c r="B37" i="5"/>
  <c r="C37" i="5"/>
  <c r="D37" i="5"/>
  <c r="E37" i="5"/>
  <c r="F37" i="5"/>
  <c r="G37" i="5"/>
  <c r="H37" i="5"/>
  <c r="I37" i="5"/>
  <c r="J37" i="5"/>
  <c r="K37" i="5"/>
  <c r="B38" i="5"/>
  <c r="C38" i="5"/>
  <c r="D38" i="5"/>
  <c r="E38" i="5"/>
  <c r="F38" i="5"/>
  <c r="G38" i="5"/>
  <c r="H38" i="5"/>
  <c r="I38" i="5"/>
  <c r="J38" i="5"/>
  <c r="K38" i="5"/>
  <c r="B39" i="5"/>
  <c r="C39" i="5"/>
  <c r="D39" i="5"/>
  <c r="E39" i="5"/>
  <c r="F39" i="5"/>
  <c r="G39" i="5"/>
  <c r="H39" i="5"/>
  <c r="I39" i="5"/>
  <c r="J39" i="5"/>
  <c r="K39" i="5"/>
  <c r="B40" i="5"/>
  <c r="C40" i="5"/>
  <c r="D40" i="5"/>
  <c r="E40" i="5"/>
  <c r="F40" i="5"/>
  <c r="G40" i="5"/>
  <c r="H40" i="5"/>
  <c r="I40" i="5"/>
  <c r="J40" i="5"/>
  <c r="K40" i="5"/>
  <c r="B41" i="5"/>
  <c r="C41" i="5"/>
  <c r="D41" i="5"/>
  <c r="E41" i="5"/>
  <c r="F41" i="5"/>
  <c r="G41" i="5"/>
  <c r="H41" i="5"/>
  <c r="I41" i="5"/>
  <c r="J41" i="5"/>
  <c r="K41" i="5"/>
  <c r="B42" i="5"/>
  <c r="C42" i="5"/>
  <c r="D42" i="5"/>
  <c r="E42" i="5"/>
  <c r="F42" i="5"/>
  <c r="G42" i="5"/>
  <c r="H42" i="5"/>
  <c r="I42" i="5"/>
  <c r="J42" i="5"/>
  <c r="K42" i="5"/>
  <c r="B43" i="5"/>
  <c r="C43" i="5"/>
  <c r="D43" i="5"/>
  <c r="E43" i="5"/>
  <c r="F43" i="5"/>
  <c r="G43" i="5"/>
  <c r="H43" i="5"/>
  <c r="I43" i="5"/>
  <c r="J43" i="5"/>
  <c r="K43" i="5"/>
  <c r="B44" i="5"/>
  <c r="C44" i="5"/>
  <c r="D44" i="5"/>
  <c r="E44" i="5"/>
  <c r="F44" i="5"/>
  <c r="G44" i="5"/>
  <c r="H44" i="5"/>
  <c r="I44" i="5"/>
  <c r="J44" i="5"/>
  <c r="K44" i="5"/>
  <c r="B45" i="5"/>
  <c r="C45" i="5"/>
  <c r="D45" i="5"/>
  <c r="E45" i="5"/>
  <c r="F45" i="5"/>
  <c r="G45" i="5"/>
  <c r="H45" i="5"/>
  <c r="I45" i="5"/>
  <c r="J45" i="5"/>
  <c r="K45" i="5"/>
  <c r="B46" i="5"/>
  <c r="C46" i="5"/>
  <c r="D46" i="5"/>
  <c r="E46" i="5"/>
  <c r="F46" i="5"/>
  <c r="G46" i="5"/>
  <c r="H46" i="5"/>
  <c r="I46" i="5"/>
  <c r="J46" i="5"/>
  <c r="K46" i="5"/>
  <c r="B47" i="5"/>
  <c r="C47" i="5"/>
  <c r="D47" i="5"/>
  <c r="E47" i="5"/>
  <c r="F47" i="5"/>
  <c r="G47" i="5"/>
  <c r="H47" i="5"/>
  <c r="I47" i="5"/>
  <c r="J47" i="5"/>
  <c r="K47" i="5"/>
  <c r="B48" i="5"/>
  <c r="C48" i="5"/>
  <c r="D48" i="5"/>
  <c r="E48" i="5"/>
  <c r="F48" i="5"/>
  <c r="G48" i="5"/>
  <c r="H48" i="5"/>
  <c r="I48" i="5"/>
  <c r="J48" i="5"/>
  <c r="K48" i="5"/>
  <c r="B49" i="5"/>
  <c r="C49" i="5"/>
  <c r="D49" i="5"/>
  <c r="E49" i="5"/>
  <c r="F49" i="5"/>
  <c r="G49" i="5"/>
  <c r="H49" i="5"/>
  <c r="I49" i="5"/>
  <c r="J49" i="5"/>
  <c r="K49" i="5"/>
  <c r="B50" i="5"/>
  <c r="C50" i="5"/>
  <c r="D50" i="5"/>
  <c r="E50" i="5"/>
  <c r="F50" i="5"/>
  <c r="G50" i="5"/>
  <c r="H50" i="5"/>
  <c r="I50" i="5"/>
  <c r="J50" i="5"/>
  <c r="K50" i="5"/>
  <c r="B51" i="5"/>
  <c r="C51" i="5"/>
  <c r="D51" i="5"/>
  <c r="E51" i="5"/>
  <c r="F51" i="5"/>
  <c r="G51" i="5"/>
  <c r="H51" i="5"/>
  <c r="I51" i="5"/>
  <c r="J51" i="5"/>
  <c r="K51" i="5"/>
  <c r="B52" i="5"/>
  <c r="C52" i="5"/>
  <c r="D52" i="5"/>
  <c r="E52" i="5"/>
  <c r="F52" i="5"/>
  <c r="G52" i="5"/>
  <c r="H52" i="5"/>
  <c r="I52" i="5"/>
  <c r="J52" i="5"/>
  <c r="K52" i="5"/>
  <c r="B53" i="5"/>
  <c r="C53" i="5"/>
  <c r="D53" i="5"/>
  <c r="E53" i="5"/>
  <c r="F53" i="5"/>
  <c r="G53" i="5"/>
  <c r="H53" i="5"/>
  <c r="I53" i="5"/>
  <c r="J53" i="5"/>
  <c r="K53" i="5"/>
  <c r="B54" i="5"/>
  <c r="C54" i="5"/>
  <c r="D54" i="5"/>
  <c r="E54" i="5"/>
  <c r="F54" i="5"/>
  <c r="G54" i="5"/>
  <c r="H54" i="5"/>
  <c r="I54" i="5"/>
  <c r="J54" i="5"/>
  <c r="K54" i="5"/>
  <c r="B55" i="5"/>
  <c r="C55" i="5"/>
  <c r="D55" i="5"/>
  <c r="E55" i="5"/>
  <c r="F55" i="5"/>
  <c r="G55" i="5"/>
  <c r="H55" i="5"/>
  <c r="I55" i="5"/>
  <c r="J55" i="5"/>
  <c r="K55" i="5"/>
  <c r="B56" i="5"/>
  <c r="C56" i="5"/>
  <c r="D56" i="5"/>
  <c r="E56" i="5"/>
  <c r="F56" i="5"/>
  <c r="G56" i="5"/>
  <c r="H56" i="5"/>
  <c r="I56" i="5"/>
  <c r="J56" i="5"/>
  <c r="K56" i="5"/>
  <c r="B57" i="5"/>
  <c r="C57" i="5"/>
  <c r="D57" i="5"/>
  <c r="E57" i="5"/>
  <c r="F57" i="5"/>
  <c r="G57" i="5"/>
  <c r="H57" i="5"/>
  <c r="I57" i="5"/>
  <c r="J57" i="5"/>
  <c r="K57" i="5"/>
  <c r="B58" i="5"/>
  <c r="C58" i="5"/>
  <c r="D58" i="5"/>
  <c r="E58" i="5"/>
  <c r="F58" i="5"/>
  <c r="G58" i="5"/>
  <c r="H58" i="5"/>
  <c r="I58" i="5"/>
  <c r="J58" i="5"/>
  <c r="K58" i="5"/>
  <c r="B59" i="5"/>
  <c r="C59" i="5"/>
  <c r="D59" i="5"/>
  <c r="E59" i="5"/>
  <c r="F59" i="5"/>
  <c r="G59" i="5"/>
  <c r="H59" i="5"/>
  <c r="I59" i="5"/>
  <c r="J59" i="5"/>
  <c r="K59" i="5"/>
  <c r="B60" i="5"/>
  <c r="C60" i="5"/>
  <c r="D60" i="5"/>
  <c r="E60" i="5"/>
  <c r="F60" i="5"/>
  <c r="G60" i="5"/>
  <c r="H60" i="5"/>
  <c r="I60" i="5"/>
  <c r="J60" i="5"/>
  <c r="K60" i="5"/>
  <c r="B61" i="5"/>
  <c r="C61" i="5"/>
  <c r="D61" i="5"/>
  <c r="E61" i="5"/>
  <c r="F61" i="5"/>
  <c r="G61" i="5"/>
  <c r="H61" i="5"/>
  <c r="I61" i="5"/>
  <c r="J61" i="5"/>
  <c r="K61" i="5"/>
  <c r="B62" i="5"/>
  <c r="C62" i="5"/>
  <c r="D62" i="5"/>
  <c r="E62" i="5"/>
  <c r="F62" i="5"/>
  <c r="G62" i="5"/>
  <c r="H62" i="5"/>
  <c r="I62" i="5"/>
  <c r="J62" i="5"/>
  <c r="K62" i="5"/>
  <c r="B63" i="5"/>
  <c r="C63" i="5"/>
  <c r="D63" i="5"/>
  <c r="E63" i="5"/>
  <c r="F63" i="5"/>
  <c r="G63" i="5"/>
  <c r="H63" i="5"/>
  <c r="I63" i="5"/>
  <c r="J63" i="5"/>
  <c r="K63" i="5"/>
  <c r="B64" i="5"/>
  <c r="C64" i="5"/>
  <c r="D64" i="5"/>
  <c r="E64" i="5"/>
  <c r="F64" i="5"/>
  <c r="G64" i="5"/>
  <c r="H64" i="5"/>
  <c r="I64" i="5"/>
  <c r="J64" i="5"/>
  <c r="K64" i="5"/>
  <c r="B65" i="5"/>
  <c r="C65" i="5"/>
  <c r="D65" i="5"/>
  <c r="E65" i="5"/>
  <c r="F65" i="5"/>
  <c r="G65" i="5"/>
  <c r="H65" i="5"/>
  <c r="I65" i="5"/>
  <c r="J65" i="5"/>
  <c r="K65" i="5"/>
  <c r="B66" i="5"/>
  <c r="C66" i="5"/>
  <c r="D66" i="5"/>
  <c r="E66" i="5"/>
  <c r="F66" i="5"/>
  <c r="G66" i="5"/>
  <c r="H66" i="5"/>
  <c r="I66" i="5"/>
  <c r="J66" i="5"/>
  <c r="K66" i="5"/>
  <c r="B67" i="5"/>
  <c r="C67" i="5"/>
  <c r="D67" i="5"/>
  <c r="E67" i="5"/>
  <c r="F67" i="5"/>
  <c r="G67" i="5"/>
  <c r="H67" i="5"/>
  <c r="I67" i="5"/>
  <c r="J67" i="5"/>
  <c r="K67" i="5"/>
  <c r="B68" i="5"/>
  <c r="C68" i="5"/>
  <c r="D68" i="5"/>
  <c r="E68" i="5"/>
  <c r="F68" i="5"/>
  <c r="G68" i="5"/>
  <c r="H68" i="5"/>
  <c r="I68" i="5"/>
  <c r="J68" i="5"/>
  <c r="K68" i="5"/>
  <c r="B69" i="5"/>
  <c r="C69" i="5"/>
  <c r="D69" i="5"/>
  <c r="E69" i="5"/>
  <c r="F69" i="5"/>
  <c r="G69" i="5"/>
  <c r="H69" i="5"/>
  <c r="I69" i="5"/>
  <c r="J69" i="5"/>
  <c r="K69" i="5"/>
  <c r="B70" i="5"/>
  <c r="C70" i="5"/>
  <c r="D70" i="5"/>
  <c r="E70" i="5"/>
  <c r="F70" i="5"/>
  <c r="G70" i="5"/>
  <c r="H70" i="5"/>
  <c r="I70" i="5"/>
  <c r="J70" i="5"/>
  <c r="K70" i="5"/>
  <c r="B71" i="5"/>
  <c r="C71" i="5"/>
  <c r="D71" i="5"/>
  <c r="E71" i="5"/>
  <c r="F71" i="5"/>
  <c r="G71" i="5"/>
  <c r="H71" i="5"/>
  <c r="I71" i="5"/>
  <c r="J71" i="5"/>
  <c r="K71" i="5"/>
  <c r="B72" i="5"/>
  <c r="C72" i="5"/>
  <c r="D72" i="5"/>
  <c r="E72" i="5"/>
  <c r="F72" i="5"/>
  <c r="G72" i="5"/>
  <c r="H72" i="5"/>
  <c r="I72" i="5"/>
  <c r="J72" i="5"/>
  <c r="K72" i="5"/>
  <c r="B73" i="5"/>
  <c r="C73" i="5"/>
  <c r="D73" i="5"/>
  <c r="E73" i="5"/>
  <c r="F73" i="5"/>
  <c r="G73" i="5"/>
  <c r="H73" i="5"/>
  <c r="I73" i="5"/>
  <c r="J73" i="5"/>
  <c r="K73" i="5"/>
  <c r="B74" i="5"/>
  <c r="C74" i="5"/>
  <c r="D74" i="5"/>
  <c r="E74" i="5"/>
  <c r="F74" i="5"/>
  <c r="G74" i="5"/>
  <c r="H74" i="5"/>
  <c r="I74" i="5"/>
  <c r="J74" i="5"/>
  <c r="K74" i="5"/>
  <c r="B75" i="5"/>
  <c r="C75" i="5"/>
  <c r="D75" i="5"/>
  <c r="E75" i="5"/>
  <c r="F75" i="5"/>
  <c r="G75" i="5"/>
  <c r="H75" i="5"/>
  <c r="I75" i="5"/>
  <c r="J75" i="5"/>
  <c r="K75" i="5"/>
  <c r="B76" i="5"/>
  <c r="C76" i="5"/>
  <c r="D76" i="5"/>
  <c r="E76" i="5"/>
  <c r="F76" i="5"/>
  <c r="G76" i="5"/>
  <c r="H76" i="5"/>
  <c r="I76" i="5"/>
  <c r="J76" i="5"/>
  <c r="K76" i="5"/>
  <c r="B77" i="5"/>
  <c r="C77" i="5"/>
  <c r="D77" i="5"/>
  <c r="E77" i="5"/>
  <c r="F77" i="5"/>
  <c r="G77" i="5"/>
  <c r="H77" i="5"/>
  <c r="I77" i="5"/>
  <c r="J77" i="5"/>
  <c r="K77" i="5"/>
  <c r="B78" i="5"/>
  <c r="C78" i="5"/>
  <c r="D78" i="5"/>
  <c r="E78" i="5"/>
  <c r="F78" i="5"/>
  <c r="G78" i="5"/>
  <c r="H78" i="5"/>
  <c r="I78" i="5"/>
  <c r="J78" i="5"/>
  <c r="K78" i="5"/>
  <c r="B79" i="5"/>
  <c r="C79" i="5"/>
  <c r="D79" i="5"/>
  <c r="E79" i="5"/>
  <c r="F79" i="5"/>
  <c r="G79" i="5"/>
  <c r="H79" i="5"/>
  <c r="I79" i="5"/>
  <c r="J79" i="5"/>
  <c r="K79" i="5"/>
  <c r="B80" i="5"/>
  <c r="C80" i="5"/>
  <c r="D80" i="5"/>
  <c r="E80" i="5"/>
  <c r="F80" i="5"/>
  <c r="G80" i="5"/>
  <c r="H80" i="5"/>
  <c r="I80" i="5"/>
  <c r="J80" i="5"/>
  <c r="K80" i="5"/>
  <c r="B81" i="5"/>
  <c r="C81" i="5"/>
  <c r="D81" i="5"/>
  <c r="E81" i="5"/>
  <c r="F81" i="5"/>
  <c r="G81" i="5"/>
  <c r="H81" i="5"/>
  <c r="I81" i="5"/>
  <c r="J81" i="5"/>
  <c r="K81" i="5"/>
  <c r="B82" i="5"/>
  <c r="C82" i="5"/>
  <c r="D82" i="5"/>
  <c r="E82" i="5"/>
  <c r="F82" i="5"/>
  <c r="G82" i="5"/>
  <c r="H82" i="5"/>
  <c r="I82" i="5"/>
  <c r="J82" i="5"/>
  <c r="K82" i="5"/>
  <c r="B83" i="5"/>
  <c r="C83" i="5"/>
  <c r="D83" i="5"/>
  <c r="E83" i="5"/>
  <c r="F83" i="5"/>
  <c r="G83" i="5"/>
  <c r="H83" i="5"/>
  <c r="I83" i="5"/>
  <c r="J83" i="5"/>
  <c r="K83" i="5"/>
  <c r="B84" i="5"/>
  <c r="C84" i="5"/>
  <c r="D84" i="5"/>
  <c r="E84" i="5"/>
  <c r="F84" i="5"/>
  <c r="G84" i="5"/>
  <c r="H84" i="5"/>
  <c r="I84" i="5"/>
  <c r="J84" i="5"/>
  <c r="K84" i="5"/>
  <c r="B85" i="5"/>
  <c r="C85" i="5"/>
  <c r="D85" i="5"/>
  <c r="E85" i="5"/>
  <c r="F85" i="5"/>
  <c r="G85" i="5"/>
  <c r="H85" i="5"/>
  <c r="I85" i="5"/>
  <c r="J85" i="5"/>
  <c r="K85" i="5"/>
  <c r="B86" i="5"/>
  <c r="C86" i="5"/>
  <c r="D86" i="5"/>
  <c r="E86" i="5"/>
  <c r="F86" i="5"/>
  <c r="G86" i="5"/>
  <c r="H86" i="5"/>
  <c r="I86" i="5"/>
  <c r="J86" i="5"/>
  <c r="K86" i="5"/>
  <c r="B87" i="5"/>
  <c r="C87" i="5"/>
  <c r="D87" i="5"/>
  <c r="E87" i="5"/>
  <c r="F87" i="5"/>
  <c r="G87" i="5"/>
  <c r="H87" i="5"/>
  <c r="I87" i="5"/>
  <c r="J87" i="5"/>
  <c r="K87" i="5"/>
  <c r="B88" i="5"/>
  <c r="C88" i="5"/>
  <c r="D88" i="5"/>
  <c r="E88" i="5"/>
  <c r="F88" i="5"/>
  <c r="G88" i="5"/>
  <c r="H88" i="5"/>
  <c r="I88" i="5"/>
  <c r="J88" i="5"/>
  <c r="K88" i="5"/>
  <c r="B89" i="5"/>
  <c r="C89" i="5"/>
  <c r="D89" i="5"/>
  <c r="E89" i="5"/>
  <c r="F89" i="5"/>
  <c r="G89" i="5"/>
  <c r="H89" i="5"/>
  <c r="I89" i="5"/>
  <c r="J89" i="5"/>
  <c r="K89" i="5"/>
  <c r="B90" i="5"/>
  <c r="C90" i="5"/>
  <c r="D90" i="5"/>
  <c r="E90" i="5"/>
  <c r="F90" i="5"/>
  <c r="G90" i="5"/>
  <c r="H90" i="5"/>
  <c r="I90" i="5"/>
  <c r="J90" i="5"/>
  <c r="K90" i="5"/>
  <c r="B91" i="5"/>
  <c r="C91" i="5"/>
  <c r="D91" i="5"/>
  <c r="E91" i="5"/>
  <c r="F91" i="5"/>
  <c r="G91" i="5"/>
  <c r="H91" i="5"/>
  <c r="I91" i="5"/>
  <c r="J91" i="5"/>
  <c r="K91" i="5"/>
  <c r="B92" i="5"/>
  <c r="C92" i="5"/>
  <c r="D92" i="5"/>
  <c r="E92" i="5"/>
  <c r="F92" i="5"/>
  <c r="G92" i="5"/>
  <c r="H92" i="5"/>
  <c r="I92" i="5"/>
  <c r="J92" i="5"/>
  <c r="K92" i="5"/>
  <c r="B93" i="5"/>
  <c r="C93" i="5"/>
  <c r="D93" i="5"/>
  <c r="E93" i="5"/>
  <c r="F93" i="5"/>
  <c r="G93" i="5"/>
  <c r="H93" i="5"/>
  <c r="I93" i="5"/>
  <c r="J93" i="5"/>
  <c r="K93" i="5"/>
  <c r="B94" i="5"/>
  <c r="C94" i="5"/>
  <c r="D94" i="5"/>
  <c r="E94" i="5"/>
  <c r="F94" i="5"/>
  <c r="G94" i="5"/>
  <c r="H94" i="5"/>
  <c r="I94" i="5"/>
  <c r="J94" i="5"/>
  <c r="K94" i="5"/>
  <c r="B95" i="5"/>
  <c r="C95" i="5"/>
  <c r="D95" i="5"/>
  <c r="E95" i="5"/>
  <c r="F95" i="5"/>
  <c r="G95" i="5"/>
  <c r="H95" i="5"/>
  <c r="I95" i="5"/>
  <c r="J95" i="5"/>
  <c r="K95" i="5"/>
  <c r="B96" i="5"/>
  <c r="C96" i="5"/>
  <c r="D96" i="5"/>
  <c r="E96" i="5"/>
  <c r="F96" i="5"/>
  <c r="G96" i="5"/>
  <c r="H96" i="5"/>
  <c r="I96" i="5"/>
  <c r="J96" i="5"/>
  <c r="K96" i="5"/>
  <c r="B97" i="5"/>
  <c r="C97" i="5"/>
  <c r="D97" i="5"/>
  <c r="E97" i="5"/>
  <c r="F97" i="5"/>
  <c r="G97" i="5"/>
  <c r="H97" i="5"/>
  <c r="I97" i="5"/>
  <c r="J97" i="5"/>
  <c r="K97" i="5"/>
  <c r="B98" i="5"/>
  <c r="C98" i="5"/>
  <c r="D98" i="5"/>
  <c r="E98" i="5"/>
  <c r="F98" i="5"/>
  <c r="G98" i="5"/>
  <c r="H98" i="5"/>
  <c r="I98" i="5"/>
  <c r="J98" i="5"/>
  <c r="K98" i="5"/>
  <c r="B99" i="5"/>
  <c r="C99" i="5"/>
  <c r="D99" i="5"/>
  <c r="E99" i="5"/>
  <c r="F99" i="5"/>
  <c r="G99" i="5"/>
  <c r="H99" i="5"/>
  <c r="I99" i="5"/>
  <c r="J99" i="5"/>
  <c r="K99" i="5"/>
  <c r="B100" i="5"/>
  <c r="C100" i="5"/>
  <c r="D100" i="5"/>
  <c r="E100" i="5"/>
  <c r="F100" i="5"/>
  <c r="G100" i="5"/>
  <c r="H100" i="5"/>
  <c r="I100" i="5"/>
  <c r="J100" i="5"/>
  <c r="K100" i="5"/>
  <c r="B101" i="5"/>
  <c r="C101" i="5"/>
  <c r="D101" i="5"/>
  <c r="E101" i="5"/>
  <c r="F101" i="5"/>
  <c r="G101" i="5"/>
  <c r="H101" i="5"/>
  <c r="I101" i="5"/>
  <c r="J101" i="5"/>
  <c r="K101" i="5"/>
  <c r="B102" i="5"/>
  <c r="C102" i="5"/>
  <c r="D102" i="5"/>
  <c r="E102" i="5"/>
  <c r="F102" i="5"/>
  <c r="G102" i="5"/>
  <c r="H102" i="5"/>
  <c r="I102" i="5"/>
  <c r="J102" i="5"/>
  <c r="K102" i="5"/>
  <c r="B103" i="5"/>
  <c r="C103" i="5"/>
  <c r="D103" i="5"/>
  <c r="E103" i="5"/>
  <c r="F103" i="5"/>
  <c r="G103" i="5"/>
  <c r="H103" i="5"/>
  <c r="I103" i="5"/>
  <c r="J103" i="5"/>
  <c r="K103" i="5"/>
  <c r="B104" i="5"/>
  <c r="C104" i="5"/>
  <c r="D104" i="5"/>
  <c r="E104" i="5"/>
  <c r="F104" i="5"/>
  <c r="G104" i="5"/>
  <c r="H104" i="5"/>
  <c r="I104" i="5"/>
  <c r="J104" i="5"/>
  <c r="K104" i="5"/>
  <c r="B105" i="5"/>
  <c r="C105" i="5"/>
  <c r="D105" i="5"/>
  <c r="E105" i="5"/>
  <c r="F105" i="5"/>
  <c r="G105" i="5"/>
  <c r="H105" i="5"/>
  <c r="I105" i="5"/>
  <c r="J105" i="5"/>
  <c r="K105" i="5"/>
  <c r="B106" i="5"/>
  <c r="C106" i="5"/>
  <c r="D106" i="5"/>
  <c r="E106" i="5"/>
  <c r="F106" i="5"/>
  <c r="G106" i="5"/>
  <c r="H106" i="5"/>
  <c r="I106" i="5"/>
  <c r="J106" i="5"/>
  <c r="K106" i="5"/>
  <c r="B107" i="5"/>
  <c r="C107" i="5"/>
  <c r="D107" i="5"/>
  <c r="E107" i="5"/>
  <c r="F107" i="5"/>
  <c r="G107" i="5"/>
  <c r="H107" i="5"/>
  <c r="I107" i="5"/>
  <c r="J107" i="5"/>
  <c r="K107" i="5"/>
  <c r="B108" i="5"/>
  <c r="C108" i="5"/>
  <c r="D108" i="5"/>
  <c r="E108" i="5"/>
  <c r="F108" i="5"/>
  <c r="G108" i="5"/>
  <c r="H108" i="5"/>
  <c r="I108" i="5"/>
  <c r="J108" i="5"/>
  <c r="K108" i="5"/>
  <c r="B109" i="5"/>
  <c r="C109" i="5"/>
  <c r="D109" i="5"/>
  <c r="E109" i="5"/>
  <c r="F109" i="5"/>
  <c r="G109" i="5"/>
  <c r="H109" i="5"/>
  <c r="I109" i="5"/>
  <c r="J109" i="5"/>
  <c r="K109" i="5"/>
  <c r="B110" i="5"/>
  <c r="C110" i="5"/>
  <c r="D110" i="5"/>
  <c r="E110" i="5"/>
  <c r="F110" i="5"/>
  <c r="G110" i="5"/>
  <c r="H110" i="5"/>
  <c r="I110" i="5"/>
  <c r="J110" i="5"/>
  <c r="K110" i="5"/>
  <c r="B111" i="5"/>
  <c r="C111" i="5"/>
  <c r="D111" i="5"/>
  <c r="E111" i="5"/>
  <c r="F111" i="5"/>
  <c r="G111" i="5"/>
  <c r="H111" i="5"/>
  <c r="I111" i="5"/>
  <c r="J111" i="5"/>
  <c r="K111" i="5"/>
  <c r="B112" i="5"/>
  <c r="C112" i="5"/>
  <c r="D112" i="5"/>
  <c r="E112" i="5"/>
  <c r="F112" i="5"/>
  <c r="G112" i="5"/>
  <c r="H112" i="5"/>
  <c r="I112" i="5"/>
  <c r="J112" i="5"/>
  <c r="K112" i="5"/>
  <c r="B113" i="5"/>
  <c r="C113" i="5"/>
  <c r="D113" i="5"/>
  <c r="E113" i="5"/>
  <c r="F113" i="5"/>
  <c r="G113" i="5"/>
  <c r="H113" i="5"/>
  <c r="I113" i="5"/>
  <c r="J113" i="5"/>
  <c r="K113" i="5"/>
  <c r="B114" i="5"/>
  <c r="C114" i="5"/>
  <c r="D114" i="5"/>
  <c r="E114" i="5"/>
  <c r="F114" i="5"/>
  <c r="G114" i="5"/>
  <c r="H114" i="5"/>
  <c r="I114" i="5"/>
  <c r="J114" i="5"/>
  <c r="K114" i="5"/>
  <c r="B115" i="5"/>
  <c r="C115" i="5"/>
  <c r="D115" i="5"/>
  <c r="E115" i="5"/>
  <c r="F115" i="5"/>
  <c r="G115" i="5"/>
  <c r="H115" i="5"/>
  <c r="I115" i="5"/>
  <c r="J115" i="5"/>
  <c r="K115" i="5"/>
  <c r="B116" i="5"/>
  <c r="C116" i="5"/>
  <c r="D116" i="5"/>
  <c r="E116" i="5"/>
  <c r="F116" i="5"/>
  <c r="G116" i="5"/>
  <c r="H116" i="5"/>
  <c r="I116" i="5"/>
  <c r="J116" i="5"/>
  <c r="K116" i="5"/>
  <c r="B117" i="5"/>
  <c r="C117" i="5"/>
  <c r="A117" i="5" s="1"/>
  <c r="D117" i="5"/>
  <c r="E117" i="5"/>
  <c r="F117" i="5"/>
  <c r="G117" i="5"/>
  <c r="H117" i="5"/>
  <c r="I117" i="5"/>
  <c r="J117" i="5"/>
  <c r="K117" i="5"/>
  <c r="B118" i="5"/>
  <c r="C118" i="5"/>
  <c r="D118" i="5"/>
  <c r="E118" i="5"/>
  <c r="F118" i="5"/>
  <c r="G118" i="5"/>
  <c r="H118" i="5"/>
  <c r="I118" i="5"/>
  <c r="J118" i="5"/>
  <c r="K118" i="5"/>
  <c r="B119" i="5"/>
  <c r="C119" i="5"/>
  <c r="D119" i="5"/>
  <c r="E119" i="5"/>
  <c r="F119" i="5"/>
  <c r="G119" i="5"/>
  <c r="H119" i="5"/>
  <c r="I119" i="5"/>
  <c r="J119" i="5"/>
  <c r="K119" i="5"/>
  <c r="B120" i="5"/>
  <c r="C120" i="5"/>
  <c r="D120" i="5"/>
  <c r="E120" i="5"/>
  <c r="F120" i="5"/>
  <c r="G120" i="5"/>
  <c r="H120" i="5"/>
  <c r="I120" i="5"/>
  <c r="J120" i="5"/>
  <c r="K120" i="5"/>
  <c r="B121" i="5"/>
  <c r="C121" i="5"/>
  <c r="A121" i="5" s="1"/>
  <c r="D121" i="5"/>
  <c r="E121" i="5"/>
  <c r="F121" i="5"/>
  <c r="G121" i="5"/>
  <c r="H121" i="5"/>
  <c r="I121" i="5"/>
  <c r="J121" i="5"/>
  <c r="K121" i="5"/>
  <c r="B122" i="5"/>
  <c r="C122" i="5"/>
  <c r="A122" i="5" s="1"/>
  <c r="D122" i="5"/>
  <c r="E122" i="5"/>
  <c r="F122" i="5"/>
  <c r="G122" i="5"/>
  <c r="H122" i="5"/>
  <c r="I122" i="5"/>
  <c r="J122" i="5"/>
  <c r="K122" i="5"/>
  <c r="B123" i="5"/>
  <c r="C123" i="5"/>
  <c r="A123" i="5" s="1"/>
  <c r="D123" i="5"/>
  <c r="E123" i="5"/>
  <c r="F123" i="5"/>
  <c r="G123" i="5"/>
  <c r="H123" i="5"/>
  <c r="I123" i="5"/>
  <c r="J123" i="5"/>
  <c r="K123" i="5"/>
  <c r="B124" i="5"/>
  <c r="C124" i="5"/>
  <c r="D124" i="5"/>
  <c r="E124" i="5"/>
  <c r="F124" i="5"/>
  <c r="G124" i="5"/>
  <c r="H124" i="5"/>
  <c r="I124" i="5"/>
  <c r="J124" i="5"/>
  <c r="K124" i="5"/>
  <c r="B125" i="5"/>
  <c r="C125" i="5"/>
  <c r="A125" i="5" s="1"/>
  <c r="D125" i="5"/>
  <c r="E125" i="5"/>
  <c r="F125" i="5"/>
  <c r="G125" i="5"/>
  <c r="H125" i="5"/>
  <c r="I125" i="5"/>
  <c r="J125" i="5"/>
  <c r="K125" i="5"/>
  <c r="B126" i="5"/>
  <c r="C126" i="5"/>
  <c r="D126" i="5"/>
  <c r="E126" i="5"/>
  <c r="F126" i="5"/>
  <c r="G126" i="5"/>
  <c r="H126" i="5"/>
  <c r="I126" i="5"/>
  <c r="J126" i="5"/>
  <c r="K126" i="5"/>
  <c r="B127" i="5"/>
  <c r="C127" i="5"/>
  <c r="D127" i="5"/>
  <c r="E127" i="5"/>
  <c r="F127" i="5"/>
  <c r="G127" i="5"/>
  <c r="H127" i="5"/>
  <c r="I127" i="5"/>
  <c r="J127" i="5"/>
  <c r="K127" i="5"/>
  <c r="B128" i="5"/>
  <c r="C128" i="5"/>
  <c r="A128" i="5" s="1"/>
  <c r="D128" i="5"/>
  <c r="E128" i="5"/>
  <c r="F128" i="5"/>
  <c r="G128" i="5"/>
  <c r="H128" i="5"/>
  <c r="I128" i="5"/>
  <c r="J128" i="5"/>
  <c r="K128" i="5"/>
  <c r="B129" i="5"/>
  <c r="C129" i="5"/>
  <c r="A129" i="5" s="1"/>
  <c r="D129" i="5"/>
  <c r="E129" i="5"/>
  <c r="F129" i="5"/>
  <c r="G129" i="5"/>
  <c r="H129" i="5"/>
  <c r="I129" i="5"/>
  <c r="J129" i="5"/>
  <c r="K129" i="5"/>
  <c r="B130" i="5"/>
  <c r="C130" i="5"/>
  <c r="D130" i="5"/>
  <c r="A130" i="5" s="1"/>
  <c r="E130" i="5"/>
  <c r="F130" i="5"/>
  <c r="G130" i="5"/>
  <c r="H130" i="5"/>
  <c r="I130" i="5"/>
  <c r="J130" i="5"/>
  <c r="K130" i="5"/>
  <c r="B131" i="5"/>
  <c r="C131" i="5"/>
  <c r="D131" i="5"/>
  <c r="E131" i="5"/>
  <c r="F131" i="5"/>
  <c r="G131" i="5"/>
  <c r="H131" i="5"/>
  <c r="I131" i="5"/>
  <c r="J131" i="5"/>
  <c r="K131" i="5"/>
  <c r="B132" i="5"/>
  <c r="C132" i="5"/>
  <c r="D132" i="5"/>
  <c r="E132" i="5"/>
  <c r="F132" i="5"/>
  <c r="G132" i="5"/>
  <c r="H132" i="5"/>
  <c r="I132" i="5"/>
  <c r="J132" i="5"/>
  <c r="K132" i="5"/>
  <c r="B133" i="5"/>
  <c r="C133" i="5"/>
  <c r="A133" i="5" s="1"/>
  <c r="D133" i="5"/>
  <c r="E133" i="5"/>
  <c r="F133" i="5"/>
  <c r="G133" i="5"/>
  <c r="H133" i="5"/>
  <c r="I133" i="5"/>
  <c r="J133" i="5"/>
  <c r="K133" i="5"/>
  <c r="B134" i="5"/>
  <c r="C134" i="5"/>
  <c r="A134" i="5" s="1"/>
  <c r="D134" i="5"/>
  <c r="E134" i="5"/>
  <c r="F134" i="5"/>
  <c r="G134" i="5"/>
  <c r="H134" i="5"/>
  <c r="I134" i="5"/>
  <c r="J134" i="5"/>
  <c r="K134" i="5"/>
  <c r="B135" i="5"/>
  <c r="C135" i="5"/>
  <c r="A135" i="5" s="1"/>
  <c r="D135" i="5"/>
  <c r="E135" i="5"/>
  <c r="F135" i="5"/>
  <c r="G135" i="5"/>
  <c r="H135" i="5"/>
  <c r="I135" i="5"/>
  <c r="J135" i="5"/>
  <c r="K135" i="5"/>
  <c r="B136" i="5"/>
  <c r="C136" i="5"/>
  <c r="D136" i="5"/>
  <c r="E136" i="5"/>
  <c r="F136" i="5"/>
  <c r="G136" i="5"/>
  <c r="H136" i="5"/>
  <c r="I136" i="5"/>
  <c r="J136" i="5"/>
  <c r="K136" i="5"/>
  <c r="B137" i="5"/>
  <c r="C137" i="5"/>
  <c r="A137" i="5" s="1"/>
  <c r="D137" i="5"/>
  <c r="E137" i="5"/>
  <c r="F137" i="5"/>
  <c r="G137" i="5"/>
  <c r="H137" i="5"/>
  <c r="I137" i="5"/>
  <c r="J137" i="5"/>
  <c r="K137" i="5"/>
  <c r="B138" i="5"/>
  <c r="C138" i="5"/>
  <c r="D138" i="5"/>
  <c r="E138" i="5"/>
  <c r="F138" i="5"/>
  <c r="G138" i="5"/>
  <c r="H138" i="5"/>
  <c r="I138" i="5"/>
  <c r="J138" i="5"/>
  <c r="K138" i="5"/>
  <c r="B139" i="5"/>
  <c r="C139" i="5"/>
  <c r="D139" i="5"/>
  <c r="E139" i="5"/>
  <c r="F139" i="5"/>
  <c r="G139" i="5"/>
  <c r="H139" i="5"/>
  <c r="I139" i="5"/>
  <c r="J139" i="5"/>
  <c r="K139" i="5"/>
  <c r="B140" i="5"/>
  <c r="C140" i="5"/>
  <c r="A140" i="5" s="1"/>
  <c r="D140" i="5"/>
  <c r="E140" i="5"/>
  <c r="F140" i="5"/>
  <c r="G140" i="5"/>
  <c r="H140" i="5"/>
  <c r="I140" i="5"/>
  <c r="J140" i="5"/>
  <c r="K140" i="5"/>
  <c r="B141" i="5"/>
  <c r="C141" i="5"/>
  <c r="A141" i="5" s="1"/>
  <c r="D141" i="5"/>
  <c r="E141" i="5"/>
  <c r="F141" i="5"/>
  <c r="G141" i="5"/>
  <c r="H141" i="5"/>
  <c r="I141" i="5"/>
  <c r="J141" i="5"/>
  <c r="K141" i="5"/>
  <c r="B142" i="5"/>
  <c r="C142" i="5"/>
  <c r="D142" i="5"/>
  <c r="E142" i="5"/>
  <c r="F142" i="5"/>
  <c r="G142" i="5"/>
  <c r="H142" i="5"/>
  <c r="I142" i="5"/>
  <c r="J142" i="5"/>
  <c r="K142" i="5"/>
  <c r="B143" i="5"/>
  <c r="C143" i="5"/>
  <c r="D143" i="5"/>
  <c r="E143" i="5"/>
  <c r="F143" i="5"/>
  <c r="G143" i="5"/>
  <c r="H143" i="5"/>
  <c r="I143" i="5"/>
  <c r="J143" i="5"/>
  <c r="K143" i="5"/>
  <c r="B144" i="5"/>
  <c r="C144" i="5"/>
  <c r="D144" i="5"/>
  <c r="E144" i="5"/>
  <c r="F144" i="5"/>
  <c r="G144" i="5"/>
  <c r="H144" i="5"/>
  <c r="I144" i="5"/>
  <c r="J144" i="5"/>
  <c r="K144" i="5"/>
  <c r="B145" i="5"/>
  <c r="C145" i="5"/>
  <c r="A145" i="5" s="1"/>
  <c r="D145" i="5"/>
  <c r="E145" i="5"/>
  <c r="F145" i="5"/>
  <c r="G145" i="5"/>
  <c r="H145" i="5"/>
  <c r="I145" i="5"/>
  <c r="J145" i="5"/>
  <c r="K145" i="5"/>
  <c r="B146" i="5"/>
  <c r="C146" i="5"/>
  <c r="A146" i="5" s="1"/>
  <c r="D146" i="5"/>
  <c r="E146" i="5"/>
  <c r="F146" i="5"/>
  <c r="G146" i="5"/>
  <c r="H146" i="5"/>
  <c r="I146" i="5"/>
  <c r="J146" i="5"/>
  <c r="K146" i="5"/>
  <c r="B147" i="5"/>
  <c r="C147" i="5"/>
  <c r="A147" i="5" s="1"/>
  <c r="D147" i="5"/>
  <c r="E147" i="5"/>
  <c r="F147" i="5"/>
  <c r="G147" i="5"/>
  <c r="H147" i="5"/>
  <c r="I147" i="5"/>
  <c r="J147" i="5"/>
  <c r="K147" i="5"/>
  <c r="B148" i="5"/>
  <c r="C148" i="5"/>
  <c r="D148" i="5"/>
  <c r="E148" i="5"/>
  <c r="F148" i="5"/>
  <c r="G148" i="5"/>
  <c r="H148" i="5"/>
  <c r="I148" i="5"/>
  <c r="J148" i="5"/>
  <c r="K148" i="5"/>
  <c r="B149" i="5"/>
  <c r="C149" i="5"/>
  <c r="A149" i="5" s="1"/>
  <c r="D149" i="5"/>
  <c r="E149" i="5"/>
  <c r="F149" i="5"/>
  <c r="G149" i="5"/>
  <c r="H149" i="5"/>
  <c r="I149" i="5"/>
  <c r="J149" i="5"/>
  <c r="K149" i="5"/>
  <c r="B150" i="5"/>
  <c r="C150" i="5"/>
  <c r="D150" i="5"/>
  <c r="E150" i="5"/>
  <c r="F150" i="5"/>
  <c r="G150" i="5"/>
  <c r="H150" i="5"/>
  <c r="I150" i="5"/>
  <c r="J150" i="5"/>
  <c r="K150" i="5"/>
  <c r="B151" i="5"/>
  <c r="C151" i="5"/>
  <c r="D151" i="5"/>
  <c r="E151" i="5"/>
  <c r="F151" i="5"/>
  <c r="G151" i="5"/>
  <c r="H151" i="5"/>
  <c r="I151" i="5"/>
  <c r="J151" i="5"/>
  <c r="K151" i="5"/>
  <c r="B152" i="5"/>
  <c r="C152" i="5"/>
  <c r="A152" i="5" s="1"/>
  <c r="D152" i="5"/>
  <c r="E152" i="5"/>
  <c r="F152" i="5"/>
  <c r="G152" i="5"/>
  <c r="H152" i="5"/>
  <c r="I152" i="5"/>
  <c r="J152" i="5"/>
  <c r="K152" i="5"/>
  <c r="B153" i="5"/>
  <c r="C153" i="5"/>
  <c r="A153" i="5" s="1"/>
  <c r="D153" i="5"/>
  <c r="E153" i="5"/>
  <c r="F153" i="5"/>
  <c r="G153" i="5"/>
  <c r="H153" i="5"/>
  <c r="I153" i="5"/>
  <c r="J153" i="5"/>
  <c r="K153" i="5"/>
  <c r="B154" i="5"/>
  <c r="C154" i="5"/>
  <c r="D154" i="5"/>
  <c r="A154" i="5" s="1"/>
  <c r="E154" i="5"/>
  <c r="F154" i="5"/>
  <c r="G154" i="5"/>
  <c r="H154" i="5"/>
  <c r="I154" i="5"/>
  <c r="J154" i="5"/>
  <c r="K154" i="5"/>
  <c r="B155" i="5"/>
  <c r="C155" i="5"/>
  <c r="D155" i="5"/>
  <c r="E155" i="5"/>
  <c r="F155" i="5"/>
  <c r="G155" i="5"/>
  <c r="H155" i="5"/>
  <c r="I155" i="5"/>
  <c r="J155" i="5"/>
  <c r="K155" i="5"/>
  <c r="B156" i="5"/>
  <c r="C156" i="5"/>
  <c r="D156" i="5"/>
  <c r="E156" i="5"/>
  <c r="F156" i="5"/>
  <c r="G156" i="5"/>
  <c r="H156" i="5"/>
  <c r="I156" i="5"/>
  <c r="J156" i="5"/>
  <c r="K156" i="5"/>
  <c r="B157" i="5"/>
  <c r="C157" i="5"/>
  <c r="A157" i="5" s="1"/>
  <c r="D157" i="5"/>
  <c r="E157" i="5"/>
  <c r="F157" i="5"/>
  <c r="G157" i="5"/>
  <c r="H157" i="5"/>
  <c r="I157" i="5"/>
  <c r="J157" i="5"/>
  <c r="K157" i="5"/>
  <c r="B158" i="5"/>
  <c r="C158" i="5"/>
  <c r="A158" i="5" s="1"/>
  <c r="D158" i="5"/>
  <c r="E158" i="5"/>
  <c r="F158" i="5"/>
  <c r="G158" i="5"/>
  <c r="H158" i="5"/>
  <c r="I158" i="5"/>
  <c r="J158" i="5"/>
  <c r="K158" i="5"/>
  <c r="B159" i="5"/>
  <c r="C159" i="5"/>
  <c r="A159" i="5" s="1"/>
  <c r="D159" i="5"/>
  <c r="E159" i="5"/>
  <c r="F159" i="5"/>
  <c r="G159" i="5"/>
  <c r="H159" i="5"/>
  <c r="I159" i="5"/>
  <c r="J159" i="5"/>
  <c r="K159" i="5"/>
  <c r="B160" i="5"/>
  <c r="C160" i="5"/>
  <c r="D160" i="5"/>
  <c r="E160" i="5"/>
  <c r="F160" i="5"/>
  <c r="G160" i="5"/>
  <c r="H160" i="5"/>
  <c r="I160" i="5"/>
  <c r="J160" i="5"/>
  <c r="K160" i="5"/>
  <c r="B161" i="5"/>
  <c r="C161" i="5"/>
  <c r="A161" i="5" s="1"/>
  <c r="D161" i="5"/>
  <c r="E161" i="5"/>
  <c r="F161" i="5"/>
  <c r="G161" i="5"/>
  <c r="H161" i="5"/>
  <c r="I161" i="5"/>
  <c r="J161" i="5"/>
  <c r="K161" i="5"/>
  <c r="B162" i="5"/>
  <c r="C162" i="5"/>
  <c r="D162" i="5"/>
  <c r="E162" i="5"/>
  <c r="F162" i="5"/>
  <c r="G162" i="5"/>
  <c r="H162" i="5"/>
  <c r="I162" i="5"/>
  <c r="J162" i="5"/>
  <c r="K162" i="5"/>
  <c r="B163" i="5"/>
  <c r="C163" i="5"/>
  <c r="D163" i="5"/>
  <c r="E163" i="5"/>
  <c r="F163" i="5"/>
  <c r="G163" i="5"/>
  <c r="H163" i="5"/>
  <c r="I163" i="5"/>
  <c r="J163" i="5"/>
  <c r="K163" i="5"/>
  <c r="B164" i="5"/>
  <c r="C164" i="5"/>
  <c r="A164" i="5" s="1"/>
  <c r="D164" i="5"/>
  <c r="E164" i="5"/>
  <c r="F164" i="5"/>
  <c r="G164" i="5"/>
  <c r="H164" i="5"/>
  <c r="I164" i="5"/>
  <c r="J164" i="5"/>
  <c r="K164" i="5"/>
  <c r="B165" i="5"/>
  <c r="C165" i="5"/>
  <c r="A165" i="5" s="1"/>
  <c r="D165" i="5"/>
  <c r="E165" i="5"/>
  <c r="F165" i="5"/>
  <c r="G165" i="5"/>
  <c r="H165" i="5"/>
  <c r="I165" i="5"/>
  <c r="J165" i="5"/>
  <c r="K165" i="5"/>
  <c r="B166" i="5"/>
  <c r="C166" i="5"/>
  <c r="D166" i="5"/>
  <c r="E166" i="5"/>
  <c r="F166" i="5"/>
  <c r="G166" i="5"/>
  <c r="H166" i="5"/>
  <c r="I166" i="5"/>
  <c r="J166" i="5"/>
  <c r="K166" i="5"/>
  <c r="B167" i="5"/>
  <c r="C167" i="5"/>
  <c r="D167" i="5"/>
  <c r="E167" i="5"/>
  <c r="F167" i="5"/>
  <c r="G167" i="5"/>
  <c r="H167" i="5"/>
  <c r="I167" i="5"/>
  <c r="J167" i="5"/>
  <c r="K167" i="5"/>
  <c r="B168" i="5"/>
  <c r="C168" i="5"/>
  <c r="D168" i="5"/>
  <c r="E168" i="5"/>
  <c r="F168" i="5"/>
  <c r="G168" i="5"/>
  <c r="H168" i="5"/>
  <c r="I168" i="5"/>
  <c r="J168" i="5"/>
  <c r="K168" i="5"/>
  <c r="B169" i="5"/>
  <c r="C169" i="5"/>
  <c r="A169" i="5" s="1"/>
  <c r="D169" i="5"/>
  <c r="E169" i="5"/>
  <c r="F169" i="5"/>
  <c r="G169" i="5"/>
  <c r="H169" i="5"/>
  <c r="I169" i="5"/>
  <c r="J169" i="5"/>
  <c r="K169" i="5"/>
  <c r="B170" i="5"/>
  <c r="C170" i="5"/>
  <c r="A170" i="5" s="1"/>
  <c r="D170" i="5"/>
  <c r="E170" i="5"/>
  <c r="F170" i="5"/>
  <c r="G170" i="5"/>
  <c r="H170" i="5"/>
  <c r="I170" i="5"/>
  <c r="J170" i="5"/>
  <c r="K170" i="5"/>
  <c r="B171" i="5"/>
  <c r="C171" i="5"/>
  <c r="A171" i="5" s="1"/>
  <c r="D171" i="5"/>
  <c r="E171" i="5"/>
  <c r="F171" i="5"/>
  <c r="G171" i="5"/>
  <c r="H171" i="5"/>
  <c r="I171" i="5"/>
  <c r="J171" i="5"/>
  <c r="K171" i="5"/>
  <c r="B172" i="5"/>
  <c r="C172" i="5"/>
  <c r="D172" i="5"/>
  <c r="E172" i="5"/>
  <c r="F172" i="5"/>
  <c r="G172" i="5"/>
  <c r="H172" i="5"/>
  <c r="I172" i="5"/>
  <c r="J172" i="5"/>
  <c r="K172" i="5"/>
  <c r="B173" i="5"/>
  <c r="C173" i="5"/>
  <c r="A173" i="5" s="1"/>
  <c r="D173" i="5"/>
  <c r="E173" i="5"/>
  <c r="F173" i="5"/>
  <c r="G173" i="5"/>
  <c r="H173" i="5"/>
  <c r="I173" i="5"/>
  <c r="J173" i="5"/>
  <c r="K173" i="5"/>
  <c r="B174" i="5"/>
  <c r="C174" i="5"/>
  <c r="D174" i="5"/>
  <c r="E174" i="5"/>
  <c r="F174" i="5"/>
  <c r="G174" i="5"/>
  <c r="H174" i="5"/>
  <c r="I174" i="5"/>
  <c r="J174" i="5"/>
  <c r="K174" i="5"/>
  <c r="B175" i="5"/>
  <c r="C175" i="5"/>
  <c r="D175" i="5"/>
  <c r="E175" i="5"/>
  <c r="F175" i="5"/>
  <c r="G175" i="5"/>
  <c r="H175" i="5"/>
  <c r="I175" i="5"/>
  <c r="J175" i="5"/>
  <c r="K175" i="5"/>
  <c r="B176" i="5"/>
  <c r="C176" i="5"/>
  <c r="A176" i="5" s="1"/>
  <c r="D176" i="5"/>
  <c r="E176" i="5"/>
  <c r="F176" i="5"/>
  <c r="G176" i="5"/>
  <c r="H176" i="5"/>
  <c r="I176" i="5"/>
  <c r="J176" i="5"/>
  <c r="K176" i="5"/>
  <c r="B177" i="5"/>
  <c r="C177" i="5"/>
  <c r="A177" i="5" s="1"/>
  <c r="D177" i="5"/>
  <c r="E177" i="5"/>
  <c r="F177" i="5"/>
  <c r="G177" i="5"/>
  <c r="H177" i="5"/>
  <c r="I177" i="5"/>
  <c r="J177" i="5"/>
  <c r="K177" i="5"/>
  <c r="B178" i="5"/>
  <c r="C178" i="5"/>
  <c r="D178" i="5"/>
  <c r="A178" i="5" s="1"/>
  <c r="E178" i="5"/>
  <c r="F178" i="5"/>
  <c r="G178" i="5"/>
  <c r="H178" i="5"/>
  <c r="I178" i="5"/>
  <c r="J178" i="5"/>
  <c r="K178" i="5"/>
  <c r="B179" i="5"/>
  <c r="C179" i="5"/>
  <c r="D179" i="5"/>
  <c r="E179" i="5"/>
  <c r="F179" i="5"/>
  <c r="G179" i="5"/>
  <c r="H179" i="5"/>
  <c r="I179" i="5"/>
  <c r="J179" i="5"/>
  <c r="K179" i="5"/>
  <c r="B180" i="5"/>
  <c r="C180" i="5"/>
  <c r="D180" i="5"/>
  <c r="E180" i="5"/>
  <c r="F180" i="5"/>
  <c r="G180" i="5"/>
  <c r="H180" i="5"/>
  <c r="I180" i="5"/>
  <c r="J180" i="5"/>
  <c r="K180" i="5"/>
  <c r="B181" i="5"/>
  <c r="C181" i="5"/>
  <c r="A181" i="5" s="1"/>
  <c r="D181" i="5"/>
  <c r="E181" i="5"/>
  <c r="F181" i="5"/>
  <c r="G181" i="5"/>
  <c r="H181" i="5"/>
  <c r="I181" i="5"/>
  <c r="J181" i="5"/>
  <c r="K181" i="5"/>
  <c r="B182" i="5"/>
  <c r="C182" i="5"/>
  <c r="A182" i="5" s="1"/>
  <c r="D182" i="5"/>
  <c r="E182" i="5"/>
  <c r="F182" i="5"/>
  <c r="G182" i="5"/>
  <c r="H182" i="5"/>
  <c r="I182" i="5"/>
  <c r="J182" i="5"/>
  <c r="K182" i="5"/>
  <c r="B183" i="5"/>
  <c r="C183" i="5"/>
  <c r="A183" i="5" s="1"/>
  <c r="D183" i="5"/>
  <c r="E183" i="5"/>
  <c r="F183" i="5"/>
  <c r="G183" i="5"/>
  <c r="H183" i="5"/>
  <c r="I183" i="5"/>
  <c r="J183" i="5"/>
  <c r="K183" i="5"/>
  <c r="B184" i="5"/>
  <c r="C184" i="5"/>
  <c r="D184" i="5"/>
  <c r="E184" i="5"/>
  <c r="F184" i="5"/>
  <c r="G184" i="5"/>
  <c r="H184" i="5"/>
  <c r="I184" i="5"/>
  <c r="J184" i="5"/>
  <c r="K184" i="5"/>
  <c r="B185" i="5"/>
  <c r="C185" i="5"/>
  <c r="A185" i="5" s="1"/>
  <c r="D185" i="5"/>
  <c r="E185" i="5"/>
  <c r="F185" i="5"/>
  <c r="G185" i="5"/>
  <c r="H185" i="5"/>
  <c r="I185" i="5"/>
  <c r="J185" i="5"/>
  <c r="K185" i="5"/>
  <c r="B186" i="5"/>
  <c r="C186" i="5"/>
  <c r="D186" i="5"/>
  <c r="E186" i="5"/>
  <c r="F186" i="5"/>
  <c r="G186" i="5"/>
  <c r="H186" i="5"/>
  <c r="I186" i="5"/>
  <c r="J186" i="5"/>
  <c r="K186" i="5"/>
  <c r="B187" i="5"/>
  <c r="C187" i="5"/>
  <c r="D187" i="5"/>
  <c r="E187" i="5"/>
  <c r="F187" i="5"/>
  <c r="G187" i="5"/>
  <c r="H187" i="5"/>
  <c r="I187" i="5"/>
  <c r="J187" i="5"/>
  <c r="K187" i="5"/>
  <c r="B188" i="5"/>
  <c r="C188" i="5"/>
  <c r="A188" i="5" s="1"/>
  <c r="D188" i="5"/>
  <c r="E188" i="5"/>
  <c r="F188" i="5"/>
  <c r="G188" i="5"/>
  <c r="H188" i="5"/>
  <c r="I188" i="5"/>
  <c r="J188" i="5"/>
  <c r="K188" i="5"/>
  <c r="B189" i="5"/>
  <c r="C189" i="5"/>
  <c r="A189" i="5" s="1"/>
  <c r="D189" i="5"/>
  <c r="E189" i="5"/>
  <c r="F189" i="5"/>
  <c r="G189" i="5"/>
  <c r="H189" i="5"/>
  <c r="I189" i="5"/>
  <c r="J189" i="5"/>
  <c r="K189" i="5"/>
  <c r="B190" i="5"/>
  <c r="C190" i="5"/>
  <c r="D190" i="5"/>
  <c r="E190" i="5"/>
  <c r="F190" i="5"/>
  <c r="G190" i="5"/>
  <c r="H190" i="5"/>
  <c r="I190" i="5"/>
  <c r="J190" i="5"/>
  <c r="K190" i="5"/>
  <c r="B191" i="5"/>
  <c r="C191" i="5"/>
  <c r="D191" i="5"/>
  <c r="E191" i="5"/>
  <c r="F191" i="5"/>
  <c r="G191" i="5"/>
  <c r="H191" i="5"/>
  <c r="I191" i="5"/>
  <c r="J191" i="5"/>
  <c r="K191" i="5"/>
  <c r="B192" i="5"/>
  <c r="C192" i="5"/>
  <c r="D192" i="5"/>
  <c r="E192" i="5"/>
  <c r="F192" i="5"/>
  <c r="G192" i="5"/>
  <c r="H192" i="5"/>
  <c r="I192" i="5"/>
  <c r="J192" i="5"/>
  <c r="K192" i="5"/>
  <c r="B193" i="5"/>
  <c r="C193" i="5"/>
  <c r="A193" i="5" s="1"/>
  <c r="D193" i="5"/>
  <c r="E193" i="5"/>
  <c r="F193" i="5"/>
  <c r="G193" i="5"/>
  <c r="H193" i="5"/>
  <c r="I193" i="5"/>
  <c r="J193" i="5"/>
  <c r="K193" i="5"/>
  <c r="B194" i="5"/>
  <c r="C194" i="5"/>
  <c r="A194" i="5" s="1"/>
  <c r="D194" i="5"/>
  <c r="E194" i="5"/>
  <c r="F194" i="5"/>
  <c r="G194" i="5"/>
  <c r="H194" i="5"/>
  <c r="I194" i="5"/>
  <c r="J194" i="5"/>
  <c r="K194" i="5"/>
  <c r="B195" i="5"/>
  <c r="C195" i="5"/>
  <c r="A195" i="5" s="1"/>
  <c r="D195" i="5"/>
  <c r="E195" i="5"/>
  <c r="F195" i="5"/>
  <c r="G195" i="5"/>
  <c r="H195" i="5"/>
  <c r="I195" i="5"/>
  <c r="J195" i="5"/>
  <c r="K195" i="5"/>
  <c r="B196" i="5"/>
  <c r="C196" i="5"/>
  <c r="D196" i="5"/>
  <c r="E196" i="5"/>
  <c r="F196" i="5"/>
  <c r="G196" i="5"/>
  <c r="H196" i="5"/>
  <c r="I196" i="5"/>
  <c r="J196" i="5"/>
  <c r="K196" i="5"/>
  <c r="B197" i="5"/>
  <c r="C197" i="5"/>
  <c r="A197" i="5" s="1"/>
  <c r="D197" i="5"/>
  <c r="E197" i="5"/>
  <c r="F197" i="5"/>
  <c r="G197" i="5"/>
  <c r="H197" i="5"/>
  <c r="I197" i="5"/>
  <c r="J197" i="5"/>
  <c r="K197" i="5"/>
  <c r="B198" i="5"/>
  <c r="C198" i="5"/>
  <c r="D198" i="5"/>
  <c r="E198" i="5"/>
  <c r="F198" i="5"/>
  <c r="G198" i="5"/>
  <c r="H198" i="5"/>
  <c r="I198" i="5"/>
  <c r="J198" i="5"/>
  <c r="K198" i="5"/>
  <c r="B199" i="5"/>
  <c r="C199" i="5"/>
  <c r="D199" i="5"/>
  <c r="E199" i="5"/>
  <c r="F199" i="5"/>
  <c r="G199" i="5"/>
  <c r="H199" i="5"/>
  <c r="I199" i="5"/>
  <c r="J199" i="5"/>
  <c r="K199" i="5"/>
  <c r="B200" i="5"/>
  <c r="C200" i="5"/>
  <c r="A200" i="5" s="1"/>
  <c r="D200" i="5"/>
  <c r="E200" i="5"/>
  <c r="F200" i="5"/>
  <c r="G200" i="5"/>
  <c r="H200" i="5"/>
  <c r="I200" i="5"/>
  <c r="J200" i="5"/>
  <c r="K200" i="5"/>
  <c r="B201" i="5"/>
  <c r="C201" i="5"/>
  <c r="A201" i="5" s="1"/>
  <c r="D201" i="5"/>
  <c r="E201" i="5"/>
  <c r="F201" i="5"/>
  <c r="G201" i="5"/>
  <c r="H201" i="5"/>
  <c r="I201" i="5"/>
  <c r="J201" i="5"/>
  <c r="K201" i="5"/>
  <c r="B202" i="5"/>
  <c r="C202" i="5"/>
  <c r="D202" i="5"/>
  <c r="A202" i="5" s="1"/>
  <c r="E202" i="5"/>
  <c r="F202" i="5"/>
  <c r="G202" i="5"/>
  <c r="H202" i="5"/>
  <c r="I202" i="5"/>
  <c r="J202" i="5"/>
  <c r="K202" i="5"/>
  <c r="B203" i="5"/>
  <c r="C203" i="5"/>
  <c r="D203" i="5"/>
  <c r="E203" i="5"/>
  <c r="F203" i="5"/>
  <c r="G203" i="5"/>
  <c r="H203" i="5"/>
  <c r="I203" i="5"/>
  <c r="J203" i="5"/>
  <c r="K203" i="5"/>
  <c r="B204" i="5"/>
  <c r="C204" i="5"/>
  <c r="D204" i="5"/>
  <c r="E204" i="5"/>
  <c r="F204" i="5"/>
  <c r="G204" i="5"/>
  <c r="H204" i="5"/>
  <c r="I204" i="5"/>
  <c r="J204" i="5"/>
  <c r="K204" i="5"/>
  <c r="B205" i="5"/>
  <c r="C205" i="5"/>
  <c r="A205" i="5" s="1"/>
  <c r="D205" i="5"/>
  <c r="E205" i="5"/>
  <c r="F205" i="5"/>
  <c r="G205" i="5"/>
  <c r="H205" i="5"/>
  <c r="I205" i="5"/>
  <c r="J205" i="5"/>
  <c r="K205" i="5"/>
  <c r="B206" i="5"/>
  <c r="C206" i="5"/>
  <c r="A206" i="5" s="1"/>
  <c r="D206" i="5"/>
  <c r="E206" i="5"/>
  <c r="F206" i="5"/>
  <c r="G206" i="5"/>
  <c r="H206" i="5"/>
  <c r="I206" i="5"/>
  <c r="J206" i="5"/>
  <c r="K206" i="5"/>
  <c r="B207" i="5"/>
  <c r="C207" i="5"/>
  <c r="A207" i="5" s="1"/>
  <c r="D207" i="5"/>
  <c r="E207" i="5"/>
  <c r="F207" i="5"/>
  <c r="G207" i="5"/>
  <c r="H207" i="5"/>
  <c r="I207" i="5"/>
  <c r="J207" i="5"/>
  <c r="K207" i="5"/>
  <c r="B208" i="5"/>
  <c r="C208" i="5"/>
  <c r="D208" i="5"/>
  <c r="E208" i="5"/>
  <c r="F208" i="5"/>
  <c r="G208" i="5"/>
  <c r="H208" i="5"/>
  <c r="I208" i="5"/>
  <c r="J208" i="5"/>
  <c r="K208" i="5"/>
  <c r="B209" i="5"/>
  <c r="C209" i="5"/>
  <c r="A209" i="5" s="1"/>
  <c r="D209" i="5"/>
  <c r="E209" i="5"/>
  <c r="F209" i="5"/>
  <c r="G209" i="5"/>
  <c r="H209" i="5"/>
  <c r="I209" i="5"/>
  <c r="J209" i="5"/>
  <c r="K209" i="5"/>
  <c r="B210" i="5"/>
  <c r="C210" i="5"/>
  <c r="D210" i="5"/>
  <c r="E210" i="5"/>
  <c r="F210" i="5"/>
  <c r="G210" i="5"/>
  <c r="H210" i="5"/>
  <c r="I210" i="5"/>
  <c r="J210" i="5"/>
  <c r="K210" i="5"/>
  <c r="B211" i="5"/>
  <c r="C211" i="5"/>
  <c r="D211" i="5"/>
  <c r="E211" i="5"/>
  <c r="F211" i="5"/>
  <c r="G211" i="5"/>
  <c r="H211" i="5"/>
  <c r="I211" i="5"/>
  <c r="J211" i="5"/>
  <c r="K211" i="5"/>
  <c r="B212" i="5"/>
  <c r="C212" i="5"/>
  <c r="A212" i="5" s="1"/>
  <c r="D212" i="5"/>
  <c r="E212" i="5"/>
  <c r="F212" i="5"/>
  <c r="G212" i="5"/>
  <c r="H212" i="5"/>
  <c r="I212" i="5"/>
  <c r="J212" i="5"/>
  <c r="K212" i="5"/>
  <c r="B213" i="5"/>
  <c r="C213" i="5"/>
  <c r="A213" i="5" s="1"/>
  <c r="D213" i="5"/>
  <c r="E213" i="5"/>
  <c r="F213" i="5"/>
  <c r="G213" i="5"/>
  <c r="H213" i="5"/>
  <c r="I213" i="5"/>
  <c r="J213" i="5"/>
  <c r="K213" i="5"/>
  <c r="B214" i="5"/>
  <c r="C214" i="5"/>
  <c r="D214" i="5"/>
  <c r="E214" i="5"/>
  <c r="F214" i="5"/>
  <c r="G214" i="5"/>
  <c r="H214" i="5"/>
  <c r="I214" i="5"/>
  <c r="J214" i="5"/>
  <c r="K214" i="5"/>
  <c r="B215" i="5"/>
  <c r="C215" i="5"/>
  <c r="D215" i="5"/>
  <c r="E215" i="5"/>
  <c r="F215" i="5"/>
  <c r="G215" i="5"/>
  <c r="H215" i="5"/>
  <c r="I215" i="5"/>
  <c r="J215" i="5"/>
  <c r="K215" i="5"/>
  <c r="B216" i="5"/>
  <c r="C216" i="5"/>
  <c r="D216" i="5"/>
  <c r="E216" i="5"/>
  <c r="F216" i="5"/>
  <c r="G216" i="5"/>
  <c r="H216" i="5"/>
  <c r="I216" i="5"/>
  <c r="J216" i="5"/>
  <c r="K216" i="5"/>
  <c r="B217" i="5"/>
  <c r="C217" i="5"/>
  <c r="A217" i="5" s="1"/>
  <c r="D217" i="5"/>
  <c r="E217" i="5"/>
  <c r="F217" i="5"/>
  <c r="G217" i="5"/>
  <c r="H217" i="5"/>
  <c r="I217" i="5"/>
  <c r="J217" i="5"/>
  <c r="K217" i="5"/>
  <c r="B218" i="5"/>
  <c r="C218" i="5"/>
  <c r="A218" i="5" s="1"/>
  <c r="D218" i="5"/>
  <c r="E218" i="5"/>
  <c r="F218" i="5"/>
  <c r="G218" i="5"/>
  <c r="H218" i="5"/>
  <c r="I218" i="5"/>
  <c r="J218" i="5"/>
  <c r="K218" i="5"/>
  <c r="B219" i="5"/>
  <c r="C219" i="5"/>
  <c r="A219" i="5" s="1"/>
  <c r="D219" i="5"/>
  <c r="E219" i="5"/>
  <c r="F219" i="5"/>
  <c r="G219" i="5"/>
  <c r="H219" i="5"/>
  <c r="I219" i="5"/>
  <c r="J219" i="5"/>
  <c r="K219" i="5"/>
  <c r="B220" i="5"/>
  <c r="C220" i="5"/>
  <c r="D220" i="5"/>
  <c r="E220" i="5"/>
  <c r="F220" i="5"/>
  <c r="G220" i="5"/>
  <c r="H220" i="5"/>
  <c r="I220" i="5"/>
  <c r="J220" i="5"/>
  <c r="K220" i="5"/>
  <c r="B221" i="5"/>
  <c r="C221" i="5"/>
  <c r="A221" i="5" s="1"/>
  <c r="D221" i="5"/>
  <c r="E221" i="5"/>
  <c r="F221" i="5"/>
  <c r="G221" i="5"/>
  <c r="H221" i="5"/>
  <c r="I221" i="5"/>
  <c r="J221" i="5"/>
  <c r="K221" i="5"/>
  <c r="B222" i="5"/>
  <c r="C222" i="5"/>
  <c r="D222" i="5"/>
  <c r="E222" i="5"/>
  <c r="F222" i="5"/>
  <c r="G222" i="5"/>
  <c r="H222" i="5"/>
  <c r="I222" i="5"/>
  <c r="J222" i="5"/>
  <c r="K222" i="5"/>
  <c r="B223" i="5"/>
  <c r="C223" i="5"/>
  <c r="D223" i="5"/>
  <c r="E223" i="5"/>
  <c r="F223" i="5"/>
  <c r="G223" i="5"/>
  <c r="H223" i="5"/>
  <c r="I223" i="5"/>
  <c r="J223" i="5"/>
  <c r="K223" i="5"/>
  <c r="B224" i="5"/>
  <c r="C224" i="5"/>
  <c r="A224" i="5" s="1"/>
  <c r="D224" i="5"/>
  <c r="E224" i="5"/>
  <c r="F224" i="5"/>
  <c r="G224" i="5"/>
  <c r="H224" i="5"/>
  <c r="I224" i="5"/>
  <c r="J224" i="5"/>
  <c r="K224" i="5"/>
  <c r="B225" i="5"/>
  <c r="C225" i="5"/>
  <c r="A225" i="5" s="1"/>
  <c r="D225" i="5"/>
  <c r="E225" i="5"/>
  <c r="F225" i="5"/>
  <c r="G225" i="5"/>
  <c r="H225" i="5"/>
  <c r="I225" i="5"/>
  <c r="J225" i="5"/>
  <c r="K225" i="5"/>
  <c r="B226" i="5"/>
  <c r="C226" i="5"/>
  <c r="D226" i="5"/>
  <c r="A226" i="5" s="1"/>
  <c r="E226" i="5"/>
  <c r="F226" i="5"/>
  <c r="G226" i="5"/>
  <c r="H226" i="5"/>
  <c r="I226" i="5"/>
  <c r="J226" i="5"/>
  <c r="K226" i="5"/>
  <c r="B227" i="5"/>
  <c r="C227" i="5"/>
  <c r="D227" i="5"/>
  <c r="E227" i="5"/>
  <c r="F227" i="5"/>
  <c r="G227" i="5"/>
  <c r="H227" i="5"/>
  <c r="I227" i="5"/>
  <c r="J227" i="5"/>
  <c r="K227" i="5"/>
  <c r="B228" i="5"/>
  <c r="C228" i="5"/>
  <c r="D228" i="5"/>
  <c r="E228" i="5"/>
  <c r="F228" i="5"/>
  <c r="G228" i="5"/>
  <c r="H228" i="5"/>
  <c r="I228" i="5"/>
  <c r="J228" i="5"/>
  <c r="K228" i="5"/>
  <c r="B229" i="5"/>
  <c r="C229" i="5"/>
  <c r="A229" i="5" s="1"/>
  <c r="D229" i="5"/>
  <c r="E229" i="5"/>
  <c r="F229" i="5"/>
  <c r="G229" i="5"/>
  <c r="H229" i="5"/>
  <c r="I229" i="5"/>
  <c r="J229" i="5"/>
  <c r="K229" i="5"/>
  <c r="B230" i="5"/>
  <c r="C230" i="5"/>
  <c r="A230" i="5" s="1"/>
  <c r="D230" i="5"/>
  <c r="E230" i="5"/>
  <c r="F230" i="5"/>
  <c r="G230" i="5"/>
  <c r="H230" i="5"/>
  <c r="I230" i="5"/>
  <c r="J230" i="5"/>
  <c r="K230" i="5"/>
  <c r="B231" i="5"/>
  <c r="C231" i="5"/>
  <c r="A231" i="5" s="1"/>
  <c r="D231" i="5"/>
  <c r="E231" i="5"/>
  <c r="F231" i="5"/>
  <c r="G231" i="5"/>
  <c r="H231" i="5"/>
  <c r="I231" i="5"/>
  <c r="J231" i="5"/>
  <c r="K231" i="5"/>
  <c r="B232" i="5"/>
  <c r="C232" i="5"/>
  <c r="D232" i="5"/>
  <c r="E232" i="5"/>
  <c r="F232" i="5"/>
  <c r="G232" i="5"/>
  <c r="H232" i="5"/>
  <c r="I232" i="5"/>
  <c r="J232" i="5"/>
  <c r="K232" i="5"/>
  <c r="B233" i="5"/>
  <c r="C233" i="5"/>
  <c r="A233" i="5" s="1"/>
  <c r="D233" i="5"/>
  <c r="E233" i="5"/>
  <c r="F233" i="5"/>
  <c r="G233" i="5"/>
  <c r="H233" i="5"/>
  <c r="I233" i="5"/>
  <c r="J233" i="5"/>
  <c r="K233" i="5"/>
  <c r="B234" i="5"/>
  <c r="C234" i="5"/>
  <c r="D234" i="5"/>
  <c r="E234" i="5"/>
  <c r="F234" i="5"/>
  <c r="G234" i="5"/>
  <c r="H234" i="5"/>
  <c r="I234" i="5"/>
  <c r="J234" i="5"/>
  <c r="K234" i="5"/>
  <c r="B235" i="5"/>
  <c r="C235" i="5"/>
  <c r="D235" i="5"/>
  <c r="E235" i="5"/>
  <c r="F235" i="5"/>
  <c r="G235" i="5"/>
  <c r="H235" i="5"/>
  <c r="I235" i="5"/>
  <c r="J235" i="5"/>
  <c r="K235" i="5"/>
  <c r="B236" i="5"/>
  <c r="C236" i="5"/>
  <c r="A236" i="5" s="1"/>
  <c r="D236" i="5"/>
  <c r="E236" i="5"/>
  <c r="F236" i="5"/>
  <c r="G236" i="5"/>
  <c r="H236" i="5"/>
  <c r="I236" i="5"/>
  <c r="J236" i="5"/>
  <c r="K236" i="5"/>
  <c r="B237" i="5"/>
  <c r="C237" i="5"/>
  <c r="A237" i="5" s="1"/>
  <c r="D237" i="5"/>
  <c r="E237" i="5"/>
  <c r="F237" i="5"/>
  <c r="G237" i="5"/>
  <c r="H237" i="5"/>
  <c r="I237" i="5"/>
  <c r="J237" i="5"/>
  <c r="K237" i="5"/>
  <c r="B238" i="5"/>
  <c r="C238" i="5"/>
  <c r="D238" i="5"/>
  <c r="E238" i="5"/>
  <c r="F238" i="5"/>
  <c r="G238" i="5"/>
  <c r="H238" i="5"/>
  <c r="I238" i="5"/>
  <c r="J238" i="5"/>
  <c r="K238" i="5"/>
  <c r="B239" i="5"/>
  <c r="C239" i="5"/>
  <c r="D239" i="5"/>
  <c r="E239" i="5"/>
  <c r="F239" i="5"/>
  <c r="G239" i="5"/>
  <c r="H239" i="5"/>
  <c r="I239" i="5"/>
  <c r="J239" i="5"/>
  <c r="K239" i="5"/>
  <c r="B240" i="5"/>
  <c r="C240" i="5"/>
  <c r="D240" i="5"/>
  <c r="E240" i="5"/>
  <c r="F240" i="5"/>
  <c r="G240" i="5"/>
  <c r="H240" i="5"/>
  <c r="I240" i="5"/>
  <c r="J240" i="5"/>
  <c r="K240" i="5"/>
  <c r="B241" i="5"/>
  <c r="C241" i="5"/>
  <c r="A241" i="5" s="1"/>
  <c r="D241" i="5"/>
  <c r="E241" i="5"/>
  <c r="F241" i="5"/>
  <c r="G241" i="5"/>
  <c r="H241" i="5"/>
  <c r="I241" i="5"/>
  <c r="J241" i="5"/>
  <c r="K241" i="5"/>
  <c r="B242" i="5"/>
  <c r="C242" i="5"/>
  <c r="A242" i="5" s="1"/>
  <c r="D242" i="5"/>
  <c r="E242" i="5"/>
  <c r="F242" i="5"/>
  <c r="G242" i="5"/>
  <c r="H242" i="5"/>
  <c r="I242" i="5"/>
  <c r="J242" i="5"/>
  <c r="K242" i="5"/>
  <c r="B243" i="5"/>
  <c r="C243" i="5"/>
  <c r="A243" i="5" s="1"/>
  <c r="D243" i="5"/>
  <c r="E243" i="5"/>
  <c r="F243" i="5"/>
  <c r="G243" i="5"/>
  <c r="H243" i="5"/>
  <c r="I243" i="5"/>
  <c r="J243" i="5"/>
  <c r="K243" i="5"/>
  <c r="B244" i="5"/>
  <c r="C244" i="5"/>
  <c r="D244" i="5"/>
  <c r="E244" i="5"/>
  <c r="F244" i="5"/>
  <c r="G244" i="5"/>
  <c r="H244" i="5"/>
  <c r="I244" i="5"/>
  <c r="J244" i="5"/>
  <c r="K244" i="5"/>
  <c r="B245" i="5"/>
  <c r="C245" i="5"/>
  <c r="A245" i="5" s="1"/>
  <c r="D245" i="5"/>
  <c r="E245" i="5"/>
  <c r="F245" i="5"/>
  <c r="G245" i="5"/>
  <c r="H245" i="5"/>
  <c r="I245" i="5"/>
  <c r="J245" i="5"/>
  <c r="K245" i="5"/>
  <c r="B246" i="5"/>
  <c r="C246" i="5"/>
  <c r="D246" i="5"/>
  <c r="E246" i="5"/>
  <c r="F246" i="5"/>
  <c r="G246" i="5"/>
  <c r="H246" i="5"/>
  <c r="I246" i="5"/>
  <c r="J246" i="5"/>
  <c r="K246" i="5"/>
  <c r="B247" i="5"/>
  <c r="C247" i="5"/>
  <c r="D247" i="5"/>
  <c r="E247" i="5"/>
  <c r="F247" i="5"/>
  <c r="G247" i="5"/>
  <c r="H247" i="5"/>
  <c r="I247" i="5"/>
  <c r="J247" i="5"/>
  <c r="K247" i="5"/>
  <c r="B248" i="5"/>
  <c r="C248" i="5"/>
  <c r="A248" i="5" s="1"/>
  <c r="D248" i="5"/>
  <c r="E248" i="5"/>
  <c r="F248" i="5"/>
  <c r="G248" i="5"/>
  <c r="H248" i="5"/>
  <c r="I248" i="5"/>
  <c r="J248" i="5"/>
  <c r="K248" i="5"/>
  <c r="B249" i="5"/>
  <c r="C249" i="5"/>
  <c r="A249" i="5" s="1"/>
  <c r="D249" i="5"/>
  <c r="E249" i="5"/>
  <c r="F249" i="5"/>
  <c r="G249" i="5"/>
  <c r="H249" i="5"/>
  <c r="I249" i="5"/>
  <c r="J249" i="5"/>
  <c r="K249" i="5"/>
  <c r="B250" i="5"/>
  <c r="C250" i="5"/>
  <c r="D250" i="5"/>
  <c r="A250" i="5" s="1"/>
  <c r="E250" i="5"/>
  <c r="F250" i="5"/>
  <c r="G250" i="5"/>
  <c r="H250" i="5"/>
  <c r="I250" i="5"/>
  <c r="J250" i="5"/>
  <c r="K250" i="5"/>
  <c r="B251" i="5"/>
  <c r="C251" i="5"/>
  <c r="D251" i="5"/>
  <c r="E251" i="5"/>
  <c r="F251" i="5"/>
  <c r="G251" i="5"/>
  <c r="H251" i="5"/>
  <c r="I251" i="5"/>
  <c r="J251" i="5"/>
  <c r="K251" i="5"/>
  <c r="B252" i="5"/>
  <c r="C252" i="5"/>
  <c r="D252" i="5"/>
  <c r="E252" i="5"/>
  <c r="F252" i="5"/>
  <c r="G252" i="5"/>
  <c r="H252" i="5"/>
  <c r="I252" i="5"/>
  <c r="J252" i="5"/>
  <c r="K252" i="5"/>
  <c r="B253" i="5"/>
  <c r="C253" i="5"/>
  <c r="A253" i="5" s="1"/>
  <c r="D253" i="5"/>
  <c r="E253" i="5"/>
  <c r="F253" i="5"/>
  <c r="G253" i="5"/>
  <c r="H253" i="5"/>
  <c r="I253" i="5"/>
  <c r="J253" i="5"/>
  <c r="K253" i="5"/>
  <c r="B254" i="5"/>
  <c r="C254" i="5"/>
  <c r="A254" i="5" s="1"/>
  <c r="D254" i="5"/>
  <c r="E254" i="5"/>
  <c r="F254" i="5"/>
  <c r="G254" i="5"/>
  <c r="H254" i="5"/>
  <c r="I254" i="5"/>
  <c r="J254" i="5"/>
  <c r="K254" i="5"/>
  <c r="B255" i="5"/>
  <c r="C255" i="5"/>
  <c r="A255" i="5" s="1"/>
  <c r="D255" i="5"/>
  <c r="E255" i="5"/>
  <c r="F255" i="5"/>
  <c r="G255" i="5"/>
  <c r="H255" i="5"/>
  <c r="I255" i="5"/>
  <c r="J255" i="5"/>
  <c r="K255" i="5"/>
  <c r="B256" i="5"/>
  <c r="C256" i="5"/>
  <c r="D256" i="5"/>
  <c r="E256" i="5"/>
  <c r="F256" i="5"/>
  <c r="G256" i="5"/>
  <c r="H256" i="5"/>
  <c r="I256" i="5"/>
  <c r="J256" i="5"/>
  <c r="K256" i="5"/>
  <c r="B257" i="5"/>
  <c r="C257" i="5"/>
  <c r="A257" i="5" s="1"/>
  <c r="D257" i="5"/>
  <c r="E257" i="5"/>
  <c r="F257" i="5"/>
  <c r="G257" i="5"/>
  <c r="H257" i="5"/>
  <c r="I257" i="5"/>
  <c r="J257" i="5"/>
  <c r="K257" i="5"/>
  <c r="B258" i="5"/>
  <c r="C258" i="5"/>
  <c r="D258" i="5"/>
  <c r="E258" i="5"/>
  <c r="F258" i="5"/>
  <c r="G258" i="5"/>
  <c r="H258" i="5"/>
  <c r="I258" i="5"/>
  <c r="J258" i="5"/>
  <c r="K258" i="5"/>
  <c r="B259" i="5"/>
  <c r="C259" i="5"/>
  <c r="D259" i="5"/>
  <c r="E259" i="5"/>
  <c r="F259" i="5"/>
  <c r="G259" i="5"/>
  <c r="H259" i="5"/>
  <c r="I259" i="5"/>
  <c r="J259" i="5"/>
  <c r="K259" i="5"/>
  <c r="B260" i="5"/>
  <c r="C260" i="5"/>
  <c r="A260" i="5" s="1"/>
  <c r="D260" i="5"/>
  <c r="E260" i="5"/>
  <c r="F260" i="5"/>
  <c r="G260" i="5"/>
  <c r="H260" i="5"/>
  <c r="I260" i="5"/>
  <c r="J260" i="5"/>
  <c r="K260" i="5"/>
  <c r="B261" i="5"/>
  <c r="C261" i="5"/>
  <c r="A261" i="5" s="1"/>
  <c r="D261" i="5"/>
  <c r="E261" i="5"/>
  <c r="F261" i="5"/>
  <c r="G261" i="5"/>
  <c r="H261" i="5"/>
  <c r="I261" i="5"/>
  <c r="J261" i="5"/>
  <c r="K261" i="5"/>
  <c r="B262" i="5"/>
  <c r="C262" i="5"/>
  <c r="D262" i="5"/>
  <c r="E262" i="5"/>
  <c r="F262" i="5"/>
  <c r="G262" i="5"/>
  <c r="H262" i="5"/>
  <c r="I262" i="5"/>
  <c r="J262" i="5"/>
  <c r="K262" i="5"/>
  <c r="B263" i="5"/>
  <c r="C263" i="5"/>
  <c r="D263" i="5"/>
  <c r="E263" i="5"/>
  <c r="F263" i="5"/>
  <c r="G263" i="5"/>
  <c r="H263" i="5"/>
  <c r="I263" i="5"/>
  <c r="J263" i="5"/>
  <c r="K263" i="5"/>
  <c r="B264" i="5"/>
  <c r="C264" i="5"/>
  <c r="D264" i="5"/>
  <c r="E264" i="5"/>
  <c r="F264" i="5"/>
  <c r="G264" i="5"/>
  <c r="H264" i="5"/>
  <c r="I264" i="5"/>
  <c r="J264" i="5"/>
  <c r="K264" i="5"/>
  <c r="B265" i="5"/>
  <c r="C265" i="5"/>
  <c r="A265" i="5" s="1"/>
  <c r="D265" i="5"/>
  <c r="E265" i="5"/>
  <c r="F265" i="5"/>
  <c r="G265" i="5"/>
  <c r="H265" i="5"/>
  <c r="I265" i="5"/>
  <c r="J265" i="5"/>
  <c r="K265" i="5"/>
  <c r="B266" i="5"/>
  <c r="C266" i="5"/>
  <c r="A266" i="5" s="1"/>
  <c r="D266" i="5"/>
  <c r="E266" i="5"/>
  <c r="F266" i="5"/>
  <c r="G266" i="5"/>
  <c r="H266" i="5"/>
  <c r="I266" i="5"/>
  <c r="J266" i="5"/>
  <c r="K266" i="5"/>
  <c r="B267" i="5"/>
  <c r="C267" i="5"/>
  <c r="A267" i="5" s="1"/>
  <c r="D267" i="5"/>
  <c r="E267" i="5"/>
  <c r="F267" i="5"/>
  <c r="G267" i="5"/>
  <c r="H267" i="5"/>
  <c r="I267" i="5"/>
  <c r="J267" i="5"/>
  <c r="K267" i="5"/>
  <c r="B268" i="5"/>
  <c r="C268" i="5"/>
  <c r="D268" i="5"/>
  <c r="E268" i="5"/>
  <c r="F268" i="5"/>
  <c r="G268" i="5"/>
  <c r="H268" i="5"/>
  <c r="I268" i="5"/>
  <c r="J268" i="5"/>
  <c r="K268" i="5"/>
  <c r="B269" i="5"/>
  <c r="C269" i="5"/>
  <c r="A269" i="5" s="1"/>
  <c r="D269" i="5"/>
  <c r="E269" i="5"/>
  <c r="F269" i="5"/>
  <c r="G269" i="5"/>
  <c r="H269" i="5"/>
  <c r="I269" i="5"/>
  <c r="J269" i="5"/>
  <c r="K269" i="5"/>
  <c r="B270" i="5"/>
  <c r="C270" i="5"/>
  <c r="D270" i="5"/>
  <c r="E270" i="5"/>
  <c r="F270" i="5"/>
  <c r="G270" i="5"/>
  <c r="H270" i="5"/>
  <c r="I270" i="5"/>
  <c r="J270" i="5"/>
  <c r="K270" i="5"/>
  <c r="B271" i="5"/>
  <c r="C271" i="5"/>
  <c r="D271" i="5"/>
  <c r="E271" i="5"/>
  <c r="F271" i="5"/>
  <c r="G271" i="5"/>
  <c r="H271" i="5"/>
  <c r="I271" i="5"/>
  <c r="J271" i="5"/>
  <c r="K271" i="5"/>
  <c r="B272" i="5"/>
  <c r="C272" i="5"/>
  <c r="A272" i="5" s="1"/>
  <c r="D272" i="5"/>
  <c r="E272" i="5"/>
  <c r="F272" i="5"/>
  <c r="G272" i="5"/>
  <c r="H272" i="5"/>
  <c r="I272" i="5"/>
  <c r="J272" i="5"/>
  <c r="K272" i="5"/>
  <c r="B273" i="5"/>
  <c r="C273" i="5"/>
  <c r="A273" i="5" s="1"/>
  <c r="D273" i="5"/>
  <c r="E273" i="5"/>
  <c r="F273" i="5"/>
  <c r="G273" i="5"/>
  <c r="H273" i="5"/>
  <c r="I273" i="5"/>
  <c r="J273" i="5"/>
  <c r="K273" i="5"/>
  <c r="B274" i="5"/>
  <c r="C274" i="5"/>
  <c r="D274" i="5"/>
  <c r="A274" i="5" s="1"/>
  <c r="E274" i="5"/>
  <c r="F274" i="5"/>
  <c r="G274" i="5"/>
  <c r="H274" i="5"/>
  <c r="I274" i="5"/>
  <c r="J274" i="5"/>
  <c r="K274" i="5"/>
  <c r="B275" i="5"/>
  <c r="C275" i="5"/>
  <c r="D275" i="5"/>
  <c r="E275" i="5"/>
  <c r="F275" i="5"/>
  <c r="G275" i="5"/>
  <c r="H275" i="5"/>
  <c r="I275" i="5"/>
  <c r="J275" i="5"/>
  <c r="K275" i="5"/>
  <c r="B276" i="5"/>
  <c r="C276" i="5"/>
  <c r="D276" i="5"/>
  <c r="E276" i="5"/>
  <c r="F276" i="5"/>
  <c r="G276" i="5"/>
  <c r="H276" i="5"/>
  <c r="I276" i="5"/>
  <c r="J276" i="5"/>
  <c r="K276" i="5"/>
  <c r="B277" i="5"/>
  <c r="C277" i="5"/>
  <c r="A277" i="5" s="1"/>
  <c r="D277" i="5"/>
  <c r="E277" i="5"/>
  <c r="F277" i="5"/>
  <c r="G277" i="5"/>
  <c r="H277" i="5"/>
  <c r="I277" i="5"/>
  <c r="J277" i="5"/>
  <c r="K277" i="5"/>
  <c r="B278" i="5"/>
  <c r="C278" i="5"/>
  <c r="A278" i="5" s="1"/>
  <c r="D278" i="5"/>
  <c r="E278" i="5"/>
  <c r="F278" i="5"/>
  <c r="G278" i="5"/>
  <c r="H278" i="5"/>
  <c r="I278" i="5"/>
  <c r="J278" i="5"/>
  <c r="K278" i="5"/>
  <c r="B279" i="5"/>
  <c r="C279" i="5"/>
  <c r="A279" i="5" s="1"/>
  <c r="D279" i="5"/>
  <c r="E279" i="5"/>
  <c r="F279" i="5"/>
  <c r="G279" i="5"/>
  <c r="H279" i="5"/>
  <c r="I279" i="5"/>
  <c r="J279" i="5"/>
  <c r="K279" i="5"/>
  <c r="B280" i="5"/>
  <c r="C280" i="5"/>
  <c r="D280" i="5"/>
  <c r="E280" i="5"/>
  <c r="F280" i="5"/>
  <c r="G280" i="5"/>
  <c r="H280" i="5"/>
  <c r="I280" i="5"/>
  <c r="J280" i="5"/>
  <c r="K280" i="5"/>
  <c r="B281" i="5"/>
  <c r="C281" i="5"/>
  <c r="A281" i="5" s="1"/>
  <c r="D281" i="5"/>
  <c r="E281" i="5"/>
  <c r="F281" i="5"/>
  <c r="G281" i="5"/>
  <c r="H281" i="5"/>
  <c r="I281" i="5"/>
  <c r="J281" i="5"/>
  <c r="K281" i="5"/>
  <c r="B282" i="5"/>
  <c r="C282" i="5"/>
  <c r="D282" i="5"/>
  <c r="E282" i="5"/>
  <c r="F282" i="5"/>
  <c r="G282" i="5"/>
  <c r="H282" i="5"/>
  <c r="I282" i="5"/>
  <c r="J282" i="5"/>
  <c r="K282" i="5"/>
  <c r="B283" i="5"/>
  <c r="C283" i="5"/>
  <c r="D283" i="5"/>
  <c r="E283" i="5"/>
  <c r="F283" i="5"/>
  <c r="G283" i="5"/>
  <c r="H283" i="5"/>
  <c r="I283" i="5"/>
  <c r="J283" i="5"/>
  <c r="K283" i="5"/>
  <c r="B284" i="5"/>
  <c r="C284" i="5"/>
  <c r="A284" i="5" s="1"/>
  <c r="D284" i="5"/>
  <c r="E284" i="5"/>
  <c r="F284" i="5"/>
  <c r="G284" i="5"/>
  <c r="H284" i="5"/>
  <c r="I284" i="5"/>
  <c r="J284" i="5"/>
  <c r="K284" i="5"/>
  <c r="B285" i="5"/>
  <c r="C285" i="5"/>
  <c r="A285" i="5" s="1"/>
  <c r="D285" i="5"/>
  <c r="E285" i="5"/>
  <c r="F285" i="5"/>
  <c r="G285" i="5"/>
  <c r="H285" i="5"/>
  <c r="I285" i="5"/>
  <c r="J285" i="5"/>
  <c r="K285" i="5"/>
  <c r="B286" i="5"/>
  <c r="C286" i="5"/>
  <c r="D286" i="5"/>
  <c r="E286" i="5"/>
  <c r="F286" i="5"/>
  <c r="G286" i="5"/>
  <c r="H286" i="5"/>
  <c r="I286" i="5"/>
  <c r="J286" i="5"/>
  <c r="K286" i="5"/>
  <c r="B287" i="5"/>
  <c r="C287" i="5"/>
  <c r="D287" i="5"/>
  <c r="E287" i="5"/>
  <c r="F287" i="5"/>
  <c r="G287" i="5"/>
  <c r="H287" i="5"/>
  <c r="I287" i="5"/>
  <c r="J287" i="5"/>
  <c r="K287" i="5"/>
  <c r="B288" i="5"/>
  <c r="C288" i="5"/>
  <c r="D288" i="5"/>
  <c r="E288" i="5"/>
  <c r="F288" i="5"/>
  <c r="G288" i="5"/>
  <c r="H288" i="5"/>
  <c r="I288" i="5"/>
  <c r="J288" i="5"/>
  <c r="K288" i="5"/>
  <c r="B289" i="5"/>
  <c r="C289" i="5"/>
  <c r="A289" i="5" s="1"/>
  <c r="D289" i="5"/>
  <c r="E289" i="5"/>
  <c r="F289" i="5"/>
  <c r="G289" i="5"/>
  <c r="H289" i="5"/>
  <c r="I289" i="5"/>
  <c r="J289" i="5"/>
  <c r="K289" i="5"/>
  <c r="B290" i="5"/>
  <c r="C290" i="5"/>
  <c r="A290" i="5" s="1"/>
  <c r="D290" i="5"/>
  <c r="E290" i="5"/>
  <c r="F290" i="5"/>
  <c r="G290" i="5"/>
  <c r="H290" i="5"/>
  <c r="I290" i="5"/>
  <c r="J290" i="5"/>
  <c r="K290" i="5"/>
  <c r="B291" i="5"/>
  <c r="C291" i="5"/>
  <c r="A291" i="5" s="1"/>
  <c r="D291" i="5"/>
  <c r="E291" i="5"/>
  <c r="F291" i="5"/>
  <c r="G291" i="5"/>
  <c r="H291" i="5"/>
  <c r="I291" i="5"/>
  <c r="J291" i="5"/>
  <c r="K291" i="5"/>
  <c r="B292" i="5"/>
  <c r="C292" i="5"/>
  <c r="D292" i="5"/>
  <c r="E292" i="5"/>
  <c r="F292" i="5"/>
  <c r="G292" i="5"/>
  <c r="H292" i="5"/>
  <c r="I292" i="5"/>
  <c r="J292" i="5"/>
  <c r="K292" i="5"/>
  <c r="B293" i="5"/>
  <c r="C293" i="5"/>
  <c r="D293" i="5"/>
  <c r="E293" i="5"/>
  <c r="F293" i="5"/>
  <c r="G293" i="5"/>
  <c r="H293" i="5"/>
  <c r="I293" i="5"/>
  <c r="J293" i="5"/>
  <c r="K293" i="5"/>
  <c r="B294" i="5"/>
  <c r="C294" i="5"/>
  <c r="D294" i="5"/>
  <c r="E294" i="5"/>
  <c r="F294" i="5"/>
  <c r="G294" i="5"/>
  <c r="H294" i="5"/>
  <c r="I294" i="5"/>
  <c r="J294" i="5"/>
  <c r="K294" i="5"/>
  <c r="B295" i="5"/>
  <c r="C295" i="5"/>
  <c r="D295" i="5"/>
  <c r="E295" i="5"/>
  <c r="F295" i="5"/>
  <c r="G295" i="5"/>
  <c r="H295" i="5"/>
  <c r="I295" i="5"/>
  <c r="J295" i="5"/>
  <c r="K295" i="5"/>
  <c r="B296" i="5"/>
  <c r="C296" i="5"/>
  <c r="A296" i="5" s="1"/>
  <c r="D296" i="5"/>
  <c r="E296" i="5"/>
  <c r="F296" i="5"/>
  <c r="G296" i="5"/>
  <c r="H296" i="5"/>
  <c r="I296" i="5"/>
  <c r="J296" i="5"/>
  <c r="K296" i="5"/>
  <c r="B297" i="5"/>
  <c r="C297" i="5"/>
  <c r="A297" i="5" s="1"/>
  <c r="D297" i="5"/>
  <c r="E297" i="5"/>
  <c r="F297" i="5"/>
  <c r="G297" i="5"/>
  <c r="H297" i="5"/>
  <c r="I297" i="5"/>
  <c r="J297" i="5"/>
  <c r="K297" i="5"/>
  <c r="B298" i="5"/>
  <c r="C298" i="5"/>
  <c r="D298" i="5"/>
  <c r="A298" i="5" s="1"/>
  <c r="E298" i="5"/>
  <c r="F298" i="5"/>
  <c r="G298" i="5"/>
  <c r="H298" i="5"/>
  <c r="I298" i="5"/>
  <c r="J298" i="5"/>
  <c r="K298" i="5"/>
  <c r="B299" i="5"/>
  <c r="C299" i="5"/>
  <c r="D299" i="5"/>
  <c r="E299" i="5"/>
  <c r="F299" i="5"/>
  <c r="G299" i="5"/>
  <c r="H299" i="5"/>
  <c r="I299" i="5"/>
  <c r="J299" i="5"/>
  <c r="K299" i="5"/>
  <c r="B300" i="5"/>
  <c r="C300" i="5"/>
  <c r="D300" i="5"/>
  <c r="E300" i="5"/>
  <c r="F300" i="5"/>
  <c r="G300" i="5"/>
  <c r="H300" i="5"/>
  <c r="I300" i="5"/>
  <c r="J300" i="5"/>
  <c r="K300" i="5"/>
  <c r="B301" i="5"/>
  <c r="C301" i="5"/>
  <c r="A301" i="5" s="1"/>
  <c r="D301" i="5"/>
  <c r="E301" i="5"/>
  <c r="F301" i="5"/>
  <c r="G301" i="5"/>
  <c r="H301" i="5"/>
  <c r="I301" i="5"/>
  <c r="J301" i="5"/>
  <c r="K301" i="5"/>
  <c r="B302" i="5"/>
  <c r="C302" i="5"/>
  <c r="A302" i="5" s="1"/>
  <c r="D302" i="5"/>
  <c r="E302" i="5"/>
  <c r="F302" i="5"/>
  <c r="G302" i="5"/>
  <c r="H302" i="5"/>
  <c r="I302" i="5"/>
  <c r="J302" i="5"/>
  <c r="K302" i="5"/>
  <c r="B303" i="5"/>
  <c r="C303" i="5"/>
  <c r="A303" i="5" s="1"/>
  <c r="D303" i="5"/>
  <c r="E303" i="5"/>
  <c r="F303" i="5"/>
  <c r="G303" i="5"/>
  <c r="H303" i="5"/>
  <c r="I303" i="5"/>
  <c r="J303" i="5"/>
  <c r="K303" i="5"/>
  <c r="B304" i="5"/>
  <c r="C304" i="5"/>
  <c r="D304" i="5"/>
  <c r="E304" i="5"/>
  <c r="F304" i="5"/>
  <c r="G304" i="5"/>
  <c r="H304" i="5"/>
  <c r="I304" i="5"/>
  <c r="J304" i="5"/>
  <c r="K304" i="5"/>
  <c r="B305" i="5"/>
  <c r="C305" i="5"/>
  <c r="D305" i="5"/>
  <c r="E305" i="5"/>
  <c r="F305" i="5"/>
  <c r="G305" i="5"/>
  <c r="H305" i="5"/>
  <c r="I305" i="5"/>
  <c r="J305" i="5"/>
  <c r="K305" i="5"/>
  <c r="B306" i="5"/>
  <c r="C306" i="5"/>
  <c r="D306" i="5"/>
  <c r="E306" i="5"/>
  <c r="F306" i="5"/>
  <c r="G306" i="5"/>
  <c r="H306" i="5"/>
  <c r="I306" i="5"/>
  <c r="J306" i="5"/>
  <c r="K306" i="5"/>
  <c r="B307" i="5"/>
  <c r="C307" i="5"/>
  <c r="D307" i="5"/>
  <c r="E307" i="5"/>
  <c r="F307" i="5"/>
  <c r="G307" i="5"/>
  <c r="H307" i="5"/>
  <c r="I307" i="5"/>
  <c r="J307" i="5"/>
  <c r="K307" i="5"/>
  <c r="B308" i="5"/>
  <c r="C308" i="5"/>
  <c r="A308" i="5" s="1"/>
  <c r="D308" i="5"/>
  <c r="E308" i="5"/>
  <c r="F308" i="5"/>
  <c r="G308" i="5"/>
  <c r="H308" i="5"/>
  <c r="I308" i="5"/>
  <c r="J308" i="5"/>
  <c r="K308" i="5"/>
  <c r="B309" i="5"/>
  <c r="C309" i="5"/>
  <c r="A309" i="5" s="1"/>
  <c r="D309" i="5"/>
  <c r="E309" i="5"/>
  <c r="F309" i="5"/>
  <c r="G309" i="5"/>
  <c r="H309" i="5"/>
  <c r="I309" i="5"/>
  <c r="J309" i="5"/>
  <c r="K309" i="5"/>
  <c r="B310" i="5"/>
  <c r="C310" i="5"/>
  <c r="D310" i="5"/>
  <c r="E310" i="5"/>
  <c r="F310" i="5"/>
  <c r="G310" i="5"/>
  <c r="H310" i="5"/>
  <c r="I310" i="5"/>
  <c r="J310" i="5"/>
  <c r="K310" i="5"/>
  <c r="B311" i="5"/>
  <c r="C311" i="5"/>
  <c r="D311" i="5"/>
  <c r="E311" i="5"/>
  <c r="F311" i="5"/>
  <c r="G311" i="5"/>
  <c r="H311" i="5"/>
  <c r="I311" i="5"/>
  <c r="J311" i="5"/>
  <c r="K311" i="5"/>
  <c r="B312" i="5"/>
  <c r="C312" i="5"/>
  <c r="D312" i="5"/>
  <c r="E312" i="5"/>
  <c r="F312" i="5"/>
  <c r="G312" i="5"/>
  <c r="H312" i="5"/>
  <c r="I312" i="5"/>
  <c r="J312" i="5"/>
  <c r="K312" i="5"/>
  <c r="B313" i="5"/>
  <c r="C313" i="5"/>
  <c r="A313" i="5" s="1"/>
  <c r="D313" i="5"/>
  <c r="E313" i="5"/>
  <c r="F313" i="5"/>
  <c r="G313" i="5"/>
  <c r="H313" i="5"/>
  <c r="I313" i="5"/>
  <c r="J313" i="5"/>
  <c r="K313" i="5"/>
  <c r="B314" i="5"/>
  <c r="C314" i="5"/>
  <c r="A314" i="5" s="1"/>
  <c r="D314" i="5"/>
  <c r="E314" i="5"/>
  <c r="F314" i="5"/>
  <c r="G314" i="5"/>
  <c r="H314" i="5"/>
  <c r="I314" i="5"/>
  <c r="J314" i="5"/>
  <c r="K314" i="5"/>
  <c r="B315" i="5"/>
  <c r="C315" i="5"/>
  <c r="A315" i="5" s="1"/>
  <c r="D315" i="5"/>
  <c r="E315" i="5"/>
  <c r="F315" i="5"/>
  <c r="G315" i="5"/>
  <c r="H315" i="5"/>
  <c r="I315" i="5"/>
  <c r="J315" i="5"/>
  <c r="K315" i="5"/>
  <c r="B316" i="5"/>
  <c r="C316" i="5"/>
  <c r="D316" i="5"/>
  <c r="E316" i="5"/>
  <c r="F316" i="5"/>
  <c r="G316" i="5"/>
  <c r="H316" i="5"/>
  <c r="I316" i="5"/>
  <c r="J316" i="5"/>
  <c r="K316" i="5"/>
  <c r="B317" i="5"/>
  <c r="C317" i="5"/>
  <c r="D317" i="5"/>
  <c r="E317" i="5"/>
  <c r="F317" i="5"/>
  <c r="G317" i="5"/>
  <c r="H317" i="5"/>
  <c r="I317" i="5"/>
  <c r="J317" i="5"/>
  <c r="K317" i="5"/>
  <c r="B318" i="5"/>
  <c r="C318" i="5"/>
  <c r="D318" i="5"/>
  <c r="E318" i="5"/>
  <c r="F318" i="5"/>
  <c r="G318" i="5"/>
  <c r="H318" i="5"/>
  <c r="I318" i="5"/>
  <c r="J318" i="5"/>
  <c r="K318" i="5"/>
  <c r="B319" i="5"/>
  <c r="C319" i="5"/>
  <c r="D319" i="5"/>
  <c r="E319" i="5"/>
  <c r="F319" i="5"/>
  <c r="G319" i="5"/>
  <c r="H319" i="5"/>
  <c r="I319" i="5"/>
  <c r="J319" i="5"/>
  <c r="K319" i="5"/>
  <c r="B320" i="5"/>
  <c r="C320" i="5"/>
  <c r="A320" i="5" s="1"/>
  <c r="D320" i="5"/>
  <c r="E320" i="5"/>
  <c r="F320" i="5"/>
  <c r="G320" i="5"/>
  <c r="H320" i="5"/>
  <c r="I320" i="5"/>
  <c r="J320" i="5"/>
  <c r="K320" i="5"/>
  <c r="B321" i="5"/>
  <c r="C321" i="5"/>
  <c r="A321" i="5" s="1"/>
  <c r="D321" i="5"/>
  <c r="E321" i="5"/>
  <c r="F321" i="5"/>
  <c r="G321" i="5"/>
  <c r="H321" i="5"/>
  <c r="I321" i="5"/>
  <c r="J321" i="5"/>
  <c r="K321" i="5"/>
  <c r="B322" i="5"/>
  <c r="C322" i="5"/>
  <c r="D322" i="5"/>
  <c r="A322" i="5" s="1"/>
  <c r="E322" i="5"/>
  <c r="F322" i="5"/>
  <c r="G322" i="5"/>
  <c r="H322" i="5"/>
  <c r="I322" i="5"/>
  <c r="J322" i="5"/>
  <c r="K322" i="5"/>
  <c r="B323" i="5"/>
  <c r="C323" i="5"/>
  <c r="D323" i="5"/>
  <c r="E323" i="5"/>
  <c r="F323" i="5"/>
  <c r="G323" i="5"/>
  <c r="H323" i="5"/>
  <c r="I323" i="5"/>
  <c r="J323" i="5"/>
  <c r="K323" i="5"/>
  <c r="B324" i="5"/>
  <c r="C324" i="5"/>
  <c r="D324" i="5"/>
  <c r="E324" i="5"/>
  <c r="F324" i="5"/>
  <c r="G324" i="5"/>
  <c r="H324" i="5"/>
  <c r="I324" i="5"/>
  <c r="J324" i="5"/>
  <c r="K324" i="5"/>
  <c r="B325" i="5"/>
  <c r="C325" i="5"/>
  <c r="A325" i="5" s="1"/>
  <c r="D325" i="5"/>
  <c r="E325" i="5"/>
  <c r="F325" i="5"/>
  <c r="G325" i="5"/>
  <c r="H325" i="5"/>
  <c r="I325" i="5"/>
  <c r="J325" i="5"/>
  <c r="K325" i="5"/>
  <c r="B326" i="5"/>
  <c r="C326" i="5"/>
  <c r="A326" i="5" s="1"/>
  <c r="D326" i="5"/>
  <c r="E326" i="5"/>
  <c r="F326" i="5"/>
  <c r="G326" i="5"/>
  <c r="H326" i="5"/>
  <c r="I326" i="5"/>
  <c r="J326" i="5"/>
  <c r="K326" i="5"/>
  <c r="B327" i="5"/>
  <c r="C327" i="5"/>
  <c r="A327" i="5" s="1"/>
  <c r="D327" i="5"/>
  <c r="E327" i="5"/>
  <c r="F327" i="5"/>
  <c r="G327" i="5"/>
  <c r="H327" i="5"/>
  <c r="I327" i="5"/>
  <c r="J327" i="5"/>
  <c r="K327" i="5"/>
  <c r="B328" i="5"/>
  <c r="C328" i="5"/>
  <c r="D328" i="5"/>
  <c r="E328" i="5"/>
  <c r="F328" i="5"/>
  <c r="G328" i="5"/>
  <c r="H328" i="5"/>
  <c r="I328" i="5"/>
  <c r="J328" i="5"/>
  <c r="K328" i="5"/>
  <c r="B329" i="5"/>
  <c r="C329" i="5"/>
  <c r="D329" i="5"/>
  <c r="E329" i="5"/>
  <c r="F329" i="5"/>
  <c r="G329" i="5"/>
  <c r="H329" i="5"/>
  <c r="I329" i="5"/>
  <c r="J329" i="5"/>
  <c r="K329" i="5"/>
  <c r="B330" i="5"/>
  <c r="C330" i="5"/>
  <c r="D330" i="5"/>
  <c r="E330" i="5"/>
  <c r="F330" i="5"/>
  <c r="G330" i="5"/>
  <c r="H330" i="5"/>
  <c r="I330" i="5"/>
  <c r="J330" i="5"/>
  <c r="K330" i="5"/>
  <c r="B331" i="5"/>
  <c r="C331" i="5"/>
  <c r="D331" i="5"/>
  <c r="E331" i="5"/>
  <c r="F331" i="5"/>
  <c r="G331" i="5"/>
  <c r="H331" i="5"/>
  <c r="I331" i="5"/>
  <c r="J331" i="5"/>
  <c r="K331" i="5"/>
  <c r="B332" i="5"/>
  <c r="C332" i="5"/>
  <c r="A332" i="5" s="1"/>
  <c r="D332" i="5"/>
  <c r="E332" i="5"/>
  <c r="F332" i="5"/>
  <c r="G332" i="5"/>
  <c r="H332" i="5"/>
  <c r="I332" i="5"/>
  <c r="J332" i="5"/>
  <c r="K332" i="5"/>
  <c r="B333" i="5"/>
  <c r="C333" i="5"/>
  <c r="A333" i="5" s="1"/>
  <c r="D333" i="5"/>
  <c r="E333" i="5"/>
  <c r="F333" i="5"/>
  <c r="G333" i="5"/>
  <c r="H333" i="5"/>
  <c r="I333" i="5"/>
  <c r="J333" i="5"/>
  <c r="K333" i="5"/>
  <c r="B334" i="5"/>
  <c r="C334" i="5"/>
  <c r="D334" i="5"/>
  <c r="E334" i="5"/>
  <c r="F334" i="5"/>
  <c r="G334" i="5"/>
  <c r="H334" i="5"/>
  <c r="I334" i="5"/>
  <c r="J334" i="5"/>
  <c r="K334" i="5"/>
  <c r="B335" i="5"/>
  <c r="C335" i="5"/>
  <c r="D335" i="5"/>
  <c r="E335" i="5"/>
  <c r="F335" i="5"/>
  <c r="G335" i="5"/>
  <c r="H335" i="5"/>
  <c r="I335" i="5"/>
  <c r="J335" i="5"/>
  <c r="K335" i="5"/>
  <c r="B336" i="5"/>
  <c r="C336" i="5"/>
  <c r="D336" i="5"/>
  <c r="E336" i="5"/>
  <c r="F336" i="5"/>
  <c r="G336" i="5"/>
  <c r="H336" i="5"/>
  <c r="I336" i="5"/>
  <c r="J336" i="5"/>
  <c r="K336" i="5"/>
  <c r="B337" i="5"/>
  <c r="C337" i="5"/>
  <c r="A337" i="5" s="1"/>
  <c r="D337" i="5"/>
  <c r="E337" i="5"/>
  <c r="F337" i="5"/>
  <c r="G337" i="5"/>
  <c r="H337" i="5"/>
  <c r="I337" i="5"/>
  <c r="J337" i="5"/>
  <c r="K337" i="5"/>
  <c r="B338" i="5"/>
  <c r="C338" i="5"/>
  <c r="A338" i="5" s="1"/>
  <c r="D338" i="5"/>
  <c r="E338" i="5"/>
  <c r="F338" i="5"/>
  <c r="G338" i="5"/>
  <c r="H338" i="5"/>
  <c r="I338" i="5"/>
  <c r="J338" i="5"/>
  <c r="K338" i="5"/>
  <c r="B339" i="5"/>
  <c r="C339" i="5"/>
  <c r="A339" i="5" s="1"/>
  <c r="D339" i="5"/>
  <c r="E339" i="5"/>
  <c r="F339" i="5"/>
  <c r="G339" i="5"/>
  <c r="H339" i="5"/>
  <c r="I339" i="5"/>
  <c r="J339" i="5"/>
  <c r="K339" i="5"/>
  <c r="B340" i="5"/>
  <c r="C340" i="5"/>
  <c r="D340" i="5"/>
  <c r="E340" i="5"/>
  <c r="F340" i="5"/>
  <c r="G340" i="5"/>
  <c r="H340" i="5"/>
  <c r="I340" i="5"/>
  <c r="J340" i="5"/>
  <c r="K340" i="5"/>
  <c r="B341" i="5"/>
  <c r="C341" i="5"/>
  <c r="D341" i="5"/>
  <c r="E341" i="5"/>
  <c r="F341" i="5"/>
  <c r="G341" i="5"/>
  <c r="H341" i="5"/>
  <c r="I341" i="5"/>
  <c r="J341" i="5"/>
  <c r="K341" i="5"/>
  <c r="B342" i="5"/>
  <c r="C342" i="5"/>
  <c r="D342" i="5"/>
  <c r="E342" i="5"/>
  <c r="F342" i="5"/>
  <c r="G342" i="5"/>
  <c r="H342" i="5"/>
  <c r="I342" i="5"/>
  <c r="J342" i="5"/>
  <c r="K342" i="5"/>
  <c r="B343" i="5"/>
  <c r="C343" i="5"/>
  <c r="D343" i="5"/>
  <c r="E343" i="5"/>
  <c r="F343" i="5"/>
  <c r="G343" i="5"/>
  <c r="H343" i="5"/>
  <c r="I343" i="5"/>
  <c r="J343" i="5"/>
  <c r="K343" i="5"/>
  <c r="B344" i="5"/>
  <c r="C344" i="5"/>
  <c r="A344" i="5" s="1"/>
  <c r="D344" i="5"/>
  <c r="E344" i="5"/>
  <c r="F344" i="5"/>
  <c r="G344" i="5"/>
  <c r="H344" i="5"/>
  <c r="I344" i="5"/>
  <c r="J344" i="5"/>
  <c r="K344" i="5"/>
  <c r="B345" i="5"/>
  <c r="C345" i="5"/>
  <c r="A345" i="5" s="1"/>
  <c r="D345" i="5"/>
  <c r="E345" i="5"/>
  <c r="F345" i="5"/>
  <c r="G345" i="5"/>
  <c r="H345" i="5"/>
  <c r="I345" i="5"/>
  <c r="J345" i="5"/>
  <c r="K345" i="5"/>
  <c r="B346" i="5"/>
  <c r="C346" i="5"/>
  <c r="D346" i="5"/>
  <c r="A346" i="5" s="1"/>
  <c r="E346" i="5"/>
  <c r="F346" i="5"/>
  <c r="G346" i="5"/>
  <c r="H346" i="5"/>
  <c r="I346" i="5"/>
  <c r="J346" i="5"/>
  <c r="K346" i="5"/>
  <c r="B347" i="5"/>
  <c r="C347" i="5"/>
  <c r="D347" i="5"/>
  <c r="E347" i="5"/>
  <c r="F347" i="5"/>
  <c r="G347" i="5"/>
  <c r="H347" i="5"/>
  <c r="I347" i="5"/>
  <c r="J347" i="5"/>
  <c r="K347" i="5"/>
  <c r="B348" i="5"/>
  <c r="C348" i="5"/>
  <c r="D348" i="5"/>
  <c r="E348" i="5"/>
  <c r="F348" i="5"/>
  <c r="G348" i="5"/>
  <c r="H348" i="5"/>
  <c r="I348" i="5"/>
  <c r="J348" i="5"/>
  <c r="K348" i="5"/>
  <c r="B349" i="5"/>
  <c r="C349" i="5"/>
  <c r="A349" i="5" s="1"/>
  <c r="D349" i="5"/>
  <c r="E349" i="5"/>
  <c r="F349" i="5"/>
  <c r="G349" i="5"/>
  <c r="H349" i="5"/>
  <c r="I349" i="5"/>
  <c r="J349" i="5"/>
  <c r="K349" i="5"/>
  <c r="B350" i="5"/>
  <c r="C350" i="5"/>
  <c r="A350" i="5" s="1"/>
  <c r="D350" i="5"/>
  <c r="E350" i="5"/>
  <c r="F350" i="5"/>
  <c r="G350" i="5"/>
  <c r="H350" i="5"/>
  <c r="I350" i="5"/>
  <c r="J350" i="5"/>
  <c r="K350" i="5"/>
  <c r="B351" i="5"/>
  <c r="C351" i="5"/>
  <c r="A351" i="5" s="1"/>
  <c r="D351" i="5"/>
  <c r="E351" i="5"/>
  <c r="F351" i="5"/>
  <c r="G351" i="5"/>
  <c r="H351" i="5"/>
  <c r="I351" i="5"/>
  <c r="J351" i="5"/>
  <c r="K351" i="5"/>
  <c r="B352" i="5"/>
  <c r="C352" i="5"/>
  <c r="D352" i="5"/>
  <c r="E352" i="5"/>
  <c r="F352" i="5"/>
  <c r="G352" i="5"/>
  <c r="H352" i="5"/>
  <c r="I352" i="5"/>
  <c r="J352" i="5"/>
  <c r="K352" i="5"/>
  <c r="B353" i="5"/>
  <c r="C353" i="5"/>
  <c r="D353" i="5"/>
  <c r="E353" i="5"/>
  <c r="F353" i="5"/>
  <c r="G353" i="5"/>
  <c r="H353" i="5"/>
  <c r="I353" i="5"/>
  <c r="J353" i="5"/>
  <c r="K353" i="5"/>
  <c r="B354" i="5"/>
  <c r="C354" i="5"/>
  <c r="D354" i="5"/>
  <c r="E354" i="5"/>
  <c r="F354" i="5"/>
  <c r="G354" i="5"/>
  <c r="H354" i="5"/>
  <c r="I354" i="5"/>
  <c r="J354" i="5"/>
  <c r="K354" i="5"/>
  <c r="B355" i="5"/>
  <c r="C355" i="5"/>
  <c r="D355" i="5"/>
  <c r="E355" i="5"/>
  <c r="F355" i="5"/>
  <c r="G355" i="5"/>
  <c r="H355" i="5"/>
  <c r="I355" i="5"/>
  <c r="J355" i="5"/>
  <c r="K355" i="5"/>
  <c r="B356" i="5"/>
  <c r="C356" i="5"/>
  <c r="A356" i="5" s="1"/>
  <c r="D356" i="5"/>
  <c r="E356" i="5"/>
  <c r="F356" i="5"/>
  <c r="G356" i="5"/>
  <c r="H356" i="5"/>
  <c r="I356" i="5"/>
  <c r="J356" i="5"/>
  <c r="K356" i="5"/>
  <c r="B357" i="5"/>
  <c r="C357" i="5"/>
  <c r="A357" i="5" s="1"/>
  <c r="D357" i="5"/>
  <c r="E357" i="5"/>
  <c r="F357" i="5"/>
  <c r="G357" i="5"/>
  <c r="H357" i="5"/>
  <c r="I357" i="5"/>
  <c r="J357" i="5"/>
  <c r="K357" i="5"/>
  <c r="B358" i="5"/>
  <c r="C358" i="5"/>
  <c r="D358" i="5"/>
  <c r="E358" i="5"/>
  <c r="F358" i="5"/>
  <c r="G358" i="5"/>
  <c r="H358" i="5"/>
  <c r="I358" i="5"/>
  <c r="J358" i="5"/>
  <c r="K358" i="5"/>
  <c r="B359" i="5"/>
  <c r="C359" i="5"/>
  <c r="D359" i="5"/>
  <c r="E359" i="5"/>
  <c r="F359" i="5"/>
  <c r="G359" i="5"/>
  <c r="H359" i="5"/>
  <c r="I359" i="5"/>
  <c r="J359" i="5"/>
  <c r="K359" i="5"/>
  <c r="B360" i="5"/>
  <c r="C360" i="5"/>
  <c r="D360" i="5"/>
  <c r="E360" i="5"/>
  <c r="F360" i="5"/>
  <c r="G360" i="5"/>
  <c r="H360" i="5"/>
  <c r="I360" i="5"/>
  <c r="J360" i="5"/>
  <c r="K360" i="5"/>
  <c r="B361" i="5"/>
  <c r="C361" i="5"/>
  <c r="A361" i="5" s="1"/>
  <c r="D361" i="5"/>
  <c r="E361" i="5"/>
  <c r="F361" i="5"/>
  <c r="G361" i="5"/>
  <c r="H361" i="5"/>
  <c r="I361" i="5"/>
  <c r="J361" i="5"/>
  <c r="K361" i="5"/>
  <c r="B362" i="5"/>
  <c r="C362" i="5"/>
  <c r="A362" i="5" s="1"/>
  <c r="D362" i="5"/>
  <c r="E362" i="5"/>
  <c r="F362" i="5"/>
  <c r="G362" i="5"/>
  <c r="H362" i="5"/>
  <c r="I362" i="5"/>
  <c r="J362" i="5"/>
  <c r="K362" i="5"/>
  <c r="B363" i="5"/>
  <c r="C363" i="5"/>
  <c r="A363" i="5" s="1"/>
  <c r="D363" i="5"/>
  <c r="E363" i="5"/>
  <c r="F363" i="5"/>
  <c r="G363" i="5"/>
  <c r="H363" i="5"/>
  <c r="I363" i="5"/>
  <c r="J363" i="5"/>
  <c r="K363" i="5"/>
  <c r="B364" i="5"/>
  <c r="C364" i="5"/>
  <c r="D364" i="5"/>
  <c r="E364" i="5"/>
  <c r="F364" i="5"/>
  <c r="G364" i="5"/>
  <c r="H364" i="5"/>
  <c r="I364" i="5"/>
  <c r="J364" i="5"/>
  <c r="K364" i="5"/>
  <c r="B365" i="5"/>
  <c r="C365" i="5"/>
  <c r="D365" i="5"/>
  <c r="E365" i="5"/>
  <c r="F365" i="5"/>
  <c r="G365" i="5"/>
  <c r="H365" i="5"/>
  <c r="I365" i="5"/>
  <c r="J365" i="5"/>
  <c r="K365" i="5"/>
  <c r="B366" i="5"/>
  <c r="C366" i="5"/>
  <c r="D366" i="5"/>
  <c r="E366" i="5"/>
  <c r="F366" i="5"/>
  <c r="G366" i="5"/>
  <c r="H366" i="5"/>
  <c r="I366" i="5"/>
  <c r="J366" i="5"/>
  <c r="K366" i="5"/>
  <c r="B367" i="5"/>
  <c r="C367" i="5"/>
  <c r="D367" i="5"/>
  <c r="E367" i="5"/>
  <c r="F367" i="5"/>
  <c r="G367" i="5"/>
  <c r="H367" i="5"/>
  <c r="I367" i="5"/>
  <c r="J367" i="5"/>
  <c r="K367" i="5"/>
  <c r="B368" i="5"/>
  <c r="C368" i="5"/>
  <c r="A368" i="5" s="1"/>
  <c r="D368" i="5"/>
  <c r="E368" i="5"/>
  <c r="F368" i="5"/>
  <c r="G368" i="5"/>
  <c r="H368" i="5"/>
  <c r="I368" i="5"/>
  <c r="J368" i="5"/>
  <c r="K368" i="5"/>
  <c r="B369" i="5"/>
  <c r="C369" i="5"/>
  <c r="A369" i="5" s="1"/>
  <c r="D369" i="5"/>
  <c r="E369" i="5"/>
  <c r="F369" i="5"/>
  <c r="G369" i="5"/>
  <c r="H369" i="5"/>
  <c r="I369" i="5"/>
  <c r="J369" i="5"/>
  <c r="K369" i="5"/>
  <c r="B370" i="5"/>
  <c r="C370" i="5"/>
  <c r="D370" i="5"/>
  <c r="A370" i="5" s="1"/>
  <c r="E370" i="5"/>
  <c r="F370" i="5"/>
  <c r="G370" i="5"/>
  <c r="H370" i="5"/>
  <c r="I370" i="5"/>
  <c r="J370" i="5"/>
  <c r="K370" i="5"/>
  <c r="B371" i="5"/>
  <c r="C371" i="5"/>
  <c r="D371" i="5"/>
  <c r="E371" i="5"/>
  <c r="F371" i="5"/>
  <c r="G371" i="5"/>
  <c r="H371" i="5"/>
  <c r="I371" i="5"/>
  <c r="J371" i="5"/>
  <c r="K371" i="5"/>
  <c r="B372" i="5"/>
  <c r="C372" i="5"/>
  <c r="D372" i="5"/>
  <c r="E372" i="5"/>
  <c r="F372" i="5"/>
  <c r="G372" i="5"/>
  <c r="H372" i="5"/>
  <c r="I372" i="5"/>
  <c r="J372" i="5"/>
  <c r="K372" i="5"/>
  <c r="B373" i="5"/>
  <c r="C373" i="5"/>
  <c r="A373" i="5" s="1"/>
  <c r="D373" i="5"/>
  <c r="E373" i="5"/>
  <c r="F373" i="5"/>
  <c r="G373" i="5"/>
  <c r="H373" i="5"/>
  <c r="I373" i="5"/>
  <c r="J373" i="5"/>
  <c r="K373" i="5"/>
  <c r="B374" i="5"/>
  <c r="C374" i="5"/>
  <c r="A374" i="5" s="1"/>
  <c r="D374" i="5"/>
  <c r="E374" i="5"/>
  <c r="F374" i="5"/>
  <c r="G374" i="5"/>
  <c r="H374" i="5"/>
  <c r="I374" i="5"/>
  <c r="J374" i="5"/>
  <c r="K374" i="5"/>
  <c r="B375" i="5"/>
  <c r="C375" i="5"/>
  <c r="A375" i="5" s="1"/>
  <c r="D375" i="5"/>
  <c r="E375" i="5"/>
  <c r="F375" i="5"/>
  <c r="G375" i="5"/>
  <c r="H375" i="5"/>
  <c r="I375" i="5"/>
  <c r="J375" i="5"/>
  <c r="K375" i="5"/>
  <c r="B376" i="5"/>
  <c r="C376" i="5"/>
  <c r="D376" i="5"/>
  <c r="E376" i="5"/>
  <c r="F376" i="5"/>
  <c r="G376" i="5"/>
  <c r="H376" i="5"/>
  <c r="I376" i="5"/>
  <c r="J376" i="5"/>
  <c r="K376" i="5"/>
  <c r="B377" i="5"/>
  <c r="C377" i="5"/>
  <c r="D377" i="5"/>
  <c r="E377" i="5"/>
  <c r="F377" i="5"/>
  <c r="G377" i="5"/>
  <c r="H377" i="5"/>
  <c r="I377" i="5"/>
  <c r="J377" i="5"/>
  <c r="K377" i="5"/>
  <c r="B378" i="5"/>
  <c r="C378" i="5"/>
  <c r="D378" i="5"/>
  <c r="E378" i="5"/>
  <c r="F378" i="5"/>
  <c r="G378" i="5"/>
  <c r="H378" i="5"/>
  <c r="I378" i="5"/>
  <c r="J378" i="5"/>
  <c r="K378" i="5"/>
  <c r="B379" i="5"/>
  <c r="C379" i="5"/>
  <c r="D379" i="5"/>
  <c r="E379" i="5"/>
  <c r="F379" i="5"/>
  <c r="G379" i="5"/>
  <c r="H379" i="5"/>
  <c r="I379" i="5"/>
  <c r="J379" i="5"/>
  <c r="K379" i="5"/>
  <c r="B380" i="5"/>
  <c r="C380" i="5"/>
  <c r="A380" i="5" s="1"/>
  <c r="D380" i="5"/>
  <c r="E380" i="5"/>
  <c r="F380" i="5"/>
  <c r="G380" i="5"/>
  <c r="H380" i="5"/>
  <c r="I380" i="5"/>
  <c r="J380" i="5"/>
  <c r="K380" i="5"/>
  <c r="B381" i="5"/>
  <c r="C381" i="5"/>
  <c r="A381" i="5" s="1"/>
  <c r="D381" i="5"/>
  <c r="E381" i="5"/>
  <c r="F381" i="5"/>
  <c r="G381" i="5"/>
  <c r="H381" i="5"/>
  <c r="I381" i="5"/>
  <c r="J381" i="5"/>
  <c r="K381" i="5"/>
  <c r="B382" i="5"/>
  <c r="C382" i="5"/>
  <c r="D382" i="5"/>
  <c r="E382" i="5"/>
  <c r="F382" i="5"/>
  <c r="G382" i="5"/>
  <c r="H382" i="5"/>
  <c r="I382" i="5"/>
  <c r="J382" i="5"/>
  <c r="K382" i="5"/>
  <c r="B383" i="5"/>
  <c r="C383" i="5"/>
  <c r="D383" i="5"/>
  <c r="E383" i="5"/>
  <c r="F383" i="5"/>
  <c r="G383" i="5"/>
  <c r="H383" i="5"/>
  <c r="I383" i="5"/>
  <c r="J383" i="5"/>
  <c r="K383" i="5"/>
  <c r="B384" i="5"/>
  <c r="C384" i="5"/>
  <c r="D384" i="5"/>
  <c r="E384" i="5"/>
  <c r="F384" i="5"/>
  <c r="G384" i="5"/>
  <c r="H384" i="5"/>
  <c r="I384" i="5"/>
  <c r="J384" i="5"/>
  <c r="K384" i="5"/>
  <c r="B385" i="5"/>
  <c r="C385" i="5"/>
  <c r="A385" i="5" s="1"/>
  <c r="D385" i="5"/>
  <c r="E385" i="5"/>
  <c r="F385" i="5"/>
  <c r="G385" i="5"/>
  <c r="H385" i="5"/>
  <c r="I385" i="5"/>
  <c r="J385" i="5"/>
  <c r="K385" i="5"/>
  <c r="B386" i="5"/>
  <c r="C386" i="5"/>
  <c r="A386" i="5" s="1"/>
  <c r="D386" i="5"/>
  <c r="E386" i="5"/>
  <c r="F386" i="5"/>
  <c r="G386" i="5"/>
  <c r="H386" i="5"/>
  <c r="I386" i="5"/>
  <c r="J386" i="5"/>
  <c r="K386" i="5"/>
  <c r="B387" i="5"/>
  <c r="C387" i="5"/>
  <c r="A387" i="5" s="1"/>
  <c r="D387" i="5"/>
  <c r="E387" i="5"/>
  <c r="F387" i="5"/>
  <c r="G387" i="5"/>
  <c r="H387" i="5"/>
  <c r="I387" i="5"/>
  <c r="J387" i="5"/>
  <c r="K387" i="5"/>
  <c r="B388" i="5"/>
  <c r="C388" i="5"/>
  <c r="D388" i="5"/>
  <c r="E388" i="5"/>
  <c r="F388" i="5"/>
  <c r="G388" i="5"/>
  <c r="H388" i="5"/>
  <c r="I388" i="5"/>
  <c r="J388" i="5"/>
  <c r="K388" i="5"/>
  <c r="B389" i="5"/>
  <c r="C389" i="5"/>
  <c r="D389" i="5"/>
  <c r="E389" i="5"/>
  <c r="F389" i="5"/>
  <c r="G389" i="5"/>
  <c r="H389" i="5"/>
  <c r="I389" i="5"/>
  <c r="J389" i="5"/>
  <c r="K389" i="5"/>
  <c r="B390" i="5"/>
  <c r="C390" i="5"/>
  <c r="D390" i="5"/>
  <c r="E390" i="5"/>
  <c r="F390" i="5"/>
  <c r="G390" i="5"/>
  <c r="H390" i="5"/>
  <c r="I390" i="5"/>
  <c r="J390" i="5"/>
  <c r="K390" i="5"/>
  <c r="B391" i="5"/>
  <c r="C391" i="5"/>
  <c r="D391" i="5"/>
  <c r="E391" i="5"/>
  <c r="F391" i="5"/>
  <c r="G391" i="5"/>
  <c r="H391" i="5"/>
  <c r="I391" i="5"/>
  <c r="J391" i="5"/>
  <c r="K391" i="5"/>
  <c r="B392" i="5"/>
  <c r="C392" i="5"/>
  <c r="A392" i="5" s="1"/>
  <c r="D392" i="5"/>
  <c r="E392" i="5"/>
  <c r="F392" i="5"/>
  <c r="G392" i="5"/>
  <c r="H392" i="5"/>
  <c r="I392" i="5"/>
  <c r="J392" i="5"/>
  <c r="K392" i="5"/>
  <c r="B393" i="5"/>
  <c r="C393" i="5"/>
  <c r="A393" i="5" s="1"/>
  <c r="D393" i="5"/>
  <c r="E393" i="5"/>
  <c r="F393" i="5"/>
  <c r="G393" i="5"/>
  <c r="H393" i="5"/>
  <c r="I393" i="5"/>
  <c r="J393" i="5"/>
  <c r="K393" i="5"/>
  <c r="B394" i="5"/>
  <c r="C394" i="5"/>
  <c r="D394" i="5"/>
  <c r="A394" i="5" s="1"/>
  <c r="E394" i="5"/>
  <c r="F394" i="5"/>
  <c r="G394" i="5"/>
  <c r="H394" i="5"/>
  <c r="I394" i="5"/>
  <c r="J394" i="5"/>
  <c r="K394" i="5"/>
  <c r="B395" i="5"/>
  <c r="C395" i="5"/>
  <c r="D395" i="5"/>
  <c r="E395" i="5"/>
  <c r="F395" i="5"/>
  <c r="G395" i="5"/>
  <c r="H395" i="5"/>
  <c r="I395" i="5"/>
  <c r="J395" i="5"/>
  <c r="K395" i="5"/>
  <c r="B396" i="5"/>
  <c r="C396" i="5"/>
  <c r="D396" i="5"/>
  <c r="E396" i="5"/>
  <c r="F396" i="5"/>
  <c r="G396" i="5"/>
  <c r="H396" i="5"/>
  <c r="I396" i="5"/>
  <c r="J396" i="5"/>
  <c r="K396" i="5"/>
  <c r="B397" i="5"/>
  <c r="C397" i="5"/>
  <c r="A397" i="5" s="1"/>
  <c r="D397" i="5"/>
  <c r="E397" i="5"/>
  <c r="F397" i="5"/>
  <c r="G397" i="5"/>
  <c r="H397" i="5"/>
  <c r="I397" i="5"/>
  <c r="J397" i="5"/>
  <c r="K397" i="5"/>
  <c r="B398" i="5"/>
  <c r="C398" i="5"/>
  <c r="A398" i="5" s="1"/>
  <c r="D398" i="5"/>
  <c r="E398" i="5"/>
  <c r="F398" i="5"/>
  <c r="G398" i="5"/>
  <c r="H398" i="5"/>
  <c r="I398" i="5"/>
  <c r="J398" i="5"/>
  <c r="K398" i="5"/>
  <c r="B399" i="5"/>
  <c r="C399" i="5"/>
  <c r="A399" i="5" s="1"/>
  <c r="D399" i="5"/>
  <c r="E399" i="5"/>
  <c r="F399" i="5"/>
  <c r="G399" i="5"/>
  <c r="H399" i="5"/>
  <c r="I399" i="5"/>
  <c r="J399" i="5"/>
  <c r="K399" i="5"/>
  <c r="B400" i="5"/>
  <c r="C400" i="5"/>
  <c r="D400" i="5"/>
  <c r="E400" i="5"/>
  <c r="F400" i="5"/>
  <c r="G400" i="5"/>
  <c r="H400" i="5"/>
  <c r="I400" i="5"/>
  <c r="J400" i="5"/>
  <c r="K400" i="5"/>
  <c r="B401" i="5"/>
  <c r="C401" i="5"/>
  <c r="D401" i="5"/>
  <c r="E401" i="5"/>
  <c r="F401" i="5"/>
  <c r="G401" i="5"/>
  <c r="H401" i="5"/>
  <c r="I401" i="5"/>
  <c r="J401" i="5"/>
  <c r="K401" i="5"/>
  <c r="B402" i="5"/>
  <c r="C402" i="5"/>
  <c r="D402" i="5"/>
  <c r="E402" i="5"/>
  <c r="F402" i="5"/>
  <c r="G402" i="5"/>
  <c r="H402" i="5"/>
  <c r="I402" i="5"/>
  <c r="J402" i="5"/>
  <c r="K402" i="5"/>
  <c r="B403" i="5"/>
  <c r="C403" i="5"/>
  <c r="A403" i="5" s="1"/>
  <c r="D403" i="5"/>
  <c r="E403" i="5"/>
  <c r="F403" i="5"/>
  <c r="G403" i="5"/>
  <c r="H403" i="5"/>
  <c r="I403" i="5"/>
  <c r="J403" i="5"/>
  <c r="K403" i="5"/>
  <c r="B404" i="5"/>
  <c r="C404" i="5"/>
  <c r="A404" i="5" s="1"/>
  <c r="D404" i="5"/>
  <c r="E404" i="5"/>
  <c r="F404" i="5"/>
  <c r="G404" i="5"/>
  <c r="H404" i="5"/>
  <c r="I404" i="5"/>
  <c r="J404" i="5"/>
  <c r="K404" i="5"/>
  <c r="B405" i="5"/>
  <c r="C405" i="5"/>
  <c r="A405" i="5" s="1"/>
  <c r="D405" i="5"/>
  <c r="E405" i="5"/>
  <c r="F405" i="5"/>
  <c r="G405" i="5"/>
  <c r="H405" i="5"/>
  <c r="I405" i="5"/>
  <c r="J405" i="5"/>
  <c r="K405" i="5"/>
  <c r="B406" i="5"/>
  <c r="C406" i="5"/>
  <c r="D406" i="5"/>
  <c r="E406" i="5"/>
  <c r="F406" i="5"/>
  <c r="G406" i="5"/>
  <c r="H406" i="5"/>
  <c r="I406" i="5"/>
  <c r="J406" i="5"/>
  <c r="K406" i="5"/>
  <c r="B407" i="5"/>
  <c r="C407" i="5"/>
  <c r="D407" i="5"/>
  <c r="E407" i="5"/>
  <c r="F407" i="5"/>
  <c r="G407" i="5"/>
  <c r="H407" i="5"/>
  <c r="I407" i="5"/>
  <c r="J407" i="5"/>
  <c r="K407" i="5"/>
  <c r="B408" i="5"/>
  <c r="C408" i="5"/>
  <c r="D408" i="5"/>
  <c r="E408" i="5"/>
  <c r="F408" i="5"/>
  <c r="G408" i="5"/>
  <c r="H408" i="5"/>
  <c r="I408" i="5"/>
  <c r="J408" i="5"/>
  <c r="K408" i="5"/>
  <c r="B409" i="5"/>
  <c r="C409" i="5"/>
  <c r="A409" i="5" s="1"/>
  <c r="D409" i="5"/>
  <c r="E409" i="5"/>
  <c r="F409" i="5"/>
  <c r="G409" i="5"/>
  <c r="H409" i="5"/>
  <c r="I409" i="5"/>
  <c r="J409" i="5"/>
  <c r="K409" i="5"/>
  <c r="B410" i="5"/>
  <c r="C410" i="5"/>
  <c r="A410" i="5" s="1"/>
  <c r="D410" i="5"/>
  <c r="E410" i="5"/>
  <c r="F410" i="5"/>
  <c r="G410" i="5"/>
  <c r="H410" i="5"/>
  <c r="I410" i="5"/>
  <c r="J410" i="5"/>
  <c r="K410" i="5"/>
  <c r="B411" i="5"/>
  <c r="C411" i="5"/>
  <c r="A411" i="5" s="1"/>
  <c r="D411" i="5"/>
  <c r="E411" i="5"/>
  <c r="F411" i="5"/>
  <c r="G411" i="5"/>
  <c r="H411" i="5"/>
  <c r="I411" i="5"/>
  <c r="J411" i="5"/>
  <c r="K411" i="5"/>
  <c r="B412" i="5"/>
  <c r="C412" i="5"/>
  <c r="D412" i="5"/>
  <c r="E412" i="5"/>
  <c r="F412" i="5"/>
  <c r="G412" i="5"/>
  <c r="H412" i="5"/>
  <c r="I412" i="5"/>
  <c r="J412" i="5"/>
  <c r="K412" i="5"/>
  <c r="B413" i="5"/>
  <c r="C413" i="5"/>
  <c r="D413" i="5"/>
  <c r="E413" i="5"/>
  <c r="F413" i="5"/>
  <c r="G413" i="5"/>
  <c r="H413" i="5"/>
  <c r="I413" i="5"/>
  <c r="J413" i="5"/>
  <c r="K413" i="5"/>
  <c r="B414" i="5"/>
  <c r="C414" i="5"/>
  <c r="D414" i="5"/>
  <c r="E414" i="5"/>
  <c r="F414" i="5"/>
  <c r="G414" i="5"/>
  <c r="H414" i="5"/>
  <c r="I414" i="5"/>
  <c r="J414" i="5"/>
  <c r="K414" i="5"/>
  <c r="B415" i="5"/>
  <c r="C415" i="5"/>
  <c r="A415" i="5" s="1"/>
  <c r="D415" i="5"/>
  <c r="E415" i="5"/>
  <c r="F415" i="5"/>
  <c r="G415" i="5"/>
  <c r="H415" i="5"/>
  <c r="I415" i="5"/>
  <c r="J415" i="5"/>
  <c r="K415" i="5"/>
  <c r="B416" i="5"/>
  <c r="C416" i="5"/>
  <c r="A416" i="5" s="1"/>
  <c r="D416" i="5"/>
  <c r="E416" i="5"/>
  <c r="F416" i="5"/>
  <c r="G416" i="5"/>
  <c r="H416" i="5"/>
  <c r="I416" i="5"/>
  <c r="J416" i="5"/>
  <c r="K416" i="5"/>
  <c r="B417" i="5"/>
  <c r="C417" i="5"/>
  <c r="A417" i="5" s="1"/>
  <c r="D417" i="5"/>
  <c r="E417" i="5"/>
  <c r="F417" i="5"/>
  <c r="G417" i="5"/>
  <c r="H417" i="5"/>
  <c r="I417" i="5"/>
  <c r="J417" i="5"/>
  <c r="K417" i="5"/>
  <c r="B418" i="5"/>
  <c r="C418" i="5"/>
  <c r="D418" i="5"/>
  <c r="E418" i="5"/>
  <c r="F418" i="5"/>
  <c r="G418" i="5"/>
  <c r="H418" i="5"/>
  <c r="I418" i="5"/>
  <c r="J418" i="5"/>
  <c r="K418" i="5"/>
  <c r="B419" i="5"/>
  <c r="C419" i="5"/>
  <c r="D419" i="5"/>
  <c r="E419" i="5"/>
  <c r="F419" i="5"/>
  <c r="G419" i="5"/>
  <c r="H419" i="5"/>
  <c r="I419" i="5"/>
  <c r="J419" i="5"/>
  <c r="K419" i="5"/>
  <c r="B420" i="5"/>
  <c r="C420" i="5"/>
  <c r="D420" i="5"/>
  <c r="E420" i="5"/>
  <c r="F420" i="5"/>
  <c r="G420" i="5"/>
  <c r="H420" i="5"/>
  <c r="I420" i="5"/>
  <c r="J420" i="5"/>
  <c r="K420" i="5"/>
  <c r="B421" i="5"/>
  <c r="C421" i="5"/>
  <c r="A421" i="5" s="1"/>
  <c r="D421" i="5"/>
  <c r="E421" i="5"/>
  <c r="F421" i="5"/>
  <c r="G421" i="5"/>
  <c r="H421" i="5"/>
  <c r="I421" i="5"/>
  <c r="J421" i="5"/>
  <c r="K421" i="5"/>
  <c r="B422" i="5"/>
  <c r="C422" i="5"/>
  <c r="A422" i="5" s="1"/>
  <c r="D422" i="5"/>
  <c r="E422" i="5"/>
  <c r="F422" i="5"/>
  <c r="G422" i="5"/>
  <c r="H422" i="5"/>
  <c r="I422" i="5"/>
  <c r="J422" i="5"/>
  <c r="K422" i="5"/>
  <c r="B423" i="5"/>
  <c r="C423" i="5"/>
  <c r="A423" i="5" s="1"/>
  <c r="D423" i="5"/>
  <c r="E423" i="5"/>
  <c r="F423" i="5"/>
  <c r="G423" i="5"/>
  <c r="H423" i="5"/>
  <c r="I423" i="5"/>
  <c r="J423" i="5"/>
  <c r="K423" i="5"/>
  <c r="B424" i="5"/>
  <c r="C424" i="5"/>
  <c r="D424" i="5"/>
  <c r="E424" i="5"/>
  <c r="F424" i="5"/>
  <c r="G424" i="5"/>
  <c r="H424" i="5"/>
  <c r="I424" i="5"/>
  <c r="J424" i="5"/>
  <c r="K424" i="5"/>
  <c r="B425" i="5"/>
  <c r="C425" i="5"/>
  <c r="D425" i="5"/>
  <c r="E425" i="5"/>
  <c r="F425" i="5"/>
  <c r="G425" i="5"/>
  <c r="H425" i="5"/>
  <c r="I425" i="5"/>
  <c r="J425" i="5"/>
  <c r="K425" i="5"/>
  <c r="B426" i="5"/>
  <c r="C426" i="5"/>
  <c r="D426" i="5"/>
  <c r="E426" i="5"/>
  <c r="F426" i="5"/>
  <c r="G426" i="5"/>
  <c r="H426" i="5"/>
  <c r="I426" i="5"/>
  <c r="J426" i="5"/>
  <c r="K426" i="5"/>
  <c r="B427" i="5"/>
  <c r="C427" i="5"/>
  <c r="A427" i="5" s="1"/>
  <c r="D427" i="5"/>
  <c r="E427" i="5"/>
  <c r="F427" i="5"/>
  <c r="G427" i="5"/>
  <c r="H427" i="5"/>
  <c r="I427" i="5"/>
  <c r="J427" i="5"/>
  <c r="K427" i="5"/>
  <c r="B428" i="5"/>
  <c r="C428" i="5"/>
  <c r="A428" i="5" s="1"/>
  <c r="D428" i="5"/>
  <c r="E428" i="5"/>
  <c r="F428" i="5"/>
  <c r="G428" i="5"/>
  <c r="H428" i="5"/>
  <c r="I428" i="5"/>
  <c r="J428" i="5"/>
  <c r="K428" i="5"/>
  <c r="B429" i="5"/>
  <c r="C429" i="5"/>
  <c r="A429" i="5" s="1"/>
  <c r="D429" i="5"/>
  <c r="E429" i="5"/>
  <c r="F429" i="5"/>
  <c r="G429" i="5"/>
  <c r="H429" i="5"/>
  <c r="I429" i="5"/>
  <c r="J429" i="5"/>
  <c r="K429" i="5"/>
  <c r="B430" i="5"/>
  <c r="C430" i="5"/>
  <c r="D430" i="5"/>
  <c r="E430" i="5"/>
  <c r="F430" i="5"/>
  <c r="G430" i="5"/>
  <c r="H430" i="5"/>
  <c r="I430" i="5"/>
  <c r="J430" i="5"/>
  <c r="K430" i="5"/>
  <c r="B431" i="5"/>
  <c r="C431" i="5"/>
  <c r="D431" i="5"/>
  <c r="E431" i="5"/>
  <c r="F431" i="5"/>
  <c r="G431" i="5"/>
  <c r="H431" i="5"/>
  <c r="I431" i="5"/>
  <c r="J431" i="5"/>
  <c r="K431" i="5"/>
  <c r="B432" i="5"/>
  <c r="C432" i="5"/>
  <c r="D432" i="5"/>
  <c r="E432" i="5"/>
  <c r="F432" i="5"/>
  <c r="G432" i="5"/>
  <c r="H432" i="5"/>
  <c r="I432" i="5"/>
  <c r="J432" i="5"/>
  <c r="K432" i="5"/>
  <c r="B433" i="5"/>
  <c r="C433" i="5"/>
  <c r="A433" i="5" s="1"/>
  <c r="D433" i="5"/>
  <c r="E433" i="5"/>
  <c r="F433" i="5"/>
  <c r="G433" i="5"/>
  <c r="H433" i="5"/>
  <c r="I433" i="5"/>
  <c r="J433" i="5"/>
  <c r="K433" i="5"/>
  <c r="B434" i="5"/>
  <c r="C434" i="5"/>
  <c r="A434" i="5" s="1"/>
  <c r="D434" i="5"/>
  <c r="E434" i="5"/>
  <c r="F434" i="5"/>
  <c r="G434" i="5"/>
  <c r="H434" i="5"/>
  <c r="I434" i="5"/>
  <c r="J434" i="5"/>
  <c r="K434" i="5"/>
  <c r="B435" i="5"/>
  <c r="C435" i="5"/>
  <c r="A435" i="5" s="1"/>
  <c r="D435" i="5"/>
  <c r="E435" i="5"/>
  <c r="F435" i="5"/>
  <c r="G435" i="5"/>
  <c r="H435" i="5"/>
  <c r="I435" i="5"/>
  <c r="J435" i="5"/>
  <c r="K435" i="5"/>
  <c r="B436" i="5"/>
  <c r="C436" i="5"/>
  <c r="D436" i="5"/>
  <c r="E436" i="5"/>
  <c r="F436" i="5"/>
  <c r="G436" i="5"/>
  <c r="H436" i="5"/>
  <c r="I436" i="5"/>
  <c r="J436" i="5"/>
  <c r="K436" i="5"/>
  <c r="B437" i="5"/>
  <c r="C437" i="5"/>
  <c r="D437" i="5"/>
  <c r="E437" i="5"/>
  <c r="F437" i="5"/>
  <c r="G437" i="5"/>
  <c r="H437" i="5"/>
  <c r="I437" i="5"/>
  <c r="J437" i="5"/>
  <c r="K437" i="5"/>
  <c r="B438" i="5"/>
  <c r="C438" i="5"/>
  <c r="D438" i="5"/>
  <c r="E438" i="5"/>
  <c r="F438" i="5"/>
  <c r="G438" i="5"/>
  <c r="H438" i="5"/>
  <c r="I438" i="5"/>
  <c r="J438" i="5"/>
  <c r="K438" i="5"/>
  <c r="B439" i="5"/>
  <c r="C439" i="5"/>
  <c r="A439" i="5" s="1"/>
  <c r="D439" i="5"/>
  <c r="E439" i="5"/>
  <c r="F439" i="5"/>
  <c r="G439" i="5"/>
  <c r="H439" i="5"/>
  <c r="I439" i="5"/>
  <c r="J439" i="5"/>
  <c r="K439" i="5"/>
  <c r="B440" i="5"/>
  <c r="C440" i="5"/>
  <c r="A440" i="5" s="1"/>
  <c r="D440" i="5"/>
  <c r="E440" i="5"/>
  <c r="F440" i="5"/>
  <c r="G440" i="5"/>
  <c r="H440" i="5"/>
  <c r="I440" i="5"/>
  <c r="J440" i="5"/>
  <c r="K440" i="5"/>
  <c r="B441" i="5"/>
  <c r="C441" i="5"/>
  <c r="A441" i="5" s="1"/>
  <c r="D441" i="5"/>
  <c r="E441" i="5"/>
  <c r="F441" i="5"/>
  <c r="G441" i="5"/>
  <c r="H441" i="5"/>
  <c r="I441" i="5"/>
  <c r="J441" i="5"/>
  <c r="K441" i="5"/>
  <c r="B442" i="5"/>
  <c r="C442" i="5"/>
  <c r="D442" i="5"/>
  <c r="E442" i="5"/>
  <c r="F442" i="5"/>
  <c r="G442" i="5"/>
  <c r="H442" i="5"/>
  <c r="I442" i="5"/>
  <c r="J442" i="5"/>
  <c r="K442" i="5"/>
  <c r="B443" i="5"/>
  <c r="C443" i="5"/>
  <c r="D443" i="5"/>
  <c r="E443" i="5"/>
  <c r="F443" i="5"/>
  <c r="G443" i="5"/>
  <c r="H443" i="5"/>
  <c r="I443" i="5"/>
  <c r="J443" i="5"/>
  <c r="K443" i="5"/>
  <c r="B444" i="5"/>
  <c r="C444" i="5"/>
  <c r="D444" i="5"/>
  <c r="E444" i="5"/>
  <c r="F444" i="5"/>
  <c r="G444" i="5"/>
  <c r="H444" i="5"/>
  <c r="I444" i="5"/>
  <c r="J444" i="5"/>
  <c r="K444" i="5"/>
  <c r="B445" i="5"/>
  <c r="C445" i="5"/>
  <c r="A445" i="5" s="1"/>
  <c r="D445" i="5"/>
  <c r="E445" i="5"/>
  <c r="F445" i="5"/>
  <c r="G445" i="5"/>
  <c r="H445" i="5"/>
  <c r="I445" i="5"/>
  <c r="J445" i="5"/>
  <c r="K445" i="5"/>
  <c r="B446" i="5"/>
  <c r="C446" i="5"/>
  <c r="A446" i="5" s="1"/>
  <c r="D446" i="5"/>
  <c r="E446" i="5"/>
  <c r="F446" i="5"/>
  <c r="G446" i="5"/>
  <c r="H446" i="5"/>
  <c r="I446" i="5"/>
  <c r="J446" i="5"/>
  <c r="K446" i="5"/>
  <c r="B447" i="5"/>
  <c r="C447" i="5"/>
  <c r="A447" i="5" s="1"/>
  <c r="D447" i="5"/>
  <c r="E447" i="5"/>
  <c r="F447" i="5"/>
  <c r="G447" i="5"/>
  <c r="H447" i="5"/>
  <c r="I447" i="5"/>
  <c r="J447" i="5"/>
  <c r="K447" i="5"/>
  <c r="B448" i="5"/>
  <c r="C448" i="5"/>
  <c r="D448" i="5"/>
  <c r="E448" i="5"/>
  <c r="F448" i="5"/>
  <c r="G448" i="5"/>
  <c r="H448" i="5"/>
  <c r="I448" i="5"/>
  <c r="J448" i="5"/>
  <c r="K448" i="5"/>
  <c r="B449" i="5"/>
  <c r="C449" i="5"/>
  <c r="D449" i="5"/>
  <c r="E449" i="5"/>
  <c r="F449" i="5"/>
  <c r="G449" i="5"/>
  <c r="H449" i="5"/>
  <c r="I449" i="5"/>
  <c r="J449" i="5"/>
  <c r="K449" i="5"/>
  <c r="B450" i="5"/>
  <c r="C450" i="5"/>
  <c r="D450" i="5"/>
  <c r="E450" i="5"/>
  <c r="F450" i="5"/>
  <c r="G450" i="5"/>
  <c r="H450" i="5"/>
  <c r="I450" i="5"/>
  <c r="J450" i="5"/>
  <c r="K450" i="5"/>
  <c r="B451" i="5"/>
  <c r="C451" i="5"/>
  <c r="A451" i="5" s="1"/>
  <c r="D451" i="5"/>
  <c r="E451" i="5"/>
  <c r="F451" i="5"/>
  <c r="G451" i="5"/>
  <c r="H451" i="5"/>
  <c r="I451" i="5"/>
  <c r="J451" i="5"/>
  <c r="K451" i="5"/>
  <c r="B452" i="5"/>
  <c r="C452" i="5"/>
  <c r="A452" i="5" s="1"/>
  <c r="D452" i="5"/>
  <c r="E452" i="5"/>
  <c r="F452" i="5"/>
  <c r="G452" i="5"/>
  <c r="H452" i="5"/>
  <c r="I452" i="5"/>
  <c r="J452" i="5"/>
  <c r="K452" i="5"/>
  <c r="B453" i="5"/>
  <c r="C453" i="5"/>
  <c r="A453" i="5" s="1"/>
  <c r="D453" i="5"/>
  <c r="E453" i="5"/>
  <c r="F453" i="5"/>
  <c r="G453" i="5"/>
  <c r="H453" i="5"/>
  <c r="I453" i="5"/>
  <c r="J453" i="5"/>
  <c r="K453" i="5"/>
  <c r="B454" i="5"/>
  <c r="C454" i="5"/>
  <c r="D454" i="5"/>
  <c r="E454" i="5"/>
  <c r="F454" i="5"/>
  <c r="G454" i="5"/>
  <c r="H454" i="5"/>
  <c r="I454" i="5"/>
  <c r="J454" i="5"/>
  <c r="K454" i="5"/>
  <c r="B455" i="5"/>
  <c r="C455" i="5"/>
  <c r="D455" i="5"/>
  <c r="E455" i="5"/>
  <c r="F455" i="5"/>
  <c r="G455" i="5"/>
  <c r="H455" i="5"/>
  <c r="I455" i="5"/>
  <c r="J455" i="5"/>
  <c r="K455" i="5"/>
  <c r="B456" i="5"/>
  <c r="C456" i="5"/>
  <c r="D456" i="5"/>
  <c r="E456" i="5"/>
  <c r="F456" i="5"/>
  <c r="G456" i="5"/>
  <c r="H456" i="5"/>
  <c r="I456" i="5"/>
  <c r="J456" i="5"/>
  <c r="K456" i="5"/>
  <c r="B457" i="5"/>
  <c r="C457" i="5"/>
  <c r="A457" i="5" s="1"/>
  <c r="D457" i="5"/>
  <c r="E457" i="5"/>
  <c r="F457" i="5"/>
  <c r="G457" i="5"/>
  <c r="H457" i="5"/>
  <c r="I457" i="5"/>
  <c r="J457" i="5"/>
  <c r="K457" i="5"/>
  <c r="B458" i="5"/>
  <c r="C458" i="5"/>
  <c r="A458" i="5" s="1"/>
  <c r="D458" i="5"/>
  <c r="E458" i="5"/>
  <c r="F458" i="5"/>
  <c r="G458" i="5"/>
  <c r="H458" i="5"/>
  <c r="I458" i="5"/>
  <c r="J458" i="5"/>
  <c r="K458" i="5"/>
  <c r="B459" i="5"/>
  <c r="C459" i="5"/>
  <c r="A459" i="5" s="1"/>
  <c r="D459" i="5"/>
  <c r="E459" i="5"/>
  <c r="F459" i="5"/>
  <c r="G459" i="5"/>
  <c r="H459" i="5"/>
  <c r="I459" i="5"/>
  <c r="J459" i="5"/>
  <c r="K459" i="5"/>
  <c r="B460" i="5"/>
  <c r="C460" i="5"/>
  <c r="D460" i="5"/>
  <c r="E460" i="5"/>
  <c r="F460" i="5"/>
  <c r="G460" i="5"/>
  <c r="H460" i="5"/>
  <c r="I460" i="5"/>
  <c r="J460" i="5"/>
  <c r="K460" i="5"/>
  <c r="B461" i="5"/>
  <c r="C461" i="5"/>
  <c r="A461" i="5" s="1"/>
  <c r="D461" i="5"/>
  <c r="E461" i="5"/>
  <c r="F461" i="5"/>
  <c r="G461" i="5"/>
  <c r="H461" i="5"/>
  <c r="I461" i="5"/>
  <c r="J461" i="5"/>
  <c r="K461" i="5"/>
  <c r="B462" i="5"/>
  <c r="C462" i="5"/>
  <c r="D462" i="5"/>
  <c r="E462" i="5"/>
  <c r="F462" i="5"/>
  <c r="G462" i="5"/>
  <c r="H462" i="5"/>
  <c r="I462" i="5"/>
  <c r="J462" i="5"/>
  <c r="K462" i="5"/>
  <c r="B463" i="5"/>
  <c r="C463" i="5"/>
  <c r="A463" i="5" s="1"/>
  <c r="D463" i="5"/>
  <c r="E463" i="5"/>
  <c r="F463" i="5"/>
  <c r="G463" i="5"/>
  <c r="H463" i="5"/>
  <c r="I463" i="5"/>
  <c r="J463" i="5"/>
  <c r="K463" i="5"/>
  <c r="B464" i="5"/>
  <c r="C464" i="5"/>
  <c r="A464" i="5" s="1"/>
  <c r="D464" i="5"/>
  <c r="E464" i="5"/>
  <c r="F464" i="5"/>
  <c r="G464" i="5"/>
  <c r="H464" i="5"/>
  <c r="I464" i="5"/>
  <c r="J464" i="5"/>
  <c r="K464" i="5"/>
  <c r="B465" i="5"/>
  <c r="C465" i="5"/>
  <c r="A465" i="5" s="1"/>
  <c r="D465" i="5"/>
  <c r="E465" i="5"/>
  <c r="F465" i="5"/>
  <c r="G465" i="5"/>
  <c r="H465" i="5"/>
  <c r="I465" i="5"/>
  <c r="J465" i="5"/>
  <c r="K465" i="5"/>
  <c r="B466" i="5"/>
  <c r="C466" i="5"/>
  <c r="D466" i="5"/>
  <c r="E466" i="5"/>
  <c r="F466" i="5"/>
  <c r="G466" i="5"/>
  <c r="H466" i="5"/>
  <c r="I466" i="5"/>
  <c r="J466" i="5"/>
  <c r="K466" i="5"/>
  <c r="B467" i="5"/>
  <c r="C467" i="5"/>
  <c r="D467" i="5"/>
  <c r="E467" i="5"/>
  <c r="F467" i="5"/>
  <c r="G467" i="5"/>
  <c r="H467" i="5"/>
  <c r="I467" i="5"/>
  <c r="J467" i="5"/>
  <c r="K467" i="5"/>
  <c r="B468" i="5"/>
  <c r="C468" i="5"/>
  <c r="D468" i="5"/>
  <c r="E468" i="5"/>
  <c r="F468" i="5"/>
  <c r="G468" i="5"/>
  <c r="H468" i="5"/>
  <c r="I468" i="5"/>
  <c r="J468" i="5"/>
  <c r="K468" i="5"/>
  <c r="B469" i="5"/>
  <c r="C469" i="5"/>
  <c r="A469" i="5" s="1"/>
  <c r="D469" i="5"/>
  <c r="E469" i="5"/>
  <c r="F469" i="5"/>
  <c r="G469" i="5"/>
  <c r="H469" i="5"/>
  <c r="I469" i="5"/>
  <c r="J469" i="5"/>
  <c r="K469" i="5"/>
  <c r="B470" i="5"/>
  <c r="C470" i="5"/>
  <c r="A470" i="5" s="1"/>
  <c r="D470" i="5"/>
  <c r="E470" i="5"/>
  <c r="F470" i="5"/>
  <c r="G470" i="5"/>
  <c r="H470" i="5"/>
  <c r="I470" i="5"/>
  <c r="J470" i="5"/>
  <c r="K470" i="5"/>
  <c r="B471" i="5"/>
  <c r="C471" i="5"/>
  <c r="A471" i="5" s="1"/>
  <c r="D471" i="5"/>
  <c r="E471" i="5"/>
  <c r="F471" i="5"/>
  <c r="G471" i="5"/>
  <c r="H471" i="5"/>
  <c r="I471" i="5"/>
  <c r="J471" i="5"/>
  <c r="K471" i="5"/>
  <c r="B472" i="5"/>
  <c r="C472" i="5"/>
  <c r="D472" i="5"/>
  <c r="E472" i="5"/>
  <c r="F472" i="5"/>
  <c r="G472" i="5"/>
  <c r="H472" i="5"/>
  <c r="I472" i="5"/>
  <c r="J472" i="5"/>
  <c r="K472" i="5"/>
  <c r="B473" i="5"/>
  <c r="C473" i="5"/>
  <c r="D473" i="5"/>
  <c r="E473" i="5"/>
  <c r="F473" i="5"/>
  <c r="G473" i="5"/>
  <c r="H473" i="5"/>
  <c r="I473" i="5"/>
  <c r="J473" i="5"/>
  <c r="K473" i="5"/>
  <c r="B474" i="5"/>
  <c r="C474" i="5"/>
  <c r="D474" i="5"/>
  <c r="E474" i="5"/>
  <c r="F474" i="5"/>
  <c r="G474" i="5"/>
  <c r="H474" i="5"/>
  <c r="I474" i="5"/>
  <c r="J474" i="5"/>
  <c r="K474" i="5"/>
  <c r="B475" i="5"/>
  <c r="C475" i="5"/>
  <c r="A475" i="5" s="1"/>
  <c r="D475" i="5"/>
  <c r="E475" i="5"/>
  <c r="F475" i="5"/>
  <c r="G475" i="5"/>
  <c r="H475" i="5"/>
  <c r="I475" i="5"/>
  <c r="J475" i="5"/>
  <c r="K475" i="5"/>
  <c r="B476" i="5"/>
  <c r="C476" i="5"/>
  <c r="A476" i="5" s="1"/>
  <c r="D476" i="5"/>
  <c r="E476" i="5"/>
  <c r="F476" i="5"/>
  <c r="G476" i="5"/>
  <c r="H476" i="5"/>
  <c r="I476" i="5"/>
  <c r="J476" i="5"/>
  <c r="K476" i="5"/>
  <c r="B477" i="5"/>
  <c r="C477" i="5"/>
  <c r="A477" i="5" s="1"/>
  <c r="D477" i="5"/>
  <c r="E477" i="5"/>
  <c r="F477" i="5"/>
  <c r="G477" i="5"/>
  <c r="H477" i="5"/>
  <c r="I477" i="5"/>
  <c r="J477" i="5"/>
  <c r="K477" i="5"/>
  <c r="B478" i="5"/>
  <c r="C478" i="5"/>
  <c r="D478" i="5"/>
  <c r="E478" i="5"/>
  <c r="F478" i="5"/>
  <c r="G478" i="5"/>
  <c r="H478" i="5"/>
  <c r="I478" i="5"/>
  <c r="J478" i="5"/>
  <c r="K478" i="5"/>
  <c r="B479" i="5"/>
  <c r="C479" i="5"/>
  <c r="D479" i="5"/>
  <c r="E479" i="5"/>
  <c r="F479" i="5"/>
  <c r="G479" i="5"/>
  <c r="H479" i="5"/>
  <c r="I479" i="5"/>
  <c r="J479" i="5"/>
  <c r="K479" i="5"/>
  <c r="B480" i="5"/>
  <c r="C480" i="5"/>
  <c r="D480" i="5"/>
  <c r="E480" i="5"/>
  <c r="F480" i="5"/>
  <c r="G480" i="5"/>
  <c r="H480" i="5"/>
  <c r="I480" i="5"/>
  <c r="J480" i="5"/>
  <c r="K480" i="5"/>
  <c r="B481" i="5"/>
  <c r="C481" i="5"/>
  <c r="A481" i="5" s="1"/>
  <c r="D481" i="5"/>
  <c r="E481" i="5"/>
  <c r="F481" i="5"/>
  <c r="G481" i="5"/>
  <c r="H481" i="5"/>
  <c r="I481" i="5"/>
  <c r="J481" i="5"/>
  <c r="K481" i="5"/>
  <c r="B482" i="5"/>
  <c r="C482" i="5"/>
  <c r="A482" i="5" s="1"/>
  <c r="D482" i="5"/>
  <c r="E482" i="5"/>
  <c r="F482" i="5"/>
  <c r="G482" i="5"/>
  <c r="H482" i="5"/>
  <c r="I482" i="5"/>
  <c r="J482" i="5"/>
  <c r="K482" i="5"/>
  <c r="B483" i="5"/>
  <c r="C483" i="5"/>
  <c r="A483" i="5" s="1"/>
  <c r="D483" i="5"/>
  <c r="E483" i="5"/>
  <c r="F483" i="5"/>
  <c r="G483" i="5"/>
  <c r="H483" i="5"/>
  <c r="I483" i="5"/>
  <c r="J483" i="5"/>
  <c r="K483" i="5"/>
  <c r="B484" i="5"/>
  <c r="C484" i="5"/>
  <c r="D484" i="5"/>
  <c r="E484" i="5"/>
  <c r="F484" i="5"/>
  <c r="G484" i="5"/>
  <c r="H484" i="5"/>
  <c r="I484" i="5"/>
  <c r="J484" i="5"/>
  <c r="K484" i="5"/>
  <c r="B485" i="5"/>
  <c r="C485" i="5"/>
  <c r="D485" i="5"/>
  <c r="E485" i="5"/>
  <c r="F485" i="5"/>
  <c r="G485" i="5"/>
  <c r="H485" i="5"/>
  <c r="I485" i="5"/>
  <c r="J485" i="5"/>
  <c r="K485" i="5"/>
  <c r="B486" i="5"/>
  <c r="C486" i="5"/>
  <c r="D486" i="5"/>
  <c r="E486" i="5"/>
  <c r="F486" i="5"/>
  <c r="G486" i="5"/>
  <c r="H486" i="5"/>
  <c r="I486" i="5"/>
  <c r="J486" i="5"/>
  <c r="K486" i="5"/>
  <c r="B487" i="5"/>
  <c r="C487" i="5"/>
  <c r="A487" i="5" s="1"/>
  <c r="D487" i="5"/>
  <c r="E487" i="5"/>
  <c r="F487" i="5"/>
  <c r="G487" i="5"/>
  <c r="H487" i="5"/>
  <c r="I487" i="5"/>
  <c r="J487" i="5"/>
  <c r="K487" i="5"/>
  <c r="B488" i="5"/>
  <c r="C488" i="5"/>
  <c r="A488" i="5" s="1"/>
  <c r="D488" i="5"/>
  <c r="E488" i="5"/>
  <c r="F488" i="5"/>
  <c r="G488" i="5"/>
  <c r="H488" i="5"/>
  <c r="I488" i="5"/>
  <c r="J488" i="5"/>
  <c r="K488" i="5"/>
  <c r="B489" i="5"/>
  <c r="C489" i="5"/>
  <c r="A489" i="5" s="1"/>
  <c r="D489" i="5"/>
  <c r="E489" i="5"/>
  <c r="F489" i="5"/>
  <c r="G489" i="5"/>
  <c r="H489" i="5"/>
  <c r="I489" i="5"/>
  <c r="J489" i="5"/>
  <c r="K489" i="5"/>
  <c r="B490" i="5"/>
  <c r="C490" i="5"/>
  <c r="D490" i="5"/>
  <c r="E490" i="5"/>
  <c r="F490" i="5"/>
  <c r="G490" i="5"/>
  <c r="H490" i="5"/>
  <c r="I490" i="5"/>
  <c r="J490" i="5"/>
  <c r="K490" i="5"/>
  <c r="B491" i="5"/>
  <c r="C491" i="5"/>
  <c r="D491" i="5"/>
  <c r="E491" i="5"/>
  <c r="F491" i="5"/>
  <c r="G491" i="5"/>
  <c r="H491" i="5"/>
  <c r="I491" i="5"/>
  <c r="J491" i="5"/>
  <c r="K491" i="5"/>
  <c r="B492" i="5"/>
  <c r="C492" i="5"/>
  <c r="D492" i="5"/>
  <c r="E492" i="5"/>
  <c r="F492" i="5"/>
  <c r="G492" i="5"/>
  <c r="H492" i="5"/>
  <c r="I492" i="5"/>
  <c r="J492" i="5"/>
  <c r="K492" i="5"/>
  <c r="B493" i="5"/>
  <c r="C493" i="5"/>
  <c r="A493" i="5" s="1"/>
  <c r="D493" i="5"/>
  <c r="E493" i="5"/>
  <c r="F493" i="5"/>
  <c r="G493" i="5"/>
  <c r="H493" i="5"/>
  <c r="I493" i="5"/>
  <c r="J493" i="5"/>
  <c r="K493" i="5"/>
  <c r="B494" i="5"/>
  <c r="C494" i="5"/>
  <c r="A494" i="5" s="1"/>
  <c r="D494" i="5"/>
  <c r="E494" i="5"/>
  <c r="F494" i="5"/>
  <c r="G494" i="5"/>
  <c r="H494" i="5"/>
  <c r="I494" i="5"/>
  <c r="J494" i="5"/>
  <c r="K494" i="5"/>
  <c r="B495" i="5"/>
  <c r="C495" i="5"/>
  <c r="A495" i="5" s="1"/>
  <c r="D495" i="5"/>
  <c r="E495" i="5"/>
  <c r="F495" i="5"/>
  <c r="G495" i="5"/>
  <c r="H495" i="5"/>
  <c r="I495" i="5"/>
  <c r="J495" i="5"/>
  <c r="K495" i="5"/>
  <c r="B496" i="5"/>
  <c r="C496" i="5"/>
  <c r="D496" i="5"/>
  <c r="E496" i="5"/>
  <c r="F496" i="5"/>
  <c r="G496" i="5"/>
  <c r="H496" i="5"/>
  <c r="I496" i="5"/>
  <c r="J496" i="5"/>
  <c r="K496" i="5"/>
  <c r="B497" i="5"/>
  <c r="C497" i="5"/>
  <c r="D497" i="5"/>
  <c r="E497" i="5"/>
  <c r="F497" i="5"/>
  <c r="G497" i="5"/>
  <c r="H497" i="5"/>
  <c r="I497" i="5"/>
  <c r="J497" i="5"/>
  <c r="K497" i="5"/>
  <c r="B498" i="5"/>
  <c r="C498" i="5"/>
  <c r="D498" i="5"/>
  <c r="E498" i="5"/>
  <c r="F498" i="5"/>
  <c r="G498" i="5"/>
  <c r="H498" i="5"/>
  <c r="I498" i="5"/>
  <c r="J498" i="5"/>
  <c r="K498" i="5"/>
  <c r="B499" i="5"/>
  <c r="C499" i="5"/>
  <c r="A499" i="5" s="1"/>
  <c r="D499" i="5"/>
  <c r="E499" i="5"/>
  <c r="F499" i="5"/>
  <c r="G499" i="5"/>
  <c r="H499" i="5"/>
  <c r="I499" i="5"/>
  <c r="J499" i="5"/>
  <c r="K499" i="5"/>
  <c r="B500" i="5"/>
  <c r="C500" i="5"/>
  <c r="A500" i="5" s="1"/>
  <c r="D500" i="5"/>
  <c r="E500" i="5"/>
  <c r="F500" i="5"/>
  <c r="G500" i="5"/>
  <c r="H500" i="5"/>
  <c r="I500" i="5"/>
  <c r="J500" i="5"/>
  <c r="K500" i="5"/>
  <c r="B501" i="5"/>
  <c r="C501" i="5"/>
  <c r="A501" i="5" s="1"/>
  <c r="D501" i="5"/>
  <c r="E501" i="5"/>
  <c r="F501" i="5"/>
  <c r="G501" i="5"/>
  <c r="H501" i="5"/>
  <c r="I501" i="5"/>
  <c r="J501" i="5"/>
  <c r="K501" i="5"/>
  <c r="B502" i="5"/>
  <c r="C502" i="5"/>
  <c r="D502" i="5"/>
  <c r="A502" i="5" s="1"/>
  <c r="E502" i="5"/>
  <c r="F502" i="5"/>
  <c r="G502" i="5"/>
  <c r="H502" i="5"/>
  <c r="I502" i="5"/>
  <c r="J502" i="5"/>
  <c r="K502" i="5"/>
  <c r="B503" i="5"/>
  <c r="C503" i="5"/>
  <c r="D503" i="5"/>
  <c r="E503" i="5"/>
  <c r="F503" i="5"/>
  <c r="G503" i="5"/>
  <c r="H503" i="5"/>
  <c r="I503" i="5"/>
  <c r="J503" i="5"/>
  <c r="K503" i="5"/>
  <c r="B504" i="5"/>
  <c r="C504" i="5"/>
  <c r="D504" i="5"/>
  <c r="E504" i="5"/>
  <c r="F504" i="5"/>
  <c r="G504" i="5"/>
  <c r="H504" i="5"/>
  <c r="I504" i="5"/>
  <c r="J504" i="5"/>
  <c r="K504" i="5"/>
  <c r="B505" i="5"/>
  <c r="C505" i="5"/>
  <c r="A505" i="5" s="1"/>
  <c r="D505" i="5"/>
  <c r="E505" i="5"/>
  <c r="F505" i="5"/>
  <c r="G505" i="5"/>
  <c r="H505" i="5"/>
  <c r="I505" i="5"/>
  <c r="J505" i="5"/>
  <c r="K505" i="5"/>
  <c r="B506" i="5"/>
  <c r="C506" i="5"/>
  <c r="A506" i="5" s="1"/>
  <c r="D506" i="5"/>
  <c r="E506" i="5"/>
  <c r="F506" i="5"/>
  <c r="G506" i="5"/>
  <c r="H506" i="5"/>
  <c r="I506" i="5"/>
  <c r="J506" i="5"/>
  <c r="K506" i="5"/>
  <c r="B507" i="5"/>
  <c r="C507" i="5"/>
  <c r="A507" i="5" s="1"/>
  <c r="D507" i="5"/>
  <c r="E507" i="5"/>
  <c r="F507" i="5"/>
  <c r="G507" i="5"/>
  <c r="H507" i="5"/>
  <c r="I507" i="5"/>
  <c r="J507" i="5"/>
  <c r="K507" i="5"/>
  <c r="B508" i="5"/>
  <c r="C508" i="5"/>
  <c r="D508" i="5"/>
  <c r="E508" i="5"/>
  <c r="F508" i="5"/>
  <c r="G508" i="5"/>
  <c r="H508" i="5"/>
  <c r="I508" i="5"/>
  <c r="J508" i="5"/>
  <c r="K508" i="5"/>
  <c r="B509" i="5"/>
  <c r="C509" i="5"/>
  <c r="D509" i="5"/>
  <c r="E509" i="5"/>
  <c r="F509" i="5"/>
  <c r="G509" i="5"/>
  <c r="H509" i="5"/>
  <c r="I509" i="5"/>
  <c r="J509" i="5"/>
  <c r="K509" i="5"/>
  <c r="B510" i="5"/>
  <c r="C510" i="5"/>
  <c r="D510" i="5"/>
  <c r="E510" i="5"/>
  <c r="F510" i="5"/>
  <c r="G510" i="5"/>
  <c r="H510" i="5"/>
  <c r="I510" i="5"/>
  <c r="J510" i="5"/>
  <c r="K510" i="5"/>
  <c r="B511" i="5"/>
  <c r="C511" i="5"/>
  <c r="A511" i="5" s="1"/>
  <c r="D511" i="5"/>
  <c r="E511" i="5"/>
  <c r="F511" i="5"/>
  <c r="G511" i="5"/>
  <c r="H511" i="5"/>
  <c r="I511" i="5"/>
  <c r="J511" i="5"/>
  <c r="K511" i="5"/>
  <c r="B512" i="5"/>
  <c r="C512" i="5"/>
  <c r="A512" i="5" s="1"/>
  <c r="D512" i="5"/>
  <c r="E512" i="5"/>
  <c r="F512" i="5"/>
  <c r="G512" i="5"/>
  <c r="H512" i="5"/>
  <c r="I512" i="5"/>
  <c r="J512" i="5"/>
  <c r="K512" i="5"/>
  <c r="B513" i="5"/>
  <c r="C513" i="5"/>
  <c r="A513" i="5" s="1"/>
  <c r="D513" i="5"/>
  <c r="E513" i="5"/>
  <c r="F513" i="5"/>
  <c r="G513" i="5"/>
  <c r="H513" i="5"/>
  <c r="I513" i="5"/>
  <c r="J513" i="5"/>
  <c r="K513" i="5"/>
  <c r="B514" i="5"/>
  <c r="C514" i="5"/>
  <c r="D514" i="5"/>
  <c r="E514" i="5"/>
  <c r="F514" i="5"/>
  <c r="G514" i="5"/>
  <c r="H514" i="5"/>
  <c r="I514" i="5"/>
  <c r="J514" i="5"/>
  <c r="K514" i="5"/>
  <c r="B515" i="5"/>
  <c r="C515" i="5"/>
  <c r="D515" i="5"/>
  <c r="E515" i="5"/>
  <c r="F515" i="5"/>
  <c r="G515" i="5"/>
  <c r="H515" i="5"/>
  <c r="I515" i="5"/>
  <c r="J515" i="5"/>
  <c r="K515" i="5"/>
  <c r="B516" i="5"/>
  <c r="C516" i="5"/>
  <c r="D516" i="5"/>
  <c r="E516" i="5"/>
  <c r="F516" i="5"/>
  <c r="G516" i="5"/>
  <c r="H516" i="5"/>
  <c r="I516" i="5"/>
  <c r="J516" i="5"/>
  <c r="K516" i="5"/>
  <c r="B517" i="5"/>
  <c r="C517" i="5"/>
  <c r="A517" i="5" s="1"/>
  <c r="D517" i="5"/>
  <c r="E517" i="5"/>
  <c r="F517" i="5"/>
  <c r="G517" i="5"/>
  <c r="H517" i="5"/>
  <c r="I517" i="5"/>
  <c r="J517" i="5"/>
  <c r="K517" i="5"/>
  <c r="B518" i="5"/>
  <c r="C518" i="5"/>
  <c r="A518" i="5" s="1"/>
  <c r="D518" i="5"/>
  <c r="E518" i="5"/>
  <c r="F518" i="5"/>
  <c r="G518" i="5"/>
  <c r="H518" i="5"/>
  <c r="I518" i="5"/>
  <c r="J518" i="5"/>
  <c r="K518" i="5"/>
  <c r="B519" i="5"/>
  <c r="C519" i="5"/>
  <c r="A519" i="5" s="1"/>
  <c r="D519" i="5"/>
  <c r="E519" i="5"/>
  <c r="F519" i="5"/>
  <c r="G519" i="5"/>
  <c r="H519" i="5"/>
  <c r="I519" i="5"/>
  <c r="J519" i="5"/>
  <c r="K519" i="5"/>
  <c r="B520" i="5"/>
  <c r="C520" i="5"/>
  <c r="D520" i="5"/>
  <c r="E520" i="5"/>
  <c r="F520" i="5"/>
  <c r="G520" i="5"/>
  <c r="H520" i="5"/>
  <c r="I520" i="5"/>
  <c r="J520" i="5"/>
  <c r="K520" i="5"/>
  <c r="B521" i="5"/>
  <c r="C521" i="5"/>
  <c r="A521" i="5" s="1"/>
  <c r="D521" i="5"/>
  <c r="E521" i="5"/>
  <c r="F521" i="5"/>
  <c r="G521" i="5"/>
  <c r="H521" i="5"/>
  <c r="I521" i="5"/>
  <c r="J521" i="5"/>
  <c r="K521" i="5"/>
  <c r="B522" i="5"/>
  <c r="C522" i="5"/>
  <c r="D522" i="5"/>
  <c r="E522" i="5"/>
  <c r="F522" i="5"/>
  <c r="G522" i="5"/>
  <c r="H522" i="5"/>
  <c r="I522" i="5"/>
  <c r="J522" i="5"/>
  <c r="K522" i="5"/>
  <c r="B523" i="5"/>
  <c r="C523" i="5"/>
  <c r="A523" i="5" s="1"/>
  <c r="D523" i="5"/>
  <c r="E523" i="5"/>
  <c r="F523" i="5"/>
  <c r="G523" i="5"/>
  <c r="H523" i="5"/>
  <c r="I523" i="5"/>
  <c r="J523" i="5"/>
  <c r="K523" i="5"/>
  <c r="B524" i="5"/>
  <c r="C524" i="5"/>
  <c r="D524" i="5"/>
  <c r="E524" i="5"/>
  <c r="F524" i="5"/>
  <c r="G524" i="5"/>
  <c r="H524" i="5"/>
  <c r="I524" i="5"/>
  <c r="J524" i="5"/>
  <c r="K524" i="5"/>
  <c r="B525" i="5"/>
  <c r="C525" i="5"/>
  <c r="A525" i="5" s="1"/>
  <c r="D525" i="5"/>
  <c r="E525" i="5"/>
  <c r="F525" i="5"/>
  <c r="G525" i="5"/>
  <c r="H525" i="5"/>
  <c r="I525" i="5"/>
  <c r="J525" i="5"/>
  <c r="K525" i="5"/>
  <c r="B526" i="5"/>
  <c r="C526" i="5"/>
  <c r="D526" i="5"/>
  <c r="E526" i="5"/>
  <c r="F526" i="5"/>
  <c r="G526" i="5"/>
  <c r="H526" i="5"/>
  <c r="I526" i="5"/>
  <c r="J526" i="5"/>
  <c r="K526" i="5"/>
  <c r="B527" i="5"/>
  <c r="C527" i="5"/>
  <c r="A527" i="5" s="1"/>
  <c r="D527" i="5"/>
  <c r="E527" i="5"/>
  <c r="F527" i="5"/>
  <c r="G527" i="5"/>
  <c r="H527" i="5"/>
  <c r="I527" i="5"/>
  <c r="J527" i="5"/>
  <c r="K527" i="5"/>
  <c r="B528" i="5"/>
  <c r="C528" i="5"/>
  <c r="D528" i="5"/>
  <c r="E528" i="5"/>
  <c r="F528" i="5"/>
  <c r="G528" i="5"/>
  <c r="H528" i="5"/>
  <c r="I528" i="5"/>
  <c r="J528" i="5"/>
  <c r="K528" i="5"/>
  <c r="B529" i="5"/>
  <c r="C529" i="5"/>
  <c r="A529" i="5" s="1"/>
  <c r="D529" i="5"/>
  <c r="E529" i="5"/>
  <c r="F529" i="5"/>
  <c r="G529" i="5"/>
  <c r="H529" i="5"/>
  <c r="I529" i="5"/>
  <c r="J529" i="5"/>
  <c r="K529" i="5"/>
  <c r="B530" i="5"/>
  <c r="C530" i="5"/>
  <c r="A530" i="5" s="1"/>
  <c r="D530" i="5"/>
  <c r="E530" i="5"/>
  <c r="F530" i="5"/>
  <c r="G530" i="5"/>
  <c r="H530" i="5"/>
  <c r="I530" i="5"/>
  <c r="J530" i="5"/>
  <c r="K530" i="5"/>
  <c r="B531" i="5"/>
  <c r="C531" i="5"/>
  <c r="A531" i="5" s="1"/>
  <c r="D531" i="5"/>
  <c r="E531" i="5"/>
  <c r="F531" i="5"/>
  <c r="G531" i="5"/>
  <c r="H531" i="5"/>
  <c r="I531" i="5"/>
  <c r="J531" i="5"/>
  <c r="K531" i="5"/>
  <c r="B532" i="5"/>
  <c r="C532" i="5"/>
  <c r="D532" i="5"/>
  <c r="E532" i="5"/>
  <c r="F532" i="5"/>
  <c r="G532" i="5"/>
  <c r="H532" i="5"/>
  <c r="I532" i="5"/>
  <c r="J532" i="5"/>
  <c r="K532" i="5"/>
  <c r="B533" i="5"/>
  <c r="C533" i="5"/>
  <c r="A533" i="5" s="1"/>
  <c r="D533" i="5"/>
  <c r="E533" i="5"/>
  <c r="F533" i="5"/>
  <c r="G533" i="5"/>
  <c r="H533" i="5"/>
  <c r="I533" i="5"/>
  <c r="J533" i="5"/>
  <c r="K533" i="5"/>
  <c r="B534" i="5"/>
  <c r="C534" i="5"/>
  <c r="D534" i="5"/>
  <c r="E534" i="5"/>
  <c r="F534" i="5"/>
  <c r="G534" i="5"/>
  <c r="H534" i="5"/>
  <c r="I534" i="5"/>
  <c r="J534" i="5"/>
  <c r="K534" i="5"/>
  <c r="B535" i="5"/>
  <c r="C535" i="5"/>
  <c r="A535" i="5" s="1"/>
  <c r="D535" i="5"/>
  <c r="E535" i="5"/>
  <c r="F535" i="5"/>
  <c r="G535" i="5"/>
  <c r="H535" i="5"/>
  <c r="I535" i="5"/>
  <c r="J535" i="5"/>
  <c r="K535" i="5"/>
  <c r="B536" i="5"/>
  <c r="C536" i="5"/>
  <c r="A536" i="5" s="1"/>
  <c r="D536" i="5"/>
  <c r="E536" i="5"/>
  <c r="F536" i="5"/>
  <c r="G536" i="5"/>
  <c r="H536" i="5"/>
  <c r="I536" i="5"/>
  <c r="J536" i="5"/>
  <c r="K536" i="5"/>
  <c r="B537" i="5"/>
  <c r="C537" i="5"/>
  <c r="A537" i="5" s="1"/>
  <c r="D537" i="5"/>
  <c r="E537" i="5"/>
  <c r="F537" i="5"/>
  <c r="G537" i="5"/>
  <c r="H537" i="5"/>
  <c r="I537" i="5"/>
  <c r="J537" i="5"/>
  <c r="K537" i="5"/>
  <c r="B538" i="5"/>
  <c r="C538" i="5"/>
  <c r="D538" i="5"/>
  <c r="E538" i="5"/>
  <c r="F538" i="5"/>
  <c r="G538" i="5"/>
  <c r="H538" i="5"/>
  <c r="I538" i="5"/>
  <c r="J538" i="5"/>
  <c r="K538" i="5"/>
  <c r="B539" i="5"/>
  <c r="C539" i="5"/>
  <c r="A539" i="5" s="1"/>
  <c r="D539" i="5"/>
  <c r="E539" i="5"/>
  <c r="F539" i="5"/>
  <c r="G539" i="5"/>
  <c r="H539" i="5"/>
  <c r="I539" i="5"/>
  <c r="J539" i="5"/>
  <c r="K539" i="5"/>
  <c r="B540" i="5"/>
  <c r="C540" i="5"/>
  <c r="D540" i="5"/>
  <c r="E540" i="5"/>
  <c r="F540" i="5"/>
  <c r="G540" i="5"/>
  <c r="H540" i="5"/>
  <c r="I540" i="5"/>
  <c r="J540" i="5"/>
  <c r="K540" i="5"/>
  <c r="B541" i="5"/>
  <c r="C541" i="5"/>
  <c r="A541" i="5" s="1"/>
  <c r="D541" i="5"/>
  <c r="E541" i="5"/>
  <c r="F541" i="5"/>
  <c r="G541" i="5"/>
  <c r="H541" i="5"/>
  <c r="I541" i="5"/>
  <c r="J541" i="5"/>
  <c r="K541" i="5"/>
  <c r="B542" i="5"/>
  <c r="C542" i="5"/>
  <c r="A542" i="5" s="1"/>
  <c r="D542" i="5"/>
  <c r="E542" i="5"/>
  <c r="F542" i="5"/>
  <c r="G542" i="5"/>
  <c r="H542" i="5"/>
  <c r="I542" i="5"/>
  <c r="J542" i="5"/>
  <c r="K542" i="5"/>
  <c r="B543" i="5"/>
  <c r="C543" i="5"/>
  <c r="A543" i="5" s="1"/>
  <c r="D543" i="5"/>
  <c r="E543" i="5"/>
  <c r="F543" i="5"/>
  <c r="G543" i="5"/>
  <c r="H543" i="5"/>
  <c r="I543" i="5"/>
  <c r="J543" i="5"/>
  <c r="K543" i="5"/>
  <c r="B544" i="5"/>
  <c r="C544" i="5"/>
  <c r="D544" i="5"/>
  <c r="E544" i="5"/>
  <c r="F544" i="5"/>
  <c r="G544" i="5"/>
  <c r="H544" i="5"/>
  <c r="I544" i="5"/>
  <c r="J544" i="5"/>
  <c r="K544" i="5"/>
  <c r="B545" i="5"/>
  <c r="C545" i="5"/>
  <c r="A545" i="5" s="1"/>
  <c r="D545" i="5"/>
  <c r="E545" i="5"/>
  <c r="F545" i="5"/>
  <c r="G545" i="5"/>
  <c r="H545" i="5"/>
  <c r="I545" i="5"/>
  <c r="J545" i="5"/>
  <c r="K545" i="5"/>
  <c r="B546" i="5"/>
  <c r="C546" i="5"/>
  <c r="D546" i="5"/>
  <c r="E546" i="5"/>
  <c r="F546" i="5"/>
  <c r="G546" i="5"/>
  <c r="H546" i="5"/>
  <c r="I546" i="5"/>
  <c r="J546" i="5"/>
  <c r="K546" i="5"/>
  <c r="B547" i="5"/>
  <c r="C547" i="5"/>
  <c r="A547" i="5" s="1"/>
  <c r="D547" i="5"/>
  <c r="E547" i="5"/>
  <c r="F547" i="5"/>
  <c r="G547" i="5"/>
  <c r="H547" i="5"/>
  <c r="I547" i="5"/>
  <c r="J547" i="5"/>
  <c r="K547" i="5"/>
  <c r="B548" i="5"/>
  <c r="C548" i="5"/>
  <c r="A548" i="5" s="1"/>
  <c r="D548" i="5"/>
  <c r="E548" i="5"/>
  <c r="F548" i="5"/>
  <c r="G548" i="5"/>
  <c r="H548" i="5"/>
  <c r="I548" i="5"/>
  <c r="J548" i="5"/>
  <c r="K548" i="5"/>
  <c r="B549" i="5"/>
  <c r="C549" i="5"/>
  <c r="A549" i="5" s="1"/>
  <c r="D549" i="5"/>
  <c r="E549" i="5"/>
  <c r="F549" i="5"/>
  <c r="G549" i="5"/>
  <c r="H549" i="5"/>
  <c r="I549" i="5"/>
  <c r="J549" i="5"/>
  <c r="K549" i="5"/>
  <c r="B550" i="5"/>
  <c r="C550" i="5"/>
  <c r="D550" i="5"/>
  <c r="E550" i="5"/>
  <c r="F550" i="5"/>
  <c r="G550" i="5"/>
  <c r="H550" i="5"/>
  <c r="I550" i="5"/>
  <c r="J550" i="5"/>
  <c r="K550" i="5"/>
  <c r="B551" i="5"/>
  <c r="C551" i="5"/>
  <c r="A551" i="5" s="1"/>
  <c r="D551" i="5"/>
  <c r="E551" i="5"/>
  <c r="F551" i="5"/>
  <c r="G551" i="5"/>
  <c r="H551" i="5"/>
  <c r="I551" i="5"/>
  <c r="J551" i="5"/>
  <c r="K551" i="5"/>
  <c r="B552" i="5"/>
  <c r="C552" i="5"/>
  <c r="D552" i="5"/>
  <c r="E552" i="5"/>
  <c r="F552" i="5"/>
  <c r="G552" i="5"/>
  <c r="H552" i="5"/>
  <c r="I552" i="5"/>
  <c r="J552" i="5"/>
  <c r="K552" i="5"/>
  <c r="B553" i="5"/>
  <c r="C553" i="5"/>
  <c r="A553" i="5" s="1"/>
  <c r="D553" i="5"/>
  <c r="E553" i="5"/>
  <c r="F553" i="5"/>
  <c r="G553" i="5"/>
  <c r="H553" i="5"/>
  <c r="I553" i="5"/>
  <c r="J553" i="5"/>
  <c r="K553" i="5"/>
  <c r="B554" i="5"/>
  <c r="C554" i="5"/>
  <c r="A554" i="5" s="1"/>
  <c r="D554" i="5"/>
  <c r="E554" i="5"/>
  <c r="F554" i="5"/>
  <c r="G554" i="5"/>
  <c r="H554" i="5"/>
  <c r="I554" i="5"/>
  <c r="J554" i="5"/>
  <c r="K554" i="5"/>
  <c r="B555" i="5"/>
  <c r="C555" i="5"/>
  <c r="A555" i="5" s="1"/>
  <c r="D555" i="5"/>
  <c r="E555" i="5"/>
  <c r="F555" i="5"/>
  <c r="G555" i="5"/>
  <c r="H555" i="5"/>
  <c r="I555" i="5"/>
  <c r="J555" i="5"/>
  <c r="K555" i="5"/>
  <c r="B556" i="5"/>
  <c r="C556" i="5"/>
  <c r="D556" i="5"/>
  <c r="E556" i="5"/>
  <c r="F556" i="5"/>
  <c r="G556" i="5"/>
  <c r="H556" i="5"/>
  <c r="I556" i="5"/>
  <c r="J556" i="5"/>
  <c r="K556" i="5"/>
  <c r="B557" i="5"/>
  <c r="C557" i="5"/>
  <c r="A557" i="5" s="1"/>
  <c r="D557" i="5"/>
  <c r="E557" i="5"/>
  <c r="F557" i="5"/>
  <c r="G557" i="5"/>
  <c r="H557" i="5"/>
  <c r="I557" i="5"/>
  <c r="J557" i="5"/>
  <c r="K557" i="5"/>
  <c r="B558" i="5"/>
  <c r="C558" i="5"/>
  <c r="D558" i="5"/>
  <c r="E558" i="5"/>
  <c r="F558" i="5"/>
  <c r="G558" i="5"/>
  <c r="H558" i="5"/>
  <c r="I558" i="5"/>
  <c r="J558" i="5"/>
  <c r="K558" i="5"/>
  <c r="B559" i="5"/>
  <c r="C559" i="5"/>
  <c r="A559" i="5" s="1"/>
  <c r="D559" i="5"/>
  <c r="E559" i="5"/>
  <c r="F559" i="5"/>
  <c r="G559" i="5"/>
  <c r="H559" i="5"/>
  <c r="I559" i="5"/>
  <c r="J559" i="5"/>
  <c r="K559" i="5"/>
  <c r="B560" i="5"/>
  <c r="C560" i="5"/>
  <c r="A560" i="5" s="1"/>
  <c r="D560" i="5"/>
  <c r="E560" i="5"/>
  <c r="F560" i="5"/>
  <c r="G560" i="5"/>
  <c r="H560" i="5"/>
  <c r="I560" i="5"/>
  <c r="J560" i="5"/>
  <c r="K560" i="5"/>
  <c r="B561" i="5"/>
  <c r="C561" i="5"/>
  <c r="A561" i="5" s="1"/>
  <c r="D561" i="5"/>
  <c r="E561" i="5"/>
  <c r="F561" i="5"/>
  <c r="G561" i="5"/>
  <c r="H561" i="5"/>
  <c r="I561" i="5"/>
  <c r="J561" i="5"/>
  <c r="K561" i="5"/>
  <c r="B562" i="5"/>
  <c r="C562" i="5"/>
  <c r="D562" i="5"/>
  <c r="E562" i="5"/>
  <c r="F562" i="5"/>
  <c r="G562" i="5"/>
  <c r="H562" i="5"/>
  <c r="I562" i="5"/>
  <c r="J562" i="5"/>
  <c r="K562" i="5"/>
  <c r="B563" i="5"/>
  <c r="C563" i="5"/>
  <c r="A563" i="5" s="1"/>
  <c r="D563" i="5"/>
  <c r="E563" i="5"/>
  <c r="F563" i="5"/>
  <c r="G563" i="5"/>
  <c r="H563" i="5"/>
  <c r="I563" i="5"/>
  <c r="J563" i="5"/>
  <c r="K563" i="5"/>
  <c r="B564" i="5"/>
  <c r="C564" i="5"/>
  <c r="D564" i="5"/>
  <c r="E564" i="5"/>
  <c r="F564" i="5"/>
  <c r="G564" i="5"/>
  <c r="H564" i="5"/>
  <c r="I564" i="5"/>
  <c r="J564" i="5"/>
  <c r="K564" i="5"/>
  <c r="B565" i="5"/>
  <c r="C565" i="5"/>
  <c r="A565" i="5" s="1"/>
  <c r="D565" i="5"/>
  <c r="E565" i="5"/>
  <c r="F565" i="5"/>
  <c r="G565" i="5"/>
  <c r="H565" i="5"/>
  <c r="I565" i="5"/>
  <c r="J565" i="5"/>
  <c r="K565" i="5"/>
  <c r="B566" i="5"/>
  <c r="C566" i="5"/>
  <c r="A566" i="5" s="1"/>
  <c r="D566" i="5"/>
  <c r="E566" i="5"/>
  <c r="F566" i="5"/>
  <c r="G566" i="5"/>
  <c r="H566" i="5"/>
  <c r="I566" i="5"/>
  <c r="J566" i="5"/>
  <c r="K566" i="5"/>
  <c r="B567" i="5"/>
  <c r="C567" i="5"/>
  <c r="A567" i="5" s="1"/>
  <c r="D567" i="5"/>
  <c r="E567" i="5"/>
  <c r="F567" i="5"/>
  <c r="G567" i="5"/>
  <c r="H567" i="5"/>
  <c r="I567" i="5"/>
  <c r="J567" i="5"/>
  <c r="K567" i="5"/>
  <c r="B568" i="5"/>
  <c r="C568" i="5"/>
  <c r="D568" i="5"/>
  <c r="E568" i="5"/>
  <c r="F568" i="5"/>
  <c r="G568" i="5"/>
  <c r="H568" i="5"/>
  <c r="I568" i="5"/>
  <c r="J568" i="5"/>
  <c r="K568" i="5"/>
  <c r="B569" i="5"/>
  <c r="C569" i="5"/>
  <c r="A569" i="5" s="1"/>
  <c r="D569" i="5"/>
  <c r="E569" i="5"/>
  <c r="F569" i="5"/>
  <c r="G569" i="5"/>
  <c r="H569" i="5"/>
  <c r="I569" i="5"/>
  <c r="J569" i="5"/>
  <c r="K569" i="5"/>
  <c r="B570" i="5"/>
  <c r="C570" i="5"/>
  <c r="D570" i="5"/>
  <c r="E570" i="5"/>
  <c r="F570" i="5"/>
  <c r="G570" i="5"/>
  <c r="H570" i="5"/>
  <c r="I570" i="5"/>
  <c r="J570" i="5"/>
  <c r="K570" i="5"/>
  <c r="B571" i="5"/>
  <c r="C571" i="5"/>
  <c r="A571" i="5" s="1"/>
  <c r="D571" i="5"/>
  <c r="E571" i="5"/>
  <c r="F571" i="5"/>
  <c r="G571" i="5"/>
  <c r="H571" i="5"/>
  <c r="I571" i="5"/>
  <c r="J571" i="5"/>
  <c r="K571" i="5"/>
  <c r="B572" i="5"/>
  <c r="C572" i="5"/>
  <c r="A572" i="5" s="1"/>
  <c r="D572" i="5"/>
  <c r="E572" i="5"/>
  <c r="F572" i="5"/>
  <c r="G572" i="5"/>
  <c r="H572" i="5"/>
  <c r="I572" i="5"/>
  <c r="J572" i="5"/>
  <c r="K572" i="5"/>
  <c r="B573" i="5"/>
  <c r="C573" i="5"/>
  <c r="A573" i="5" s="1"/>
  <c r="D573" i="5"/>
  <c r="E573" i="5"/>
  <c r="F573" i="5"/>
  <c r="G573" i="5"/>
  <c r="H573" i="5"/>
  <c r="I573" i="5"/>
  <c r="J573" i="5"/>
  <c r="K573" i="5"/>
  <c r="B574" i="5"/>
  <c r="C574" i="5"/>
  <c r="D574" i="5"/>
  <c r="E574" i="5"/>
  <c r="F574" i="5"/>
  <c r="G574" i="5"/>
  <c r="H574" i="5"/>
  <c r="I574" i="5"/>
  <c r="J574" i="5"/>
  <c r="K574" i="5"/>
  <c r="B575" i="5"/>
  <c r="C575" i="5"/>
  <c r="A575" i="5" s="1"/>
  <c r="D575" i="5"/>
  <c r="E575" i="5"/>
  <c r="F575" i="5"/>
  <c r="G575" i="5"/>
  <c r="H575" i="5"/>
  <c r="I575" i="5"/>
  <c r="J575" i="5"/>
  <c r="K575" i="5"/>
  <c r="B576" i="5"/>
  <c r="C576" i="5"/>
  <c r="D576" i="5"/>
  <c r="E576" i="5"/>
  <c r="F576" i="5"/>
  <c r="G576" i="5"/>
  <c r="H576" i="5"/>
  <c r="I576" i="5"/>
  <c r="J576" i="5"/>
  <c r="K576" i="5"/>
  <c r="B577" i="5"/>
  <c r="C577" i="5"/>
  <c r="A577" i="5" s="1"/>
  <c r="D577" i="5"/>
  <c r="E577" i="5"/>
  <c r="F577" i="5"/>
  <c r="G577" i="5"/>
  <c r="H577" i="5"/>
  <c r="I577" i="5"/>
  <c r="J577" i="5"/>
  <c r="K577" i="5"/>
  <c r="B578" i="5"/>
  <c r="C578" i="5"/>
  <c r="A578" i="5" s="1"/>
  <c r="D578" i="5"/>
  <c r="E578" i="5"/>
  <c r="F578" i="5"/>
  <c r="G578" i="5"/>
  <c r="H578" i="5"/>
  <c r="I578" i="5"/>
  <c r="J578" i="5"/>
  <c r="K578" i="5"/>
  <c r="B579" i="5"/>
  <c r="C579" i="5"/>
  <c r="A579" i="5" s="1"/>
  <c r="D579" i="5"/>
  <c r="E579" i="5"/>
  <c r="F579" i="5"/>
  <c r="G579" i="5"/>
  <c r="H579" i="5"/>
  <c r="I579" i="5"/>
  <c r="J579" i="5"/>
  <c r="K579" i="5"/>
  <c r="B580" i="5"/>
  <c r="C580" i="5"/>
  <c r="D580" i="5"/>
  <c r="E580" i="5"/>
  <c r="F580" i="5"/>
  <c r="G580" i="5"/>
  <c r="H580" i="5"/>
  <c r="I580" i="5"/>
  <c r="J580" i="5"/>
  <c r="K580" i="5"/>
  <c r="B581" i="5"/>
  <c r="C581" i="5"/>
  <c r="A581" i="5" s="1"/>
  <c r="D581" i="5"/>
  <c r="E581" i="5"/>
  <c r="F581" i="5"/>
  <c r="G581" i="5"/>
  <c r="H581" i="5"/>
  <c r="I581" i="5"/>
  <c r="J581" i="5"/>
  <c r="K581" i="5"/>
  <c r="B582" i="5"/>
  <c r="C582" i="5"/>
  <c r="D582" i="5"/>
  <c r="E582" i="5"/>
  <c r="F582" i="5"/>
  <c r="G582" i="5"/>
  <c r="H582" i="5"/>
  <c r="I582" i="5"/>
  <c r="J582" i="5"/>
  <c r="K582" i="5"/>
  <c r="B583" i="5"/>
  <c r="C583" i="5"/>
  <c r="A583" i="5" s="1"/>
  <c r="D583" i="5"/>
  <c r="E583" i="5"/>
  <c r="F583" i="5"/>
  <c r="G583" i="5"/>
  <c r="H583" i="5"/>
  <c r="I583" i="5"/>
  <c r="J583" i="5"/>
  <c r="K583" i="5"/>
  <c r="B584" i="5"/>
  <c r="C584" i="5"/>
  <c r="A584" i="5" s="1"/>
  <c r="D584" i="5"/>
  <c r="E584" i="5"/>
  <c r="F584" i="5"/>
  <c r="G584" i="5"/>
  <c r="H584" i="5"/>
  <c r="I584" i="5"/>
  <c r="J584" i="5"/>
  <c r="K584" i="5"/>
  <c r="B585" i="5"/>
  <c r="C585" i="5"/>
  <c r="A585" i="5" s="1"/>
  <c r="D585" i="5"/>
  <c r="E585" i="5"/>
  <c r="F585" i="5"/>
  <c r="G585" i="5"/>
  <c r="H585" i="5"/>
  <c r="I585" i="5"/>
  <c r="J585" i="5"/>
  <c r="K585" i="5"/>
  <c r="B586" i="5"/>
  <c r="C586" i="5"/>
  <c r="D586" i="5"/>
  <c r="E586" i="5"/>
  <c r="F586" i="5"/>
  <c r="G586" i="5"/>
  <c r="H586" i="5"/>
  <c r="I586" i="5"/>
  <c r="J586" i="5"/>
  <c r="K586" i="5"/>
  <c r="B587" i="5"/>
  <c r="C587" i="5"/>
  <c r="A587" i="5" s="1"/>
  <c r="D587" i="5"/>
  <c r="E587" i="5"/>
  <c r="F587" i="5"/>
  <c r="G587" i="5"/>
  <c r="H587" i="5"/>
  <c r="I587" i="5"/>
  <c r="J587" i="5"/>
  <c r="K587" i="5"/>
  <c r="B588" i="5"/>
  <c r="C588" i="5"/>
  <c r="D588" i="5"/>
  <c r="E588" i="5"/>
  <c r="F588" i="5"/>
  <c r="G588" i="5"/>
  <c r="H588" i="5"/>
  <c r="I588" i="5"/>
  <c r="J588" i="5"/>
  <c r="K588" i="5"/>
  <c r="B589" i="5"/>
  <c r="C589" i="5"/>
  <c r="A589" i="5" s="1"/>
  <c r="D589" i="5"/>
  <c r="E589" i="5"/>
  <c r="F589" i="5"/>
  <c r="G589" i="5"/>
  <c r="H589" i="5"/>
  <c r="I589" i="5"/>
  <c r="J589" i="5"/>
  <c r="K589" i="5"/>
  <c r="B590" i="5"/>
  <c r="C590" i="5"/>
  <c r="A590" i="5" s="1"/>
  <c r="D590" i="5"/>
  <c r="E590" i="5"/>
  <c r="F590" i="5"/>
  <c r="G590" i="5"/>
  <c r="H590" i="5"/>
  <c r="I590" i="5"/>
  <c r="J590" i="5"/>
  <c r="K590" i="5"/>
  <c r="B591" i="5"/>
  <c r="C591" i="5"/>
  <c r="A591" i="5" s="1"/>
  <c r="D591" i="5"/>
  <c r="E591" i="5"/>
  <c r="F591" i="5"/>
  <c r="G591" i="5"/>
  <c r="H591" i="5"/>
  <c r="I591" i="5"/>
  <c r="J591" i="5"/>
  <c r="K591" i="5"/>
  <c r="B592" i="5"/>
  <c r="C592" i="5"/>
  <c r="D592" i="5"/>
  <c r="E592" i="5"/>
  <c r="F592" i="5"/>
  <c r="G592" i="5"/>
  <c r="H592" i="5"/>
  <c r="I592" i="5"/>
  <c r="J592" i="5"/>
  <c r="K592" i="5"/>
  <c r="B593" i="5"/>
  <c r="C593" i="5"/>
  <c r="A593" i="5" s="1"/>
  <c r="D593" i="5"/>
  <c r="E593" i="5"/>
  <c r="F593" i="5"/>
  <c r="G593" i="5"/>
  <c r="H593" i="5"/>
  <c r="I593" i="5"/>
  <c r="J593" i="5"/>
  <c r="K593" i="5"/>
  <c r="B594" i="5"/>
  <c r="C594" i="5"/>
  <c r="D594" i="5"/>
  <c r="E594" i="5"/>
  <c r="F594" i="5"/>
  <c r="G594" i="5"/>
  <c r="H594" i="5"/>
  <c r="I594" i="5"/>
  <c r="J594" i="5"/>
  <c r="K594" i="5"/>
  <c r="B595" i="5"/>
  <c r="C595" i="5"/>
  <c r="A595" i="5" s="1"/>
  <c r="D595" i="5"/>
  <c r="E595" i="5"/>
  <c r="F595" i="5"/>
  <c r="G595" i="5"/>
  <c r="H595" i="5"/>
  <c r="I595" i="5"/>
  <c r="J595" i="5"/>
  <c r="K595" i="5"/>
  <c r="B596" i="5"/>
  <c r="C596" i="5"/>
  <c r="A596" i="5" s="1"/>
  <c r="D596" i="5"/>
  <c r="E596" i="5"/>
  <c r="F596" i="5"/>
  <c r="G596" i="5"/>
  <c r="H596" i="5"/>
  <c r="I596" i="5"/>
  <c r="J596" i="5"/>
  <c r="K596" i="5"/>
  <c r="B597" i="5"/>
  <c r="C597" i="5"/>
  <c r="A597" i="5" s="1"/>
  <c r="D597" i="5"/>
  <c r="E597" i="5"/>
  <c r="F597" i="5"/>
  <c r="G597" i="5"/>
  <c r="H597" i="5"/>
  <c r="I597" i="5"/>
  <c r="J597" i="5"/>
  <c r="K597" i="5"/>
  <c r="B598" i="5"/>
  <c r="C598" i="5"/>
  <c r="D598" i="5"/>
  <c r="E598" i="5"/>
  <c r="F598" i="5"/>
  <c r="G598" i="5"/>
  <c r="H598" i="5"/>
  <c r="I598" i="5"/>
  <c r="J598" i="5"/>
  <c r="K598" i="5"/>
  <c r="B599" i="5"/>
  <c r="C599" i="5"/>
  <c r="A599" i="5" s="1"/>
  <c r="D599" i="5"/>
  <c r="E599" i="5"/>
  <c r="F599" i="5"/>
  <c r="G599" i="5"/>
  <c r="H599" i="5"/>
  <c r="I599" i="5"/>
  <c r="J599" i="5"/>
  <c r="K599" i="5"/>
  <c r="B600" i="5"/>
  <c r="C600" i="5"/>
  <c r="D600" i="5"/>
  <c r="E600" i="5"/>
  <c r="F600" i="5"/>
  <c r="G600" i="5"/>
  <c r="H600" i="5"/>
  <c r="I600" i="5"/>
  <c r="J600" i="5"/>
  <c r="K600" i="5"/>
  <c r="B601" i="5"/>
  <c r="C601" i="5"/>
  <c r="A601" i="5" s="1"/>
  <c r="D601" i="5"/>
  <c r="E601" i="5"/>
  <c r="F601" i="5"/>
  <c r="G601" i="5"/>
  <c r="H601" i="5"/>
  <c r="I601" i="5"/>
  <c r="J601" i="5"/>
  <c r="K601" i="5"/>
  <c r="B602" i="5"/>
  <c r="C602" i="5"/>
  <c r="A602" i="5" s="1"/>
  <c r="D602" i="5"/>
  <c r="E602" i="5"/>
  <c r="F602" i="5"/>
  <c r="G602" i="5"/>
  <c r="H602" i="5"/>
  <c r="I602" i="5"/>
  <c r="J602" i="5"/>
  <c r="K602" i="5"/>
  <c r="B603" i="5"/>
  <c r="C603" i="5"/>
  <c r="A603" i="5" s="1"/>
  <c r="D603" i="5"/>
  <c r="E603" i="5"/>
  <c r="F603" i="5"/>
  <c r="G603" i="5"/>
  <c r="H603" i="5"/>
  <c r="I603" i="5"/>
  <c r="J603" i="5"/>
  <c r="K603" i="5"/>
  <c r="B604" i="5"/>
  <c r="C604" i="5"/>
  <c r="D604" i="5"/>
  <c r="E604" i="5"/>
  <c r="F604" i="5"/>
  <c r="G604" i="5"/>
  <c r="H604" i="5"/>
  <c r="I604" i="5"/>
  <c r="J604" i="5"/>
  <c r="K604" i="5"/>
  <c r="B605" i="5"/>
  <c r="C605" i="5"/>
  <c r="A605" i="5" s="1"/>
  <c r="D605" i="5"/>
  <c r="E605" i="5"/>
  <c r="F605" i="5"/>
  <c r="G605" i="5"/>
  <c r="H605" i="5"/>
  <c r="I605" i="5"/>
  <c r="J605" i="5"/>
  <c r="K605" i="5"/>
  <c r="B606" i="5"/>
  <c r="C606" i="5"/>
  <c r="D606" i="5"/>
  <c r="E606" i="5"/>
  <c r="F606" i="5"/>
  <c r="G606" i="5"/>
  <c r="H606" i="5"/>
  <c r="I606" i="5"/>
  <c r="J606" i="5"/>
  <c r="K606" i="5"/>
  <c r="B607" i="5"/>
  <c r="C607" i="5"/>
  <c r="A607" i="5" s="1"/>
  <c r="D607" i="5"/>
  <c r="E607" i="5"/>
  <c r="F607" i="5"/>
  <c r="G607" i="5"/>
  <c r="H607" i="5"/>
  <c r="I607" i="5"/>
  <c r="J607" i="5"/>
  <c r="K607" i="5"/>
  <c r="B608" i="5"/>
  <c r="C608" i="5"/>
  <c r="A608" i="5" s="1"/>
  <c r="D608" i="5"/>
  <c r="E608" i="5"/>
  <c r="F608" i="5"/>
  <c r="G608" i="5"/>
  <c r="H608" i="5"/>
  <c r="I608" i="5"/>
  <c r="J608" i="5"/>
  <c r="K608" i="5"/>
  <c r="B609" i="5"/>
  <c r="C609" i="5"/>
  <c r="A609" i="5" s="1"/>
  <c r="D609" i="5"/>
  <c r="E609" i="5"/>
  <c r="F609" i="5"/>
  <c r="G609" i="5"/>
  <c r="H609" i="5"/>
  <c r="I609" i="5"/>
  <c r="J609" i="5"/>
  <c r="K609" i="5"/>
  <c r="B610" i="5"/>
  <c r="C610" i="5"/>
  <c r="D610" i="5"/>
  <c r="E610" i="5"/>
  <c r="F610" i="5"/>
  <c r="G610" i="5"/>
  <c r="H610" i="5"/>
  <c r="I610" i="5"/>
  <c r="J610" i="5"/>
  <c r="K610" i="5"/>
  <c r="B611" i="5"/>
  <c r="C611" i="5"/>
  <c r="A611" i="5" s="1"/>
  <c r="D611" i="5"/>
  <c r="E611" i="5"/>
  <c r="F611" i="5"/>
  <c r="G611" i="5"/>
  <c r="H611" i="5"/>
  <c r="I611" i="5"/>
  <c r="J611" i="5"/>
  <c r="K611" i="5"/>
  <c r="B612" i="5"/>
  <c r="C612" i="5"/>
  <c r="D612" i="5"/>
  <c r="E612" i="5"/>
  <c r="F612" i="5"/>
  <c r="G612" i="5"/>
  <c r="H612" i="5"/>
  <c r="I612" i="5"/>
  <c r="J612" i="5"/>
  <c r="K612" i="5"/>
  <c r="B613" i="5"/>
  <c r="C613" i="5"/>
  <c r="A613" i="5" s="1"/>
  <c r="D613" i="5"/>
  <c r="E613" i="5"/>
  <c r="F613" i="5"/>
  <c r="G613" i="5"/>
  <c r="H613" i="5"/>
  <c r="I613" i="5"/>
  <c r="J613" i="5"/>
  <c r="K613" i="5"/>
  <c r="B614" i="5"/>
  <c r="C614" i="5"/>
  <c r="A614" i="5" s="1"/>
  <c r="D614" i="5"/>
  <c r="E614" i="5"/>
  <c r="F614" i="5"/>
  <c r="G614" i="5"/>
  <c r="H614" i="5"/>
  <c r="I614" i="5"/>
  <c r="J614" i="5"/>
  <c r="K614" i="5"/>
  <c r="B615" i="5"/>
  <c r="C615" i="5"/>
  <c r="A615" i="5" s="1"/>
  <c r="D615" i="5"/>
  <c r="E615" i="5"/>
  <c r="F615" i="5"/>
  <c r="G615" i="5"/>
  <c r="H615" i="5"/>
  <c r="I615" i="5"/>
  <c r="J615" i="5"/>
  <c r="K615" i="5"/>
  <c r="B616" i="5"/>
  <c r="C616" i="5"/>
  <c r="D616" i="5"/>
  <c r="E616" i="5"/>
  <c r="F616" i="5"/>
  <c r="G616" i="5"/>
  <c r="H616" i="5"/>
  <c r="I616" i="5"/>
  <c r="J616" i="5"/>
  <c r="K616" i="5"/>
  <c r="B617" i="5"/>
  <c r="C617" i="5"/>
  <c r="A617" i="5" s="1"/>
  <c r="D617" i="5"/>
  <c r="E617" i="5"/>
  <c r="F617" i="5"/>
  <c r="G617" i="5"/>
  <c r="H617" i="5"/>
  <c r="I617" i="5"/>
  <c r="J617" i="5"/>
  <c r="K617" i="5"/>
  <c r="B618" i="5"/>
  <c r="C618" i="5"/>
  <c r="D618" i="5"/>
  <c r="E618" i="5"/>
  <c r="F618" i="5"/>
  <c r="G618" i="5"/>
  <c r="H618" i="5"/>
  <c r="I618" i="5"/>
  <c r="J618" i="5"/>
  <c r="K618" i="5"/>
  <c r="B619" i="5"/>
  <c r="C619" i="5"/>
  <c r="A619" i="5" s="1"/>
  <c r="D619" i="5"/>
  <c r="E619" i="5"/>
  <c r="F619" i="5"/>
  <c r="G619" i="5"/>
  <c r="H619" i="5"/>
  <c r="I619" i="5"/>
  <c r="J619" i="5"/>
  <c r="K619" i="5"/>
  <c r="B620" i="5"/>
  <c r="C620" i="5"/>
  <c r="A620" i="5" s="1"/>
  <c r="D620" i="5"/>
  <c r="E620" i="5"/>
  <c r="F620" i="5"/>
  <c r="G620" i="5"/>
  <c r="H620" i="5"/>
  <c r="I620" i="5"/>
  <c r="J620" i="5"/>
  <c r="K620" i="5"/>
  <c r="B621" i="5"/>
  <c r="C621" i="5"/>
  <c r="A621" i="5" s="1"/>
  <c r="D621" i="5"/>
  <c r="E621" i="5"/>
  <c r="F621" i="5"/>
  <c r="G621" i="5"/>
  <c r="H621" i="5"/>
  <c r="I621" i="5"/>
  <c r="J621" i="5"/>
  <c r="K621" i="5"/>
  <c r="B622" i="5"/>
  <c r="C622" i="5"/>
  <c r="D622" i="5"/>
  <c r="E622" i="5"/>
  <c r="F622" i="5"/>
  <c r="G622" i="5"/>
  <c r="H622" i="5"/>
  <c r="I622" i="5"/>
  <c r="J622" i="5"/>
  <c r="K622" i="5"/>
  <c r="B623" i="5"/>
  <c r="C623" i="5"/>
  <c r="A623" i="5" s="1"/>
  <c r="D623" i="5"/>
  <c r="E623" i="5"/>
  <c r="F623" i="5"/>
  <c r="G623" i="5"/>
  <c r="H623" i="5"/>
  <c r="I623" i="5"/>
  <c r="J623" i="5"/>
  <c r="K623" i="5"/>
  <c r="B624" i="5"/>
  <c r="C624" i="5"/>
  <c r="D624" i="5"/>
  <c r="E624" i="5"/>
  <c r="F624" i="5"/>
  <c r="G624" i="5"/>
  <c r="H624" i="5"/>
  <c r="I624" i="5"/>
  <c r="J624" i="5"/>
  <c r="K624" i="5"/>
  <c r="B625" i="5"/>
  <c r="C625" i="5"/>
  <c r="A625" i="5" s="1"/>
  <c r="D625" i="5"/>
  <c r="E625" i="5"/>
  <c r="F625" i="5"/>
  <c r="G625" i="5"/>
  <c r="H625" i="5"/>
  <c r="I625" i="5"/>
  <c r="J625" i="5"/>
  <c r="K625" i="5"/>
  <c r="B626" i="5"/>
  <c r="C626" i="5"/>
  <c r="A626" i="5" s="1"/>
  <c r="D626" i="5"/>
  <c r="E626" i="5"/>
  <c r="F626" i="5"/>
  <c r="G626" i="5"/>
  <c r="H626" i="5"/>
  <c r="I626" i="5"/>
  <c r="J626" i="5"/>
  <c r="K626" i="5"/>
  <c r="B627" i="5"/>
  <c r="C627" i="5"/>
  <c r="A627" i="5" s="1"/>
  <c r="D627" i="5"/>
  <c r="E627" i="5"/>
  <c r="F627" i="5"/>
  <c r="G627" i="5"/>
  <c r="H627" i="5"/>
  <c r="I627" i="5"/>
  <c r="J627" i="5"/>
  <c r="K627" i="5"/>
  <c r="B628" i="5"/>
  <c r="C628" i="5"/>
  <c r="D628" i="5"/>
  <c r="E628" i="5"/>
  <c r="F628" i="5"/>
  <c r="G628" i="5"/>
  <c r="H628" i="5"/>
  <c r="I628" i="5"/>
  <c r="J628" i="5"/>
  <c r="K628" i="5"/>
  <c r="B629" i="5"/>
  <c r="C629" i="5"/>
  <c r="A629" i="5" s="1"/>
  <c r="D629" i="5"/>
  <c r="E629" i="5"/>
  <c r="F629" i="5"/>
  <c r="G629" i="5"/>
  <c r="H629" i="5"/>
  <c r="I629" i="5"/>
  <c r="J629" i="5"/>
  <c r="K629" i="5"/>
  <c r="B630" i="5"/>
  <c r="C630" i="5"/>
  <c r="D630" i="5"/>
  <c r="E630" i="5"/>
  <c r="F630" i="5"/>
  <c r="G630" i="5"/>
  <c r="H630" i="5"/>
  <c r="I630" i="5"/>
  <c r="J630" i="5"/>
  <c r="K630" i="5"/>
  <c r="B631" i="5"/>
  <c r="C631" i="5"/>
  <c r="A631" i="5" s="1"/>
  <c r="D631" i="5"/>
  <c r="E631" i="5"/>
  <c r="F631" i="5"/>
  <c r="G631" i="5"/>
  <c r="H631" i="5"/>
  <c r="I631" i="5"/>
  <c r="J631" i="5"/>
  <c r="K631" i="5"/>
  <c r="B632" i="5"/>
  <c r="C632" i="5"/>
  <c r="A632" i="5" s="1"/>
  <c r="D632" i="5"/>
  <c r="E632" i="5"/>
  <c r="F632" i="5"/>
  <c r="G632" i="5"/>
  <c r="H632" i="5"/>
  <c r="I632" i="5"/>
  <c r="J632" i="5"/>
  <c r="K632" i="5"/>
  <c r="B633" i="5"/>
  <c r="C633" i="5"/>
  <c r="A633" i="5" s="1"/>
  <c r="D633" i="5"/>
  <c r="E633" i="5"/>
  <c r="F633" i="5"/>
  <c r="G633" i="5"/>
  <c r="H633" i="5"/>
  <c r="I633" i="5"/>
  <c r="J633" i="5"/>
  <c r="K633" i="5"/>
  <c r="B634" i="5"/>
  <c r="C634" i="5"/>
  <c r="D634" i="5"/>
  <c r="E634" i="5"/>
  <c r="F634" i="5"/>
  <c r="G634" i="5"/>
  <c r="H634" i="5"/>
  <c r="I634" i="5"/>
  <c r="J634" i="5"/>
  <c r="K634" i="5"/>
  <c r="B635" i="5"/>
  <c r="C635" i="5"/>
  <c r="A635" i="5" s="1"/>
  <c r="D635" i="5"/>
  <c r="E635" i="5"/>
  <c r="F635" i="5"/>
  <c r="G635" i="5"/>
  <c r="H635" i="5"/>
  <c r="I635" i="5"/>
  <c r="J635" i="5"/>
  <c r="K635" i="5"/>
  <c r="B636" i="5"/>
  <c r="C636" i="5"/>
  <c r="D636" i="5"/>
  <c r="E636" i="5"/>
  <c r="F636" i="5"/>
  <c r="G636" i="5"/>
  <c r="H636" i="5"/>
  <c r="I636" i="5"/>
  <c r="J636" i="5"/>
  <c r="K636" i="5"/>
  <c r="B637" i="5"/>
  <c r="C637" i="5"/>
  <c r="A637" i="5" s="1"/>
  <c r="D637" i="5"/>
  <c r="E637" i="5"/>
  <c r="F637" i="5"/>
  <c r="G637" i="5"/>
  <c r="H637" i="5"/>
  <c r="I637" i="5"/>
  <c r="J637" i="5"/>
  <c r="K637" i="5"/>
  <c r="B638" i="5"/>
  <c r="C638" i="5"/>
  <c r="A638" i="5" s="1"/>
  <c r="D638" i="5"/>
  <c r="E638" i="5"/>
  <c r="F638" i="5"/>
  <c r="G638" i="5"/>
  <c r="H638" i="5"/>
  <c r="I638" i="5"/>
  <c r="J638" i="5"/>
  <c r="K638" i="5"/>
  <c r="B639" i="5"/>
  <c r="C639" i="5"/>
  <c r="A639" i="5" s="1"/>
  <c r="D639" i="5"/>
  <c r="E639" i="5"/>
  <c r="F639" i="5"/>
  <c r="G639" i="5"/>
  <c r="H639" i="5"/>
  <c r="I639" i="5"/>
  <c r="J639" i="5"/>
  <c r="K639" i="5"/>
  <c r="B640" i="5"/>
  <c r="C640" i="5"/>
  <c r="D640" i="5"/>
  <c r="E640" i="5"/>
  <c r="F640" i="5"/>
  <c r="G640" i="5"/>
  <c r="H640" i="5"/>
  <c r="I640" i="5"/>
  <c r="J640" i="5"/>
  <c r="K640" i="5"/>
  <c r="B641" i="5"/>
  <c r="C641" i="5"/>
  <c r="A641" i="5" s="1"/>
  <c r="D641" i="5"/>
  <c r="E641" i="5"/>
  <c r="F641" i="5"/>
  <c r="G641" i="5"/>
  <c r="H641" i="5"/>
  <c r="I641" i="5"/>
  <c r="J641" i="5"/>
  <c r="K641" i="5"/>
  <c r="B642" i="5"/>
  <c r="C642" i="5"/>
  <c r="D642" i="5"/>
  <c r="E642" i="5"/>
  <c r="F642" i="5"/>
  <c r="G642" i="5"/>
  <c r="H642" i="5"/>
  <c r="I642" i="5"/>
  <c r="J642" i="5"/>
  <c r="K642" i="5"/>
  <c r="B643" i="5"/>
  <c r="C643" i="5"/>
  <c r="A643" i="5" s="1"/>
  <c r="D643" i="5"/>
  <c r="E643" i="5"/>
  <c r="F643" i="5"/>
  <c r="G643" i="5"/>
  <c r="H643" i="5"/>
  <c r="I643" i="5"/>
  <c r="J643" i="5"/>
  <c r="K643" i="5"/>
  <c r="B644" i="5"/>
  <c r="C644" i="5"/>
  <c r="A644" i="5" s="1"/>
  <c r="D644" i="5"/>
  <c r="E644" i="5"/>
  <c r="F644" i="5"/>
  <c r="G644" i="5"/>
  <c r="H644" i="5"/>
  <c r="I644" i="5"/>
  <c r="J644" i="5"/>
  <c r="K644" i="5"/>
  <c r="B645" i="5"/>
  <c r="C645" i="5"/>
  <c r="A645" i="5" s="1"/>
  <c r="D645" i="5"/>
  <c r="E645" i="5"/>
  <c r="F645" i="5"/>
  <c r="G645" i="5"/>
  <c r="H645" i="5"/>
  <c r="I645" i="5"/>
  <c r="J645" i="5"/>
  <c r="K645" i="5"/>
  <c r="B646" i="5"/>
  <c r="C646" i="5"/>
  <c r="D646" i="5"/>
  <c r="E646" i="5"/>
  <c r="F646" i="5"/>
  <c r="G646" i="5"/>
  <c r="H646" i="5"/>
  <c r="I646" i="5"/>
  <c r="J646" i="5"/>
  <c r="K646" i="5"/>
  <c r="B647" i="5"/>
  <c r="C647" i="5"/>
  <c r="A647" i="5" s="1"/>
  <c r="D647" i="5"/>
  <c r="E647" i="5"/>
  <c r="F647" i="5"/>
  <c r="G647" i="5"/>
  <c r="H647" i="5"/>
  <c r="I647" i="5"/>
  <c r="J647" i="5"/>
  <c r="K647" i="5"/>
  <c r="B648" i="5"/>
  <c r="C648" i="5"/>
  <c r="D648" i="5"/>
  <c r="E648" i="5"/>
  <c r="F648" i="5"/>
  <c r="G648" i="5"/>
  <c r="H648" i="5"/>
  <c r="I648" i="5"/>
  <c r="J648" i="5"/>
  <c r="K648" i="5"/>
  <c r="B649" i="5"/>
  <c r="C649" i="5"/>
  <c r="A649" i="5" s="1"/>
  <c r="D649" i="5"/>
  <c r="E649" i="5"/>
  <c r="F649" i="5"/>
  <c r="G649" i="5"/>
  <c r="H649" i="5"/>
  <c r="I649" i="5"/>
  <c r="J649" i="5"/>
  <c r="K649" i="5"/>
  <c r="B650" i="5"/>
  <c r="C650" i="5"/>
  <c r="A650" i="5" s="1"/>
  <c r="D650" i="5"/>
  <c r="E650" i="5"/>
  <c r="F650" i="5"/>
  <c r="G650" i="5"/>
  <c r="H650" i="5"/>
  <c r="I650" i="5"/>
  <c r="J650" i="5"/>
  <c r="K650" i="5"/>
  <c r="B651" i="5"/>
  <c r="C651" i="5"/>
  <c r="A651" i="5" s="1"/>
  <c r="D651" i="5"/>
  <c r="E651" i="5"/>
  <c r="F651" i="5"/>
  <c r="G651" i="5"/>
  <c r="H651" i="5"/>
  <c r="I651" i="5"/>
  <c r="J651" i="5"/>
  <c r="K651" i="5"/>
  <c r="B652" i="5"/>
  <c r="C652" i="5"/>
  <c r="D652" i="5"/>
  <c r="E652" i="5"/>
  <c r="F652" i="5"/>
  <c r="G652" i="5"/>
  <c r="H652" i="5"/>
  <c r="I652" i="5"/>
  <c r="J652" i="5"/>
  <c r="K652" i="5"/>
  <c r="B653" i="5"/>
  <c r="C653" i="5"/>
  <c r="A653" i="5" s="1"/>
  <c r="D653" i="5"/>
  <c r="E653" i="5"/>
  <c r="F653" i="5"/>
  <c r="G653" i="5"/>
  <c r="H653" i="5"/>
  <c r="I653" i="5"/>
  <c r="J653" i="5"/>
  <c r="K653" i="5"/>
  <c r="B654" i="5"/>
  <c r="C654" i="5"/>
  <c r="D654" i="5"/>
  <c r="E654" i="5"/>
  <c r="F654" i="5"/>
  <c r="G654" i="5"/>
  <c r="H654" i="5"/>
  <c r="I654" i="5"/>
  <c r="J654" i="5"/>
  <c r="K654" i="5"/>
  <c r="B655" i="5"/>
  <c r="C655" i="5"/>
  <c r="A655" i="5" s="1"/>
  <c r="D655" i="5"/>
  <c r="E655" i="5"/>
  <c r="F655" i="5"/>
  <c r="G655" i="5"/>
  <c r="H655" i="5"/>
  <c r="I655" i="5"/>
  <c r="J655" i="5"/>
  <c r="K655" i="5"/>
  <c r="B656" i="5"/>
  <c r="C656" i="5"/>
  <c r="A656" i="5" s="1"/>
  <c r="D656" i="5"/>
  <c r="E656" i="5"/>
  <c r="F656" i="5"/>
  <c r="G656" i="5"/>
  <c r="H656" i="5"/>
  <c r="I656" i="5"/>
  <c r="J656" i="5"/>
  <c r="K656" i="5"/>
  <c r="B657" i="5"/>
  <c r="C657" i="5"/>
  <c r="A657" i="5" s="1"/>
  <c r="D657" i="5"/>
  <c r="E657" i="5"/>
  <c r="F657" i="5"/>
  <c r="G657" i="5"/>
  <c r="H657" i="5"/>
  <c r="I657" i="5"/>
  <c r="J657" i="5"/>
  <c r="K657" i="5"/>
  <c r="B658" i="5"/>
  <c r="C658" i="5"/>
  <c r="D658" i="5"/>
  <c r="E658" i="5"/>
  <c r="F658" i="5"/>
  <c r="G658" i="5"/>
  <c r="H658" i="5"/>
  <c r="I658" i="5"/>
  <c r="J658" i="5"/>
  <c r="K658" i="5"/>
  <c r="B659" i="5"/>
  <c r="C659" i="5"/>
  <c r="A659" i="5" s="1"/>
  <c r="D659" i="5"/>
  <c r="E659" i="5"/>
  <c r="F659" i="5"/>
  <c r="G659" i="5"/>
  <c r="H659" i="5"/>
  <c r="I659" i="5"/>
  <c r="J659" i="5"/>
  <c r="K659" i="5"/>
  <c r="B660" i="5"/>
  <c r="C660" i="5"/>
  <c r="D660" i="5"/>
  <c r="E660" i="5"/>
  <c r="F660" i="5"/>
  <c r="G660" i="5"/>
  <c r="H660" i="5"/>
  <c r="I660" i="5"/>
  <c r="J660" i="5"/>
  <c r="K660" i="5"/>
  <c r="B661" i="5"/>
  <c r="C661" i="5"/>
  <c r="A661" i="5" s="1"/>
  <c r="D661" i="5"/>
  <c r="E661" i="5"/>
  <c r="F661" i="5"/>
  <c r="G661" i="5"/>
  <c r="H661" i="5"/>
  <c r="I661" i="5"/>
  <c r="J661" i="5"/>
  <c r="K661" i="5"/>
  <c r="B662" i="5"/>
  <c r="C662" i="5"/>
  <c r="A662" i="5" s="1"/>
  <c r="D662" i="5"/>
  <c r="E662" i="5"/>
  <c r="F662" i="5"/>
  <c r="G662" i="5"/>
  <c r="H662" i="5"/>
  <c r="I662" i="5"/>
  <c r="J662" i="5"/>
  <c r="K662" i="5"/>
  <c r="B663" i="5"/>
  <c r="C663" i="5"/>
  <c r="A663" i="5" s="1"/>
  <c r="D663" i="5"/>
  <c r="E663" i="5"/>
  <c r="F663" i="5"/>
  <c r="G663" i="5"/>
  <c r="H663" i="5"/>
  <c r="I663" i="5"/>
  <c r="J663" i="5"/>
  <c r="K663" i="5"/>
  <c r="B664" i="5"/>
  <c r="C664" i="5"/>
  <c r="D664" i="5"/>
  <c r="E664" i="5"/>
  <c r="F664" i="5"/>
  <c r="G664" i="5"/>
  <c r="H664" i="5"/>
  <c r="I664" i="5"/>
  <c r="J664" i="5"/>
  <c r="K664" i="5"/>
  <c r="B665" i="5"/>
  <c r="C665" i="5"/>
  <c r="A665" i="5" s="1"/>
  <c r="D665" i="5"/>
  <c r="E665" i="5"/>
  <c r="F665" i="5"/>
  <c r="G665" i="5"/>
  <c r="H665" i="5"/>
  <c r="I665" i="5"/>
  <c r="J665" i="5"/>
  <c r="K665" i="5"/>
  <c r="B666" i="5"/>
  <c r="C666" i="5"/>
  <c r="D666" i="5"/>
  <c r="E666" i="5"/>
  <c r="F666" i="5"/>
  <c r="G666" i="5"/>
  <c r="H666" i="5"/>
  <c r="I666" i="5"/>
  <c r="J666" i="5"/>
  <c r="K666" i="5"/>
  <c r="B667" i="5"/>
  <c r="C667" i="5"/>
  <c r="A667" i="5" s="1"/>
  <c r="D667" i="5"/>
  <c r="E667" i="5"/>
  <c r="F667" i="5"/>
  <c r="G667" i="5"/>
  <c r="H667" i="5"/>
  <c r="I667" i="5"/>
  <c r="J667" i="5"/>
  <c r="K667" i="5"/>
  <c r="B668" i="5"/>
  <c r="C668" i="5"/>
  <c r="A668" i="5" s="1"/>
  <c r="D668" i="5"/>
  <c r="E668" i="5"/>
  <c r="F668" i="5"/>
  <c r="G668" i="5"/>
  <c r="H668" i="5"/>
  <c r="I668" i="5"/>
  <c r="J668" i="5"/>
  <c r="K668" i="5"/>
  <c r="B669" i="5"/>
  <c r="C669" i="5"/>
  <c r="A669" i="5" s="1"/>
  <c r="D669" i="5"/>
  <c r="E669" i="5"/>
  <c r="F669" i="5"/>
  <c r="G669" i="5"/>
  <c r="H669" i="5"/>
  <c r="I669" i="5"/>
  <c r="J669" i="5"/>
  <c r="K669" i="5"/>
  <c r="B670" i="5"/>
  <c r="C670" i="5"/>
  <c r="D670" i="5"/>
  <c r="E670" i="5"/>
  <c r="F670" i="5"/>
  <c r="G670" i="5"/>
  <c r="H670" i="5"/>
  <c r="I670" i="5"/>
  <c r="J670" i="5"/>
  <c r="K670" i="5"/>
  <c r="B671" i="5"/>
  <c r="C671" i="5"/>
  <c r="A671" i="5" s="1"/>
  <c r="D671" i="5"/>
  <c r="E671" i="5"/>
  <c r="F671" i="5"/>
  <c r="G671" i="5"/>
  <c r="H671" i="5"/>
  <c r="I671" i="5"/>
  <c r="J671" i="5"/>
  <c r="K671" i="5"/>
  <c r="B672" i="5"/>
  <c r="C672" i="5"/>
  <c r="D672" i="5"/>
  <c r="E672" i="5"/>
  <c r="F672" i="5"/>
  <c r="G672" i="5"/>
  <c r="H672" i="5"/>
  <c r="I672" i="5"/>
  <c r="J672" i="5"/>
  <c r="K672" i="5"/>
  <c r="B673" i="5"/>
  <c r="C673" i="5"/>
  <c r="A673" i="5" s="1"/>
  <c r="D673" i="5"/>
  <c r="E673" i="5"/>
  <c r="F673" i="5"/>
  <c r="G673" i="5"/>
  <c r="H673" i="5"/>
  <c r="I673" i="5"/>
  <c r="J673" i="5"/>
  <c r="K673" i="5"/>
  <c r="B674" i="5"/>
  <c r="C674" i="5"/>
  <c r="A674" i="5" s="1"/>
  <c r="D674" i="5"/>
  <c r="E674" i="5"/>
  <c r="F674" i="5"/>
  <c r="G674" i="5"/>
  <c r="H674" i="5"/>
  <c r="I674" i="5"/>
  <c r="J674" i="5"/>
  <c r="K674" i="5"/>
  <c r="B675" i="5"/>
  <c r="C675" i="5"/>
  <c r="A675" i="5" s="1"/>
  <c r="D675" i="5"/>
  <c r="E675" i="5"/>
  <c r="F675" i="5"/>
  <c r="G675" i="5"/>
  <c r="H675" i="5"/>
  <c r="I675" i="5"/>
  <c r="J675" i="5"/>
  <c r="K675" i="5"/>
  <c r="B676" i="5"/>
  <c r="C676" i="5"/>
  <c r="D676" i="5"/>
  <c r="E676" i="5"/>
  <c r="F676" i="5"/>
  <c r="G676" i="5"/>
  <c r="H676" i="5"/>
  <c r="I676" i="5"/>
  <c r="J676" i="5"/>
  <c r="K676" i="5"/>
  <c r="B677" i="5"/>
  <c r="C677" i="5"/>
  <c r="A677" i="5" s="1"/>
  <c r="D677" i="5"/>
  <c r="E677" i="5"/>
  <c r="F677" i="5"/>
  <c r="G677" i="5"/>
  <c r="H677" i="5"/>
  <c r="I677" i="5"/>
  <c r="J677" i="5"/>
  <c r="K677" i="5"/>
  <c r="B678" i="5"/>
  <c r="C678" i="5"/>
  <c r="D678" i="5"/>
  <c r="E678" i="5"/>
  <c r="F678" i="5"/>
  <c r="G678" i="5"/>
  <c r="H678" i="5"/>
  <c r="I678" i="5"/>
  <c r="J678" i="5"/>
  <c r="K678" i="5"/>
  <c r="B679" i="5"/>
  <c r="C679" i="5"/>
  <c r="A679" i="5" s="1"/>
  <c r="D679" i="5"/>
  <c r="E679" i="5"/>
  <c r="F679" i="5"/>
  <c r="G679" i="5"/>
  <c r="H679" i="5"/>
  <c r="I679" i="5"/>
  <c r="J679" i="5"/>
  <c r="K679" i="5"/>
  <c r="B680" i="5"/>
  <c r="C680" i="5"/>
  <c r="A680" i="5" s="1"/>
  <c r="D680" i="5"/>
  <c r="E680" i="5"/>
  <c r="F680" i="5"/>
  <c r="G680" i="5"/>
  <c r="H680" i="5"/>
  <c r="I680" i="5"/>
  <c r="J680" i="5"/>
  <c r="K680" i="5"/>
  <c r="B681" i="5"/>
  <c r="C681" i="5"/>
  <c r="A681" i="5" s="1"/>
  <c r="D681" i="5"/>
  <c r="E681" i="5"/>
  <c r="F681" i="5"/>
  <c r="G681" i="5"/>
  <c r="H681" i="5"/>
  <c r="I681" i="5"/>
  <c r="J681" i="5"/>
  <c r="K681" i="5"/>
  <c r="B682" i="5"/>
  <c r="C682" i="5"/>
  <c r="D682" i="5"/>
  <c r="E682" i="5"/>
  <c r="F682" i="5"/>
  <c r="G682" i="5"/>
  <c r="H682" i="5"/>
  <c r="I682" i="5"/>
  <c r="J682" i="5"/>
  <c r="K682" i="5"/>
  <c r="B683" i="5"/>
  <c r="C683" i="5"/>
  <c r="A683" i="5" s="1"/>
  <c r="D683" i="5"/>
  <c r="E683" i="5"/>
  <c r="F683" i="5"/>
  <c r="G683" i="5"/>
  <c r="H683" i="5"/>
  <c r="I683" i="5"/>
  <c r="J683" i="5"/>
  <c r="K683" i="5"/>
  <c r="B684" i="5"/>
  <c r="C684" i="5"/>
  <c r="D684" i="5"/>
  <c r="E684" i="5"/>
  <c r="F684" i="5"/>
  <c r="G684" i="5"/>
  <c r="H684" i="5"/>
  <c r="I684" i="5"/>
  <c r="J684" i="5"/>
  <c r="K684" i="5"/>
  <c r="B685" i="5"/>
  <c r="C685" i="5"/>
  <c r="A685" i="5" s="1"/>
  <c r="D685" i="5"/>
  <c r="E685" i="5"/>
  <c r="F685" i="5"/>
  <c r="G685" i="5"/>
  <c r="H685" i="5"/>
  <c r="I685" i="5"/>
  <c r="J685" i="5"/>
  <c r="K685" i="5"/>
  <c r="B686" i="5"/>
  <c r="C686" i="5"/>
  <c r="A686" i="5" s="1"/>
  <c r="D686" i="5"/>
  <c r="E686" i="5"/>
  <c r="F686" i="5"/>
  <c r="G686" i="5"/>
  <c r="H686" i="5"/>
  <c r="I686" i="5"/>
  <c r="J686" i="5"/>
  <c r="K686" i="5"/>
  <c r="B687" i="5"/>
  <c r="C687" i="5"/>
  <c r="A687" i="5" s="1"/>
  <c r="D687" i="5"/>
  <c r="E687" i="5"/>
  <c r="F687" i="5"/>
  <c r="G687" i="5"/>
  <c r="H687" i="5"/>
  <c r="I687" i="5"/>
  <c r="J687" i="5"/>
  <c r="K687" i="5"/>
  <c r="B688" i="5"/>
  <c r="C688" i="5"/>
  <c r="D688" i="5"/>
  <c r="E688" i="5"/>
  <c r="F688" i="5"/>
  <c r="G688" i="5"/>
  <c r="H688" i="5"/>
  <c r="I688" i="5"/>
  <c r="J688" i="5"/>
  <c r="K688" i="5"/>
  <c r="B689" i="5"/>
  <c r="C689" i="5"/>
  <c r="A689" i="5" s="1"/>
  <c r="D689" i="5"/>
  <c r="E689" i="5"/>
  <c r="F689" i="5"/>
  <c r="G689" i="5"/>
  <c r="H689" i="5"/>
  <c r="I689" i="5"/>
  <c r="J689" i="5"/>
  <c r="K689" i="5"/>
  <c r="B690" i="5"/>
  <c r="C690" i="5"/>
  <c r="D690" i="5"/>
  <c r="E690" i="5"/>
  <c r="F690" i="5"/>
  <c r="G690" i="5"/>
  <c r="H690" i="5"/>
  <c r="I690" i="5"/>
  <c r="J690" i="5"/>
  <c r="K690" i="5"/>
  <c r="B691" i="5"/>
  <c r="C691" i="5"/>
  <c r="A691" i="5" s="1"/>
  <c r="D691" i="5"/>
  <c r="E691" i="5"/>
  <c r="F691" i="5"/>
  <c r="G691" i="5"/>
  <c r="H691" i="5"/>
  <c r="I691" i="5"/>
  <c r="J691" i="5"/>
  <c r="K691" i="5"/>
  <c r="B692" i="5"/>
  <c r="C692" i="5"/>
  <c r="A692" i="5" s="1"/>
  <c r="D692" i="5"/>
  <c r="E692" i="5"/>
  <c r="F692" i="5"/>
  <c r="G692" i="5"/>
  <c r="H692" i="5"/>
  <c r="I692" i="5"/>
  <c r="J692" i="5"/>
  <c r="K692" i="5"/>
  <c r="B693" i="5"/>
  <c r="C693" i="5"/>
  <c r="A693" i="5" s="1"/>
  <c r="D693" i="5"/>
  <c r="E693" i="5"/>
  <c r="F693" i="5"/>
  <c r="G693" i="5"/>
  <c r="H693" i="5"/>
  <c r="I693" i="5"/>
  <c r="J693" i="5"/>
  <c r="K693" i="5"/>
  <c r="B694" i="5"/>
  <c r="C694" i="5"/>
  <c r="D694" i="5"/>
  <c r="E694" i="5"/>
  <c r="F694" i="5"/>
  <c r="G694" i="5"/>
  <c r="H694" i="5"/>
  <c r="I694" i="5"/>
  <c r="J694" i="5"/>
  <c r="K694" i="5"/>
  <c r="B695" i="5"/>
  <c r="C695" i="5"/>
  <c r="A695" i="5" s="1"/>
  <c r="D695" i="5"/>
  <c r="E695" i="5"/>
  <c r="F695" i="5"/>
  <c r="G695" i="5"/>
  <c r="H695" i="5"/>
  <c r="I695" i="5"/>
  <c r="J695" i="5"/>
  <c r="K695" i="5"/>
  <c r="B696" i="5"/>
  <c r="C696" i="5"/>
  <c r="D696" i="5"/>
  <c r="E696" i="5"/>
  <c r="F696" i="5"/>
  <c r="G696" i="5"/>
  <c r="H696" i="5"/>
  <c r="I696" i="5"/>
  <c r="J696" i="5"/>
  <c r="K696" i="5"/>
  <c r="B697" i="5"/>
  <c r="C697" i="5"/>
  <c r="A697" i="5" s="1"/>
  <c r="D697" i="5"/>
  <c r="E697" i="5"/>
  <c r="F697" i="5"/>
  <c r="G697" i="5"/>
  <c r="H697" i="5"/>
  <c r="I697" i="5"/>
  <c r="J697" i="5"/>
  <c r="K697" i="5"/>
  <c r="B698" i="5"/>
  <c r="C698" i="5"/>
  <c r="A698" i="5" s="1"/>
  <c r="D698" i="5"/>
  <c r="E698" i="5"/>
  <c r="F698" i="5"/>
  <c r="G698" i="5"/>
  <c r="H698" i="5"/>
  <c r="I698" i="5"/>
  <c r="J698" i="5"/>
  <c r="K698" i="5"/>
  <c r="B699" i="5"/>
  <c r="C699" i="5"/>
  <c r="A699" i="5" s="1"/>
  <c r="D699" i="5"/>
  <c r="E699" i="5"/>
  <c r="F699" i="5"/>
  <c r="G699" i="5"/>
  <c r="H699" i="5"/>
  <c r="I699" i="5"/>
  <c r="J699" i="5"/>
  <c r="K699" i="5"/>
  <c r="B700" i="5"/>
  <c r="C700" i="5"/>
  <c r="D700" i="5"/>
  <c r="E700" i="5"/>
  <c r="F700" i="5"/>
  <c r="G700" i="5"/>
  <c r="H700" i="5"/>
  <c r="I700" i="5"/>
  <c r="J700" i="5"/>
  <c r="K700" i="5"/>
  <c r="B701" i="5"/>
  <c r="C701" i="5"/>
  <c r="A701" i="5" s="1"/>
  <c r="D701" i="5"/>
  <c r="E701" i="5"/>
  <c r="F701" i="5"/>
  <c r="G701" i="5"/>
  <c r="H701" i="5"/>
  <c r="I701" i="5"/>
  <c r="J701" i="5"/>
  <c r="K701" i="5"/>
  <c r="B702" i="5"/>
  <c r="C702" i="5"/>
  <c r="D702" i="5"/>
  <c r="E702" i="5"/>
  <c r="F702" i="5"/>
  <c r="G702" i="5"/>
  <c r="H702" i="5"/>
  <c r="I702" i="5"/>
  <c r="J702" i="5"/>
  <c r="K702" i="5"/>
  <c r="B703" i="5"/>
  <c r="C703" i="5"/>
  <c r="A703" i="5" s="1"/>
  <c r="D703" i="5"/>
  <c r="E703" i="5"/>
  <c r="F703" i="5"/>
  <c r="G703" i="5"/>
  <c r="H703" i="5"/>
  <c r="I703" i="5"/>
  <c r="J703" i="5"/>
  <c r="K703" i="5"/>
  <c r="B704" i="5"/>
  <c r="C704" i="5"/>
  <c r="A704" i="5" s="1"/>
  <c r="D704" i="5"/>
  <c r="E704" i="5"/>
  <c r="F704" i="5"/>
  <c r="G704" i="5"/>
  <c r="H704" i="5"/>
  <c r="I704" i="5"/>
  <c r="J704" i="5"/>
  <c r="K704" i="5"/>
  <c r="B705" i="5"/>
  <c r="C705" i="5"/>
  <c r="A705" i="5" s="1"/>
  <c r="D705" i="5"/>
  <c r="E705" i="5"/>
  <c r="F705" i="5"/>
  <c r="G705" i="5"/>
  <c r="H705" i="5"/>
  <c r="I705" i="5"/>
  <c r="J705" i="5"/>
  <c r="K705" i="5"/>
  <c r="B706" i="5"/>
  <c r="C706" i="5"/>
  <c r="D706" i="5"/>
  <c r="E706" i="5"/>
  <c r="F706" i="5"/>
  <c r="G706" i="5"/>
  <c r="H706" i="5"/>
  <c r="I706" i="5"/>
  <c r="J706" i="5"/>
  <c r="K706" i="5"/>
  <c r="B707" i="5"/>
  <c r="C707" i="5"/>
  <c r="A707" i="5" s="1"/>
  <c r="D707" i="5"/>
  <c r="E707" i="5"/>
  <c r="F707" i="5"/>
  <c r="G707" i="5"/>
  <c r="H707" i="5"/>
  <c r="I707" i="5"/>
  <c r="J707" i="5"/>
  <c r="K707" i="5"/>
  <c r="B708" i="5"/>
  <c r="C708" i="5"/>
  <c r="D708" i="5"/>
  <c r="E708" i="5"/>
  <c r="F708" i="5"/>
  <c r="G708" i="5"/>
  <c r="H708" i="5"/>
  <c r="I708" i="5"/>
  <c r="J708" i="5"/>
  <c r="K708" i="5"/>
  <c r="B709" i="5"/>
  <c r="C709" i="5"/>
  <c r="A709" i="5" s="1"/>
  <c r="D709" i="5"/>
  <c r="E709" i="5"/>
  <c r="F709" i="5"/>
  <c r="G709" i="5"/>
  <c r="H709" i="5"/>
  <c r="I709" i="5"/>
  <c r="J709" i="5"/>
  <c r="K709" i="5"/>
  <c r="B710" i="5"/>
  <c r="C710" i="5"/>
  <c r="A710" i="5" s="1"/>
  <c r="D710" i="5"/>
  <c r="E710" i="5"/>
  <c r="F710" i="5"/>
  <c r="G710" i="5"/>
  <c r="H710" i="5"/>
  <c r="I710" i="5"/>
  <c r="J710" i="5"/>
  <c r="K710" i="5"/>
  <c r="B711" i="5"/>
  <c r="C711" i="5"/>
  <c r="A711" i="5" s="1"/>
  <c r="D711" i="5"/>
  <c r="E711" i="5"/>
  <c r="F711" i="5"/>
  <c r="G711" i="5"/>
  <c r="H711" i="5"/>
  <c r="I711" i="5"/>
  <c r="J711" i="5"/>
  <c r="K711" i="5"/>
  <c r="B712" i="5"/>
  <c r="C712" i="5"/>
  <c r="D712" i="5"/>
  <c r="E712" i="5"/>
  <c r="F712" i="5"/>
  <c r="G712" i="5"/>
  <c r="H712" i="5"/>
  <c r="I712" i="5"/>
  <c r="J712" i="5"/>
  <c r="K712" i="5"/>
  <c r="B713" i="5"/>
  <c r="C713" i="5"/>
  <c r="A713" i="5" s="1"/>
  <c r="D713" i="5"/>
  <c r="E713" i="5"/>
  <c r="F713" i="5"/>
  <c r="G713" i="5"/>
  <c r="H713" i="5"/>
  <c r="I713" i="5"/>
  <c r="J713" i="5"/>
  <c r="K713" i="5"/>
  <c r="B714" i="5"/>
  <c r="C714" i="5"/>
  <c r="D714" i="5"/>
  <c r="E714" i="5"/>
  <c r="F714" i="5"/>
  <c r="G714" i="5"/>
  <c r="H714" i="5"/>
  <c r="I714" i="5"/>
  <c r="J714" i="5"/>
  <c r="K714" i="5"/>
  <c r="B715" i="5"/>
  <c r="C715" i="5"/>
  <c r="A715" i="5" s="1"/>
  <c r="D715" i="5"/>
  <c r="E715" i="5"/>
  <c r="F715" i="5"/>
  <c r="G715" i="5"/>
  <c r="H715" i="5"/>
  <c r="I715" i="5"/>
  <c r="J715" i="5"/>
  <c r="K715" i="5"/>
  <c r="B716" i="5"/>
  <c r="C716" i="5"/>
  <c r="A716" i="5" s="1"/>
  <c r="D716" i="5"/>
  <c r="E716" i="5"/>
  <c r="F716" i="5"/>
  <c r="G716" i="5"/>
  <c r="H716" i="5"/>
  <c r="I716" i="5"/>
  <c r="J716" i="5"/>
  <c r="K716" i="5"/>
  <c r="B717" i="5"/>
  <c r="C717" i="5"/>
  <c r="A717" i="5" s="1"/>
  <c r="D717" i="5"/>
  <c r="E717" i="5"/>
  <c r="F717" i="5"/>
  <c r="G717" i="5"/>
  <c r="H717" i="5"/>
  <c r="I717" i="5"/>
  <c r="J717" i="5"/>
  <c r="K717" i="5"/>
  <c r="B718" i="5"/>
  <c r="C718" i="5"/>
  <c r="D718" i="5"/>
  <c r="E718" i="5"/>
  <c r="F718" i="5"/>
  <c r="G718" i="5"/>
  <c r="H718" i="5"/>
  <c r="I718" i="5"/>
  <c r="J718" i="5"/>
  <c r="K718" i="5"/>
  <c r="B719" i="5"/>
  <c r="C719" i="5"/>
  <c r="A719" i="5" s="1"/>
  <c r="D719" i="5"/>
  <c r="E719" i="5"/>
  <c r="F719" i="5"/>
  <c r="G719" i="5"/>
  <c r="H719" i="5"/>
  <c r="I719" i="5"/>
  <c r="J719" i="5"/>
  <c r="K719" i="5"/>
  <c r="B720" i="5"/>
  <c r="C720" i="5"/>
  <c r="D720" i="5"/>
  <c r="E720" i="5"/>
  <c r="F720" i="5"/>
  <c r="G720" i="5"/>
  <c r="H720" i="5"/>
  <c r="I720" i="5"/>
  <c r="J720" i="5"/>
  <c r="K720" i="5"/>
  <c r="B721" i="5"/>
  <c r="C721" i="5"/>
  <c r="A721" i="5" s="1"/>
  <c r="D721" i="5"/>
  <c r="E721" i="5"/>
  <c r="F721" i="5"/>
  <c r="G721" i="5"/>
  <c r="H721" i="5"/>
  <c r="I721" i="5"/>
  <c r="J721" i="5"/>
  <c r="K721" i="5"/>
  <c r="B722" i="5"/>
  <c r="C722" i="5"/>
  <c r="A722" i="5" s="1"/>
  <c r="D722" i="5"/>
  <c r="E722" i="5"/>
  <c r="F722" i="5"/>
  <c r="G722" i="5"/>
  <c r="H722" i="5"/>
  <c r="I722" i="5"/>
  <c r="J722" i="5"/>
  <c r="K722" i="5"/>
  <c r="B723" i="5"/>
  <c r="C723" i="5"/>
  <c r="A723" i="5" s="1"/>
  <c r="D723" i="5"/>
  <c r="E723" i="5"/>
  <c r="F723" i="5"/>
  <c r="G723" i="5"/>
  <c r="H723" i="5"/>
  <c r="I723" i="5"/>
  <c r="J723" i="5"/>
  <c r="K723" i="5"/>
  <c r="B724" i="5"/>
  <c r="C724" i="5"/>
  <c r="D724" i="5"/>
  <c r="E724" i="5"/>
  <c r="F724" i="5"/>
  <c r="G724" i="5"/>
  <c r="H724" i="5"/>
  <c r="I724" i="5"/>
  <c r="J724" i="5"/>
  <c r="K724" i="5"/>
  <c r="B725" i="5"/>
  <c r="C725" i="5"/>
  <c r="A725" i="5" s="1"/>
  <c r="D725" i="5"/>
  <c r="E725" i="5"/>
  <c r="F725" i="5"/>
  <c r="G725" i="5"/>
  <c r="H725" i="5"/>
  <c r="I725" i="5"/>
  <c r="J725" i="5"/>
  <c r="K725" i="5"/>
  <c r="B726" i="5"/>
  <c r="C726" i="5"/>
  <c r="D726" i="5"/>
  <c r="E726" i="5"/>
  <c r="F726" i="5"/>
  <c r="G726" i="5"/>
  <c r="H726" i="5"/>
  <c r="I726" i="5"/>
  <c r="J726" i="5"/>
  <c r="K726" i="5"/>
  <c r="B727" i="5"/>
  <c r="C727" i="5"/>
  <c r="A727" i="5" s="1"/>
  <c r="D727" i="5"/>
  <c r="E727" i="5"/>
  <c r="F727" i="5"/>
  <c r="G727" i="5"/>
  <c r="H727" i="5"/>
  <c r="I727" i="5"/>
  <c r="J727" i="5"/>
  <c r="K727" i="5"/>
  <c r="B728" i="5"/>
  <c r="C728" i="5"/>
  <c r="A728" i="5" s="1"/>
  <c r="D728" i="5"/>
  <c r="E728" i="5"/>
  <c r="F728" i="5"/>
  <c r="G728" i="5"/>
  <c r="H728" i="5"/>
  <c r="I728" i="5"/>
  <c r="J728" i="5"/>
  <c r="K728" i="5"/>
  <c r="B729" i="5"/>
  <c r="C729" i="5"/>
  <c r="A729" i="5" s="1"/>
  <c r="D729" i="5"/>
  <c r="E729" i="5"/>
  <c r="F729" i="5"/>
  <c r="G729" i="5"/>
  <c r="H729" i="5"/>
  <c r="I729" i="5"/>
  <c r="J729" i="5"/>
  <c r="K729" i="5"/>
  <c r="B730" i="5"/>
  <c r="C730" i="5"/>
  <c r="D730" i="5"/>
  <c r="E730" i="5"/>
  <c r="F730" i="5"/>
  <c r="G730" i="5"/>
  <c r="H730" i="5"/>
  <c r="I730" i="5"/>
  <c r="J730" i="5"/>
  <c r="K730" i="5"/>
  <c r="B731" i="5"/>
  <c r="C731" i="5"/>
  <c r="A731" i="5" s="1"/>
  <c r="D731" i="5"/>
  <c r="E731" i="5"/>
  <c r="F731" i="5"/>
  <c r="G731" i="5"/>
  <c r="H731" i="5"/>
  <c r="I731" i="5"/>
  <c r="J731" i="5"/>
  <c r="K731" i="5"/>
  <c r="B732" i="5"/>
  <c r="C732" i="5"/>
  <c r="D732" i="5"/>
  <c r="E732" i="5"/>
  <c r="F732" i="5"/>
  <c r="G732" i="5"/>
  <c r="H732" i="5"/>
  <c r="I732" i="5"/>
  <c r="J732" i="5"/>
  <c r="K732" i="5"/>
  <c r="B733" i="5"/>
  <c r="C733" i="5"/>
  <c r="A733" i="5" s="1"/>
  <c r="D733" i="5"/>
  <c r="E733" i="5"/>
  <c r="F733" i="5"/>
  <c r="G733" i="5"/>
  <c r="H733" i="5"/>
  <c r="I733" i="5"/>
  <c r="J733" i="5"/>
  <c r="K733" i="5"/>
  <c r="B734" i="5"/>
  <c r="C734" i="5"/>
  <c r="A734" i="5" s="1"/>
  <c r="D734" i="5"/>
  <c r="E734" i="5"/>
  <c r="F734" i="5"/>
  <c r="G734" i="5"/>
  <c r="H734" i="5"/>
  <c r="I734" i="5"/>
  <c r="J734" i="5"/>
  <c r="K734" i="5"/>
  <c r="B735" i="5"/>
  <c r="C735" i="5"/>
  <c r="A735" i="5" s="1"/>
  <c r="D735" i="5"/>
  <c r="E735" i="5"/>
  <c r="F735" i="5"/>
  <c r="G735" i="5"/>
  <c r="H735" i="5"/>
  <c r="I735" i="5"/>
  <c r="J735" i="5"/>
  <c r="K735" i="5"/>
  <c r="B736" i="5"/>
  <c r="C736" i="5"/>
  <c r="D736" i="5"/>
  <c r="E736" i="5"/>
  <c r="F736" i="5"/>
  <c r="G736" i="5"/>
  <c r="H736" i="5"/>
  <c r="I736" i="5"/>
  <c r="J736" i="5"/>
  <c r="K736" i="5"/>
  <c r="B737" i="5"/>
  <c r="C737" i="5"/>
  <c r="A737" i="5" s="1"/>
  <c r="D737" i="5"/>
  <c r="E737" i="5"/>
  <c r="F737" i="5"/>
  <c r="G737" i="5"/>
  <c r="H737" i="5"/>
  <c r="I737" i="5"/>
  <c r="J737" i="5"/>
  <c r="K737" i="5"/>
  <c r="B738" i="5"/>
  <c r="C738" i="5"/>
  <c r="D738" i="5"/>
  <c r="E738" i="5"/>
  <c r="F738" i="5"/>
  <c r="G738" i="5"/>
  <c r="H738" i="5"/>
  <c r="I738" i="5"/>
  <c r="J738" i="5"/>
  <c r="K738" i="5"/>
  <c r="B739" i="5"/>
  <c r="C739" i="5"/>
  <c r="A739" i="5" s="1"/>
  <c r="D739" i="5"/>
  <c r="E739" i="5"/>
  <c r="F739" i="5"/>
  <c r="G739" i="5"/>
  <c r="H739" i="5"/>
  <c r="I739" i="5"/>
  <c r="J739" i="5"/>
  <c r="K739" i="5"/>
  <c r="B740" i="5"/>
  <c r="C740" i="5"/>
  <c r="A740" i="5" s="1"/>
  <c r="D740" i="5"/>
  <c r="E740" i="5"/>
  <c r="F740" i="5"/>
  <c r="G740" i="5"/>
  <c r="H740" i="5"/>
  <c r="I740" i="5"/>
  <c r="J740" i="5"/>
  <c r="K740" i="5"/>
  <c r="B741" i="5"/>
  <c r="C741" i="5"/>
  <c r="A741" i="5" s="1"/>
  <c r="D741" i="5"/>
  <c r="E741" i="5"/>
  <c r="F741" i="5"/>
  <c r="G741" i="5"/>
  <c r="H741" i="5"/>
  <c r="I741" i="5"/>
  <c r="J741" i="5"/>
  <c r="K741" i="5"/>
  <c r="B742" i="5"/>
  <c r="C742" i="5"/>
  <c r="D742" i="5"/>
  <c r="E742" i="5"/>
  <c r="F742" i="5"/>
  <c r="G742" i="5"/>
  <c r="H742" i="5"/>
  <c r="I742" i="5"/>
  <c r="J742" i="5"/>
  <c r="K742" i="5"/>
  <c r="B743" i="5"/>
  <c r="C743" i="5"/>
  <c r="A743" i="5" s="1"/>
  <c r="D743" i="5"/>
  <c r="E743" i="5"/>
  <c r="F743" i="5"/>
  <c r="G743" i="5"/>
  <c r="H743" i="5"/>
  <c r="I743" i="5"/>
  <c r="J743" i="5"/>
  <c r="K743" i="5"/>
  <c r="B744" i="5"/>
  <c r="C744" i="5"/>
  <c r="D744" i="5"/>
  <c r="A744" i="5" s="1"/>
  <c r="E744" i="5"/>
  <c r="F744" i="5"/>
  <c r="G744" i="5"/>
  <c r="H744" i="5"/>
  <c r="I744" i="5"/>
  <c r="J744" i="5"/>
  <c r="K744" i="5"/>
  <c r="B745" i="5"/>
  <c r="C745" i="5"/>
  <c r="A745" i="5" s="1"/>
  <c r="D745" i="5"/>
  <c r="E745" i="5"/>
  <c r="F745" i="5"/>
  <c r="G745" i="5"/>
  <c r="H745" i="5"/>
  <c r="I745" i="5"/>
  <c r="J745" i="5"/>
  <c r="K745" i="5"/>
  <c r="B746" i="5"/>
  <c r="C746" i="5"/>
  <c r="A746" i="5" s="1"/>
  <c r="D746" i="5"/>
  <c r="E746" i="5"/>
  <c r="F746" i="5"/>
  <c r="G746" i="5"/>
  <c r="H746" i="5"/>
  <c r="I746" i="5"/>
  <c r="J746" i="5"/>
  <c r="K746" i="5"/>
  <c r="B747" i="5"/>
  <c r="C747" i="5"/>
  <c r="A747" i="5" s="1"/>
  <c r="D747" i="5"/>
  <c r="E747" i="5"/>
  <c r="F747" i="5"/>
  <c r="G747" i="5"/>
  <c r="H747" i="5"/>
  <c r="I747" i="5"/>
  <c r="J747" i="5"/>
  <c r="K747" i="5"/>
  <c r="B748" i="5"/>
  <c r="C748" i="5"/>
  <c r="D748" i="5"/>
  <c r="E748" i="5"/>
  <c r="F748" i="5"/>
  <c r="G748" i="5"/>
  <c r="H748" i="5"/>
  <c r="I748" i="5"/>
  <c r="J748" i="5"/>
  <c r="K748" i="5"/>
  <c r="B749" i="5"/>
  <c r="C749" i="5"/>
  <c r="A749" i="5" s="1"/>
  <c r="D749" i="5"/>
  <c r="E749" i="5"/>
  <c r="F749" i="5"/>
  <c r="G749" i="5"/>
  <c r="H749" i="5"/>
  <c r="I749" i="5"/>
  <c r="J749" i="5"/>
  <c r="K749" i="5"/>
  <c r="B750" i="5"/>
  <c r="C750" i="5"/>
  <c r="D750" i="5"/>
  <c r="E750" i="5"/>
  <c r="F750" i="5"/>
  <c r="G750" i="5"/>
  <c r="H750" i="5"/>
  <c r="I750" i="5"/>
  <c r="J750" i="5"/>
  <c r="K750" i="5"/>
  <c r="B751" i="5"/>
  <c r="C751" i="5"/>
  <c r="A751" i="5" s="1"/>
  <c r="D751" i="5"/>
  <c r="E751" i="5"/>
  <c r="F751" i="5"/>
  <c r="G751" i="5"/>
  <c r="H751" i="5"/>
  <c r="I751" i="5"/>
  <c r="J751" i="5"/>
  <c r="K751" i="5"/>
  <c r="B752" i="5"/>
  <c r="C752" i="5"/>
  <c r="A752" i="5" s="1"/>
  <c r="D752" i="5"/>
  <c r="E752" i="5"/>
  <c r="F752" i="5"/>
  <c r="G752" i="5"/>
  <c r="H752" i="5"/>
  <c r="I752" i="5"/>
  <c r="J752" i="5"/>
  <c r="K752" i="5"/>
  <c r="B753" i="5"/>
  <c r="C753" i="5"/>
  <c r="A753" i="5" s="1"/>
  <c r="D753" i="5"/>
  <c r="E753" i="5"/>
  <c r="F753" i="5"/>
  <c r="G753" i="5"/>
  <c r="H753" i="5"/>
  <c r="I753" i="5"/>
  <c r="J753" i="5"/>
  <c r="K753" i="5"/>
  <c r="B754" i="5"/>
  <c r="C754" i="5"/>
  <c r="D754" i="5"/>
  <c r="E754" i="5"/>
  <c r="F754" i="5"/>
  <c r="G754" i="5"/>
  <c r="H754" i="5"/>
  <c r="I754" i="5"/>
  <c r="J754" i="5"/>
  <c r="K754" i="5"/>
  <c r="B755" i="5"/>
  <c r="C755" i="5"/>
  <c r="A755" i="5" s="1"/>
  <c r="D755" i="5"/>
  <c r="E755" i="5"/>
  <c r="F755" i="5"/>
  <c r="G755" i="5"/>
  <c r="H755" i="5"/>
  <c r="I755" i="5"/>
  <c r="J755" i="5"/>
  <c r="K755" i="5"/>
  <c r="B756" i="5"/>
  <c r="C756" i="5"/>
  <c r="D756" i="5"/>
  <c r="E756" i="5"/>
  <c r="F756" i="5"/>
  <c r="G756" i="5"/>
  <c r="H756" i="5"/>
  <c r="I756" i="5"/>
  <c r="J756" i="5"/>
  <c r="K756" i="5"/>
  <c r="B757" i="5"/>
  <c r="C757" i="5"/>
  <c r="A757" i="5" s="1"/>
  <c r="D757" i="5"/>
  <c r="E757" i="5"/>
  <c r="F757" i="5"/>
  <c r="G757" i="5"/>
  <c r="H757" i="5"/>
  <c r="I757" i="5"/>
  <c r="J757" i="5"/>
  <c r="K757" i="5"/>
  <c r="B758" i="5"/>
  <c r="C758" i="5"/>
  <c r="A758" i="5" s="1"/>
  <c r="D758" i="5"/>
  <c r="E758" i="5"/>
  <c r="F758" i="5"/>
  <c r="G758" i="5"/>
  <c r="H758" i="5"/>
  <c r="I758" i="5"/>
  <c r="J758" i="5"/>
  <c r="K758" i="5"/>
  <c r="B759" i="5"/>
  <c r="C759" i="5"/>
  <c r="A759" i="5" s="1"/>
  <c r="D759" i="5"/>
  <c r="E759" i="5"/>
  <c r="F759" i="5"/>
  <c r="G759" i="5"/>
  <c r="H759" i="5"/>
  <c r="I759" i="5"/>
  <c r="J759" i="5"/>
  <c r="K759" i="5"/>
  <c r="B760" i="5"/>
  <c r="C760" i="5"/>
  <c r="D760" i="5"/>
  <c r="E760" i="5"/>
  <c r="F760" i="5"/>
  <c r="G760" i="5"/>
  <c r="H760" i="5"/>
  <c r="I760" i="5"/>
  <c r="J760" i="5"/>
  <c r="K760" i="5"/>
  <c r="B761" i="5"/>
  <c r="C761" i="5"/>
  <c r="A761" i="5" s="1"/>
  <c r="D761" i="5"/>
  <c r="E761" i="5"/>
  <c r="F761" i="5"/>
  <c r="G761" i="5"/>
  <c r="H761" i="5"/>
  <c r="I761" i="5"/>
  <c r="J761" i="5"/>
  <c r="K761" i="5"/>
  <c r="B762" i="5"/>
  <c r="C762" i="5"/>
  <c r="D762" i="5"/>
  <c r="E762" i="5"/>
  <c r="F762" i="5"/>
  <c r="G762" i="5"/>
  <c r="H762" i="5"/>
  <c r="I762" i="5"/>
  <c r="J762" i="5"/>
  <c r="K762" i="5"/>
  <c r="B763" i="5"/>
  <c r="C763" i="5"/>
  <c r="A763" i="5" s="1"/>
  <c r="D763" i="5"/>
  <c r="E763" i="5"/>
  <c r="F763" i="5"/>
  <c r="G763" i="5"/>
  <c r="H763" i="5"/>
  <c r="I763" i="5"/>
  <c r="J763" i="5"/>
  <c r="K763" i="5"/>
  <c r="B764" i="5"/>
  <c r="C764" i="5"/>
  <c r="A764" i="5" s="1"/>
  <c r="D764" i="5"/>
  <c r="E764" i="5"/>
  <c r="F764" i="5"/>
  <c r="G764" i="5"/>
  <c r="H764" i="5"/>
  <c r="I764" i="5"/>
  <c r="J764" i="5"/>
  <c r="K764" i="5"/>
  <c r="B765" i="5"/>
  <c r="C765" i="5"/>
  <c r="A765" i="5" s="1"/>
  <c r="D765" i="5"/>
  <c r="E765" i="5"/>
  <c r="F765" i="5"/>
  <c r="G765" i="5"/>
  <c r="H765" i="5"/>
  <c r="I765" i="5"/>
  <c r="J765" i="5"/>
  <c r="K765" i="5"/>
  <c r="B766" i="5"/>
  <c r="C766" i="5"/>
  <c r="D766" i="5"/>
  <c r="E766" i="5"/>
  <c r="F766" i="5"/>
  <c r="G766" i="5"/>
  <c r="H766" i="5"/>
  <c r="I766" i="5"/>
  <c r="J766" i="5"/>
  <c r="K766" i="5"/>
  <c r="B767" i="5"/>
  <c r="C767" i="5"/>
  <c r="A767" i="5" s="1"/>
  <c r="D767" i="5"/>
  <c r="E767" i="5"/>
  <c r="F767" i="5"/>
  <c r="G767" i="5"/>
  <c r="H767" i="5"/>
  <c r="I767" i="5"/>
  <c r="J767" i="5"/>
  <c r="K767" i="5"/>
  <c r="B768" i="5"/>
  <c r="C768" i="5"/>
  <c r="D768" i="5"/>
  <c r="E768" i="5"/>
  <c r="F768" i="5"/>
  <c r="G768" i="5"/>
  <c r="H768" i="5"/>
  <c r="I768" i="5"/>
  <c r="J768" i="5"/>
  <c r="K768" i="5"/>
  <c r="B769" i="5"/>
  <c r="C769" i="5"/>
  <c r="A769" i="5" s="1"/>
  <c r="D769" i="5"/>
  <c r="E769" i="5"/>
  <c r="F769" i="5"/>
  <c r="G769" i="5"/>
  <c r="H769" i="5"/>
  <c r="I769" i="5"/>
  <c r="J769" i="5"/>
  <c r="K769" i="5"/>
  <c r="B770" i="5"/>
  <c r="C770" i="5"/>
  <c r="A770" i="5" s="1"/>
  <c r="D770" i="5"/>
  <c r="E770" i="5"/>
  <c r="F770" i="5"/>
  <c r="G770" i="5"/>
  <c r="H770" i="5"/>
  <c r="I770" i="5"/>
  <c r="J770" i="5"/>
  <c r="K770" i="5"/>
  <c r="B771" i="5"/>
  <c r="C771" i="5"/>
  <c r="A771" i="5" s="1"/>
  <c r="D771" i="5"/>
  <c r="E771" i="5"/>
  <c r="F771" i="5"/>
  <c r="G771" i="5"/>
  <c r="H771" i="5"/>
  <c r="I771" i="5"/>
  <c r="J771" i="5"/>
  <c r="K771" i="5"/>
  <c r="B772" i="5"/>
  <c r="C772" i="5"/>
  <c r="D772" i="5"/>
  <c r="E772" i="5"/>
  <c r="F772" i="5"/>
  <c r="G772" i="5"/>
  <c r="H772" i="5"/>
  <c r="I772" i="5"/>
  <c r="J772" i="5"/>
  <c r="K772" i="5"/>
  <c r="B773" i="5"/>
  <c r="C773" i="5"/>
  <c r="A773" i="5" s="1"/>
  <c r="D773" i="5"/>
  <c r="E773" i="5"/>
  <c r="F773" i="5"/>
  <c r="G773" i="5"/>
  <c r="H773" i="5"/>
  <c r="I773" i="5"/>
  <c r="J773" i="5"/>
  <c r="K773" i="5"/>
  <c r="B774" i="5"/>
  <c r="C774" i="5"/>
  <c r="D774" i="5"/>
  <c r="E774" i="5"/>
  <c r="F774" i="5"/>
  <c r="G774" i="5"/>
  <c r="H774" i="5"/>
  <c r="I774" i="5"/>
  <c r="J774" i="5"/>
  <c r="K774" i="5"/>
  <c r="B775" i="5"/>
  <c r="C775" i="5"/>
  <c r="A775" i="5" s="1"/>
  <c r="D775" i="5"/>
  <c r="E775" i="5"/>
  <c r="F775" i="5"/>
  <c r="G775" i="5"/>
  <c r="H775" i="5"/>
  <c r="I775" i="5"/>
  <c r="J775" i="5"/>
  <c r="K775" i="5"/>
  <c r="B776" i="5"/>
  <c r="C776" i="5"/>
  <c r="A776" i="5" s="1"/>
  <c r="D776" i="5"/>
  <c r="E776" i="5"/>
  <c r="F776" i="5"/>
  <c r="G776" i="5"/>
  <c r="H776" i="5"/>
  <c r="I776" i="5"/>
  <c r="J776" i="5"/>
  <c r="K776" i="5"/>
  <c r="B777" i="5"/>
  <c r="C777" i="5"/>
  <c r="A777" i="5" s="1"/>
  <c r="D777" i="5"/>
  <c r="E777" i="5"/>
  <c r="F777" i="5"/>
  <c r="G777" i="5"/>
  <c r="H777" i="5"/>
  <c r="I777" i="5"/>
  <c r="J777" i="5"/>
  <c r="K777" i="5"/>
  <c r="B778" i="5"/>
  <c r="C778" i="5"/>
  <c r="D778" i="5"/>
  <c r="E778" i="5"/>
  <c r="F778" i="5"/>
  <c r="G778" i="5"/>
  <c r="H778" i="5"/>
  <c r="I778" i="5"/>
  <c r="J778" i="5"/>
  <c r="K778" i="5"/>
  <c r="B779" i="5"/>
  <c r="C779" i="5"/>
  <c r="A779" i="5" s="1"/>
  <c r="D779" i="5"/>
  <c r="E779" i="5"/>
  <c r="F779" i="5"/>
  <c r="G779" i="5"/>
  <c r="H779" i="5"/>
  <c r="I779" i="5"/>
  <c r="J779" i="5"/>
  <c r="K779" i="5"/>
  <c r="B780" i="5"/>
  <c r="C780" i="5"/>
  <c r="D780" i="5"/>
  <c r="E780" i="5"/>
  <c r="F780" i="5"/>
  <c r="G780" i="5"/>
  <c r="H780" i="5"/>
  <c r="I780" i="5"/>
  <c r="J780" i="5"/>
  <c r="K780" i="5"/>
  <c r="B781" i="5"/>
  <c r="C781" i="5"/>
  <c r="A781" i="5" s="1"/>
  <c r="D781" i="5"/>
  <c r="E781" i="5"/>
  <c r="F781" i="5"/>
  <c r="G781" i="5"/>
  <c r="H781" i="5"/>
  <c r="I781" i="5"/>
  <c r="J781" i="5"/>
  <c r="K781" i="5"/>
  <c r="B782" i="5"/>
  <c r="C782" i="5"/>
  <c r="A782" i="5" s="1"/>
  <c r="D782" i="5"/>
  <c r="E782" i="5"/>
  <c r="F782" i="5"/>
  <c r="G782" i="5"/>
  <c r="H782" i="5"/>
  <c r="I782" i="5"/>
  <c r="J782" i="5"/>
  <c r="K782" i="5"/>
  <c r="B783" i="5"/>
  <c r="C783" i="5"/>
  <c r="A783" i="5" s="1"/>
  <c r="D783" i="5"/>
  <c r="E783" i="5"/>
  <c r="F783" i="5"/>
  <c r="G783" i="5"/>
  <c r="H783" i="5"/>
  <c r="I783" i="5"/>
  <c r="J783" i="5"/>
  <c r="K783" i="5"/>
  <c r="B784" i="5"/>
  <c r="C784" i="5"/>
  <c r="D784" i="5"/>
  <c r="E784" i="5"/>
  <c r="F784" i="5"/>
  <c r="G784" i="5"/>
  <c r="H784" i="5"/>
  <c r="I784" i="5"/>
  <c r="J784" i="5"/>
  <c r="K784" i="5"/>
  <c r="B785" i="5"/>
  <c r="C785" i="5"/>
  <c r="A785" i="5" s="1"/>
  <c r="D785" i="5"/>
  <c r="E785" i="5"/>
  <c r="F785" i="5"/>
  <c r="G785" i="5"/>
  <c r="H785" i="5"/>
  <c r="I785" i="5"/>
  <c r="J785" i="5"/>
  <c r="K785" i="5"/>
  <c r="B786" i="5"/>
  <c r="C786" i="5"/>
  <c r="D786" i="5"/>
  <c r="E786" i="5"/>
  <c r="F786" i="5"/>
  <c r="G786" i="5"/>
  <c r="H786" i="5"/>
  <c r="I786" i="5"/>
  <c r="J786" i="5"/>
  <c r="K786" i="5"/>
  <c r="B787" i="5"/>
  <c r="C787" i="5"/>
  <c r="A787" i="5" s="1"/>
  <c r="D787" i="5"/>
  <c r="E787" i="5"/>
  <c r="F787" i="5"/>
  <c r="G787" i="5"/>
  <c r="H787" i="5"/>
  <c r="I787" i="5"/>
  <c r="J787" i="5"/>
  <c r="K787" i="5"/>
  <c r="B788" i="5"/>
  <c r="C788" i="5"/>
  <c r="A788" i="5" s="1"/>
  <c r="D788" i="5"/>
  <c r="E788" i="5"/>
  <c r="F788" i="5"/>
  <c r="G788" i="5"/>
  <c r="H788" i="5"/>
  <c r="I788" i="5"/>
  <c r="J788" i="5"/>
  <c r="K788" i="5"/>
  <c r="B789" i="5"/>
  <c r="C789" i="5"/>
  <c r="A789" i="5" s="1"/>
  <c r="D789" i="5"/>
  <c r="E789" i="5"/>
  <c r="F789" i="5"/>
  <c r="G789" i="5"/>
  <c r="H789" i="5"/>
  <c r="I789" i="5"/>
  <c r="J789" i="5"/>
  <c r="K789" i="5"/>
  <c r="B790" i="5"/>
  <c r="C790" i="5"/>
  <c r="D790" i="5"/>
  <c r="E790" i="5"/>
  <c r="F790" i="5"/>
  <c r="G790" i="5"/>
  <c r="H790" i="5"/>
  <c r="I790" i="5"/>
  <c r="J790" i="5"/>
  <c r="K790" i="5"/>
  <c r="B791" i="5"/>
  <c r="C791" i="5"/>
  <c r="A791" i="5" s="1"/>
  <c r="D791" i="5"/>
  <c r="E791" i="5"/>
  <c r="F791" i="5"/>
  <c r="G791" i="5"/>
  <c r="H791" i="5"/>
  <c r="I791" i="5"/>
  <c r="J791" i="5"/>
  <c r="K791" i="5"/>
  <c r="B792" i="5"/>
  <c r="C792" i="5"/>
  <c r="D792" i="5"/>
  <c r="E792" i="5"/>
  <c r="F792" i="5"/>
  <c r="G792" i="5"/>
  <c r="H792" i="5"/>
  <c r="I792" i="5"/>
  <c r="J792" i="5"/>
  <c r="K792" i="5"/>
  <c r="B793" i="5"/>
  <c r="C793" i="5"/>
  <c r="A793" i="5" s="1"/>
  <c r="D793" i="5"/>
  <c r="E793" i="5"/>
  <c r="F793" i="5"/>
  <c r="G793" i="5"/>
  <c r="H793" i="5"/>
  <c r="I793" i="5"/>
  <c r="J793" i="5"/>
  <c r="K793" i="5"/>
  <c r="B794" i="5"/>
  <c r="C794" i="5"/>
  <c r="A794" i="5" s="1"/>
  <c r="D794" i="5"/>
  <c r="E794" i="5"/>
  <c r="F794" i="5"/>
  <c r="G794" i="5"/>
  <c r="H794" i="5"/>
  <c r="I794" i="5"/>
  <c r="J794" i="5"/>
  <c r="K794" i="5"/>
  <c r="B795" i="5"/>
  <c r="C795" i="5"/>
  <c r="A795" i="5" s="1"/>
  <c r="D795" i="5"/>
  <c r="E795" i="5"/>
  <c r="F795" i="5"/>
  <c r="G795" i="5"/>
  <c r="H795" i="5"/>
  <c r="I795" i="5"/>
  <c r="J795" i="5"/>
  <c r="K795" i="5"/>
  <c r="B796" i="5"/>
  <c r="C796" i="5"/>
  <c r="D796" i="5"/>
  <c r="E796" i="5"/>
  <c r="F796" i="5"/>
  <c r="G796" i="5"/>
  <c r="H796" i="5"/>
  <c r="I796" i="5"/>
  <c r="J796" i="5"/>
  <c r="K796" i="5"/>
  <c r="B797" i="5"/>
  <c r="C797" i="5"/>
  <c r="A797" i="5" s="1"/>
  <c r="D797" i="5"/>
  <c r="E797" i="5"/>
  <c r="F797" i="5"/>
  <c r="G797" i="5"/>
  <c r="H797" i="5"/>
  <c r="I797" i="5"/>
  <c r="J797" i="5"/>
  <c r="K797" i="5"/>
  <c r="B798" i="5"/>
  <c r="C798" i="5"/>
  <c r="D798" i="5"/>
  <c r="E798" i="5"/>
  <c r="F798" i="5"/>
  <c r="G798" i="5"/>
  <c r="H798" i="5"/>
  <c r="I798" i="5"/>
  <c r="J798" i="5"/>
  <c r="K798" i="5"/>
  <c r="B799" i="5"/>
  <c r="C799" i="5"/>
  <c r="A799" i="5" s="1"/>
  <c r="D799" i="5"/>
  <c r="E799" i="5"/>
  <c r="F799" i="5"/>
  <c r="G799" i="5"/>
  <c r="H799" i="5"/>
  <c r="I799" i="5"/>
  <c r="J799" i="5"/>
  <c r="K799" i="5"/>
  <c r="B800" i="5"/>
  <c r="C800" i="5"/>
  <c r="A800" i="5" s="1"/>
  <c r="D800" i="5"/>
  <c r="E800" i="5"/>
  <c r="F800" i="5"/>
  <c r="G800" i="5"/>
  <c r="H800" i="5"/>
  <c r="I800" i="5"/>
  <c r="J800" i="5"/>
  <c r="K800" i="5"/>
  <c r="B801" i="5"/>
  <c r="C801" i="5"/>
  <c r="A801" i="5" s="1"/>
  <c r="D801" i="5"/>
  <c r="E801" i="5"/>
  <c r="F801" i="5"/>
  <c r="G801" i="5"/>
  <c r="H801" i="5"/>
  <c r="I801" i="5"/>
  <c r="J801" i="5"/>
  <c r="K801" i="5"/>
  <c r="B802" i="5"/>
  <c r="C802" i="5"/>
  <c r="D802" i="5"/>
  <c r="E802" i="5"/>
  <c r="F802" i="5"/>
  <c r="G802" i="5"/>
  <c r="H802" i="5"/>
  <c r="I802" i="5"/>
  <c r="J802" i="5"/>
  <c r="K802" i="5"/>
  <c r="B803" i="5"/>
  <c r="C803" i="5"/>
  <c r="A803" i="5" s="1"/>
  <c r="D803" i="5"/>
  <c r="E803" i="5"/>
  <c r="F803" i="5"/>
  <c r="G803" i="5"/>
  <c r="H803" i="5"/>
  <c r="I803" i="5"/>
  <c r="J803" i="5"/>
  <c r="K803" i="5"/>
  <c r="B804" i="5"/>
  <c r="C804" i="5"/>
  <c r="D804" i="5"/>
  <c r="E804" i="5"/>
  <c r="F804" i="5"/>
  <c r="G804" i="5"/>
  <c r="H804" i="5"/>
  <c r="I804" i="5"/>
  <c r="J804" i="5"/>
  <c r="K804" i="5"/>
  <c r="B805" i="5"/>
  <c r="C805" i="5"/>
  <c r="A805" i="5" s="1"/>
  <c r="D805" i="5"/>
  <c r="E805" i="5"/>
  <c r="F805" i="5"/>
  <c r="G805" i="5"/>
  <c r="H805" i="5"/>
  <c r="I805" i="5"/>
  <c r="J805" i="5"/>
  <c r="K805" i="5"/>
  <c r="B806" i="5"/>
  <c r="C806" i="5"/>
  <c r="A806" i="5" s="1"/>
  <c r="D806" i="5"/>
  <c r="E806" i="5"/>
  <c r="F806" i="5"/>
  <c r="G806" i="5"/>
  <c r="H806" i="5"/>
  <c r="I806" i="5"/>
  <c r="J806" i="5"/>
  <c r="K806" i="5"/>
  <c r="B807" i="5"/>
  <c r="C807" i="5"/>
  <c r="A807" i="5" s="1"/>
  <c r="D807" i="5"/>
  <c r="E807" i="5"/>
  <c r="F807" i="5"/>
  <c r="G807" i="5"/>
  <c r="H807" i="5"/>
  <c r="I807" i="5"/>
  <c r="J807" i="5"/>
  <c r="K807" i="5"/>
  <c r="B808" i="5"/>
  <c r="C808" i="5"/>
  <c r="D808" i="5"/>
  <c r="E808" i="5"/>
  <c r="F808" i="5"/>
  <c r="G808" i="5"/>
  <c r="H808" i="5"/>
  <c r="I808" i="5"/>
  <c r="J808" i="5"/>
  <c r="K808" i="5"/>
  <c r="B809" i="5"/>
  <c r="C809" i="5"/>
  <c r="A809" i="5" s="1"/>
  <c r="D809" i="5"/>
  <c r="E809" i="5"/>
  <c r="F809" i="5"/>
  <c r="G809" i="5"/>
  <c r="H809" i="5"/>
  <c r="I809" i="5"/>
  <c r="J809" i="5"/>
  <c r="K809" i="5"/>
  <c r="B810" i="5"/>
  <c r="C810" i="5"/>
  <c r="D810" i="5"/>
  <c r="E810" i="5"/>
  <c r="F810" i="5"/>
  <c r="G810" i="5"/>
  <c r="H810" i="5"/>
  <c r="I810" i="5"/>
  <c r="J810" i="5"/>
  <c r="K810" i="5"/>
  <c r="B811" i="5"/>
  <c r="C811" i="5"/>
  <c r="A811" i="5" s="1"/>
  <c r="D811" i="5"/>
  <c r="E811" i="5"/>
  <c r="F811" i="5"/>
  <c r="G811" i="5"/>
  <c r="H811" i="5"/>
  <c r="I811" i="5"/>
  <c r="J811" i="5"/>
  <c r="K811" i="5"/>
  <c r="B812" i="5"/>
  <c r="C812" i="5"/>
  <c r="A812" i="5" s="1"/>
  <c r="D812" i="5"/>
  <c r="E812" i="5"/>
  <c r="F812" i="5"/>
  <c r="G812" i="5"/>
  <c r="H812" i="5"/>
  <c r="I812" i="5"/>
  <c r="J812" i="5"/>
  <c r="K812" i="5"/>
  <c r="B813" i="5"/>
  <c r="C813" i="5"/>
  <c r="A813" i="5" s="1"/>
  <c r="D813" i="5"/>
  <c r="E813" i="5"/>
  <c r="F813" i="5"/>
  <c r="G813" i="5"/>
  <c r="H813" i="5"/>
  <c r="I813" i="5"/>
  <c r="J813" i="5"/>
  <c r="K813" i="5"/>
  <c r="B814" i="5"/>
  <c r="C814" i="5"/>
  <c r="D814" i="5"/>
  <c r="E814" i="5"/>
  <c r="F814" i="5"/>
  <c r="G814" i="5"/>
  <c r="H814" i="5"/>
  <c r="I814" i="5"/>
  <c r="J814" i="5"/>
  <c r="K814" i="5"/>
  <c r="B815" i="5"/>
  <c r="C815" i="5"/>
  <c r="A815" i="5" s="1"/>
  <c r="D815" i="5"/>
  <c r="E815" i="5"/>
  <c r="F815" i="5"/>
  <c r="G815" i="5"/>
  <c r="H815" i="5"/>
  <c r="I815" i="5"/>
  <c r="J815" i="5"/>
  <c r="K815" i="5"/>
  <c r="B816" i="5"/>
  <c r="C816" i="5"/>
  <c r="D816" i="5"/>
  <c r="E816" i="5"/>
  <c r="F816" i="5"/>
  <c r="G816" i="5"/>
  <c r="H816" i="5"/>
  <c r="I816" i="5"/>
  <c r="J816" i="5"/>
  <c r="K816" i="5"/>
  <c r="B817" i="5"/>
  <c r="C817" i="5"/>
  <c r="A817" i="5" s="1"/>
  <c r="D817" i="5"/>
  <c r="E817" i="5"/>
  <c r="F817" i="5"/>
  <c r="G817" i="5"/>
  <c r="H817" i="5"/>
  <c r="I817" i="5"/>
  <c r="J817" i="5"/>
  <c r="K817" i="5"/>
  <c r="B818" i="5"/>
  <c r="C818" i="5"/>
  <c r="A818" i="5" s="1"/>
  <c r="D818" i="5"/>
  <c r="E818" i="5"/>
  <c r="F818" i="5"/>
  <c r="G818" i="5"/>
  <c r="H818" i="5"/>
  <c r="I818" i="5"/>
  <c r="J818" i="5"/>
  <c r="K818" i="5"/>
  <c r="B819" i="5"/>
  <c r="C819" i="5"/>
  <c r="A819" i="5" s="1"/>
  <c r="D819" i="5"/>
  <c r="E819" i="5"/>
  <c r="F819" i="5"/>
  <c r="G819" i="5"/>
  <c r="H819" i="5"/>
  <c r="I819" i="5"/>
  <c r="J819" i="5"/>
  <c r="K819" i="5"/>
  <c r="B820" i="5"/>
  <c r="C820" i="5"/>
  <c r="D820" i="5"/>
  <c r="E820" i="5"/>
  <c r="F820" i="5"/>
  <c r="G820" i="5"/>
  <c r="H820" i="5"/>
  <c r="I820" i="5"/>
  <c r="J820" i="5"/>
  <c r="K820" i="5"/>
  <c r="B821" i="5"/>
  <c r="C821" i="5"/>
  <c r="A821" i="5" s="1"/>
  <c r="D821" i="5"/>
  <c r="E821" i="5"/>
  <c r="F821" i="5"/>
  <c r="G821" i="5"/>
  <c r="H821" i="5"/>
  <c r="I821" i="5"/>
  <c r="J821" i="5"/>
  <c r="K821" i="5"/>
  <c r="B822" i="5"/>
  <c r="C822" i="5"/>
  <c r="D822" i="5"/>
  <c r="E822" i="5"/>
  <c r="F822" i="5"/>
  <c r="G822" i="5"/>
  <c r="H822" i="5"/>
  <c r="I822" i="5"/>
  <c r="J822" i="5"/>
  <c r="K822" i="5"/>
  <c r="B823" i="5"/>
  <c r="C823" i="5"/>
  <c r="A823" i="5" s="1"/>
  <c r="D823" i="5"/>
  <c r="E823" i="5"/>
  <c r="F823" i="5"/>
  <c r="G823" i="5"/>
  <c r="H823" i="5"/>
  <c r="I823" i="5"/>
  <c r="J823" i="5"/>
  <c r="K823" i="5"/>
  <c r="B824" i="5"/>
  <c r="C824" i="5"/>
  <c r="A824" i="5" s="1"/>
  <c r="D824" i="5"/>
  <c r="E824" i="5"/>
  <c r="F824" i="5"/>
  <c r="G824" i="5"/>
  <c r="H824" i="5"/>
  <c r="I824" i="5"/>
  <c r="J824" i="5"/>
  <c r="K824" i="5"/>
  <c r="B825" i="5"/>
  <c r="C825" i="5"/>
  <c r="A825" i="5" s="1"/>
  <c r="D825" i="5"/>
  <c r="E825" i="5"/>
  <c r="F825" i="5"/>
  <c r="G825" i="5"/>
  <c r="H825" i="5"/>
  <c r="I825" i="5"/>
  <c r="J825" i="5"/>
  <c r="K825" i="5"/>
  <c r="B826" i="5"/>
  <c r="C826" i="5"/>
  <c r="D826" i="5"/>
  <c r="E826" i="5"/>
  <c r="F826" i="5"/>
  <c r="G826" i="5"/>
  <c r="H826" i="5"/>
  <c r="I826" i="5"/>
  <c r="J826" i="5"/>
  <c r="K826" i="5"/>
  <c r="B827" i="5"/>
  <c r="C827" i="5"/>
  <c r="A827" i="5" s="1"/>
  <c r="D827" i="5"/>
  <c r="E827" i="5"/>
  <c r="F827" i="5"/>
  <c r="G827" i="5"/>
  <c r="H827" i="5"/>
  <c r="I827" i="5"/>
  <c r="J827" i="5"/>
  <c r="K827" i="5"/>
  <c r="B828" i="5"/>
  <c r="C828" i="5"/>
  <c r="D828" i="5"/>
  <c r="E828" i="5"/>
  <c r="F828" i="5"/>
  <c r="G828" i="5"/>
  <c r="H828" i="5"/>
  <c r="I828" i="5"/>
  <c r="J828" i="5"/>
  <c r="K828" i="5"/>
  <c r="B829" i="5"/>
  <c r="C829" i="5"/>
  <c r="A829" i="5" s="1"/>
  <c r="D829" i="5"/>
  <c r="E829" i="5"/>
  <c r="F829" i="5"/>
  <c r="G829" i="5"/>
  <c r="H829" i="5"/>
  <c r="I829" i="5"/>
  <c r="J829" i="5"/>
  <c r="K829" i="5"/>
  <c r="B830" i="5"/>
  <c r="C830" i="5"/>
  <c r="A830" i="5" s="1"/>
  <c r="D830" i="5"/>
  <c r="E830" i="5"/>
  <c r="F830" i="5"/>
  <c r="G830" i="5"/>
  <c r="H830" i="5"/>
  <c r="I830" i="5"/>
  <c r="J830" i="5"/>
  <c r="K830" i="5"/>
  <c r="B831" i="5"/>
  <c r="C831" i="5"/>
  <c r="A831" i="5" s="1"/>
  <c r="D831" i="5"/>
  <c r="E831" i="5"/>
  <c r="F831" i="5"/>
  <c r="G831" i="5"/>
  <c r="H831" i="5"/>
  <c r="I831" i="5"/>
  <c r="J831" i="5"/>
  <c r="K831" i="5"/>
  <c r="B832" i="5"/>
  <c r="C832" i="5"/>
  <c r="D832" i="5"/>
  <c r="E832" i="5"/>
  <c r="F832" i="5"/>
  <c r="G832" i="5"/>
  <c r="H832" i="5"/>
  <c r="I832" i="5"/>
  <c r="J832" i="5"/>
  <c r="K832" i="5"/>
  <c r="B833" i="5"/>
  <c r="C833" i="5"/>
  <c r="A833" i="5" s="1"/>
  <c r="D833" i="5"/>
  <c r="E833" i="5"/>
  <c r="F833" i="5"/>
  <c r="G833" i="5"/>
  <c r="H833" i="5"/>
  <c r="I833" i="5"/>
  <c r="J833" i="5"/>
  <c r="K833" i="5"/>
  <c r="B834" i="5"/>
  <c r="C834" i="5"/>
  <c r="D834" i="5"/>
  <c r="E834" i="5"/>
  <c r="F834" i="5"/>
  <c r="G834" i="5"/>
  <c r="H834" i="5"/>
  <c r="I834" i="5"/>
  <c r="J834" i="5"/>
  <c r="K834" i="5"/>
  <c r="B835" i="5"/>
  <c r="C835" i="5"/>
  <c r="A835" i="5" s="1"/>
  <c r="D835" i="5"/>
  <c r="E835" i="5"/>
  <c r="F835" i="5"/>
  <c r="G835" i="5"/>
  <c r="H835" i="5"/>
  <c r="I835" i="5"/>
  <c r="J835" i="5"/>
  <c r="K835" i="5"/>
  <c r="B836" i="5"/>
  <c r="C836" i="5"/>
  <c r="A836" i="5" s="1"/>
  <c r="D836" i="5"/>
  <c r="E836" i="5"/>
  <c r="F836" i="5"/>
  <c r="G836" i="5"/>
  <c r="H836" i="5"/>
  <c r="I836" i="5"/>
  <c r="J836" i="5"/>
  <c r="K836" i="5"/>
  <c r="B837" i="5"/>
  <c r="C837" i="5"/>
  <c r="A837" i="5" s="1"/>
  <c r="D837" i="5"/>
  <c r="E837" i="5"/>
  <c r="F837" i="5"/>
  <c r="G837" i="5"/>
  <c r="H837" i="5"/>
  <c r="I837" i="5"/>
  <c r="J837" i="5"/>
  <c r="K837" i="5"/>
  <c r="B838" i="5"/>
  <c r="C838" i="5"/>
  <c r="D838" i="5"/>
  <c r="E838" i="5"/>
  <c r="F838" i="5"/>
  <c r="G838" i="5"/>
  <c r="H838" i="5"/>
  <c r="I838" i="5"/>
  <c r="J838" i="5"/>
  <c r="K838" i="5"/>
  <c r="B839" i="5"/>
  <c r="C839" i="5"/>
  <c r="A839" i="5" s="1"/>
  <c r="D839" i="5"/>
  <c r="E839" i="5"/>
  <c r="F839" i="5"/>
  <c r="G839" i="5"/>
  <c r="H839" i="5"/>
  <c r="I839" i="5"/>
  <c r="J839" i="5"/>
  <c r="K839" i="5"/>
  <c r="B840" i="5"/>
  <c r="C840" i="5"/>
  <c r="D840" i="5"/>
  <c r="E840" i="5"/>
  <c r="F840" i="5"/>
  <c r="G840" i="5"/>
  <c r="H840" i="5"/>
  <c r="I840" i="5"/>
  <c r="J840" i="5"/>
  <c r="K840" i="5"/>
  <c r="B841" i="5"/>
  <c r="C841" i="5"/>
  <c r="A841" i="5" s="1"/>
  <c r="D841" i="5"/>
  <c r="E841" i="5"/>
  <c r="F841" i="5"/>
  <c r="G841" i="5"/>
  <c r="H841" i="5"/>
  <c r="I841" i="5"/>
  <c r="J841" i="5"/>
  <c r="K841" i="5"/>
  <c r="B842" i="5"/>
  <c r="C842" i="5"/>
  <c r="A842" i="5" s="1"/>
  <c r="D842" i="5"/>
  <c r="E842" i="5"/>
  <c r="F842" i="5"/>
  <c r="G842" i="5"/>
  <c r="H842" i="5"/>
  <c r="I842" i="5"/>
  <c r="J842" i="5"/>
  <c r="K842" i="5"/>
  <c r="B843" i="5"/>
  <c r="C843" i="5"/>
  <c r="A843" i="5" s="1"/>
  <c r="D843" i="5"/>
  <c r="E843" i="5"/>
  <c r="F843" i="5"/>
  <c r="G843" i="5"/>
  <c r="H843" i="5"/>
  <c r="I843" i="5"/>
  <c r="J843" i="5"/>
  <c r="K843" i="5"/>
  <c r="B844" i="5"/>
  <c r="C844" i="5"/>
  <c r="D844" i="5"/>
  <c r="E844" i="5"/>
  <c r="F844" i="5"/>
  <c r="G844" i="5"/>
  <c r="H844" i="5"/>
  <c r="I844" i="5"/>
  <c r="J844" i="5"/>
  <c r="K844" i="5"/>
  <c r="B845" i="5"/>
  <c r="C845" i="5"/>
  <c r="A845" i="5" s="1"/>
  <c r="D845" i="5"/>
  <c r="E845" i="5"/>
  <c r="F845" i="5"/>
  <c r="G845" i="5"/>
  <c r="H845" i="5"/>
  <c r="I845" i="5"/>
  <c r="J845" i="5"/>
  <c r="K845" i="5"/>
  <c r="B846" i="5"/>
  <c r="C846" i="5"/>
  <c r="D846" i="5"/>
  <c r="E846" i="5"/>
  <c r="F846" i="5"/>
  <c r="G846" i="5"/>
  <c r="H846" i="5"/>
  <c r="I846" i="5"/>
  <c r="J846" i="5"/>
  <c r="K846" i="5"/>
  <c r="B847" i="5"/>
  <c r="C847" i="5"/>
  <c r="A847" i="5" s="1"/>
  <c r="D847" i="5"/>
  <c r="E847" i="5"/>
  <c r="F847" i="5"/>
  <c r="G847" i="5"/>
  <c r="H847" i="5"/>
  <c r="I847" i="5"/>
  <c r="J847" i="5"/>
  <c r="K847" i="5"/>
  <c r="B848" i="5"/>
  <c r="C848" i="5"/>
  <c r="A848" i="5" s="1"/>
  <c r="D848" i="5"/>
  <c r="E848" i="5"/>
  <c r="F848" i="5"/>
  <c r="G848" i="5"/>
  <c r="H848" i="5"/>
  <c r="I848" i="5"/>
  <c r="J848" i="5"/>
  <c r="K848" i="5"/>
  <c r="B849" i="5"/>
  <c r="C849" i="5"/>
  <c r="A849" i="5" s="1"/>
  <c r="D849" i="5"/>
  <c r="E849" i="5"/>
  <c r="F849" i="5"/>
  <c r="G849" i="5"/>
  <c r="H849" i="5"/>
  <c r="I849" i="5"/>
  <c r="J849" i="5"/>
  <c r="K849" i="5"/>
  <c r="B850" i="5"/>
  <c r="C850" i="5"/>
  <c r="D850" i="5"/>
  <c r="E850" i="5"/>
  <c r="F850" i="5"/>
  <c r="G850" i="5"/>
  <c r="H850" i="5"/>
  <c r="I850" i="5"/>
  <c r="J850" i="5"/>
  <c r="K850" i="5"/>
  <c r="B851" i="5"/>
  <c r="C851" i="5"/>
  <c r="A851" i="5" s="1"/>
  <c r="D851" i="5"/>
  <c r="E851" i="5"/>
  <c r="F851" i="5"/>
  <c r="G851" i="5"/>
  <c r="H851" i="5"/>
  <c r="I851" i="5"/>
  <c r="J851" i="5"/>
  <c r="K851" i="5"/>
  <c r="B852" i="5"/>
  <c r="C852" i="5"/>
  <c r="D852" i="5"/>
  <c r="E852" i="5"/>
  <c r="F852" i="5"/>
  <c r="G852" i="5"/>
  <c r="H852" i="5"/>
  <c r="I852" i="5"/>
  <c r="J852" i="5"/>
  <c r="K852" i="5"/>
  <c r="B853" i="5"/>
  <c r="C853" i="5"/>
  <c r="A853" i="5" s="1"/>
  <c r="D853" i="5"/>
  <c r="E853" i="5"/>
  <c r="F853" i="5"/>
  <c r="G853" i="5"/>
  <c r="H853" i="5"/>
  <c r="I853" i="5"/>
  <c r="J853" i="5"/>
  <c r="K853" i="5"/>
  <c r="B854" i="5"/>
  <c r="C854" i="5"/>
  <c r="A854" i="5" s="1"/>
  <c r="D854" i="5"/>
  <c r="E854" i="5"/>
  <c r="F854" i="5"/>
  <c r="G854" i="5"/>
  <c r="H854" i="5"/>
  <c r="I854" i="5"/>
  <c r="J854" i="5"/>
  <c r="K854" i="5"/>
  <c r="B855" i="5"/>
  <c r="C855" i="5"/>
  <c r="A855" i="5" s="1"/>
  <c r="D855" i="5"/>
  <c r="E855" i="5"/>
  <c r="F855" i="5"/>
  <c r="G855" i="5"/>
  <c r="H855" i="5"/>
  <c r="I855" i="5"/>
  <c r="J855" i="5"/>
  <c r="K855" i="5"/>
  <c r="B856" i="5"/>
  <c r="C856" i="5"/>
  <c r="D856" i="5"/>
  <c r="E856" i="5"/>
  <c r="F856" i="5"/>
  <c r="G856" i="5"/>
  <c r="H856" i="5"/>
  <c r="I856" i="5"/>
  <c r="J856" i="5"/>
  <c r="K856" i="5"/>
  <c r="B857" i="5"/>
  <c r="C857" i="5"/>
  <c r="A857" i="5" s="1"/>
  <c r="D857" i="5"/>
  <c r="E857" i="5"/>
  <c r="F857" i="5"/>
  <c r="G857" i="5"/>
  <c r="H857" i="5"/>
  <c r="I857" i="5"/>
  <c r="J857" i="5"/>
  <c r="K857" i="5"/>
  <c r="B858" i="5"/>
  <c r="C858" i="5"/>
  <c r="D858" i="5"/>
  <c r="E858" i="5"/>
  <c r="F858" i="5"/>
  <c r="G858" i="5"/>
  <c r="H858" i="5"/>
  <c r="I858" i="5"/>
  <c r="J858" i="5"/>
  <c r="K858" i="5"/>
  <c r="B859" i="5"/>
  <c r="C859" i="5"/>
  <c r="A859" i="5" s="1"/>
  <c r="D859" i="5"/>
  <c r="E859" i="5"/>
  <c r="F859" i="5"/>
  <c r="G859" i="5"/>
  <c r="H859" i="5"/>
  <c r="I859" i="5"/>
  <c r="J859" i="5"/>
  <c r="K859" i="5"/>
  <c r="B860" i="5"/>
  <c r="C860" i="5"/>
  <c r="A860" i="5" s="1"/>
  <c r="D860" i="5"/>
  <c r="E860" i="5"/>
  <c r="F860" i="5"/>
  <c r="G860" i="5"/>
  <c r="H860" i="5"/>
  <c r="I860" i="5"/>
  <c r="J860" i="5"/>
  <c r="K860" i="5"/>
  <c r="B861" i="5"/>
  <c r="C861" i="5"/>
  <c r="A861" i="5" s="1"/>
  <c r="D861" i="5"/>
  <c r="E861" i="5"/>
  <c r="F861" i="5"/>
  <c r="G861" i="5"/>
  <c r="H861" i="5"/>
  <c r="I861" i="5"/>
  <c r="J861" i="5"/>
  <c r="K861" i="5"/>
  <c r="B862" i="5"/>
  <c r="C862" i="5"/>
  <c r="D862" i="5"/>
  <c r="E862" i="5"/>
  <c r="F862" i="5"/>
  <c r="G862" i="5"/>
  <c r="H862" i="5"/>
  <c r="I862" i="5"/>
  <c r="J862" i="5"/>
  <c r="K862" i="5"/>
  <c r="B863" i="5"/>
  <c r="C863" i="5"/>
  <c r="A863" i="5" s="1"/>
  <c r="D863" i="5"/>
  <c r="E863" i="5"/>
  <c r="F863" i="5"/>
  <c r="G863" i="5"/>
  <c r="H863" i="5"/>
  <c r="I863" i="5"/>
  <c r="J863" i="5"/>
  <c r="K863" i="5"/>
  <c r="B864" i="5"/>
  <c r="C864" i="5"/>
  <c r="D864" i="5"/>
  <c r="E864" i="5"/>
  <c r="F864" i="5"/>
  <c r="G864" i="5"/>
  <c r="H864" i="5"/>
  <c r="I864" i="5"/>
  <c r="J864" i="5"/>
  <c r="K864" i="5"/>
  <c r="B865" i="5"/>
  <c r="C865" i="5"/>
  <c r="A865" i="5" s="1"/>
  <c r="D865" i="5"/>
  <c r="E865" i="5"/>
  <c r="F865" i="5"/>
  <c r="G865" i="5"/>
  <c r="H865" i="5"/>
  <c r="I865" i="5"/>
  <c r="J865" i="5"/>
  <c r="K865" i="5"/>
  <c r="B866" i="5"/>
  <c r="C866" i="5"/>
  <c r="A866" i="5" s="1"/>
  <c r="D866" i="5"/>
  <c r="E866" i="5"/>
  <c r="F866" i="5"/>
  <c r="G866" i="5"/>
  <c r="H866" i="5"/>
  <c r="I866" i="5"/>
  <c r="J866" i="5"/>
  <c r="K866" i="5"/>
  <c r="B867" i="5"/>
  <c r="C867" i="5"/>
  <c r="A867" i="5" s="1"/>
  <c r="D867" i="5"/>
  <c r="E867" i="5"/>
  <c r="F867" i="5"/>
  <c r="G867" i="5"/>
  <c r="H867" i="5"/>
  <c r="I867" i="5"/>
  <c r="J867" i="5"/>
  <c r="K867" i="5"/>
  <c r="B868" i="5"/>
  <c r="C868" i="5"/>
  <c r="D868" i="5"/>
  <c r="E868" i="5"/>
  <c r="F868" i="5"/>
  <c r="G868" i="5"/>
  <c r="H868" i="5"/>
  <c r="I868" i="5"/>
  <c r="J868" i="5"/>
  <c r="K868" i="5"/>
  <c r="B869" i="5"/>
  <c r="C869" i="5"/>
  <c r="A869" i="5" s="1"/>
  <c r="D869" i="5"/>
  <c r="E869" i="5"/>
  <c r="F869" i="5"/>
  <c r="G869" i="5"/>
  <c r="H869" i="5"/>
  <c r="I869" i="5"/>
  <c r="J869" i="5"/>
  <c r="K869" i="5"/>
  <c r="B870" i="5"/>
  <c r="C870" i="5"/>
  <c r="D870" i="5"/>
  <c r="E870" i="5"/>
  <c r="F870" i="5"/>
  <c r="G870" i="5"/>
  <c r="H870" i="5"/>
  <c r="I870" i="5"/>
  <c r="J870" i="5"/>
  <c r="K870" i="5"/>
  <c r="B871" i="5"/>
  <c r="C871" i="5"/>
  <c r="A871" i="5" s="1"/>
  <c r="D871" i="5"/>
  <c r="E871" i="5"/>
  <c r="F871" i="5"/>
  <c r="G871" i="5"/>
  <c r="H871" i="5"/>
  <c r="I871" i="5"/>
  <c r="J871" i="5"/>
  <c r="K871" i="5"/>
  <c r="B872" i="5"/>
  <c r="C872" i="5"/>
  <c r="A872" i="5" s="1"/>
  <c r="D872" i="5"/>
  <c r="E872" i="5"/>
  <c r="F872" i="5"/>
  <c r="G872" i="5"/>
  <c r="H872" i="5"/>
  <c r="I872" i="5"/>
  <c r="J872" i="5"/>
  <c r="K872" i="5"/>
  <c r="B873" i="5"/>
  <c r="C873" i="5"/>
  <c r="A873" i="5" s="1"/>
  <c r="D873" i="5"/>
  <c r="E873" i="5"/>
  <c r="F873" i="5"/>
  <c r="G873" i="5"/>
  <c r="H873" i="5"/>
  <c r="I873" i="5"/>
  <c r="J873" i="5"/>
  <c r="K873" i="5"/>
  <c r="B874" i="5"/>
  <c r="C874" i="5"/>
  <c r="D874" i="5"/>
  <c r="E874" i="5"/>
  <c r="F874" i="5"/>
  <c r="G874" i="5"/>
  <c r="H874" i="5"/>
  <c r="I874" i="5"/>
  <c r="J874" i="5"/>
  <c r="K874" i="5"/>
  <c r="B875" i="5"/>
  <c r="C875" i="5"/>
  <c r="A875" i="5" s="1"/>
  <c r="D875" i="5"/>
  <c r="E875" i="5"/>
  <c r="F875" i="5"/>
  <c r="G875" i="5"/>
  <c r="H875" i="5"/>
  <c r="I875" i="5"/>
  <c r="J875" i="5"/>
  <c r="K875" i="5"/>
  <c r="B876" i="5"/>
  <c r="C876" i="5"/>
  <c r="D876" i="5"/>
  <c r="E876" i="5"/>
  <c r="F876" i="5"/>
  <c r="G876" i="5"/>
  <c r="H876" i="5"/>
  <c r="I876" i="5"/>
  <c r="J876" i="5"/>
  <c r="K876" i="5"/>
  <c r="B877" i="5"/>
  <c r="C877" i="5"/>
  <c r="A877" i="5" s="1"/>
  <c r="D877" i="5"/>
  <c r="E877" i="5"/>
  <c r="F877" i="5"/>
  <c r="G877" i="5"/>
  <c r="H877" i="5"/>
  <c r="I877" i="5"/>
  <c r="J877" i="5"/>
  <c r="K877" i="5"/>
  <c r="B878" i="5"/>
  <c r="C878" i="5"/>
  <c r="A878" i="5" s="1"/>
  <c r="D878" i="5"/>
  <c r="E878" i="5"/>
  <c r="F878" i="5"/>
  <c r="G878" i="5"/>
  <c r="H878" i="5"/>
  <c r="I878" i="5"/>
  <c r="J878" i="5"/>
  <c r="K878" i="5"/>
  <c r="B879" i="5"/>
  <c r="C879" i="5"/>
  <c r="A879" i="5" s="1"/>
  <c r="D879" i="5"/>
  <c r="E879" i="5"/>
  <c r="F879" i="5"/>
  <c r="G879" i="5"/>
  <c r="H879" i="5"/>
  <c r="I879" i="5"/>
  <c r="J879" i="5"/>
  <c r="K879" i="5"/>
  <c r="B880" i="5"/>
  <c r="C880" i="5"/>
  <c r="D880" i="5"/>
  <c r="E880" i="5"/>
  <c r="F880" i="5"/>
  <c r="G880" i="5"/>
  <c r="H880" i="5"/>
  <c r="I880" i="5"/>
  <c r="J880" i="5"/>
  <c r="K880" i="5"/>
  <c r="B881" i="5"/>
  <c r="C881" i="5"/>
  <c r="A881" i="5" s="1"/>
  <c r="D881" i="5"/>
  <c r="E881" i="5"/>
  <c r="F881" i="5"/>
  <c r="G881" i="5"/>
  <c r="H881" i="5"/>
  <c r="I881" i="5"/>
  <c r="J881" i="5"/>
  <c r="K881" i="5"/>
  <c r="B882" i="5"/>
  <c r="C882" i="5"/>
  <c r="D882" i="5"/>
  <c r="E882" i="5"/>
  <c r="F882" i="5"/>
  <c r="G882" i="5"/>
  <c r="H882" i="5"/>
  <c r="I882" i="5"/>
  <c r="J882" i="5"/>
  <c r="K882" i="5"/>
  <c r="B883" i="5"/>
  <c r="C883" i="5"/>
  <c r="A883" i="5" s="1"/>
  <c r="D883" i="5"/>
  <c r="E883" i="5"/>
  <c r="F883" i="5"/>
  <c r="G883" i="5"/>
  <c r="H883" i="5"/>
  <c r="I883" i="5"/>
  <c r="J883" i="5"/>
  <c r="K883" i="5"/>
  <c r="B884" i="5"/>
  <c r="C884" i="5"/>
  <c r="A884" i="5" s="1"/>
  <c r="D884" i="5"/>
  <c r="E884" i="5"/>
  <c r="F884" i="5"/>
  <c r="G884" i="5"/>
  <c r="H884" i="5"/>
  <c r="I884" i="5"/>
  <c r="J884" i="5"/>
  <c r="K884" i="5"/>
  <c r="B885" i="5"/>
  <c r="C885" i="5"/>
  <c r="A885" i="5" s="1"/>
  <c r="D885" i="5"/>
  <c r="E885" i="5"/>
  <c r="F885" i="5"/>
  <c r="G885" i="5"/>
  <c r="H885" i="5"/>
  <c r="I885" i="5"/>
  <c r="J885" i="5"/>
  <c r="K885" i="5"/>
  <c r="B886" i="5"/>
  <c r="C886" i="5"/>
  <c r="D886" i="5"/>
  <c r="E886" i="5"/>
  <c r="F886" i="5"/>
  <c r="G886" i="5"/>
  <c r="H886" i="5"/>
  <c r="I886" i="5"/>
  <c r="J886" i="5"/>
  <c r="K886" i="5"/>
  <c r="B887" i="5"/>
  <c r="C887" i="5"/>
  <c r="A887" i="5" s="1"/>
  <c r="D887" i="5"/>
  <c r="E887" i="5"/>
  <c r="F887" i="5"/>
  <c r="G887" i="5"/>
  <c r="H887" i="5"/>
  <c r="I887" i="5"/>
  <c r="J887" i="5"/>
  <c r="K887" i="5"/>
  <c r="B888" i="5"/>
  <c r="C888" i="5"/>
  <c r="D888" i="5"/>
  <c r="E888" i="5"/>
  <c r="F888" i="5"/>
  <c r="G888" i="5"/>
  <c r="H888" i="5"/>
  <c r="I888" i="5"/>
  <c r="J888" i="5"/>
  <c r="K888" i="5"/>
  <c r="B889" i="5"/>
  <c r="C889" i="5"/>
  <c r="A889" i="5" s="1"/>
  <c r="D889" i="5"/>
  <c r="E889" i="5"/>
  <c r="F889" i="5"/>
  <c r="G889" i="5"/>
  <c r="H889" i="5"/>
  <c r="I889" i="5"/>
  <c r="J889" i="5"/>
  <c r="K889" i="5"/>
  <c r="B890" i="5"/>
  <c r="C890" i="5"/>
  <c r="A890" i="5" s="1"/>
  <c r="D890" i="5"/>
  <c r="E890" i="5"/>
  <c r="F890" i="5"/>
  <c r="G890" i="5"/>
  <c r="H890" i="5"/>
  <c r="I890" i="5"/>
  <c r="J890" i="5"/>
  <c r="K890" i="5"/>
  <c r="B891" i="5"/>
  <c r="C891" i="5"/>
  <c r="A891" i="5" s="1"/>
  <c r="D891" i="5"/>
  <c r="E891" i="5"/>
  <c r="F891" i="5"/>
  <c r="G891" i="5"/>
  <c r="H891" i="5"/>
  <c r="I891" i="5"/>
  <c r="J891" i="5"/>
  <c r="K891" i="5"/>
  <c r="B892" i="5"/>
  <c r="C892" i="5"/>
  <c r="D892" i="5"/>
  <c r="E892" i="5"/>
  <c r="F892" i="5"/>
  <c r="G892" i="5"/>
  <c r="H892" i="5"/>
  <c r="I892" i="5"/>
  <c r="J892" i="5"/>
  <c r="K892" i="5"/>
  <c r="B893" i="5"/>
  <c r="C893" i="5"/>
  <c r="A893" i="5" s="1"/>
  <c r="D893" i="5"/>
  <c r="E893" i="5"/>
  <c r="F893" i="5"/>
  <c r="G893" i="5"/>
  <c r="H893" i="5"/>
  <c r="I893" i="5"/>
  <c r="J893" i="5"/>
  <c r="K893" i="5"/>
  <c r="B894" i="5"/>
  <c r="C894" i="5"/>
  <c r="D894" i="5"/>
  <c r="E894" i="5"/>
  <c r="F894" i="5"/>
  <c r="G894" i="5"/>
  <c r="H894" i="5"/>
  <c r="I894" i="5"/>
  <c r="J894" i="5"/>
  <c r="K894" i="5"/>
  <c r="B895" i="5"/>
  <c r="C895" i="5"/>
  <c r="A895" i="5" s="1"/>
  <c r="D895" i="5"/>
  <c r="E895" i="5"/>
  <c r="F895" i="5"/>
  <c r="G895" i="5"/>
  <c r="H895" i="5"/>
  <c r="I895" i="5"/>
  <c r="J895" i="5"/>
  <c r="K895" i="5"/>
  <c r="B896" i="5"/>
  <c r="C896" i="5"/>
  <c r="A896" i="5" s="1"/>
  <c r="D896" i="5"/>
  <c r="E896" i="5"/>
  <c r="F896" i="5"/>
  <c r="G896" i="5"/>
  <c r="H896" i="5"/>
  <c r="I896" i="5"/>
  <c r="J896" i="5"/>
  <c r="K896" i="5"/>
  <c r="B897" i="5"/>
  <c r="C897" i="5"/>
  <c r="A897" i="5" s="1"/>
  <c r="D897" i="5"/>
  <c r="E897" i="5"/>
  <c r="F897" i="5"/>
  <c r="G897" i="5"/>
  <c r="H897" i="5"/>
  <c r="I897" i="5"/>
  <c r="J897" i="5"/>
  <c r="K897" i="5"/>
  <c r="B898" i="5"/>
  <c r="C898" i="5"/>
  <c r="D898" i="5"/>
  <c r="E898" i="5"/>
  <c r="F898" i="5"/>
  <c r="G898" i="5"/>
  <c r="H898" i="5"/>
  <c r="I898" i="5"/>
  <c r="J898" i="5"/>
  <c r="K898" i="5"/>
  <c r="B899" i="5"/>
  <c r="C899" i="5"/>
  <c r="A899" i="5" s="1"/>
  <c r="D899" i="5"/>
  <c r="E899" i="5"/>
  <c r="F899" i="5"/>
  <c r="G899" i="5"/>
  <c r="H899" i="5"/>
  <c r="I899" i="5"/>
  <c r="J899" i="5"/>
  <c r="K899" i="5"/>
  <c r="B900" i="5"/>
  <c r="C900" i="5"/>
  <c r="D900" i="5"/>
  <c r="E900" i="5"/>
  <c r="F900" i="5"/>
  <c r="G900" i="5"/>
  <c r="H900" i="5"/>
  <c r="I900" i="5"/>
  <c r="J900" i="5"/>
  <c r="K900" i="5"/>
  <c r="B901" i="5"/>
  <c r="C901" i="5"/>
  <c r="A901" i="5" s="1"/>
  <c r="D901" i="5"/>
  <c r="E901" i="5"/>
  <c r="F901" i="5"/>
  <c r="G901" i="5"/>
  <c r="H901" i="5"/>
  <c r="I901" i="5"/>
  <c r="J901" i="5"/>
  <c r="K901" i="5"/>
  <c r="B902" i="5"/>
  <c r="C902" i="5"/>
  <c r="A902" i="5" s="1"/>
  <c r="D902" i="5"/>
  <c r="E902" i="5"/>
  <c r="F902" i="5"/>
  <c r="G902" i="5"/>
  <c r="H902" i="5"/>
  <c r="I902" i="5"/>
  <c r="J902" i="5"/>
  <c r="K902" i="5"/>
  <c r="B903" i="5"/>
  <c r="C903" i="5"/>
  <c r="A903" i="5" s="1"/>
  <c r="D903" i="5"/>
  <c r="E903" i="5"/>
  <c r="F903" i="5"/>
  <c r="G903" i="5"/>
  <c r="H903" i="5"/>
  <c r="I903" i="5"/>
  <c r="J903" i="5"/>
  <c r="K903" i="5"/>
  <c r="B904" i="5"/>
  <c r="C904" i="5"/>
  <c r="D904" i="5"/>
  <c r="E904" i="5"/>
  <c r="F904" i="5"/>
  <c r="G904" i="5"/>
  <c r="H904" i="5"/>
  <c r="I904" i="5"/>
  <c r="J904" i="5"/>
  <c r="K904" i="5"/>
  <c r="B905" i="5"/>
  <c r="C905" i="5"/>
  <c r="A905" i="5" s="1"/>
  <c r="D905" i="5"/>
  <c r="E905" i="5"/>
  <c r="F905" i="5"/>
  <c r="G905" i="5"/>
  <c r="H905" i="5"/>
  <c r="I905" i="5"/>
  <c r="J905" i="5"/>
  <c r="K905" i="5"/>
  <c r="B906" i="5"/>
  <c r="C906" i="5"/>
  <c r="D906" i="5"/>
  <c r="E906" i="5"/>
  <c r="F906" i="5"/>
  <c r="G906" i="5"/>
  <c r="H906" i="5"/>
  <c r="I906" i="5"/>
  <c r="J906" i="5"/>
  <c r="K906" i="5"/>
  <c r="B907" i="5"/>
  <c r="C907" i="5"/>
  <c r="A907" i="5" s="1"/>
  <c r="D907" i="5"/>
  <c r="E907" i="5"/>
  <c r="F907" i="5"/>
  <c r="G907" i="5"/>
  <c r="H907" i="5"/>
  <c r="I907" i="5"/>
  <c r="J907" i="5"/>
  <c r="K907" i="5"/>
  <c r="B908" i="5"/>
  <c r="C908" i="5"/>
  <c r="A908" i="5" s="1"/>
  <c r="D908" i="5"/>
  <c r="E908" i="5"/>
  <c r="F908" i="5"/>
  <c r="G908" i="5"/>
  <c r="H908" i="5"/>
  <c r="I908" i="5"/>
  <c r="J908" i="5"/>
  <c r="K908" i="5"/>
  <c r="B909" i="5"/>
  <c r="C909" i="5"/>
  <c r="A909" i="5" s="1"/>
  <c r="D909" i="5"/>
  <c r="E909" i="5"/>
  <c r="F909" i="5"/>
  <c r="G909" i="5"/>
  <c r="H909" i="5"/>
  <c r="I909" i="5"/>
  <c r="J909" i="5"/>
  <c r="K909" i="5"/>
  <c r="B910" i="5"/>
  <c r="C910" i="5"/>
  <c r="D910" i="5"/>
  <c r="E910" i="5"/>
  <c r="F910" i="5"/>
  <c r="G910" i="5"/>
  <c r="H910" i="5"/>
  <c r="I910" i="5"/>
  <c r="J910" i="5"/>
  <c r="K910" i="5"/>
  <c r="B911" i="5"/>
  <c r="C911" i="5"/>
  <c r="A911" i="5" s="1"/>
  <c r="D911" i="5"/>
  <c r="E911" i="5"/>
  <c r="F911" i="5"/>
  <c r="G911" i="5"/>
  <c r="H911" i="5"/>
  <c r="I911" i="5"/>
  <c r="J911" i="5"/>
  <c r="K911" i="5"/>
  <c r="B912" i="5"/>
  <c r="C912" i="5"/>
  <c r="D912" i="5"/>
  <c r="E912" i="5"/>
  <c r="F912" i="5"/>
  <c r="G912" i="5"/>
  <c r="H912" i="5"/>
  <c r="I912" i="5"/>
  <c r="J912" i="5"/>
  <c r="K912" i="5"/>
  <c r="B913" i="5"/>
  <c r="C913" i="5"/>
  <c r="A913" i="5" s="1"/>
  <c r="D913" i="5"/>
  <c r="E913" i="5"/>
  <c r="F913" i="5"/>
  <c r="G913" i="5"/>
  <c r="H913" i="5"/>
  <c r="I913" i="5"/>
  <c r="J913" i="5"/>
  <c r="K913" i="5"/>
  <c r="B914" i="5"/>
  <c r="C914" i="5"/>
  <c r="A914" i="5" s="1"/>
  <c r="D914" i="5"/>
  <c r="E914" i="5"/>
  <c r="F914" i="5"/>
  <c r="G914" i="5"/>
  <c r="H914" i="5"/>
  <c r="I914" i="5"/>
  <c r="J914" i="5"/>
  <c r="K914" i="5"/>
  <c r="B915" i="5"/>
  <c r="C915" i="5"/>
  <c r="A915" i="5" s="1"/>
  <c r="D915" i="5"/>
  <c r="E915" i="5"/>
  <c r="F915" i="5"/>
  <c r="G915" i="5"/>
  <c r="H915" i="5"/>
  <c r="I915" i="5"/>
  <c r="J915" i="5"/>
  <c r="K915" i="5"/>
  <c r="B916" i="5"/>
  <c r="C916" i="5"/>
  <c r="D916" i="5"/>
  <c r="E916" i="5"/>
  <c r="F916" i="5"/>
  <c r="G916" i="5"/>
  <c r="H916" i="5"/>
  <c r="I916" i="5"/>
  <c r="J916" i="5"/>
  <c r="K916" i="5"/>
  <c r="B917" i="5"/>
  <c r="C917" i="5"/>
  <c r="A917" i="5" s="1"/>
  <c r="D917" i="5"/>
  <c r="E917" i="5"/>
  <c r="F917" i="5"/>
  <c r="G917" i="5"/>
  <c r="H917" i="5"/>
  <c r="I917" i="5"/>
  <c r="J917" i="5"/>
  <c r="K917" i="5"/>
  <c r="B918" i="5"/>
  <c r="C918" i="5"/>
  <c r="D918" i="5"/>
  <c r="E918" i="5"/>
  <c r="F918" i="5"/>
  <c r="G918" i="5"/>
  <c r="H918" i="5"/>
  <c r="I918" i="5"/>
  <c r="J918" i="5"/>
  <c r="K918" i="5"/>
  <c r="B919" i="5"/>
  <c r="C919" i="5"/>
  <c r="A919" i="5" s="1"/>
  <c r="D919" i="5"/>
  <c r="E919" i="5"/>
  <c r="F919" i="5"/>
  <c r="G919" i="5"/>
  <c r="H919" i="5"/>
  <c r="I919" i="5"/>
  <c r="J919" i="5"/>
  <c r="K919" i="5"/>
  <c r="B920" i="5"/>
  <c r="C920" i="5"/>
  <c r="A920" i="5" s="1"/>
  <c r="D920" i="5"/>
  <c r="E920" i="5"/>
  <c r="F920" i="5"/>
  <c r="G920" i="5"/>
  <c r="H920" i="5"/>
  <c r="I920" i="5"/>
  <c r="J920" i="5"/>
  <c r="K920" i="5"/>
  <c r="B921" i="5"/>
  <c r="C921" i="5"/>
  <c r="A921" i="5" s="1"/>
  <c r="D921" i="5"/>
  <c r="E921" i="5"/>
  <c r="F921" i="5"/>
  <c r="G921" i="5"/>
  <c r="H921" i="5"/>
  <c r="I921" i="5"/>
  <c r="J921" i="5"/>
  <c r="K921" i="5"/>
  <c r="B922" i="5"/>
  <c r="C922" i="5"/>
  <c r="D922" i="5"/>
  <c r="E922" i="5"/>
  <c r="F922" i="5"/>
  <c r="G922" i="5"/>
  <c r="H922" i="5"/>
  <c r="I922" i="5"/>
  <c r="J922" i="5"/>
  <c r="K922" i="5"/>
  <c r="B923" i="5"/>
  <c r="C923" i="5"/>
  <c r="A923" i="5" s="1"/>
  <c r="D923" i="5"/>
  <c r="E923" i="5"/>
  <c r="F923" i="5"/>
  <c r="G923" i="5"/>
  <c r="H923" i="5"/>
  <c r="I923" i="5"/>
  <c r="J923" i="5"/>
  <c r="K923" i="5"/>
  <c r="B924" i="5"/>
  <c r="C924" i="5"/>
  <c r="D924" i="5"/>
  <c r="E924" i="5"/>
  <c r="F924" i="5"/>
  <c r="G924" i="5"/>
  <c r="H924" i="5"/>
  <c r="I924" i="5"/>
  <c r="J924" i="5"/>
  <c r="K924" i="5"/>
  <c r="B925" i="5"/>
  <c r="C925" i="5"/>
  <c r="A925" i="5" s="1"/>
  <c r="D925" i="5"/>
  <c r="E925" i="5"/>
  <c r="F925" i="5"/>
  <c r="G925" i="5"/>
  <c r="H925" i="5"/>
  <c r="I925" i="5"/>
  <c r="J925" i="5"/>
  <c r="K925" i="5"/>
  <c r="B926" i="5"/>
  <c r="C926" i="5"/>
  <c r="A926" i="5" s="1"/>
  <c r="D926" i="5"/>
  <c r="E926" i="5"/>
  <c r="F926" i="5"/>
  <c r="G926" i="5"/>
  <c r="H926" i="5"/>
  <c r="I926" i="5"/>
  <c r="J926" i="5"/>
  <c r="K926" i="5"/>
  <c r="B927" i="5"/>
  <c r="C927" i="5"/>
  <c r="A927" i="5" s="1"/>
  <c r="D927" i="5"/>
  <c r="E927" i="5"/>
  <c r="F927" i="5"/>
  <c r="G927" i="5"/>
  <c r="H927" i="5"/>
  <c r="I927" i="5"/>
  <c r="J927" i="5"/>
  <c r="K927" i="5"/>
  <c r="B928" i="5"/>
  <c r="C928" i="5"/>
  <c r="D928" i="5"/>
  <c r="E928" i="5"/>
  <c r="F928" i="5"/>
  <c r="G928" i="5"/>
  <c r="H928" i="5"/>
  <c r="I928" i="5"/>
  <c r="J928" i="5"/>
  <c r="K928" i="5"/>
  <c r="B929" i="5"/>
  <c r="C929" i="5"/>
  <c r="A929" i="5" s="1"/>
  <c r="D929" i="5"/>
  <c r="E929" i="5"/>
  <c r="F929" i="5"/>
  <c r="G929" i="5"/>
  <c r="H929" i="5"/>
  <c r="I929" i="5"/>
  <c r="J929" i="5"/>
  <c r="K929" i="5"/>
  <c r="B930" i="5"/>
  <c r="C930" i="5"/>
  <c r="D930" i="5"/>
  <c r="E930" i="5"/>
  <c r="F930" i="5"/>
  <c r="G930" i="5"/>
  <c r="H930" i="5"/>
  <c r="I930" i="5"/>
  <c r="J930" i="5"/>
  <c r="K930" i="5"/>
  <c r="B931" i="5"/>
  <c r="C931" i="5"/>
  <c r="A931" i="5" s="1"/>
  <c r="D931" i="5"/>
  <c r="E931" i="5"/>
  <c r="F931" i="5"/>
  <c r="G931" i="5"/>
  <c r="H931" i="5"/>
  <c r="I931" i="5"/>
  <c r="J931" i="5"/>
  <c r="K931" i="5"/>
  <c r="B932" i="5"/>
  <c r="C932" i="5"/>
  <c r="A932" i="5" s="1"/>
  <c r="D932" i="5"/>
  <c r="E932" i="5"/>
  <c r="F932" i="5"/>
  <c r="G932" i="5"/>
  <c r="H932" i="5"/>
  <c r="I932" i="5"/>
  <c r="J932" i="5"/>
  <c r="K932" i="5"/>
  <c r="B933" i="5"/>
  <c r="C933" i="5"/>
  <c r="A933" i="5" s="1"/>
  <c r="D933" i="5"/>
  <c r="E933" i="5"/>
  <c r="F933" i="5"/>
  <c r="G933" i="5"/>
  <c r="H933" i="5"/>
  <c r="I933" i="5"/>
  <c r="J933" i="5"/>
  <c r="K933" i="5"/>
  <c r="B934" i="5"/>
  <c r="C934" i="5"/>
  <c r="D934" i="5"/>
  <c r="E934" i="5"/>
  <c r="F934" i="5"/>
  <c r="G934" i="5"/>
  <c r="H934" i="5"/>
  <c r="I934" i="5"/>
  <c r="J934" i="5"/>
  <c r="K934" i="5"/>
  <c r="B935" i="5"/>
  <c r="C935" i="5"/>
  <c r="A935" i="5" s="1"/>
  <c r="D935" i="5"/>
  <c r="E935" i="5"/>
  <c r="F935" i="5"/>
  <c r="G935" i="5"/>
  <c r="H935" i="5"/>
  <c r="I935" i="5"/>
  <c r="J935" i="5"/>
  <c r="K935" i="5"/>
  <c r="B936" i="5"/>
  <c r="C936" i="5"/>
  <c r="D936" i="5"/>
  <c r="E936" i="5"/>
  <c r="F936" i="5"/>
  <c r="G936" i="5"/>
  <c r="H936" i="5"/>
  <c r="I936" i="5"/>
  <c r="J936" i="5"/>
  <c r="K936" i="5"/>
  <c r="B937" i="5"/>
  <c r="C937" i="5"/>
  <c r="A937" i="5" s="1"/>
  <c r="D937" i="5"/>
  <c r="E937" i="5"/>
  <c r="F937" i="5"/>
  <c r="G937" i="5"/>
  <c r="H937" i="5"/>
  <c r="I937" i="5"/>
  <c r="J937" i="5"/>
  <c r="K937" i="5"/>
  <c r="B938" i="5"/>
  <c r="C938" i="5"/>
  <c r="A938" i="5" s="1"/>
  <c r="D938" i="5"/>
  <c r="E938" i="5"/>
  <c r="F938" i="5"/>
  <c r="G938" i="5"/>
  <c r="H938" i="5"/>
  <c r="I938" i="5"/>
  <c r="J938" i="5"/>
  <c r="K938" i="5"/>
  <c r="B939" i="5"/>
  <c r="C939" i="5"/>
  <c r="A939" i="5" s="1"/>
  <c r="D939" i="5"/>
  <c r="E939" i="5"/>
  <c r="F939" i="5"/>
  <c r="G939" i="5"/>
  <c r="H939" i="5"/>
  <c r="I939" i="5"/>
  <c r="J939" i="5"/>
  <c r="K939" i="5"/>
  <c r="B940" i="5"/>
  <c r="C940" i="5"/>
  <c r="D940" i="5"/>
  <c r="E940" i="5"/>
  <c r="F940" i="5"/>
  <c r="G940" i="5"/>
  <c r="H940" i="5"/>
  <c r="I940" i="5"/>
  <c r="J940" i="5"/>
  <c r="K940" i="5"/>
  <c r="B941" i="5"/>
  <c r="C941" i="5"/>
  <c r="A941" i="5" s="1"/>
  <c r="D941" i="5"/>
  <c r="E941" i="5"/>
  <c r="F941" i="5"/>
  <c r="G941" i="5"/>
  <c r="H941" i="5"/>
  <c r="I941" i="5"/>
  <c r="J941" i="5"/>
  <c r="K941" i="5"/>
  <c r="B942" i="5"/>
  <c r="C942" i="5"/>
  <c r="D942" i="5"/>
  <c r="E942" i="5"/>
  <c r="F942" i="5"/>
  <c r="G942" i="5"/>
  <c r="H942" i="5"/>
  <c r="I942" i="5"/>
  <c r="J942" i="5"/>
  <c r="K942" i="5"/>
  <c r="B943" i="5"/>
  <c r="C943" i="5"/>
  <c r="A943" i="5" s="1"/>
  <c r="D943" i="5"/>
  <c r="E943" i="5"/>
  <c r="F943" i="5"/>
  <c r="G943" i="5"/>
  <c r="H943" i="5"/>
  <c r="I943" i="5"/>
  <c r="J943" i="5"/>
  <c r="K943" i="5"/>
  <c r="B944" i="5"/>
  <c r="C944" i="5"/>
  <c r="A944" i="5" s="1"/>
  <c r="D944" i="5"/>
  <c r="E944" i="5"/>
  <c r="F944" i="5"/>
  <c r="G944" i="5"/>
  <c r="H944" i="5"/>
  <c r="I944" i="5"/>
  <c r="J944" i="5"/>
  <c r="K944" i="5"/>
  <c r="B945" i="5"/>
  <c r="C945" i="5"/>
  <c r="A945" i="5" s="1"/>
  <c r="D945" i="5"/>
  <c r="E945" i="5"/>
  <c r="F945" i="5"/>
  <c r="G945" i="5"/>
  <c r="H945" i="5"/>
  <c r="I945" i="5"/>
  <c r="J945" i="5"/>
  <c r="K945" i="5"/>
  <c r="B946" i="5"/>
  <c r="C946" i="5"/>
  <c r="D946" i="5"/>
  <c r="E946" i="5"/>
  <c r="F946" i="5"/>
  <c r="G946" i="5"/>
  <c r="H946" i="5"/>
  <c r="I946" i="5"/>
  <c r="J946" i="5"/>
  <c r="K946" i="5"/>
  <c r="B947" i="5"/>
  <c r="C947" i="5"/>
  <c r="A947" i="5" s="1"/>
  <c r="D947" i="5"/>
  <c r="E947" i="5"/>
  <c r="F947" i="5"/>
  <c r="G947" i="5"/>
  <c r="H947" i="5"/>
  <c r="I947" i="5"/>
  <c r="J947" i="5"/>
  <c r="K947" i="5"/>
  <c r="B948" i="5"/>
  <c r="C948" i="5"/>
  <c r="D948" i="5"/>
  <c r="E948" i="5"/>
  <c r="F948" i="5"/>
  <c r="G948" i="5"/>
  <c r="H948" i="5"/>
  <c r="I948" i="5"/>
  <c r="J948" i="5"/>
  <c r="K948" i="5"/>
  <c r="B949" i="5"/>
  <c r="C949" i="5"/>
  <c r="A949" i="5" s="1"/>
  <c r="D949" i="5"/>
  <c r="E949" i="5"/>
  <c r="F949" i="5"/>
  <c r="G949" i="5"/>
  <c r="H949" i="5"/>
  <c r="I949" i="5"/>
  <c r="J949" i="5"/>
  <c r="K949" i="5"/>
  <c r="B950" i="5"/>
  <c r="C950" i="5"/>
  <c r="A950" i="5" s="1"/>
  <c r="D950" i="5"/>
  <c r="E950" i="5"/>
  <c r="F950" i="5"/>
  <c r="G950" i="5"/>
  <c r="H950" i="5"/>
  <c r="I950" i="5"/>
  <c r="J950" i="5"/>
  <c r="K950" i="5"/>
  <c r="B951" i="5"/>
  <c r="C951" i="5"/>
  <c r="A951" i="5" s="1"/>
  <c r="D951" i="5"/>
  <c r="E951" i="5"/>
  <c r="F951" i="5"/>
  <c r="G951" i="5"/>
  <c r="H951" i="5"/>
  <c r="I951" i="5"/>
  <c r="J951" i="5"/>
  <c r="K951" i="5"/>
  <c r="B952" i="5"/>
  <c r="C952" i="5"/>
  <c r="D952" i="5"/>
  <c r="E952" i="5"/>
  <c r="F952" i="5"/>
  <c r="G952" i="5"/>
  <c r="H952" i="5"/>
  <c r="I952" i="5"/>
  <c r="J952" i="5"/>
  <c r="K952" i="5"/>
  <c r="B953" i="5"/>
  <c r="C953" i="5"/>
  <c r="A953" i="5" s="1"/>
  <c r="D953" i="5"/>
  <c r="E953" i="5"/>
  <c r="F953" i="5"/>
  <c r="G953" i="5"/>
  <c r="H953" i="5"/>
  <c r="I953" i="5"/>
  <c r="J953" i="5"/>
  <c r="K953" i="5"/>
  <c r="B954" i="5"/>
  <c r="C954" i="5"/>
  <c r="D954" i="5"/>
  <c r="E954" i="5"/>
  <c r="F954" i="5"/>
  <c r="G954" i="5"/>
  <c r="H954" i="5"/>
  <c r="I954" i="5"/>
  <c r="J954" i="5"/>
  <c r="K954" i="5"/>
  <c r="B955" i="5"/>
  <c r="C955" i="5"/>
  <c r="A955" i="5" s="1"/>
  <c r="D955" i="5"/>
  <c r="E955" i="5"/>
  <c r="F955" i="5"/>
  <c r="G955" i="5"/>
  <c r="H955" i="5"/>
  <c r="I955" i="5"/>
  <c r="J955" i="5"/>
  <c r="K955" i="5"/>
  <c r="B956" i="5"/>
  <c r="C956" i="5"/>
  <c r="A956" i="5" s="1"/>
  <c r="D956" i="5"/>
  <c r="E956" i="5"/>
  <c r="F956" i="5"/>
  <c r="G956" i="5"/>
  <c r="H956" i="5"/>
  <c r="I956" i="5"/>
  <c r="J956" i="5"/>
  <c r="K956" i="5"/>
  <c r="B957" i="5"/>
  <c r="C957" i="5"/>
  <c r="A957" i="5" s="1"/>
  <c r="D957" i="5"/>
  <c r="E957" i="5"/>
  <c r="F957" i="5"/>
  <c r="G957" i="5"/>
  <c r="H957" i="5"/>
  <c r="I957" i="5"/>
  <c r="J957" i="5"/>
  <c r="K957" i="5"/>
  <c r="B958" i="5"/>
  <c r="C958" i="5"/>
  <c r="D958" i="5"/>
  <c r="E958" i="5"/>
  <c r="F958" i="5"/>
  <c r="G958" i="5"/>
  <c r="H958" i="5"/>
  <c r="I958" i="5"/>
  <c r="J958" i="5"/>
  <c r="K958" i="5"/>
  <c r="B959" i="5"/>
  <c r="C959" i="5"/>
  <c r="A959" i="5" s="1"/>
  <c r="D959" i="5"/>
  <c r="E959" i="5"/>
  <c r="F959" i="5"/>
  <c r="G959" i="5"/>
  <c r="H959" i="5"/>
  <c r="I959" i="5"/>
  <c r="J959" i="5"/>
  <c r="K959" i="5"/>
  <c r="B960" i="5"/>
  <c r="C960" i="5"/>
  <c r="D960" i="5"/>
  <c r="E960" i="5"/>
  <c r="F960" i="5"/>
  <c r="G960" i="5"/>
  <c r="H960" i="5"/>
  <c r="I960" i="5"/>
  <c r="J960" i="5"/>
  <c r="K960" i="5"/>
  <c r="B961" i="5"/>
  <c r="C961" i="5"/>
  <c r="A961" i="5" s="1"/>
  <c r="D961" i="5"/>
  <c r="E961" i="5"/>
  <c r="F961" i="5"/>
  <c r="G961" i="5"/>
  <c r="H961" i="5"/>
  <c r="I961" i="5"/>
  <c r="J961" i="5"/>
  <c r="K961" i="5"/>
  <c r="B962" i="5"/>
  <c r="C962" i="5"/>
  <c r="A962" i="5" s="1"/>
  <c r="D962" i="5"/>
  <c r="E962" i="5"/>
  <c r="F962" i="5"/>
  <c r="G962" i="5"/>
  <c r="H962" i="5"/>
  <c r="I962" i="5"/>
  <c r="J962" i="5"/>
  <c r="K962" i="5"/>
  <c r="B963" i="5"/>
  <c r="C963" i="5"/>
  <c r="A963" i="5" s="1"/>
  <c r="D963" i="5"/>
  <c r="E963" i="5"/>
  <c r="F963" i="5"/>
  <c r="G963" i="5"/>
  <c r="H963" i="5"/>
  <c r="I963" i="5"/>
  <c r="J963" i="5"/>
  <c r="K963" i="5"/>
  <c r="B964" i="5"/>
  <c r="C964" i="5"/>
  <c r="D964" i="5"/>
  <c r="E964" i="5"/>
  <c r="F964" i="5"/>
  <c r="G964" i="5"/>
  <c r="H964" i="5"/>
  <c r="I964" i="5"/>
  <c r="J964" i="5"/>
  <c r="K964" i="5"/>
  <c r="B965" i="5"/>
  <c r="C965" i="5"/>
  <c r="A965" i="5" s="1"/>
  <c r="D965" i="5"/>
  <c r="E965" i="5"/>
  <c r="F965" i="5"/>
  <c r="G965" i="5"/>
  <c r="H965" i="5"/>
  <c r="I965" i="5"/>
  <c r="J965" i="5"/>
  <c r="K965" i="5"/>
  <c r="B966" i="5"/>
  <c r="C966" i="5"/>
  <c r="D966" i="5"/>
  <c r="E966" i="5"/>
  <c r="F966" i="5"/>
  <c r="G966" i="5"/>
  <c r="H966" i="5"/>
  <c r="I966" i="5"/>
  <c r="J966" i="5"/>
  <c r="K966" i="5"/>
  <c r="B967" i="5"/>
  <c r="C967" i="5"/>
  <c r="A967" i="5" s="1"/>
  <c r="D967" i="5"/>
  <c r="E967" i="5"/>
  <c r="F967" i="5"/>
  <c r="G967" i="5"/>
  <c r="H967" i="5"/>
  <c r="I967" i="5"/>
  <c r="J967" i="5"/>
  <c r="K967" i="5"/>
  <c r="B968" i="5"/>
  <c r="C968" i="5"/>
  <c r="A968" i="5" s="1"/>
  <c r="D968" i="5"/>
  <c r="E968" i="5"/>
  <c r="F968" i="5"/>
  <c r="G968" i="5"/>
  <c r="H968" i="5"/>
  <c r="I968" i="5"/>
  <c r="J968" i="5"/>
  <c r="K968" i="5"/>
  <c r="B969" i="5"/>
  <c r="C969" i="5"/>
  <c r="A969" i="5" s="1"/>
  <c r="D969" i="5"/>
  <c r="E969" i="5"/>
  <c r="F969" i="5"/>
  <c r="G969" i="5"/>
  <c r="H969" i="5"/>
  <c r="I969" i="5"/>
  <c r="J969" i="5"/>
  <c r="K969" i="5"/>
  <c r="B970" i="5"/>
  <c r="C970" i="5"/>
  <c r="D970" i="5"/>
  <c r="E970" i="5"/>
  <c r="F970" i="5"/>
  <c r="G970" i="5"/>
  <c r="H970" i="5"/>
  <c r="I970" i="5"/>
  <c r="J970" i="5"/>
  <c r="K970" i="5"/>
  <c r="B971" i="5"/>
  <c r="C971" i="5"/>
  <c r="A971" i="5" s="1"/>
  <c r="D971" i="5"/>
  <c r="E971" i="5"/>
  <c r="F971" i="5"/>
  <c r="G971" i="5"/>
  <c r="H971" i="5"/>
  <c r="I971" i="5"/>
  <c r="J971" i="5"/>
  <c r="K971" i="5"/>
  <c r="B972" i="5"/>
  <c r="C972" i="5"/>
  <c r="D972" i="5"/>
  <c r="E972" i="5"/>
  <c r="F972" i="5"/>
  <c r="G972" i="5"/>
  <c r="H972" i="5"/>
  <c r="I972" i="5"/>
  <c r="J972" i="5"/>
  <c r="K972" i="5"/>
  <c r="B973" i="5"/>
  <c r="C973" i="5"/>
  <c r="A973" i="5" s="1"/>
  <c r="D973" i="5"/>
  <c r="E973" i="5"/>
  <c r="F973" i="5"/>
  <c r="G973" i="5"/>
  <c r="H973" i="5"/>
  <c r="I973" i="5"/>
  <c r="J973" i="5"/>
  <c r="K973" i="5"/>
  <c r="B974" i="5"/>
  <c r="C974" i="5"/>
  <c r="A974" i="5" s="1"/>
  <c r="D974" i="5"/>
  <c r="E974" i="5"/>
  <c r="F974" i="5"/>
  <c r="G974" i="5"/>
  <c r="H974" i="5"/>
  <c r="I974" i="5"/>
  <c r="J974" i="5"/>
  <c r="K974" i="5"/>
  <c r="B975" i="5"/>
  <c r="C975" i="5"/>
  <c r="A975" i="5" s="1"/>
  <c r="D975" i="5"/>
  <c r="E975" i="5"/>
  <c r="F975" i="5"/>
  <c r="G975" i="5"/>
  <c r="H975" i="5"/>
  <c r="I975" i="5"/>
  <c r="J975" i="5"/>
  <c r="K975" i="5"/>
  <c r="B976" i="5"/>
  <c r="C976" i="5"/>
  <c r="D976" i="5"/>
  <c r="E976" i="5"/>
  <c r="F976" i="5"/>
  <c r="G976" i="5"/>
  <c r="H976" i="5"/>
  <c r="I976" i="5"/>
  <c r="J976" i="5"/>
  <c r="K976" i="5"/>
  <c r="B977" i="5"/>
  <c r="C977" i="5"/>
  <c r="A977" i="5" s="1"/>
  <c r="D977" i="5"/>
  <c r="E977" i="5"/>
  <c r="F977" i="5"/>
  <c r="G977" i="5"/>
  <c r="H977" i="5"/>
  <c r="I977" i="5"/>
  <c r="J977" i="5"/>
  <c r="K977" i="5"/>
  <c r="B978" i="5"/>
  <c r="C978" i="5"/>
  <c r="D978" i="5"/>
  <c r="E978" i="5"/>
  <c r="F978" i="5"/>
  <c r="G978" i="5"/>
  <c r="H978" i="5"/>
  <c r="I978" i="5"/>
  <c r="J978" i="5"/>
  <c r="K978" i="5"/>
  <c r="B979" i="5"/>
  <c r="C979" i="5"/>
  <c r="A979" i="5" s="1"/>
  <c r="D979" i="5"/>
  <c r="E979" i="5"/>
  <c r="F979" i="5"/>
  <c r="G979" i="5"/>
  <c r="H979" i="5"/>
  <c r="I979" i="5"/>
  <c r="J979" i="5"/>
  <c r="K979" i="5"/>
  <c r="B980" i="5"/>
  <c r="C980" i="5"/>
  <c r="A980" i="5" s="1"/>
  <c r="D980" i="5"/>
  <c r="E980" i="5"/>
  <c r="F980" i="5"/>
  <c r="G980" i="5"/>
  <c r="H980" i="5"/>
  <c r="I980" i="5"/>
  <c r="J980" i="5"/>
  <c r="K980" i="5"/>
  <c r="B981" i="5"/>
  <c r="C981" i="5"/>
  <c r="A981" i="5" s="1"/>
  <c r="D981" i="5"/>
  <c r="E981" i="5"/>
  <c r="F981" i="5"/>
  <c r="G981" i="5"/>
  <c r="H981" i="5"/>
  <c r="I981" i="5"/>
  <c r="J981" i="5"/>
  <c r="K981" i="5"/>
  <c r="B982" i="5"/>
  <c r="C982" i="5"/>
  <c r="D982" i="5"/>
  <c r="E982" i="5"/>
  <c r="F982" i="5"/>
  <c r="G982" i="5"/>
  <c r="H982" i="5"/>
  <c r="I982" i="5"/>
  <c r="J982" i="5"/>
  <c r="K982" i="5"/>
  <c r="B983" i="5"/>
  <c r="C983" i="5"/>
  <c r="A983" i="5" s="1"/>
  <c r="D983" i="5"/>
  <c r="E983" i="5"/>
  <c r="F983" i="5"/>
  <c r="G983" i="5"/>
  <c r="H983" i="5"/>
  <c r="I983" i="5"/>
  <c r="J983" i="5"/>
  <c r="K983" i="5"/>
  <c r="B984" i="5"/>
  <c r="C984" i="5"/>
  <c r="D984" i="5"/>
  <c r="E984" i="5"/>
  <c r="F984" i="5"/>
  <c r="G984" i="5"/>
  <c r="H984" i="5"/>
  <c r="I984" i="5"/>
  <c r="J984" i="5"/>
  <c r="K984" i="5"/>
  <c r="B985" i="5"/>
  <c r="C985" i="5"/>
  <c r="A985" i="5" s="1"/>
  <c r="D985" i="5"/>
  <c r="E985" i="5"/>
  <c r="F985" i="5"/>
  <c r="G985" i="5"/>
  <c r="H985" i="5"/>
  <c r="I985" i="5"/>
  <c r="J985" i="5"/>
  <c r="K985" i="5"/>
  <c r="B986" i="5"/>
  <c r="C986" i="5"/>
  <c r="A986" i="5" s="1"/>
  <c r="D986" i="5"/>
  <c r="E986" i="5"/>
  <c r="F986" i="5"/>
  <c r="G986" i="5"/>
  <c r="H986" i="5"/>
  <c r="I986" i="5"/>
  <c r="J986" i="5"/>
  <c r="K986" i="5"/>
  <c r="B987" i="5"/>
  <c r="C987" i="5"/>
  <c r="A987" i="5" s="1"/>
  <c r="D987" i="5"/>
  <c r="E987" i="5"/>
  <c r="F987" i="5"/>
  <c r="G987" i="5"/>
  <c r="H987" i="5"/>
  <c r="I987" i="5"/>
  <c r="J987" i="5"/>
  <c r="K987" i="5"/>
  <c r="B988" i="5"/>
  <c r="C988" i="5"/>
  <c r="D988" i="5"/>
  <c r="E988" i="5"/>
  <c r="F988" i="5"/>
  <c r="G988" i="5"/>
  <c r="H988" i="5"/>
  <c r="I988" i="5"/>
  <c r="J988" i="5"/>
  <c r="K988" i="5"/>
  <c r="B989" i="5"/>
  <c r="C989" i="5"/>
  <c r="A989" i="5" s="1"/>
  <c r="D989" i="5"/>
  <c r="E989" i="5"/>
  <c r="F989" i="5"/>
  <c r="G989" i="5"/>
  <c r="H989" i="5"/>
  <c r="I989" i="5"/>
  <c r="J989" i="5"/>
  <c r="K989" i="5"/>
  <c r="B990" i="5"/>
  <c r="C990" i="5"/>
  <c r="D990" i="5"/>
  <c r="E990" i="5"/>
  <c r="F990" i="5"/>
  <c r="G990" i="5"/>
  <c r="H990" i="5"/>
  <c r="I990" i="5"/>
  <c r="J990" i="5"/>
  <c r="K990" i="5"/>
  <c r="B991" i="5"/>
  <c r="C991" i="5"/>
  <c r="A991" i="5" s="1"/>
  <c r="D991" i="5"/>
  <c r="E991" i="5"/>
  <c r="F991" i="5"/>
  <c r="G991" i="5"/>
  <c r="H991" i="5"/>
  <c r="I991" i="5"/>
  <c r="J991" i="5"/>
  <c r="K991" i="5"/>
  <c r="B992" i="5"/>
  <c r="C992" i="5"/>
  <c r="A992" i="5" s="1"/>
  <c r="D992" i="5"/>
  <c r="E992" i="5"/>
  <c r="F992" i="5"/>
  <c r="G992" i="5"/>
  <c r="H992" i="5"/>
  <c r="I992" i="5"/>
  <c r="J992" i="5"/>
  <c r="K992" i="5"/>
  <c r="B993" i="5"/>
  <c r="C993" i="5"/>
  <c r="A993" i="5" s="1"/>
  <c r="D993" i="5"/>
  <c r="E993" i="5"/>
  <c r="F993" i="5"/>
  <c r="G993" i="5"/>
  <c r="H993" i="5"/>
  <c r="I993" i="5"/>
  <c r="J993" i="5"/>
  <c r="K993" i="5"/>
  <c r="B994" i="5"/>
  <c r="C994" i="5"/>
  <c r="D994" i="5"/>
  <c r="E994" i="5"/>
  <c r="F994" i="5"/>
  <c r="G994" i="5"/>
  <c r="H994" i="5"/>
  <c r="I994" i="5"/>
  <c r="J994" i="5"/>
  <c r="K994" i="5"/>
  <c r="B995" i="5"/>
  <c r="C995" i="5"/>
  <c r="A995" i="5" s="1"/>
  <c r="D995" i="5"/>
  <c r="E995" i="5"/>
  <c r="F995" i="5"/>
  <c r="G995" i="5"/>
  <c r="H995" i="5"/>
  <c r="I995" i="5"/>
  <c r="J995" i="5"/>
  <c r="K995" i="5"/>
  <c r="B996" i="5"/>
  <c r="C996" i="5"/>
  <c r="D996" i="5"/>
  <c r="E996" i="5"/>
  <c r="F996" i="5"/>
  <c r="G996" i="5"/>
  <c r="H996" i="5"/>
  <c r="I996" i="5"/>
  <c r="J996" i="5"/>
  <c r="K996" i="5"/>
  <c r="B997" i="5"/>
  <c r="C997" i="5"/>
  <c r="A997" i="5" s="1"/>
  <c r="D997" i="5"/>
  <c r="E997" i="5"/>
  <c r="F997" i="5"/>
  <c r="G997" i="5"/>
  <c r="H997" i="5"/>
  <c r="I997" i="5"/>
  <c r="J997" i="5"/>
  <c r="K997" i="5"/>
  <c r="B998" i="5"/>
  <c r="C998" i="5"/>
  <c r="A998" i="5" s="1"/>
  <c r="D998" i="5"/>
  <c r="E998" i="5"/>
  <c r="F998" i="5"/>
  <c r="G998" i="5"/>
  <c r="H998" i="5"/>
  <c r="I998" i="5"/>
  <c r="J998" i="5"/>
  <c r="K998" i="5"/>
  <c r="B999" i="5"/>
  <c r="C999" i="5"/>
  <c r="A999" i="5" s="1"/>
  <c r="D999" i="5"/>
  <c r="E999" i="5"/>
  <c r="F999" i="5"/>
  <c r="G999" i="5"/>
  <c r="H999" i="5"/>
  <c r="I999" i="5"/>
  <c r="J999" i="5"/>
  <c r="K999" i="5"/>
  <c r="B1000" i="5"/>
  <c r="C1000" i="5"/>
  <c r="D1000" i="5"/>
  <c r="E1000" i="5"/>
  <c r="F1000" i="5"/>
  <c r="G1000" i="5"/>
  <c r="H1000" i="5"/>
  <c r="I1000" i="5"/>
  <c r="J1000" i="5"/>
  <c r="K1000" i="5"/>
  <c r="B1001" i="5"/>
  <c r="C1001" i="5"/>
  <c r="A1001" i="5" s="1"/>
  <c r="D1001" i="5"/>
  <c r="E1001" i="5"/>
  <c r="F1001" i="5"/>
  <c r="G1001" i="5"/>
  <c r="H1001" i="5"/>
  <c r="I1001" i="5"/>
  <c r="J1001" i="5"/>
  <c r="K1001" i="5"/>
  <c r="B1002" i="5"/>
  <c r="C1002" i="5"/>
  <c r="D1002" i="5"/>
  <c r="E1002" i="5"/>
  <c r="F1002" i="5"/>
  <c r="G1002" i="5"/>
  <c r="H1002" i="5"/>
  <c r="I1002" i="5"/>
  <c r="J1002" i="5"/>
  <c r="K1002" i="5"/>
  <c r="B1003" i="5"/>
  <c r="C1003" i="5"/>
  <c r="A1003" i="5" s="1"/>
  <c r="D1003" i="5"/>
  <c r="E1003" i="5"/>
  <c r="F1003" i="5"/>
  <c r="G1003" i="5"/>
  <c r="H1003" i="5"/>
  <c r="I1003" i="5"/>
  <c r="J1003" i="5"/>
  <c r="K1003" i="5"/>
  <c r="B1004" i="5"/>
  <c r="C1004" i="5"/>
  <c r="A1004" i="5" s="1"/>
  <c r="D1004" i="5"/>
  <c r="E1004" i="5"/>
  <c r="F1004" i="5"/>
  <c r="G1004" i="5"/>
  <c r="H1004" i="5"/>
  <c r="I1004" i="5"/>
  <c r="J1004" i="5"/>
  <c r="K1004" i="5"/>
  <c r="B1005" i="5"/>
  <c r="C1005" i="5"/>
  <c r="A1005" i="5" s="1"/>
  <c r="D1005" i="5"/>
  <c r="E1005" i="5"/>
  <c r="F1005" i="5"/>
  <c r="G1005" i="5"/>
  <c r="H1005" i="5"/>
  <c r="I1005" i="5"/>
  <c r="J1005" i="5"/>
  <c r="K1005" i="5"/>
  <c r="B1006" i="5"/>
  <c r="C1006" i="5"/>
  <c r="D1006" i="5"/>
  <c r="E1006" i="5"/>
  <c r="F1006" i="5"/>
  <c r="G1006" i="5"/>
  <c r="H1006" i="5"/>
  <c r="I1006" i="5"/>
  <c r="J1006" i="5"/>
  <c r="K1006" i="5"/>
  <c r="B1007" i="5"/>
  <c r="C1007" i="5"/>
  <c r="A1007" i="5" s="1"/>
  <c r="D1007" i="5"/>
  <c r="E1007" i="5"/>
  <c r="F1007" i="5"/>
  <c r="G1007" i="5"/>
  <c r="H1007" i="5"/>
  <c r="I1007" i="5"/>
  <c r="J1007" i="5"/>
  <c r="K1007" i="5"/>
  <c r="B1008" i="5"/>
  <c r="C1008" i="5"/>
  <c r="D1008" i="5"/>
  <c r="E1008" i="5"/>
  <c r="F1008" i="5"/>
  <c r="G1008" i="5"/>
  <c r="H1008" i="5"/>
  <c r="I1008" i="5"/>
  <c r="J1008" i="5"/>
  <c r="K1008" i="5"/>
  <c r="B1009" i="5"/>
  <c r="C1009" i="5"/>
  <c r="A1009" i="5" s="1"/>
  <c r="D1009" i="5"/>
  <c r="E1009" i="5"/>
  <c r="F1009" i="5"/>
  <c r="G1009" i="5"/>
  <c r="H1009" i="5"/>
  <c r="I1009" i="5"/>
  <c r="J1009" i="5"/>
  <c r="K1009" i="5"/>
  <c r="B1010" i="5"/>
  <c r="C1010" i="5"/>
  <c r="A1010" i="5" s="1"/>
  <c r="D1010" i="5"/>
  <c r="E1010" i="5"/>
  <c r="F1010" i="5"/>
  <c r="G1010" i="5"/>
  <c r="H1010" i="5"/>
  <c r="I1010" i="5"/>
  <c r="J1010" i="5"/>
  <c r="K1010" i="5"/>
  <c r="B1011" i="5"/>
  <c r="C1011" i="5"/>
  <c r="A1011" i="5" s="1"/>
  <c r="D1011" i="5"/>
  <c r="E1011" i="5"/>
  <c r="F1011" i="5"/>
  <c r="G1011" i="5"/>
  <c r="H1011" i="5"/>
  <c r="I1011" i="5"/>
  <c r="J1011" i="5"/>
  <c r="K1011" i="5"/>
  <c r="B1012" i="5"/>
  <c r="C1012" i="5"/>
  <c r="D1012" i="5"/>
  <c r="E1012" i="5"/>
  <c r="F1012" i="5"/>
  <c r="G1012" i="5"/>
  <c r="H1012" i="5"/>
  <c r="I1012" i="5"/>
  <c r="J1012" i="5"/>
  <c r="K1012" i="5"/>
  <c r="B1013" i="5"/>
  <c r="C1013" i="5"/>
  <c r="A1013" i="5" s="1"/>
  <c r="D1013" i="5"/>
  <c r="E1013" i="5"/>
  <c r="F1013" i="5"/>
  <c r="G1013" i="5"/>
  <c r="H1013" i="5"/>
  <c r="I1013" i="5"/>
  <c r="J1013" i="5"/>
  <c r="K1013" i="5"/>
  <c r="B1014" i="5"/>
  <c r="C1014" i="5"/>
  <c r="D1014" i="5"/>
  <c r="E1014" i="5"/>
  <c r="F1014" i="5"/>
  <c r="G1014" i="5"/>
  <c r="H1014" i="5"/>
  <c r="I1014" i="5"/>
  <c r="J1014" i="5"/>
  <c r="K1014" i="5"/>
  <c r="B1015" i="5"/>
  <c r="C1015" i="5"/>
  <c r="A1015" i="5" s="1"/>
  <c r="D1015" i="5"/>
  <c r="E1015" i="5"/>
  <c r="F1015" i="5"/>
  <c r="G1015" i="5"/>
  <c r="H1015" i="5"/>
  <c r="I1015" i="5"/>
  <c r="J1015" i="5"/>
  <c r="K1015" i="5"/>
  <c r="B1016" i="5"/>
  <c r="C1016" i="5"/>
  <c r="A1016" i="5" s="1"/>
  <c r="D1016" i="5"/>
  <c r="E1016" i="5"/>
  <c r="F1016" i="5"/>
  <c r="G1016" i="5"/>
  <c r="H1016" i="5"/>
  <c r="I1016" i="5"/>
  <c r="J1016" i="5"/>
  <c r="K1016" i="5"/>
  <c r="B1017" i="5"/>
  <c r="C1017" i="5"/>
  <c r="A1017" i="5" s="1"/>
  <c r="D1017" i="5"/>
  <c r="E1017" i="5"/>
  <c r="F1017" i="5"/>
  <c r="G1017" i="5"/>
  <c r="H1017" i="5"/>
  <c r="I1017" i="5"/>
  <c r="J1017" i="5"/>
  <c r="K1017" i="5"/>
  <c r="B1018" i="5"/>
  <c r="C1018" i="5"/>
  <c r="D1018" i="5"/>
  <c r="E1018" i="5"/>
  <c r="F1018" i="5"/>
  <c r="G1018" i="5"/>
  <c r="H1018" i="5"/>
  <c r="I1018" i="5"/>
  <c r="J1018" i="5"/>
  <c r="K1018" i="5"/>
  <c r="B1019" i="5"/>
  <c r="C1019" i="5"/>
  <c r="A1019" i="5" s="1"/>
  <c r="D1019" i="5"/>
  <c r="E1019" i="5"/>
  <c r="F1019" i="5"/>
  <c r="G1019" i="5"/>
  <c r="H1019" i="5"/>
  <c r="I1019" i="5"/>
  <c r="J1019" i="5"/>
  <c r="K1019" i="5"/>
  <c r="B1020" i="5"/>
  <c r="C1020" i="5"/>
  <c r="D1020" i="5"/>
  <c r="E1020" i="5"/>
  <c r="F1020" i="5"/>
  <c r="G1020" i="5"/>
  <c r="H1020" i="5"/>
  <c r="I1020" i="5"/>
  <c r="J1020" i="5"/>
  <c r="K1020" i="5"/>
  <c r="B1021" i="5"/>
  <c r="C1021" i="5"/>
  <c r="A1021" i="5" s="1"/>
  <c r="D1021" i="5"/>
  <c r="E1021" i="5"/>
  <c r="F1021" i="5"/>
  <c r="G1021" i="5"/>
  <c r="H1021" i="5"/>
  <c r="I1021" i="5"/>
  <c r="J1021" i="5"/>
  <c r="K1021" i="5"/>
  <c r="B1022" i="5"/>
  <c r="C1022" i="5"/>
  <c r="A1022" i="5" s="1"/>
  <c r="D1022" i="5"/>
  <c r="E1022" i="5"/>
  <c r="F1022" i="5"/>
  <c r="G1022" i="5"/>
  <c r="H1022" i="5"/>
  <c r="I1022" i="5"/>
  <c r="J1022" i="5"/>
  <c r="K1022" i="5"/>
  <c r="B1023" i="5"/>
  <c r="C1023" i="5"/>
  <c r="A1023" i="5" s="1"/>
  <c r="D1023" i="5"/>
  <c r="E1023" i="5"/>
  <c r="F1023" i="5"/>
  <c r="G1023" i="5"/>
  <c r="H1023" i="5"/>
  <c r="I1023" i="5"/>
  <c r="J1023" i="5"/>
  <c r="K1023" i="5"/>
  <c r="B1024" i="5"/>
  <c r="C1024" i="5"/>
  <c r="D1024" i="5"/>
  <c r="E1024" i="5"/>
  <c r="F1024" i="5"/>
  <c r="G1024" i="5"/>
  <c r="H1024" i="5"/>
  <c r="I1024" i="5"/>
  <c r="J1024" i="5"/>
  <c r="K1024" i="5"/>
  <c r="B1025" i="5"/>
  <c r="C1025" i="5"/>
  <c r="A1025" i="5" s="1"/>
  <c r="D1025" i="5"/>
  <c r="E1025" i="5"/>
  <c r="F1025" i="5"/>
  <c r="G1025" i="5"/>
  <c r="H1025" i="5"/>
  <c r="I1025" i="5"/>
  <c r="J1025" i="5"/>
  <c r="K1025" i="5"/>
  <c r="B1026" i="5"/>
  <c r="C1026" i="5"/>
  <c r="D1026" i="5"/>
  <c r="E1026" i="5"/>
  <c r="F1026" i="5"/>
  <c r="G1026" i="5"/>
  <c r="H1026" i="5"/>
  <c r="I1026" i="5"/>
  <c r="J1026" i="5"/>
  <c r="K1026" i="5"/>
  <c r="B1027" i="5"/>
  <c r="C1027" i="5"/>
  <c r="A1027" i="5" s="1"/>
  <c r="D1027" i="5"/>
  <c r="E1027" i="5"/>
  <c r="F1027" i="5"/>
  <c r="G1027" i="5"/>
  <c r="H1027" i="5"/>
  <c r="I1027" i="5"/>
  <c r="J1027" i="5"/>
  <c r="K1027" i="5"/>
  <c r="B1028" i="5"/>
  <c r="C1028" i="5"/>
  <c r="A1028" i="5" s="1"/>
  <c r="D1028" i="5"/>
  <c r="E1028" i="5"/>
  <c r="F1028" i="5"/>
  <c r="G1028" i="5"/>
  <c r="H1028" i="5"/>
  <c r="I1028" i="5"/>
  <c r="J1028" i="5"/>
  <c r="K1028" i="5"/>
  <c r="B1029" i="5"/>
  <c r="C1029" i="5"/>
  <c r="A1029" i="5" s="1"/>
  <c r="D1029" i="5"/>
  <c r="E1029" i="5"/>
  <c r="F1029" i="5"/>
  <c r="G1029" i="5"/>
  <c r="H1029" i="5"/>
  <c r="I1029" i="5"/>
  <c r="J1029" i="5"/>
  <c r="K1029" i="5"/>
  <c r="B1030" i="5"/>
  <c r="C1030" i="5"/>
  <c r="D1030" i="5"/>
  <c r="E1030" i="5"/>
  <c r="F1030" i="5"/>
  <c r="G1030" i="5"/>
  <c r="H1030" i="5"/>
  <c r="I1030" i="5"/>
  <c r="J1030" i="5"/>
  <c r="K1030" i="5"/>
  <c r="B1031" i="5"/>
  <c r="C1031" i="5"/>
  <c r="A1031" i="5" s="1"/>
  <c r="D1031" i="5"/>
  <c r="E1031" i="5"/>
  <c r="F1031" i="5"/>
  <c r="G1031" i="5"/>
  <c r="H1031" i="5"/>
  <c r="I1031" i="5"/>
  <c r="J1031" i="5"/>
  <c r="K1031" i="5"/>
  <c r="B1032" i="5"/>
  <c r="C1032" i="5"/>
  <c r="D1032" i="5"/>
  <c r="E1032" i="5"/>
  <c r="F1032" i="5"/>
  <c r="G1032" i="5"/>
  <c r="H1032" i="5"/>
  <c r="I1032" i="5"/>
  <c r="J1032" i="5"/>
  <c r="K1032" i="5"/>
  <c r="B1" i="5"/>
  <c r="C1" i="5"/>
  <c r="D1" i="5"/>
  <c r="E1" i="5"/>
  <c r="F1" i="5"/>
  <c r="G1" i="5"/>
  <c r="H1" i="5"/>
  <c r="I1" i="5"/>
  <c r="J1" i="5"/>
  <c r="K1" i="5"/>
  <c r="C12" i="3"/>
  <c r="C11" i="3"/>
  <c r="C10" i="3"/>
  <c r="C9" i="3"/>
  <c r="D12" i="3"/>
  <c r="D11" i="3"/>
  <c r="E9" i="3"/>
  <c r="E8" i="3"/>
  <c r="D9" i="3"/>
  <c r="D8" i="3"/>
  <c r="A109" i="5" l="1"/>
  <c r="A97" i="5"/>
  <c r="A85" i="5"/>
  <c r="A116" i="5"/>
  <c r="A110" i="5"/>
  <c r="A104" i="5"/>
  <c r="A98" i="5"/>
  <c r="A92" i="5"/>
  <c r="A86" i="5"/>
  <c r="A80" i="5"/>
  <c r="A74" i="5"/>
  <c r="A68" i="5"/>
  <c r="A56" i="5"/>
  <c r="A44" i="5"/>
  <c r="A20" i="5"/>
  <c r="A2" i="5"/>
  <c r="A111" i="5"/>
  <c r="A105" i="5"/>
  <c r="A99" i="5"/>
  <c r="A93" i="5"/>
  <c r="A87" i="5"/>
  <c r="A81" i="5"/>
  <c r="A75" i="5"/>
  <c r="A69" i="5"/>
  <c r="A63" i="5"/>
  <c r="A57" i="5"/>
  <c r="A51" i="5"/>
  <c r="A45" i="5"/>
  <c r="A39" i="5"/>
  <c r="A33" i="5"/>
  <c r="A27" i="5"/>
  <c r="A21" i="5"/>
  <c r="A15" i="5"/>
  <c r="A9" i="5"/>
  <c r="A3" i="5"/>
  <c r="A106" i="5"/>
  <c r="A82" i="5"/>
  <c r="A10" i="5"/>
  <c r="A113" i="5"/>
  <c r="A101" i="5"/>
  <c r="A89" i="5"/>
  <c r="A77" i="5"/>
  <c r="A65" i="5"/>
  <c r="A53" i="5"/>
  <c r="A41" i="5"/>
  <c r="A29" i="5"/>
  <c r="A17" i="5"/>
  <c r="A5" i="5"/>
  <c r="A73" i="5"/>
  <c r="A61" i="5"/>
  <c r="A49" i="5"/>
  <c r="A37" i="5"/>
  <c r="A25" i="5"/>
  <c r="A13" i="5"/>
  <c r="A32" i="5"/>
  <c r="A8" i="5"/>
  <c r="D54" i="3"/>
  <c r="E54" i="3" s="1"/>
  <c r="D62" i="3"/>
  <c r="F62" i="3" s="1"/>
  <c r="D61" i="3"/>
  <c r="F61" i="3" s="1"/>
  <c r="D55" i="3"/>
  <c r="D56" i="3"/>
  <c r="E43" i="3"/>
  <c r="F43" i="3" s="1"/>
  <c r="E3" i="3"/>
  <c r="E48" i="3"/>
  <c r="E47" i="3"/>
  <c r="E13" i="3"/>
  <c r="E30" i="3"/>
  <c r="E31" i="3"/>
  <c r="E32" i="3"/>
  <c r="E29" i="3"/>
  <c r="D13" i="3"/>
  <c r="F13" i="3" s="1"/>
  <c r="F9" i="3"/>
  <c r="E25" i="3"/>
  <c r="E26" i="3"/>
  <c r="E10" i="3"/>
  <c r="F10" i="3" s="1"/>
  <c r="E12" i="3"/>
  <c r="F12" i="3" s="1"/>
  <c r="E11" i="3"/>
  <c r="F8" i="3"/>
  <c r="F16" i="3"/>
  <c r="A1030" i="5"/>
  <c r="A1024" i="5"/>
  <c r="A1018" i="5"/>
  <c r="A1012" i="5"/>
  <c r="A1006" i="5"/>
  <c r="A1000" i="5"/>
  <c r="A994" i="5"/>
  <c r="A988" i="5"/>
  <c r="A982" i="5"/>
  <c r="A976" i="5"/>
  <c r="A970" i="5"/>
  <c r="A964" i="5"/>
  <c r="A958" i="5"/>
  <c r="A952" i="5"/>
  <c r="A946" i="5"/>
  <c r="A940" i="5"/>
  <c r="A934" i="5"/>
  <c r="A928" i="5"/>
  <c r="A922" i="5"/>
  <c r="A916" i="5"/>
  <c r="A910" i="5"/>
  <c r="A904" i="5"/>
  <c r="A898" i="5"/>
  <c r="A892" i="5"/>
  <c r="A886" i="5"/>
  <c r="A880" i="5"/>
  <c r="A874" i="5"/>
  <c r="A868" i="5"/>
  <c r="A862" i="5"/>
  <c r="A856" i="5"/>
  <c r="A850" i="5"/>
  <c r="A844" i="5"/>
  <c r="A838" i="5"/>
  <c r="A832" i="5"/>
  <c r="A826" i="5"/>
  <c r="A820" i="5"/>
  <c r="A814" i="5"/>
  <c r="A808" i="5"/>
  <c r="A646" i="5"/>
  <c r="A418" i="5"/>
  <c r="A1032" i="5"/>
  <c r="A1026" i="5"/>
  <c r="A1020" i="5"/>
  <c r="A1014" i="5"/>
  <c r="A1008" i="5"/>
  <c r="A1002" i="5"/>
  <c r="A996" i="5"/>
  <c r="A990" i="5"/>
  <c r="A984" i="5"/>
  <c r="A978" i="5"/>
  <c r="A972" i="5"/>
  <c r="A966" i="5"/>
  <c r="A960" i="5"/>
  <c r="A954" i="5"/>
  <c r="A948" i="5"/>
  <c r="A942" i="5"/>
  <c r="A936" i="5"/>
  <c r="A930" i="5"/>
  <c r="A924" i="5"/>
  <c r="A918" i="5"/>
  <c r="A912" i="5"/>
  <c r="A906" i="5"/>
  <c r="A900" i="5"/>
  <c r="A894" i="5"/>
  <c r="A888" i="5"/>
  <c r="A882" i="5"/>
  <c r="A876" i="5"/>
  <c r="A870" i="5"/>
  <c r="A864" i="5"/>
  <c r="A858" i="5"/>
  <c r="A852" i="5"/>
  <c r="A846" i="5"/>
  <c r="A840" i="5"/>
  <c r="A834" i="5"/>
  <c r="A828" i="5"/>
  <c r="A822" i="5"/>
  <c r="A816" i="5"/>
  <c r="A780" i="5"/>
  <c r="A708" i="5"/>
  <c r="A564" i="5"/>
  <c r="A802" i="5"/>
  <c r="A796" i="5"/>
  <c r="A790" i="5"/>
  <c r="A784" i="5"/>
  <c r="A778" i="5"/>
  <c r="A772" i="5"/>
  <c r="A766" i="5"/>
  <c r="A760" i="5"/>
  <c r="A754" i="5"/>
  <c r="A748" i="5"/>
  <c r="A742" i="5"/>
  <c r="A736" i="5"/>
  <c r="A730" i="5"/>
  <c r="A724" i="5"/>
  <c r="A718" i="5"/>
  <c r="A712" i="5"/>
  <c r="A706" i="5"/>
  <c r="A700" i="5"/>
  <c r="A694" i="5"/>
  <c r="A688" i="5"/>
  <c r="A682" i="5"/>
  <c r="A676" i="5"/>
  <c r="A670" i="5"/>
  <c r="A664" i="5"/>
  <c r="A658" i="5"/>
  <c r="A652" i="5"/>
  <c r="A640" i="5"/>
  <c r="A634" i="5"/>
  <c r="A628" i="5"/>
  <c r="A622" i="5"/>
  <c r="A616" i="5"/>
  <c r="A610" i="5"/>
  <c r="A604" i="5"/>
  <c r="A598" i="5"/>
  <c r="A592" i="5"/>
  <c r="A586" i="5"/>
  <c r="A580" i="5"/>
  <c r="A574" i="5"/>
  <c r="A568" i="5"/>
  <c r="A562" i="5"/>
  <c r="A556" i="5"/>
  <c r="A550" i="5"/>
  <c r="A544" i="5"/>
  <c r="A538" i="5"/>
  <c r="A532" i="5"/>
  <c r="A526" i="5"/>
  <c r="A520" i="5"/>
  <c r="A514" i="5"/>
  <c r="A508" i="5"/>
  <c r="A496" i="5"/>
  <c r="A490" i="5"/>
  <c r="A484" i="5"/>
  <c r="A478" i="5"/>
  <c r="A472" i="5"/>
  <c r="A466" i="5"/>
  <c r="A460" i="5"/>
  <c r="A454" i="5"/>
  <c r="A448" i="5"/>
  <c r="A442" i="5"/>
  <c r="A436" i="5"/>
  <c r="A430" i="5"/>
  <c r="A424" i="5"/>
  <c r="A412" i="5"/>
  <c r="A406" i="5"/>
  <c r="A382" i="5"/>
  <c r="A358" i="5"/>
  <c r="A334" i="5"/>
  <c r="A310" i="5"/>
  <c r="A286" i="5"/>
  <c r="A262" i="5"/>
  <c r="A238" i="5"/>
  <c r="A214" i="5"/>
  <c r="A190" i="5"/>
  <c r="A166" i="5"/>
  <c r="A142" i="5"/>
  <c r="A118" i="5"/>
  <c r="A94" i="5"/>
  <c r="A70" i="5"/>
  <c r="A58" i="5"/>
  <c r="A46" i="5"/>
  <c r="A34" i="5"/>
  <c r="A515" i="5"/>
  <c r="A509" i="5"/>
  <c r="A503" i="5"/>
  <c r="A497" i="5"/>
  <c r="A491" i="5"/>
  <c r="A485" i="5"/>
  <c r="A479" i="5"/>
  <c r="A473" i="5"/>
  <c r="A467" i="5"/>
  <c r="A455" i="5"/>
  <c r="A449" i="5"/>
  <c r="A443" i="5"/>
  <c r="A437" i="5"/>
  <c r="A431" i="5"/>
  <c r="A425" i="5"/>
  <c r="A419" i="5"/>
  <c r="A413" i="5"/>
  <c r="A407" i="5"/>
  <c r="A401" i="5"/>
  <c r="A395" i="5"/>
  <c r="A389" i="5"/>
  <c r="A383" i="5"/>
  <c r="A377" i="5"/>
  <c r="A371" i="5"/>
  <c r="A365" i="5"/>
  <c r="A359" i="5"/>
  <c r="A353" i="5"/>
  <c r="A347" i="5"/>
  <c r="A341" i="5"/>
  <c r="A335" i="5"/>
  <c r="A329" i="5"/>
  <c r="A323" i="5"/>
  <c r="A317" i="5"/>
  <c r="A311" i="5"/>
  <c r="A305" i="5"/>
  <c r="A293" i="5"/>
  <c r="A810" i="5"/>
  <c r="A804" i="5"/>
  <c r="A798" i="5"/>
  <c r="A792" i="5"/>
  <c r="A786" i="5"/>
  <c r="A774" i="5"/>
  <c r="A768" i="5"/>
  <c r="A762" i="5"/>
  <c r="A756" i="5"/>
  <c r="A750" i="5"/>
  <c r="A738" i="5"/>
  <c r="A732" i="5"/>
  <c r="A726" i="5"/>
  <c r="A720" i="5"/>
  <c r="A714" i="5"/>
  <c r="A702" i="5"/>
  <c r="A696" i="5"/>
  <c r="A690" i="5"/>
  <c r="A684" i="5"/>
  <c r="A678" i="5"/>
  <c r="A672" i="5"/>
  <c r="A666" i="5"/>
  <c r="A660" i="5"/>
  <c r="A654" i="5"/>
  <c r="A648" i="5"/>
  <c r="A642" i="5"/>
  <c r="A636" i="5"/>
  <c r="A630" i="5"/>
  <c r="A624" i="5"/>
  <c r="A618" i="5"/>
  <c r="A612" i="5"/>
  <c r="A606" i="5"/>
  <c r="A600" i="5"/>
  <c r="A594" i="5"/>
  <c r="A588" i="5"/>
  <c r="A582" i="5"/>
  <c r="A576" i="5"/>
  <c r="A570" i="5"/>
  <c r="A558" i="5"/>
  <c r="A552" i="5"/>
  <c r="A546" i="5"/>
  <c r="A540" i="5"/>
  <c r="A534" i="5"/>
  <c r="A528" i="5"/>
  <c r="A522" i="5"/>
  <c r="A516" i="5"/>
  <c r="A510" i="5"/>
  <c r="A504" i="5"/>
  <c r="A498" i="5"/>
  <c r="A492" i="5"/>
  <c r="A486" i="5"/>
  <c r="A480" i="5"/>
  <c r="A474" i="5"/>
  <c r="A468" i="5"/>
  <c r="A462" i="5"/>
  <c r="A456" i="5"/>
  <c r="A450" i="5"/>
  <c r="A444" i="5"/>
  <c r="A438" i="5"/>
  <c r="A432" i="5"/>
  <c r="A426" i="5"/>
  <c r="A420" i="5"/>
  <c r="A414" i="5"/>
  <c r="A408" i="5"/>
  <c r="A396" i="5"/>
  <c r="A384" i="5"/>
  <c r="A372" i="5"/>
  <c r="A360" i="5"/>
  <c r="A348" i="5"/>
  <c r="A336" i="5"/>
  <c r="A324" i="5"/>
  <c r="A312" i="5"/>
  <c r="A300" i="5"/>
  <c r="A288" i="5"/>
  <c r="A276" i="5"/>
  <c r="A264" i="5"/>
  <c r="A252" i="5"/>
  <c r="A240" i="5"/>
  <c r="A228" i="5"/>
  <c r="A216" i="5"/>
  <c r="A204" i="5"/>
  <c r="A192" i="5"/>
  <c r="A180" i="5"/>
  <c r="A168" i="5"/>
  <c r="A156" i="5"/>
  <c r="A144" i="5"/>
  <c r="A132" i="5"/>
  <c r="A120" i="5"/>
  <c r="A108" i="5"/>
  <c r="A96" i="5"/>
  <c r="A84" i="5"/>
  <c r="A72" i="5"/>
  <c r="A299" i="5"/>
  <c r="A287" i="5"/>
  <c r="A275" i="5"/>
  <c r="A263" i="5"/>
  <c r="A251" i="5"/>
  <c r="A239" i="5"/>
  <c r="A227" i="5"/>
  <c r="A215" i="5"/>
  <c r="A203" i="5"/>
  <c r="A191" i="5"/>
  <c r="A179" i="5"/>
  <c r="A167" i="5"/>
  <c r="A155" i="5"/>
  <c r="A143" i="5"/>
  <c r="A131" i="5"/>
  <c r="A119" i="5"/>
  <c r="A107" i="5"/>
  <c r="A95" i="5"/>
  <c r="A83" i="5"/>
  <c r="A71" i="5"/>
  <c r="A59" i="5"/>
  <c r="A47" i="5"/>
  <c r="A35" i="5"/>
  <c r="A23" i="5"/>
  <c r="A11" i="5"/>
  <c r="A402" i="5"/>
  <c r="A390" i="5"/>
  <c r="A378" i="5"/>
  <c r="A366" i="5"/>
  <c r="A354" i="5"/>
  <c r="A342" i="5"/>
  <c r="A330" i="5"/>
  <c r="A318" i="5"/>
  <c r="A306" i="5"/>
  <c r="A294" i="5"/>
  <c r="A282" i="5"/>
  <c r="A270" i="5"/>
  <c r="A258" i="5"/>
  <c r="A246" i="5"/>
  <c r="A234" i="5"/>
  <c r="A222" i="5"/>
  <c r="A210" i="5"/>
  <c r="A198" i="5"/>
  <c r="A186" i="5"/>
  <c r="A174" i="5"/>
  <c r="A162" i="5"/>
  <c r="A150" i="5"/>
  <c r="A138" i="5"/>
  <c r="A126" i="5"/>
  <c r="A114" i="5"/>
  <c r="A102" i="5"/>
  <c r="A90" i="5"/>
  <c r="A78" i="5"/>
  <c r="A66" i="5"/>
  <c r="A60" i="5"/>
  <c r="A54" i="5"/>
  <c r="A48" i="5"/>
  <c r="A42" i="5"/>
  <c r="A36" i="5"/>
  <c r="A30" i="5"/>
  <c r="A24" i="5"/>
  <c r="A18" i="5"/>
  <c r="A12" i="5"/>
  <c r="A6" i="5"/>
  <c r="A391" i="5"/>
  <c r="A379" i="5"/>
  <c r="A367" i="5"/>
  <c r="A355" i="5"/>
  <c r="A343" i="5"/>
  <c r="A331" i="5"/>
  <c r="A319" i="5"/>
  <c r="A307" i="5"/>
  <c r="A295" i="5"/>
  <c r="A283" i="5"/>
  <c r="A271" i="5"/>
  <c r="A259" i="5"/>
  <c r="A247" i="5"/>
  <c r="A235" i="5"/>
  <c r="A223" i="5"/>
  <c r="A211" i="5"/>
  <c r="A199" i="5"/>
  <c r="A187" i="5"/>
  <c r="A175" i="5"/>
  <c r="A163" i="5"/>
  <c r="A151" i="5"/>
  <c r="A139" i="5"/>
  <c r="A127" i="5"/>
  <c r="A115" i="5"/>
  <c r="A103" i="5"/>
  <c r="A91" i="5"/>
  <c r="A79" i="5"/>
  <c r="A67" i="5"/>
  <c r="A55" i="5"/>
  <c r="A43" i="5"/>
  <c r="A31" i="5"/>
  <c r="A19" i="5"/>
  <c r="A7" i="5"/>
  <c r="A62" i="5"/>
  <c r="A50" i="5"/>
  <c r="A38" i="5"/>
  <c r="A26" i="5"/>
  <c r="A14" i="5"/>
  <c r="A400" i="5"/>
  <c r="A388" i="5"/>
  <c r="A376" i="5"/>
  <c r="A364" i="5"/>
  <c r="A352" i="5"/>
  <c r="A340" i="5"/>
  <c r="A328" i="5"/>
  <c r="A316" i="5"/>
  <c r="A304" i="5"/>
  <c r="A292" i="5"/>
  <c r="A280" i="5"/>
  <c r="A268" i="5"/>
  <c r="A256" i="5"/>
  <c r="A244" i="5"/>
  <c r="A232" i="5"/>
  <c r="A220" i="5"/>
  <c r="A208" i="5"/>
  <c r="A196" i="5"/>
  <c r="A184" i="5"/>
  <c r="A172" i="5"/>
  <c r="A160" i="5"/>
  <c r="A148" i="5"/>
  <c r="A136" i="5"/>
  <c r="A124" i="5"/>
  <c r="A112" i="5"/>
  <c r="A100" i="5"/>
  <c r="A88" i="5"/>
  <c r="A76" i="5"/>
  <c r="A64" i="5"/>
  <c r="A52" i="5"/>
  <c r="A40" i="5"/>
  <c r="A28" i="5"/>
  <c r="A16" i="5"/>
  <c r="A4" i="5"/>
  <c r="C26" i="3" s="1"/>
  <c r="F11" i="3"/>
  <c r="E55" i="3" l="1"/>
  <c r="F55" i="3" s="1"/>
  <c r="E56" i="3"/>
  <c r="F56" i="3" s="1"/>
  <c r="C49" i="3"/>
  <c r="C38" i="3"/>
  <c r="C28" i="3"/>
  <c r="C17" i="3"/>
  <c r="C14" i="3"/>
  <c r="C23" i="3"/>
  <c r="C57" i="3"/>
  <c r="C37" i="3"/>
  <c r="C48" i="3"/>
  <c r="C31" i="3"/>
  <c r="C44" i="3"/>
  <c r="D36" i="3"/>
  <c r="C53" i="3"/>
  <c r="D28" i="3"/>
  <c r="F28" i="3" s="1"/>
  <c r="D19" i="3"/>
  <c r="F19" i="3" s="1"/>
  <c r="C60" i="3"/>
  <c r="D44" i="3"/>
  <c r="F44" i="3" s="1"/>
  <c r="D26" i="3"/>
  <c r="E27" i="3" s="1"/>
  <c r="C50" i="3"/>
  <c r="C52" i="3"/>
  <c r="D58" i="3"/>
  <c r="D15" i="3"/>
  <c r="F15" i="3" s="1"/>
  <c r="C20" i="3"/>
  <c r="D47" i="3"/>
  <c r="F47" i="3" s="1"/>
  <c r="D40" i="3"/>
  <c r="C36" i="3"/>
  <c r="C27" i="3"/>
  <c r="D41" i="3"/>
  <c r="F41" i="3" s="1"/>
  <c r="C42" i="3"/>
  <c r="C25" i="3"/>
  <c r="D34" i="3"/>
  <c r="C51" i="3"/>
  <c r="C47" i="3"/>
  <c r="C18" i="3"/>
  <c r="C15" i="3"/>
  <c r="C45" i="3"/>
  <c r="C40" i="3"/>
  <c r="D35" i="3"/>
  <c r="E45" i="3" s="1"/>
  <c r="C32" i="3"/>
  <c r="D45" i="3"/>
  <c r="D17" i="3"/>
  <c r="F17" i="3" s="1"/>
  <c r="C34" i="3"/>
  <c r="D48" i="3"/>
  <c r="F48" i="3" s="1"/>
  <c r="F54" i="3"/>
  <c r="E57" i="3"/>
  <c r="F57" i="3" s="1"/>
  <c r="C13" i="3"/>
  <c r="C22" i="3"/>
  <c r="D24" i="3"/>
  <c r="F24" i="3" s="1"/>
  <c r="D39" i="3"/>
  <c r="D30" i="3"/>
  <c r="F30" i="3" s="1"/>
  <c r="D60" i="3"/>
  <c r="F60" i="3" s="1"/>
  <c r="C29" i="3"/>
  <c r="C58" i="3"/>
  <c r="E58" i="3" s="1"/>
  <c r="D31" i="3"/>
  <c r="F31" i="3" s="1"/>
  <c r="D20" i="3"/>
  <c r="C43" i="3"/>
  <c r="C35" i="3"/>
  <c r="D33" i="3"/>
  <c r="C46" i="3"/>
  <c r="D14" i="3"/>
  <c r="F14" i="3" s="1"/>
  <c r="C30" i="3"/>
  <c r="D42" i="3"/>
  <c r="F42" i="3" s="1"/>
  <c r="D18" i="3"/>
  <c r="F18" i="3" s="1"/>
  <c r="C59" i="3"/>
  <c r="C39" i="3"/>
  <c r="D29" i="3"/>
  <c r="F29" i="3" s="1"/>
  <c r="C19" i="3"/>
  <c r="D25" i="3"/>
  <c r="F25" i="3" s="1"/>
  <c r="C33" i="3"/>
  <c r="D59" i="3"/>
  <c r="F59" i="3" s="1"/>
  <c r="D32" i="3"/>
  <c r="F32" i="3" s="1"/>
  <c r="C41" i="3"/>
  <c r="D46" i="3"/>
  <c r="F46" i="3" s="1"/>
  <c r="D37" i="3"/>
  <c r="D38" i="3"/>
  <c r="D27" i="3"/>
  <c r="F27" i="3" l="1"/>
  <c r="F45" i="3"/>
  <c r="E20" i="3"/>
  <c r="F20" i="3" s="1"/>
  <c r="F58" i="3"/>
  <c r="F22" i="3"/>
  <c r="F26" i="3"/>
</calcChain>
</file>

<file path=xl/sharedStrings.xml><?xml version="1.0" encoding="utf-8"?>
<sst xmlns="http://schemas.openxmlformats.org/spreadsheetml/2006/main" count="2361" uniqueCount="282">
  <si>
    <t>lblSize</t>
  </si>
  <si>
    <t>txtFactoredCost</t>
  </si>
  <si>
    <t>cmbCategory</t>
  </si>
  <si>
    <t>cmbSubCategory</t>
  </si>
  <si>
    <t>txtBOMDesc</t>
  </si>
  <si>
    <t>txtAddOnDescription</t>
  </si>
  <si>
    <t>txtNotes</t>
  </si>
  <si>
    <t>txtQuantity</t>
  </si>
  <si>
    <t>txtUM</t>
  </si>
  <si>
    <t>txtPrice</t>
  </si>
  <si>
    <t>txtFilterCategory</t>
  </si>
  <si>
    <t>txtFilterSubCategory</t>
  </si>
  <si>
    <t>txtFilterDesc</t>
  </si>
  <si>
    <t>Item</t>
  </si>
  <si>
    <t>Category</t>
  </si>
  <si>
    <t>SubCategory</t>
  </si>
  <si>
    <t>QuoteDetailDesc</t>
  </si>
  <si>
    <t>Quantity</t>
  </si>
  <si>
    <t>UM</t>
  </si>
  <si>
    <t>ItemPrice</t>
  </si>
  <si>
    <t>TotalPrice</t>
  </si>
  <si>
    <t>Notes</t>
  </si>
  <si>
    <t>QuoteDetailsKey</t>
  </si>
  <si>
    <t>Size: 48 x 60 x 12     SF: 2,880     Interior Wall: 262              Total cost for selected items: $163,842.36    Total cost with factors:</t>
  </si>
  <si>
    <t>$355,469.53</t>
  </si>
  <si>
    <t>FRAME</t>
  </si>
  <si>
    <t>OUTRIGGER</t>
  </si>
  <si>
    <t/>
  </si>
  <si>
    <t>BOM</t>
  </si>
  <si>
    <t>Chassis Basement 12' X 60' - 12" X 11.8# I-Beam OR/CM/MC 8'/8'/8'</t>
  </si>
  <si>
    <t>EA</t>
  </si>
  <si>
    <t>AXLES</t>
  </si>
  <si>
    <t>Five Axle (5 Brake Axles)</t>
  </si>
  <si>
    <t>MISC</t>
  </si>
  <si>
    <t>Outrigger For 12' Wide (Add-On)</t>
  </si>
  <si>
    <t>PAIR</t>
  </si>
  <si>
    <t>Outriggers 4' O/C at exterior side walls</t>
  </si>
  <si>
    <t>FLOOR</t>
  </si>
  <si>
    <t>JOIST</t>
  </si>
  <si>
    <t>2 X 8 @ 12" O/C</t>
  </si>
  <si>
    <t>SF</t>
  </si>
  <si>
    <t>150 psf Gym Room, 125 PSF Storage, / 100 psf Break area &amp; Corridor</t>
  </si>
  <si>
    <t>2 X 8 @ 16" O/C</t>
  </si>
  <si>
    <t>50 psf Offices</t>
  </si>
  <si>
    <t>DECKING</t>
  </si>
  <si>
    <t>1-1/8" T&amp;G OSB</t>
  </si>
  <si>
    <t>INSULATION</t>
  </si>
  <si>
    <t>R-30 Unfaced (2 layers R-15)</t>
  </si>
  <si>
    <t>COVERING</t>
  </si>
  <si>
    <t>Floor Tile VCT - 1/8" X 12" X 12"</t>
  </si>
  <si>
    <t>VCT flooring throughout except in restrooms</t>
  </si>
  <si>
    <t>Sheet Vinyl - Mohawk</t>
  </si>
  <si>
    <t>restroom floor only</t>
  </si>
  <si>
    <t>Underlayment - 1/4" X 4' X 8' Plywood</t>
  </si>
  <si>
    <t>For sheet vinyl floor in restrooms only</t>
  </si>
  <si>
    <t>Bottom Board Mobile-Flex</t>
  </si>
  <si>
    <t>EXTERIOR WALL</t>
  </si>
  <si>
    <t>STUDS</t>
  </si>
  <si>
    <t>2 X 6 Ext. Wall Framing</t>
  </si>
  <si>
    <t>Add On</t>
  </si>
  <si>
    <t>SHEATHING</t>
  </si>
  <si>
    <t>Visqueen Vapor Barrier 6 Mil</t>
  </si>
  <si>
    <t>Humidor Vapor Barrier - Install on wall studs, under MR Gyp</t>
  </si>
  <si>
    <t>SIDING</t>
  </si>
  <si>
    <t>Smart Panel - 3/8" - 8" O/C Grooves - W/House Wrap</t>
  </si>
  <si>
    <t>1x4 SE WRC Red Cedar</t>
  </si>
  <si>
    <t>LF</t>
  </si>
  <si>
    <t>Base, Ceiling, and Corner Trim inside Humidor Room</t>
  </si>
  <si>
    <t>1x6 T&amp;G Red Cedar Siding (Raw)</t>
  </si>
  <si>
    <t>Humidor Room Wall Finish</t>
  </si>
  <si>
    <t>5/8" MR Gypsum 4 x 12 (Exterior Wall)</t>
  </si>
  <si>
    <t>Walls in Humidor room.</t>
  </si>
  <si>
    <t>5/8" Vinyl Covered Gypsum 9' To 10' Tall (Exterior Wall)</t>
  </si>
  <si>
    <t>9' VCG panels on exterior walls; VCG finish, except in Humidor room.</t>
  </si>
  <si>
    <t>Sheetrock Tape Only</t>
  </si>
  <si>
    <t>No texture just joint tape in humidor only.</t>
  </si>
  <si>
    <t>Vapor Barrier Primer</t>
  </si>
  <si>
    <t>2 coats in Humidor only.</t>
  </si>
  <si>
    <t>R-21 Unfaced (Exterior Wall)</t>
  </si>
  <si>
    <t>INTERIOR WALL</t>
  </si>
  <si>
    <t>2 X 4 Wall Framing - 8' Tall</t>
  </si>
  <si>
    <t>Upgrade to Plumbing Wall</t>
  </si>
  <si>
    <t>2x6 Plumbing Wall shared by both restrooms</t>
  </si>
  <si>
    <t>R-11 Unfaced Int. Wall @ 8' Tall</t>
  </si>
  <si>
    <t>Insulate All Interior Walls</t>
  </si>
  <si>
    <t>4' FRP Wainscot</t>
  </si>
  <si>
    <t>Per code in Restrooms and Janitor Closet</t>
  </si>
  <si>
    <t>5/8" MR Gypsum 4 x 12 (Interior Wall)</t>
  </si>
  <si>
    <t>Walls in Humidor room.  (1) Side</t>
  </si>
  <si>
    <t>5/8" Type X Gypsum - Unfinished 8' Tall</t>
  </si>
  <si>
    <t>1 hour rated corridor, 1 layer 5/8 type X gyp under VCG - 1 side</t>
  </si>
  <si>
    <t>5/8" Vinyl Covered Gypsum 8' Tall</t>
  </si>
  <si>
    <t>VCG wall finish, except in Humidor room.</t>
  </si>
  <si>
    <t>COLUMNS</t>
  </si>
  <si>
    <t>Roof Support Column - Concealed</t>
  </si>
  <si>
    <t>Concealed in both end walls at mod lines and one pair of columns concealed inside interior walls at each mod line</t>
  </si>
  <si>
    <t>Interior Shearwall - Add</t>
  </si>
  <si>
    <t>Full Height Shear Wall</t>
  </si>
  <si>
    <t>Wall Extended To Rafters</t>
  </si>
  <si>
    <t>Rated Corridor, Restrooms, Humidor room</t>
  </si>
  <si>
    <t>COVE BASE</t>
  </si>
  <si>
    <t>Wall Base Vinyl 4"</t>
  </si>
  <si>
    <t>Throughout Except in Humidor Room</t>
  </si>
  <si>
    <t>ROOF</t>
  </si>
  <si>
    <t>TRUSSES</t>
  </si>
  <si>
    <t>Truss - 12' Wide Mod-Transverse 24" O/C</t>
  </si>
  <si>
    <t>50# Snowload, 1/4:12 Pitch</t>
  </si>
  <si>
    <t>MATE BEAM</t>
  </si>
  <si>
    <t>LVL - 1 1/2" x 24"- Up to 60'</t>
  </si>
  <si>
    <t>Double LVL at mod line spanning gym.</t>
  </si>
  <si>
    <t>Modline Strap</t>
  </si>
  <si>
    <t>SET</t>
  </si>
  <si>
    <t>R-38 Unfaced</t>
  </si>
  <si>
    <t>5/8" OSB Decking</t>
  </si>
  <si>
    <t>EPDM .045 - Black (Multi Wides) Class C</t>
  </si>
  <si>
    <t>CEILING</t>
  </si>
  <si>
    <t>1x8 SE WRC Red Cedar</t>
  </si>
  <si>
    <t>2X4 Mineral Fiber #BET197 (W/Grid)</t>
  </si>
  <si>
    <t>Ceiling Height 7'10" A.F.F.</t>
  </si>
  <si>
    <t>5/8" MR Type X Gypsum (Tape &amp; Bead Only)</t>
  </si>
  <si>
    <t>For Humidor Room Ceiling.  No texture just joint tape in humidor only.</t>
  </si>
  <si>
    <t>5/8" Type X Gypsum (Tape &amp; Bead Only)</t>
  </si>
  <si>
    <t>2 layers of Type X Gyp; fasten to bottom of roof joists over fire rated corridor</t>
  </si>
  <si>
    <t>Ceiling Joist</t>
  </si>
  <si>
    <t>For Hard-Lid Ceiling in Humidor Room</t>
  </si>
  <si>
    <t>Install on ceiling Joists in the Humidor room</t>
  </si>
  <si>
    <t>WINDOW</t>
  </si>
  <si>
    <t>BLINDS</t>
  </si>
  <si>
    <t>Mini-Blind</t>
  </si>
  <si>
    <t>Factory Std 1" Aluminum Mini Blinds</t>
  </si>
  <si>
    <t>Farmyard Hickory Window Trim Upgrade</t>
  </si>
  <si>
    <t>WINDOW 4030 - VINYL</t>
  </si>
  <si>
    <t>4030 - H/S - Dual Glazed - Vinyl Frame - Clear Low E</t>
  </si>
  <si>
    <t>EXTERIOR DOOR</t>
  </si>
  <si>
    <t>DOOR</t>
  </si>
  <si>
    <t>36X80 - 20ga Door W/Med Adj. Steel Frame (4-5/8" to 8")</t>
  </si>
  <si>
    <t>LOCKSET</t>
  </si>
  <si>
    <t>Cal-Royal A2200 Panic Rim Exit Device with Escutcheon Entrance Lever Trim</t>
  </si>
  <si>
    <t>HARDWARE</t>
  </si>
  <si>
    <t>Closer - S Parker 900 BCAL</t>
  </si>
  <si>
    <t>INTERIOR DOOR</t>
  </si>
  <si>
    <t>36X80 - 20-Minute Label - Alpine Oak - W/ Timely Jamb</t>
  </si>
  <si>
    <t>Doors to and from rated corridor W/ Self Closing Hinges</t>
  </si>
  <si>
    <t>36X80 - Alpine Oak - W/ Timely Jamb &amp; Weatherstrip</t>
  </si>
  <si>
    <t>For Humidor Room</t>
  </si>
  <si>
    <t>36X80 Alpine Oak - Solid Core - W/ Timely Jamb</t>
  </si>
  <si>
    <t>IT Room, Restrooms, Janitor Closet</t>
  </si>
  <si>
    <t>Passage - Grade 2 - Lever</t>
  </si>
  <si>
    <t>All interior doors, except restrooms and IT closet.</t>
  </si>
  <si>
    <t>Privacy - Grade 2 - Lever</t>
  </si>
  <si>
    <t>Restrooms</t>
  </si>
  <si>
    <t>Storeroom - Grade 2 - Lever</t>
  </si>
  <si>
    <t>IT Closet</t>
  </si>
  <si>
    <t>ELECTRICAL</t>
  </si>
  <si>
    <t>PANEL</t>
  </si>
  <si>
    <t>Nema 3R, External, 200 Amp Single Phase W/Main</t>
  </si>
  <si>
    <t>Bottom Fed Load Center</t>
  </si>
  <si>
    <t>RACEWAY</t>
  </si>
  <si>
    <t>Flex W/ Ground</t>
  </si>
  <si>
    <t>Romex wire ran through walls, MC cable above T-grid Ceiling</t>
  </si>
  <si>
    <t>LIGHT</t>
  </si>
  <si>
    <t>Flat Panel 2 X 2 - LED - 3400 Lumen</t>
  </si>
  <si>
    <t>Restroom Lights</t>
  </si>
  <si>
    <t>Flat Panel 2 X 4 - LED - 4000 To 6000 Lumen</t>
  </si>
  <si>
    <t>EXTERIOR LIGHTS</t>
  </si>
  <si>
    <t>Wall Pack LED With Photocell - 13/18/26W - 3000K/4000K/5000K</t>
  </si>
  <si>
    <t>Factory Standard</t>
  </si>
  <si>
    <t>EXIT/EMERGENCY LIGHTS</t>
  </si>
  <si>
    <t>Emergency Light - Dual Head</t>
  </si>
  <si>
    <t>Exit Light - W/ Battery Backup - Red</t>
  </si>
  <si>
    <t>Exit/Emergency Light Remote Capable - Red</t>
  </si>
  <si>
    <t>Exterior Remote Head For Emergency Light</t>
  </si>
  <si>
    <t>SWITCH</t>
  </si>
  <si>
    <t>Momentary Switch - DCC-2</t>
  </si>
  <si>
    <t>Occupancy Sensor Ceiling Mount (Single Relay)</t>
  </si>
  <si>
    <t>By exterior doors and door into Gym from rated corridor.</t>
  </si>
  <si>
    <t>Occupancy Sensor Wall Mount (Dual Relay)</t>
  </si>
  <si>
    <t>PW301 switch for Restrooms, Humidor, Closet, Break Room</t>
  </si>
  <si>
    <t>Occupancy Sensor Wall Mount (Single Relay)</t>
  </si>
  <si>
    <t>Offices</t>
  </si>
  <si>
    <t>Photo Sensor Ceiling Mount</t>
  </si>
  <si>
    <t>Gym, Corridor</t>
  </si>
  <si>
    <t>Photo Sensor Remote</t>
  </si>
  <si>
    <t>Switch Dimmer</t>
  </si>
  <si>
    <t>Humidor, Gym, Storage</t>
  </si>
  <si>
    <t>RECEPTACLE</t>
  </si>
  <si>
    <t>20A - Duplex</t>
  </si>
  <si>
    <t>20A - Duplex - Dedicated</t>
  </si>
  <si>
    <t>20A - Duplex - Tamper Resistant</t>
  </si>
  <si>
    <t>20A - GFCI Duplex</t>
  </si>
  <si>
    <t>(1) break room, (1) humidor, (1) per RR,</t>
  </si>
  <si>
    <t>20A - GFCI Duplex - Dedicated</t>
  </si>
  <si>
    <t>(2) in break area</t>
  </si>
  <si>
    <t>20A - WR For Heat Tape (Switched)</t>
  </si>
  <si>
    <t>20A - WR GFCI Protected W/ While In Use Cover</t>
  </si>
  <si>
    <t>J-BOXES</t>
  </si>
  <si>
    <t>20A - Hard Wired J-Box</t>
  </si>
  <si>
    <t>For dedicated sign</t>
  </si>
  <si>
    <t>PHONE/DATA</t>
  </si>
  <si>
    <t>4'x4' FR 5/8" CDX</t>
  </si>
  <si>
    <t>For data board mounting in IT closet.</t>
  </si>
  <si>
    <t>4X4 J-Box W/ Mud Ring &amp; 3/4" Conduit</t>
  </si>
  <si>
    <t>6X6 Nema 3R Entrance Box</t>
  </si>
  <si>
    <t>Outside IT closet in storage.</t>
  </si>
  <si>
    <t>PLUMBING</t>
  </si>
  <si>
    <t>PIPE</t>
  </si>
  <si>
    <t>Pex Plumbing Drop</t>
  </si>
  <si>
    <t>WATER CLOSET</t>
  </si>
  <si>
    <t>Water Closet - ADA - Tank Type - 1.28gpf - Elg - White</t>
  </si>
  <si>
    <t>LAVATORIES</t>
  </si>
  <si>
    <t>Lavatory - Wall Hung</t>
  </si>
  <si>
    <t>Thermostatic Mixing Valve</t>
  </si>
  <si>
    <t>At each sink/lavy.</t>
  </si>
  <si>
    <t>KITCHEN SINKS</t>
  </si>
  <si>
    <t>25" X 22" S.S. Single Bowl Sink</t>
  </si>
  <si>
    <t>Factory Standard S.S. Single Bowl Sink - Break Area</t>
  </si>
  <si>
    <t>DRINKING FOUNTAIN</t>
  </si>
  <si>
    <t>Water Cooler - Hi/Low - W/ GFI</t>
  </si>
  <si>
    <t>Occupancy Load greater than 30, Hi/Low ADA D.F. required per Idaho Plumbing Code.  Option for site install by others.
Location TBD but recommend in classroom area or build an alcove to put it in fire corridor hallway.</t>
  </si>
  <si>
    <t>MOP SINK</t>
  </si>
  <si>
    <t>Mop Sink-Floor Mnt-Inclds Hose &amp; Hanger</t>
  </si>
  <si>
    <t>To be in a janitor closet, location TBD, required per Idaho Plumbing Code</t>
  </si>
  <si>
    <t>WATER HEATERS</t>
  </si>
  <si>
    <t>06-Gallon - Electric Water Heater</t>
  </si>
  <si>
    <t>Janitor Closet above Mop Sink</t>
  </si>
  <si>
    <t>Water Heater Shelf - Melamine</t>
  </si>
  <si>
    <t>ACCESSORIES</t>
  </si>
  <si>
    <t>Grab-Bar Set</t>
  </si>
  <si>
    <t>Mirror - 18" X 36" - Beveled Edge</t>
  </si>
  <si>
    <t>Toilet Paper Dispenser</t>
  </si>
  <si>
    <t>1/4" Poly Line</t>
  </si>
  <si>
    <t>On interior partition wall in humidor for humidifier hook up.</t>
  </si>
  <si>
    <t>Ice Maker Valve Box</t>
  </si>
  <si>
    <t>Water Hammer Arrestor - 3/4"</t>
  </si>
  <si>
    <t>HVAC</t>
  </si>
  <si>
    <t>A/C - WALL MOUNT</t>
  </si>
  <si>
    <t>4.0-Ton - 15-KW Heat Strip - 1P - Bard, Eubank or Equal w/pgm t-stat</t>
  </si>
  <si>
    <t>Equipment in IT Closet N.I.C. in the Heat/cool calc.</t>
  </si>
  <si>
    <t>VENTILATION OPTIONS</t>
  </si>
  <si>
    <t>CRV - 3.5 Ton &amp; 5.0-Ton End Mount</t>
  </si>
  <si>
    <t>DUCT</t>
  </si>
  <si>
    <t>Galv - Return Air Duct</t>
  </si>
  <si>
    <t>Galv Main Trunk, Galv Pipe w/ Flex</t>
  </si>
  <si>
    <t>Galv - Supply Air Duct</t>
  </si>
  <si>
    <t>EXHAUST FANS</t>
  </si>
  <si>
    <t>100 CFM - Ceiling Mount</t>
  </si>
  <si>
    <t>Restroom Exhaust Fans</t>
  </si>
  <si>
    <t>140 CFM - Ceiling Mtd W/ Humidistat</t>
  </si>
  <si>
    <t>Fire/Smoke Damper</t>
  </si>
  <si>
    <t>Plenum Wall</t>
  </si>
  <si>
    <t>FURNISHINGS</t>
  </si>
  <si>
    <t>CABINETS</t>
  </si>
  <si>
    <t>Laminate - Base Cabinet</t>
  </si>
  <si>
    <t>Break Room Base Cabinets</t>
  </si>
  <si>
    <t>Laminate - Wall Cabinet</t>
  </si>
  <si>
    <t>Break Room Uppers</t>
  </si>
  <si>
    <t>Standard Laminate Countertop</t>
  </si>
  <si>
    <t>Break Room</t>
  </si>
  <si>
    <t>Close-Up</t>
  </si>
  <si>
    <t>Supplied by PMSI</t>
  </si>
  <si>
    <t>Shipping Wall</t>
  </si>
  <si>
    <t>STATES</t>
  </si>
  <si>
    <t>STATE APP</t>
  </si>
  <si>
    <t>ID Approvals</t>
  </si>
  <si>
    <t>Cat &amp; SubCat</t>
  </si>
  <si>
    <t>Building Width</t>
  </si>
  <si>
    <t>SQFT</t>
  </si>
  <si>
    <t>Building Length</t>
  </si>
  <si>
    <t>Perimeter Length</t>
  </si>
  <si>
    <t>Building Height</t>
  </si>
  <si>
    <t>Perimeter SQFT</t>
  </si>
  <si>
    <t>Mods</t>
  </si>
  <si>
    <t>Interior Wall LF</t>
  </si>
  <si>
    <t>Description</t>
  </si>
  <si>
    <t>Value Found</t>
  </si>
  <si>
    <t>Value Expected</t>
  </si>
  <si>
    <t>Deviance</t>
  </si>
  <si>
    <t>-</t>
  </si>
  <si>
    <t>Value expected often less than actual with rolled goods</t>
  </si>
  <si>
    <t>If building length is 4x greater than width, sheathing on end walls</t>
  </si>
  <si>
    <t>Check Calculator</t>
  </si>
  <si>
    <t>Mirror - 24" X 36" - W/Clips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</si>
</sst>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quot;#,##0.00\)"/>
  </numFmts>
  <fonts count="4">
    <font>
      <sz val="11"/>
      <color theme="1"/>
      <name val="Calibri"/>
      <family val="2"/>
      <scheme val="minor"/>
    </font>
    <font>
      <sz val="10"/>
      <color indexed="8"/>
      <name val="Arial"/>
    </font>
    <font>
      <sz val="10"/>
      <color indexed="8"/>
      <name val="Times New Roman"/>
    </font>
    <font>
      <sz val="9"/>
      <color indexed="8"/>
      <name val="Arial"/>
    </font>
  </fonts>
  <fills count="6">
    <fill>
      <patternFill patternType="none"/>
    </fill>
    <fill>
      <patternFill patternType="gray125"/>
    </fill>
    <fill>
      <patternFill patternType="solid">
        <fgColor indexed="22"/>
        <bgColor indexed="0"/>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tint="0.59999389629810485"/>
        <bgColor indexed="64"/>
      </patternFill>
    </fill>
  </fills>
  <borders count="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25">
    <xf numFmtId="0" fontId="0" fillId="0" borderId="0" xfId="0"/>
    <xf numFmtId="0" fontId="0" fillId="3" borderId="4" xfId="0" applyFill="1" applyBorder="1"/>
    <xf numFmtId="0" fontId="0" fillId="3" borderId="6" xfId="0" applyFill="1" applyBorder="1"/>
    <xf numFmtId="0" fontId="0" fillId="3" borderId="8" xfId="0" applyFill="1" applyBorder="1"/>
    <xf numFmtId="0" fontId="0" fillId="4" borderId="3" xfId="0" applyFill="1" applyBorder="1"/>
    <xf numFmtId="0" fontId="0" fillId="4" borderId="5" xfId="0" applyFill="1" applyBorder="1"/>
    <xf numFmtId="0" fontId="0" fillId="4" borderId="7" xfId="0" applyFill="1" applyBorder="1"/>
    <xf numFmtId="0" fontId="0" fillId="5" borderId="4" xfId="0" applyFill="1" applyBorder="1" applyProtection="1">
      <protection locked="0"/>
    </xf>
    <xf numFmtId="0" fontId="0" fillId="5" borderId="6" xfId="0" applyFill="1" applyBorder="1" applyProtection="1">
      <protection locked="0"/>
    </xf>
    <xf numFmtId="0" fontId="0" fillId="5" borderId="8" xfId="0" applyFill="1" applyBorder="1" applyProtection="1">
      <protection locked="0"/>
    </xf>
    <xf numFmtId="0" fontId="1" fillId="2" borderId="1" xfId="1" applyFill="1" applyBorder="1" applyAlignment="1" applyProtection="1">
      <alignment horizontal="center"/>
      <protection locked="0"/>
    </xf>
    <xf numFmtId="0" fontId="0" fillId="0" borderId="0" xfId="0" applyProtection="1">
      <protection locked="0"/>
    </xf>
    <xf numFmtId="0" fontId="2" fillId="2" borderId="2" xfId="1" applyFont="1" applyFill="1" applyBorder="1" applyAlignment="1" applyProtection="1">
      <alignment horizontal="right" wrapText="1"/>
      <protection locked="0"/>
    </xf>
    <xf numFmtId="0" fontId="2" fillId="2" borderId="2" xfId="1" applyFont="1" applyFill="1" applyBorder="1" applyAlignment="1" applyProtection="1">
      <alignment horizontal="left" wrapText="1"/>
      <protection locked="0"/>
    </xf>
    <xf numFmtId="0" fontId="1" fillId="0" borderId="1" xfId="1" applyBorder="1" applyAlignment="1" applyProtection="1">
      <alignment wrapText="1"/>
      <protection locked="0"/>
    </xf>
    <xf numFmtId="0" fontId="1" fillId="0" borderId="1" xfId="1" applyBorder="1" applyAlignment="1" applyProtection="1">
      <alignment horizontal="right" wrapText="1"/>
      <protection locked="0"/>
    </xf>
    <xf numFmtId="0" fontId="1" fillId="0" borderId="1" xfId="1" applyBorder="1" applyAlignment="1" applyProtection="1">
      <alignment horizontal="center" wrapText="1"/>
      <protection locked="0"/>
    </xf>
    <xf numFmtId="0" fontId="3" fillId="0" borderId="2" xfId="1" applyFont="1" applyBorder="1" applyAlignment="1" applyProtection="1">
      <alignment wrapText="1"/>
      <protection locked="0"/>
    </xf>
    <xf numFmtId="0" fontId="3" fillId="2" borderId="2" xfId="1" applyFont="1" applyFill="1" applyBorder="1" applyAlignment="1" applyProtection="1">
      <alignment horizontal="center" wrapText="1"/>
      <protection locked="0"/>
    </xf>
    <xf numFmtId="0" fontId="3" fillId="0" borderId="2" xfId="1" applyFont="1" applyBorder="1" applyAlignment="1" applyProtection="1">
      <alignment horizontal="left" wrapText="1"/>
      <protection locked="0"/>
    </xf>
    <xf numFmtId="0" fontId="3" fillId="2" borderId="2" xfId="1" applyFont="1" applyFill="1" applyBorder="1" applyAlignment="1" applyProtection="1">
      <alignment horizontal="left" wrapText="1"/>
      <protection locked="0"/>
    </xf>
    <xf numFmtId="4" fontId="3" fillId="0" borderId="2" xfId="1" applyNumberFormat="1" applyFont="1" applyBorder="1" applyAlignment="1" applyProtection="1">
      <alignment horizontal="center" wrapText="1"/>
      <protection locked="0"/>
    </xf>
    <xf numFmtId="0" fontId="3" fillId="0" borderId="2" xfId="1" applyFont="1" applyBorder="1" applyAlignment="1" applyProtection="1">
      <alignment horizontal="center" wrapText="1"/>
      <protection locked="0"/>
    </xf>
    <xf numFmtId="164" fontId="3" fillId="0" borderId="2" xfId="1" applyNumberFormat="1" applyFont="1" applyBorder="1" applyAlignment="1" applyProtection="1">
      <alignment horizontal="right" wrapText="1"/>
      <protection locked="0"/>
    </xf>
    <xf numFmtId="164" fontId="3" fillId="2" borderId="2" xfId="1" applyNumberFormat="1" applyFont="1" applyFill="1" applyBorder="1" applyAlignment="1" applyProtection="1">
      <alignment horizontal="right" wrapText="1"/>
      <protection locked="0"/>
    </xf>
  </cellXfs>
  <cellStyles count="2">
    <cellStyle name="Normal" xfId="0" builtinId="0"/>
    <cellStyle name="Normal_Paste Here" xfId="1" xr:uid="{0CF6947F-701F-4A44-A161-F801B4B880C1}"/>
  </cellStyles>
  <dxfs count="2">
    <dxf>
      <fill>
        <patternFill>
          <bgColor rgb="FFFF00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8305BF-4BB4-46D2-BFC7-D22F7D97231E}" name="Table1" displayName="Table1" ref="A7:G63" totalsRowShown="0">
  <autoFilter ref="A7:G63" xr:uid="{3E8305BF-4BB4-46D2-BFC7-D22F7D97231E}"/>
  <tableColumns count="7">
    <tableColumn id="1" xr3:uid="{0CC0826A-DC13-4CE7-90D7-D415503D57B5}" name="Category"/>
    <tableColumn id="2" xr3:uid="{02796C80-F457-48AE-8933-DC20DB4A9A25}" name="SubCategory"/>
    <tableColumn id="3" xr3:uid="{B91D46D8-A240-496D-BBA4-76D080947705}" name="Description"/>
    <tableColumn id="4" xr3:uid="{3707C6E0-0277-4DB8-AEF3-69FB8B28A750}" name="Value Found"/>
    <tableColumn id="5" xr3:uid="{C5A51AA8-F6FA-4FFF-9631-BE5934C10255}" name="Value Expected"/>
    <tableColumn id="6" xr3:uid="{080025E5-95D1-4315-9D85-531A9EC2198A}" name="Deviance">
      <calculatedColumnFormula>+D8-E8</calculatedColumnFormula>
    </tableColumn>
    <tableColumn id="7" xr3:uid="{768DE21A-6233-4C0A-99A2-F629B3727D09}" name="Notes"/>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3DE32-2BE8-47CE-9179-E146B5D019DA}">
  <sheetPr codeName="Sheet1"/>
  <dimension ref="A1:AE116"/>
  <sheetViews>
    <sheetView workbookViewId="0">
      <selection activeCell="Y3" sqref="Y3"/>
    </sheetView>
  </sheetViews>
  <sheetFormatPr defaultRowHeight="15" customHeight="1"/>
  <cols>
    <col min="1" max="1" width="9.140625" style="11"/>
    <col min="2" max="13" width="0" style="11" hidden="1" customWidth="1"/>
    <col min="14" max="14" width="9.140625" style="11"/>
    <col min="15" max="15" width="15.28515625" style="11" bestFit="1" customWidth="1"/>
    <col min="16" max="16" width="19.28515625" style="11" bestFit="1" customWidth="1"/>
    <col min="17" max="17" width="56" style="11" bestFit="1" customWidth="1"/>
    <col min="18" max="31" width="9.140625" style="11"/>
  </cols>
  <sheetData>
    <row r="1" spans="1:23" ht="15" customHeight="1">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spans="1:23" ht="15" customHeight="1">
      <c r="A2" s="12" t="s">
        <v>23</v>
      </c>
      <c r="B2" s="13" t="s">
        <v>24</v>
      </c>
      <c r="C2" s="14" t="s">
        <v>25</v>
      </c>
      <c r="D2" s="14" t="s">
        <v>26</v>
      </c>
      <c r="E2" s="14" t="s">
        <v>27</v>
      </c>
      <c r="F2" s="14" t="s">
        <v>27</v>
      </c>
      <c r="G2" s="14" t="s">
        <v>27</v>
      </c>
      <c r="H2" s="15" t="s">
        <v>27</v>
      </c>
      <c r="I2" s="16" t="s">
        <v>27</v>
      </c>
      <c r="J2" s="15" t="s">
        <v>27</v>
      </c>
      <c r="K2" s="17" t="s">
        <v>27</v>
      </c>
      <c r="L2" s="17" t="s">
        <v>27</v>
      </c>
      <c r="M2" s="17" t="s">
        <v>27</v>
      </c>
      <c r="N2" s="18" t="s">
        <v>28</v>
      </c>
      <c r="O2" s="19" t="s">
        <v>25</v>
      </c>
      <c r="P2" s="19" t="s">
        <v>26</v>
      </c>
      <c r="Q2" s="20" t="s">
        <v>29</v>
      </c>
      <c r="R2" s="21">
        <v>4</v>
      </c>
      <c r="S2" s="22" t="s">
        <v>30</v>
      </c>
      <c r="T2" s="23">
        <v>2632.92</v>
      </c>
      <c r="U2" s="24">
        <v>10531.68</v>
      </c>
      <c r="V2" s="19" t="s">
        <v>27</v>
      </c>
      <c r="W2" s="19">
        <v>62405</v>
      </c>
    </row>
    <row r="3" spans="1:23" ht="15" customHeight="1">
      <c r="A3" s="12" t="s">
        <v>23</v>
      </c>
      <c r="B3" s="13" t="s">
        <v>24</v>
      </c>
      <c r="C3" s="14" t="s">
        <v>25</v>
      </c>
      <c r="D3" s="14" t="s">
        <v>26</v>
      </c>
      <c r="E3" s="14" t="s">
        <v>27</v>
      </c>
      <c r="F3" s="14" t="s">
        <v>27</v>
      </c>
      <c r="G3" s="14" t="s">
        <v>27</v>
      </c>
      <c r="H3" s="15" t="s">
        <v>27</v>
      </c>
      <c r="I3" s="16" t="s">
        <v>27</v>
      </c>
      <c r="J3" s="15" t="s">
        <v>27</v>
      </c>
      <c r="K3" s="17" t="s">
        <v>27</v>
      </c>
      <c r="L3" s="17" t="s">
        <v>27</v>
      </c>
      <c r="M3" s="17" t="s">
        <v>27</v>
      </c>
      <c r="N3" s="18" t="s">
        <v>28</v>
      </c>
      <c r="O3" s="19" t="s">
        <v>25</v>
      </c>
      <c r="P3" s="19" t="s">
        <v>31</v>
      </c>
      <c r="Q3" s="20" t="s">
        <v>32</v>
      </c>
      <c r="R3" s="21">
        <v>4</v>
      </c>
      <c r="S3" s="22" t="s">
        <v>30</v>
      </c>
      <c r="T3" s="23">
        <v>2033.65</v>
      </c>
      <c r="U3" s="24">
        <v>8134.6</v>
      </c>
      <c r="V3" s="19" t="s">
        <v>27</v>
      </c>
      <c r="W3" s="19">
        <v>62504</v>
      </c>
    </row>
    <row r="4" spans="1:23" ht="15" customHeight="1">
      <c r="A4" s="12" t="s">
        <v>23</v>
      </c>
      <c r="B4" s="13" t="s">
        <v>24</v>
      </c>
      <c r="C4" s="14" t="s">
        <v>25</v>
      </c>
      <c r="D4" s="14" t="s">
        <v>26</v>
      </c>
      <c r="E4" s="14" t="s">
        <v>27</v>
      </c>
      <c r="F4" s="14" t="s">
        <v>27</v>
      </c>
      <c r="G4" s="14" t="s">
        <v>27</v>
      </c>
      <c r="H4" s="15" t="s">
        <v>27</v>
      </c>
      <c r="I4" s="16" t="s">
        <v>27</v>
      </c>
      <c r="J4" s="15" t="s">
        <v>27</v>
      </c>
      <c r="K4" s="17" t="s">
        <v>27</v>
      </c>
      <c r="L4" s="17" t="s">
        <v>27</v>
      </c>
      <c r="M4" s="17" t="s">
        <v>27</v>
      </c>
      <c r="N4" s="18" t="s">
        <v>28</v>
      </c>
      <c r="O4" s="19" t="s">
        <v>25</v>
      </c>
      <c r="P4" s="19" t="s">
        <v>33</v>
      </c>
      <c r="Q4" s="20" t="s">
        <v>34</v>
      </c>
      <c r="R4" s="21">
        <v>8</v>
      </c>
      <c r="S4" s="22" t="s">
        <v>35</v>
      </c>
      <c r="T4" s="23">
        <v>25.46</v>
      </c>
      <c r="U4" s="24">
        <v>203.68</v>
      </c>
      <c r="V4" s="19" t="s">
        <v>36</v>
      </c>
      <c r="W4" s="19">
        <v>62407</v>
      </c>
    </row>
    <row r="5" spans="1:23" ht="15" customHeight="1">
      <c r="A5" s="12" t="s">
        <v>23</v>
      </c>
      <c r="B5" s="13" t="s">
        <v>24</v>
      </c>
      <c r="C5" s="14" t="s">
        <v>25</v>
      </c>
      <c r="D5" s="14" t="s">
        <v>26</v>
      </c>
      <c r="E5" s="14" t="s">
        <v>27</v>
      </c>
      <c r="F5" s="14" t="s">
        <v>27</v>
      </c>
      <c r="G5" s="14" t="s">
        <v>27</v>
      </c>
      <c r="H5" s="15" t="s">
        <v>27</v>
      </c>
      <c r="I5" s="16" t="s">
        <v>27</v>
      </c>
      <c r="J5" s="15" t="s">
        <v>27</v>
      </c>
      <c r="K5" s="17" t="s">
        <v>27</v>
      </c>
      <c r="L5" s="17" t="s">
        <v>27</v>
      </c>
      <c r="M5" s="17" t="s">
        <v>27</v>
      </c>
      <c r="N5" s="18" t="s">
        <v>28</v>
      </c>
      <c r="O5" s="19" t="s">
        <v>37</v>
      </c>
      <c r="P5" s="19" t="s">
        <v>38</v>
      </c>
      <c r="Q5" s="20" t="s">
        <v>39</v>
      </c>
      <c r="R5" s="21">
        <v>2380</v>
      </c>
      <c r="S5" s="22" t="s">
        <v>40</v>
      </c>
      <c r="T5" s="23">
        <v>1.28</v>
      </c>
      <c r="U5" s="24">
        <v>3046.4</v>
      </c>
      <c r="V5" s="19" t="s">
        <v>41</v>
      </c>
      <c r="W5" s="19">
        <v>62514</v>
      </c>
    </row>
    <row r="6" spans="1:23" ht="15" customHeight="1">
      <c r="A6" s="12" t="s">
        <v>23</v>
      </c>
      <c r="B6" s="13" t="s">
        <v>24</v>
      </c>
      <c r="C6" s="14" t="s">
        <v>25</v>
      </c>
      <c r="D6" s="14" t="s">
        <v>26</v>
      </c>
      <c r="E6" s="14" t="s">
        <v>27</v>
      </c>
      <c r="F6" s="14" t="s">
        <v>27</v>
      </c>
      <c r="G6" s="14" t="s">
        <v>27</v>
      </c>
      <c r="H6" s="15" t="s">
        <v>27</v>
      </c>
      <c r="I6" s="16" t="s">
        <v>27</v>
      </c>
      <c r="J6" s="15" t="s">
        <v>27</v>
      </c>
      <c r="K6" s="17" t="s">
        <v>27</v>
      </c>
      <c r="L6" s="17" t="s">
        <v>27</v>
      </c>
      <c r="M6" s="17" t="s">
        <v>27</v>
      </c>
      <c r="N6" s="18" t="s">
        <v>28</v>
      </c>
      <c r="O6" s="19" t="s">
        <v>37</v>
      </c>
      <c r="P6" s="19" t="s">
        <v>38</v>
      </c>
      <c r="Q6" s="20" t="s">
        <v>42</v>
      </c>
      <c r="R6" s="21">
        <v>500</v>
      </c>
      <c r="S6" s="22" t="s">
        <v>40</v>
      </c>
      <c r="T6" s="23">
        <v>1.1000000000000001</v>
      </c>
      <c r="U6" s="24">
        <v>550</v>
      </c>
      <c r="V6" s="19" t="s">
        <v>43</v>
      </c>
      <c r="W6" s="19">
        <v>62408</v>
      </c>
    </row>
    <row r="7" spans="1:23" ht="15" customHeight="1">
      <c r="A7" s="12" t="s">
        <v>23</v>
      </c>
      <c r="B7" s="13" t="s">
        <v>24</v>
      </c>
      <c r="C7" s="14" t="s">
        <v>25</v>
      </c>
      <c r="D7" s="14" t="s">
        <v>26</v>
      </c>
      <c r="E7" s="14" t="s">
        <v>27</v>
      </c>
      <c r="F7" s="14" t="s">
        <v>27</v>
      </c>
      <c r="G7" s="14" t="s">
        <v>27</v>
      </c>
      <c r="H7" s="15" t="s">
        <v>27</v>
      </c>
      <c r="I7" s="16" t="s">
        <v>27</v>
      </c>
      <c r="J7" s="15" t="s">
        <v>27</v>
      </c>
      <c r="K7" s="17" t="s">
        <v>27</v>
      </c>
      <c r="L7" s="17" t="s">
        <v>27</v>
      </c>
      <c r="M7" s="17" t="s">
        <v>27</v>
      </c>
      <c r="N7" s="18" t="s">
        <v>28</v>
      </c>
      <c r="O7" s="19" t="s">
        <v>37</v>
      </c>
      <c r="P7" s="19" t="s">
        <v>44</v>
      </c>
      <c r="Q7" s="20" t="s">
        <v>45</v>
      </c>
      <c r="R7" s="21">
        <v>2880</v>
      </c>
      <c r="S7" s="22" t="s">
        <v>40</v>
      </c>
      <c r="T7" s="23">
        <v>1.1499999999999999</v>
      </c>
      <c r="U7" s="24">
        <v>3312</v>
      </c>
      <c r="V7" s="19" t="s">
        <v>27</v>
      </c>
      <c r="W7" s="19">
        <v>62515</v>
      </c>
    </row>
    <row r="8" spans="1:23" ht="15" customHeight="1">
      <c r="A8" s="12" t="s">
        <v>23</v>
      </c>
      <c r="B8" s="13" t="s">
        <v>24</v>
      </c>
      <c r="C8" s="14" t="s">
        <v>25</v>
      </c>
      <c r="D8" s="14" t="s">
        <v>26</v>
      </c>
      <c r="E8" s="14" t="s">
        <v>27</v>
      </c>
      <c r="F8" s="14" t="s">
        <v>27</v>
      </c>
      <c r="G8" s="14" t="s">
        <v>27</v>
      </c>
      <c r="H8" s="15" t="s">
        <v>27</v>
      </c>
      <c r="I8" s="16" t="s">
        <v>27</v>
      </c>
      <c r="J8" s="15" t="s">
        <v>27</v>
      </c>
      <c r="K8" s="17" t="s">
        <v>27</v>
      </c>
      <c r="L8" s="17" t="s">
        <v>27</v>
      </c>
      <c r="M8" s="17" t="s">
        <v>27</v>
      </c>
      <c r="N8" s="18" t="s">
        <v>28</v>
      </c>
      <c r="O8" s="19" t="s">
        <v>37</v>
      </c>
      <c r="P8" s="19" t="s">
        <v>46</v>
      </c>
      <c r="Q8" s="20" t="s">
        <v>47</v>
      </c>
      <c r="R8" s="21">
        <v>2880</v>
      </c>
      <c r="S8" s="22" t="s">
        <v>40</v>
      </c>
      <c r="T8" s="23">
        <v>1.39</v>
      </c>
      <c r="U8" s="24">
        <v>4003.2</v>
      </c>
      <c r="V8" s="19" t="s">
        <v>27</v>
      </c>
      <c r="W8" s="19">
        <v>62410</v>
      </c>
    </row>
    <row r="9" spans="1:23" ht="15" customHeight="1">
      <c r="A9" s="12" t="s">
        <v>23</v>
      </c>
      <c r="B9" s="13" t="s">
        <v>24</v>
      </c>
      <c r="C9" s="14" t="s">
        <v>25</v>
      </c>
      <c r="D9" s="14" t="s">
        <v>26</v>
      </c>
      <c r="E9" s="14" t="s">
        <v>27</v>
      </c>
      <c r="F9" s="14" t="s">
        <v>27</v>
      </c>
      <c r="G9" s="14" t="s">
        <v>27</v>
      </c>
      <c r="H9" s="15" t="s">
        <v>27</v>
      </c>
      <c r="I9" s="16" t="s">
        <v>27</v>
      </c>
      <c r="J9" s="15" t="s">
        <v>27</v>
      </c>
      <c r="K9" s="17" t="s">
        <v>27</v>
      </c>
      <c r="L9" s="17" t="s">
        <v>27</v>
      </c>
      <c r="M9" s="17" t="s">
        <v>27</v>
      </c>
      <c r="N9" s="18" t="s">
        <v>28</v>
      </c>
      <c r="O9" s="19" t="s">
        <v>37</v>
      </c>
      <c r="P9" s="19" t="s">
        <v>48</v>
      </c>
      <c r="Q9" s="20" t="s">
        <v>49</v>
      </c>
      <c r="R9" s="21">
        <v>2760</v>
      </c>
      <c r="S9" s="22" t="s">
        <v>40</v>
      </c>
      <c r="T9" s="23">
        <v>1.57</v>
      </c>
      <c r="U9" s="24">
        <v>4333.2</v>
      </c>
      <c r="V9" s="19" t="s">
        <v>50</v>
      </c>
      <c r="W9" s="19">
        <v>62413</v>
      </c>
    </row>
    <row r="10" spans="1:23" ht="15" customHeight="1">
      <c r="A10" s="12" t="s">
        <v>23</v>
      </c>
      <c r="B10" s="13" t="s">
        <v>24</v>
      </c>
      <c r="C10" s="14" t="s">
        <v>25</v>
      </c>
      <c r="D10" s="14" t="s">
        <v>26</v>
      </c>
      <c r="E10" s="14" t="s">
        <v>27</v>
      </c>
      <c r="F10" s="14" t="s">
        <v>27</v>
      </c>
      <c r="G10" s="14" t="s">
        <v>27</v>
      </c>
      <c r="H10" s="15" t="s">
        <v>27</v>
      </c>
      <c r="I10" s="16" t="s">
        <v>27</v>
      </c>
      <c r="J10" s="15" t="s">
        <v>27</v>
      </c>
      <c r="K10" s="17" t="s">
        <v>27</v>
      </c>
      <c r="L10" s="17" t="s">
        <v>27</v>
      </c>
      <c r="M10" s="17" t="s">
        <v>27</v>
      </c>
      <c r="N10" s="18" t="s">
        <v>28</v>
      </c>
      <c r="O10" s="19" t="s">
        <v>37</v>
      </c>
      <c r="P10" s="19" t="s">
        <v>48</v>
      </c>
      <c r="Q10" s="20" t="s">
        <v>51</v>
      </c>
      <c r="R10" s="21">
        <v>224</v>
      </c>
      <c r="S10" s="22" t="s">
        <v>40</v>
      </c>
      <c r="T10" s="23">
        <v>2.52</v>
      </c>
      <c r="U10" s="24">
        <v>564.48</v>
      </c>
      <c r="V10" s="19" t="s">
        <v>52</v>
      </c>
      <c r="W10" s="19">
        <v>62411</v>
      </c>
    </row>
    <row r="11" spans="1:23" ht="15" customHeight="1">
      <c r="A11" s="12" t="s">
        <v>23</v>
      </c>
      <c r="B11" s="13" t="s">
        <v>24</v>
      </c>
      <c r="C11" s="14" t="s">
        <v>25</v>
      </c>
      <c r="D11" s="14" t="s">
        <v>26</v>
      </c>
      <c r="E11" s="14" t="s">
        <v>27</v>
      </c>
      <c r="F11" s="14" t="s">
        <v>27</v>
      </c>
      <c r="G11" s="14" t="s">
        <v>27</v>
      </c>
      <c r="H11" s="15" t="s">
        <v>27</v>
      </c>
      <c r="I11" s="16" t="s">
        <v>27</v>
      </c>
      <c r="J11" s="15" t="s">
        <v>27</v>
      </c>
      <c r="K11" s="17" t="s">
        <v>27</v>
      </c>
      <c r="L11" s="17" t="s">
        <v>27</v>
      </c>
      <c r="M11" s="17" t="s">
        <v>27</v>
      </c>
      <c r="N11" s="18" t="s">
        <v>28</v>
      </c>
      <c r="O11" s="19" t="s">
        <v>37</v>
      </c>
      <c r="P11" s="19" t="s">
        <v>48</v>
      </c>
      <c r="Q11" s="20" t="s">
        <v>53</v>
      </c>
      <c r="R11" s="21">
        <v>128</v>
      </c>
      <c r="S11" s="22" t="s">
        <v>40</v>
      </c>
      <c r="T11" s="23">
        <v>0.62</v>
      </c>
      <c r="U11" s="24">
        <v>79.36</v>
      </c>
      <c r="V11" s="19" t="s">
        <v>54</v>
      </c>
      <c r="W11" s="19">
        <v>62412</v>
      </c>
    </row>
    <row r="12" spans="1:23" ht="15" customHeight="1">
      <c r="A12" s="12" t="s">
        <v>23</v>
      </c>
      <c r="B12" s="13" t="s">
        <v>24</v>
      </c>
      <c r="C12" s="14" t="s">
        <v>25</v>
      </c>
      <c r="D12" s="14" t="s">
        <v>26</v>
      </c>
      <c r="E12" s="14" t="s">
        <v>27</v>
      </c>
      <c r="F12" s="14" t="s">
        <v>27</v>
      </c>
      <c r="G12" s="14" t="s">
        <v>27</v>
      </c>
      <c r="H12" s="15" t="s">
        <v>27</v>
      </c>
      <c r="I12" s="16" t="s">
        <v>27</v>
      </c>
      <c r="J12" s="15" t="s">
        <v>27</v>
      </c>
      <c r="K12" s="17" t="s">
        <v>27</v>
      </c>
      <c r="L12" s="17" t="s">
        <v>27</v>
      </c>
      <c r="M12" s="17" t="s">
        <v>27</v>
      </c>
      <c r="N12" s="18" t="s">
        <v>28</v>
      </c>
      <c r="O12" s="19" t="s">
        <v>37</v>
      </c>
      <c r="P12" s="19" t="s">
        <v>33</v>
      </c>
      <c r="Q12" s="20" t="s">
        <v>55</v>
      </c>
      <c r="R12" s="21">
        <v>2910</v>
      </c>
      <c r="S12" s="22" t="s">
        <v>40</v>
      </c>
      <c r="T12" s="23">
        <v>7.0000000000000007E-2</v>
      </c>
      <c r="U12" s="24">
        <v>203.7</v>
      </c>
      <c r="V12" s="19" t="s">
        <v>27</v>
      </c>
      <c r="W12" s="19">
        <v>62414</v>
      </c>
    </row>
    <row r="13" spans="1:23" ht="15" customHeight="1">
      <c r="A13" s="12" t="s">
        <v>23</v>
      </c>
      <c r="B13" s="13" t="s">
        <v>24</v>
      </c>
      <c r="C13" s="14" t="s">
        <v>25</v>
      </c>
      <c r="D13" s="14" t="s">
        <v>26</v>
      </c>
      <c r="E13" s="14" t="s">
        <v>27</v>
      </c>
      <c r="F13" s="14" t="s">
        <v>27</v>
      </c>
      <c r="G13" s="14" t="s">
        <v>27</v>
      </c>
      <c r="H13" s="15" t="s">
        <v>27</v>
      </c>
      <c r="I13" s="16" t="s">
        <v>27</v>
      </c>
      <c r="J13" s="15" t="s">
        <v>27</v>
      </c>
      <c r="K13" s="17" t="s">
        <v>27</v>
      </c>
      <c r="L13" s="17" t="s">
        <v>27</v>
      </c>
      <c r="M13" s="17" t="s">
        <v>27</v>
      </c>
      <c r="N13" s="18" t="s">
        <v>28</v>
      </c>
      <c r="O13" s="19" t="s">
        <v>56</v>
      </c>
      <c r="P13" s="19" t="s">
        <v>57</v>
      </c>
      <c r="Q13" s="20" t="s">
        <v>58</v>
      </c>
      <c r="R13" s="21">
        <v>2592</v>
      </c>
      <c r="S13" s="22" t="s">
        <v>40</v>
      </c>
      <c r="T13" s="23">
        <v>1.1000000000000001</v>
      </c>
      <c r="U13" s="24">
        <v>2851.2</v>
      </c>
      <c r="V13" s="19" t="s">
        <v>27</v>
      </c>
      <c r="W13" s="19">
        <v>62415</v>
      </c>
    </row>
    <row r="14" spans="1:23" ht="15" customHeight="1">
      <c r="A14" s="12" t="s">
        <v>23</v>
      </c>
      <c r="B14" s="13" t="s">
        <v>24</v>
      </c>
      <c r="C14" s="14" t="s">
        <v>25</v>
      </c>
      <c r="D14" s="14" t="s">
        <v>26</v>
      </c>
      <c r="E14" s="14" t="s">
        <v>27</v>
      </c>
      <c r="F14" s="14" t="s">
        <v>27</v>
      </c>
      <c r="G14" s="14" t="s">
        <v>27</v>
      </c>
      <c r="H14" s="15" t="s">
        <v>27</v>
      </c>
      <c r="I14" s="16" t="s">
        <v>27</v>
      </c>
      <c r="J14" s="15" t="s">
        <v>27</v>
      </c>
      <c r="K14" s="17" t="s">
        <v>27</v>
      </c>
      <c r="L14" s="17" t="s">
        <v>27</v>
      </c>
      <c r="M14" s="17" t="s">
        <v>27</v>
      </c>
      <c r="N14" s="18" t="s">
        <v>59</v>
      </c>
      <c r="O14" s="19" t="s">
        <v>56</v>
      </c>
      <c r="P14" s="19" t="s">
        <v>60</v>
      </c>
      <c r="Q14" s="20" t="s">
        <v>61</v>
      </c>
      <c r="R14" s="21">
        <v>640</v>
      </c>
      <c r="S14" s="22" t="s">
        <v>40</v>
      </c>
      <c r="T14" s="23">
        <v>0.1</v>
      </c>
      <c r="U14" s="24">
        <v>64</v>
      </c>
      <c r="V14" s="19" t="s">
        <v>62</v>
      </c>
      <c r="W14" s="19">
        <v>62657</v>
      </c>
    </row>
    <row r="15" spans="1:23" ht="15" customHeight="1">
      <c r="A15" s="12" t="s">
        <v>23</v>
      </c>
      <c r="B15" s="13" t="s">
        <v>24</v>
      </c>
      <c r="C15" s="14" t="s">
        <v>25</v>
      </c>
      <c r="D15" s="14" t="s">
        <v>26</v>
      </c>
      <c r="E15" s="14" t="s">
        <v>27</v>
      </c>
      <c r="F15" s="14" t="s">
        <v>27</v>
      </c>
      <c r="G15" s="14" t="s">
        <v>27</v>
      </c>
      <c r="H15" s="15" t="s">
        <v>27</v>
      </c>
      <c r="I15" s="16" t="s">
        <v>27</v>
      </c>
      <c r="J15" s="15" t="s">
        <v>27</v>
      </c>
      <c r="K15" s="17" t="s">
        <v>27</v>
      </c>
      <c r="L15" s="17" t="s">
        <v>27</v>
      </c>
      <c r="M15" s="17" t="s">
        <v>27</v>
      </c>
      <c r="N15" s="18" t="s">
        <v>28</v>
      </c>
      <c r="O15" s="19" t="s">
        <v>56</v>
      </c>
      <c r="P15" s="19" t="s">
        <v>63</v>
      </c>
      <c r="Q15" s="20" t="s">
        <v>64</v>
      </c>
      <c r="R15" s="21">
        <v>2592</v>
      </c>
      <c r="S15" s="22" t="s">
        <v>40</v>
      </c>
      <c r="T15" s="23">
        <v>2.2200000000000002</v>
      </c>
      <c r="U15" s="24">
        <v>5754.24</v>
      </c>
      <c r="V15" s="19" t="s">
        <v>27</v>
      </c>
      <c r="W15" s="19">
        <v>62418</v>
      </c>
    </row>
    <row r="16" spans="1:23" ht="15" customHeight="1">
      <c r="A16" s="12" t="s">
        <v>23</v>
      </c>
      <c r="B16" s="13" t="s">
        <v>24</v>
      </c>
      <c r="C16" s="14" t="s">
        <v>25</v>
      </c>
      <c r="D16" s="14" t="s">
        <v>26</v>
      </c>
      <c r="E16" s="14" t="s">
        <v>27</v>
      </c>
      <c r="F16" s="14" t="s">
        <v>27</v>
      </c>
      <c r="G16" s="14" t="s">
        <v>27</v>
      </c>
      <c r="H16" s="15" t="s">
        <v>27</v>
      </c>
      <c r="I16" s="16" t="s">
        <v>27</v>
      </c>
      <c r="J16" s="15" t="s">
        <v>27</v>
      </c>
      <c r="K16" s="17" t="s">
        <v>27</v>
      </c>
      <c r="L16" s="17" t="s">
        <v>27</v>
      </c>
      <c r="M16" s="17" t="s">
        <v>27</v>
      </c>
      <c r="N16" s="18" t="s">
        <v>59</v>
      </c>
      <c r="O16" s="19" t="s">
        <v>56</v>
      </c>
      <c r="P16" s="19" t="s">
        <v>48</v>
      </c>
      <c r="Q16" s="20" t="s">
        <v>65</v>
      </c>
      <c r="R16" s="21">
        <v>224</v>
      </c>
      <c r="S16" s="22" t="s">
        <v>66</v>
      </c>
      <c r="T16" s="23">
        <v>1.44</v>
      </c>
      <c r="U16" s="24">
        <v>322.56</v>
      </c>
      <c r="V16" s="19" t="s">
        <v>67</v>
      </c>
      <c r="W16" s="19">
        <v>62662</v>
      </c>
    </row>
    <row r="17" spans="1:23" ht="15" customHeight="1">
      <c r="A17" s="12" t="s">
        <v>23</v>
      </c>
      <c r="B17" s="13" t="s">
        <v>24</v>
      </c>
      <c r="C17" s="14" t="s">
        <v>25</v>
      </c>
      <c r="D17" s="14" t="s">
        <v>26</v>
      </c>
      <c r="E17" s="14" t="s">
        <v>27</v>
      </c>
      <c r="F17" s="14" t="s">
        <v>27</v>
      </c>
      <c r="G17" s="14" t="s">
        <v>27</v>
      </c>
      <c r="H17" s="15" t="s">
        <v>27</v>
      </c>
      <c r="I17" s="16" t="s">
        <v>27</v>
      </c>
      <c r="J17" s="15" t="s">
        <v>27</v>
      </c>
      <c r="K17" s="17" t="s">
        <v>27</v>
      </c>
      <c r="L17" s="17" t="s">
        <v>27</v>
      </c>
      <c r="M17" s="17" t="s">
        <v>27</v>
      </c>
      <c r="N17" s="18" t="s">
        <v>59</v>
      </c>
      <c r="O17" s="19" t="s">
        <v>56</v>
      </c>
      <c r="P17" s="19" t="s">
        <v>48</v>
      </c>
      <c r="Q17" s="20" t="s">
        <v>68</v>
      </c>
      <c r="R17" s="21">
        <v>512</v>
      </c>
      <c r="S17" s="22" t="s">
        <v>40</v>
      </c>
      <c r="T17" s="23">
        <v>9.77</v>
      </c>
      <c r="U17" s="24">
        <v>5002.24</v>
      </c>
      <c r="V17" s="19" t="s">
        <v>69</v>
      </c>
      <c r="W17" s="19">
        <v>62661</v>
      </c>
    </row>
    <row r="18" spans="1:23" ht="15" customHeight="1">
      <c r="A18" s="12" t="s">
        <v>23</v>
      </c>
      <c r="B18" s="13" t="s">
        <v>24</v>
      </c>
      <c r="C18" s="14" t="s">
        <v>25</v>
      </c>
      <c r="D18" s="14" t="s">
        <v>26</v>
      </c>
      <c r="E18" s="14" t="s">
        <v>27</v>
      </c>
      <c r="F18" s="14" t="s">
        <v>27</v>
      </c>
      <c r="G18" s="14" t="s">
        <v>27</v>
      </c>
      <c r="H18" s="15" t="s">
        <v>27</v>
      </c>
      <c r="I18" s="16" t="s">
        <v>27</v>
      </c>
      <c r="J18" s="15" t="s">
        <v>27</v>
      </c>
      <c r="K18" s="17" t="s">
        <v>27</v>
      </c>
      <c r="L18" s="17" t="s">
        <v>27</v>
      </c>
      <c r="M18" s="17" t="s">
        <v>27</v>
      </c>
      <c r="N18" s="18" t="s">
        <v>59</v>
      </c>
      <c r="O18" s="19" t="s">
        <v>56</v>
      </c>
      <c r="P18" s="19" t="s">
        <v>48</v>
      </c>
      <c r="Q18" s="20" t="s">
        <v>70</v>
      </c>
      <c r="R18" s="21">
        <v>32</v>
      </c>
      <c r="S18" s="22" t="s">
        <v>66</v>
      </c>
      <c r="T18" s="23">
        <v>8.35</v>
      </c>
      <c r="U18" s="24">
        <v>267.2</v>
      </c>
      <c r="V18" s="19" t="s">
        <v>71</v>
      </c>
      <c r="W18" s="19">
        <v>62658</v>
      </c>
    </row>
    <row r="19" spans="1:23" ht="15" customHeight="1">
      <c r="A19" s="12" t="s">
        <v>23</v>
      </c>
      <c r="B19" s="13" t="s">
        <v>24</v>
      </c>
      <c r="C19" s="14" t="s">
        <v>25</v>
      </c>
      <c r="D19" s="14" t="s">
        <v>26</v>
      </c>
      <c r="E19" s="14" t="s">
        <v>27</v>
      </c>
      <c r="F19" s="14" t="s">
        <v>27</v>
      </c>
      <c r="G19" s="14" t="s">
        <v>27</v>
      </c>
      <c r="H19" s="15" t="s">
        <v>27</v>
      </c>
      <c r="I19" s="16" t="s">
        <v>27</v>
      </c>
      <c r="J19" s="15" t="s">
        <v>27</v>
      </c>
      <c r="K19" s="17" t="s">
        <v>27</v>
      </c>
      <c r="L19" s="17" t="s">
        <v>27</v>
      </c>
      <c r="M19" s="17" t="s">
        <v>27</v>
      </c>
      <c r="N19" s="18" t="s">
        <v>28</v>
      </c>
      <c r="O19" s="19" t="s">
        <v>56</v>
      </c>
      <c r="P19" s="19" t="s">
        <v>48</v>
      </c>
      <c r="Q19" s="20" t="s">
        <v>72</v>
      </c>
      <c r="R19" s="21">
        <v>184</v>
      </c>
      <c r="S19" s="22" t="s">
        <v>66</v>
      </c>
      <c r="T19" s="23">
        <v>12.58</v>
      </c>
      <c r="U19" s="24">
        <v>2314.7199999999998</v>
      </c>
      <c r="V19" s="19" t="s">
        <v>73</v>
      </c>
      <c r="W19" s="19">
        <v>62517</v>
      </c>
    </row>
    <row r="20" spans="1:23" ht="15" customHeight="1">
      <c r="A20" s="12" t="s">
        <v>23</v>
      </c>
      <c r="B20" s="13" t="s">
        <v>24</v>
      </c>
      <c r="C20" s="14" t="s">
        <v>25</v>
      </c>
      <c r="D20" s="14" t="s">
        <v>26</v>
      </c>
      <c r="E20" s="14" t="s">
        <v>27</v>
      </c>
      <c r="F20" s="14" t="s">
        <v>27</v>
      </c>
      <c r="G20" s="14" t="s">
        <v>27</v>
      </c>
      <c r="H20" s="15" t="s">
        <v>27</v>
      </c>
      <c r="I20" s="16" t="s">
        <v>27</v>
      </c>
      <c r="J20" s="15" t="s">
        <v>27</v>
      </c>
      <c r="K20" s="17" t="s">
        <v>27</v>
      </c>
      <c r="L20" s="17" t="s">
        <v>27</v>
      </c>
      <c r="M20" s="17" t="s">
        <v>27</v>
      </c>
      <c r="N20" s="18" t="s">
        <v>59</v>
      </c>
      <c r="O20" s="19" t="s">
        <v>56</v>
      </c>
      <c r="P20" s="19" t="s">
        <v>48</v>
      </c>
      <c r="Q20" s="20" t="s">
        <v>74</v>
      </c>
      <c r="R20" s="21">
        <v>256</v>
      </c>
      <c r="S20" s="22" t="s">
        <v>40</v>
      </c>
      <c r="T20" s="23">
        <v>1</v>
      </c>
      <c r="U20" s="24">
        <v>256</v>
      </c>
      <c r="V20" s="19" t="s">
        <v>75</v>
      </c>
      <c r="W20" s="19">
        <v>62791</v>
      </c>
    </row>
    <row r="21" spans="1:23" ht="15" customHeight="1">
      <c r="A21" s="12" t="s">
        <v>23</v>
      </c>
      <c r="B21" s="13" t="s">
        <v>24</v>
      </c>
      <c r="C21" s="14" t="s">
        <v>25</v>
      </c>
      <c r="D21" s="14" t="s">
        <v>26</v>
      </c>
      <c r="E21" s="14" t="s">
        <v>27</v>
      </c>
      <c r="F21" s="14" t="s">
        <v>27</v>
      </c>
      <c r="G21" s="14" t="s">
        <v>27</v>
      </c>
      <c r="H21" s="15" t="s">
        <v>27</v>
      </c>
      <c r="I21" s="16" t="s">
        <v>27</v>
      </c>
      <c r="J21" s="15" t="s">
        <v>27</v>
      </c>
      <c r="K21" s="17" t="s">
        <v>27</v>
      </c>
      <c r="L21" s="17" t="s">
        <v>27</v>
      </c>
      <c r="M21" s="17" t="s">
        <v>27</v>
      </c>
      <c r="N21" s="18" t="s">
        <v>59</v>
      </c>
      <c r="O21" s="19" t="s">
        <v>56</v>
      </c>
      <c r="P21" s="19" t="s">
        <v>48</v>
      </c>
      <c r="Q21" s="20" t="s">
        <v>76</v>
      </c>
      <c r="R21" s="21">
        <v>512</v>
      </c>
      <c r="S21" s="22" t="s">
        <v>40</v>
      </c>
      <c r="T21" s="23">
        <v>0.26</v>
      </c>
      <c r="U21" s="24">
        <v>133.12</v>
      </c>
      <c r="V21" s="19" t="s">
        <v>77</v>
      </c>
      <c r="W21" s="19">
        <v>62792</v>
      </c>
    </row>
    <row r="22" spans="1:23" ht="15" customHeight="1">
      <c r="A22" s="12" t="s">
        <v>23</v>
      </c>
      <c r="B22" s="13" t="s">
        <v>24</v>
      </c>
      <c r="C22" s="14" t="s">
        <v>25</v>
      </c>
      <c r="D22" s="14" t="s">
        <v>26</v>
      </c>
      <c r="E22" s="14" t="s">
        <v>27</v>
      </c>
      <c r="F22" s="14" t="s">
        <v>27</v>
      </c>
      <c r="G22" s="14" t="s">
        <v>27</v>
      </c>
      <c r="H22" s="15" t="s">
        <v>27</v>
      </c>
      <c r="I22" s="16" t="s">
        <v>27</v>
      </c>
      <c r="J22" s="15" t="s">
        <v>27</v>
      </c>
      <c r="K22" s="17" t="s">
        <v>27</v>
      </c>
      <c r="L22" s="17" t="s">
        <v>27</v>
      </c>
      <c r="M22" s="17" t="s">
        <v>27</v>
      </c>
      <c r="N22" s="18" t="s">
        <v>28</v>
      </c>
      <c r="O22" s="19" t="s">
        <v>56</v>
      </c>
      <c r="P22" s="19" t="s">
        <v>46</v>
      </c>
      <c r="Q22" s="20" t="s">
        <v>78</v>
      </c>
      <c r="R22" s="21">
        <v>2592</v>
      </c>
      <c r="S22" s="22" t="s">
        <v>40</v>
      </c>
      <c r="T22" s="23">
        <v>0.56000000000000005</v>
      </c>
      <c r="U22" s="24">
        <v>1451.52</v>
      </c>
      <c r="V22" s="19" t="s">
        <v>27</v>
      </c>
      <c r="W22" s="19">
        <v>62420</v>
      </c>
    </row>
    <row r="23" spans="1:23" ht="15" customHeight="1">
      <c r="A23" s="12" t="s">
        <v>23</v>
      </c>
      <c r="B23" s="13" t="s">
        <v>24</v>
      </c>
      <c r="C23" s="14" t="s">
        <v>25</v>
      </c>
      <c r="D23" s="14" t="s">
        <v>26</v>
      </c>
      <c r="E23" s="14" t="s">
        <v>27</v>
      </c>
      <c r="F23" s="14" t="s">
        <v>27</v>
      </c>
      <c r="G23" s="14" t="s">
        <v>27</v>
      </c>
      <c r="H23" s="15" t="s">
        <v>27</v>
      </c>
      <c r="I23" s="16" t="s">
        <v>27</v>
      </c>
      <c r="J23" s="15" t="s">
        <v>27</v>
      </c>
      <c r="K23" s="17" t="s">
        <v>27</v>
      </c>
      <c r="L23" s="17" t="s">
        <v>27</v>
      </c>
      <c r="M23" s="17" t="s">
        <v>27</v>
      </c>
      <c r="N23" s="18" t="s">
        <v>28</v>
      </c>
      <c r="O23" s="19" t="s">
        <v>79</v>
      </c>
      <c r="P23" s="19" t="s">
        <v>57</v>
      </c>
      <c r="Q23" s="20" t="s">
        <v>80</v>
      </c>
      <c r="R23" s="21">
        <v>292</v>
      </c>
      <c r="S23" s="22" t="s">
        <v>66</v>
      </c>
      <c r="T23" s="23">
        <v>4.72</v>
      </c>
      <c r="U23" s="24">
        <v>1378.24</v>
      </c>
      <c r="V23" s="19" t="s">
        <v>27</v>
      </c>
      <c r="W23" s="19">
        <v>62421</v>
      </c>
    </row>
    <row r="24" spans="1:23" ht="15" customHeight="1">
      <c r="A24" s="12" t="s">
        <v>23</v>
      </c>
      <c r="B24" s="13" t="s">
        <v>24</v>
      </c>
      <c r="C24" s="14" t="s">
        <v>25</v>
      </c>
      <c r="D24" s="14" t="s">
        <v>26</v>
      </c>
      <c r="E24" s="14" t="s">
        <v>27</v>
      </c>
      <c r="F24" s="14" t="s">
        <v>27</v>
      </c>
      <c r="G24" s="14" t="s">
        <v>27</v>
      </c>
      <c r="H24" s="15" t="s">
        <v>27</v>
      </c>
      <c r="I24" s="16" t="s">
        <v>27</v>
      </c>
      <c r="J24" s="15" t="s">
        <v>27</v>
      </c>
      <c r="K24" s="17" t="s">
        <v>27</v>
      </c>
      <c r="L24" s="17" t="s">
        <v>27</v>
      </c>
      <c r="M24" s="17" t="s">
        <v>27</v>
      </c>
      <c r="N24" s="18" t="s">
        <v>28</v>
      </c>
      <c r="O24" s="19" t="s">
        <v>79</v>
      </c>
      <c r="P24" s="19" t="s">
        <v>57</v>
      </c>
      <c r="Q24" s="20" t="s">
        <v>81</v>
      </c>
      <c r="R24" s="21">
        <v>8</v>
      </c>
      <c r="S24" s="22" t="s">
        <v>66</v>
      </c>
      <c r="T24" s="23">
        <v>4.21</v>
      </c>
      <c r="U24" s="24">
        <v>33.68</v>
      </c>
      <c r="V24" s="19" t="s">
        <v>82</v>
      </c>
      <c r="W24" s="19">
        <v>62422</v>
      </c>
    </row>
    <row r="25" spans="1:23" ht="15" customHeight="1">
      <c r="A25" s="12" t="s">
        <v>23</v>
      </c>
      <c r="B25" s="13" t="s">
        <v>24</v>
      </c>
      <c r="C25" s="14" t="s">
        <v>25</v>
      </c>
      <c r="D25" s="14" t="s">
        <v>26</v>
      </c>
      <c r="E25" s="14" t="s">
        <v>27</v>
      </c>
      <c r="F25" s="14" t="s">
        <v>27</v>
      </c>
      <c r="G25" s="14" t="s">
        <v>27</v>
      </c>
      <c r="H25" s="15" t="s">
        <v>27</v>
      </c>
      <c r="I25" s="16" t="s">
        <v>27</v>
      </c>
      <c r="J25" s="15" t="s">
        <v>27</v>
      </c>
      <c r="K25" s="17" t="s">
        <v>27</v>
      </c>
      <c r="L25" s="17" t="s">
        <v>27</v>
      </c>
      <c r="M25" s="17" t="s">
        <v>27</v>
      </c>
      <c r="N25" s="18" t="s">
        <v>28</v>
      </c>
      <c r="O25" s="19" t="s">
        <v>79</v>
      </c>
      <c r="P25" s="19" t="s">
        <v>46</v>
      </c>
      <c r="Q25" s="20" t="s">
        <v>83</v>
      </c>
      <c r="R25" s="21">
        <v>250</v>
      </c>
      <c r="S25" s="22" t="s">
        <v>66</v>
      </c>
      <c r="T25" s="23">
        <v>1.82</v>
      </c>
      <c r="U25" s="24">
        <v>455</v>
      </c>
      <c r="V25" s="19" t="s">
        <v>84</v>
      </c>
      <c r="W25" s="19">
        <v>62423</v>
      </c>
    </row>
    <row r="26" spans="1:23" ht="15" customHeight="1">
      <c r="A26" s="12" t="s">
        <v>23</v>
      </c>
      <c r="B26" s="13" t="s">
        <v>24</v>
      </c>
      <c r="C26" s="14" t="s">
        <v>25</v>
      </c>
      <c r="D26" s="14" t="s">
        <v>26</v>
      </c>
      <c r="E26" s="14" t="s">
        <v>27</v>
      </c>
      <c r="F26" s="14" t="s">
        <v>27</v>
      </c>
      <c r="G26" s="14" t="s">
        <v>27</v>
      </c>
      <c r="H26" s="15" t="s">
        <v>27</v>
      </c>
      <c r="I26" s="16" t="s">
        <v>27</v>
      </c>
      <c r="J26" s="15" t="s">
        <v>27</v>
      </c>
      <c r="K26" s="17" t="s">
        <v>27</v>
      </c>
      <c r="L26" s="17" t="s">
        <v>27</v>
      </c>
      <c r="M26" s="17" t="s">
        <v>27</v>
      </c>
      <c r="N26" s="18" t="s">
        <v>28</v>
      </c>
      <c r="O26" s="19" t="s">
        <v>79</v>
      </c>
      <c r="P26" s="19" t="s">
        <v>48</v>
      </c>
      <c r="Q26" s="20" t="s">
        <v>85</v>
      </c>
      <c r="R26" s="21">
        <v>30</v>
      </c>
      <c r="S26" s="22" t="s">
        <v>66</v>
      </c>
      <c r="T26" s="23">
        <v>11.61</v>
      </c>
      <c r="U26" s="24">
        <v>348.3</v>
      </c>
      <c r="V26" s="19" t="s">
        <v>86</v>
      </c>
      <c r="W26" s="19">
        <v>62424</v>
      </c>
    </row>
    <row r="27" spans="1:23" ht="15" customHeight="1">
      <c r="A27" s="12" t="s">
        <v>23</v>
      </c>
      <c r="B27" s="13" t="s">
        <v>24</v>
      </c>
      <c r="C27" s="14" t="s">
        <v>25</v>
      </c>
      <c r="D27" s="14" t="s">
        <v>26</v>
      </c>
      <c r="E27" s="14" t="s">
        <v>27</v>
      </c>
      <c r="F27" s="14" t="s">
        <v>27</v>
      </c>
      <c r="G27" s="14" t="s">
        <v>27</v>
      </c>
      <c r="H27" s="15" t="s">
        <v>27</v>
      </c>
      <c r="I27" s="16" t="s">
        <v>27</v>
      </c>
      <c r="J27" s="15" t="s">
        <v>27</v>
      </c>
      <c r="K27" s="17" t="s">
        <v>27</v>
      </c>
      <c r="L27" s="17" t="s">
        <v>27</v>
      </c>
      <c r="M27" s="17" t="s">
        <v>27</v>
      </c>
      <c r="N27" s="18" t="s">
        <v>59</v>
      </c>
      <c r="O27" s="19" t="s">
        <v>79</v>
      </c>
      <c r="P27" s="19" t="s">
        <v>48</v>
      </c>
      <c r="Q27" s="20" t="s">
        <v>87</v>
      </c>
      <c r="R27" s="21">
        <v>32</v>
      </c>
      <c r="S27" s="22" t="s">
        <v>66</v>
      </c>
      <c r="T27" s="23">
        <v>8.35</v>
      </c>
      <c r="U27" s="24">
        <v>267.2</v>
      </c>
      <c r="V27" s="19" t="s">
        <v>88</v>
      </c>
      <c r="W27" s="19">
        <v>62659</v>
      </c>
    </row>
    <row r="28" spans="1:23" ht="15" customHeight="1">
      <c r="A28" s="12" t="s">
        <v>23</v>
      </c>
      <c r="B28" s="13" t="s">
        <v>24</v>
      </c>
      <c r="C28" s="14" t="s">
        <v>25</v>
      </c>
      <c r="D28" s="14" t="s">
        <v>26</v>
      </c>
      <c r="E28" s="14" t="s">
        <v>27</v>
      </c>
      <c r="F28" s="14" t="s">
        <v>27</v>
      </c>
      <c r="G28" s="14" t="s">
        <v>27</v>
      </c>
      <c r="H28" s="15" t="s">
        <v>27</v>
      </c>
      <c r="I28" s="16" t="s">
        <v>27</v>
      </c>
      <c r="J28" s="15" t="s">
        <v>27</v>
      </c>
      <c r="K28" s="17" t="s">
        <v>27</v>
      </c>
      <c r="L28" s="17" t="s">
        <v>27</v>
      </c>
      <c r="M28" s="17" t="s">
        <v>27</v>
      </c>
      <c r="N28" s="18" t="s">
        <v>28</v>
      </c>
      <c r="O28" s="19" t="s">
        <v>79</v>
      </c>
      <c r="P28" s="19" t="s">
        <v>48</v>
      </c>
      <c r="Q28" s="20" t="s">
        <v>89</v>
      </c>
      <c r="R28" s="21">
        <v>48</v>
      </c>
      <c r="S28" s="22" t="s">
        <v>66</v>
      </c>
      <c r="T28" s="23">
        <v>6.65</v>
      </c>
      <c r="U28" s="24">
        <v>319.2</v>
      </c>
      <c r="V28" s="19" t="s">
        <v>90</v>
      </c>
      <c r="W28" s="19">
        <v>62518</v>
      </c>
    </row>
    <row r="29" spans="1:23" ht="15" customHeight="1">
      <c r="A29" s="12" t="s">
        <v>23</v>
      </c>
      <c r="B29" s="13" t="s">
        <v>24</v>
      </c>
      <c r="C29" s="14" t="s">
        <v>25</v>
      </c>
      <c r="D29" s="14" t="s">
        <v>26</v>
      </c>
      <c r="E29" s="14" t="s">
        <v>27</v>
      </c>
      <c r="F29" s="14" t="s">
        <v>27</v>
      </c>
      <c r="G29" s="14" t="s">
        <v>27</v>
      </c>
      <c r="H29" s="15" t="s">
        <v>27</v>
      </c>
      <c r="I29" s="16" t="s">
        <v>27</v>
      </c>
      <c r="J29" s="15" t="s">
        <v>27</v>
      </c>
      <c r="K29" s="17" t="s">
        <v>27</v>
      </c>
      <c r="L29" s="17" t="s">
        <v>27</v>
      </c>
      <c r="M29" s="17" t="s">
        <v>27</v>
      </c>
      <c r="N29" s="18" t="s">
        <v>28</v>
      </c>
      <c r="O29" s="19" t="s">
        <v>79</v>
      </c>
      <c r="P29" s="19" t="s">
        <v>48</v>
      </c>
      <c r="Q29" s="20" t="s">
        <v>91</v>
      </c>
      <c r="R29" s="21">
        <v>246</v>
      </c>
      <c r="S29" s="22" t="s">
        <v>66</v>
      </c>
      <c r="T29" s="23">
        <v>20.74</v>
      </c>
      <c r="U29" s="24">
        <v>5102.04</v>
      </c>
      <c r="V29" s="19" t="s">
        <v>92</v>
      </c>
      <c r="W29" s="19">
        <v>62425</v>
      </c>
    </row>
    <row r="30" spans="1:23" ht="15" customHeight="1">
      <c r="A30" s="12" t="s">
        <v>23</v>
      </c>
      <c r="B30" s="13" t="s">
        <v>24</v>
      </c>
      <c r="C30" s="14" t="s">
        <v>25</v>
      </c>
      <c r="D30" s="14" t="s">
        <v>26</v>
      </c>
      <c r="E30" s="14" t="s">
        <v>27</v>
      </c>
      <c r="F30" s="14" t="s">
        <v>27</v>
      </c>
      <c r="G30" s="14" t="s">
        <v>27</v>
      </c>
      <c r="H30" s="15" t="s">
        <v>27</v>
      </c>
      <c r="I30" s="16" t="s">
        <v>27</v>
      </c>
      <c r="J30" s="15" t="s">
        <v>27</v>
      </c>
      <c r="K30" s="17" t="s">
        <v>27</v>
      </c>
      <c r="L30" s="17" t="s">
        <v>27</v>
      </c>
      <c r="M30" s="17" t="s">
        <v>27</v>
      </c>
      <c r="N30" s="18" t="s">
        <v>59</v>
      </c>
      <c r="O30" s="19" t="s">
        <v>79</v>
      </c>
      <c r="P30" s="19" t="s">
        <v>48</v>
      </c>
      <c r="Q30" s="20" t="s">
        <v>74</v>
      </c>
      <c r="R30" s="21">
        <v>256</v>
      </c>
      <c r="S30" s="22" t="s">
        <v>40</v>
      </c>
      <c r="T30" s="23">
        <v>1</v>
      </c>
      <c r="U30" s="24">
        <v>256</v>
      </c>
      <c r="V30" s="19" t="s">
        <v>75</v>
      </c>
      <c r="W30" s="19">
        <v>62793</v>
      </c>
    </row>
    <row r="31" spans="1:23" ht="15" customHeight="1">
      <c r="A31" s="12" t="s">
        <v>23</v>
      </c>
      <c r="B31" s="13" t="s">
        <v>24</v>
      </c>
      <c r="C31" s="14" t="s">
        <v>25</v>
      </c>
      <c r="D31" s="14" t="s">
        <v>26</v>
      </c>
      <c r="E31" s="14" t="s">
        <v>27</v>
      </c>
      <c r="F31" s="14" t="s">
        <v>27</v>
      </c>
      <c r="G31" s="14" t="s">
        <v>27</v>
      </c>
      <c r="H31" s="15" t="s">
        <v>27</v>
      </c>
      <c r="I31" s="16" t="s">
        <v>27</v>
      </c>
      <c r="J31" s="15" t="s">
        <v>27</v>
      </c>
      <c r="K31" s="17" t="s">
        <v>27</v>
      </c>
      <c r="L31" s="17" t="s">
        <v>27</v>
      </c>
      <c r="M31" s="17" t="s">
        <v>27</v>
      </c>
      <c r="N31" s="18" t="s">
        <v>59</v>
      </c>
      <c r="O31" s="19" t="s">
        <v>79</v>
      </c>
      <c r="P31" s="19" t="s">
        <v>48</v>
      </c>
      <c r="Q31" s="20" t="s">
        <v>76</v>
      </c>
      <c r="R31" s="21">
        <v>512</v>
      </c>
      <c r="S31" s="22" t="s">
        <v>40</v>
      </c>
      <c r="T31" s="23">
        <v>0.26</v>
      </c>
      <c r="U31" s="24">
        <v>133.12</v>
      </c>
      <c r="V31" s="19" t="s">
        <v>77</v>
      </c>
      <c r="W31" s="19">
        <v>62794</v>
      </c>
    </row>
    <row r="32" spans="1:23" ht="15" customHeight="1">
      <c r="A32" s="12" t="s">
        <v>23</v>
      </c>
      <c r="B32" s="13" t="s">
        <v>24</v>
      </c>
      <c r="C32" s="14" t="s">
        <v>25</v>
      </c>
      <c r="D32" s="14" t="s">
        <v>26</v>
      </c>
      <c r="E32" s="14" t="s">
        <v>27</v>
      </c>
      <c r="F32" s="14" t="s">
        <v>27</v>
      </c>
      <c r="G32" s="14" t="s">
        <v>27</v>
      </c>
      <c r="H32" s="15" t="s">
        <v>27</v>
      </c>
      <c r="I32" s="16" t="s">
        <v>27</v>
      </c>
      <c r="J32" s="15" t="s">
        <v>27</v>
      </c>
      <c r="K32" s="17" t="s">
        <v>27</v>
      </c>
      <c r="L32" s="17" t="s">
        <v>27</v>
      </c>
      <c r="M32" s="17" t="s">
        <v>27</v>
      </c>
      <c r="N32" s="18" t="s">
        <v>28</v>
      </c>
      <c r="O32" s="19" t="s">
        <v>79</v>
      </c>
      <c r="P32" s="19" t="s">
        <v>93</v>
      </c>
      <c r="Q32" s="20" t="s">
        <v>94</v>
      </c>
      <c r="R32" s="21">
        <v>18</v>
      </c>
      <c r="S32" s="22" t="s">
        <v>30</v>
      </c>
      <c r="T32" s="23">
        <v>59.29</v>
      </c>
      <c r="U32" s="24">
        <v>1067.22</v>
      </c>
      <c r="V32" s="19" t="s">
        <v>95</v>
      </c>
      <c r="W32" s="19">
        <v>62426</v>
      </c>
    </row>
    <row r="33" spans="1:23" ht="15" customHeight="1">
      <c r="A33" s="12" t="s">
        <v>23</v>
      </c>
      <c r="B33" s="13" t="s">
        <v>24</v>
      </c>
      <c r="C33" s="14" t="s">
        <v>25</v>
      </c>
      <c r="D33" s="14" t="s">
        <v>26</v>
      </c>
      <c r="E33" s="14" t="s">
        <v>27</v>
      </c>
      <c r="F33" s="14" t="s">
        <v>27</v>
      </c>
      <c r="G33" s="14" t="s">
        <v>27</v>
      </c>
      <c r="H33" s="15" t="s">
        <v>27</v>
      </c>
      <c r="I33" s="16" t="s">
        <v>27</v>
      </c>
      <c r="J33" s="15" t="s">
        <v>27</v>
      </c>
      <c r="K33" s="17" t="s">
        <v>27</v>
      </c>
      <c r="L33" s="17" t="s">
        <v>27</v>
      </c>
      <c r="M33" s="17" t="s">
        <v>27</v>
      </c>
      <c r="N33" s="18" t="s">
        <v>28</v>
      </c>
      <c r="O33" s="19" t="s">
        <v>79</v>
      </c>
      <c r="P33" s="19" t="s">
        <v>33</v>
      </c>
      <c r="Q33" s="20" t="s">
        <v>96</v>
      </c>
      <c r="R33" s="21">
        <v>48</v>
      </c>
      <c r="S33" s="22" t="s">
        <v>66</v>
      </c>
      <c r="T33" s="23">
        <v>9.44</v>
      </c>
      <c r="U33" s="24">
        <v>453.12</v>
      </c>
      <c r="V33" s="19" t="s">
        <v>97</v>
      </c>
      <c r="W33" s="19">
        <v>62519</v>
      </c>
    </row>
    <row r="34" spans="1:23" ht="15" customHeight="1">
      <c r="A34" s="12" t="s">
        <v>23</v>
      </c>
      <c r="B34" s="13" t="s">
        <v>24</v>
      </c>
      <c r="C34" s="14" t="s">
        <v>25</v>
      </c>
      <c r="D34" s="14" t="s">
        <v>26</v>
      </c>
      <c r="E34" s="14" t="s">
        <v>27</v>
      </c>
      <c r="F34" s="14" t="s">
        <v>27</v>
      </c>
      <c r="G34" s="14" t="s">
        <v>27</v>
      </c>
      <c r="H34" s="15" t="s">
        <v>27</v>
      </c>
      <c r="I34" s="16" t="s">
        <v>27</v>
      </c>
      <c r="J34" s="15" t="s">
        <v>27</v>
      </c>
      <c r="K34" s="17" t="s">
        <v>27</v>
      </c>
      <c r="L34" s="17" t="s">
        <v>27</v>
      </c>
      <c r="M34" s="17" t="s">
        <v>27</v>
      </c>
      <c r="N34" s="18" t="s">
        <v>28</v>
      </c>
      <c r="O34" s="19" t="s">
        <v>79</v>
      </c>
      <c r="P34" s="19" t="s">
        <v>33</v>
      </c>
      <c r="Q34" s="20" t="s">
        <v>98</v>
      </c>
      <c r="R34" s="21">
        <v>208</v>
      </c>
      <c r="S34" s="22" t="s">
        <v>66</v>
      </c>
      <c r="T34" s="23">
        <v>5.83</v>
      </c>
      <c r="U34" s="24">
        <v>1212.6400000000001</v>
      </c>
      <c r="V34" s="19" t="s">
        <v>99</v>
      </c>
      <c r="W34" s="19">
        <v>62427</v>
      </c>
    </row>
    <row r="35" spans="1:23" ht="15" customHeight="1">
      <c r="A35" s="12" t="s">
        <v>23</v>
      </c>
      <c r="B35" s="13" t="s">
        <v>24</v>
      </c>
      <c r="C35" s="14" t="s">
        <v>25</v>
      </c>
      <c r="D35" s="14" t="s">
        <v>26</v>
      </c>
      <c r="E35" s="14" t="s">
        <v>27</v>
      </c>
      <c r="F35" s="14" t="s">
        <v>27</v>
      </c>
      <c r="G35" s="14" t="s">
        <v>27</v>
      </c>
      <c r="H35" s="15" t="s">
        <v>27</v>
      </c>
      <c r="I35" s="16" t="s">
        <v>27</v>
      </c>
      <c r="J35" s="15" t="s">
        <v>27</v>
      </c>
      <c r="K35" s="17" t="s">
        <v>27</v>
      </c>
      <c r="L35" s="17" t="s">
        <v>27</v>
      </c>
      <c r="M35" s="17" t="s">
        <v>27</v>
      </c>
      <c r="N35" s="18" t="s">
        <v>28</v>
      </c>
      <c r="O35" s="19" t="s">
        <v>100</v>
      </c>
      <c r="P35" s="19" t="s">
        <v>100</v>
      </c>
      <c r="Q35" s="20" t="s">
        <v>101</v>
      </c>
      <c r="R35" s="21">
        <v>740</v>
      </c>
      <c r="S35" s="22" t="s">
        <v>66</v>
      </c>
      <c r="T35" s="23">
        <v>1.02</v>
      </c>
      <c r="U35" s="24">
        <v>754.8</v>
      </c>
      <c r="V35" s="19" t="s">
        <v>102</v>
      </c>
      <c r="W35" s="19">
        <v>62428</v>
      </c>
    </row>
    <row r="36" spans="1:23" ht="15" customHeight="1">
      <c r="A36" s="12" t="s">
        <v>23</v>
      </c>
      <c r="B36" s="13" t="s">
        <v>24</v>
      </c>
      <c r="C36" s="14" t="s">
        <v>25</v>
      </c>
      <c r="D36" s="14" t="s">
        <v>26</v>
      </c>
      <c r="E36" s="14" t="s">
        <v>27</v>
      </c>
      <c r="F36" s="14" t="s">
        <v>27</v>
      </c>
      <c r="G36" s="14" t="s">
        <v>27</v>
      </c>
      <c r="H36" s="15" t="s">
        <v>27</v>
      </c>
      <c r="I36" s="16" t="s">
        <v>27</v>
      </c>
      <c r="J36" s="15" t="s">
        <v>27</v>
      </c>
      <c r="K36" s="17" t="s">
        <v>27</v>
      </c>
      <c r="L36" s="17" t="s">
        <v>27</v>
      </c>
      <c r="M36" s="17" t="s">
        <v>27</v>
      </c>
      <c r="N36" s="18" t="s">
        <v>28</v>
      </c>
      <c r="O36" s="19" t="s">
        <v>103</v>
      </c>
      <c r="P36" s="19" t="s">
        <v>104</v>
      </c>
      <c r="Q36" s="20" t="s">
        <v>105</v>
      </c>
      <c r="R36" s="21">
        <v>2880</v>
      </c>
      <c r="S36" s="22" t="s">
        <v>40</v>
      </c>
      <c r="T36" s="23">
        <v>2.04</v>
      </c>
      <c r="U36" s="24">
        <v>5875.2</v>
      </c>
      <c r="V36" s="19" t="s">
        <v>106</v>
      </c>
      <c r="W36" s="19">
        <v>62520</v>
      </c>
    </row>
    <row r="37" spans="1:23" ht="15" customHeight="1">
      <c r="A37" s="12" t="s">
        <v>23</v>
      </c>
      <c r="B37" s="13" t="s">
        <v>24</v>
      </c>
      <c r="C37" s="14" t="s">
        <v>25</v>
      </c>
      <c r="D37" s="14" t="s">
        <v>26</v>
      </c>
      <c r="E37" s="14" t="s">
        <v>27</v>
      </c>
      <c r="F37" s="14" t="s">
        <v>27</v>
      </c>
      <c r="G37" s="14" t="s">
        <v>27</v>
      </c>
      <c r="H37" s="15" t="s">
        <v>27</v>
      </c>
      <c r="I37" s="16" t="s">
        <v>27</v>
      </c>
      <c r="J37" s="15" t="s">
        <v>27</v>
      </c>
      <c r="K37" s="17" t="s">
        <v>27</v>
      </c>
      <c r="L37" s="17" t="s">
        <v>27</v>
      </c>
      <c r="M37" s="17" t="s">
        <v>27</v>
      </c>
      <c r="N37" s="18" t="s">
        <v>28</v>
      </c>
      <c r="O37" s="19" t="s">
        <v>103</v>
      </c>
      <c r="P37" s="19" t="s">
        <v>107</v>
      </c>
      <c r="Q37" s="20" t="s">
        <v>108</v>
      </c>
      <c r="R37" s="21">
        <v>600</v>
      </c>
      <c r="S37" s="22" t="s">
        <v>66</v>
      </c>
      <c r="T37" s="23">
        <v>10.93</v>
      </c>
      <c r="U37" s="24">
        <v>6558</v>
      </c>
      <c r="V37" s="19" t="s">
        <v>109</v>
      </c>
      <c r="W37" s="19">
        <v>62430</v>
      </c>
    </row>
    <row r="38" spans="1:23" ht="15" customHeight="1">
      <c r="A38" s="12" t="s">
        <v>23</v>
      </c>
      <c r="B38" s="13" t="s">
        <v>24</v>
      </c>
      <c r="C38" s="14" t="s">
        <v>25</v>
      </c>
      <c r="D38" s="14" t="s">
        <v>26</v>
      </c>
      <c r="E38" s="14" t="s">
        <v>27</v>
      </c>
      <c r="F38" s="14" t="s">
        <v>27</v>
      </c>
      <c r="G38" s="14" t="s">
        <v>27</v>
      </c>
      <c r="H38" s="15" t="s">
        <v>27</v>
      </c>
      <c r="I38" s="16" t="s">
        <v>27</v>
      </c>
      <c r="J38" s="15" t="s">
        <v>27</v>
      </c>
      <c r="K38" s="17" t="s">
        <v>27</v>
      </c>
      <c r="L38" s="17" t="s">
        <v>27</v>
      </c>
      <c r="M38" s="17" t="s">
        <v>27</v>
      </c>
      <c r="N38" s="18" t="s">
        <v>28</v>
      </c>
      <c r="O38" s="19" t="s">
        <v>103</v>
      </c>
      <c r="P38" s="19" t="s">
        <v>107</v>
      </c>
      <c r="Q38" s="20" t="s">
        <v>110</v>
      </c>
      <c r="R38" s="21">
        <v>3</v>
      </c>
      <c r="S38" s="22" t="s">
        <v>111</v>
      </c>
      <c r="T38" s="23">
        <v>60.16</v>
      </c>
      <c r="U38" s="24">
        <v>180.48</v>
      </c>
      <c r="V38" s="19" t="s">
        <v>27</v>
      </c>
      <c r="W38" s="19">
        <v>62431</v>
      </c>
    </row>
    <row r="39" spans="1:23" ht="15" customHeight="1">
      <c r="A39" s="12" t="s">
        <v>23</v>
      </c>
      <c r="B39" s="13" t="s">
        <v>24</v>
      </c>
      <c r="C39" s="14" t="s">
        <v>25</v>
      </c>
      <c r="D39" s="14" t="s">
        <v>26</v>
      </c>
      <c r="E39" s="14" t="s">
        <v>27</v>
      </c>
      <c r="F39" s="14" t="s">
        <v>27</v>
      </c>
      <c r="G39" s="14" t="s">
        <v>27</v>
      </c>
      <c r="H39" s="15" t="s">
        <v>27</v>
      </c>
      <c r="I39" s="16" t="s">
        <v>27</v>
      </c>
      <c r="J39" s="15" t="s">
        <v>27</v>
      </c>
      <c r="K39" s="17" t="s">
        <v>27</v>
      </c>
      <c r="L39" s="17" t="s">
        <v>27</v>
      </c>
      <c r="M39" s="17" t="s">
        <v>27</v>
      </c>
      <c r="N39" s="18" t="s">
        <v>28</v>
      </c>
      <c r="O39" s="19" t="s">
        <v>103</v>
      </c>
      <c r="P39" s="19" t="s">
        <v>46</v>
      </c>
      <c r="Q39" s="20" t="s">
        <v>112</v>
      </c>
      <c r="R39" s="21">
        <v>2880</v>
      </c>
      <c r="S39" s="22" t="s">
        <v>40</v>
      </c>
      <c r="T39" s="23">
        <v>1.02</v>
      </c>
      <c r="U39" s="24">
        <v>2937.6</v>
      </c>
      <c r="V39" s="19" t="s">
        <v>27</v>
      </c>
      <c r="W39" s="19">
        <v>62522</v>
      </c>
    </row>
    <row r="40" spans="1:23" ht="15" customHeight="1">
      <c r="A40" s="12" t="s">
        <v>23</v>
      </c>
      <c r="B40" s="13" t="s">
        <v>24</v>
      </c>
      <c r="C40" s="14" t="s">
        <v>25</v>
      </c>
      <c r="D40" s="14" t="s">
        <v>26</v>
      </c>
      <c r="E40" s="14" t="s">
        <v>27</v>
      </c>
      <c r="F40" s="14" t="s">
        <v>27</v>
      </c>
      <c r="G40" s="14" t="s">
        <v>27</v>
      </c>
      <c r="H40" s="15" t="s">
        <v>27</v>
      </c>
      <c r="I40" s="16" t="s">
        <v>27</v>
      </c>
      <c r="J40" s="15" t="s">
        <v>27</v>
      </c>
      <c r="K40" s="17" t="s">
        <v>27</v>
      </c>
      <c r="L40" s="17" t="s">
        <v>27</v>
      </c>
      <c r="M40" s="17" t="s">
        <v>27</v>
      </c>
      <c r="N40" s="18" t="s">
        <v>28</v>
      </c>
      <c r="O40" s="19" t="s">
        <v>103</v>
      </c>
      <c r="P40" s="19" t="s">
        <v>44</v>
      </c>
      <c r="Q40" s="20" t="s">
        <v>113</v>
      </c>
      <c r="R40" s="21">
        <v>2880</v>
      </c>
      <c r="S40" s="22" t="s">
        <v>40</v>
      </c>
      <c r="T40" s="23">
        <v>0.48</v>
      </c>
      <c r="U40" s="24">
        <v>1382.4</v>
      </c>
      <c r="V40" s="19" t="s">
        <v>27</v>
      </c>
      <c r="W40" s="19">
        <v>62523</v>
      </c>
    </row>
    <row r="41" spans="1:23" ht="15" customHeight="1">
      <c r="A41" s="12" t="s">
        <v>23</v>
      </c>
      <c r="B41" s="13" t="s">
        <v>24</v>
      </c>
      <c r="C41" s="14" t="s">
        <v>25</v>
      </c>
      <c r="D41" s="14" t="s">
        <v>26</v>
      </c>
      <c r="E41" s="14" t="s">
        <v>27</v>
      </c>
      <c r="F41" s="14" t="s">
        <v>27</v>
      </c>
      <c r="G41" s="14" t="s">
        <v>27</v>
      </c>
      <c r="H41" s="15" t="s">
        <v>27</v>
      </c>
      <c r="I41" s="16" t="s">
        <v>27</v>
      </c>
      <c r="J41" s="15" t="s">
        <v>27</v>
      </c>
      <c r="K41" s="17" t="s">
        <v>27</v>
      </c>
      <c r="L41" s="17" t="s">
        <v>27</v>
      </c>
      <c r="M41" s="17" t="s">
        <v>27</v>
      </c>
      <c r="N41" s="18" t="s">
        <v>28</v>
      </c>
      <c r="O41" s="19" t="s">
        <v>103</v>
      </c>
      <c r="P41" s="19" t="s">
        <v>48</v>
      </c>
      <c r="Q41" s="20" t="s">
        <v>114</v>
      </c>
      <c r="R41" s="21">
        <v>2880</v>
      </c>
      <c r="S41" s="22" t="s">
        <v>40</v>
      </c>
      <c r="T41" s="23">
        <v>2.14</v>
      </c>
      <c r="U41" s="24">
        <v>6163.2</v>
      </c>
      <c r="V41" s="19" t="s">
        <v>27</v>
      </c>
      <c r="W41" s="19">
        <v>62435</v>
      </c>
    </row>
    <row r="42" spans="1:23" ht="15" customHeight="1">
      <c r="A42" s="12" t="s">
        <v>23</v>
      </c>
      <c r="B42" s="13" t="s">
        <v>24</v>
      </c>
      <c r="C42" s="14" t="s">
        <v>25</v>
      </c>
      <c r="D42" s="14" t="s">
        <v>26</v>
      </c>
      <c r="E42" s="14" t="s">
        <v>27</v>
      </c>
      <c r="F42" s="14" t="s">
        <v>27</v>
      </c>
      <c r="G42" s="14" t="s">
        <v>27</v>
      </c>
      <c r="H42" s="15" t="s">
        <v>27</v>
      </c>
      <c r="I42" s="16" t="s">
        <v>27</v>
      </c>
      <c r="J42" s="15" t="s">
        <v>27</v>
      </c>
      <c r="K42" s="17" t="s">
        <v>27</v>
      </c>
      <c r="L42" s="17" t="s">
        <v>27</v>
      </c>
      <c r="M42" s="17" t="s">
        <v>27</v>
      </c>
      <c r="N42" s="18" t="s">
        <v>59</v>
      </c>
      <c r="O42" s="19" t="s">
        <v>103</v>
      </c>
      <c r="P42" s="19" t="s">
        <v>115</v>
      </c>
      <c r="Q42" s="20" t="s">
        <v>116</v>
      </c>
      <c r="R42" s="21">
        <v>252</v>
      </c>
      <c r="S42" s="22" t="s">
        <v>40</v>
      </c>
      <c r="T42" s="23">
        <v>7.25</v>
      </c>
      <c r="U42" s="24">
        <v>1827</v>
      </c>
      <c r="V42" s="19" t="s">
        <v>27</v>
      </c>
      <c r="W42" s="19">
        <v>62668</v>
      </c>
    </row>
    <row r="43" spans="1:23" ht="15" customHeight="1">
      <c r="A43" s="12" t="s">
        <v>23</v>
      </c>
      <c r="B43" s="13" t="s">
        <v>24</v>
      </c>
      <c r="C43" s="14" t="s">
        <v>25</v>
      </c>
      <c r="D43" s="14" t="s">
        <v>26</v>
      </c>
      <c r="E43" s="14" t="s">
        <v>27</v>
      </c>
      <c r="F43" s="14" t="s">
        <v>27</v>
      </c>
      <c r="G43" s="14" t="s">
        <v>27</v>
      </c>
      <c r="H43" s="15" t="s">
        <v>27</v>
      </c>
      <c r="I43" s="16" t="s">
        <v>27</v>
      </c>
      <c r="J43" s="15" t="s">
        <v>27</v>
      </c>
      <c r="K43" s="17" t="s">
        <v>27</v>
      </c>
      <c r="L43" s="17" t="s">
        <v>27</v>
      </c>
      <c r="M43" s="17" t="s">
        <v>27</v>
      </c>
      <c r="N43" s="18" t="s">
        <v>28</v>
      </c>
      <c r="O43" s="19" t="s">
        <v>103</v>
      </c>
      <c r="P43" s="19" t="s">
        <v>115</v>
      </c>
      <c r="Q43" s="20" t="s">
        <v>117</v>
      </c>
      <c r="R43" s="21">
        <v>2640</v>
      </c>
      <c r="S43" s="22" t="s">
        <v>40</v>
      </c>
      <c r="T43" s="23">
        <v>2.88</v>
      </c>
      <c r="U43" s="24">
        <v>7603.2</v>
      </c>
      <c r="V43" s="19" t="s">
        <v>118</v>
      </c>
      <c r="W43" s="19">
        <v>62436</v>
      </c>
    </row>
    <row r="44" spans="1:23" ht="15" customHeight="1">
      <c r="A44" s="12" t="s">
        <v>23</v>
      </c>
      <c r="B44" s="13" t="s">
        <v>24</v>
      </c>
      <c r="C44" s="14" t="s">
        <v>25</v>
      </c>
      <c r="D44" s="14" t="s">
        <v>26</v>
      </c>
      <c r="E44" s="14" t="s">
        <v>27</v>
      </c>
      <c r="F44" s="14" t="s">
        <v>27</v>
      </c>
      <c r="G44" s="14" t="s">
        <v>27</v>
      </c>
      <c r="H44" s="15" t="s">
        <v>27</v>
      </c>
      <c r="I44" s="16" t="s">
        <v>27</v>
      </c>
      <c r="J44" s="15" t="s">
        <v>27</v>
      </c>
      <c r="K44" s="17" t="s">
        <v>27</v>
      </c>
      <c r="L44" s="17" t="s">
        <v>27</v>
      </c>
      <c r="M44" s="17" t="s">
        <v>27</v>
      </c>
      <c r="N44" s="18" t="s">
        <v>59</v>
      </c>
      <c r="O44" s="19" t="s">
        <v>103</v>
      </c>
      <c r="P44" s="19" t="s">
        <v>115</v>
      </c>
      <c r="Q44" s="20" t="s">
        <v>119</v>
      </c>
      <c r="R44" s="21">
        <v>256</v>
      </c>
      <c r="S44" s="22" t="s">
        <v>40</v>
      </c>
      <c r="T44" s="23">
        <v>1.1200000000000001</v>
      </c>
      <c r="U44" s="24">
        <v>286.72000000000003</v>
      </c>
      <c r="V44" s="19" t="s">
        <v>120</v>
      </c>
      <c r="W44" s="19">
        <v>62666</v>
      </c>
    </row>
    <row r="45" spans="1:23" ht="15" customHeight="1">
      <c r="A45" s="12" t="s">
        <v>23</v>
      </c>
      <c r="B45" s="13" t="s">
        <v>24</v>
      </c>
      <c r="C45" s="14" t="s">
        <v>25</v>
      </c>
      <c r="D45" s="14" t="s">
        <v>26</v>
      </c>
      <c r="E45" s="14" t="s">
        <v>27</v>
      </c>
      <c r="F45" s="14" t="s">
        <v>27</v>
      </c>
      <c r="G45" s="14" t="s">
        <v>27</v>
      </c>
      <c r="H45" s="15" t="s">
        <v>27</v>
      </c>
      <c r="I45" s="16" t="s">
        <v>27</v>
      </c>
      <c r="J45" s="15" t="s">
        <v>27</v>
      </c>
      <c r="K45" s="17" t="s">
        <v>27</v>
      </c>
      <c r="L45" s="17" t="s">
        <v>27</v>
      </c>
      <c r="M45" s="17" t="s">
        <v>27</v>
      </c>
      <c r="N45" s="18" t="s">
        <v>28</v>
      </c>
      <c r="O45" s="19" t="s">
        <v>103</v>
      </c>
      <c r="P45" s="19" t="s">
        <v>115</v>
      </c>
      <c r="Q45" s="20" t="s">
        <v>121</v>
      </c>
      <c r="R45" s="21">
        <v>952</v>
      </c>
      <c r="S45" s="22" t="s">
        <v>40</v>
      </c>
      <c r="T45" s="23">
        <v>0.64</v>
      </c>
      <c r="U45" s="24">
        <v>609.28</v>
      </c>
      <c r="V45" s="19" t="s">
        <v>122</v>
      </c>
      <c r="W45" s="19">
        <v>62437</v>
      </c>
    </row>
    <row r="46" spans="1:23" ht="15" customHeight="1">
      <c r="A46" s="12" t="s">
        <v>23</v>
      </c>
      <c r="B46" s="13" t="s">
        <v>24</v>
      </c>
      <c r="C46" s="14" t="s">
        <v>25</v>
      </c>
      <c r="D46" s="14" t="s">
        <v>26</v>
      </c>
      <c r="E46" s="14" t="s">
        <v>27</v>
      </c>
      <c r="F46" s="14" t="s">
        <v>27</v>
      </c>
      <c r="G46" s="14" t="s">
        <v>27</v>
      </c>
      <c r="H46" s="15" t="s">
        <v>27</v>
      </c>
      <c r="I46" s="16" t="s">
        <v>27</v>
      </c>
      <c r="J46" s="15" t="s">
        <v>27</v>
      </c>
      <c r="K46" s="17" t="s">
        <v>27</v>
      </c>
      <c r="L46" s="17" t="s">
        <v>27</v>
      </c>
      <c r="M46" s="17" t="s">
        <v>27</v>
      </c>
      <c r="N46" s="18" t="s">
        <v>28</v>
      </c>
      <c r="O46" s="19" t="s">
        <v>103</v>
      </c>
      <c r="P46" s="19" t="s">
        <v>115</v>
      </c>
      <c r="Q46" s="20" t="s">
        <v>123</v>
      </c>
      <c r="R46" s="21">
        <v>252</v>
      </c>
      <c r="S46" s="22" t="s">
        <v>40</v>
      </c>
      <c r="T46" s="23">
        <v>0.92</v>
      </c>
      <c r="U46" s="24">
        <v>231.84</v>
      </c>
      <c r="V46" s="19" t="s">
        <v>124</v>
      </c>
      <c r="W46" s="19">
        <v>62664</v>
      </c>
    </row>
    <row r="47" spans="1:23" ht="15" customHeight="1">
      <c r="A47" s="12" t="s">
        <v>23</v>
      </c>
      <c r="B47" s="13" t="s">
        <v>24</v>
      </c>
      <c r="C47" s="14" t="s">
        <v>25</v>
      </c>
      <c r="D47" s="14" t="s">
        <v>26</v>
      </c>
      <c r="E47" s="14" t="s">
        <v>27</v>
      </c>
      <c r="F47" s="14" t="s">
        <v>27</v>
      </c>
      <c r="G47" s="14" t="s">
        <v>27</v>
      </c>
      <c r="H47" s="15" t="s">
        <v>27</v>
      </c>
      <c r="I47" s="16" t="s">
        <v>27</v>
      </c>
      <c r="J47" s="15" t="s">
        <v>27</v>
      </c>
      <c r="K47" s="17" t="s">
        <v>27</v>
      </c>
      <c r="L47" s="17" t="s">
        <v>27</v>
      </c>
      <c r="M47" s="17" t="s">
        <v>27</v>
      </c>
      <c r="N47" s="18" t="s">
        <v>59</v>
      </c>
      <c r="O47" s="19" t="s">
        <v>103</v>
      </c>
      <c r="P47" s="19" t="s">
        <v>115</v>
      </c>
      <c r="Q47" s="20" t="s">
        <v>76</v>
      </c>
      <c r="R47" s="21">
        <v>252</v>
      </c>
      <c r="S47" s="22" t="s">
        <v>40</v>
      </c>
      <c r="T47" s="23">
        <v>0.26</v>
      </c>
      <c r="U47" s="24">
        <v>65.52</v>
      </c>
      <c r="V47" s="19" t="s">
        <v>77</v>
      </c>
      <c r="W47" s="19">
        <v>62796</v>
      </c>
    </row>
    <row r="48" spans="1:23" ht="15" customHeight="1">
      <c r="A48" s="12" t="s">
        <v>23</v>
      </c>
      <c r="B48" s="13" t="s">
        <v>24</v>
      </c>
      <c r="C48" s="14" t="s">
        <v>25</v>
      </c>
      <c r="D48" s="14" t="s">
        <v>26</v>
      </c>
      <c r="E48" s="14" t="s">
        <v>27</v>
      </c>
      <c r="F48" s="14" t="s">
        <v>27</v>
      </c>
      <c r="G48" s="14" t="s">
        <v>27</v>
      </c>
      <c r="H48" s="15" t="s">
        <v>27</v>
      </c>
      <c r="I48" s="16" t="s">
        <v>27</v>
      </c>
      <c r="J48" s="15" t="s">
        <v>27</v>
      </c>
      <c r="K48" s="17" t="s">
        <v>27</v>
      </c>
      <c r="L48" s="17" t="s">
        <v>27</v>
      </c>
      <c r="M48" s="17" t="s">
        <v>27</v>
      </c>
      <c r="N48" s="18" t="s">
        <v>59</v>
      </c>
      <c r="O48" s="19" t="s">
        <v>103</v>
      </c>
      <c r="P48" s="19" t="s">
        <v>115</v>
      </c>
      <c r="Q48" s="20" t="s">
        <v>61</v>
      </c>
      <c r="R48" s="21">
        <v>252</v>
      </c>
      <c r="S48" s="22" t="s">
        <v>40</v>
      </c>
      <c r="T48" s="23">
        <v>0.1</v>
      </c>
      <c r="U48" s="24">
        <v>25.2</v>
      </c>
      <c r="V48" s="19" t="s">
        <v>125</v>
      </c>
      <c r="W48" s="19">
        <v>62667</v>
      </c>
    </row>
    <row r="49" spans="1:23" ht="15" customHeight="1">
      <c r="A49" s="12" t="s">
        <v>23</v>
      </c>
      <c r="B49" s="13" t="s">
        <v>24</v>
      </c>
      <c r="C49" s="14" t="s">
        <v>25</v>
      </c>
      <c r="D49" s="14" t="s">
        <v>26</v>
      </c>
      <c r="E49" s="14" t="s">
        <v>27</v>
      </c>
      <c r="F49" s="14" t="s">
        <v>27</v>
      </c>
      <c r="G49" s="14" t="s">
        <v>27</v>
      </c>
      <c r="H49" s="15" t="s">
        <v>27</v>
      </c>
      <c r="I49" s="16" t="s">
        <v>27</v>
      </c>
      <c r="J49" s="15" t="s">
        <v>27</v>
      </c>
      <c r="K49" s="17" t="s">
        <v>27</v>
      </c>
      <c r="L49" s="17" t="s">
        <v>27</v>
      </c>
      <c r="M49" s="17" t="s">
        <v>27</v>
      </c>
      <c r="N49" s="18" t="s">
        <v>28</v>
      </c>
      <c r="O49" s="19" t="s">
        <v>126</v>
      </c>
      <c r="P49" s="19" t="s">
        <v>127</v>
      </c>
      <c r="Q49" s="20" t="s">
        <v>128</v>
      </c>
      <c r="R49" s="21">
        <v>9</v>
      </c>
      <c r="S49" s="22" t="s">
        <v>30</v>
      </c>
      <c r="T49" s="23">
        <v>38.729999999999997</v>
      </c>
      <c r="U49" s="24">
        <v>348.57</v>
      </c>
      <c r="V49" s="19" t="s">
        <v>129</v>
      </c>
      <c r="W49" s="19">
        <v>62440</v>
      </c>
    </row>
    <row r="50" spans="1:23" ht="15" customHeight="1">
      <c r="A50" s="12" t="s">
        <v>23</v>
      </c>
      <c r="B50" s="13" t="s">
        <v>24</v>
      </c>
      <c r="C50" s="14" t="s">
        <v>25</v>
      </c>
      <c r="D50" s="14" t="s">
        <v>26</v>
      </c>
      <c r="E50" s="14" t="s">
        <v>27</v>
      </c>
      <c r="F50" s="14" t="s">
        <v>27</v>
      </c>
      <c r="G50" s="14" t="s">
        <v>27</v>
      </c>
      <c r="H50" s="15" t="s">
        <v>27</v>
      </c>
      <c r="I50" s="16" t="s">
        <v>27</v>
      </c>
      <c r="J50" s="15" t="s">
        <v>27</v>
      </c>
      <c r="K50" s="17" t="s">
        <v>27</v>
      </c>
      <c r="L50" s="17" t="s">
        <v>27</v>
      </c>
      <c r="M50" s="17" t="s">
        <v>27</v>
      </c>
      <c r="N50" s="18" t="s">
        <v>28</v>
      </c>
      <c r="O50" s="19" t="s">
        <v>126</v>
      </c>
      <c r="P50" s="19" t="s">
        <v>33</v>
      </c>
      <c r="Q50" s="20" t="s">
        <v>130</v>
      </c>
      <c r="R50" s="21">
        <v>9</v>
      </c>
      <c r="S50" s="22" t="s">
        <v>30</v>
      </c>
      <c r="T50" s="23">
        <v>23.76</v>
      </c>
      <c r="U50" s="24">
        <v>213.84</v>
      </c>
      <c r="V50" s="19" t="s">
        <v>27</v>
      </c>
      <c r="W50" s="19">
        <v>62439</v>
      </c>
    </row>
    <row r="51" spans="1:23" ht="15" customHeight="1">
      <c r="A51" s="12" t="s">
        <v>23</v>
      </c>
      <c r="B51" s="13" t="s">
        <v>24</v>
      </c>
      <c r="C51" s="14" t="s">
        <v>25</v>
      </c>
      <c r="D51" s="14" t="s">
        <v>26</v>
      </c>
      <c r="E51" s="14" t="s">
        <v>27</v>
      </c>
      <c r="F51" s="14" t="s">
        <v>27</v>
      </c>
      <c r="G51" s="14" t="s">
        <v>27</v>
      </c>
      <c r="H51" s="15" t="s">
        <v>27</v>
      </c>
      <c r="I51" s="16" t="s">
        <v>27</v>
      </c>
      <c r="J51" s="15" t="s">
        <v>27</v>
      </c>
      <c r="K51" s="17" t="s">
        <v>27</v>
      </c>
      <c r="L51" s="17" t="s">
        <v>27</v>
      </c>
      <c r="M51" s="17" t="s">
        <v>27</v>
      </c>
      <c r="N51" s="18" t="s">
        <v>28</v>
      </c>
      <c r="O51" s="19" t="s">
        <v>126</v>
      </c>
      <c r="P51" s="19" t="s">
        <v>131</v>
      </c>
      <c r="Q51" s="20" t="s">
        <v>132</v>
      </c>
      <c r="R51" s="21">
        <v>9</v>
      </c>
      <c r="S51" s="22" t="s">
        <v>30</v>
      </c>
      <c r="T51" s="23">
        <v>259.94</v>
      </c>
      <c r="U51" s="24">
        <v>2339.46</v>
      </c>
      <c r="V51" s="19" t="s">
        <v>27</v>
      </c>
      <c r="W51" s="19">
        <v>62636</v>
      </c>
    </row>
    <row r="52" spans="1:23" ht="15" customHeight="1">
      <c r="A52" s="12" t="s">
        <v>23</v>
      </c>
      <c r="B52" s="13" t="s">
        <v>24</v>
      </c>
      <c r="C52" s="14" t="s">
        <v>25</v>
      </c>
      <c r="D52" s="14" t="s">
        <v>26</v>
      </c>
      <c r="E52" s="14" t="s">
        <v>27</v>
      </c>
      <c r="F52" s="14" t="s">
        <v>27</v>
      </c>
      <c r="G52" s="14" t="s">
        <v>27</v>
      </c>
      <c r="H52" s="15" t="s">
        <v>27</v>
      </c>
      <c r="I52" s="16" t="s">
        <v>27</v>
      </c>
      <c r="J52" s="15" t="s">
        <v>27</v>
      </c>
      <c r="K52" s="17" t="s">
        <v>27</v>
      </c>
      <c r="L52" s="17" t="s">
        <v>27</v>
      </c>
      <c r="M52" s="17" t="s">
        <v>27</v>
      </c>
      <c r="N52" s="18" t="s">
        <v>28</v>
      </c>
      <c r="O52" s="19" t="s">
        <v>133</v>
      </c>
      <c r="P52" s="19" t="s">
        <v>134</v>
      </c>
      <c r="Q52" s="20" t="s">
        <v>135</v>
      </c>
      <c r="R52" s="21">
        <v>2</v>
      </c>
      <c r="S52" s="22" t="s">
        <v>30</v>
      </c>
      <c r="T52" s="23">
        <v>718.07</v>
      </c>
      <c r="U52" s="24">
        <v>1436.14</v>
      </c>
      <c r="V52" s="19" t="s">
        <v>27</v>
      </c>
      <c r="W52" s="19">
        <v>62524</v>
      </c>
    </row>
    <row r="53" spans="1:23" ht="15" customHeight="1">
      <c r="A53" s="12" t="s">
        <v>23</v>
      </c>
      <c r="B53" s="13" t="s">
        <v>24</v>
      </c>
      <c r="C53" s="14" t="s">
        <v>25</v>
      </c>
      <c r="D53" s="14" t="s">
        <v>26</v>
      </c>
      <c r="E53" s="14" t="s">
        <v>27</v>
      </c>
      <c r="F53" s="14" t="s">
        <v>27</v>
      </c>
      <c r="G53" s="14" t="s">
        <v>27</v>
      </c>
      <c r="H53" s="15" t="s">
        <v>27</v>
      </c>
      <c r="I53" s="16" t="s">
        <v>27</v>
      </c>
      <c r="J53" s="15" t="s">
        <v>27</v>
      </c>
      <c r="K53" s="17" t="s">
        <v>27</v>
      </c>
      <c r="L53" s="17" t="s">
        <v>27</v>
      </c>
      <c r="M53" s="17" t="s">
        <v>27</v>
      </c>
      <c r="N53" s="18" t="s">
        <v>59</v>
      </c>
      <c r="O53" s="19" t="s">
        <v>133</v>
      </c>
      <c r="P53" s="19" t="s">
        <v>136</v>
      </c>
      <c r="Q53" s="20" t="s">
        <v>137</v>
      </c>
      <c r="R53" s="21">
        <v>2</v>
      </c>
      <c r="S53" s="22" t="s">
        <v>30</v>
      </c>
      <c r="T53" s="23">
        <v>360</v>
      </c>
      <c r="U53" s="24">
        <v>720</v>
      </c>
      <c r="V53" s="19" t="s">
        <v>27</v>
      </c>
      <c r="W53" s="19">
        <v>62442</v>
      </c>
    </row>
    <row r="54" spans="1:23" ht="15" customHeight="1">
      <c r="A54" s="12" t="s">
        <v>23</v>
      </c>
      <c r="B54" s="13" t="s">
        <v>24</v>
      </c>
      <c r="C54" s="14" t="s">
        <v>25</v>
      </c>
      <c r="D54" s="14" t="s">
        <v>26</v>
      </c>
      <c r="E54" s="14" t="s">
        <v>27</v>
      </c>
      <c r="F54" s="14" t="s">
        <v>27</v>
      </c>
      <c r="G54" s="14" t="s">
        <v>27</v>
      </c>
      <c r="H54" s="15" t="s">
        <v>27</v>
      </c>
      <c r="I54" s="16" t="s">
        <v>27</v>
      </c>
      <c r="J54" s="15" t="s">
        <v>27</v>
      </c>
      <c r="K54" s="17" t="s">
        <v>27</v>
      </c>
      <c r="L54" s="17" t="s">
        <v>27</v>
      </c>
      <c r="M54" s="17" t="s">
        <v>27</v>
      </c>
      <c r="N54" s="18" t="s">
        <v>28</v>
      </c>
      <c r="O54" s="19" t="s">
        <v>133</v>
      </c>
      <c r="P54" s="19" t="s">
        <v>138</v>
      </c>
      <c r="Q54" s="20" t="s">
        <v>139</v>
      </c>
      <c r="R54" s="21">
        <v>2</v>
      </c>
      <c r="S54" s="22" t="s">
        <v>30</v>
      </c>
      <c r="T54" s="23">
        <v>82.32</v>
      </c>
      <c r="U54" s="24">
        <v>164.64</v>
      </c>
      <c r="V54" s="19" t="s">
        <v>27</v>
      </c>
      <c r="W54" s="19">
        <v>62451</v>
      </c>
    </row>
    <row r="55" spans="1:23" ht="15" customHeight="1">
      <c r="A55" s="12" t="s">
        <v>23</v>
      </c>
      <c r="B55" s="13" t="s">
        <v>24</v>
      </c>
      <c r="C55" s="14" t="s">
        <v>25</v>
      </c>
      <c r="D55" s="14" t="s">
        <v>26</v>
      </c>
      <c r="E55" s="14" t="s">
        <v>27</v>
      </c>
      <c r="F55" s="14" t="s">
        <v>27</v>
      </c>
      <c r="G55" s="14" t="s">
        <v>27</v>
      </c>
      <c r="H55" s="15" t="s">
        <v>27</v>
      </c>
      <c r="I55" s="16" t="s">
        <v>27</v>
      </c>
      <c r="J55" s="15" t="s">
        <v>27</v>
      </c>
      <c r="K55" s="17" t="s">
        <v>27</v>
      </c>
      <c r="L55" s="17" t="s">
        <v>27</v>
      </c>
      <c r="M55" s="17" t="s">
        <v>27</v>
      </c>
      <c r="N55" s="18" t="s">
        <v>28</v>
      </c>
      <c r="O55" s="19" t="s">
        <v>140</v>
      </c>
      <c r="P55" s="19" t="s">
        <v>134</v>
      </c>
      <c r="Q55" s="20" t="s">
        <v>141</v>
      </c>
      <c r="R55" s="21">
        <v>7</v>
      </c>
      <c r="S55" s="22" t="s">
        <v>30</v>
      </c>
      <c r="T55" s="23">
        <v>550.28</v>
      </c>
      <c r="U55" s="24">
        <v>3851.96</v>
      </c>
      <c r="V55" s="19" t="s">
        <v>142</v>
      </c>
      <c r="W55" s="19">
        <v>62443</v>
      </c>
    </row>
    <row r="56" spans="1:23" ht="15" customHeight="1">
      <c r="A56" s="12" t="s">
        <v>23</v>
      </c>
      <c r="B56" s="13" t="s">
        <v>24</v>
      </c>
      <c r="C56" s="14" t="s">
        <v>25</v>
      </c>
      <c r="D56" s="14" t="s">
        <v>26</v>
      </c>
      <c r="E56" s="14" t="s">
        <v>27</v>
      </c>
      <c r="F56" s="14" t="s">
        <v>27</v>
      </c>
      <c r="G56" s="14" t="s">
        <v>27</v>
      </c>
      <c r="H56" s="15" t="s">
        <v>27</v>
      </c>
      <c r="I56" s="16" t="s">
        <v>27</v>
      </c>
      <c r="J56" s="15" t="s">
        <v>27</v>
      </c>
      <c r="K56" s="17" t="s">
        <v>27</v>
      </c>
      <c r="L56" s="17" t="s">
        <v>27</v>
      </c>
      <c r="M56" s="17" t="s">
        <v>27</v>
      </c>
      <c r="N56" s="18" t="s">
        <v>59</v>
      </c>
      <c r="O56" s="19" t="s">
        <v>140</v>
      </c>
      <c r="P56" s="19" t="s">
        <v>134</v>
      </c>
      <c r="Q56" s="20" t="s">
        <v>143</v>
      </c>
      <c r="R56" s="21">
        <v>1</v>
      </c>
      <c r="S56" s="22" t="s">
        <v>30</v>
      </c>
      <c r="T56" s="23">
        <v>422</v>
      </c>
      <c r="U56" s="24">
        <v>422</v>
      </c>
      <c r="V56" s="19" t="s">
        <v>144</v>
      </c>
      <c r="W56" s="19">
        <v>62670</v>
      </c>
    </row>
    <row r="57" spans="1:23" ht="15" customHeight="1">
      <c r="A57" s="12" t="s">
        <v>23</v>
      </c>
      <c r="B57" s="13" t="s">
        <v>24</v>
      </c>
      <c r="C57" s="14" t="s">
        <v>25</v>
      </c>
      <c r="D57" s="14" t="s">
        <v>26</v>
      </c>
      <c r="E57" s="14" t="s">
        <v>27</v>
      </c>
      <c r="F57" s="14" t="s">
        <v>27</v>
      </c>
      <c r="G57" s="14" t="s">
        <v>27</v>
      </c>
      <c r="H57" s="15" t="s">
        <v>27</v>
      </c>
      <c r="I57" s="16" t="s">
        <v>27</v>
      </c>
      <c r="J57" s="15" t="s">
        <v>27</v>
      </c>
      <c r="K57" s="17" t="s">
        <v>27</v>
      </c>
      <c r="L57" s="17" t="s">
        <v>27</v>
      </c>
      <c r="M57" s="17" t="s">
        <v>27</v>
      </c>
      <c r="N57" s="18" t="s">
        <v>28</v>
      </c>
      <c r="O57" s="19" t="s">
        <v>140</v>
      </c>
      <c r="P57" s="19" t="s">
        <v>134</v>
      </c>
      <c r="Q57" s="20" t="s">
        <v>145</v>
      </c>
      <c r="R57" s="21">
        <v>4</v>
      </c>
      <c r="S57" s="22" t="s">
        <v>30</v>
      </c>
      <c r="T57" s="23">
        <v>403.39</v>
      </c>
      <c r="U57" s="24">
        <v>1613.56</v>
      </c>
      <c r="V57" s="19" t="s">
        <v>146</v>
      </c>
      <c r="W57" s="19">
        <v>62446</v>
      </c>
    </row>
    <row r="58" spans="1:23" ht="15" customHeight="1">
      <c r="A58" s="12" t="s">
        <v>23</v>
      </c>
      <c r="B58" s="13" t="s">
        <v>24</v>
      </c>
      <c r="C58" s="14" t="s">
        <v>25</v>
      </c>
      <c r="D58" s="14" t="s">
        <v>26</v>
      </c>
      <c r="E58" s="14" t="s">
        <v>27</v>
      </c>
      <c r="F58" s="14" t="s">
        <v>27</v>
      </c>
      <c r="G58" s="14" t="s">
        <v>27</v>
      </c>
      <c r="H58" s="15" t="s">
        <v>27</v>
      </c>
      <c r="I58" s="16" t="s">
        <v>27</v>
      </c>
      <c r="J58" s="15" t="s">
        <v>27</v>
      </c>
      <c r="K58" s="17" t="s">
        <v>27</v>
      </c>
      <c r="L58" s="17" t="s">
        <v>27</v>
      </c>
      <c r="M58" s="17" t="s">
        <v>27</v>
      </c>
      <c r="N58" s="18" t="s">
        <v>59</v>
      </c>
      <c r="O58" s="19" t="s">
        <v>140</v>
      </c>
      <c r="P58" s="19" t="s">
        <v>136</v>
      </c>
      <c r="Q58" s="20" t="s">
        <v>147</v>
      </c>
      <c r="R58" s="21">
        <v>9</v>
      </c>
      <c r="S58" s="22" t="s">
        <v>30</v>
      </c>
      <c r="T58" s="23">
        <v>62.52</v>
      </c>
      <c r="U58" s="24">
        <v>562.67999999999995</v>
      </c>
      <c r="V58" s="19" t="s">
        <v>148</v>
      </c>
      <c r="W58" s="19">
        <v>62445</v>
      </c>
    </row>
    <row r="59" spans="1:23" ht="15" customHeight="1">
      <c r="A59" s="12" t="s">
        <v>23</v>
      </c>
      <c r="B59" s="13" t="s">
        <v>24</v>
      </c>
      <c r="C59" s="14" t="s">
        <v>25</v>
      </c>
      <c r="D59" s="14" t="s">
        <v>26</v>
      </c>
      <c r="E59" s="14" t="s">
        <v>27</v>
      </c>
      <c r="F59" s="14" t="s">
        <v>27</v>
      </c>
      <c r="G59" s="14" t="s">
        <v>27</v>
      </c>
      <c r="H59" s="15" t="s">
        <v>27</v>
      </c>
      <c r="I59" s="16" t="s">
        <v>27</v>
      </c>
      <c r="J59" s="15" t="s">
        <v>27</v>
      </c>
      <c r="K59" s="17" t="s">
        <v>27</v>
      </c>
      <c r="L59" s="17" t="s">
        <v>27</v>
      </c>
      <c r="M59" s="17" t="s">
        <v>27</v>
      </c>
      <c r="N59" s="18" t="s">
        <v>59</v>
      </c>
      <c r="O59" s="19" t="s">
        <v>140</v>
      </c>
      <c r="P59" s="19" t="s">
        <v>136</v>
      </c>
      <c r="Q59" s="20" t="s">
        <v>149</v>
      </c>
      <c r="R59" s="21">
        <v>2</v>
      </c>
      <c r="S59" s="22" t="s">
        <v>30</v>
      </c>
      <c r="T59" s="23">
        <v>62.52</v>
      </c>
      <c r="U59" s="24">
        <v>125.04</v>
      </c>
      <c r="V59" s="19" t="s">
        <v>150</v>
      </c>
      <c r="W59" s="19">
        <v>62448</v>
      </c>
    </row>
    <row r="60" spans="1:23" ht="15" customHeight="1">
      <c r="A60" s="12" t="s">
        <v>23</v>
      </c>
      <c r="B60" s="13" t="s">
        <v>24</v>
      </c>
      <c r="C60" s="14" t="s">
        <v>25</v>
      </c>
      <c r="D60" s="14" t="s">
        <v>26</v>
      </c>
      <c r="E60" s="14" t="s">
        <v>27</v>
      </c>
      <c r="F60" s="14" t="s">
        <v>27</v>
      </c>
      <c r="G60" s="14" t="s">
        <v>27</v>
      </c>
      <c r="H60" s="15" t="s">
        <v>27</v>
      </c>
      <c r="I60" s="16" t="s">
        <v>27</v>
      </c>
      <c r="J60" s="15" t="s">
        <v>27</v>
      </c>
      <c r="K60" s="17" t="s">
        <v>27</v>
      </c>
      <c r="L60" s="17" t="s">
        <v>27</v>
      </c>
      <c r="M60" s="17" t="s">
        <v>27</v>
      </c>
      <c r="N60" s="18" t="s">
        <v>59</v>
      </c>
      <c r="O60" s="19" t="s">
        <v>140</v>
      </c>
      <c r="P60" s="19" t="s">
        <v>136</v>
      </c>
      <c r="Q60" s="20" t="s">
        <v>151</v>
      </c>
      <c r="R60" s="21">
        <v>1</v>
      </c>
      <c r="S60" s="22" t="s">
        <v>30</v>
      </c>
      <c r="T60" s="23">
        <v>67.89</v>
      </c>
      <c r="U60" s="24">
        <v>67.89</v>
      </c>
      <c r="V60" s="19" t="s">
        <v>152</v>
      </c>
      <c r="W60" s="19">
        <v>62449</v>
      </c>
    </row>
    <row r="61" spans="1:23" ht="15" customHeight="1">
      <c r="A61" s="12" t="s">
        <v>23</v>
      </c>
      <c r="B61" s="13" t="s">
        <v>24</v>
      </c>
      <c r="C61" s="14" t="s">
        <v>25</v>
      </c>
      <c r="D61" s="14" t="s">
        <v>26</v>
      </c>
      <c r="E61" s="14" t="s">
        <v>27</v>
      </c>
      <c r="F61" s="14" t="s">
        <v>27</v>
      </c>
      <c r="G61" s="14" t="s">
        <v>27</v>
      </c>
      <c r="H61" s="15" t="s">
        <v>27</v>
      </c>
      <c r="I61" s="16" t="s">
        <v>27</v>
      </c>
      <c r="J61" s="15" t="s">
        <v>27</v>
      </c>
      <c r="K61" s="17" t="s">
        <v>27</v>
      </c>
      <c r="L61" s="17" t="s">
        <v>27</v>
      </c>
      <c r="M61" s="17" t="s">
        <v>27</v>
      </c>
      <c r="N61" s="18" t="s">
        <v>28</v>
      </c>
      <c r="O61" s="19" t="s">
        <v>153</v>
      </c>
      <c r="P61" s="19" t="s">
        <v>154</v>
      </c>
      <c r="Q61" s="20" t="s">
        <v>155</v>
      </c>
      <c r="R61" s="21">
        <v>2</v>
      </c>
      <c r="S61" s="22" t="s">
        <v>30</v>
      </c>
      <c r="T61" s="23">
        <v>672.7</v>
      </c>
      <c r="U61" s="24">
        <v>1345.4</v>
      </c>
      <c r="V61" s="19" t="s">
        <v>156</v>
      </c>
      <c r="W61" s="19">
        <v>62503</v>
      </c>
    </row>
    <row r="62" spans="1:23" ht="15" customHeight="1">
      <c r="A62" s="12" t="s">
        <v>23</v>
      </c>
      <c r="B62" s="13" t="s">
        <v>24</v>
      </c>
      <c r="C62" s="14" t="s">
        <v>25</v>
      </c>
      <c r="D62" s="14" t="s">
        <v>26</v>
      </c>
      <c r="E62" s="14" t="s">
        <v>27</v>
      </c>
      <c r="F62" s="14" t="s">
        <v>27</v>
      </c>
      <c r="G62" s="14" t="s">
        <v>27</v>
      </c>
      <c r="H62" s="15" t="s">
        <v>27</v>
      </c>
      <c r="I62" s="16" t="s">
        <v>27</v>
      </c>
      <c r="J62" s="15" t="s">
        <v>27</v>
      </c>
      <c r="K62" s="17" t="s">
        <v>27</v>
      </c>
      <c r="L62" s="17" t="s">
        <v>27</v>
      </c>
      <c r="M62" s="17" t="s">
        <v>27</v>
      </c>
      <c r="N62" s="18" t="s">
        <v>28</v>
      </c>
      <c r="O62" s="19" t="s">
        <v>153</v>
      </c>
      <c r="P62" s="19" t="s">
        <v>157</v>
      </c>
      <c r="Q62" s="20" t="s">
        <v>158</v>
      </c>
      <c r="R62" s="21">
        <v>600</v>
      </c>
      <c r="S62" s="22" t="s">
        <v>66</v>
      </c>
      <c r="T62" s="23">
        <v>3.1</v>
      </c>
      <c r="U62" s="24">
        <v>1860</v>
      </c>
      <c r="V62" s="19" t="s">
        <v>159</v>
      </c>
      <c r="W62" s="19">
        <v>62453</v>
      </c>
    </row>
    <row r="63" spans="1:23" ht="15" customHeight="1">
      <c r="A63" s="12" t="s">
        <v>23</v>
      </c>
      <c r="B63" s="13" t="s">
        <v>24</v>
      </c>
      <c r="C63" s="14" t="s">
        <v>25</v>
      </c>
      <c r="D63" s="14" t="s">
        <v>26</v>
      </c>
      <c r="E63" s="14" t="s">
        <v>27</v>
      </c>
      <c r="F63" s="14" t="s">
        <v>27</v>
      </c>
      <c r="G63" s="14" t="s">
        <v>27</v>
      </c>
      <c r="H63" s="15" t="s">
        <v>27</v>
      </c>
      <c r="I63" s="16" t="s">
        <v>27</v>
      </c>
      <c r="J63" s="15" t="s">
        <v>27</v>
      </c>
      <c r="K63" s="17" t="s">
        <v>27</v>
      </c>
      <c r="L63" s="17" t="s">
        <v>27</v>
      </c>
      <c r="M63" s="17" t="s">
        <v>27</v>
      </c>
      <c r="N63" s="18" t="s">
        <v>28</v>
      </c>
      <c r="O63" s="19" t="s">
        <v>153</v>
      </c>
      <c r="P63" s="19" t="s">
        <v>160</v>
      </c>
      <c r="Q63" s="20" t="s">
        <v>161</v>
      </c>
      <c r="R63" s="21">
        <v>3</v>
      </c>
      <c r="S63" s="22" t="s">
        <v>30</v>
      </c>
      <c r="T63" s="23">
        <v>64.11</v>
      </c>
      <c r="U63" s="24">
        <v>192.33</v>
      </c>
      <c r="V63" s="19" t="s">
        <v>162</v>
      </c>
      <c r="W63" s="19">
        <v>62455</v>
      </c>
    </row>
    <row r="64" spans="1:23" ht="15" customHeight="1">
      <c r="A64" s="12" t="s">
        <v>23</v>
      </c>
      <c r="B64" s="13" t="s">
        <v>24</v>
      </c>
      <c r="C64" s="14" t="s">
        <v>25</v>
      </c>
      <c r="D64" s="14" t="s">
        <v>26</v>
      </c>
      <c r="E64" s="14" t="s">
        <v>27</v>
      </c>
      <c r="F64" s="14" t="s">
        <v>27</v>
      </c>
      <c r="G64" s="14" t="s">
        <v>27</v>
      </c>
      <c r="H64" s="15" t="s">
        <v>27</v>
      </c>
      <c r="I64" s="16" t="s">
        <v>27</v>
      </c>
      <c r="J64" s="15" t="s">
        <v>27</v>
      </c>
      <c r="K64" s="17" t="s">
        <v>27</v>
      </c>
      <c r="L64" s="17" t="s">
        <v>27</v>
      </c>
      <c r="M64" s="17" t="s">
        <v>27</v>
      </c>
      <c r="N64" s="18" t="s">
        <v>28</v>
      </c>
      <c r="O64" s="19" t="s">
        <v>153</v>
      </c>
      <c r="P64" s="19" t="s">
        <v>160</v>
      </c>
      <c r="Q64" s="20" t="s">
        <v>163</v>
      </c>
      <c r="R64" s="21">
        <v>36</v>
      </c>
      <c r="S64" s="22" t="s">
        <v>30</v>
      </c>
      <c r="T64" s="23">
        <v>74.11</v>
      </c>
      <c r="U64" s="24">
        <v>2667.96</v>
      </c>
      <c r="V64" s="19" t="s">
        <v>27</v>
      </c>
      <c r="W64" s="19">
        <v>62454</v>
      </c>
    </row>
    <row r="65" spans="1:23" ht="15" customHeight="1">
      <c r="A65" s="12" t="s">
        <v>23</v>
      </c>
      <c r="B65" s="13" t="s">
        <v>24</v>
      </c>
      <c r="C65" s="14" t="s">
        <v>25</v>
      </c>
      <c r="D65" s="14" t="s">
        <v>26</v>
      </c>
      <c r="E65" s="14" t="s">
        <v>27</v>
      </c>
      <c r="F65" s="14" t="s">
        <v>27</v>
      </c>
      <c r="G65" s="14" t="s">
        <v>27</v>
      </c>
      <c r="H65" s="15" t="s">
        <v>27</v>
      </c>
      <c r="I65" s="16" t="s">
        <v>27</v>
      </c>
      <c r="J65" s="15" t="s">
        <v>27</v>
      </c>
      <c r="K65" s="17" t="s">
        <v>27</v>
      </c>
      <c r="L65" s="17" t="s">
        <v>27</v>
      </c>
      <c r="M65" s="17" t="s">
        <v>27</v>
      </c>
      <c r="N65" s="18" t="s">
        <v>28</v>
      </c>
      <c r="O65" s="19" t="s">
        <v>153</v>
      </c>
      <c r="P65" s="19" t="s">
        <v>164</v>
      </c>
      <c r="Q65" s="20" t="s">
        <v>165</v>
      </c>
      <c r="R65" s="21">
        <v>2</v>
      </c>
      <c r="S65" s="22" t="s">
        <v>30</v>
      </c>
      <c r="T65" s="23">
        <v>62.68</v>
      </c>
      <c r="U65" s="24">
        <v>125.36</v>
      </c>
      <c r="V65" s="19" t="s">
        <v>166</v>
      </c>
      <c r="W65" s="19">
        <v>62456</v>
      </c>
    </row>
    <row r="66" spans="1:23" ht="15" customHeight="1">
      <c r="A66" s="12" t="s">
        <v>23</v>
      </c>
      <c r="B66" s="13" t="s">
        <v>24</v>
      </c>
      <c r="C66" s="14" t="s">
        <v>25</v>
      </c>
      <c r="D66" s="14" t="s">
        <v>26</v>
      </c>
      <c r="E66" s="14" t="s">
        <v>27</v>
      </c>
      <c r="F66" s="14" t="s">
        <v>27</v>
      </c>
      <c r="G66" s="14" t="s">
        <v>27</v>
      </c>
      <c r="H66" s="15" t="s">
        <v>27</v>
      </c>
      <c r="I66" s="16" t="s">
        <v>27</v>
      </c>
      <c r="J66" s="15" t="s">
        <v>27</v>
      </c>
      <c r="K66" s="17" t="s">
        <v>27</v>
      </c>
      <c r="L66" s="17" t="s">
        <v>27</v>
      </c>
      <c r="M66" s="17" t="s">
        <v>27</v>
      </c>
      <c r="N66" s="18" t="s">
        <v>28</v>
      </c>
      <c r="O66" s="19" t="s">
        <v>153</v>
      </c>
      <c r="P66" s="19" t="s">
        <v>167</v>
      </c>
      <c r="Q66" s="20" t="s">
        <v>168</v>
      </c>
      <c r="R66" s="21">
        <v>5</v>
      </c>
      <c r="S66" s="22" t="s">
        <v>30</v>
      </c>
      <c r="T66" s="23">
        <v>36.03</v>
      </c>
      <c r="U66" s="24">
        <v>180.15</v>
      </c>
      <c r="V66" s="19" t="s">
        <v>27</v>
      </c>
      <c r="W66" s="19">
        <v>62458</v>
      </c>
    </row>
    <row r="67" spans="1:23" ht="15" customHeight="1">
      <c r="A67" s="12" t="s">
        <v>23</v>
      </c>
      <c r="B67" s="13" t="s">
        <v>24</v>
      </c>
      <c r="C67" s="14" t="s">
        <v>25</v>
      </c>
      <c r="D67" s="14" t="s">
        <v>26</v>
      </c>
      <c r="E67" s="14" t="s">
        <v>27</v>
      </c>
      <c r="F67" s="14" t="s">
        <v>27</v>
      </c>
      <c r="G67" s="14" t="s">
        <v>27</v>
      </c>
      <c r="H67" s="15" t="s">
        <v>27</v>
      </c>
      <c r="I67" s="16" t="s">
        <v>27</v>
      </c>
      <c r="J67" s="15" t="s">
        <v>27</v>
      </c>
      <c r="K67" s="17" t="s">
        <v>27</v>
      </c>
      <c r="L67" s="17" t="s">
        <v>27</v>
      </c>
      <c r="M67" s="17" t="s">
        <v>27</v>
      </c>
      <c r="N67" s="18" t="s">
        <v>28</v>
      </c>
      <c r="O67" s="19" t="s">
        <v>153</v>
      </c>
      <c r="P67" s="19" t="s">
        <v>167</v>
      </c>
      <c r="Q67" s="20" t="s">
        <v>169</v>
      </c>
      <c r="R67" s="21">
        <v>2</v>
      </c>
      <c r="S67" s="22" t="s">
        <v>30</v>
      </c>
      <c r="T67" s="23">
        <v>32.82</v>
      </c>
      <c r="U67" s="24">
        <v>65.64</v>
      </c>
      <c r="V67" s="19" t="s">
        <v>27</v>
      </c>
      <c r="W67" s="19">
        <v>62457</v>
      </c>
    </row>
    <row r="68" spans="1:23" ht="15" customHeight="1">
      <c r="A68" s="12" t="s">
        <v>23</v>
      </c>
      <c r="B68" s="13" t="s">
        <v>24</v>
      </c>
      <c r="C68" s="14" t="s">
        <v>25</v>
      </c>
      <c r="D68" s="14" t="s">
        <v>26</v>
      </c>
      <c r="E68" s="14" t="s">
        <v>27</v>
      </c>
      <c r="F68" s="14" t="s">
        <v>27</v>
      </c>
      <c r="G68" s="14" t="s">
        <v>27</v>
      </c>
      <c r="H68" s="15" t="s">
        <v>27</v>
      </c>
      <c r="I68" s="16" t="s">
        <v>27</v>
      </c>
      <c r="J68" s="15" t="s">
        <v>27</v>
      </c>
      <c r="K68" s="17" t="s">
        <v>27</v>
      </c>
      <c r="L68" s="17" t="s">
        <v>27</v>
      </c>
      <c r="M68" s="17" t="s">
        <v>27</v>
      </c>
      <c r="N68" s="18" t="s">
        <v>28</v>
      </c>
      <c r="O68" s="19" t="s">
        <v>153</v>
      </c>
      <c r="P68" s="19" t="s">
        <v>167</v>
      </c>
      <c r="Q68" s="20" t="s">
        <v>170</v>
      </c>
      <c r="R68" s="21">
        <v>2</v>
      </c>
      <c r="S68" s="22" t="s">
        <v>30</v>
      </c>
      <c r="T68" s="23">
        <v>52.04</v>
      </c>
      <c r="U68" s="24">
        <v>104.08</v>
      </c>
      <c r="V68" s="19" t="s">
        <v>27</v>
      </c>
      <c r="W68" s="19">
        <v>62797</v>
      </c>
    </row>
    <row r="69" spans="1:23" ht="15" customHeight="1">
      <c r="A69" s="12" t="s">
        <v>23</v>
      </c>
      <c r="B69" s="13" t="s">
        <v>24</v>
      </c>
      <c r="C69" s="14" t="s">
        <v>25</v>
      </c>
      <c r="D69" s="14" t="s">
        <v>26</v>
      </c>
      <c r="E69" s="14" t="s">
        <v>27</v>
      </c>
      <c r="F69" s="14" t="s">
        <v>27</v>
      </c>
      <c r="G69" s="14" t="s">
        <v>27</v>
      </c>
      <c r="H69" s="15" t="s">
        <v>27</v>
      </c>
      <c r="I69" s="16" t="s">
        <v>27</v>
      </c>
      <c r="J69" s="15" t="s">
        <v>27</v>
      </c>
      <c r="K69" s="17" t="s">
        <v>27</v>
      </c>
      <c r="L69" s="17" t="s">
        <v>27</v>
      </c>
      <c r="M69" s="17" t="s">
        <v>27</v>
      </c>
      <c r="N69" s="18" t="s">
        <v>28</v>
      </c>
      <c r="O69" s="19" t="s">
        <v>153</v>
      </c>
      <c r="P69" s="19" t="s">
        <v>167</v>
      </c>
      <c r="Q69" s="20" t="s">
        <v>171</v>
      </c>
      <c r="R69" s="21">
        <v>2</v>
      </c>
      <c r="S69" s="22" t="s">
        <v>30</v>
      </c>
      <c r="T69" s="23">
        <v>22.9</v>
      </c>
      <c r="U69" s="24">
        <v>45.8</v>
      </c>
      <c r="V69" s="19" t="s">
        <v>27</v>
      </c>
      <c r="W69" s="19">
        <v>62459</v>
      </c>
    </row>
    <row r="70" spans="1:23" ht="15" customHeight="1">
      <c r="A70" s="12" t="s">
        <v>23</v>
      </c>
      <c r="B70" s="13" t="s">
        <v>24</v>
      </c>
      <c r="C70" s="14" t="s">
        <v>25</v>
      </c>
      <c r="D70" s="14" t="s">
        <v>26</v>
      </c>
      <c r="E70" s="14" t="s">
        <v>27</v>
      </c>
      <c r="F70" s="14" t="s">
        <v>27</v>
      </c>
      <c r="G70" s="14" t="s">
        <v>27</v>
      </c>
      <c r="H70" s="15" t="s">
        <v>27</v>
      </c>
      <c r="I70" s="16" t="s">
        <v>27</v>
      </c>
      <c r="J70" s="15" t="s">
        <v>27</v>
      </c>
      <c r="K70" s="17" t="s">
        <v>27</v>
      </c>
      <c r="L70" s="17" t="s">
        <v>27</v>
      </c>
      <c r="M70" s="17" t="s">
        <v>27</v>
      </c>
      <c r="N70" s="18" t="s">
        <v>28</v>
      </c>
      <c r="O70" s="19" t="s">
        <v>153</v>
      </c>
      <c r="P70" s="19" t="s">
        <v>172</v>
      </c>
      <c r="Q70" s="20" t="s">
        <v>173</v>
      </c>
      <c r="R70" s="21">
        <v>3</v>
      </c>
      <c r="S70" s="22" t="s">
        <v>30</v>
      </c>
      <c r="T70" s="23">
        <v>43.81</v>
      </c>
      <c r="U70" s="24">
        <v>131.43</v>
      </c>
      <c r="V70" s="19" t="s">
        <v>27</v>
      </c>
      <c r="W70" s="19">
        <v>62460</v>
      </c>
    </row>
    <row r="71" spans="1:23" ht="15" customHeight="1">
      <c r="A71" s="12" t="s">
        <v>23</v>
      </c>
      <c r="B71" s="13" t="s">
        <v>24</v>
      </c>
      <c r="C71" s="14" t="s">
        <v>25</v>
      </c>
      <c r="D71" s="14" t="s">
        <v>26</v>
      </c>
      <c r="E71" s="14" t="s">
        <v>27</v>
      </c>
      <c r="F71" s="14" t="s">
        <v>27</v>
      </c>
      <c r="G71" s="14" t="s">
        <v>27</v>
      </c>
      <c r="H71" s="15" t="s">
        <v>27</v>
      </c>
      <c r="I71" s="16" t="s">
        <v>27</v>
      </c>
      <c r="J71" s="15" t="s">
        <v>27</v>
      </c>
      <c r="K71" s="17" t="s">
        <v>27</v>
      </c>
      <c r="L71" s="17" t="s">
        <v>27</v>
      </c>
      <c r="M71" s="17" t="s">
        <v>27</v>
      </c>
      <c r="N71" s="18" t="s">
        <v>28</v>
      </c>
      <c r="O71" s="19" t="s">
        <v>153</v>
      </c>
      <c r="P71" s="19" t="s">
        <v>172</v>
      </c>
      <c r="Q71" s="20" t="s">
        <v>174</v>
      </c>
      <c r="R71" s="21">
        <v>3</v>
      </c>
      <c r="S71" s="22" t="s">
        <v>30</v>
      </c>
      <c r="T71" s="23">
        <v>256.13</v>
      </c>
      <c r="U71" s="24">
        <v>768.39</v>
      </c>
      <c r="V71" s="19" t="s">
        <v>175</v>
      </c>
      <c r="W71" s="19">
        <v>62461</v>
      </c>
    </row>
    <row r="72" spans="1:23" ht="15" customHeight="1">
      <c r="A72" s="12" t="s">
        <v>23</v>
      </c>
      <c r="B72" s="13" t="s">
        <v>24</v>
      </c>
      <c r="C72" s="14" t="s">
        <v>25</v>
      </c>
      <c r="D72" s="14" t="s">
        <v>26</v>
      </c>
      <c r="E72" s="14" t="s">
        <v>27</v>
      </c>
      <c r="F72" s="14" t="s">
        <v>27</v>
      </c>
      <c r="G72" s="14" t="s">
        <v>27</v>
      </c>
      <c r="H72" s="15" t="s">
        <v>27</v>
      </c>
      <c r="I72" s="16" t="s">
        <v>27</v>
      </c>
      <c r="J72" s="15" t="s">
        <v>27</v>
      </c>
      <c r="K72" s="17" t="s">
        <v>27</v>
      </c>
      <c r="L72" s="17" t="s">
        <v>27</v>
      </c>
      <c r="M72" s="17" t="s">
        <v>27</v>
      </c>
      <c r="N72" s="18" t="s">
        <v>28</v>
      </c>
      <c r="O72" s="19" t="s">
        <v>153</v>
      </c>
      <c r="P72" s="19" t="s">
        <v>172</v>
      </c>
      <c r="Q72" s="20" t="s">
        <v>176</v>
      </c>
      <c r="R72" s="21">
        <v>5</v>
      </c>
      <c r="S72" s="22" t="s">
        <v>30</v>
      </c>
      <c r="T72" s="23">
        <v>67.06</v>
      </c>
      <c r="U72" s="24">
        <v>335.3</v>
      </c>
      <c r="V72" s="19" t="s">
        <v>177</v>
      </c>
      <c r="W72" s="19">
        <v>62466</v>
      </c>
    </row>
    <row r="73" spans="1:23" ht="15" customHeight="1">
      <c r="A73" s="12" t="s">
        <v>23</v>
      </c>
      <c r="B73" s="13" t="s">
        <v>24</v>
      </c>
      <c r="C73" s="14" t="s">
        <v>25</v>
      </c>
      <c r="D73" s="14" t="s">
        <v>26</v>
      </c>
      <c r="E73" s="14" t="s">
        <v>27</v>
      </c>
      <c r="F73" s="14" t="s">
        <v>27</v>
      </c>
      <c r="G73" s="14" t="s">
        <v>27</v>
      </c>
      <c r="H73" s="15" t="s">
        <v>27</v>
      </c>
      <c r="I73" s="16" t="s">
        <v>27</v>
      </c>
      <c r="J73" s="15" t="s">
        <v>27</v>
      </c>
      <c r="K73" s="17" t="s">
        <v>27</v>
      </c>
      <c r="L73" s="17" t="s">
        <v>27</v>
      </c>
      <c r="M73" s="17" t="s">
        <v>27</v>
      </c>
      <c r="N73" s="18" t="s">
        <v>28</v>
      </c>
      <c r="O73" s="19" t="s">
        <v>153</v>
      </c>
      <c r="P73" s="19" t="s">
        <v>172</v>
      </c>
      <c r="Q73" s="20" t="s">
        <v>178</v>
      </c>
      <c r="R73" s="21">
        <v>4</v>
      </c>
      <c r="S73" s="22" t="s">
        <v>30</v>
      </c>
      <c r="T73" s="23">
        <v>114.92</v>
      </c>
      <c r="U73" s="24">
        <v>459.68</v>
      </c>
      <c r="V73" s="19" t="s">
        <v>179</v>
      </c>
      <c r="W73" s="19">
        <v>62465</v>
      </c>
    </row>
    <row r="74" spans="1:23" ht="15" customHeight="1">
      <c r="A74" s="12" t="s">
        <v>23</v>
      </c>
      <c r="B74" s="13" t="s">
        <v>24</v>
      </c>
      <c r="C74" s="14" t="s">
        <v>25</v>
      </c>
      <c r="D74" s="14" t="s">
        <v>26</v>
      </c>
      <c r="E74" s="14" t="s">
        <v>27</v>
      </c>
      <c r="F74" s="14" t="s">
        <v>27</v>
      </c>
      <c r="G74" s="14" t="s">
        <v>27</v>
      </c>
      <c r="H74" s="15" t="s">
        <v>27</v>
      </c>
      <c r="I74" s="16" t="s">
        <v>27</v>
      </c>
      <c r="J74" s="15" t="s">
        <v>27</v>
      </c>
      <c r="K74" s="17" t="s">
        <v>27</v>
      </c>
      <c r="L74" s="17" t="s">
        <v>27</v>
      </c>
      <c r="M74" s="17" t="s">
        <v>27</v>
      </c>
      <c r="N74" s="18" t="s">
        <v>28</v>
      </c>
      <c r="O74" s="19" t="s">
        <v>153</v>
      </c>
      <c r="P74" s="19" t="s">
        <v>172</v>
      </c>
      <c r="Q74" s="20" t="s">
        <v>180</v>
      </c>
      <c r="R74" s="21">
        <v>2</v>
      </c>
      <c r="S74" s="22" t="s">
        <v>30</v>
      </c>
      <c r="T74" s="23">
        <v>138.32</v>
      </c>
      <c r="U74" s="24">
        <v>276.64</v>
      </c>
      <c r="V74" s="19" t="s">
        <v>181</v>
      </c>
      <c r="W74" s="19">
        <v>62464</v>
      </c>
    </row>
    <row r="75" spans="1:23" ht="15" customHeight="1">
      <c r="A75" s="12" t="s">
        <v>23</v>
      </c>
      <c r="B75" s="13" t="s">
        <v>24</v>
      </c>
      <c r="C75" s="14" t="s">
        <v>25</v>
      </c>
      <c r="D75" s="14" t="s">
        <v>26</v>
      </c>
      <c r="E75" s="14" t="s">
        <v>27</v>
      </c>
      <c r="F75" s="14" t="s">
        <v>27</v>
      </c>
      <c r="G75" s="14" t="s">
        <v>27</v>
      </c>
      <c r="H75" s="15" t="s">
        <v>27</v>
      </c>
      <c r="I75" s="16" t="s">
        <v>27</v>
      </c>
      <c r="J75" s="15" t="s">
        <v>27</v>
      </c>
      <c r="K75" s="17" t="s">
        <v>27</v>
      </c>
      <c r="L75" s="17" t="s">
        <v>27</v>
      </c>
      <c r="M75" s="17" t="s">
        <v>27</v>
      </c>
      <c r="N75" s="18" t="s">
        <v>28</v>
      </c>
      <c r="O75" s="19" t="s">
        <v>153</v>
      </c>
      <c r="P75" s="19" t="s">
        <v>172</v>
      </c>
      <c r="Q75" s="20" t="s">
        <v>182</v>
      </c>
      <c r="R75" s="21">
        <v>1</v>
      </c>
      <c r="S75" s="22" t="s">
        <v>30</v>
      </c>
      <c r="T75" s="23">
        <v>30.04</v>
      </c>
      <c r="U75" s="24">
        <v>30.04</v>
      </c>
      <c r="V75" s="19" t="s">
        <v>27</v>
      </c>
      <c r="W75" s="19">
        <v>62463</v>
      </c>
    </row>
    <row r="76" spans="1:23" ht="15" customHeight="1">
      <c r="A76" s="12" t="s">
        <v>23</v>
      </c>
      <c r="B76" s="13" t="s">
        <v>24</v>
      </c>
      <c r="C76" s="14" t="s">
        <v>25</v>
      </c>
      <c r="D76" s="14" t="s">
        <v>26</v>
      </c>
      <c r="E76" s="14" t="s">
        <v>27</v>
      </c>
      <c r="F76" s="14" t="s">
        <v>27</v>
      </c>
      <c r="G76" s="14" t="s">
        <v>27</v>
      </c>
      <c r="H76" s="15" t="s">
        <v>27</v>
      </c>
      <c r="I76" s="16" t="s">
        <v>27</v>
      </c>
      <c r="J76" s="15" t="s">
        <v>27</v>
      </c>
      <c r="K76" s="17" t="s">
        <v>27</v>
      </c>
      <c r="L76" s="17" t="s">
        <v>27</v>
      </c>
      <c r="M76" s="17" t="s">
        <v>27</v>
      </c>
      <c r="N76" s="18" t="s">
        <v>28</v>
      </c>
      <c r="O76" s="19" t="s">
        <v>153</v>
      </c>
      <c r="P76" s="19" t="s">
        <v>172</v>
      </c>
      <c r="Q76" s="20" t="s">
        <v>183</v>
      </c>
      <c r="R76" s="21">
        <v>3</v>
      </c>
      <c r="S76" s="22" t="s">
        <v>30</v>
      </c>
      <c r="T76" s="23">
        <v>111.75</v>
      </c>
      <c r="U76" s="24">
        <v>335.25</v>
      </c>
      <c r="V76" s="19" t="s">
        <v>184</v>
      </c>
      <c r="W76" s="19">
        <v>62462</v>
      </c>
    </row>
    <row r="77" spans="1:23" ht="15" customHeight="1">
      <c r="A77" s="12" t="s">
        <v>23</v>
      </c>
      <c r="B77" s="13" t="s">
        <v>24</v>
      </c>
      <c r="C77" s="14" t="s">
        <v>25</v>
      </c>
      <c r="D77" s="14" t="s">
        <v>26</v>
      </c>
      <c r="E77" s="14" t="s">
        <v>27</v>
      </c>
      <c r="F77" s="14" t="s">
        <v>27</v>
      </c>
      <c r="G77" s="14" t="s">
        <v>27</v>
      </c>
      <c r="H77" s="15" t="s">
        <v>27</v>
      </c>
      <c r="I77" s="16" t="s">
        <v>27</v>
      </c>
      <c r="J77" s="15" t="s">
        <v>27</v>
      </c>
      <c r="K77" s="17" t="s">
        <v>27</v>
      </c>
      <c r="L77" s="17" t="s">
        <v>27</v>
      </c>
      <c r="M77" s="17" t="s">
        <v>27</v>
      </c>
      <c r="N77" s="18" t="s">
        <v>28</v>
      </c>
      <c r="O77" s="19" t="s">
        <v>153</v>
      </c>
      <c r="P77" s="19" t="s">
        <v>185</v>
      </c>
      <c r="Q77" s="20" t="s">
        <v>186</v>
      </c>
      <c r="R77" s="21">
        <v>24</v>
      </c>
      <c r="S77" s="22" t="s">
        <v>30</v>
      </c>
      <c r="T77" s="23">
        <v>29.37</v>
      </c>
      <c r="U77" s="24">
        <v>704.88</v>
      </c>
      <c r="V77" s="19" t="s">
        <v>27</v>
      </c>
      <c r="W77" s="19">
        <v>62644</v>
      </c>
    </row>
    <row r="78" spans="1:23" ht="15" customHeight="1">
      <c r="A78" s="12" t="s">
        <v>23</v>
      </c>
      <c r="B78" s="13" t="s">
        <v>24</v>
      </c>
      <c r="C78" s="14" t="s">
        <v>25</v>
      </c>
      <c r="D78" s="14" t="s">
        <v>26</v>
      </c>
      <c r="E78" s="14" t="s">
        <v>27</v>
      </c>
      <c r="F78" s="14" t="s">
        <v>27</v>
      </c>
      <c r="G78" s="14" t="s">
        <v>27</v>
      </c>
      <c r="H78" s="15" t="s">
        <v>27</v>
      </c>
      <c r="I78" s="16" t="s">
        <v>27</v>
      </c>
      <c r="J78" s="15" t="s">
        <v>27</v>
      </c>
      <c r="K78" s="17" t="s">
        <v>27</v>
      </c>
      <c r="L78" s="17" t="s">
        <v>27</v>
      </c>
      <c r="M78" s="17" t="s">
        <v>27</v>
      </c>
      <c r="N78" s="18" t="s">
        <v>28</v>
      </c>
      <c r="O78" s="19" t="s">
        <v>153</v>
      </c>
      <c r="P78" s="19" t="s">
        <v>185</v>
      </c>
      <c r="Q78" s="20" t="s">
        <v>187</v>
      </c>
      <c r="R78" s="21">
        <v>1</v>
      </c>
      <c r="S78" s="22" t="s">
        <v>30</v>
      </c>
      <c r="T78" s="23">
        <v>57.35</v>
      </c>
      <c r="U78" s="24">
        <v>57.35</v>
      </c>
      <c r="V78" s="19" t="s">
        <v>152</v>
      </c>
      <c r="W78" s="19">
        <v>62727</v>
      </c>
    </row>
    <row r="79" spans="1:23" ht="15" customHeight="1">
      <c r="A79" s="12" t="s">
        <v>23</v>
      </c>
      <c r="B79" s="13" t="s">
        <v>24</v>
      </c>
      <c r="C79" s="14" t="s">
        <v>25</v>
      </c>
      <c r="D79" s="14" t="s">
        <v>26</v>
      </c>
      <c r="E79" s="14" t="s">
        <v>27</v>
      </c>
      <c r="F79" s="14" t="s">
        <v>27</v>
      </c>
      <c r="G79" s="14" t="s">
        <v>27</v>
      </c>
      <c r="H79" s="15" t="s">
        <v>27</v>
      </c>
      <c r="I79" s="16" t="s">
        <v>27</v>
      </c>
      <c r="J79" s="15" t="s">
        <v>27</v>
      </c>
      <c r="K79" s="17" t="s">
        <v>27</v>
      </c>
      <c r="L79" s="17" t="s">
        <v>27</v>
      </c>
      <c r="M79" s="17" t="s">
        <v>27</v>
      </c>
      <c r="N79" s="18" t="s">
        <v>28</v>
      </c>
      <c r="O79" s="19" t="s">
        <v>153</v>
      </c>
      <c r="P79" s="19" t="s">
        <v>185</v>
      </c>
      <c r="Q79" s="20" t="s">
        <v>188</v>
      </c>
      <c r="R79" s="21">
        <v>6</v>
      </c>
      <c r="S79" s="22" t="s">
        <v>30</v>
      </c>
      <c r="T79" s="23">
        <v>28.39</v>
      </c>
      <c r="U79" s="24">
        <v>170.34</v>
      </c>
      <c r="V79" s="19" t="s">
        <v>181</v>
      </c>
      <c r="W79" s="19">
        <v>62643</v>
      </c>
    </row>
    <row r="80" spans="1:23" ht="15" customHeight="1">
      <c r="A80" s="12" t="s">
        <v>23</v>
      </c>
      <c r="B80" s="13" t="s">
        <v>24</v>
      </c>
      <c r="C80" s="14" t="s">
        <v>25</v>
      </c>
      <c r="D80" s="14" t="s">
        <v>26</v>
      </c>
      <c r="E80" s="14" t="s">
        <v>27</v>
      </c>
      <c r="F80" s="14" t="s">
        <v>27</v>
      </c>
      <c r="G80" s="14" t="s">
        <v>27</v>
      </c>
      <c r="H80" s="15" t="s">
        <v>27</v>
      </c>
      <c r="I80" s="16" t="s">
        <v>27</v>
      </c>
      <c r="J80" s="15" t="s">
        <v>27</v>
      </c>
      <c r="K80" s="17" t="s">
        <v>27</v>
      </c>
      <c r="L80" s="17" t="s">
        <v>27</v>
      </c>
      <c r="M80" s="17" t="s">
        <v>27</v>
      </c>
      <c r="N80" s="18" t="s">
        <v>28</v>
      </c>
      <c r="O80" s="19" t="s">
        <v>153</v>
      </c>
      <c r="P80" s="19" t="s">
        <v>185</v>
      </c>
      <c r="Q80" s="20" t="s">
        <v>189</v>
      </c>
      <c r="R80" s="21">
        <v>4</v>
      </c>
      <c r="S80" s="22" t="s">
        <v>30</v>
      </c>
      <c r="T80" s="23">
        <v>38.47</v>
      </c>
      <c r="U80" s="24">
        <v>153.88</v>
      </c>
      <c r="V80" s="19" t="s">
        <v>190</v>
      </c>
      <c r="W80" s="19">
        <v>62469</v>
      </c>
    </row>
    <row r="81" spans="1:23" ht="15" customHeight="1">
      <c r="A81" s="12" t="s">
        <v>23</v>
      </c>
      <c r="B81" s="13" t="s">
        <v>24</v>
      </c>
      <c r="C81" s="14" t="s">
        <v>25</v>
      </c>
      <c r="D81" s="14" t="s">
        <v>26</v>
      </c>
      <c r="E81" s="14" t="s">
        <v>27</v>
      </c>
      <c r="F81" s="14" t="s">
        <v>27</v>
      </c>
      <c r="G81" s="14" t="s">
        <v>27</v>
      </c>
      <c r="H81" s="15" t="s">
        <v>27</v>
      </c>
      <c r="I81" s="16" t="s">
        <v>27</v>
      </c>
      <c r="J81" s="15" t="s">
        <v>27</v>
      </c>
      <c r="K81" s="17" t="s">
        <v>27</v>
      </c>
      <c r="L81" s="17" t="s">
        <v>27</v>
      </c>
      <c r="M81" s="17" t="s">
        <v>27</v>
      </c>
      <c r="N81" s="18" t="s">
        <v>28</v>
      </c>
      <c r="O81" s="19" t="s">
        <v>153</v>
      </c>
      <c r="P81" s="19" t="s">
        <v>185</v>
      </c>
      <c r="Q81" s="20" t="s">
        <v>191</v>
      </c>
      <c r="R81" s="21">
        <v>2</v>
      </c>
      <c r="S81" s="22" t="s">
        <v>30</v>
      </c>
      <c r="T81" s="23">
        <v>66.58</v>
      </c>
      <c r="U81" s="24">
        <v>133.16</v>
      </c>
      <c r="V81" s="19" t="s">
        <v>192</v>
      </c>
      <c r="W81" s="19">
        <v>62470</v>
      </c>
    </row>
    <row r="82" spans="1:23" ht="15" customHeight="1">
      <c r="A82" s="12" t="s">
        <v>23</v>
      </c>
      <c r="B82" s="13" t="s">
        <v>24</v>
      </c>
      <c r="C82" s="14" t="s">
        <v>25</v>
      </c>
      <c r="D82" s="14" t="s">
        <v>26</v>
      </c>
      <c r="E82" s="14" t="s">
        <v>27</v>
      </c>
      <c r="F82" s="14" t="s">
        <v>27</v>
      </c>
      <c r="G82" s="14" t="s">
        <v>27</v>
      </c>
      <c r="H82" s="15" t="s">
        <v>27</v>
      </c>
      <c r="I82" s="16" t="s">
        <v>27</v>
      </c>
      <c r="J82" s="15" t="s">
        <v>27</v>
      </c>
      <c r="K82" s="17" t="s">
        <v>27</v>
      </c>
      <c r="L82" s="17" t="s">
        <v>27</v>
      </c>
      <c r="M82" s="17" t="s">
        <v>27</v>
      </c>
      <c r="N82" s="18" t="s">
        <v>28</v>
      </c>
      <c r="O82" s="19" t="s">
        <v>153</v>
      </c>
      <c r="P82" s="19" t="s">
        <v>185</v>
      </c>
      <c r="Q82" s="20" t="s">
        <v>193</v>
      </c>
      <c r="R82" s="21">
        <v>1</v>
      </c>
      <c r="S82" s="22" t="s">
        <v>30</v>
      </c>
      <c r="T82" s="23">
        <v>102.83</v>
      </c>
      <c r="U82" s="24">
        <v>102.83</v>
      </c>
      <c r="V82" s="19" t="s">
        <v>27</v>
      </c>
      <c r="W82" s="19">
        <v>62471</v>
      </c>
    </row>
    <row r="83" spans="1:23" ht="15" customHeight="1">
      <c r="A83" s="12" t="s">
        <v>23</v>
      </c>
      <c r="B83" s="13" t="s">
        <v>24</v>
      </c>
      <c r="C83" s="14" t="s">
        <v>25</v>
      </c>
      <c r="D83" s="14" t="s">
        <v>26</v>
      </c>
      <c r="E83" s="14" t="s">
        <v>27</v>
      </c>
      <c r="F83" s="14" t="s">
        <v>27</v>
      </c>
      <c r="G83" s="14" t="s">
        <v>27</v>
      </c>
      <c r="H83" s="15" t="s">
        <v>27</v>
      </c>
      <c r="I83" s="16" t="s">
        <v>27</v>
      </c>
      <c r="J83" s="15" t="s">
        <v>27</v>
      </c>
      <c r="K83" s="17" t="s">
        <v>27</v>
      </c>
      <c r="L83" s="17" t="s">
        <v>27</v>
      </c>
      <c r="M83" s="17" t="s">
        <v>27</v>
      </c>
      <c r="N83" s="18" t="s">
        <v>28</v>
      </c>
      <c r="O83" s="19" t="s">
        <v>153</v>
      </c>
      <c r="P83" s="19" t="s">
        <v>185</v>
      </c>
      <c r="Q83" s="20" t="s">
        <v>194</v>
      </c>
      <c r="R83" s="21">
        <v>3</v>
      </c>
      <c r="S83" s="22" t="s">
        <v>30</v>
      </c>
      <c r="T83" s="23">
        <v>49.27</v>
      </c>
      <c r="U83" s="24">
        <v>147.81</v>
      </c>
      <c r="V83" s="19" t="s">
        <v>27</v>
      </c>
      <c r="W83" s="19">
        <v>62472</v>
      </c>
    </row>
    <row r="84" spans="1:23" ht="15" customHeight="1">
      <c r="A84" s="12" t="s">
        <v>23</v>
      </c>
      <c r="B84" s="13" t="s">
        <v>24</v>
      </c>
      <c r="C84" s="14" t="s">
        <v>25</v>
      </c>
      <c r="D84" s="14" t="s">
        <v>26</v>
      </c>
      <c r="E84" s="14" t="s">
        <v>27</v>
      </c>
      <c r="F84" s="14" t="s">
        <v>27</v>
      </c>
      <c r="G84" s="14" t="s">
        <v>27</v>
      </c>
      <c r="H84" s="15" t="s">
        <v>27</v>
      </c>
      <c r="I84" s="16" t="s">
        <v>27</v>
      </c>
      <c r="J84" s="15" t="s">
        <v>27</v>
      </c>
      <c r="K84" s="17" t="s">
        <v>27</v>
      </c>
      <c r="L84" s="17" t="s">
        <v>27</v>
      </c>
      <c r="M84" s="17" t="s">
        <v>27</v>
      </c>
      <c r="N84" s="18" t="s">
        <v>28</v>
      </c>
      <c r="O84" s="19" t="s">
        <v>153</v>
      </c>
      <c r="P84" s="19" t="s">
        <v>195</v>
      </c>
      <c r="Q84" s="20" t="s">
        <v>196</v>
      </c>
      <c r="R84" s="21">
        <v>1</v>
      </c>
      <c r="S84" s="22" t="s">
        <v>30</v>
      </c>
      <c r="T84" s="23">
        <v>54.82</v>
      </c>
      <c r="U84" s="24">
        <v>54.82</v>
      </c>
      <c r="V84" s="19" t="s">
        <v>197</v>
      </c>
      <c r="W84" s="19">
        <v>62645</v>
      </c>
    </row>
    <row r="85" spans="1:23" ht="15" customHeight="1">
      <c r="A85" s="12" t="s">
        <v>23</v>
      </c>
      <c r="B85" s="13" t="s">
        <v>24</v>
      </c>
      <c r="C85" s="14" t="s">
        <v>25</v>
      </c>
      <c r="D85" s="14" t="s">
        <v>26</v>
      </c>
      <c r="E85" s="14" t="s">
        <v>27</v>
      </c>
      <c r="F85" s="14" t="s">
        <v>27</v>
      </c>
      <c r="G85" s="14" t="s">
        <v>27</v>
      </c>
      <c r="H85" s="15" t="s">
        <v>27</v>
      </c>
      <c r="I85" s="16" t="s">
        <v>27</v>
      </c>
      <c r="J85" s="15" t="s">
        <v>27</v>
      </c>
      <c r="K85" s="17" t="s">
        <v>27</v>
      </c>
      <c r="L85" s="17" t="s">
        <v>27</v>
      </c>
      <c r="M85" s="17" t="s">
        <v>27</v>
      </c>
      <c r="N85" s="18" t="s">
        <v>59</v>
      </c>
      <c r="O85" s="19" t="s">
        <v>153</v>
      </c>
      <c r="P85" s="19" t="s">
        <v>198</v>
      </c>
      <c r="Q85" s="20" t="s">
        <v>199</v>
      </c>
      <c r="R85" s="21">
        <v>1</v>
      </c>
      <c r="S85" s="22" t="s">
        <v>30</v>
      </c>
      <c r="T85" s="23">
        <v>50</v>
      </c>
      <c r="U85" s="24">
        <v>50</v>
      </c>
      <c r="V85" s="19" t="s">
        <v>200</v>
      </c>
      <c r="W85" s="19">
        <v>62798</v>
      </c>
    </row>
    <row r="86" spans="1:23" ht="15" customHeight="1">
      <c r="A86" s="12" t="s">
        <v>23</v>
      </c>
      <c r="B86" s="13" t="s">
        <v>24</v>
      </c>
      <c r="C86" s="14" t="s">
        <v>25</v>
      </c>
      <c r="D86" s="14" t="s">
        <v>26</v>
      </c>
      <c r="E86" s="14" t="s">
        <v>27</v>
      </c>
      <c r="F86" s="14" t="s">
        <v>27</v>
      </c>
      <c r="G86" s="14" t="s">
        <v>27</v>
      </c>
      <c r="H86" s="15" t="s">
        <v>27</v>
      </c>
      <c r="I86" s="16" t="s">
        <v>27</v>
      </c>
      <c r="J86" s="15" t="s">
        <v>27</v>
      </c>
      <c r="K86" s="17" t="s">
        <v>27</v>
      </c>
      <c r="L86" s="17" t="s">
        <v>27</v>
      </c>
      <c r="M86" s="17" t="s">
        <v>27</v>
      </c>
      <c r="N86" s="18" t="s">
        <v>28</v>
      </c>
      <c r="O86" s="19" t="s">
        <v>153</v>
      </c>
      <c r="P86" s="19" t="s">
        <v>198</v>
      </c>
      <c r="Q86" s="20" t="s">
        <v>201</v>
      </c>
      <c r="R86" s="21">
        <v>22</v>
      </c>
      <c r="S86" s="22" t="s">
        <v>30</v>
      </c>
      <c r="T86" s="23">
        <v>15.57</v>
      </c>
      <c r="U86" s="24">
        <v>342.54</v>
      </c>
      <c r="V86" s="19" t="s">
        <v>27</v>
      </c>
      <c r="W86" s="19">
        <v>62474</v>
      </c>
    </row>
    <row r="87" spans="1:23" ht="15" customHeight="1">
      <c r="A87" s="12" t="s">
        <v>23</v>
      </c>
      <c r="B87" s="13" t="s">
        <v>24</v>
      </c>
      <c r="C87" s="14" t="s">
        <v>25</v>
      </c>
      <c r="D87" s="14" t="s">
        <v>26</v>
      </c>
      <c r="E87" s="14" t="s">
        <v>27</v>
      </c>
      <c r="F87" s="14" t="s">
        <v>27</v>
      </c>
      <c r="G87" s="14" t="s">
        <v>27</v>
      </c>
      <c r="H87" s="15" t="s">
        <v>27</v>
      </c>
      <c r="I87" s="16" t="s">
        <v>27</v>
      </c>
      <c r="J87" s="15" t="s">
        <v>27</v>
      </c>
      <c r="K87" s="17" t="s">
        <v>27</v>
      </c>
      <c r="L87" s="17" t="s">
        <v>27</v>
      </c>
      <c r="M87" s="17" t="s">
        <v>27</v>
      </c>
      <c r="N87" s="18" t="s">
        <v>28</v>
      </c>
      <c r="O87" s="19" t="s">
        <v>153</v>
      </c>
      <c r="P87" s="19" t="s">
        <v>198</v>
      </c>
      <c r="Q87" s="20" t="s">
        <v>202</v>
      </c>
      <c r="R87" s="21">
        <v>1</v>
      </c>
      <c r="S87" s="22" t="s">
        <v>30</v>
      </c>
      <c r="T87" s="23">
        <v>51.37</v>
      </c>
      <c r="U87" s="24">
        <v>51.37</v>
      </c>
      <c r="V87" s="19" t="s">
        <v>203</v>
      </c>
      <c r="W87" s="19">
        <v>62475</v>
      </c>
    </row>
    <row r="88" spans="1:23" ht="15" customHeight="1">
      <c r="A88" s="12" t="s">
        <v>23</v>
      </c>
      <c r="B88" s="13" t="s">
        <v>24</v>
      </c>
      <c r="C88" s="14" t="s">
        <v>25</v>
      </c>
      <c r="D88" s="14" t="s">
        <v>26</v>
      </c>
      <c r="E88" s="14" t="s">
        <v>27</v>
      </c>
      <c r="F88" s="14" t="s">
        <v>27</v>
      </c>
      <c r="G88" s="14" t="s">
        <v>27</v>
      </c>
      <c r="H88" s="15" t="s">
        <v>27</v>
      </c>
      <c r="I88" s="16" t="s">
        <v>27</v>
      </c>
      <c r="J88" s="15" t="s">
        <v>27</v>
      </c>
      <c r="K88" s="17" t="s">
        <v>27</v>
      </c>
      <c r="L88" s="17" t="s">
        <v>27</v>
      </c>
      <c r="M88" s="17" t="s">
        <v>27</v>
      </c>
      <c r="N88" s="18" t="s">
        <v>59</v>
      </c>
      <c r="O88" s="19" t="s">
        <v>204</v>
      </c>
      <c r="P88" s="19" t="s">
        <v>205</v>
      </c>
      <c r="Q88" s="20" t="s">
        <v>206</v>
      </c>
      <c r="R88" s="21">
        <v>11</v>
      </c>
      <c r="S88" s="22" t="s">
        <v>30</v>
      </c>
      <c r="T88" s="23">
        <v>95</v>
      </c>
      <c r="U88" s="24">
        <v>1045</v>
      </c>
      <c r="V88" s="19" t="s">
        <v>27</v>
      </c>
      <c r="W88" s="19">
        <v>62476</v>
      </c>
    </row>
    <row r="89" spans="1:23" ht="15" customHeight="1">
      <c r="A89" s="12" t="s">
        <v>23</v>
      </c>
      <c r="B89" s="13" t="s">
        <v>24</v>
      </c>
      <c r="C89" s="14" t="s">
        <v>25</v>
      </c>
      <c r="D89" s="14" t="s">
        <v>26</v>
      </c>
      <c r="E89" s="14" t="s">
        <v>27</v>
      </c>
      <c r="F89" s="14" t="s">
        <v>27</v>
      </c>
      <c r="G89" s="14" t="s">
        <v>27</v>
      </c>
      <c r="H89" s="15" t="s">
        <v>27</v>
      </c>
      <c r="I89" s="16" t="s">
        <v>27</v>
      </c>
      <c r="J89" s="15" t="s">
        <v>27</v>
      </c>
      <c r="K89" s="17" t="s">
        <v>27</v>
      </c>
      <c r="L89" s="17" t="s">
        <v>27</v>
      </c>
      <c r="M89" s="17" t="s">
        <v>27</v>
      </c>
      <c r="N89" s="18" t="s">
        <v>28</v>
      </c>
      <c r="O89" s="19" t="s">
        <v>204</v>
      </c>
      <c r="P89" s="19" t="s">
        <v>207</v>
      </c>
      <c r="Q89" s="20" t="s">
        <v>208</v>
      </c>
      <c r="R89" s="21">
        <v>2</v>
      </c>
      <c r="S89" s="22" t="s">
        <v>30</v>
      </c>
      <c r="T89" s="23">
        <v>479.26</v>
      </c>
      <c r="U89" s="24">
        <v>958.52</v>
      </c>
      <c r="V89" s="19" t="s">
        <v>27</v>
      </c>
      <c r="W89" s="19">
        <v>62671</v>
      </c>
    </row>
    <row r="90" spans="1:23" ht="15" customHeight="1">
      <c r="A90" s="12" t="s">
        <v>23</v>
      </c>
      <c r="B90" s="13" t="s">
        <v>24</v>
      </c>
      <c r="C90" s="14" t="s">
        <v>25</v>
      </c>
      <c r="D90" s="14" t="s">
        <v>26</v>
      </c>
      <c r="E90" s="14" t="s">
        <v>27</v>
      </c>
      <c r="F90" s="14" t="s">
        <v>27</v>
      </c>
      <c r="G90" s="14" t="s">
        <v>27</v>
      </c>
      <c r="H90" s="15" t="s">
        <v>27</v>
      </c>
      <c r="I90" s="16" t="s">
        <v>27</v>
      </c>
      <c r="J90" s="15" t="s">
        <v>27</v>
      </c>
      <c r="K90" s="17" t="s">
        <v>27</v>
      </c>
      <c r="L90" s="17" t="s">
        <v>27</v>
      </c>
      <c r="M90" s="17" t="s">
        <v>27</v>
      </c>
      <c r="N90" s="18" t="s">
        <v>28</v>
      </c>
      <c r="O90" s="19" t="s">
        <v>204</v>
      </c>
      <c r="P90" s="19" t="s">
        <v>209</v>
      </c>
      <c r="Q90" s="20" t="s">
        <v>210</v>
      </c>
      <c r="R90" s="21">
        <v>2</v>
      </c>
      <c r="S90" s="22" t="s">
        <v>30</v>
      </c>
      <c r="T90" s="23">
        <v>562.61</v>
      </c>
      <c r="U90" s="24">
        <v>1125.22</v>
      </c>
      <c r="V90" s="19" t="s">
        <v>27</v>
      </c>
      <c r="W90" s="19">
        <v>62641</v>
      </c>
    </row>
    <row r="91" spans="1:23" ht="15" customHeight="1">
      <c r="A91" s="12" t="s">
        <v>23</v>
      </c>
      <c r="B91" s="13" t="s">
        <v>24</v>
      </c>
      <c r="C91" s="14" t="s">
        <v>25</v>
      </c>
      <c r="D91" s="14" t="s">
        <v>26</v>
      </c>
      <c r="E91" s="14" t="s">
        <v>27</v>
      </c>
      <c r="F91" s="14" t="s">
        <v>27</v>
      </c>
      <c r="G91" s="14" t="s">
        <v>27</v>
      </c>
      <c r="H91" s="15" t="s">
        <v>27</v>
      </c>
      <c r="I91" s="16" t="s">
        <v>27</v>
      </c>
      <c r="J91" s="15" t="s">
        <v>27</v>
      </c>
      <c r="K91" s="17" t="s">
        <v>27</v>
      </c>
      <c r="L91" s="17" t="s">
        <v>27</v>
      </c>
      <c r="M91" s="17" t="s">
        <v>27</v>
      </c>
      <c r="N91" s="18" t="s">
        <v>28</v>
      </c>
      <c r="O91" s="19" t="s">
        <v>204</v>
      </c>
      <c r="P91" s="19" t="s">
        <v>209</v>
      </c>
      <c r="Q91" s="20" t="s">
        <v>211</v>
      </c>
      <c r="R91" s="21">
        <v>3</v>
      </c>
      <c r="S91" s="22" t="s">
        <v>30</v>
      </c>
      <c r="T91" s="23">
        <v>54.33</v>
      </c>
      <c r="U91" s="24">
        <v>162.99</v>
      </c>
      <c r="V91" s="19" t="s">
        <v>212</v>
      </c>
      <c r="W91" s="19">
        <v>62479</v>
      </c>
    </row>
    <row r="92" spans="1:23" ht="15" customHeight="1">
      <c r="A92" s="12" t="s">
        <v>23</v>
      </c>
      <c r="B92" s="13" t="s">
        <v>24</v>
      </c>
      <c r="C92" s="14" t="s">
        <v>25</v>
      </c>
      <c r="D92" s="14" t="s">
        <v>26</v>
      </c>
      <c r="E92" s="14" t="s">
        <v>27</v>
      </c>
      <c r="F92" s="14" t="s">
        <v>27</v>
      </c>
      <c r="G92" s="14" t="s">
        <v>27</v>
      </c>
      <c r="H92" s="15" t="s">
        <v>27</v>
      </c>
      <c r="I92" s="16" t="s">
        <v>27</v>
      </c>
      <c r="J92" s="15" t="s">
        <v>27</v>
      </c>
      <c r="K92" s="17" t="s">
        <v>27</v>
      </c>
      <c r="L92" s="17" t="s">
        <v>27</v>
      </c>
      <c r="M92" s="17" t="s">
        <v>27</v>
      </c>
      <c r="N92" s="18" t="s">
        <v>28</v>
      </c>
      <c r="O92" s="19" t="s">
        <v>204</v>
      </c>
      <c r="P92" s="19" t="s">
        <v>213</v>
      </c>
      <c r="Q92" s="20" t="s">
        <v>214</v>
      </c>
      <c r="R92" s="21">
        <v>1</v>
      </c>
      <c r="S92" s="22" t="s">
        <v>30</v>
      </c>
      <c r="T92" s="23">
        <v>490.01</v>
      </c>
      <c r="U92" s="24">
        <v>490.01</v>
      </c>
      <c r="V92" s="19" t="s">
        <v>215</v>
      </c>
      <c r="W92" s="19">
        <v>62640</v>
      </c>
    </row>
    <row r="93" spans="1:23" ht="15" customHeight="1">
      <c r="A93" s="12" t="s">
        <v>23</v>
      </c>
      <c r="B93" s="13" t="s">
        <v>24</v>
      </c>
      <c r="C93" s="14" t="s">
        <v>25</v>
      </c>
      <c r="D93" s="14" t="s">
        <v>26</v>
      </c>
      <c r="E93" s="14" t="s">
        <v>27</v>
      </c>
      <c r="F93" s="14" t="s">
        <v>27</v>
      </c>
      <c r="G93" s="14" t="s">
        <v>27</v>
      </c>
      <c r="H93" s="15" t="s">
        <v>27</v>
      </c>
      <c r="I93" s="16" t="s">
        <v>27</v>
      </c>
      <c r="J93" s="15" t="s">
        <v>27</v>
      </c>
      <c r="K93" s="17" t="s">
        <v>27</v>
      </c>
      <c r="L93" s="17" t="s">
        <v>27</v>
      </c>
      <c r="M93" s="17" t="s">
        <v>27</v>
      </c>
      <c r="N93" s="18" t="s">
        <v>28</v>
      </c>
      <c r="O93" s="19" t="s">
        <v>204</v>
      </c>
      <c r="P93" s="19" t="s">
        <v>216</v>
      </c>
      <c r="Q93" s="20" t="s">
        <v>217</v>
      </c>
      <c r="R93" s="21">
        <v>1</v>
      </c>
      <c r="S93" s="22" t="s">
        <v>30</v>
      </c>
      <c r="T93" s="23">
        <v>1550.36</v>
      </c>
      <c r="U93" s="24">
        <v>1550.36</v>
      </c>
      <c r="V93" s="19" t="s">
        <v>218</v>
      </c>
      <c r="W93" s="19">
        <v>62646</v>
      </c>
    </row>
    <row r="94" spans="1:23" ht="15" customHeight="1">
      <c r="A94" s="12" t="s">
        <v>23</v>
      </c>
      <c r="B94" s="13" t="s">
        <v>24</v>
      </c>
      <c r="C94" s="14" t="s">
        <v>25</v>
      </c>
      <c r="D94" s="14" t="s">
        <v>26</v>
      </c>
      <c r="E94" s="14" t="s">
        <v>27</v>
      </c>
      <c r="F94" s="14" t="s">
        <v>27</v>
      </c>
      <c r="G94" s="14" t="s">
        <v>27</v>
      </c>
      <c r="H94" s="15" t="s">
        <v>27</v>
      </c>
      <c r="I94" s="16" t="s">
        <v>27</v>
      </c>
      <c r="J94" s="15" t="s">
        <v>27</v>
      </c>
      <c r="K94" s="17" t="s">
        <v>27</v>
      </c>
      <c r="L94" s="17" t="s">
        <v>27</v>
      </c>
      <c r="M94" s="17" t="s">
        <v>27</v>
      </c>
      <c r="N94" s="18" t="s">
        <v>28</v>
      </c>
      <c r="O94" s="19" t="s">
        <v>204</v>
      </c>
      <c r="P94" s="19" t="s">
        <v>219</v>
      </c>
      <c r="Q94" s="20" t="s">
        <v>220</v>
      </c>
      <c r="R94" s="21">
        <v>1</v>
      </c>
      <c r="S94" s="22" t="s">
        <v>30</v>
      </c>
      <c r="T94" s="23">
        <v>690.97</v>
      </c>
      <c r="U94" s="24">
        <v>690.97</v>
      </c>
      <c r="V94" s="19" t="s">
        <v>221</v>
      </c>
      <c r="W94" s="19">
        <v>62481</v>
      </c>
    </row>
    <row r="95" spans="1:23" ht="15" customHeight="1">
      <c r="A95" s="12" t="s">
        <v>23</v>
      </c>
      <c r="B95" s="13" t="s">
        <v>24</v>
      </c>
      <c r="C95" s="14" t="s">
        <v>25</v>
      </c>
      <c r="D95" s="14" t="s">
        <v>26</v>
      </c>
      <c r="E95" s="14" t="s">
        <v>27</v>
      </c>
      <c r="F95" s="14" t="s">
        <v>27</v>
      </c>
      <c r="G95" s="14" t="s">
        <v>27</v>
      </c>
      <c r="H95" s="15" t="s">
        <v>27</v>
      </c>
      <c r="I95" s="16" t="s">
        <v>27</v>
      </c>
      <c r="J95" s="15" t="s">
        <v>27</v>
      </c>
      <c r="K95" s="17" t="s">
        <v>27</v>
      </c>
      <c r="L95" s="17" t="s">
        <v>27</v>
      </c>
      <c r="M95" s="17" t="s">
        <v>27</v>
      </c>
      <c r="N95" s="18" t="s">
        <v>28</v>
      </c>
      <c r="O95" s="19" t="s">
        <v>204</v>
      </c>
      <c r="P95" s="19" t="s">
        <v>222</v>
      </c>
      <c r="Q95" s="20" t="s">
        <v>223</v>
      </c>
      <c r="R95" s="21">
        <v>1</v>
      </c>
      <c r="S95" s="22" t="s">
        <v>30</v>
      </c>
      <c r="T95" s="23">
        <v>976.28</v>
      </c>
      <c r="U95" s="24">
        <v>976.28</v>
      </c>
      <c r="V95" s="19" t="s">
        <v>224</v>
      </c>
      <c r="W95" s="19">
        <v>62482</v>
      </c>
    </row>
    <row r="96" spans="1:23" ht="15" customHeight="1">
      <c r="A96" s="12" t="s">
        <v>23</v>
      </c>
      <c r="B96" s="13" t="s">
        <v>24</v>
      </c>
      <c r="C96" s="14" t="s">
        <v>25</v>
      </c>
      <c r="D96" s="14" t="s">
        <v>26</v>
      </c>
      <c r="E96" s="14" t="s">
        <v>27</v>
      </c>
      <c r="F96" s="14" t="s">
        <v>27</v>
      </c>
      <c r="G96" s="14" t="s">
        <v>27</v>
      </c>
      <c r="H96" s="15" t="s">
        <v>27</v>
      </c>
      <c r="I96" s="16" t="s">
        <v>27</v>
      </c>
      <c r="J96" s="15" t="s">
        <v>27</v>
      </c>
      <c r="K96" s="17" t="s">
        <v>27</v>
      </c>
      <c r="L96" s="17" t="s">
        <v>27</v>
      </c>
      <c r="M96" s="17" t="s">
        <v>27</v>
      </c>
      <c r="N96" s="18" t="s">
        <v>28</v>
      </c>
      <c r="O96" s="19" t="s">
        <v>204</v>
      </c>
      <c r="P96" s="19" t="s">
        <v>222</v>
      </c>
      <c r="Q96" s="20" t="s">
        <v>225</v>
      </c>
      <c r="R96" s="21">
        <v>1</v>
      </c>
      <c r="S96" s="22" t="s">
        <v>30</v>
      </c>
      <c r="T96" s="23">
        <v>28.31</v>
      </c>
      <c r="U96" s="24">
        <v>28.31</v>
      </c>
      <c r="V96" s="19" t="s">
        <v>27</v>
      </c>
      <c r="W96" s="19">
        <v>62483</v>
      </c>
    </row>
    <row r="97" spans="1:23" ht="15" customHeight="1">
      <c r="A97" s="12" t="s">
        <v>23</v>
      </c>
      <c r="B97" s="13" t="s">
        <v>24</v>
      </c>
      <c r="C97" s="14" t="s">
        <v>25</v>
      </c>
      <c r="D97" s="14" t="s">
        <v>26</v>
      </c>
      <c r="E97" s="14" t="s">
        <v>27</v>
      </c>
      <c r="F97" s="14" t="s">
        <v>27</v>
      </c>
      <c r="G97" s="14" t="s">
        <v>27</v>
      </c>
      <c r="H97" s="15" t="s">
        <v>27</v>
      </c>
      <c r="I97" s="16" t="s">
        <v>27</v>
      </c>
      <c r="J97" s="15" t="s">
        <v>27</v>
      </c>
      <c r="K97" s="17" t="s">
        <v>27</v>
      </c>
      <c r="L97" s="17" t="s">
        <v>27</v>
      </c>
      <c r="M97" s="17" t="s">
        <v>27</v>
      </c>
      <c r="N97" s="18" t="s">
        <v>28</v>
      </c>
      <c r="O97" s="19" t="s">
        <v>204</v>
      </c>
      <c r="P97" s="19" t="s">
        <v>226</v>
      </c>
      <c r="Q97" s="20" t="s">
        <v>227</v>
      </c>
      <c r="R97" s="21">
        <v>2</v>
      </c>
      <c r="S97" s="22" t="s">
        <v>111</v>
      </c>
      <c r="T97" s="23">
        <v>79.849999999999994</v>
      </c>
      <c r="U97" s="24">
        <v>159.69999999999999</v>
      </c>
      <c r="V97" s="19" t="s">
        <v>27</v>
      </c>
      <c r="W97" s="19">
        <v>62485</v>
      </c>
    </row>
    <row r="98" spans="1:23" ht="15" customHeight="1">
      <c r="A98" s="12" t="s">
        <v>23</v>
      </c>
      <c r="B98" s="13" t="s">
        <v>24</v>
      </c>
      <c r="C98" s="14" t="s">
        <v>25</v>
      </c>
      <c r="D98" s="14" t="s">
        <v>26</v>
      </c>
      <c r="E98" s="14" t="s">
        <v>27</v>
      </c>
      <c r="F98" s="14" t="s">
        <v>27</v>
      </c>
      <c r="G98" s="14" t="s">
        <v>27</v>
      </c>
      <c r="H98" s="15" t="s">
        <v>27</v>
      </c>
      <c r="I98" s="16" t="s">
        <v>27</v>
      </c>
      <c r="J98" s="15" t="s">
        <v>27</v>
      </c>
      <c r="K98" s="17" t="s">
        <v>27</v>
      </c>
      <c r="L98" s="17" t="s">
        <v>27</v>
      </c>
      <c r="M98" s="17" t="s">
        <v>27</v>
      </c>
      <c r="N98" s="18" t="s">
        <v>28</v>
      </c>
      <c r="O98" s="19" t="s">
        <v>204</v>
      </c>
      <c r="P98" s="19" t="s">
        <v>226</v>
      </c>
      <c r="Q98" s="20" t="s">
        <v>228</v>
      </c>
      <c r="R98" s="21">
        <v>2</v>
      </c>
      <c r="S98" s="22" t="s">
        <v>30</v>
      </c>
      <c r="T98" s="23">
        <v>37.5</v>
      </c>
      <c r="U98" s="24">
        <v>75</v>
      </c>
      <c r="V98" s="19" t="s">
        <v>27</v>
      </c>
      <c r="W98" s="19">
        <v>62486</v>
      </c>
    </row>
    <row r="99" spans="1:23" ht="15" customHeight="1">
      <c r="A99" s="12" t="s">
        <v>23</v>
      </c>
      <c r="B99" s="13" t="s">
        <v>24</v>
      </c>
      <c r="C99" s="14" t="s">
        <v>25</v>
      </c>
      <c r="D99" s="14" t="s">
        <v>26</v>
      </c>
      <c r="E99" s="14" t="s">
        <v>27</v>
      </c>
      <c r="F99" s="14" t="s">
        <v>27</v>
      </c>
      <c r="G99" s="14" t="s">
        <v>27</v>
      </c>
      <c r="H99" s="15" t="s">
        <v>27</v>
      </c>
      <c r="I99" s="16" t="s">
        <v>27</v>
      </c>
      <c r="J99" s="15" t="s">
        <v>27</v>
      </c>
      <c r="K99" s="17" t="s">
        <v>27</v>
      </c>
      <c r="L99" s="17" t="s">
        <v>27</v>
      </c>
      <c r="M99" s="17" t="s">
        <v>27</v>
      </c>
      <c r="N99" s="18" t="s">
        <v>28</v>
      </c>
      <c r="O99" s="19" t="s">
        <v>204</v>
      </c>
      <c r="P99" s="19" t="s">
        <v>226</v>
      </c>
      <c r="Q99" s="20" t="s">
        <v>229</v>
      </c>
      <c r="R99" s="21">
        <v>2</v>
      </c>
      <c r="S99" s="22" t="s">
        <v>30</v>
      </c>
      <c r="T99" s="23">
        <v>3.63</v>
      </c>
      <c r="U99" s="24">
        <v>7.26</v>
      </c>
      <c r="V99" s="19" t="s">
        <v>27</v>
      </c>
      <c r="W99" s="19">
        <v>62487</v>
      </c>
    </row>
    <row r="100" spans="1:23" ht="15" customHeight="1">
      <c r="A100" s="12" t="s">
        <v>23</v>
      </c>
      <c r="B100" s="13" t="s">
        <v>24</v>
      </c>
      <c r="C100" s="14" t="s">
        <v>25</v>
      </c>
      <c r="D100" s="14" t="s">
        <v>26</v>
      </c>
      <c r="E100" s="14" t="s">
        <v>27</v>
      </c>
      <c r="F100" s="14" t="s">
        <v>27</v>
      </c>
      <c r="G100" s="14" t="s">
        <v>27</v>
      </c>
      <c r="H100" s="15" t="s">
        <v>27</v>
      </c>
      <c r="I100" s="16" t="s">
        <v>27</v>
      </c>
      <c r="J100" s="15" t="s">
        <v>27</v>
      </c>
      <c r="K100" s="17" t="s">
        <v>27</v>
      </c>
      <c r="L100" s="17" t="s">
        <v>27</v>
      </c>
      <c r="M100" s="17" t="s">
        <v>27</v>
      </c>
      <c r="N100" s="18" t="s">
        <v>59</v>
      </c>
      <c r="O100" s="19" t="s">
        <v>204</v>
      </c>
      <c r="P100" s="19" t="s">
        <v>33</v>
      </c>
      <c r="Q100" s="20" t="s">
        <v>230</v>
      </c>
      <c r="R100" s="21">
        <v>1</v>
      </c>
      <c r="S100" s="22" t="s">
        <v>30</v>
      </c>
      <c r="T100" s="23">
        <v>100</v>
      </c>
      <c r="U100" s="24">
        <v>100</v>
      </c>
      <c r="V100" s="19" t="s">
        <v>231</v>
      </c>
      <c r="W100" s="19">
        <v>62799</v>
      </c>
    </row>
    <row r="101" spans="1:23" ht="15" customHeight="1">
      <c r="A101" s="12" t="s">
        <v>23</v>
      </c>
      <c r="B101" s="13" t="s">
        <v>24</v>
      </c>
      <c r="C101" s="14" t="s">
        <v>25</v>
      </c>
      <c r="D101" s="14" t="s">
        <v>26</v>
      </c>
      <c r="E101" s="14" t="s">
        <v>27</v>
      </c>
      <c r="F101" s="14" t="s">
        <v>27</v>
      </c>
      <c r="G101" s="14" t="s">
        <v>27</v>
      </c>
      <c r="H101" s="15" t="s">
        <v>27</v>
      </c>
      <c r="I101" s="16" t="s">
        <v>27</v>
      </c>
      <c r="J101" s="15" t="s">
        <v>27</v>
      </c>
      <c r="K101" s="17" t="s">
        <v>27</v>
      </c>
      <c r="L101" s="17" t="s">
        <v>27</v>
      </c>
      <c r="M101" s="17" t="s">
        <v>27</v>
      </c>
      <c r="N101" s="18" t="s">
        <v>28</v>
      </c>
      <c r="O101" s="19" t="s">
        <v>204</v>
      </c>
      <c r="P101" s="19" t="s">
        <v>33</v>
      </c>
      <c r="Q101" s="20" t="s">
        <v>232</v>
      </c>
      <c r="R101" s="21">
        <v>1</v>
      </c>
      <c r="S101" s="22" t="s">
        <v>30</v>
      </c>
      <c r="T101" s="23">
        <v>97.24</v>
      </c>
      <c r="U101" s="24">
        <v>97.24</v>
      </c>
      <c r="V101" s="19" t="s">
        <v>27</v>
      </c>
      <c r="W101" s="19">
        <v>62488</v>
      </c>
    </row>
    <row r="102" spans="1:23" ht="15" customHeight="1">
      <c r="A102" s="12" t="s">
        <v>23</v>
      </c>
      <c r="B102" s="13" t="s">
        <v>24</v>
      </c>
      <c r="C102" s="14" t="s">
        <v>25</v>
      </c>
      <c r="D102" s="14" t="s">
        <v>26</v>
      </c>
      <c r="E102" s="14" t="s">
        <v>27</v>
      </c>
      <c r="F102" s="14" t="s">
        <v>27</v>
      </c>
      <c r="G102" s="14" t="s">
        <v>27</v>
      </c>
      <c r="H102" s="15" t="s">
        <v>27</v>
      </c>
      <c r="I102" s="16" t="s">
        <v>27</v>
      </c>
      <c r="J102" s="15" t="s">
        <v>27</v>
      </c>
      <c r="K102" s="17" t="s">
        <v>27</v>
      </c>
      <c r="L102" s="17" t="s">
        <v>27</v>
      </c>
      <c r="M102" s="17" t="s">
        <v>27</v>
      </c>
      <c r="N102" s="18" t="s">
        <v>28</v>
      </c>
      <c r="O102" s="19" t="s">
        <v>204</v>
      </c>
      <c r="P102" s="19" t="s">
        <v>33</v>
      </c>
      <c r="Q102" s="20" t="s">
        <v>233</v>
      </c>
      <c r="R102" s="21">
        <v>1</v>
      </c>
      <c r="S102" s="22" t="s">
        <v>30</v>
      </c>
      <c r="T102" s="23">
        <v>145.47999999999999</v>
      </c>
      <c r="U102" s="24">
        <v>145.47999999999999</v>
      </c>
      <c r="V102" s="19" t="s">
        <v>27</v>
      </c>
      <c r="W102" s="19">
        <v>62489</v>
      </c>
    </row>
    <row r="103" spans="1:23" ht="15" customHeight="1">
      <c r="A103" s="12" t="s">
        <v>23</v>
      </c>
      <c r="B103" s="13" t="s">
        <v>24</v>
      </c>
      <c r="C103" s="14" t="s">
        <v>25</v>
      </c>
      <c r="D103" s="14" t="s">
        <v>26</v>
      </c>
      <c r="E103" s="14" t="s">
        <v>27</v>
      </c>
      <c r="F103" s="14" t="s">
        <v>27</v>
      </c>
      <c r="G103" s="14" t="s">
        <v>27</v>
      </c>
      <c r="H103" s="15" t="s">
        <v>27</v>
      </c>
      <c r="I103" s="16" t="s">
        <v>27</v>
      </c>
      <c r="J103" s="15" t="s">
        <v>27</v>
      </c>
      <c r="K103" s="17" t="s">
        <v>27</v>
      </c>
      <c r="L103" s="17" t="s">
        <v>27</v>
      </c>
      <c r="M103" s="17" t="s">
        <v>27</v>
      </c>
      <c r="N103" s="18" t="s">
        <v>28</v>
      </c>
      <c r="O103" s="19" t="s">
        <v>234</v>
      </c>
      <c r="P103" s="19" t="s">
        <v>235</v>
      </c>
      <c r="Q103" s="20" t="s">
        <v>236</v>
      </c>
      <c r="R103" s="21">
        <v>2</v>
      </c>
      <c r="S103" s="22" t="s">
        <v>30</v>
      </c>
      <c r="T103" s="23">
        <v>7013.42</v>
      </c>
      <c r="U103" s="24">
        <v>14026.84</v>
      </c>
      <c r="V103" s="19" t="s">
        <v>237</v>
      </c>
      <c r="W103" s="19">
        <v>62729</v>
      </c>
    </row>
    <row r="104" spans="1:23" ht="15" customHeight="1">
      <c r="A104" s="12" t="s">
        <v>23</v>
      </c>
      <c r="B104" s="13" t="s">
        <v>24</v>
      </c>
      <c r="C104" s="14" t="s">
        <v>25</v>
      </c>
      <c r="D104" s="14" t="s">
        <v>26</v>
      </c>
      <c r="E104" s="14" t="s">
        <v>27</v>
      </c>
      <c r="F104" s="14" t="s">
        <v>27</v>
      </c>
      <c r="G104" s="14" t="s">
        <v>27</v>
      </c>
      <c r="H104" s="15" t="s">
        <v>27</v>
      </c>
      <c r="I104" s="16" t="s">
        <v>27</v>
      </c>
      <c r="J104" s="15" t="s">
        <v>27</v>
      </c>
      <c r="K104" s="17" t="s">
        <v>27</v>
      </c>
      <c r="L104" s="17" t="s">
        <v>27</v>
      </c>
      <c r="M104" s="17" t="s">
        <v>27</v>
      </c>
      <c r="N104" s="18" t="s">
        <v>28</v>
      </c>
      <c r="O104" s="19" t="s">
        <v>234</v>
      </c>
      <c r="P104" s="19" t="s">
        <v>238</v>
      </c>
      <c r="Q104" s="20" t="s">
        <v>239</v>
      </c>
      <c r="R104" s="21">
        <v>2</v>
      </c>
      <c r="S104" s="22" t="s">
        <v>30</v>
      </c>
      <c r="T104" s="23">
        <v>1318</v>
      </c>
      <c r="U104" s="24">
        <v>2636</v>
      </c>
      <c r="V104" s="19" t="s">
        <v>27</v>
      </c>
      <c r="W104" s="19">
        <v>62800</v>
      </c>
    </row>
    <row r="105" spans="1:23" ht="15" customHeight="1">
      <c r="A105" s="12" t="s">
        <v>23</v>
      </c>
      <c r="B105" s="13" t="s">
        <v>24</v>
      </c>
      <c r="C105" s="14" t="s">
        <v>25</v>
      </c>
      <c r="D105" s="14" t="s">
        <v>26</v>
      </c>
      <c r="E105" s="14" t="s">
        <v>27</v>
      </c>
      <c r="F105" s="14" t="s">
        <v>27</v>
      </c>
      <c r="G105" s="14" t="s">
        <v>27</v>
      </c>
      <c r="H105" s="15" t="s">
        <v>27</v>
      </c>
      <c r="I105" s="16" t="s">
        <v>27</v>
      </c>
      <c r="J105" s="15" t="s">
        <v>27</v>
      </c>
      <c r="K105" s="17" t="s">
        <v>27</v>
      </c>
      <c r="L105" s="17" t="s">
        <v>27</v>
      </c>
      <c r="M105" s="17" t="s">
        <v>27</v>
      </c>
      <c r="N105" s="18" t="s">
        <v>59</v>
      </c>
      <c r="O105" s="19" t="s">
        <v>234</v>
      </c>
      <c r="P105" s="19" t="s">
        <v>240</v>
      </c>
      <c r="Q105" s="20" t="s">
        <v>241</v>
      </c>
      <c r="R105" s="21">
        <v>200</v>
      </c>
      <c r="S105" s="22" t="s">
        <v>66</v>
      </c>
      <c r="T105" s="23">
        <v>25</v>
      </c>
      <c r="U105" s="24">
        <v>5000</v>
      </c>
      <c r="V105" s="19" t="s">
        <v>242</v>
      </c>
      <c r="W105" s="19">
        <v>62499</v>
      </c>
    </row>
    <row r="106" spans="1:23" ht="15" customHeight="1">
      <c r="A106" s="12" t="s">
        <v>23</v>
      </c>
      <c r="B106" s="13" t="s">
        <v>24</v>
      </c>
      <c r="C106" s="14" t="s">
        <v>25</v>
      </c>
      <c r="D106" s="14" t="s">
        <v>26</v>
      </c>
      <c r="E106" s="14" t="s">
        <v>27</v>
      </c>
      <c r="F106" s="14" t="s">
        <v>27</v>
      </c>
      <c r="G106" s="14" t="s">
        <v>27</v>
      </c>
      <c r="H106" s="15" t="s">
        <v>27</v>
      </c>
      <c r="I106" s="16" t="s">
        <v>27</v>
      </c>
      <c r="J106" s="15" t="s">
        <v>27</v>
      </c>
      <c r="K106" s="17" t="s">
        <v>27</v>
      </c>
      <c r="L106" s="17" t="s">
        <v>27</v>
      </c>
      <c r="M106" s="17" t="s">
        <v>27</v>
      </c>
      <c r="N106" s="18" t="s">
        <v>59</v>
      </c>
      <c r="O106" s="19" t="s">
        <v>234</v>
      </c>
      <c r="P106" s="19" t="s">
        <v>240</v>
      </c>
      <c r="Q106" s="20" t="s">
        <v>243</v>
      </c>
      <c r="R106" s="21">
        <v>240</v>
      </c>
      <c r="S106" s="22" t="s">
        <v>66</v>
      </c>
      <c r="T106" s="23">
        <v>25</v>
      </c>
      <c r="U106" s="24">
        <v>6000</v>
      </c>
      <c r="V106" s="19" t="s">
        <v>242</v>
      </c>
      <c r="W106" s="19">
        <v>62498</v>
      </c>
    </row>
    <row r="107" spans="1:23" ht="15" customHeight="1">
      <c r="A107" s="12" t="s">
        <v>23</v>
      </c>
      <c r="B107" s="13" t="s">
        <v>24</v>
      </c>
      <c r="C107" s="14" t="s">
        <v>25</v>
      </c>
      <c r="D107" s="14" t="s">
        <v>26</v>
      </c>
      <c r="E107" s="14" t="s">
        <v>27</v>
      </c>
      <c r="F107" s="14" t="s">
        <v>27</v>
      </c>
      <c r="G107" s="14" t="s">
        <v>27</v>
      </c>
      <c r="H107" s="15" t="s">
        <v>27</v>
      </c>
      <c r="I107" s="16" t="s">
        <v>27</v>
      </c>
      <c r="J107" s="15" t="s">
        <v>27</v>
      </c>
      <c r="K107" s="17" t="s">
        <v>27</v>
      </c>
      <c r="L107" s="17" t="s">
        <v>27</v>
      </c>
      <c r="M107" s="17" t="s">
        <v>27</v>
      </c>
      <c r="N107" s="18" t="s">
        <v>59</v>
      </c>
      <c r="O107" s="19" t="s">
        <v>234</v>
      </c>
      <c r="P107" s="19" t="s">
        <v>244</v>
      </c>
      <c r="Q107" s="20" t="s">
        <v>245</v>
      </c>
      <c r="R107" s="21">
        <v>2</v>
      </c>
      <c r="S107" s="22" t="s">
        <v>30</v>
      </c>
      <c r="T107" s="23">
        <v>185</v>
      </c>
      <c r="U107" s="24">
        <v>370</v>
      </c>
      <c r="V107" s="19" t="s">
        <v>246</v>
      </c>
      <c r="W107" s="19">
        <v>62494</v>
      </c>
    </row>
    <row r="108" spans="1:23" ht="15" customHeight="1">
      <c r="A108" s="12" t="s">
        <v>23</v>
      </c>
      <c r="B108" s="13" t="s">
        <v>24</v>
      </c>
      <c r="C108" s="14" t="s">
        <v>25</v>
      </c>
      <c r="D108" s="14" t="s">
        <v>26</v>
      </c>
      <c r="E108" s="14" t="s">
        <v>27</v>
      </c>
      <c r="F108" s="14" t="s">
        <v>27</v>
      </c>
      <c r="G108" s="14" t="s">
        <v>27</v>
      </c>
      <c r="H108" s="15" t="s">
        <v>27</v>
      </c>
      <c r="I108" s="16" t="s">
        <v>27</v>
      </c>
      <c r="J108" s="15" t="s">
        <v>27</v>
      </c>
      <c r="K108" s="17" t="s">
        <v>27</v>
      </c>
      <c r="L108" s="17" t="s">
        <v>27</v>
      </c>
      <c r="M108" s="17" t="s">
        <v>27</v>
      </c>
      <c r="N108" s="18" t="s">
        <v>28</v>
      </c>
      <c r="O108" s="19" t="s">
        <v>234</v>
      </c>
      <c r="P108" s="19" t="s">
        <v>244</v>
      </c>
      <c r="Q108" s="20" t="s">
        <v>247</v>
      </c>
      <c r="R108" s="21">
        <v>1</v>
      </c>
      <c r="S108" s="22" t="s">
        <v>30</v>
      </c>
      <c r="T108" s="23">
        <v>337.46</v>
      </c>
      <c r="U108" s="24">
        <v>337.46</v>
      </c>
      <c r="V108" s="19" t="s">
        <v>144</v>
      </c>
      <c r="W108" s="19">
        <v>62673</v>
      </c>
    </row>
    <row r="109" spans="1:23" ht="15" customHeight="1">
      <c r="A109" s="12" t="s">
        <v>23</v>
      </c>
      <c r="B109" s="13" t="s">
        <v>24</v>
      </c>
      <c r="C109" s="14" t="s">
        <v>25</v>
      </c>
      <c r="D109" s="14" t="s">
        <v>26</v>
      </c>
      <c r="E109" s="14" t="s">
        <v>27</v>
      </c>
      <c r="F109" s="14" t="s">
        <v>27</v>
      </c>
      <c r="G109" s="14" t="s">
        <v>27</v>
      </c>
      <c r="H109" s="15" t="s">
        <v>27</v>
      </c>
      <c r="I109" s="16" t="s">
        <v>27</v>
      </c>
      <c r="J109" s="15" t="s">
        <v>27</v>
      </c>
      <c r="K109" s="17" t="s">
        <v>27</v>
      </c>
      <c r="L109" s="17" t="s">
        <v>27</v>
      </c>
      <c r="M109" s="17" t="s">
        <v>27</v>
      </c>
      <c r="N109" s="18" t="s">
        <v>28</v>
      </c>
      <c r="O109" s="19" t="s">
        <v>234</v>
      </c>
      <c r="P109" s="19" t="s">
        <v>33</v>
      </c>
      <c r="Q109" s="20" t="s">
        <v>248</v>
      </c>
      <c r="R109" s="21">
        <v>2</v>
      </c>
      <c r="S109" s="22" t="s">
        <v>30</v>
      </c>
      <c r="T109" s="23">
        <v>1070.7</v>
      </c>
      <c r="U109" s="24">
        <v>2141.4</v>
      </c>
      <c r="V109" s="19" t="s">
        <v>27</v>
      </c>
      <c r="W109" s="19">
        <v>62496</v>
      </c>
    </row>
    <row r="110" spans="1:23" ht="15" customHeight="1">
      <c r="A110" s="12" t="s">
        <v>23</v>
      </c>
      <c r="B110" s="13" t="s">
        <v>24</v>
      </c>
      <c r="C110" s="14" t="s">
        <v>25</v>
      </c>
      <c r="D110" s="14" t="s">
        <v>26</v>
      </c>
      <c r="E110" s="14" t="s">
        <v>27</v>
      </c>
      <c r="F110" s="14" t="s">
        <v>27</v>
      </c>
      <c r="G110" s="14" t="s">
        <v>27</v>
      </c>
      <c r="H110" s="15" t="s">
        <v>27</v>
      </c>
      <c r="I110" s="16" t="s">
        <v>27</v>
      </c>
      <c r="J110" s="15" t="s">
        <v>27</v>
      </c>
      <c r="K110" s="17" t="s">
        <v>27</v>
      </c>
      <c r="L110" s="17" t="s">
        <v>27</v>
      </c>
      <c r="M110" s="17" t="s">
        <v>27</v>
      </c>
      <c r="N110" s="18" t="s">
        <v>28</v>
      </c>
      <c r="O110" s="19" t="s">
        <v>234</v>
      </c>
      <c r="P110" s="19" t="s">
        <v>33</v>
      </c>
      <c r="Q110" s="20" t="s">
        <v>249</v>
      </c>
      <c r="R110" s="21">
        <v>24</v>
      </c>
      <c r="S110" s="22" t="s">
        <v>66</v>
      </c>
      <c r="T110" s="23">
        <v>17.82</v>
      </c>
      <c r="U110" s="24">
        <v>427.68</v>
      </c>
      <c r="V110" s="19" t="s">
        <v>27</v>
      </c>
      <c r="W110" s="19">
        <v>62497</v>
      </c>
    </row>
    <row r="111" spans="1:23" ht="15" customHeight="1">
      <c r="A111" s="12" t="s">
        <v>23</v>
      </c>
      <c r="B111" s="13" t="s">
        <v>24</v>
      </c>
      <c r="C111" s="14" t="s">
        <v>25</v>
      </c>
      <c r="D111" s="14" t="s">
        <v>26</v>
      </c>
      <c r="E111" s="14" t="s">
        <v>27</v>
      </c>
      <c r="F111" s="14" t="s">
        <v>27</v>
      </c>
      <c r="G111" s="14" t="s">
        <v>27</v>
      </c>
      <c r="H111" s="15" t="s">
        <v>27</v>
      </c>
      <c r="I111" s="16" t="s">
        <v>27</v>
      </c>
      <c r="J111" s="15" t="s">
        <v>27</v>
      </c>
      <c r="K111" s="17" t="s">
        <v>27</v>
      </c>
      <c r="L111" s="17" t="s">
        <v>27</v>
      </c>
      <c r="M111" s="17" t="s">
        <v>27</v>
      </c>
      <c r="N111" s="18" t="s">
        <v>28</v>
      </c>
      <c r="O111" s="19" t="s">
        <v>250</v>
      </c>
      <c r="P111" s="19" t="s">
        <v>251</v>
      </c>
      <c r="Q111" s="20" t="s">
        <v>252</v>
      </c>
      <c r="R111" s="21">
        <v>7</v>
      </c>
      <c r="S111" s="22" t="s">
        <v>66</v>
      </c>
      <c r="T111" s="23">
        <v>190</v>
      </c>
      <c r="U111" s="24">
        <v>1330</v>
      </c>
      <c r="V111" s="19" t="s">
        <v>253</v>
      </c>
      <c r="W111" s="19">
        <v>62500</v>
      </c>
    </row>
    <row r="112" spans="1:23" ht="15" customHeight="1">
      <c r="A112" s="12" t="s">
        <v>23</v>
      </c>
      <c r="B112" s="13" t="s">
        <v>24</v>
      </c>
      <c r="C112" s="14" t="s">
        <v>25</v>
      </c>
      <c r="D112" s="14" t="s">
        <v>26</v>
      </c>
      <c r="E112" s="14" t="s">
        <v>27</v>
      </c>
      <c r="F112" s="14" t="s">
        <v>27</v>
      </c>
      <c r="G112" s="14" t="s">
        <v>27</v>
      </c>
      <c r="H112" s="15" t="s">
        <v>27</v>
      </c>
      <c r="I112" s="16" t="s">
        <v>27</v>
      </c>
      <c r="J112" s="15" t="s">
        <v>27</v>
      </c>
      <c r="K112" s="17" t="s">
        <v>27</v>
      </c>
      <c r="L112" s="17" t="s">
        <v>27</v>
      </c>
      <c r="M112" s="17" t="s">
        <v>27</v>
      </c>
      <c r="N112" s="18" t="s">
        <v>28</v>
      </c>
      <c r="O112" s="19" t="s">
        <v>250</v>
      </c>
      <c r="P112" s="19" t="s">
        <v>251</v>
      </c>
      <c r="Q112" s="20" t="s">
        <v>254</v>
      </c>
      <c r="R112" s="21">
        <v>7</v>
      </c>
      <c r="S112" s="22" t="s">
        <v>66</v>
      </c>
      <c r="T112" s="23">
        <v>110</v>
      </c>
      <c r="U112" s="24">
        <v>770</v>
      </c>
      <c r="V112" s="19" t="s">
        <v>255</v>
      </c>
      <c r="W112" s="19">
        <v>62501</v>
      </c>
    </row>
    <row r="113" spans="1:23" ht="15" customHeight="1">
      <c r="A113" s="12" t="s">
        <v>23</v>
      </c>
      <c r="B113" s="13" t="s">
        <v>24</v>
      </c>
      <c r="C113" s="14" t="s">
        <v>25</v>
      </c>
      <c r="D113" s="14" t="s">
        <v>26</v>
      </c>
      <c r="E113" s="14" t="s">
        <v>27</v>
      </c>
      <c r="F113" s="14" t="s">
        <v>27</v>
      </c>
      <c r="G113" s="14" t="s">
        <v>27</v>
      </c>
      <c r="H113" s="15" t="s">
        <v>27</v>
      </c>
      <c r="I113" s="16" t="s">
        <v>27</v>
      </c>
      <c r="J113" s="15" t="s">
        <v>27</v>
      </c>
      <c r="K113" s="17" t="s">
        <v>27</v>
      </c>
      <c r="L113" s="17" t="s">
        <v>27</v>
      </c>
      <c r="M113" s="17" t="s">
        <v>27</v>
      </c>
      <c r="N113" s="18" t="s">
        <v>28</v>
      </c>
      <c r="O113" s="19" t="s">
        <v>250</v>
      </c>
      <c r="P113" s="19" t="s">
        <v>251</v>
      </c>
      <c r="Q113" s="20" t="s">
        <v>256</v>
      </c>
      <c r="R113" s="21">
        <v>7</v>
      </c>
      <c r="S113" s="22" t="s">
        <v>66</v>
      </c>
      <c r="T113" s="23">
        <v>14.16</v>
      </c>
      <c r="U113" s="24">
        <v>99.12</v>
      </c>
      <c r="V113" s="19" t="s">
        <v>257</v>
      </c>
      <c r="W113" s="19">
        <v>62502</v>
      </c>
    </row>
    <row r="114" spans="1:23" ht="15" customHeight="1">
      <c r="A114" s="12" t="s">
        <v>23</v>
      </c>
      <c r="B114" s="13" t="s">
        <v>24</v>
      </c>
      <c r="C114" s="14" t="s">
        <v>25</v>
      </c>
      <c r="D114" s="14" t="s">
        <v>26</v>
      </c>
      <c r="E114" s="14" t="s">
        <v>27</v>
      </c>
      <c r="F114" s="14" t="s">
        <v>27</v>
      </c>
      <c r="G114" s="14" t="s">
        <v>27</v>
      </c>
      <c r="H114" s="15" t="s">
        <v>27</v>
      </c>
      <c r="I114" s="16" t="s">
        <v>27</v>
      </c>
      <c r="J114" s="15" t="s">
        <v>27</v>
      </c>
      <c r="K114" s="17" t="s">
        <v>27</v>
      </c>
      <c r="L114" s="17" t="s">
        <v>27</v>
      </c>
      <c r="M114" s="17" t="s">
        <v>27</v>
      </c>
      <c r="N114" s="18" t="s">
        <v>28</v>
      </c>
      <c r="O114" s="19" t="s">
        <v>33</v>
      </c>
      <c r="P114" s="19" t="s">
        <v>33</v>
      </c>
      <c r="Q114" s="20" t="s">
        <v>258</v>
      </c>
      <c r="R114" s="21">
        <v>1E-3</v>
      </c>
      <c r="S114" s="22" t="s">
        <v>66</v>
      </c>
      <c r="T114" s="23">
        <v>6.11</v>
      </c>
      <c r="U114" s="24">
        <v>6.1000000000000004E-3</v>
      </c>
      <c r="V114" s="19" t="s">
        <v>259</v>
      </c>
      <c r="W114" s="19">
        <v>62490</v>
      </c>
    </row>
    <row r="115" spans="1:23" ht="15" customHeight="1">
      <c r="A115" s="12" t="s">
        <v>23</v>
      </c>
      <c r="B115" s="13" t="s">
        <v>24</v>
      </c>
      <c r="C115" s="14" t="s">
        <v>25</v>
      </c>
      <c r="D115" s="14" t="s">
        <v>26</v>
      </c>
      <c r="E115" s="14" t="s">
        <v>27</v>
      </c>
      <c r="F115" s="14" t="s">
        <v>27</v>
      </c>
      <c r="G115" s="14" t="s">
        <v>27</v>
      </c>
      <c r="H115" s="15" t="s">
        <v>27</v>
      </c>
      <c r="I115" s="16" t="s">
        <v>27</v>
      </c>
      <c r="J115" s="15" t="s">
        <v>27</v>
      </c>
      <c r="K115" s="17" t="s">
        <v>27</v>
      </c>
      <c r="L115" s="17" t="s">
        <v>27</v>
      </c>
      <c r="M115" s="17" t="s">
        <v>27</v>
      </c>
      <c r="N115" s="18" t="s">
        <v>28</v>
      </c>
      <c r="O115" s="19" t="s">
        <v>33</v>
      </c>
      <c r="P115" s="19" t="s">
        <v>33</v>
      </c>
      <c r="Q115" s="20" t="s">
        <v>260</v>
      </c>
      <c r="R115" s="21">
        <v>24</v>
      </c>
      <c r="S115" s="22" t="s">
        <v>30</v>
      </c>
      <c r="T115" s="23">
        <v>59.5</v>
      </c>
      <c r="U115" s="24">
        <v>1428</v>
      </c>
      <c r="V115" s="19" t="s">
        <v>27</v>
      </c>
      <c r="W115" s="19">
        <v>62491</v>
      </c>
    </row>
    <row r="116" spans="1:23" ht="15" customHeight="1">
      <c r="A116" s="12" t="s">
        <v>23</v>
      </c>
      <c r="B116" s="13" t="s">
        <v>24</v>
      </c>
      <c r="C116" s="14" t="s">
        <v>25</v>
      </c>
      <c r="D116" s="14" t="s">
        <v>26</v>
      </c>
      <c r="E116" s="14" t="s">
        <v>27</v>
      </c>
      <c r="F116" s="14" t="s">
        <v>27</v>
      </c>
      <c r="G116" s="14" t="s">
        <v>27</v>
      </c>
      <c r="H116" s="15" t="s">
        <v>27</v>
      </c>
      <c r="I116" s="16" t="s">
        <v>27</v>
      </c>
      <c r="J116" s="15" t="s">
        <v>27</v>
      </c>
      <c r="K116" s="17" t="s">
        <v>27</v>
      </c>
      <c r="L116" s="17" t="s">
        <v>27</v>
      </c>
      <c r="M116" s="17" t="s">
        <v>27</v>
      </c>
      <c r="N116" s="18" t="s">
        <v>28</v>
      </c>
      <c r="O116" s="19" t="s">
        <v>261</v>
      </c>
      <c r="P116" s="19" t="s">
        <v>262</v>
      </c>
      <c r="Q116" s="20" t="s">
        <v>263</v>
      </c>
      <c r="R116" s="21">
        <v>1</v>
      </c>
      <c r="S116" s="22" t="s">
        <v>30</v>
      </c>
      <c r="T116" s="23">
        <v>0</v>
      </c>
      <c r="U116" s="24">
        <v>0</v>
      </c>
      <c r="V116" s="19" t="s">
        <v>27</v>
      </c>
      <c r="W116" s="19">
        <v>62637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DE3D-D1E5-4497-A196-B4B47BD0DCC0}">
  <dimension ref="A1:K1032"/>
  <sheetViews>
    <sheetView topLeftCell="A61" workbookViewId="0">
      <selection activeCell="C77" sqref="C77:E77"/>
    </sheetView>
  </sheetViews>
  <sheetFormatPr defaultRowHeight="15"/>
  <cols>
    <col min="1" max="1" width="29.85546875" bestFit="1" customWidth="1"/>
    <col min="5" max="5" width="61.85546875" bestFit="1" customWidth="1"/>
  </cols>
  <sheetData>
    <row r="1" spans="1:11">
      <c r="A1" t="s">
        <v>264</v>
      </c>
      <c r="B1" t="str">
        <f>+'Paste Here'!N1</f>
        <v>Item</v>
      </c>
      <c r="C1" t="str">
        <f>+'Paste Here'!O1</f>
        <v>Category</v>
      </c>
      <c r="D1" t="str">
        <f>+'Paste Here'!P1</f>
        <v>SubCategory</v>
      </c>
      <c r="E1" t="str">
        <f>+'Paste Here'!Q1</f>
        <v>QuoteDetailDesc</v>
      </c>
      <c r="F1" t="str">
        <f>+'Paste Here'!R1</f>
        <v>Quantity</v>
      </c>
      <c r="G1" t="str">
        <f>+'Paste Here'!S1</f>
        <v>UM</v>
      </c>
      <c r="H1" t="str">
        <f>+'Paste Here'!T1</f>
        <v>ItemPrice</v>
      </c>
      <c r="I1" t="str">
        <f>+'Paste Here'!U1</f>
        <v>TotalPrice</v>
      </c>
      <c r="J1" t="str">
        <f>+'Paste Here'!V1</f>
        <v>Notes</v>
      </c>
      <c r="K1" t="str">
        <f>+'Paste Here'!W1</f>
        <v>QuoteDetailsKey</v>
      </c>
    </row>
    <row r="2" spans="1:11">
      <c r="A2" t="str">
        <f>+CONCATENATE(C2,D2)</f>
        <v>FRAMEOUTRIGGER</v>
      </c>
      <c r="B2" t="str">
        <f>+'Paste Here'!N2</f>
        <v>BOM</v>
      </c>
      <c r="C2" t="str">
        <f>+'Paste Here'!O2</f>
        <v>FRAME</v>
      </c>
      <c r="D2" t="str">
        <f>+'Paste Here'!P2</f>
        <v>OUTRIGGER</v>
      </c>
      <c r="E2" t="str">
        <f>+'Paste Here'!Q2</f>
        <v>Chassis Basement 12' X 60' - 12" X 11.8# I-Beam OR/CM/MC 8'/8'/8'</v>
      </c>
      <c r="F2">
        <f>+'Paste Here'!R2</f>
        <v>4</v>
      </c>
      <c r="G2" t="str">
        <f>+'Paste Here'!S2</f>
        <v>EA</v>
      </c>
      <c r="H2">
        <f>+'Paste Here'!T2</f>
        <v>2632.92</v>
      </c>
      <c r="I2">
        <f>+'Paste Here'!U2</f>
        <v>10531.68</v>
      </c>
      <c r="J2" t="str">
        <f>+'Paste Here'!V2</f>
        <v/>
      </c>
      <c r="K2">
        <f>+'Paste Here'!W2</f>
        <v>62405</v>
      </c>
    </row>
    <row r="3" spans="1:11">
      <c r="A3" t="str">
        <f t="shared" ref="A3:A66" si="0">+CONCATENATE(C3,D3)</f>
        <v>FRAMEAXLES</v>
      </c>
      <c r="B3" t="str">
        <f>+'Paste Here'!N3</f>
        <v>BOM</v>
      </c>
      <c r="C3" t="str">
        <f>+'Paste Here'!O3</f>
        <v>FRAME</v>
      </c>
      <c r="D3" t="str">
        <f>+'Paste Here'!P3</f>
        <v>AXLES</v>
      </c>
      <c r="E3" t="str">
        <f>+'Paste Here'!Q3</f>
        <v>Five Axle (5 Brake Axles)</v>
      </c>
      <c r="F3">
        <f>+'Paste Here'!R3</f>
        <v>4</v>
      </c>
      <c r="G3" t="str">
        <f>+'Paste Here'!S3</f>
        <v>EA</v>
      </c>
      <c r="H3">
        <f>+'Paste Here'!T3</f>
        <v>2033.65</v>
      </c>
      <c r="I3">
        <f>+'Paste Here'!U3</f>
        <v>8134.6</v>
      </c>
      <c r="J3" t="str">
        <f>+'Paste Here'!V3</f>
        <v/>
      </c>
      <c r="K3">
        <f>+'Paste Here'!W3</f>
        <v>62504</v>
      </c>
    </row>
    <row r="4" spans="1:11">
      <c r="A4" t="str">
        <f t="shared" si="0"/>
        <v>FRAMEMISC</v>
      </c>
      <c r="B4" t="str">
        <f>+'Paste Here'!N4</f>
        <v>BOM</v>
      </c>
      <c r="C4" t="str">
        <f>+'Paste Here'!O4</f>
        <v>FRAME</v>
      </c>
      <c r="D4" t="str">
        <f>+'Paste Here'!P4</f>
        <v>MISC</v>
      </c>
      <c r="E4" t="str">
        <f>+'Paste Here'!Q4</f>
        <v>Outrigger For 12' Wide (Add-On)</v>
      </c>
      <c r="F4">
        <f>+'Paste Here'!R4</f>
        <v>8</v>
      </c>
      <c r="G4" t="str">
        <f>+'Paste Here'!S4</f>
        <v>PAIR</v>
      </c>
      <c r="H4">
        <f>+'Paste Here'!T4</f>
        <v>25.46</v>
      </c>
      <c r="I4">
        <f>+'Paste Here'!U4</f>
        <v>203.68</v>
      </c>
      <c r="J4" t="str">
        <f>+'Paste Here'!V4</f>
        <v>Outriggers 4' O/C at exterior side walls</v>
      </c>
      <c r="K4">
        <f>+'Paste Here'!W4</f>
        <v>62407</v>
      </c>
    </row>
    <row r="5" spans="1:11">
      <c r="A5" t="str">
        <f t="shared" si="0"/>
        <v>FLOORJOIST</v>
      </c>
      <c r="B5" t="str">
        <f>+'Paste Here'!N5</f>
        <v>BOM</v>
      </c>
      <c r="C5" t="str">
        <f>+'Paste Here'!O5</f>
        <v>FLOOR</v>
      </c>
      <c r="D5" t="str">
        <f>+'Paste Here'!P5</f>
        <v>JOIST</v>
      </c>
      <c r="E5" t="str">
        <f>+'Paste Here'!Q5</f>
        <v>2 X 8 @ 12" O/C</v>
      </c>
      <c r="F5">
        <f>+'Paste Here'!R5</f>
        <v>2380</v>
      </c>
      <c r="G5" t="str">
        <f>+'Paste Here'!S5</f>
        <v>SF</v>
      </c>
      <c r="H5">
        <f>+'Paste Here'!T5</f>
        <v>1.28</v>
      </c>
      <c r="I5">
        <f>+'Paste Here'!U5</f>
        <v>3046.4</v>
      </c>
      <c r="J5" t="str">
        <f>+'Paste Here'!V5</f>
        <v>150 psf Gym Room, 125 PSF Storage, / 100 psf Break area &amp; Corridor</v>
      </c>
      <c r="K5">
        <f>+'Paste Here'!W5</f>
        <v>62514</v>
      </c>
    </row>
    <row r="6" spans="1:11">
      <c r="A6" t="str">
        <f t="shared" si="0"/>
        <v>FLOORJOIST</v>
      </c>
      <c r="B6" t="str">
        <f>+'Paste Here'!N6</f>
        <v>BOM</v>
      </c>
      <c r="C6" t="str">
        <f>+'Paste Here'!O6</f>
        <v>FLOOR</v>
      </c>
      <c r="D6" t="str">
        <f>+'Paste Here'!P6</f>
        <v>JOIST</v>
      </c>
      <c r="E6" t="str">
        <f>+'Paste Here'!Q6</f>
        <v>2 X 8 @ 16" O/C</v>
      </c>
      <c r="F6">
        <f>+'Paste Here'!R6</f>
        <v>500</v>
      </c>
      <c r="G6" t="str">
        <f>+'Paste Here'!S6</f>
        <v>SF</v>
      </c>
      <c r="H6">
        <f>+'Paste Here'!T6</f>
        <v>1.1000000000000001</v>
      </c>
      <c r="I6">
        <f>+'Paste Here'!U6</f>
        <v>550</v>
      </c>
      <c r="J6" t="str">
        <f>+'Paste Here'!V6</f>
        <v>50 psf Offices</v>
      </c>
      <c r="K6">
        <f>+'Paste Here'!W6</f>
        <v>62408</v>
      </c>
    </row>
    <row r="7" spans="1:11">
      <c r="A7" t="str">
        <f t="shared" si="0"/>
        <v>FLOORDECKING</v>
      </c>
      <c r="B7" t="str">
        <f>+'Paste Here'!N7</f>
        <v>BOM</v>
      </c>
      <c r="C7" t="str">
        <f>+'Paste Here'!O7</f>
        <v>FLOOR</v>
      </c>
      <c r="D7" t="str">
        <f>+'Paste Here'!P7</f>
        <v>DECKING</v>
      </c>
      <c r="E7" t="str">
        <f>+'Paste Here'!Q7</f>
        <v>1-1/8" T&amp;G OSB</v>
      </c>
      <c r="F7">
        <f>+'Paste Here'!R7</f>
        <v>2880</v>
      </c>
      <c r="G7" t="str">
        <f>+'Paste Here'!S7</f>
        <v>SF</v>
      </c>
      <c r="H7">
        <f>+'Paste Here'!T7</f>
        <v>1.1499999999999999</v>
      </c>
      <c r="I7">
        <f>+'Paste Here'!U7</f>
        <v>3312</v>
      </c>
      <c r="J7" t="str">
        <f>+'Paste Here'!V7</f>
        <v/>
      </c>
      <c r="K7">
        <f>+'Paste Here'!W7</f>
        <v>62515</v>
      </c>
    </row>
    <row r="8" spans="1:11">
      <c r="A8" t="str">
        <f t="shared" si="0"/>
        <v>FLOORINSULATION</v>
      </c>
      <c r="B8" t="str">
        <f>+'Paste Here'!N8</f>
        <v>BOM</v>
      </c>
      <c r="C8" t="str">
        <f>+'Paste Here'!O8</f>
        <v>FLOOR</v>
      </c>
      <c r="D8" t="str">
        <f>+'Paste Here'!P8</f>
        <v>INSULATION</v>
      </c>
      <c r="E8" t="str">
        <f>+'Paste Here'!Q8</f>
        <v>R-30 Unfaced (2 layers R-15)</v>
      </c>
      <c r="F8">
        <f>+'Paste Here'!R8</f>
        <v>2880</v>
      </c>
      <c r="G8" t="str">
        <f>+'Paste Here'!S8</f>
        <v>SF</v>
      </c>
      <c r="H8">
        <f>+'Paste Here'!T8</f>
        <v>1.39</v>
      </c>
      <c r="I8">
        <f>+'Paste Here'!U8</f>
        <v>4003.2</v>
      </c>
      <c r="J8" t="str">
        <f>+'Paste Here'!V8</f>
        <v/>
      </c>
      <c r="K8">
        <f>+'Paste Here'!W8</f>
        <v>62410</v>
      </c>
    </row>
    <row r="9" spans="1:11">
      <c r="A9" t="str">
        <f t="shared" si="0"/>
        <v>FLOORCOVERING</v>
      </c>
      <c r="B9" t="str">
        <f>+'Paste Here'!N9</f>
        <v>BOM</v>
      </c>
      <c r="C9" t="str">
        <f>+'Paste Here'!O9</f>
        <v>FLOOR</v>
      </c>
      <c r="D9" t="str">
        <f>+'Paste Here'!P9</f>
        <v>COVERING</v>
      </c>
      <c r="E9" t="str">
        <f>+'Paste Here'!Q9</f>
        <v>Floor Tile VCT - 1/8" X 12" X 12"</v>
      </c>
      <c r="F9">
        <f>+'Paste Here'!R9</f>
        <v>2760</v>
      </c>
      <c r="G9" t="str">
        <f>+'Paste Here'!S9</f>
        <v>SF</v>
      </c>
      <c r="H9">
        <f>+'Paste Here'!T9</f>
        <v>1.57</v>
      </c>
      <c r="I9">
        <f>+'Paste Here'!U9</f>
        <v>4333.2</v>
      </c>
      <c r="J9" t="str">
        <f>+'Paste Here'!V9</f>
        <v>VCT flooring throughout except in restrooms</v>
      </c>
      <c r="K9">
        <f>+'Paste Here'!W9</f>
        <v>62413</v>
      </c>
    </row>
    <row r="10" spans="1:11">
      <c r="A10" t="str">
        <f t="shared" si="0"/>
        <v>FLOORCOVERING</v>
      </c>
      <c r="B10" t="str">
        <f>+'Paste Here'!N10</f>
        <v>BOM</v>
      </c>
      <c r="C10" t="str">
        <f>+'Paste Here'!O10</f>
        <v>FLOOR</v>
      </c>
      <c r="D10" t="str">
        <f>+'Paste Here'!P10</f>
        <v>COVERING</v>
      </c>
      <c r="E10" t="str">
        <f>+'Paste Here'!Q10</f>
        <v>Sheet Vinyl - Mohawk</v>
      </c>
      <c r="F10">
        <f>+'Paste Here'!R10</f>
        <v>224</v>
      </c>
      <c r="G10" t="str">
        <f>+'Paste Here'!S10</f>
        <v>SF</v>
      </c>
      <c r="H10">
        <f>+'Paste Here'!T10</f>
        <v>2.52</v>
      </c>
      <c r="I10">
        <f>+'Paste Here'!U10</f>
        <v>564.48</v>
      </c>
      <c r="J10" t="str">
        <f>+'Paste Here'!V10</f>
        <v>restroom floor only</v>
      </c>
      <c r="K10">
        <f>+'Paste Here'!W10</f>
        <v>62411</v>
      </c>
    </row>
    <row r="11" spans="1:11">
      <c r="A11" t="str">
        <f t="shared" si="0"/>
        <v>FLOORCOVERING</v>
      </c>
      <c r="B11" t="str">
        <f>+'Paste Here'!N11</f>
        <v>BOM</v>
      </c>
      <c r="C11" t="str">
        <f>+'Paste Here'!O11</f>
        <v>FLOOR</v>
      </c>
      <c r="D11" t="str">
        <f>+'Paste Here'!P11</f>
        <v>COVERING</v>
      </c>
      <c r="E11" t="str">
        <f>+'Paste Here'!Q11</f>
        <v>Underlayment - 1/4" X 4' X 8' Plywood</v>
      </c>
      <c r="F11">
        <f>+'Paste Here'!R11</f>
        <v>128</v>
      </c>
      <c r="G11" t="str">
        <f>+'Paste Here'!S11</f>
        <v>SF</v>
      </c>
      <c r="H11">
        <f>+'Paste Here'!T11</f>
        <v>0.62</v>
      </c>
      <c r="I11">
        <f>+'Paste Here'!U11</f>
        <v>79.36</v>
      </c>
      <c r="J11" t="str">
        <f>+'Paste Here'!V11</f>
        <v>For sheet vinyl floor in restrooms only</v>
      </c>
      <c r="K11">
        <f>+'Paste Here'!W11</f>
        <v>62412</v>
      </c>
    </row>
    <row r="12" spans="1:11">
      <c r="A12" t="str">
        <f t="shared" si="0"/>
        <v>FLOORMISC</v>
      </c>
      <c r="B12" t="str">
        <f>+'Paste Here'!N12</f>
        <v>BOM</v>
      </c>
      <c r="C12" t="str">
        <f>+'Paste Here'!O12</f>
        <v>FLOOR</v>
      </c>
      <c r="D12" t="str">
        <f>+'Paste Here'!P12</f>
        <v>MISC</v>
      </c>
      <c r="E12" t="str">
        <f>+'Paste Here'!Q12</f>
        <v>Bottom Board Mobile-Flex</v>
      </c>
      <c r="F12">
        <f>+'Paste Here'!R12</f>
        <v>2910</v>
      </c>
      <c r="G12" t="str">
        <f>+'Paste Here'!S12</f>
        <v>SF</v>
      </c>
      <c r="H12">
        <f>+'Paste Here'!T12</f>
        <v>7.0000000000000007E-2</v>
      </c>
      <c r="I12">
        <f>+'Paste Here'!U12</f>
        <v>203.7</v>
      </c>
      <c r="J12" t="str">
        <f>+'Paste Here'!V12</f>
        <v/>
      </c>
      <c r="K12">
        <f>+'Paste Here'!W12</f>
        <v>62414</v>
      </c>
    </row>
    <row r="13" spans="1:11">
      <c r="A13" t="str">
        <f t="shared" si="0"/>
        <v>EXTERIOR WALLSTUDS</v>
      </c>
      <c r="B13" t="str">
        <f>+'Paste Here'!N13</f>
        <v>BOM</v>
      </c>
      <c r="C13" t="str">
        <f>+'Paste Here'!O13</f>
        <v>EXTERIOR WALL</v>
      </c>
      <c r="D13" t="str">
        <f>+'Paste Here'!P13</f>
        <v>STUDS</v>
      </c>
      <c r="E13" t="str">
        <f>+'Paste Here'!Q13</f>
        <v>2 X 6 Ext. Wall Framing</v>
      </c>
      <c r="F13">
        <f>+'Paste Here'!R13</f>
        <v>2592</v>
      </c>
      <c r="G13" t="str">
        <f>+'Paste Here'!S13</f>
        <v>SF</v>
      </c>
      <c r="H13">
        <f>+'Paste Here'!T13</f>
        <v>1.1000000000000001</v>
      </c>
      <c r="I13">
        <f>+'Paste Here'!U13</f>
        <v>2851.2</v>
      </c>
      <c r="J13" t="str">
        <f>+'Paste Here'!V13</f>
        <v/>
      </c>
      <c r="K13">
        <f>+'Paste Here'!W13</f>
        <v>62415</v>
      </c>
    </row>
    <row r="14" spans="1:11">
      <c r="A14" t="str">
        <f t="shared" si="0"/>
        <v>EXTERIOR WALLSHEATHING</v>
      </c>
      <c r="B14" t="str">
        <f>+'Paste Here'!N14</f>
        <v>Add On</v>
      </c>
      <c r="C14" t="str">
        <f>+'Paste Here'!O14</f>
        <v>EXTERIOR WALL</v>
      </c>
      <c r="D14" t="str">
        <f>+'Paste Here'!P14</f>
        <v>SHEATHING</v>
      </c>
      <c r="E14" t="str">
        <f>+'Paste Here'!Q14</f>
        <v>Visqueen Vapor Barrier 6 Mil</v>
      </c>
      <c r="F14">
        <f>+'Paste Here'!R14</f>
        <v>640</v>
      </c>
      <c r="G14" t="str">
        <f>+'Paste Here'!S14</f>
        <v>SF</v>
      </c>
      <c r="H14">
        <f>+'Paste Here'!T14</f>
        <v>0.1</v>
      </c>
      <c r="I14">
        <f>+'Paste Here'!U14</f>
        <v>64</v>
      </c>
      <c r="J14" t="str">
        <f>+'Paste Here'!V14</f>
        <v>Humidor Vapor Barrier - Install on wall studs, under MR Gyp</v>
      </c>
      <c r="K14">
        <f>+'Paste Here'!W14</f>
        <v>62657</v>
      </c>
    </row>
    <row r="15" spans="1:11">
      <c r="A15" t="str">
        <f t="shared" si="0"/>
        <v>EXTERIOR WALLSIDING</v>
      </c>
      <c r="B15" t="str">
        <f>+'Paste Here'!N15</f>
        <v>BOM</v>
      </c>
      <c r="C15" t="str">
        <f>+'Paste Here'!O15</f>
        <v>EXTERIOR WALL</v>
      </c>
      <c r="D15" t="str">
        <f>+'Paste Here'!P15</f>
        <v>SIDING</v>
      </c>
      <c r="E15" t="str">
        <f>+'Paste Here'!Q15</f>
        <v>Smart Panel - 3/8" - 8" O/C Grooves - W/House Wrap</v>
      </c>
      <c r="F15">
        <f>+'Paste Here'!R15</f>
        <v>2592</v>
      </c>
      <c r="G15" t="str">
        <f>+'Paste Here'!S15</f>
        <v>SF</v>
      </c>
      <c r="H15">
        <f>+'Paste Here'!T15</f>
        <v>2.2200000000000002</v>
      </c>
      <c r="I15">
        <f>+'Paste Here'!U15</f>
        <v>5754.24</v>
      </c>
      <c r="J15" t="str">
        <f>+'Paste Here'!V15</f>
        <v/>
      </c>
      <c r="K15">
        <f>+'Paste Here'!W15</f>
        <v>62418</v>
      </c>
    </row>
    <row r="16" spans="1:11">
      <c r="A16" t="str">
        <f t="shared" si="0"/>
        <v>EXTERIOR WALLCOVERING</v>
      </c>
      <c r="B16" t="str">
        <f>+'Paste Here'!N16</f>
        <v>Add On</v>
      </c>
      <c r="C16" t="str">
        <f>+'Paste Here'!O16</f>
        <v>EXTERIOR WALL</v>
      </c>
      <c r="D16" t="str">
        <f>+'Paste Here'!P16</f>
        <v>COVERING</v>
      </c>
      <c r="E16" t="str">
        <f>+'Paste Here'!Q16</f>
        <v>1x4 SE WRC Red Cedar</v>
      </c>
      <c r="F16">
        <f>+'Paste Here'!R16</f>
        <v>224</v>
      </c>
      <c r="G16" t="str">
        <f>+'Paste Here'!S16</f>
        <v>LF</v>
      </c>
      <c r="H16">
        <f>+'Paste Here'!T16</f>
        <v>1.44</v>
      </c>
      <c r="I16">
        <f>+'Paste Here'!U16</f>
        <v>322.56</v>
      </c>
      <c r="J16" t="str">
        <f>+'Paste Here'!V16</f>
        <v>Base, Ceiling, and Corner Trim inside Humidor Room</v>
      </c>
      <c r="K16">
        <f>+'Paste Here'!W16</f>
        <v>62662</v>
      </c>
    </row>
    <row r="17" spans="1:11">
      <c r="A17" t="str">
        <f t="shared" si="0"/>
        <v>EXTERIOR WALLCOVERING</v>
      </c>
      <c r="B17" t="str">
        <f>+'Paste Here'!N17</f>
        <v>Add On</v>
      </c>
      <c r="C17" t="str">
        <f>+'Paste Here'!O17</f>
        <v>EXTERIOR WALL</v>
      </c>
      <c r="D17" t="str">
        <f>+'Paste Here'!P17</f>
        <v>COVERING</v>
      </c>
      <c r="E17" t="str">
        <f>+'Paste Here'!Q17</f>
        <v>1x6 T&amp;G Red Cedar Siding (Raw)</v>
      </c>
      <c r="F17">
        <f>+'Paste Here'!R17</f>
        <v>512</v>
      </c>
      <c r="G17" t="str">
        <f>+'Paste Here'!S17</f>
        <v>SF</v>
      </c>
      <c r="H17">
        <f>+'Paste Here'!T17</f>
        <v>9.77</v>
      </c>
      <c r="I17">
        <f>+'Paste Here'!U17</f>
        <v>5002.24</v>
      </c>
      <c r="J17" t="str">
        <f>+'Paste Here'!V17</f>
        <v>Humidor Room Wall Finish</v>
      </c>
      <c r="K17">
        <f>+'Paste Here'!W17</f>
        <v>62661</v>
      </c>
    </row>
    <row r="18" spans="1:11">
      <c r="A18" t="str">
        <f t="shared" si="0"/>
        <v>EXTERIOR WALLCOVERING</v>
      </c>
      <c r="B18" t="str">
        <f>+'Paste Here'!N18</f>
        <v>Add On</v>
      </c>
      <c r="C18" t="str">
        <f>+'Paste Here'!O18</f>
        <v>EXTERIOR WALL</v>
      </c>
      <c r="D18" t="str">
        <f>+'Paste Here'!P18</f>
        <v>COVERING</v>
      </c>
      <c r="E18" t="str">
        <f>+'Paste Here'!Q18</f>
        <v>5/8" MR Gypsum 4 x 12 (Exterior Wall)</v>
      </c>
      <c r="F18">
        <f>+'Paste Here'!R18</f>
        <v>32</v>
      </c>
      <c r="G18" t="str">
        <f>+'Paste Here'!S18</f>
        <v>LF</v>
      </c>
      <c r="H18">
        <f>+'Paste Here'!T18</f>
        <v>8.35</v>
      </c>
      <c r="I18">
        <f>+'Paste Here'!U18</f>
        <v>267.2</v>
      </c>
      <c r="J18" t="str">
        <f>+'Paste Here'!V18</f>
        <v>Walls in Humidor room.</v>
      </c>
      <c r="K18">
        <f>+'Paste Here'!W18</f>
        <v>62658</v>
      </c>
    </row>
    <row r="19" spans="1:11">
      <c r="A19" t="str">
        <f t="shared" si="0"/>
        <v>EXTERIOR WALLCOVERING</v>
      </c>
      <c r="B19" t="str">
        <f>+'Paste Here'!N19</f>
        <v>BOM</v>
      </c>
      <c r="C19" t="str">
        <f>+'Paste Here'!O19</f>
        <v>EXTERIOR WALL</v>
      </c>
      <c r="D19" t="str">
        <f>+'Paste Here'!P19</f>
        <v>COVERING</v>
      </c>
      <c r="E19" t="str">
        <f>+'Paste Here'!Q19</f>
        <v>5/8" Vinyl Covered Gypsum 9' To 10' Tall (Exterior Wall)</v>
      </c>
      <c r="F19">
        <f>+'Paste Here'!R19</f>
        <v>184</v>
      </c>
      <c r="G19" t="str">
        <f>+'Paste Here'!S19</f>
        <v>LF</v>
      </c>
      <c r="H19">
        <f>+'Paste Here'!T19</f>
        <v>12.58</v>
      </c>
      <c r="I19">
        <f>+'Paste Here'!U19</f>
        <v>2314.7199999999998</v>
      </c>
      <c r="J19" t="str">
        <f>+'Paste Here'!V19</f>
        <v>9' VCG panels on exterior walls; VCG finish, except in Humidor room.</v>
      </c>
      <c r="K19">
        <f>+'Paste Here'!W19</f>
        <v>62517</v>
      </c>
    </row>
    <row r="20" spans="1:11">
      <c r="A20" t="str">
        <f t="shared" si="0"/>
        <v>EXTERIOR WALLCOVERING</v>
      </c>
      <c r="B20" t="str">
        <f>+'Paste Here'!N20</f>
        <v>Add On</v>
      </c>
      <c r="C20" t="str">
        <f>+'Paste Here'!O20</f>
        <v>EXTERIOR WALL</v>
      </c>
      <c r="D20" t="str">
        <f>+'Paste Here'!P20</f>
        <v>COVERING</v>
      </c>
      <c r="E20" t="str">
        <f>+'Paste Here'!Q20</f>
        <v>Sheetrock Tape Only</v>
      </c>
      <c r="F20">
        <f>+'Paste Here'!R20</f>
        <v>256</v>
      </c>
      <c r="G20" t="str">
        <f>+'Paste Here'!S20</f>
        <v>SF</v>
      </c>
      <c r="H20">
        <f>+'Paste Here'!T20</f>
        <v>1</v>
      </c>
      <c r="I20">
        <f>+'Paste Here'!U20</f>
        <v>256</v>
      </c>
      <c r="J20" t="str">
        <f>+'Paste Here'!V20</f>
        <v>No texture just joint tape in humidor only.</v>
      </c>
      <c r="K20">
        <f>+'Paste Here'!W20</f>
        <v>62791</v>
      </c>
    </row>
    <row r="21" spans="1:11">
      <c r="A21" t="str">
        <f t="shared" si="0"/>
        <v>EXTERIOR WALLCOVERING</v>
      </c>
      <c r="B21" t="str">
        <f>+'Paste Here'!N21</f>
        <v>Add On</v>
      </c>
      <c r="C21" t="str">
        <f>+'Paste Here'!O21</f>
        <v>EXTERIOR WALL</v>
      </c>
      <c r="D21" t="str">
        <f>+'Paste Here'!P21</f>
        <v>COVERING</v>
      </c>
      <c r="E21" t="str">
        <f>+'Paste Here'!Q21</f>
        <v>Vapor Barrier Primer</v>
      </c>
      <c r="F21">
        <f>+'Paste Here'!R21</f>
        <v>512</v>
      </c>
      <c r="G21" t="str">
        <f>+'Paste Here'!S21</f>
        <v>SF</v>
      </c>
      <c r="H21">
        <f>+'Paste Here'!T21</f>
        <v>0.26</v>
      </c>
      <c r="I21">
        <f>+'Paste Here'!U21</f>
        <v>133.12</v>
      </c>
      <c r="J21" t="str">
        <f>+'Paste Here'!V21</f>
        <v>2 coats in Humidor only.</v>
      </c>
      <c r="K21">
        <f>+'Paste Here'!W21</f>
        <v>62792</v>
      </c>
    </row>
    <row r="22" spans="1:11">
      <c r="A22" t="str">
        <f t="shared" si="0"/>
        <v>EXTERIOR WALLINSULATION</v>
      </c>
      <c r="B22" t="str">
        <f>+'Paste Here'!N22</f>
        <v>BOM</v>
      </c>
      <c r="C22" t="str">
        <f>+'Paste Here'!O22</f>
        <v>EXTERIOR WALL</v>
      </c>
      <c r="D22" t="str">
        <f>+'Paste Here'!P22</f>
        <v>INSULATION</v>
      </c>
      <c r="E22" t="str">
        <f>+'Paste Here'!Q22</f>
        <v>R-21 Unfaced (Exterior Wall)</v>
      </c>
      <c r="F22">
        <f>+'Paste Here'!R22</f>
        <v>2592</v>
      </c>
      <c r="G22" t="str">
        <f>+'Paste Here'!S22</f>
        <v>SF</v>
      </c>
      <c r="H22">
        <f>+'Paste Here'!T22</f>
        <v>0.56000000000000005</v>
      </c>
      <c r="I22">
        <f>+'Paste Here'!U22</f>
        <v>1451.52</v>
      </c>
      <c r="J22" t="str">
        <f>+'Paste Here'!V22</f>
        <v/>
      </c>
      <c r="K22">
        <f>+'Paste Here'!W22</f>
        <v>62420</v>
      </c>
    </row>
    <row r="23" spans="1:11">
      <c r="A23" t="str">
        <f t="shared" si="0"/>
        <v>INTERIOR WALLSTUDS</v>
      </c>
      <c r="B23" t="str">
        <f>+'Paste Here'!N23</f>
        <v>BOM</v>
      </c>
      <c r="C23" t="str">
        <f>+'Paste Here'!O23</f>
        <v>INTERIOR WALL</v>
      </c>
      <c r="D23" t="str">
        <f>+'Paste Here'!P23</f>
        <v>STUDS</v>
      </c>
      <c r="E23" t="str">
        <f>+'Paste Here'!Q23</f>
        <v>2 X 4 Wall Framing - 8' Tall</v>
      </c>
      <c r="F23">
        <f>+'Paste Here'!R23</f>
        <v>292</v>
      </c>
      <c r="G23" t="str">
        <f>+'Paste Here'!S23</f>
        <v>LF</v>
      </c>
      <c r="H23">
        <f>+'Paste Here'!T23</f>
        <v>4.72</v>
      </c>
      <c r="I23">
        <f>+'Paste Here'!U23</f>
        <v>1378.24</v>
      </c>
      <c r="J23" t="str">
        <f>+'Paste Here'!V23</f>
        <v/>
      </c>
      <c r="K23">
        <f>+'Paste Here'!W23</f>
        <v>62421</v>
      </c>
    </row>
    <row r="24" spans="1:11">
      <c r="A24" t="str">
        <f t="shared" si="0"/>
        <v>INTERIOR WALLSTUDS</v>
      </c>
      <c r="B24" t="str">
        <f>+'Paste Here'!N24</f>
        <v>BOM</v>
      </c>
      <c r="C24" t="str">
        <f>+'Paste Here'!O24</f>
        <v>INTERIOR WALL</v>
      </c>
      <c r="D24" t="str">
        <f>+'Paste Here'!P24</f>
        <v>STUDS</v>
      </c>
      <c r="E24" t="str">
        <f>+'Paste Here'!Q24</f>
        <v>Upgrade to Plumbing Wall</v>
      </c>
      <c r="F24">
        <f>+'Paste Here'!R24</f>
        <v>8</v>
      </c>
      <c r="G24" t="str">
        <f>+'Paste Here'!S24</f>
        <v>LF</v>
      </c>
      <c r="H24">
        <f>+'Paste Here'!T24</f>
        <v>4.21</v>
      </c>
      <c r="I24">
        <f>+'Paste Here'!U24</f>
        <v>33.68</v>
      </c>
      <c r="J24" t="str">
        <f>+'Paste Here'!V24</f>
        <v>2x6 Plumbing Wall shared by both restrooms</v>
      </c>
      <c r="K24">
        <f>+'Paste Here'!W24</f>
        <v>62422</v>
      </c>
    </row>
    <row r="25" spans="1:11">
      <c r="A25" t="str">
        <f t="shared" si="0"/>
        <v>INTERIOR WALLINSULATION</v>
      </c>
      <c r="B25" t="str">
        <f>+'Paste Here'!N25</f>
        <v>BOM</v>
      </c>
      <c r="C25" t="str">
        <f>+'Paste Here'!O25</f>
        <v>INTERIOR WALL</v>
      </c>
      <c r="D25" t="str">
        <f>+'Paste Here'!P25</f>
        <v>INSULATION</v>
      </c>
      <c r="E25" t="str">
        <f>+'Paste Here'!Q25</f>
        <v>R-11 Unfaced Int. Wall @ 8' Tall</v>
      </c>
      <c r="F25">
        <f>+'Paste Here'!R25</f>
        <v>250</v>
      </c>
      <c r="G25" t="str">
        <f>+'Paste Here'!S25</f>
        <v>LF</v>
      </c>
      <c r="H25">
        <f>+'Paste Here'!T25</f>
        <v>1.82</v>
      </c>
      <c r="I25">
        <f>+'Paste Here'!U25</f>
        <v>455</v>
      </c>
      <c r="J25" t="str">
        <f>+'Paste Here'!V25</f>
        <v>Insulate All Interior Walls</v>
      </c>
      <c r="K25">
        <f>+'Paste Here'!W25</f>
        <v>62423</v>
      </c>
    </row>
    <row r="26" spans="1:11">
      <c r="A26" t="str">
        <f t="shared" si="0"/>
        <v>INTERIOR WALLCOVERING</v>
      </c>
      <c r="B26" t="str">
        <f>+'Paste Here'!N26</f>
        <v>BOM</v>
      </c>
      <c r="C26" t="str">
        <f>+'Paste Here'!O26</f>
        <v>INTERIOR WALL</v>
      </c>
      <c r="D26" t="str">
        <f>+'Paste Here'!P26</f>
        <v>COVERING</v>
      </c>
      <c r="E26" t="str">
        <f>+'Paste Here'!Q26</f>
        <v>4' FRP Wainscot</v>
      </c>
      <c r="F26">
        <f>+'Paste Here'!R26</f>
        <v>30</v>
      </c>
      <c r="G26" t="str">
        <f>+'Paste Here'!S26</f>
        <v>LF</v>
      </c>
      <c r="H26">
        <f>+'Paste Here'!T26</f>
        <v>11.61</v>
      </c>
      <c r="I26">
        <f>+'Paste Here'!U26</f>
        <v>348.3</v>
      </c>
      <c r="J26" t="str">
        <f>+'Paste Here'!V26</f>
        <v>Per code in Restrooms and Janitor Closet</v>
      </c>
      <c r="K26">
        <f>+'Paste Here'!W26</f>
        <v>62424</v>
      </c>
    </row>
    <row r="27" spans="1:11">
      <c r="A27" t="str">
        <f t="shared" si="0"/>
        <v>INTERIOR WALLCOVERING</v>
      </c>
      <c r="B27" t="str">
        <f>+'Paste Here'!N27</f>
        <v>Add On</v>
      </c>
      <c r="C27" t="str">
        <f>+'Paste Here'!O27</f>
        <v>INTERIOR WALL</v>
      </c>
      <c r="D27" t="str">
        <f>+'Paste Here'!P27</f>
        <v>COVERING</v>
      </c>
      <c r="E27" t="str">
        <f>+'Paste Here'!Q27</f>
        <v>5/8" MR Gypsum 4 x 12 (Interior Wall)</v>
      </c>
      <c r="F27">
        <f>+'Paste Here'!R27</f>
        <v>32</v>
      </c>
      <c r="G27" t="str">
        <f>+'Paste Here'!S27</f>
        <v>LF</v>
      </c>
      <c r="H27">
        <f>+'Paste Here'!T27</f>
        <v>8.35</v>
      </c>
      <c r="I27">
        <f>+'Paste Here'!U27</f>
        <v>267.2</v>
      </c>
      <c r="J27" t="str">
        <f>+'Paste Here'!V27</f>
        <v>Walls in Humidor room.  (1) Side</v>
      </c>
      <c r="K27">
        <f>+'Paste Here'!W27</f>
        <v>62659</v>
      </c>
    </row>
    <row r="28" spans="1:11">
      <c r="A28" t="str">
        <f t="shared" si="0"/>
        <v>INTERIOR WALLCOVERING</v>
      </c>
      <c r="B28" t="str">
        <f>+'Paste Here'!N28</f>
        <v>BOM</v>
      </c>
      <c r="C28" t="str">
        <f>+'Paste Here'!O28</f>
        <v>INTERIOR WALL</v>
      </c>
      <c r="D28" t="str">
        <f>+'Paste Here'!P28</f>
        <v>COVERING</v>
      </c>
      <c r="E28" t="str">
        <f>+'Paste Here'!Q28</f>
        <v>5/8" Type X Gypsum - Unfinished 8' Tall</v>
      </c>
      <c r="F28">
        <f>+'Paste Here'!R28</f>
        <v>48</v>
      </c>
      <c r="G28" t="str">
        <f>+'Paste Here'!S28</f>
        <v>LF</v>
      </c>
      <c r="H28">
        <f>+'Paste Here'!T28</f>
        <v>6.65</v>
      </c>
      <c r="I28">
        <f>+'Paste Here'!U28</f>
        <v>319.2</v>
      </c>
      <c r="J28" t="str">
        <f>+'Paste Here'!V28</f>
        <v>1 hour rated corridor, 1 layer 5/8 type X gyp under VCG - 1 side</v>
      </c>
      <c r="K28">
        <f>+'Paste Here'!W28</f>
        <v>62518</v>
      </c>
    </row>
    <row r="29" spans="1:11">
      <c r="A29" t="str">
        <f t="shared" si="0"/>
        <v>INTERIOR WALLCOVERING</v>
      </c>
      <c r="B29" t="str">
        <f>+'Paste Here'!N29</f>
        <v>BOM</v>
      </c>
      <c r="C29" t="str">
        <f>+'Paste Here'!O29</f>
        <v>INTERIOR WALL</v>
      </c>
      <c r="D29" t="str">
        <f>+'Paste Here'!P29</f>
        <v>COVERING</v>
      </c>
      <c r="E29" t="str">
        <f>+'Paste Here'!Q29</f>
        <v>5/8" Vinyl Covered Gypsum 8' Tall</v>
      </c>
      <c r="F29">
        <f>+'Paste Here'!R29</f>
        <v>246</v>
      </c>
      <c r="G29" t="str">
        <f>+'Paste Here'!S29</f>
        <v>LF</v>
      </c>
      <c r="H29">
        <f>+'Paste Here'!T29</f>
        <v>20.74</v>
      </c>
      <c r="I29">
        <f>+'Paste Here'!U29</f>
        <v>5102.04</v>
      </c>
      <c r="J29" t="str">
        <f>+'Paste Here'!V29</f>
        <v>VCG wall finish, except in Humidor room.</v>
      </c>
      <c r="K29">
        <f>+'Paste Here'!W29</f>
        <v>62425</v>
      </c>
    </row>
    <row r="30" spans="1:11">
      <c r="A30" t="str">
        <f t="shared" si="0"/>
        <v>INTERIOR WALLCOVERING</v>
      </c>
      <c r="B30" t="str">
        <f>+'Paste Here'!N30</f>
        <v>Add On</v>
      </c>
      <c r="C30" t="str">
        <f>+'Paste Here'!O30</f>
        <v>INTERIOR WALL</v>
      </c>
      <c r="D30" t="str">
        <f>+'Paste Here'!P30</f>
        <v>COVERING</v>
      </c>
      <c r="E30" t="str">
        <f>+'Paste Here'!Q30</f>
        <v>Sheetrock Tape Only</v>
      </c>
      <c r="F30">
        <f>+'Paste Here'!R30</f>
        <v>256</v>
      </c>
      <c r="G30" t="str">
        <f>+'Paste Here'!S30</f>
        <v>SF</v>
      </c>
      <c r="H30">
        <f>+'Paste Here'!T30</f>
        <v>1</v>
      </c>
      <c r="I30">
        <f>+'Paste Here'!U30</f>
        <v>256</v>
      </c>
      <c r="J30" t="str">
        <f>+'Paste Here'!V30</f>
        <v>No texture just joint tape in humidor only.</v>
      </c>
      <c r="K30">
        <f>+'Paste Here'!W30</f>
        <v>62793</v>
      </c>
    </row>
    <row r="31" spans="1:11">
      <c r="A31" t="str">
        <f t="shared" si="0"/>
        <v>INTERIOR WALLCOVERING</v>
      </c>
      <c r="B31" t="str">
        <f>+'Paste Here'!N31</f>
        <v>Add On</v>
      </c>
      <c r="C31" t="str">
        <f>+'Paste Here'!O31</f>
        <v>INTERIOR WALL</v>
      </c>
      <c r="D31" t="str">
        <f>+'Paste Here'!P31</f>
        <v>COVERING</v>
      </c>
      <c r="E31" t="str">
        <f>+'Paste Here'!Q31</f>
        <v>Vapor Barrier Primer</v>
      </c>
      <c r="F31">
        <f>+'Paste Here'!R31</f>
        <v>512</v>
      </c>
      <c r="G31" t="str">
        <f>+'Paste Here'!S31</f>
        <v>SF</v>
      </c>
      <c r="H31">
        <f>+'Paste Here'!T31</f>
        <v>0.26</v>
      </c>
      <c r="I31">
        <f>+'Paste Here'!U31</f>
        <v>133.12</v>
      </c>
      <c r="J31" t="str">
        <f>+'Paste Here'!V31</f>
        <v>2 coats in Humidor only.</v>
      </c>
      <c r="K31">
        <f>+'Paste Here'!W31</f>
        <v>62794</v>
      </c>
    </row>
    <row r="32" spans="1:11">
      <c r="A32" t="str">
        <f t="shared" si="0"/>
        <v>INTERIOR WALLCOLUMNS</v>
      </c>
      <c r="B32" t="str">
        <f>+'Paste Here'!N32</f>
        <v>BOM</v>
      </c>
      <c r="C32" t="str">
        <f>+'Paste Here'!O32</f>
        <v>INTERIOR WALL</v>
      </c>
      <c r="D32" t="str">
        <f>+'Paste Here'!P32</f>
        <v>COLUMNS</v>
      </c>
      <c r="E32" t="str">
        <f>+'Paste Here'!Q32</f>
        <v>Roof Support Column - Concealed</v>
      </c>
      <c r="F32">
        <f>+'Paste Here'!R32</f>
        <v>18</v>
      </c>
      <c r="G32" t="str">
        <f>+'Paste Here'!S32</f>
        <v>EA</v>
      </c>
      <c r="H32">
        <f>+'Paste Here'!T32</f>
        <v>59.29</v>
      </c>
      <c r="I32">
        <f>+'Paste Here'!U32</f>
        <v>1067.22</v>
      </c>
      <c r="J32" t="str">
        <f>+'Paste Here'!V32</f>
        <v>Concealed in both end walls at mod lines and one pair of columns concealed inside interior walls at each mod line</v>
      </c>
      <c r="K32">
        <f>+'Paste Here'!W32</f>
        <v>62426</v>
      </c>
    </row>
    <row r="33" spans="1:11">
      <c r="A33" t="str">
        <f t="shared" si="0"/>
        <v>INTERIOR WALLMISC</v>
      </c>
      <c r="B33" t="str">
        <f>+'Paste Here'!N33</f>
        <v>BOM</v>
      </c>
      <c r="C33" t="str">
        <f>+'Paste Here'!O33</f>
        <v>INTERIOR WALL</v>
      </c>
      <c r="D33" t="str">
        <f>+'Paste Here'!P33</f>
        <v>MISC</v>
      </c>
      <c r="E33" t="str">
        <f>+'Paste Here'!Q33</f>
        <v>Interior Shearwall - Add</v>
      </c>
      <c r="F33">
        <f>+'Paste Here'!R33</f>
        <v>48</v>
      </c>
      <c r="G33" t="str">
        <f>+'Paste Here'!S33</f>
        <v>LF</v>
      </c>
      <c r="H33">
        <f>+'Paste Here'!T33</f>
        <v>9.44</v>
      </c>
      <c r="I33">
        <f>+'Paste Here'!U33</f>
        <v>453.12</v>
      </c>
      <c r="J33" t="str">
        <f>+'Paste Here'!V33</f>
        <v>Full Height Shear Wall</v>
      </c>
      <c r="K33">
        <f>+'Paste Here'!W33</f>
        <v>62519</v>
      </c>
    </row>
    <row r="34" spans="1:11">
      <c r="A34" t="str">
        <f t="shared" si="0"/>
        <v>INTERIOR WALLMISC</v>
      </c>
      <c r="B34" t="str">
        <f>+'Paste Here'!N34</f>
        <v>BOM</v>
      </c>
      <c r="C34" t="str">
        <f>+'Paste Here'!O34</f>
        <v>INTERIOR WALL</v>
      </c>
      <c r="D34" t="str">
        <f>+'Paste Here'!P34</f>
        <v>MISC</v>
      </c>
      <c r="E34" t="str">
        <f>+'Paste Here'!Q34</f>
        <v>Wall Extended To Rafters</v>
      </c>
      <c r="F34">
        <f>+'Paste Here'!R34</f>
        <v>208</v>
      </c>
      <c r="G34" t="str">
        <f>+'Paste Here'!S34</f>
        <v>LF</v>
      </c>
      <c r="H34">
        <f>+'Paste Here'!T34</f>
        <v>5.83</v>
      </c>
      <c r="I34">
        <f>+'Paste Here'!U34</f>
        <v>1212.6400000000001</v>
      </c>
      <c r="J34" t="str">
        <f>+'Paste Here'!V34</f>
        <v>Rated Corridor, Restrooms, Humidor room</v>
      </c>
      <c r="K34">
        <f>+'Paste Here'!W34</f>
        <v>62427</v>
      </c>
    </row>
    <row r="35" spans="1:11">
      <c r="A35" t="str">
        <f t="shared" si="0"/>
        <v>COVE BASECOVE BASE</v>
      </c>
      <c r="B35" t="str">
        <f>+'Paste Here'!N35</f>
        <v>BOM</v>
      </c>
      <c r="C35" t="str">
        <f>+'Paste Here'!O35</f>
        <v>COVE BASE</v>
      </c>
      <c r="D35" t="str">
        <f>+'Paste Here'!P35</f>
        <v>COVE BASE</v>
      </c>
      <c r="E35" t="str">
        <f>+'Paste Here'!Q35</f>
        <v>Wall Base Vinyl 4"</v>
      </c>
      <c r="F35">
        <f>+'Paste Here'!R35</f>
        <v>740</v>
      </c>
      <c r="G35" t="str">
        <f>+'Paste Here'!S35</f>
        <v>LF</v>
      </c>
      <c r="H35">
        <f>+'Paste Here'!T35</f>
        <v>1.02</v>
      </c>
      <c r="I35">
        <f>+'Paste Here'!U35</f>
        <v>754.8</v>
      </c>
      <c r="J35" t="str">
        <f>+'Paste Here'!V35</f>
        <v>Throughout Except in Humidor Room</v>
      </c>
      <c r="K35">
        <f>+'Paste Here'!W35</f>
        <v>62428</v>
      </c>
    </row>
    <row r="36" spans="1:11">
      <c r="A36" t="str">
        <f t="shared" si="0"/>
        <v>ROOFTRUSSES</v>
      </c>
      <c r="B36" t="str">
        <f>+'Paste Here'!N36</f>
        <v>BOM</v>
      </c>
      <c r="C36" t="str">
        <f>+'Paste Here'!O36</f>
        <v>ROOF</v>
      </c>
      <c r="D36" t="str">
        <f>+'Paste Here'!P36</f>
        <v>TRUSSES</v>
      </c>
      <c r="E36" t="str">
        <f>+'Paste Here'!Q36</f>
        <v>Truss - 12' Wide Mod-Transverse 24" O/C</v>
      </c>
      <c r="F36">
        <f>+'Paste Here'!R36</f>
        <v>2880</v>
      </c>
      <c r="G36" t="str">
        <f>+'Paste Here'!S36</f>
        <v>SF</v>
      </c>
      <c r="H36">
        <f>+'Paste Here'!T36</f>
        <v>2.04</v>
      </c>
      <c r="I36">
        <f>+'Paste Here'!U36</f>
        <v>5875.2</v>
      </c>
      <c r="J36" t="str">
        <f>+'Paste Here'!V36</f>
        <v>50# Snowload, 1/4:12 Pitch</v>
      </c>
      <c r="K36">
        <f>+'Paste Here'!W36</f>
        <v>62520</v>
      </c>
    </row>
    <row r="37" spans="1:11">
      <c r="A37" t="str">
        <f t="shared" si="0"/>
        <v>ROOFMATE BEAM</v>
      </c>
      <c r="B37" t="str">
        <f>+'Paste Here'!N37</f>
        <v>BOM</v>
      </c>
      <c r="C37" t="str">
        <f>+'Paste Here'!O37</f>
        <v>ROOF</v>
      </c>
      <c r="D37" t="str">
        <f>+'Paste Here'!P37</f>
        <v>MATE BEAM</v>
      </c>
      <c r="E37" t="str">
        <f>+'Paste Here'!Q37</f>
        <v>LVL - 1 1/2" x 24"- Up to 60'</v>
      </c>
      <c r="F37">
        <f>+'Paste Here'!R37</f>
        <v>600</v>
      </c>
      <c r="G37" t="str">
        <f>+'Paste Here'!S37</f>
        <v>LF</v>
      </c>
      <c r="H37">
        <f>+'Paste Here'!T37</f>
        <v>10.93</v>
      </c>
      <c r="I37">
        <f>+'Paste Here'!U37</f>
        <v>6558</v>
      </c>
      <c r="J37" t="str">
        <f>+'Paste Here'!V37</f>
        <v>Double LVL at mod line spanning gym.</v>
      </c>
      <c r="K37">
        <f>+'Paste Here'!W37</f>
        <v>62430</v>
      </c>
    </row>
    <row r="38" spans="1:11">
      <c r="A38" t="str">
        <f t="shared" si="0"/>
        <v>ROOFMATE BEAM</v>
      </c>
      <c r="B38" t="str">
        <f>+'Paste Here'!N38</f>
        <v>BOM</v>
      </c>
      <c r="C38" t="str">
        <f>+'Paste Here'!O38</f>
        <v>ROOF</v>
      </c>
      <c r="D38" t="str">
        <f>+'Paste Here'!P38</f>
        <v>MATE BEAM</v>
      </c>
      <c r="E38" t="str">
        <f>+'Paste Here'!Q38</f>
        <v>Modline Strap</v>
      </c>
      <c r="F38">
        <f>+'Paste Here'!R38</f>
        <v>3</v>
      </c>
      <c r="G38" t="str">
        <f>+'Paste Here'!S38</f>
        <v>SET</v>
      </c>
      <c r="H38">
        <f>+'Paste Here'!T38</f>
        <v>60.16</v>
      </c>
      <c r="I38">
        <f>+'Paste Here'!U38</f>
        <v>180.48</v>
      </c>
      <c r="J38" t="str">
        <f>+'Paste Here'!V38</f>
        <v/>
      </c>
      <c r="K38">
        <f>+'Paste Here'!W38</f>
        <v>62431</v>
      </c>
    </row>
    <row r="39" spans="1:11">
      <c r="A39" t="str">
        <f t="shared" si="0"/>
        <v>ROOFINSULATION</v>
      </c>
      <c r="B39" t="str">
        <f>+'Paste Here'!N39</f>
        <v>BOM</v>
      </c>
      <c r="C39" t="str">
        <f>+'Paste Here'!O39</f>
        <v>ROOF</v>
      </c>
      <c r="D39" t="str">
        <f>+'Paste Here'!P39</f>
        <v>INSULATION</v>
      </c>
      <c r="E39" t="str">
        <f>+'Paste Here'!Q39</f>
        <v>R-38 Unfaced</v>
      </c>
      <c r="F39">
        <f>+'Paste Here'!R39</f>
        <v>2880</v>
      </c>
      <c r="G39" t="str">
        <f>+'Paste Here'!S39</f>
        <v>SF</v>
      </c>
      <c r="H39">
        <f>+'Paste Here'!T39</f>
        <v>1.02</v>
      </c>
      <c r="I39">
        <f>+'Paste Here'!U39</f>
        <v>2937.6</v>
      </c>
      <c r="J39" t="str">
        <f>+'Paste Here'!V39</f>
        <v/>
      </c>
      <c r="K39">
        <f>+'Paste Here'!W39</f>
        <v>62522</v>
      </c>
    </row>
    <row r="40" spans="1:11">
      <c r="A40" t="str">
        <f t="shared" si="0"/>
        <v>ROOFDECKING</v>
      </c>
      <c r="B40" t="str">
        <f>+'Paste Here'!N40</f>
        <v>BOM</v>
      </c>
      <c r="C40" t="str">
        <f>+'Paste Here'!O40</f>
        <v>ROOF</v>
      </c>
      <c r="D40" t="str">
        <f>+'Paste Here'!P40</f>
        <v>DECKING</v>
      </c>
      <c r="E40" t="str">
        <f>+'Paste Here'!Q40</f>
        <v>5/8" OSB Decking</v>
      </c>
      <c r="F40">
        <f>+'Paste Here'!R40</f>
        <v>2880</v>
      </c>
      <c r="G40" t="str">
        <f>+'Paste Here'!S40</f>
        <v>SF</v>
      </c>
      <c r="H40">
        <f>+'Paste Here'!T40</f>
        <v>0.48</v>
      </c>
      <c r="I40">
        <f>+'Paste Here'!U40</f>
        <v>1382.4</v>
      </c>
      <c r="J40" t="str">
        <f>+'Paste Here'!V40</f>
        <v/>
      </c>
      <c r="K40">
        <f>+'Paste Here'!W40</f>
        <v>62523</v>
      </c>
    </row>
    <row r="41" spans="1:11">
      <c r="A41" t="str">
        <f t="shared" si="0"/>
        <v>ROOFCOVERING</v>
      </c>
      <c r="B41" t="str">
        <f>+'Paste Here'!N41</f>
        <v>BOM</v>
      </c>
      <c r="C41" t="str">
        <f>+'Paste Here'!O41</f>
        <v>ROOF</v>
      </c>
      <c r="D41" t="str">
        <f>+'Paste Here'!P41</f>
        <v>COVERING</v>
      </c>
      <c r="E41" t="str">
        <f>+'Paste Here'!Q41</f>
        <v>EPDM .045 - Black (Multi Wides) Class C</v>
      </c>
      <c r="F41">
        <f>+'Paste Here'!R41</f>
        <v>2880</v>
      </c>
      <c r="G41" t="str">
        <f>+'Paste Here'!S41</f>
        <v>SF</v>
      </c>
      <c r="H41">
        <f>+'Paste Here'!T41</f>
        <v>2.14</v>
      </c>
      <c r="I41">
        <f>+'Paste Here'!U41</f>
        <v>6163.2</v>
      </c>
      <c r="J41" t="str">
        <f>+'Paste Here'!V41</f>
        <v/>
      </c>
      <c r="K41">
        <f>+'Paste Here'!W41</f>
        <v>62435</v>
      </c>
    </row>
    <row r="42" spans="1:11">
      <c r="A42" t="str">
        <f t="shared" si="0"/>
        <v>ROOFCEILING</v>
      </c>
      <c r="B42" t="str">
        <f>+'Paste Here'!N42</f>
        <v>Add On</v>
      </c>
      <c r="C42" t="str">
        <f>+'Paste Here'!O42</f>
        <v>ROOF</v>
      </c>
      <c r="D42" t="str">
        <f>+'Paste Here'!P42</f>
        <v>CEILING</v>
      </c>
      <c r="E42" t="str">
        <f>+'Paste Here'!Q42</f>
        <v>1x8 SE WRC Red Cedar</v>
      </c>
      <c r="F42">
        <f>+'Paste Here'!R42</f>
        <v>252</v>
      </c>
      <c r="G42" t="str">
        <f>+'Paste Here'!S42</f>
        <v>SF</v>
      </c>
      <c r="H42">
        <f>+'Paste Here'!T42</f>
        <v>7.25</v>
      </c>
      <c r="I42">
        <f>+'Paste Here'!U42</f>
        <v>1827</v>
      </c>
      <c r="J42" t="str">
        <f>+'Paste Here'!V42</f>
        <v/>
      </c>
      <c r="K42">
        <f>+'Paste Here'!W42</f>
        <v>62668</v>
      </c>
    </row>
    <row r="43" spans="1:11">
      <c r="A43" t="str">
        <f t="shared" si="0"/>
        <v>ROOFCEILING</v>
      </c>
      <c r="B43" t="str">
        <f>+'Paste Here'!N43</f>
        <v>BOM</v>
      </c>
      <c r="C43" t="str">
        <f>+'Paste Here'!O43</f>
        <v>ROOF</v>
      </c>
      <c r="D43" t="str">
        <f>+'Paste Here'!P43</f>
        <v>CEILING</v>
      </c>
      <c r="E43" t="str">
        <f>+'Paste Here'!Q43</f>
        <v>2X4 Mineral Fiber #BET197 (W/Grid)</v>
      </c>
      <c r="F43">
        <f>+'Paste Here'!R43</f>
        <v>2640</v>
      </c>
      <c r="G43" t="str">
        <f>+'Paste Here'!S43</f>
        <v>SF</v>
      </c>
      <c r="H43">
        <f>+'Paste Here'!T43</f>
        <v>2.88</v>
      </c>
      <c r="I43">
        <f>+'Paste Here'!U43</f>
        <v>7603.2</v>
      </c>
      <c r="J43" t="str">
        <f>+'Paste Here'!V43</f>
        <v>Ceiling Height 7'10" A.F.F.</v>
      </c>
      <c r="K43">
        <f>+'Paste Here'!W43</f>
        <v>62436</v>
      </c>
    </row>
    <row r="44" spans="1:11">
      <c r="A44" t="str">
        <f t="shared" si="0"/>
        <v>ROOFCEILING</v>
      </c>
      <c r="B44" t="str">
        <f>+'Paste Here'!N44</f>
        <v>Add On</v>
      </c>
      <c r="C44" t="str">
        <f>+'Paste Here'!O44</f>
        <v>ROOF</v>
      </c>
      <c r="D44" t="str">
        <f>+'Paste Here'!P44</f>
        <v>CEILING</v>
      </c>
      <c r="E44" t="str">
        <f>+'Paste Here'!Q44</f>
        <v>5/8" MR Type X Gypsum (Tape &amp; Bead Only)</v>
      </c>
      <c r="F44">
        <f>+'Paste Here'!R44</f>
        <v>256</v>
      </c>
      <c r="G44" t="str">
        <f>+'Paste Here'!S44</f>
        <v>SF</v>
      </c>
      <c r="H44">
        <f>+'Paste Here'!T44</f>
        <v>1.1200000000000001</v>
      </c>
      <c r="I44">
        <f>+'Paste Here'!U44</f>
        <v>286.72000000000003</v>
      </c>
      <c r="J44" t="str">
        <f>+'Paste Here'!V44</f>
        <v>For Humidor Room Ceiling.  No texture just joint tape in humidor only.</v>
      </c>
      <c r="K44">
        <f>+'Paste Here'!W44</f>
        <v>62666</v>
      </c>
    </row>
    <row r="45" spans="1:11">
      <c r="A45" t="str">
        <f t="shared" si="0"/>
        <v>ROOFCEILING</v>
      </c>
      <c r="B45" t="str">
        <f>+'Paste Here'!N45</f>
        <v>BOM</v>
      </c>
      <c r="C45" t="str">
        <f>+'Paste Here'!O45</f>
        <v>ROOF</v>
      </c>
      <c r="D45" t="str">
        <f>+'Paste Here'!P45</f>
        <v>CEILING</v>
      </c>
      <c r="E45" t="str">
        <f>+'Paste Here'!Q45</f>
        <v>5/8" Type X Gypsum (Tape &amp; Bead Only)</v>
      </c>
      <c r="F45">
        <f>+'Paste Here'!R45</f>
        <v>952</v>
      </c>
      <c r="G45" t="str">
        <f>+'Paste Here'!S45</f>
        <v>SF</v>
      </c>
      <c r="H45">
        <f>+'Paste Here'!T45</f>
        <v>0.64</v>
      </c>
      <c r="I45">
        <f>+'Paste Here'!U45</f>
        <v>609.28</v>
      </c>
      <c r="J45" t="str">
        <f>+'Paste Here'!V45</f>
        <v>2 layers of Type X Gyp; fasten to bottom of roof joists over fire rated corridor</v>
      </c>
      <c r="K45">
        <f>+'Paste Here'!W45</f>
        <v>62437</v>
      </c>
    </row>
    <row r="46" spans="1:11">
      <c r="A46" t="str">
        <f t="shared" si="0"/>
        <v>ROOFCEILING</v>
      </c>
      <c r="B46" t="str">
        <f>+'Paste Here'!N46</f>
        <v>BOM</v>
      </c>
      <c r="C46" t="str">
        <f>+'Paste Here'!O46</f>
        <v>ROOF</v>
      </c>
      <c r="D46" t="str">
        <f>+'Paste Here'!P46</f>
        <v>CEILING</v>
      </c>
      <c r="E46" t="str">
        <f>+'Paste Here'!Q46</f>
        <v>Ceiling Joist</v>
      </c>
      <c r="F46">
        <f>+'Paste Here'!R46</f>
        <v>252</v>
      </c>
      <c r="G46" t="str">
        <f>+'Paste Here'!S46</f>
        <v>SF</v>
      </c>
      <c r="H46">
        <f>+'Paste Here'!T46</f>
        <v>0.92</v>
      </c>
      <c r="I46">
        <f>+'Paste Here'!U46</f>
        <v>231.84</v>
      </c>
      <c r="J46" t="str">
        <f>+'Paste Here'!V46</f>
        <v>For Hard-Lid Ceiling in Humidor Room</v>
      </c>
      <c r="K46">
        <f>+'Paste Here'!W46</f>
        <v>62664</v>
      </c>
    </row>
    <row r="47" spans="1:11">
      <c r="A47" t="str">
        <f t="shared" si="0"/>
        <v>ROOFCEILING</v>
      </c>
      <c r="B47" t="str">
        <f>+'Paste Here'!N47</f>
        <v>Add On</v>
      </c>
      <c r="C47" t="str">
        <f>+'Paste Here'!O47</f>
        <v>ROOF</v>
      </c>
      <c r="D47" t="str">
        <f>+'Paste Here'!P47</f>
        <v>CEILING</v>
      </c>
      <c r="E47" t="str">
        <f>+'Paste Here'!Q47</f>
        <v>Vapor Barrier Primer</v>
      </c>
      <c r="F47">
        <f>+'Paste Here'!R47</f>
        <v>252</v>
      </c>
      <c r="G47" t="str">
        <f>+'Paste Here'!S47</f>
        <v>SF</v>
      </c>
      <c r="H47">
        <f>+'Paste Here'!T47</f>
        <v>0.26</v>
      </c>
      <c r="I47">
        <f>+'Paste Here'!U47</f>
        <v>65.52</v>
      </c>
      <c r="J47" t="str">
        <f>+'Paste Here'!V47</f>
        <v>2 coats in Humidor only.</v>
      </c>
      <c r="K47">
        <f>+'Paste Here'!W47</f>
        <v>62796</v>
      </c>
    </row>
    <row r="48" spans="1:11">
      <c r="A48" t="str">
        <f t="shared" si="0"/>
        <v>ROOFCEILING</v>
      </c>
      <c r="B48" t="str">
        <f>+'Paste Here'!N48</f>
        <v>Add On</v>
      </c>
      <c r="C48" t="str">
        <f>+'Paste Here'!O48</f>
        <v>ROOF</v>
      </c>
      <c r="D48" t="str">
        <f>+'Paste Here'!P48</f>
        <v>CEILING</v>
      </c>
      <c r="E48" t="str">
        <f>+'Paste Here'!Q48</f>
        <v>Visqueen Vapor Barrier 6 Mil</v>
      </c>
      <c r="F48">
        <f>+'Paste Here'!R48</f>
        <v>252</v>
      </c>
      <c r="G48" t="str">
        <f>+'Paste Here'!S48</f>
        <v>SF</v>
      </c>
      <c r="H48">
        <f>+'Paste Here'!T48</f>
        <v>0.1</v>
      </c>
      <c r="I48">
        <f>+'Paste Here'!U48</f>
        <v>25.2</v>
      </c>
      <c r="J48" t="str">
        <f>+'Paste Here'!V48</f>
        <v>Install on ceiling Joists in the Humidor room</v>
      </c>
      <c r="K48">
        <f>+'Paste Here'!W48</f>
        <v>62667</v>
      </c>
    </row>
    <row r="49" spans="1:11">
      <c r="A49" t="str">
        <f t="shared" si="0"/>
        <v>WINDOWBLINDS</v>
      </c>
      <c r="B49" t="str">
        <f>+'Paste Here'!N49</f>
        <v>BOM</v>
      </c>
      <c r="C49" t="str">
        <f>+'Paste Here'!O49</f>
        <v>WINDOW</v>
      </c>
      <c r="D49" t="str">
        <f>+'Paste Here'!P49</f>
        <v>BLINDS</v>
      </c>
      <c r="E49" t="str">
        <f>+'Paste Here'!Q49</f>
        <v>Mini-Blind</v>
      </c>
      <c r="F49">
        <f>+'Paste Here'!R49</f>
        <v>9</v>
      </c>
      <c r="G49" t="str">
        <f>+'Paste Here'!S49</f>
        <v>EA</v>
      </c>
      <c r="H49">
        <f>+'Paste Here'!T49</f>
        <v>38.729999999999997</v>
      </c>
      <c r="I49">
        <f>+'Paste Here'!U49</f>
        <v>348.57</v>
      </c>
      <c r="J49" t="str">
        <f>+'Paste Here'!V49</f>
        <v>Factory Std 1" Aluminum Mini Blinds</v>
      </c>
      <c r="K49">
        <f>+'Paste Here'!W49</f>
        <v>62440</v>
      </c>
    </row>
    <row r="50" spans="1:11">
      <c r="A50" t="str">
        <f t="shared" si="0"/>
        <v>WINDOWMISC</v>
      </c>
      <c r="B50" t="str">
        <f>+'Paste Here'!N50</f>
        <v>BOM</v>
      </c>
      <c r="C50" t="str">
        <f>+'Paste Here'!O50</f>
        <v>WINDOW</v>
      </c>
      <c r="D50" t="str">
        <f>+'Paste Here'!P50</f>
        <v>MISC</v>
      </c>
      <c r="E50" t="str">
        <f>+'Paste Here'!Q50</f>
        <v>Farmyard Hickory Window Trim Upgrade</v>
      </c>
      <c r="F50">
        <f>+'Paste Here'!R50</f>
        <v>9</v>
      </c>
      <c r="G50" t="str">
        <f>+'Paste Here'!S50</f>
        <v>EA</v>
      </c>
      <c r="H50">
        <f>+'Paste Here'!T50</f>
        <v>23.76</v>
      </c>
      <c r="I50">
        <f>+'Paste Here'!U50</f>
        <v>213.84</v>
      </c>
      <c r="J50" t="str">
        <f>+'Paste Here'!V50</f>
        <v/>
      </c>
      <c r="K50">
        <f>+'Paste Here'!W50</f>
        <v>62439</v>
      </c>
    </row>
    <row r="51" spans="1:11">
      <c r="A51" t="str">
        <f t="shared" si="0"/>
        <v>WINDOWWINDOW 4030 - VINYL</v>
      </c>
      <c r="B51" t="str">
        <f>+'Paste Here'!N51</f>
        <v>BOM</v>
      </c>
      <c r="C51" t="str">
        <f>+'Paste Here'!O51</f>
        <v>WINDOW</v>
      </c>
      <c r="D51" t="str">
        <f>+'Paste Here'!P51</f>
        <v>WINDOW 4030 - VINYL</v>
      </c>
      <c r="E51" t="str">
        <f>+'Paste Here'!Q51</f>
        <v>4030 - H/S - Dual Glazed - Vinyl Frame - Clear Low E</v>
      </c>
      <c r="F51">
        <f>+'Paste Here'!R51</f>
        <v>9</v>
      </c>
      <c r="G51" t="str">
        <f>+'Paste Here'!S51</f>
        <v>EA</v>
      </c>
      <c r="H51">
        <f>+'Paste Here'!T51</f>
        <v>259.94</v>
      </c>
      <c r="I51">
        <f>+'Paste Here'!U51</f>
        <v>2339.46</v>
      </c>
      <c r="J51" t="str">
        <f>+'Paste Here'!V51</f>
        <v/>
      </c>
      <c r="K51">
        <f>+'Paste Here'!W51</f>
        <v>62636</v>
      </c>
    </row>
    <row r="52" spans="1:11">
      <c r="A52" t="str">
        <f t="shared" si="0"/>
        <v>EXTERIOR DOORDOOR</v>
      </c>
      <c r="B52" t="str">
        <f>+'Paste Here'!N52</f>
        <v>BOM</v>
      </c>
      <c r="C52" t="str">
        <f>+'Paste Here'!O52</f>
        <v>EXTERIOR DOOR</v>
      </c>
      <c r="D52" t="str">
        <f>+'Paste Here'!P52</f>
        <v>DOOR</v>
      </c>
      <c r="E52" t="str">
        <f>+'Paste Here'!Q52</f>
        <v>36X80 - 20ga Door W/Med Adj. Steel Frame (4-5/8" to 8")</v>
      </c>
      <c r="F52">
        <f>+'Paste Here'!R52</f>
        <v>2</v>
      </c>
      <c r="G52" t="str">
        <f>+'Paste Here'!S52</f>
        <v>EA</v>
      </c>
      <c r="H52">
        <f>+'Paste Here'!T52</f>
        <v>718.07</v>
      </c>
      <c r="I52">
        <f>+'Paste Here'!U52</f>
        <v>1436.14</v>
      </c>
      <c r="J52" t="str">
        <f>+'Paste Here'!V52</f>
        <v/>
      </c>
      <c r="K52">
        <f>+'Paste Here'!W52</f>
        <v>62524</v>
      </c>
    </row>
    <row r="53" spans="1:11">
      <c r="A53" t="str">
        <f t="shared" si="0"/>
        <v>EXTERIOR DOORLOCKSET</v>
      </c>
      <c r="B53" t="str">
        <f>+'Paste Here'!N53</f>
        <v>Add On</v>
      </c>
      <c r="C53" t="str">
        <f>+'Paste Here'!O53</f>
        <v>EXTERIOR DOOR</v>
      </c>
      <c r="D53" t="str">
        <f>+'Paste Here'!P53</f>
        <v>LOCKSET</v>
      </c>
      <c r="E53" t="str">
        <f>+'Paste Here'!Q53</f>
        <v>Cal-Royal A2200 Panic Rim Exit Device with Escutcheon Entrance Lever Trim</v>
      </c>
      <c r="F53">
        <f>+'Paste Here'!R53</f>
        <v>2</v>
      </c>
      <c r="G53" t="str">
        <f>+'Paste Here'!S53</f>
        <v>EA</v>
      </c>
      <c r="H53">
        <f>+'Paste Here'!T53</f>
        <v>360</v>
      </c>
      <c r="I53">
        <f>+'Paste Here'!U53</f>
        <v>720</v>
      </c>
      <c r="J53" t="str">
        <f>+'Paste Here'!V53</f>
        <v/>
      </c>
      <c r="K53">
        <f>+'Paste Here'!W53</f>
        <v>62442</v>
      </c>
    </row>
    <row r="54" spans="1:11">
      <c r="A54" t="str">
        <f t="shared" si="0"/>
        <v>EXTERIOR DOORHARDWARE</v>
      </c>
      <c r="B54" t="str">
        <f>+'Paste Here'!N54</f>
        <v>BOM</v>
      </c>
      <c r="C54" t="str">
        <f>+'Paste Here'!O54</f>
        <v>EXTERIOR DOOR</v>
      </c>
      <c r="D54" t="str">
        <f>+'Paste Here'!P54</f>
        <v>HARDWARE</v>
      </c>
      <c r="E54" t="str">
        <f>+'Paste Here'!Q54</f>
        <v>Closer - S Parker 900 BCAL</v>
      </c>
      <c r="F54">
        <f>+'Paste Here'!R54</f>
        <v>2</v>
      </c>
      <c r="G54" t="str">
        <f>+'Paste Here'!S54</f>
        <v>EA</v>
      </c>
      <c r="H54">
        <f>+'Paste Here'!T54</f>
        <v>82.32</v>
      </c>
      <c r="I54">
        <f>+'Paste Here'!U54</f>
        <v>164.64</v>
      </c>
      <c r="J54" t="str">
        <f>+'Paste Here'!V54</f>
        <v/>
      </c>
      <c r="K54">
        <f>+'Paste Here'!W54</f>
        <v>62451</v>
      </c>
    </row>
    <row r="55" spans="1:11">
      <c r="A55" t="str">
        <f t="shared" si="0"/>
        <v>INTERIOR DOORDOOR</v>
      </c>
      <c r="B55" t="str">
        <f>+'Paste Here'!N55</f>
        <v>BOM</v>
      </c>
      <c r="C55" t="str">
        <f>+'Paste Here'!O55</f>
        <v>INTERIOR DOOR</v>
      </c>
      <c r="D55" t="str">
        <f>+'Paste Here'!P55</f>
        <v>DOOR</v>
      </c>
      <c r="E55" t="str">
        <f>+'Paste Here'!Q55</f>
        <v>36X80 - 20-Minute Label - Alpine Oak - W/ Timely Jamb</v>
      </c>
      <c r="F55">
        <f>+'Paste Here'!R55</f>
        <v>7</v>
      </c>
      <c r="G55" t="str">
        <f>+'Paste Here'!S55</f>
        <v>EA</v>
      </c>
      <c r="H55">
        <f>+'Paste Here'!T55</f>
        <v>550.28</v>
      </c>
      <c r="I55">
        <f>+'Paste Here'!U55</f>
        <v>3851.96</v>
      </c>
      <c r="J55" t="str">
        <f>+'Paste Here'!V55</f>
        <v>Doors to and from rated corridor W/ Self Closing Hinges</v>
      </c>
      <c r="K55">
        <f>+'Paste Here'!W55</f>
        <v>62443</v>
      </c>
    </row>
    <row r="56" spans="1:11">
      <c r="A56" t="str">
        <f t="shared" si="0"/>
        <v>INTERIOR DOORDOOR</v>
      </c>
      <c r="B56" t="str">
        <f>+'Paste Here'!N56</f>
        <v>Add On</v>
      </c>
      <c r="C56" t="str">
        <f>+'Paste Here'!O56</f>
        <v>INTERIOR DOOR</v>
      </c>
      <c r="D56" t="str">
        <f>+'Paste Here'!P56</f>
        <v>DOOR</v>
      </c>
      <c r="E56" t="str">
        <f>+'Paste Here'!Q56</f>
        <v>36X80 - Alpine Oak - W/ Timely Jamb &amp; Weatherstrip</v>
      </c>
      <c r="F56">
        <f>+'Paste Here'!R56</f>
        <v>1</v>
      </c>
      <c r="G56" t="str">
        <f>+'Paste Here'!S56</f>
        <v>EA</v>
      </c>
      <c r="H56">
        <f>+'Paste Here'!T56</f>
        <v>422</v>
      </c>
      <c r="I56">
        <f>+'Paste Here'!U56</f>
        <v>422</v>
      </c>
      <c r="J56" t="str">
        <f>+'Paste Here'!V56</f>
        <v>For Humidor Room</v>
      </c>
      <c r="K56">
        <f>+'Paste Here'!W56</f>
        <v>62670</v>
      </c>
    </row>
    <row r="57" spans="1:11">
      <c r="A57" t="str">
        <f t="shared" si="0"/>
        <v>INTERIOR DOORDOOR</v>
      </c>
      <c r="B57" t="str">
        <f>+'Paste Here'!N57</f>
        <v>BOM</v>
      </c>
      <c r="C57" t="str">
        <f>+'Paste Here'!O57</f>
        <v>INTERIOR DOOR</v>
      </c>
      <c r="D57" t="str">
        <f>+'Paste Here'!P57</f>
        <v>DOOR</v>
      </c>
      <c r="E57" t="str">
        <f>+'Paste Here'!Q57</f>
        <v>36X80 Alpine Oak - Solid Core - W/ Timely Jamb</v>
      </c>
      <c r="F57">
        <f>+'Paste Here'!R57</f>
        <v>4</v>
      </c>
      <c r="G57" t="str">
        <f>+'Paste Here'!S57</f>
        <v>EA</v>
      </c>
      <c r="H57">
        <f>+'Paste Here'!T57</f>
        <v>403.39</v>
      </c>
      <c r="I57">
        <f>+'Paste Here'!U57</f>
        <v>1613.56</v>
      </c>
      <c r="J57" t="str">
        <f>+'Paste Here'!V57</f>
        <v>IT Room, Restrooms, Janitor Closet</v>
      </c>
      <c r="K57">
        <f>+'Paste Here'!W57</f>
        <v>62446</v>
      </c>
    </row>
    <row r="58" spans="1:11">
      <c r="A58" t="str">
        <f t="shared" si="0"/>
        <v>INTERIOR DOORLOCKSET</v>
      </c>
      <c r="B58" t="str">
        <f>+'Paste Here'!N58</f>
        <v>Add On</v>
      </c>
      <c r="C58" t="str">
        <f>+'Paste Here'!O58</f>
        <v>INTERIOR DOOR</v>
      </c>
      <c r="D58" t="str">
        <f>+'Paste Here'!P58</f>
        <v>LOCKSET</v>
      </c>
      <c r="E58" t="str">
        <f>+'Paste Here'!Q58</f>
        <v>Passage - Grade 2 - Lever</v>
      </c>
      <c r="F58">
        <f>+'Paste Here'!R58</f>
        <v>9</v>
      </c>
      <c r="G58" t="str">
        <f>+'Paste Here'!S58</f>
        <v>EA</v>
      </c>
      <c r="H58">
        <f>+'Paste Here'!T58</f>
        <v>62.52</v>
      </c>
      <c r="I58">
        <f>+'Paste Here'!U58</f>
        <v>562.67999999999995</v>
      </c>
      <c r="J58" t="str">
        <f>+'Paste Here'!V58</f>
        <v>All interior doors, except restrooms and IT closet.</v>
      </c>
      <c r="K58">
        <f>+'Paste Here'!W58</f>
        <v>62445</v>
      </c>
    </row>
    <row r="59" spans="1:11">
      <c r="A59" t="str">
        <f t="shared" si="0"/>
        <v>INTERIOR DOORLOCKSET</v>
      </c>
      <c r="B59" t="str">
        <f>+'Paste Here'!N59</f>
        <v>Add On</v>
      </c>
      <c r="C59" t="str">
        <f>+'Paste Here'!O59</f>
        <v>INTERIOR DOOR</v>
      </c>
      <c r="D59" t="str">
        <f>+'Paste Here'!P59</f>
        <v>LOCKSET</v>
      </c>
      <c r="E59" t="str">
        <f>+'Paste Here'!Q59</f>
        <v>Privacy - Grade 2 - Lever</v>
      </c>
      <c r="F59">
        <f>+'Paste Here'!R59</f>
        <v>2</v>
      </c>
      <c r="G59" t="str">
        <f>+'Paste Here'!S59</f>
        <v>EA</v>
      </c>
      <c r="H59">
        <f>+'Paste Here'!T59</f>
        <v>62.52</v>
      </c>
      <c r="I59">
        <f>+'Paste Here'!U59</f>
        <v>125.04</v>
      </c>
      <c r="J59" t="str">
        <f>+'Paste Here'!V59</f>
        <v>Restrooms</v>
      </c>
      <c r="K59">
        <f>+'Paste Here'!W59</f>
        <v>62448</v>
      </c>
    </row>
    <row r="60" spans="1:11">
      <c r="A60" t="str">
        <f t="shared" si="0"/>
        <v>INTERIOR DOORLOCKSET</v>
      </c>
      <c r="B60" t="str">
        <f>+'Paste Here'!N60</f>
        <v>Add On</v>
      </c>
      <c r="C60" t="str">
        <f>+'Paste Here'!O60</f>
        <v>INTERIOR DOOR</v>
      </c>
      <c r="D60" t="str">
        <f>+'Paste Here'!P60</f>
        <v>LOCKSET</v>
      </c>
      <c r="E60" t="str">
        <f>+'Paste Here'!Q60</f>
        <v>Storeroom - Grade 2 - Lever</v>
      </c>
      <c r="F60">
        <f>+'Paste Here'!R60</f>
        <v>1</v>
      </c>
      <c r="G60" t="str">
        <f>+'Paste Here'!S60</f>
        <v>EA</v>
      </c>
      <c r="H60">
        <f>+'Paste Here'!T60</f>
        <v>67.89</v>
      </c>
      <c r="I60">
        <f>+'Paste Here'!U60</f>
        <v>67.89</v>
      </c>
      <c r="J60" t="str">
        <f>+'Paste Here'!V60</f>
        <v>IT Closet</v>
      </c>
      <c r="K60">
        <f>+'Paste Here'!W60</f>
        <v>62449</v>
      </c>
    </row>
    <row r="61" spans="1:11">
      <c r="A61" t="str">
        <f t="shared" si="0"/>
        <v>ELECTRICALPANEL</v>
      </c>
      <c r="B61" t="str">
        <f>+'Paste Here'!N61</f>
        <v>BOM</v>
      </c>
      <c r="C61" t="str">
        <f>+'Paste Here'!O61</f>
        <v>ELECTRICAL</v>
      </c>
      <c r="D61" t="str">
        <f>+'Paste Here'!P61</f>
        <v>PANEL</v>
      </c>
      <c r="E61" t="str">
        <f>+'Paste Here'!Q61</f>
        <v>Nema 3R, External, 200 Amp Single Phase W/Main</v>
      </c>
      <c r="F61">
        <f>+'Paste Here'!R61</f>
        <v>2</v>
      </c>
      <c r="G61" t="str">
        <f>+'Paste Here'!S61</f>
        <v>EA</v>
      </c>
      <c r="H61">
        <f>+'Paste Here'!T61</f>
        <v>672.7</v>
      </c>
      <c r="I61">
        <f>+'Paste Here'!U61</f>
        <v>1345.4</v>
      </c>
      <c r="J61" t="str">
        <f>+'Paste Here'!V61</f>
        <v>Bottom Fed Load Center</v>
      </c>
      <c r="K61">
        <f>+'Paste Here'!W61</f>
        <v>62503</v>
      </c>
    </row>
    <row r="62" spans="1:11">
      <c r="A62" t="str">
        <f t="shared" si="0"/>
        <v>ELECTRICALRACEWAY</v>
      </c>
      <c r="B62" t="str">
        <f>+'Paste Here'!N62</f>
        <v>BOM</v>
      </c>
      <c r="C62" t="str">
        <f>+'Paste Here'!O62</f>
        <v>ELECTRICAL</v>
      </c>
      <c r="D62" t="str">
        <f>+'Paste Here'!P62</f>
        <v>RACEWAY</v>
      </c>
      <c r="E62" t="str">
        <f>+'Paste Here'!Q62</f>
        <v>Flex W/ Ground</v>
      </c>
      <c r="F62">
        <f>+'Paste Here'!R62</f>
        <v>600</v>
      </c>
      <c r="G62" t="str">
        <f>+'Paste Here'!S62</f>
        <v>LF</v>
      </c>
      <c r="H62">
        <f>+'Paste Here'!T62</f>
        <v>3.1</v>
      </c>
      <c r="I62">
        <f>+'Paste Here'!U62</f>
        <v>1860</v>
      </c>
      <c r="J62" t="str">
        <f>+'Paste Here'!V62</f>
        <v>Romex wire ran through walls, MC cable above T-grid Ceiling</v>
      </c>
      <c r="K62">
        <f>+'Paste Here'!W62</f>
        <v>62453</v>
      </c>
    </row>
    <row r="63" spans="1:11">
      <c r="A63" t="str">
        <f t="shared" si="0"/>
        <v>ELECTRICALLIGHT</v>
      </c>
      <c r="B63" t="str">
        <f>+'Paste Here'!N63</f>
        <v>BOM</v>
      </c>
      <c r="C63" t="str">
        <f>+'Paste Here'!O63</f>
        <v>ELECTRICAL</v>
      </c>
      <c r="D63" t="str">
        <f>+'Paste Here'!P63</f>
        <v>LIGHT</v>
      </c>
      <c r="E63" t="str">
        <f>+'Paste Here'!Q63</f>
        <v>Flat Panel 2 X 2 - LED - 3400 Lumen</v>
      </c>
      <c r="F63">
        <f>+'Paste Here'!R63</f>
        <v>3</v>
      </c>
      <c r="G63" t="str">
        <f>+'Paste Here'!S63</f>
        <v>EA</v>
      </c>
      <c r="H63">
        <f>+'Paste Here'!T63</f>
        <v>64.11</v>
      </c>
      <c r="I63">
        <f>+'Paste Here'!U63</f>
        <v>192.33</v>
      </c>
      <c r="J63" t="str">
        <f>+'Paste Here'!V63</f>
        <v>Restroom Lights</v>
      </c>
      <c r="K63">
        <f>+'Paste Here'!W63</f>
        <v>62455</v>
      </c>
    </row>
    <row r="64" spans="1:11">
      <c r="A64" t="str">
        <f t="shared" si="0"/>
        <v>ELECTRICALLIGHT</v>
      </c>
      <c r="B64" t="str">
        <f>+'Paste Here'!N64</f>
        <v>BOM</v>
      </c>
      <c r="C64" t="str">
        <f>+'Paste Here'!O64</f>
        <v>ELECTRICAL</v>
      </c>
      <c r="D64" t="str">
        <f>+'Paste Here'!P64</f>
        <v>LIGHT</v>
      </c>
      <c r="E64" t="str">
        <f>+'Paste Here'!Q64</f>
        <v>Flat Panel 2 X 4 - LED - 4000 To 6000 Lumen</v>
      </c>
      <c r="F64">
        <f>+'Paste Here'!R64</f>
        <v>36</v>
      </c>
      <c r="G64" t="str">
        <f>+'Paste Here'!S64</f>
        <v>EA</v>
      </c>
      <c r="H64">
        <f>+'Paste Here'!T64</f>
        <v>74.11</v>
      </c>
      <c r="I64">
        <f>+'Paste Here'!U64</f>
        <v>2667.96</v>
      </c>
      <c r="J64" t="str">
        <f>+'Paste Here'!V64</f>
        <v/>
      </c>
      <c r="K64">
        <f>+'Paste Here'!W64</f>
        <v>62454</v>
      </c>
    </row>
    <row r="65" spans="1:11">
      <c r="A65" t="str">
        <f t="shared" si="0"/>
        <v>ELECTRICALEXTERIOR LIGHTS</v>
      </c>
      <c r="B65" t="str">
        <f>+'Paste Here'!N65</f>
        <v>BOM</v>
      </c>
      <c r="C65" t="str">
        <f>+'Paste Here'!O65</f>
        <v>ELECTRICAL</v>
      </c>
      <c r="D65" t="str">
        <f>+'Paste Here'!P65</f>
        <v>EXTERIOR LIGHTS</v>
      </c>
      <c r="E65" t="str">
        <f>+'Paste Here'!Q65</f>
        <v>Wall Pack LED With Photocell - 13/18/26W - 3000K/4000K/5000K</v>
      </c>
      <c r="F65">
        <f>+'Paste Here'!R65</f>
        <v>2</v>
      </c>
      <c r="G65" t="str">
        <f>+'Paste Here'!S65</f>
        <v>EA</v>
      </c>
      <c r="H65">
        <f>+'Paste Here'!T65</f>
        <v>62.68</v>
      </c>
      <c r="I65">
        <f>+'Paste Here'!U65</f>
        <v>125.36</v>
      </c>
      <c r="J65" t="str">
        <f>+'Paste Here'!V65</f>
        <v>Factory Standard</v>
      </c>
      <c r="K65">
        <f>+'Paste Here'!W65</f>
        <v>62456</v>
      </c>
    </row>
    <row r="66" spans="1:11">
      <c r="A66" t="str">
        <f t="shared" si="0"/>
        <v>ELECTRICALEXIT/EMERGENCY LIGHTS</v>
      </c>
      <c r="B66" t="str">
        <f>+'Paste Here'!N66</f>
        <v>BOM</v>
      </c>
      <c r="C66" t="str">
        <f>+'Paste Here'!O66</f>
        <v>ELECTRICAL</v>
      </c>
      <c r="D66" t="str">
        <f>+'Paste Here'!P66</f>
        <v>EXIT/EMERGENCY LIGHTS</v>
      </c>
      <c r="E66" t="str">
        <f>+'Paste Here'!Q66</f>
        <v>Emergency Light - Dual Head</v>
      </c>
      <c r="F66">
        <f>+'Paste Here'!R66</f>
        <v>5</v>
      </c>
      <c r="G66" t="str">
        <f>+'Paste Here'!S66</f>
        <v>EA</v>
      </c>
      <c r="H66">
        <f>+'Paste Here'!T66</f>
        <v>36.03</v>
      </c>
      <c r="I66">
        <f>+'Paste Here'!U66</f>
        <v>180.15</v>
      </c>
      <c r="J66" t="str">
        <f>+'Paste Here'!V66</f>
        <v/>
      </c>
      <c r="K66">
        <f>+'Paste Here'!W66</f>
        <v>62458</v>
      </c>
    </row>
    <row r="67" spans="1:11">
      <c r="A67" t="str">
        <f t="shared" ref="A67:A130" si="1">+CONCATENATE(C67,D67)</f>
        <v>ELECTRICALEXIT/EMERGENCY LIGHTS</v>
      </c>
      <c r="B67" t="str">
        <f>+'Paste Here'!N67</f>
        <v>BOM</v>
      </c>
      <c r="C67" t="str">
        <f>+'Paste Here'!O67</f>
        <v>ELECTRICAL</v>
      </c>
      <c r="D67" t="str">
        <f>+'Paste Here'!P67</f>
        <v>EXIT/EMERGENCY LIGHTS</v>
      </c>
      <c r="E67" t="str">
        <f>+'Paste Here'!Q67</f>
        <v>Exit Light - W/ Battery Backup - Red</v>
      </c>
      <c r="F67">
        <f>+'Paste Here'!R67</f>
        <v>2</v>
      </c>
      <c r="G67" t="str">
        <f>+'Paste Here'!S67</f>
        <v>EA</v>
      </c>
      <c r="H67">
        <f>+'Paste Here'!T67</f>
        <v>32.82</v>
      </c>
      <c r="I67">
        <f>+'Paste Here'!U67</f>
        <v>65.64</v>
      </c>
      <c r="J67" t="str">
        <f>+'Paste Here'!V67</f>
        <v/>
      </c>
      <c r="K67">
        <f>+'Paste Here'!W67</f>
        <v>62457</v>
      </c>
    </row>
    <row r="68" spans="1:11">
      <c r="A68" t="str">
        <f t="shared" si="1"/>
        <v>ELECTRICALEXIT/EMERGENCY LIGHTS</v>
      </c>
      <c r="B68" t="str">
        <f>+'Paste Here'!N68</f>
        <v>BOM</v>
      </c>
      <c r="C68" t="str">
        <f>+'Paste Here'!O68</f>
        <v>ELECTRICAL</v>
      </c>
      <c r="D68" t="str">
        <f>+'Paste Here'!P68</f>
        <v>EXIT/EMERGENCY LIGHTS</v>
      </c>
      <c r="E68" t="str">
        <f>+'Paste Here'!Q68</f>
        <v>Exit/Emergency Light Remote Capable - Red</v>
      </c>
      <c r="F68">
        <f>+'Paste Here'!R68</f>
        <v>2</v>
      </c>
      <c r="G68" t="str">
        <f>+'Paste Here'!S68</f>
        <v>EA</v>
      </c>
      <c r="H68">
        <f>+'Paste Here'!T68</f>
        <v>52.04</v>
      </c>
      <c r="I68">
        <f>+'Paste Here'!U68</f>
        <v>104.08</v>
      </c>
      <c r="J68" t="str">
        <f>+'Paste Here'!V68</f>
        <v/>
      </c>
      <c r="K68">
        <f>+'Paste Here'!W68</f>
        <v>62797</v>
      </c>
    </row>
    <row r="69" spans="1:11">
      <c r="A69" t="str">
        <f t="shared" si="1"/>
        <v>ELECTRICALEXIT/EMERGENCY LIGHTS</v>
      </c>
      <c r="B69" t="str">
        <f>+'Paste Here'!N69</f>
        <v>BOM</v>
      </c>
      <c r="C69" t="str">
        <f>+'Paste Here'!O69</f>
        <v>ELECTRICAL</v>
      </c>
      <c r="D69" t="str">
        <f>+'Paste Here'!P69</f>
        <v>EXIT/EMERGENCY LIGHTS</v>
      </c>
      <c r="E69" t="str">
        <f>+'Paste Here'!Q69</f>
        <v>Exterior Remote Head For Emergency Light</v>
      </c>
      <c r="F69">
        <f>+'Paste Here'!R69</f>
        <v>2</v>
      </c>
      <c r="G69" t="str">
        <f>+'Paste Here'!S69</f>
        <v>EA</v>
      </c>
      <c r="H69">
        <f>+'Paste Here'!T69</f>
        <v>22.9</v>
      </c>
      <c r="I69">
        <f>+'Paste Here'!U69</f>
        <v>45.8</v>
      </c>
      <c r="J69" t="str">
        <f>+'Paste Here'!V69</f>
        <v/>
      </c>
      <c r="K69">
        <f>+'Paste Here'!W69</f>
        <v>62459</v>
      </c>
    </row>
    <row r="70" spans="1:11">
      <c r="A70" t="str">
        <f t="shared" si="1"/>
        <v>ELECTRICALSWITCH</v>
      </c>
      <c r="B70" t="str">
        <f>+'Paste Here'!N70</f>
        <v>BOM</v>
      </c>
      <c r="C70" t="str">
        <f>+'Paste Here'!O70</f>
        <v>ELECTRICAL</v>
      </c>
      <c r="D70" t="str">
        <f>+'Paste Here'!P70</f>
        <v>SWITCH</v>
      </c>
      <c r="E70" t="str">
        <f>+'Paste Here'!Q70</f>
        <v>Momentary Switch - DCC-2</v>
      </c>
      <c r="F70">
        <f>+'Paste Here'!R70</f>
        <v>3</v>
      </c>
      <c r="G70" t="str">
        <f>+'Paste Here'!S70</f>
        <v>EA</v>
      </c>
      <c r="H70">
        <f>+'Paste Here'!T70</f>
        <v>43.81</v>
      </c>
      <c r="I70">
        <f>+'Paste Here'!U70</f>
        <v>131.43</v>
      </c>
      <c r="J70" t="str">
        <f>+'Paste Here'!V70</f>
        <v/>
      </c>
      <c r="K70">
        <f>+'Paste Here'!W70</f>
        <v>62460</v>
      </c>
    </row>
    <row r="71" spans="1:11">
      <c r="A71" t="str">
        <f t="shared" si="1"/>
        <v>ELECTRICALSWITCH</v>
      </c>
      <c r="B71" t="str">
        <f>+'Paste Here'!N71</f>
        <v>BOM</v>
      </c>
      <c r="C71" t="str">
        <f>+'Paste Here'!O71</f>
        <v>ELECTRICAL</v>
      </c>
      <c r="D71" t="str">
        <f>+'Paste Here'!P71</f>
        <v>SWITCH</v>
      </c>
      <c r="E71" t="str">
        <f>+'Paste Here'!Q71</f>
        <v>Occupancy Sensor Ceiling Mount (Single Relay)</v>
      </c>
      <c r="F71">
        <f>+'Paste Here'!R71</f>
        <v>3</v>
      </c>
      <c r="G71" t="str">
        <f>+'Paste Here'!S71</f>
        <v>EA</v>
      </c>
      <c r="H71">
        <f>+'Paste Here'!T71</f>
        <v>256.13</v>
      </c>
      <c r="I71">
        <f>+'Paste Here'!U71</f>
        <v>768.39</v>
      </c>
      <c r="J71" t="str">
        <f>+'Paste Here'!V71</f>
        <v>By exterior doors and door into Gym from rated corridor.</v>
      </c>
      <c r="K71">
        <f>+'Paste Here'!W71</f>
        <v>62461</v>
      </c>
    </row>
    <row r="72" spans="1:11">
      <c r="A72" t="str">
        <f t="shared" si="1"/>
        <v>ELECTRICALSWITCH</v>
      </c>
      <c r="B72" t="str">
        <f>+'Paste Here'!N72</f>
        <v>BOM</v>
      </c>
      <c r="C72" t="str">
        <f>+'Paste Here'!O72</f>
        <v>ELECTRICAL</v>
      </c>
      <c r="D72" t="str">
        <f>+'Paste Here'!P72</f>
        <v>SWITCH</v>
      </c>
      <c r="E72" t="str">
        <f>+'Paste Here'!Q72</f>
        <v>Occupancy Sensor Wall Mount (Dual Relay)</v>
      </c>
      <c r="F72">
        <f>+'Paste Here'!R72</f>
        <v>5</v>
      </c>
      <c r="G72" t="str">
        <f>+'Paste Here'!S72</f>
        <v>EA</v>
      </c>
      <c r="H72">
        <f>+'Paste Here'!T72</f>
        <v>67.06</v>
      </c>
      <c r="I72">
        <f>+'Paste Here'!U72</f>
        <v>335.3</v>
      </c>
      <c r="J72" t="str">
        <f>+'Paste Here'!V72</f>
        <v>PW301 switch for Restrooms, Humidor, Closet, Break Room</v>
      </c>
      <c r="K72">
        <f>+'Paste Here'!W72</f>
        <v>62466</v>
      </c>
    </row>
    <row r="73" spans="1:11">
      <c r="A73" t="str">
        <f t="shared" si="1"/>
        <v>ELECTRICALSWITCH</v>
      </c>
      <c r="B73" t="str">
        <f>+'Paste Here'!N73</f>
        <v>BOM</v>
      </c>
      <c r="C73" t="str">
        <f>+'Paste Here'!O73</f>
        <v>ELECTRICAL</v>
      </c>
      <c r="D73" t="str">
        <f>+'Paste Here'!P73</f>
        <v>SWITCH</v>
      </c>
      <c r="E73" t="str">
        <f>+'Paste Here'!Q73</f>
        <v>Occupancy Sensor Wall Mount (Single Relay)</v>
      </c>
      <c r="F73">
        <f>+'Paste Here'!R73</f>
        <v>4</v>
      </c>
      <c r="G73" t="str">
        <f>+'Paste Here'!S73</f>
        <v>EA</v>
      </c>
      <c r="H73">
        <f>+'Paste Here'!T73</f>
        <v>114.92</v>
      </c>
      <c r="I73">
        <f>+'Paste Here'!U73</f>
        <v>459.68</v>
      </c>
      <c r="J73" t="str">
        <f>+'Paste Here'!V73</f>
        <v>Offices</v>
      </c>
      <c r="K73">
        <f>+'Paste Here'!W73</f>
        <v>62465</v>
      </c>
    </row>
    <row r="74" spans="1:11">
      <c r="A74" t="str">
        <f t="shared" si="1"/>
        <v>ELECTRICALSWITCH</v>
      </c>
      <c r="B74" t="str">
        <f>+'Paste Here'!N74</f>
        <v>BOM</v>
      </c>
      <c r="C74" t="str">
        <f>+'Paste Here'!O74</f>
        <v>ELECTRICAL</v>
      </c>
      <c r="D74" t="str">
        <f>+'Paste Here'!P74</f>
        <v>SWITCH</v>
      </c>
      <c r="E74" t="str">
        <f>+'Paste Here'!Q74</f>
        <v>Photo Sensor Ceiling Mount</v>
      </c>
      <c r="F74">
        <f>+'Paste Here'!R74</f>
        <v>2</v>
      </c>
      <c r="G74" t="str">
        <f>+'Paste Here'!S74</f>
        <v>EA</v>
      </c>
      <c r="H74">
        <f>+'Paste Here'!T74</f>
        <v>138.32</v>
      </c>
      <c r="I74">
        <f>+'Paste Here'!U74</f>
        <v>276.64</v>
      </c>
      <c r="J74" t="str">
        <f>+'Paste Here'!V74</f>
        <v>Gym, Corridor</v>
      </c>
      <c r="K74">
        <f>+'Paste Here'!W74</f>
        <v>62464</v>
      </c>
    </row>
    <row r="75" spans="1:11">
      <c r="A75" t="str">
        <f t="shared" si="1"/>
        <v>ELECTRICALSWITCH</v>
      </c>
      <c r="B75" t="str">
        <f>+'Paste Here'!N75</f>
        <v>BOM</v>
      </c>
      <c r="C75" t="str">
        <f>+'Paste Here'!O75</f>
        <v>ELECTRICAL</v>
      </c>
      <c r="D75" t="str">
        <f>+'Paste Here'!P75</f>
        <v>SWITCH</v>
      </c>
      <c r="E75" t="str">
        <f>+'Paste Here'!Q75</f>
        <v>Photo Sensor Remote</v>
      </c>
      <c r="F75">
        <f>+'Paste Here'!R75</f>
        <v>1</v>
      </c>
      <c r="G75" t="str">
        <f>+'Paste Here'!S75</f>
        <v>EA</v>
      </c>
      <c r="H75">
        <f>+'Paste Here'!T75</f>
        <v>30.04</v>
      </c>
      <c r="I75">
        <f>+'Paste Here'!U75</f>
        <v>30.04</v>
      </c>
      <c r="J75" t="str">
        <f>+'Paste Here'!V75</f>
        <v/>
      </c>
      <c r="K75">
        <f>+'Paste Here'!W75</f>
        <v>62463</v>
      </c>
    </row>
    <row r="76" spans="1:11">
      <c r="A76" t="str">
        <f t="shared" si="1"/>
        <v>ELECTRICALSWITCH</v>
      </c>
      <c r="B76" t="str">
        <f>+'Paste Here'!N76</f>
        <v>BOM</v>
      </c>
      <c r="C76" t="str">
        <f>+'Paste Here'!O76</f>
        <v>ELECTRICAL</v>
      </c>
      <c r="D76" t="str">
        <f>+'Paste Here'!P76</f>
        <v>SWITCH</v>
      </c>
      <c r="E76" t="str">
        <f>+'Paste Here'!Q76</f>
        <v>Switch Dimmer</v>
      </c>
      <c r="F76">
        <f>+'Paste Here'!R76</f>
        <v>3</v>
      </c>
      <c r="G76" t="str">
        <f>+'Paste Here'!S76</f>
        <v>EA</v>
      </c>
      <c r="H76">
        <f>+'Paste Here'!T76</f>
        <v>111.75</v>
      </c>
      <c r="I76">
        <f>+'Paste Here'!U76</f>
        <v>335.25</v>
      </c>
      <c r="J76" t="str">
        <f>+'Paste Here'!V76</f>
        <v>Humidor, Gym, Storage</v>
      </c>
      <c r="K76">
        <f>+'Paste Here'!W76</f>
        <v>62462</v>
      </c>
    </row>
    <row r="77" spans="1:11">
      <c r="A77" t="str">
        <f t="shared" si="1"/>
        <v>ELECTRICALRECEPTACLE</v>
      </c>
      <c r="B77" t="str">
        <f>+'Paste Here'!N77</f>
        <v>BOM</v>
      </c>
      <c r="C77" t="str">
        <f>+'Paste Here'!O77</f>
        <v>ELECTRICAL</v>
      </c>
      <c r="D77" t="str">
        <f>+'Paste Here'!P77</f>
        <v>RECEPTACLE</v>
      </c>
      <c r="E77" t="str">
        <f>+'Paste Here'!Q77</f>
        <v>20A - Duplex</v>
      </c>
      <c r="F77">
        <f>+'Paste Here'!R77</f>
        <v>24</v>
      </c>
      <c r="G77" t="str">
        <f>+'Paste Here'!S77</f>
        <v>EA</v>
      </c>
      <c r="H77">
        <f>+'Paste Here'!T77</f>
        <v>29.37</v>
      </c>
      <c r="I77">
        <f>+'Paste Here'!U77</f>
        <v>704.88</v>
      </c>
      <c r="J77" t="str">
        <f>+'Paste Here'!V77</f>
        <v/>
      </c>
      <c r="K77">
        <f>+'Paste Here'!W77</f>
        <v>62644</v>
      </c>
    </row>
    <row r="78" spans="1:11">
      <c r="A78" t="str">
        <f t="shared" si="1"/>
        <v>ELECTRICALRECEPTACLE</v>
      </c>
      <c r="B78" t="str">
        <f>+'Paste Here'!N78</f>
        <v>BOM</v>
      </c>
      <c r="C78" t="str">
        <f>+'Paste Here'!O78</f>
        <v>ELECTRICAL</v>
      </c>
      <c r="D78" t="str">
        <f>+'Paste Here'!P78</f>
        <v>RECEPTACLE</v>
      </c>
      <c r="E78" t="str">
        <f>+'Paste Here'!Q78</f>
        <v>20A - Duplex - Dedicated</v>
      </c>
      <c r="F78">
        <f>+'Paste Here'!R78</f>
        <v>1</v>
      </c>
      <c r="G78" t="str">
        <f>+'Paste Here'!S78</f>
        <v>EA</v>
      </c>
      <c r="H78">
        <f>+'Paste Here'!T78</f>
        <v>57.35</v>
      </c>
      <c r="I78">
        <f>+'Paste Here'!U78</f>
        <v>57.35</v>
      </c>
      <c r="J78" t="str">
        <f>+'Paste Here'!V78</f>
        <v>IT Closet</v>
      </c>
      <c r="K78">
        <f>+'Paste Here'!W78</f>
        <v>62727</v>
      </c>
    </row>
    <row r="79" spans="1:11">
      <c r="A79" t="str">
        <f t="shared" si="1"/>
        <v>ELECTRICALRECEPTACLE</v>
      </c>
      <c r="B79" t="str">
        <f>+'Paste Here'!N79</f>
        <v>BOM</v>
      </c>
      <c r="C79" t="str">
        <f>+'Paste Here'!O79</f>
        <v>ELECTRICAL</v>
      </c>
      <c r="D79" t="str">
        <f>+'Paste Here'!P79</f>
        <v>RECEPTACLE</v>
      </c>
      <c r="E79" t="str">
        <f>+'Paste Here'!Q79</f>
        <v>20A - Duplex - Tamper Resistant</v>
      </c>
      <c r="F79">
        <f>+'Paste Here'!R79</f>
        <v>6</v>
      </c>
      <c r="G79" t="str">
        <f>+'Paste Here'!S79</f>
        <v>EA</v>
      </c>
      <c r="H79">
        <f>+'Paste Here'!T79</f>
        <v>28.39</v>
      </c>
      <c r="I79">
        <f>+'Paste Here'!U79</f>
        <v>170.34</v>
      </c>
      <c r="J79" t="str">
        <f>+'Paste Here'!V79</f>
        <v>Gym, Corridor</v>
      </c>
      <c r="K79">
        <f>+'Paste Here'!W79</f>
        <v>62643</v>
      </c>
    </row>
    <row r="80" spans="1:11">
      <c r="A80" t="str">
        <f t="shared" si="1"/>
        <v>ELECTRICALRECEPTACLE</v>
      </c>
      <c r="B80" t="str">
        <f>+'Paste Here'!N80</f>
        <v>BOM</v>
      </c>
      <c r="C80" t="str">
        <f>+'Paste Here'!O80</f>
        <v>ELECTRICAL</v>
      </c>
      <c r="D80" t="str">
        <f>+'Paste Here'!P80</f>
        <v>RECEPTACLE</v>
      </c>
      <c r="E80" t="str">
        <f>+'Paste Here'!Q80</f>
        <v>20A - GFCI Duplex</v>
      </c>
      <c r="F80">
        <f>+'Paste Here'!R80</f>
        <v>4</v>
      </c>
      <c r="G80" t="str">
        <f>+'Paste Here'!S80</f>
        <v>EA</v>
      </c>
      <c r="H80">
        <f>+'Paste Here'!T80</f>
        <v>38.47</v>
      </c>
      <c r="I80">
        <f>+'Paste Here'!U80</f>
        <v>153.88</v>
      </c>
      <c r="J80" t="str">
        <f>+'Paste Here'!V80</f>
        <v>(1) break room, (1) humidor, (1) per RR,</v>
      </c>
      <c r="K80">
        <f>+'Paste Here'!W80</f>
        <v>62469</v>
      </c>
    </row>
    <row r="81" spans="1:11">
      <c r="A81" t="str">
        <f t="shared" si="1"/>
        <v>ELECTRICALRECEPTACLE</v>
      </c>
      <c r="B81" t="str">
        <f>+'Paste Here'!N81</f>
        <v>BOM</v>
      </c>
      <c r="C81" t="str">
        <f>+'Paste Here'!O81</f>
        <v>ELECTRICAL</v>
      </c>
      <c r="D81" t="str">
        <f>+'Paste Here'!P81</f>
        <v>RECEPTACLE</v>
      </c>
      <c r="E81" t="str">
        <f>+'Paste Here'!Q81</f>
        <v>20A - GFCI Duplex - Dedicated</v>
      </c>
      <c r="F81">
        <f>+'Paste Here'!R81</f>
        <v>2</v>
      </c>
      <c r="G81" t="str">
        <f>+'Paste Here'!S81</f>
        <v>EA</v>
      </c>
      <c r="H81">
        <f>+'Paste Here'!T81</f>
        <v>66.58</v>
      </c>
      <c r="I81">
        <f>+'Paste Here'!U81</f>
        <v>133.16</v>
      </c>
      <c r="J81" t="str">
        <f>+'Paste Here'!V81</f>
        <v>(2) in break area</v>
      </c>
      <c r="K81">
        <f>+'Paste Here'!W81</f>
        <v>62470</v>
      </c>
    </row>
    <row r="82" spans="1:11">
      <c r="A82" t="str">
        <f t="shared" si="1"/>
        <v>ELECTRICALRECEPTACLE</v>
      </c>
      <c r="B82" t="str">
        <f>+'Paste Here'!N82</f>
        <v>BOM</v>
      </c>
      <c r="C82" t="str">
        <f>+'Paste Here'!O82</f>
        <v>ELECTRICAL</v>
      </c>
      <c r="D82" t="str">
        <f>+'Paste Here'!P82</f>
        <v>RECEPTACLE</v>
      </c>
      <c r="E82" t="str">
        <f>+'Paste Here'!Q82</f>
        <v>20A - WR For Heat Tape (Switched)</v>
      </c>
      <c r="F82">
        <f>+'Paste Here'!R82</f>
        <v>1</v>
      </c>
      <c r="G82" t="str">
        <f>+'Paste Here'!S82</f>
        <v>EA</v>
      </c>
      <c r="H82">
        <f>+'Paste Here'!T82</f>
        <v>102.83</v>
      </c>
      <c r="I82">
        <f>+'Paste Here'!U82</f>
        <v>102.83</v>
      </c>
      <c r="J82" t="str">
        <f>+'Paste Here'!V82</f>
        <v/>
      </c>
      <c r="K82">
        <f>+'Paste Here'!W82</f>
        <v>62471</v>
      </c>
    </row>
    <row r="83" spans="1:11">
      <c r="A83" t="str">
        <f t="shared" si="1"/>
        <v>ELECTRICALRECEPTACLE</v>
      </c>
      <c r="B83" t="str">
        <f>+'Paste Here'!N83</f>
        <v>BOM</v>
      </c>
      <c r="C83" t="str">
        <f>+'Paste Here'!O83</f>
        <v>ELECTRICAL</v>
      </c>
      <c r="D83" t="str">
        <f>+'Paste Here'!P83</f>
        <v>RECEPTACLE</v>
      </c>
      <c r="E83" t="str">
        <f>+'Paste Here'!Q83</f>
        <v>20A - WR GFCI Protected W/ While In Use Cover</v>
      </c>
      <c r="F83">
        <f>+'Paste Here'!R83</f>
        <v>3</v>
      </c>
      <c r="G83" t="str">
        <f>+'Paste Here'!S83</f>
        <v>EA</v>
      </c>
      <c r="H83">
        <f>+'Paste Here'!T83</f>
        <v>49.27</v>
      </c>
      <c r="I83">
        <f>+'Paste Here'!U83</f>
        <v>147.81</v>
      </c>
      <c r="J83" t="str">
        <f>+'Paste Here'!V83</f>
        <v/>
      </c>
      <c r="K83">
        <f>+'Paste Here'!W83</f>
        <v>62472</v>
      </c>
    </row>
    <row r="84" spans="1:11">
      <c r="A84" t="str">
        <f t="shared" si="1"/>
        <v>ELECTRICALJ-BOXES</v>
      </c>
      <c r="B84" t="str">
        <f>+'Paste Here'!N84</f>
        <v>BOM</v>
      </c>
      <c r="C84" t="str">
        <f>+'Paste Here'!O84</f>
        <v>ELECTRICAL</v>
      </c>
      <c r="D84" t="str">
        <f>+'Paste Here'!P84</f>
        <v>J-BOXES</v>
      </c>
      <c r="E84" t="str">
        <f>+'Paste Here'!Q84</f>
        <v>20A - Hard Wired J-Box</v>
      </c>
      <c r="F84">
        <f>+'Paste Here'!R84</f>
        <v>1</v>
      </c>
      <c r="G84" t="str">
        <f>+'Paste Here'!S84</f>
        <v>EA</v>
      </c>
      <c r="H84">
        <f>+'Paste Here'!T84</f>
        <v>54.82</v>
      </c>
      <c r="I84">
        <f>+'Paste Here'!U84</f>
        <v>54.82</v>
      </c>
      <c r="J84" t="str">
        <f>+'Paste Here'!V84</f>
        <v>For dedicated sign</v>
      </c>
      <c r="K84">
        <f>+'Paste Here'!W84</f>
        <v>62645</v>
      </c>
    </row>
    <row r="85" spans="1:11">
      <c r="A85" t="str">
        <f t="shared" si="1"/>
        <v>ELECTRICALPHONE/DATA</v>
      </c>
      <c r="B85" t="str">
        <f>+'Paste Here'!N85</f>
        <v>Add On</v>
      </c>
      <c r="C85" t="str">
        <f>+'Paste Here'!O85</f>
        <v>ELECTRICAL</v>
      </c>
      <c r="D85" t="str">
        <f>+'Paste Here'!P85</f>
        <v>PHONE/DATA</v>
      </c>
      <c r="E85" t="str">
        <f>+'Paste Here'!Q85</f>
        <v>4'x4' FR 5/8" CDX</v>
      </c>
      <c r="F85">
        <f>+'Paste Here'!R85</f>
        <v>1</v>
      </c>
      <c r="G85" t="str">
        <f>+'Paste Here'!S85</f>
        <v>EA</v>
      </c>
      <c r="H85">
        <f>+'Paste Here'!T85</f>
        <v>50</v>
      </c>
      <c r="I85">
        <f>+'Paste Here'!U85</f>
        <v>50</v>
      </c>
      <c r="J85" t="str">
        <f>+'Paste Here'!V85</f>
        <v>For data board mounting in IT closet.</v>
      </c>
      <c r="K85">
        <f>+'Paste Here'!W85</f>
        <v>62798</v>
      </c>
    </row>
    <row r="86" spans="1:11">
      <c r="A86" t="str">
        <f t="shared" si="1"/>
        <v>ELECTRICALPHONE/DATA</v>
      </c>
      <c r="B86" t="str">
        <f>+'Paste Here'!N86</f>
        <v>BOM</v>
      </c>
      <c r="C86" t="str">
        <f>+'Paste Here'!O86</f>
        <v>ELECTRICAL</v>
      </c>
      <c r="D86" t="str">
        <f>+'Paste Here'!P86</f>
        <v>PHONE/DATA</v>
      </c>
      <c r="E86" t="str">
        <f>+'Paste Here'!Q86</f>
        <v>4X4 J-Box W/ Mud Ring &amp; 3/4" Conduit</v>
      </c>
      <c r="F86">
        <f>+'Paste Here'!R86</f>
        <v>22</v>
      </c>
      <c r="G86" t="str">
        <f>+'Paste Here'!S86</f>
        <v>EA</v>
      </c>
      <c r="H86">
        <f>+'Paste Here'!T86</f>
        <v>15.57</v>
      </c>
      <c r="I86">
        <f>+'Paste Here'!U86</f>
        <v>342.54</v>
      </c>
      <c r="J86" t="str">
        <f>+'Paste Here'!V86</f>
        <v/>
      </c>
      <c r="K86">
        <f>+'Paste Here'!W86</f>
        <v>62474</v>
      </c>
    </row>
    <row r="87" spans="1:11">
      <c r="A87" t="str">
        <f t="shared" si="1"/>
        <v>ELECTRICALPHONE/DATA</v>
      </c>
      <c r="B87" t="str">
        <f>+'Paste Here'!N87</f>
        <v>BOM</v>
      </c>
      <c r="C87" t="str">
        <f>+'Paste Here'!O87</f>
        <v>ELECTRICAL</v>
      </c>
      <c r="D87" t="str">
        <f>+'Paste Here'!P87</f>
        <v>PHONE/DATA</v>
      </c>
      <c r="E87" t="str">
        <f>+'Paste Here'!Q87</f>
        <v>6X6 Nema 3R Entrance Box</v>
      </c>
      <c r="F87">
        <f>+'Paste Here'!R87</f>
        <v>1</v>
      </c>
      <c r="G87" t="str">
        <f>+'Paste Here'!S87</f>
        <v>EA</v>
      </c>
      <c r="H87">
        <f>+'Paste Here'!T87</f>
        <v>51.37</v>
      </c>
      <c r="I87">
        <f>+'Paste Here'!U87</f>
        <v>51.37</v>
      </c>
      <c r="J87" t="str">
        <f>+'Paste Here'!V87</f>
        <v>Outside IT closet in storage.</v>
      </c>
      <c r="K87">
        <f>+'Paste Here'!W87</f>
        <v>62475</v>
      </c>
    </row>
    <row r="88" spans="1:11">
      <c r="A88" t="str">
        <f t="shared" si="1"/>
        <v>PLUMBINGPIPE</v>
      </c>
      <c r="B88" t="str">
        <f>+'Paste Here'!N88</f>
        <v>Add On</v>
      </c>
      <c r="C88" t="str">
        <f>+'Paste Here'!O88</f>
        <v>PLUMBING</v>
      </c>
      <c r="D88" t="str">
        <f>+'Paste Here'!P88</f>
        <v>PIPE</v>
      </c>
      <c r="E88" t="str">
        <f>+'Paste Here'!Q88</f>
        <v>Pex Plumbing Drop</v>
      </c>
      <c r="F88">
        <f>+'Paste Here'!R88</f>
        <v>11</v>
      </c>
      <c r="G88" t="str">
        <f>+'Paste Here'!S88</f>
        <v>EA</v>
      </c>
      <c r="H88">
        <f>+'Paste Here'!T88</f>
        <v>95</v>
      </c>
      <c r="I88">
        <f>+'Paste Here'!U88</f>
        <v>1045</v>
      </c>
      <c r="J88" t="str">
        <f>+'Paste Here'!V88</f>
        <v/>
      </c>
      <c r="K88">
        <f>+'Paste Here'!W88</f>
        <v>62476</v>
      </c>
    </row>
    <row r="89" spans="1:11">
      <c r="A89" t="str">
        <f t="shared" si="1"/>
        <v>PLUMBINGWATER CLOSET</v>
      </c>
      <c r="B89" t="str">
        <f>+'Paste Here'!N89</f>
        <v>BOM</v>
      </c>
      <c r="C89" t="str">
        <f>+'Paste Here'!O89</f>
        <v>PLUMBING</v>
      </c>
      <c r="D89" t="str">
        <f>+'Paste Here'!P89</f>
        <v>WATER CLOSET</v>
      </c>
      <c r="E89" t="str">
        <f>+'Paste Here'!Q89</f>
        <v>Water Closet - ADA - Tank Type - 1.28gpf - Elg - White</v>
      </c>
      <c r="F89">
        <f>+'Paste Here'!R89</f>
        <v>2</v>
      </c>
      <c r="G89" t="str">
        <f>+'Paste Here'!S89</f>
        <v>EA</v>
      </c>
      <c r="H89">
        <f>+'Paste Here'!T89</f>
        <v>479.26</v>
      </c>
      <c r="I89">
        <f>+'Paste Here'!U89</f>
        <v>958.52</v>
      </c>
      <c r="J89" t="str">
        <f>+'Paste Here'!V89</f>
        <v/>
      </c>
      <c r="K89">
        <f>+'Paste Here'!W89</f>
        <v>62671</v>
      </c>
    </row>
    <row r="90" spans="1:11">
      <c r="A90" t="str">
        <f t="shared" si="1"/>
        <v>PLUMBINGLAVATORIES</v>
      </c>
      <c r="B90" t="str">
        <f>+'Paste Here'!N90</f>
        <v>BOM</v>
      </c>
      <c r="C90" t="str">
        <f>+'Paste Here'!O90</f>
        <v>PLUMBING</v>
      </c>
      <c r="D90" t="str">
        <f>+'Paste Here'!P90</f>
        <v>LAVATORIES</v>
      </c>
      <c r="E90" t="str">
        <f>+'Paste Here'!Q90</f>
        <v>Lavatory - Wall Hung</v>
      </c>
      <c r="F90">
        <f>+'Paste Here'!R90</f>
        <v>2</v>
      </c>
      <c r="G90" t="str">
        <f>+'Paste Here'!S90</f>
        <v>EA</v>
      </c>
      <c r="H90">
        <f>+'Paste Here'!T90</f>
        <v>562.61</v>
      </c>
      <c r="I90">
        <f>+'Paste Here'!U90</f>
        <v>1125.22</v>
      </c>
      <c r="J90" t="str">
        <f>+'Paste Here'!V90</f>
        <v/>
      </c>
      <c r="K90">
        <f>+'Paste Here'!W90</f>
        <v>62641</v>
      </c>
    </row>
    <row r="91" spans="1:11">
      <c r="A91" t="str">
        <f t="shared" si="1"/>
        <v>PLUMBINGLAVATORIES</v>
      </c>
      <c r="B91" t="str">
        <f>+'Paste Here'!N91</f>
        <v>BOM</v>
      </c>
      <c r="C91" t="str">
        <f>+'Paste Here'!O91</f>
        <v>PLUMBING</v>
      </c>
      <c r="D91" t="str">
        <f>+'Paste Here'!P91</f>
        <v>LAVATORIES</v>
      </c>
      <c r="E91" t="str">
        <f>+'Paste Here'!Q91</f>
        <v>Thermostatic Mixing Valve</v>
      </c>
      <c r="F91">
        <f>+'Paste Here'!R91</f>
        <v>3</v>
      </c>
      <c r="G91" t="str">
        <f>+'Paste Here'!S91</f>
        <v>EA</v>
      </c>
      <c r="H91">
        <f>+'Paste Here'!T91</f>
        <v>54.33</v>
      </c>
      <c r="I91">
        <f>+'Paste Here'!U91</f>
        <v>162.99</v>
      </c>
      <c r="J91" t="str">
        <f>+'Paste Here'!V91</f>
        <v>At each sink/lavy.</v>
      </c>
      <c r="K91">
        <f>+'Paste Here'!W91</f>
        <v>62479</v>
      </c>
    </row>
    <row r="92" spans="1:11">
      <c r="A92" t="str">
        <f t="shared" si="1"/>
        <v>PLUMBINGKITCHEN SINKS</v>
      </c>
      <c r="B92" t="str">
        <f>+'Paste Here'!N92</f>
        <v>BOM</v>
      </c>
      <c r="C92" t="str">
        <f>+'Paste Here'!O92</f>
        <v>PLUMBING</v>
      </c>
      <c r="D92" t="str">
        <f>+'Paste Here'!P92</f>
        <v>KITCHEN SINKS</v>
      </c>
      <c r="E92" t="str">
        <f>+'Paste Here'!Q92</f>
        <v>25" X 22" S.S. Single Bowl Sink</v>
      </c>
      <c r="F92">
        <f>+'Paste Here'!R92</f>
        <v>1</v>
      </c>
      <c r="G92" t="str">
        <f>+'Paste Here'!S92</f>
        <v>EA</v>
      </c>
      <c r="H92">
        <f>+'Paste Here'!T92</f>
        <v>490.01</v>
      </c>
      <c r="I92">
        <f>+'Paste Here'!U92</f>
        <v>490.01</v>
      </c>
      <c r="J92" t="str">
        <f>+'Paste Here'!V92</f>
        <v>Factory Standard S.S. Single Bowl Sink - Break Area</v>
      </c>
      <c r="K92">
        <f>+'Paste Here'!W92</f>
        <v>62640</v>
      </c>
    </row>
    <row r="93" spans="1:11">
      <c r="A93" t="str">
        <f t="shared" si="1"/>
        <v>PLUMBINGDRINKING FOUNTAIN</v>
      </c>
      <c r="B93" t="str">
        <f>+'Paste Here'!N93</f>
        <v>BOM</v>
      </c>
      <c r="C93" t="str">
        <f>+'Paste Here'!O93</f>
        <v>PLUMBING</v>
      </c>
      <c r="D93" t="str">
        <f>+'Paste Here'!P93</f>
        <v>DRINKING FOUNTAIN</v>
      </c>
      <c r="E93" t="str">
        <f>+'Paste Here'!Q93</f>
        <v>Water Cooler - Hi/Low - W/ GFI</v>
      </c>
      <c r="F93">
        <f>+'Paste Here'!R93</f>
        <v>1</v>
      </c>
      <c r="G93" t="str">
        <f>+'Paste Here'!S93</f>
        <v>EA</v>
      </c>
      <c r="H93">
        <f>+'Paste Here'!T93</f>
        <v>1550.36</v>
      </c>
      <c r="I93">
        <f>+'Paste Here'!U93</f>
        <v>1550.36</v>
      </c>
      <c r="J93" t="str">
        <f>+'Paste Here'!V93</f>
        <v>Occupancy Load greater than 30, Hi/Low ADA D.F. required per Idaho Plumbing Code.  Option for site install by others.
Location TBD but recommend in classroom area or build an alcove to put it in fire corridor hallway.</v>
      </c>
      <c r="K93">
        <f>+'Paste Here'!W93</f>
        <v>62646</v>
      </c>
    </row>
    <row r="94" spans="1:11">
      <c r="A94" t="str">
        <f t="shared" si="1"/>
        <v>PLUMBINGMOP SINK</v>
      </c>
      <c r="B94" t="str">
        <f>+'Paste Here'!N94</f>
        <v>BOM</v>
      </c>
      <c r="C94" t="str">
        <f>+'Paste Here'!O94</f>
        <v>PLUMBING</v>
      </c>
      <c r="D94" t="str">
        <f>+'Paste Here'!P94</f>
        <v>MOP SINK</v>
      </c>
      <c r="E94" t="str">
        <f>+'Paste Here'!Q94</f>
        <v>Mop Sink-Floor Mnt-Inclds Hose &amp; Hanger</v>
      </c>
      <c r="F94">
        <f>+'Paste Here'!R94</f>
        <v>1</v>
      </c>
      <c r="G94" t="str">
        <f>+'Paste Here'!S94</f>
        <v>EA</v>
      </c>
      <c r="H94">
        <f>+'Paste Here'!T94</f>
        <v>690.97</v>
      </c>
      <c r="I94">
        <f>+'Paste Here'!U94</f>
        <v>690.97</v>
      </c>
      <c r="J94" t="str">
        <f>+'Paste Here'!V94</f>
        <v>To be in a janitor closet, location TBD, required per Idaho Plumbing Code</v>
      </c>
      <c r="K94">
        <f>+'Paste Here'!W94</f>
        <v>62481</v>
      </c>
    </row>
    <row r="95" spans="1:11">
      <c r="A95" t="str">
        <f t="shared" si="1"/>
        <v>PLUMBINGWATER HEATERS</v>
      </c>
      <c r="B95" t="str">
        <f>+'Paste Here'!N95</f>
        <v>BOM</v>
      </c>
      <c r="C95" t="str">
        <f>+'Paste Here'!O95</f>
        <v>PLUMBING</v>
      </c>
      <c r="D95" t="str">
        <f>+'Paste Here'!P95</f>
        <v>WATER HEATERS</v>
      </c>
      <c r="E95" t="str">
        <f>+'Paste Here'!Q95</f>
        <v>06-Gallon - Electric Water Heater</v>
      </c>
      <c r="F95">
        <f>+'Paste Here'!R95</f>
        <v>1</v>
      </c>
      <c r="G95" t="str">
        <f>+'Paste Here'!S95</f>
        <v>EA</v>
      </c>
      <c r="H95">
        <f>+'Paste Here'!T95</f>
        <v>976.28</v>
      </c>
      <c r="I95">
        <f>+'Paste Here'!U95</f>
        <v>976.28</v>
      </c>
      <c r="J95" t="str">
        <f>+'Paste Here'!V95</f>
        <v>Janitor Closet above Mop Sink</v>
      </c>
      <c r="K95">
        <f>+'Paste Here'!W95</f>
        <v>62482</v>
      </c>
    </row>
    <row r="96" spans="1:11">
      <c r="A96" t="str">
        <f t="shared" si="1"/>
        <v>PLUMBINGWATER HEATERS</v>
      </c>
      <c r="B96" t="str">
        <f>+'Paste Here'!N96</f>
        <v>BOM</v>
      </c>
      <c r="C96" t="str">
        <f>+'Paste Here'!O96</f>
        <v>PLUMBING</v>
      </c>
      <c r="D96" t="str">
        <f>+'Paste Here'!P96</f>
        <v>WATER HEATERS</v>
      </c>
      <c r="E96" t="str">
        <f>+'Paste Here'!Q96</f>
        <v>Water Heater Shelf - Melamine</v>
      </c>
      <c r="F96">
        <f>+'Paste Here'!R96</f>
        <v>1</v>
      </c>
      <c r="G96" t="str">
        <f>+'Paste Here'!S96</f>
        <v>EA</v>
      </c>
      <c r="H96">
        <f>+'Paste Here'!T96</f>
        <v>28.31</v>
      </c>
      <c r="I96">
        <f>+'Paste Here'!U96</f>
        <v>28.31</v>
      </c>
      <c r="J96" t="str">
        <f>+'Paste Here'!V96</f>
        <v/>
      </c>
      <c r="K96">
        <f>+'Paste Here'!W96</f>
        <v>62483</v>
      </c>
    </row>
    <row r="97" spans="1:11">
      <c r="A97" t="str">
        <f t="shared" si="1"/>
        <v>PLUMBINGACCESSORIES</v>
      </c>
      <c r="B97" t="str">
        <f>+'Paste Here'!N97</f>
        <v>BOM</v>
      </c>
      <c r="C97" t="str">
        <f>+'Paste Here'!O97</f>
        <v>PLUMBING</v>
      </c>
      <c r="D97" t="str">
        <f>+'Paste Here'!P97</f>
        <v>ACCESSORIES</v>
      </c>
      <c r="E97" t="str">
        <f>+'Paste Here'!Q97</f>
        <v>Grab-Bar Set</v>
      </c>
      <c r="F97">
        <f>+'Paste Here'!R97</f>
        <v>2</v>
      </c>
      <c r="G97" t="str">
        <f>+'Paste Here'!S97</f>
        <v>SET</v>
      </c>
      <c r="H97">
        <f>+'Paste Here'!T97</f>
        <v>79.849999999999994</v>
      </c>
      <c r="I97">
        <f>+'Paste Here'!U97</f>
        <v>159.69999999999999</v>
      </c>
      <c r="J97" t="str">
        <f>+'Paste Here'!V97</f>
        <v/>
      </c>
      <c r="K97">
        <f>+'Paste Here'!W97</f>
        <v>62485</v>
      </c>
    </row>
    <row r="98" spans="1:11">
      <c r="A98" t="str">
        <f t="shared" si="1"/>
        <v>PLUMBINGACCESSORIES</v>
      </c>
      <c r="B98" t="str">
        <f>+'Paste Here'!N98</f>
        <v>BOM</v>
      </c>
      <c r="C98" t="str">
        <f>+'Paste Here'!O98</f>
        <v>PLUMBING</v>
      </c>
      <c r="D98" t="str">
        <f>+'Paste Here'!P98</f>
        <v>ACCESSORIES</v>
      </c>
      <c r="E98" t="str">
        <f>+'Paste Here'!Q98</f>
        <v>Mirror - 18" X 36" - Beveled Edge</v>
      </c>
      <c r="F98">
        <f>+'Paste Here'!R98</f>
        <v>2</v>
      </c>
      <c r="G98" t="str">
        <f>+'Paste Here'!S98</f>
        <v>EA</v>
      </c>
      <c r="H98">
        <f>+'Paste Here'!T98</f>
        <v>37.5</v>
      </c>
      <c r="I98">
        <f>+'Paste Here'!U98</f>
        <v>75</v>
      </c>
      <c r="J98" t="str">
        <f>+'Paste Here'!V98</f>
        <v/>
      </c>
      <c r="K98">
        <f>+'Paste Here'!W98</f>
        <v>62486</v>
      </c>
    </row>
    <row r="99" spans="1:11">
      <c r="A99" t="str">
        <f t="shared" si="1"/>
        <v>PLUMBINGACCESSORIES</v>
      </c>
      <c r="B99" t="str">
        <f>+'Paste Here'!N99</f>
        <v>BOM</v>
      </c>
      <c r="C99" t="str">
        <f>+'Paste Here'!O99</f>
        <v>PLUMBING</v>
      </c>
      <c r="D99" t="str">
        <f>+'Paste Here'!P99</f>
        <v>ACCESSORIES</v>
      </c>
      <c r="E99" t="str">
        <f>+'Paste Here'!Q99</f>
        <v>Toilet Paper Dispenser</v>
      </c>
      <c r="F99">
        <f>+'Paste Here'!R99</f>
        <v>2</v>
      </c>
      <c r="G99" t="str">
        <f>+'Paste Here'!S99</f>
        <v>EA</v>
      </c>
      <c r="H99">
        <f>+'Paste Here'!T99</f>
        <v>3.63</v>
      </c>
      <c r="I99">
        <f>+'Paste Here'!U99</f>
        <v>7.26</v>
      </c>
      <c r="J99" t="str">
        <f>+'Paste Here'!V99</f>
        <v/>
      </c>
      <c r="K99">
        <f>+'Paste Here'!W99</f>
        <v>62487</v>
      </c>
    </row>
    <row r="100" spans="1:11">
      <c r="A100" t="str">
        <f t="shared" si="1"/>
        <v>PLUMBINGMISC</v>
      </c>
      <c r="B100" t="str">
        <f>+'Paste Here'!N100</f>
        <v>Add On</v>
      </c>
      <c r="C100" t="str">
        <f>+'Paste Here'!O100</f>
        <v>PLUMBING</v>
      </c>
      <c r="D100" t="str">
        <f>+'Paste Here'!P100</f>
        <v>MISC</v>
      </c>
      <c r="E100" t="str">
        <f>+'Paste Here'!Q100</f>
        <v>1/4" Poly Line</v>
      </c>
      <c r="F100">
        <f>+'Paste Here'!R100</f>
        <v>1</v>
      </c>
      <c r="G100" t="str">
        <f>+'Paste Here'!S100</f>
        <v>EA</v>
      </c>
      <c r="H100">
        <f>+'Paste Here'!T100</f>
        <v>100</v>
      </c>
      <c r="I100">
        <f>+'Paste Here'!U100</f>
        <v>100</v>
      </c>
      <c r="J100" t="str">
        <f>+'Paste Here'!V100</f>
        <v>On interior partition wall in humidor for humidifier hook up.</v>
      </c>
      <c r="K100">
        <f>+'Paste Here'!W100</f>
        <v>62799</v>
      </c>
    </row>
    <row r="101" spans="1:11">
      <c r="A101" t="str">
        <f t="shared" si="1"/>
        <v>PLUMBINGMISC</v>
      </c>
      <c r="B101" t="str">
        <f>+'Paste Here'!N101</f>
        <v>BOM</v>
      </c>
      <c r="C101" t="str">
        <f>+'Paste Here'!O101</f>
        <v>PLUMBING</v>
      </c>
      <c r="D101" t="str">
        <f>+'Paste Here'!P101</f>
        <v>MISC</v>
      </c>
      <c r="E101" t="str">
        <f>+'Paste Here'!Q101</f>
        <v>Ice Maker Valve Box</v>
      </c>
      <c r="F101">
        <f>+'Paste Here'!R101</f>
        <v>1</v>
      </c>
      <c r="G101" t="str">
        <f>+'Paste Here'!S101</f>
        <v>EA</v>
      </c>
      <c r="H101">
        <f>+'Paste Here'!T101</f>
        <v>97.24</v>
      </c>
      <c r="I101">
        <f>+'Paste Here'!U101</f>
        <v>97.24</v>
      </c>
      <c r="J101" t="str">
        <f>+'Paste Here'!V101</f>
        <v/>
      </c>
      <c r="K101">
        <f>+'Paste Here'!W101</f>
        <v>62488</v>
      </c>
    </row>
    <row r="102" spans="1:11">
      <c r="A102" t="str">
        <f t="shared" si="1"/>
        <v>PLUMBINGMISC</v>
      </c>
      <c r="B102" t="str">
        <f>+'Paste Here'!N102</f>
        <v>BOM</v>
      </c>
      <c r="C102" t="str">
        <f>+'Paste Here'!O102</f>
        <v>PLUMBING</v>
      </c>
      <c r="D102" t="str">
        <f>+'Paste Here'!P102</f>
        <v>MISC</v>
      </c>
      <c r="E102" t="str">
        <f>+'Paste Here'!Q102</f>
        <v>Water Hammer Arrestor - 3/4"</v>
      </c>
      <c r="F102">
        <f>+'Paste Here'!R102</f>
        <v>1</v>
      </c>
      <c r="G102" t="str">
        <f>+'Paste Here'!S102</f>
        <v>EA</v>
      </c>
      <c r="H102">
        <f>+'Paste Here'!T102</f>
        <v>145.47999999999999</v>
      </c>
      <c r="I102">
        <f>+'Paste Here'!U102</f>
        <v>145.47999999999999</v>
      </c>
      <c r="J102" t="str">
        <f>+'Paste Here'!V102</f>
        <v/>
      </c>
      <c r="K102">
        <f>+'Paste Here'!W102</f>
        <v>62489</v>
      </c>
    </row>
    <row r="103" spans="1:11">
      <c r="A103" t="str">
        <f t="shared" si="1"/>
        <v>HVACA/C - WALL MOUNT</v>
      </c>
      <c r="B103" t="str">
        <f>+'Paste Here'!N103</f>
        <v>BOM</v>
      </c>
      <c r="C103" t="str">
        <f>+'Paste Here'!O103</f>
        <v>HVAC</v>
      </c>
      <c r="D103" t="str">
        <f>+'Paste Here'!P103</f>
        <v>A/C - WALL MOUNT</v>
      </c>
      <c r="E103" t="str">
        <f>+'Paste Here'!Q103</f>
        <v>4.0-Ton - 15-KW Heat Strip - 1P - Bard, Eubank or Equal w/pgm t-stat</v>
      </c>
      <c r="F103">
        <f>+'Paste Here'!R103</f>
        <v>2</v>
      </c>
      <c r="G103" t="str">
        <f>+'Paste Here'!S103</f>
        <v>EA</v>
      </c>
      <c r="H103">
        <f>+'Paste Here'!T103</f>
        <v>7013.42</v>
      </c>
      <c r="I103">
        <f>+'Paste Here'!U103</f>
        <v>14026.84</v>
      </c>
      <c r="J103" t="str">
        <f>+'Paste Here'!V103</f>
        <v>Equipment in IT Closet N.I.C. in the Heat/cool calc.</v>
      </c>
      <c r="K103">
        <f>+'Paste Here'!W103</f>
        <v>62729</v>
      </c>
    </row>
    <row r="104" spans="1:11">
      <c r="A104" t="str">
        <f t="shared" si="1"/>
        <v>HVACVENTILATION OPTIONS</v>
      </c>
      <c r="B104" t="str">
        <f>+'Paste Here'!N104</f>
        <v>BOM</v>
      </c>
      <c r="C104" t="str">
        <f>+'Paste Here'!O104</f>
        <v>HVAC</v>
      </c>
      <c r="D104" t="str">
        <f>+'Paste Here'!P104</f>
        <v>VENTILATION OPTIONS</v>
      </c>
      <c r="E104" t="str">
        <f>+'Paste Here'!Q104</f>
        <v>CRV - 3.5 Ton &amp; 5.0-Ton End Mount</v>
      </c>
      <c r="F104">
        <f>+'Paste Here'!R104</f>
        <v>2</v>
      </c>
      <c r="G104" t="str">
        <f>+'Paste Here'!S104</f>
        <v>EA</v>
      </c>
      <c r="H104">
        <f>+'Paste Here'!T104</f>
        <v>1318</v>
      </c>
      <c r="I104">
        <f>+'Paste Here'!U104</f>
        <v>2636</v>
      </c>
      <c r="J104" t="str">
        <f>+'Paste Here'!V104</f>
        <v/>
      </c>
      <c r="K104">
        <f>+'Paste Here'!W104</f>
        <v>62800</v>
      </c>
    </row>
    <row r="105" spans="1:11">
      <c r="A105" t="str">
        <f t="shared" si="1"/>
        <v>HVACDUCT</v>
      </c>
      <c r="B105" t="str">
        <f>+'Paste Here'!N105</f>
        <v>Add On</v>
      </c>
      <c r="C105" t="str">
        <f>+'Paste Here'!O105</f>
        <v>HVAC</v>
      </c>
      <c r="D105" t="str">
        <f>+'Paste Here'!P105</f>
        <v>DUCT</v>
      </c>
      <c r="E105" t="str">
        <f>+'Paste Here'!Q105</f>
        <v>Galv - Return Air Duct</v>
      </c>
      <c r="F105">
        <f>+'Paste Here'!R105</f>
        <v>200</v>
      </c>
      <c r="G105" t="str">
        <f>+'Paste Here'!S105</f>
        <v>LF</v>
      </c>
      <c r="H105">
        <f>+'Paste Here'!T105</f>
        <v>25</v>
      </c>
      <c r="I105">
        <f>+'Paste Here'!U105</f>
        <v>5000</v>
      </c>
      <c r="J105" t="str">
        <f>+'Paste Here'!V105</f>
        <v>Galv Main Trunk, Galv Pipe w/ Flex</v>
      </c>
      <c r="K105">
        <f>+'Paste Here'!W105</f>
        <v>62499</v>
      </c>
    </row>
    <row r="106" spans="1:11">
      <c r="A106" t="str">
        <f t="shared" si="1"/>
        <v>HVACDUCT</v>
      </c>
      <c r="B106" t="str">
        <f>+'Paste Here'!N106</f>
        <v>Add On</v>
      </c>
      <c r="C106" t="str">
        <f>+'Paste Here'!O106</f>
        <v>HVAC</v>
      </c>
      <c r="D106" t="str">
        <f>+'Paste Here'!P106</f>
        <v>DUCT</v>
      </c>
      <c r="E106" t="str">
        <f>+'Paste Here'!Q106</f>
        <v>Galv - Supply Air Duct</v>
      </c>
      <c r="F106">
        <f>+'Paste Here'!R106</f>
        <v>240</v>
      </c>
      <c r="G106" t="str">
        <f>+'Paste Here'!S106</f>
        <v>LF</v>
      </c>
      <c r="H106">
        <f>+'Paste Here'!T106</f>
        <v>25</v>
      </c>
      <c r="I106">
        <f>+'Paste Here'!U106</f>
        <v>6000</v>
      </c>
      <c r="J106" t="str">
        <f>+'Paste Here'!V106</f>
        <v>Galv Main Trunk, Galv Pipe w/ Flex</v>
      </c>
      <c r="K106">
        <f>+'Paste Here'!W106</f>
        <v>62498</v>
      </c>
    </row>
    <row r="107" spans="1:11">
      <c r="A107" t="str">
        <f t="shared" si="1"/>
        <v>HVACEXHAUST FANS</v>
      </c>
      <c r="B107" t="str">
        <f>+'Paste Here'!N107</f>
        <v>Add On</v>
      </c>
      <c r="C107" t="str">
        <f>+'Paste Here'!O107</f>
        <v>HVAC</v>
      </c>
      <c r="D107" t="str">
        <f>+'Paste Here'!P107</f>
        <v>EXHAUST FANS</v>
      </c>
      <c r="E107" t="str">
        <f>+'Paste Here'!Q107</f>
        <v>100 CFM - Ceiling Mount</v>
      </c>
      <c r="F107">
        <f>+'Paste Here'!R107</f>
        <v>2</v>
      </c>
      <c r="G107" t="str">
        <f>+'Paste Here'!S107</f>
        <v>EA</v>
      </c>
      <c r="H107">
        <f>+'Paste Here'!T107</f>
        <v>185</v>
      </c>
      <c r="I107">
        <f>+'Paste Here'!U107</f>
        <v>370</v>
      </c>
      <c r="J107" t="str">
        <f>+'Paste Here'!V107</f>
        <v>Restroom Exhaust Fans</v>
      </c>
      <c r="K107">
        <f>+'Paste Here'!W107</f>
        <v>62494</v>
      </c>
    </row>
    <row r="108" spans="1:11">
      <c r="A108" t="str">
        <f t="shared" si="1"/>
        <v>HVACEXHAUST FANS</v>
      </c>
      <c r="B108" t="str">
        <f>+'Paste Here'!N108</f>
        <v>BOM</v>
      </c>
      <c r="C108" t="str">
        <f>+'Paste Here'!O108</f>
        <v>HVAC</v>
      </c>
      <c r="D108" t="str">
        <f>+'Paste Here'!P108</f>
        <v>EXHAUST FANS</v>
      </c>
      <c r="E108" t="str">
        <f>+'Paste Here'!Q108</f>
        <v>140 CFM - Ceiling Mtd W/ Humidistat</v>
      </c>
      <c r="F108">
        <f>+'Paste Here'!R108</f>
        <v>1</v>
      </c>
      <c r="G108" t="str">
        <f>+'Paste Here'!S108</f>
        <v>EA</v>
      </c>
      <c r="H108">
        <f>+'Paste Here'!T108</f>
        <v>337.46</v>
      </c>
      <c r="I108">
        <f>+'Paste Here'!U108</f>
        <v>337.46</v>
      </c>
      <c r="J108" t="str">
        <f>+'Paste Here'!V108</f>
        <v>For Humidor Room</v>
      </c>
      <c r="K108">
        <f>+'Paste Here'!W108</f>
        <v>62673</v>
      </c>
    </row>
    <row r="109" spans="1:11">
      <c r="A109" t="str">
        <f t="shared" si="1"/>
        <v>HVACMISC</v>
      </c>
      <c r="B109" t="str">
        <f>+'Paste Here'!N109</f>
        <v>BOM</v>
      </c>
      <c r="C109" t="str">
        <f>+'Paste Here'!O109</f>
        <v>HVAC</v>
      </c>
      <c r="D109" t="str">
        <f>+'Paste Here'!P109</f>
        <v>MISC</v>
      </c>
      <c r="E109" t="str">
        <f>+'Paste Here'!Q109</f>
        <v>Fire/Smoke Damper</v>
      </c>
      <c r="F109">
        <f>+'Paste Here'!R109</f>
        <v>2</v>
      </c>
      <c r="G109" t="str">
        <f>+'Paste Here'!S109</f>
        <v>EA</v>
      </c>
      <c r="H109">
        <f>+'Paste Here'!T109</f>
        <v>1070.7</v>
      </c>
      <c r="I109">
        <f>+'Paste Here'!U109</f>
        <v>2141.4</v>
      </c>
      <c r="J109" t="str">
        <f>+'Paste Here'!V109</f>
        <v/>
      </c>
      <c r="K109">
        <f>+'Paste Here'!W109</f>
        <v>62496</v>
      </c>
    </row>
    <row r="110" spans="1:11">
      <c r="A110" t="str">
        <f t="shared" si="1"/>
        <v>HVACMISC</v>
      </c>
      <c r="B110" t="str">
        <f>+'Paste Here'!N110</f>
        <v>BOM</v>
      </c>
      <c r="C110" t="str">
        <f>+'Paste Here'!O110</f>
        <v>HVAC</v>
      </c>
      <c r="D110" t="str">
        <f>+'Paste Here'!P110</f>
        <v>MISC</v>
      </c>
      <c r="E110" t="str">
        <f>+'Paste Here'!Q110</f>
        <v>Plenum Wall</v>
      </c>
      <c r="F110">
        <f>+'Paste Here'!R110</f>
        <v>24</v>
      </c>
      <c r="G110" t="str">
        <f>+'Paste Here'!S110</f>
        <v>LF</v>
      </c>
      <c r="H110">
        <f>+'Paste Here'!T110</f>
        <v>17.82</v>
      </c>
      <c r="I110">
        <f>+'Paste Here'!U110</f>
        <v>427.68</v>
      </c>
      <c r="J110" t="str">
        <f>+'Paste Here'!V110</f>
        <v/>
      </c>
      <c r="K110">
        <f>+'Paste Here'!W110</f>
        <v>62497</v>
      </c>
    </row>
    <row r="111" spans="1:11">
      <c r="A111" t="str">
        <f t="shared" si="1"/>
        <v>FURNISHINGSCABINETS</v>
      </c>
      <c r="B111" t="str">
        <f>+'Paste Here'!N111</f>
        <v>BOM</v>
      </c>
      <c r="C111" t="str">
        <f>+'Paste Here'!O111</f>
        <v>FURNISHINGS</v>
      </c>
      <c r="D111" t="str">
        <f>+'Paste Here'!P111</f>
        <v>CABINETS</v>
      </c>
      <c r="E111" t="str">
        <f>+'Paste Here'!Q111</f>
        <v>Laminate - Base Cabinet</v>
      </c>
      <c r="F111">
        <f>+'Paste Here'!R111</f>
        <v>7</v>
      </c>
      <c r="G111" t="str">
        <f>+'Paste Here'!S111</f>
        <v>LF</v>
      </c>
      <c r="H111">
        <f>+'Paste Here'!T111</f>
        <v>190</v>
      </c>
      <c r="I111">
        <f>+'Paste Here'!U111</f>
        <v>1330</v>
      </c>
      <c r="J111" t="str">
        <f>+'Paste Here'!V111</f>
        <v>Break Room Base Cabinets</v>
      </c>
      <c r="K111">
        <f>+'Paste Here'!W111</f>
        <v>62500</v>
      </c>
    </row>
    <row r="112" spans="1:11">
      <c r="A112" t="str">
        <f t="shared" si="1"/>
        <v>FURNISHINGSCABINETS</v>
      </c>
      <c r="B112" t="str">
        <f>+'Paste Here'!N112</f>
        <v>BOM</v>
      </c>
      <c r="C112" t="str">
        <f>+'Paste Here'!O112</f>
        <v>FURNISHINGS</v>
      </c>
      <c r="D112" t="str">
        <f>+'Paste Here'!P112</f>
        <v>CABINETS</v>
      </c>
      <c r="E112" t="str">
        <f>+'Paste Here'!Q112</f>
        <v>Laminate - Wall Cabinet</v>
      </c>
      <c r="F112">
        <f>+'Paste Here'!R112</f>
        <v>7</v>
      </c>
      <c r="G112" t="str">
        <f>+'Paste Here'!S112</f>
        <v>LF</v>
      </c>
      <c r="H112">
        <f>+'Paste Here'!T112</f>
        <v>110</v>
      </c>
      <c r="I112">
        <f>+'Paste Here'!U112</f>
        <v>770</v>
      </c>
      <c r="J112" t="str">
        <f>+'Paste Here'!V112</f>
        <v>Break Room Uppers</v>
      </c>
      <c r="K112">
        <f>+'Paste Here'!W112</f>
        <v>62501</v>
      </c>
    </row>
    <row r="113" spans="1:11">
      <c r="A113" t="str">
        <f t="shared" si="1"/>
        <v>FURNISHINGSCABINETS</v>
      </c>
      <c r="B113" t="str">
        <f>+'Paste Here'!N113</f>
        <v>BOM</v>
      </c>
      <c r="C113" t="str">
        <f>+'Paste Here'!O113</f>
        <v>FURNISHINGS</v>
      </c>
      <c r="D113" t="str">
        <f>+'Paste Here'!P113</f>
        <v>CABINETS</v>
      </c>
      <c r="E113" t="str">
        <f>+'Paste Here'!Q113</f>
        <v>Standard Laminate Countertop</v>
      </c>
      <c r="F113">
        <f>+'Paste Here'!R113</f>
        <v>7</v>
      </c>
      <c r="G113" t="str">
        <f>+'Paste Here'!S113</f>
        <v>LF</v>
      </c>
      <c r="H113">
        <f>+'Paste Here'!T113</f>
        <v>14.16</v>
      </c>
      <c r="I113">
        <f>+'Paste Here'!U113</f>
        <v>99.12</v>
      </c>
      <c r="J113" t="str">
        <f>+'Paste Here'!V113</f>
        <v>Break Room</v>
      </c>
      <c r="K113">
        <f>+'Paste Here'!W113</f>
        <v>62502</v>
      </c>
    </row>
    <row r="114" spans="1:11">
      <c r="A114" t="str">
        <f t="shared" si="1"/>
        <v>MISCMISC</v>
      </c>
      <c r="B114" t="str">
        <f>+'Paste Here'!N114</f>
        <v>BOM</v>
      </c>
      <c r="C114" t="str">
        <f>+'Paste Here'!O114</f>
        <v>MISC</v>
      </c>
      <c r="D114" t="str">
        <f>+'Paste Here'!P114</f>
        <v>MISC</v>
      </c>
      <c r="E114" t="str">
        <f>+'Paste Here'!Q114</f>
        <v>Close-Up</v>
      </c>
      <c r="F114">
        <f>+'Paste Here'!R114</f>
        <v>1E-3</v>
      </c>
      <c r="G114" t="str">
        <f>+'Paste Here'!S114</f>
        <v>LF</v>
      </c>
      <c r="H114">
        <f>+'Paste Here'!T114</f>
        <v>6.11</v>
      </c>
      <c r="I114">
        <f>+'Paste Here'!U114</f>
        <v>6.1000000000000004E-3</v>
      </c>
      <c r="J114" t="str">
        <f>+'Paste Here'!V114</f>
        <v>Supplied by PMSI</v>
      </c>
      <c r="K114">
        <f>+'Paste Here'!W114</f>
        <v>62490</v>
      </c>
    </row>
    <row r="115" spans="1:11">
      <c r="A115" t="str">
        <f t="shared" si="1"/>
        <v>MISCMISC</v>
      </c>
      <c r="B115" t="str">
        <f>+'Paste Here'!N115</f>
        <v>BOM</v>
      </c>
      <c r="C115" t="str">
        <f>+'Paste Here'!O115</f>
        <v>MISC</v>
      </c>
      <c r="D115" t="str">
        <f>+'Paste Here'!P115</f>
        <v>MISC</v>
      </c>
      <c r="E115" t="str">
        <f>+'Paste Here'!Q115</f>
        <v>Shipping Wall</v>
      </c>
      <c r="F115">
        <f>+'Paste Here'!R115</f>
        <v>24</v>
      </c>
      <c r="G115" t="str">
        <f>+'Paste Here'!S115</f>
        <v>EA</v>
      </c>
      <c r="H115">
        <f>+'Paste Here'!T115</f>
        <v>59.5</v>
      </c>
      <c r="I115">
        <f>+'Paste Here'!U115</f>
        <v>1428</v>
      </c>
      <c r="J115" t="str">
        <f>+'Paste Here'!V115</f>
        <v/>
      </c>
      <c r="K115">
        <f>+'Paste Here'!W115</f>
        <v>62491</v>
      </c>
    </row>
    <row r="116" spans="1:11">
      <c r="A116" t="str">
        <f t="shared" si="1"/>
        <v>STATESSTATE APP</v>
      </c>
      <c r="B116" t="str">
        <f>+'Paste Here'!N116</f>
        <v>BOM</v>
      </c>
      <c r="C116" t="str">
        <f>+'Paste Here'!O116</f>
        <v>STATES</v>
      </c>
      <c r="D116" t="str">
        <f>+'Paste Here'!P116</f>
        <v>STATE APP</v>
      </c>
      <c r="E116" t="str">
        <f>+'Paste Here'!Q116</f>
        <v>ID Approvals</v>
      </c>
      <c r="F116">
        <f>+'Paste Here'!R116</f>
        <v>1</v>
      </c>
      <c r="G116" t="str">
        <f>+'Paste Here'!S116</f>
        <v>EA</v>
      </c>
      <c r="H116">
        <f>+'Paste Here'!T116</f>
        <v>0</v>
      </c>
      <c r="I116">
        <f>+'Paste Here'!U116</f>
        <v>0</v>
      </c>
      <c r="J116" t="str">
        <f>+'Paste Here'!V116</f>
        <v/>
      </c>
      <c r="K116">
        <f>+'Paste Here'!W116</f>
        <v>62637</v>
      </c>
    </row>
    <row r="117" spans="1:11">
      <c r="A117" t="str">
        <f t="shared" si="1"/>
        <v>00</v>
      </c>
      <c r="B117">
        <f>+'Paste Here'!N117</f>
        <v>0</v>
      </c>
      <c r="C117">
        <f>+'Paste Here'!O117</f>
        <v>0</v>
      </c>
      <c r="D117">
        <f>+'Paste Here'!P117</f>
        <v>0</v>
      </c>
      <c r="E117">
        <f>+'Paste Here'!Q117</f>
        <v>0</v>
      </c>
      <c r="F117">
        <f>+'Paste Here'!R117</f>
        <v>0</v>
      </c>
      <c r="G117">
        <f>+'Paste Here'!S117</f>
        <v>0</v>
      </c>
      <c r="H117">
        <f>+'Paste Here'!T117</f>
        <v>0</v>
      </c>
      <c r="I117">
        <f>+'Paste Here'!U117</f>
        <v>0</v>
      </c>
      <c r="J117">
        <f>+'Paste Here'!V117</f>
        <v>0</v>
      </c>
      <c r="K117">
        <f>+'Paste Here'!W117</f>
        <v>0</v>
      </c>
    </row>
    <row r="118" spans="1:11">
      <c r="A118" t="str">
        <f t="shared" si="1"/>
        <v>00</v>
      </c>
      <c r="B118">
        <f>+'Paste Here'!N118</f>
        <v>0</v>
      </c>
      <c r="C118">
        <f>+'Paste Here'!O118</f>
        <v>0</v>
      </c>
      <c r="D118">
        <f>+'Paste Here'!P118</f>
        <v>0</v>
      </c>
      <c r="E118">
        <f>+'Paste Here'!Q118</f>
        <v>0</v>
      </c>
      <c r="F118">
        <f>+'Paste Here'!R118</f>
        <v>0</v>
      </c>
      <c r="G118">
        <f>+'Paste Here'!S118</f>
        <v>0</v>
      </c>
      <c r="H118">
        <f>+'Paste Here'!T118</f>
        <v>0</v>
      </c>
      <c r="I118">
        <f>+'Paste Here'!U118</f>
        <v>0</v>
      </c>
      <c r="J118">
        <f>+'Paste Here'!V118</f>
        <v>0</v>
      </c>
      <c r="K118">
        <f>+'Paste Here'!W118</f>
        <v>0</v>
      </c>
    </row>
    <row r="119" spans="1:11">
      <c r="A119" t="str">
        <f t="shared" si="1"/>
        <v>00</v>
      </c>
      <c r="B119">
        <f>+'Paste Here'!N119</f>
        <v>0</v>
      </c>
      <c r="C119">
        <f>+'Paste Here'!O119</f>
        <v>0</v>
      </c>
      <c r="D119">
        <f>+'Paste Here'!P119</f>
        <v>0</v>
      </c>
      <c r="E119">
        <f>+'Paste Here'!Q119</f>
        <v>0</v>
      </c>
      <c r="F119">
        <f>+'Paste Here'!R119</f>
        <v>0</v>
      </c>
      <c r="G119">
        <f>+'Paste Here'!S119</f>
        <v>0</v>
      </c>
      <c r="H119">
        <f>+'Paste Here'!T119</f>
        <v>0</v>
      </c>
      <c r="I119">
        <f>+'Paste Here'!U119</f>
        <v>0</v>
      </c>
      <c r="J119">
        <f>+'Paste Here'!V119</f>
        <v>0</v>
      </c>
      <c r="K119">
        <f>+'Paste Here'!W119</f>
        <v>0</v>
      </c>
    </row>
    <row r="120" spans="1:11">
      <c r="A120" t="str">
        <f t="shared" si="1"/>
        <v>00</v>
      </c>
      <c r="B120">
        <f>+'Paste Here'!N120</f>
        <v>0</v>
      </c>
      <c r="C120">
        <f>+'Paste Here'!O120</f>
        <v>0</v>
      </c>
      <c r="D120">
        <f>+'Paste Here'!P120</f>
        <v>0</v>
      </c>
      <c r="E120">
        <f>+'Paste Here'!Q120</f>
        <v>0</v>
      </c>
      <c r="F120">
        <f>+'Paste Here'!R120</f>
        <v>0</v>
      </c>
      <c r="G120">
        <f>+'Paste Here'!S120</f>
        <v>0</v>
      </c>
      <c r="H120">
        <f>+'Paste Here'!T120</f>
        <v>0</v>
      </c>
      <c r="I120">
        <f>+'Paste Here'!U120</f>
        <v>0</v>
      </c>
      <c r="J120">
        <f>+'Paste Here'!V120</f>
        <v>0</v>
      </c>
      <c r="K120">
        <f>+'Paste Here'!W120</f>
        <v>0</v>
      </c>
    </row>
    <row r="121" spans="1:11">
      <c r="A121" t="str">
        <f t="shared" si="1"/>
        <v>00</v>
      </c>
      <c r="B121">
        <f>+'Paste Here'!N121</f>
        <v>0</v>
      </c>
      <c r="C121">
        <f>+'Paste Here'!O121</f>
        <v>0</v>
      </c>
      <c r="D121">
        <f>+'Paste Here'!P121</f>
        <v>0</v>
      </c>
      <c r="E121">
        <f>+'Paste Here'!Q121</f>
        <v>0</v>
      </c>
      <c r="F121">
        <f>+'Paste Here'!R121</f>
        <v>0</v>
      </c>
      <c r="G121">
        <f>+'Paste Here'!S121</f>
        <v>0</v>
      </c>
      <c r="H121">
        <f>+'Paste Here'!T121</f>
        <v>0</v>
      </c>
      <c r="I121">
        <f>+'Paste Here'!U121</f>
        <v>0</v>
      </c>
      <c r="J121">
        <f>+'Paste Here'!V121</f>
        <v>0</v>
      </c>
      <c r="K121">
        <f>+'Paste Here'!W121</f>
        <v>0</v>
      </c>
    </row>
    <row r="122" spans="1:11">
      <c r="A122" t="str">
        <f t="shared" si="1"/>
        <v>00</v>
      </c>
      <c r="B122">
        <f>+'Paste Here'!N122</f>
        <v>0</v>
      </c>
      <c r="C122">
        <f>+'Paste Here'!O122</f>
        <v>0</v>
      </c>
      <c r="D122">
        <f>+'Paste Here'!P122</f>
        <v>0</v>
      </c>
      <c r="E122">
        <f>+'Paste Here'!Q122</f>
        <v>0</v>
      </c>
      <c r="F122">
        <f>+'Paste Here'!R122</f>
        <v>0</v>
      </c>
      <c r="G122">
        <f>+'Paste Here'!S122</f>
        <v>0</v>
      </c>
      <c r="H122">
        <f>+'Paste Here'!T122</f>
        <v>0</v>
      </c>
      <c r="I122">
        <f>+'Paste Here'!U122</f>
        <v>0</v>
      </c>
      <c r="J122">
        <f>+'Paste Here'!V122</f>
        <v>0</v>
      </c>
      <c r="K122">
        <f>+'Paste Here'!W122</f>
        <v>0</v>
      </c>
    </row>
    <row r="123" spans="1:11">
      <c r="A123" t="str">
        <f t="shared" si="1"/>
        <v>00</v>
      </c>
      <c r="B123">
        <f>+'Paste Here'!N123</f>
        <v>0</v>
      </c>
      <c r="C123">
        <f>+'Paste Here'!O123</f>
        <v>0</v>
      </c>
      <c r="D123">
        <f>+'Paste Here'!P123</f>
        <v>0</v>
      </c>
      <c r="E123">
        <f>+'Paste Here'!Q123</f>
        <v>0</v>
      </c>
      <c r="F123">
        <f>+'Paste Here'!R123</f>
        <v>0</v>
      </c>
      <c r="G123">
        <f>+'Paste Here'!S123</f>
        <v>0</v>
      </c>
      <c r="H123">
        <f>+'Paste Here'!T123</f>
        <v>0</v>
      </c>
      <c r="I123">
        <f>+'Paste Here'!U123</f>
        <v>0</v>
      </c>
      <c r="J123">
        <f>+'Paste Here'!V123</f>
        <v>0</v>
      </c>
      <c r="K123">
        <f>+'Paste Here'!W123</f>
        <v>0</v>
      </c>
    </row>
    <row r="124" spans="1:11">
      <c r="A124" t="str">
        <f t="shared" si="1"/>
        <v>00</v>
      </c>
      <c r="B124">
        <f>+'Paste Here'!N124</f>
        <v>0</v>
      </c>
      <c r="C124">
        <f>+'Paste Here'!O124</f>
        <v>0</v>
      </c>
      <c r="D124">
        <f>+'Paste Here'!P124</f>
        <v>0</v>
      </c>
      <c r="E124">
        <f>+'Paste Here'!Q124</f>
        <v>0</v>
      </c>
      <c r="F124">
        <f>+'Paste Here'!R124</f>
        <v>0</v>
      </c>
      <c r="G124">
        <f>+'Paste Here'!S124</f>
        <v>0</v>
      </c>
      <c r="H124">
        <f>+'Paste Here'!T124</f>
        <v>0</v>
      </c>
      <c r="I124">
        <f>+'Paste Here'!U124</f>
        <v>0</v>
      </c>
      <c r="J124">
        <f>+'Paste Here'!V124</f>
        <v>0</v>
      </c>
      <c r="K124">
        <f>+'Paste Here'!W124</f>
        <v>0</v>
      </c>
    </row>
    <row r="125" spans="1:11">
      <c r="A125" t="str">
        <f t="shared" si="1"/>
        <v>00</v>
      </c>
      <c r="B125">
        <f>+'Paste Here'!N125</f>
        <v>0</v>
      </c>
      <c r="C125">
        <f>+'Paste Here'!O125</f>
        <v>0</v>
      </c>
      <c r="D125">
        <f>+'Paste Here'!P125</f>
        <v>0</v>
      </c>
      <c r="E125">
        <f>+'Paste Here'!Q125</f>
        <v>0</v>
      </c>
      <c r="F125">
        <f>+'Paste Here'!R125</f>
        <v>0</v>
      </c>
      <c r="G125">
        <f>+'Paste Here'!S125</f>
        <v>0</v>
      </c>
      <c r="H125">
        <f>+'Paste Here'!T125</f>
        <v>0</v>
      </c>
      <c r="I125">
        <f>+'Paste Here'!U125</f>
        <v>0</v>
      </c>
      <c r="J125">
        <f>+'Paste Here'!V125</f>
        <v>0</v>
      </c>
      <c r="K125">
        <f>+'Paste Here'!W125</f>
        <v>0</v>
      </c>
    </row>
    <row r="126" spans="1:11">
      <c r="A126" t="str">
        <f t="shared" si="1"/>
        <v>00</v>
      </c>
      <c r="B126">
        <f>+'Paste Here'!N126</f>
        <v>0</v>
      </c>
      <c r="C126">
        <f>+'Paste Here'!O126</f>
        <v>0</v>
      </c>
      <c r="D126">
        <f>+'Paste Here'!P126</f>
        <v>0</v>
      </c>
      <c r="E126">
        <f>+'Paste Here'!Q126</f>
        <v>0</v>
      </c>
      <c r="F126">
        <f>+'Paste Here'!R126</f>
        <v>0</v>
      </c>
      <c r="G126">
        <f>+'Paste Here'!S126</f>
        <v>0</v>
      </c>
      <c r="H126">
        <f>+'Paste Here'!T126</f>
        <v>0</v>
      </c>
      <c r="I126">
        <f>+'Paste Here'!U126</f>
        <v>0</v>
      </c>
      <c r="J126">
        <f>+'Paste Here'!V126</f>
        <v>0</v>
      </c>
      <c r="K126">
        <f>+'Paste Here'!W126</f>
        <v>0</v>
      </c>
    </row>
    <row r="127" spans="1:11">
      <c r="A127" t="str">
        <f t="shared" si="1"/>
        <v>00</v>
      </c>
      <c r="B127">
        <f>+'Paste Here'!N127</f>
        <v>0</v>
      </c>
      <c r="C127">
        <f>+'Paste Here'!O127</f>
        <v>0</v>
      </c>
      <c r="D127">
        <f>+'Paste Here'!P127</f>
        <v>0</v>
      </c>
      <c r="E127">
        <f>+'Paste Here'!Q127</f>
        <v>0</v>
      </c>
      <c r="F127">
        <f>+'Paste Here'!R127</f>
        <v>0</v>
      </c>
      <c r="G127">
        <f>+'Paste Here'!S127</f>
        <v>0</v>
      </c>
      <c r="H127">
        <f>+'Paste Here'!T127</f>
        <v>0</v>
      </c>
      <c r="I127">
        <f>+'Paste Here'!U127</f>
        <v>0</v>
      </c>
      <c r="J127">
        <f>+'Paste Here'!V127</f>
        <v>0</v>
      </c>
      <c r="K127">
        <f>+'Paste Here'!W127</f>
        <v>0</v>
      </c>
    </row>
    <row r="128" spans="1:11">
      <c r="A128" t="str">
        <f t="shared" si="1"/>
        <v>00</v>
      </c>
      <c r="B128">
        <f>+'Paste Here'!N128</f>
        <v>0</v>
      </c>
      <c r="C128">
        <f>+'Paste Here'!O128</f>
        <v>0</v>
      </c>
      <c r="D128">
        <f>+'Paste Here'!P128</f>
        <v>0</v>
      </c>
      <c r="E128">
        <f>+'Paste Here'!Q128</f>
        <v>0</v>
      </c>
      <c r="F128">
        <f>+'Paste Here'!R128</f>
        <v>0</v>
      </c>
      <c r="G128">
        <f>+'Paste Here'!S128</f>
        <v>0</v>
      </c>
      <c r="H128">
        <f>+'Paste Here'!T128</f>
        <v>0</v>
      </c>
      <c r="I128">
        <f>+'Paste Here'!U128</f>
        <v>0</v>
      </c>
      <c r="J128">
        <f>+'Paste Here'!V128</f>
        <v>0</v>
      </c>
      <c r="K128">
        <f>+'Paste Here'!W128</f>
        <v>0</v>
      </c>
    </row>
    <row r="129" spans="1:11">
      <c r="A129" t="str">
        <f t="shared" si="1"/>
        <v>00</v>
      </c>
      <c r="B129">
        <f>+'Paste Here'!N129</f>
        <v>0</v>
      </c>
      <c r="C129">
        <f>+'Paste Here'!O129</f>
        <v>0</v>
      </c>
      <c r="D129">
        <f>+'Paste Here'!P129</f>
        <v>0</v>
      </c>
      <c r="E129">
        <f>+'Paste Here'!Q129</f>
        <v>0</v>
      </c>
      <c r="F129">
        <f>+'Paste Here'!R129</f>
        <v>0</v>
      </c>
      <c r="G129">
        <f>+'Paste Here'!S129</f>
        <v>0</v>
      </c>
      <c r="H129">
        <f>+'Paste Here'!T129</f>
        <v>0</v>
      </c>
      <c r="I129">
        <f>+'Paste Here'!U129</f>
        <v>0</v>
      </c>
      <c r="J129">
        <f>+'Paste Here'!V129</f>
        <v>0</v>
      </c>
      <c r="K129">
        <f>+'Paste Here'!W129</f>
        <v>0</v>
      </c>
    </row>
    <row r="130" spans="1:11">
      <c r="A130" t="str">
        <f t="shared" si="1"/>
        <v>00</v>
      </c>
      <c r="B130">
        <f>+'Paste Here'!N130</f>
        <v>0</v>
      </c>
      <c r="C130">
        <f>+'Paste Here'!O130</f>
        <v>0</v>
      </c>
      <c r="D130">
        <f>+'Paste Here'!P130</f>
        <v>0</v>
      </c>
      <c r="E130">
        <f>+'Paste Here'!Q130</f>
        <v>0</v>
      </c>
      <c r="F130">
        <f>+'Paste Here'!R130</f>
        <v>0</v>
      </c>
      <c r="G130">
        <f>+'Paste Here'!S130</f>
        <v>0</v>
      </c>
      <c r="H130">
        <f>+'Paste Here'!T130</f>
        <v>0</v>
      </c>
      <c r="I130">
        <f>+'Paste Here'!U130</f>
        <v>0</v>
      </c>
      <c r="J130">
        <f>+'Paste Here'!V130</f>
        <v>0</v>
      </c>
      <c r="K130">
        <f>+'Paste Here'!W130</f>
        <v>0</v>
      </c>
    </row>
    <row r="131" spans="1:11">
      <c r="A131" t="str">
        <f t="shared" ref="A131:A194" si="2">+CONCATENATE(C131,D131)</f>
        <v>00</v>
      </c>
      <c r="B131">
        <f>+'Paste Here'!N131</f>
        <v>0</v>
      </c>
      <c r="C131">
        <f>+'Paste Here'!O131</f>
        <v>0</v>
      </c>
      <c r="D131">
        <f>+'Paste Here'!P131</f>
        <v>0</v>
      </c>
      <c r="E131">
        <f>+'Paste Here'!Q131</f>
        <v>0</v>
      </c>
      <c r="F131">
        <f>+'Paste Here'!R131</f>
        <v>0</v>
      </c>
      <c r="G131">
        <f>+'Paste Here'!S131</f>
        <v>0</v>
      </c>
      <c r="H131">
        <f>+'Paste Here'!T131</f>
        <v>0</v>
      </c>
      <c r="I131">
        <f>+'Paste Here'!U131</f>
        <v>0</v>
      </c>
      <c r="J131">
        <f>+'Paste Here'!V131</f>
        <v>0</v>
      </c>
      <c r="K131">
        <f>+'Paste Here'!W131</f>
        <v>0</v>
      </c>
    </row>
    <row r="132" spans="1:11">
      <c r="A132" t="str">
        <f t="shared" si="2"/>
        <v>00</v>
      </c>
      <c r="B132">
        <f>+'Paste Here'!N132</f>
        <v>0</v>
      </c>
      <c r="C132">
        <f>+'Paste Here'!O132</f>
        <v>0</v>
      </c>
      <c r="D132">
        <f>+'Paste Here'!P132</f>
        <v>0</v>
      </c>
      <c r="E132">
        <f>+'Paste Here'!Q132</f>
        <v>0</v>
      </c>
      <c r="F132">
        <f>+'Paste Here'!R132</f>
        <v>0</v>
      </c>
      <c r="G132">
        <f>+'Paste Here'!S132</f>
        <v>0</v>
      </c>
      <c r="H132">
        <f>+'Paste Here'!T132</f>
        <v>0</v>
      </c>
      <c r="I132">
        <f>+'Paste Here'!U132</f>
        <v>0</v>
      </c>
      <c r="J132">
        <f>+'Paste Here'!V132</f>
        <v>0</v>
      </c>
      <c r="K132">
        <f>+'Paste Here'!W132</f>
        <v>0</v>
      </c>
    </row>
    <row r="133" spans="1:11">
      <c r="A133" t="str">
        <f t="shared" si="2"/>
        <v>00</v>
      </c>
      <c r="B133">
        <f>+'Paste Here'!N133</f>
        <v>0</v>
      </c>
      <c r="C133">
        <f>+'Paste Here'!O133</f>
        <v>0</v>
      </c>
      <c r="D133">
        <f>+'Paste Here'!P133</f>
        <v>0</v>
      </c>
      <c r="E133">
        <f>+'Paste Here'!Q133</f>
        <v>0</v>
      </c>
      <c r="F133">
        <f>+'Paste Here'!R133</f>
        <v>0</v>
      </c>
      <c r="G133">
        <f>+'Paste Here'!S133</f>
        <v>0</v>
      </c>
      <c r="H133">
        <f>+'Paste Here'!T133</f>
        <v>0</v>
      </c>
      <c r="I133">
        <f>+'Paste Here'!U133</f>
        <v>0</v>
      </c>
      <c r="J133">
        <f>+'Paste Here'!V133</f>
        <v>0</v>
      </c>
      <c r="K133">
        <f>+'Paste Here'!W133</f>
        <v>0</v>
      </c>
    </row>
    <row r="134" spans="1:11">
      <c r="A134" t="str">
        <f t="shared" si="2"/>
        <v>00</v>
      </c>
      <c r="B134">
        <f>+'Paste Here'!N134</f>
        <v>0</v>
      </c>
      <c r="C134">
        <f>+'Paste Here'!O134</f>
        <v>0</v>
      </c>
      <c r="D134">
        <f>+'Paste Here'!P134</f>
        <v>0</v>
      </c>
      <c r="E134">
        <f>+'Paste Here'!Q134</f>
        <v>0</v>
      </c>
      <c r="F134">
        <f>+'Paste Here'!R134</f>
        <v>0</v>
      </c>
      <c r="G134">
        <f>+'Paste Here'!S134</f>
        <v>0</v>
      </c>
      <c r="H134">
        <f>+'Paste Here'!T134</f>
        <v>0</v>
      </c>
      <c r="I134">
        <f>+'Paste Here'!U134</f>
        <v>0</v>
      </c>
      <c r="J134">
        <f>+'Paste Here'!V134</f>
        <v>0</v>
      </c>
      <c r="K134">
        <f>+'Paste Here'!W134</f>
        <v>0</v>
      </c>
    </row>
    <row r="135" spans="1:11">
      <c r="A135" t="str">
        <f t="shared" si="2"/>
        <v>00</v>
      </c>
      <c r="B135">
        <f>+'Paste Here'!N135</f>
        <v>0</v>
      </c>
      <c r="C135">
        <f>+'Paste Here'!O135</f>
        <v>0</v>
      </c>
      <c r="D135">
        <f>+'Paste Here'!P135</f>
        <v>0</v>
      </c>
      <c r="E135">
        <f>+'Paste Here'!Q135</f>
        <v>0</v>
      </c>
      <c r="F135">
        <f>+'Paste Here'!R135</f>
        <v>0</v>
      </c>
      <c r="G135">
        <f>+'Paste Here'!S135</f>
        <v>0</v>
      </c>
      <c r="H135">
        <f>+'Paste Here'!T135</f>
        <v>0</v>
      </c>
      <c r="I135">
        <f>+'Paste Here'!U135</f>
        <v>0</v>
      </c>
      <c r="J135">
        <f>+'Paste Here'!V135</f>
        <v>0</v>
      </c>
      <c r="K135">
        <f>+'Paste Here'!W135</f>
        <v>0</v>
      </c>
    </row>
    <row r="136" spans="1:11">
      <c r="A136" t="str">
        <f t="shared" si="2"/>
        <v>00</v>
      </c>
      <c r="B136">
        <f>+'Paste Here'!N136</f>
        <v>0</v>
      </c>
      <c r="C136">
        <f>+'Paste Here'!O136</f>
        <v>0</v>
      </c>
      <c r="D136">
        <f>+'Paste Here'!P136</f>
        <v>0</v>
      </c>
      <c r="E136">
        <f>+'Paste Here'!Q136</f>
        <v>0</v>
      </c>
      <c r="F136">
        <f>+'Paste Here'!R136</f>
        <v>0</v>
      </c>
      <c r="G136">
        <f>+'Paste Here'!S136</f>
        <v>0</v>
      </c>
      <c r="H136">
        <f>+'Paste Here'!T136</f>
        <v>0</v>
      </c>
      <c r="I136">
        <f>+'Paste Here'!U136</f>
        <v>0</v>
      </c>
      <c r="J136">
        <f>+'Paste Here'!V136</f>
        <v>0</v>
      </c>
      <c r="K136">
        <f>+'Paste Here'!W136</f>
        <v>0</v>
      </c>
    </row>
    <row r="137" spans="1:11">
      <c r="A137" t="str">
        <f t="shared" si="2"/>
        <v>00</v>
      </c>
      <c r="B137">
        <f>+'Paste Here'!N137</f>
        <v>0</v>
      </c>
      <c r="C137">
        <f>+'Paste Here'!O137</f>
        <v>0</v>
      </c>
      <c r="D137">
        <f>+'Paste Here'!P137</f>
        <v>0</v>
      </c>
      <c r="E137">
        <f>+'Paste Here'!Q137</f>
        <v>0</v>
      </c>
      <c r="F137">
        <f>+'Paste Here'!R137</f>
        <v>0</v>
      </c>
      <c r="G137">
        <f>+'Paste Here'!S137</f>
        <v>0</v>
      </c>
      <c r="H137">
        <f>+'Paste Here'!T137</f>
        <v>0</v>
      </c>
      <c r="I137">
        <f>+'Paste Here'!U137</f>
        <v>0</v>
      </c>
      <c r="J137">
        <f>+'Paste Here'!V137</f>
        <v>0</v>
      </c>
      <c r="K137">
        <f>+'Paste Here'!W137</f>
        <v>0</v>
      </c>
    </row>
    <row r="138" spans="1:11">
      <c r="A138" t="str">
        <f t="shared" si="2"/>
        <v>00</v>
      </c>
      <c r="B138">
        <f>+'Paste Here'!N138</f>
        <v>0</v>
      </c>
      <c r="C138">
        <f>+'Paste Here'!O138</f>
        <v>0</v>
      </c>
      <c r="D138">
        <f>+'Paste Here'!P138</f>
        <v>0</v>
      </c>
      <c r="E138">
        <f>+'Paste Here'!Q138</f>
        <v>0</v>
      </c>
      <c r="F138">
        <f>+'Paste Here'!R138</f>
        <v>0</v>
      </c>
      <c r="G138">
        <f>+'Paste Here'!S138</f>
        <v>0</v>
      </c>
      <c r="H138">
        <f>+'Paste Here'!T138</f>
        <v>0</v>
      </c>
      <c r="I138">
        <f>+'Paste Here'!U138</f>
        <v>0</v>
      </c>
      <c r="J138">
        <f>+'Paste Here'!V138</f>
        <v>0</v>
      </c>
      <c r="K138">
        <f>+'Paste Here'!W138</f>
        <v>0</v>
      </c>
    </row>
    <row r="139" spans="1:11">
      <c r="A139" t="str">
        <f t="shared" si="2"/>
        <v>00</v>
      </c>
      <c r="B139">
        <f>+'Paste Here'!N139</f>
        <v>0</v>
      </c>
      <c r="C139">
        <f>+'Paste Here'!O139</f>
        <v>0</v>
      </c>
      <c r="D139">
        <f>+'Paste Here'!P139</f>
        <v>0</v>
      </c>
      <c r="E139">
        <f>+'Paste Here'!Q139</f>
        <v>0</v>
      </c>
      <c r="F139">
        <f>+'Paste Here'!R139</f>
        <v>0</v>
      </c>
      <c r="G139">
        <f>+'Paste Here'!S139</f>
        <v>0</v>
      </c>
      <c r="H139">
        <f>+'Paste Here'!T139</f>
        <v>0</v>
      </c>
      <c r="I139">
        <f>+'Paste Here'!U139</f>
        <v>0</v>
      </c>
      <c r="J139">
        <f>+'Paste Here'!V139</f>
        <v>0</v>
      </c>
      <c r="K139">
        <f>+'Paste Here'!W139</f>
        <v>0</v>
      </c>
    </row>
    <row r="140" spans="1:11">
      <c r="A140" t="str">
        <f t="shared" si="2"/>
        <v>00</v>
      </c>
      <c r="B140">
        <f>+'Paste Here'!N140</f>
        <v>0</v>
      </c>
      <c r="C140">
        <f>+'Paste Here'!O140</f>
        <v>0</v>
      </c>
      <c r="D140">
        <f>+'Paste Here'!P140</f>
        <v>0</v>
      </c>
      <c r="E140">
        <f>+'Paste Here'!Q140</f>
        <v>0</v>
      </c>
      <c r="F140">
        <f>+'Paste Here'!R140</f>
        <v>0</v>
      </c>
      <c r="G140">
        <f>+'Paste Here'!S140</f>
        <v>0</v>
      </c>
      <c r="H140">
        <f>+'Paste Here'!T140</f>
        <v>0</v>
      </c>
      <c r="I140">
        <f>+'Paste Here'!U140</f>
        <v>0</v>
      </c>
      <c r="J140">
        <f>+'Paste Here'!V140</f>
        <v>0</v>
      </c>
      <c r="K140">
        <f>+'Paste Here'!W140</f>
        <v>0</v>
      </c>
    </row>
    <row r="141" spans="1:11">
      <c r="A141" t="str">
        <f t="shared" si="2"/>
        <v>00</v>
      </c>
      <c r="B141">
        <f>+'Paste Here'!N141</f>
        <v>0</v>
      </c>
      <c r="C141">
        <f>+'Paste Here'!O141</f>
        <v>0</v>
      </c>
      <c r="D141">
        <f>+'Paste Here'!P141</f>
        <v>0</v>
      </c>
      <c r="E141">
        <f>+'Paste Here'!Q141</f>
        <v>0</v>
      </c>
      <c r="F141">
        <f>+'Paste Here'!R141</f>
        <v>0</v>
      </c>
      <c r="G141">
        <f>+'Paste Here'!S141</f>
        <v>0</v>
      </c>
      <c r="H141">
        <f>+'Paste Here'!T141</f>
        <v>0</v>
      </c>
      <c r="I141">
        <f>+'Paste Here'!U141</f>
        <v>0</v>
      </c>
      <c r="J141">
        <f>+'Paste Here'!V141</f>
        <v>0</v>
      </c>
      <c r="K141">
        <f>+'Paste Here'!W141</f>
        <v>0</v>
      </c>
    </row>
    <row r="142" spans="1:11">
      <c r="A142" t="str">
        <f t="shared" si="2"/>
        <v>00</v>
      </c>
      <c r="B142">
        <f>+'Paste Here'!N142</f>
        <v>0</v>
      </c>
      <c r="C142">
        <f>+'Paste Here'!O142</f>
        <v>0</v>
      </c>
      <c r="D142">
        <f>+'Paste Here'!P142</f>
        <v>0</v>
      </c>
      <c r="E142">
        <f>+'Paste Here'!Q142</f>
        <v>0</v>
      </c>
      <c r="F142">
        <f>+'Paste Here'!R142</f>
        <v>0</v>
      </c>
      <c r="G142">
        <f>+'Paste Here'!S142</f>
        <v>0</v>
      </c>
      <c r="H142">
        <f>+'Paste Here'!T142</f>
        <v>0</v>
      </c>
      <c r="I142">
        <f>+'Paste Here'!U142</f>
        <v>0</v>
      </c>
      <c r="J142">
        <f>+'Paste Here'!V142</f>
        <v>0</v>
      </c>
      <c r="K142">
        <f>+'Paste Here'!W142</f>
        <v>0</v>
      </c>
    </row>
    <row r="143" spans="1:11">
      <c r="A143" t="str">
        <f t="shared" si="2"/>
        <v>00</v>
      </c>
      <c r="B143">
        <f>+'Paste Here'!N143</f>
        <v>0</v>
      </c>
      <c r="C143">
        <f>+'Paste Here'!O143</f>
        <v>0</v>
      </c>
      <c r="D143">
        <f>+'Paste Here'!P143</f>
        <v>0</v>
      </c>
      <c r="E143">
        <f>+'Paste Here'!Q143</f>
        <v>0</v>
      </c>
      <c r="F143">
        <f>+'Paste Here'!R143</f>
        <v>0</v>
      </c>
      <c r="G143">
        <f>+'Paste Here'!S143</f>
        <v>0</v>
      </c>
      <c r="H143">
        <f>+'Paste Here'!T143</f>
        <v>0</v>
      </c>
      <c r="I143">
        <f>+'Paste Here'!U143</f>
        <v>0</v>
      </c>
      <c r="J143">
        <f>+'Paste Here'!V143</f>
        <v>0</v>
      </c>
      <c r="K143">
        <f>+'Paste Here'!W143</f>
        <v>0</v>
      </c>
    </row>
    <row r="144" spans="1:11">
      <c r="A144" t="str">
        <f t="shared" si="2"/>
        <v>00</v>
      </c>
      <c r="B144">
        <f>+'Paste Here'!N144</f>
        <v>0</v>
      </c>
      <c r="C144">
        <f>+'Paste Here'!O144</f>
        <v>0</v>
      </c>
      <c r="D144">
        <f>+'Paste Here'!P144</f>
        <v>0</v>
      </c>
      <c r="E144">
        <f>+'Paste Here'!Q144</f>
        <v>0</v>
      </c>
      <c r="F144">
        <f>+'Paste Here'!R144</f>
        <v>0</v>
      </c>
      <c r="G144">
        <f>+'Paste Here'!S144</f>
        <v>0</v>
      </c>
      <c r="H144">
        <f>+'Paste Here'!T144</f>
        <v>0</v>
      </c>
      <c r="I144">
        <f>+'Paste Here'!U144</f>
        <v>0</v>
      </c>
      <c r="J144">
        <f>+'Paste Here'!V144</f>
        <v>0</v>
      </c>
      <c r="K144">
        <f>+'Paste Here'!W144</f>
        <v>0</v>
      </c>
    </row>
    <row r="145" spans="1:11">
      <c r="A145" t="str">
        <f t="shared" si="2"/>
        <v>00</v>
      </c>
      <c r="B145">
        <f>+'Paste Here'!N145</f>
        <v>0</v>
      </c>
      <c r="C145">
        <f>+'Paste Here'!O145</f>
        <v>0</v>
      </c>
      <c r="D145">
        <f>+'Paste Here'!P145</f>
        <v>0</v>
      </c>
      <c r="E145">
        <f>+'Paste Here'!Q145</f>
        <v>0</v>
      </c>
      <c r="F145">
        <f>+'Paste Here'!R145</f>
        <v>0</v>
      </c>
      <c r="G145">
        <f>+'Paste Here'!S145</f>
        <v>0</v>
      </c>
      <c r="H145">
        <f>+'Paste Here'!T145</f>
        <v>0</v>
      </c>
      <c r="I145">
        <f>+'Paste Here'!U145</f>
        <v>0</v>
      </c>
      <c r="J145">
        <f>+'Paste Here'!V145</f>
        <v>0</v>
      </c>
      <c r="K145">
        <f>+'Paste Here'!W145</f>
        <v>0</v>
      </c>
    </row>
    <row r="146" spans="1:11">
      <c r="A146" t="str">
        <f t="shared" si="2"/>
        <v>00</v>
      </c>
      <c r="B146">
        <f>+'Paste Here'!N146</f>
        <v>0</v>
      </c>
      <c r="C146">
        <f>+'Paste Here'!O146</f>
        <v>0</v>
      </c>
      <c r="D146">
        <f>+'Paste Here'!P146</f>
        <v>0</v>
      </c>
      <c r="E146">
        <f>+'Paste Here'!Q146</f>
        <v>0</v>
      </c>
      <c r="F146">
        <f>+'Paste Here'!R146</f>
        <v>0</v>
      </c>
      <c r="G146">
        <f>+'Paste Here'!S146</f>
        <v>0</v>
      </c>
      <c r="H146">
        <f>+'Paste Here'!T146</f>
        <v>0</v>
      </c>
      <c r="I146">
        <f>+'Paste Here'!U146</f>
        <v>0</v>
      </c>
      <c r="J146">
        <f>+'Paste Here'!V146</f>
        <v>0</v>
      </c>
      <c r="K146">
        <f>+'Paste Here'!W146</f>
        <v>0</v>
      </c>
    </row>
    <row r="147" spans="1:11">
      <c r="A147" t="str">
        <f t="shared" si="2"/>
        <v>00</v>
      </c>
      <c r="B147">
        <f>+'Paste Here'!N147</f>
        <v>0</v>
      </c>
      <c r="C147">
        <f>+'Paste Here'!O147</f>
        <v>0</v>
      </c>
      <c r="D147">
        <f>+'Paste Here'!P147</f>
        <v>0</v>
      </c>
      <c r="E147">
        <f>+'Paste Here'!Q147</f>
        <v>0</v>
      </c>
      <c r="F147">
        <f>+'Paste Here'!R147</f>
        <v>0</v>
      </c>
      <c r="G147">
        <f>+'Paste Here'!S147</f>
        <v>0</v>
      </c>
      <c r="H147">
        <f>+'Paste Here'!T147</f>
        <v>0</v>
      </c>
      <c r="I147">
        <f>+'Paste Here'!U147</f>
        <v>0</v>
      </c>
      <c r="J147">
        <f>+'Paste Here'!V147</f>
        <v>0</v>
      </c>
      <c r="K147">
        <f>+'Paste Here'!W147</f>
        <v>0</v>
      </c>
    </row>
    <row r="148" spans="1:11">
      <c r="A148" t="str">
        <f t="shared" si="2"/>
        <v>00</v>
      </c>
      <c r="B148">
        <f>+'Paste Here'!N148</f>
        <v>0</v>
      </c>
      <c r="C148">
        <f>+'Paste Here'!O148</f>
        <v>0</v>
      </c>
      <c r="D148">
        <f>+'Paste Here'!P148</f>
        <v>0</v>
      </c>
      <c r="E148">
        <f>+'Paste Here'!Q148</f>
        <v>0</v>
      </c>
      <c r="F148">
        <f>+'Paste Here'!R148</f>
        <v>0</v>
      </c>
      <c r="G148">
        <f>+'Paste Here'!S148</f>
        <v>0</v>
      </c>
      <c r="H148">
        <f>+'Paste Here'!T148</f>
        <v>0</v>
      </c>
      <c r="I148">
        <f>+'Paste Here'!U148</f>
        <v>0</v>
      </c>
      <c r="J148">
        <f>+'Paste Here'!V148</f>
        <v>0</v>
      </c>
      <c r="K148">
        <f>+'Paste Here'!W148</f>
        <v>0</v>
      </c>
    </row>
    <row r="149" spans="1:11">
      <c r="A149" t="str">
        <f t="shared" si="2"/>
        <v>00</v>
      </c>
      <c r="B149">
        <f>+'Paste Here'!N149</f>
        <v>0</v>
      </c>
      <c r="C149">
        <f>+'Paste Here'!O149</f>
        <v>0</v>
      </c>
      <c r="D149">
        <f>+'Paste Here'!P149</f>
        <v>0</v>
      </c>
      <c r="E149">
        <f>+'Paste Here'!Q149</f>
        <v>0</v>
      </c>
      <c r="F149">
        <f>+'Paste Here'!R149</f>
        <v>0</v>
      </c>
      <c r="G149">
        <f>+'Paste Here'!S149</f>
        <v>0</v>
      </c>
      <c r="H149">
        <f>+'Paste Here'!T149</f>
        <v>0</v>
      </c>
      <c r="I149">
        <f>+'Paste Here'!U149</f>
        <v>0</v>
      </c>
      <c r="J149">
        <f>+'Paste Here'!V149</f>
        <v>0</v>
      </c>
      <c r="K149">
        <f>+'Paste Here'!W149</f>
        <v>0</v>
      </c>
    </row>
    <row r="150" spans="1:11">
      <c r="A150" t="str">
        <f t="shared" si="2"/>
        <v>00</v>
      </c>
      <c r="B150">
        <f>+'Paste Here'!N150</f>
        <v>0</v>
      </c>
      <c r="C150">
        <f>+'Paste Here'!O150</f>
        <v>0</v>
      </c>
      <c r="D150">
        <f>+'Paste Here'!P150</f>
        <v>0</v>
      </c>
      <c r="E150">
        <f>+'Paste Here'!Q150</f>
        <v>0</v>
      </c>
      <c r="F150">
        <f>+'Paste Here'!R150</f>
        <v>0</v>
      </c>
      <c r="G150">
        <f>+'Paste Here'!S150</f>
        <v>0</v>
      </c>
      <c r="H150">
        <f>+'Paste Here'!T150</f>
        <v>0</v>
      </c>
      <c r="I150">
        <f>+'Paste Here'!U150</f>
        <v>0</v>
      </c>
      <c r="J150">
        <f>+'Paste Here'!V150</f>
        <v>0</v>
      </c>
      <c r="K150">
        <f>+'Paste Here'!W150</f>
        <v>0</v>
      </c>
    </row>
    <row r="151" spans="1:11">
      <c r="A151" t="str">
        <f t="shared" si="2"/>
        <v>00</v>
      </c>
      <c r="B151">
        <f>+'Paste Here'!N151</f>
        <v>0</v>
      </c>
      <c r="C151">
        <f>+'Paste Here'!O151</f>
        <v>0</v>
      </c>
      <c r="D151">
        <f>+'Paste Here'!P151</f>
        <v>0</v>
      </c>
      <c r="E151">
        <f>+'Paste Here'!Q151</f>
        <v>0</v>
      </c>
      <c r="F151">
        <f>+'Paste Here'!R151</f>
        <v>0</v>
      </c>
      <c r="G151">
        <f>+'Paste Here'!S151</f>
        <v>0</v>
      </c>
      <c r="H151">
        <f>+'Paste Here'!T151</f>
        <v>0</v>
      </c>
      <c r="I151">
        <f>+'Paste Here'!U151</f>
        <v>0</v>
      </c>
      <c r="J151">
        <f>+'Paste Here'!V151</f>
        <v>0</v>
      </c>
      <c r="K151">
        <f>+'Paste Here'!W151</f>
        <v>0</v>
      </c>
    </row>
    <row r="152" spans="1:11">
      <c r="A152" t="str">
        <f t="shared" si="2"/>
        <v>00</v>
      </c>
      <c r="B152">
        <f>+'Paste Here'!N152</f>
        <v>0</v>
      </c>
      <c r="C152">
        <f>+'Paste Here'!O152</f>
        <v>0</v>
      </c>
      <c r="D152">
        <f>+'Paste Here'!P152</f>
        <v>0</v>
      </c>
      <c r="E152">
        <f>+'Paste Here'!Q152</f>
        <v>0</v>
      </c>
      <c r="F152">
        <f>+'Paste Here'!R152</f>
        <v>0</v>
      </c>
      <c r="G152">
        <f>+'Paste Here'!S152</f>
        <v>0</v>
      </c>
      <c r="H152">
        <f>+'Paste Here'!T152</f>
        <v>0</v>
      </c>
      <c r="I152">
        <f>+'Paste Here'!U152</f>
        <v>0</v>
      </c>
      <c r="J152">
        <f>+'Paste Here'!V152</f>
        <v>0</v>
      </c>
      <c r="K152">
        <f>+'Paste Here'!W152</f>
        <v>0</v>
      </c>
    </row>
    <row r="153" spans="1:11">
      <c r="A153" t="str">
        <f t="shared" si="2"/>
        <v>00</v>
      </c>
      <c r="B153">
        <f>+'Paste Here'!N153</f>
        <v>0</v>
      </c>
      <c r="C153">
        <f>+'Paste Here'!O153</f>
        <v>0</v>
      </c>
      <c r="D153">
        <f>+'Paste Here'!P153</f>
        <v>0</v>
      </c>
      <c r="E153">
        <f>+'Paste Here'!Q153</f>
        <v>0</v>
      </c>
      <c r="F153">
        <f>+'Paste Here'!R153</f>
        <v>0</v>
      </c>
      <c r="G153">
        <f>+'Paste Here'!S153</f>
        <v>0</v>
      </c>
      <c r="H153">
        <f>+'Paste Here'!T153</f>
        <v>0</v>
      </c>
      <c r="I153">
        <f>+'Paste Here'!U153</f>
        <v>0</v>
      </c>
      <c r="J153">
        <f>+'Paste Here'!V153</f>
        <v>0</v>
      </c>
      <c r="K153">
        <f>+'Paste Here'!W153</f>
        <v>0</v>
      </c>
    </row>
    <row r="154" spans="1:11">
      <c r="A154" t="str">
        <f t="shared" si="2"/>
        <v>00</v>
      </c>
      <c r="B154">
        <f>+'Paste Here'!N154</f>
        <v>0</v>
      </c>
      <c r="C154">
        <f>+'Paste Here'!O154</f>
        <v>0</v>
      </c>
      <c r="D154">
        <f>+'Paste Here'!P154</f>
        <v>0</v>
      </c>
      <c r="E154">
        <f>+'Paste Here'!Q154</f>
        <v>0</v>
      </c>
      <c r="F154">
        <f>+'Paste Here'!R154</f>
        <v>0</v>
      </c>
      <c r="G154">
        <f>+'Paste Here'!S154</f>
        <v>0</v>
      </c>
      <c r="H154">
        <f>+'Paste Here'!T154</f>
        <v>0</v>
      </c>
      <c r="I154">
        <f>+'Paste Here'!U154</f>
        <v>0</v>
      </c>
      <c r="J154">
        <f>+'Paste Here'!V154</f>
        <v>0</v>
      </c>
      <c r="K154">
        <f>+'Paste Here'!W154</f>
        <v>0</v>
      </c>
    </row>
    <row r="155" spans="1:11">
      <c r="A155" t="str">
        <f t="shared" si="2"/>
        <v>00</v>
      </c>
      <c r="B155">
        <f>+'Paste Here'!N155</f>
        <v>0</v>
      </c>
      <c r="C155">
        <f>+'Paste Here'!O155</f>
        <v>0</v>
      </c>
      <c r="D155">
        <f>+'Paste Here'!P155</f>
        <v>0</v>
      </c>
      <c r="E155">
        <f>+'Paste Here'!Q155</f>
        <v>0</v>
      </c>
      <c r="F155">
        <f>+'Paste Here'!R155</f>
        <v>0</v>
      </c>
      <c r="G155">
        <f>+'Paste Here'!S155</f>
        <v>0</v>
      </c>
      <c r="H155">
        <f>+'Paste Here'!T155</f>
        <v>0</v>
      </c>
      <c r="I155">
        <f>+'Paste Here'!U155</f>
        <v>0</v>
      </c>
      <c r="J155">
        <f>+'Paste Here'!V155</f>
        <v>0</v>
      </c>
      <c r="K155">
        <f>+'Paste Here'!W155</f>
        <v>0</v>
      </c>
    </row>
    <row r="156" spans="1:11">
      <c r="A156" t="str">
        <f t="shared" si="2"/>
        <v>00</v>
      </c>
      <c r="B156">
        <f>+'Paste Here'!N156</f>
        <v>0</v>
      </c>
      <c r="C156">
        <f>+'Paste Here'!O156</f>
        <v>0</v>
      </c>
      <c r="D156">
        <f>+'Paste Here'!P156</f>
        <v>0</v>
      </c>
      <c r="E156">
        <f>+'Paste Here'!Q156</f>
        <v>0</v>
      </c>
      <c r="F156">
        <f>+'Paste Here'!R156</f>
        <v>0</v>
      </c>
      <c r="G156">
        <f>+'Paste Here'!S156</f>
        <v>0</v>
      </c>
      <c r="H156">
        <f>+'Paste Here'!T156</f>
        <v>0</v>
      </c>
      <c r="I156">
        <f>+'Paste Here'!U156</f>
        <v>0</v>
      </c>
      <c r="J156">
        <f>+'Paste Here'!V156</f>
        <v>0</v>
      </c>
      <c r="K156">
        <f>+'Paste Here'!W156</f>
        <v>0</v>
      </c>
    </row>
    <row r="157" spans="1:11">
      <c r="A157" t="str">
        <f t="shared" si="2"/>
        <v>00</v>
      </c>
      <c r="B157">
        <f>+'Paste Here'!N157</f>
        <v>0</v>
      </c>
      <c r="C157">
        <f>+'Paste Here'!O157</f>
        <v>0</v>
      </c>
      <c r="D157">
        <f>+'Paste Here'!P157</f>
        <v>0</v>
      </c>
      <c r="E157">
        <f>+'Paste Here'!Q157</f>
        <v>0</v>
      </c>
      <c r="F157">
        <f>+'Paste Here'!R157</f>
        <v>0</v>
      </c>
      <c r="G157">
        <f>+'Paste Here'!S157</f>
        <v>0</v>
      </c>
      <c r="H157">
        <f>+'Paste Here'!T157</f>
        <v>0</v>
      </c>
      <c r="I157">
        <f>+'Paste Here'!U157</f>
        <v>0</v>
      </c>
      <c r="J157">
        <f>+'Paste Here'!V157</f>
        <v>0</v>
      </c>
      <c r="K157">
        <f>+'Paste Here'!W157</f>
        <v>0</v>
      </c>
    </row>
    <row r="158" spans="1:11">
      <c r="A158" t="str">
        <f t="shared" si="2"/>
        <v>00</v>
      </c>
      <c r="B158">
        <f>+'Paste Here'!N158</f>
        <v>0</v>
      </c>
      <c r="C158">
        <f>+'Paste Here'!O158</f>
        <v>0</v>
      </c>
      <c r="D158">
        <f>+'Paste Here'!P158</f>
        <v>0</v>
      </c>
      <c r="E158">
        <f>+'Paste Here'!Q158</f>
        <v>0</v>
      </c>
      <c r="F158">
        <f>+'Paste Here'!R158</f>
        <v>0</v>
      </c>
      <c r="G158">
        <f>+'Paste Here'!S158</f>
        <v>0</v>
      </c>
      <c r="H158">
        <f>+'Paste Here'!T158</f>
        <v>0</v>
      </c>
      <c r="I158">
        <f>+'Paste Here'!U158</f>
        <v>0</v>
      </c>
      <c r="J158">
        <f>+'Paste Here'!V158</f>
        <v>0</v>
      </c>
      <c r="K158">
        <f>+'Paste Here'!W158</f>
        <v>0</v>
      </c>
    </row>
    <row r="159" spans="1:11">
      <c r="A159" t="str">
        <f t="shared" si="2"/>
        <v>00</v>
      </c>
      <c r="B159">
        <f>+'Paste Here'!N159</f>
        <v>0</v>
      </c>
      <c r="C159">
        <f>+'Paste Here'!O159</f>
        <v>0</v>
      </c>
      <c r="D159">
        <f>+'Paste Here'!P159</f>
        <v>0</v>
      </c>
      <c r="E159">
        <f>+'Paste Here'!Q159</f>
        <v>0</v>
      </c>
      <c r="F159">
        <f>+'Paste Here'!R159</f>
        <v>0</v>
      </c>
      <c r="G159">
        <f>+'Paste Here'!S159</f>
        <v>0</v>
      </c>
      <c r="H159">
        <f>+'Paste Here'!T159</f>
        <v>0</v>
      </c>
      <c r="I159">
        <f>+'Paste Here'!U159</f>
        <v>0</v>
      </c>
      <c r="J159">
        <f>+'Paste Here'!V159</f>
        <v>0</v>
      </c>
      <c r="K159">
        <f>+'Paste Here'!W159</f>
        <v>0</v>
      </c>
    </row>
    <row r="160" spans="1:11">
      <c r="A160" t="str">
        <f t="shared" si="2"/>
        <v>00</v>
      </c>
      <c r="B160">
        <f>+'Paste Here'!N160</f>
        <v>0</v>
      </c>
      <c r="C160">
        <f>+'Paste Here'!O160</f>
        <v>0</v>
      </c>
      <c r="D160">
        <f>+'Paste Here'!P160</f>
        <v>0</v>
      </c>
      <c r="E160">
        <f>+'Paste Here'!Q160</f>
        <v>0</v>
      </c>
      <c r="F160">
        <f>+'Paste Here'!R160</f>
        <v>0</v>
      </c>
      <c r="G160">
        <f>+'Paste Here'!S160</f>
        <v>0</v>
      </c>
      <c r="H160">
        <f>+'Paste Here'!T160</f>
        <v>0</v>
      </c>
      <c r="I160">
        <f>+'Paste Here'!U160</f>
        <v>0</v>
      </c>
      <c r="J160">
        <f>+'Paste Here'!V160</f>
        <v>0</v>
      </c>
      <c r="K160">
        <f>+'Paste Here'!W160</f>
        <v>0</v>
      </c>
    </row>
    <row r="161" spans="1:11">
      <c r="A161" t="str">
        <f t="shared" si="2"/>
        <v>00</v>
      </c>
      <c r="B161">
        <f>+'Paste Here'!N161</f>
        <v>0</v>
      </c>
      <c r="C161">
        <f>+'Paste Here'!O161</f>
        <v>0</v>
      </c>
      <c r="D161">
        <f>+'Paste Here'!P161</f>
        <v>0</v>
      </c>
      <c r="E161">
        <f>+'Paste Here'!Q161</f>
        <v>0</v>
      </c>
      <c r="F161">
        <f>+'Paste Here'!R161</f>
        <v>0</v>
      </c>
      <c r="G161">
        <f>+'Paste Here'!S161</f>
        <v>0</v>
      </c>
      <c r="H161">
        <f>+'Paste Here'!T161</f>
        <v>0</v>
      </c>
      <c r="I161">
        <f>+'Paste Here'!U161</f>
        <v>0</v>
      </c>
      <c r="J161">
        <f>+'Paste Here'!V161</f>
        <v>0</v>
      </c>
      <c r="K161">
        <f>+'Paste Here'!W161</f>
        <v>0</v>
      </c>
    </row>
    <row r="162" spans="1:11">
      <c r="A162" t="str">
        <f t="shared" si="2"/>
        <v>00</v>
      </c>
      <c r="B162">
        <f>+'Paste Here'!N162</f>
        <v>0</v>
      </c>
      <c r="C162">
        <f>+'Paste Here'!O162</f>
        <v>0</v>
      </c>
      <c r="D162">
        <f>+'Paste Here'!P162</f>
        <v>0</v>
      </c>
      <c r="E162">
        <f>+'Paste Here'!Q162</f>
        <v>0</v>
      </c>
      <c r="F162">
        <f>+'Paste Here'!R162</f>
        <v>0</v>
      </c>
      <c r="G162">
        <f>+'Paste Here'!S162</f>
        <v>0</v>
      </c>
      <c r="H162">
        <f>+'Paste Here'!T162</f>
        <v>0</v>
      </c>
      <c r="I162">
        <f>+'Paste Here'!U162</f>
        <v>0</v>
      </c>
      <c r="J162">
        <f>+'Paste Here'!V162</f>
        <v>0</v>
      </c>
      <c r="K162">
        <f>+'Paste Here'!W162</f>
        <v>0</v>
      </c>
    </row>
    <row r="163" spans="1:11">
      <c r="A163" t="str">
        <f t="shared" si="2"/>
        <v>00</v>
      </c>
      <c r="B163">
        <f>+'Paste Here'!N163</f>
        <v>0</v>
      </c>
      <c r="C163">
        <f>+'Paste Here'!O163</f>
        <v>0</v>
      </c>
      <c r="D163">
        <f>+'Paste Here'!P163</f>
        <v>0</v>
      </c>
      <c r="E163">
        <f>+'Paste Here'!Q163</f>
        <v>0</v>
      </c>
      <c r="F163">
        <f>+'Paste Here'!R163</f>
        <v>0</v>
      </c>
      <c r="G163">
        <f>+'Paste Here'!S163</f>
        <v>0</v>
      </c>
      <c r="H163">
        <f>+'Paste Here'!T163</f>
        <v>0</v>
      </c>
      <c r="I163">
        <f>+'Paste Here'!U163</f>
        <v>0</v>
      </c>
      <c r="J163">
        <f>+'Paste Here'!V163</f>
        <v>0</v>
      </c>
      <c r="K163">
        <f>+'Paste Here'!W163</f>
        <v>0</v>
      </c>
    </row>
    <row r="164" spans="1:11">
      <c r="A164" t="str">
        <f t="shared" si="2"/>
        <v>00</v>
      </c>
      <c r="B164">
        <f>+'Paste Here'!N164</f>
        <v>0</v>
      </c>
      <c r="C164">
        <f>+'Paste Here'!O164</f>
        <v>0</v>
      </c>
      <c r="D164">
        <f>+'Paste Here'!P164</f>
        <v>0</v>
      </c>
      <c r="E164">
        <f>+'Paste Here'!Q164</f>
        <v>0</v>
      </c>
      <c r="F164">
        <f>+'Paste Here'!R164</f>
        <v>0</v>
      </c>
      <c r="G164">
        <f>+'Paste Here'!S164</f>
        <v>0</v>
      </c>
      <c r="H164">
        <f>+'Paste Here'!T164</f>
        <v>0</v>
      </c>
      <c r="I164">
        <f>+'Paste Here'!U164</f>
        <v>0</v>
      </c>
      <c r="J164">
        <f>+'Paste Here'!V164</f>
        <v>0</v>
      </c>
      <c r="K164">
        <f>+'Paste Here'!W164</f>
        <v>0</v>
      </c>
    </row>
    <row r="165" spans="1:11">
      <c r="A165" t="str">
        <f t="shared" si="2"/>
        <v>00</v>
      </c>
      <c r="B165">
        <f>+'Paste Here'!N165</f>
        <v>0</v>
      </c>
      <c r="C165">
        <f>+'Paste Here'!O165</f>
        <v>0</v>
      </c>
      <c r="D165">
        <f>+'Paste Here'!P165</f>
        <v>0</v>
      </c>
      <c r="E165">
        <f>+'Paste Here'!Q165</f>
        <v>0</v>
      </c>
      <c r="F165">
        <f>+'Paste Here'!R165</f>
        <v>0</v>
      </c>
      <c r="G165">
        <f>+'Paste Here'!S165</f>
        <v>0</v>
      </c>
      <c r="H165">
        <f>+'Paste Here'!T165</f>
        <v>0</v>
      </c>
      <c r="I165">
        <f>+'Paste Here'!U165</f>
        <v>0</v>
      </c>
      <c r="J165">
        <f>+'Paste Here'!V165</f>
        <v>0</v>
      </c>
      <c r="K165">
        <f>+'Paste Here'!W165</f>
        <v>0</v>
      </c>
    </row>
    <row r="166" spans="1:11">
      <c r="A166" t="str">
        <f t="shared" si="2"/>
        <v>00</v>
      </c>
      <c r="B166">
        <f>+'Paste Here'!N166</f>
        <v>0</v>
      </c>
      <c r="C166">
        <f>+'Paste Here'!O166</f>
        <v>0</v>
      </c>
      <c r="D166">
        <f>+'Paste Here'!P166</f>
        <v>0</v>
      </c>
      <c r="E166">
        <f>+'Paste Here'!Q166</f>
        <v>0</v>
      </c>
      <c r="F166">
        <f>+'Paste Here'!R166</f>
        <v>0</v>
      </c>
      <c r="G166">
        <f>+'Paste Here'!S166</f>
        <v>0</v>
      </c>
      <c r="H166">
        <f>+'Paste Here'!T166</f>
        <v>0</v>
      </c>
      <c r="I166">
        <f>+'Paste Here'!U166</f>
        <v>0</v>
      </c>
      <c r="J166">
        <f>+'Paste Here'!V166</f>
        <v>0</v>
      </c>
      <c r="K166">
        <f>+'Paste Here'!W166</f>
        <v>0</v>
      </c>
    </row>
    <row r="167" spans="1:11">
      <c r="A167" t="str">
        <f t="shared" si="2"/>
        <v>00</v>
      </c>
      <c r="B167">
        <f>+'Paste Here'!N167</f>
        <v>0</v>
      </c>
      <c r="C167">
        <f>+'Paste Here'!O167</f>
        <v>0</v>
      </c>
      <c r="D167">
        <f>+'Paste Here'!P167</f>
        <v>0</v>
      </c>
      <c r="E167">
        <f>+'Paste Here'!Q167</f>
        <v>0</v>
      </c>
      <c r="F167">
        <f>+'Paste Here'!R167</f>
        <v>0</v>
      </c>
      <c r="G167">
        <f>+'Paste Here'!S167</f>
        <v>0</v>
      </c>
      <c r="H167">
        <f>+'Paste Here'!T167</f>
        <v>0</v>
      </c>
      <c r="I167">
        <f>+'Paste Here'!U167</f>
        <v>0</v>
      </c>
      <c r="J167">
        <f>+'Paste Here'!V167</f>
        <v>0</v>
      </c>
      <c r="K167">
        <f>+'Paste Here'!W167</f>
        <v>0</v>
      </c>
    </row>
    <row r="168" spans="1:11">
      <c r="A168" t="str">
        <f t="shared" si="2"/>
        <v>00</v>
      </c>
      <c r="B168">
        <f>+'Paste Here'!N168</f>
        <v>0</v>
      </c>
      <c r="C168">
        <f>+'Paste Here'!O168</f>
        <v>0</v>
      </c>
      <c r="D168">
        <f>+'Paste Here'!P168</f>
        <v>0</v>
      </c>
      <c r="E168">
        <f>+'Paste Here'!Q168</f>
        <v>0</v>
      </c>
      <c r="F168">
        <f>+'Paste Here'!R168</f>
        <v>0</v>
      </c>
      <c r="G168">
        <f>+'Paste Here'!S168</f>
        <v>0</v>
      </c>
      <c r="H168">
        <f>+'Paste Here'!T168</f>
        <v>0</v>
      </c>
      <c r="I168">
        <f>+'Paste Here'!U168</f>
        <v>0</v>
      </c>
      <c r="J168">
        <f>+'Paste Here'!V168</f>
        <v>0</v>
      </c>
      <c r="K168">
        <f>+'Paste Here'!W168</f>
        <v>0</v>
      </c>
    </row>
    <row r="169" spans="1:11">
      <c r="A169" t="str">
        <f t="shared" si="2"/>
        <v>00</v>
      </c>
      <c r="B169">
        <f>+'Paste Here'!N169</f>
        <v>0</v>
      </c>
      <c r="C169">
        <f>+'Paste Here'!O169</f>
        <v>0</v>
      </c>
      <c r="D169">
        <f>+'Paste Here'!P169</f>
        <v>0</v>
      </c>
      <c r="E169">
        <f>+'Paste Here'!Q169</f>
        <v>0</v>
      </c>
      <c r="F169">
        <f>+'Paste Here'!R169</f>
        <v>0</v>
      </c>
      <c r="G169">
        <f>+'Paste Here'!S169</f>
        <v>0</v>
      </c>
      <c r="H169">
        <f>+'Paste Here'!T169</f>
        <v>0</v>
      </c>
      <c r="I169">
        <f>+'Paste Here'!U169</f>
        <v>0</v>
      </c>
      <c r="J169">
        <f>+'Paste Here'!V169</f>
        <v>0</v>
      </c>
      <c r="K169">
        <f>+'Paste Here'!W169</f>
        <v>0</v>
      </c>
    </row>
    <row r="170" spans="1:11">
      <c r="A170" t="str">
        <f t="shared" si="2"/>
        <v>00</v>
      </c>
      <c r="B170">
        <f>+'Paste Here'!N170</f>
        <v>0</v>
      </c>
      <c r="C170">
        <f>+'Paste Here'!O170</f>
        <v>0</v>
      </c>
      <c r="D170">
        <f>+'Paste Here'!P170</f>
        <v>0</v>
      </c>
      <c r="E170">
        <f>+'Paste Here'!Q170</f>
        <v>0</v>
      </c>
      <c r="F170">
        <f>+'Paste Here'!R170</f>
        <v>0</v>
      </c>
      <c r="G170">
        <f>+'Paste Here'!S170</f>
        <v>0</v>
      </c>
      <c r="H170">
        <f>+'Paste Here'!T170</f>
        <v>0</v>
      </c>
      <c r="I170">
        <f>+'Paste Here'!U170</f>
        <v>0</v>
      </c>
      <c r="J170">
        <f>+'Paste Here'!V170</f>
        <v>0</v>
      </c>
      <c r="K170">
        <f>+'Paste Here'!W170</f>
        <v>0</v>
      </c>
    </row>
    <row r="171" spans="1:11">
      <c r="A171" t="str">
        <f t="shared" si="2"/>
        <v>00</v>
      </c>
      <c r="B171">
        <f>+'Paste Here'!N171</f>
        <v>0</v>
      </c>
      <c r="C171">
        <f>+'Paste Here'!O171</f>
        <v>0</v>
      </c>
      <c r="D171">
        <f>+'Paste Here'!P171</f>
        <v>0</v>
      </c>
      <c r="E171">
        <f>+'Paste Here'!Q171</f>
        <v>0</v>
      </c>
      <c r="F171">
        <f>+'Paste Here'!R171</f>
        <v>0</v>
      </c>
      <c r="G171">
        <f>+'Paste Here'!S171</f>
        <v>0</v>
      </c>
      <c r="H171">
        <f>+'Paste Here'!T171</f>
        <v>0</v>
      </c>
      <c r="I171">
        <f>+'Paste Here'!U171</f>
        <v>0</v>
      </c>
      <c r="J171">
        <f>+'Paste Here'!V171</f>
        <v>0</v>
      </c>
      <c r="K171">
        <f>+'Paste Here'!W171</f>
        <v>0</v>
      </c>
    </row>
    <row r="172" spans="1:11">
      <c r="A172" t="str">
        <f t="shared" si="2"/>
        <v>00</v>
      </c>
      <c r="B172">
        <f>+'Paste Here'!N172</f>
        <v>0</v>
      </c>
      <c r="C172">
        <f>+'Paste Here'!O172</f>
        <v>0</v>
      </c>
      <c r="D172">
        <f>+'Paste Here'!P172</f>
        <v>0</v>
      </c>
      <c r="E172">
        <f>+'Paste Here'!Q172</f>
        <v>0</v>
      </c>
      <c r="F172">
        <f>+'Paste Here'!R172</f>
        <v>0</v>
      </c>
      <c r="G172">
        <f>+'Paste Here'!S172</f>
        <v>0</v>
      </c>
      <c r="H172">
        <f>+'Paste Here'!T172</f>
        <v>0</v>
      </c>
      <c r="I172">
        <f>+'Paste Here'!U172</f>
        <v>0</v>
      </c>
      <c r="J172">
        <f>+'Paste Here'!V172</f>
        <v>0</v>
      </c>
      <c r="K172">
        <f>+'Paste Here'!W172</f>
        <v>0</v>
      </c>
    </row>
    <row r="173" spans="1:11">
      <c r="A173" t="str">
        <f t="shared" si="2"/>
        <v>00</v>
      </c>
      <c r="B173">
        <f>+'Paste Here'!N173</f>
        <v>0</v>
      </c>
      <c r="C173">
        <f>+'Paste Here'!O173</f>
        <v>0</v>
      </c>
      <c r="D173">
        <f>+'Paste Here'!P173</f>
        <v>0</v>
      </c>
      <c r="E173">
        <f>+'Paste Here'!Q173</f>
        <v>0</v>
      </c>
      <c r="F173">
        <f>+'Paste Here'!R173</f>
        <v>0</v>
      </c>
      <c r="G173">
        <f>+'Paste Here'!S173</f>
        <v>0</v>
      </c>
      <c r="H173">
        <f>+'Paste Here'!T173</f>
        <v>0</v>
      </c>
      <c r="I173">
        <f>+'Paste Here'!U173</f>
        <v>0</v>
      </c>
      <c r="J173">
        <f>+'Paste Here'!V173</f>
        <v>0</v>
      </c>
      <c r="K173">
        <f>+'Paste Here'!W173</f>
        <v>0</v>
      </c>
    </row>
    <row r="174" spans="1:11">
      <c r="A174" t="str">
        <f t="shared" si="2"/>
        <v>00</v>
      </c>
      <c r="B174">
        <f>+'Paste Here'!N174</f>
        <v>0</v>
      </c>
      <c r="C174">
        <f>+'Paste Here'!O174</f>
        <v>0</v>
      </c>
      <c r="D174">
        <f>+'Paste Here'!P174</f>
        <v>0</v>
      </c>
      <c r="E174">
        <f>+'Paste Here'!Q174</f>
        <v>0</v>
      </c>
      <c r="F174">
        <f>+'Paste Here'!R174</f>
        <v>0</v>
      </c>
      <c r="G174">
        <f>+'Paste Here'!S174</f>
        <v>0</v>
      </c>
      <c r="H174">
        <f>+'Paste Here'!T174</f>
        <v>0</v>
      </c>
      <c r="I174">
        <f>+'Paste Here'!U174</f>
        <v>0</v>
      </c>
      <c r="J174">
        <f>+'Paste Here'!V174</f>
        <v>0</v>
      </c>
      <c r="K174">
        <f>+'Paste Here'!W174</f>
        <v>0</v>
      </c>
    </row>
    <row r="175" spans="1:11">
      <c r="A175" t="str">
        <f t="shared" si="2"/>
        <v>00</v>
      </c>
      <c r="B175">
        <f>+'Paste Here'!N175</f>
        <v>0</v>
      </c>
      <c r="C175">
        <f>+'Paste Here'!O175</f>
        <v>0</v>
      </c>
      <c r="D175">
        <f>+'Paste Here'!P175</f>
        <v>0</v>
      </c>
      <c r="E175">
        <f>+'Paste Here'!Q175</f>
        <v>0</v>
      </c>
      <c r="F175">
        <f>+'Paste Here'!R175</f>
        <v>0</v>
      </c>
      <c r="G175">
        <f>+'Paste Here'!S175</f>
        <v>0</v>
      </c>
      <c r="H175">
        <f>+'Paste Here'!T175</f>
        <v>0</v>
      </c>
      <c r="I175">
        <f>+'Paste Here'!U175</f>
        <v>0</v>
      </c>
      <c r="J175">
        <f>+'Paste Here'!V175</f>
        <v>0</v>
      </c>
      <c r="K175">
        <f>+'Paste Here'!W175</f>
        <v>0</v>
      </c>
    </row>
    <row r="176" spans="1:11">
      <c r="A176" t="str">
        <f t="shared" si="2"/>
        <v>00</v>
      </c>
      <c r="B176">
        <f>+'Paste Here'!N176</f>
        <v>0</v>
      </c>
      <c r="C176">
        <f>+'Paste Here'!O176</f>
        <v>0</v>
      </c>
      <c r="D176">
        <f>+'Paste Here'!P176</f>
        <v>0</v>
      </c>
      <c r="E176">
        <f>+'Paste Here'!Q176</f>
        <v>0</v>
      </c>
      <c r="F176">
        <f>+'Paste Here'!R176</f>
        <v>0</v>
      </c>
      <c r="G176">
        <f>+'Paste Here'!S176</f>
        <v>0</v>
      </c>
      <c r="H176">
        <f>+'Paste Here'!T176</f>
        <v>0</v>
      </c>
      <c r="I176">
        <f>+'Paste Here'!U176</f>
        <v>0</v>
      </c>
      <c r="J176">
        <f>+'Paste Here'!V176</f>
        <v>0</v>
      </c>
      <c r="K176">
        <f>+'Paste Here'!W176</f>
        <v>0</v>
      </c>
    </row>
    <row r="177" spans="1:11">
      <c r="A177" t="str">
        <f t="shared" si="2"/>
        <v>00</v>
      </c>
      <c r="B177">
        <f>+'Paste Here'!N177</f>
        <v>0</v>
      </c>
      <c r="C177">
        <f>+'Paste Here'!O177</f>
        <v>0</v>
      </c>
      <c r="D177">
        <f>+'Paste Here'!P177</f>
        <v>0</v>
      </c>
      <c r="E177">
        <f>+'Paste Here'!Q177</f>
        <v>0</v>
      </c>
      <c r="F177">
        <f>+'Paste Here'!R177</f>
        <v>0</v>
      </c>
      <c r="G177">
        <f>+'Paste Here'!S177</f>
        <v>0</v>
      </c>
      <c r="H177">
        <f>+'Paste Here'!T177</f>
        <v>0</v>
      </c>
      <c r="I177">
        <f>+'Paste Here'!U177</f>
        <v>0</v>
      </c>
      <c r="J177">
        <f>+'Paste Here'!V177</f>
        <v>0</v>
      </c>
      <c r="K177">
        <f>+'Paste Here'!W177</f>
        <v>0</v>
      </c>
    </row>
    <row r="178" spans="1:11">
      <c r="A178" t="str">
        <f t="shared" si="2"/>
        <v>00</v>
      </c>
      <c r="B178">
        <f>+'Paste Here'!N178</f>
        <v>0</v>
      </c>
      <c r="C178">
        <f>+'Paste Here'!O178</f>
        <v>0</v>
      </c>
      <c r="D178">
        <f>+'Paste Here'!P178</f>
        <v>0</v>
      </c>
      <c r="E178">
        <f>+'Paste Here'!Q178</f>
        <v>0</v>
      </c>
      <c r="F178">
        <f>+'Paste Here'!R178</f>
        <v>0</v>
      </c>
      <c r="G178">
        <f>+'Paste Here'!S178</f>
        <v>0</v>
      </c>
      <c r="H178">
        <f>+'Paste Here'!T178</f>
        <v>0</v>
      </c>
      <c r="I178">
        <f>+'Paste Here'!U178</f>
        <v>0</v>
      </c>
      <c r="J178">
        <f>+'Paste Here'!V178</f>
        <v>0</v>
      </c>
      <c r="K178">
        <f>+'Paste Here'!W178</f>
        <v>0</v>
      </c>
    </row>
    <row r="179" spans="1:11">
      <c r="A179" t="str">
        <f t="shared" si="2"/>
        <v>00</v>
      </c>
      <c r="B179">
        <f>+'Paste Here'!N179</f>
        <v>0</v>
      </c>
      <c r="C179">
        <f>+'Paste Here'!O179</f>
        <v>0</v>
      </c>
      <c r="D179">
        <f>+'Paste Here'!P179</f>
        <v>0</v>
      </c>
      <c r="E179">
        <f>+'Paste Here'!Q179</f>
        <v>0</v>
      </c>
      <c r="F179">
        <f>+'Paste Here'!R179</f>
        <v>0</v>
      </c>
      <c r="G179">
        <f>+'Paste Here'!S179</f>
        <v>0</v>
      </c>
      <c r="H179">
        <f>+'Paste Here'!T179</f>
        <v>0</v>
      </c>
      <c r="I179">
        <f>+'Paste Here'!U179</f>
        <v>0</v>
      </c>
      <c r="J179">
        <f>+'Paste Here'!V179</f>
        <v>0</v>
      </c>
      <c r="K179">
        <f>+'Paste Here'!W179</f>
        <v>0</v>
      </c>
    </row>
    <row r="180" spans="1:11">
      <c r="A180" t="str">
        <f t="shared" si="2"/>
        <v>00</v>
      </c>
      <c r="B180">
        <f>+'Paste Here'!N180</f>
        <v>0</v>
      </c>
      <c r="C180">
        <f>+'Paste Here'!O180</f>
        <v>0</v>
      </c>
      <c r="D180">
        <f>+'Paste Here'!P180</f>
        <v>0</v>
      </c>
      <c r="E180">
        <f>+'Paste Here'!Q180</f>
        <v>0</v>
      </c>
      <c r="F180">
        <f>+'Paste Here'!R180</f>
        <v>0</v>
      </c>
      <c r="G180">
        <f>+'Paste Here'!S180</f>
        <v>0</v>
      </c>
      <c r="H180">
        <f>+'Paste Here'!T180</f>
        <v>0</v>
      </c>
      <c r="I180">
        <f>+'Paste Here'!U180</f>
        <v>0</v>
      </c>
      <c r="J180">
        <f>+'Paste Here'!V180</f>
        <v>0</v>
      </c>
      <c r="K180">
        <f>+'Paste Here'!W180</f>
        <v>0</v>
      </c>
    </row>
    <row r="181" spans="1:11">
      <c r="A181" t="str">
        <f t="shared" si="2"/>
        <v>00</v>
      </c>
      <c r="B181">
        <f>+'Paste Here'!N181</f>
        <v>0</v>
      </c>
      <c r="C181">
        <f>+'Paste Here'!O181</f>
        <v>0</v>
      </c>
      <c r="D181">
        <f>+'Paste Here'!P181</f>
        <v>0</v>
      </c>
      <c r="E181">
        <f>+'Paste Here'!Q181</f>
        <v>0</v>
      </c>
      <c r="F181">
        <f>+'Paste Here'!R181</f>
        <v>0</v>
      </c>
      <c r="G181">
        <f>+'Paste Here'!S181</f>
        <v>0</v>
      </c>
      <c r="H181">
        <f>+'Paste Here'!T181</f>
        <v>0</v>
      </c>
      <c r="I181">
        <f>+'Paste Here'!U181</f>
        <v>0</v>
      </c>
      <c r="J181">
        <f>+'Paste Here'!V181</f>
        <v>0</v>
      </c>
      <c r="K181">
        <f>+'Paste Here'!W181</f>
        <v>0</v>
      </c>
    </row>
    <row r="182" spans="1:11">
      <c r="A182" t="str">
        <f t="shared" si="2"/>
        <v>00</v>
      </c>
      <c r="B182">
        <f>+'Paste Here'!N182</f>
        <v>0</v>
      </c>
      <c r="C182">
        <f>+'Paste Here'!O182</f>
        <v>0</v>
      </c>
      <c r="D182">
        <f>+'Paste Here'!P182</f>
        <v>0</v>
      </c>
      <c r="E182">
        <f>+'Paste Here'!Q182</f>
        <v>0</v>
      </c>
      <c r="F182">
        <f>+'Paste Here'!R182</f>
        <v>0</v>
      </c>
      <c r="G182">
        <f>+'Paste Here'!S182</f>
        <v>0</v>
      </c>
      <c r="H182">
        <f>+'Paste Here'!T182</f>
        <v>0</v>
      </c>
      <c r="I182">
        <f>+'Paste Here'!U182</f>
        <v>0</v>
      </c>
      <c r="J182">
        <f>+'Paste Here'!V182</f>
        <v>0</v>
      </c>
      <c r="K182">
        <f>+'Paste Here'!W182</f>
        <v>0</v>
      </c>
    </row>
    <row r="183" spans="1:11">
      <c r="A183" t="str">
        <f t="shared" si="2"/>
        <v>00</v>
      </c>
      <c r="B183">
        <f>+'Paste Here'!N183</f>
        <v>0</v>
      </c>
      <c r="C183">
        <f>+'Paste Here'!O183</f>
        <v>0</v>
      </c>
      <c r="D183">
        <f>+'Paste Here'!P183</f>
        <v>0</v>
      </c>
      <c r="E183">
        <f>+'Paste Here'!Q183</f>
        <v>0</v>
      </c>
      <c r="F183">
        <f>+'Paste Here'!R183</f>
        <v>0</v>
      </c>
      <c r="G183">
        <f>+'Paste Here'!S183</f>
        <v>0</v>
      </c>
      <c r="H183">
        <f>+'Paste Here'!T183</f>
        <v>0</v>
      </c>
      <c r="I183">
        <f>+'Paste Here'!U183</f>
        <v>0</v>
      </c>
      <c r="J183">
        <f>+'Paste Here'!V183</f>
        <v>0</v>
      </c>
      <c r="K183">
        <f>+'Paste Here'!W183</f>
        <v>0</v>
      </c>
    </row>
    <row r="184" spans="1:11">
      <c r="A184" t="str">
        <f t="shared" si="2"/>
        <v>00</v>
      </c>
      <c r="B184">
        <f>+'Paste Here'!N184</f>
        <v>0</v>
      </c>
      <c r="C184">
        <f>+'Paste Here'!O184</f>
        <v>0</v>
      </c>
      <c r="D184">
        <f>+'Paste Here'!P184</f>
        <v>0</v>
      </c>
      <c r="E184">
        <f>+'Paste Here'!Q184</f>
        <v>0</v>
      </c>
      <c r="F184">
        <f>+'Paste Here'!R184</f>
        <v>0</v>
      </c>
      <c r="G184">
        <f>+'Paste Here'!S184</f>
        <v>0</v>
      </c>
      <c r="H184">
        <f>+'Paste Here'!T184</f>
        <v>0</v>
      </c>
      <c r="I184">
        <f>+'Paste Here'!U184</f>
        <v>0</v>
      </c>
      <c r="J184">
        <f>+'Paste Here'!V184</f>
        <v>0</v>
      </c>
      <c r="K184">
        <f>+'Paste Here'!W184</f>
        <v>0</v>
      </c>
    </row>
    <row r="185" spans="1:11">
      <c r="A185" t="str">
        <f t="shared" si="2"/>
        <v>00</v>
      </c>
      <c r="B185">
        <f>+'Paste Here'!N185</f>
        <v>0</v>
      </c>
      <c r="C185">
        <f>+'Paste Here'!O185</f>
        <v>0</v>
      </c>
      <c r="D185">
        <f>+'Paste Here'!P185</f>
        <v>0</v>
      </c>
      <c r="E185">
        <f>+'Paste Here'!Q185</f>
        <v>0</v>
      </c>
      <c r="F185">
        <f>+'Paste Here'!R185</f>
        <v>0</v>
      </c>
      <c r="G185">
        <f>+'Paste Here'!S185</f>
        <v>0</v>
      </c>
      <c r="H185">
        <f>+'Paste Here'!T185</f>
        <v>0</v>
      </c>
      <c r="I185">
        <f>+'Paste Here'!U185</f>
        <v>0</v>
      </c>
      <c r="J185">
        <f>+'Paste Here'!V185</f>
        <v>0</v>
      </c>
      <c r="K185">
        <f>+'Paste Here'!W185</f>
        <v>0</v>
      </c>
    </row>
    <row r="186" spans="1:11">
      <c r="A186" t="str">
        <f t="shared" si="2"/>
        <v>00</v>
      </c>
      <c r="B186">
        <f>+'Paste Here'!N186</f>
        <v>0</v>
      </c>
      <c r="C186">
        <f>+'Paste Here'!O186</f>
        <v>0</v>
      </c>
      <c r="D186">
        <f>+'Paste Here'!P186</f>
        <v>0</v>
      </c>
      <c r="E186">
        <f>+'Paste Here'!Q186</f>
        <v>0</v>
      </c>
      <c r="F186">
        <f>+'Paste Here'!R186</f>
        <v>0</v>
      </c>
      <c r="G186">
        <f>+'Paste Here'!S186</f>
        <v>0</v>
      </c>
      <c r="H186">
        <f>+'Paste Here'!T186</f>
        <v>0</v>
      </c>
      <c r="I186">
        <f>+'Paste Here'!U186</f>
        <v>0</v>
      </c>
      <c r="J186">
        <f>+'Paste Here'!V186</f>
        <v>0</v>
      </c>
      <c r="K186">
        <f>+'Paste Here'!W186</f>
        <v>0</v>
      </c>
    </row>
    <row r="187" spans="1:11">
      <c r="A187" t="str">
        <f t="shared" si="2"/>
        <v>00</v>
      </c>
      <c r="B187">
        <f>+'Paste Here'!N187</f>
        <v>0</v>
      </c>
      <c r="C187">
        <f>+'Paste Here'!O187</f>
        <v>0</v>
      </c>
      <c r="D187">
        <f>+'Paste Here'!P187</f>
        <v>0</v>
      </c>
      <c r="E187">
        <f>+'Paste Here'!Q187</f>
        <v>0</v>
      </c>
      <c r="F187">
        <f>+'Paste Here'!R187</f>
        <v>0</v>
      </c>
      <c r="G187">
        <f>+'Paste Here'!S187</f>
        <v>0</v>
      </c>
      <c r="H187">
        <f>+'Paste Here'!T187</f>
        <v>0</v>
      </c>
      <c r="I187">
        <f>+'Paste Here'!U187</f>
        <v>0</v>
      </c>
      <c r="J187">
        <f>+'Paste Here'!V187</f>
        <v>0</v>
      </c>
      <c r="K187">
        <f>+'Paste Here'!W187</f>
        <v>0</v>
      </c>
    </row>
    <row r="188" spans="1:11">
      <c r="A188" t="str">
        <f t="shared" si="2"/>
        <v>00</v>
      </c>
      <c r="B188">
        <f>+'Paste Here'!N188</f>
        <v>0</v>
      </c>
      <c r="C188">
        <f>+'Paste Here'!O188</f>
        <v>0</v>
      </c>
      <c r="D188">
        <f>+'Paste Here'!P188</f>
        <v>0</v>
      </c>
      <c r="E188">
        <f>+'Paste Here'!Q188</f>
        <v>0</v>
      </c>
      <c r="F188">
        <f>+'Paste Here'!R188</f>
        <v>0</v>
      </c>
      <c r="G188">
        <f>+'Paste Here'!S188</f>
        <v>0</v>
      </c>
      <c r="H188">
        <f>+'Paste Here'!T188</f>
        <v>0</v>
      </c>
      <c r="I188">
        <f>+'Paste Here'!U188</f>
        <v>0</v>
      </c>
      <c r="J188">
        <f>+'Paste Here'!V188</f>
        <v>0</v>
      </c>
      <c r="K188">
        <f>+'Paste Here'!W188</f>
        <v>0</v>
      </c>
    </row>
    <row r="189" spans="1:11">
      <c r="A189" t="str">
        <f t="shared" si="2"/>
        <v>00</v>
      </c>
      <c r="B189">
        <f>+'Paste Here'!N189</f>
        <v>0</v>
      </c>
      <c r="C189">
        <f>+'Paste Here'!O189</f>
        <v>0</v>
      </c>
      <c r="D189">
        <f>+'Paste Here'!P189</f>
        <v>0</v>
      </c>
      <c r="E189">
        <f>+'Paste Here'!Q189</f>
        <v>0</v>
      </c>
      <c r="F189">
        <f>+'Paste Here'!R189</f>
        <v>0</v>
      </c>
      <c r="G189">
        <f>+'Paste Here'!S189</f>
        <v>0</v>
      </c>
      <c r="H189">
        <f>+'Paste Here'!T189</f>
        <v>0</v>
      </c>
      <c r="I189">
        <f>+'Paste Here'!U189</f>
        <v>0</v>
      </c>
      <c r="J189">
        <f>+'Paste Here'!V189</f>
        <v>0</v>
      </c>
      <c r="K189">
        <f>+'Paste Here'!W189</f>
        <v>0</v>
      </c>
    </row>
    <row r="190" spans="1:11">
      <c r="A190" t="str">
        <f t="shared" si="2"/>
        <v>00</v>
      </c>
      <c r="B190">
        <f>+'Paste Here'!N190</f>
        <v>0</v>
      </c>
      <c r="C190">
        <f>+'Paste Here'!O190</f>
        <v>0</v>
      </c>
      <c r="D190">
        <f>+'Paste Here'!P190</f>
        <v>0</v>
      </c>
      <c r="E190">
        <f>+'Paste Here'!Q190</f>
        <v>0</v>
      </c>
      <c r="F190">
        <f>+'Paste Here'!R190</f>
        <v>0</v>
      </c>
      <c r="G190">
        <f>+'Paste Here'!S190</f>
        <v>0</v>
      </c>
      <c r="H190">
        <f>+'Paste Here'!T190</f>
        <v>0</v>
      </c>
      <c r="I190">
        <f>+'Paste Here'!U190</f>
        <v>0</v>
      </c>
      <c r="J190">
        <f>+'Paste Here'!V190</f>
        <v>0</v>
      </c>
      <c r="K190">
        <f>+'Paste Here'!W190</f>
        <v>0</v>
      </c>
    </row>
    <row r="191" spans="1:11">
      <c r="A191" t="str">
        <f t="shared" si="2"/>
        <v>00</v>
      </c>
      <c r="B191">
        <f>+'Paste Here'!N191</f>
        <v>0</v>
      </c>
      <c r="C191">
        <f>+'Paste Here'!O191</f>
        <v>0</v>
      </c>
      <c r="D191">
        <f>+'Paste Here'!P191</f>
        <v>0</v>
      </c>
      <c r="E191">
        <f>+'Paste Here'!Q191</f>
        <v>0</v>
      </c>
      <c r="F191">
        <f>+'Paste Here'!R191</f>
        <v>0</v>
      </c>
      <c r="G191">
        <f>+'Paste Here'!S191</f>
        <v>0</v>
      </c>
      <c r="H191">
        <f>+'Paste Here'!T191</f>
        <v>0</v>
      </c>
      <c r="I191">
        <f>+'Paste Here'!U191</f>
        <v>0</v>
      </c>
      <c r="J191">
        <f>+'Paste Here'!V191</f>
        <v>0</v>
      </c>
      <c r="K191">
        <f>+'Paste Here'!W191</f>
        <v>0</v>
      </c>
    </row>
    <row r="192" spans="1:11">
      <c r="A192" t="str">
        <f t="shared" si="2"/>
        <v>00</v>
      </c>
      <c r="B192">
        <f>+'Paste Here'!N192</f>
        <v>0</v>
      </c>
      <c r="C192">
        <f>+'Paste Here'!O192</f>
        <v>0</v>
      </c>
      <c r="D192">
        <f>+'Paste Here'!P192</f>
        <v>0</v>
      </c>
      <c r="E192">
        <f>+'Paste Here'!Q192</f>
        <v>0</v>
      </c>
      <c r="F192">
        <f>+'Paste Here'!R192</f>
        <v>0</v>
      </c>
      <c r="G192">
        <f>+'Paste Here'!S192</f>
        <v>0</v>
      </c>
      <c r="H192">
        <f>+'Paste Here'!T192</f>
        <v>0</v>
      </c>
      <c r="I192">
        <f>+'Paste Here'!U192</f>
        <v>0</v>
      </c>
      <c r="J192">
        <f>+'Paste Here'!V192</f>
        <v>0</v>
      </c>
      <c r="K192">
        <f>+'Paste Here'!W192</f>
        <v>0</v>
      </c>
    </row>
    <row r="193" spans="1:11">
      <c r="A193" t="str">
        <f t="shared" si="2"/>
        <v>00</v>
      </c>
      <c r="B193">
        <f>+'Paste Here'!N193</f>
        <v>0</v>
      </c>
      <c r="C193">
        <f>+'Paste Here'!O193</f>
        <v>0</v>
      </c>
      <c r="D193">
        <f>+'Paste Here'!P193</f>
        <v>0</v>
      </c>
      <c r="E193">
        <f>+'Paste Here'!Q193</f>
        <v>0</v>
      </c>
      <c r="F193">
        <f>+'Paste Here'!R193</f>
        <v>0</v>
      </c>
      <c r="G193">
        <f>+'Paste Here'!S193</f>
        <v>0</v>
      </c>
      <c r="H193">
        <f>+'Paste Here'!T193</f>
        <v>0</v>
      </c>
      <c r="I193">
        <f>+'Paste Here'!U193</f>
        <v>0</v>
      </c>
      <c r="J193">
        <f>+'Paste Here'!V193</f>
        <v>0</v>
      </c>
      <c r="K193">
        <f>+'Paste Here'!W193</f>
        <v>0</v>
      </c>
    </row>
    <row r="194" spans="1:11">
      <c r="A194" t="str">
        <f t="shared" si="2"/>
        <v>00</v>
      </c>
      <c r="B194">
        <f>+'Paste Here'!N194</f>
        <v>0</v>
      </c>
      <c r="C194">
        <f>+'Paste Here'!O194</f>
        <v>0</v>
      </c>
      <c r="D194">
        <f>+'Paste Here'!P194</f>
        <v>0</v>
      </c>
      <c r="E194">
        <f>+'Paste Here'!Q194</f>
        <v>0</v>
      </c>
      <c r="F194">
        <f>+'Paste Here'!R194</f>
        <v>0</v>
      </c>
      <c r="G194">
        <f>+'Paste Here'!S194</f>
        <v>0</v>
      </c>
      <c r="H194">
        <f>+'Paste Here'!T194</f>
        <v>0</v>
      </c>
      <c r="I194">
        <f>+'Paste Here'!U194</f>
        <v>0</v>
      </c>
      <c r="J194">
        <f>+'Paste Here'!V194</f>
        <v>0</v>
      </c>
      <c r="K194">
        <f>+'Paste Here'!W194</f>
        <v>0</v>
      </c>
    </row>
    <row r="195" spans="1:11">
      <c r="A195" t="str">
        <f t="shared" ref="A195:A258" si="3">+CONCATENATE(C195,D195)</f>
        <v>00</v>
      </c>
      <c r="B195">
        <f>+'Paste Here'!N195</f>
        <v>0</v>
      </c>
      <c r="C195">
        <f>+'Paste Here'!O195</f>
        <v>0</v>
      </c>
      <c r="D195">
        <f>+'Paste Here'!P195</f>
        <v>0</v>
      </c>
      <c r="E195">
        <f>+'Paste Here'!Q195</f>
        <v>0</v>
      </c>
      <c r="F195">
        <f>+'Paste Here'!R195</f>
        <v>0</v>
      </c>
      <c r="G195">
        <f>+'Paste Here'!S195</f>
        <v>0</v>
      </c>
      <c r="H195">
        <f>+'Paste Here'!T195</f>
        <v>0</v>
      </c>
      <c r="I195">
        <f>+'Paste Here'!U195</f>
        <v>0</v>
      </c>
      <c r="J195">
        <f>+'Paste Here'!V195</f>
        <v>0</v>
      </c>
      <c r="K195">
        <f>+'Paste Here'!W195</f>
        <v>0</v>
      </c>
    </row>
    <row r="196" spans="1:11">
      <c r="A196" t="str">
        <f t="shared" si="3"/>
        <v>00</v>
      </c>
      <c r="B196">
        <f>+'Paste Here'!N196</f>
        <v>0</v>
      </c>
      <c r="C196">
        <f>+'Paste Here'!O196</f>
        <v>0</v>
      </c>
      <c r="D196">
        <f>+'Paste Here'!P196</f>
        <v>0</v>
      </c>
      <c r="E196">
        <f>+'Paste Here'!Q196</f>
        <v>0</v>
      </c>
      <c r="F196">
        <f>+'Paste Here'!R196</f>
        <v>0</v>
      </c>
      <c r="G196">
        <f>+'Paste Here'!S196</f>
        <v>0</v>
      </c>
      <c r="H196">
        <f>+'Paste Here'!T196</f>
        <v>0</v>
      </c>
      <c r="I196">
        <f>+'Paste Here'!U196</f>
        <v>0</v>
      </c>
      <c r="J196">
        <f>+'Paste Here'!V196</f>
        <v>0</v>
      </c>
      <c r="K196">
        <f>+'Paste Here'!W196</f>
        <v>0</v>
      </c>
    </row>
    <row r="197" spans="1:11">
      <c r="A197" t="str">
        <f t="shared" si="3"/>
        <v>00</v>
      </c>
      <c r="B197">
        <f>+'Paste Here'!N197</f>
        <v>0</v>
      </c>
      <c r="C197">
        <f>+'Paste Here'!O197</f>
        <v>0</v>
      </c>
      <c r="D197">
        <f>+'Paste Here'!P197</f>
        <v>0</v>
      </c>
      <c r="E197">
        <f>+'Paste Here'!Q197</f>
        <v>0</v>
      </c>
      <c r="F197">
        <f>+'Paste Here'!R197</f>
        <v>0</v>
      </c>
      <c r="G197">
        <f>+'Paste Here'!S197</f>
        <v>0</v>
      </c>
      <c r="H197">
        <f>+'Paste Here'!T197</f>
        <v>0</v>
      </c>
      <c r="I197">
        <f>+'Paste Here'!U197</f>
        <v>0</v>
      </c>
      <c r="J197">
        <f>+'Paste Here'!V197</f>
        <v>0</v>
      </c>
      <c r="K197">
        <f>+'Paste Here'!W197</f>
        <v>0</v>
      </c>
    </row>
    <row r="198" spans="1:11">
      <c r="A198" t="str">
        <f t="shared" si="3"/>
        <v>00</v>
      </c>
      <c r="B198">
        <f>+'Paste Here'!N198</f>
        <v>0</v>
      </c>
      <c r="C198">
        <f>+'Paste Here'!O198</f>
        <v>0</v>
      </c>
      <c r="D198">
        <f>+'Paste Here'!P198</f>
        <v>0</v>
      </c>
      <c r="E198">
        <f>+'Paste Here'!Q198</f>
        <v>0</v>
      </c>
      <c r="F198">
        <f>+'Paste Here'!R198</f>
        <v>0</v>
      </c>
      <c r="G198">
        <f>+'Paste Here'!S198</f>
        <v>0</v>
      </c>
      <c r="H198">
        <f>+'Paste Here'!T198</f>
        <v>0</v>
      </c>
      <c r="I198">
        <f>+'Paste Here'!U198</f>
        <v>0</v>
      </c>
      <c r="J198">
        <f>+'Paste Here'!V198</f>
        <v>0</v>
      </c>
      <c r="K198">
        <f>+'Paste Here'!W198</f>
        <v>0</v>
      </c>
    </row>
    <row r="199" spans="1:11">
      <c r="A199" t="str">
        <f t="shared" si="3"/>
        <v>00</v>
      </c>
      <c r="B199">
        <f>+'Paste Here'!N199</f>
        <v>0</v>
      </c>
      <c r="C199">
        <f>+'Paste Here'!O199</f>
        <v>0</v>
      </c>
      <c r="D199">
        <f>+'Paste Here'!P199</f>
        <v>0</v>
      </c>
      <c r="E199">
        <f>+'Paste Here'!Q199</f>
        <v>0</v>
      </c>
      <c r="F199">
        <f>+'Paste Here'!R199</f>
        <v>0</v>
      </c>
      <c r="G199">
        <f>+'Paste Here'!S199</f>
        <v>0</v>
      </c>
      <c r="H199">
        <f>+'Paste Here'!T199</f>
        <v>0</v>
      </c>
      <c r="I199">
        <f>+'Paste Here'!U199</f>
        <v>0</v>
      </c>
      <c r="J199">
        <f>+'Paste Here'!V199</f>
        <v>0</v>
      </c>
      <c r="K199">
        <f>+'Paste Here'!W199</f>
        <v>0</v>
      </c>
    </row>
    <row r="200" spans="1:11">
      <c r="A200" t="str">
        <f t="shared" si="3"/>
        <v>00</v>
      </c>
      <c r="B200">
        <f>+'Paste Here'!N200</f>
        <v>0</v>
      </c>
      <c r="C200">
        <f>+'Paste Here'!O200</f>
        <v>0</v>
      </c>
      <c r="D200">
        <f>+'Paste Here'!P200</f>
        <v>0</v>
      </c>
      <c r="E200">
        <f>+'Paste Here'!Q200</f>
        <v>0</v>
      </c>
      <c r="F200">
        <f>+'Paste Here'!R200</f>
        <v>0</v>
      </c>
      <c r="G200">
        <f>+'Paste Here'!S200</f>
        <v>0</v>
      </c>
      <c r="H200">
        <f>+'Paste Here'!T200</f>
        <v>0</v>
      </c>
      <c r="I200">
        <f>+'Paste Here'!U200</f>
        <v>0</v>
      </c>
      <c r="J200">
        <f>+'Paste Here'!V200</f>
        <v>0</v>
      </c>
      <c r="K200">
        <f>+'Paste Here'!W200</f>
        <v>0</v>
      </c>
    </row>
    <row r="201" spans="1:11">
      <c r="A201" t="str">
        <f t="shared" si="3"/>
        <v>00</v>
      </c>
      <c r="B201">
        <f>+'Paste Here'!N201</f>
        <v>0</v>
      </c>
      <c r="C201">
        <f>+'Paste Here'!O201</f>
        <v>0</v>
      </c>
      <c r="D201">
        <f>+'Paste Here'!P201</f>
        <v>0</v>
      </c>
      <c r="E201">
        <f>+'Paste Here'!Q201</f>
        <v>0</v>
      </c>
      <c r="F201">
        <f>+'Paste Here'!R201</f>
        <v>0</v>
      </c>
      <c r="G201">
        <f>+'Paste Here'!S201</f>
        <v>0</v>
      </c>
      <c r="H201">
        <f>+'Paste Here'!T201</f>
        <v>0</v>
      </c>
      <c r="I201">
        <f>+'Paste Here'!U201</f>
        <v>0</v>
      </c>
      <c r="J201">
        <f>+'Paste Here'!V201</f>
        <v>0</v>
      </c>
      <c r="K201">
        <f>+'Paste Here'!W201</f>
        <v>0</v>
      </c>
    </row>
    <row r="202" spans="1:11">
      <c r="A202" t="str">
        <f t="shared" si="3"/>
        <v>00</v>
      </c>
      <c r="B202">
        <f>+'Paste Here'!N202</f>
        <v>0</v>
      </c>
      <c r="C202">
        <f>+'Paste Here'!O202</f>
        <v>0</v>
      </c>
      <c r="D202">
        <f>+'Paste Here'!P202</f>
        <v>0</v>
      </c>
      <c r="E202">
        <f>+'Paste Here'!Q202</f>
        <v>0</v>
      </c>
      <c r="F202">
        <f>+'Paste Here'!R202</f>
        <v>0</v>
      </c>
      <c r="G202">
        <f>+'Paste Here'!S202</f>
        <v>0</v>
      </c>
      <c r="H202">
        <f>+'Paste Here'!T202</f>
        <v>0</v>
      </c>
      <c r="I202">
        <f>+'Paste Here'!U202</f>
        <v>0</v>
      </c>
      <c r="J202">
        <f>+'Paste Here'!V202</f>
        <v>0</v>
      </c>
      <c r="K202">
        <f>+'Paste Here'!W202</f>
        <v>0</v>
      </c>
    </row>
    <row r="203" spans="1:11">
      <c r="A203" t="str">
        <f t="shared" si="3"/>
        <v>00</v>
      </c>
      <c r="B203">
        <f>+'Paste Here'!N203</f>
        <v>0</v>
      </c>
      <c r="C203">
        <f>+'Paste Here'!O203</f>
        <v>0</v>
      </c>
      <c r="D203">
        <f>+'Paste Here'!P203</f>
        <v>0</v>
      </c>
      <c r="E203">
        <f>+'Paste Here'!Q203</f>
        <v>0</v>
      </c>
      <c r="F203">
        <f>+'Paste Here'!R203</f>
        <v>0</v>
      </c>
      <c r="G203">
        <f>+'Paste Here'!S203</f>
        <v>0</v>
      </c>
      <c r="H203">
        <f>+'Paste Here'!T203</f>
        <v>0</v>
      </c>
      <c r="I203">
        <f>+'Paste Here'!U203</f>
        <v>0</v>
      </c>
      <c r="J203">
        <f>+'Paste Here'!V203</f>
        <v>0</v>
      </c>
      <c r="K203">
        <f>+'Paste Here'!W203</f>
        <v>0</v>
      </c>
    </row>
    <row r="204" spans="1:11">
      <c r="A204" t="str">
        <f t="shared" si="3"/>
        <v>00</v>
      </c>
      <c r="B204">
        <f>+'Paste Here'!N204</f>
        <v>0</v>
      </c>
      <c r="C204">
        <f>+'Paste Here'!O204</f>
        <v>0</v>
      </c>
      <c r="D204">
        <f>+'Paste Here'!P204</f>
        <v>0</v>
      </c>
      <c r="E204">
        <f>+'Paste Here'!Q204</f>
        <v>0</v>
      </c>
      <c r="F204">
        <f>+'Paste Here'!R204</f>
        <v>0</v>
      </c>
      <c r="G204">
        <f>+'Paste Here'!S204</f>
        <v>0</v>
      </c>
      <c r="H204">
        <f>+'Paste Here'!T204</f>
        <v>0</v>
      </c>
      <c r="I204">
        <f>+'Paste Here'!U204</f>
        <v>0</v>
      </c>
      <c r="J204">
        <f>+'Paste Here'!V204</f>
        <v>0</v>
      </c>
      <c r="K204">
        <f>+'Paste Here'!W204</f>
        <v>0</v>
      </c>
    </row>
    <row r="205" spans="1:11">
      <c r="A205" t="str">
        <f t="shared" si="3"/>
        <v>00</v>
      </c>
      <c r="B205">
        <f>+'Paste Here'!N205</f>
        <v>0</v>
      </c>
      <c r="C205">
        <f>+'Paste Here'!O205</f>
        <v>0</v>
      </c>
      <c r="D205">
        <f>+'Paste Here'!P205</f>
        <v>0</v>
      </c>
      <c r="E205">
        <f>+'Paste Here'!Q205</f>
        <v>0</v>
      </c>
      <c r="F205">
        <f>+'Paste Here'!R205</f>
        <v>0</v>
      </c>
      <c r="G205">
        <f>+'Paste Here'!S205</f>
        <v>0</v>
      </c>
      <c r="H205">
        <f>+'Paste Here'!T205</f>
        <v>0</v>
      </c>
      <c r="I205">
        <f>+'Paste Here'!U205</f>
        <v>0</v>
      </c>
      <c r="J205">
        <f>+'Paste Here'!V205</f>
        <v>0</v>
      </c>
      <c r="K205">
        <f>+'Paste Here'!W205</f>
        <v>0</v>
      </c>
    </row>
    <row r="206" spans="1:11">
      <c r="A206" t="str">
        <f t="shared" si="3"/>
        <v>00</v>
      </c>
      <c r="B206">
        <f>+'Paste Here'!N206</f>
        <v>0</v>
      </c>
      <c r="C206">
        <f>+'Paste Here'!O206</f>
        <v>0</v>
      </c>
      <c r="D206">
        <f>+'Paste Here'!P206</f>
        <v>0</v>
      </c>
      <c r="E206">
        <f>+'Paste Here'!Q206</f>
        <v>0</v>
      </c>
      <c r="F206">
        <f>+'Paste Here'!R206</f>
        <v>0</v>
      </c>
      <c r="G206">
        <f>+'Paste Here'!S206</f>
        <v>0</v>
      </c>
      <c r="H206">
        <f>+'Paste Here'!T206</f>
        <v>0</v>
      </c>
      <c r="I206">
        <f>+'Paste Here'!U206</f>
        <v>0</v>
      </c>
      <c r="J206">
        <f>+'Paste Here'!V206</f>
        <v>0</v>
      </c>
      <c r="K206">
        <f>+'Paste Here'!W206</f>
        <v>0</v>
      </c>
    </row>
    <row r="207" spans="1:11">
      <c r="A207" t="str">
        <f t="shared" si="3"/>
        <v>00</v>
      </c>
      <c r="B207">
        <f>+'Paste Here'!N207</f>
        <v>0</v>
      </c>
      <c r="C207">
        <f>+'Paste Here'!O207</f>
        <v>0</v>
      </c>
      <c r="D207">
        <f>+'Paste Here'!P207</f>
        <v>0</v>
      </c>
      <c r="E207">
        <f>+'Paste Here'!Q207</f>
        <v>0</v>
      </c>
      <c r="F207">
        <f>+'Paste Here'!R207</f>
        <v>0</v>
      </c>
      <c r="G207">
        <f>+'Paste Here'!S207</f>
        <v>0</v>
      </c>
      <c r="H207">
        <f>+'Paste Here'!T207</f>
        <v>0</v>
      </c>
      <c r="I207">
        <f>+'Paste Here'!U207</f>
        <v>0</v>
      </c>
      <c r="J207">
        <f>+'Paste Here'!V207</f>
        <v>0</v>
      </c>
      <c r="K207">
        <f>+'Paste Here'!W207</f>
        <v>0</v>
      </c>
    </row>
    <row r="208" spans="1:11">
      <c r="A208" t="str">
        <f t="shared" si="3"/>
        <v>00</v>
      </c>
      <c r="B208">
        <f>+'Paste Here'!N208</f>
        <v>0</v>
      </c>
      <c r="C208">
        <f>+'Paste Here'!O208</f>
        <v>0</v>
      </c>
      <c r="D208">
        <f>+'Paste Here'!P208</f>
        <v>0</v>
      </c>
      <c r="E208">
        <f>+'Paste Here'!Q208</f>
        <v>0</v>
      </c>
      <c r="F208">
        <f>+'Paste Here'!R208</f>
        <v>0</v>
      </c>
      <c r="G208">
        <f>+'Paste Here'!S208</f>
        <v>0</v>
      </c>
      <c r="H208">
        <f>+'Paste Here'!T208</f>
        <v>0</v>
      </c>
      <c r="I208">
        <f>+'Paste Here'!U208</f>
        <v>0</v>
      </c>
      <c r="J208">
        <f>+'Paste Here'!V208</f>
        <v>0</v>
      </c>
      <c r="K208">
        <f>+'Paste Here'!W208</f>
        <v>0</v>
      </c>
    </row>
    <row r="209" spans="1:11">
      <c r="A209" t="str">
        <f t="shared" si="3"/>
        <v>00</v>
      </c>
      <c r="B209">
        <f>+'Paste Here'!N209</f>
        <v>0</v>
      </c>
      <c r="C209">
        <f>+'Paste Here'!O209</f>
        <v>0</v>
      </c>
      <c r="D209">
        <f>+'Paste Here'!P209</f>
        <v>0</v>
      </c>
      <c r="E209">
        <f>+'Paste Here'!Q209</f>
        <v>0</v>
      </c>
      <c r="F209">
        <f>+'Paste Here'!R209</f>
        <v>0</v>
      </c>
      <c r="G209">
        <f>+'Paste Here'!S209</f>
        <v>0</v>
      </c>
      <c r="H209">
        <f>+'Paste Here'!T209</f>
        <v>0</v>
      </c>
      <c r="I209">
        <f>+'Paste Here'!U209</f>
        <v>0</v>
      </c>
      <c r="J209">
        <f>+'Paste Here'!V209</f>
        <v>0</v>
      </c>
      <c r="K209">
        <f>+'Paste Here'!W209</f>
        <v>0</v>
      </c>
    </row>
    <row r="210" spans="1:11">
      <c r="A210" t="str">
        <f t="shared" si="3"/>
        <v>00</v>
      </c>
      <c r="B210">
        <f>+'Paste Here'!N210</f>
        <v>0</v>
      </c>
      <c r="C210">
        <f>+'Paste Here'!O210</f>
        <v>0</v>
      </c>
      <c r="D210">
        <f>+'Paste Here'!P210</f>
        <v>0</v>
      </c>
      <c r="E210">
        <f>+'Paste Here'!Q210</f>
        <v>0</v>
      </c>
      <c r="F210">
        <f>+'Paste Here'!R210</f>
        <v>0</v>
      </c>
      <c r="G210">
        <f>+'Paste Here'!S210</f>
        <v>0</v>
      </c>
      <c r="H210">
        <f>+'Paste Here'!T210</f>
        <v>0</v>
      </c>
      <c r="I210">
        <f>+'Paste Here'!U210</f>
        <v>0</v>
      </c>
      <c r="J210">
        <f>+'Paste Here'!V210</f>
        <v>0</v>
      </c>
      <c r="K210">
        <f>+'Paste Here'!W210</f>
        <v>0</v>
      </c>
    </row>
    <row r="211" spans="1:11">
      <c r="A211" t="str">
        <f t="shared" si="3"/>
        <v>00</v>
      </c>
      <c r="B211">
        <f>+'Paste Here'!N211</f>
        <v>0</v>
      </c>
      <c r="C211">
        <f>+'Paste Here'!O211</f>
        <v>0</v>
      </c>
      <c r="D211">
        <f>+'Paste Here'!P211</f>
        <v>0</v>
      </c>
      <c r="E211">
        <f>+'Paste Here'!Q211</f>
        <v>0</v>
      </c>
      <c r="F211">
        <f>+'Paste Here'!R211</f>
        <v>0</v>
      </c>
      <c r="G211">
        <f>+'Paste Here'!S211</f>
        <v>0</v>
      </c>
      <c r="H211">
        <f>+'Paste Here'!T211</f>
        <v>0</v>
      </c>
      <c r="I211">
        <f>+'Paste Here'!U211</f>
        <v>0</v>
      </c>
      <c r="J211">
        <f>+'Paste Here'!V211</f>
        <v>0</v>
      </c>
      <c r="K211">
        <f>+'Paste Here'!W211</f>
        <v>0</v>
      </c>
    </row>
    <row r="212" spans="1:11">
      <c r="A212" t="str">
        <f t="shared" si="3"/>
        <v>00</v>
      </c>
      <c r="B212">
        <f>+'Paste Here'!N212</f>
        <v>0</v>
      </c>
      <c r="C212">
        <f>+'Paste Here'!O212</f>
        <v>0</v>
      </c>
      <c r="D212">
        <f>+'Paste Here'!P212</f>
        <v>0</v>
      </c>
      <c r="E212">
        <f>+'Paste Here'!Q212</f>
        <v>0</v>
      </c>
      <c r="F212">
        <f>+'Paste Here'!R212</f>
        <v>0</v>
      </c>
      <c r="G212">
        <f>+'Paste Here'!S212</f>
        <v>0</v>
      </c>
      <c r="H212">
        <f>+'Paste Here'!T212</f>
        <v>0</v>
      </c>
      <c r="I212">
        <f>+'Paste Here'!U212</f>
        <v>0</v>
      </c>
      <c r="J212">
        <f>+'Paste Here'!V212</f>
        <v>0</v>
      </c>
      <c r="K212">
        <f>+'Paste Here'!W212</f>
        <v>0</v>
      </c>
    </row>
    <row r="213" spans="1:11">
      <c r="A213" t="str">
        <f t="shared" si="3"/>
        <v>00</v>
      </c>
      <c r="B213">
        <f>+'Paste Here'!N213</f>
        <v>0</v>
      </c>
      <c r="C213">
        <f>+'Paste Here'!O213</f>
        <v>0</v>
      </c>
      <c r="D213">
        <f>+'Paste Here'!P213</f>
        <v>0</v>
      </c>
      <c r="E213">
        <f>+'Paste Here'!Q213</f>
        <v>0</v>
      </c>
      <c r="F213">
        <f>+'Paste Here'!R213</f>
        <v>0</v>
      </c>
      <c r="G213">
        <f>+'Paste Here'!S213</f>
        <v>0</v>
      </c>
      <c r="H213">
        <f>+'Paste Here'!T213</f>
        <v>0</v>
      </c>
      <c r="I213">
        <f>+'Paste Here'!U213</f>
        <v>0</v>
      </c>
      <c r="J213">
        <f>+'Paste Here'!V213</f>
        <v>0</v>
      </c>
      <c r="K213">
        <f>+'Paste Here'!W213</f>
        <v>0</v>
      </c>
    </row>
    <row r="214" spans="1:11">
      <c r="A214" t="str">
        <f t="shared" si="3"/>
        <v>00</v>
      </c>
      <c r="B214">
        <f>+'Paste Here'!N214</f>
        <v>0</v>
      </c>
      <c r="C214">
        <f>+'Paste Here'!O214</f>
        <v>0</v>
      </c>
      <c r="D214">
        <f>+'Paste Here'!P214</f>
        <v>0</v>
      </c>
      <c r="E214">
        <f>+'Paste Here'!Q214</f>
        <v>0</v>
      </c>
      <c r="F214">
        <f>+'Paste Here'!R214</f>
        <v>0</v>
      </c>
      <c r="G214">
        <f>+'Paste Here'!S214</f>
        <v>0</v>
      </c>
      <c r="H214">
        <f>+'Paste Here'!T214</f>
        <v>0</v>
      </c>
      <c r="I214">
        <f>+'Paste Here'!U214</f>
        <v>0</v>
      </c>
      <c r="J214">
        <f>+'Paste Here'!V214</f>
        <v>0</v>
      </c>
      <c r="K214">
        <f>+'Paste Here'!W214</f>
        <v>0</v>
      </c>
    </row>
    <row r="215" spans="1:11">
      <c r="A215" t="str">
        <f t="shared" si="3"/>
        <v>00</v>
      </c>
      <c r="B215">
        <f>+'Paste Here'!N215</f>
        <v>0</v>
      </c>
      <c r="C215">
        <f>+'Paste Here'!O215</f>
        <v>0</v>
      </c>
      <c r="D215">
        <f>+'Paste Here'!P215</f>
        <v>0</v>
      </c>
      <c r="E215">
        <f>+'Paste Here'!Q215</f>
        <v>0</v>
      </c>
      <c r="F215">
        <f>+'Paste Here'!R215</f>
        <v>0</v>
      </c>
      <c r="G215">
        <f>+'Paste Here'!S215</f>
        <v>0</v>
      </c>
      <c r="H215">
        <f>+'Paste Here'!T215</f>
        <v>0</v>
      </c>
      <c r="I215">
        <f>+'Paste Here'!U215</f>
        <v>0</v>
      </c>
      <c r="J215">
        <f>+'Paste Here'!V215</f>
        <v>0</v>
      </c>
      <c r="K215">
        <f>+'Paste Here'!W215</f>
        <v>0</v>
      </c>
    </row>
    <row r="216" spans="1:11">
      <c r="A216" t="str">
        <f t="shared" si="3"/>
        <v>00</v>
      </c>
      <c r="B216">
        <f>+'Paste Here'!N216</f>
        <v>0</v>
      </c>
      <c r="C216">
        <f>+'Paste Here'!O216</f>
        <v>0</v>
      </c>
      <c r="D216">
        <f>+'Paste Here'!P216</f>
        <v>0</v>
      </c>
      <c r="E216">
        <f>+'Paste Here'!Q216</f>
        <v>0</v>
      </c>
      <c r="F216">
        <f>+'Paste Here'!R216</f>
        <v>0</v>
      </c>
      <c r="G216">
        <f>+'Paste Here'!S216</f>
        <v>0</v>
      </c>
      <c r="H216">
        <f>+'Paste Here'!T216</f>
        <v>0</v>
      </c>
      <c r="I216">
        <f>+'Paste Here'!U216</f>
        <v>0</v>
      </c>
      <c r="J216">
        <f>+'Paste Here'!V216</f>
        <v>0</v>
      </c>
      <c r="K216">
        <f>+'Paste Here'!W216</f>
        <v>0</v>
      </c>
    </row>
    <row r="217" spans="1:11">
      <c r="A217" t="str">
        <f t="shared" si="3"/>
        <v>00</v>
      </c>
      <c r="B217">
        <f>+'Paste Here'!N217</f>
        <v>0</v>
      </c>
      <c r="C217">
        <f>+'Paste Here'!O217</f>
        <v>0</v>
      </c>
      <c r="D217">
        <f>+'Paste Here'!P217</f>
        <v>0</v>
      </c>
      <c r="E217">
        <f>+'Paste Here'!Q217</f>
        <v>0</v>
      </c>
      <c r="F217">
        <f>+'Paste Here'!R217</f>
        <v>0</v>
      </c>
      <c r="G217">
        <f>+'Paste Here'!S217</f>
        <v>0</v>
      </c>
      <c r="H217">
        <f>+'Paste Here'!T217</f>
        <v>0</v>
      </c>
      <c r="I217">
        <f>+'Paste Here'!U217</f>
        <v>0</v>
      </c>
      <c r="J217">
        <f>+'Paste Here'!V217</f>
        <v>0</v>
      </c>
      <c r="K217">
        <f>+'Paste Here'!W217</f>
        <v>0</v>
      </c>
    </row>
    <row r="218" spans="1:11">
      <c r="A218" t="str">
        <f t="shared" si="3"/>
        <v>00</v>
      </c>
      <c r="B218">
        <f>+'Paste Here'!N218</f>
        <v>0</v>
      </c>
      <c r="C218">
        <f>+'Paste Here'!O218</f>
        <v>0</v>
      </c>
      <c r="D218">
        <f>+'Paste Here'!P218</f>
        <v>0</v>
      </c>
      <c r="E218">
        <f>+'Paste Here'!Q218</f>
        <v>0</v>
      </c>
      <c r="F218">
        <f>+'Paste Here'!R218</f>
        <v>0</v>
      </c>
      <c r="G218">
        <f>+'Paste Here'!S218</f>
        <v>0</v>
      </c>
      <c r="H218">
        <f>+'Paste Here'!T218</f>
        <v>0</v>
      </c>
      <c r="I218">
        <f>+'Paste Here'!U218</f>
        <v>0</v>
      </c>
      <c r="J218">
        <f>+'Paste Here'!V218</f>
        <v>0</v>
      </c>
      <c r="K218">
        <f>+'Paste Here'!W218</f>
        <v>0</v>
      </c>
    </row>
    <row r="219" spans="1:11">
      <c r="A219" t="str">
        <f t="shared" si="3"/>
        <v>00</v>
      </c>
      <c r="B219">
        <f>+'Paste Here'!N219</f>
        <v>0</v>
      </c>
      <c r="C219">
        <f>+'Paste Here'!O219</f>
        <v>0</v>
      </c>
      <c r="D219">
        <f>+'Paste Here'!P219</f>
        <v>0</v>
      </c>
      <c r="E219">
        <f>+'Paste Here'!Q219</f>
        <v>0</v>
      </c>
      <c r="F219">
        <f>+'Paste Here'!R219</f>
        <v>0</v>
      </c>
      <c r="G219">
        <f>+'Paste Here'!S219</f>
        <v>0</v>
      </c>
      <c r="H219">
        <f>+'Paste Here'!T219</f>
        <v>0</v>
      </c>
      <c r="I219">
        <f>+'Paste Here'!U219</f>
        <v>0</v>
      </c>
      <c r="J219">
        <f>+'Paste Here'!V219</f>
        <v>0</v>
      </c>
      <c r="K219">
        <f>+'Paste Here'!W219</f>
        <v>0</v>
      </c>
    </row>
    <row r="220" spans="1:11">
      <c r="A220" t="str">
        <f t="shared" si="3"/>
        <v>00</v>
      </c>
      <c r="B220">
        <f>+'Paste Here'!N220</f>
        <v>0</v>
      </c>
      <c r="C220">
        <f>+'Paste Here'!O220</f>
        <v>0</v>
      </c>
      <c r="D220">
        <f>+'Paste Here'!P220</f>
        <v>0</v>
      </c>
      <c r="E220">
        <f>+'Paste Here'!Q220</f>
        <v>0</v>
      </c>
      <c r="F220">
        <f>+'Paste Here'!R220</f>
        <v>0</v>
      </c>
      <c r="G220">
        <f>+'Paste Here'!S220</f>
        <v>0</v>
      </c>
      <c r="H220">
        <f>+'Paste Here'!T220</f>
        <v>0</v>
      </c>
      <c r="I220">
        <f>+'Paste Here'!U220</f>
        <v>0</v>
      </c>
      <c r="J220">
        <f>+'Paste Here'!V220</f>
        <v>0</v>
      </c>
      <c r="K220">
        <f>+'Paste Here'!W220</f>
        <v>0</v>
      </c>
    </row>
    <row r="221" spans="1:11">
      <c r="A221" t="str">
        <f t="shared" si="3"/>
        <v>00</v>
      </c>
      <c r="B221">
        <f>+'Paste Here'!N221</f>
        <v>0</v>
      </c>
      <c r="C221">
        <f>+'Paste Here'!O221</f>
        <v>0</v>
      </c>
      <c r="D221">
        <f>+'Paste Here'!P221</f>
        <v>0</v>
      </c>
      <c r="E221">
        <f>+'Paste Here'!Q221</f>
        <v>0</v>
      </c>
      <c r="F221">
        <f>+'Paste Here'!R221</f>
        <v>0</v>
      </c>
      <c r="G221">
        <f>+'Paste Here'!S221</f>
        <v>0</v>
      </c>
      <c r="H221">
        <f>+'Paste Here'!T221</f>
        <v>0</v>
      </c>
      <c r="I221">
        <f>+'Paste Here'!U221</f>
        <v>0</v>
      </c>
      <c r="J221">
        <f>+'Paste Here'!V221</f>
        <v>0</v>
      </c>
      <c r="K221">
        <f>+'Paste Here'!W221</f>
        <v>0</v>
      </c>
    </row>
    <row r="222" spans="1:11">
      <c r="A222" t="str">
        <f t="shared" si="3"/>
        <v>00</v>
      </c>
      <c r="B222">
        <f>+'Paste Here'!N222</f>
        <v>0</v>
      </c>
      <c r="C222">
        <f>+'Paste Here'!O222</f>
        <v>0</v>
      </c>
      <c r="D222">
        <f>+'Paste Here'!P222</f>
        <v>0</v>
      </c>
      <c r="E222">
        <f>+'Paste Here'!Q222</f>
        <v>0</v>
      </c>
      <c r="F222">
        <f>+'Paste Here'!R222</f>
        <v>0</v>
      </c>
      <c r="G222">
        <f>+'Paste Here'!S222</f>
        <v>0</v>
      </c>
      <c r="H222">
        <f>+'Paste Here'!T222</f>
        <v>0</v>
      </c>
      <c r="I222">
        <f>+'Paste Here'!U222</f>
        <v>0</v>
      </c>
      <c r="J222">
        <f>+'Paste Here'!V222</f>
        <v>0</v>
      </c>
      <c r="K222">
        <f>+'Paste Here'!W222</f>
        <v>0</v>
      </c>
    </row>
    <row r="223" spans="1:11">
      <c r="A223" t="str">
        <f t="shared" si="3"/>
        <v>00</v>
      </c>
      <c r="B223">
        <f>+'Paste Here'!N223</f>
        <v>0</v>
      </c>
      <c r="C223">
        <f>+'Paste Here'!O223</f>
        <v>0</v>
      </c>
      <c r="D223">
        <f>+'Paste Here'!P223</f>
        <v>0</v>
      </c>
      <c r="E223">
        <f>+'Paste Here'!Q223</f>
        <v>0</v>
      </c>
      <c r="F223">
        <f>+'Paste Here'!R223</f>
        <v>0</v>
      </c>
      <c r="G223">
        <f>+'Paste Here'!S223</f>
        <v>0</v>
      </c>
      <c r="H223">
        <f>+'Paste Here'!T223</f>
        <v>0</v>
      </c>
      <c r="I223">
        <f>+'Paste Here'!U223</f>
        <v>0</v>
      </c>
      <c r="J223">
        <f>+'Paste Here'!V223</f>
        <v>0</v>
      </c>
      <c r="K223">
        <f>+'Paste Here'!W223</f>
        <v>0</v>
      </c>
    </row>
    <row r="224" spans="1:11">
      <c r="A224" t="str">
        <f t="shared" si="3"/>
        <v>00</v>
      </c>
      <c r="B224">
        <f>+'Paste Here'!N224</f>
        <v>0</v>
      </c>
      <c r="C224">
        <f>+'Paste Here'!O224</f>
        <v>0</v>
      </c>
      <c r="D224">
        <f>+'Paste Here'!P224</f>
        <v>0</v>
      </c>
      <c r="E224">
        <f>+'Paste Here'!Q224</f>
        <v>0</v>
      </c>
      <c r="F224">
        <f>+'Paste Here'!R224</f>
        <v>0</v>
      </c>
      <c r="G224">
        <f>+'Paste Here'!S224</f>
        <v>0</v>
      </c>
      <c r="H224">
        <f>+'Paste Here'!T224</f>
        <v>0</v>
      </c>
      <c r="I224">
        <f>+'Paste Here'!U224</f>
        <v>0</v>
      </c>
      <c r="J224">
        <f>+'Paste Here'!V224</f>
        <v>0</v>
      </c>
      <c r="K224">
        <f>+'Paste Here'!W224</f>
        <v>0</v>
      </c>
    </row>
    <row r="225" spans="1:11">
      <c r="A225" t="str">
        <f t="shared" si="3"/>
        <v>00</v>
      </c>
      <c r="B225">
        <f>+'Paste Here'!N225</f>
        <v>0</v>
      </c>
      <c r="C225">
        <f>+'Paste Here'!O225</f>
        <v>0</v>
      </c>
      <c r="D225">
        <f>+'Paste Here'!P225</f>
        <v>0</v>
      </c>
      <c r="E225">
        <f>+'Paste Here'!Q225</f>
        <v>0</v>
      </c>
      <c r="F225">
        <f>+'Paste Here'!R225</f>
        <v>0</v>
      </c>
      <c r="G225">
        <f>+'Paste Here'!S225</f>
        <v>0</v>
      </c>
      <c r="H225">
        <f>+'Paste Here'!T225</f>
        <v>0</v>
      </c>
      <c r="I225">
        <f>+'Paste Here'!U225</f>
        <v>0</v>
      </c>
      <c r="J225">
        <f>+'Paste Here'!V225</f>
        <v>0</v>
      </c>
      <c r="K225">
        <f>+'Paste Here'!W225</f>
        <v>0</v>
      </c>
    </row>
    <row r="226" spans="1:11">
      <c r="A226" t="str">
        <f t="shared" si="3"/>
        <v>00</v>
      </c>
      <c r="B226">
        <f>+'Paste Here'!N226</f>
        <v>0</v>
      </c>
      <c r="C226">
        <f>+'Paste Here'!O226</f>
        <v>0</v>
      </c>
      <c r="D226">
        <f>+'Paste Here'!P226</f>
        <v>0</v>
      </c>
      <c r="E226">
        <f>+'Paste Here'!Q226</f>
        <v>0</v>
      </c>
      <c r="F226">
        <f>+'Paste Here'!R226</f>
        <v>0</v>
      </c>
      <c r="G226">
        <f>+'Paste Here'!S226</f>
        <v>0</v>
      </c>
      <c r="H226">
        <f>+'Paste Here'!T226</f>
        <v>0</v>
      </c>
      <c r="I226">
        <f>+'Paste Here'!U226</f>
        <v>0</v>
      </c>
      <c r="J226">
        <f>+'Paste Here'!V226</f>
        <v>0</v>
      </c>
      <c r="K226">
        <f>+'Paste Here'!W226</f>
        <v>0</v>
      </c>
    </row>
    <row r="227" spans="1:11">
      <c r="A227" t="str">
        <f t="shared" si="3"/>
        <v>00</v>
      </c>
      <c r="B227">
        <f>+'Paste Here'!N227</f>
        <v>0</v>
      </c>
      <c r="C227">
        <f>+'Paste Here'!O227</f>
        <v>0</v>
      </c>
      <c r="D227">
        <f>+'Paste Here'!P227</f>
        <v>0</v>
      </c>
      <c r="E227">
        <f>+'Paste Here'!Q227</f>
        <v>0</v>
      </c>
      <c r="F227">
        <f>+'Paste Here'!R227</f>
        <v>0</v>
      </c>
      <c r="G227">
        <f>+'Paste Here'!S227</f>
        <v>0</v>
      </c>
      <c r="H227">
        <f>+'Paste Here'!T227</f>
        <v>0</v>
      </c>
      <c r="I227">
        <f>+'Paste Here'!U227</f>
        <v>0</v>
      </c>
      <c r="J227">
        <f>+'Paste Here'!V227</f>
        <v>0</v>
      </c>
      <c r="K227">
        <f>+'Paste Here'!W227</f>
        <v>0</v>
      </c>
    </row>
    <row r="228" spans="1:11">
      <c r="A228" t="str">
        <f t="shared" si="3"/>
        <v>00</v>
      </c>
      <c r="B228">
        <f>+'Paste Here'!N228</f>
        <v>0</v>
      </c>
      <c r="C228">
        <f>+'Paste Here'!O228</f>
        <v>0</v>
      </c>
      <c r="D228">
        <f>+'Paste Here'!P228</f>
        <v>0</v>
      </c>
      <c r="E228">
        <f>+'Paste Here'!Q228</f>
        <v>0</v>
      </c>
      <c r="F228">
        <f>+'Paste Here'!R228</f>
        <v>0</v>
      </c>
      <c r="G228">
        <f>+'Paste Here'!S228</f>
        <v>0</v>
      </c>
      <c r="H228">
        <f>+'Paste Here'!T228</f>
        <v>0</v>
      </c>
      <c r="I228">
        <f>+'Paste Here'!U228</f>
        <v>0</v>
      </c>
      <c r="J228">
        <f>+'Paste Here'!V228</f>
        <v>0</v>
      </c>
      <c r="K228">
        <f>+'Paste Here'!W228</f>
        <v>0</v>
      </c>
    </row>
    <row r="229" spans="1:11">
      <c r="A229" t="str">
        <f t="shared" si="3"/>
        <v>00</v>
      </c>
      <c r="B229">
        <f>+'Paste Here'!N229</f>
        <v>0</v>
      </c>
      <c r="C229">
        <f>+'Paste Here'!O229</f>
        <v>0</v>
      </c>
      <c r="D229">
        <f>+'Paste Here'!P229</f>
        <v>0</v>
      </c>
      <c r="E229">
        <f>+'Paste Here'!Q229</f>
        <v>0</v>
      </c>
      <c r="F229">
        <f>+'Paste Here'!R229</f>
        <v>0</v>
      </c>
      <c r="G229">
        <f>+'Paste Here'!S229</f>
        <v>0</v>
      </c>
      <c r="H229">
        <f>+'Paste Here'!T229</f>
        <v>0</v>
      </c>
      <c r="I229">
        <f>+'Paste Here'!U229</f>
        <v>0</v>
      </c>
      <c r="J229">
        <f>+'Paste Here'!V229</f>
        <v>0</v>
      </c>
      <c r="K229">
        <f>+'Paste Here'!W229</f>
        <v>0</v>
      </c>
    </row>
    <row r="230" spans="1:11">
      <c r="A230" t="str">
        <f t="shared" si="3"/>
        <v>00</v>
      </c>
      <c r="B230">
        <f>+'Paste Here'!N230</f>
        <v>0</v>
      </c>
      <c r="C230">
        <f>+'Paste Here'!O230</f>
        <v>0</v>
      </c>
      <c r="D230">
        <f>+'Paste Here'!P230</f>
        <v>0</v>
      </c>
      <c r="E230">
        <f>+'Paste Here'!Q230</f>
        <v>0</v>
      </c>
      <c r="F230">
        <f>+'Paste Here'!R230</f>
        <v>0</v>
      </c>
      <c r="G230">
        <f>+'Paste Here'!S230</f>
        <v>0</v>
      </c>
      <c r="H230">
        <f>+'Paste Here'!T230</f>
        <v>0</v>
      </c>
      <c r="I230">
        <f>+'Paste Here'!U230</f>
        <v>0</v>
      </c>
      <c r="J230">
        <f>+'Paste Here'!V230</f>
        <v>0</v>
      </c>
      <c r="K230">
        <f>+'Paste Here'!W230</f>
        <v>0</v>
      </c>
    </row>
    <row r="231" spans="1:11">
      <c r="A231" t="str">
        <f t="shared" si="3"/>
        <v>00</v>
      </c>
      <c r="B231">
        <f>+'Paste Here'!N231</f>
        <v>0</v>
      </c>
      <c r="C231">
        <f>+'Paste Here'!O231</f>
        <v>0</v>
      </c>
      <c r="D231">
        <f>+'Paste Here'!P231</f>
        <v>0</v>
      </c>
      <c r="E231">
        <f>+'Paste Here'!Q231</f>
        <v>0</v>
      </c>
      <c r="F231">
        <f>+'Paste Here'!R231</f>
        <v>0</v>
      </c>
      <c r="G231">
        <f>+'Paste Here'!S231</f>
        <v>0</v>
      </c>
      <c r="H231">
        <f>+'Paste Here'!T231</f>
        <v>0</v>
      </c>
      <c r="I231">
        <f>+'Paste Here'!U231</f>
        <v>0</v>
      </c>
      <c r="J231">
        <f>+'Paste Here'!V231</f>
        <v>0</v>
      </c>
      <c r="K231">
        <f>+'Paste Here'!W231</f>
        <v>0</v>
      </c>
    </row>
    <row r="232" spans="1:11">
      <c r="A232" t="str">
        <f t="shared" si="3"/>
        <v>00</v>
      </c>
      <c r="B232">
        <f>+'Paste Here'!N232</f>
        <v>0</v>
      </c>
      <c r="C232">
        <f>+'Paste Here'!O232</f>
        <v>0</v>
      </c>
      <c r="D232">
        <f>+'Paste Here'!P232</f>
        <v>0</v>
      </c>
      <c r="E232">
        <f>+'Paste Here'!Q232</f>
        <v>0</v>
      </c>
      <c r="F232">
        <f>+'Paste Here'!R232</f>
        <v>0</v>
      </c>
      <c r="G232">
        <f>+'Paste Here'!S232</f>
        <v>0</v>
      </c>
      <c r="H232">
        <f>+'Paste Here'!T232</f>
        <v>0</v>
      </c>
      <c r="I232">
        <f>+'Paste Here'!U232</f>
        <v>0</v>
      </c>
      <c r="J232">
        <f>+'Paste Here'!V232</f>
        <v>0</v>
      </c>
      <c r="K232">
        <f>+'Paste Here'!W232</f>
        <v>0</v>
      </c>
    </row>
    <row r="233" spans="1:11">
      <c r="A233" t="str">
        <f t="shared" si="3"/>
        <v>00</v>
      </c>
      <c r="B233">
        <f>+'Paste Here'!N233</f>
        <v>0</v>
      </c>
      <c r="C233">
        <f>+'Paste Here'!O233</f>
        <v>0</v>
      </c>
      <c r="D233">
        <f>+'Paste Here'!P233</f>
        <v>0</v>
      </c>
      <c r="E233">
        <f>+'Paste Here'!Q233</f>
        <v>0</v>
      </c>
      <c r="F233">
        <f>+'Paste Here'!R233</f>
        <v>0</v>
      </c>
      <c r="G233">
        <f>+'Paste Here'!S233</f>
        <v>0</v>
      </c>
      <c r="H233">
        <f>+'Paste Here'!T233</f>
        <v>0</v>
      </c>
      <c r="I233">
        <f>+'Paste Here'!U233</f>
        <v>0</v>
      </c>
      <c r="J233">
        <f>+'Paste Here'!V233</f>
        <v>0</v>
      </c>
      <c r="K233">
        <f>+'Paste Here'!W233</f>
        <v>0</v>
      </c>
    </row>
    <row r="234" spans="1:11">
      <c r="A234" t="str">
        <f t="shared" si="3"/>
        <v>00</v>
      </c>
      <c r="B234">
        <f>+'Paste Here'!N234</f>
        <v>0</v>
      </c>
      <c r="C234">
        <f>+'Paste Here'!O234</f>
        <v>0</v>
      </c>
      <c r="D234">
        <f>+'Paste Here'!P234</f>
        <v>0</v>
      </c>
      <c r="E234">
        <f>+'Paste Here'!Q234</f>
        <v>0</v>
      </c>
      <c r="F234">
        <f>+'Paste Here'!R234</f>
        <v>0</v>
      </c>
      <c r="G234">
        <f>+'Paste Here'!S234</f>
        <v>0</v>
      </c>
      <c r="H234">
        <f>+'Paste Here'!T234</f>
        <v>0</v>
      </c>
      <c r="I234">
        <f>+'Paste Here'!U234</f>
        <v>0</v>
      </c>
      <c r="J234">
        <f>+'Paste Here'!V234</f>
        <v>0</v>
      </c>
      <c r="K234">
        <f>+'Paste Here'!W234</f>
        <v>0</v>
      </c>
    </row>
    <row r="235" spans="1:11">
      <c r="A235" t="str">
        <f t="shared" si="3"/>
        <v>00</v>
      </c>
      <c r="B235">
        <f>+'Paste Here'!N235</f>
        <v>0</v>
      </c>
      <c r="C235">
        <f>+'Paste Here'!O235</f>
        <v>0</v>
      </c>
      <c r="D235">
        <f>+'Paste Here'!P235</f>
        <v>0</v>
      </c>
      <c r="E235">
        <f>+'Paste Here'!Q235</f>
        <v>0</v>
      </c>
      <c r="F235">
        <f>+'Paste Here'!R235</f>
        <v>0</v>
      </c>
      <c r="G235">
        <f>+'Paste Here'!S235</f>
        <v>0</v>
      </c>
      <c r="H235">
        <f>+'Paste Here'!T235</f>
        <v>0</v>
      </c>
      <c r="I235">
        <f>+'Paste Here'!U235</f>
        <v>0</v>
      </c>
      <c r="J235">
        <f>+'Paste Here'!V235</f>
        <v>0</v>
      </c>
      <c r="K235">
        <f>+'Paste Here'!W235</f>
        <v>0</v>
      </c>
    </row>
    <row r="236" spans="1:11">
      <c r="A236" t="str">
        <f t="shared" si="3"/>
        <v>00</v>
      </c>
      <c r="B236">
        <f>+'Paste Here'!N236</f>
        <v>0</v>
      </c>
      <c r="C236">
        <f>+'Paste Here'!O236</f>
        <v>0</v>
      </c>
      <c r="D236">
        <f>+'Paste Here'!P236</f>
        <v>0</v>
      </c>
      <c r="E236">
        <f>+'Paste Here'!Q236</f>
        <v>0</v>
      </c>
      <c r="F236">
        <f>+'Paste Here'!R236</f>
        <v>0</v>
      </c>
      <c r="G236">
        <f>+'Paste Here'!S236</f>
        <v>0</v>
      </c>
      <c r="H236">
        <f>+'Paste Here'!T236</f>
        <v>0</v>
      </c>
      <c r="I236">
        <f>+'Paste Here'!U236</f>
        <v>0</v>
      </c>
      <c r="J236">
        <f>+'Paste Here'!V236</f>
        <v>0</v>
      </c>
      <c r="K236">
        <f>+'Paste Here'!W236</f>
        <v>0</v>
      </c>
    </row>
    <row r="237" spans="1:11">
      <c r="A237" t="str">
        <f t="shared" si="3"/>
        <v>00</v>
      </c>
      <c r="B237">
        <f>+'Paste Here'!N237</f>
        <v>0</v>
      </c>
      <c r="C237">
        <f>+'Paste Here'!O237</f>
        <v>0</v>
      </c>
      <c r="D237">
        <f>+'Paste Here'!P237</f>
        <v>0</v>
      </c>
      <c r="E237">
        <f>+'Paste Here'!Q237</f>
        <v>0</v>
      </c>
      <c r="F237">
        <f>+'Paste Here'!R237</f>
        <v>0</v>
      </c>
      <c r="G237">
        <f>+'Paste Here'!S237</f>
        <v>0</v>
      </c>
      <c r="H237">
        <f>+'Paste Here'!T237</f>
        <v>0</v>
      </c>
      <c r="I237">
        <f>+'Paste Here'!U237</f>
        <v>0</v>
      </c>
      <c r="J237">
        <f>+'Paste Here'!V237</f>
        <v>0</v>
      </c>
      <c r="K237">
        <f>+'Paste Here'!W237</f>
        <v>0</v>
      </c>
    </row>
    <row r="238" spans="1:11">
      <c r="A238" t="str">
        <f t="shared" si="3"/>
        <v>00</v>
      </c>
      <c r="B238">
        <f>+'Paste Here'!N238</f>
        <v>0</v>
      </c>
      <c r="C238">
        <f>+'Paste Here'!O238</f>
        <v>0</v>
      </c>
      <c r="D238">
        <f>+'Paste Here'!P238</f>
        <v>0</v>
      </c>
      <c r="E238">
        <f>+'Paste Here'!Q238</f>
        <v>0</v>
      </c>
      <c r="F238">
        <f>+'Paste Here'!R238</f>
        <v>0</v>
      </c>
      <c r="G238">
        <f>+'Paste Here'!S238</f>
        <v>0</v>
      </c>
      <c r="H238">
        <f>+'Paste Here'!T238</f>
        <v>0</v>
      </c>
      <c r="I238">
        <f>+'Paste Here'!U238</f>
        <v>0</v>
      </c>
      <c r="J238">
        <f>+'Paste Here'!V238</f>
        <v>0</v>
      </c>
      <c r="K238">
        <f>+'Paste Here'!W238</f>
        <v>0</v>
      </c>
    </row>
    <row r="239" spans="1:11">
      <c r="A239" t="str">
        <f t="shared" si="3"/>
        <v>00</v>
      </c>
      <c r="B239">
        <f>+'Paste Here'!N239</f>
        <v>0</v>
      </c>
      <c r="C239">
        <f>+'Paste Here'!O239</f>
        <v>0</v>
      </c>
      <c r="D239">
        <f>+'Paste Here'!P239</f>
        <v>0</v>
      </c>
      <c r="E239">
        <f>+'Paste Here'!Q239</f>
        <v>0</v>
      </c>
      <c r="F239">
        <f>+'Paste Here'!R239</f>
        <v>0</v>
      </c>
      <c r="G239">
        <f>+'Paste Here'!S239</f>
        <v>0</v>
      </c>
      <c r="H239">
        <f>+'Paste Here'!T239</f>
        <v>0</v>
      </c>
      <c r="I239">
        <f>+'Paste Here'!U239</f>
        <v>0</v>
      </c>
      <c r="J239">
        <f>+'Paste Here'!V239</f>
        <v>0</v>
      </c>
      <c r="K239">
        <f>+'Paste Here'!W239</f>
        <v>0</v>
      </c>
    </row>
    <row r="240" spans="1:11">
      <c r="A240" t="str">
        <f t="shared" si="3"/>
        <v>00</v>
      </c>
      <c r="B240">
        <f>+'Paste Here'!N240</f>
        <v>0</v>
      </c>
      <c r="C240">
        <f>+'Paste Here'!O240</f>
        <v>0</v>
      </c>
      <c r="D240">
        <f>+'Paste Here'!P240</f>
        <v>0</v>
      </c>
      <c r="E240">
        <f>+'Paste Here'!Q240</f>
        <v>0</v>
      </c>
      <c r="F240">
        <f>+'Paste Here'!R240</f>
        <v>0</v>
      </c>
      <c r="G240">
        <f>+'Paste Here'!S240</f>
        <v>0</v>
      </c>
      <c r="H240">
        <f>+'Paste Here'!T240</f>
        <v>0</v>
      </c>
      <c r="I240">
        <f>+'Paste Here'!U240</f>
        <v>0</v>
      </c>
      <c r="J240">
        <f>+'Paste Here'!V240</f>
        <v>0</v>
      </c>
      <c r="K240">
        <f>+'Paste Here'!W240</f>
        <v>0</v>
      </c>
    </row>
    <row r="241" spans="1:11">
      <c r="A241" t="str">
        <f t="shared" si="3"/>
        <v>00</v>
      </c>
      <c r="B241">
        <f>+'Paste Here'!N241</f>
        <v>0</v>
      </c>
      <c r="C241">
        <f>+'Paste Here'!O241</f>
        <v>0</v>
      </c>
      <c r="D241">
        <f>+'Paste Here'!P241</f>
        <v>0</v>
      </c>
      <c r="E241">
        <f>+'Paste Here'!Q241</f>
        <v>0</v>
      </c>
      <c r="F241">
        <f>+'Paste Here'!R241</f>
        <v>0</v>
      </c>
      <c r="G241">
        <f>+'Paste Here'!S241</f>
        <v>0</v>
      </c>
      <c r="H241">
        <f>+'Paste Here'!T241</f>
        <v>0</v>
      </c>
      <c r="I241">
        <f>+'Paste Here'!U241</f>
        <v>0</v>
      </c>
      <c r="J241">
        <f>+'Paste Here'!V241</f>
        <v>0</v>
      </c>
      <c r="K241">
        <f>+'Paste Here'!W241</f>
        <v>0</v>
      </c>
    </row>
    <row r="242" spans="1:11">
      <c r="A242" t="str">
        <f t="shared" si="3"/>
        <v>00</v>
      </c>
      <c r="B242">
        <f>+'Paste Here'!N242</f>
        <v>0</v>
      </c>
      <c r="C242">
        <f>+'Paste Here'!O242</f>
        <v>0</v>
      </c>
      <c r="D242">
        <f>+'Paste Here'!P242</f>
        <v>0</v>
      </c>
      <c r="E242">
        <f>+'Paste Here'!Q242</f>
        <v>0</v>
      </c>
      <c r="F242">
        <f>+'Paste Here'!R242</f>
        <v>0</v>
      </c>
      <c r="G242">
        <f>+'Paste Here'!S242</f>
        <v>0</v>
      </c>
      <c r="H242">
        <f>+'Paste Here'!T242</f>
        <v>0</v>
      </c>
      <c r="I242">
        <f>+'Paste Here'!U242</f>
        <v>0</v>
      </c>
      <c r="J242">
        <f>+'Paste Here'!V242</f>
        <v>0</v>
      </c>
      <c r="K242">
        <f>+'Paste Here'!W242</f>
        <v>0</v>
      </c>
    </row>
    <row r="243" spans="1:11">
      <c r="A243" t="str">
        <f t="shared" si="3"/>
        <v>00</v>
      </c>
      <c r="B243">
        <f>+'Paste Here'!N243</f>
        <v>0</v>
      </c>
      <c r="C243">
        <f>+'Paste Here'!O243</f>
        <v>0</v>
      </c>
      <c r="D243">
        <f>+'Paste Here'!P243</f>
        <v>0</v>
      </c>
      <c r="E243">
        <f>+'Paste Here'!Q243</f>
        <v>0</v>
      </c>
      <c r="F243">
        <f>+'Paste Here'!R243</f>
        <v>0</v>
      </c>
      <c r="G243">
        <f>+'Paste Here'!S243</f>
        <v>0</v>
      </c>
      <c r="H243">
        <f>+'Paste Here'!T243</f>
        <v>0</v>
      </c>
      <c r="I243">
        <f>+'Paste Here'!U243</f>
        <v>0</v>
      </c>
      <c r="J243">
        <f>+'Paste Here'!V243</f>
        <v>0</v>
      </c>
      <c r="K243">
        <f>+'Paste Here'!W243</f>
        <v>0</v>
      </c>
    </row>
    <row r="244" spans="1:11">
      <c r="A244" t="str">
        <f t="shared" si="3"/>
        <v>00</v>
      </c>
      <c r="B244">
        <f>+'Paste Here'!N244</f>
        <v>0</v>
      </c>
      <c r="C244">
        <f>+'Paste Here'!O244</f>
        <v>0</v>
      </c>
      <c r="D244">
        <f>+'Paste Here'!P244</f>
        <v>0</v>
      </c>
      <c r="E244">
        <f>+'Paste Here'!Q244</f>
        <v>0</v>
      </c>
      <c r="F244">
        <f>+'Paste Here'!R244</f>
        <v>0</v>
      </c>
      <c r="G244">
        <f>+'Paste Here'!S244</f>
        <v>0</v>
      </c>
      <c r="H244">
        <f>+'Paste Here'!T244</f>
        <v>0</v>
      </c>
      <c r="I244">
        <f>+'Paste Here'!U244</f>
        <v>0</v>
      </c>
      <c r="J244">
        <f>+'Paste Here'!V244</f>
        <v>0</v>
      </c>
      <c r="K244">
        <f>+'Paste Here'!W244</f>
        <v>0</v>
      </c>
    </row>
    <row r="245" spans="1:11">
      <c r="A245" t="str">
        <f t="shared" si="3"/>
        <v>00</v>
      </c>
      <c r="B245">
        <f>+'Paste Here'!N245</f>
        <v>0</v>
      </c>
      <c r="C245">
        <f>+'Paste Here'!O245</f>
        <v>0</v>
      </c>
      <c r="D245">
        <f>+'Paste Here'!P245</f>
        <v>0</v>
      </c>
      <c r="E245">
        <f>+'Paste Here'!Q245</f>
        <v>0</v>
      </c>
      <c r="F245">
        <f>+'Paste Here'!R245</f>
        <v>0</v>
      </c>
      <c r="G245">
        <f>+'Paste Here'!S245</f>
        <v>0</v>
      </c>
      <c r="H245">
        <f>+'Paste Here'!T245</f>
        <v>0</v>
      </c>
      <c r="I245">
        <f>+'Paste Here'!U245</f>
        <v>0</v>
      </c>
      <c r="J245">
        <f>+'Paste Here'!V245</f>
        <v>0</v>
      </c>
      <c r="K245">
        <f>+'Paste Here'!W245</f>
        <v>0</v>
      </c>
    </row>
    <row r="246" spans="1:11">
      <c r="A246" t="str">
        <f t="shared" si="3"/>
        <v>00</v>
      </c>
      <c r="B246">
        <f>+'Paste Here'!N246</f>
        <v>0</v>
      </c>
      <c r="C246">
        <f>+'Paste Here'!O246</f>
        <v>0</v>
      </c>
      <c r="D246">
        <f>+'Paste Here'!P246</f>
        <v>0</v>
      </c>
      <c r="E246">
        <f>+'Paste Here'!Q246</f>
        <v>0</v>
      </c>
      <c r="F246">
        <f>+'Paste Here'!R246</f>
        <v>0</v>
      </c>
      <c r="G246">
        <f>+'Paste Here'!S246</f>
        <v>0</v>
      </c>
      <c r="H246">
        <f>+'Paste Here'!T246</f>
        <v>0</v>
      </c>
      <c r="I246">
        <f>+'Paste Here'!U246</f>
        <v>0</v>
      </c>
      <c r="J246">
        <f>+'Paste Here'!V246</f>
        <v>0</v>
      </c>
      <c r="K246">
        <f>+'Paste Here'!W246</f>
        <v>0</v>
      </c>
    </row>
    <row r="247" spans="1:11">
      <c r="A247" t="str">
        <f t="shared" si="3"/>
        <v>00</v>
      </c>
      <c r="B247">
        <f>+'Paste Here'!N247</f>
        <v>0</v>
      </c>
      <c r="C247">
        <f>+'Paste Here'!O247</f>
        <v>0</v>
      </c>
      <c r="D247">
        <f>+'Paste Here'!P247</f>
        <v>0</v>
      </c>
      <c r="E247">
        <f>+'Paste Here'!Q247</f>
        <v>0</v>
      </c>
      <c r="F247">
        <f>+'Paste Here'!R247</f>
        <v>0</v>
      </c>
      <c r="G247">
        <f>+'Paste Here'!S247</f>
        <v>0</v>
      </c>
      <c r="H247">
        <f>+'Paste Here'!T247</f>
        <v>0</v>
      </c>
      <c r="I247">
        <f>+'Paste Here'!U247</f>
        <v>0</v>
      </c>
      <c r="J247">
        <f>+'Paste Here'!V247</f>
        <v>0</v>
      </c>
      <c r="K247">
        <f>+'Paste Here'!W247</f>
        <v>0</v>
      </c>
    </row>
    <row r="248" spans="1:11">
      <c r="A248" t="str">
        <f t="shared" si="3"/>
        <v>00</v>
      </c>
      <c r="B248">
        <f>+'Paste Here'!N248</f>
        <v>0</v>
      </c>
      <c r="C248">
        <f>+'Paste Here'!O248</f>
        <v>0</v>
      </c>
      <c r="D248">
        <f>+'Paste Here'!P248</f>
        <v>0</v>
      </c>
      <c r="E248">
        <f>+'Paste Here'!Q248</f>
        <v>0</v>
      </c>
      <c r="F248">
        <f>+'Paste Here'!R248</f>
        <v>0</v>
      </c>
      <c r="G248">
        <f>+'Paste Here'!S248</f>
        <v>0</v>
      </c>
      <c r="H248">
        <f>+'Paste Here'!T248</f>
        <v>0</v>
      </c>
      <c r="I248">
        <f>+'Paste Here'!U248</f>
        <v>0</v>
      </c>
      <c r="J248">
        <f>+'Paste Here'!V248</f>
        <v>0</v>
      </c>
      <c r="K248">
        <f>+'Paste Here'!W248</f>
        <v>0</v>
      </c>
    </row>
    <row r="249" spans="1:11">
      <c r="A249" t="str">
        <f t="shared" si="3"/>
        <v>00</v>
      </c>
      <c r="B249">
        <f>+'Paste Here'!N249</f>
        <v>0</v>
      </c>
      <c r="C249">
        <f>+'Paste Here'!O249</f>
        <v>0</v>
      </c>
      <c r="D249">
        <f>+'Paste Here'!P249</f>
        <v>0</v>
      </c>
      <c r="E249">
        <f>+'Paste Here'!Q249</f>
        <v>0</v>
      </c>
      <c r="F249">
        <f>+'Paste Here'!R249</f>
        <v>0</v>
      </c>
      <c r="G249">
        <f>+'Paste Here'!S249</f>
        <v>0</v>
      </c>
      <c r="H249">
        <f>+'Paste Here'!T249</f>
        <v>0</v>
      </c>
      <c r="I249">
        <f>+'Paste Here'!U249</f>
        <v>0</v>
      </c>
      <c r="J249">
        <f>+'Paste Here'!V249</f>
        <v>0</v>
      </c>
      <c r="K249">
        <f>+'Paste Here'!W249</f>
        <v>0</v>
      </c>
    </row>
    <row r="250" spans="1:11">
      <c r="A250" t="str">
        <f t="shared" si="3"/>
        <v>00</v>
      </c>
      <c r="B250">
        <f>+'Paste Here'!N250</f>
        <v>0</v>
      </c>
      <c r="C250">
        <f>+'Paste Here'!O250</f>
        <v>0</v>
      </c>
      <c r="D250">
        <f>+'Paste Here'!P250</f>
        <v>0</v>
      </c>
      <c r="E250">
        <f>+'Paste Here'!Q250</f>
        <v>0</v>
      </c>
      <c r="F250">
        <f>+'Paste Here'!R250</f>
        <v>0</v>
      </c>
      <c r="G250">
        <f>+'Paste Here'!S250</f>
        <v>0</v>
      </c>
      <c r="H250">
        <f>+'Paste Here'!T250</f>
        <v>0</v>
      </c>
      <c r="I250">
        <f>+'Paste Here'!U250</f>
        <v>0</v>
      </c>
      <c r="J250">
        <f>+'Paste Here'!V250</f>
        <v>0</v>
      </c>
      <c r="K250">
        <f>+'Paste Here'!W250</f>
        <v>0</v>
      </c>
    </row>
    <row r="251" spans="1:11">
      <c r="A251" t="str">
        <f t="shared" si="3"/>
        <v>00</v>
      </c>
      <c r="B251">
        <f>+'Paste Here'!N251</f>
        <v>0</v>
      </c>
      <c r="C251">
        <f>+'Paste Here'!O251</f>
        <v>0</v>
      </c>
      <c r="D251">
        <f>+'Paste Here'!P251</f>
        <v>0</v>
      </c>
      <c r="E251">
        <f>+'Paste Here'!Q251</f>
        <v>0</v>
      </c>
      <c r="F251">
        <f>+'Paste Here'!R251</f>
        <v>0</v>
      </c>
      <c r="G251">
        <f>+'Paste Here'!S251</f>
        <v>0</v>
      </c>
      <c r="H251">
        <f>+'Paste Here'!T251</f>
        <v>0</v>
      </c>
      <c r="I251">
        <f>+'Paste Here'!U251</f>
        <v>0</v>
      </c>
      <c r="J251">
        <f>+'Paste Here'!V251</f>
        <v>0</v>
      </c>
      <c r="K251">
        <f>+'Paste Here'!W251</f>
        <v>0</v>
      </c>
    </row>
    <row r="252" spans="1:11">
      <c r="A252" t="str">
        <f t="shared" si="3"/>
        <v>00</v>
      </c>
      <c r="B252">
        <f>+'Paste Here'!N252</f>
        <v>0</v>
      </c>
      <c r="C252">
        <f>+'Paste Here'!O252</f>
        <v>0</v>
      </c>
      <c r="D252">
        <f>+'Paste Here'!P252</f>
        <v>0</v>
      </c>
      <c r="E252">
        <f>+'Paste Here'!Q252</f>
        <v>0</v>
      </c>
      <c r="F252">
        <f>+'Paste Here'!R252</f>
        <v>0</v>
      </c>
      <c r="G252">
        <f>+'Paste Here'!S252</f>
        <v>0</v>
      </c>
      <c r="H252">
        <f>+'Paste Here'!T252</f>
        <v>0</v>
      </c>
      <c r="I252">
        <f>+'Paste Here'!U252</f>
        <v>0</v>
      </c>
      <c r="J252">
        <f>+'Paste Here'!V252</f>
        <v>0</v>
      </c>
      <c r="K252">
        <f>+'Paste Here'!W252</f>
        <v>0</v>
      </c>
    </row>
    <row r="253" spans="1:11">
      <c r="A253" t="str">
        <f t="shared" si="3"/>
        <v>00</v>
      </c>
      <c r="B253">
        <f>+'Paste Here'!N253</f>
        <v>0</v>
      </c>
      <c r="C253">
        <f>+'Paste Here'!O253</f>
        <v>0</v>
      </c>
      <c r="D253">
        <f>+'Paste Here'!P253</f>
        <v>0</v>
      </c>
      <c r="E253">
        <f>+'Paste Here'!Q253</f>
        <v>0</v>
      </c>
      <c r="F253">
        <f>+'Paste Here'!R253</f>
        <v>0</v>
      </c>
      <c r="G253">
        <f>+'Paste Here'!S253</f>
        <v>0</v>
      </c>
      <c r="H253">
        <f>+'Paste Here'!T253</f>
        <v>0</v>
      </c>
      <c r="I253">
        <f>+'Paste Here'!U253</f>
        <v>0</v>
      </c>
      <c r="J253">
        <f>+'Paste Here'!V253</f>
        <v>0</v>
      </c>
      <c r="K253">
        <f>+'Paste Here'!W253</f>
        <v>0</v>
      </c>
    </row>
    <row r="254" spans="1:11">
      <c r="A254" t="str">
        <f t="shared" si="3"/>
        <v>00</v>
      </c>
      <c r="B254">
        <f>+'Paste Here'!N254</f>
        <v>0</v>
      </c>
      <c r="C254">
        <f>+'Paste Here'!O254</f>
        <v>0</v>
      </c>
      <c r="D254">
        <f>+'Paste Here'!P254</f>
        <v>0</v>
      </c>
      <c r="E254">
        <f>+'Paste Here'!Q254</f>
        <v>0</v>
      </c>
      <c r="F254">
        <f>+'Paste Here'!R254</f>
        <v>0</v>
      </c>
      <c r="G254">
        <f>+'Paste Here'!S254</f>
        <v>0</v>
      </c>
      <c r="H254">
        <f>+'Paste Here'!T254</f>
        <v>0</v>
      </c>
      <c r="I254">
        <f>+'Paste Here'!U254</f>
        <v>0</v>
      </c>
      <c r="J254">
        <f>+'Paste Here'!V254</f>
        <v>0</v>
      </c>
      <c r="K254">
        <f>+'Paste Here'!W254</f>
        <v>0</v>
      </c>
    </row>
    <row r="255" spans="1:11">
      <c r="A255" t="str">
        <f t="shared" si="3"/>
        <v>00</v>
      </c>
      <c r="B255">
        <f>+'Paste Here'!N255</f>
        <v>0</v>
      </c>
      <c r="C255">
        <f>+'Paste Here'!O255</f>
        <v>0</v>
      </c>
      <c r="D255">
        <f>+'Paste Here'!P255</f>
        <v>0</v>
      </c>
      <c r="E255">
        <f>+'Paste Here'!Q255</f>
        <v>0</v>
      </c>
      <c r="F255">
        <f>+'Paste Here'!R255</f>
        <v>0</v>
      </c>
      <c r="G255">
        <f>+'Paste Here'!S255</f>
        <v>0</v>
      </c>
      <c r="H255">
        <f>+'Paste Here'!T255</f>
        <v>0</v>
      </c>
      <c r="I255">
        <f>+'Paste Here'!U255</f>
        <v>0</v>
      </c>
      <c r="J255">
        <f>+'Paste Here'!V255</f>
        <v>0</v>
      </c>
      <c r="K255">
        <f>+'Paste Here'!W255</f>
        <v>0</v>
      </c>
    </row>
    <row r="256" spans="1:11">
      <c r="A256" t="str">
        <f t="shared" si="3"/>
        <v>00</v>
      </c>
      <c r="B256">
        <f>+'Paste Here'!N256</f>
        <v>0</v>
      </c>
      <c r="C256">
        <f>+'Paste Here'!O256</f>
        <v>0</v>
      </c>
      <c r="D256">
        <f>+'Paste Here'!P256</f>
        <v>0</v>
      </c>
      <c r="E256">
        <f>+'Paste Here'!Q256</f>
        <v>0</v>
      </c>
      <c r="F256">
        <f>+'Paste Here'!R256</f>
        <v>0</v>
      </c>
      <c r="G256">
        <f>+'Paste Here'!S256</f>
        <v>0</v>
      </c>
      <c r="H256">
        <f>+'Paste Here'!T256</f>
        <v>0</v>
      </c>
      <c r="I256">
        <f>+'Paste Here'!U256</f>
        <v>0</v>
      </c>
      <c r="J256">
        <f>+'Paste Here'!V256</f>
        <v>0</v>
      </c>
      <c r="K256">
        <f>+'Paste Here'!W256</f>
        <v>0</v>
      </c>
    </row>
    <row r="257" spans="1:11">
      <c r="A257" t="str">
        <f t="shared" si="3"/>
        <v>00</v>
      </c>
      <c r="B257">
        <f>+'Paste Here'!N257</f>
        <v>0</v>
      </c>
      <c r="C257">
        <f>+'Paste Here'!O257</f>
        <v>0</v>
      </c>
      <c r="D257">
        <f>+'Paste Here'!P257</f>
        <v>0</v>
      </c>
      <c r="E257">
        <f>+'Paste Here'!Q257</f>
        <v>0</v>
      </c>
      <c r="F257">
        <f>+'Paste Here'!R257</f>
        <v>0</v>
      </c>
      <c r="G257">
        <f>+'Paste Here'!S257</f>
        <v>0</v>
      </c>
      <c r="H257">
        <f>+'Paste Here'!T257</f>
        <v>0</v>
      </c>
      <c r="I257">
        <f>+'Paste Here'!U257</f>
        <v>0</v>
      </c>
      <c r="J257">
        <f>+'Paste Here'!V257</f>
        <v>0</v>
      </c>
      <c r="K257">
        <f>+'Paste Here'!W257</f>
        <v>0</v>
      </c>
    </row>
    <row r="258" spans="1:11">
      <c r="A258" t="str">
        <f t="shared" si="3"/>
        <v>00</v>
      </c>
      <c r="B258">
        <f>+'Paste Here'!N258</f>
        <v>0</v>
      </c>
      <c r="C258">
        <f>+'Paste Here'!O258</f>
        <v>0</v>
      </c>
      <c r="D258">
        <f>+'Paste Here'!P258</f>
        <v>0</v>
      </c>
      <c r="E258">
        <f>+'Paste Here'!Q258</f>
        <v>0</v>
      </c>
      <c r="F258">
        <f>+'Paste Here'!R258</f>
        <v>0</v>
      </c>
      <c r="G258">
        <f>+'Paste Here'!S258</f>
        <v>0</v>
      </c>
      <c r="H258">
        <f>+'Paste Here'!T258</f>
        <v>0</v>
      </c>
      <c r="I258">
        <f>+'Paste Here'!U258</f>
        <v>0</v>
      </c>
      <c r="J258">
        <f>+'Paste Here'!V258</f>
        <v>0</v>
      </c>
      <c r="K258">
        <f>+'Paste Here'!W258</f>
        <v>0</v>
      </c>
    </row>
    <row r="259" spans="1:11">
      <c r="A259" t="str">
        <f t="shared" ref="A259:A322" si="4">+CONCATENATE(C259,D259)</f>
        <v>00</v>
      </c>
      <c r="B259">
        <f>+'Paste Here'!N259</f>
        <v>0</v>
      </c>
      <c r="C259">
        <f>+'Paste Here'!O259</f>
        <v>0</v>
      </c>
      <c r="D259">
        <f>+'Paste Here'!P259</f>
        <v>0</v>
      </c>
      <c r="E259">
        <f>+'Paste Here'!Q259</f>
        <v>0</v>
      </c>
      <c r="F259">
        <f>+'Paste Here'!R259</f>
        <v>0</v>
      </c>
      <c r="G259">
        <f>+'Paste Here'!S259</f>
        <v>0</v>
      </c>
      <c r="H259">
        <f>+'Paste Here'!T259</f>
        <v>0</v>
      </c>
      <c r="I259">
        <f>+'Paste Here'!U259</f>
        <v>0</v>
      </c>
      <c r="J259">
        <f>+'Paste Here'!V259</f>
        <v>0</v>
      </c>
      <c r="K259">
        <f>+'Paste Here'!W259</f>
        <v>0</v>
      </c>
    </row>
    <row r="260" spans="1:11">
      <c r="A260" t="str">
        <f t="shared" si="4"/>
        <v>00</v>
      </c>
      <c r="B260">
        <f>+'Paste Here'!N260</f>
        <v>0</v>
      </c>
      <c r="C260">
        <f>+'Paste Here'!O260</f>
        <v>0</v>
      </c>
      <c r="D260">
        <f>+'Paste Here'!P260</f>
        <v>0</v>
      </c>
      <c r="E260">
        <f>+'Paste Here'!Q260</f>
        <v>0</v>
      </c>
      <c r="F260">
        <f>+'Paste Here'!R260</f>
        <v>0</v>
      </c>
      <c r="G260">
        <f>+'Paste Here'!S260</f>
        <v>0</v>
      </c>
      <c r="H260">
        <f>+'Paste Here'!T260</f>
        <v>0</v>
      </c>
      <c r="I260">
        <f>+'Paste Here'!U260</f>
        <v>0</v>
      </c>
      <c r="J260">
        <f>+'Paste Here'!V260</f>
        <v>0</v>
      </c>
      <c r="K260">
        <f>+'Paste Here'!W260</f>
        <v>0</v>
      </c>
    </row>
    <row r="261" spans="1:11">
      <c r="A261" t="str">
        <f t="shared" si="4"/>
        <v>00</v>
      </c>
      <c r="B261">
        <f>+'Paste Here'!N261</f>
        <v>0</v>
      </c>
      <c r="C261">
        <f>+'Paste Here'!O261</f>
        <v>0</v>
      </c>
      <c r="D261">
        <f>+'Paste Here'!P261</f>
        <v>0</v>
      </c>
      <c r="E261">
        <f>+'Paste Here'!Q261</f>
        <v>0</v>
      </c>
      <c r="F261">
        <f>+'Paste Here'!R261</f>
        <v>0</v>
      </c>
      <c r="G261">
        <f>+'Paste Here'!S261</f>
        <v>0</v>
      </c>
      <c r="H261">
        <f>+'Paste Here'!T261</f>
        <v>0</v>
      </c>
      <c r="I261">
        <f>+'Paste Here'!U261</f>
        <v>0</v>
      </c>
      <c r="J261">
        <f>+'Paste Here'!V261</f>
        <v>0</v>
      </c>
      <c r="K261">
        <f>+'Paste Here'!W261</f>
        <v>0</v>
      </c>
    </row>
    <row r="262" spans="1:11">
      <c r="A262" t="str">
        <f t="shared" si="4"/>
        <v>00</v>
      </c>
      <c r="B262">
        <f>+'Paste Here'!N262</f>
        <v>0</v>
      </c>
      <c r="C262">
        <f>+'Paste Here'!O262</f>
        <v>0</v>
      </c>
      <c r="D262">
        <f>+'Paste Here'!P262</f>
        <v>0</v>
      </c>
      <c r="E262">
        <f>+'Paste Here'!Q262</f>
        <v>0</v>
      </c>
      <c r="F262">
        <f>+'Paste Here'!R262</f>
        <v>0</v>
      </c>
      <c r="G262">
        <f>+'Paste Here'!S262</f>
        <v>0</v>
      </c>
      <c r="H262">
        <f>+'Paste Here'!T262</f>
        <v>0</v>
      </c>
      <c r="I262">
        <f>+'Paste Here'!U262</f>
        <v>0</v>
      </c>
      <c r="J262">
        <f>+'Paste Here'!V262</f>
        <v>0</v>
      </c>
      <c r="K262">
        <f>+'Paste Here'!W262</f>
        <v>0</v>
      </c>
    </row>
    <row r="263" spans="1:11">
      <c r="A263" t="str">
        <f t="shared" si="4"/>
        <v>00</v>
      </c>
      <c r="B263">
        <f>+'Paste Here'!N263</f>
        <v>0</v>
      </c>
      <c r="C263">
        <f>+'Paste Here'!O263</f>
        <v>0</v>
      </c>
      <c r="D263">
        <f>+'Paste Here'!P263</f>
        <v>0</v>
      </c>
      <c r="E263">
        <f>+'Paste Here'!Q263</f>
        <v>0</v>
      </c>
      <c r="F263">
        <f>+'Paste Here'!R263</f>
        <v>0</v>
      </c>
      <c r="G263">
        <f>+'Paste Here'!S263</f>
        <v>0</v>
      </c>
      <c r="H263">
        <f>+'Paste Here'!T263</f>
        <v>0</v>
      </c>
      <c r="I263">
        <f>+'Paste Here'!U263</f>
        <v>0</v>
      </c>
      <c r="J263">
        <f>+'Paste Here'!V263</f>
        <v>0</v>
      </c>
      <c r="K263">
        <f>+'Paste Here'!W263</f>
        <v>0</v>
      </c>
    </row>
    <row r="264" spans="1:11">
      <c r="A264" t="str">
        <f t="shared" si="4"/>
        <v>00</v>
      </c>
      <c r="B264">
        <f>+'Paste Here'!N264</f>
        <v>0</v>
      </c>
      <c r="C264">
        <f>+'Paste Here'!O264</f>
        <v>0</v>
      </c>
      <c r="D264">
        <f>+'Paste Here'!P264</f>
        <v>0</v>
      </c>
      <c r="E264">
        <f>+'Paste Here'!Q264</f>
        <v>0</v>
      </c>
      <c r="F264">
        <f>+'Paste Here'!R264</f>
        <v>0</v>
      </c>
      <c r="G264">
        <f>+'Paste Here'!S264</f>
        <v>0</v>
      </c>
      <c r="H264">
        <f>+'Paste Here'!T264</f>
        <v>0</v>
      </c>
      <c r="I264">
        <f>+'Paste Here'!U264</f>
        <v>0</v>
      </c>
      <c r="J264">
        <f>+'Paste Here'!V264</f>
        <v>0</v>
      </c>
      <c r="K264">
        <f>+'Paste Here'!W264</f>
        <v>0</v>
      </c>
    </row>
    <row r="265" spans="1:11">
      <c r="A265" t="str">
        <f t="shared" si="4"/>
        <v>00</v>
      </c>
      <c r="B265">
        <f>+'Paste Here'!N265</f>
        <v>0</v>
      </c>
      <c r="C265">
        <f>+'Paste Here'!O265</f>
        <v>0</v>
      </c>
      <c r="D265">
        <f>+'Paste Here'!P265</f>
        <v>0</v>
      </c>
      <c r="E265">
        <f>+'Paste Here'!Q265</f>
        <v>0</v>
      </c>
      <c r="F265">
        <f>+'Paste Here'!R265</f>
        <v>0</v>
      </c>
      <c r="G265">
        <f>+'Paste Here'!S265</f>
        <v>0</v>
      </c>
      <c r="H265">
        <f>+'Paste Here'!T265</f>
        <v>0</v>
      </c>
      <c r="I265">
        <f>+'Paste Here'!U265</f>
        <v>0</v>
      </c>
      <c r="J265">
        <f>+'Paste Here'!V265</f>
        <v>0</v>
      </c>
      <c r="K265">
        <f>+'Paste Here'!W265</f>
        <v>0</v>
      </c>
    </row>
    <row r="266" spans="1:11">
      <c r="A266" t="str">
        <f t="shared" si="4"/>
        <v>00</v>
      </c>
      <c r="B266">
        <f>+'Paste Here'!N266</f>
        <v>0</v>
      </c>
      <c r="C266">
        <f>+'Paste Here'!O266</f>
        <v>0</v>
      </c>
      <c r="D266">
        <f>+'Paste Here'!P266</f>
        <v>0</v>
      </c>
      <c r="E266">
        <f>+'Paste Here'!Q266</f>
        <v>0</v>
      </c>
      <c r="F266">
        <f>+'Paste Here'!R266</f>
        <v>0</v>
      </c>
      <c r="G266">
        <f>+'Paste Here'!S266</f>
        <v>0</v>
      </c>
      <c r="H266">
        <f>+'Paste Here'!T266</f>
        <v>0</v>
      </c>
      <c r="I266">
        <f>+'Paste Here'!U266</f>
        <v>0</v>
      </c>
      <c r="J266">
        <f>+'Paste Here'!V266</f>
        <v>0</v>
      </c>
      <c r="K266">
        <f>+'Paste Here'!W266</f>
        <v>0</v>
      </c>
    </row>
    <row r="267" spans="1:11">
      <c r="A267" t="str">
        <f t="shared" si="4"/>
        <v>00</v>
      </c>
      <c r="B267">
        <f>+'Paste Here'!N267</f>
        <v>0</v>
      </c>
      <c r="C267">
        <f>+'Paste Here'!O267</f>
        <v>0</v>
      </c>
      <c r="D267">
        <f>+'Paste Here'!P267</f>
        <v>0</v>
      </c>
      <c r="E267">
        <f>+'Paste Here'!Q267</f>
        <v>0</v>
      </c>
      <c r="F267">
        <f>+'Paste Here'!R267</f>
        <v>0</v>
      </c>
      <c r="G267">
        <f>+'Paste Here'!S267</f>
        <v>0</v>
      </c>
      <c r="H267">
        <f>+'Paste Here'!T267</f>
        <v>0</v>
      </c>
      <c r="I267">
        <f>+'Paste Here'!U267</f>
        <v>0</v>
      </c>
      <c r="J267">
        <f>+'Paste Here'!V267</f>
        <v>0</v>
      </c>
      <c r="K267">
        <f>+'Paste Here'!W267</f>
        <v>0</v>
      </c>
    </row>
    <row r="268" spans="1:11">
      <c r="A268" t="str">
        <f t="shared" si="4"/>
        <v>00</v>
      </c>
      <c r="B268">
        <f>+'Paste Here'!N268</f>
        <v>0</v>
      </c>
      <c r="C268">
        <f>+'Paste Here'!O268</f>
        <v>0</v>
      </c>
      <c r="D268">
        <f>+'Paste Here'!P268</f>
        <v>0</v>
      </c>
      <c r="E268">
        <f>+'Paste Here'!Q268</f>
        <v>0</v>
      </c>
      <c r="F268">
        <f>+'Paste Here'!R268</f>
        <v>0</v>
      </c>
      <c r="G268">
        <f>+'Paste Here'!S268</f>
        <v>0</v>
      </c>
      <c r="H268">
        <f>+'Paste Here'!T268</f>
        <v>0</v>
      </c>
      <c r="I268">
        <f>+'Paste Here'!U268</f>
        <v>0</v>
      </c>
      <c r="J268">
        <f>+'Paste Here'!V268</f>
        <v>0</v>
      </c>
      <c r="K268">
        <f>+'Paste Here'!W268</f>
        <v>0</v>
      </c>
    </row>
    <row r="269" spans="1:11">
      <c r="A269" t="str">
        <f t="shared" si="4"/>
        <v>00</v>
      </c>
      <c r="B269">
        <f>+'Paste Here'!N269</f>
        <v>0</v>
      </c>
      <c r="C269">
        <f>+'Paste Here'!O269</f>
        <v>0</v>
      </c>
      <c r="D269">
        <f>+'Paste Here'!P269</f>
        <v>0</v>
      </c>
      <c r="E269">
        <f>+'Paste Here'!Q269</f>
        <v>0</v>
      </c>
      <c r="F269">
        <f>+'Paste Here'!R269</f>
        <v>0</v>
      </c>
      <c r="G269">
        <f>+'Paste Here'!S269</f>
        <v>0</v>
      </c>
      <c r="H269">
        <f>+'Paste Here'!T269</f>
        <v>0</v>
      </c>
      <c r="I269">
        <f>+'Paste Here'!U269</f>
        <v>0</v>
      </c>
      <c r="J269">
        <f>+'Paste Here'!V269</f>
        <v>0</v>
      </c>
      <c r="K269">
        <f>+'Paste Here'!W269</f>
        <v>0</v>
      </c>
    </row>
    <row r="270" spans="1:11">
      <c r="A270" t="str">
        <f t="shared" si="4"/>
        <v>00</v>
      </c>
      <c r="B270">
        <f>+'Paste Here'!N270</f>
        <v>0</v>
      </c>
      <c r="C270">
        <f>+'Paste Here'!O270</f>
        <v>0</v>
      </c>
      <c r="D270">
        <f>+'Paste Here'!P270</f>
        <v>0</v>
      </c>
      <c r="E270">
        <f>+'Paste Here'!Q270</f>
        <v>0</v>
      </c>
      <c r="F270">
        <f>+'Paste Here'!R270</f>
        <v>0</v>
      </c>
      <c r="G270">
        <f>+'Paste Here'!S270</f>
        <v>0</v>
      </c>
      <c r="H270">
        <f>+'Paste Here'!T270</f>
        <v>0</v>
      </c>
      <c r="I270">
        <f>+'Paste Here'!U270</f>
        <v>0</v>
      </c>
      <c r="J270">
        <f>+'Paste Here'!V270</f>
        <v>0</v>
      </c>
      <c r="K270">
        <f>+'Paste Here'!W270</f>
        <v>0</v>
      </c>
    </row>
    <row r="271" spans="1:11">
      <c r="A271" t="str">
        <f t="shared" si="4"/>
        <v>00</v>
      </c>
      <c r="B271">
        <f>+'Paste Here'!N271</f>
        <v>0</v>
      </c>
      <c r="C271">
        <f>+'Paste Here'!O271</f>
        <v>0</v>
      </c>
      <c r="D271">
        <f>+'Paste Here'!P271</f>
        <v>0</v>
      </c>
      <c r="E271">
        <f>+'Paste Here'!Q271</f>
        <v>0</v>
      </c>
      <c r="F271">
        <f>+'Paste Here'!R271</f>
        <v>0</v>
      </c>
      <c r="G271">
        <f>+'Paste Here'!S271</f>
        <v>0</v>
      </c>
      <c r="H271">
        <f>+'Paste Here'!T271</f>
        <v>0</v>
      </c>
      <c r="I271">
        <f>+'Paste Here'!U271</f>
        <v>0</v>
      </c>
      <c r="J271">
        <f>+'Paste Here'!V271</f>
        <v>0</v>
      </c>
      <c r="K271">
        <f>+'Paste Here'!W271</f>
        <v>0</v>
      </c>
    </row>
    <row r="272" spans="1:11">
      <c r="A272" t="str">
        <f t="shared" si="4"/>
        <v>00</v>
      </c>
      <c r="B272">
        <f>+'Paste Here'!N272</f>
        <v>0</v>
      </c>
      <c r="C272">
        <f>+'Paste Here'!O272</f>
        <v>0</v>
      </c>
      <c r="D272">
        <f>+'Paste Here'!P272</f>
        <v>0</v>
      </c>
      <c r="E272">
        <f>+'Paste Here'!Q272</f>
        <v>0</v>
      </c>
      <c r="F272">
        <f>+'Paste Here'!R272</f>
        <v>0</v>
      </c>
      <c r="G272">
        <f>+'Paste Here'!S272</f>
        <v>0</v>
      </c>
      <c r="H272">
        <f>+'Paste Here'!T272</f>
        <v>0</v>
      </c>
      <c r="I272">
        <f>+'Paste Here'!U272</f>
        <v>0</v>
      </c>
      <c r="J272">
        <f>+'Paste Here'!V272</f>
        <v>0</v>
      </c>
      <c r="K272">
        <f>+'Paste Here'!W272</f>
        <v>0</v>
      </c>
    </row>
    <row r="273" spans="1:11">
      <c r="A273" t="str">
        <f t="shared" si="4"/>
        <v>00</v>
      </c>
      <c r="B273">
        <f>+'Paste Here'!N273</f>
        <v>0</v>
      </c>
      <c r="C273">
        <f>+'Paste Here'!O273</f>
        <v>0</v>
      </c>
      <c r="D273">
        <f>+'Paste Here'!P273</f>
        <v>0</v>
      </c>
      <c r="E273">
        <f>+'Paste Here'!Q273</f>
        <v>0</v>
      </c>
      <c r="F273">
        <f>+'Paste Here'!R273</f>
        <v>0</v>
      </c>
      <c r="G273">
        <f>+'Paste Here'!S273</f>
        <v>0</v>
      </c>
      <c r="H273">
        <f>+'Paste Here'!T273</f>
        <v>0</v>
      </c>
      <c r="I273">
        <f>+'Paste Here'!U273</f>
        <v>0</v>
      </c>
      <c r="J273">
        <f>+'Paste Here'!V273</f>
        <v>0</v>
      </c>
      <c r="K273">
        <f>+'Paste Here'!W273</f>
        <v>0</v>
      </c>
    </row>
    <row r="274" spans="1:11">
      <c r="A274" t="str">
        <f t="shared" si="4"/>
        <v>00</v>
      </c>
      <c r="B274">
        <f>+'Paste Here'!N274</f>
        <v>0</v>
      </c>
      <c r="C274">
        <f>+'Paste Here'!O274</f>
        <v>0</v>
      </c>
      <c r="D274">
        <f>+'Paste Here'!P274</f>
        <v>0</v>
      </c>
      <c r="E274">
        <f>+'Paste Here'!Q274</f>
        <v>0</v>
      </c>
      <c r="F274">
        <f>+'Paste Here'!R274</f>
        <v>0</v>
      </c>
      <c r="G274">
        <f>+'Paste Here'!S274</f>
        <v>0</v>
      </c>
      <c r="H274">
        <f>+'Paste Here'!T274</f>
        <v>0</v>
      </c>
      <c r="I274">
        <f>+'Paste Here'!U274</f>
        <v>0</v>
      </c>
      <c r="J274">
        <f>+'Paste Here'!V274</f>
        <v>0</v>
      </c>
      <c r="K274">
        <f>+'Paste Here'!W274</f>
        <v>0</v>
      </c>
    </row>
    <row r="275" spans="1:11">
      <c r="A275" t="str">
        <f t="shared" si="4"/>
        <v>00</v>
      </c>
      <c r="B275">
        <f>+'Paste Here'!N275</f>
        <v>0</v>
      </c>
      <c r="C275">
        <f>+'Paste Here'!O275</f>
        <v>0</v>
      </c>
      <c r="D275">
        <f>+'Paste Here'!P275</f>
        <v>0</v>
      </c>
      <c r="E275">
        <f>+'Paste Here'!Q275</f>
        <v>0</v>
      </c>
      <c r="F275">
        <f>+'Paste Here'!R275</f>
        <v>0</v>
      </c>
      <c r="G275">
        <f>+'Paste Here'!S275</f>
        <v>0</v>
      </c>
      <c r="H275">
        <f>+'Paste Here'!T275</f>
        <v>0</v>
      </c>
      <c r="I275">
        <f>+'Paste Here'!U275</f>
        <v>0</v>
      </c>
      <c r="J275">
        <f>+'Paste Here'!V275</f>
        <v>0</v>
      </c>
      <c r="K275">
        <f>+'Paste Here'!W275</f>
        <v>0</v>
      </c>
    </row>
    <row r="276" spans="1:11">
      <c r="A276" t="str">
        <f t="shared" si="4"/>
        <v>00</v>
      </c>
      <c r="B276">
        <f>+'Paste Here'!N276</f>
        <v>0</v>
      </c>
      <c r="C276">
        <f>+'Paste Here'!O276</f>
        <v>0</v>
      </c>
      <c r="D276">
        <f>+'Paste Here'!P276</f>
        <v>0</v>
      </c>
      <c r="E276">
        <f>+'Paste Here'!Q276</f>
        <v>0</v>
      </c>
      <c r="F276">
        <f>+'Paste Here'!R276</f>
        <v>0</v>
      </c>
      <c r="G276">
        <f>+'Paste Here'!S276</f>
        <v>0</v>
      </c>
      <c r="H276">
        <f>+'Paste Here'!T276</f>
        <v>0</v>
      </c>
      <c r="I276">
        <f>+'Paste Here'!U276</f>
        <v>0</v>
      </c>
      <c r="J276">
        <f>+'Paste Here'!V276</f>
        <v>0</v>
      </c>
      <c r="K276">
        <f>+'Paste Here'!W276</f>
        <v>0</v>
      </c>
    </row>
    <row r="277" spans="1:11">
      <c r="A277" t="str">
        <f t="shared" si="4"/>
        <v>00</v>
      </c>
      <c r="B277">
        <f>+'Paste Here'!N277</f>
        <v>0</v>
      </c>
      <c r="C277">
        <f>+'Paste Here'!O277</f>
        <v>0</v>
      </c>
      <c r="D277">
        <f>+'Paste Here'!P277</f>
        <v>0</v>
      </c>
      <c r="E277">
        <f>+'Paste Here'!Q277</f>
        <v>0</v>
      </c>
      <c r="F277">
        <f>+'Paste Here'!R277</f>
        <v>0</v>
      </c>
      <c r="G277">
        <f>+'Paste Here'!S277</f>
        <v>0</v>
      </c>
      <c r="H277">
        <f>+'Paste Here'!T277</f>
        <v>0</v>
      </c>
      <c r="I277">
        <f>+'Paste Here'!U277</f>
        <v>0</v>
      </c>
      <c r="J277">
        <f>+'Paste Here'!V277</f>
        <v>0</v>
      </c>
      <c r="K277">
        <f>+'Paste Here'!W277</f>
        <v>0</v>
      </c>
    </row>
    <row r="278" spans="1:11">
      <c r="A278" t="str">
        <f t="shared" si="4"/>
        <v>00</v>
      </c>
      <c r="B278">
        <f>+'Paste Here'!N278</f>
        <v>0</v>
      </c>
      <c r="C278">
        <f>+'Paste Here'!O278</f>
        <v>0</v>
      </c>
      <c r="D278">
        <f>+'Paste Here'!P278</f>
        <v>0</v>
      </c>
      <c r="E278">
        <f>+'Paste Here'!Q278</f>
        <v>0</v>
      </c>
      <c r="F278">
        <f>+'Paste Here'!R278</f>
        <v>0</v>
      </c>
      <c r="G278">
        <f>+'Paste Here'!S278</f>
        <v>0</v>
      </c>
      <c r="H278">
        <f>+'Paste Here'!T278</f>
        <v>0</v>
      </c>
      <c r="I278">
        <f>+'Paste Here'!U278</f>
        <v>0</v>
      </c>
      <c r="J278">
        <f>+'Paste Here'!V278</f>
        <v>0</v>
      </c>
      <c r="K278">
        <f>+'Paste Here'!W278</f>
        <v>0</v>
      </c>
    </row>
    <row r="279" spans="1:11">
      <c r="A279" t="str">
        <f t="shared" si="4"/>
        <v>00</v>
      </c>
      <c r="B279">
        <f>+'Paste Here'!N279</f>
        <v>0</v>
      </c>
      <c r="C279">
        <f>+'Paste Here'!O279</f>
        <v>0</v>
      </c>
      <c r="D279">
        <f>+'Paste Here'!P279</f>
        <v>0</v>
      </c>
      <c r="E279">
        <f>+'Paste Here'!Q279</f>
        <v>0</v>
      </c>
      <c r="F279">
        <f>+'Paste Here'!R279</f>
        <v>0</v>
      </c>
      <c r="G279">
        <f>+'Paste Here'!S279</f>
        <v>0</v>
      </c>
      <c r="H279">
        <f>+'Paste Here'!T279</f>
        <v>0</v>
      </c>
      <c r="I279">
        <f>+'Paste Here'!U279</f>
        <v>0</v>
      </c>
      <c r="J279">
        <f>+'Paste Here'!V279</f>
        <v>0</v>
      </c>
      <c r="K279">
        <f>+'Paste Here'!W279</f>
        <v>0</v>
      </c>
    </row>
    <row r="280" spans="1:11">
      <c r="A280" t="str">
        <f t="shared" si="4"/>
        <v>00</v>
      </c>
      <c r="B280">
        <f>+'Paste Here'!N280</f>
        <v>0</v>
      </c>
      <c r="C280">
        <f>+'Paste Here'!O280</f>
        <v>0</v>
      </c>
      <c r="D280">
        <f>+'Paste Here'!P280</f>
        <v>0</v>
      </c>
      <c r="E280">
        <f>+'Paste Here'!Q280</f>
        <v>0</v>
      </c>
      <c r="F280">
        <f>+'Paste Here'!R280</f>
        <v>0</v>
      </c>
      <c r="G280">
        <f>+'Paste Here'!S280</f>
        <v>0</v>
      </c>
      <c r="H280">
        <f>+'Paste Here'!T280</f>
        <v>0</v>
      </c>
      <c r="I280">
        <f>+'Paste Here'!U280</f>
        <v>0</v>
      </c>
      <c r="J280">
        <f>+'Paste Here'!V280</f>
        <v>0</v>
      </c>
      <c r="K280">
        <f>+'Paste Here'!W280</f>
        <v>0</v>
      </c>
    </row>
    <row r="281" spans="1:11">
      <c r="A281" t="str">
        <f t="shared" si="4"/>
        <v>00</v>
      </c>
      <c r="B281">
        <f>+'Paste Here'!N281</f>
        <v>0</v>
      </c>
      <c r="C281">
        <f>+'Paste Here'!O281</f>
        <v>0</v>
      </c>
      <c r="D281">
        <f>+'Paste Here'!P281</f>
        <v>0</v>
      </c>
      <c r="E281">
        <f>+'Paste Here'!Q281</f>
        <v>0</v>
      </c>
      <c r="F281">
        <f>+'Paste Here'!R281</f>
        <v>0</v>
      </c>
      <c r="G281">
        <f>+'Paste Here'!S281</f>
        <v>0</v>
      </c>
      <c r="H281">
        <f>+'Paste Here'!T281</f>
        <v>0</v>
      </c>
      <c r="I281">
        <f>+'Paste Here'!U281</f>
        <v>0</v>
      </c>
      <c r="J281">
        <f>+'Paste Here'!V281</f>
        <v>0</v>
      </c>
      <c r="K281">
        <f>+'Paste Here'!W281</f>
        <v>0</v>
      </c>
    </row>
    <row r="282" spans="1:11">
      <c r="A282" t="str">
        <f t="shared" si="4"/>
        <v>00</v>
      </c>
      <c r="B282">
        <f>+'Paste Here'!N282</f>
        <v>0</v>
      </c>
      <c r="C282">
        <f>+'Paste Here'!O282</f>
        <v>0</v>
      </c>
      <c r="D282">
        <f>+'Paste Here'!P282</f>
        <v>0</v>
      </c>
      <c r="E282">
        <f>+'Paste Here'!Q282</f>
        <v>0</v>
      </c>
      <c r="F282">
        <f>+'Paste Here'!R282</f>
        <v>0</v>
      </c>
      <c r="G282">
        <f>+'Paste Here'!S282</f>
        <v>0</v>
      </c>
      <c r="H282">
        <f>+'Paste Here'!T282</f>
        <v>0</v>
      </c>
      <c r="I282">
        <f>+'Paste Here'!U282</f>
        <v>0</v>
      </c>
      <c r="J282">
        <f>+'Paste Here'!V282</f>
        <v>0</v>
      </c>
      <c r="K282">
        <f>+'Paste Here'!W282</f>
        <v>0</v>
      </c>
    </row>
    <row r="283" spans="1:11">
      <c r="A283" t="str">
        <f t="shared" si="4"/>
        <v>00</v>
      </c>
      <c r="B283">
        <f>+'Paste Here'!N283</f>
        <v>0</v>
      </c>
      <c r="C283">
        <f>+'Paste Here'!O283</f>
        <v>0</v>
      </c>
      <c r="D283">
        <f>+'Paste Here'!P283</f>
        <v>0</v>
      </c>
      <c r="E283">
        <f>+'Paste Here'!Q283</f>
        <v>0</v>
      </c>
      <c r="F283">
        <f>+'Paste Here'!R283</f>
        <v>0</v>
      </c>
      <c r="G283">
        <f>+'Paste Here'!S283</f>
        <v>0</v>
      </c>
      <c r="H283">
        <f>+'Paste Here'!T283</f>
        <v>0</v>
      </c>
      <c r="I283">
        <f>+'Paste Here'!U283</f>
        <v>0</v>
      </c>
      <c r="J283">
        <f>+'Paste Here'!V283</f>
        <v>0</v>
      </c>
      <c r="K283">
        <f>+'Paste Here'!W283</f>
        <v>0</v>
      </c>
    </row>
    <row r="284" spans="1:11">
      <c r="A284" t="str">
        <f t="shared" si="4"/>
        <v>00</v>
      </c>
      <c r="B284">
        <f>+'Paste Here'!N284</f>
        <v>0</v>
      </c>
      <c r="C284">
        <f>+'Paste Here'!O284</f>
        <v>0</v>
      </c>
      <c r="D284">
        <f>+'Paste Here'!P284</f>
        <v>0</v>
      </c>
      <c r="E284">
        <f>+'Paste Here'!Q284</f>
        <v>0</v>
      </c>
      <c r="F284">
        <f>+'Paste Here'!R284</f>
        <v>0</v>
      </c>
      <c r="G284">
        <f>+'Paste Here'!S284</f>
        <v>0</v>
      </c>
      <c r="H284">
        <f>+'Paste Here'!T284</f>
        <v>0</v>
      </c>
      <c r="I284">
        <f>+'Paste Here'!U284</f>
        <v>0</v>
      </c>
      <c r="J284">
        <f>+'Paste Here'!V284</f>
        <v>0</v>
      </c>
      <c r="K284">
        <f>+'Paste Here'!W284</f>
        <v>0</v>
      </c>
    </row>
    <row r="285" spans="1:11">
      <c r="A285" t="str">
        <f t="shared" si="4"/>
        <v>00</v>
      </c>
      <c r="B285">
        <f>+'Paste Here'!N285</f>
        <v>0</v>
      </c>
      <c r="C285">
        <f>+'Paste Here'!O285</f>
        <v>0</v>
      </c>
      <c r="D285">
        <f>+'Paste Here'!P285</f>
        <v>0</v>
      </c>
      <c r="E285">
        <f>+'Paste Here'!Q285</f>
        <v>0</v>
      </c>
      <c r="F285">
        <f>+'Paste Here'!R285</f>
        <v>0</v>
      </c>
      <c r="G285">
        <f>+'Paste Here'!S285</f>
        <v>0</v>
      </c>
      <c r="H285">
        <f>+'Paste Here'!T285</f>
        <v>0</v>
      </c>
      <c r="I285">
        <f>+'Paste Here'!U285</f>
        <v>0</v>
      </c>
      <c r="J285">
        <f>+'Paste Here'!V285</f>
        <v>0</v>
      </c>
      <c r="K285">
        <f>+'Paste Here'!W285</f>
        <v>0</v>
      </c>
    </row>
    <row r="286" spans="1:11">
      <c r="A286" t="str">
        <f t="shared" si="4"/>
        <v>00</v>
      </c>
      <c r="B286">
        <f>+'Paste Here'!N286</f>
        <v>0</v>
      </c>
      <c r="C286">
        <f>+'Paste Here'!O286</f>
        <v>0</v>
      </c>
      <c r="D286">
        <f>+'Paste Here'!P286</f>
        <v>0</v>
      </c>
      <c r="E286">
        <f>+'Paste Here'!Q286</f>
        <v>0</v>
      </c>
      <c r="F286">
        <f>+'Paste Here'!R286</f>
        <v>0</v>
      </c>
      <c r="G286">
        <f>+'Paste Here'!S286</f>
        <v>0</v>
      </c>
      <c r="H286">
        <f>+'Paste Here'!T286</f>
        <v>0</v>
      </c>
      <c r="I286">
        <f>+'Paste Here'!U286</f>
        <v>0</v>
      </c>
      <c r="J286">
        <f>+'Paste Here'!V286</f>
        <v>0</v>
      </c>
      <c r="K286">
        <f>+'Paste Here'!W286</f>
        <v>0</v>
      </c>
    </row>
    <row r="287" spans="1:11">
      <c r="A287" t="str">
        <f t="shared" si="4"/>
        <v>00</v>
      </c>
      <c r="B287">
        <f>+'Paste Here'!N287</f>
        <v>0</v>
      </c>
      <c r="C287">
        <f>+'Paste Here'!O287</f>
        <v>0</v>
      </c>
      <c r="D287">
        <f>+'Paste Here'!P287</f>
        <v>0</v>
      </c>
      <c r="E287">
        <f>+'Paste Here'!Q287</f>
        <v>0</v>
      </c>
      <c r="F287">
        <f>+'Paste Here'!R287</f>
        <v>0</v>
      </c>
      <c r="G287">
        <f>+'Paste Here'!S287</f>
        <v>0</v>
      </c>
      <c r="H287">
        <f>+'Paste Here'!T287</f>
        <v>0</v>
      </c>
      <c r="I287">
        <f>+'Paste Here'!U287</f>
        <v>0</v>
      </c>
      <c r="J287">
        <f>+'Paste Here'!V287</f>
        <v>0</v>
      </c>
      <c r="K287">
        <f>+'Paste Here'!W287</f>
        <v>0</v>
      </c>
    </row>
    <row r="288" spans="1:11">
      <c r="A288" t="str">
        <f t="shared" si="4"/>
        <v>00</v>
      </c>
      <c r="B288">
        <f>+'Paste Here'!N288</f>
        <v>0</v>
      </c>
      <c r="C288">
        <f>+'Paste Here'!O288</f>
        <v>0</v>
      </c>
      <c r="D288">
        <f>+'Paste Here'!P288</f>
        <v>0</v>
      </c>
      <c r="E288">
        <f>+'Paste Here'!Q288</f>
        <v>0</v>
      </c>
      <c r="F288">
        <f>+'Paste Here'!R288</f>
        <v>0</v>
      </c>
      <c r="G288">
        <f>+'Paste Here'!S288</f>
        <v>0</v>
      </c>
      <c r="H288">
        <f>+'Paste Here'!T288</f>
        <v>0</v>
      </c>
      <c r="I288">
        <f>+'Paste Here'!U288</f>
        <v>0</v>
      </c>
      <c r="J288">
        <f>+'Paste Here'!V288</f>
        <v>0</v>
      </c>
      <c r="K288">
        <f>+'Paste Here'!W288</f>
        <v>0</v>
      </c>
    </row>
    <row r="289" spans="1:11">
      <c r="A289" t="str">
        <f t="shared" si="4"/>
        <v>00</v>
      </c>
      <c r="B289">
        <f>+'Paste Here'!N289</f>
        <v>0</v>
      </c>
      <c r="C289">
        <f>+'Paste Here'!O289</f>
        <v>0</v>
      </c>
      <c r="D289">
        <f>+'Paste Here'!P289</f>
        <v>0</v>
      </c>
      <c r="E289">
        <f>+'Paste Here'!Q289</f>
        <v>0</v>
      </c>
      <c r="F289">
        <f>+'Paste Here'!R289</f>
        <v>0</v>
      </c>
      <c r="G289">
        <f>+'Paste Here'!S289</f>
        <v>0</v>
      </c>
      <c r="H289">
        <f>+'Paste Here'!T289</f>
        <v>0</v>
      </c>
      <c r="I289">
        <f>+'Paste Here'!U289</f>
        <v>0</v>
      </c>
      <c r="J289">
        <f>+'Paste Here'!V289</f>
        <v>0</v>
      </c>
      <c r="K289">
        <f>+'Paste Here'!W289</f>
        <v>0</v>
      </c>
    </row>
    <row r="290" spans="1:11">
      <c r="A290" t="str">
        <f t="shared" si="4"/>
        <v>00</v>
      </c>
      <c r="B290">
        <f>+'Paste Here'!N290</f>
        <v>0</v>
      </c>
      <c r="C290">
        <f>+'Paste Here'!O290</f>
        <v>0</v>
      </c>
      <c r="D290">
        <f>+'Paste Here'!P290</f>
        <v>0</v>
      </c>
      <c r="E290">
        <f>+'Paste Here'!Q290</f>
        <v>0</v>
      </c>
      <c r="F290">
        <f>+'Paste Here'!R290</f>
        <v>0</v>
      </c>
      <c r="G290">
        <f>+'Paste Here'!S290</f>
        <v>0</v>
      </c>
      <c r="H290">
        <f>+'Paste Here'!T290</f>
        <v>0</v>
      </c>
      <c r="I290">
        <f>+'Paste Here'!U290</f>
        <v>0</v>
      </c>
      <c r="J290">
        <f>+'Paste Here'!V290</f>
        <v>0</v>
      </c>
      <c r="K290">
        <f>+'Paste Here'!W290</f>
        <v>0</v>
      </c>
    </row>
    <row r="291" spans="1:11">
      <c r="A291" t="str">
        <f t="shared" si="4"/>
        <v>00</v>
      </c>
      <c r="B291">
        <f>+'Paste Here'!N291</f>
        <v>0</v>
      </c>
      <c r="C291">
        <f>+'Paste Here'!O291</f>
        <v>0</v>
      </c>
      <c r="D291">
        <f>+'Paste Here'!P291</f>
        <v>0</v>
      </c>
      <c r="E291">
        <f>+'Paste Here'!Q291</f>
        <v>0</v>
      </c>
      <c r="F291">
        <f>+'Paste Here'!R291</f>
        <v>0</v>
      </c>
      <c r="G291">
        <f>+'Paste Here'!S291</f>
        <v>0</v>
      </c>
      <c r="H291">
        <f>+'Paste Here'!T291</f>
        <v>0</v>
      </c>
      <c r="I291">
        <f>+'Paste Here'!U291</f>
        <v>0</v>
      </c>
      <c r="J291">
        <f>+'Paste Here'!V291</f>
        <v>0</v>
      </c>
      <c r="K291">
        <f>+'Paste Here'!W291</f>
        <v>0</v>
      </c>
    </row>
    <row r="292" spans="1:11">
      <c r="A292" t="str">
        <f t="shared" si="4"/>
        <v>00</v>
      </c>
      <c r="B292">
        <f>+'Paste Here'!N292</f>
        <v>0</v>
      </c>
      <c r="C292">
        <f>+'Paste Here'!O292</f>
        <v>0</v>
      </c>
      <c r="D292">
        <f>+'Paste Here'!P292</f>
        <v>0</v>
      </c>
      <c r="E292">
        <f>+'Paste Here'!Q292</f>
        <v>0</v>
      </c>
      <c r="F292">
        <f>+'Paste Here'!R292</f>
        <v>0</v>
      </c>
      <c r="G292">
        <f>+'Paste Here'!S292</f>
        <v>0</v>
      </c>
      <c r="H292">
        <f>+'Paste Here'!T292</f>
        <v>0</v>
      </c>
      <c r="I292">
        <f>+'Paste Here'!U292</f>
        <v>0</v>
      </c>
      <c r="J292">
        <f>+'Paste Here'!V292</f>
        <v>0</v>
      </c>
      <c r="K292">
        <f>+'Paste Here'!W292</f>
        <v>0</v>
      </c>
    </row>
    <row r="293" spans="1:11">
      <c r="A293" t="str">
        <f t="shared" si="4"/>
        <v>00</v>
      </c>
      <c r="B293">
        <f>+'Paste Here'!N293</f>
        <v>0</v>
      </c>
      <c r="C293">
        <f>+'Paste Here'!O293</f>
        <v>0</v>
      </c>
      <c r="D293">
        <f>+'Paste Here'!P293</f>
        <v>0</v>
      </c>
      <c r="E293">
        <f>+'Paste Here'!Q293</f>
        <v>0</v>
      </c>
      <c r="F293">
        <f>+'Paste Here'!R293</f>
        <v>0</v>
      </c>
      <c r="G293">
        <f>+'Paste Here'!S293</f>
        <v>0</v>
      </c>
      <c r="H293">
        <f>+'Paste Here'!T293</f>
        <v>0</v>
      </c>
      <c r="I293">
        <f>+'Paste Here'!U293</f>
        <v>0</v>
      </c>
      <c r="J293">
        <f>+'Paste Here'!V293</f>
        <v>0</v>
      </c>
      <c r="K293">
        <f>+'Paste Here'!W293</f>
        <v>0</v>
      </c>
    </row>
    <row r="294" spans="1:11">
      <c r="A294" t="str">
        <f t="shared" si="4"/>
        <v>00</v>
      </c>
      <c r="B294">
        <f>+'Paste Here'!N294</f>
        <v>0</v>
      </c>
      <c r="C294">
        <f>+'Paste Here'!O294</f>
        <v>0</v>
      </c>
      <c r="D294">
        <f>+'Paste Here'!P294</f>
        <v>0</v>
      </c>
      <c r="E294">
        <f>+'Paste Here'!Q294</f>
        <v>0</v>
      </c>
      <c r="F294">
        <f>+'Paste Here'!R294</f>
        <v>0</v>
      </c>
      <c r="G294">
        <f>+'Paste Here'!S294</f>
        <v>0</v>
      </c>
      <c r="H294">
        <f>+'Paste Here'!T294</f>
        <v>0</v>
      </c>
      <c r="I294">
        <f>+'Paste Here'!U294</f>
        <v>0</v>
      </c>
      <c r="J294">
        <f>+'Paste Here'!V294</f>
        <v>0</v>
      </c>
      <c r="K294">
        <f>+'Paste Here'!W294</f>
        <v>0</v>
      </c>
    </row>
    <row r="295" spans="1:11">
      <c r="A295" t="str">
        <f t="shared" si="4"/>
        <v>00</v>
      </c>
      <c r="B295">
        <f>+'Paste Here'!N295</f>
        <v>0</v>
      </c>
      <c r="C295">
        <f>+'Paste Here'!O295</f>
        <v>0</v>
      </c>
      <c r="D295">
        <f>+'Paste Here'!P295</f>
        <v>0</v>
      </c>
      <c r="E295">
        <f>+'Paste Here'!Q295</f>
        <v>0</v>
      </c>
      <c r="F295">
        <f>+'Paste Here'!R295</f>
        <v>0</v>
      </c>
      <c r="G295">
        <f>+'Paste Here'!S295</f>
        <v>0</v>
      </c>
      <c r="H295">
        <f>+'Paste Here'!T295</f>
        <v>0</v>
      </c>
      <c r="I295">
        <f>+'Paste Here'!U295</f>
        <v>0</v>
      </c>
      <c r="J295">
        <f>+'Paste Here'!V295</f>
        <v>0</v>
      </c>
      <c r="K295">
        <f>+'Paste Here'!W295</f>
        <v>0</v>
      </c>
    </row>
    <row r="296" spans="1:11">
      <c r="A296" t="str">
        <f t="shared" si="4"/>
        <v>00</v>
      </c>
      <c r="B296">
        <f>+'Paste Here'!N296</f>
        <v>0</v>
      </c>
      <c r="C296">
        <f>+'Paste Here'!O296</f>
        <v>0</v>
      </c>
      <c r="D296">
        <f>+'Paste Here'!P296</f>
        <v>0</v>
      </c>
      <c r="E296">
        <f>+'Paste Here'!Q296</f>
        <v>0</v>
      </c>
      <c r="F296">
        <f>+'Paste Here'!R296</f>
        <v>0</v>
      </c>
      <c r="G296">
        <f>+'Paste Here'!S296</f>
        <v>0</v>
      </c>
      <c r="H296">
        <f>+'Paste Here'!T296</f>
        <v>0</v>
      </c>
      <c r="I296">
        <f>+'Paste Here'!U296</f>
        <v>0</v>
      </c>
      <c r="J296">
        <f>+'Paste Here'!V296</f>
        <v>0</v>
      </c>
      <c r="K296">
        <f>+'Paste Here'!W296</f>
        <v>0</v>
      </c>
    </row>
    <row r="297" spans="1:11">
      <c r="A297" t="str">
        <f t="shared" si="4"/>
        <v>00</v>
      </c>
      <c r="B297">
        <f>+'Paste Here'!N297</f>
        <v>0</v>
      </c>
      <c r="C297">
        <f>+'Paste Here'!O297</f>
        <v>0</v>
      </c>
      <c r="D297">
        <f>+'Paste Here'!P297</f>
        <v>0</v>
      </c>
      <c r="E297">
        <f>+'Paste Here'!Q297</f>
        <v>0</v>
      </c>
      <c r="F297">
        <f>+'Paste Here'!R297</f>
        <v>0</v>
      </c>
      <c r="G297">
        <f>+'Paste Here'!S297</f>
        <v>0</v>
      </c>
      <c r="H297">
        <f>+'Paste Here'!T297</f>
        <v>0</v>
      </c>
      <c r="I297">
        <f>+'Paste Here'!U297</f>
        <v>0</v>
      </c>
      <c r="J297">
        <f>+'Paste Here'!V297</f>
        <v>0</v>
      </c>
      <c r="K297">
        <f>+'Paste Here'!W297</f>
        <v>0</v>
      </c>
    </row>
    <row r="298" spans="1:11">
      <c r="A298" t="str">
        <f t="shared" si="4"/>
        <v>00</v>
      </c>
      <c r="B298">
        <f>+'Paste Here'!N298</f>
        <v>0</v>
      </c>
      <c r="C298">
        <f>+'Paste Here'!O298</f>
        <v>0</v>
      </c>
      <c r="D298">
        <f>+'Paste Here'!P298</f>
        <v>0</v>
      </c>
      <c r="E298">
        <f>+'Paste Here'!Q298</f>
        <v>0</v>
      </c>
      <c r="F298">
        <f>+'Paste Here'!R298</f>
        <v>0</v>
      </c>
      <c r="G298">
        <f>+'Paste Here'!S298</f>
        <v>0</v>
      </c>
      <c r="H298">
        <f>+'Paste Here'!T298</f>
        <v>0</v>
      </c>
      <c r="I298">
        <f>+'Paste Here'!U298</f>
        <v>0</v>
      </c>
      <c r="J298">
        <f>+'Paste Here'!V298</f>
        <v>0</v>
      </c>
      <c r="K298">
        <f>+'Paste Here'!W298</f>
        <v>0</v>
      </c>
    </row>
    <row r="299" spans="1:11">
      <c r="A299" t="str">
        <f t="shared" si="4"/>
        <v>00</v>
      </c>
      <c r="B299">
        <f>+'Paste Here'!N299</f>
        <v>0</v>
      </c>
      <c r="C299">
        <f>+'Paste Here'!O299</f>
        <v>0</v>
      </c>
      <c r="D299">
        <f>+'Paste Here'!P299</f>
        <v>0</v>
      </c>
      <c r="E299">
        <f>+'Paste Here'!Q299</f>
        <v>0</v>
      </c>
      <c r="F299">
        <f>+'Paste Here'!R299</f>
        <v>0</v>
      </c>
      <c r="G299">
        <f>+'Paste Here'!S299</f>
        <v>0</v>
      </c>
      <c r="H299">
        <f>+'Paste Here'!T299</f>
        <v>0</v>
      </c>
      <c r="I299">
        <f>+'Paste Here'!U299</f>
        <v>0</v>
      </c>
      <c r="J299">
        <f>+'Paste Here'!V299</f>
        <v>0</v>
      </c>
      <c r="K299">
        <f>+'Paste Here'!W299</f>
        <v>0</v>
      </c>
    </row>
    <row r="300" spans="1:11">
      <c r="A300" t="str">
        <f t="shared" si="4"/>
        <v>00</v>
      </c>
      <c r="B300">
        <f>+'Paste Here'!N300</f>
        <v>0</v>
      </c>
      <c r="C300">
        <f>+'Paste Here'!O300</f>
        <v>0</v>
      </c>
      <c r="D300">
        <f>+'Paste Here'!P300</f>
        <v>0</v>
      </c>
      <c r="E300">
        <f>+'Paste Here'!Q300</f>
        <v>0</v>
      </c>
      <c r="F300">
        <f>+'Paste Here'!R300</f>
        <v>0</v>
      </c>
      <c r="G300">
        <f>+'Paste Here'!S300</f>
        <v>0</v>
      </c>
      <c r="H300">
        <f>+'Paste Here'!T300</f>
        <v>0</v>
      </c>
      <c r="I300">
        <f>+'Paste Here'!U300</f>
        <v>0</v>
      </c>
      <c r="J300">
        <f>+'Paste Here'!V300</f>
        <v>0</v>
      </c>
      <c r="K300">
        <f>+'Paste Here'!W300</f>
        <v>0</v>
      </c>
    </row>
    <row r="301" spans="1:11">
      <c r="A301" t="str">
        <f t="shared" si="4"/>
        <v>00</v>
      </c>
      <c r="B301">
        <f>+'Paste Here'!N301</f>
        <v>0</v>
      </c>
      <c r="C301">
        <f>+'Paste Here'!O301</f>
        <v>0</v>
      </c>
      <c r="D301">
        <f>+'Paste Here'!P301</f>
        <v>0</v>
      </c>
      <c r="E301">
        <f>+'Paste Here'!Q301</f>
        <v>0</v>
      </c>
      <c r="F301">
        <f>+'Paste Here'!R301</f>
        <v>0</v>
      </c>
      <c r="G301">
        <f>+'Paste Here'!S301</f>
        <v>0</v>
      </c>
      <c r="H301">
        <f>+'Paste Here'!T301</f>
        <v>0</v>
      </c>
      <c r="I301">
        <f>+'Paste Here'!U301</f>
        <v>0</v>
      </c>
      <c r="J301">
        <f>+'Paste Here'!V301</f>
        <v>0</v>
      </c>
      <c r="K301">
        <f>+'Paste Here'!W301</f>
        <v>0</v>
      </c>
    </row>
    <row r="302" spans="1:11">
      <c r="A302" t="str">
        <f t="shared" si="4"/>
        <v>00</v>
      </c>
      <c r="B302">
        <f>+'Paste Here'!N302</f>
        <v>0</v>
      </c>
      <c r="C302">
        <f>+'Paste Here'!O302</f>
        <v>0</v>
      </c>
      <c r="D302">
        <f>+'Paste Here'!P302</f>
        <v>0</v>
      </c>
      <c r="E302">
        <f>+'Paste Here'!Q302</f>
        <v>0</v>
      </c>
      <c r="F302">
        <f>+'Paste Here'!R302</f>
        <v>0</v>
      </c>
      <c r="G302">
        <f>+'Paste Here'!S302</f>
        <v>0</v>
      </c>
      <c r="H302">
        <f>+'Paste Here'!T302</f>
        <v>0</v>
      </c>
      <c r="I302">
        <f>+'Paste Here'!U302</f>
        <v>0</v>
      </c>
      <c r="J302">
        <f>+'Paste Here'!V302</f>
        <v>0</v>
      </c>
      <c r="K302">
        <f>+'Paste Here'!W302</f>
        <v>0</v>
      </c>
    </row>
    <row r="303" spans="1:11">
      <c r="A303" t="str">
        <f t="shared" si="4"/>
        <v>00</v>
      </c>
      <c r="B303">
        <f>+'Paste Here'!N303</f>
        <v>0</v>
      </c>
      <c r="C303">
        <f>+'Paste Here'!O303</f>
        <v>0</v>
      </c>
      <c r="D303">
        <f>+'Paste Here'!P303</f>
        <v>0</v>
      </c>
      <c r="E303">
        <f>+'Paste Here'!Q303</f>
        <v>0</v>
      </c>
      <c r="F303">
        <f>+'Paste Here'!R303</f>
        <v>0</v>
      </c>
      <c r="G303">
        <f>+'Paste Here'!S303</f>
        <v>0</v>
      </c>
      <c r="H303">
        <f>+'Paste Here'!T303</f>
        <v>0</v>
      </c>
      <c r="I303">
        <f>+'Paste Here'!U303</f>
        <v>0</v>
      </c>
      <c r="J303">
        <f>+'Paste Here'!V303</f>
        <v>0</v>
      </c>
      <c r="K303">
        <f>+'Paste Here'!W303</f>
        <v>0</v>
      </c>
    </row>
    <row r="304" spans="1:11">
      <c r="A304" t="str">
        <f t="shared" si="4"/>
        <v>00</v>
      </c>
      <c r="B304">
        <f>+'Paste Here'!N304</f>
        <v>0</v>
      </c>
      <c r="C304">
        <f>+'Paste Here'!O304</f>
        <v>0</v>
      </c>
      <c r="D304">
        <f>+'Paste Here'!P304</f>
        <v>0</v>
      </c>
      <c r="E304">
        <f>+'Paste Here'!Q304</f>
        <v>0</v>
      </c>
      <c r="F304">
        <f>+'Paste Here'!R304</f>
        <v>0</v>
      </c>
      <c r="G304">
        <f>+'Paste Here'!S304</f>
        <v>0</v>
      </c>
      <c r="H304">
        <f>+'Paste Here'!T304</f>
        <v>0</v>
      </c>
      <c r="I304">
        <f>+'Paste Here'!U304</f>
        <v>0</v>
      </c>
      <c r="J304">
        <f>+'Paste Here'!V304</f>
        <v>0</v>
      </c>
      <c r="K304">
        <f>+'Paste Here'!W304</f>
        <v>0</v>
      </c>
    </row>
    <row r="305" spans="1:11">
      <c r="A305" t="str">
        <f t="shared" si="4"/>
        <v>00</v>
      </c>
      <c r="B305">
        <f>+'Paste Here'!N305</f>
        <v>0</v>
      </c>
      <c r="C305">
        <f>+'Paste Here'!O305</f>
        <v>0</v>
      </c>
      <c r="D305">
        <f>+'Paste Here'!P305</f>
        <v>0</v>
      </c>
      <c r="E305">
        <f>+'Paste Here'!Q305</f>
        <v>0</v>
      </c>
      <c r="F305">
        <f>+'Paste Here'!R305</f>
        <v>0</v>
      </c>
      <c r="G305">
        <f>+'Paste Here'!S305</f>
        <v>0</v>
      </c>
      <c r="H305">
        <f>+'Paste Here'!T305</f>
        <v>0</v>
      </c>
      <c r="I305">
        <f>+'Paste Here'!U305</f>
        <v>0</v>
      </c>
      <c r="J305">
        <f>+'Paste Here'!V305</f>
        <v>0</v>
      </c>
      <c r="K305">
        <f>+'Paste Here'!W305</f>
        <v>0</v>
      </c>
    </row>
    <row r="306" spans="1:11">
      <c r="A306" t="str">
        <f t="shared" si="4"/>
        <v>00</v>
      </c>
      <c r="B306">
        <f>+'Paste Here'!N306</f>
        <v>0</v>
      </c>
      <c r="C306">
        <f>+'Paste Here'!O306</f>
        <v>0</v>
      </c>
      <c r="D306">
        <f>+'Paste Here'!P306</f>
        <v>0</v>
      </c>
      <c r="E306">
        <f>+'Paste Here'!Q306</f>
        <v>0</v>
      </c>
      <c r="F306">
        <f>+'Paste Here'!R306</f>
        <v>0</v>
      </c>
      <c r="G306">
        <f>+'Paste Here'!S306</f>
        <v>0</v>
      </c>
      <c r="H306">
        <f>+'Paste Here'!T306</f>
        <v>0</v>
      </c>
      <c r="I306">
        <f>+'Paste Here'!U306</f>
        <v>0</v>
      </c>
      <c r="J306">
        <f>+'Paste Here'!V306</f>
        <v>0</v>
      </c>
      <c r="K306">
        <f>+'Paste Here'!W306</f>
        <v>0</v>
      </c>
    </row>
    <row r="307" spans="1:11">
      <c r="A307" t="str">
        <f t="shared" si="4"/>
        <v>00</v>
      </c>
      <c r="B307">
        <f>+'Paste Here'!N307</f>
        <v>0</v>
      </c>
      <c r="C307">
        <f>+'Paste Here'!O307</f>
        <v>0</v>
      </c>
      <c r="D307">
        <f>+'Paste Here'!P307</f>
        <v>0</v>
      </c>
      <c r="E307">
        <f>+'Paste Here'!Q307</f>
        <v>0</v>
      </c>
      <c r="F307">
        <f>+'Paste Here'!R307</f>
        <v>0</v>
      </c>
      <c r="G307">
        <f>+'Paste Here'!S307</f>
        <v>0</v>
      </c>
      <c r="H307">
        <f>+'Paste Here'!T307</f>
        <v>0</v>
      </c>
      <c r="I307">
        <f>+'Paste Here'!U307</f>
        <v>0</v>
      </c>
      <c r="J307">
        <f>+'Paste Here'!V307</f>
        <v>0</v>
      </c>
      <c r="K307">
        <f>+'Paste Here'!W307</f>
        <v>0</v>
      </c>
    </row>
    <row r="308" spans="1:11">
      <c r="A308" t="str">
        <f t="shared" si="4"/>
        <v>00</v>
      </c>
      <c r="B308">
        <f>+'Paste Here'!N308</f>
        <v>0</v>
      </c>
      <c r="C308">
        <f>+'Paste Here'!O308</f>
        <v>0</v>
      </c>
      <c r="D308">
        <f>+'Paste Here'!P308</f>
        <v>0</v>
      </c>
      <c r="E308">
        <f>+'Paste Here'!Q308</f>
        <v>0</v>
      </c>
      <c r="F308">
        <f>+'Paste Here'!R308</f>
        <v>0</v>
      </c>
      <c r="G308">
        <f>+'Paste Here'!S308</f>
        <v>0</v>
      </c>
      <c r="H308">
        <f>+'Paste Here'!T308</f>
        <v>0</v>
      </c>
      <c r="I308">
        <f>+'Paste Here'!U308</f>
        <v>0</v>
      </c>
      <c r="J308">
        <f>+'Paste Here'!V308</f>
        <v>0</v>
      </c>
      <c r="K308">
        <f>+'Paste Here'!W308</f>
        <v>0</v>
      </c>
    </row>
    <row r="309" spans="1:11">
      <c r="A309" t="str">
        <f t="shared" si="4"/>
        <v>00</v>
      </c>
      <c r="B309">
        <f>+'Paste Here'!N309</f>
        <v>0</v>
      </c>
      <c r="C309">
        <f>+'Paste Here'!O309</f>
        <v>0</v>
      </c>
      <c r="D309">
        <f>+'Paste Here'!P309</f>
        <v>0</v>
      </c>
      <c r="E309">
        <f>+'Paste Here'!Q309</f>
        <v>0</v>
      </c>
      <c r="F309">
        <f>+'Paste Here'!R309</f>
        <v>0</v>
      </c>
      <c r="G309">
        <f>+'Paste Here'!S309</f>
        <v>0</v>
      </c>
      <c r="H309">
        <f>+'Paste Here'!T309</f>
        <v>0</v>
      </c>
      <c r="I309">
        <f>+'Paste Here'!U309</f>
        <v>0</v>
      </c>
      <c r="J309">
        <f>+'Paste Here'!V309</f>
        <v>0</v>
      </c>
      <c r="K309">
        <f>+'Paste Here'!W309</f>
        <v>0</v>
      </c>
    </row>
    <row r="310" spans="1:11">
      <c r="A310" t="str">
        <f t="shared" si="4"/>
        <v>00</v>
      </c>
      <c r="B310">
        <f>+'Paste Here'!N310</f>
        <v>0</v>
      </c>
      <c r="C310">
        <f>+'Paste Here'!O310</f>
        <v>0</v>
      </c>
      <c r="D310">
        <f>+'Paste Here'!P310</f>
        <v>0</v>
      </c>
      <c r="E310">
        <f>+'Paste Here'!Q310</f>
        <v>0</v>
      </c>
      <c r="F310">
        <f>+'Paste Here'!R310</f>
        <v>0</v>
      </c>
      <c r="G310">
        <f>+'Paste Here'!S310</f>
        <v>0</v>
      </c>
      <c r="H310">
        <f>+'Paste Here'!T310</f>
        <v>0</v>
      </c>
      <c r="I310">
        <f>+'Paste Here'!U310</f>
        <v>0</v>
      </c>
      <c r="J310">
        <f>+'Paste Here'!V310</f>
        <v>0</v>
      </c>
      <c r="K310">
        <f>+'Paste Here'!W310</f>
        <v>0</v>
      </c>
    </row>
    <row r="311" spans="1:11">
      <c r="A311" t="str">
        <f t="shared" si="4"/>
        <v>00</v>
      </c>
      <c r="B311">
        <f>+'Paste Here'!N311</f>
        <v>0</v>
      </c>
      <c r="C311">
        <f>+'Paste Here'!O311</f>
        <v>0</v>
      </c>
      <c r="D311">
        <f>+'Paste Here'!P311</f>
        <v>0</v>
      </c>
      <c r="E311">
        <f>+'Paste Here'!Q311</f>
        <v>0</v>
      </c>
      <c r="F311">
        <f>+'Paste Here'!R311</f>
        <v>0</v>
      </c>
      <c r="G311">
        <f>+'Paste Here'!S311</f>
        <v>0</v>
      </c>
      <c r="H311">
        <f>+'Paste Here'!T311</f>
        <v>0</v>
      </c>
      <c r="I311">
        <f>+'Paste Here'!U311</f>
        <v>0</v>
      </c>
      <c r="J311">
        <f>+'Paste Here'!V311</f>
        <v>0</v>
      </c>
      <c r="K311">
        <f>+'Paste Here'!W311</f>
        <v>0</v>
      </c>
    </row>
    <row r="312" spans="1:11">
      <c r="A312" t="str">
        <f t="shared" si="4"/>
        <v>00</v>
      </c>
      <c r="B312">
        <f>+'Paste Here'!N312</f>
        <v>0</v>
      </c>
      <c r="C312">
        <f>+'Paste Here'!O312</f>
        <v>0</v>
      </c>
      <c r="D312">
        <f>+'Paste Here'!P312</f>
        <v>0</v>
      </c>
      <c r="E312">
        <f>+'Paste Here'!Q312</f>
        <v>0</v>
      </c>
      <c r="F312">
        <f>+'Paste Here'!R312</f>
        <v>0</v>
      </c>
      <c r="G312">
        <f>+'Paste Here'!S312</f>
        <v>0</v>
      </c>
      <c r="H312">
        <f>+'Paste Here'!T312</f>
        <v>0</v>
      </c>
      <c r="I312">
        <f>+'Paste Here'!U312</f>
        <v>0</v>
      </c>
      <c r="J312">
        <f>+'Paste Here'!V312</f>
        <v>0</v>
      </c>
      <c r="K312">
        <f>+'Paste Here'!W312</f>
        <v>0</v>
      </c>
    </row>
    <row r="313" spans="1:11">
      <c r="A313" t="str">
        <f t="shared" si="4"/>
        <v>00</v>
      </c>
      <c r="B313">
        <f>+'Paste Here'!N313</f>
        <v>0</v>
      </c>
      <c r="C313">
        <f>+'Paste Here'!O313</f>
        <v>0</v>
      </c>
      <c r="D313">
        <f>+'Paste Here'!P313</f>
        <v>0</v>
      </c>
      <c r="E313">
        <f>+'Paste Here'!Q313</f>
        <v>0</v>
      </c>
      <c r="F313">
        <f>+'Paste Here'!R313</f>
        <v>0</v>
      </c>
      <c r="G313">
        <f>+'Paste Here'!S313</f>
        <v>0</v>
      </c>
      <c r="H313">
        <f>+'Paste Here'!T313</f>
        <v>0</v>
      </c>
      <c r="I313">
        <f>+'Paste Here'!U313</f>
        <v>0</v>
      </c>
      <c r="J313">
        <f>+'Paste Here'!V313</f>
        <v>0</v>
      </c>
      <c r="K313">
        <f>+'Paste Here'!W313</f>
        <v>0</v>
      </c>
    </row>
    <row r="314" spans="1:11">
      <c r="A314" t="str">
        <f t="shared" si="4"/>
        <v>00</v>
      </c>
      <c r="B314">
        <f>+'Paste Here'!N314</f>
        <v>0</v>
      </c>
      <c r="C314">
        <f>+'Paste Here'!O314</f>
        <v>0</v>
      </c>
      <c r="D314">
        <f>+'Paste Here'!P314</f>
        <v>0</v>
      </c>
      <c r="E314">
        <f>+'Paste Here'!Q314</f>
        <v>0</v>
      </c>
      <c r="F314">
        <f>+'Paste Here'!R314</f>
        <v>0</v>
      </c>
      <c r="G314">
        <f>+'Paste Here'!S314</f>
        <v>0</v>
      </c>
      <c r="H314">
        <f>+'Paste Here'!T314</f>
        <v>0</v>
      </c>
      <c r="I314">
        <f>+'Paste Here'!U314</f>
        <v>0</v>
      </c>
      <c r="J314">
        <f>+'Paste Here'!V314</f>
        <v>0</v>
      </c>
      <c r="K314">
        <f>+'Paste Here'!W314</f>
        <v>0</v>
      </c>
    </row>
    <row r="315" spans="1:11">
      <c r="A315" t="str">
        <f t="shared" si="4"/>
        <v>00</v>
      </c>
      <c r="B315">
        <f>+'Paste Here'!N315</f>
        <v>0</v>
      </c>
      <c r="C315">
        <f>+'Paste Here'!O315</f>
        <v>0</v>
      </c>
      <c r="D315">
        <f>+'Paste Here'!P315</f>
        <v>0</v>
      </c>
      <c r="E315">
        <f>+'Paste Here'!Q315</f>
        <v>0</v>
      </c>
      <c r="F315">
        <f>+'Paste Here'!R315</f>
        <v>0</v>
      </c>
      <c r="G315">
        <f>+'Paste Here'!S315</f>
        <v>0</v>
      </c>
      <c r="H315">
        <f>+'Paste Here'!T315</f>
        <v>0</v>
      </c>
      <c r="I315">
        <f>+'Paste Here'!U315</f>
        <v>0</v>
      </c>
      <c r="J315">
        <f>+'Paste Here'!V315</f>
        <v>0</v>
      </c>
      <c r="K315">
        <f>+'Paste Here'!W315</f>
        <v>0</v>
      </c>
    </row>
    <row r="316" spans="1:11">
      <c r="A316" t="str">
        <f t="shared" si="4"/>
        <v>00</v>
      </c>
      <c r="B316">
        <f>+'Paste Here'!N316</f>
        <v>0</v>
      </c>
      <c r="C316">
        <f>+'Paste Here'!O316</f>
        <v>0</v>
      </c>
      <c r="D316">
        <f>+'Paste Here'!P316</f>
        <v>0</v>
      </c>
      <c r="E316">
        <f>+'Paste Here'!Q316</f>
        <v>0</v>
      </c>
      <c r="F316">
        <f>+'Paste Here'!R316</f>
        <v>0</v>
      </c>
      <c r="G316">
        <f>+'Paste Here'!S316</f>
        <v>0</v>
      </c>
      <c r="H316">
        <f>+'Paste Here'!T316</f>
        <v>0</v>
      </c>
      <c r="I316">
        <f>+'Paste Here'!U316</f>
        <v>0</v>
      </c>
      <c r="J316">
        <f>+'Paste Here'!V316</f>
        <v>0</v>
      </c>
      <c r="K316">
        <f>+'Paste Here'!W316</f>
        <v>0</v>
      </c>
    </row>
    <row r="317" spans="1:11">
      <c r="A317" t="str">
        <f t="shared" si="4"/>
        <v>00</v>
      </c>
      <c r="B317">
        <f>+'Paste Here'!N317</f>
        <v>0</v>
      </c>
      <c r="C317">
        <f>+'Paste Here'!O317</f>
        <v>0</v>
      </c>
      <c r="D317">
        <f>+'Paste Here'!P317</f>
        <v>0</v>
      </c>
      <c r="E317">
        <f>+'Paste Here'!Q317</f>
        <v>0</v>
      </c>
      <c r="F317">
        <f>+'Paste Here'!R317</f>
        <v>0</v>
      </c>
      <c r="G317">
        <f>+'Paste Here'!S317</f>
        <v>0</v>
      </c>
      <c r="H317">
        <f>+'Paste Here'!T317</f>
        <v>0</v>
      </c>
      <c r="I317">
        <f>+'Paste Here'!U317</f>
        <v>0</v>
      </c>
      <c r="J317">
        <f>+'Paste Here'!V317</f>
        <v>0</v>
      </c>
      <c r="K317">
        <f>+'Paste Here'!W317</f>
        <v>0</v>
      </c>
    </row>
    <row r="318" spans="1:11">
      <c r="A318" t="str">
        <f t="shared" si="4"/>
        <v>00</v>
      </c>
      <c r="B318">
        <f>+'Paste Here'!N318</f>
        <v>0</v>
      </c>
      <c r="C318">
        <f>+'Paste Here'!O318</f>
        <v>0</v>
      </c>
      <c r="D318">
        <f>+'Paste Here'!P318</f>
        <v>0</v>
      </c>
      <c r="E318">
        <f>+'Paste Here'!Q318</f>
        <v>0</v>
      </c>
      <c r="F318">
        <f>+'Paste Here'!R318</f>
        <v>0</v>
      </c>
      <c r="G318">
        <f>+'Paste Here'!S318</f>
        <v>0</v>
      </c>
      <c r="H318">
        <f>+'Paste Here'!T318</f>
        <v>0</v>
      </c>
      <c r="I318">
        <f>+'Paste Here'!U318</f>
        <v>0</v>
      </c>
      <c r="J318">
        <f>+'Paste Here'!V318</f>
        <v>0</v>
      </c>
      <c r="K318">
        <f>+'Paste Here'!W318</f>
        <v>0</v>
      </c>
    </row>
    <row r="319" spans="1:11">
      <c r="A319" t="str">
        <f t="shared" si="4"/>
        <v>00</v>
      </c>
      <c r="B319">
        <f>+'Paste Here'!N319</f>
        <v>0</v>
      </c>
      <c r="C319">
        <f>+'Paste Here'!O319</f>
        <v>0</v>
      </c>
      <c r="D319">
        <f>+'Paste Here'!P319</f>
        <v>0</v>
      </c>
      <c r="E319">
        <f>+'Paste Here'!Q319</f>
        <v>0</v>
      </c>
      <c r="F319">
        <f>+'Paste Here'!R319</f>
        <v>0</v>
      </c>
      <c r="G319">
        <f>+'Paste Here'!S319</f>
        <v>0</v>
      </c>
      <c r="H319">
        <f>+'Paste Here'!T319</f>
        <v>0</v>
      </c>
      <c r="I319">
        <f>+'Paste Here'!U319</f>
        <v>0</v>
      </c>
      <c r="J319">
        <f>+'Paste Here'!V319</f>
        <v>0</v>
      </c>
      <c r="K319">
        <f>+'Paste Here'!W319</f>
        <v>0</v>
      </c>
    </row>
    <row r="320" spans="1:11">
      <c r="A320" t="str">
        <f t="shared" si="4"/>
        <v>00</v>
      </c>
      <c r="B320">
        <f>+'Paste Here'!N320</f>
        <v>0</v>
      </c>
      <c r="C320">
        <f>+'Paste Here'!O320</f>
        <v>0</v>
      </c>
      <c r="D320">
        <f>+'Paste Here'!P320</f>
        <v>0</v>
      </c>
      <c r="E320">
        <f>+'Paste Here'!Q320</f>
        <v>0</v>
      </c>
      <c r="F320">
        <f>+'Paste Here'!R320</f>
        <v>0</v>
      </c>
      <c r="G320">
        <f>+'Paste Here'!S320</f>
        <v>0</v>
      </c>
      <c r="H320">
        <f>+'Paste Here'!T320</f>
        <v>0</v>
      </c>
      <c r="I320">
        <f>+'Paste Here'!U320</f>
        <v>0</v>
      </c>
      <c r="J320">
        <f>+'Paste Here'!V320</f>
        <v>0</v>
      </c>
      <c r="K320">
        <f>+'Paste Here'!W320</f>
        <v>0</v>
      </c>
    </row>
    <row r="321" spans="1:11">
      <c r="A321" t="str">
        <f t="shared" si="4"/>
        <v>00</v>
      </c>
      <c r="B321">
        <f>+'Paste Here'!N321</f>
        <v>0</v>
      </c>
      <c r="C321">
        <f>+'Paste Here'!O321</f>
        <v>0</v>
      </c>
      <c r="D321">
        <f>+'Paste Here'!P321</f>
        <v>0</v>
      </c>
      <c r="E321">
        <f>+'Paste Here'!Q321</f>
        <v>0</v>
      </c>
      <c r="F321">
        <f>+'Paste Here'!R321</f>
        <v>0</v>
      </c>
      <c r="G321">
        <f>+'Paste Here'!S321</f>
        <v>0</v>
      </c>
      <c r="H321">
        <f>+'Paste Here'!T321</f>
        <v>0</v>
      </c>
      <c r="I321">
        <f>+'Paste Here'!U321</f>
        <v>0</v>
      </c>
      <c r="J321">
        <f>+'Paste Here'!V321</f>
        <v>0</v>
      </c>
      <c r="K321">
        <f>+'Paste Here'!W321</f>
        <v>0</v>
      </c>
    </row>
    <row r="322" spans="1:11">
      <c r="A322" t="str">
        <f t="shared" si="4"/>
        <v>00</v>
      </c>
      <c r="B322">
        <f>+'Paste Here'!N322</f>
        <v>0</v>
      </c>
      <c r="C322">
        <f>+'Paste Here'!O322</f>
        <v>0</v>
      </c>
      <c r="D322">
        <f>+'Paste Here'!P322</f>
        <v>0</v>
      </c>
      <c r="E322">
        <f>+'Paste Here'!Q322</f>
        <v>0</v>
      </c>
      <c r="F322">
        <f>+'Paste Here'!R322</f>
        <v>0</v>
      </c>
      <c r="G322">
        <f>+'Paste Here'!S322</f>
        <v>0</v>
      </c>
      <c r="H322">
        <f>+'Paste Here'!T322</f>
        <v>0</v>
      </c>
      <c r="I322">
        <f>+'Paste Here'!U322</f>
        <v>0</v>
      </c>
      <c r="J322">
        <f>+'Paste Here'!V322</f>
        <v>0</v>
      </c>
      <c r="K322">
        <f>+'Paste Here'!W322</f>
        <v>0</v>
      </c>
    </row>
    <row r="323" spans="1:11">
      <c r="A323" t="str">
        <f t="shared" ref="A323:A386" si="5">+CONCATENATE(C323,D323)</f>
        <v>00</v>
      </c>
      <c r="B323">
        <f>+'Paste Here'!N323</f>
        <v>0</v>
      </c>
      <c r="C323">
        <f>+'Paste Here'!O323</f>
        <v>0</v>
      </c>
      <c r="D323">
        <f>+'Paste Here'!P323</f>
        <v>0</v>
      </c>
      <c r="E323">
        <f>+'Paste Here'!Q323</f>
        <v>0</v>
      </c>
      <c r="F323">
        <f>+'Paste Here'!R323</f>
        <v>0</v>
      </c>
      <c r="G323">
        <f>+'Paste Here'!S323</f>
        <v>0</v>
      </c>
      <c r="H323">
        <f>+'Paste Here'!T323</f>
        <v>0</v>
      </c>
      <c r="I323">
        <f>+'Paste Here'!U323</f>
        <v>0</v>
      </c>
      <c r="J323">
        <f>+'Paste Here'!V323</f>
        <v>0</v>
      </c>
      <c r="K323">
        <f>+'Paste Here'!W323</f>
        <v>0</v>
      </c>
    </row>
    <row r="324" spans="1:11">
      <c r="A324" t="str">
        <f t="shared" si="5"/>
        <v>00</v>
      </c>
      <c r="B324">
        <f>+'Paste Here'!N324</f>
        <v>0</v>
      </c>
      <c r="C324">
        <f>+'Paste Here'!O324</f>
        <v>0</v>
      </c>
      <c r="D324">
        <f>+'Paste Here'!P324</f>
        <v>0</v>
      </c>
      <c r="E324">
        <f>+'Paste Here'!Q324</f>
        <v>0</v>
      </c>
      <c r="F324">
        <f>+'Paste Here'!R324</f>
        <v>0</v>
      </c>
      <c r="G324">
        <f>+'Paste Here'!S324</f>
        <v>0</v>
      </c>
      <c r="H324">
        <f>+'Paste Here'!T324</f>
        <v>0</v>
      </c>
      <c r="I324">
        <f>+'Paste Here'!U324</f>
        <v>0</v>
      </c>
      <c r="J324">
        <f>+'Paste Here'!V324</f>
        <v>0</v>
      </c>
      <c r="K324">
        <f>+'Paste Here'!W324</f>
        <v>0</v>
      </c>
    </row>
    <row r="325" spans="1:11">
      <c r="A325" t="str">
        <f t="shared" si="5"/>
        <v>00</v>
      </c>
      <c r="B325">
        <f>+'Paste Here'!N325</f>
        <v>0</v>
      </c>
      <c r="C325">
        <f>+'Paste Here'!O325</f>
        <v>0</v>
      </c>
      <c r="D325">
        <f>+'Paste Here'!P325</f>
        <v>0</v>
      </c>
      <c r="E325">
        <f>+'Paste Here'!Q325</f>
        <v>0</v>
      </c>
      <c r="F325">
        <f>+'Paste Here'!R325</f>
        <v>0</v>
      </c>
      <c r="G325">
        <f>+'Paste Here'!S325</f>
        <v>0</v>
      </c>
      <c r="H325">
        <f>+'Paste Here'!T325</f>
        <v>0</v>
      </c>
      <c r="I325">
        <f>+'Paste Here'!U325</f>
        <v>0</v>
      </c>
      <c r="J325">
        <f>+'Paste Here'!V325</f>
        <v>0</v>
      </c>
      <c r="K325">
        <f>+'Paste Here'!W325</f>
        <v>0</v>
      </c>
    </row>
    <row r="326" spans="1:11">
      <c r="A326" t="str">
        <f t="shared" si="5"/>
        <v>00</v>
      </c>
      <c r="B326">
        <f>+'Paste Here'!N326</f>
        <v>0</v>
      </c>
      <c r="C326">
        <f>+'Paste Here'!O326</f>
        <v>0</v>
      </c>
      <c r="D326">
        <f>+'Paste Here'!P326</f>
        <v>0</v>
      </c>
      <c r="E326">
        <f>+'Paste Here'!Q326</f>
        <v>0</v>
      </c>
      <c r="F326">
        <f>+'Paste Here'!R326</f>
        <v>0</v>
      </c>
      <c r="G326">
        <f>+'Paste Here'!S326</f>
        <v>0</v>
      </c>
      <c r="H326">
        <f>+'Paste Here'!T326</f>
        <v>0</v>
      </c>
      <c r="I326">
        <f>+'Paste Here'!U326</f>
        <v>0</v>
      </c>
      <c r="J326">
        <f>+'Paste Here'!V326</f>
        <v>0</v>
      </c>
      <c r="K326">
        <f>+'Paste Here'!W326</f>
        <v>0</v>
      </c>
    </row>
    <row r="327" spans="1:11">
      <c r="A327" t="str">
        <f t="shared" si="5"/>
        <v>00</v>
      </c>
      <c r="B327">
        <f>+'Paste Here'!N327</f>
        <v>0</v>
      </c>
      <c r="C327">
        <f>+'Paste Here'!O327</f>
        <v>0</v>
      </c>
      <c r="D327">
        <f>+'Paste Here'!P327</f>
        <v>0</v>
      </c>
      <c r="E327">
        <f>+'Paste Here'!Q327</f>
        <v>0</v>
      </c>
      <c r="F327">
        <f>+'Paste Here'!R327</f>
        <v>0</v>
      </c>
      <c r="G327">
        <f>+'Paste Here'!S327</f>
        <v>0</v>
      </c>
      <c r="H327">
        <f>+'Paste Here'!T327</f>
        <v>0</v>
      </c>
      <c r="I327">
        <f>+'Paste Here'!U327</f>
        <v>0</v>
      </c>
      <c r="J327">
        <f>+'Paste Here'!V327</f>
        <v>0</v>
      </c>
      <c r="K327">
        <f>+'Paste Here'!W327</f>
        <v>0</v>
      </c>
    </row>
    <row r="328" spans="1:11">
      <c r="A328" t="str">
        <f t="shared" si="5"/>
        <v>00</v>
      </c>
      <c r="B328">
        <f>+'Paste Here'!N328</f>
        <v>0</v>
      </c>
      <c r="C328">
        <f>+'Paste Here'!O328</f>
        <v>0</v>
      </c>
      <c r="D328">
        <f>+'Paste Here'!P328</f>
        <v>0</v>
      </c>
      <c r="E328">
        <f>+'Paste Here'!Q328</f>
        <v>0</v>
      </c>
      <c r="F328">
        <f>+'Paste Here'!R328</f>
        <v>0</v>
      </c>
      <c r="G328">
        <f>+'Paste Here'!S328</f>
        <v>0</v>
      </c>
      <c r="H328">
        <f>+'Paste Here'!T328</f>
        <v>0</v>
      </c>
      <c r="I328">
        <f>+'Paste Here'!U328</f>
        <v>0</v>
      </c>
      <c r="J328">
        <f>+'Paste Here'!V328</f>
        <v>0</v>
      </c>
      <c r="K328">
        <f>+'Paste Here'!W328</f>
        <v>0</v>
      </c>
    </row>
    <row r="329" spans="1:11">
      <c r="A329" t="str">
        <f t="shared" si="5"/>
        <v>00</v>
      </c>
      <c r="B329">
        <f>+'Paste Here'!N329</f>
        <v>0</v>
      </c>
      <c r="C329">
        <f>+'Paste Here'!O329</f>
        <v>0</v>
      </c>
      <c r="D329">
        <f>+'Paste Here'!P329</f>
        <v>0</v>
      </c>
      <c r="E329">
        <f>+'Paste Here'!Q329</f>
        <v>0</v>
      </c>
      <c r="F329">
        <f>+'Paste Here'!R329</f>
        <v>0</v>
      </c>
      <c r="G329">
        <f>+'Paste Here'!S329</f>
        <v>0</v>
      </c>
      <c r="H329">
        <f>+'Paste Here'!T329</f>
        <v>0</v>
      </c>
      <c r="I329">
        <f>+'Paste Here'!U329</f>
        <v>0</v>
      </c>
      <c r="J329">
        <f>+'Paste Here'!V329</f>
        <v>0</v>
      </c>
      <c r="K329">
        <f>+'Paste Here'!W329</f>
        <v>0</v>
      </c>
    </row>
    <row r="330" spans="1:11">
      <c r="A330" t="str">
        <f t="shared" si="5"/>
        <v>00</v>
      </c>
      <c r="B330">
        <f>+'Paste Here'!N330</f>
        <v>0</v>
      </c>
      <c r="C330">
        <f>+'Paste Here'!O330</f>
        <v>0</v>
      </c>
      <c r="D330">
        <f>+'Paste Here'!P330</f>
        <v>0</v>
      </c>
      <c r="E330">
        <f>+'Paste Here'!Q330</f>
        <v>0</v>
      </c>
      <c r="F330">
        <f>+'Paste Here'!R330</f>
        <v>0</v>
      </c>
      <c r="G330">
        <f>+'Paste Here'!S330</f>
        <v>0</v>
      </c>
      <c r="H330">
        <f>+'Paste Here'!T330</f>
        <v>0</v>
      </c>
      <c r="I330">
        <f>+'Paste Here'!U330</f>
        <v>0</v>
      </c>
      <c r="J330">
        <f>+'Paste Here'!V330</f>
        <v>0</v>
      </c>
      <c r="K330">
        <f>+'Paste Here'!W330</f>
        <v>0</v>
      </c>
    </row>
    <row r="331" spans="1:11">
      <c r="A331" t="str">
        <f t="shared" si="5"/>
        <v>00</v>
      </c>
      <c r="B331">
        <f>+'Paste Here'!N331</f>
        <v>0</v>
      </c>
      <c r="C331">
        <f>+'Paste Here'!O331</f>
        <v>0</v>
      </c>
      <c r="D331">
        <f>+'Paste Here'!P331</f>
        <v>0</v>
      </c>
      <c r="E331">
        <f>+'Paste Here'!Q331</f>
        <v>0</v>
      </c>
      <c r="F331">
        <f>+'Paste Here'!R331</f>
        <v>0</v>
      </c>
      <c r="G331">
        <f>+'Paste Here'!S331</f>
        <v>0</v>
      </c>
      <c r="H331">
        <f>+'Paste Here'!T331</f>
        <v>0</v>
      </c>
      <c r="I331">
        <f>+'Paste Here'!U331</f>
        <v>0</v>
      </c>
      <c r="J331">
        <f>+'Paste Here'!V331</f>
        <v>0</v>
      </c>
      <c r="K331">
        <f>+'Paste Here'!W331</f>
        <v>0</v>
      </c>
    </row>
    <row r="332" spans="1:11">
      <c r="A332" t="str">
        <f t="shared" si="5"/>
        <v>00</v>
      </c>
      <c r="B332">
        <f>+'Paste Here'!N332</f>
        <v>0</v>
      </c>
      <c r="C332">
        <f>+'Paste Here'!O332</f>
        <v>0</v>
      </c>
      <c r="D332">
        <f>+'Paste Here'!P332</f>
        <v>0</v>
      </c>
      <c r="E332">
        <f>+'Paste Here'!Q332</f>
        <v>0</v>
      </c>
      <c r="F332">
        <f>+'Paste Here'!R332</f>
        <v>0</v>
      </c>
      <c r="G332">
        <f>+'Paste Here'!S332</f>
        <v>0</v>
      </c>
      <c r="H332">
        <f>+'Paste Here'!T332</f>
        <v>0</v>
      </c>
      <c r="I332">
        <f>+'Paste Here'!U332</f>
        <v>0</v>
      </c>
      <c r="J332">
        <f>+'Paste Here'!V332</f>
        <v>0</v>
      </c>
      <c r="K332">
        <f>+'Paste Here'!W332</f>
        <v>0</v>
      </c>
    </row>
    <row r="333" spans="1:11">
      <c r="A333" t="str">
        <f t="shared" si="5"/>
        <v>00</v>
      </c>
      <c r="B333">
        <f>+'Paste Here'!N333</f>
        <v>0</v>
      </c>
      <c r="C333">
        <f>+'Paste Here'!O333</f>
        <v>0</v>
      </c>
      <c r="D333">
        <f>+'Paste Here'!P333</f>
        <v>0</v>
      </c>
      <c r="E333">
        <f>+'Paste Here'!Q333</f>
        <v>0</v>
      </c>
      <c r="F333">
        <f>+'Paste Here'!R333</f>
        <v>0</v>
      </c>
      <c r="G333">
        <f>+'Paste Here'!S333</f>
        <v>0</v>
      </c>
      <c r="H333">
        <f>+'Paste Here'!T333</f>
        <v>0</v>
      </c>
      <c r="I333">
        <f>+'Paste Here'!U333</f>
        <v>0</v>
      </c>
      <c r="J333">
        <f>+'Paste Here'!V333</f>
        <v>0</v>
      </c>
      <c r="K333">
        <f>+'Paste Here'!W333</f>
        <v>0</v>
      </c>
    </row>
    <row r="334" spans="1:11">
      <c r="A334" t="str">
        <f t="shared" si="5"/>
        <v>00</v>
      </c>
      <c r="B334">
        <f>+'Paste Here'!N334</f>
        <v>0</v>
      </c>
      <c r="C334">
        <f>+'Paste Here'!O334</f>
        <v>0</v>
      </c>
      <c r="D334">
        <f>+'Paste Here'!P334</f>
        <v>0</v>
      </c>
      <c r="E334">
        <f>+'Paste Here'!Q334</f>
        <v>0</v>
      </c>
      <c r="F334">
        <f>+'Paste Here'!R334</f>
        <v>0</v>
      </c>
      <c r="G334">
        <f>+'Paste Here'!S334</f>
        <v>0</v>
      </c>
      <c r="H334">
        <f>+'Paste Here'!T334</f>
        <v>0</v>
      </c>
      <c r="I334">
        <f>+'Paste Here'!U334</f>
        <v>0</v>
      </c>
      <c r="J334">
        <f>+'Paste Here'!V334</f>
        <v>0</v>
      </c>
      <c r="K334">
        <f>+'Paste Here'!W334</f>
        <v>0</v>
      </c>
    </row>
    <row r="335" spans="1:11">
      <c r="A335" t="str">
        <f t="shared" si="5"/>
        <v>00</v>
      </c>
      <c r="B335">
        <f>+'Paste Here'!N335</f>
        <v>0</v>
      </c>
      <c r="C335">
        <f>+'Paste Here'!O335</f>
        <v>0</v>
      </c>
      <c r="D335">
        <f>+'Paste Here'!P335</f>
        <v>0</v>
      </c>
      <c r="E335">
        <f>+'Paste Here'!Q335</f>
        <v>0</v>
      </c>
      <c r="F335">
        <f>+'Paste Here'!R335</f>
        <v>0</v>
      </c>
      <c r="G335">
        <f>+'Paste Here'!S335</f>
        <v>0</v>
      </c>
      <c r="H335">
        <f>+'Paste Here'!T335</f>
        <v>0</v>
      </c>
      <c r="I335">
        <f>+'Paste Here'!U335</f>
        <v>0</v>
      </c>
      <c r="J335">
        <f>+'Paste Here'!V335</f>
        <v>0</v>
      </c>
      <c r="K335">
        <f>+'Paste Here'!W335</f>
        <v>0</v>
      </c>
    </row>
    <row r="336" spans="1:11">
      <c r="A336" t="str">
        <f t="shared" si="5"/>
        <v>00</v>
      </c>
      <c r="B336">
        <f>+'Paste Here'!N336</f>
        <v>0</v>
      </c>
      <c r="C336">
        <f>+'Paste Here'!O336</f>
        <v>0</v>
      </c>
      <c r="D336">
        <f>+'Paste Here'!P336</f>
        <v>0</v>
      </c>
      <c r="E336">
        <f>+'Paste Here'!Q336</f>
        <v>0</v>
      </c>
      <c r="F336">
        <f>+'Paste Here'!R336</f>
        <v>0</v>
      </c>
      <c r="G336">
        <f>+'Paste Here'!S336</f>
        <v>0</v>
      </c>
      <c r="H336">
        <f>+'Paste Here'!T336</f>
        <v>0</v>
      </c>
      <c r="I336">
        <f>+'Paste Here'!U336</f>
        <v>0</v>
      </c>
      <c r="J336">
        <f>+'Paste Here'!V336</f>
        <v>0</v>
      </c>
      <c r="K336">
        <f>+'Paste Here'!W336</f>
        <v>0</v>
      </c>
    </row>
    <row r="337" spans="1:11">
      <c r="A337" t="str">
        <f t="shared" si="5"/>
        <v>00</v>
      </c>
      <c r="B337">
        <f>+'Paste Here'!N337</f>
        <v>0</v>
      </c>
      <c r="C337">
        <f>+'Paste Here'!O337</f>
        <v>0</v>
      </c>
      <c r="D337">
        <f>+'Paste Here'!P337</f>
        <v>0</v>
      </c>
      <c r="E337">
        <f>+'Paste Here'!Q337</f>
        <v>0</v>
      </c>
      <c r="F337">
        <f>+'Paste Here'!R337</f>
        <v>0</v>
      </c>
      <c r="G337">
        <f>+'Paste Here'!S337</f>
        <v>0</v>
      </c>
      <c r="H337">
        <f>+'Paste Here'!T337</f>
        <v>0</v>
      </c>
      <c r="I337">
        <f>+'Paste Here'!U337</f>
        <v>0</v>
      </c>
      <c r="J337">
        <f>+'Paste Here'!V337</f>
        <v>0</v>
      </c>
      <c r="K337">
        <f>+'Paste Here'!W337</f>
        <v>0</v>
      </c>
    </row>
    <row r="338" spans="1:11">
      <c r="A338" t="str">
        <f t="shared" si="5"/>
        <v>00</v>
      </c>
      <c r="B338">
        <f>+'Paste Here'!N338</f>
        <v>0</v>
      </c>
      <c r="C338">
        <f>+'Paste Here'!O338</f>
        <v>0</v>
      </c>
      <c r="D338">
        <f>+'Paste Here'!P338</f>
        <v>0</v>
      </c>
      <c r="E338">
        <f>+'Paste Here'!Q338</f>
        <v>0</v>
      </c>
      <c r="F338">
        <f>+'Paste Here'!R338</f>
        <v>0</v>
      </c>
      <c r="G338">
        <f>+'Paste Here'!S338</f>
        <v>0</v>
      </c>
      <c r="H338">
        <f>+'Paste Here'!T338</f>
        <v>0</v>
      </c>
      <c r="I338">
        <f>+'Paste Here'!U338</f>
        <v>0</v>
      </c>
      <c r="J338">
        <f>+'Paste Here'!V338</f>
        <v>0</v>
      </c>
      <c r="K338">
        <f>+'Paste Here'!W338</f>
        <v>0</v>
      </c>
    </row>
    <row r="339" spans="1:11">
      <c r="A339" t="str">
        <f t="shared" si="5"/>
        <v>00</v>
      </c>
      <c r="B339">
        <f>+'Paste Here'!N339</f>
        <v>0</v>
      </c>
      <c r="C339">
        <f>+'Paste Here'!O339</f>
        <v>0</v>
      </c>
      <c r="D339">
        <f>+'Paste Here'!P339</f>
        <v>0</v>
      </c>
      <c r="E339">
        <f>+'Paste Here'!Q339</f>
        <v>0</v>
      </c>
      <c r="F339">
        <f>+'Paste Here'!R339</f>
        <v>0</v>
      </c>
      <c r="G339">
        <f>+'Paste Here'!S339</f>
        <v>0</v>
      </c>
      <c r="H339">
        <f>+'Paste Here'!T339</f>
        <v>0</v>
      </c>
      <c r="I339">
        <f>+'Paste Here'!U339</f>
        <v>0</v>
      </c>
      <c r="J339">
        <f>+'Paste Here'!V339</f>
        <v>0</v>
      </c>
      <c r="K339">
        <f>+'Paste Here'!W339</f>
        <v>0</v>
      </c>
    </row>
    <row r="340" spans="1:11">
      <c r="A340" t="str">
        <f t="shared" si="5"/>
        <v>00</v>
      </c>
      <c r="B340">
        <f>+'Paste Here'!N340</f>
        <v>0</v>
      </c>
      <c r="C340">
        <f>+'Paste Here'!O340</f>
        <v>0</v>
      </c>
      <c r="D340">
        <f>+'Paste Here'!P340</f>
        <v>0</v>
      </c>
      <c r="E340">
        <f>+'Paste Here'!Q340</f>
        <v>0</v>
      </c>
      <c r="F340">
        <f>+'Paste Here'!R340</f>
        <v>0</v>
      </c>
      <c r="G340">
        <f>+'Paste Here'!S340</f>
        <v>0</v>
      </c>
      <c r="H340">
        <f>+'Paste Here'!T340</f>
        <v>0</v>
      </c>
      <c r="I340">
        <f>+'Paste Here'!U340</f>
        <v>0</v>
      </c>
      <c r="J340">
        <f>+'Paste Here'!V340</f>
        <v>0</v>
      </c>
      <c r="K340">
        <f>+'Paste Here'!W340</f>
        <v>0</v>
      </c>
    </row>
    <row r="341" spans="1:11">
      <c r="A341" t="str">
        <f t="shared" si="5"/>
        <v>00</v>
      </c>
      <c r="B341">
        <f>+'Paste Here'!N341</f>
        <v>0</v>
      </c>
      <c r="C341">
        <f>+'Paste Here'!O341</f>
        <v>0</v>
      </c>
      <c r="D341">
        <f>+'Paste Here'!P341</f>
        <v>0</v>
      </c>
      <c r="E341">
        <f>+'Paste Here'!Q341</f>
        <v>0</v>
      </c>
      <c r="F341">
        <f>+'Paste Here'!R341</f>
        <v>0</v>
      </c>
      <c r="G341">
        <f>+'Paste Here'!S341</f>
        <v>0</v>
      </c>
      <c r="H341">
        <f>+'Paste Here'!T341</f>
        <v>0</v>
      </c>
      <c r="I341">
        <f>+'Paste Here'!U341</f>
        <v>0</v>
      </c>
      <c r="J341">
        <f>+'Paste Here'!V341</f>
        <v>0</v>
      </c>
      <c r="K341">
        <f>+'Paste Here'!W341</f>
        <v>0</v>
      </c>
    </row>
    <row r="342" spans="1:11">
      <c r="A342" t="str">
        <f t="shared" si="5"/>
        <v>00</v>
      </c>
      <c r="B342">
        <f>+'Paste Here'!N342</f>
        <v>0</v>
      </c>
      <c r="C342">
        <f>+'Paste Here'!O342</f>
        <v>0</v>
      </c>
      <c r="D342">
        <f>+'Paste Here'!P342</f>
        <v>0</v>
      </c>
      <c r="E342">
        <f>+'Paste Here'!Q342</f>
        <v>0</v>
      </c>
      <c r="F342">
        <f>+'Paste Here'!R342</f>
        <v>0</v>
      </c>
      <c r="G342">
        <f>+'Paste Here'!S342</f>
        <v>0</v>
      </c>
      <c r="H342">
        <f>+'Paste Here'!T342</f>
        <v>0</v>
      </c>
      <c r="I342">
        <f>+'Paste Here'!U342</f>
        <v>0</v>
      </c>
      <c r="J342">
        <f>+'Paste Here'!V342</f>
        <v>0</v>
      </c>
      <c r="K342">
        <f>+'Paste Here'!W342</f>
        <v>0</v>
      </c>
    </row>
    <row r="343" spans="1:11">
      <c r="A343" t="str">
        <f t="shared" si="5"/>
        <v>00</v>
      </c>
      <c r="B343">
        <f>+'Paste Here'!N343</f>
        <v>0</v>
      </c>
      <c r="C343">
        <f>+'Paste Here'!O343</f>
        <v>0</v>
      </c>
      <c r="D343">
        <f>+'Paste Here'!P343</f>
        <v>0</v>
      </c>
      <c r="E343">
        <f>+'Paste Here'!Q343</f>
        <v>0</v>
      </c>
      <c r="F343">
        <f>+'Paste Here'!R343</f>
        <v>0</v>
      </c>
      <c r="G343">
        <f>+'Paste Here'!S343</f>
        <v>0</v>
      </c>
      <c r="H343">
        <f>+'Paste Here'!T343</f>
        <v>0</v>
      </c>
      <c r="I343">
        <f>+'Paste Here'!U343</f>
        <v>0</v>
      </c>
      <c r="J343">
        <f>+'Paste Here'!V343</f>
        <v>0</v>
      </c>
      <c r="K343">
        <f>+'Paste Here'!W343</f>
        <v>0</v>
      </c>
    </row>
    <row r="344" spans="1:11">
      <c r="A344" t="str">
        <f t="shared" si="5"/>
        <v>00</v>
      </c>
      <c r="B344">
        <f>+'Paste Here'!N344</f>
        <v>0</v>
      </c>
      <c r="C344">
        <f>+'Paste Here'!O344</f>
        <v>0</v>
      </c>
      <c r="D344">
        <f>+'Paste Here'!P344</f>
        <v>0</v>
      </c>
      <c r="E344">
        <f>+'Paste Here'!Q344</f>
        <v>0</v>
      </c>
      <c r="F344">
        <f>+'Paste Here'!R344</f>
        <v>0</v>
      </c>
      <c r="G344">
        <f>+'Paste Here'!S344</f>
        <v>0</v>
      </c>
      <c r="H344">
        <f>+'Paste Here'!T344</f>
        <v>0</v>
      </c>
      <c r="I344">
        <f>+'Paste Here'!U344</f>
        <v>0</v>
      </c>
      <c r="J344">
        <f>+'Paste Here'!V344</f>
        <v>0</v>
      </c>
      <c r="K344">
        <f>+'Paste Here'!W344</f>
        <v>0</v>
      </c>
    </row>
    <row r="345" spans="1:11">
      <c r="A345" t="str">
        <f t="shared" si="5"/>
        <v>00</v>
      </c>
      <c r="B345">
        <f>+'Paste Here'!N345</f>
        <v>0</v>
      </c>
      <c r="C345">
        <f>+'Paste Here'!O345</f>
        <v>0</v>
      </c>
      <c r="D345">
        <f>+'Paste Here'!P345</f>
        <v>0</v>
      </c>
      <c r="E345">
        <f>+'Paste Here'!Q345</f>
        <v>0</v>
      </c>
      <c r="F345">
        <f>+'Paste Here'!R345</f>
        <v>0</v>
      </c>
      <c r="G345">
        <f>+'Paste Here'!S345</f>
        <v>0</v>
      </c>
      <c r="H345">
        <f>+'Paste Here'!T345</f>
        <v>0</v>
      </c>
      <c r="I345">
        <f>+'Paste Here'!U345</f>
        <v>0</v>
      </c>
      <c r="J345">
        <f>+'Paste Here'!V345</f>
        <v>0</v>
      </c>
      <c r="K345">
        <f>+'Paste Here'!W345</f>
        <v>0</v>
      </c>
    </row>
    <row r="346" spans="1:11">
      <c r="A346" t="str">
        <f t="shared" si="5"/>
        <v>00</v>
      </c>
      <c r="B346">
        <f>+'Paste Here'!N346</f>
        <v>0</v>
      </c>
      <c r="C346">
        <f>+'Paste Here'!O346</f>
        <v>0</v>
      </c>
      <c r="D346">
        <f>+'Paste Here'!P346</f>
        <v>0</v>
      </c>
      <c r="E346">
        <f>+'Paste Here'!Q346</f>
        <v>0</v>
      </c>
      <c r="F346">
        <f>+'Paste Here'!R346</f>
        <v>0</v>
      </c>
      <c r="G346">
        <f>+'Paste Here'!S346</f>
        <v>0</v>
      </c>
      <c r="H346">
        <f>+'Paste Here'!T346</f>
        <v>0</v>
      </c>
      <c r="I346">
        <f>+'Paste Here'!U346</f>
        <v>0</v>
      </c>
      <c r="J346">
        <f>+'Paste Here'!V346</f>
        <v>0</v>
      </c>
      <c r="K346">
        <f>+'Paste Here'!W346</f>
        <v>0</v>
      </c>
    </row>
    <row r="347" spans="1:11">
      <c r="A347" t="str">
        <f t="shared" si="5"/>
        <v>00</v>
      </c>
      <c r="B347">
        <f>+'Paste Here'!N347</f>
        <v>0</v>
      </c>
      <c r="C347">
        <f>+'Paste Here'!O347</f>
        <v>0</v>
      </c>
      <c r="D347">
        <f>+'Paste Here'!P347</f>
        <v>0</v>
      </c>
      <c r="E347">
        <f>+'Paste Here'!Q347</f>
        <v>0</v>
      </c>
      <c r="F347">
        <f>+'Paste Here'!R347</f>
        <v>0</v>
      </c>
      <c r="G347">
        <f>+'Paste Here'!S347</f>
        <v>0</v>
      </c>
      <c r="H347">
        <f>+'Paste Here'!T347</f>
        <v>0</v>
      </c>
      <c r="I347">
        <f>+'Paste Here'!U347</f>
        <v>0</v>
      </c>
      <c r="J347">
        <f>+'Paste Here'!V347</f>
        <v>0</v>
      </c>
      <c r="K347">
        <f>+'Paste Here'!W347</f>
        <v>0</v>
      </c>
    </row>
    <row r="348" spans="1:11">
      <c r="A348" t="str">
        <f t="shared" si="5"/>
        <v>00</v>
      </c>
      <c r="B348">
        <f>+'Paste Here'!N348</f>
        <v>0</v>
      </c>
      <c r="C348">
        <f>+'Paste Here'!O348</f>
        <v>0</v>
      </c>
      <c r="D348">
        <f>+'Paste Here'!P348</f>
        <v>0</v>
      </c>
      <c r="E348">
        <f>+'Paste Here'!Q348</f>
        <v>0</v>
      </c>
      <c r="F348">
        <f>+'Paste Here'!R348</f>
        <v>0</v>
      </c>
      <c r="G348">
        <f>+'Paste Here'!S348</f>
        <v>0</v>
      </c>
      <c r="H348">
        <f>+'Paste Here'!T348</f>
        <v>0</v>
      </c>
      <c r="I348">
        <f>+'Paste Here'!U348</f>
        <v>0</v>
      </c>
      <c r="J348">
        <f>+'Paste Here'!V348</f>
        <v>0</v>
      </c>
      <c r="K348">
        <f>+'Paste Here'!W348</f>
        <v>0</v>
      </c>
    </row>
    <row r="349" spans="1:11">
      <c r="A349" t="str">
        <f t="shared" si="5"/>
        <v>00</v>
      </c>
      <c r="B349">
        <f>+'Paste Here'!N349</f>
        <v>0</v>
      </c>
      <c r="C349">
        <f>+'Paste Here'!O349</f>
        <v>0</v>
      </c>
      <c r="D349">
        <f>+'Paste Here'!P349</f>
        <v>0</v>
      </c>
      <c r="E349">
        <f>+'Paste Here'!Q349</f>
        <v>0</v>
      </c>
      <c r="F349">
        <f>+'Paste Here'!R349</f>
        <v>0</v>
      </c>
      <c r="G349">
        <f>+'Paste Here'!S349</f>
        <v>0</v>
      </c>
      <c r="H349">
        <f>+'Paste Here'!T349</f>
        <v>0</v>
      </c>
      <c r="I349">
        <f>+'Paste Here'!U349</f>
        <v>0</v>
      </c>
      <c r="J349">
        <f>+'Paste Here'!V349</f>
        <v>0</v>
      </c>
      <c r="K349">
        <f>+'Paste Here'!W349</f>
        <v>0</v>
      </c>
    </row>
    <row r="350" spans="1:11">
      <c r="A350" t="str">
        <f t="shared" si="5"/>
        <v>00</v>
      </c>
      <c r="B350">
        <f>+'Paste Here'!N350</f>
        <v>0</v>
      </c>
      <c r="C350">
        <f>+'Paste Here'!O350</f>
        <v>0</v>
      </c>
      <c r="D350">
        <f>+'Paste Here'!P350</f>
        <v>0</v>
      </c>
      <c r="E350">
        <f>+'Paste Here'!Q350</f>
        <v>0</v>
      </c>
      <c r="F350">
        <f>+'Paste Here'!R350</f>
        <v>0</v>
      </c>
      <c r="G350">
        <f>+'Paste Here'!S350</f>
        <v>0</v>
      </c>
      <c r="H350">
        <f>+'Paste Here'!T350</f>
        <v>0</v>
      </c>
      <c r="I350">
        <f>+'Paste Here'!U350</f>
        <v>0</v>
      </c>
      <c r="J350">
        <f>+'Paste Here'!V350</f>
        <v>0</v>
      </c>
      <c r="K350">
        <f>+'Paste Here'!W350</f>
        <v>0</v>
      </c>
    </row>
    <row r="351" spans="1:11">
      <c r="A351" t="str">
        <f t="shared" si="5"/>
        <v>00</v>
      </c>
      <c r="B351">
        <f>+'Paste Here'!N351</f>
        <v>0</v>
      </c>
      <c r="C351">
        <f>+'Paste Here'!O351</f>
        <v>0</v>
      </c>
      <c r="D351">
        <f>+'Paste Here'!P351</f>
        <v>0</v>
      </c>
      <c r="E351">
        <f>+'Paste Here'!Q351</f>
        <v>0</v>
      </c>
      <c r="F351">
        <f>+'Paste Here'!R351</f>
        <v>0</v>
      </c>
      <c r="G351">
        <f>+'Paste Here'!S351</f>
        <v>0</v>
      </c>
      <c r="H351">
        <f>+'Paste Here'!T351</f>
        <v>0</v>
      </c>
      <c r="I351">
        <f>+'Paste Here'!U351</f>
        <v>0</v>
      </c>
      <c r="J351">
        <f>+'Paste Here'!V351</f>
        <v>0</v>
      </c>
      <c r="K351">
        <f>+'Paste Here'!W351</f>
        <v>0</v>
      </c>
    </row>
    <row r="352" spans="1:11">
      <c r="A352" t="str">
        <f t="shared" si="5"/>
        <v>00</v>
      </c>
      <c r="B352">
        <f>+'Paste Here'!N352</f>
        <v>0</v>
      </c>
      <c r="C352">
        <f>+'Paste Here'!O352</f>
        <v>0</v>
      </c>
      <c r="D352">
        <f>+'Paste Here'!P352</f>
        <v>0</v>
      </c>
      <c r="E352">
        <f>+'Paste Here'!Q352</f>
        <v>0</v>
      </c>
      <c r="F352">
        <f>+'Paste Here'!R352</f>
        <v>0</v>
      </c>
      <c r="G352">
        <f>+'Paste Here'!S352</f>
        <v>0</v>
      </c>
      <c r="H352">
        <f>+'Paste Here'!T352</f>
        <v>0</v>
      </c>
      <c r="I352">
        <f>+'Paste Here'!U352</f>
        <v>0</v>
      </c>
      <c r="J352">
        <f>+'Paste Here'!V352</f>
        <v>0</v>
      </c>
      <c r="K352">
        <f>+'Paste Here'!W352</f>
        <v>0</v>
      </c>
    </row>
    <row r="353" spans="1:11">
      <c r="A353" t="str">
        <f t="shared" si="5"/>
        <v>00</v>
      </c>
      <c r="B353">
        <f>+'Paste Here'!N353</f>
        <v>0</v>
      </c>
      <c r="C353">
        <f>+'Paste Here'!O353</f>
        <v>0</v>
      </c>
      <c r="D353">
        <f>+'Paste Here'!P353</f>
        <v>0</v>
      </c>
      <c r="E353">
        <f>+'Paste Here'!Q353</f>
        <v>0</v>
      </c>
      <c r="F353">
        <f>+'Paste Here'!R353</f>
        <v>0</v>
      </c>
      <c r="G353">
        <f>+'Paste Here'!S353</f>
        <v>0</v>
      </c>
      <c r="H353">
        <f>+'Paste Here'!T353</f>
        <v>0</v>
      </c>
      <c r="I353">
        <f>+'Paste Here'!U353</f>
        <v>0</v>
      </c>
      <c r="J353">
        <f>+'Paste Here'!V353</f>
        <v>0</v>
      </c>
      <c r="K353">
        <f>+'Paste Here'!W353</f>
        <v>0</v>
      </c>
    </row>
    <row r="354" spans="1:11">
      <c r="A354" t="str">
        <f t="shared" si="5"/>
        <v>00</v>
      </c>
      <c r="B354">
        <f>+'Paste Here'!N354</f>
        <v>0</v>
      </c>
      <c r="C354">
        <f>+'Paste Here'!O354</f>
        <v>0</v>
      </c>
      <c r="D354">
        <f>+'Paste Here'!P354</f>
        <v>0</v>
      </c>
      <c r="E354">
        <f>+'Paste Here'!Q354</f>
        <v>0</v>
      </c>
      <c r="F354">
        <f>+'Paste Here'!R354</f>
        <v>0</v>
      </c>
      <c r="G354">
        <f>+'Paste Here'!S354</f>
        <v>0</v>
      </c>
      <c r="H354">
        <f>+'Paste Here'!T354</f>
        <v>0</v>
      </c>
      <c r="I354">
        <f>+'Paste Here'!U354</f>
        <v>0</v>
      </c>
      <c r="J354">
        <f>+'Paste Here'!V354</f>
        <v>0</v>
      </c>
      <c r="K354">
        <f>+'Paste Here'!W354</f>
        <v>0</v>
      </c>
    </row>
    <row r="355" spans="1:11">
      <c r="A355" t="str">
        <f t="shared" si="5"/>
        <v>00</v>
      </c>
      <c r="B355">
        <f>+'Paste Here'!N355</f>
        <v>0</v>
      </c>
      <c r="C355">
        <f>+'Paste Here'!O355</f>
        <v>0</v>
      </c>
      <c r="D355">
        <f>+'Paste Here'!P355</f>
        <v>0</v>
      </c>
      <c r="E355">
        <f>+'Paste Here'!Q355</f>
        <v>0</v>
      </c>
      <c r="F355">
        <f>+'Paste Here'!R355</f>
        <v>0</v>
      </c>
      <c r="G355">
        <f>+'Paste Here'!S355</f>
        <v>0</v>
      </c>
      <c r="H355">
        <f>+'Paste Here'!T355</f>
        <v>0</v>
      </c>
      <c r="I355">
        <f>+'Paste Here'!U355</f>
        <v>0</v>
      </c>
      <c r="J355">
        <f>+'Paste Here'!V355</f>
        <v>0</v>
      </c>
      <c r="K355">
        <f>+'Paste Here'!W355</f>
        <v>0</v>
      </c>
    </row>
    <row r="356" spans="1:11">
      <c r="A356" t="str">
        <f t="shared" si="5"/>
        <v>00</v>
      </c>
      <c r="B356">
        <f>+'Paste Here'!N356</f>
        <v>0</v>
      </c>
      <c r="C356">
        <f>+'Paste Here'!O356</f>
        <v>0</v>
      </c>
      <c r="D356">
        <f>+'Paste Here'!P356</f>
        <v>0</v>
      </c>
      <c r="E356">
        <f>+'Paste Here'!Q356</f>
        <v>0</v>
      </c>
      <c r="F356">
        <f>+'Paste Here'!R356</f>
        <v>0</v>
      </c>
      <c r="G356">
        <f>+'Paste Here'!S356</f>
        <v>0</v>
      </c>
      <c r="H356">
        <f>+'Paste Here'!T356</f>
        <v>0</v>
      </c>
      <c r="I356">
        <f>+'Paste Here'!U356</f>
        <v>0</v>
      </c>
      <c r="J356">
        <f>+'Paste Here'!V356</f>
        <v>0</v>
      </c>
      <c r="K356">
        <f>+'Paste Here'!W356</f>
        <v>0</v>
      </c>
    </row>
    <row r="357" spans="1:11">
      <c r="A357" t="str">
        <f t="shared" si="5"/>
        <v>00</v>
      </c>
      <c r="B357">
        <f>+'Paste Here'!N357</f>
        <v>0</v>
      </c>
      <c r="C357">
        <f>+'Paste Here'!O357</f>
        <v>0</v>
      </c>
      <c r="D357">
        <f>+'Paste Here'!P357</f>
        <v>0</v>
      </c>
      <c r="E357">
        <f>+'Paste Here'!Q357</f>
        <v>0</v>
      </c>
      <c r="F357">
        <f>+'Paste Here'!R357</f>
        <v>0</v>
      </c>
      <c r="G357">
        <f>+'Paste Here'!S357</f>
        <v>0</v>
      </c>
      <c r="H357">
        <f>+'Paste Here'!T357</f>
        <v>0</v>
      </c>
      <c r="I357">
        <f>+'Paste Here'!U357</f>
        <v>0</v>
      </c>
      <c r="J357">
        <f>+'Paste Here'!V357</f>
        <v>0</v>
      </c>
      <c r="K357">
        <f>+'Paste Here'!W357</f>
        <v>0</v>
      </c>
    </row>
    <row r="358" spans="1:11">
      <c r="A358" t="str">
        <f t="shared" si="5"/>
        <v>00</v>
      </c>
      <c r="B358">
        <f>+'Paste Here'!N358</f>
        <v>0</v>
      </c>
      <c r="C358">
        <f>+'Paste Here'!O358</f>
        <v>0</v>
      </c>
      <c r="D358">
        <f>+'Paste Here'!P358</f>
        <v>0</v>
      </c>
      <c r="E358">
        <f>+'Paste Here'!Q358</f>
        <v>0</v>
      </c>
      <c r="F358">
        <f>+'Paste Here'!R358</f>
        <v>0</v>
      </c>
      <c r="G358">
        <f>+'Paste Here'!S358</f>
        <v>0</v>
      </c>
      <c r="H358">
        <f>+'Paste Here'!T358</f>
        <v>0</v>
      </c>
      <c r="I358">
        <f>+'Paste Here'!U358</f>
        <v>0</v>
      </c>
      <c r="J358">
        <f>+'Paste Here'!V358</f>
        <v>0</v>
      </c>
      <c r="K358">
        <f>+'Paste Here'!W358</f>
        <v>0</v>
      </c>
    </row>
    <row r="359" spans="1:11">
      <c r="A359" t="str">
        <f t="shared" si="5"/>
        <v>00</v>
      </c>
      <c r="B359">
        <f>+'Paste Here'!N359</f>
        <v>0</v>
      </c>
      <c r="C359">
        <f>+'Paste Here'!O359</f>
        <v>0</v>
      </c>
      <c r="D359">
        <f>+'Paste Here'!P359</f>
        <v>0</v>
      </c>
      <c r="E359">
        <f>+'Paste Here'!Q359</f>
        <v>0</v>
      </c>
      <c r="F359">
        <f>+'Paste Here'!R359</f>
        <v>0</v>
      </c>
      <c r="G359">
        <f>+'Paste Here'!S359</f>
        <v>0</v>
      </c>
      <c r="H359">
        <f>+'Paste Here'!T359</f>
        <v>0</v>
      </c>
      <c r="I359">
        <f>+'Paste Here'!U359</f>
        <v>0</v>
      </c>
      <c r="J359">
        <f>+'Paste Here'!V359</f>
        <v>0</v>
      </c>
      <c r="K359">
        <f>+'Paste Here'!W359</f>
        <v>0</v>
      </c>
    </row>
    <row r="360" spans="1:11">
      <c r="A360" t="str">
        <f t="shared" si="5"/>
        <v>00</v>
      </c>
      <c r="B360">
        <f>+'Paste Here'!N360</f>
        <v>0</v>
      </c>
      <c r="C360">
        <f>+'Paste Here'!O360</f>
        <v>0</v>
      </c>
      <c r="D360">
        <f>+'Paste Here'!P360</f>
        <v>0</v>
      </c>
      <c r="E360">
        <f>+'Paste Here'!Q360</f>
        <v>0</v>
      </c>
      <c r="F360">
        <f>+'Paste Here'!R360</f>
        <v>0</v>
      </c>
      <c r="G360">
        <f>+'Paste Here'!S360</f>
        <v>0</v>
      </c>
      <c r="H360">
        <f>+'Paste Here'!T360</f>
        <v>0</v>
      </c>
      <c r="I360">
        <f>+'Paste Here'!U360</f>
        <v>0</v>
      </c>
      <c r="J360">
        <f>+'Paste Here'!V360</f>
        <v>0</v>
      </c>
      <c r="K360">
        <f>+'Paste Here'!W360</f>
        <v>0</v>
      </c>
    </row>
    <row r="361" spans="1:11">
      <c r="A361" t="str">
        <f t="shared" si="5"/>
        <v>00</v>
      </c>
      <c r="B361">
        <f>+'Paste Here'!N361</f>
        <v>0</v>
      </c>
      <c r="C361">
        <f>+'Paste Here'!O361</f>
        <v>0</v>
      </c>
      <c r="D361">
        <f>+'Paste Here'!P361</f>
        <v>0</v>
      </c>
      <c r="E361">
        <f>+'Paste Here'!Q361</f>
        <v>0</v>
      </c>
      <c r="F361">
        <f>+'Paste Here'!R361</f>
        <v>0</v>
      </c>
      <c r="G361">
        <f>+'Paste Here'!S361</f>
        <v>0</v>
      </c>
      <c r="H361">
        <f>+'Paste Here'!T361</f>
        <v>0</v>
      </c>
      <c r="I361">
        <f>+'Paste Here'!U361</f>
        <v>0</v>
      </c>
      <c r="J361">
        <f>+'Paste Here'!V361</f>
        <v>0</v>
      </c>
      <c r="K361">
        <f>+'Paste Here'!W361</f>
        <v>0</v>
      </c>
    </row>
    <row r="362" spans="1:11">
      <c r="A362" t="str">
        <f t="shared" si="5"/>
        <v>00</v>
      </c>
      <c r="B362">
        <f>+'Paste Here'!N362</f>
        <v>0</v>
      </c>
      <c r="C362">
        <f>+'Paste Here'!O362</f>
        <v>0</v>
      </c>
      <c r="D362">
        <f>+'Paste Here'!P362</f>
        <v>0</v>
      </c>
      <c r="E362">
        <f>+'Paste Here'!Q362</f>
        <v>0</v>
      </c>
      <c r="F362">
        <f>+'Paste Here'!R362</f>
        <v>0</v>
      </c>
      <c r="G362">
        <f>+'Paste Here'!S362</f>
        <v>0</v>
      </c>
      <c r="H362">
        <f>+'Paste Here'!T362</f>
        <v>0</v>
      </c>
      <c r="I362">
        <f>+'Paste Here'!U362</f>
        <v>0</v>
      </c>
      <c r="J362">
        <f>+'Paste Here'!V362</f>
        <v>0</v>
      </c>
      <c r="K362">
        <f>+'Paste Here'!W362</f>
        <v>0</v>
      </c>
    </row>
    <row r="363" spans="1:11">
      <c r="A363" t="str">
        <f t="shared" si="5"/>
        <v>00</v>
      </c>
      <c r="B363">
        <f>+'Paste Here'!N363</f>
        <v>0</v>
      </c>
      <c r="C363">
        <f>+'Paste Here'!O363</f>
        <v>0</v>
      </c>
      <c r="D363">
        <f>+'Paste Here'!P363</f>
        <v>0</v>
      </c>
      <c r="E363">
        <f>+'Paste Here'!Q363</f>
        <v>0</v>
      </c>
      <c r="F363">
        <f>+'Paste Here'!R363</f>
        <v>0</v>
      </c>
      <c r="G363">
        <f>+'Paste Here'!S363</f>
        <v>0</v>
      </c>
      <c r="H363">
        <f>+'Paste Here'!T363</f>
        <v>0</v>
      </c>
      <c r="I363">
        <f>+'Paste Here'!U363</f>
        <v>0</v>
      </c>
      <c r="J363">
        <f>+'Paste Here'!V363</f>
        <v>0</v>
      </c>
      <c r="K363">
        <f>+'Paste Here'!W363</f>
        <v>0</v>
      </c>
    </row>
    <row r="364" spans="1:11">
      <c r="A364" t="str">
        <f t="shared" si="5"/>
        <v>00</v>
      </c>
      <c r="B364">
        <f>+'Paste Here'!N364</f>
        <v>0</v>
      </c>
      <c r="C364">
        <f>+'Paste Here'!O364</f>
        <v>0</v>
      </c>
      <c r="D364">
        <f>+'Paste Here'!P364</f>
        <v>0</v>
      </c>
      <c r="E364">
        <f>+'Paste Here'!Q364</f>
        <v>0</v>
      </c>
      <c r="F364">
        <f>+'Paste Here'!R364</f>
        <v>0</v>
      </c>
      <c r="G364">
        <f>+'Paste Here'!S364</f>
        <v>0</v>
      </c>
      <c r="H364">
        <f>+'Paste Here'!T364</f>
        <v>0</v>
      </c>
      <c r="I364">
        <f>+'Paste Here'!U364</f>
        <v>0</v>
      </c>
      <c r="J364">
        <f>+'Paste Here'!V364</f>
        <v>0</v>
      </c>
      <c r="K364">
        <f>+'Paste Here'!W364</f>
        <v>0</v>
      </c>
    </row>
    <row r="365" spans="1:11">
      <c r="A365" t="str">
        <f t="shared" si="5"/>
        <v>00</v>
      </c>
      <c r="B365">
        <f>+'Paste Here'!N365</f>
        <v>0</v>
      </c>
      <c r="C365">
        <f>+'Paste Here'!O365</f>
        <v>0</v>
      </c>
      <c r="D365">
        <f>+'Paste Here'!P365</f>
        <v>0</v>
      </c>
      <c r="E365">
        <f>+'Paste Here'!Q365</f>
        <v>0</v>
      </c>
      <c r="F365">
        <f>+'Paste Here'!R365</f>
        <v>0</v>
      </c>
      <c r="G365">
        <f>+'Paste Here'!S365</f>
        <v>0</v>
      </c>
      <c r="H365">
        <f>+'Paste Here'!T365</f>
        <v>0</v>
      </c>
      <c r="I365">
        <f>+'Paste Here'!U365</f>
        <v>0</v>
      </c>
      <c r="J365">
        <f>+'Paste Here'!V365</f>
        <v>0</v>
      </c>
      <c r="K365">
        <f>+'Paste Here'!W365</f>
        <v>0</v>
      </c>
    </row>
    <row r="366" spans="1:11">
      <c r="A366" t="str">
        <f t="shared" si="5"/>
        <v>00</v>
      </c>
      <c r="B366">
        <f>+'Paste Here'!N366</f>
        <v>0</v>
      </c>
      <c r="C366">
        <f>+'Paste Here'!O366</f>
        <v>0</v>
      </c>
      <c r="D366">
        <f>+'Paste Here'!P366</f>
        <v>0</v>
      </c>
      <c r="E366">
        <f>+'Paste Here'!Q366</f>
        <v>0</v>
      </c>
      <c r="F366">
        <f>+'Paste Here'!R366</f>
        <v>0</v>
      </c>
      <c r="G366">
        <f>+'Paste Here'!S366</f>
        <v>0</v>
      </c>
      <c r="H366">
        <f>+'Paste Here'!T366</f>
        <v>0</v>
      </c>
      <c r="I366">
        <f>+'Paste Here'!U366</f>
        <v>0</v>
      </c>
      <c r="J366">
        <f>+'Paste Here'!V366</f>
        <v>0</v>
      </c>
      <c r="K366">
        <f>+'Paste Here'!W366</f>
        <v>0</v>
      </c>
    </row>
    <row r="367" spans="1:11">
      <c r="A367" t="str">
        <f t="shared" si="5"/>
        <v>00</v>
      </c>
      <c r="B367">
        <f>+'Paste Here'!N367</f>
        <v>0</v>
      </c>
      <c r="C367">
        <f>+'Paste Here'!O367</f>
        <v>0</v>
      </c>
      <c r="D367">
        <f>+'Paste Here'!P367</f>
        <v>0</v>
      </c>
      <c r="E367">
        <f>+'Paste Here'!Q367</f>
        <v>0</v>
      </c>
      <c r="F367">
        <f>+'Paste Here'!R367</f>
        <v>0</v>
      </c>
      <c r="G367">
        <f>+'Paste Here'!S367</f>
        <v>0</v>
      </c>
      <c r="H367">
        <f>+'Paste Here'!T367</f>
        <v>0</v>
      </c>
      <c r="I367">
        <f>+'Paste Here'!U367</f>
        <v>0</v>
      </c>
      <c r="J367">
        <f>+'Paste Here'!V367</f>
        <v>0</v>
      </c>
      <c r="K367">
        <f>+'Paste Here'!W367</f>
        <v>0</v>
      </c>
    </row>
    <row r="368" spans="1:11">
      <c r="A368" t="str">
        <f t="shared" si="5"/>
        <v>00</v>
      </c>
      <c r="B368">
        <f>+'Paste Here'!N368</f>
        <v>0</v>
      </c>
      <c r="C368">
        <f>+'Paste Here'!O368</f>
        <v>0</v>
      </c>
      <c r="D368">
        <f>+'Paste Here'!P368</f>
        <v>0</v>
      </c>
      <c r="E368">
        <f>+'Paste Here'!Q368</f>
        <v>0</v>
      </c>
      <c r="F368">
        <f>+'Paste Here'!R368</f>
        <v>0</v>
      </c>
      <c r="G368">
        <f>+'Paste Here'!S368</f>
        <v>0</v>
      </c>
      <c r="H368">
        <f>+'Paste Here'!T368</f>
        <v>0</v>
      </c>
      <c r="I368">
        <f>+'Paste Here'!U368</f>
        <v>0</v>
      </c>
      <c r="J368">
        <f>+'Paste Here'!V368</f>
        <v>0</v>
      </c>
      <c r="K368">
        <f>+'Paste Here'!W368</f>
        <v>0</v>
      </c>
    </row>
    <row r="369" spans="1:11">
      <c r="A369" t="str">
        <f t="shared" si="5"/>
        <v>00</v>
      </c>
      <c r="B369">
        <f>+'Paste Here'!N369</f>
        <v>0</v>
      </c>
      <c r="C369">
        <f>+'Paste Here'!O369</f>
        <v>0</v>
      </c>
      <c r="D369">
        <f>+'Paste Here'!P369</f>
        <v>0</v>
      </c>
      <c r="E369">
        <f>+'Paste Here'!Q369</f>
        <v>0</v>
      </c>
      <c r="F369">
        <f>+'Paste Here'!R369</f>
        <v>0</v>
      </c>
      <c r="G369">
        <f>+'Paste Here'!S369</f>
        <v>0</v>
      </c>
      <c r="H369">
        <f>+'Paste Here'!T369</f>
        <v>0</v>
      </c>
      <c r="I369">
        <f>+'Paste Here'!U369</f>
        <v>0</v>
      </c>
      <c r="J369">
        <f>+'Paste Here'!V369</f>
        <v>0</v>
      </c>
      <c r="K369">
        <f>+'Paste Here'!W369</f>
        <v>0</v>
      </c>
    </row>
    <row r="370" spans="1:11">
      <c r="A370" t="str">
        <f t="shared" si="5"/>
        <v>00</v>
      </c>
      <c r="B370">
        <f>+'Paste Here'!N370</f>
        <v>0</v>
      </c>
      <c r="C370">
        <f>+'Paste Here'!O370</f>
        <v>0</v>
      </c>
      <c r="D370">
        <f>+'Paste Here'!P370</f>
        <v>0</v>
      </c>
      <c r="E370">
        <f>+'Paste Here'!Q370</f>
        <v>0</v>
      </c>
      <c r="F370">
        <f>+'Paste Here'!R370</f>
        <v>0</v>
      </c>
      <c r="G370">
        <f>+'Paste Here'!S370</f>
        <v>0</v>
      </c>
      <c r="H370">
        <f>+'Paste Here'!T370</f>
        <v>0</v>
      </c>
      <c r="I370">
        <f>+'Paste Here'!U370</f>
        <v>0</v>
      </c>
      <c r="J370">
        <f>+'Paste Here'!V370</f>
        <v>0</v>
      </c>
      <c r="K370">
        <f>+'Paste Here'!W370</f>
        <v>0</v>
      </c>
    </row>
    <row r="371" spans="1:11">
      <c r="A371" t="str">
        <f t="shared" si="5"/>
        <v>00</v>
      </c>
      <c r="B371">
        <f>+'Paste Here'!N371</f>
        <v>0</v>
      </c>
      <c r="C371">
        <f>+'Paste Here'!O371</f>
        <v>0</v>
      </c>
      <c r="D371">
        <f>+'Paste Here'!P371</f>
        <v>0</v>
      </c>
      <c r="E371">
        <f>+'Paste Here'!Q371</f>
        <v>0</v>
      </c>
      <c r="F371">
        <f>+'Paste Here'!R371</f>
        <v>0</v>
      </c>
      <c r="G371">
        <f>+'Paste Here'!S371</f>
        <v>0</v>
      </c>
      <c r="H371">
        <f>+'Paste Here'!T371</f>
        <v>0</v>
      </c>
      <c r="I371">
        <f>+'Paste Here'!U371</f>
        <v>0</v>
      </c>
      <c r="J371">
        <f>+'Paste Here'!V371</f>
        <v>0</v>
      </c>
      <c r="K371">
        <f>+'Paste Here'!W371</f>
        <v>0</v>
      </c>
    </row>
    <row r="372" spans="1:11">
      <c r="A372" t="str">
        <f t="shared" si="5"/>
        <v>00</v>
      </c>
      <c r="B372">
        <f>+'Paste Here'!N372</f>
        <v>0</v>
      </c>
      <c r="C372">
        <f>+'Paste Here'!O372</f>
        <v>0</v>
      </c>
      <c r="D372">
        <f>+'Paste Here'!P372</f>
        <v>0</v>
      </c>
      <c r="E372">
        <f>+'Paste Here'!Q372</f>
        <v>0</v>
      </c>
      <c r="F372">
        <f>+'Paste Here'!R372</f>
        <v>0</v>
      </c>
      <c r="G372">
        <f>+'Paste Here'!S372</f>
        <v>0</v>
      </c>
      <c r="H372">
        <f>+'Paste Here'!T372</f>
        <v>0</v>
      </c>
      <c r="I372">
        <f>+'Paste Here'!U372</f>
        <v>0</v>
      </c>
      <c r="J372">
        <f>+'Paste Here'!V372</f>
        <v>0</v>
      </c>
      <c r="K372">
        <f>+'Paste Here'!W372</f>
        <v>0</v>
      </c>
    </row>
    <row r="373" spans="1:11">
      <c r="A373" t="str">
        <f t="shared" si="5"/>
        <v>00</v>
      </c>
      <c r="B373">
        <f>+'Paste Here'!N373</f>
        <v>0</v>
      </c>
      <c r="C373">
        <f>+'Paste Here'!O373</f>
        <v>0</v>
      </c>
      <c r="D373">
        <f>+'Paste Here'!P373</f>
        <v>0</v>
      </c>
      <c r="E373">
        <f>+'Paste Here'!Q373</f>
        <v>0</v>
      </c>
      <c r="F373">
        <f>+'Paste Here'!R373</f>
        <v>0</v>
      </c>
      <c r="G373">
        <f>+'Paste Here'!S373</f>
        <v>0</v>
      </c>
      <c r="H373">
        <f>+'Paste Here'!T373</f>
        <v>0</v>
      </c>
      <c r="I373">
        <f>+'Paste Here'!U373</f>
        <v>0</v>
      </c>
      <c r="J373">
        <f>+'Paste Here'!V373</f>
        <v>0</v>
      </c>
      <c r="K373">
        <f>+'Paste Here'!W373</f>
        <v>0</v>
      </c>
    </row>
    <row r="374" spans="1:11">
      <c r="A374" t="str">
        <f t="shared" si="5"/>
        <v>00</v>
      </c>
      <c r="B374">
        <f>+'Paste Here'!N374</f>
        <v>0</v>
      </c>
      <c r="C374">
        <f>+'Paste Here'!O374</f>
        <v>0</v>
      </c>
      <c r="D374">
        <f>+'Paste Here'!P374</f>
        <v>0</v>
      </c>
      <c r="E374">
        <f>+'Paste Here'!Q374</f>
        <v>0</v>
      </c>
      <c r="F374">
        <f>+'Paste Here'!R374</f>
        <v>0</v>
      </c>
      <c r="G374">
        <f>+'Paste Here'!S374</f>
        <v>0</v>
      </c>
      <c r="H374">
        <f>+'Paste Here'!T374</f>
        <v>0</v>
      </c>
      <c r="I374">
        <f>+'Paste Here'!U374</f>
        <v>0</v>
      </c>
      <c r="J374">
        <f>+'Paste Here'!V374</f>
        <v>0</v>
      </c>
      <c r="K374">
        <f>+'Paste Here'!W374</f>
        <v>0</v>
      </c>
    </row>
    <row r="375" spans="1:11">
      <c r="A375" t="str">
        <f t="shared" si="5"/>
        <v>00</v>
      </c>
      <c r="B375">
        <f>+'Paste Here'!N375</f>
        <v>0</v>
      </c>
      <c r="C375">
        <f>+'Paste Here'!O375</f>
        <v>0</v>
      </c>
      <c r="D375">
        <f>+'Paste Here'!P375</f>
        <v>0</v>
      </c>
      <c r="E375">
        <f>+'Paste Here'!Q375</f>
        <v>0</v>
      </c>
      <c r="F375">
        <f>+'Paste Here'!R375</f>
        <v>0</v>
      </c>
      <c r="G375">
        <f>+'Paste Here'!S375</f>
        <v>0</v>
      </c>
      <c r="H375">
        <f>+'Paste Here'!T375</f>
        <v>0</v>
      </c>
      <c r="I375">
        <f>+'Paste Here'!U375</f>
        <v>0</v>
      </c>
      <c r="J375">
        <f>+'Paste Here'!V375</f>
        <v>0</v>
      </c>
      <c r="K375">
        <f>+'Paste Here'!W375</f>
        <v>0</v>
      </c>
    </row>
    <row r="376" spans="1:11">
      <c r="A376" t="str">
        <f t="shared" si="5"/>
        <v>00</v>
      </c>
      <c r="B376">
        <f>+'Paste Here'!N376</f>
        <v>0</v>
      </c>
      <c r="C376">
        <f>+'Paste Here'!O376</f>
        <v>0</v>
      </c>
      <c r="D376">
        <f>+'Paste Here'!P376</f>
        <v>0</v>
      </c>
      <c r="E376">
        <f>+'Paste Here'!Q376</f>
        <v>0</v>
      </c>
      <c r="F376">
        <f>+'Paste Here'!R376</f>
        <v>0</v>
      </c>
      <c r="G376">
        <f>+'Paste Here'!S376</f>
        <v>0</v>
      </c>
      <c r="H376">
        <f>+'Paste Here'!T376</f>
        <v>0</v>
      </c>
      <c r="I376">
        <f>+'Paste Here'!U376</f>
        <v>0</v>
      </c>
      <c r="J376">
        <f>+'Paste Here'!V376</f>
        <v>0</v>
      </c>
      <c r="K376">
        <f>+'Paste Here'!W376</f>
        <v>0</v>
      </c>
    </row>
    <row r="377" spans="1:11">
      <c r="A377" t="str">
        <f t="shared" si="5"/>
        <v>00</v>
      </c>
      <c r="B377">
        <f>+'Paste Here'!N377</f>
        <v>0</v>
      </c>
      <c r="C377">
        <f>+'Paste Here'!O377</f>
        <v>0</v>
      </c>
      <c r="D377">
        <f>+'Paste Here'!P377</f>
        <v>0</v>
      </c>
      <c r="E377">
        <f>+'Paste Here'!Q377</f>
        <v>0</v>
      </c>
      <c r="F377">
        <f>+'Paste Here'!R377</f>
        <v>0</v>
      </c>
      <c r="G377">
        <f>+'Paste Here'!S377</f>
        <v>0</v>
      </c>
      <c r="H377">
        <f>+'Paste Here'!T377</f>
        <v>0</v>
      </c>
      <c r="I377">
        <f>+'Paste Here'!U377</f>
        <v>0</v>
      </c>
      <c r="J377">
        <f>+'Paste Here'!V377</f>
        <v>0</v>
      </c>
      <c r="K377">
        <f>+'Paste Here'!W377</f>
        <v>0</v>
      </c>
    </row>
    <row r="378" spans="1:11">
      <c r="A378" t="str">
        <f t="shared" si="5"/>
        <v>00</v>
      </c>
      <c r="B378">
        <f>+'Paste Here'!N378</f>
        <v>0</v>
      </c>
      <c r="C378">
        <f>+'Paste Here'!O378</f>
        <v>0</v>
      </c>
      <c r="D378">
        <f>+'Paste Here'!P378</f>
        <v>0</v>
      </c>
      <c r="E378">
        <f>+'Paste Here'!Q378</f>
        <v>0</v>
      </c>
      <c r="F378">
        <f>+'Paste Here'!R378</f>
        <v>0</v>
      </c>
      <c r="G378">
        <f>+'Paste Here'!S378</f>
        <v>0</v>
      </c>
      <c r="H378">
        <f>+'Paste Here'!T378</f>
        <v>0</v>
      </c>
      <c r="I378">
        <f>+'Paste Here'!U378</f>
        <v>0</v>
      </c>
      <c r="J378">
        <f>+'Paste Here'!V378</f>
        <v>0</v>
      </c>
      <c r="K378">
        <f>+'Paste Here'!W378</f>
        <v>0</v>
      </c>
    </row>
    <row r="379" spans="1:11">
      <c r="A379" t="str">
        <f t="shared" si="5"/>
        <v>00</v>
      </c>
      <c r="B379">
        <f>+'Paste Here'!N379</f>
        <v>0</v>
      </c>
      <c r="C379">
        <f>+'Paste Here'!O379</f>
        <v>0</v>
      </c>
      <c r="D379">
        <f>+'Paste Here'!P379</f>
        <v>0</v>
      </c>
      <c r="E379">
        <f>+'Paste Here'!Q379</f>
        <v>0</v>
      </c>
      <c r="F379">
        <f>+'Paste Here'!R379</f>
        <v>0</v>
      </c>
      <c r="G379">
        <f>+'Paste Here'!S379</f>
        <v>0</v>
      </c>
      <c r="H379">
        <f>+'Paste Here'!T379</f>
        <v>0</v>
      </c>
      <c r="I379">
        <f>+'Paste Here'!U379</f>
        <v>0</v>
      </c>
      <c r="J379">
        <f>+'Paste Here'!V379</f>
        <v>0</v>
      </c>
      <c r="K379">
        <f>+'Paste Here'!W379</f>
        <v>0</v>
      </c>
    </row>
    <row r="380" spans="1:11">
      <c r="A380" t="str">
        <f t="shared" si="5"/>
        <v>00</v>
      </c>
      <c r="B380">
        <f>+'Paste Here'!N380</f>
        <v>0</v>
      </c>
      <c r="C380">
        <f>+'Paste Here'!O380</f>
        <v>0</v>
      </c>
      <c r="D380">
        <f>+'Paste Here'!P380</f>
        <v>0</v>
      </c>
      <c r="E380">
        <f>+'Paste Here'!Q380</f>
        <v>0</v>
      </c>
      <c r="F380">
        <f>+'Paste Here'!R380</f>
        <v>0</v>
      </c>
      <c r="G380">
        <f>+'Paste Here'!S380</f>
        <v>0</v>
      </c>
      <c r="H380">
        <f>+'Paste Here'!T380</f>
        <v>0</v>
      </c>
      <c r="I380">
        <f>+'Paste Here'!U380</f>
        <v>0</v>
      </c>
      <c r="J380">
        <f>+'Paste Here'!V380</f>
        <v>0</v>
      </c>
      <c r="K380">
        <f>+'Paste Here'!W380</f>
        <v>0</v>
      </c>
    </row>
    <row r="381" spans="1:11">
      <c r="A381" t="str">
        <f t="shared" si="5"/>
        <v>00</v>
      </c>
      <c r="B381">
        <f>+'Paste Here'!N381</f>
        <v>0</v>
      </c>
      <c r="C381">
        <f>+'Paste Here'!O381</f>
        <v>0</v>
      </c>
      <c r="D381">
        <f>+'Paste Here'!P381</f>
        <v>0</v>
      </c>
      <c r="E381">
        <f>+'Paste Here'!Q381</f>
        <v>0</v>
      </c>
      <c r="F381">
        <f>+'Paste Here'!R381</f>
        <v>0</v>
      </c>
      <c r="G381">
        <f>+'Paste Here'!S381</f>
        <v>0</v>
      </c>
      <c r="H381">
        <f>+'Paste Here'!T381</f>
        <v>0</v>
      </c>
      <c r="I381">
        <f>+'Paste Here'!U381</f>
        <v>0</v>
      </c>
      <c r="J381">
        <f>+'Paste Here'!V381</f>
        <v>0</v>
      </c>
      <c r="K381">
        <f>+'Paste Here'!W381</f>
        <v>0</v>
      </c>
    </row>
    <row r="382" spans="1:11">
      <c r="A382" t="str">
        <f t="shared" si="5"/>
        <v>00</v>
      </c>
      <c r="B382">
        <f>+'Paste Here'!N382</f>
        <v>0</v>
      </c>
      <c r="C382">
        <f>+'Paste Here'!O382</f>
        <v>0</v>
      </c>
      <c r="D382">
        <f>+'Paste Here'!P382</f>
        <v>0</v>
      </c>
      <c r="E382">
        <f>+'Paste Here'!Q382</f>
        <v>0</v>
      </c>
      <c r="F382">
        <f>+'Paste Here'!R382</f>
        <v>0</v>
      </c>
      <c r="G382">
        <f>+'Paste Here'!S382</f>
        <v>0</v>
      </c>
      <c r="H382">
        <f>+'Paste Here'!T382</f>
        <v>0</v>
      </c>
      <c r="I382">
        <f>+'Paste Here'!U382</f>
        <v>0</v>
      </c>
      <c r="J382">
        <f>+'Paste Here'!V382</f>
        <v>0</v>
      </c>
      <c r="K382">
        <f>+'Paste Here'!W382</f>
        <v>0</v>
      </c>
    </row>
    <row r="383" spans="1:11">
      <c r="A383" t="str">
        <f t="shared" si="5"/>
        <v>00</v>
      </c>
      <c r="B383">
        <f>+'Paste Here'!N383</f>
        <v>0</v>
      </c>
      <c r="C383">
        <f>+'Paste Here'!O383</f>
        <v>0</v>
      </c>
      <c r="D383">
        <f>+'Paste Here'!P383</f>
        <v>0</v>
      </c>
      <c r="E383">
        <f>+'Paste Here'!Q383</f>
        <v>0</v>
      </c>
      <c r="F383">
        <f>+'Paste Here'!R383</f>
        <v>0</v>
      </c>
      <c r="G383">
        <f>+'Paste Here'!S383</f>
        <v>0</v>
      </c>
      <c r="H383">
        <f>+'Paste Here'!T383</f>
        <v>0</v>
      </c>
      <c r="I383">
        <f>+'Paste Here'!U383</f>
        <v>0</v>
      </c>
      <c r="J383">
        <f>+'Paste Here'!V383</f>
        <v>0</v>
      </c>
      <c r="K383">
        <f>+'Paste Here'!W383</f>
        <v>0</v>
      </c>
    </row>
    <row r="384" spans="1:11">
      <c r="A384" t="str">
        <f t="shared" si="5"/>
        <v>00</v>
      </c>
      <c r="B384">
        <f>+'Paste Here'!N384</f>
        <v>0</v>
      </c>
      <c r="C384">
        <f>+'Paste Here'!O384</f>
        <v>0</v>
      </c>
      <c r="D384">
        <f>+'Paste Here'!P384</f>
        <v>0</v>
      </c>
      <c r="E384">
        <f>+'Paste Here'!Q384</f>
        <v>0</v>
      </c>
      <c r="F384">
        <f>+'Paste Here'!R384</f>
        <v>0</v>
      </c>
      <c r="G384">
        <f>+'Paste Here'!S384</f>
        <v>0</v>
      </c>
      <c r="H384">
        <f>+'Paste Here'!T384</f>
        <v>0</v>
      </c>
      <c r="I384">
        <f>+'Paste Here'!U384</f>
        <v>0</v>
      </c>
      <c r="J384">
        <f>+'Paste Here'!V384</f>
        <v>0</v>
      </c>
      <c r="K384">
        <f>+'Paste Here'!W384</f>
        <v>0</v>
      </c>
    </row>
    <row r="385" spans="1:11">
      <c r="A385" t="str">
        <f t="shared" si="5"/>
        <v>00</v>
      </c>
      <c r="B385">
        <f>+'Paste Here'!N385</f>
        <v>0</v>
      </c>
      <c r="C385">
        <f>+'Paste Here'!O385</f>
        <v>0</v>
      </c>
      <c r="D385">
        <f>+'Paste Here'!P385</f>
        <v>0</v>
      </c>
      <c r="E385">
        <f>+'Paste Here'!Q385</f>
        <v>0</v>
      </c>
      <c r="F385">
        <f>+'Paste Here'!R385</f>
        <v>0</v>
      </c>
      <c r="G385">
        <f>+'Paste Here'!S385</f>
        <v>0</v>
      </c>
      <c r="H385">
        <f>+'Paste Here'!T385</f>
        <v>0</v>
      </c>
      <c r="I385">
        <f>+'Paste Here'!U385</f>
        <v>0</v>
      </c>
      <c r="J385">
        <f>+'Paste Here'!V385</f>
        <v>0</v>
      </c>
      <c r="K385">
        <f>+'Paste Here'!W385</f>
        <v>0</v>
      </c>
    </row>
    <row r="386" spans="1:11">
      <c r="A386" t="str">
        <f t="shared" si="5"/>
        <v>00</v>
      </c>
      <c r="B386">
        <f>+'Paste Here'!N386</f>
        <v>0</v>
      </c>
      <c r="C386">
        <f>+'Paste Here'!O386</f>
        <v>0</v>
      </c>
      <c r="D386">
        <f>+'Paste Here'!P386</f>
        <v>0</v>
      </c>
      <c r="E386">
        <f>+'Paste Here'!Q386</f>
        <v>0</v>
      </c>
      <c r="F386">
        <f>+'Paste Here'!R386</f>
        <v>0</v>
      </c>
      <c r="G386">
        <f>+'Paste Here'!S386</f>
        <v>0</v>
      </c>
      <c r="H386">
        <f>+'Paste Here'!T386</f>
        <v>0</v>
      </c>
      <c r="I386">
        <f>+'Paste Here'!U386</f>
        <v>0</v>
      </c>
      <c r="J386">
        <f>+'Paste Here'!V386</f>
        <v>0</v>
      </c>
      <c r="K386">
        <f>+'Paste Here'!W386</f>
        <v>0</v>
      </c>
    </row>
    <row r="387" spans="1:11">
      <c r="A387" t="str">
        <f t="shared" ref="A387:A450" si="6">+CONCATENATE(C387,D387)</f>
        <v>00</v>
      </c>
      <c r="B387">
        <f>+'Paste Here'!N387</f>
        <v>0</v>
      </c>
      <c r="C387">
        <f>+'Paste Here'!O387</f>
        <v>0</v>
      </c>
      <c r="D387">
        <f>+'Paste Here'!P387</f>
        <v>0</v>
      </c>
      <c r="E387">
        <f>+'Paste Here'!Q387</f>
        <v>0</v>
      </c>
      <c r="F387">
        <f>+'Paste Here'!R387</f>
        <v>0</v>
      </c>
      <c r="G387">
        <f>+'Paste Here'!S387</f>
        <v>0</v>
      </c>
      <c r="H387">
        <f>+'Paste Here'!T387</f>
        <v>0</v>
      </c>
      <c r="I387">
        <f>+'Paste Here'!U387</f>
        <v>0</v>
      </c>
      <c r="J387">
        <f>+'Paste Here'!V387</f>
        <v>0</v>
      </c>
      <c r="K387">
        <f>+'Paste Here'!W387</f>
        <v>0</v>
      </c>
    </row>
    <row r="388" spans="1:11">
      <c r="A388" t="str">
        <f t="shared" si="6"/>
        <v>00</v>
      </c>
      <c r="B388">
        <f>+'Paste Here'!N388</f>
        <v>0</v>
      </c>
      <c r="C388">
        <f>+'Paste Here'!O388</f>
        <v>0</v>
      </c>
      <c r="D388">
        <f>+'Paste Here'!P388</f>
        <v>0</v>
      </c>
      <c r="E388">
        <f>+'Paste Here'!Q388</f>
        <v>0</v>
      </c>
      <c r="F388">
        <f>+'Paste Here'!R388</f>
        <v>0</v>
      </c>
      <c r="G388">
        <f>+'Paste Here'!S388</f>
        <v>0</v>
      </c>
      <c r="H388">
        <f>+'Paste Here'!T388</f>
        <v>0</v>
      </c>
      <c r="I388">
        <f>+'Paste Here'!U388</f>
        <v>0</v>
      </c>
      <c r="J388">
        <f>+'Paste Here'!V388</f>
        <v>0</v>
      </c>
      <c r="K388">
        <f>+'Paste Here'!W388</f>
        <v>0</v>
      </c>
    </row>
    <row r="389" spans="1:11">
      <c r="A389" t="str">
        <f t="shared" si="6"/>
        <v>00</v>
      </c>
      <c r="B389">
        <f>+'Paste Here'!N389</f>
        <v>0</v>
      </c>
      <c r="C389">
        <f>+'Paste Here'!O389</f>
        <v>0</v>
      </c>
      <c r="D389">
        <f>+'Paste Here'!P389</f>
        <v>0</v>
      </c>
      <c r="E389">
        <f>+'Paste Here'!Q389</f>
        <v>0</v>
      </c>
      <c r="F389">
        <f>+'Paste Here'!R389</f>
        <v>0</v>
      </c>
      <c r="G389">
        <f>+'Paste Here'!S389</f>
        <v>0</v>
      </c>
      <c r="H389">
        <f>+'Paste Here'!T389</f>
        <v>0</v>
      </c>
      <c r="I389">
        <f>+'Paste Here'!U389</f>
        <v>0</v>
      </c>
      <c r="J389">
        <f>+'Paste Here'!V389</f>
        <v>0</v>
      </c>
      <c r="K389">
        <f>+'Paste Here'!W389</f>
        <v>0</v>
      </c>
    </row>
    <row r="390" spans="1:11">
      <c r="A390" t="str">
        <f t="shared" si="6"/>
        <v>00</v>
      </c>
      <c r="B390">
        <f>+'Paste Here'!N390</f>
        <v>0</v>
      </c>
      <c r="C390">
        <f>+'Paste Here'!O390</f>
        <v>0</v>
      </c>
      <c r="D390">
        <f>+'Paste Here'!P390</f>
        <v>0</v>
      </c>
      <c r="E390">
        <f>+'Paste Here'!Q390</f>
        <v>0</v>
      </c>
      <c r="F390">
        <f>+'Paste Here'!R390</f>
        <v>0</v>
      </c>
      <c r="G390">
        <f>+'Paste Here'!S390</f>
        <v>0</v>
      </c>
      <c r="H390">
        <f>+'Paste Here'!T390</f>
        <v>0</v>
      </c>
      <c r="I390">
        <f>+'Paste Here'!U390</f>
        <v>0</v>
      </c>
      <c r="J390">
        <f>+'Paste Here'!V390</f>
        <v>0</v>
      </c>
      <c r="K390">
        <f>+'Paste Here'!W390</f>
        <v>0</v>
      </c>
    </row>
    <row r="391" spans="1:11">
      <c r="A391" t="str">
        <f t="shared" si="6"/>
        <v>00</v>
      </c>
      <c r="B391">
        <f>+'Paste Here'!N391</f>
        <v>0</v>
      </c>
      <c r="C391">
        <f>+'Paste Here'!O391</f>
        <v>0</v>
      </c>
      <c r="D391">
        <f>+'Paste Here'!P391</f>
        <v>0</v>
      </c>
      <c r="E391">
        <f>+'Paste Here'!Q391</f>
        <v>0</v>
      </c>
      <c r="F391">
        <f>+'Paste Here'!R391</f>
        <v>0</v>
      </c>
      <c r="G391">
        <f>+'Paste Here'!S391</f>
        <v>0</v>
      </c>
      <c r="H391">
        <f>+'Paste Here'!T391</f>
        <v>0</v>
      </c>
      <c r="I391">
        <f>+'Paste Here'!U391</f>
        <v>0</v>
      </c>
      <c r="J391">
        <f>+'Paste Here'!V391</f>
        <v>0</v>
      </c>
      <c r="K391">
        <f>+'Paste Here'!W391</f>
        <v>0</v>
      </c>
    </row>
    <row r="392" spans="1:11">
      <c r="A392" t="str">
        <f t="shared" si="6"/>
        <v>00</v>
      </c>
      <c r="B392">
        <f>+'Paste Here'!N392</f>
        <v>0</v>
      </c>
      <c r="C392">
        <f>+'Paste Here'!O392</f>
        <v>0</v>
      </c>
      <c r="D392">
        <f>+'Paste Here'!P392</f>
        <v>0</v>
      </c>
      <c r="E392">
        <f>+'Paste Here'!Q392</f>
        <v>0</v>
      </c>
      <c r="F392">
        <f>+'Paste Here'!R392</f>
        <v>0</v>
      </c>
      <c r="G392">
        <f>+'Paste Here'!S392</f>
        <v>0</v>
      </c>
      <c r="H392">
        <f>+'Paste Here'!T392</f>
        <v>0</v>
      </c>
      <c r="I392">
        <f>+'Paste Here'!U392</f>
        <v>0</v>
      </c>
      <c r="J392">
        <f>+'Paste Here'!V392</f>
        <v>0</v>
      </c>
      <c r="K392">
        <f>+'Paste Here'!W392</f>
        <v>0</v>
      </c>
    </row>
    <row r="393" spans="1:11">
      <c r="A393" t="str">
        <f t="shared" si="6"/>
        <v>00</v>
      </c>
      <c r="B393">
        <f>+'Paste Here'!N393</f>
        <v>0</v>
      </c>
      <c r="C393">
        <f>+'Paste Here'!O393</f>
        <v>0</v>
      </c>
      <c r="D393">
        <f>+'Paste Here'!P393</f>
        <v>0</v>
      </c>
      <c r="E393">
        <f>+'Paste Here'!Q393</f>
        <v>0</v>
      </c>
      <c r="F393">
        <f>+'Paste Here'!R393</f>
        <v>0</v>
      </c>
      <c r="G393">
        <f>+'Paste Here'!S393</f>
        <v>0</v>
      </c>
      <c r="H393">
        <f>+'Paste Here'!T393</f>
        <v>0</v>
      </c>
      <c r="I393">
        <f>+'Paste Here'!U393</f>
        <v>0</v>
      </c>
      <c r="J393">
        <f>+'Paste Here'!V393</f>
        <v>0</v>
      </c>
      <c r="K393">
        <f>+'Paste Here'!W393</f>
        <v>0</v>
      </c>
    </row>
    <row r="394" spans="1:11">
      <c r="A394" t="str">
        <f t="shared" si="6"/>
        <v>00</v>
      </c>
      <c r="B394">
        <f>+'Paste Here'!N394</f>
        <v>0</v>
      </c>
      <c r="C394">
        <f>+'Paste Here'!O394</f>
        <v>0</v>
      </c>
      <c r="D394">
        <f>+'Paste Here'!P394</f>
        <v>0</v>
      </c>
      <c r="E394">
        <f>+'Paste Here'!Q394</f>
        <v>0</v>
      </c>
      <c r="F394">
        <f>+'Paste Here'!R394</f>
        <v>0</v>
      </c>
      <c r="G394">
        <f>+'Paste Here'!S394</f>
        <v>0</v>
      </c>
      <c r="H394">
        <f>+'Paste Here'!T394</f>
        <v>0</v>
      </c>
      <c r="I394">
        <f>+'Paste Here'!U394</f>
        <v>0</v>
      </c>
      <c r="J394">
        <f>+'Paste Here'!V394</f>
        <v>0</v>
      </c>
      <c r="K394">
        <f>+'Paste Here'!W394</f>
        <v>0</v>
      </c>
    </row>
    <row r="395" spans="1:11">
      <c r="A395" t="str">
        <f t="shared" si="6"/>
        <v>00</v>
      </c>
      <c r="B395">
        <f>+'Paste Here'!N395</f>
        <v>0</v>
      </c>
      <c r="C395">
        <f>+'Paste Here'!O395</f>
        <v>0</v>
      </c>
      <c r="D395">
        <f>+'Paste Here'!P395</f>
        <v>0</v>
      </c>
      <c r="E395">
        <f>+'Paste Here'!Q395</f>
        <v>0</v>
      </c>
      <c r="F395">
        <f>+'Paste Here'!R395</f>
        <v>0</v>
      </c>
      <c r="G395">
        <f>+'Paste Here'!S395</f>
        <v>0</v>
      </c>
      <c r="H395">
        <f>+'Paste Here'!T395</f>
        <v>0</v>
      </c>
      <c r="I395">
        <f>+'Paste Here'!U395</f>
        <v>0</v>
      </c>
      <c r="J395">
        <f>+'Paste Here'!V395</f>
        <v>0</v>
      </c>
      <c r="K395">
        <f>+'Paste Here'!W395</f>
        <v>0</v>
      </c>
    </row>
    <row r="396" spans="1:11">
      <c r="A396" t="str">
        <f t="shared" si="6"/>
        <v>00</v>
      </c>
      <c r="B396">
        <f>+'Paste Here'!N396</f>
        <v>0</v>
      </c>
      <c r="C396">
        <f>+'Paste Here'!O396</f>
        <v>0</v>
      </c>
      <c r="D396">
        <f>+'Paste Here'!P396</f>
        <v>0</v>
      </c>
      <c r="E396">
        <f>+'Paste Here'!Q396</f>
        <v>0</v>
      </c>
      <c r="F396">
        <f>+'Paste Here'!R396</f>
        <v>0</v>
      </c>
      <c r="G396">
        <f>+'Paste Here'!S396</f>
        <v>0</v>
      </c>
      <c r="H396">
        <f>+'Paste Here'!T396</f>
        <v>0</v>
      </c>
      <c r="I396">
        <f>+'Paste Here'!U396</f>
        <v>0</v>
      </c>
      <c r="J396">
        <f>+'Paste Here'!V396</f>
        <v>0</v>
      </c>
      <c r="K396">
        <f>+'Paste Here'!W396</f>
        <v>0</v>
      </c>
    </row>
    <row r="397" spans="1:11">
      <c r="A397" t="str">
        <f t="shared" si="6"/>
        <v>00</v>
      </c>
      <c r="B397">
        <f>+'Paste Here'!N397</f>
        <v>0</v>
      </c>
      <c r="C397">
        <f>+'Paste Here'!O397</f>
        <v>0</v>
      </c>
      <c r="D397">
        <f>+'Paste Here'!P397</f>
        <v>0</v>
      </c>
      <c r="E397">
        <f>+'Paste Here'!Q397</f>
        <v>0</v>
      </c>
      <c r="F397">
        <f>+'Paste Here'!R397</f>
        <v>0</v>
      </c>
      <c r="G397">
        <f>+'Paste Here'!S397</f>
        <v>0</v>
      </c>
      <c r="H397">
        <f>+'Paste Here'!T397</f>
        <v>0</v>
      </c>
      <c r="I397">
        <f>+'Paste Here'!U397</f>
        <v>0</v>
      </c>
      <c r="J397">
        <f>+'Paste Here'!V397</f>
        <v>0</v>
      </c>
      <c r="K397">
        <f>+'Paste Here'!W397</f>
        <v>0</v>
      </c>
    </row>
    <row r="398" spans="1:11">
      <c r="A398" t="str">
        <f t="shared" si="6"/>
        <v>00</v>
      </c>
      <c r="B398">
        <f>+'Paste Here'!N398</f>
        <v>0</v>
      </c>
      <c r="C398">
        <f>+'Paste Here'!O398</f>
        <v>0</v>
      </c>
      <c r="D398">
        <f>+'Paste Here'!P398</f>
        <v>0</v>
      </c>
      <c r="E398">
        <f>+'Paste Here'!Q398</f>
        <v>0</v>
      </c>
      <c r="F398">
        <f>+'Paste Here'!R398</f>
        <v>0</v>
      </c>
      <c r="G398">
        <f>+'Paste Here'!S398</f>
        <v>0</v>
      </c>
      <c r="H398">
        <f>+'Paste Here'!T398</f>
        <v>0</v>
      </c>
      <c r="I398">
        <f>+'Paste Here'!U398</f>
        <v>0</v>
      </c>
      <c r="J398">
        <f>+'Paste Here'!V398</f>
        <v>0</v>
      </c>
      <c r="K398">
        <f>+'Paste Here'!W398</f>
        <v>0</v>
      </c>
    </row>
    <row r="399" spans="1:11">
      <c r="A399" t="str">
        <f t="shared" si="6"/>
        <v>00</v>
      </c>
      <c r="B399">
        <f>+'Paste Here'!N399</f>
        <v>0</v>
      </c>
      <c r="C399">
        <f>+'Paste Here'!O399</f>
        <v>0</v>
      </c>
      <c r="D399">
        <f>+'Paste Here'!P399</f>
        <v>0</v>
      </c>
      <c r="E399">
        <f>+'Paste Here'!Q399</f>
        <v>0</v>
      </c>
      <c r="F399">
        <f>+'Paste Here'!R399</f>
        <v>0</v>
      </c>
      <c r="G399">
        <f>+'Paste Here'!S399</f>
        <v>0</v>
      </c>
      <c r="H399">
        <f>+'Paste Here'!T399</f>
        <v>0</v>
      </c>
      <c r="I399">
        <f>+'Paste Here'!U399</f>
        <v>0</v>
      </c>
      <c r="J399">
        <f>+'Paste Here'!V399</f>
        <v>0</v>
      </c>
      <c r="K399">
        <f>+'Paste Here'!W399</f>
        <v>0</v>
      </c>
    </row>
    <row r="400" spans="1:11">
      <c r="A400" t="str">
        <f t="shared" si="6"/>
        <v>00</v>
      </c>
      <c r="B400">
        <f>+'Paste Here'!N400</f>
        <v>0</v>
      </c>
      <c r="C400">
        <f>+'Paste Here'!O400</f>
        <v>0</v>
      </c>
      <c r="D400">
        <f>+'Paste Here'!P400</f>
        <v>0</v>
      </c>
      <c r="E400">
        <f>+'Paste Here'!Q400</f>
        <v>0</v>
      </c>
      <c r="F400">
        <f>+'Paste Here'!R400</f>
        <v>0</v>
      </c>
      <c r="G400">
        <f>+'Paste Here'!S400</f>
        <v>0</v>
      </c>
      <c r="H400">
        <f>+'Paste Here'!T400</f>
        <v>0</v>
      </c>
      <c r="I400">
        <f>+'Paste Here'!U400</f>
        <v>0</v>
      </c>
      <c r="J400">
        <f>+'Paste Here'!V400</f>
        <v>0</v>
      </c>
      <c r="K400">
        <f>+'Paste Here'!W400</f>
        <v>0</v>
      </c>
    </row>
    <row r="401" spans="1:11">
      <c r="A401" t="str">
        <f t="shared" si="6"/>
        <v>00</v>
      </c>
      <c r="B401">
        <f>+'Paste Here'!N401</f>
        <v>0</v>
      </c>
      <c r="C401">
        <f>+'Paste Here'!O401</f>
        <v>0</v>
      </c>
      <c r="D401">
        <f>+'Paste Here'!P401</f>
        <v>0</v>
      </c>
      <c r="E401">
        <f>+'Paste Here'!Q401</f>
        <v>0</v>
      </c>
      <c r="F401">
        <f>+'Paste Here'!R401</f>
        <v>0</v>
      </c>
      <c r="G401">
        <f>+'Paste Here'!S401</f>
        <v>0</v>
      </c>
      <c r="H401">
        <f>+'Paste Here'!T401</f>
        <v>0</v>
      </c>
      <c r="I401">
        <f>+'Paste Here'!U401</f>
        <v>0</v>
      </c>
      <c r="J401">
        <f>+'Paste Here'!V401</f>
        <v>0</v>
      </c>
      <c r="K401">
        <f>+'Paste Here'!W401</f>
        <v>0</v>
      </c>
    </row>
    <row r="402" spans="1:11">
      <c r="A402" t="str">
        <f t="shared" si="6"/>
        <v>00</v>
      </c>
      <c r="B402">
        <f>+'Paste Here'!N402</f>
        <v>0</v>
      </c>
      <c r="C402">
        <f>+'Paste Here'!O402</f>
        <v>0</v>
      </c>
      <c r="D402">
        <f>+'Paste Here'!P402</f>
        <v>0</v>
      </c>
      <c r="E402">
        <f>+'Paste Here'!Q402</f>
        <v>0</v>
      </c>
      <c r="F402">
        <f>+'Paste Here'!R402</f>
        <v>0</v>
      </c>
      <c r="G402">
        <f>+'Paste Here'!S402</f>
        <v>0</v>
      </c>
      <c r="H402">
        <f>+'Paste Here'!T402</f>
        <v>0</v>
      </c>
      <c r="I402">
        <f>+'Paste Here'!U402</f>
        <v>0</v>
      </c>
      <c r="J402">
        <f>+'Paste Here'!V402</f>
        <v>0</v>
      </c>
      <c r="K402">
        <f>+'Paste Here'!W402</f>
        <v>0</v>
      </c>
    </row>
    <row r="403" spans="1:11">
      <c r="A403" t="str">
        <f t="shared" si="6"/>
        <v>00</v>
      </c>
      <c r="B403">
        <f>+'Paste Here'!N403</f>
        <v>0</v>
      </c>
      <c r="C403">
        <f>+'Paste Here'!O403</f>
        <v>0</v>
      </c>
      <c r="D403">
        <f>+'Paste Here'!P403</f>
        <v>0</v>
      </c>
      <c r="E403">
        <f>+'Paste Here'!Q403</f>
        <v>0</v>
      </c>
      <c r="F403">
        <f>+'Paste Here'!R403</f>
        <v>0</v>
      </c>
      <c r="G403">
        <f>+'Paste Here'!S403</f>
        <v>0</v>
      </c>
      <c r="H403">
        <f>+'Paste Here'!T403</f>
        <v>0</v>
      </c>
      <c r="I403">
        <f>+'Paste Here'!U403</f>
        <v>0</v>
      </c>
      <c r="J403">
        <f>+'Paste Here'!V403</f>
        <v>0</v>
      </c>
      <c r="K403">
        <f>+'Paste Here'!W403</f>
        <v>0</v>
      </c>
    </row>
    <row r="404" spans="1:11">
      <c r="A404" t="str">
        <f t="shared" si="6"/>
        <v>00</v>
      </c>
      <c r="B404">
        <f>+'Paste Here'!N404</f>
        <v>0</v>
      </c>
      <c r="C404">
        <f>+'Paste Here'!O404</f>
        <v>0</v>
      </c>
      <c r="D404">
        <f>+'Paste Here'!P404</f>
        <v>0</v>
      </c>
      <c r="E404">
        <f>+'Paste Here'!Q404</f>
        <v>0</v>
      </c>
      <c r="F404">
        <f>+'Paste Here'!R404</f>
        <v>0</v>
      </c>
      <c r="G404">
        <f>+'Paste Here'!S404</f>
        <v>0</v>
      </c>
      <c r="H404">
        <f>+'Paste Here'!T404</f>
        <v>0</v>
      </c>
      <c r="I404">
        <f>+'Paste Here'!U404</f>
        <v>0</v>
      </c>
      <c r="J404">
        <f>+'Paste Here'!V404</f>
        <v>0</v>
      </c>
      <c r="K404">
        <f>+'Paste Here'!W404</f>
        <v>0</v>
      </c>
    </row>
    <row r="405" spans="1:11">
      <c r="A405" t="str">
        <f t="shared" si="6"/>
        <v>00</v>
      </c>
      <c r="B405">
        <f>+'Paste Here'!N405</f>
        <v>0</v>
      </c>
      <c r="C405">
        <f>+'Paste Here'!O405</f>
        <v>0</v>
      </c>
      <c r="D405">
        <f>+'Paste Here'!P405</f>
        <v>0</v>
      </c>
      <c r="E405">
        <f>+'Paste Here'!Q405</f>
        <v>0</v>
      </c>
      <c r="F405">
        <f>+'Paste Here'!R405</f>
        <v>0</v>
      </c>
      <c r="G405">
        <f>+'Paste Here'!S405</f>
        <v>0</v>
      </c>
      <c r="H405">
        <f>+'Paste Here'!T405</f>
        <v>0</v>
      </c>
      <c r="I405">
        <f>+'Paste Here'!U405</f>
        <v>0</v>
      </c>
      <c r="J405">
        <f>+'Paste Here'!V405</f>
        <v>0</v>
      </c>
      <c r="K405">
        <f>+'Paste Here'!W405</f>
        <v>0</v>
      </c>
    </row>
    <row r="406" spans="1:11">
      <c r="A406" t="str">
        <f t="shared" si="6"/>
        <v>00</v>
      </c>
      <c r="B406">
        <f>+'Paste Here'!N406</f>
        <v>0</v>
      </c>
      <c r="C406">
        <f>+'Paste Here'!O406</f>
        <v>0</v>
      </c>
      <c r="D406">
        <f>+'Paste Here'!P406</f>
        <v>0</v>
      </c>
      <c r="E406">
        <f>+'Paste Here'!Q406</f>
        <v>0</v>
      </c>
      <c r="F406">
        <f>+'Paste Here'!R406</f>
        <v>0</v>
      </c>
      <c r="G406">
        <f>+'Paste Here'!S406</f>
        <v>0</v>
      </c>
      <c r="H406">
        <f>+'Paste Here'!T406</f>
        <v>0</v>
      </c>
      <c r="I406">
        <f>+'Paste Here'!U406</f>
        <v>0</v>
      </c>
      <c r="J406">
        <f>+'Paste Here'!V406</f>
        <v>0</v>
      </c>
      <c r="K406">
        <f>+'Paste Here'!W406</f>
        <v>0</v>
      </c>
    </row>
    <row r="407" spans="1:11">
      <c r="A407" t="str">
        <f t="shared" si="6"/>
        <v>00</v>
      </c>
      <c r="B407">
        <f>+'Paste Here'!N407</f>
        <v>0</v>
      </c>
      <c r="C407">
        <f>+'Paste Here'!O407</f>
        <v>0</v>
      </c>
      <c r="D407">
        <f>+'Paste Here'!P407</f>
        <v>0</v>
      </c>
      <c r="E407">
        <f>+'Paste Here'!Q407</f>
        <v>0</v>
      </c>
      <c r="F407">
        <f>+'Paste Here'!R407</f>
        <v>0</v>
      </c>
      <c r="G407">
        <f>+'Paste Here'!S407</f>
        <v>0</v>
      </c>
      <c r="H407">
        <f>+'Paste Here'!T407</f>
        <v>0</v>
      </c>
      <c r="I407">
        <f>+'Paste Here'!U407</f>
        <v>0</v>
      </c>
      <c r="J407">
        <f>+'Paste Here'!V407</f>
        <v>0</v>
      </c>
      <c r="K407">
        <f>+'Paste Here'!W407</f>
        <v>0</v>
      </c>
    </row>
    <row r="408" spans="1:11">
      <c r="A408" t="str">
        <f t="shared" si="6"/>
        <v>00</v>
      </c>
      <c r="B408">
        <f>+'Paste Here'!N408</f>
        <v>0</v>
      </c>
      <c r="C408">
        <f>+'Paste Here'!O408</f>
        <v>0</v>
      </c>
      <c r="D408">
        <f>+'Paste Here'!P408</f>
        <v>0</v>
      </c>
      <c r="E408">
        <f>+'Paste Here'!Q408</f>
        <v>0</v>
      </c>
      <c r="F408">
        <f>+'Paste Here'!R408</f>
        <v>0</v>
      </c>
      <c r="G408">
        <f>+'Paste Here'!S408</f>
        <v>0</v>
      </c>
      <c r="H408">
        <f>+'Paste Here'!T408</f>
        <v>0</v>
      </c>
      <c r="I408">
        <f>+'Paste Here'!U408</f>
        <v>0</v>
      </c>
      <c r="J408">
        <f>+'Paste Here'!V408</f>
        <v>0</v>
      </c>
      <c r="K408">
        <f>+'Paste Here'!W408</f>
        <v>0</v>
      </c>
    </row>
    <row r="409" spans="1:11">
      <c r="A409" t="str">
        <f t="shared" si="6"/>
        <v>00</v>
      </c>
      <c r="B409">
        <f>+'Paste Here'!N409</f>
        <v>0</v>
      </c>
      <c r="C409">
        <f>+'Paste Here'!O409</f>
        <v>0</v>
      </c>
      <c r="D409">
        <f>+'Paste Here'!P409</f>
        <v>0</v>
      </c>
      <c r="E409">
        <f>+'Paste Here'!Q409</f>
        <v>0</v>
      </c>
      <c r="F409">
        <f>+'Paste Here'!R409</f>
        <v>0</v>
      </c>
      <c r="G409">
        <f>+'Paste Here'!S409</f>
        <v>0</v>
      </c>
      <c r="H409">
        <f>+'Paste Here'!T409</f>
        <v>0</v>
      </c>
      <c r="I409">
        <f>+'Paste Here'!U409</f>
        <v>0</v>
      </c>
      <c r="J409">
        <f>+'Paste Here'!V409</f>
        <v>0</v>
      </c>
      <c r="K409">
        <f>+'Paste Here'!W409</f>
        <v>0</v>
      </c>
    </row>
    <row r="410" spans="1:11">
      <c r="A410" t="str">
        <f t="shared" si="6"/>
        <v>00</v>
      </c>
      <c r="B410">
        <f>+'Paste Here'!N410</f>
        <v>0</v>
      </c>
      <c r="C410">
        <f>+'Paste Here'!O410</f>
        <v>0</v>
      </c>
      <c r="D410">
        <f>+'Paste Here'!P410</f>
        <v>0</v>
      </c>
      <c r="E410">
        <f>+'Paste Here'!Q410</f>
        <v>0</v>
      </c>
      <c r="F410">
        <f>+'Paste Here'!R410</f>
        <v>0</v>
      </c>
      <c r="G410">
        <f>+'Paste Here'!S410</f>
        <v>0</v>
      </c>
      <c r="H410">
        <f>+'Paste Here'!T410</f>
        <v>0</v>
      </c>
      <c r="I410">
        <f>+'Paste Here'!U410</f>
        <v>0</v>
      </c>
      <c r="J410">
        <f>+'Paste Here'!V410</f>
        <v>0</v>
      </c>
      <c r="K410">
        <f>+'Paste Here'!W410</f>
        <v>0</v>
      </c>
    </row>
    <row r="411" spans="1:11">
      <c r="A411" t="str">
        <f t="shared" si="6"/>
        <v>00</v>
      </c>
      <c r="B411">
        <f>+'Paste Here'!N411</f>
        <v>0</v>
      </c>
      <c r="C411">
        <f>+'Paste Here'!O411</f>
        <v>0</v>
      </c>
      <c r="D411">
        <f>+'Paste Here'!P411</f>
        <v>0</v>
      </c>
      <c r="E411">
        <f>+'Paste Here'!Q411</f>
        <v>0</v>
      </c>
      <c r="F411">
        <f>+'Paste Here'!R411</f>
        <v>0</v>
      </c>
      <c r="G411">
        <f>+'Paste Here'!S411</f>
        <v>0</v>
      </c>
      <c r="H411">
        <f>+'Paste Here'!T411</f>
        <v>0</v>
      </c>
      <c r="I411">
        <f>+'Paste Here'!U411</f>
        <v>0</v>
      </c>
      <c r="J411">
        <f>+'Paste Here'!V411</f>
        <v>0</v>
      </c>
      <c r="K411">
        <f>+'Paste Here'!W411</f>
        <v>0</v>
      </c>
    </row>
    <row r="412" spans="1:11">
      <c r="A412" t="str">
        <f t="shared" si="6"/>
        <v>00</v>
      </c>
      <c r="B412">
        <f>+'Paste Here'!N412</f>
        <v>0</v>
      </c>
      <c r="C412">
        <f>+'Paste Here'!O412</f>
        <v>0</v>
      </c>
      <c r="D412">
        <f>+'Paste Here'!P412</f>
        <v>0</v>
      </c>
      <c r="E412">
        <f>+'Paste Here'!Q412</f>
        <v>0</v>
      </c>
      <c r="F412">
        <f>+'Paste Here'!R412</f>
        <v>0</v>
      </c>
      <c r="G412">
        <f>+'Paste Here'!S412</f>
        <v>0</v>
      </c>
      <c r="H412">
        <f>+'Paste Here'!T412</f>
        <v>0</v>
      </c>
      <c r="I412">
        <f>+'Paste Here'!U412</f>
        <v>0</v>
      </c>
      <c r="J412">
        <f>+'Paste Here'!V412</f>
        <v>0</v>
      </c>
      <c r="K412">
        <f>+'Paste Here'!W412</f>
        <v>0</v>
      </c>
    </row>
    <row r="413" spans="1:11">
      <c r="A413" t="str">
        <f t="shared" si="6"/>
        <v>00</v>
      </c>
      <c r="B413">
        <f>+'Paste Here'!N413</f>
        <v>0</v>
      </c>
      <c r="C413">
        <f>+'Paste Here'!O413</f>
        <v>0</v>
      </c>
      <c r="D413">
        <f>+'Paste Here'!P413</f>
        <v>0</v>
      </c>
      <c r="E413">
        <f>+'Paste Here'!Q413</f>
        <v>0</v>
      </c>
      <c r="F413">
        <f>+'Paste Here'!R413</f>
        <v>0</v>
      </c>
      <c r="G413">
        <f>+'Paste Here'!S413</f>
        <v>0</v>
      </c>
      <c r="H413">
        <f>+'Paste Here'!T413</f>
        <v>0</v>
      </c>
      <c r="I413">
        <f>+'Paste Here'!U413</f>
        <v>0</v>
      </c>
      <c r="J413">
        <f>+'Paste Here'!V413</f>
        <v>0</v>
      </c>
      <c r="K413">
        <f>+'Paste Here'!W413</f>
        <v>0</v>
      </c>
    </row>
    <row r="414" spans="1:11">
      <c r="A414" t="str">
        <f t="shared" si="6"/>
        <v>00</v>
      </c>
      <c r="B414">
        <f>+'Paste Here'!N414</f>
        <v>0</v>
      </c>
      <c r="C414">
        <f>+'Paste Here'!O414</f>
        <v>0</v>
      </c>
      <c r="D414">
        <f>+'Paste Here'!P414</f>
        <v>0</v>
      </c>
      <c r="E414">
        <f>+'Paste Here'!Q414</f>
        <v>0</v>
      </c>
      <c r="F414">
        <f>+'Paste Here'!R414</f>
        <v>0</v>
      </c>
      <c r="G414">
        <f>+'Paste Here'!S414</f>
        <v>0</v>
      </c>
      <c r="H414">
        <f>+'Paste Here'!T414</f>
        <v>0</v>
      </c>
      <c r="I414">
        <f>+'Paste Here'!U414</f>
        <v>0</v>
      </c>
      <c r="J414">
        <f>+'Paste Here'!V414</f>
        <v>0</v>
      </c>
      <c r="K414">
        <f>+'Paste Here'!W414</f>
        <v>0</v>
      </c>
    </row>
    <row r="415" spans="1:11">
      <c r="A415" t="str">
        <f t="shared" si="6"/>
        <v>00</v>
      </c>
      <c r="B415">
        <f>+'Paste Here'!N415</f>
        <v>0</v>
      </c>
      <c r="C415">
        <f>+'Paste Here'!O415</f>
        <v>0</v>
      </c>
      <c r="D415">
        <f>+'Paste Here'!P415</f>
        <v>0</v>
      </c>
      <c r="E415">
        <f>+'Paste Here'!Q415</f>
        <v>0</v>
      </c>
      <c r="F415">
        <f>+'Paste Here'!R415</f>
        <v>0</v>
      </c>
      <c r="G415">
        <f>+'Paste Here'!S415</f>
        <v>0</v>
      </c>
      <c r="H415">
        <f>+'Paste Here'!T415</f>
        <v>0</v>
      </c>
      <c r="I415">
        <f>+'Paste Here'!U415</f>
        <v>0</v>
      </c>
      <c r="J415">
        <f>+'Paste Here'!V415</f>
        <v>0</v>
      </c>
      <c r="K415">
        <f>+'Paste Here'!W415</f>
        <v>0</v>
      </c>
    </row>
    <row r="416" spans="1:11">
      <c r="A416" t="str">
        <f t="shared" si="6"/>
        <v>00</v>
      </c>
      <c r="B416">
        <f>+'Paste Here'!N416</f>
        <v>0</v>
      </c>
      <c r="C416">
        <f>+'Paste Here'!O416</f>
        <v>0</v>
      </c>
      <c r="D416">
        <f>+'Paste Here'!P416</f>
        <v>0</v>
      </c>
      <c r="E416">
        <f>+'Paste Here'!Q416</f>
        <v>0</v>
      </c>
      <c r="F416">
        <f>+'Paste Here'!R416</f>
        <v>0</v>
      </c>
      <c r="G416">
        <f>+'Paste Here'!S416</f>
        <v>0</v>
      </c>
      <c r="H416">
        <f>+'Paste Here'!T416</f>
        <v>0</v>
      </c>
      <c r="I416">
        <f>+'Paste Here'!U416</f>
        <v>0</v>
      </c>
      <c r="J416">
        <f>+'Paste Here'!V416</f>
        <v>0</v>
      </c>
      <c r="K416">
        <f>+'Paste Here'!W416</f>
        <v>0</v>
      </c>
    </row>
    <row r="417" spans="1:11">
      <c r="A417" t="str">
        <f t="shared" si="6"/>
        <v>00</v>
      </c>
      <c r="B417">
        <f>+'Paste Here'!N417</f>
        <v>0</v>
      </c>
      <c r="C417">
        <f>+'Paste Here'!O417</f>
        <v>0</v>
      </c>
      <c r="D417">
        <f>+'Paste Here'!P417</f>
        <v>0</v>
      </c>
      <c r="E417">
        <f>+'Paste Here'!Q417</f>
        <v>0</v>
      </c>
      <c r="F417">
        <f>+'Paste Here'!R417</f>
        <v>0</v>
      </c>
      <c r="G417">
        <f>+'Paste Here'!S417</f>
        <v>0</v>
      </c>
      <c r="H417">
        <f>+'Paste Here'!T417</f>
        <v>0</v>
      </c>
      <c r="I417">
        <f>+'Paste Here'!U417</f>
        <v>0</v>
      </c>
      <c r="J417">
        <f>+'Paste Here'!V417</f>
        <v>0</v>
      </c>
      <c r="K417">
        <f>+'Paste Here'!W417</f>
        <v>0</v>
      </c>
    </row>
    <row r="418" spans="1:11">
      <c r="A418" t="str">
        <f t="shared" si="6"/>
        <v>00</v>
      </c>
      <c r="B418">
        <f>+'Paste Here'!N418</f>
        <v>0</v>
      </c>
      <c r="C418">
        <f>+'Paste Here'!O418</f>
        <v>0</v>
      </c>
      <c r="D418">
        <f>+'Paste Here'!P418</f>
        <v>0</v>
      </c>
      <c r="E418">
        <f>+'Paste Here'!Q418</f>
        <v>0</v>
      </c>
      <c r="F418">
        <f>+'Paste Here'!R418</f>
        <v>0</v>
      </c>
      <c r="G418">
        <f>+'Paste Here'!S418</f>
        <v>0</v>
      </c>
      <c r="H418">
        <f>+'Paste Here'!T418</f>
        <v>0</v>
      </c>
      <c r="I418">
        <f>+'Paste Here'!U418</f>
        <v>0</v>
      </c>
      <c r="J418">
        <f>+'Paste Here'!V418</f>
        <v>0</v>
      </c>
      <c r="K418">
        <f>+'Paste Here'!W418</f>
        <v>0</v>
      </c>
    </row>
    <row r="419" spans="1:11">
      <c r="A419" t="str">
        <f t="shared" si="6"/>
        <v>00</v>
      </c>
      <c r="B419">
        <f>+'Paste Here'!N419</f>
        <v>0</v>
      </c>
      <c r="C419">
        <f>+'Paste Here'!O419</f>
        <v>0</v>
      </c>
      <c r="D419">
        <f>+'Paste Here'!P419</f>
        <v>0</v>
      </c>
      <c r="E419">
        <f>+'Paste Here'!Q419</f>
        <v>0</v>
      </c>
      <c r="F419">
        <f>+'Paste Here'!R419</f>
        <v>0</v>
      </c>
      <c r="G419">
        <f>+'Paste Here'!S419</f>
        <v>0</v>
      </c>
      <c r="H419">
        <f>+'Paste Here'!T419</f>
        <v>0</v>
      </c>
      <c r="I419">
        <f>+'Paste Here'!U419</f>
        <v>0</v>
      </c>
      <c r="J419">
        <f>+'Paste Here'!V419</f>
        <v>0</v>
      </c>
      <c r="K419">
        <f>+'Paste Here'!W419</f>
        <v>0</v>
      </c>
    </row>
    <row r="420" spans="1:11">
      <c r="A420" t="str">
        <f t="shared" si="6"/>
        <v>00</v>
      </c>
      <c r="B420">
        <f>+'Paste Here'!N420</f>
        <v>0</v>
      </c>
      <c r="C420">
        <f>+'Paste Here'!O420</f>
        <v>0</v>
      </c>
      <c r="D420">
        <f>+'Paste Here'!P420</f>
        <v>0</v>
      </c>
      <c r="E420">
        <f>+'Paste Here'!Q420</f>
        <v>0</v>
      </c>
      <c r="F420">
        <f>+'Paste Here'!R420</f>
        <v>0</v>
      </c>
      <c r="G420">
        <f>+'Paste Here'!S420</f>
        <v>0</v>
      </c>
      <c r="H420">
        <f>+'Paste Here'!T420</f>
        <v>0</v>
      </c>
      <c r="I420">
        <f>+'Paste Here'!U420</f>
        <v>0</v>
      </c>
      <c r="J420">
        <f>+'Paste Here'!V420</f>
        <v>0</v>
      </c>
      <c r="K420">
        <f>+'Paste Here'!W420</f>
        <v>0</v>
      </c>
    </row>
    <row r="421" spans="1:11">
      <c r="A421" t="str">
        <f t="shared" si="6"/>
        <v>00</v>
      </c>
      <c r="B421">
        <f>+'Paste Here'!N421</f>
        <v>0</v>
      </c>
      <c r="C421">
        <f>+'Paste Here'!O421</f>
        <v>0</v>
      </c>
      <c r="D421">
        <f>+'Paste Here'!P421</f>
        <v>0</v>
      </c>
      <c r="E421">
        <f>+'Paste Here'!Q421</f>
        <v>0</v>
      </c>
      <c r="F421">
        <f>+'Paste Here'!R421</f>
        <v>0</v>
      </c>
      <c r="G421">
        <f>+'Paste Here'!S421</f>
        <v>0</v>
      </c>
      <c r="H421">
        <f>+'Paste Here'!T421</f>
        <v>0</v>
      </c>
      <c r="I421">
        <f>+'Paste Here'!U421</f>
        <v>0</v>
      </c>
      <c r="J421">
        <f>+'Paste Here'!V421</f>
        <v>0</v>
      </c>
      <c r="K421">
        <f>+'Paste Here'!W421</f>
        <v>0</v>
      </c>
    </row>
    <row r="422" spans="1:11">
      <c r="A422" t="str">
        <f t="shared" si="6"/>
        <v>00</v>
      </c>
      <c r="B422">
        <f>+'Paste Here'!N422</f>
        <v>0</v>
      </c>
      <c r="C422">
        <f>+'Paste Here'!O422</f>
        <v>0</v>
      </c>
      <c r="D422">
        <f>+'Paste Here'!P422</f>
        <v>0</v>
      </c>
      <c r="E422">
        <f>+'Paste Here'!Q422</f>
        <v>0</v>
      </c>
      <c r="F422">
        <f>+'Paste Here'!R422</f>
        <v>0</v>
      </c>
      <c r="G422">
        <f>+'Paste Here'!S422</f>
        <v>0</v>
      </c>
      <c r="H422">
        <f>+'Paste Here'!T422</f>
        <v>0</v>
      </c>
      <c r="I422">
        <f>+'Paste Here'!U422</f>
        <v>0</v>
      </c>
      <c r="J422">
        <f>+'Paste Here'!V422</f>
        <v>0</v>
      </c>
      <c r="K422">
        <f>+'Paste Here'!W422</f>
        <v>0</v>
      </c>
    </row>
    <row r="423" spans="1:11">
      <c r="A423" t="str">
        <f t="shared" si="6"/>
        <v>00</v>
      </c>
      <c r="B423">
        <f>+'Paste Here'!N423</f>
        <v>0</v>
      </c>
      <c r="C423">
        <f>+'Paste Here'!O423</f>
        <v>0</v>
      </c>
      <c r="D423">
        <f>+'Paste Here'!P423</f>
        <v>0</v>
      </c>
      <c r="E423">
        <f>+'Paste Here'!Q423</f>
        <v>0</v>
      </c>
      <c r="F423">
        <f>+'Paste Here'!R423</f>
        <v>0</v>
      </c>
      <c r="G423">
        <f>+'Paste Here'!S423</f>
        <v>0</v>
      </c>
      <c r="H423">
        <f>+'Paste Here'!T423</f>
        <v>0</v>
      </c>
      <c r="I423">
        <f>+'Paste Here'!U423</f>
        <v>0</v>
      </c>
      <c r="J423">
        <f>+'Paste Here'!V423</f>
        <v>0</v>
      </c>
      <c r="K423">
        <f>+'Paste Here'!W423</f>
        <v>0</v>
      </c>
    </row>
    <row r="424" spans="1:11">
      <c r="A424" t="str">
        <f t="shared" si="6"/>
        <v>00</v>
      </c>
      <c r="B424">
        <f>+'Paste Here'!N424</f>
        <v>0</v>
      </c>
      <c r="C424">
        <f>+'Paste Here'!O424</f>
        <v>0</v>
      </c>
      <c r="D424">
        <f>+'Paste Here'!P424</f>
        <v>0</v>
      </c>
      <c r="E424">
        <f>+'Paste Here'!Q424</f>
        <v>0</v>
      </c>
      <c r="F424">
        <f>+'Paste Here'!R424</f>
        <v>0</v>
      </c>
      <c r="G424">
        <f>+'Paste Here'!S424</f>
        <v>0</v>
      </c>
      <c r="H424">
        <f>+'Paste Here'!T424</f>
        <v>0</v>
      </c>
      <c r="I424">
        <f>+'Paste Here'!U424</f>
        <v>0</v>
      </c>
      <c r="J424">
        <f>+'Paste Here'!V424</f>
        <v>0</v>
      </c>
      <c r="K424">
        <f>+'Paste Here'!W424</f>
        <v>0</v>
      </c>
    </row>
    <row r="425" spans="1:11">
      <c r="A425" t="str">
        <f t="shared" si="6"/>
        <v>00</v>
      </c>
      <c r="B425">
        <f>+'Paste Here'!N425</f>
        <v>0</v>
      </c>
      <c r="C425">
        <f>+'Paste Here'!O425</f>
        <v>0</v>
      </c>
      <c r="D425">
        <f>+'Paste Here'!P425</f>
        <v>0</v>
      </c>
      <c r="E425">
        <f>+'Paste Here'!Q425</f>
        <v>0</v>
      </c>
      <c r="F425">
        <f>+'Paste Here'!R425</f>
        <v>0</v>
      </c>
      <c r="G425">
        <f>+'Paste Here'!S425</f>
        <v>0</v>
      </c>
      <c r="H425">
        <f>+'Paste Here'!T425</f>
        <v>0</v>
      </c>
      <c r="I425">
        <f>+'Paste Here'!U425</f>
        <v>0</v>
      </c>
      <c r="J425">
        <f>+'Paste Here'!V425</f>
        <v>0</v>
      </c>
      <c r="K425">
        <f>+'Paste Here'!W425</f>
        <v>0</v>
      </c>
    </row>
    <row r="426" spans="1:11">
      <c r="A426" t="str">
        <f t="shared" si="6"/>
        <v>00</v>
      </c>
      <c r="B426">
        <f>+'Paste Here'!N426</f>
        <v>0</v>
      </c>
      <c r="C426">
        <f>+'Paste Here'!O426</f>
        <v>0</v>
      </c>
      <c r="D426">
        <f>+'Paste Here'!P426</f>
        <v>0</v>
      </c>
      <c r="E426">
        <f>+'Paste Here'!Q426</f>
        <v>0</v>
      </c>
      <c r="F426">
        <f>+'Paste Here'!R426</f>
        <v>0</v>
      </c>
      <c r="G426">
        <f>+'Paste Here'!S426</f>
        <v>0</v>
      </c>
      <c r="H426">
        <f>+'Paste Here'!T426</f>
        <v>0</v>
      </c>
      <c r="I426">
        <f>+'Paste Here'!U426</f>
        <v>0</v>
      </c>
      <c r="J426">
        <f>+'Paste Here'!V426</f>
        <v>0</v>
      </c>
      <c r="K426">
        <f>+'Paste Here'!W426</f>
        <v>0</v>
      </c>
    </row>
    <row r="427" spans="1:11">
      <c r="A427" t="str">
        <f t="shared" si="6"/>
        <v>00</v>
      </c>
      <c r="B427">
        <f>+'Paste Here'!N427</f>
        <v>0</v>
      </c>
      <c r="C427">
        <f>+'Paste Here'!O427</f>
        <v>0</v>
      </c>
      <c r="D427">
        <f>+'Paste Here'!P427</f>
        <v>0</v>
      </c>
      <c r="E427">
        <f>+'Paste Here'!Q427</f>
        <v>0</v>
      </c>
      <c r="F427">
        <f>+'Paste Here'!R427</f>
        <v>0</v>
      </c>
      <c r="G427">
        <f>+'Paste Here'!S427</f>
        <v>0</v>
      </c>
      <c r="H427">
        <f>+'Paste Here'!T427</f>
        <v>0</v>
      </c>
      <c r="I427">
        <f>+'Paste Here'!U427</f>
        <v>0</v>
      </c>
      <c r="J427">
        <f>+'Paste Here'!V427</f>
        <v>0</v>
      </c>
      <c r="K427">
        <f>+'Paste Here'!W427</f>
        <v>0</v>
      </c>
    </row>
    <row r="428" spans="1:11">
      <c r="A428" t="str">
        <f t="shared" si="6"/>
        <v>00</v>
      </c>
      <c r="B428">
        <f>+'Paste Here'!N428</f>
        <v>0</v>
      </c>
      <c r="C428">
        <f>+'Paste Here'!O428</f>
        <v>0</v>
      </c>
      <c r="D428">
        <f>+'Paste Here'!P428</f>
        <v>0</v>
      </c>
      <c r="E428">
        <f>+'Paste Here'!Q428</f>
        <v>0</v>
      </c>
      <c r="F428">
        <f>+'Paste Here'!R428</f>
        <v>0</v>
      </c>
      <c r="G428">
        <f>+'Paste Here'!S428</f>
        <v>0</v>
      </c>
      <c r="H428">
        <f>+'Paste Here'!T428</f>
        <v>0</v>
      </c>
      <c r="I428">
        <f>+'Paste Here'!U428</f>
        <v>0</v>
      </c>
      <c r="J428">
        <f>+'Paste Here'!V428</f>
        <v>0</v>
      </c>
      <c r="K428">
        <f>+'Paste Here'!W428</f>
        <v>0</v>
      </c>
    </row>
    <row r="429" spans="1:11">
      <c r="A429" t="str">
        <f t="shared" si="6"/>
        <v>00</v>
      </c>
      <c r="B429">
        <f>+'Paste Here'!N429</f>
        <v>0</v>
      </c>
      <c r="C429">
        <f>+'Paste Here'!O429</f>
        <v>0</v>
      </c>
      <c r="D429">
        <f>+'Paste Here'!P429</f>
        <v>0</v>
      </c>
      <c r="E429">
        <f>+'Paste Here'!Q429</f>
        <v>0</v>
      </c>
      <c r="F429">
        <f>+'Paste Here'!R429</f>
        <v>0</v>
      </c>
      <c r="G429">
        <f>+'Paste Here'!S429</f>
        <v>0</v>
      </c>
      <c r="H429">
        <f>+'Paste Here'!T429</f>
        <v>0</v>
      </c>
      <c r="I429">
        <f>+'Paste Here'!U429</f>
        <v>0</v>
      </c>
      <c r="J429">
        <f>+'Paste Here'!V429</f>
        <v>0</v>
      </c>
      <c r="K429">
        <f>+'Paste Here'!W429</f>
        <v>0</v>
      </c>
    </row>
    <row r="430" spans="1:11">
      <c r="A430" t="str">
        <f t="shared" si="6"/>
        <v>00</v>
      </c>
      <c r="B430">
        <f>+'Paste Here'!N430</f>
        <v>0</v>
      </c>
      <c r="C430">
        <f>+'Paste Here'!O430</f>
        <v>0</v>
      </c>
      <c r="D430">
        <f>+'Paste Here'!P430</f>
        <v>0</v>
      </c>
      <c r="E430">
        <f>+'Paste Here'!Q430</f>
        <v>0</v>
      </c>
      <c r="F430">
        <f>+'Paste Here'!R430</f>
        <v>0</v>
      </c>
      <c r="G430">
        <f>+'Paste Here'!S430</f>
        <v>0</v>
      </c>
      <c r="H430">
        <f>+'Paste Here'!T430</f>
        <v>0</v>
      </c>
      <c r="I430">
        <f>+'Paste Here'!U430</f>
        <v>0</v>
      </c>
      <c r="J430">
        <f>+'Paste Here'!V430</f>
        <v>0</v>
      </c>
      <c r="K430">
        <f>+'Paste Here'!W430</f>
        <v>0</v>
      </c>
    </row>
    <row r="431" spans="1:11">
      <c r="A431" t="str">
        <f t="shared" si="6"/>
        <v>00</v>
      </c>
      <c r="B431">
        <f>+'Paste Here'!N431</f>
        <v>0</v>
      </c>
      <c r="C431">
        <f>+'Paste Here'!O431</f>
        <v>0</v>
      </c>
      <c r="D431">
        <f>+'Paste Here'!P431</f>
        <v>0</v>
      </c>
      <c r="E431">
        <f>+'Paste Here'!Q431</f>
        <v>0</v>
      </c>
      <c r="F431">
        <f>+'Paste Here'!R431</f>
        <v>0</v>
      </c>
      <c r="G431">
        <f>+'Paste Here'!S431</f>
        <v>0</v>
      </c>
      <c r="H431">
        <f>+'Paste Here'!T431</f>
        <v>0</v>
      </c>
      <c r="I431">
        <f>+'Paste Here'!U431</f>
        <v>0</v>
      </c>
      <c r="J431">
        <f>+'Paste Here'!V431</f>
        <v>0</v>
      </c>
      <c r="K431">
        <f>+'Paste Here'!W431</f>
        <v>0</v>
      </c>
    </row>
    <row r="432" spans="1:11">
      <c r="A432" t="str">
        <f t="shared" si="6"/>
        <v>00</v>
      </c>
      <c r="B432">
        <f>+'Paste Here'!N432</f>
        <v>0</v>
      </c>
      <c r="C432">
        <f>+'Paste Here'!O432</f>
        <v>0</v>
      </c>
      <c r="D432">
        <f>+'Paste Here'!P432</f>
        <v>0</v>
      </c>
      <c r="E432">
        <f>+'Paste Here'!Q432</f>
        <v>0</v>
      </c>
      <c r="F432">
        <f>+'Paste Here'!R432</f>
        <v>0</v>
      </c>
      <c r="G432">
        <f>+'Paste Here'!S432</f>
        <v>0</v>
      </c>
      <c r="H432">
        <f>+'Paste Here'!T432</f>
        <v>0</v>
      </c>
      <c r="I432">
        <f>+'Paste Here'!U432</f>
        <v>0</v>
      </c>
      <c r="J432">
        <f>+'Paste Here'!V432</f>
        <v>0</v>
      </c>
      <c r="K432">
        <f>+'Paste Here'!W432</f>
        <v>0</v>
      </c>
    </row>
    <row r="433" spans="1:11">
      <c r="A433" t="str">
        <f t="shared" si="6"/>
        <v>00</v>
      </c>
      <c r="B433">
        <f>+'Paste Here'!N433</f>
        <v>0</v>
      </c>
      <c r="C433">
        <f>+'Paste Here'!O433</f>
        <v>0</v>
      </c>
      <c r="D433">
        <f>+'Paste Here'!P433</f>
        <v>0</v>
      </c>
      <c r="E433">
        <f>+'Paste Here'!Q433</f>
        <v>0</v>
      </c>
      <c r="F433">
        <f>+'Paste Here'!R433</f>
        <v>0</v>
      </c>
      <c r="G433">
        <f>+'Paste Here'!S433</f>
        <v>0</v>
      </c>
      <c r="H433">
        <f>+'Paste Here'!T433</f>
        <v>0</v>
      </c>
      <c r="I433">
        <f>+'Paste Here'!U433</f>
        <v>0</v>
      </c>
      <c r="J433">
        <f>+'Paste Here'!V433</f>
        <v>0</v>
      </c>
      <c r="K433">
        <f>+'Paste Here'!W433</f>
        <v>0</v>
      </c>
    </row>
    <row r="434" spans="1:11">
      <c r="A434" t="str">
        <f t="shared" si="6"/>
        <v>00</v>
      </c>
      <c r="B434">
        <f>+'Paste Here'!N434</f>
        <v>0</v>
      </c>
      <c r="C434">
        <f>+'Paste Here'!O434</f>
        <v>0</v>
      </c>
      <c r="D434">
        <f>+'Paste Here'!P434</f>
        <v>0</v>
      </c>
      <c r="E434">
        <f>+'Paste Here'!Q434</f>
        <v>0</v>
      </c>
      <c r="F434">
        <f>+'Paste Here'!R434</f>
        <v>0</v>
      </c>
      <c r="G434">
        <f>+'Paste Here'!S434</f>
        <v>0</v>
      </c>
      <c r="H434">
        <f>+'Paste Here'!T434</f>
        <v>0</v>
      </c>
      <c r="I434">
        <f>+'Paste Here'!U434</f>
        <v>0</v>
      </c>
      <c r="J434">
        <f>+'Paste Here'!V434</f>
        <v>0</v>
      </c>
      <c r="K434">
        <f>+'Paste Here'!W434</f>
        <v>0</v>
      </c>
    </row>
    <row r="435" spans="1:11">
      <c r="A435" t="str">
        <f t="shared" si="6"/>
        <v>00</v>
      </c>
      <c r="B435">
        <f>+'Paste Here'!N435</f>
        <v>0</v>
      </c>
      <c r="C435">
        <f>+'Paste Here'!O435</f>
        <v>0</v>
      </c>
      <c r="D435">
        <f>+'Paste Here'!P435</f>
        <v>0</v>
      </c>
      <c r="E435">
        <f>+'Paste Here'!Q435</f>
        <v>0</v>
      </c>
      <c r="F435">
        <f>+'Paste Here'!R435</f>
        <v>0</v>
      </c>
      <c r="G435">
        <f>+'Paste Here'!S435</f>
        <v>0</v>
      </c>
      <c r="H435">
        <f>+'Paste Here'!T435</f>
        <v>0</v>
      </c>
      <c r="I435">
        <f>+'Paste Here'!U435</f>
        <v>0</v>
      </c>
      <c r="J435">
        <f>+'Paste Here'!V435</f>
        <v>0</v>
      </c>
      <c r="K435">
        <f>+'Paste Here'!W435</f>
        <v>0</v>
      </c>
    </row>
    <row r="436" spans="1:11">
      <c r="A436" t="str">
        <f t="shared" si="6"/>
        <v>00</v>
      </c>
      <c r="B436">
        <f>+'Paste Here'!N436</f>
        <v>0</v>
      </c>
      <c r="C436">
        <f>+'Paste Here'!O436</f>
        <v>0</v>
      </c>
      <c r="D436">
        <f>+'Paste Here'!P436</f>
        <v>0</v>
      </c>
      <c r="E436">
        <f>+'Paste Here'!Q436</f>
        <v>0</v>
      </c>
      <c r="F436">
        <f>+'Paste Here'!R436</f>
        <v>0</v>
      </c>
      <c r="G436">
        <f>+'Paste Here'!S436</f>
        <v>0</v>
      </c>
      <c r="H436">
        <f>+'Paste Here'!T436</f>
        <v>0</v>
      </c>
      <c r="I436">
        <f>+'Paste Here'!U436</f>
        <v>0</v>
      </c>
      <c r="J436">
        <f>+'Paste Here'!V436</f>
        <v>0</v>
      </c>
      <c r="K436">
        <f>+'Paste Here'!W436</f>
        <v>0</v>
      </c>
    </row>
    <row r="437" spans="1:11">
      <c r="A437" t="str">
        <f t="shared" si="6"/>
        <v>00</v>
      </c>
      <c r="B437">
        <f>+'Paste Here'!N437</f>
        <v>0</v>
      </c>
      <c r="C437">
        <f>+'Paste Here'!O437</f>
        <v>0</v>
      </c>
      <c r="D437">
        <f>+'Paste Here'!P437</f>
        <v>0</v>
      </c>
      <c r="E437">
        <f>+'Paste Here'!Q437</f>
        <v>0</v>
      </c>
      <c r="F437">
        <f>+'Paste Here'!R437</f>
        <v>0</v>
      </c>
      <c r="G437">
        <f>+'Paste Here'!S437</f>
        <v>0</v>
      </c>
      <c r="H437">
        <f>+'Paste Here'!T437</f>
        <v>0</v>
      </c>
      <c r="I437">
        <f>+'Paste Here'!U437</f>
        <v>0</v>
      </c>
      <c r="J437">
        <f>+'Paste Here'!V437</f>
        <v>0</v>
      </c>
      <c r="K437">
        <f>+'Paste Here'!W437</f>
        <v>0</v>
      </c>
    </row>
    <row r="438" spans="1:11">
      <c r="A438" t="str">
        <f t="shared" si="6"/>
        <v>00</v>
      </c>
      <c r="B438">
        <f>+'Paste Here'!N438</f>
        <v>0</v>
      </c>
      <c r="C438">
        <f>+'Paste Here'!O438</f>
        <v>0</v>
      </c>
      <c r="D438">
        <f>+'Paste Here'!P438</f>
        <v>0</v>
      </c>
      <c r="E438">
        <f>+'Paste Here'!Q438</f>
        <v>0</v>
      </c>
      <c r="F438">
        <f>+'Paste Here'!R438</f>
        <v>0</v>
      </c>
      <c r="G438">
        <f>+'Paste Here'!S438</f>
        <v>0</v>
      </c>
      <c r="H438">
        <f>+'Paste Here'!T438</f>
        <v>0</v>
      </c>
      <c r="I438">
        <f>+'Paste Here'!U438</f>
        <v>0</v>
      </c>
      <c r="J438">
        <f>+'Paste Here'!V438</f>
        <v>0</v>
      </c>
      <c r="K438">
        <f>+'Paste Here'!W438</f>
        <v>0</v>
      </c>
    </row>
    <row r="439" spans="1:11">
      <c r="A439" t="str">
        <f t="shared" si="6"/>
        <v>00</v>
      </c>
      <c r="B439">
        <f>+'Paste Here'!N439</f>
        <v>0</v>
      </c>
      <c r="C439">
        <f>+'Paste Here'!O439</f>
        <v>0</v>
      </c>
      <c r="D439">
        <f>+'Paste Here'!P439</f>
        <v>0</v>
      </c>
      <c r="E439">
        <f>+'Paste Here'!Q439</f>
        <v>0</v>
      </c>
      <c r="F439">
        <f>+'Paste Here'!R439</f>
        <v>0</v>
      </c>
      <c r="G439">
        <f>+'Paste Here'!S439</f>
        <v>0</v>
      </c>
      <c r="H439">
        <f>+'Paste Here'!T439</f>
        <v>0</v>
      </c>
      <c r="I439">
        <f>+'Paste Here'!U439</f>
        <v>0</v>
      </c>
      <c r="J439">
        <f>+'Paste Here'!V439</f>
        <v>0</v>
      </c>
      <c r="K439">
        <f>+'Paste Here'!W439</f>
        <v>0</v>
      </c>
    </row>
    <row r="440" spans="1:11">
      <c r="A440" t="str">
        <f t="shared" si="6"/>
        <v>00</v>
      </c>
      <c r="B440">
        <f>+'Paste Here'!N440</f>
        <v>0</v>
      </c>
      <c r="C440">
        <f>+'Paste Here'!O440</f>
        <v>0</v>
      </c>
      <c r="D440">
        <f>+'Paste Here'!P440</f>
        <v>0</v>
      </c>
      <c r="E440">
        <f>+'Paste Here'!Q440</f>
        <v>0</v>
      </c>
      <c r="F440">
        <f>+'Paste Here'!R440</f>
        <v>0</v>
      </c>
      <c r="G440">
        <f>+'Paste Here'!S440</f>
        <v>0</v>
      </c>
      <c r="H440">
        <f>+'Paste Here'!T440</f>
        <v>0</v>
      </c>
      <c r="I440">
        <f>+'Paste Here'!U440</f>
        <v>0</v>
      </c>
      <c r="J440">
        <f>+'Paste Here'!V440</f>
        <v>0</v>
      </c>
      <c r="K440">
        <f>+'Paste Here'!W440</f>
        <v>0</v>
      </c>
    </row>
    <row r="441" spans="1:11">
      <c r="A441" t="str">
        <f t="shared" si="6"/>
        <v>00</v>
      </c>
      <c r="B441">
        <f>+'Paste Here'!N441</f>
        <v>0</v>
      </c>
      <c r="C441">
        <f>+'Paste Here'!O441</f>
        <v>0</v>
      </c>
      <c r="D441">
        <f>+'Paste Here'!P441</f>
        <v>0</v>
      </c>
      <c r="E441">
        <f>+'Paste Here'!Q441</f>
        <v>0</v>
      </c>
      <c r="F441">
        <f>+'Paste Here'!R441</f>
        <v>0</v>
      </c>
      <c r="G441">
        <f>+'Paste Here'!S441</f>
        <v>0</v>
      </c>
      <c r="H441">
        <f>+'Paste Here'!T441</f>
        <v>0</v>
      </c>
      <c r="I441">
        <f>+'Paste Here'!U441</f>
        <v>0</v>
      </c>
      <c r="J441">
        <f>+'Paste Here'!V441</f>
        <v>0</v>
      </c>
      <c r="K441">
        <f>+'Paste Here'!W441</f>
        <v>0</v>
      </c>
    </row>
    <row r="442" spans="1:11">
      <c r="A442" t="str">
        <f t="shared" si="6"/>
        <v>00</v>
      </c>
      <c r="B442">
        <f>+'Paste Here'!N442</f>
        <v>0</v>
      </c>
      <c r="C442">
        <f>+'Paste Here'!O442</f>
        <v>0</v>
      </c>
      <c r="D442">
        <f>+'Paste Here'!P442</f>
        <v>0</v>
      </c>
      <c r="E442">
        <f>+'Paste Here'!Q442</f>
        <v>0</v>
      </c>
      <c r="F442">
        <f>+'Paste Here'!R442</f>
        <v>0</v>
      </c>
      <c r="G442">
        <f>+'Paste Here'!S442</f>
        <v>0</v>
      </c>
      <c r="H442">
        <f>+'Paste Here'!T442</f>
        <v>0</v>
      </c>
      <c r="I442">
        <f>+'Paste Here'!U442</f>
        <v>0</v>
      </c>
      <c r="J442">
        <f>+'Paste Here'!V442</f>
        <v>0</v>
      </c>
      <c r="K442">
        <f>+'Paste Here'!W442</f>
        <v>0</v>
      </c>
    </row>
    <row r="443" spans="1:11">
      <c r="A443" t="str">
        <f t="shared" si="6"/>
        <v>00</v>
      </c>
      <c r="B443">
        <f>+'Paste Here'!N443</f>
        <v>0</v>
      </c>
      <c r="C443">
        <f>+'Paste Here'!O443</f>
        <v>0</v>
      </c>
      <c r="D443">
        <f>+'Paste Here'!P443</f>
        <v>0</v>
      </c>
      <c r="E443">
        <f>+'Paste Here'!Q443</f>
        <v>0</v>
      </c>
      <c r="F443">
        <f>+'Paste Here'!R443</f>
        <v>0</v>
      </c>
      <c r="G443">
        <f>+'Paste Here'!S443</f>
        <v>0</v>
      </c>
      <c r="H443">
        <f>+'Paste Here'!T443</f>
        <v>0</v>
      </c>
      <c r="I443">
        <f>+'Paste Here'!U443</f>
        <v>0</v>
      </c>
      <c r="J443">
        <f>+'Paste Here'!V443</f>
        <v>0</v>
      </c>
      <c r="K443">
        <f>+'Paste Here'!W443</f>
        <v>0</v>
      </c>
    </row>
    <row r="444" spans="1:11">
      <c r="A444" t="str">
        <f t="shared" si="6"/>
        <v>00</v>
      </c>
      <c r="B444">
        <f>+'Paste Here'!N444</f>
        <v>0</v>
      </c>
      <c r="C444">
        <f>+'Paste Here'!O444</f>
        <v>0</v>
      </c>
      <c r="D444">
        <f>+'Paste Here'!P444</f>
        <v>0</v>
      </c>
      <c r="E444">
        <f>+'Paste Here'!Q444</f>
        <v>0</v>
      </c>
      <c r="F444">
        <f>+'Paste Here'!R444</f>
        <v>0</v>
      </c>
      <c r="G444">
        <f>+'Paste Here'!S444</f>
        <v>0</v>
      </c>
      <c r="H444">
        <f>+'Paste Here'!T444</f>
        <v>0</v>
      </c>
      <c r="I444">
        <f>+'Paste Here'!U444</f>
        <v>0</v>
      </c>
      <c r="J444">
        <f>+'Paste Here'!V444</f>
        <v>0</v>
      </c>
      <c r="K444">
        <f>+'Paste Here'!W444</f>
        <v>0</v>
      </c>
    </row>
    <row r="445" spans="1:11">
      <c r="A445" t="str">
        <f t="shared" si="6"/>
        <v>00</v>
      </c>
      <c r="B445">
        <f>+'Paste Here'!N445</f>
        <v>0</v>
      </c>
      <c r="C445">
        <f>+'Paste Here'!O445</f>
        <v>0</v>
      </c>
      <c r="D445">
        <f>+'Paste Here'!P445</f>
        <v>0</v>
      </c>
      <c r="E445">
        <f>+'Paste Here'!Q445</f>
        <v>0</v>
      </c>
      <c r="F445">
        <f>+'Paste Here'!R445</f>
        <v>0</v>
      </c>
      <c r="G445">
        <f>+'Paste Here'!S445</f>
        <v>0</v>
      </c>
      <c r="H445">
        <f>+'Paste Here'!T445</f>
        <v>0</v>
      </c>
      <c r="I445">
        <f>+'Paste Here'!U445</f>
        <v>0</v>
      </c>
      <c r="J445">
        <f>+'Paste Here'!V445</f>
        <v>0</v>
      </c>
      <c r="K445">
        <f>+'Paste Here'!W445</f>
        <v>0</v>
      </c>
    </row>
    <row r="446" spans="1:11">
      <c r="A446" t="str">
        <f t="shared" si="6"/>
        <v>00</v>
      </c>
      <c r="B446">
        <f>+'Paste Here'!N446</f>
        <v>0</v>
      </c>
      <c r="C446">
        <f>+'Paste Here'!O446</f>
        <v>0</v>
      </c>
      <c r="D446">
        <f>+'Paste Here'!P446</f>
        <v>0</v>
      </c>
      <c r="E446">
        <f>+'Paste Here'!Q446</f>
        <v>0</v>
      </c>
      <c r="F446">
        <f>+'Paste Here'!R446</f>
        <v>0</v>
      </c>
      <c r="G446">
        <f>+'Paste Here'!S446</f>
        <v>0</v>
      </c>
      <c r="H446">
        <f>+'Paste Here'!T446</f>
        <v>0</v>
      </c>
      <c r="I446">
        <f>+'Paste Here'!U446</f>
        <v>0</v>
      </c>
      <c r="J446">
        <f>+'Paste Here'!V446</f>
        <v>0</v>
      </c>
      <c r="K446">
        <f>+'Paste Here'!W446</f>
        <v>0</v>
      </c>
    </row>
    <row r="447" spans="1:11">
      <c r="A447" t="str">
        <f t="shared" si="6"/>
        <v>00</v>
      </c>
      <c r="B447">
        <f>+'Paste Here'!N447</f>
        <v>0</v>
      </c>
      <c r="C447">
        <f>+'Paste Here'!O447</f>
        <v>0</v>
      </c>
      <c r="D447">
        <f>+'Paste Here'!P447</f>
        <v>0</v>
      </c>
      <c r="E447">
        <f>+'Paste Here'!Q447</f>
        <v>0</v>
      </c>
      <c r="F447">
        <f>+'Paste Here'!R447</f>
        <v>0</v>
      </c>
      <c r="G447">
        <f>+'Paste Here'!S447</f>
        <v>0</v>
      </c>
      <c r="H447">
        <f>+'Paste Here'!T447</f>
        <v>0</v>
      </c>
      <c r="I447">
        <f>+'Paste Here'!U447</f>
        <v>0</v>
      </c>
      <c r="J447">
        <f>+'Paste Here'!V447</f>
        <v>0</v>
      </c>
      <c r="K447">
        <f>+'Paste Here'!W447</f>
        <v>0</v>
      </c>
    </row>
    <row r="448" spans="1:11">
      <c r="A448" t="str">
        <f t="shared" si="6"/>
        <v>00</v>
      </c>
      <c r="B448">
        <f>+'Paste Here'!N448</f>
        <v>0</v>
      </c>
      <c r="C448">
        <f>+'Paste Here'!O448</f>
        <v>0</v>
      </c>
      <c r="D448">
        <f>+'Paste Here'!P448</f>
        <v>0</v>
      </c>
      <c r="E448">
        <f>+'Paste Here'!Q448</f>
        <v>0</v>
      </c>
      <c r="F448">
        <f>+'Paste Here'!R448</f>
        <v>0</v>
      </c>
      <c r="G448">
        <f>+'Paste Here'!S448</f>
        <v>0</v>
      </c>
      <c r="H448">
        <f>+'Paste Here'!T448</f>
        <v>0</v>
      </c>
      <c r="I448">
        <f>+'Paste Here'!U448</f>
        <v>0</v>
      </c>
      <c r="J448">
        <f>+'Paste Here'!V448</f>
        <v>0</v>
      </c>
      <c r="K448">
        <f>+'Paste Here'!W448</f>
        <v>0</v>
      </c>
    </row>
    <row r="449" spans="1:11">
      <c r="A449" t="str">
        <f t="shared" si="6"/>
        <v>00</v>
      </c>
      <c r="B449">
        <f>+'Paste Here'!N449</f>
        <v>0</v>
      </c>
      <c r="C449">
        <f>+'Paste Here'!O449</f>
        <v>0</v>
      </c>
      <c r="D449">
        <f>+'Paste Here'!P449</f>
        <v>0</v>
      </c>
      <c r="E449">
        <f>+'Paste Here'!Q449</f>
        <v>0</v>
      </c>
      <c r="F449">
        <f>+'Paste Here'!R449</f>
        <v>0</v>
      </c>
      <c r="G449">
        <f>+'Paste Here'!S449</f>
        <v>0</v>
      </c>
      <c r="H449">
        <f>+'Paste Here'!T449</f>
        <v>0</v>
      </c>
      <c r="I449">
        <f>+'Paste Here'!U449</f>
        <v>0</v>
      </c>
      <c r="J449">
        <f>+'Paste Here'!V449</f>
        <v>0</v>
      </c>
      <c r="K449">
        <f>+'Paste Here'!W449</f>
        <v>0</v>
      </c>
    </row>
    <row r="450" spans="1:11">
      <c r="A450" t="str">
        <f t="shared" si="6"/>
        <v>00</v>
      </c>
      <c r="B450">
        <f>+'Paste Here'!N450</f>
        <v>0</v>
      </c>
      <c r="C450">
        <f>+'Paste Here'!O450</f>
        <v>0</v>
      </c>
      <c r="D450">
        <f>+'Paste Here'!P450</f>
        <v>0</v>
      </c>
      <c r="E450">
        <f>+'Paste Here'!Q450</f>
        <v>0</v>
      </c>
      <c r="F450">
        <f>+'Paste Here'!R450</f>
        <v>0</v>
      </c>
      <c r="G450">
        <f>+'Paste Here'!S450</f>
        <v>0</v>
      </c>
      <c r="H450">
        <f>+'Paste Here'!T450</f>
        <v>0</v>
      </c>
      <c r="I450">
        <f>+'Paste Here'!U450</f>
        <v>0</v>
      </c>
      <c r="J450">
        <f>+'Paste Here'!V450</f>
        <v>0</v>
      </c>
      <c r="K450">
        <f>+'Paste Here'!W450</f>
        <v>0</v>
      </c>
    </row>
    <row r="451" spans="1:11">
      <c r="A451" t="str">
        <f t="shared" ref="A451:A514" si="7">+CONCATENATE(C451,D451)</f>
        <v>00</v>
      </c>
      <c r="B451">
        <f>+'Paste Here'!N451</f>
        <v>0</v>
      </c>
      <c r="C451">
        <f>+'Paste Here'!O451</f>
        <v>0</v>
      </c>
      <c r="D451">
        <f>+'Paste Here'!P451</f>
        <v>0</v>
      </c>
      <c r="E451">
        <f>+'Paste Here'!Q451</f>
        <v>0</v>
      </c>
      <c r="F451">
        <f>+'Paste Here'!R451</f>
        <v>0</v>
      </c>
      <c r="G451">
        <f>+'Paste Here'!S451</f>
        <v>0</v>
      </c>
      <c r="H451">
        <f>+'Paste Here'!T451</f>
        <v>0</v>
      </c>
      <c r="I451">
        <f>+'Paste Here'!U451</f>
        <v>0</v>
      </c>
      <c r="J451">
        <f>+'Paste Here'!V451</f>
        <v>0</v>
      </c>
      <c r="K451">
        <f>+'Paste Here'!W451</f>
        <v>0</v>
      </c>
    </row>
    <row r="452" spans="1:11">
      <c r="A452" t="str">
        <f t="shared" si="7"/>
        <v>00</v>
      </c>
      <c r="B452">
        <f>+'Paste Here'!N452</f>
        <v>0</v>
      </c>
      <c r="C452">
        <f>+'Paste Here'!O452</f>
        <v>0</v>
      </c>
      <c r="D452">
        <f>+'Paste Here'!P452</f>
        <v>0</v>
      </c>
      <c r="E452">
        <f>+'Paste Here'!Q452</f>
        <v>0</v>
      </c>
      <c r="F452">
        <f>+'Paste Here'!R452</f>
        <v>0</v>
      </c>
      <c r="G452">
        <f>+'Paste Here'!S452</f>
        <v>0</v>
      </c>
      <c r="H452">
        <f>+'Paste Here'!T452</f>
        <v>0</v>
      </c>
      <c r="I452">
        <f>+'Paste Here'!U452</f>
        <v>0</v>
      </c>
      <c r="J452">
        <f>+'Paste Here'!V452</f>
        <v>0</v>
      </c>
      <c r="K452">
        <f>+'Paste Here'!W452</f>
        <v>0</v>
      </c>
    </row>
    <row r="453" spans="1:11">
      <c r="A453" t="str">
        <f t="shared" si="7"/>
        <v>00</v>
      </c>
      <c r="B453">
        <f>+'Paste Here'!N453</f>
        <v>0</v>
      </c>
      <c r="C453">
        <f>+'Paste Here'!O453</f>
        <v>0</v>
      </c>
      <c r="D453">
        <f>+'Paste Here'!P453</f>
        <v>0</v>
      </c>
      <c r="E453">
        <f>+'Paste Here'!Q453</f>
        <v>0</v>
      </c>
      <c r="F453">
        <f>+'Paste Here'!R453</f>
        <v>0</v>
      </c>
      <c r="G453">
        <f>+'Paste Here'!S453</f>
        <v>0</v>
      </c>
      <c r="H453">
        <f>+'Paste Here'!T453</f>
        <v>0</v>
      </c>
      <c r="I453">
        <f>+'Paste Here'!U453</f>
        <v>0</v>
      </c>
      <c r="J453">
        <f>+'Paste Here'!V453</f>
        <v>0</v>
      </c>
      <c r="K453">
        <f>+'Paste Here'!W453</f>
        <v>0</v>
      </c>
    </row>
    <row r="454" spans="1:11">
      <c r="A454" t="str">
        <f t="shared" si="7"/>
        <v>00</v>
      </c>
      <c r="B454">
        <f>+'Paste Here'!N454</f>
        <v>0</v>
      </c>
      <c r="C454">
        <f>+'Paste Here'!O454</f>
        <v>0</v>
      </c>
      <c r="D454">
        <f>+'Paste Here'!P454</f>
        <v>0</v>
      </c>
      <c r="E454">
        <f>+'Paste Here'!Q454</f>
        <v>0</v>
      </c>
      <c r="F454">
        <f>+'Paste Here'!R454</f>
        <v>0</v>
      </c>
      <c r="G454">
        <f>+'Paste Here'!S454</f>
        <v>0</v>
      </c>
      <c r="H454">
        <f>+'Paste Here'!T454</f>
        <v>0</v>
      </c>
      <c r="I454">
        <f>+'Paste Here'!U454</f>
        <v>0</v>
      </c>
      <c r="J454">
        <f>+'Paste Here'!V454</f>
        <v>0</v>
      </c>
      <c r="K454">
        <f>+'Paste Here'!W454</f>
        <v>0</v>
      </c>
    </row>
    <row r="455" spans="1:11">
      <c r="A455" t="str">
        <f t="shared" si="7"/>
        <v>00</v>
      </c>
      <c r="B455">
        <f>+'Paste Here'!N455</f>
        <v>0</v>
      </c>
      <c r="C455">
        <f>+'Paste Here'!O455</f>
        <v>0</v>
      </c>
      <c r="D455">
        <f>+'Paste Here'!P455</f>
        <v>0</v>
      </c>
      <c r="E455">
        <f>+'Paste Here'!Q455</f>
        <v>0</v>
      </c>
      <c r="F455">
        <f>+'Paste Here'!R455</f>
        <v>0</v>
      </c>
      <c r="G455">
        <f>+'Paste Here'!S455</f>
        <v>0</v>
      </c>
      <c r="H455">
        <f>+'Paste Here'!T455</f>
        <v>0</v>
      </c>
      <c r="I455">
        <f>+'Paste Here'!U455</f>
        <v>0</v>
      </c>
      <c r="J455">
        <f>+'Paste Here'!V455</f>
        <v>0</v>
      </c>
      <c r="K455">
        <f>+'Paste Here'!W455</f>
        <v>0</v>
      </c>
    </row>
    <row r="456" spans="1:11">
      <c r="A456" t="str">
        <f t="shared" si="7"/>
        <v>00</v>
      </c>
      <c r="B456">
        <f>+'Paste Here'!N456</f>
        <v>0</v>
      </c>
      <c r="C456">
        <f>+'Paste Here'!O456</f>
        <v>0</v>
      </c>
      <c r="D456">
        <f>+'Paste Here'!P456</f>
        <v>0</v>
      </c>
      <c r="E456">
        <f>+'Paste Here'!Q456</f>
        <v>0</v>
      </c>
      <c r="F456">
        <f>+'Paste Here'!R456</f>
        <v>0</v>
      </c>
      <c r="G456">
        <f>+'Paste Here'!S456</f>
        <v>0</v>
      </c>
      <c r="H456">
        <f>+'Paste Here'!T456</f>
        <v>0</v>
      </c>
      <c r="I456">
        <f>+'Paste Here'!U456</f>
        <v>0</v>
      </c>
      <c r="J456">
        <f>+'Paste Here'!V456</f>
        <v>0</v>
      </c>
      <c r="K456">
        <f>+'Paste Here'!W456</f>
        <v>0</v>
      </c>
    </row>
    <row r="457" spans="1:11">
      <c r="A457" t="str">
        <f t="shared" si="7"/>
        <v>00</v>
      </c>
      <c r="B457">
        <f>+'Paste Here'!N457</f>
        <v>0</v>
      </c>
      <c r="C457">
        <f>+'Paste Here'!O457</f>
        <v>0</v>
      </c>
      <c r="D457">
        <f>+'Paste Here'!P457</f>
        <v>0</v>
      </c>
      <c r="E457">
        <f>+'Paste Here'!Q457</f>
        <v>0</v>
      </c>
      <c r="F457">
        <f>+'Paste Here'!R457</f>
        <v>0</v>
      </c>
      <c r="G457">
        <f>+'Paste Here'!S457</f>
        <v>0</v>
      </c>
      <c r="H457">
        <f>+'Paste Here'!T457</f>
        <v>0</v>
      </c>
      <c r="I457">
        <f>+'Paste Here'!U457</f>
        <v>0</v>
      </c>
      <c r="J457">
        <f>+'Paste Here'!V457</f>
        <v>0</v>
      </c>
      <c r="K457">
        <f>+'Paste Here'!W457</f>
        <v>0</v>
      </c>
    </row>
    <row r="458" spans="1:11">
      <c r="A458" t="str">
        <f t="shared" si="7"/>
        <v>00</v>
      </c>
      <c r="B458">
        <f>+'Paste Here'!N458</f>
        <v>0</v>
      </c>
      <c r="C458">
        <f>+'Paste Here'!O458</f>
        <v>0</v>
      </c>
      <c r="D458">
        <f>+'Paste Here'!P458</f>
        <v>0</v>
      </c>
      <c r="E458">
        <f>+'Paste Here'!Q458</f>
        <v>0</v>
      </c>
      <c r="F458">
        <f>+'Paste Here'!R458</f>
        <v>0</v>
      </c>
      <c r="G458">
        <f>+'Paste Here'!S458</f>
        <v>0</v>
      </c>
      <c r="H458">
        <f>+'Paste Here'!T458</f>
        <v>0</v>
      </c>
      <c r="I458">
        <f>+'Paste Here'!U458</f>
        <v>0</v>
      </c>
      <c r="J458">
        <f>+'Paste Here'!V458</f>
        <v>0</v>
      </c>
      <c r="K458">
        <f>+'Paste Here'!W458</f>
        <v>0</v>
      </c>
    </row>
    <row r="459" spans="1:11">
      <c r="A459" t="str">
        <f t="shared" si="7"/>
        <v>00</v>
      </c>
      <c r="B459">
        <f>+'Paste Here'!N459</f>
        <v>0</v>
      </c>
      <c r="C459">
        <f>+'Paste Here'!O459</f>
        <v>0</v>
      </c>
      <c r="D459">
        <f>+'Paste Here'!P459</f>
        <v>0</v>
      </c>
      <c r="E459">
        <f>+'Paste Here'!Q459</f>
        <v>0</v>
      </c>
      <c r="F459">
        <f>+'Paste Here'!R459</f>
        <v>0</v>
      </c>
      <c r="G459">
        <f>+'Paste Here'!S459</f>
        <v>0</v>
      </c>
      <c r="H459">
        <f>+'Paste Here'!T459</f>
        <v>0</v>
      </c>
      <c r="I459">
        <f>+'Paste Here'!U459</f>
        <v>0</v>
      </c>
      <c r="J459">
        <f>+'Paste Here'!V459</f>
        <v>0</v>
      </c>
      <c r="K459">
        <f>+'Paste Here'!W459</f>
        <v>0</v>
      </c>
    </row>
    <row r="460" spans="1:11">
      <c r="A460" t="str">
        <f t="shared" si="7"/>
        <v>00</v>
      </c>
      <c r="B460">
        <f>+'Paste Here'!N460</f>
        <v>0</v>
      </c>
      <c r="C460">
        <f>+'Paste Here'!O460</f>
        <v>0</v>
      </c>
      <c r="D460">
        <f>+'Paste Here'!P460</f>
        <v>0</v>
      </c>
      <c r="E460">
        <f>+'Paste Here'!Q460</f>
        <v>0</v>
      </c>
      <c r="F460">
        <f>+'Paste Here'!R460</f>
        <v>0</v>
      </c>
      <c r="G460">
        <f>+'Paste Here'!S460</f>
        <v>0</v>
      </c>
      <c r="H460">
        <f>+'Paste Here'!T460</f>
        <v>0</v>
      </c>
      <c r="I460">
        <f>+'Paste Here'!U460</f>
        <v>0</v>
      </c>
      <c r="J460">
        <f>+'Paste Here'!V460</f>
        <v>0</v>
      </c>
      <c r="K460">
        <f>+'Paste Here'!W460</f>
        <v>0</v>
      </c>
    </row>
    <row r="461" spans="1:11">
      <c r="A461" t="str">
        <f t="shared" si="7"/>
        <v>00</v>
      </c>
      <c r="B461">
        <f>+'Paste Here'!N461</f>
        <v>0</v>
      </c>
      <c r="C461">
        <f>+'Paste Here'!O461</f>
        <v>0</v>
      </c>
      <c r="D461">
        <f>+'Paste Here'!P461</f>
        <v>0</v>
      </c>
      <c r="E461">
        <f>+'Paste Here'!Q461</f>
        <v>0</v>
      </c>
      <c r="F461">
        <f>+'Paste Here'!R461</f>
        <v>0</v>
      </c>
      <c r="G461">
        <f>+'Paste Here'!S461</f>
        <v>0</v>
      </c>
      <c r="H461">
        <f>+'Paste Here'!T461</f>
        <v>0</v>
      </c>
      <c r="I461">
        <f>+'Paste Here'!U461</f>
        <v>0</v>
      </c>
      <c r="J461">
        <f>+'Paste Here'!V461</f>
        <v>0</v>
      </c>
      <c r="K461">
        <f>+'Paste Here'!W461</f>
        <v>0</v>
      </c>
    </row>
    <row r="462" spans="1:11">
      <c r="A462" t="str">
        <f t="shared" si="7"/>
        <v>00</v>
      </c>
      <c r="B462">
        <f>+'Paste Here'!N462</f>
        <v>0</v>
      </c>
      <c r="C462">
        <f>+'Paste Here'!O462</f>
        <v>0</v>
      </c>
      <c r="D462">
        <f>+'Paste Here'!P462</f>
        <v>0</v>
      </c>
      <c r="E462">
        <f>+'Paste Here'!Q462</f>
        <v>0</v>
      </c>
      <c r="F462">
        <f>+'Paste Here'!R462</f>
        <v>0</v>
      </c>
      <c r="G462">
        <f>+'Paste Here'!S462</f>
        <v>0</v>
      </c>
      <c r="H462">
        <f>+'Paste Here'!T462</f>
        <v>0</v>
      </c>
      <c r="I462">
        <f>+'Paste Here'!U462</f>
        <v>0</v>
      </c>
      <c r="J462">
        <f>+'Paste Here'!V462</f>
        <v>0</v>
      </c>
      <c r="K462">
        <f>+'Paste Here'!W462</f>
        <v>0</v>
      </c>
    </row>
    <row r="463" spans="1:11">
      <c r="A463" t="str">
        <f t="shared" si="7"/>
        <v>00</v>
      </c>
      <c r="B463">
        <f>+'Paste Here'!N463</f>
        <v>0</v>
      </c>
      <c r="C463">
        <f>+'Paste Here'!O463</f>
        <v>0</v>
      </c>
      <c r="D463">
        <f>+'Paste Here'!P463</f>
        <v>0</v>
      </c>
      <c r="E463">
        <f>+'Paste Here'!Q463</f>
        <v>0</v>
      </c>
      <c r="F463">
        <f>+'Paste Here'!R463</f>
        <v>0</v>
      </c>
      <c r="G463">
        <f>+'Paste Here'!S463</f>
        <v>0</v>
      </c>
      <c r="H463">
        <f>+'Paste Here'!T463</f>
        <v>0</v>
      </c>
      <c r="I463">
        <f>+'Paste Here'!U463</f>
        <v>0</v>
      </c>
      <c r="J463">
        <f>+'Paste Here'!V463</f>
        <v>0</v>
      </c>
      <c r="K463">
        <f>+'Paste Here'!W463</f>
        <v>0</v>
      </c>
    </row>
    <row r="464" spans="1:11">
      <c r="A464" t="str">
        <f t="shared" si="7"/>
        <v>00</v>
      </c>
      <c r="B464">
        <f>+'Paste Here'!N464</f>
        <v>0</v>
      </c>
      <c r="C464">
        <f>+'Paste Here'!O464</f>
        <v>0</v>
      </c>
      <c r="D464">
        <f>+'Paste Here'!P464</f>
        <v>0</v>
      </c>
      <c r="E464">
        <f>+'Paste Here'!Q464</f>
        <v>0</v>
      </c>
      <c r="F464">
        <f>+'Paste Here'!R464</f>
        <v>0</v>
      </c>
      <c r="G464">
        <f>+'Paste Here'!S464</f>
        <v>0</v>
      </c>
      <c r="H464">
        <f>+'Paste Here'!T464</f>
        <v>0</v>
      </c>
      <c r="I464">
        <f>+'Paste Here'!U464</f>
        <v>0</v>
      </c>
      <c r="J464">
        <f>+'Paste Here'!V464</f>
        <v>0</v>
      </c>
      <c r="K464">
        <f>+'Paste Here'!W464</f>
        <v>0</v>
      </c>
    </row>
    <row r="465" spans="1:11">
      <c r="A465" t="str">
        <f t="shared" si="7"/>
        <v>00</v>
      </c>
      <c r="B465">
        <f>+'Paste Here'!N465</f>
        <v>0</v>
      </c>
      <c r="C465">
        <f>+'Paste Here'!O465</f>
        <v>0</v>
      </c>
      <c r="D465">
        <f>+'Paste Here'!P465</f>
        <v>0</v>
      </c>
      <c r="E465">
        <f>+'Paste Here'!Q465</f>
        <v>0</v>
      </c>
      <c r="F465">
        <f>+'Paste Here'!R465</f>
        <v>0</v>
      </c>
      <c r="G465">
        <f>+'Paste Here'!S465</f>
        <v>0</v>
      </c>
      <c r="H465">
        <f>+'Paste Here'!T465</f>
        <v>0</v>
      </c>
      <c r="I465">
        <f>+'Paste Here'!U465</f>
        <v>0</v>
      </c>
      <c r="J465">
        <f>+'Paste Here'!V465</f>
        <v>0</v>
      </c>
      <c r="K465">
        <f>+'Paste Here'!W465</f>
        <v>0</v>
      </c>
    </row>
    <row r="466" spans="1:11">
      <c r="A466" t="str">
        <f t="shared" si="7"/>
        <v>00</v>
      </c>
      <c r="B466">
        <f>+'Paste Here'!N466</f>
        <v>0</v>
      </c>
      <c r="C466">
        <f>+'Paste Here'!O466</f>
        <v>0</v>
      </c>
      <c r="D466">
        <f>+'Paste Here'!P466</f>
        <v>0</v>
      </c>
      <c r="E466">
        <f>+'Paste Here'!Q466</f>
        <v>0</v>
      </c>
      <c r="F466">
        <f>+'Paste Here'!R466</f>
        <v>0</v>
      </c>
      <c r="G466">
        <f>+'Paste Here'!S466</f>
        <v>0</v>
      </c>
      <c r="H466">
        <f>+'Paste Here'!T466</f>
        <v>0</v>
      </c>
      <c r="I466">
        <f>+'Paste Here'!U466</f>
        <v>0</v>
      </c>
      <c r="J466">
        <f>+'Paste Here'!V466</f>
        <v>0</v>
      </c>
      <c r="K466">
        <f>+'Paste Here'!W466</f>
        <v>0</v>
      </c>
    </row>
    <row r="467" spans="1:11">
      <c r="A467" t="str">
        <f t="shared" si="7"/>
        <v>00</v>
      </c>
      <c r="B467">
        <f>+'Paste Here'!N467</f>
        <v>0</v>
      </c>
      <c r="C467">
        <f>+'Paste Here'!O467</f>
        <v>0</v>
      </c>
      <c r="D467">
        <f>+'Paste Here'!P467</f>
        <v>0</v>
      </c>
      <c r="E467">
        <f>+'Paste Here'!Q467</f>
        <v>0</v>
      </c>
      <c r="F467">
        <f>+'Paste Here'!R467</f>
        <v>0</v>
      </c>
      <c r="G467">
        <f>+'Paste Here'!S467</f>
        <v>0</v>
      </c>
      <c r="H467">
        <f>+'Paste Here'!T467</f>
        <v>0</v>
      </c>
      <c r="I467">
        <f>+'Paste Here'!U467</f>
        <v>0</v>
      </c>
      <c r="J467">
        <f>+'Paste Here'!V467</f>
        <v>0</v>
      </c>
      <c r="K467">
        <f>+'Paste Here'!W467</f>
        <v>0</v>
      </c>
    </row>
    <row r="468" spans="1:11">
      <c r="A468" t="str">
        <f t="shared" si="7"/>
        <v>00</v>
      </c>
      <c r="B468">
        <f>+'Paste Here'!N468</f>
        <v>0</v>
      </c>
      <c r="C468">
        <f>+'Paste Here'!O468</f>
        <v>0</v>
      </c>
      <c r="D468">
        <f>+'Paste Here'!P468</f>
        <v>0</v>
      </c>
      <c r="E468">
        <f>+'Paste Here'!Q468</f>
        <v>0</v>
      </c>
      <c r="F468">
        <f>+'Paste Here'!R468</f>
        <v>0</v>
      </c>
      <c r="G468">
        <f>+'Paste Here'!S468</f>
        <v>0</v>
      </c>
      <c r="H468">
        <f>+'Paste Here'!T468</f>
        <v>0</v>
      </c>
      <c r="I468">
        <f>+'Paste Here'!U468</f>
        <v>0</v>
      </c>
      <c r="J468">
        <f>+'Paste Here'!V468</f>
        <v>0</v>
      </c>
      <c r="K468">
        <f>+'Paste Here'!W468</f>
        <v>0</v>
      </c>
    </row>
    <row r="469" spans="1:11">
      <c r="A469" t="str">
        <f t="shared" si="7"/>
        <v>00</v>
      </c>
      <c r="B469">
        <f>+'Paste Here'!N469</f>
        <v>0</v>
      </c>
      <c r="C469">
        <f>+'Paste Here'!O469</f>
        <v>0</v>
      </c>
      <c r="D469">
        <f>+'Paste Here'!P469</f>
        <v>0</v>
      </c>
      <c r="E469">
        <f>+'Paste Here'!Q469</f>
        <v>0</v>
      </c>
      <c r="F469">
        <f>+'Paste Here'!R469</f>
        <v>0</v>
      </c>
      <c r="G469">
        <f>+'Paste Here'!S469</f>
        <v>0</v>
      </c>
      <c r="H469">
        <f>+'Paste Here'!T469</f>
        <v>0</v>
      </c>
      <c r="I469">
        <f>+'Paste Here'!U469</f>
        <v>0</v>
      </c>
      <c r="J469">
        <f>+'Paste Here'!V469</f>
        <v>0</v>
      </c>
      <c r="K469">
        <f>+'Paste Here'!W469</f>
        <v>0</v>
      </c>
    </row>
    <row r="470" spans="1:11">
      <c r="A470" t="str">
        <f t="shared" si="7"/>
        <v>00</v>
      </c>
      <c r="B470">
        <f>+'Paste Here'!N470</f>
        <v>0</v>
      </c>
      <c r="C470">
        <f>+'Paste Here'!O470</f>
        <v>0</v>
      </c>
      <c r="D470">
        <f>+'Paste Here'!P470</f>
        <v>0</v>
      </c>
      <c r="E470">
        <f>+'Paste Here'!Q470</f>
        <v>0</v>
      </c>
      <c r="F470">
        <f>+'Paste Here'!R470</f>
        <v>0</v>
      </c>
      <c r="G470">
        <f>+'Paste Here'!S470</f>
        <v>0</v>
      </c>
      <c r="H470">
        <f>+'Paste Here'!T470</f>
        <v>0</v>
      </c>
      <c r="I470">
        <f>+'Paste Here'!U470</f>
        <v>0</v>
      </c>
      <c r="J470">
        <f>+'Paste Here'!V470</f>
        <v>0</v>
      </c>
      <c r="K470">
        <f>+'Paste Here'!W470</f>
        <v>0</v>
      </c>
    </row>
    <row r="471" spans="1:11">
      <c r="A471" t="str">
        <f t="shared" si="7"/>
        <v>00</v>
      </c>
      <c r="B471">
        <f>+'Paste Here'!N471</f>
        <v>0</v>
      </c>
      <c r="C471">
        <f>+'Paste Here'!O471</f>
        <v>0</v>
      </c>
      <c r="D471">
        <f>+'Paste Here'!P471</f>
        <v>0</v>
      </c>
      <c r="E471">
        <f>+'Paste Here'!Q471</f>
        <v>0</v>
      </c>
      <c r="F471">
        <f>+'Paste Here'!R471</f>
        <v>0</v>
      </c>
      <c r="G471">
        <f>+'Paste Here'!S471</f>
        <v>0</v>
      </c>
      <c r="H471">
        <f>+'Paste Here'!T471</f>
        <v>0</v>
      </c>
      <c r="I471">
        <f>+'Paste Here'!U471</f>
        <v>0</v>
      </c>
      <c r="J471">
        <f>+'Paste Here'!V471</f>
        <v>0</v>
      </c>
      <c r="K471">
        <f>+'Paste Here'!W471</f>
        <v>0</v>
      </c>
    </row>
    <row r="472" spans="1:11">
      <c r="A472" t="str">
        <f t="shared" si="7"/>
        <v>00</v>
      </c>
      <c r="B472">
        <f>+'Paste Here'!N472</f>
        <v>0</v>
      </c>
      <c r="C472">
        <f>+'Paste Here'!O472</f>
        <v>0</v>
      </c>
      <c r="D472">
        <f>+'Paste Here'!P472</f>
        <v>0</v>
      </c>
      <c r="E472">
        <f>+'Paste Here'!Q472</f>
        <v>0</v>
      </c>
      <c r="F472">
        <f>+'Paste Here'!R472</f>
        <v>0</v>
      </c>
      <c r="G472">
        <f>+'Paste Here'!S472</f>
        <v>0</v>
      </c>
      <c r="H472">
        <f>+'Paste Here'!T472</f>
        <v>0</v>
      </c>
      <c r="I472">
        <f>+'Paste Here'!U472</f>
        <v>0</v>
      </c>
      <c r="J472">
        <f>+'Paste Here'!V472</f>
        <v>0</v>
      </c>
      <c r="K472">
        <f>+'Paste Here'!W472</f>
        <v>0</v>
      </c>
    </row>
    <row r="473" spans="1:11">
      <c r="A473" t="str">
        <f t="shared" si="7"/>
        <v>00</v>
      </c>
      <c r="B473">
        <f>+'Paste Here'!N473</f>
        <v>0</v>
      </c>
      <c r="C473">
        <f>+'Paste Here'!O473</f>
        <v>0</v>
      </c>
      <c r="D473">
        <f>+'Paste Here'!P473</f>
        <v>0</v>
      </c>
      <c r="E473">
        <f>+'Paste Here'!Q473</f>
        <v>0</v>
      </c>
      <c r="F473">
        <f>+'Paste Here'!R473</f>
        <v>0</v>
      </c>
      <c r="G473">
        <f>+'Paste Here'!S473</f>
        <v>0</v>
      </c>
      <c r="H473">
        <f>+'Paste Here'!T473</f>
        <v>0</v>
      </c>
      <c r="I473">
        <f>+'Paste Here'!U473</f>
        <v>0</v>
      </c>
      <c r="J473">
        <f>+'Paste Here'!V473</f>
        <v>0</v>
      </c>
      <c r="K473">
        <f>+'Paste Here'!W473</f>
        <v>0</v>
      </c>
    </row>
    <row r="474" spans="1:11">
      <c r="A474" t="str">
        <f t="shared" si="7"/>
        <v>00</v>
      </c>
      <c r="B474">
        <f>+'Paste Here'!N474</f>
        <v>0</v>
      </c>
      <c r="C474">
        <f>+'Paste Here'!O474</f>
        <v>0</v>
      </c>
      <c r="D474">
        <f>+'Paste Here'!P474</f>
        <v>0</v>
      </c>
      <c r="E474">
        <f>+'Paste Here'!Q474</f>
        <v>0</v>
      </c>
      <c r="F474">
        <f>+'Paste Here'!R474</f>
        <v>0</v>
      </c>
      <c r="G474">
        <f>+'Paste Here'!S474</f>
        <v>0</v>
      </c>
      <c r="H474">
        <f>+'Paste Here'!T474</f>
        <v>0</v>
      </c>
      <c r="I474">
        <f>+'Paste Here'!U474</f>
        <v>0</v>
      </c>
      <c r="J474">
        <f>+'Paste Here'!V474</f>
        <v>0</v>
      </c>
      <c r="K474">
        <f>+'Paste Here'!W474</f>
        <v>0</v>
      </c>
    </row>
    <row r="475" spans="1:11">
      <c r="A475" t="str">
        <f t="shared" si="7"/>
        <v>00</v>
      </c>
      <c r="B475">
        <f>+'Paste Here'!N475</f>
        <v>0</v>
      </c>
      <c r="C475">
        <f>+'Paste Here'!O475</f>
        <v>0</v>
      </c>
      <c r="D475">
        <f>+'Paste Here'!P475</f>
        <v>0</v>
      </c>
      <c r="E475">
        <f>+'Paste Here'!Q475</f>
        <v>0</v>
      </c>
      <c r="F475">
        <f>+'Paste Here'!R475</f>
        <v>0</v>
      </c>
      <c r="G475">
        <f>+'Paste Here'!S475</f>
        <v>0</v>
      </c>
      <c r="H475">
        <f>+'Paste Here'!T475</f>
        <v>0</v>
      </c>
      <c r="I475">
        <f>+'Paste Here'!U475</f>
        <v>0</v>
      </c>
      <c r="J475">
        <f>+'Paste Here'!V475</f>
        <v>0</v>
      </c>
      <c r="K475">
        <f>+'Paste Here'!W475</f>
        <v>0</v>
      </c>
    </row>
    <row r="476" spans="1:11">
      <c r="A476" t="str">
        <f t="shared" si="7"/>
        <v>00</v>
      </c>
      <c r="B476">
        <f>+'Paste Here'!N476</f>
        <v>0</v>
      </c>
      <c r="C476">
        <f>+'Paste Here'!O476</f>
        <v>0</v>
      </c>
      <c r="D476">
        <f>+'Paste Here'!P476</f>
        <v>0</v>
      </c>
      <c r="E476">
        <f>+'Paste Here'!Q476</f>
        <v>0</v>
      </c>
      <c r="F476">
        <f>+'Paste Here'!R476</f>
        <v>0</v>
      </c>
      <c r="G476">
        <f>+'Paste Here'!S476</f>
        <v>0</v>
      </c>
      <c r="H476">
        <f>+'Paste Here'!T476</f>
        <v>0</v>
      </c>
      <c r="I476">
        <f>+'Paste Here'!U476</f>
        <v>0</v>
      </c>
      <c r="J476">
        <f>+'Paste Here'!V476</f>
        <v>0</v>
      </c>
      <c r="K476">
        <f>+'Paste Here'!W476</f>
        <v>0</v>
      </c>
    </row>
    <row r="477" spans="1:11">
      <c r="A477" t="str">
        <f t="shared" si="7"/>
        <v>00</v>
      </c>
      <c r="B477">
        <f>+'Paste Here'!N477</f>
        <v>0</v>
      </c>
      <c r="C477">
        <f>+'Paste Here'!O477</f>
        <v>0</v>
      </c>
      <c r="D477">
        <f>+'Paste Here'!P477</f>
        <v>0</v>
      </c>
      <c r="E477">
        <f>+'Paste Here'!Q477</f>
        <v>0</v>
      </c>
      <c r="F477">
        <f>+'Paste Here'!R477</f>
        <v>0</v>
      </c>
      <c r="G477">
        <f>+'Paste Here'!S477</f>
        <v>0</v>
      </c>
      <c r="H477">
        <f>+'Paste Here'!T477</f>
        <v>0</v>
      </c>
      <c r="I477">
        <f>+'Paste Here'!U477</f>
        <v>0</v>
      </c>
      <c r="J477">
        <f>+'Paste Here'!V477</f>
        <v>0</v>
      </c>
      <c r="K477">
        <f>+'Paste Here'!W477</f>
        <v>0</v>
      </c>
    </row>
    <row r="478" spans="1:11">
      <c r="A478" t="str">
        <f t="shared" si="7"/>
        <v>00</v>
      </c>
      <c r="B478">
        <f>+'Paste Here'!N478</f>
        <v>0</v>
      </c>
      <c r="C478">
        <f>+'Paste Here'!O478</f>
        <v>0</v>
      </c>
      <c r="D478">
        <f>+'Paste Here'!P478</f>
        <v>0</v>
      </c>
      <c r="E478">
        <f>+'Paste Here'!Q478</f>
        <v>0</v>
      </c>
      <c r="F478">
        <f>+'Paste Here'!R478</f>
        <v>0</v>
      </c>
      <c r="G478">
        <f>+'Paste Here'!S478</f>
        <v>0</v>
      </c>
      <c r="H478">
        <f>+'Paste Here'!T478</f>
        <v>0</v>
      </c>
      <c r="I478">
        <f>+'Paste Here'!U478</f>
        <v>0</v>
      </c>
      <c r="J478">
        <f>+'Paste Here'!V478</f>
        <v>0</v>
      </c>
      <c r="K478">
        <f>+'Paste Here'!W478</f>
        <v>0</v>
      </c>
    </row>
    <row r="479" spans="1:11">
      <c r="A479" t="str">
        <f t="shared" si="7"/>
        <v>00</v>
      </c>
      <c r="B479">
        <f>+'Paste Here'!N479</f>
        <v>0</v>
      </c>
      <c r="C479">
        <f>+'Paste Here'!O479</f>
        <v>0</v>
      </c>
      <c r="D479">
        <f>+'Paste Here'!P479</f>
        <v>0</v>
      </c>
      <c r="E479">
        <f>+'Paste Here'!Q479</f>
        <v>0</v>
      </c>
      <c r="F479">
        <f>+'Paste Here'!R479</f>
        <v>0</v>
      </c>
      <c r="G479">
        <f>+'Paste Here'!S479</f>
        <v>0</v>
      </c>
      <c r="H479">
        <f>+'Paste Here'!T479</f>
        <v>0</v>
      </c>
      <c r="I479">
        <f>+'Paste Here'!U479</f>
        <v>0</v>
      </c>
      <c r="J479">
        <f>+'Paste Here'!V479</f>
        <v>0</v>
      </c>
      <c r="K479">
        <f>+'Paste Here'!W479</f>
        <v>0</v>
      </c>
    </row>
    <row r="480" spans="1:11">
      <c r="A480" t="str">
        <f t="shared" si="7"/>
        <v>00</v>
      </c>
      <c r="B480">
        <f>+'Paste Here'!N480</f>
        <v>0</v>
      </c>
      <c r="C480">
        <f>+'Paste Here'!O480</f>
        <v>0</v>
      </c>
      <c r="D480">
        <f>+'Paste Here'!P480</f>
        <v>0</v>
      </c>
      <c r="E480">
        <f>+'Paste Here'!Q480</f>
        <v>0</v>
      </c>
      <c r="F480">
        <f>+'Paste Here'!R480</f>
        <v>0</v>
      </c>
      <c r="G480">
        <f>+'Paste Here'!S480</f>
        <v>0</v>
      </c>
      <c r="H480">
        <f>+'Paste Here'!T480</f>
        <v>0</v>
      </c>
      <c r="I480">
        <f>+'Paste Here'!U480</f>
        <v>0</v>
      </c>
      <c r="J480">
        <f>+'Paste Here'!V480</f>
        <v>0</v>
      </c>
      <c r="K480">
        <f>+'Paste Here'!W480</f>
        <v>0</v>
      </c>
    </row>
    <row r="481" spans="1:11">
      <c r="A481" t="str">
        <f t="shared" si="7"/>
        <v>00</v>
      </c>
      <c r="B481">
        <f>+'Paste Here'!N481</f>
        <v>0</v>
      </c>
      <c r="C481">
        <f>+'Paste Here'!O481</f>
        <v>0</v>
      </c>
      <c r="D481">
        <f>+'Paste Here'!P481</f>
        <v>0</v>
      </c>
      <c r="E481">
        <f>+'Paste Here'!Q481</f>
        <v>0</v>
      </c>
      <c r="F481">
        <f>+'Paste Here'!R481</f>
        <v>0</v>
      </c>
      <c r="G481">
        <f>+'Paste Here'!S481</f>
        <v>0</v>
      </c>
      <c r="H481">
        <f>+'Paste Here'!T481</f>
        <v>0</v>
      </c>
      <c r="I481">
        <f>+'Paste Here'!U481</f>
        <v>0</v>
      </c>
      <c r="J481">
        <f>+'Paste Here'!V481</f>
        <v>0</v>
      </c>
      <c r="K481">
        <f>+'Paste Here'!W481</f>
        <v>0</v>
      </c>
    </row>
    <row r="482" spans="1:11">
      <c r="A482" t="str">
        <f t="shared" si="7"/>
        <v>00</v>
      </c>
      <c r="B482">
        <f>+'Paste Here'!N482</f>
        <v>0</v>
      </c>
      <c r="C482">
        <f>+'Paste Here'!O482</f>
        <v>0</v>
      </c>
      <c r="D482">
        <f>+'Paste Here'!P482</f>
        <v>0</v>
      </c>
      <c r="E482">
        <f>+'Paste Here'!Q482</f>
        <v>0</v>
      </c>
      <c r="F482">
        <f>+'Paste Here'!R482</f>
        <v>0</v>
      </c>
      <c r="G482">
        <f>+'Paste Here'!S482</f>
        <v>0</v>
      </c>
      <c r="H482">
        <f>+'Paste Here'!T482</f>
        <v>0</v>
      </c>
      <c r="I482">
        <f>+'Paste Here'!U482</f>
        <v>0</v>
      </c>
      <c r="J482">
        <f>+'Paste Here'!V482</f>
        <v>0</v>
      </c>
      <c r="K482">
        <f>+'Paste Here'!W482</f>
        <v>0</v>
      </c>
    </row>
    <row r="483" spans="1:11">
      <c r="A483" t="str">
        <f t="shared" si="7"/>
        <v>00</v>
      </c>
      <c r="B483">
        <f>+'Paste Here'!N483</f>
        <v>0</v>
      </c>
      <c r="C483">
        <f>+'Paste Here'!O483</f>
        <v>0</v>
      </c>
      <c r="D483">
        <f>+'Paste Here'!P483</f>
        <v>0</v>
      </c>
      <c r="E483">
        <f>+'Paste Here'!Q483</f>
        <v>0</v>
      </c>
      <c r="F483">
        <f>+'Paste Here'!R483</f>
        <v>0</v>
      </c>
      <c r="G483">
        <f>+'Paste Here'!S483</f>
        <v>0</v>
      </c>
      <c r="H483">
        <f>+'Paste Here'!T483</f>
        <v>0</v>
      </c>
      <c r="I483">
        <f>+'Paste Here'!U483</f>
        <v>0</v>
      </c>
      <c r="J483">
        <f>+'Paste Here'!V483</f>
        <v>0</v>
      </c>
      <c r="K483">
        <f>+'Paste Here'!W483</f>
        <v>0</v>
      </c>
    </row>
    <row r="484" spans="1:11">
      <c r="A484" t="str">
        <f t="shared" si="7"/>
        <v>00</v>
      </c>
      <c r="B484">
        <f>+'Paste Here'!N484</f>
        <v>0</v>
      </c>
      <c r="C484">
        <f>+'Paste Here'!O484</f>
        <v>0</v>
      </c>
      <c r="D484">
        <f>+'Paste Here'!P484</f>
        <v>0</v>
      </c>
      <c r="E484">
        <f>+'Paste Here'!Q484</f>
        <v>0</v>
      </c>
      <c r="F484">
        <f>+'Paste Here'!R484</f>
        <v>0</v>
      </c>
      <c r="G484">
        <f>+'Paste Here'!S484</f>
        <v>0</v>
      </c>
      <c r="H484">
        <f>+'Paste Here'!T484</f>
        <v>0</v>
      </c>
      <c r="I484">
        <f>+'Paste Here'!U484</f>
        <v>0</v>
      </c>
      <c r="J484">
        <f>+'Paste Here'!V484</f>
        <v>0</v>
      </c>
      <c r="K484">
        <f>+'Paste Here'!W484</f>
        <v>0</v>
      </c>
    </row>
    <row r="485" spans="1:11">
      <c r="A485" t="str">
        <f t="shared" si="7"/>
        <v>00</v>
      </c>
      <c r="B485">
        <f>+'Paste Here'!N485</f>
        <v>0</v>
      </c>
      <c r="C485">
        <f>+'Paste Here'!O485</f>
        <v>0</v>
      </c>
      <c r="D485">
        <f>+'Paste Here'!P485</f>
        <v>0</v>
      </c>
      <c r="E485">
        <f>+'Paste Here'!Q485</f>
        <v>0</v>
      </c>
      <c r="F485">
        <f>+'Paste Here'!R485</f>
        <v>0</v>
      </c>
      <c r="G485">
        <f>+'Paste Here'!S485</f>
        <v>0</v>
      </c>
      <c r="H485">
        <f>+'Paste Here'!T485</f>
        <v>0</v>
      </c>
      <c r="I485">
        <f>+'Paste Here'!U485</f>
        <v>0</v>
      </c>
      <c r="J485">
        <f>+'Paste Here'!V485</f>
        <v>0</v>
      </c>
      <c r="K485">
        <f>+'Paste Here'!W485</f>
        <v>0</v>
      </c>
    </row>
    <row r="486" spans="1:11">
      <c r="A486" t="str">
        <f t="shared" si="7"/>
        <v>00</v>
      </c>
      <c r="B486">
        <f>+'Paste Here'!N486</f>
        <v>0</v>
      </c>
      <c r="C486">
        <f>+'Paste Here'!O486</f>
        <v>0</v>
      </c>
      <c r="D486">
        <f>+'Paste Here'!P486</f>
        <v>0</v>
      </c>
      <c r="E486">
        <f>+'Paste Here'!Q486</f>
        <v>0</v>
      </c>
      <c r="F486">
        <f>+'Paste Here'!R486</f>
        <v>0</v>
      </c>
      <c r="G486">
        <f>+'Paste Here'!S486</f>
        <v>0</v>
      </c>
      <c r="H486">
        <f>+'Paste Here'!T486</f>
        <v>0</v>
      </c>
      <c r="I486">
        <f>+'Paste Here'!U486</f>
        <v>0</v>
      </c>
      <c r="J486">
        <f>+'Paste Here'!V486</f>
        <v>0</v>
      </c>
      <c r="K486">
        <f>+'Paste Here'!W486</f>
        <v>0</v>
      </c>
    </row>
    <row r="487" spans="1:11">
      <c r="A487" t="str">
        <f t="shared" si="7"/>
        <v>00</v>
      </c>
      <c r="B487">
        <f>+'Paste Here'!N487</f>
        <v>0</v>
      </c>
      <c r="C487">
        <f>+'Paste Here'!O487</f>
        <v>0</v>
      </c>
      <c r="D487">
        <f>+'Paste Here'!P487</f>
        <v>0</v>
      </c>
      <c r="E487">
        <f>+'Paste Here'!Q487</f>
        <v>0</v>
      </c>
      <c r="F487">
        <f>+'Paste Here'!R487</f>
        <v>0</v>
      </c>
      <c r="G487">
        <f>+'Paste Here'!S487</f>
        <v>0</v>
      </c>
      <c r="H487">
        <f>+'Paste Here'!T487</f>
        <v>0</v>
      </c>
      <c r="I487">
        <f>+'Paste Here'!U487</f>
        <v>0</v>
      </c>
      <c r="J487">
        <f>+'Paste Here'!V487</f>
        <v>0</v>
      </c>
      <c r="K487">
        <f>+'Paste Here'!W487</f>
        <v>0</v>
      </c>
    </row>
    <row r="488" spans="1:11">
      <c r="A488" t="str">
        <f t="shared" si="7"/>
        <v>00</v>
      </c>
      <c r="B488">
        <f>+'Paste Here'!N488</f>
        <v>0</v>
      </c>
      <c r="C488">
        <f>+'Paste Here'!O488</f>
        <v>0</v>
      </c>
      <c r="D488">
        <f>+'Paste Here'!P488</f>
        <v>0</v>
      </c>
      <c r="E488">
        <f>+'Paste Here'!Q488</f>
        <v>0</v>
      </c>
      <c r="F488">
        <f>+'Paste Here'!R488</f>
        <v>0</v>
      </c>
      <c r="G488">
        <f>+'Paste Here'!S488</f>
        <v>0</v>
      </c>
      <c r="H488">
        <f>+'Paste Here'!T488</f>
        <v>0</v>
      </c>
      <c r="I488">
        <f>+'Paste Here'!U488</f>
        <v>0</v>
      </c>
      <c r="J488">
        <f>+'Paste Here'!V488</f>
        <v>0</v>
      </c>
      <c r="K488">
        <f>+'Paste Here'!W488</f>
        <v>0</v>
      </c>
    </row>
    <row r="489" spans="1:11">
      <c r="A489" t="str">
        <f t="shared" si="7"/>
        <v>00</v>
      </c>
      <c r="B489">
        <f>+'Paste Here'!N489</f>
        <v>0</v>
      </c>
      <c r="C489">
        <f>+'Paste Here'!O489</f>
        <v>0</v>
      </c>
      <c r="D489">
        <f>+'Paste Here'!P489</f>
        <v>0</v>
      </c>
      <c r="E489">
        <f>+'Paste Here'!Q489</f>
        <v>0</v>
      </c>
      <c r="F489">
        <f>+'Paste Here'!R489</f>
        <v>0</v>
      </c>
      <c r="G489">
        <f>+'Paste Here'!S489</f>
        <v>0</v>
      </c>
      <c r="H489">
        <f>+'Paste Here'!T489</f>
        <v>0</v>
      </c>
      <c r="I489">
        <f>+'Paste Here'!U489</f>
        <v>0</v>
      </c>
      <c r="J489">
        <f>+'Paste Here'!V489</f>
        <v>0</v>
      </c>
      <c r="K489">
        <f>+'Paste Here'!W489</f>
        <v>0</v>
      </c>
    </row>
    <row r="490" spans="1:11">
      <c r="A490" t="str">
        <f t="shared" si="7"/>
        <v>00</v>
      </c>
      <c r="B490">
        <f>+'Paste Here'!N490</f>
        <v>0</v>
      </c>
      <c r="C490">
        <f>+'Paste Here'!O490</f>
        <v>0</v>
      </c>
      <c r="D490">
        <f>+'Paste Here'!P490</f>
        <v>0</v>
      </c>
      <c r="E490">
        <f>+'Paste Here'!Q490</f>
        <v>0</v>
      </c>
      <c r="F490">
        <f>+'Paste Here'!R490</f>
        <v>0</v>
      </c>
      <c r="G490">
        <f>+'Paste Here'!S490</f>
        <v>0</v>
      </c>
      <c r="H490">
        <f>+'Paste Here'!T490</f>
        <v>0</v>
      </c>
      <c r="I490">
        <f>+'Paste Here'!U490</f>
        <v>0</v>
      </c>
      <c r="J490">
        <f>+'Paste Here'!V490</f>
        <v>0</v>
      </c>
      <c r="K490">
        <f>+'Paste Here'!W490</f>
        <v>0</v>
      </c>
    </row>
    <row r="491" spans="1:11">
      <c r="A491" t="str">
        <f t="shared" si="7"/>
        <v>00</v>
      </c>
      <c r="B491">
        <f>+'Paste Here'!N491</f>
        <v>0</v>
      </c>
      <c r="C491">
        <f>+'Paste Here'!O491</f>
        <v>0</v>
      </c>
      <c r="D491">
        <f>+'Paste Here'!P491</f>
        <v>0</v>
      </c>
      <c r="E491">
        <f>+'Paste Here'!Q491</f>
        <v>0</v>
      </c>
      <c r="F491">
        <f>+'Paste Here'!R491</f>
        <v>0</v>
      </c>
      <c r="G491">
        <f>+'Paste Here'!S491</f>
        <v>0</v>
      </c>
      <c r="H491">
        <f>+'Paste Here'!T491</f>
        <v>0</v>
      </c>
      <c r="I491">
        <f>+'Paste Here'!U491</f>
        <v>0</v>
      </c>
      <c r="J491">
        <f>+'Paste Here'!V491</f>
        <v>0</v>
      </c>
      <c r="K491">
        <f>+'Paste Here'!W491</f>
        <v>0</v>
      </c>
    </row>
    <row r="492" spans="1:11">
      <c r="A492" t="str">
        <f t="shared" si="7"/>
        <v>00</v>
      </c>
      <c r="B492">
        <f>+'Paste Here'!N492</f>
        <v>0</v>
      </c>
      <c r="C492">
        <f>+'Paste Here'!O492</f>
        <v>0</v>
      </c>
      <c r="D492">
        <f>+'Paste Here'!P492</f>
        <v>0</v>
      </c>
      <c r="E492">
        <f>+'Paste Here'!Q492</f>
        <v>0</v>
      </c>
      <c r="F492">
        <f>+'Paste Here'!R492</f>
        <v>0</v>
      </c>
      <c r="G492">
        <f>+'Paste Here'!S492</f>
        <v>0</v>
      </c>
      <c r="H492">
        <f>+'Paste Here'!T492</f>
        <v>0</v>
      </c>
      <c r="I492">
        <f>+'Paste Here'!U492</f>
        <v>0</v>
      </c>
      <c r="J492">
        <f>+'Paste Here'!V492</f>
        <v>0</v>
      </c>
      <c r="K492">
        <f>+'Paste Here'!W492</f>
        <v>0</v>
      </c>
    </row>
    <row r="493" spans="1:11">
      <c r="A493" t="str">
        <f t="shared" si="7"/>
        <v>00</v>
      </c>
      <c r="B493">
        <f>+'Paste Here'!N493</f>
        <v>0</v>
      </c>
      <c r="C493">
        <f>+'Paste Here'!O493</f>
        <v>0</v>
      </c>
      <c r="D493">
        <f>+'Paste Here'!P493</f>
        <v>0</v>
      </c>
      <c r="E493">
        <f>+'Paste Here'!Q493</f>
        <v>0</v>
      </c>
      <c r="F493">
        <f>+'Paste Here'!R493</f>
        <v>0</v>
      </c>
      <c r="G493">
        <f>+'Paste Here'!S493</f>
        <v>0</v>
      </c>
      <c r="H493">
        <f>+'Paste Here'!T493</f>
        <v>0</v>
      </c>
      <c r="I493">
        <f>+'Paste Here'!U493</f>
        <v>0</v>
      </c>
      <c r="J493">
        <f>+'Paste Here'!V493</f>
        <v>0</v>
      </c>
      <c r="K493">
        <f>+'Paste Here'!W493</f>
        <v>0</v>
      </c>
    </row>
    <row r="494" spans="1:11">
      <c r="A494" t="str">
        <f t="shared" si="7"/>
        <v>00</v>
      </c>
      <c r="B494">
        <f>+'Paste Here'!N494</f>
        <v>0</v>
      </c>
      <c r="C494">
        <f>+'Paste Here'!O494</f>
        <v>0</v>
      </c>
      <c r="D494">
        <f>+'Paste Here'!P494</f>
        <v>0</v>
      </c>
      <c r="E494">
        <f>+'Paste Here'!Q494</f>
        <v>0</v>
      </c>
      <c r="F494">
        <f>+'Paste Here'!R494</f>
        <v>0</v>
      </c>
      <c r="G494">
        <f>+'Paste Here'!S494</f>
        <v>0</v>
      </c>
      <c r="H494">
        <f>+'Paste Here'!T494</f>
        <v>0</v>
      </c>
      <c r="I494">
        <f>+'Paste Here'!U494</f>
        <v>0</v>
      </c>
      <c r="J494">
        <f>+'Paste Here'!V494</f>
        <v>0</v>
      </c>
      <c r="K494">
        <f>+'Paste Here'!W494</f>
        <v>0</v>
      </c>
    </row>
    <row r="495" spans="1:11">
      <c r="A495" t="str">
        <f t="shared" si="7"/>
        <v>00</v>
      </c>
      <c r="B495">
        <f>+'Paste Here'!N495</f>
        <v>0</v>
      </c>
      <c r="C495">
        <f>+'Paste Here'!O495</f>
        <v>0</v>
      </c>
      <c r="D495">
        <f>+'Paste Here'!P495</f>
        <v>0</v>
      </c>
      <c r="E495">
        <f>+'Paste Here'!Q495</f>
        <v>0</v>
      </c>
      <c r="F495">
        <f>+'Paste Here'!R495</f>
        <v>0</v>
      </c>
      <c r="G495">
        <f>+'Paste Here'!S495</f>
        <v>0</v>
      </c>
      <c r="H495">
        <f>+'Paste Here'!T495</f>
        <v>0</v>
      </c>
      <c r="I495">
        <f>+'Paste Here'!U495</f>
        <v>0</v>
      </c>
      <c r="J495">
        <f>+'Paste Here'!V495</f>
        <v>0</v>
      </c>
      <c r="K495">
        <f>+'Paste Here'!W495</f>
        <v>0</v>
      </c>
    </row>
    <row r="496" spans="1:11">
      <c r="A496" t="str">
        <f t="shared" si="7"/>
        <v>00</v>
      </c>
      <c r="B496">
        <f>+'Paste Here'!N496</f>
        <v>0</v>
      </c>
      <c r="C496">
        <f>+'Paste Here'!O496</f>
        <v>0</v>
      </c>
      <c r="D496">
        <f>+'Paste Here'!P496</f>
        <v>0</v>
      </c>
      <c r="E496">
        <f>+'Paste Here'!Q496</f>
        <v>0</v>
      </c>
      <c r="F496">
        <f>+'Paste Here'!R496</f>
        <v>0</v>
      </c>
      <c r="G496">
        <f>+'Paste Here'!S496</f>
        <v>0</v>
      </c>
      <c r="H496">
        <f>+'Paste Here'!T496</f>
        <v>0</v>
      </c>
      <c r="I496">
        <f>+'Paste Here'!U496</f>
        <v>0</v>
      </c>
      <c r="J496">
        <f>+'Paste Here'!V496</f>
        <v>0</v>
      </c>
      <c r="K496">
        <f>+'Paste Here'!W496</f>
        <v>0</v>
      </c>
    </row>
    <row r="497" spans="1:11">
      <c r="A497" t="str">
        <f t="shared" si="7"/>
        <v>00</v>
      </c>
      <c r="B497">
        <f>+'Paste Here'!N497</f>
        <v>0</v>
      </c>
      <c r="C497">
        <f>+'Paste Here'!O497</f>
        <v>0</v>
      </c>
      <c r="D497">
        <f>+'Paste Here'!P497</f>
        <v>0</v>
      </c>
      <c r="E497">
        <f>+'Paste Here'!Q497</f>
        <v>0</v>
      </c>
      <c r="F497">
        <f>+'Paste Here'!R497</f>
        <v>0</v>
      </c>
      <c r="G497">
        <f>+'Paste Here'!S497</f>
        <v>0</v>
      </c>
      <c r="H497">
        <f>+'Paste Here'!T497</f>
        <v>0</v>
      </c>
      <c r="I497">
        <f>+'Paste Here'!U497</f>
        <v>0</v>
      </c>
      <c r="J497">
        <f>+'Paste Here'!V497</f>
        <v>0</v>
      </c>
      <c r="K497">
        <f>+'Paste Here'!W497</f>
        <v>0</v>
      </c>
    </row>
    <row r="498" spans="1:11">
      <c r="A498" t="str">
        <f t="shared" si="7"/>
        <v>00</v>
      </c>
      <c r="B498">
        <f>+'Paste Here'!N498</f>
        <v>0</v>
      </c>
      <c r="C498">
        <f>+'Paste Here'!O498</f>
        <v>0</v>
      </c>
      <c r="D498">
        <f>+'Paste Here'!P498</f>
        <v>0</v>
      </c>
      <c r="E498">
        <f>+'Paste Here'!Q498</f>
        <v>0</v>
      </c>
      <c r="F498">
        <f>+'Paste Here'!R498</f>
        <v>0</v>
      </c>
      <c r="G498">
        <f>+'Paste Here'!S498</f>
        <v>0</v>
      </c>
      <c r="H498">
        <f>+'Paste Here'!T498</f>
        <v>0</v>
      </c>
      <c r="I498">
        <f>+'Paste Here'!U498</f>
        <v>0</v>
      </c>
      <c r="J498">
        <f>+'Paste Here'!V498</f>
        <v>0</v>
      </c>
      <c r="K498">
        <f>+'Paste Here'!W498</f>
        <v>0</v>
      </c>
    </row>
    <row r="499" spans="1:11">
      <c r="A499" t="str">
        <f t="shared" si="7"/>
        <v>00</v>
      </c>
      <c r="B499">
        <f>+'Paste Here'!N499</f>
        <v>0</v>
      </c>
      <c r="C499">
        <f>+'Paste Here'!O499</f>
        <v>0</v>
      </c>
      <c r="D499">
        <f>+'Paste Here'!P499</f>
        <v>0</v>
      </c>
      <c r="E499">
        <f>+'Paste Here'!Q499</f>
        <v>0</v>
      </c>
      <c r="F499">
        <f>+'Paste Here'!R499</f>
        <v>0</v>
      </c>
      <c r="G499">
        <f>+'Paste Here'!S499</f>
        <v>0</v>
      </c>
      <c r="H499">
        <f>+'Paste Here'!T499</f>
        <v>0</v>
      </c>
      <c r="I499">
        <f>+'Paste Here'!U499</f>
        <v>0</v>
      </c>
      <c r="J499">
        <f>+'Paste Here'!V499</f>
        <v>0</v>
      </c>
      <c r="K499">
        <f>+'Paste Here'!W499</f>
        <v>0</v>
      </c>
    </row>
    <row r="500" spans="1:11">
      <c r="A500" t="str">
        <f t="shared" si="7"/>
        <v>00</v>
      </c>
      <c r="B500">
        <f>+'Paste Here'!N500</f>
        <v>0</v>
      </c>
      <c r="C500">
        <f>+'Paste Here'!O500</f>
        <v>0</v>
      </c>
      <c r="D500">
        <f>+'Paste Here'!P500</f>
        <v>0</v>
      </c>
      <c r="E500">
        <f>+'Paste Here'!Q500</f>
        <v>0</v>
      </c>
      <c r="F500">
        <f>+'Paste Here'!R500</f>
        <v>0</v>
      </c>
      <c r="G500">
        <f>+'Paste Here'!S500</f>
        <v>0</v>
      </c>
      <c r="H500">
        <f>+'Paste Here'!T500</f>
        <v>0</v>
      </c>
      <c r="I500">
        <f>+'Paste Here'!U500</f>
        <v>0</v>
      </c>
      <c r="J500">
        <f>+'Paste Here'!V500</f>
        <v>0</v>
      </c>
      <c r="K500">
        <f>+'Paste Here'!W500</f>
        <v>0</v>
      </c>
    </row>
    <row r="501" spans="1:11">
      <c r="A501" t="str">
        <f t="shared" si="7"/>
        <v>00</v>
      </c>
      <c r="B501">
        <f>+'Paste Here'!N501</f>
        <v>0</v>
      </c>
      <c r="C501">
        <f>+'Paste Here'!O501</f>
        <v>0</v>
      </c>
      <c r="D501">
        <f>+'Paste Here'!P501</f>
        <v>0</v>
      </c>
      <c r="E501">
        <f>+'Paste Here'!Q501</f>
        <v>0</v>
      </c>
      <c r="F501">
        <f>+'Paste Here'!R501</f>
        <v>0</v>
      </c>
      <c r="G501">
        <f>+'Paste Here'!S501</f>
        <v>0</v>
      </c>
      <c r="H501">
        <f>+'Paste Here'!T501</f>
        <v>0</v>
      </c>
      <c r="I501">
        <f>+'Paste Here'!U501</f>
        <v>0</v>
      </c>
      <c r="J501">
        <f>+'Paste Here'!V501</f>
        <v>0</v>
      </c>
      <c r="K501">
        <f>+'Paste Here'!W501</f>
        <v>0</v>
      </c>
    </row>
    <row r="502" spans="1:11">
      <c r="A502" t="str">
        <f t="shared" si="7"/>
        <v>00</v>
      </c>
      <c r="B502">
        <f>+'Paste Here'!N502</f>
        <v>0</v>
      </c>
      <c r="C502">
        <f>+'Paste Here'!O502</f>
        <v>0</v>
      </c>
      <c r="D502">
        <f>+'Paste Here'!P502</f>
        <v>0</v>
      </c>
      <c r="E502">
        <f>+'Paste Here'!Q502</f>
        <v>0</v>
      </c>
      <c r="F502">
        <f>+'Paste Here'!R502</f>
        <v>0</v>
      </c>
      <c r="G502">
        <f>+'Paste Here'!S502</f>
        <v>0</v>
      </c>
      <c r="H502">
        <f>+'Paste Here'!T502</f>
        <v>0</v>
      </c>
      <c r="I502">
        <f>+'Paste Here'!U502</f>
        <v>0</v>
      </c>
      <c r="J502">
        <f>+'Paste Here'!V502</f>
        <v>0</v>
      </c>
      <c r="K502">
        <f>+'Paste Here'!W502</f>
        <v>0</v>
      </c>
    </row>
    <row r="503" spans="1:11">
      <c r="A503" t="str">
        <f t="shared" si="7"/>
        <v>00</v>
      </c>
      <c r="B503">
        <f>+'Paste Here'!N503</f>
        <v>0</v>
      </c>
      <c r="C503">
        <f>+'Paste Here'!O503</f>
        <v>0</v>
      </c>
      <c r="D503">
        <f>+'Paste Here'!P503</f>
        <v>0</v>
      </c>
      <c r="E503">
        <f>+'Paste Here'!Q503</f>
        <v>0</v>
      </c>
      <c r="F503">
        <f>+'Paste Here'!R503</f>
        <v>0</v>
      </c>
      <c r="G503">
        <f>+'Paste Here'!S503</f>
        <v>0</v>
      </c>
      <c r="H503">
        <f>+'Paste Here'!T503</f>
        <v>0</v>
      </c>
      <c r="I503">
        <f>+'Paste Here'!U503</f>
        <v>0</v>
      </c>
      <c r="J503">
        <f>+'Paste Here'!V503</f>
        <v>0</v>
      </c>
      <c r="K503">
        <f>+'Paste Here'!W503</f>
        <v>0</v>
      </c>
    </row>
    <row r="504" spans="1:11">
      <c r="A504" t="str">
        <f t="shared" si="7"/>
        <v>00</v>
      </c>
      <c r="B504">
        <f>+'Paste Here'!N504</f>
        <v>0</v>
      </c>
      <c r="C504">
        <f>+'Paste Here'!O504</f>
        <v>0</v>
      </c>
      <c r="D504">
        <f>+'Paste Here'!P504</f>
        <v>0</v>
      </c>
      <c r="E504">
        <f>+'Paste Here'!Q504</f>
        <v>0</v>
      </c>
      <c r="F504">
        <f>+'Paste Here'!R504</f>
        <v>0</v>
      </c>
      <c r="G504">
        <f>+'Paste Here'!S504</f>
        <v>0</v>
      </c>
      <c r="H504">
        <f>+'Paste Here'!T504</f>
        <v>0</v>
      </c>
      <c r="I504">
        <f>+'Paste Here'!U504</f>
        <v>0</v>
      </c>
      <c r="J504">
        <f>+'Paste Here'!V504</f>
        <v>0</v>
      </c>
      <c r="K504">
        <f>+'Paste Here'!W504</f>
        <v>0</v>
      </c>
    </row>
    <row r="505" spans="1:11">
      <c r="A505" t="str">
        <f t="shared" si="7"/>
        <v>00</v>
      </c>
      <c r="B505">
        <f>+'Paste Here'!N505</f>
        <v>0</v>
      </c>
      <c r="C505">
        <f>+'Paste Here'!O505</f>
        <v>0</v>
      </c>
      <c r="D505">
        <f>+'Paste Here'!P505</f>
        <v>0</v>
      </c>
      <c r="E505">
        <f>+'Paste Here'!Q505</f>
        <v>0</v>
      </c>
      <c r="F505">
        <f>+'Paste Here'!R505</f>
        <v>0</v>
      </c>
      <c r="G505">
        <f>+'Paste Here'!S505</f>
        <v>0</v>
      </c>
      <c r="H505">
        <f>+'Paste Here'!T505</f>
        <v>0</v>
      </c>
      <c r="I505">
        <f>+'Paste Here'!U505</f>
        <v>0</v>
      </c>
      <c r="J505">
        <f>+'Paste Here'!V505</f>
        <v>0</v>
      </c>
      <c r="K505">
        <f>+'Paste Here'!W505</f>
        <v>0</v>
      </c>
    </row>
    <row r="506" spans="1:11">
      <c r="A506" t="str">
        <f t="shared" si="7"/>
        <v>00</v>
      </c>
      <c r="B506">
        <f>+'Paste Here'!N506</f>
        <v>0</v>
      </c>
      <c r="C506">
        <f>+'Paste Here'!O506</f>
        <v>0</v>
      </c>
      <c r="D506">
        <f>+'Paste Here'!P506</f>
        <v>0</v>
      </c>
      <c r="E506">
        <f>+'Paste Here'!Q506</f>
        <v>0</v>
      </c>
      <c r="F506">
        <f>+'Paste Here'!R506</f>
        <v>0</v>
      </c>
      <c r="G506">
        <f>+'Paste Here'!S506</f>
        <v>0</v>
      </c>
      <c r="H506">
        <f>+'Paste Here'!T506</f>
        <v>0</v>
      </c>
      <c r="I506">
        <f>+'Paste Here'!U506</f>
        <v>0</v>
      </c>
      <c r="J506">
        <f>+'Paste Here'!V506</f>
        <v>0</v>
      </c>
      <c r="K506">
        <f>+'Paste Here'!W506</f>
        <v>0</v>
      </c>
    </row>
    <row r="507" spans="1:11">
      <c r="A507" t="str">
        <f t="shared" si="7"/>
        <v>00</v>
      </c>
      <c r="B507">
        <f>+'Paste Here'!N507</f>
        <v>0</v>
      </c>
      <c r="C507">
        <f>+'Paste Here'!O507</f>
        <v>0</v>
      </c>
      <c r="D507">
        <f>+'Paste Here'!P507</f>
        <v>0</v>
      </c>
      <c r="E507">
        <f>+'Paste Here'!Q507</f>
        <v>0</v>
      </c>
      <c r="F507">
        <f>+'Paste Here'!R507</f>
        <v>0</v>
      </c>
      <c r="G507">
        <f>+'Paste Here'!S507</f>
        <v>0</v>
      </c>
      <c r="H507">
        <f>+'Paste Here'!T507</f>
        <v>0</v>
      </c>
      <c r="I507">
        <f>+'Paste Here'!U507</f>
        <v>0</v>
      </c>
      <c r="J507">
        <f>+'Paste Here'!V507</f>
        <v>0</v>
      </c>
      <c r="K507">
        <f>+'Paste Here'!W507</f>
        <v>0</v>
      </c>
    </row>
    <row r="508" spans="1:11">
      <c r="A508" t="str">
        <f t="shared" si="7"/>
        <v>00</v>
      </c>
      <c r="B508">
        <f>+'Paste Here'!N508</f>
        <v>0</v>
      </c>
      <c r="C508">
        <f>+'Paste Here'!O508</f>
        <v>0</v>
      </c>
      <c r="D508">
        <f>+'Paste Here'!P508</f>
        <v>0</v>
      </c>
      <c r="E508">
        <f>+'Paste Here'!Q508</f>
        <v>0</v>
      </c>
      <c r="F508">
        <f>+'Paste Here'!R508</f>
        <v>0</v>
      </c>
      <c r="G508">
        <f>+'Paste Here'!S508</f>
        <v>0</v>
      </c>
      <c r="H508">
        <f>+'Paste Here'!T508</f>
        <v>0</v>
      </c>
      <c r="I508">
        <f>+'Paste Here'!U508</f>
        <v>0</v>
      </c>
      <c r="J508">
        <f>+'Paste Here'!V508</f>
        <v>0</v>
      </c>
      <c r="K508">
        <f>+'Paste Here'!W508</f>
        <v>0</v>
      </c>
    </row>
    <row r="509" spans="1:11">
      <c r="A509" t="str">
        <f t="shared" si="7"/>
        <v>00</v>
      </c>
      <c r="B509">
        <f>+'Paste Here'!N509</f>
        <v>0</v>
      </c>
      <c r="C509">
        <f>+'Paste Here'!O509</f>
        <v>0</v>
      </c>
      <c r="D509">
        <f>+'Paste Here'!P509</f>
        <v>0</v>
      </c>
      <c r="E509">
        <f>+'Paste Here'!Q509</f>
        <v>0</v>
      </c>
      <c r="F509">
        <f>+'Paste Here'!R509</f>
        <v>0</v>
      </c>
      <c r="G509">
        <f>+'Paste Here'!S509</f>
        <v>0</v>
      </c>
      <c r="H509">
        <f>+'Paste Here'!T509</f>
        <v>0</v>
      </c>
      <c r="I509">
        <f>+'Paste Here'!U509</f>
        <v>0</v>
      </c>
      <c r="J509">
        <f>+'Paste Here'!V509</f>
        <v>0</v>
      </c>
      <c r="K509">
        <f>+'Paste Here'!W509</f>
        <v>0</v>
      </c>
    </row>
    <row r="510" spans="1:11">
      <c r="A510" t="str">
        <f t="shared" si="7"/>
        <v>00</v>
      </c>
      <c r="B510">
        <f>+'Paste Here'!N510</f>
        <v>0</v>
      </c>
      <c r="C510">
        <f>+'Paste Here'!O510</f>
        <v>0</v>
      </c>
      <c r="D510">
        <f>+'Paste Here'!P510</f>
        <v>0</v>
      </c>
      <c r="E510">
        <f>+'Paste Here'!Q510</f>
        <v>0</v>
      </c>
      <c r="F510">
        <f>+'Paste Here'!R510</f>
        <v>0</v>
      </c>
      <c r="G510">
        <f>+'Paste Here'!S510</f>
        <v>0</v>
      </c>
      <c r="H510">
        <f>+'Paste Here'!T510</f>
        <v>0</v>
      </c>
      <c r="I510">
        <f>+'Paste Here'!U510</f>
        <v>0</v>
      </c>
      <c r="J510">
        <f>+'Paste Here'!V510</f>
        <v>0</v>
      </c>
      <c r="K510">
        <f>+'Paste Here'!W510</f>
        <v>0</v>
      </c>
    </row>
    <row r="511" spans="1:11">
      <c r="A511" t="str">
        <f t="shared" si="7"/>
        <v>00</v>
      </c>
      <c r="B511">
        <f>+'Paste Here'!N511</f>
        <v>0</v>
      </c>
      <c r="C511">
        <f>+'Paste Here'!O511</f>
        <v>0</v>
      </c>
      <c r="D511">
        <f>+'Paste Here'!P511</f>
        <v>0</v>
      </c>
      <c r="E511">
        <f>+'Paste Here'!Q511</f>
        <v>0</v>
      </c>
      <c r="F511">
        <f>+'Paste Here'!R511</f>
        <v>0</v>
      </c>
      <c r="G511">
        <f>+'Paste Here'!S511</f>
        <v>0</v>
      </c>
      <c r="H511">
        <f>+'Paste Here'!T511</f>
        <v>0</v>
      </c>
      <c r="I511">
        <f>+'Paste Here'!U511</f>
        <v>0</v>
      </c>
      <c r="J511">
        <f>+'Paste Here'!V511</f>
        <v>0</v>
      </c>
      <c r="K511">
        <f>+'Paste Here'!W511</f>
        <v>0</v>
      </c>
    </row>
    <row r="512" spans="1:11">
      <c r="A512" t="str">
        <f t="shared" si="7"/>
        <v>00</v>
      </c>
      <c r="B512">
        <f>+'Paste Here'!N512</f>
        <v>0</v>
      </c>
      <c r="C512">
        <f>+'Paste Here'!O512</f>
        <v>0</v>
      </c>
      <c r="D512">
        <f>+'Paste Here'!P512</f>
        <v>0</v>
      </c>
      <c r="E512">
        <f>+'Paste Here'!Q512</f>
        <v>0</v>
      </c>
      <c r="F512">
        <f>+'Paste Here'!R512</f>
        <v>0</v>
      </c>
      <c r="G512">
        <f>+'Paste Here'!S512</f>
        <v>0</v>
      </c>
      <c r="H512">
        <f>+'Paste Here'!T512</f>
        <v>0</v>
      </c>
      <c r="I512">
        <f>+'Paste Here'!U512</f>
        <v>0</v>
      </c>
      <c r="J512">
        <f>+'Paste Here'!V512</f>
        <v>0</v>
      </c>
      <c r="K512">
        <f>+'Paste Here'!W512</f>
        <v>0</v>
      </c>
    </row>
    <row r="513" spans="1:11">
      <c r="A513" t="str">
        <f t="shared" si="7"/>
        <v>00</v>
      </c>
      <c r="B513">
        <f>+'Paste Here'!N513</f>
        <v>0</v>
      </c>
      <c r="C513">
        <f>+'Paste Here'!O513</f>
        <v>0</v>
      </c>
      <c r="D513">
        <f>+'Paste Here'!P513</f>
        <v>0</v>
      </c>
      <c r="E513">
        <f>+'Paste Here'!Q513</f>
        <v>0</v>
      </c>
      <c r="F513">
        <f>+'Paste Here'!R513</f>
        <v>0</v>
      </c>
      <c r="G513">
        <f>+'Paste Here'!S513</f>
        <v>0</v>
      </c>
      <c r="H513">
        <f>+'Paste Here'!T513</f>
        <v>0</v>
      </c>
      <c r="I513">
        <f>+'Paste Here'!U513</f>
        <v>0</v>
      </c>
      <c r="J513">
        <f>+'Paste Here'!V513</f>
        <v>0</v>
      </c>
      <c r="K513">
        <f>+'Paste Here'!W513</f>
        <v>0</v>
      </c>
    </row>
    <row r="514" spans="1:11">
      <c r="A514" t="str">
        <f t="shared" si="7"/>
        <v>00</v>
      </c>
      <c r="B514">
        <f>+'Paste Here'!N514</f>
        <v>0</v>
      </c>
      <c r="C514">
        <f>+'Paste Here'!O514</f>
        <v>0</v>
      </c>
      <c r="D514">
        <f>+'Paste Here'!P514</f>
        <v>0</v>
      </c>
      <c r="E514">
        <f>+'Paste Here'!Q514</f>
        <v>0</v>
      </c>
      <c r="F514">
        <f>+'Paste Here'!R514</f>
        <v>0</v>
      </c>
      <c r="G514">
        <f>+'Paste Here'!S514</f>
        <v>0</v>
      </c>
      <c r="H514">
        <f>+'Paste Here'!T514</f>
        <v>0</v>
      </c>
      <c r="I514">
        <f>+'Paste Here'!U514</f>
        <v>0</v>
      </c>
      <c r="J514">
        <f>+'Paste Here'!V514</f>
        <v>0</v>
      </c>
      <c r="K514">
        <f>+'Paste Here'!W514</f>
        <v>0</v>
      </c>
    </row>
    <row r="515" spans="1:11">
      <c r="A515" t="str">
        <f t="shared" ref="A515:A578" si="8">+CONCATENATE(C515,D515)</f>
        <v>00</v>
      </c>
      <c r="B515">
        <f>+'Paste Here'!N515</f>
        <v>0</v>
      </c>
      <c r="C515">
        <f>+'Paste Here'!O515</f>
        <v>0</v>
      </c>
      <c r="D515">
        <f>+'Paste Here'!P515</f>
        <v>0</v>
      </c>
      <c r="E515">
        <f>+'Paste Here'!Q515</f>
        <v>0</v>
      </c>
      <c r="F515">
        <f>+'Paste Here'!R515</f>
        <v>0</v>
      </c>
      <c r="G515">
        <f>+'Paste Here'!S515</f>
        <v>0</v>
      </c>
      <c r="H515">
        <f>+'Paste Here'!T515</f>
        <v>0</v>
      </c>
      <c r="I515">
        <f>+'Paste Here'!U515</f>
        <v>0</v>
      </c>
      <c r="J515">
        <f>+'Paste Here'!V515</f>
        <v>0</v>
      </c>
      <c r="K515">
        <f>+'Paste Here'!W515</f>
        <v>0</v>
      </c>
    </row>
    <row r="516" spans="1:11">
      <c r="A516" t="str">
        <f t="shared" si="8"/>
        <v>00</v>
      </c>
      <c r="B516">
        <f>+'Paste Here'!N516</f>
        <v>0</v>
      </c>
      <c r="C516">
        <f>+'Paste Here'!O516</f>
        <v>0</v>
      </c>
      <c r="D516">
        <f>+'Paste Here'!P516</f>
        <v>0</v>
      </c>
      <c r="E516">
        <f>+'Paste Here'!Q516</f>
        <v>0</v>
      </c>
      <c r="F516">
        <f>+'Paste Here'!R516</f>
        <v>0</v>
      </c>
      <c r="G516">
        <f>+'Paste Here'!S516</f>
        <v>0</v>
      </c>
      <c r="H516">
        <f>+'Paste Here'!T516</f>
        <v>0</v>
      </c>
      <c r="I516">
        <f>+'Paste Here'!U516</f>
        <v>0</v>
      </c>
      <c r="J516">
        <f>+'Paste Here'!V516</f>
        <v>0</v>
      </c>
      <c r="K516">
        <f>+'Paste Here'!W516</f>
        <v>0</v>
      </c>
    </row>
    <row r="517" spans="1:11">
      <c r="A517" t="str">
        <f t="shared" si="8"/>
        <v>00</v>
      </c>
      <c r="B517">
        <f>+'Paste Here'!N517</f>
        <v>0</v>
      </c>
      <c r="C517">
        <f>+'Paste Here'!O517</f>
        <v>0</v>
      </c>
      <c r="D517">
        <f>+'Paste Here'!P517</f>
        <v>0</v>
      </c>
      <c r="E517">
        <f>+'Paste Here'!Q517</f>
        <v>0</v>
      </c>
      <c r="F517">
        <f>+'Paste Here'!R517</f>
        <v>0</v>
      </c>
      <c r="G517">
        <f>+'Paste Here'!S517</f>
        <v>0</v>
      </c>
      <c r="H517">
        <f>+'Paste Here'!T517</f>
        <v>0</v>
      </c>
      <c r="I517">
        <f>+'Paste Here'!U517</f>
        <v>0</v>
      </c>
      <c r="J517">
        <f>+'Paste Here'!V517</f>
        <v>0</v>
      </c>
      <c r="K517">
        <f>+'Paste Here'!W517</f>
        <v>0</v>
      </c>
    </row>
    <row r="518" spans="1:11">
      <c r="A518" t="str">
        <f t="shared" si="8"/>
        <v>00</v>
      </c>
      <c r="B518">
        <f>+'Paste Here'!N518</f>
        <v>0</v>
      </c>
      <c r="C518">
        <f>+'Paste Here'!O518</f>
        <v>0</v>
      </c>
      <c r="D518">
        <f>+'Paste Here'!P518</f>
        <v>0</v>
      </c>
      <c r="E518">
        <f>+'Paste Here'!Q518</f>
        <v>0</v>
      </c>
      <c r="F518">
        <f>+'Paste Here'!R518</f>
        <v>0</v>
      </c>
      <c r="G518">
        <f>+'Paste Here'!S518</f>
        <v>0</v>
      </c>
      <c r="H518">
        <f>+'Paste Here'!T518</f>
        <v>0</v>
      </c>
      <c r="I518">
        <f>+'Paste Here'!U518</f>
        <v>0</v>
      </c>
      <c r="J518">
        <f>+'Paste Here'!V518</f>
        <v>0</v>
      </c>
      <c r="K518">
        <f>+'Paste Here'!W518</f>
        <v>0</v>
      </c>
    </row>
    <row r="519" spans="1:11">
      <c r="A519" t="str">
        <f t="shared" si="8"/>
        <v>00</v>
      </c>
      <c r="B519">
        <f>+'Paste Here'!N519</f>
        <v>0</v>
      </c>
      <c r="C519">
        <f>+'Paste Here'!O519</f>
        <v>0</v>
      </c>
      <c r="D519">
        <f>+'Paste Here'!P519</f>
        <v>0</v>
      </c>
      <c r="E519">
        <f>+'Paste Here'!Q519</f>
        <v>0</v>
      </c>
      <c r="F519">
        <f>+'Paste Here'!R519</f>
        <v>0</v>
      </c>
      <c r="G519">
        <f>+'Paste Here'!S519</f>
        <v>0</v>
      </c>
      <c r="H519">
        <f>+'Paste Here'!T519</f>
        <v>0</v>
      </c>
      <c r="I519">
        <f>+'Paste Here'!U519</f>
        <v>0</v>
      </c>
      <c r="J519">
        <f>+'Paste Here'!V519</f>
        <v>0</v>
      </c>
      <c r="K519">
        <f>+'Paste Here'!W519</f>
        <v>0</v>
      </c>
    </row>
    <row r="520" spans="1:11">
      <c r="A520" t="str">
        <f t="shared" si="8"/>
        <v>00</v>
      </c>
      <c r="B520">
        <f>+'Paste Here'!N520</f>
        <v>0</v>
      </c>
      <c r="C520">
        <f>+'Paste Here'!O520</f>
        <v>0</v>
      </c>
      <c r="D520">
        <f>+'Paste Here'!P520</f>
        <v>0</v>
      </c>
      <c r="E520">
        <f>+'Paste Here'!Q520</f>
        <v>0</v>
      </c>
      <c r="F520">
        <f>+'Paste Here'!R520</f>
        <v>0</v>
      </c>
      <c r="G520">
        <f>+'Paste Here'!S520</f>
        <v>0</v>
      </c>
      <c r="H520">
        <f>+'Paste Here'!T520</f>
        <v>0</v>
      </c>
      <c r="I520">
        <f>+'Paste Here'!U520</f>
        <v>0</v>
      </c>
      <c r="J520">
        <f>+'Paste Here'!V520</f>
        <v>0</v>
      </c>
      <c r="K520">
        <f>+'Paste Here'!W520</f>
        <v>0</v>
      </c>
    </row>
    <row r="521" spans="1:11">
      <c r="A521" t="str">
        <f t="shared" si="8"/>
        <v>00</v>
      </c>
      <c r="B521">
        <f>+'Paste Here'!N521</f>
        <v>0</v>
      </c>
      <c r="C521">
        <f>+'Paste Here'!O521</f>
        <v>0</v>
      </c>
      <c r="D521">
        <f>+'Paste Here'!P521</f>
        <v>0</v>
      </c>
      <c r="E521">
        <f>+'Paste Here'!Q521</f>
        <v>0</v>
      </c>
      <c r="F521">
        <f>+'Paste Here'!R521</f>
        <v>0</v>
      </c>
      <c r="G521">
        <f>+'Paste Here'!S521</f>
        <v>0</v>
      </c>
      <c r="H521">
        <f>+'Paste Here'!T521</f>
        <v>0</v>
      </c>
      <c r="I521">
        <f>+'Paste Here'!U521</f>
        <v>0</v>
      </c>
      <c r="J521">
        <f>+'Paste Here'!V521</f>
        <v>0</v>
      </c>
      <c r="K521">
        <f>+'Paste Here'!W521</f>
        <v>0</v>
      </c>
    </row>
    <row r="522" spans="1:11">
      <c r="A522" t="str">
        <f t="shared" si="8"/>
        <v>00</v>
      </c>
      <c r="B522">
        <f>+'Paste Here'!N522</f>
        <v>0</v>
      </c>
      <c r="C522">
        <f>+'Paste Here'!O522</f>
        <v>0</v>
      </c>
      <c r="D522">
        <f>+'Paste Here'!P522</f>
        <v>0</v>
      </c>
      <c r="E522">
        <f>+'Paste Here'!Q522</f>
        <v>0</v>
      </c>
      <c r="F522">
        <f>+'Paste Here'!R522</f>
        <v>0</v>
      </c>
      <c r="G522">
        <f>+'Paste Here'!S522</f>
        <v>0</v>
      </c>
      <c r="H522">
        <f>+'Paste Here'!T522</f>
        <v>0</v>
      </c>
      <c r="I522">
        <f>+'Paste Here'!U522</f>
        <v>0</v>
      </c>
      <c r="J522">
        <f>+'Paste Here'!V522</f>
        <v>0</v>
      </c>
      <c r="K522">
        <f>+'Paste Here'!W522</f>
        <v>0</v>
      </c>
    </row>
    <row r="523" spans="1:11">
      <c r="A523" t="str">
        <f t="shared" si="8"/>
        <v>00</v>
      </c>
      <c r="B523">
        <f>+'Paste Here'!N523</f>
        <v>0</v>
      </c>
      <c r="C523">
        <f>+'Paste Here'!O523</f>
        <v>0</v>
      </c>
      <c r="D523">
        <f>+'Paste Here'!P523</f>
        <v>0</v>
      </c>
      <c r="E523">
        <f>+'Paste Here'!Q523</f>
        <v>0</v>
      </c>
      <c r="F523">
        <f>+'Paste Here'!R523</f>
        <v>0</v>
      </c>
      <c r="G523">
        <f>+'Paste Here'!S523</f>
        <v>0</v>
      </c>
      <c r="H523">
        <f>+'Paste Here'!T523</f>
        <v>0</v>
      </c>
      <c r="I523">
        <f>+'Paste Here'!U523</f>
        <v>0</v>
      </c>
      <c r="J523">
        <f>+'Paste Here'!V523</f>
        <v>0</v>
      </c>
      <c r="K523">
        <f>+'Paste Here'!W523</f>
        <v>0</v>
      </c>
    </row>
    <row r="524" spans="1:11">
      <c r="A524" t="str">
        <f t="shared" si="8"/>
        <v>00</v>
      </c>
      <c r="B524">
        <f>+'Paste Here'!N524</f>
        <v>0</v>
      </c>
      <c r="C524">
        <f>+'Paste Here'!O524</f>
        <v>0</v>
      </c>
      <c r="D524">
        <f>+'Paste Here'!P524</f>
        <v>0</v>
      </c>
      <c r="E524">
        <f>+'Paste Here'!Q524</f>
        <v>0</v>
      </c>
      <c r="F524">
        <f>+'Paste Here'!R524</f>
        <v>0</v>
      </c>
      <c r="G524">
        <f>+'Paste Here'!S524</f>
        <v>0</v>
      </c>
      <c r="H524">
        <f>+'Paste Here'!T524</f>
        <v>0</v>
      </c>
      <c r="I524">
        <f>+'Paste Here'!U524</f>
        <v>0</v>
      </c>
      <c r="J524">
        <f>+'Paste Here'!V524</f>
        <v>0</v>
      </c>
      <c r="K524">
        <f>+'Paste Here'!W524</f>
        <v>0</v>
      </c>
    </row>
    <row r="525" spans="1:11">
      <c r="A525" t="str">
        <f t="shared" si="8"/>
        <v>00</v>
      </c>
      <c r="B525">
        <f>+'Paste Here'!N525</f>
        <v>0</v>
      </c>
      <c r="C525">
        <f>+'Paste Here'!O525</f>
        <v>0</v>
      </c>
      <c r="D525">
        <f>+'Paste Here'!P525</f>
        <v>0</v>
      </c>
      <c r="E525">
        <f>+'Paste Here'!Q525</f>
        <v>0</v>
      </c>
      <c r="F525">
        <f>+'Paste Here'!R525</f>
        <v>0</v>
      </c>
      <c r="G525">
        <f>+'Paste Here'!S525</f>
        <v>0</v>
      </c>
      <c r="H525">
        <f>+'Paste Here'!T525</f>
        <v>0</v>
      </c>
      <c r="I525">
        <f>+'Paste Here'!U525</f>
        <v>0</v>
      </c>
      <c r="J525">
        <f>+'Paste Here'!V525</f>
        <v>0</v>
      </c>
      <c r="K525">
        <f>+'Paste Here'!W525</f>
        <v>0</v>
      </c>
    </row>
    <row r="526" spans="1:11">
      <c r="A526" t="str">
        <f t="shared" si="8"/>
        <v>00</v>
      </c>
      <c r="B526">
        <f>+'Paste Here'!N526</f>
        <v>0</v>
      </c>
      <c r="C526">
        <f>+'Paste Here'!O526</f>
        <v>0</v>
      </c>
      <c r="D526">
        <f>+'Paste Here'!P526</f>
        <v>0</v>
      </c>
      <c r="E526">
        <f>+'Paste Here'!Q526</f>
        <v>0</v>
      </c>
      <c r="F526">
        <f>+'Paste Here'!R526</f>
        <v>0</v>
      </c>
      <c r="G526">
        <f>+'Paste Here'!S526</f>
        <v>0</v>
      </c>
      <c r="H526">
        <f>+'Paste Here'!T526</f>
        <v>0</v>
      </c>
      <c r="I526">
        <f>+'Paste Here'!U526</f>
        <v>0</v>
      </c>
      <c r="J526">
        <f>+'Paste Here'!V526</f>
        <v>0</v>
      </c>
      <c r="K526">
        <f>+'Paste Here'!W526</f>
        <v>0</v>
      </c>
    </row>
    <row r="527" spans="1:11">
      <c r="A527" t="str">
        <f t="shared" si="8"/>
        <v>00</v>
      </c>
      <c r="B527">
        <f>+'Paste Here'!N527</f>
        <v>0</v>
      </c>
      <c r="C527">
        <f>+'Paste Here'!O527</f>
        <v>0</v>
      </c>
      <c r="D527">
        <f>+'Paste Here'!P527</f>
        <v>0</v>
      </c>
      <c r="E527">
        <f>+'Paste Here'!Q527</f>
        <v>0</v>
      </c>
      <c r="F527">
        <f>+'Paste Here'!R527</f>
        <v>0</v>
      </c>
      <c r="G527">
        <f>+'Paste Here'!S527</f>
        <v>0</v>
      </c>
      <c r="H527">
        <f>+'Paste Here'!T527</f>
        <v>0</v>
      </c>
      <c r="I527">
        <f>+'Paste Here'!U527</f>
        <v>0</v>
      </c>
      <c r="J527">
        <f>+'Paste Here'!V527</f>
        <v>0</v>
      </c>
      <c r="K527">
        <f>+'Paste Here'!W527</f>
        <v>0</v>
      </c>
    </row>
    <row r="528" spans="1:11">
      <c r="A528" t="str">
        <f t="shared" si="8"/>
        <v>00</v>
      </c>
      <c r="B528">
        <f>+'Paste Here'!N528</f>
        <v>0</v>
      </c>
      <c r="C528">
        <f>+'Paste Here'!O528</f>
        <v>0</v>
      </c>
      <c r="D528">
        <f>+'Paste Here'!P528</f>
        <v>0</v>
      </c>
      <c r="E528">
        <f>+'Paste Here'!Q528</f>
        <v>0</v>
      </c>
      <c r="F528">
        <f>+'Paste Here'!R528</f>
        <v>0</v>
      </c>
      <c r="G528">
        <f>+'Paste Here'!S528</f>
        <v>0</v>
      </c>
      <c r="H528">
        <f>+'Paste Here'!T528</f>
        <v>0</v>
      </c>
      <c r="I528">
        <f>+'Paste Here'!U528</f>
        <v>0</v>
      </c>
      <c r="J528">
        <f>+'Paste Here'!V528</f>
        <v>0</v>
      </c>
      <c r="K528">
        <f>+'Paste Here'!W528</f>
        <v>0</v>
      </c>
    </row>
    <row r="529" spans="1:11">
      <c r="A529" t="str">
        <f t="shared" si="8"/>
        <v>00</v>
      </c>
      <c r="B529">
        <f>+'Paste Here'!N529</f>
        <v>0</v>
      </c>
      <c r="C529">
        <f>+'Paste Here'!O529</f>
        <v>0</v>
      </c>
      <c r="D529">
        <f>+'Paste Here'!P529</f>
        <v>0</v>
      </c>
      <c r="E529">
        <f>+'Paste Here'!Q529</f>
        <v>0</v>
      </c>
      <c r="F529">
        <f>+'Paste Here'!R529</f>
        <v>0</v>
      </c>
      <c r="G529">
        <f>+'Paste Here'!S529</f>
        <v>0</v>
      </c>
      <c r="H529">
        <f>+'Paste Here'!T529</f>
        <v>0</v>
      </c>
      <c r="I529">
        <f>+'Paste Here'!U529</f>
        <v>0</v>
      </c>
      <c r="J529">
        <f>+'Paste Here'!V529</f>
        <v>0</v>
      </c>
      <c r="K529">
        <f>+'Paste Here'!W529</f>
        <v>0</v>
      </c>
    </row>
    <row r="530" spans="1:11">
      <c r="A530" t="str">
        <f t="shared" si="8"/>
        <v>00</v>
      </c>
      <c r="B530">
        <f>+'Paste Here'!N530</f>
        <v>0</v>
      </c>
      <c r="C530">
        <f>+'Paste Here'!O530</f>
        <v>0</v>
      </c>
      <c r="D530">
        <f>+'Paste Here'!P530</f>
        <v>0</v>
      </c>
      <c r="E530">
        <f>+'Paste Here'!Q530</f>
        <v>0</v>
      </c>
      <c r="F530">
        <f>+'Paste Here'!R530</f>
        <v>0</v>
      </c>
      <c r="G530">
        <f>+'Paste Here'!S530</f>
        <v>0</v>
      </c>
      <c r="H530">
        <f>+'Paste Here'!T530</f>
        <v>0</v>
      </c>
      <c r="I530">
        <f>+'Paste Here'!U530</f>
        <v>0</v>
      </c>
      <c r="J530">
        <f>+'Paste Here'!V530</f>
        <v>0</v>
      </c>
      <c r="K530">
        <f>+'Paste Here'!W530</f>
        <v>0</v>
      </c>
    </row>
    <row r="531" spans="1:11">
      <c r="A531" t="str">
        <f t="shared" si="8"/>
        <v>00</v>
      </c>
      <c r="B531">
        <f>+'Paste Here'!N531</f>
        <v>0</v>
      </c>
      <c r="C531">
        <f>+'Paste Here'!O531</f>
        <v>0</v>
      </c>
      <c r="D531">
        <f>+'Paste Here'!P531</f>
        <v>0</v>
      </c>
      <c r="E531">
        <f>+'Paste Here'!Q531</f>
        <v>0</v>
      </c>
      <c r="F531">
        <f>+'Paste Here'!R531</f>
        <v>0</v>
      </c>
      <c r="G531">
        <f>+'Paste Here'!S531</f>
        <v>0</v>
      </c>
      <c r="H531">
        <f>+'Paste Here'!T531</f>
        <v>0</v>
      </c>
      <c r="I531">
        <f>+'Paste Here'!U531</f>
        <v>0</v>
      </c>
      <c r="J531">
        <f>+'Paste Here'!V531</f>
        <v>0</v>
      </c>
      <c r="K531">
        <f>+'Paste Here'!W531</f>
        <v>0</v>
      </c>
    </row>
    <row r="532" spans="1:11">
      <c r="A532" t="str">
        <f t="shared" si="8"/>
        <v>00</v>
      </c>
      <c r="B532">
        <f>+'Paste Here'!N532</f>
        <v>0</v>
      </c>
      <c r="C532">
        <f>+'Paste Here'!O532</f>
        <v>0</v>
      </c>
      <c r="D532">
        <f>+'Paste Here'!P532</f>
        <v>0</v>
      </c>
      <c r="E532">
        <f>+'Paste Here'!Q532</f>
        <v>0</v>
      </c>
      <c r="F532">
        <f>+'Paste Here'!R532</f>
        <v>0</v>
      </c>
      <c r="G532">
        <f>+'Paste Here'!S532</f>
        <v>0</v>
      </c>
      <c r="H532">
        <f>+'Paste Here'!T532</f>
        <v>0</v>
      </c>
      <c r="I532">
        <f>+'Paste Here'!U532</f>
        <v>0</v>
      </c>
      <c r="J532">
        <f>+'Paste Here'!V532</f>
        <v>0</v>
      </c>
      <c r="K532">
        <f>+'Paste Here'!W532</f>
        <v>0</v>
      </c>
    </row>
    <row r="533" spans="1:11">
      <c r="A533" t="str">
        <f t="shared" si="8"/>
        <v>00</v>
      </c>
      <c r="B533">
        <f>+'Paste Here'!N533</f>
        <v>0</v>
      </c>
      <c r="C533">
        <f>+'Paste Here'!O533</f>
        <v>0</v>
      </c>
      <c r="D533">
        <f>+'Paste Here'!P533</f>
        <v>0</v>
      </c>
      <c r="E533">
        <f>+'Paste Here'!Q533</f>
        <v>0</v>
      </c>
      <c r="F533">
        <f>+'Paste Here'!R533</f>
        <v>0</v>
      </c>
      <c r="G533">
        <f>+'Paste Here'!S533</f>
        <v>0</v>
      </c>
      <c r="H533">
        <f>+'Paste Here'!T533</f>
        <v>0</v>
      </c>
      <c r="I533">
        <f>+'Paste Here'!U533</f>
        <v>0</v>
      </c>
      <c r="J533">
        <f>+'Paste Here'!V533</f>
        <v>0</v>
      </c>
      <c r="K533">
        <f>+'Paste Here'!W533</f>
        <v>0</v>
      </c>
    </row>
    <row r="534" spans="1:11">
      <c r="A534" t="str">
        <f t="shared" si="8"/>
        <v>00</v>
      </c>
      <c r="B534">
        <f>+'Paste Here'!N534</f>
        <v>0</v>
      </c>
      <c r="C534">
        <f>+'Paste Here'!O534</f>
        <v>0</v>
      </c>
      <c r="D534">
        <f>+'Paste Here'!P534</f>
        <v>0</v>
      </c>
      <c r="E534">
        <f>+'Paste Here'!Q534</f>
        <v>0</v>
      </c>
      <c r="F534">
        <f>+'Paste Here'!R534</f>
        <v>0</v>
      </c>
      <c r="G534">
        <f>+'Paste Here'!S534</f>
        <v>0</v>
      </c>
      <c r="H534">
        <f>+'Paste Here'!T534</f>
        <v>0</v>
      </c>
      <c r="I534">
        <f>+'Paste Here'!U534</f>
        <v>0</v>
      </c>
      <c r="J534">
        <f>+'Paste Here'!V534</f>
        <v>0</v>
      </c>
      <c r="K534">
        <f>+'Paste Here'!W534</f>
        <v>0</v>
      </c>
    </row>
    <row r="535" spans="1:11">
      <c r="A535" t="str">
        <f t="shared" si="8"/>
        <v>00</v>
      </c>
      <c r="B535">
        <f>+'Paste Here'!N535</f>
        <v>0</v>
      </c>
      <c r="C535">
        <f>+'Paste Here'!O535</f>
        <v>0</v>
      </c>
      <c r="D535">
        <f>+'Paste Here'!P535</f>
        <v>0</v>
      </c>
      <c r="E535">
        <f>+'Paste Here'!Q535</f>
        <v>0</v>
      </c>
      <c r="F535">
        <f>+'Paste Here'!R535</f>
        <v>0</v>
      </c>
      <c r="G535">
        <f>+'Paste Here'!S535</f>
        <v>0</v>
      </c>
      <c r="H535">
        <f>+'Paste Here'!T535</f>
        <v>0</v>
      </c>
      <c r="I535">
        <f>+'Paste Here'!U535</f>
        <v>0</v>
      </c>
      <c r="J535">
        <f>+'Paste Here'!V535</f>
        <v>0</v>
      </c>
      <c r="K535">
        <f>+'Paste Here'!W535</f>
        <v>0</v>
      </c>
    </row>
    <row r="536" spans="1:11">
      <c r="A536" t="str">
        <f t="shared" si="8"/>
        <v>00</v>
      </c>
      <c r="B536">
        <f>+'Paste Here'!N536</f>
        <v>0</v>
      </c>
      <c r="C536">
        <f>+'Paste Here'!O536</f>
        <v>0</v>
      </c>
      <c r="D536">
        <f>+'Paste Here'!P536</f>
        <v>0</v>
      </c>
      <c r="E536">
        <f>+'Paste Here'!Q536</f>
        <v>0</v>
      </c>
      <c r="F536">
        <f>+'Paste Here'!R536</f>
        <v>0</v>
      </c>
      <c r="G536">
        <f>+'Paste Here'!S536</f>
        <v>0</v>
      </c>
      <c r="H536">
        <f>+'Paste Here'!T536</f>
        <v>0</v>
      </c>
      <c r="I536">
        <f>+'Paste Here'!U536</f>
        <v>0</v>
      </c>
      <c r="J536">
        <f>+'Paste Here'!V536</f>
        <v>0</v>
      </c>
      <c r="K536">
        <f>+'Paste Here'!W536</f>
        <v>0</v>
      </c>
    </row>
    <row r="537" spans="1:11">
      <c r="A537" t="str">
        <f t="shared" si="8"/>
        <v>00</v>
      </c>
      <c r="B537">
        <f>+'Paste Here'!N537</f>
        <v>0</v>
      </c>
      <c r="C537">
        <f>+'Paste Here'!O537</f>
        <v>0</v>
      </c>
      <c r="D537">
        <f>+'Paste Here'!P537</f>
        <v>0</v>
      </c>
      <c r="E537">
        <f>+'Paste Here'!Q537</f>
        <v>0</v>
      </c>
      <c r="F537">
        <f>+'Paste Here'!R537</f>
        <v>0</v>
      </c>
      <c r="G537">
        <f>+'Paste Here'!S537</f>
        <v>0</v>
      </c>
      <c r="H537">
        <f>+'Paste Here'!T537</f>
        <v>0</v>
      </c>
      <c r="I537">
        <f>+'Paste Here'!U537</f>
        <v>0</v>
      </c>
      <c r="J537">
        <f>+'Paste Here'!V537</f>
        <v>0</v>
      </c>
      <c r="K537">
        <f>+'Paste Here'!W537</f>
        <v>0</v>
      </c>
    </row>
    <row r="538" spans="1:11">
      <c r="A538" t="str">
        <f t="shared" si="8"/>
        <v>00</v>
      </c>
      <c r="B538">
        <f>+'Paste Here'!N538</f>
        <v>0</v>
      </c>
      <c r="C538">
        <f>+'Paste Here'!O538</f>
        <v>0</v>
      </c>
      <c r="D538">
        <f>+'Paste Here'!P538</f>
        <v>0</v>
      </c>
      <c r="E538">
        <f>+'Paste Here'!Q538</f>
        <v>0</v>
      </c>
      <c r="F538">
        <f>+'Paste Here'!R538</f>
        <v>0</v>
      </c>
      <c r="G538">
        <f>+'Paste Here'!S538</f>
        <v>0</v>
      </c>
      <c r="H538">
        <f>+'Paste Here'!T538</f>
        <v>0</v>
      </c>
      <c r="I538">
        <f>+'Paste Here'!U538</f>
        <v>0</v>
      </c>
      <c r="J538">
        <f>+'Paste Here'!V538</f>
        <v>0</v>
      </c>
      <c r="K538">
        <f>+'Paste Here'!W538</f>
        <v>0</v>
      </c>
    </row>
    <row r="539" spans="1:11">
      <c r="A539" t="str">
        <f t="shared" si="8"/>
        <v>00</v>
      </c>
      <c r="B539">
        <f>+'Paste Here'!N539</f>
        <v>0</v>
      </c>
      <c r="C539">
        <f>+'Paste Here'!O539</f>
        <v>0</v>
      </c>
      <c r="D539">
        <f>+'Paste Here'!P539</f>
        <v>0</v>
      </c>
      <c r="E539">
        <f>+'Paste Here'!Q539</f>
        <v>0</v>
      </c>
      <c r="F539">
        <f>+'Paste Here'!R539</f>
        <v>0</v>
      </c>
      <c r="G539">
        <f>+'Paste Here'!S539</f>
        <v>0</v>
      </c>
      <c r="H539">
        <f>+'Paste Here'!T539</f>
        <v>0</v>
      </c>
      <c r="I539">
        <f>+'Paste Here'!U539</f>
        <v>0</v>
      </c>
      <c r="J539">
        <f>+'Paste Here'!V539</f>
        <v>0</v>
      </c>
      <c r="K539">
        <f>+'Paste Here'!W539</f>
        <v>0</v>
      </c>
    </row>
    <row r="540" spans="1:11">
      <c r="A540" t="str">
        <f t="shared" si="8"/>
        <v>00</v>
      </c>
      <c r="B540">
        <f>+'Paste Here'!N540</f>
        <v>0</v>
      </c>
      <c r="C540">
        <f>+'Paste Here'!O540</f>
        <v>0</v>
      </c>
      <c r="D540">
        <f>+'Paste Here'!P540</f>
        <v>0</v>
      </c>
      <c r="E540">
        <f>+'Paste Here'!Q540</f>
        <v>0</v>
      </c>
      <c r="F540">
        <f>+'Paste Here'!R540</f>
        <v>0</v>
      </c>
      <c r="G540">
        <f>+'Paste Here'!S540</f>
        <v>0</v>
      </c>
      <c r="H540">
        <f>+'Paste Here'!T540</f>
        <v>0</v>
      </c>
      <c r="I540">
        <f>+'Paste Here'!U540</f>
        <v>0</v>
      </c>
      <c r="J540">
        <f>+'Paste Here'!V540</f>
        <v>0</v>
      </c>
      <c r="K540">
        <f>+'Paste Here'!W540</f>
        <v>0</v>
      </c>
    </row>
    <row r="541" spans="1:11">
      <c r="A541" t="str">
        <f t="shared" si="8"/>
        <v>00</v>
      </c>
      <c r="B541">
        <f>+'Paste Here'!N541</f>
        <v>0</v>
      </c>
      <c r="C541">
        <f>+'Paste Here'!O541</f>
        <v>0</v>
      </c>
      <c r="D541">
        <f>+'Paste Here'!P541</f>
        <v>0</v>
      </c>
      <c r="E541">
        <f>+'Paste Here'!Q541</f>
        <v>0</v>
      </c>
      <c r="F541">
        <f>+'Paste Here'!R541</f>
        <v>0</v>
      </c>
      <c r="G541">
        <f>+'Paste Here'!S541</f>
        <v>0</v>
      </c>
      <c r="H541">
        <f>+'Paste Here'!T541</f>
        <v>0</v>
      </c>
      <c r="I541">
        <f>+'Paste Here'!U541</f>
        <v>0</v>
      </c>
      <c r="J541">
        <f>+'Paste Here'!V541</f>
        <v>0</v>
      </c>
      <c r="K541">
        <f>+'Paste Here'!W541</f>
        <v>0</v>
      </c>
    </row>
    <row r="542" spans="1:11">
      <c r="A542" t="str">
        <f t="shared" si="8"/>
        <v>00</v>
      </c>
      <c r="B542">
        <f>+'Paste Here'!N542</f>
        <v>0</v>
      </c>
      <c r="C542">
        <f>+'Paste Here'!O542</f>
        <v>0</v>
      </c>
      <c r="D542">
        <f>+'Paste Here'!P542</f>
        <v>0</v>
      </c>
      <c r="E542">
        <f>+'Paste Here'!Q542</f>
        <v>0</v>
      </c>
      <c r="F542">
        <f>+'Paste Here'!R542</f>
        <v>0</v>
      </c>
      <c r="G542">
        <f>+'Paste Here'!S542</f>
        <v>0</v>
      </c>
      <c r="H542">
        <f>+'Paste Here'!T542</f>
        <v>0</v>
      </c>
      <c r="I542">
        <f>+'Paste Here'!U542</f>
        <v>0</v>
      </c>
      <c r="J542">
        <f>+'Paste Here'!V542</f>
        <v>0</v>
      </c>
      <c r="K542">
        <f>+'Paste Here'!W542</f>
        <v>0</v>
      </c>
    </row>
    <row r="543" spans="1:11">
      <c r="A543" t="str">
        <f t="shared" si="8"/>
        <v>00</v>
      </c>
      <c r="B543">
        <f>+'Paste Here'!N543</f>
        <v>0</v>
      </c>
      <c r="C543">
        <f>+'Paste Here'!O543</f>
        <v>0</v>
      </c>
      <c r="D543">
        <f>+'Paste Here'!P543</f>
        <v>0</v>
      </c>
      <c r="E543">
        <f>+'Paste Here'!Q543</f>
        <v>0</v>
      </c>
      <c r="F543">
        <f>+'Paste Here'!R543</f>
        <v>0</v>
      </c>
      <c r="G543">
        <f>+'Paste Here'!S543</f>
        <v>0</v>
      </c>
      <c r="H543">
        <f>+'Paste Here'!T543</f>
        <v>0</v>
      </c>
      <c r="I543">
        <f>+'Paste Here'!U543</f>
        <v>0</v>
      </c>
      <c r="J543">
        <f>+'Paste Here'!V543</f>
        <v>0</v>
      </c>
      <c r="K543">
        <f>+'Paste Here'!W543</f>
        <v>0</v>
      </c>
    </row>
    <row r="544" spans="1:11">
      <c r="A544" t="str">
        <f t="shared" si="8"/>
        <v>00</v>
      </c>
      <c r="B544">
        <f>+'Paste Here'!N544</f>
        <v>0</v>
      </c>
      <c r="C544">
        <f>+'Paste Here'!O544</f>
        <v>0</v>
      </c>
      <c r="D544">
        <f>+'Paste Here'!P544</f>
        <v>0</v>
      </c>
      <c r="E544">
        <f>+'Paste Here'!Q544</f>
        <v>0</v>
      </c>
      <c r="F544">
        <f>+'Paste Here'!R544</f>
        <v>0</v>
      </c>
      <c r="G544">
        <f>+'Paste Here'!S544</f>
        <v>0</v>
      </c>
      <c r="H544">
        <f>+'Paste Here'!T544</f>
        <v>0</v>
      </c>
      <c r="I544">
        <f>+'Paste Here'!U544</f>
        <v>0</v>
      </c>
      <c r="J544">
        <f>+'Paste Here'!V544</f>
        <v>0</v>
      </c>
      <c r="K544">
        <f>+'Paste Here'!W544</f>
        <v>0</v>
      </c>
    </row>
    <row r="545" spans="1:11">
      <c r="A545" t="str">
        <f t="shared" si="8"/>
        <v>00</v>
      </c>
      <c r="B545">
        <f>+'Paste Here'!N545</f>
        <v>0</v>
      </c>
      <c r="C545">
        <f>+'Paste Here'!O545</f>
        <v>0</v>
      </c>
      <c r="D545">
        <f>+'Paste Here'!P545</f>
        <v>0</v>
      </c>
      <c r="E545">
        <f>+'Paste Here'!Q545</f>
        <v>0</v>
      </c>
      <c r="F545">
        <f>+'Paste Here'!R545</f>
        <v>0</v>
      </c>
      <c r="G545">
        <f>+'Paste Here'!S545</f>
        <v>0</v>
      </c>
      <c r="H545">
        <f>+'Paste Here'!T545</f>
        <v>0</v>
      </c>
      <c r="I545">
        <f>+'Paste Here'!U545</f>
        <v>0</v>
      </c>
      <c r="J545">
        <f>+'Paste Here'!V545</f>
        <v>0</v>
      </c>
      <c r="K545">
        <f>+'Paste Here'!W545</f>
        <v>0</v>
      </c>
    </row>
    <row r="546" spans="1:11">
      <c r="A546" t="str">
        <f t="shared" si="8"/>
        <v>00</v>
      </c>
      <c r="B546">
        <f>+'Paste Here'!N546</f>
        <v>0</v>
      </c>
      <c r="C546">
        <f>+'Paste Here'!O546</f>
        <v>0</v>
      </c>
      <c r="D546">
        <f>+'Paste Here'!P546</f>
        <v>0</v>
      </c>
      <c r="E546">
        <f>+'Paste Here'!Q546</f>
        <v>0</v>
      </c>
      <c r="F546">
        <f>+'Paste Here'!R546</f>
        <v>0</v>
      </c>
      <c r="G546">
        <f>+'Paste Here'!S546</f>
        <v>0</v>
      </c>
      <c r="H546">
        <f>+'Paste Here'!T546</f>
        <v>0</v>
      </c>
      <c r="I546">
        <f>+'Paste Here'!U546</f>
        <v>0</v>
      </c>
      <c r="J546">
        <f>+'Paste Here'!V546</f>
        <v>0</v>
      </c>
      <c r="K546">
        <f>+'Paste Here'!W546</f>
        <v>0</v>
      </c>
    </row>
    <row r="547" spans="1:11">
      <c r="A547" t="str">
        <f t="shared" si="8"/>
        <v>00</v>
      </c>
      <c r="B547">
        <f>+'Paste Here'!N547</f>
        <v>0</v>
      </c>
      <c r="C547">
        <f>+'Paste Here'!O547</f>
        <v>0</v>
      </c>
      <c r="D547">
        <f>+'Paste Here'!P547</f>
        <v>0</v>
      </c>
      <c r="E547">
        <f>+'Paste Here'!Q547</f>
        <v>0</v>
      </c>
      <c r="F547">
        <f>+'Paste Here'!R547</f>
        <v>0</v>
      </c>
      <c r="G547">
        <f>+'Paste Here'!S547</f>
        <v>0</v>
      </c>
      <c r="H547">
        <f>+'Paste Here'!T547</f>
        <v>0</v>
      </c>
      <c r="I547">
        <f>+'Paste Here'!U547</f>
        <v>0</v>
      </c>
      <c r="J547">
        <f>+'Paste Here'!V547</f>
        <v>0</v>
      </c>
      <c r="K547">
        <f>+'Paste Here'!W547</f>
        <v>0</v>
      </c>
    </row>
    <row r="548" spans="1:11">
      <c r="A548" t="str">
        <f t="shared" si="8"/>
        <v>00</v>
      </c>
      <c r="B548">
        <f>+'Paste Here'!N548</f>
        <v>0</v>
      </c>
      <c r="C548">
        <f>+'Paste Here'!O548</f>
        <v>0</v>
      </c>
      <c r="D548">
        <f>+'Paste Here'!P548</f>
        <v>0</v>
      </c>
      <c r="E548">
        <f>+'Paste Here'!Q548</f>
        <v>0</v>
      </c>
      <c r="F548">
        <f>+'Paste Here'!R548</f>
        <v>0</v>
      </c>
      <c r="G548">
        <f>+'Paste Here'!S548</f>
        <v>0</v>
      </c>
      <c r="H548">
        <f>+'Paste Here'!T548</f>
        <v>0</v>
      </c>
      <c r="I548">
        <f>+'Paste Here'!U548</f>
        <v>0</v>
      </c>
      <c r="J548">
        <f>+'Paste Here'!V548</f>
        <v>0</v>
      </c>
      <c r="K548">
        <f>+'Paste Here'!W548</f>
        <v>0</v>
      </c>
    </row>
    <row r="549" spans="1:11">
      <c r="A549" t="str">
        <f t="shared" si="8"/>
        <v>00</v>
      </c>
      <c r="B549">
        <f>+'Paste Here'!N549</f>
        <v>0</v>
      </c>
      <c r="C549">
        <f>+'Paste Here'!O549</f>
        <v>0</v>
      </c>
      <c r="D549">
        <f>+'Paste Here'!P549</f>
        <v>0</v>
      </c>
      <c r="E549">
        <f>+'Paste Here'!Q549</f>
        <v>0</v>
      </c>
      <c r="F549">
        <f>+'Paste Here'!R549</f>
        <v>0</v>
      </c>
      <c r="G549">
        <f>+'Paste Here'!S549</f>
        <v>0</v>
      </c>
      <c r="H549">
        <f>+'Paste Here'!T549</f>
        <v>0</v>
      </c>
      <c r="I549">
        <f>+'Paste Here'!U549</f>
        <v>0</v>
      </c>
      <c r="J549">
        <f>+'Paste Here'!V549</f>
        <v>0</v>
      </c>
      <c r="K549">
        <f>+'Paste Here'!W549</f>
        <v>0</v>
      </c>
    </row>
    <row r="550" spans="1:11">
      <c r="A550" t="str">
        <f t="shared" si="8"/>
        <v>00</v>
      </c>
      <c r="B550">
        <f>+'Paste Here'!N550</f>
        <v>0</v>
      </c>
      <c r="C550">
        <f>+'Paste Here'!O550</f>
        <v>0</v>
      </c>
      <c r="D550">
        <f>+'Paste Here'!P550</f>
        <v>0</v>
      </c>
      <c r="E550">
        <f>+'Paste Here'!Q550</f>
        <v>0</v>
      </c>
      <c r="F550">
        <f>+'Paste Here'!R550</f>
        <v>0</v>
      </c>
      <c r="G550">
        <f>+'Paste Here'!S550</f>
        <v>0</v>
      </c>
      <c r="H550">
        <f>+'Paste Here'!T550</f>
        <v>0</v>
      </c>
      <c r="I550">
        <f>+'Paste Here'!U550</f>
        <v>0</v>
      </c>
      <c r="J550">
        <f>+'Paste Here'!V550</f>
        <v>0</v>
      </c>
      <c r="K550">
        <f>+'Paste Here'!W550</f>
        <v>0</v>
      </c>
    </row>
    <row r="551" spans="1:11">
      <c r="A551" t="str">
        <f t="shared" si="8"/>
        <v>00</v>
      </c>
      <c r="B551">
        <f>+'Paste Here'!N551</f>
        <v>0</v>
      </c>
      <c r="C551">
        <f>+'Paste Here'!O551</f>
        <v>0</v>
      </c>
      <c r="D551">
        <f>+'Paste Here'!P551</f>
        <v>0</v>
      </c>
      <c r="E551">
        <f>+'Paste Here'!Q551</f>
        <v>0</v>
      </c>
      <c r="F551">
        <f>+'Paste Here'!R551</f>
        <v>0</v>
      </c>
      <c r="G551">
        <f>+'Paste Here'!S551</f>
        <v>0</v>
      </c>
      <c r="H551">
        <f>+'Paste Here'!T551</f>
        <v>0</v>
      </c>
      <c r="I551">
        <f>+'Paste Here'!U551</f>
        <v>0</v>
      </c>
      <c r="J551">
        <f>+'Paste Here'!V551</f>
        <v>0</v>
      </c>
      <c r="K551">
        <f>+'Paste Here'!W551</f>
        <v>0</v>
      </c>
    </row>
    <row r="552" spans="1:11">
      <c r="A552" t="str">
        <f t="shared" si="8"/>
        <v>00</v>
      </c>
      <c r="B552">
        <f>+'Paste Here'!N552</f>
        <v>0</v>
      </c>
      <c r="C552">
        <f>+'Paste Here'!O552</f>
        <v>0</v>
      </c>
      <c r="D552">
        <f>+'Paste Here'!P552</f>
        <v>0</v>
      </c>
      <c r="E552">
        <f>+'Paste Here'!Q552</f>
        <v>0</v>
      </c>
      <c r="F552">
        <f>+'Paste Here'!R552</f>
        <v>0</v>
      </c>
      <c r="G552">
        <f>+'Paste Here'!S552</f>
        <v>0</v>
      </c>
      <c r="H552">
        <f>+'Paste Here'!T552</f>
        <v>0</v>
      </c>
      <c r="I552">
        <f>+'Paste Here'!U552</f>
        <v>0</v>
      </c>
      <c r="J552">
        <f>+'Paste Here'!V552</f>
        <v>0</v>
      </c>
      <c r="K552">
        <f>+'Paste Here'!W552</f>
        <v>0</v>
      </c>
    </row>
    <row r="553" spans="1:11">
      <c r="A553" t="str">
        <f t="shared" si="8"/>
        <v>00</v>
      </c>
      <c r="B553">
        <f>+'Paste Here'!N553</f>
        <v>0</v>
      </c>
      <c r="C553">
        <f>+'Paste Here'!O553</f>
        <v>0</v>
      </c>
      <c r="D553">
        <f>+'Paste Here'!P553</f>
        <v>0</v>
      </c>
      <c r="E553">
        <f>+'Paste Here'!Q553</f>
        <v>0</v>
      </c>
      <c r="F553">
        <f>+'Paste Here'!R553</f>
        <v>0</v>
      </c>
      <c r="G553">
        <f>+'Paste Here'!S553</f>
        <v>0</v>
      </c>
      <c r="H553">
        <f>+'Paste Here'!T553</f>
        <v>0</v>
      </c>
      <c r="I553">
        <f>+'Paste Here'!U553</f>
        <v>0</v>
      </c>
      <c r="J553">
        <f>+'Paste Here'!V553</f>
        <v>0</v>
      </c>
      <c r="K553">
        <f>+'Paste Here'!W553</f>
        <v>0</v>
      </c>
    </row>
    <row r="554" spans="1:11">
      <c r="A554" t="str">
        <f t="shared" si="8"/>
        <v>00</v>
      </c>
      <c r="B554">
        <f>+'Paste Here'!N554</f>
        <v>0</v>
      </c>
      <c r="C554">
        <f>+'Paste Here'!O554</f>
        <v>0</v>
      </c>
      <c r="D554">
        <f>+'Paste Here'!P554</f>
        <v>0</v>
      </c>
      <c r="E554">
        <f>+'Paste Here'!Q554</f>
        <v>0</v>
      </c>
      <c r="F554">
        <f>+'Paste Here'!R554</f>
        <v>0</v>
      </c>
      <c r="G554">
        <f>+'Paste Here'!S554</f>
        <v>0</v>
      </c>
      <c r="H554">
        <f>+'Paste Here'!T554</f>
        <v>0</v>
      </c>
      <c r="I554">
        <f>+'Paste Here'!U554</f>
        <v>0</v>
      </c>
      <c r="J554">
        <f>+'Paste Here'!V554</f>
        <v>0</v>
      </c>
      <c r="K554">
        <f>+'Paste Here'!W554</f>
        <v>0</v>
      </c>
    </row>
    <row r="555" spans="1:11">
      <c r="A555" t="str">
        <f t="shared" si="8"/>
        <v>00</v>
      </c>
      <c r="B555">
        <f>+'Paste Here'!N555</f>
        <v>0</v>
      </c>
      <c r="C555">
        <f>+'Paste Here'!O555</f>
        <v>0</v>
      </c>
      <c r="D555">
        <f>+'Paste Here'!P555</f>
        <v>0</v>
      </c>
      <c r="E555">
        <f>+'Paste Here'!Q555</f>
        <v>0</v>
      </c>
      <c r="F555">
        <f>+'Paste Here'!R555</f>
        <v>0</v>
      </c>
      <c r="G555">
        <f>+'Paste Here'!S555</f>
        <v>0</v>
      </c>
      <c r="H555">
        <f>+'Paste Here'!T555</f>
        <v>0</v>
      </c>
      <c r="I555">
        <f>+'Paste Here'!U555</f>
        <v>0</v>
      </c>
      <c r="J555">
        <f>+'Paste Here'!V555</f>
        <v>0</v>
      </c>
      <c r="K555">
        <f>+'Paste Here'!W555</f>
        <v>0</v>
      </c>
    </row>
    <row r="556" spans="1:11">
      <c r="A556" t="str">
        <f t="shared" si="8"/>
        <v>00</v>
      </c>
      <c r="B556">
        <f>+'Paste Here'!N556</f>
        <v>0</v>
      </c>
      <c r="C556">
        <f>+'Paste Here'!O556</f>
        <v>0</v>
      </c>
      <c r="D556">
        <f>+'Paste Here'!P556</f>
        <v>0</v>
      </c>
      <c r="E556">
        <f>+'Paste Here'!Q556</f>
        <v>0</v>
      </c>
      <c r="F556">
        <f>+'Paste Here'!R556</f>
        <v>0</v>
      </c>
      <c r="G556">
        <f>+'Paste Here'!S556</f>
        <v>0</v>
      </c>
      <c r="H556">
        <f>+'Paste Here'!T556</f>
        <v>0</v>
      </c>
      <c r="I556">
        <f>+'Paste Here'!U556</f>
        <v>0</v>
      </c>
      <c r="J556">
        <f>+'Paste Here'!V556</f>
        <v>0</v>
      </c>
      <c r="K556">
        <f>+'Paste Here'!W556</f>
        <v>0</v>
      </c>
    </row>
    <row r="557" spans="1:11">
      <c r="A557" t="str">
        <f t="shared" si="8"/>
        <v>00</v>
      </c>
      <c r="B557">
        <f>+'Paste Here'!N557</f>
        <v>0</v>
      </c>
      <c r="C557">
        <f>+'Paste Here'!O557</f>
        <v>0</v>
      </c>
      <c r="D557">
        <f>+'Paste Here'!P557</f>
        <v>0</v>
      </c>
      <c r="E557">
        <f>+'Paste Here'!Q557</f>
        <v>0</v>
      </c>
      <c r="F557">
        <f>+'Paste Here'!R557</f>
        <v>0</v>
      </c>
      <c r="G557">
        <f>+'Paste Here'!S557</f>
        <v>0</v>
      </c>
      <c r="H557">
        <f>+'Paste Here'!T557</f>
        <v>0</v>
      </c>
      <c r="I557">
        <f>+'Paste Here'!U557</f>
        <v>0</v>
      </c>
      <c r="J557">
        <f>+'Paste Here'!V557</f>
        <v>0</v>
      </c>
      <c r="K557">
        <f>+'Paste Here'!W557</f>
        <v>0</v>
      </c>
    </row>
    <row r="558" spans="1:11">
      <c r="A558" t="str">
        <f t="shared" si="8"/>
        <v>00</v>
      </c>
      <c r="B558">
        <f>+'Paste Here'!N558</f>
        <v>0</v>
      </c>
      <c r="C558">
        <f>+'Paste Here'!O558</f>
        <v>0</v>
      </c>
      <c r="D558">
        <f>+'Paste Here'!P558</f>
        <v>0</v>
      </c>
      <c r="E558">
        <f>+'Paste Here'!Q558</f>
        <v>0</v>
      </c>
      <c r="F558">
        <f>+'Paste Here'!R558</f>
        <v>0</v>
      </c>
      <c r="G558">
        <f>+'Paste Here'!S558</f>
        <v>0</v>
      </c>
      <c r="H558">
        <f>+'Paste Here'!T558</f>
        <v>0</v>
      </c>
      <c r="I558">
        <f>+'Paste Here'!U558</f>
        <v>0</v>
      </c>
      <c r="J558">
        <f>+'Paste Here'!V558</f>
        <v>0</v>
      </c>
      <c r="K558">
        <f>+'Paste Here'!W558</f>
        <v>0</v>
      </c>
    </row>
    <row r="559" spans="1:11">
      <c r="A559" t="str">
        <f t="shared" si="8"/>
        <v>00</v>
      </c>
      <c r="B559">
        <f>+'Paste Here'!N559</f>
        <v>0</v>
      </c>
      <c r="C559">
        <f>+'Paste Here'!O559</f>
        <v>0</v>
      </c>
      <c r="D559">
        <f>+'Paste Here'!P559</f>
        <v>0</v>
      </c>
      <c r="E559">
        <f>+'Paste Here'!Q559</f>
        <v>0</v>
      </c>
      <c r="F559">
        <f>+'Paste Here'!R559</f>
        <v>0</v>
      </c>
      <c r="G559">
        <f>+'Paste Here'!S559</f>
        <v>0</v>
      </c>
      <c r="H559">
        <f>+'Paste Here'!T559</f>
        <v>0</v>
      </c>
      <c r="I559">
        <f>+'Paste Here'!U559</f>
        <v>0</v>
      </c>
      <c r="J559">
        <f>+'Paste Here'!V559</f>
        <v>0</v>
      </c>
      <c r="K559">
        <f>+'Paste Here'!W559</f>
        <v>0</v>
      </c>
    </row>
    <row r="560" spans="1:11">
      <c r="A560" t="str">
        <f t="shared" si="8"/>
        <v>00</v>
      </c>
      <c r="B560">
        <f>+'Paste Here'!N560</f>
        <v>0</v>
      </c>
      <c r="C560">
        <f>+'Paste Here'!O560</f>
        <v>0</v>
      </c>
      <c r="D560">
        <f>+'Paste Here'!P560</f>
        <v>0</v>
      </c>
      <c r="E560">
        <f>+'Paste Here'!Q560</f>
        <v>0</v>
      </c>
      <c r="F560">
        <f>+'Paste Here'!R560</f>
        <v>0</v>
      </c>
      <c r="G560">
        <f>+'Paste Here'!S560</f>
        <v>0</v>
      </c>
      <c r="H560">
        <f>+'Paste Here'!T560</f>
        <v>0</v>
      </c>
      <c r="I560">
        <f>+'Paste Here'!U560</f>
        <v>0</v>
      </c>
      <c r="J560">
        <f>+'Paste Here'!V560</f>
        <v>0</v>
      </c>
      <c r="K560">
        <f>+'Paste Here'!W560</f>
        <v>0</v>
      </c>
    </row>
    <row r="561" spans="1:11">
      <c r="A561" t="str">
        <f t="shared" si="8"/>
        <v>00</v>
      </c>
      <c r="B561">
        <f>+'Paste Here'!N561</f>
        <v>0</v>
      </c>
      <c r="C561">
        <f>+'Paste Here'!O561</f>
        <v>0</v>
      </c>
      <c r="D561">
        <f>+'Paste Here'!P561</f>
        <v>0</v>
      </c>
      <c r="E561">
        <f>+'Paste Here'!Q561</f>
        <v>0</v>
      </c>
      <c r="F561">
        <f>+'Paste Here'!R561</f>
        <v>0</v>
      </c>
      <c r="G561">
        <f>+'Paste Here'!S561</f>
        <v>0</v>
      </c>
      <c r="H561">
        <f>+'Paste Here'!T561</f>
        <v>0</v>
      </c>
      <c r="I561">
        <f>+'Paste Here'!U561</f>
        <v>0</v>
      </c>
      <c r="J561">
        <f>+'Paste Here'!V561</f>
        <v>0</v>
      </c>
      <c r="K561">
        <f>+'Paste Here'!W561</f>
        <v>0</v>
      </c>
    </row>
    <row r="562" spans="1:11">
      <c r="A562" t="str">
        <f t="shared" si="8"/>
        <v>00</v>
      </c>
      <c r="B562">
        <f>+'Paste Here'!N562</f>
        <v>0</v>
      </c>
      <c r="C562">
        <f>+'Paste Here'!O562</f>
        <v>0</v>
      </c>
      <c r="D562">
        <f>+'Paste Here'!P562</f>
        <v>0</v>
      </c>
      <c r="E562">
        <f>+'Paste Here'!Q562</f>
        <v>0</v>
      </c>
      <c r="F562">
        <f>+'Paste Here'!R562</f>
        <v>0</v>
      </c>
      <c r="G562">
        <f>+'Paste Here'!S562</f>
        <v>0</v>
      </c>
      <c r="H562">
        <f>+'Paste Here'!T562</f>
        <v>0</v>
      </c>
      <c r="I562">
        <f>+'Paste Here'!U562</f>
        <v>0</v>
      </c>
      <c r="J562">
        <f>+'Paste Here'!V562</f>
        <v>0</v>
      </c>
      <c r="K562">
        <f>+'Paste Here'!W562</f>
        <v>0</v>
      </c>
    </row>
    <row r="563" spans="1:11">
      <c r="A563" t="str">
        <f t="shared" si="8"/>
        <v>00</v>
      </c>
      <c r="B563">
        <f>+'Paste Here'!N563</f>
        <v>0</v>
      </c>
      <c r="C563">
        <f>+'Paste Here'!O563</f>
        <v>0</v>
      </c>
      <c r="D563">
        <f>+'Paste Here'!P563</f>
        <v>0</v>
      </c>
      <c r="E563">
        <f>+'Paste Here'!Q563</f>
        <v>0</v>
      </c>
      <c r="F563">
        <f>+'Paste Here'!R563</f>
        <v>0</v>
      </c>
      <c r="G563">
        <f>+'Paste Here'!S563</f>
        <v>0</v>
      </c>
      <c r="H563">
        <f>+'Paste Here'!T563</f>
        <v>0</v>
      </c>
      <c r="I563">
        <f>+'Paste Here'!U563</f>
        <v>0</v>
      </c>
      <c r="J563">
        <f>+'Paste Here'!V563</f>
        <v>0</v>
      </c>
      <c r="K563">
        <f>+'Paste Here'!W563</f>
        <v>0</v>
      </c>
    </row>
    <row r="564" spans="1:11">
      <c r="A564" t="str">
        <f t="shared" si="8"/>
        <v>00</v>
      </c>
      <c r="B564">
        <f>+'Paste Here'!N564</f>
        <v>0</v>
      </c>
      <c r="C564">
        <f>+'Paste Here'!O564</f>
        <v>0</v>
      </c>
      <c r="D564">
        <f>+'Paste Here'!P564</f>
        <v>0</v>
      </c>
      <c r="E564">
        <f>+'Paste Here'!Q564</f>
        <v>0</v>
      </c>
      <c r="F564">
        <f>+'Paste Here'!R564</f>
        <v>0</v>
      </c>
      <c r="G564">
        <f>+'Paste Here'!S564</f>
        <v>0</v>
      </c>
      <c r="H564">
        <f>+'Paste Here'!T564</f>
        <v>0</v>
      </c>
      <c r="I564">
        <f>+'Paste Here'!U564</f>
        <v>0</v>
      </c>
      <c r="J564">
        <f>+'Paste Here'!V564</f>
        <v>0</v>
      </c>
      <c r="K564">
        <f>+'Paste Here'!W564</f>
        <v>0</v>
      </c>
    </row>
    <row r="565" spans="1:11">
      <c r="A565" t="str">
        <f t="shared" si="8"/>
        <v>00</v>
      </c>
      <c r="B565">
        <f>+'Paste Here'!N565</f>
        <v>0</v>
      </c>
      <c r="C565">
        <f>+'Paste Here'!O565</f>
        <v>0</v>
      </c>
      <c r="D565">
        <f>+'Paste Here'!P565</f>
        <v>0</v>
      </c>
      <c r="E565">
        <f>+'Paste Here'!Q565</f>
        <v>0</v>
      </c>
      <c r="F565">
        <f>+'Paste Here'!R565</f>
        <v>0</v>
      </c>
      <c r="G565">
        <f>+'Paste Here'!S565</f>
        <v>0</v>
      </c>
      <c r="H565">
        <f>+'Paste Here'!T565</f>
        <v>0</v>
      </c>
      <c r="I565">
        <f>+'Paste Here'!U565</f>
        <v>0</v>
      </c>
      <c r="J565">
        <f>+'Paste Here'!V565</f>
        <v>0</v>
      </c>
      <c r="K565">
        <f>+'Paste Here'!W565</f>
        <v>0</v>
      </c>
    </row>
    <row r="566" spans="1:11">
      <c r="A566" t="str">
        <f t="shared" si="8"/>
        <v>00</v>
      </c>
      <c r="B566">
        <f>+'Paste Here'!N566</f>
        <v>0</v>
      </c>
      <c r="C566">
        <f>+'Paste Here'!O566</f>
        <v>0</v>
      </c>
      <c r="D566">
        <f>+'Paste Here'!P566</f>
        <v>0</v>
      </c>
      <c r="E566">
        <f>+'Paste Here'!Q566</f>
        <v>0</v>
      </c>
      <c r="F566">
        <f>+'Paste Here'!R566</f>
        <v>0</v>
      </c>
      <c r="G566">
        <f>+'Paste Here'!S566</f>
        <v>0</v>
      </c>
      <c r="H566">
        <f>+'Paste Here'!T566</f>
        <v>0</v>
      </c>
      <c r="I566">
        <f>+'Paste Here'!U566</f>
        <v>0</v>
      </c>
      <c r="J566">
        <f>+'Paste Here'!V566</f>
        <v>0</v>
      </c>
      <c r="K566">
        <f>+'Paste Here'!W566</f>
        <v>0</v>
      </c>
    </row>
    <row r="567" spans="1:11">
      <c r="A567" t="str">
        <f t="shared" si="8"/>
        <v>00</v>
      </c>
      <c r="B567">
        <f>+'Paste Here'!N567</f>
        <v>0</v>
      </c>
      <c r="C567">
        <f>+'Paste Here'!O567</f>
        <v>0</v>
      </c>
      <c r="D567">
        <f>+'Paste Here'!P567</f>
        <v>0</v>
      </c>
      <c r="E567">
        <f>+'Paste Here'!Q567</f>
        <v>0</v>
      </c>
      <c r="F567">
        <f>+'Paste Here'!R567</f>
        <v>0</v>
      </c>
      <c r="G567">
        <f>+'Paste Here'!S567</f>
        <v>0</v>
      </c>
      <c r="H567">
        <f>+'Paste Here'!T567</f>
        <v>0</v>
      </c>
      <c r="I567">
        <f>+'Paste Here'!U567</f>
        <v>0</v>
      </c>
      <c r="J567">
        <f>+'Paste Here'!V567</f>
        <v>0</v>
      </c>
      <c r="K567">
        <f>+'Paste Here'!W567</f>
        <v>0</v>
      </c>
    </row>
    <row r="568" spans="1:11">
      <c r="A568" t="str">
        <f t="shared" si="8"/>
        <v>00</v>
      </c>
      <c r="B568">
        <f>+'Paste Here'!N568</f>
        <v>0</v>
      </c>
      <c r="C568">
        <f>+'Paste Here'!O568</f>
        <v>0</v>
      </c>
      <c r="D568">
        <f>+'Paste Here'!P568</f>
        <v>0</v>
      </c>
      <c r="E568">
        <f>+'Paste Here'!Q568</f>
        <v>0</v>
      </c>
      <c r="F568">
        <f>+'Paste Here'!R568</f>
        <v>0</v>
      </c>
      <c r="G568">
        <f>+'Paste Here'!S568</f>
        <v>0</v>
      </c>
      <c r="H568">
        <f>+'Paste Here'!T568</f>
        <v>0</v>
      </c>
      <c r="I568">
        <f>+'Paste Here'!U568</f>
        <v>0</v>
      </c>
      <c r="J568">
        <f>+'Paste Here'!V568</f>
        <v>0</v>
      </c>
      <c r="K568">
        <f>+'Paste Here'!W568</f>
        <v>0</v>
      </c>
    </row>
    <row r="569" spans="1:11">
      <c r="A569" t="str">
        <f t="shared" si="8"/>
        <v>00</v>
      </c>
      <c r="B569">
        <f>+'Paste Here'!N569</f>
        <v>0</v>
      </c>
      <c r="C569">
        <f>+'Paste Here'!O569</f>
        <v>0</v>
      </c>
      <c r="D569">
        <f>+'Paste Here'!P569</f>
        <v>0</v>
      </c>
      <c r="E569">
        <f>+'Paste Here'!Q569</f>
        <v>0</v>
      </c>
      <c r="F569">
        <f>+'Paste Here'!R569</f>
        <v>0</v>
      </c>
      <c r="G569">
        <f>+'Paste Here'!S569</f>
        <v>0</v>
      </c>
      <c r="H569">
        <f>+'Paste Here'!T569</f>
        <v>0</v>
      </c>
      <c r="I569">
        <f>+'Paste Here'!U569</f>
        <v>0</v>
      </c>
      <c r="J569">
        <f>+'Paste Here'!V569</f>
        <v>0</v>
      </c>
      <c r="K569">
        <f>+'Paste Here'!W569</f>
        <v>0</v>
      </c>
    </row>
    <row r="570" spans="1:11">
      <c r="A570" t="str">
        <f t="shared" si="8"/>
        <v>00</v>
      </c>
      <c r="B570">
        <f>+'Paste Here'!N570</f>
        <v>0</v>
      </c>
      <c r="C570">
        <f>+'Paste Here'!O570</f>
        <v>0</v>
      </c>
      <c r="D570">
        <f>+'Paste Here'!P570</f>
        <v>0</v>
      </c>
      <c r="E570">
        <f>+'Paste Here'!Q570</f>
        <v>0</v>
      </c>
      <c r="F570">
        <f>+'Paste Here'!R570</f>
        <v>0</v>
      </c>
      <c r="G570">
        <f>+'Paste Here'!S570</f>
        <v>0</v>
      </c>
      <c r="H570">
        <f>+'Paste Here'!T570</f>
        <v>0</v>
      </c>
      <c r="I570">
        <f>+'Paste Here'!U570</f>
        <v>0</v>
      </c>
      <c r="J570">
        <f>+'Paste Here'!V570</f>
        <v>0</v>
      </c>
      <c r="K570">
        <f>+'Paste Here'!W570</f>
        <v>0</v>
      </c>
    </row>
    <row r="571" spans="1:11">
      <c r="A571" t="str">
        <f t="shared" si="8"/>
        <v>00</v>
      </c>
      <c r="B571">
        <f>+'Paste Here'!N571</f>
        <v>0</v>
      </c>
      <c r="C571">
        <f>+'Paste Here'!O571</f>
        <v>0</v>
      </c>
      <c r="D571">
        <f>+'Paste Here'!P571</f>
        <v>0</v>
      </c>
      <c r="E571">
        <f>+'Paste Here'!Q571</f>
        <v>0</v>
      </c>
      <c r="F571">
        <f>+'Paste Here'!R571</f>
        <v>0</v>
      </c>
      <c r="G571">
        <f>+'Paste Here'!S571</f>
        <v>0</v>
      </c>
      <c r="H571">
        <f>+'Paste Here'!T571</f>
        <v>0</v>
      </c>
      <c r="I571">
        <f>+'Paste Here'!U571</f>
        <v>0</v>
      </c>
      <c r="J571">
        <f>+'Paste Here'!V571</f>
        <v>0</v>
      </c>
      <c r="K571">
        <f>+'Paste Here'!W571</f>
        <v>0</v>
      </c>
    </row>
    <row r="572" spans="1:11">
      <c r="A572" t="str">
        <f t="shared" si="8"/>
        <v>00</v>
      </c>
      <c r="B572">
        <f>+'Paste Here'!N572</f>
        <v>0</v>
      </c>
      <c r="C572">
        <f>+'Paste Here'!O572</f>
        <v>0</v>
      </c>
      <c r="D572">
        <f>+'Paste Here'!P572</f>
        <v>0</v>
      </c>
      <c r="E572">
        <f>+'Paste Here'!Q572</f>
        <v>0</v>
      </c>
      <c r="F572">
        <f>+'Paste Here'!R572</f>
        <v>0</v>
      </c>
      <c r="G572">
        <f>+'Paste Here'!S572</f>
        <v>0</v>
      </c>
      <c r="H572">
        <f>+'Paste Here'!T572</f>
        <v>0</v>
      </c>
      <c r="I572">
        <f>+'Paste Here'!U572</f>
        <v>0</v>
      </c>
      <c r="J572">
        <f>+'Paste Here'!V572</f>
        <v>0</v>
      </c>
      <c r="K572">
        <f>+'Paste Here'!W572</f>
        <v>0</v>
      </c>
    </row>
    <row r="573" spans="1:11">
      <c r="A573" t="str">
        <f t="shared" si="8"/>
        <v>00</v>
      </c>
      <c r="B573">
        <f>+'Paste Here'!N573</f>
        <v>0</v>
      </c>
      <c r="C573">
        <f>+'Paste Here'!O573</f>
        <v>0</v>
      </c>
      <c r="D573">
        <f>+'Paste Here'!P573</f>
        <v>0</v>
      </c>
      <c r="E573">
        <f>+'Paste Here'!Q573</f>
        <v>0</v>
      </c>
      <c r="F573">
        <f>+'Paste Here'!R573</f>
        <v>0</v>
      </c>
      <c r="G573">
        <f>+'Paste Here'!S573</f>
        <v>0</v>
      </c>
      <c r="H573">
        <f>+'Paste Here'!T573</f>
        <v>0</v>
      </c>
      <c r="I573">
        <f>+'Paste Here'!U573</f>
        <v>0</v>
      </c>
      <c r="J573">
        <f>+'Paste Here'!V573</f>
        <v>0</v>
      </c>
      <c r="K573">
        <f>+'Paste Here'!W573</f>
        <v>0</v>
      </c>
    </row>
    <row r="574" spans="1:11">
      <c r="A574" t="str">
        <f t="shared" si="8"/>
        <v>00</v>
      </c>
      <c r="B574">
        <f>+'Paste Here'!N574</f>
        <v>0</v>
      </c>
      <c r="C574">
        <f>+'Paste Here'!O574</f>
        <v>0</v>
      </c>
      <c r="D574">
        <f>+'Paste Here'!P574</f>
        <v>0</v>
      </c>
      <c r="E574">
        <f>+'Paste Here'!Q574</f>
        <v>0</v>
      </c>
      <c r="F574">
        <f>+'Paste Here'!R574</f>
        <v>0</v>
      </c>
      <c r="G574">
        <f>+'Paste Here'!S574</f>
        <v>0</v>
      </c>
      <c r="H574">
        <f>+'Paste Here'!T574</f>
        <v>0</v>
      </c>
      <c r="I574">
        <f>+'Paste Here'!U574</f>
        <v>0</v>
      </c>
      <c r="J574">
        <f>+'Paste Here'!V574</f>
        <v>0</v>
      </c>
      <c r="K574">
        <f>+'Paste Here'!W574</f>
        <v>0</v>
      </c>
    </row>
    <row r="575" spans="1:11">
      <c r="A575" t="str">
        <f t="shared" si="8"/>
        <v>00</v>
      </c>
      <c r="B575">
        <f>+'Paste Here'!N575</f>
        <v>0</v>
      </c>
      <c r="C575">
        <f>+'Paste Here'!O575</f>
        <v>0</v>
      </c>
      <c r="D575">
        <f>+'Paste Here'!P575</f>
        <v>0</v>
      </c>
      <c r="E575">
        <f>+'Paste Here'!Q575</f>
        <v>0</v>
      </c>
      <c r="F575">
        <f>+'Paste Here'!R575</f>
        <v>0</v>
      </c>
      <c r="G575">
        <f>+'Paste Here'!S575</f>
        <v>0</v>
      </c>
      <c r="H575">
        <f>+'Paste Here'!T575</f>
        <v>0</v>
      </c>
      <c r="I575">
        <f>+'Paste Here'!U575</f>
        <v>0</v>
      </c>
      <c r="J575">
        <f>+'Paste Here'!V575</f>
        <v>0</v>
      </c>
      <c r="K575">
        <f>+'Paste Here'!W575</f>
        <v>0</v>
      </c>
    </row>
    <row r="576" spans="1:11">
      <c r="A576" t="str">
        <f t="shared" si="8"/>
        <v>00</v>
      </c>
      <c r="B576">
        <f>+'Paste Here'!N576</f>
        <v>0</v>
      </c>
      <c r="C576">
        <f>+'Paste Here'!O576</f>
        <v>0</v>
      </c>
      <c r="D576">
        <f>+'Paste Here'!P576</f>
        <v>0</v>
      </c>
      <c r="E576">
        <f>+'Paste Here'!Q576</f>
        <v>0</v>
      </c>
      <c r="F576">
        <f>+'Paste Here'!R576</f>
        <v>0</v>
      </c>
      <c r="G576">
        <f>+'Paste Here'!S576</f>
        <v>0</v>
      </c>
      <c r="H576">
        <f>+'Paste Here'!T576</f>
        <v>0</v>
      </c>
      <c r="I576">
        <f>+'Paste Here'!U576</f>
        <v>0</v>
      </c>
      <c r="J576">
        <f>+'Paste Here'!V576</f>
        <v>0</v>
      </c>
      <c r="K576">
        <f>+'Paste Here'!W576</f>
        <v>0</v>
      </c>
    </row>
    <row r="577" spans="1:11">
      <c r="A577" t="str">
        <f t="shared" si="8"/>
        <v>00</v>
      </c>
      <c r="B577">
        <f>+'Paste Here'!N577</f>
        <v>0</v>
      </c>
      <c r="C577">
        <f>+'Paste Here'!O577</f>
        <v>0</v>
      </c>
      <c r="D577">
        <f>+'Paste Here'!P577</f>
        <v>0</v>
      </c>
      <c r="E577">
        <f>+'Paste Here'!Q577</f>
        <v>0</v>
      </c>
      <c r="F577">
        <f>+'Paste Here'!R577</f>
        <v>0</v>
      </c>
      <c r="G577">
        <f>+'Paste Here'!S577</f>
        <v>0</v>
      </c>
      <c r="H577">
        <f>+'Paste Here'!T577</f>
        <v>0</v>
      </c>
      <c r="I577">
        <f>+'Paste Here'!U577</f>
        <v>0</v>
      </c>
      <c r="J577">
        <f>+'Paste Here'!V577</f>
        <v>0</v>
      </c>
      <c r="K577">
        <f>+'Paste Here'!W577</f>
        <v>0</v>
      </c>
    </row>
    <row r="578" spans="1:11">
      <c r="A578" t="str">
        <f t="shared" si="8"/>
        <v>00</v>
      </c>
      <c r="B578">
        <f>+'Paste Here'!N578</f>
        <v>0</v>
      </c>
      <c r="C578">
        <f>+'Paste Here'!O578</f>
        <v>0</v>
      </c>
      <c r="D578">
        <f>+'Paste Here'!P578</f>
        <v>0</v>
      </c>
      <c r="E578">
        <f>+'Paste Here'!Q578</f>
        <v>0</v>
      </c>
      <c r="F578">
        <f>+'Paste Here'!R578</f>
        <v>0</v>
      </c>
      <c r="G578">
        <f>+'Paste Here'!S578</f>
        <v>0</v>
      </c>
      <c r="H578">
        <f>+'Paste Here'!T578</f>
        <v>0</v>
      </c>
      <c r="I578">
        <f>+'Paste Here'!U578</f>
        <v>0</v>
      </c>
      <c r="J578">
        <f>+'Paste Here'!V578</f>
        <v>0</v>
      </c>
      <c r="K578">
        <f>+'Paste Here'!W578</f>
        <v>0</v>
      </c>
    </row>
    <row r="579" spans="1:11">
      <c r="A579" t="str">
        <f t="shared" ref="A579:A642" si="9">+CONCATENATE(C579,D579)</f>
        <v>00</v>
      </c>
      <c r="B579">
        <f>+'Paste Here'!N579</f>
        <v>0</v>
      </c>
      <c r="C579">
        <f>+'Paste Here'!O579</f>
        <v>0</v>
      </c>
      <c r="D579">
        <f>+'Paste Here'!P579</f>
        <v>0</v>
      </c>
      <c r="E579">
        <f>+'Paste Here'!Q579</f>
        <v>0</v>
      </c>
      <c r="F579">
        <f>+'Paste Here'!R579</f>
        <v>0</v>
      </c>
      <c r="G579">
        <f>+'Paste Here'!S579</f>
        <v>0</v>
      </c>
      <c r="H579">
        <f>+'Paste Here'!T579</f>
        <v>0</v>
      </c>
      <c r="I579">
        <f>+'Paste Here'!U579</f>
        <v>0</v>
      </c>
      <c r="J579">
        <f>+'Paste Here'!V579</f>
        <v>0</v>
      </c>
      <c r="K579">
        <f>+'Paste Here'!W579</f>
        <v>0</v>
      </c>
    </row>
    <row r="580" spans="1:11">
      <c r="A580" t="str">
        <f t="shared" si="9"/>
        <v>00</v>
      </c>
      <c r="B580">
        <f>+'Paste Here'!N580</f>
        <v>0</v>
      </c>
      <c r="C580">
        <f>+'Paste Here'!O580</f>
        <v>0</v>
      </c>
      <c r="D580">
        <f>+'Paste Here'!P580</f>
        <v>0</v>
      </c>
      <c r="E580">
        <f>+'Paste Here'!Q580</f>
        <v>0</v>
      </c>
      <c r="F580">
        <f>+'Paste Here'!R580</f>
        <v>0</v>
      </c>
      <c r="G580">
        <f>+'Paste Here'!S580</f>
        <v>0</v>
      </c>
      <c r="H580">
        <f>+'Paste Here'!T580</f>
        <v>0</v>
      </c>
      <c r="I580">
        <f>+'Paste Here'!U580</f>
        <v>0</v>
      </c>
      <c r="J580">
        <f>+'Paste Here'!V580</f>
        <v>0</v>
      </c>
      <c r="K580">
        <f>+'Paste Here'!W580</f>
        <v>0</v>
      </c>
    </row>
    <row r="581" spans="1:11">
      <c r="A581" t="str">
        <f t="shared" si="9"/>
        <v>00</v>
      </c>
      <c r="B581">
        <f>+'Paste Here'!N581</f>
        <v>0</v>
      </c>
      <c r="C581">
        <f>+'Paste Here'!O581</f>
        <v>0</v>
      </c>
      <c r="D581">
        <f>+'Paste Here'!P581</f>
        <v>0</v>
      </c>
      <c r="E581">
        <f>+'Paste Here'!Q581</f>
        <v>0</v>
      </c>
      <c r="F581">
        <f>+'Paste Here'!R581</f>
        <v>0</v>
      </c>
      <c r="G581">
        <f>+'Paste Here'!S581</f>
        <v>0</v>
      </c>
      <c r="H581">
        <f>+'Paste Here'!T581</f>
        <v>0</v>
      </c>
      <c r="I581">
        <f>+'Paste Here'!U581</f>
        <v>0</v>
      </c>
      <c r="J581">
        <f>+'Paste Here'!V581</f>
        <v>0</v>
      </c>
      <c r="K581">
        <f>+'Paste Here'!W581</f>
        <v>0</v>
      </c>
    </row>
    <row r="582" spans="1:11">
      <c r="A582" t="str">
        <f t="shared" si="9"/>
        <v>00</v>
      </c>
      <c r="B582">
        <f>+'Paste Here'!N582</f>
        <v>0</v>
      </c>
      <c r="C582">
        <f>+'Paste Here'!O582</f>
        <v>0</v>
      </c>
      <c r="D582">
        <f>+'Paste Here'!P582</f>
        <v>0</v>
      </c>
      <c r="E582">
        <f>+'Paste Here'!Q582</f>
        <v>0</v>
      </c>
      <c r="F582">
        <f>+'Paste Here'!R582</f>
        <v>0</v>
      </c>
      <c r="G582">
        <f>+'Paste Here'!S582</f>
        <v>0</v>
      </c>
      <c r="H582">
        <f>+'Paste Here'!T582</f>
        <v>0</v>
      </c>
      <c r="I582">
        <f>+'Paste Here'!U582</f>
        <v>0</v>
      </c>
      <c r="J582">
        <f>+'Paste Here'!V582</f>
        <v>0</v>
      </c>
      <c r="K582">
        <f>+'Paste Here'!W582</f>
        <v>0</v>
      </c>
    </row>
    <row r="583" spans="1:11">
      <c r="A583" t="str">
        <f t="shared" si="9"/>
        <v>00</v>
      </c>
      <c r="B583">
        <f>+'Paste Here'!N583</f>
        <v>0</v>
      </c>
      <c r="C583">
        <f>+'Paste Here'!O583</f>
        <v>0</v>
      </c>
      <c r="D583">
        <f>+'Paste Here'!P583</f>
        <v>0</v>
      </c>
      <c r="E583">
        <f>+'Paste Here'!Q583</f>
        <v>0</v>
      </c>
      <c r="F583">
        <f>+'Paste Here'!R583</f>
        <v>0</v>
      </c>
      <c r="G583">
        <f>+'Paste Here'!S583</f>
        <v>0</v>
      </c>
      <c r="H583">
        <f>+'Paste Here'!T583</f>
        <v>0</v>
      </c>
      <c r="I583">
        <f>+'Paste Here'!U583</f>
        <v>0</v>
      </c>
      <c r="J583">
        <f>+'Paste Here'!V583</f>
        <v>0</v>
      </c>
      <c r="K583">
        <f>+'Paste Here'!W583</f>
        <v>0</v>
      </c>
    </row>
    <row r="584" spans="1:11">
      <c r="A584" t="str">
        <f t="shared" si="9"/>
        <v>00</v>
      </c>
      <c r="B584">
        <f>+'Paste Here'!N584</f>
        <v>0</v>
      </c>
      <c r="C584">
        <f>+'Paste Here'!O584</f>
        <v>0</v>
      </c>
      <c r="D584">
        <f>+'Paste Here'!P584</f>
        <v>0</v>
      </c>
      <c r="E584">
        <f>+'Paste Here'!Q584</f>
        <v>0</v>
      </c>
      <c r="F584">
        <f>+'Paste Here'!R584</f>
        <v>0</v>
      </c>
      <c r="G584">
        <f>+'Paste Here'!S584</f>
        <v>0</v>
      </c>
      <c r="H584">
        <f>+'Paste Here'!T584</f>
        <v>0</v>
      </c>
      <c r="I584">
        <f>+'Paste Here'!U584</f>
        <v>0</v>
      </c>
      <c r="J584">
        <f>+'Paste Here'!V584</f>
        <v>0</v>
      </c>
      <c r="K584">
        <f>+'Paste Here'!W584</f>
        <v>0</v>
      </c>
    </row>
    <row r="585" spans="1:11">
      <c r="A585" t="str">
        <f t="shared" si="9"/>
        <v>00</v>
      </c>
      <c r="B585">
        <f>+'Paste Here'!N585</f>
        <v>0</v>
      </c>
      <c r="C585">
        <f>+'Paste Here'!O585</f>
        <v>0</v>
      </c>
      <c r="D585">
        <f>+'Paste Here'!P585</f>
        <v>0</v>
      </c>
      <c r="E585">
        <f>+'Paste Here'!Q585</f>
        <v>0</v>
      </c>
      <c r="F585">
        <f>+'Paste Here'!R585</f>
        <v>0</v>
      </c>
      <c r="G585">
        <f>+'Paste Here'!S585</f>
        <v>0</v>
      </c>
      <c r="H585">
        <f>+'Paste Here'!T585</f>
        <v>0</v>
      </c>
      <c r="I585">
        <f>+'Paste Here'!U585</f>
        <v>0</v>
      </c>
      <c r="J585">
        <f>+'Paste Here'!V585</f>
        <v>0</v>
      </c>
      <c r="K585">
        <f>+'Paste Here'!W585</f>
        <v>0</v>
      </c>
    </row>
    <row r="586" spans="1:11">
      <c r="A586" t="str">
        <f t="shared" si="9"/>
        <v>00</v>
      </c>
      <c r="B586">
        <f>+'Paste Here'!N586</f>
        <v>0</v>
      </c>
      <c r="C586">
        <f>+'Paste Here'!O586</f>
        <v>0</v>
      </c>
      <c r="D586">
        <f>+'Paste Here'!P586</f>
        <v>0</v>
      </c>
      <c r="E586">
        <f>+'Paste Here'!Q586</f>
        <v>0</v>
      </c>
      <c r="F586">
        <f>+'Paste Here'!R586</f>
        <v>0</v>
      </c>
      <c r="G586">
        <f>+'Paste Here'!S586</f>
        <v>0</v>
      </c>
      <c r="H586">
        <f>+'Paste Here'!T586</f>
        <v>0</v>
      </c>
      <c r="I586">
        <f>+'Paste Here'!U586</f>
        <v>0</v>
      </c>
      <c r="J586">
        <f>+'Paste Here'!V586</f>
        <v>0</v>
      </c>
      <c r="K586">
        <f>+'Paste Here'!W586</f>
        <v>0</v>
      </c>
    </row>
    <row r="587" spans="1:11">
      <c r="A587" t="str">
        <f t="shared" si="9"/>
        <v>00</v>
      </c>
      <c r="B587">
        <f>+'Paste Here'!N587</f>
        <v>0</v>
      </c>
      <c r="C587">
        <f>+'Paste Here'!O587</f>
        <v>0</v>
      </c>
      <c r="D587">
        <f>+'Paste Here'!P587</f>
        <v>0</v>
      </c>
      <c r="E587">
        <f>+'Paste Here'!Q587</f>
        <v>0</v>
      </c>
      <c r="F587">
        <f>+'Paste Here'!R587</f>
        <v>0</v>
      </c>
      <c r="G587">
        <f>+'Paste Here'!S587</f>
        <v>0</v>
      </c>
      <c r="H587">
        <f>+'Paste Here'!T587</f>
        <v>0</v>
      </c>
      <c r="I587">
        <f>+'Paste Here'!U587</f>
        <v>0</v>
      </c>
      <c r="J587">
        <f>+'Paste Here'!V587</f>
        <v>0</v>
      </c>
      <c r="K587">
        <f>+'Paste Here'!W587</f>
        <v>0</v>
      </c>
    </row>
    <row r="588" spans="1:11">
      <c r="A588" t="str">
        <f t="shared" si="9"/>
        <v>00</v>
      </c>
      <c r="B588">
        <f>+'Paste Here'!N588</f>
        <v>0</v>
      </c>
      <c r="C588">
        <f>+'Paste Here'!O588</f>
        <v>0</v>
      </c>
      <c r="D588">
        <f>+'Paste Here'!P588</f>
        <v>0</v>
      </c>
      <c r="E588">
        <f>+'Paste Here'!Q588</f>
        <v>0</v>
      </c>
      <c r="F588">
        <f>+'Paste Here'!R588</f>
        <v>0</v>
      </c>
      <c r="G588">
        <f>+'Paste Here'!S588</f>
        <v>0</v>
      </c>
      <c r="H588">
        <f>+'Paste Here'!T588</f>
        <v>0</v>
      </c>
      <c r="I588">
        <f>+'Paste Here'!U588</f>
        <v>0</v>
      </c>
      <c r="J588">
        <f>+'Paste Here'!V588</f>
        <v>0</v>
      </c>
      <c r="K588">
        <f>+'Paste Here'!W588</f>
        <v>0</v>
      </c>
    </row>
    <row r="589" spans="1:11">
      <c r="A589" t="str">
        <f t="shared" si="9"/>
        <v>00</v>
      </c>
      <c r="B589">
        <f>+'Paste Here'!N589</f>
        <v>0</v>
      </c>
      <c r="C589">
        <f>+'Paste Here'!O589</f>
        <v>0</v>
      </c>
      <c r="D589">
        <f>+'Paste Here'!P589</f>
        <v>0</v>
      </c>
      <c r="E589">
        <f>+'Paste Here'!Q589</f>
        <v>0</v>
      </c>
      <c r="F589">
        <f>+'Paste Here'!R589</f>
        <v>0</v>
      </c>
      <c r="G589">
        <f>+'Paste Here'!S589</f>
        <v>0</v>
      </c>
      <c r="H589">
        <f>+'Paste Here'!T589</f>
        <v>0</v>
      </c>
      <c r="I589">
        <f>+'Paste Here'!U589</f>
        <v>0</v>
      </c>
      <c r="J589">
        <f>+'Paste Here'!V589</f>
        <v>0</v>
      </c>
      <c r="K589">
        <f>+'Paste Here'!W589</f>
        <v>0</v>
      </c>
    </row>
    <row r="590" spans="1:11">
      <c r="A590" t="str">
        <f t="shared" si="9"/>
        <v>00</v>
      </c>
      <c r="B590">
        <f>+'Paste Here'!N590</f>
        <v>0</v>
      </c>
      <c r="C590">
        <f>+'Paste Here'!O590</f>
        <v>0</v>
      </c>
      <c r="D590">
        <f>+'Paste Here'!P590</f>
        <v>0</v>
      </c>
      <c r="E590">
        <f>+'Paste Here'!Q590</f>
        <v>0</v>
      </c>
      <c r="F590">
        <f>+'Paste Here'!R590</f>
        <v>0</v>
      </c>
      <c r="G590">
        <f>+'Paste Here'!S590</f>
        <v>0</v>
      </c>
      <c r="H590">
        <f>+'Paste Here'!T590</f>
        <v>0</v>
      </c>
      <c r="I590">
        <f>+'Paste Here'!U590</f>
        <v>0</v>
      </c>
      <c r="J590">
        <f>+'Paste Here'!V590</f>
        <v>0</v>
      </c>
      <c r="K590">
        <f>+'Paste Here'!W590</f>
        <v>0</v>
      </c>
    </row>
    <row r="591" spans="1:11">
      <c r="A591" t="str">
        <f t="shared" si="9"/>
        <v>00</v>
      </c>
      <c r="B591">
        <f>+'Paste Here'!N591</f>
        <v>0</v>
      </c>
      <c r="C591">
        <f>+'Paste Here'!O591</f>
        <v>0</v>
      </c>
      <c r="D591">
        <f>+'Paste Here'!P591</f>
        <v>0</v>
      </c>
      <c r="E591">
        <f>+'Paste Here'!Q591</f>
        <v>0</v>
      </c>
      <c r="F591">
        <f>+'Paste Here'!R591</f>
        <v>0</v>
      </c>
      <c r="G591">
        <f>+'Paste Here'!S591</f>
        <v>0</v>
      </c>
      <c r="H591">
        <f>+'Paste Here'!T591</f>
        <v>0</v>
      </c>
      <c r="I591">
        <f>+'Paste Here'!U591</f>
        <v>0</v>
      </c>
      <c r="J591">
        <f>+'Paste Here'!V591</f>
        <v>0</v>
      </c>
      <c r="K591">
        <f>+'Paste Here'!W591</f>
        <v>0</v>
      </c>
    </row>
    <row r="592" spans="1:11">
      <c r="A592" t="str">
        <f t="shared" si="9"/>
        <v>00</v>
      </c>
      <c r="B592">
        <f>+'Paste Here'!N592</f>
        <v>0</v>
      </c>
      <c r="C592">
        <f>+'Paste Here'!O592</f>
        <v>0</v>
      </c>
      <c r="D592">
        <f>+'Paste Here'!P592</f>
        <v>0</v>
      </c>
      <c r="E592">
        <f>+'Paste Here'!Q592</f>
        <v>0</v>
      </c>
      <c r="F592">
        <f>+'Paste Here'!R592</f>
        <v>0</v>
      </c>
      <c r="G592">
        <f>+'Paste Here'!S592</f>
        <v>0</v>
      </c>
      <c r="H592">
        <f>+'Paste Here'!T592</f>
        <v>0</v>
      </c>
      <c r="I592">
        <f>+'Paste Here'!U592</f>
        <v>0</v>
      </c>
      <c r="J592">
        <f>+'Paste Here'!V592</f>
        <v>0</v>
      </c>
      <c r="K592">
        <f>+'Paste Here'!W592</f>
        <v>0</v>
      </c>
    </row>
    <row r="593" spans="1:11">
      <c r="A593" t="str">
        <f t="shared" si="9"/>
        <v>00</v>
      </c>
      <c r="B593">
        <f>+'Paste Here'!N593</f>
        <v>0</v>
      </c>
      <c r="C593">
        <f>+'Paste Here'!O593</f>
        <v>0</v>
      </c>
      <c r="D593">
        <f>+'Paste Here'!P593</f>
        <v>0</v>
      </c>
      <c r="E593">
        <f>+'Paste Here'!Q593</f>
        <v>0</v>
      </c>
      <c r="F593">
        <f>+'Paste Here'!R593</f>
        <v>0</v>
      </c>
      <c r="G593">
        <f>+'Paste Here'!S593</f>
        <v>0</v>
      </c>
      <c r="H593">
        <f>+'Paste Here'!T593</f>
        <v>0</v>
      </c>
      <c r="I593">
        <f>+'Paste Here'!U593</f>
        <v>0</v>
      </c>
      <c r="J593">
        <f>+'Paste Here'!V593</f>
        <v>0</v>
      </c>
      <c r="K593">
        <f>+'Paste Here'!W593</f>
        <v>0</v>
      </c>
    </row>
    <row r="594" spans="1:11">
      <c r="A594" t="str">
        <f t="shared" si="9"/>
        <v>00</v>
      </c>
      <c r="B594">
        <f>+'Paste Here'!N594</f>
        <v>0</v>
      </c>
      <c r="C594">
        <f>+'Paste Here'!O594</f>
        <v>0</v>
      </c>
      <c r="D594">
        <f>+'Paste Here'!P594</f>
        <v>0</v>
      </c>
      <c r="E594">
        <f>+'Paste Here'!Q594</f>
        <v>0</v>
      </c>
      <c r="F594">
        <f>+'Paste Here'!R594</f>
        <v>0</v>
      </c>
      <c r="G594">
        <f>+'Paste Here'!S594</f>
        <v>0</v>
      </c>
      <c r="H594">
        <f>+'Paste Here'!T594</f>
        <v>0</v>
      </c>
      <c r="I594">
        <f>+'Paste Here'!U594</f>
        <v>0</v>
      </c>
      <c r="J594">
        <f>+'Paste Here'!V594</f>
        <v>0</v>
      </c>
      <c r="K594">
        <f>+'Paste Here'!W594</f>
        <v>0</v>
      </c>
    </row>
    <row r="595" spans="1:11">
      <c r="A595" t="str">
        <f t="shared" si="9"/>
        <v>00</v>
      </c>
      <c r="B595">
        <f>+'Paste Here'!N595</f>
        <v>0</v>
      </c>
      <c r="C595">
        <f>+'Paste Here'!O595</f>
        <v>0</v>
      </c>
      <c r="D595">
        <f>+'Paste Here'!P595</f>
        <v>0</v>
      </c>
      <c r="E595">
        <f>+'Paste Here'!Q595</f>
        <v>0</v>
      </c>
      <c r="F595">
        <f>+'Paste Here'!R595</f>
        <v>0</v>
      </c>
      <c r="G595">
        <f>+'Paste Here'!S595</f>
        <v>0</v>
      </c>
      <c r="H595">
        <f>+'Paste Here'!T595</f>
        <v>0</v>
      </c>
      <c r="I595">
        <f>+'Paste Here'!U595</f>
        <v>0</v>
      </c>
      <c r="J595">
        <f>+'Paste Here'!V595</f>
        <v>0</v>
      </c>
      <c r="K595">
        <f>+'Paste Here'!W595</f>
        <v>0</v>
      </c>
    </row>
    <row r="596" spans="1:11">
      <c r="A596" t="str">
        <f t="shared" si="9"/>
        <v>00</v>
      </c>
      <c r="B596">
        <f>+'Paste Here'!N596</f>
        <v>0</v>
      </c>
      <c r="C596">
        <f>+'Paste Here'!O596</f>
        <v>0</v>
      </c>
      <c r="D596">
        <f>+'Paste Here'!P596</f>
        <v>0</v>
      </c>
      <c r="E596">
        <f>+'Paste Here'!Q596</f>
        <v>0</v>
      </c>
      <c r="F596">
        <f>+'Paste Here'!R596</f>
        <v>0</v>
      </c>
      <c r="G596">
        <f>+'Paste Here'!S596</f>
        <v>0</v>
      </c>
      <c r="H596">
        <f>+'Paste Here'!T596</f>
        <v>0</v>
      </c>
      <c r="I596">
        <f>+'Paste Here'!U596</f>
        <v>0</v>
      </c>
      <c r="J596">
        <f>+'Paste Here'!V596</f>
        <v>0</v>
      </c>
      <c r="K596">
        <f>+'Paste Here'!W596</f>
        <v>0</v>
      </c>
    </row>
    <row r="597" spans="1:11">
      <c r="A597" t="str">
        <f t="shared" si="9"/>
        <v>00</v>
      </c>
      <c r="B597">
        <f>+'Paste Here'!N597</f>
        <v>0</v>
      </c>
      <c r="C597">
        <f>+'Paste Here'!O597</f>
        <v>0</v>
      </c>
      <c r="D597">
        <f>+'Paste Here'!P597</f>
        <v>0</v>
      </c>
      <c r="E597">
        <f>+'Paste Here'!Q597</f>
        <v>0</v>
      </c>
      <c r="F597">
        <f>+'Paste Here'!R597</f>
        <v>0</v>
      </c>
      <c r="G597">
        <f>+'Paste Here'!S597</f>
        <v>0</v>
      </c>
      <c r="H597">
        <f>+'Paste Here'!T597</f>
        <v>0</v>
      </c>
      <c r="I597">
        <f>+'Paste Here'!U597</f>
        <v>0</v>
      </c>
      <c r="J597">
        <f>+'Paste Here'!V597</f>
        <v>0</v>
      </c>
      <c r="K597">
        <f>+'Paste Here'!W597</f>
        <v>0</v>
      </c>
    </row>
    <row r="598" spans="1:11">
      <c r="A598" t="str">
        <f t="shared" si="9"/>
        <v>00</v>
      </c>
      <c r="B598">
        <f>+'Paste Here'!N598</f>
        <v>0</v>
      </c>
      <c r="C598">
        <f>+'Paste Here'!O598</f>
        <v>0</v>
      </c>
      <c r="D598">
        <f>+'Paste Here'!P598</f>
        <v>0</v>
      </c>
      <c r="E598">
        <f>+'Paste Here'!Q598</f>
        <v>0</v>
      </c>
      <c r="F598">
        <f>+'Paste Here'!R598</f>
        <v>0</v>
      </c>
      <c r="G598">
        <f>+'Paste Here'!S598</f>
        <v>0</v>
      </c>
      <c r="H598">
        <f>+'Paste Here'!T598</f>
        <v>0</v>
      </c>
      <c r="I598">
        <f>+'Paste Here'!U598</f>
        <v>0</v>
      </c>
      <c r="J598">
        <f>+'Paste Here'!V598</f>
        <v>0</v>
      </c>
      <c r="K598">
        <f>+'Paste Here'!W598</f>
        <v>0</v>
      </c>
    </row>
    <row r="599" spans="1:11">
      <c r="A599" t="str">
        <f t="shared" si="9"/>
        <v>00</v>
      </c>
      <c r="B599">
        <f>+'Paste Here'!N599</f>
        <v>0</v>
      </c>
      <c r="C599">
        <f>+'Paste Here'!O599</f>
        <v>0</v>
      </c>
      <c r="D599">
        <f>+'Paste Here'!P599</f>
        <v>0</v>
      </c>
      <c r="E599">
        <f>+'Paste Here'!Q599</f>
        <v>0</v>
      </c>
      <c r="F599">
        <f>+'Paste Here'!R599</f>
        <v>0</v>
      </c>
      <c r="G599">
        <f>+'Paste Here'!S599</f>
        <v>0</v>
      </c>
      <c r="H599">
        <f>+'Paste Here'!T599</f>
        <v>0</v>
      </c>
      <c r="I599">
        <f>+'Paste Here'!U599</f>
        <v>0</v>
      </c>
      <c r="J599">
        <f>+'Paste Here'!V599</f>
        <v>0</v>
      </c>
      <c r="K599">
        <f>+'Paste Here'!W599</f>
        <v>0</v>
      </c>
    </row>
    <row r="600" spans="1:11">
      <c r="A600" t="str">
        <f t="shared" si="9"/>
        <v>00</v>
      </c>
      <c r="B600">
        <f>+'Paste Here'!N600</f>
        <v>0</v>
      </c>
      <c r="C600">
        <f>+'Paste Here'!O600</f>
        <v>0</v>
      </c>
      <c r="D600">
        <f>+'Paste Here'!P600</f>
        <v>0</v>
      </c>
      <c r="E600">
        <f>+'Paste Here'!Q600</f>
        <v>0</v>
      </c>
      <c r="F600">
        <f>+'Paste Here'!R600</f>
        <v>0</v>
      </c>
      <c r="G600">
        <f>+'Paste Here'!S600</f>
        <v>0</v>
      </c>
      <c r="H600">
        <f>+'Paste Here'!T600</f>
        <v>0</v>
      </c>
      <c r="I600">
        <f>+'Paste Here'!U600</f>
        <v>0</v>
      </c>
      <c r="J600">
        <f>+'Paste Here'!V600</f>
        <v>0</v>
      </c>
      <c r="K600">
        <f>+'Paste Here'!W600</f>
        <v>0</v>
      </c>
    </row>
    <row r="601" spans="1:11">
      <c r="A601" t="str">
        <f t="shared" si="9"/>
        <v>00</v>
      </c>
      <c r="B601">
        <f>+'Paste Here'!N601</f>
        <v>0</v>
      </c>
      <c r="C601">
        <f>+'Paste Here'!O601</f>
        <v>0</v>
      </c>
      <c r="D601">
        <f>+'Paste Here'!P601</f>
        <v>0</v>
      </c>
      <c r="E601">
        <f>+'Paste Here'!Q601</f>
        <v>0</v>
      </c>
      <c r="F601">
        <f>+'Paste Here'!R601</f>
        <v>0</v>
      </c>
      <c r="G601">
        <f>+'Paste Here'!S601</f>
        <v>0</v>
      </c>
      <c r="H601">
        <f>+'Paste Here'!T601</f>
        <v>0</v>
      </c>
      <c r="I601">
        <f>+'Paste Here'!U601</f>
        <v>0</v>
      </c>
      <c r="J601">
        <f>+'Paste Here'!V601</f>
        <v>0</v>
      </c>
      <c r="K601">
        <f>+'Paste Here'!W601</f>
        <v>0</v>
      </c>
    </row>
    <row r="602" spans="1:11">
      <c r="A602" t="str">
        <f t="shared" si="9"/>
        <v>00</v>
      </c>
      <c r="B602">
        <f>+'Paste Here'!N602</f>
        <v>0</v>
      </c>
      <c r="C602">
        <f>+'Paste Here'!O602</f>
        <v>0</v>
      </c>
      <c r="D602">
        <f>+'Paste Here'!P602</f>
        <v>0</v>
      </c>
      <c r="E602">
        <f>+'Paste Here'!Q602</f>
        <v>0</v>
      </c>
      <c r="F602">
        <f>+'Paste Here'!R602</f>
        <v>0</v>
      </c>
      <c r="G602">
        <f>+'Paste Here'!S602</f>
        <v>0</v>
      </c>
      <c r="H602">
        <f>+'Paste Here'!T602</f>
        <v>0</v>
      </c>
      <c r="I602">
        <f>+'Paste Here'!U602</f>
        <v>0</v>
      </c>
      <c r="J602">
        <f>+'Paste Here'!V602</f>
        <v>0</v>
      </c>
      <c r="K602">
        <f>+'Paste Here'!W602</f>
        <v>0</v>
      </c>
    </row>
    <row r="603" spans="1:11">
      <c r="A603" t="str">
        <f t="shared" si="9"/>
        <v>00</v>
      </c>
      <c r="B603">
        <f>+'Paste Here'!N603</f>
        <v>0</v>
      </c>
      <c r="C603">
        <f>+'Paste Here'!O603</f>
        <v>0</v>
      </c>
      <c r="D603">
        <f>+'Paste Here'!P603</f>
        <v>0</v>
      </c>
      <c r="E603">
        <f>+'Paste Here'!Q603</f>
        <v>0</v>
      </c>
      <c r="F603">
        <f>+'Paste Here'!R603</f>
        <v>0</v>
      </c>
      <c r="G603">
        <f>+'Paste Here'!S603</f>
        <v>0</v>
      </c>
      <c r="H603">
        <f>+'Paste Here'!T603</f>
        <v>0</v>
      </c>
      <c r="I603">
        <f>+'Paste Here'!U603</f>
        <v>0</v>
      </c>
      <c r="J603">
        <f>+'Paste Here'!V603</f>
        <v>0</v>
      </c>
      <c r="K603">
        <f>+'Paste Here'!W603</f>
        <v>0</v>
      </c>
    </row>
    <row r="604" spans="1:11">
      <c r="A604" t="str">
        <f t="shared" si="9"/>
        <v>00</v>
      </c>
      <c r="B604">
        <f>+'Paste Here'!N604</f>
        <v>0</v>
      </c>
      <c r="C604">
        <f>+'Paste Here'!O604</f>
        <v>0</v>
      </c>
      <c r="D604">
        <f>+'Paste Here'!P604</f>
        <v>0</v>
      </c>
      <c r="E604">
        <f>+'Paste Here'!Q604</f>
        <v>0</v>
      </c>
      <c r="F604">
        <f>+'Paste Here'!R604</f>
        <v>0</v>
      </c>
      <c r="G604">
        <f>+'Paste Here'!S604</f>
        <v>0</v>
      </c>
      <c r="H604">
        <f>+'Paste Here'!T604</f>
        <v>0</v>
      </c>
      <c r="I604">
        <f>+'Paste Here'!U604</f>
        <v>0</v>
      </c>
      <c r="J604">
        <f>+'Paste Here'!V604</f>
        <v>0</v>
      </c>
      <c r="K604">
        <f>+'Paste Here'!W604</f>
        <v>0</v>
      </c>
    </row>
    <row r="605" spans="1:11">
      <c r="A605" t="str">
        <f t="shared" si="9"/>
        <v>00</v>
      </c>
      <c r="B605">
        <f>+'Paste Here'!N605</f>
        <v>0</v>
      </c>
      <c r="C605">
        <f>+'Paste Here'!O605</f>
        <v>0</v>
      </c>
      <c r="D605">
        <f>+'Paste Here'!P605</f>
        <v>0</v>
      </c>
      <c r="E605">
        <f>+'Paste Here'!Q605</f>
        <v>0</v>
      </c>
      <c r="F605">
        <f>+'Paste Here'!R605</f>
        <v>0</v>
      </c>
      <c r="G605">
        <f>+'Paste Here'!S605</f>
        <v>0</v>
      </c>
      <c r="H605">
        <f>+'Paste Here'!T605</f>
        <v>0</v>
      </c>
      <c r="I605">
        <f>+'Paste Here'!U605</f>
        <v>0</v>
      </c>
      <c r="J605">
        <f>+'Paste Here'!V605</f>
        <v>0</v>
      </c>
      <c r="K605">
        <f>+'Paste Here'!W605</f>
        <v>0</v>
      </c>
    </row>
    <row r="606" spans="1:11">
      <c r="A606" t="str">
        <f t="shared" si="9"/>
        <v>00</v>
      </c>
      <c r="B606">
        <f>+'Paste Here'!N606</f>
        <v>0</v>
      </c>
      <c r="C606">
        <f>+'Paste Here'!O606</f>
        <v>0</v>
      </c>
      <c r="D606">
        <f>+'Paste Here'!P606</f>
        <v>0</v>
      </c>
      <c r="E606">
        <f>+'Paste Here'!Q606</f>
        <v>0</v>
      </c>
      <c r="F606">
        <f>+'Paste Here'!R606</f>
        <v>0</v>
      </c>
      <c r="G606">
        <f>+'Paste Here'!S606</f>
        <v>0</v>
      </c>
      <c r="H606">
        <f>+'Paste Here'!T606</f>
        <v>0</v>
      </c>
      <c r="I606">
        <f>+'Paste Here'!U606</f>
        <v>0</v>
      </c>
      <c r="J606">
        <f>+'Paste Here'!V606</f>
        <v>0</v>
      </c>
      <c r="K606">
        <f>+'Paste Here'!W606</f>
        <v>0</v>
      </c>
    </row>
    <row r="607" spans="1:11">
      <c r="A607" t="str">
        <f t="shared" si="9"/>
        <v>00</v>
      </c>
      <c r="B607">
        <f>+'Paste Here'!N607</f>
        <v>0</v>
      </c>
      <c r="C607">
        <f>+'Paste Here'!O607</f>
        <v>0</v>
      </c>
      <c r="D607">
        <f>+'Paste Here'!P607</f>
        <v>0</v>
      </c>
      <c r="E607">
        <f>+'Paste Here'!Q607</f>
        <v>0</v>
      </c>
      <c r="F607">
        <f>+'Paste Here'!R607</f>
        <v>0</v>
      </c>
      <c r="G607">
        <f>+'Paste Here'!S607</f>
        <v>0</v>
      </c>
      <c r="H607">
        <f>+'Paste Here'!T607</f>
        <v>0</v>
      </c>
      <c r="I607">
        <f>+'Paste Here'!U607</f>
        <v>0</v>
      </c>
      <c r="J607">
        <f>+'Paste Here'!V607</f>
        <v>0</v>
      </c>
      <c r="K607">
        <f>+'Paste Here'!W607</f>
        <v>0</v>
      </c>
    </row>
    <row r="608" spans="1:11">
      <c r="A608" t="str">
        <f t="shared" si="9"/>
        <v>00</v>
      </c>
      <c r="B608">
        <f>+'Paste Here'!N608</f>
        <v>0</v>
      </c>
      <c r="C608">
        <f>+'Paste Here'!O608</f>
        <v>0</v>
      </c>
      <c r="D608">
        <f>+'Paste Here'!P608</f>
        <v>0</v>
      </c>
      <c r="E608">
        <f>+'Paste Here'!Q608</f>
        <v>0</v>
      </c>
      <c r="F608">
        <f>+'Paste Here'!R608</f>
        <v>0</v>
      </c>
      <c r="G608">
        <f>+'Paste Here'!S608</f>
        <v>0</v>
      </c>
      <c r="H608">
        <f>+'Paste Here'!T608</f>
        <v>0</v>
      </c>
      <c r="I608">
        <f>+'Paste Here'!U608</f>
        <v>0</v>
      </c>
      <c r="J608">
        <f>+'Paste Here'!V608</f>
        <v>0</v>
      </c>
      <c r="K608">
        <f>+'Paste Here'!W608</f>
        <v>0</v>
      </c>
    </row>
    <row r="609" spans="1:11">
      <c r="A609" t="str">
        <f t="shared" si="9"/>
        <v>00</v>
      </c>
      <c r="B609">
        <f>+'Paste Here'!N609</f>
        <v>0</v>
      </c>
      <c r="C609">
        <f>+'Paste Here'!O609</f>
        <v>0</v>
      </c>
      <c r="D609">
        <f>+'Paste Here'!P609</f>
        <v>0</v>
      </c>
      <c r="E609">
        <f>+'Paste Here'!Q609</f>
        <v>0</v>
      </c>
      <c r="F609">
        <f>+'Paste Here'!R609</f>
        <v>0</v>
      </c>
      <c r="G609">
        <f>+'Paste Here'!S609</f>
        <v>0</v>
      </c>
      <c r="H609">
        <f>+'Paste Here'!T609</f>
        <v>0</v>
      </c>
      <c r="I609">
        <f>+'Paste Here'!U609</f>
        <v>0</v>
      </c>
      <c r="J609">
        <f>+'Paste Here'!V609</f>
        <v>0</v>
      </c>
      <c r="K609">
        <f>+'Paste Here'!W609</f>
        <v>0</v>
      </c>
    </row>
    <row r="610" spans="1:11">
      <c r="A610" t="str">
        <f t="shared" si="9"/>
        <v>00</v>
      </c>
      <c r="B610">
        <f>+'Paste Here'!N610</f>
        <v>0</v>
      </c>
      <c r="C610">
        <f>+'Paste Here'!O610</f>
        <v>0</v>
      </c>
      <c r="D610">
        <f>+'Paste Here'!P610</f>
        <v>0</v>
      </c>
      <c r="E610">
        <f>+'Paste Here'!Q610</f>
        <v>0</v>
      </c>
      <c r="F610">
        <f>+'Paste Here'!R610</f>
        <v>0</v>
      </c>
      <c r="G610">
        <f>+'Paste Here'!S610</f>
        <v>0</v>
      </c>
      <c r="H610">
        <f>+'Paste Here'!T610</f>
        <v>0</v>
      </c>
      <c r="I610">
        <f>+'Paste Here'!U610</f>
        <v>0</v>
      </c>
      <c r="J610">
        <f>+'Paste Here'!V610</f>
        <v>0</v>
      </c>
      <c r="K610">
        <f>+'Paste Here'!W610</f>
        <v>0</v>
      </c>
    </row>
    <row r="611" spans="1:11">
      <c r="A611" t="str">
        <f t="shared" si="9"/>
        <v>00</v>
      </c>
      <c r="B611">
        <f>+'Paste Here'!N611</f>
        <v>0</v>
      </c>
      <c r="C611">
        <f>+'Paste Here'!O611</f>
        <v>0</v>
      </c>
      <c r="D611">
        <f>+'Paste Here'!P611</f>
        <v>0</v>
      </c>
      <c r="E611">
        <f>+'Paste Here'!Q611</f>
        <v>0</v>
      </c>
      <c r="F611">
        <f>+'Paste Here'!R611</f>
        <v>0</v>
      </c>
      <c r="G611">
        <f>+'Paste Here'!S611</f>
        <v>0</v>
      </c>
      <c r="H611">
        <f>+'Paste Here'!T611</f>
        <v>0</v>
      </c>
      <c r="I611">
        <f>+'Paste Here'!U611</f>
        <v>0</v>
      </c>
      <c r="J611">
        <f>+'Paste Here'!V611</f>
        <v>0</v>
      </c>
      <c r="K611">
        <f>+'Paste Here'!W611</f>
        <v>0</v>
      </c>
    </row>
    <row r="612" spans="1:11">
      <c r="A612" t="str">
        <f t="shared" si="9"/>
        <v>00</v>
      </c>
      <c r="B612">
        <f>+'Paste Here'!N612</f>
        <v>0</v>
      </c>
      <c r="C612">
        <f>+'Paste Here'!O612</f>
        <v>0</v>
      </c>
      <c r="D612">
        <f>+'Paste Here'!P612</f>
        <v>0</v>
      </c>
      <c r="E612">
        <f>+'Paste Here'!Q612</f>
        <v>0</v>
      </c>
      <c r="F612">
        <f>+'Paste Here'!R612</f>
        <v>0</v>
      </c>
      <c r="G612">
        <f>+'Paste Here'!S612</f>
        <v>0</v>
      </c>
      <c r="H612">
        <f>+'Paste Here'!T612</f>
        <v>0</v>
      </c>
      <c r="I612">
        <f>+'Paste Here'!U612</f>
        <v>0</v>
      </c>
      <c r="J612">
        <f>+'Paste Here'!V612</f>
        <v>0</v>
      </c>
      <c r="K612">
        <f>+'Paste Here'!W612</f>
        <v>0</v>
      </c>
    </row>
    <row r="613" spans="1:11">
      <c r="A613" t="str">
        <f t="shared" si="9"/>
        <v>00</v>
      </c>
      <c r="B613">
        <f>+'Paste Here'!N613</f>
        <v>0</v>
      </c>
      <c r="C613">
        <f>+'Paste Here'!O613</f>
        <v>0</v>
      </c>
      <c r="D613">
        <f>+'Paste Here'!P613</f>
        <v>0</v>
      </c>
      <c r="E613">
        <f>+'Paste Here'!Q613</f>
        <v>0</v>
      </c>
      <c r="F613">
        <f>+'Paste Here'!R613</f>
        <v>0</v>
      </c>
      <c r="G613">
        <f>+'Paste Here'!S613</f>
        <v>0</v>
      </c>
      <c r="H613">
        <f>+'Paste Here'!T613</f>
        <v>0</v>
      </c>
      <c r="I613">
        <f>+'Paste Here'!U613</f>
        <v>0</v>
      </c>
      <c r="J613">
        <f>+'Paste Here'!V613</f>
        <v>0</v>
      </c>
      <c r="K613">
        <f>+'Paste Here'!W613</f>
        <v>0</v>
      </c>
    </row>
    <row r="614" spans="1:11">
      <c r="A614" t="str">
        <f t="shared" si="9"/>
        <v>00</v>
      </c>
      <c r="B614">
        <f>+'Paste Here'!N614</f>
        <v>0</v>
      </c>
      <c r="C614">
        <f>+'Paste Here'!O614</f>
        <v>0</v>
      </c>
      <c r="D614">
        <f>+'Paste Here'!P614</f>
        <v>0</v>
      </c>
      <c r="E614">
        <f>+'Paste Here'!Q614</f>
        <v>0</v>
      </c>
      <c r="F614">
        <f>+'Paste Here'!R614</f>
        <v>0</v>
      </c>
      <c r="G614">
        <f>+'Paste Here'!S614</f>
        <v>0</v>
      </c>
      <c r="H614">
        <f>+'Paste Here'!T614</f>
        <v>0</v>
      </c>
      <c r="I614">
        <f>+'Paste Here'!U614</f>
        <v>0</v>
      </c>
      <c r="J614">
        <f>+'Paste Here'!V614</f>
        <v>0</v>
      </c>
      <c r="K614">
        <f>+'Paste Here'!W614</f>
        <v>0</v>
      </c>
    </row>
    <row r="615" spans="1:11">
      <c r="A615" t="str">
        <f t="shared" si="9"/>
        <v>00</v>
      </c>
      <c r="B615">
        <f>+'Paste Here'!N615</f>
        <v>0</v>
      </c>
      <c r="C615">
        <f>+'Paste Here'!O615</f>
        <v>0</v>
      </c>
      <c r="D615">
        <f>+'Paste Here'!P615</f>
        <v>0</v>
      </c>
      <c r="E615">
        <f>+'Paste Here'!Q615</f>
        <v>0</v>
      </c>
      <c r="F615">
        <f>+'Paste Here'!R615</f>
        <v>0</v>
      </c>
      <c r="G615">
        <f>+'Paste Here'!S615</f>
        <v>0</v>
      </c>
      <c r="H615">
        <f>+'Paste Here'!T615</f>
        <v>0</v>
      </c>
      <c r="I615">
        <f>+'Paste Here'!U615</f>
        <v>0</v>
      </c>
      <c r="J615">
        <f>+'Paste Here'!V615</f>
        <v>0</v>
      </c>
      <c r="K615">
        <f>+'Paste Here'!W615</f>
        <v>0</v>
      </c>
    </row>
    <row r="616" spans="1:11">
      <c r="A616" t="str">
        <f t="shared" si="9"/>
        <v>00</v>
      </c>
      <c r="B616">
        <f>+'Paste Here'!N616</f>
        <v>0</v>
      </c>
      <c r="C616">
        <f>+'Paste Here'!O616</f>
        <v>0</v>
      </c>
      <c r="D616">
        <f>+'Paste Here'!P616</f>
        <v>0</v>
      </c>
      <c r="E616">
        <f>+'Paste Here'!Q616</f>
        <v>0</v>
      </c>
      <c r="F616">
        <f>+'Paste Here'!R616</f>
        <v>0</v>
      </c>
      <c r="G616">
        <f>+'Paste Here'!S616</f>
        <v>0</v>
      </c>
      <c r="H616">
        <f>+'Paste Here'!T616</f>
        <v>0</v>
      </c>
      <c r="I616">
        <f>+'Paste Here'!U616</f>
        <v>0</v>
      </c>
      <c r="J616">
        <f>+'Paste Here'!V616</f>
        <v>0</v>
      </c>
      <c r="K616">
        <f>+'Paste Here'!W616</f>
        <v>0</v>
      </c>
    </row>
    <row r="617" spans="1:11">
      <c r="A617" t="str">
        <f t="shared" si="9"/>
        <v>00</v>
      </c>
      <c r="B617">
        <f>+'Paste Here'!N617</f>
        <v>0</v>
      </c>
      <c r="C617">
        <f>+'Paste Here'!O617</f>
        <v>0</v>
      </c>
      <c r="D617">
        <f>+'Paste Here'!P617</f>
        <v>0</v>
      </c>
      <c r="E617">
        <f>+'Paste Here'!Q617</f>
        <v>0</v>
      </c>
      <c r="F617">
        <f>+'Paste Here'!R617</f>
        <v>0</v>
      </c>
      <c r="G617">
        <f>+'Paste Here'!S617</f>
        <v>0</v>
      </c>
      <c r="H617">
        <f>+'Paste Here'!T617</f>
        <v>0</v>
      </c>
      <c r="I617">
        <f>+'Paste Here'!U617</f>
        <v>0</v>
      </c>
      <c r="J617">
        <f>+'Paste Here'!V617</f>
        <v>0</v>
      </c>
      <c r="K617">
        <f>+'Paste Here'!W617</f>
        <v>0</v>
      </c>
    </row>
    <row r="618" spans="1:11">
      <c r="A618" t="str">
        <f t="shared" si="9"/>
        <v>00</v>
      </c>
      <c r="B618">
        <f>+'Paste Here'!N618</f>
        <v>0</v>
      </c>
      <c r="C618">
        <f>+'Paste Here'!O618</f>
        <v>0</v>
      </c>
      <c r="D618">
        <f>+'Paste Here'!P618</f>
        <v>0</v>
      </c>
      <c r="E618">
        <f>+'Paste Here'!Q618</f>
        <v>0</v>
      </c>
      <c r="F618">
        <f>+'Paste Here'!R618</f>
        <v>0</v>
      </c>
      <c r="G618">
        <f>+'Paste Here'!S618</f>
        <v>0</v>
      </c>
      <c r="H618">
        <f>+'Paste Here'!T618</f>
        <v>0</v>
      </c>
      <c r="I618">
        <f>+'Paste Here'!U618</f>
        <v>0</v>
      </c>
      <c r="J618">
        <f>+'Paste Here'!V618</f>
        <v>0</v>
      </c>
      <c r="K618">
        <f>+'Paste Here'!W618</f>
        <v>0</v>
      </c>
    </row>
    <row r="619" spans="1:11">
      <c r="A619" t="str">
        <f t="shared" si="9"/>
        <v>00</v>
      </c>
      <c r="B619">
        <f>+'Paste Here'!N619</f>
        <v>0</v>
      </c>
      <c r="C619">
        <f>+'Paste Here'!O619</f>
        <v>0</v>
      </c>
      <c r="D619">
        <f>+'Paste Here'!P619</f>
        <v>0</v>
      </c>
      <c r="E619">
        <f>+'Paste Here'!Q619</f>
        <v>0</v>
      </c>
      <c r="F619">
        <f>+'Paste Here'!R619</f>
        <v>0</v>
      </c>
      <c r="G619">
        <f>+'Paste Here'!S619</f>
        <v>0</v>
      </c>
      <c r="H619">
        <f>+'Paste Here'!T619</f>
        <v>0</v>
      </c>
      <c r="I619">
        <f>+'Paste Here'!U619</f>
        <v>0</v>
      </c>
      <c r="J619">
        <f>+'Paste Here'!V619</f>
        <v>0</v>
      </c>
      <c r="K619">
        <f>+'Paste Here'!W619</f>
        <v>0</v>
      </c>
    </row>
    <row r="620" spans="1:11">
      <c r="A620" t="str">
        <f t="shared" si="9"/>
        <v>00</v>
      </c>
      <c r="B620">
        <f>+'Paste Here'!N620</f>
        <v>0</v>
      </c>
      <c r="C620">
        <f>+'Paste Here'!O620</f>
        <v>0</v>
      </c>
      <c r="D620">
        <f>+'Paste Here'!P620</f>
        <v>0</v>
      </c>
      <c r="E620">
        <f>+'Paste Here'!Q620</f>
        <v>0</v>
      </c>
      <c r="F620">
        <f>+'Paste Here'!R620</f>
        <v>0</v>
      </c>
      <c r="G620">
        <f>+'Paste Here'!S620</f>
        <v>0</v>
      </c>
      <c r="H620">
        <f>+'Paste Here'!T620</f>
        <v>0</v>
      </c>
      <c r="I620">
        <f>+'Paste Here'!U620</f>
        <v>0</v>
      </c>
      <c r="J620">
        <f>+'Paste Here'!V620</f>
        <v>0</v>
      </c>
      <c r="K620">
        <f>+'Paste Here'!W620</f>
        <v>0</v>
      </c>
    </row>
    <row r="621" spans="1:11">
      <c r="A621" t="str">
        <f t="shared" si="9"/>
        <v>00</v>
      </c>
      <c r="B621">
        <f>+'Paste Here'!N621</f>
        <v>0</v>
      </c>
      <c r="C621">
        <f>+'Paste Here'!O621</f>
        <v>0</v>
      </c>
      <c r="D621">
        <f>+'Paste Here'!P621</f>
        <v>0</v>
      </c>
      <c r="E621">
        <f>+'Paste Here'!Q621</f>
        <v>0</v>
      </c>
      <c r="F621">
        <f>+'Paste Here'!R621</f>
        <v>0</v>
      </c>
      <c r="G621">
        <f>+'Paste Here'!S621</f>
        <v>0</v>
      </c>
      <c r="H621">
        <f>+'Paste Here'!T621</f>
        <v>0</v>
      </c>
      <c r="I621">
        <f>+'Paste Here'!U621</f>
        <v>0</v>
      </c>
      <c r="J621">
        <f>+'Paste Here'!V621</f>
        <v>0</v>
      </c>
      <c r="K621">
        <f>+'Paste Here'!W621</f>
        <v>0</v>
      </c>
    </row>
    <row r="622" spans="1:11">
      <c r="A622" t="str">
        <f t="shared" si="9"/>
        <v>00</v>
      </c>
      <c r="B622">
        <f>+'Paste Here'!N622</f>
        <v>0</v>
      </c>
      <c r="C622">
        <f>+'Paste Here'!O622</f>
        <v>0</v>
      </c>
      <c r="D622">
        <f>+'Paste Here'!P622</f>
        <v>0</v>
      </c>
      <c r="E622">
        <f>+'Paste Here'!Q622</f>
        <v>0</v>
      </c>
      <c r="F622">
        <f>+'Paste Here'!R622</f>
        <v>0</v>
      </c>
      <c r="G622">
        <f>+'Paste Here'!S622</f>
        <v>0</v>
      </c>
      <c r="H622">
        <f>+'Paste Here'!T622</f>
        <v>0</v>
      </c>
      <c r="I622">
        <f>+'Paste Here'!U622</f>
        <v>0</v>
      </c>
      <c r="J622">
        <f>+'Paste Here'!V622</f>
        <v>0</v>
      </c>
      <c r="K622">
        <f>+'Paste Here'!W622</f>
        <v>0</v>
      </c>
    </row>
    <row r="623" spans="1:11">
      <c r="A623" t="str">
        <f t="shared" si="9"/>
        <v>00</v>
      </c>
      <c r="B623">
        <f>+'Paste Here'!N623</f>
        <v>0</v>
      </c>
      <c r="C623">
        <f>+'Paste Here'!O623</f>
        <v>0</v>
      </c>
      <c r="D623">
        <f>+'Paste Here'!P623</f>
        <v>0</v>
      </c>
      <c r="E623">
        <f>+'Paste Here'!Q623</f>
        <v>0</v>
      </c>
      <c r="F623">
        <f>+'Paste Here'!R623</f>
        <v>0</v>
      </c>
      <c r="G623">
        <f>+'Paste Here'!S623</f>
        <v>0</v>
      </c>
      <c r="H623">
        <f>+'Paste Here'!T623</f>
        <v>0</v>
      </c>
      <c r="I623">
        <f>+'Paste Here'!U623</f>
        <v>0</v>
      </c>
      <c r="J623">
        <f>+'Paste Here'!V623</f>
        <v>0</v>
      </c>
      <c r="K623">
        <f>+'Paste Here'!W623</f>
        <v>0</v>
      </c>
    </row>
    <row r="624" spans="1:11">
      <c r="A624" t="str">
        <f t="shared" si="9"/>
        <v>00</v>
      </c>
      <c r="B624">
        <f>+'Paste Here'!N624</f>
        <v>0</v>
      </c>
      <c r="C624">
        <f>+'Paste Here'!O624</f>
        <v>0</v>
      </c>
      <c r="D624">
        <f>+'Paste Here'!P624</f>
        <v>0</v>
      </c>
      <c r="E624">
        <f>+'Paste Here'!Q624</f>
        <v>0</v>
      </c>
      <c r="F624">
        <f>+'Paste Here'!R624</f>
        <v>0</v>
      </c>
      <c r="G624">
        <f>+'Paste Here'!S624</f>
        <v>0</v>
      </c>
      <c r="H624">
        <f>+'Paste Here'!T624</f>
        <v>0</v>
      </c>
      <c r="I624">
        <f>+'Paste Here'!U624</f>
        <v>0</v>
      </c>
      <c r="J624">
        <f>+'Paste Here'!V624</f>
        <v>0</v>
      </c>
      <c r="K624">
        <f>+'Paste Here'!W624</f>
        <v>0</v>
      </c>
    </row>
    <row r="625" spans="1:11">
      <c r="A625" t="str">
        <f t="shared" si="9"/>
        <v>00</v>
      </c>
      <c r="B625">
        <f>+'Paste Here'!N625</f>
        <v>0</v>
      </c>
      <c r="C625">
        <f>+'Paste Here'!O625</f>
        <v>0</v>
      </c>
      <c r="D625">
        <f>+'Paste Here'!P625</f>
        <v>0</v>
      </c>
      <c r="E625">
        <f>+'Paste Here'!Q625</f>
        <v>0</v>
      </c>
      <c r="F625">
        <f>+'Paste Here'!R625</f>
        <v>0</v>
      </c>
      <c r="G625">
        <f>+'Paste Here'!S625</f>
        <v>0</v>
      </c>
      <c r="H625">
        <f>+'Paste Here'!T625</f>
        <v>0</v>
      </c>
      <c r="I625">
        <f>+'Paste Here'!U625</f>
        <v>0</v>
      </c>
      <c r="J625">
        <f>+'Paste Here'!V625</f>
        <v>0</v>
      </c>
      <c r="K625">
        <f>+'Paste Here'!W625</f>
        <v>0</v>
      </c>
    </row>
    <row r="626" spans="1:11">
      <c r="A626" t="str">
        <f t="shared" si="9"/>
        <v>00</v>
      </c>
      <c r="B626">
        <f>+'Paste Here'!N626</f>
        <v>0</v>
      </c>
      <c r="C626">
        <f>+'Paste Here'!O626</f>
        <v>0</v>
      </c>
      <c r="D626">
        <f>+'Paste Here'!P626</f>
        <v>0</v>
      </c>
      <c r="E626">
        <f>+'Paste Here'!Q626</f>
        <v>0</v>
      </c>
      <c r="F626">
        <f>+'Paste Here'!R626</f>
        <v>0</v>
      </c>
      <c r="G626">
        <f>+'Paste Here'!S626</f>
        <v>0</v>
      </c>
      <c r="H626">
        <f>+'Paste Here'!T626</f>
        <v>0</v>
      </c>
      <c r="I626">
        <f>+'Paste Here'!U626</f>
        <v>0</v>
      </c>
      <c r="J626">
        <f>+'Paste Here'!V626</f>
        <v>0</v>
      </c>
      <c r="K626">
        <f>+'Paste Here'!W626</f>
        <v>0</v>
      </c>
    </row>
    <row r="627" spans="1:11">
      <c r="A627" t="str">
        <f t="shared" si="9"/>
        <v>00</v>
      </c>
      <c r="B627">
        <f>+'Paste Here'!N627</f>
        <v>0</v>
      </c>
      <c r="C627">
        <f>+'Paste Here'!O627</f>
        <v>0</v>
      </c>
      <c r="D627">
        <f>+'Paste Here'!P627</f>
        <v>0</v>
      </c>
      <c r="E627">
        <f>+'Paste Here'!Q627</f>
        <v>0</v>
      </c>
      <c r="F627">
        <f>+'Paste Here'!R627</f>
        <v>0</v>
      </c>
      <c r="G627">
        <f>+'Paste Here'!S627</f>
        <v>0</v>
      </c>
      <c r="H627">
        <f>+'Paste Here'!T627</f>
        <v>0</v>
      </c>
      <c r="I627">
        <f>+'Paste Here'!U627</f>
        <v>0</v>
      </c>
      <c r="J627">
        <f>+'Paste Here'!V627</f>
        <v>0</v>
      </c>
      <c r="K627">
        <f>+'Paste Here'!W627</f>
        <v>0</v>
      </c>
    </row>
    <row r="628" spans="1:11">
      <c r="A628" t="str">
        <f t="shared" si="9"/>
        <v>00</v>
      </c>
      <c r="B628">
        <f>+'Paste Here'!N628</f>
        <v>0</v>
      </c>
      <c r="C628">
        <f>+'Paste Here'!O628</f>
        <v>0</v>
      </c>
      <c r="D628">
        <f>+'Paste Here'!P628</f>
        <v>0</v>
      </c>
      <c r="E628">
        <f>+'Paste Here'!Q628</f>
        <v>0</v>
      </c>
      <c r="F628">
        <f>+'Paste Here'!R628</f>
        <v>0</v>
      </c>
      <c r="G628">
        <f>+'Paste Here'!S628</f>
        <v>0</v>
      </c>
      <c r="H628">
        <f>+'Paste Here'!T628</f>
        <v>0</v>
      </c>
      <c r="I628">
        <f>+'Paste Here'!U628</f>
        <v>0</v>
      </c>
      <c r="J628">
        <f>+'Paste Here'!V628</f>
        <v>0</v>
      </c>
      <c r="K628">
        <f>+'Paste Here'!W628</f>
        <v>0</v>
      </c>
    </row>
    <row r="629" spans="1:11">
      <c r="A629" t="str">
        <f t="shared" si="9"/>
        <v>00</v>
      </c>
      <c r="B629">
        <f>+'Paste Here'!N629</f>
        <v>0</v>
      </c>
      <c r="C629">
        <f>+'Paste Here'!O629</f>
        <v>0</v>
      </c>
      <c r="D629">
        <f>+'Paste Here'!P629</f>
        <v>0</v>
      </c>
      <c r="E629">
        <f>+'Paste Here'!Q629</f>
        <v>0</v>
      </c>
      <c r="F629">
        <f>+'Paste Here'!R629</f>
        <v>0</v>
      </c>
      <c r="G629">
        <f>+'Paste Here'!S629</f>
        <v>0</v>
      </c>
      <c r="H629">
        <f>+'Paste Here'!T629</f>
        <v>0</v>
      </c>
      <c r="I629">
        <f>+'Paste Here'!U629</f>
        <v>0</v>
      </c>
      <c r="J629">
        <f>+'Paste Here'!V629</f>
        <v>0</v>
      </c>
      <c r="K629">
        <f>+'Paste Here'!W629</f>
        <v>0</v>
      </c>
    </row>
    <row r="630" spans="1:11">
      <c r="A630" t="str">
        <f t="shared" si="9"/>
        <v>00</v>
      </c>
      <c r="B630">
        <f>+'Paste Here'!N630</f>
        <v>0</v>
      </c>
      <c r="C630">
        <f>+'Paste Here'!O630</f>
        <v>0</v>
      </c>
      <c r="D630">
        <f>+'Paste Here'!P630</f>
        <v>0</v>
      </c>
      <c r="E630">
        <f>+'Paste Here'!Q630</f>
        <v>0</v>
      </c>
      <c r="F630">
        <f>+'Paste Here'!R630</f>
        <v>0</v>
      </c>
      <c r="G630">
        <f>+'Paste Here'!S630</f>
        <v>0</v>
      </c>
      <c r="H630">
        <f>+'Paste Here'!T630</f>
        <v>0</v>
      </c>
      <c r="I630">
        <f>+'Paste Here'!U630</f>
        <v>0</v>
      </c>
      <c r="J630">
        <f>+'Paste Here'!V630</f>
        <v>0</v>
      </c>
      <c r="K630">
        <f>+'Paste Here'!W630</f>
        <v>0</v>
      </c>
    </row>
    <row r="631" spans="1:11">
      <c r="A631" t="str">
        <f t="shared" si="9"/>
        <v>00</v>
      </c>
      <c r="B631">
        <f>+'Paste Here'!N631</f>
        <v>0</v>
      </c>
      <c r="C631">
        <f>+'Paste Here'!O631</f>
        <v>0</v>
      </c>
      <c r="D631">
        <f>+'Paste Here'!P631</f>
        <v>0</v>
      </c>
      <c r="E631">
        <f>+'Paste Here'!Q631</f>
        <v>0</v>
      </c>
      <c r="F631">
        <f>+'Paste Here'!R631</f>
        <v>0</v>
      </c>
      <c r="G631">
        <f>+'Paste Here'!S631</f>
        <v>0</v>
      </c>
      <c r="H631">
        <f>+'Paste Here'!T631</f>
        <v>0</v>
      </c>
      <c r="I631">
        <f>+'Paste Here'!U631</f>
        <v>0</v>
      </c>
      <c r="J631">
        <f>+'Paste Here'!V631</f>
        <v>0</v>
      </c>
      <c r="K631">
        <f>+'Paste Here'!W631</f>
        <v>0</v>
      </c>
    </row>
    <row r="632" spans="1:11">
      <c r="A632" t="str">
        <f t="shared" si="9"/>
        <v>00</v>
      </c>
      <c r="B632">
        <f>+'Paste Here'!N632</f>
        <v>0</v>
      </c>
      <c r="C632">
        <f>+'Paste Here'!O632</f>
        <v>0</v>
      </c>
      <c r="D632">
        <f>+'Paste Here'!P632</f>
        <v>0</v>
      </c>
      <c r="E632">
        <f>+'Paste Here'!Q632</f>
        <v>0</v>
      </c>
      <c r="F632">
        <f>+'Paste Here'!R632</f>
        <v>0</v>
      </c>
      <c r="G632">
        <f>+'Paste Here'!S632</f>
        <v>0</v>
      </c>
      <c r="H632">
        <f>+'Paste Here'!T632</f>
        <v>0</v>
      </c>
      <c r="I632">
        <f>+'Paste Here'!U632</f>
        <v>0</v>
      </c>
      <c r="J632">
        <f>+'Paste Here'!V632</f>
        <v>0</v>
      </c>
      <c r="K632">
        <f>+'Paste Here'!W632</f>
        <v>0</v>
      </c>
    </row>
    <row r="633" spans="1:11">
      <c r="A633" t="str">
        <f t="shared" si="9"/>
        <v>00</v>
      </c>
      <c r="B633">
        <f>+'Paste Here'!N633</f>
        <v>0</v>
      </c>
      <c r="C633">
        <f>+'Paste Here'!O633</f>
        <v>0</v>
      </c>
      <c r="D633">
        <f>+'Paste Here'!P633</f>
        <v>0</v>
      </c>
      <c r="E633">
        <f>+'Paste Here'!Q633</f>
        <v>0</v>
      </c>
      <c r="F633">
        <f>+'Paste Here'!R633</f>
        <v>0</v>
      </c>
      <c r="G633">
        <f>+'Paste Here'!S633</f>
        <v>0</v>
      </c>
      <c r="H633">
        <f>+'Paste Here'!T633</f>
        <v>0</v>
      </c>
      <c r="I633">
        <f>+'Paste Here'!U633</f>
        <v>0</v>
      </c>
      <c r="J633">
        <f>+'Paste Here'!V633</f>
        <v>0</v>
      </c>
      <c r="K633">
        <f>+'Paste Here'!W633</f>
        <v>0</v>
      </c>
    </row>
    <row r="634" spans="1:11">
      <c r="A634" t="str">
        <f t="shared" si="9"/>
        <v>00</v>
      </c>
      <c r="B634">
        <f>+'Paste Here'!N634</f>
        <v>0</v>
      </c>
      <c r="C634">
        <f>+'Paste Here'!O634</f>
        <v>0</v>
      </c>
      <c r="D634">
        <f>+'Paste Here'!P634</f>
        <v>0</v>
      </c>
      <c r="E634">
        <f>+'Paste Here'!Q634</f>
        <v>0</v>
      </c>
      <c r="F634">
        <f>+'Paste Here'!R634</f>
        <v>0</v>
      </c>
      <c r="G634">
        <f>+'Paste Here'!S634</f>
        <v>0</v>
      </c>
      <c r="H634">
        <f>+'Paste Here'!T634</f>
        <v>0</v>
      </c>
      <c r="I634">
        <f>+'Paste Here'!U634</f>
        <v>0</v>
      </c>
      <c r="J634">
        <f>+'Paste Here'!V634</f>
        <v>0</v>
      </c>
      <c r="K634">
        <f>+'Paste Here'!W634</f>
        <v>0</v>
      </c>
    </row>
    <row r="635" spans="1:11">
      <c r="A635" t="str">
        <f t="shared" si="9"/>
        <v>00</v>
      </c>
      <c r="B635">
        <f>+'Paste Here'!N635</f>
        <v>0</v>
      </c>
      <c r="C635">
        <f>+'Paste Here'!O635</f>
        <v>0</v>
      </c>
      <c r="D635">
        <f>+'Paste Here'!P635</f>
        <v>0</v>
      </c>
      <c r="E635">
        <f>+'Paste Here'!Q635</f>
        <v>0</v>
      </c>
      <c r="F635">
        <f>+'Paste Here'!R635</f>
        <v>0</v>
      </c>
      <c r="G635">
        <f>+'Paste Here'!S635</f>
        <v>0</v>
      </c>
      <c r="H635">
        <f>+'Paste Here'!T635</f>
        <v>0</v>
      </c>
      <c r="I635">
        <f>+'Paste Here'!U635</f>
        <v>0</v>
      </c>
      <c r="J635">
        <f>+'Paste Here'!V635</f>
        <v>0</v>
      </c>
      <c r="K635">
        <f>+'Paste Here'!W635</f>
        <v>0</v>
      </c>
    </row>
    <row r="636" spans="1:11">
      <c r="A636" t="str">
        <f t="shared" si="9"/>
        <v>00</v>
      </c>
      <c r="B636">
        <f>+'Paste Here'!N636</f>
        <v>0</v>
      </c>
      <c r="C636">
        <f>+'Paste Here'!O636</f>
        <v>0</v>
      </c>
      <c r="D636">
        <f>+'Paste Here'!P636</f>
        <v>0</v>
      </c>
      <c r="E636">
        <f>+'Paste Here'!Q636</f>
        <v>0</v>
      </c>
      <c r="F636">
        <f>+'Paste Here'!R636</f>
        <v>0</v>
      </c>
      <c r="G636">
        <f>+'Paste Here'!S636</f>
        <v>0</v>
      </c>
      <c r="H636">
        <f>+'Paste Here'!T636</f>
        <v>0</v>
      </c>
      <c r="I636">
        <f>+'Paste Here'!U636</f>
        <v>0</v>
      </c>
      <c r="J636">
        <f>+'Paste Here'!V636</f>
        <v>0</v>
      </c>
      <c r="K636">
        <f>+'Paste Here'!W636</f>
        <v>0</v>
      </c>
    </row>
    <row r="637" spans="1:11">
      <c r="A637" t="str">
        <f t="shared" si="9"/>
        <v>00</v>
      </c>
      <c r="B637">
        <f>+'Paste Here'!N637</f>
        <v>0</v>
      </c>
      <c r="C637">
        <f>+'Paste Here'!O637</f>
        <v>0</v>
      </c>
      <c r="D637">
        <f>+'Paste Here'!P637</f>
        <v>0</v>
      </c>
      <c r="E637">
        <f>+'Paste Here'!Q637</f>
        <v>0</v>
      </c>
      <c r="F637">
        <f>+'Paste Here'!R637</f>
        <v>0</v>
      </c>
      <c r="G637">
        <f>+'Paste Here'!S637</f>
        <v>0</v>
      </c>
      <c r="H637">
        <f>+'Paste Here'!T637</f>
        <v>0</v>
      </c>
      <c r="I637">
        <f>+'Paste Here'!U637</f>
        <v>0</v>
      </c>
      <c r="J637">
        <f>+'Paste Here'!V637</f>
        <v>0</v>
      </c>
      <c r="K637">
        <f>+'Paste Here'!W637</f>
        <v>0</v>
      </c>
    </row>
    <row r="638" spans="1:11">
      <c r="A638" t="str">
        <f t="shared" si="9"/>
        <v>00</v>
      </c>
      <c r="B638">
        <f>+'Paste Here'!N638</f>
        <v>0</v>
      </c>
      <c r="C638">
        <f>+'Paste Here'!O638</f>
        <v>0</v>
      </c>
      <c r="D638">
        <f>+'Paste Here'!P638</f>
        <v>0</v>
      </c>
      <c r="E638">
        <f>+'Paste Here'!Q638</f>
        <v>0</v>
      </c>
      <c r="F638">
        <f>+'Paste Here'!R638</f>
        <v>0</v>
      </c>
      <c r="G638">
        <f>+'Paste Here'!S638</f>
        <v>0</v>
      </c>
      <c r="H638">
        <f>+'Paste Here'!T638</f>
        <v>0</v>
      </c>
      <c r="I638">
        <f>+'Paste Here'!U638</f>
        <v>0</v>
      </c>
      <c r="J638">
        <f>+'Paste Here'!V638</f>
        <v>0</v>
      </c>
      <c r="K638">
        <f>+'Paste Here'!W638</f>
        <v>0</v>
      </c>
    </row>
    <row r="639" spans="1:11">
      <c r="A639" t="str">
        <f t="shared" si="9"/>
        <v>00</v>
      </c>
      <c r="B639">
        <f>+'Paste Here'!N639</f>
        <v>0</v>
      </c>
      <c r="C639">
        <f>+'Paste Here'!O639</f>
        <v>0</v>
      </c>
      <c r="D639">
        <f>+'Paste Here'!P639</f>
        <v>0</v>
      </c>
      <c r="E639">
        <f>+'Paste Here'!Q639</f>
        <v>0</v>
      </c>
      <c r="F639">
        <f>+'Paste Here'!R639</f>
        <v>0</v>
      </c>
      <c r="G639">
        <f>+'Paste Here'!S639</f>
        <v>0</v>
      </c>
      <c r="H639">
        <f>+'Paste Here'!T639</f>
        <v>0</v>
      </c>
      <c r="I639">
        <f>+'Paste Here'!U639</f>
        <v>0</v>
      </c>
      <c r="J639">
        <f>+'Paste Here'!V639</f>
        <v>0</v>
      </c>
      <c r="K639">
        <f>+'Paste Here'!W639</f>
        <v>0</v>
      </c>
    </row>
    <row r="640" spans="1:11">
      <c r="A640" t="str">
        <f t="shared" si="9"/>
        <v>00</v>
      </c>
      <c r="B640">
        <f>+'Paste Here'!N640</f>
        <v>0</v>
      </c>
      <c r="C640">
        <f>+'Paste Here'!O640</f>
        <v>0</v>
      </c>
      <c r="D640">
        <f>+'Paste Here'!P640</f>
        <v>0</v>
      </c>
      <c r="E640">
        <f>+'Paste Here'!Q640</f>
        <v>0</v>
      </c>
      <c r="F640">
        <f>+'Paste Here'!R640</f>
        <v>0</v>
      </c>
      <c r="G640">
        <f>+'Paste Here'!S640</f>
        <v>0</v>
      </c>
      <c r="H640">
        <f>+'Paste Here'!T640</f>
        <v>0</v>
      </c>
      <c r="I640">
        <f>+'Paste Here'!U640</f>
        <v>0</v>
      </c>
      <c r="J640">
        <f>+'Paste Here'!V640</f>
        <v>0</v>
      </c>
      <c r="K640">
        <f>+'Paste Here'!W640</f>
        <v>0</v>
      </c>
    </row>
    <row r="641" spans="1:11">
      <c r="A641" t="str">
        <f t="shared" si="9"/>
        <v>00</v>
      </c>
      <c r="B641">
        <f>+'Paste Here'!N641</f>
        <v>0</v>
      </c>
      <c r="C641">
        <f>+'Paste Here'!O641</f>
        <v>0</v>
      </c>
      <c r="D641">
        <f>+'Paste Here'!P641</f>
        <v>0</v>
      </c>
      <c r="E641">
        <f>+'Paste Here'!Q641</f>
        <v>0</v>
      </c>
      <c r="F641">
        <f>+'Paste Here'!R641</f>
        <v>0</v>
      </c>
      <c r="G641">
        <f>+'Paste Here'!S641</f>
        <v>0</v>
      </c>
      <c r="H641">
        <f>+'Paste Here'!T641</f>
        <v>0</v>
      </c>
      <c r="I641">
        <f>+'Paste Here'!U641</f>
        <v>0</v>
      </c>
      <c r="J641">
        <f>+'Paste Here'!V641</f>
        <v>0</v>
      </c>
      <c r="K641">
        <f>+'Paste Here'!W641</f>
        <v>0</v>
      </c>
    </row>
    <row r="642" spans="1:11">
      <c r="A642" t="str">
        <f t="shared" si="9"/>
        <v>00</v>
      </c>
      <c r="B642">
        <f>+'Paste Here'!N642</f>
        <v>0</v>
      </c>
      <c r="C642">
        <f>+'Paste Here'!O642</f>
        <v>0</v>
      </c>
      <c r="D642">
        <f>+'Paste Here'!P642</f>
        <v>0</v>
      </c>
      <c r="E642">
        <f>+'Paste Here'!Q642</f>
        <v>0</v>
      </c>
      <c r="F642">
        <f>+'Paste Here'!R642</f>
        <v>0</v>
      </c>
      <c r="G642">
        <f>+'Paste Here'!S642</f>
        <v>0</v>
      </c>
      <c r="H642">
        <f>+'Paste Here'!T642</f>
        <v>0</v>
      </c>
      <c r="I642">
        <f>+'Paste Here'!U642</f>
        <v>0</v>
      </c>
      <c r="J642">
        <f>+'Paste Here'!V642</f>
        <v>0</v>
      </c>
      <c r="K642">
        <f>+'Paste Here'!W642</f>
        <v>0</v>
      </c>
    </row>
    <row r="643" spans="1:11">
      <c r="A643" t="str">
        <f t="shared" ref="A643:A706" si="10">+CONCATENATE(C643,D643)</f>
        <v>00</v>
      </c>
      <c r="B643">
        <f>+'Paste Here'!N643</f>
        <v>0</v>
      </c>
      <c r="C643">
        <f>+'Paste Here'!O643</f>
        <v>0</v>
      </c>
      <c r="D643">
        <f>+'Paste Here'!P643</f>
        <v>0</v>
      </c>
      <c r="E643">
        <f>+'Paste Here'!Q643</f>
        <v>0</v>
      </c>
      <c r="F643">
        <f>+'Paste Here'!R643</f>
        <v>0</v>
      </c>
      <c r="G643">
        <f>+'Paste Here'!S643</f>
        <v>0</v>
      </c>
      <c r="H643">
        <f>+'Paste Here'!T643</f>
        <v>0</v>
      </c>
      <c r="I643">
        <f>+'Paste Here'!U643</f>
        <v>0</v>
      </c>
      <c r="J643">
        <f>+'Paste Here'!V643</f>
        <v>0</v>
      </c>
      <c r="K643">
        <f>+'Paste Here'!W643</f>
        <v>0</v>
      </c>
    </row>
    <row r="644" spans="1:11">
      <c r="A644" t="str">
        <f t="shared" si="10"/>
        <v>00</v>
      </c>
      <c r="B644">
        <f>+'Paste Here'!N644</f>
        <v>0</v>
      </c>
      <c r="C644">
        <f>+'Paste Here'!O644</f>
        <v>0</v>
      </c>
      <c r="D644">
        <f>+'Paste Here'!P644</f>
        <v>0</v>
      </c>
      <c r="E644">
        <f>+'Paste Here'!Q644</f>
        <v>0</v>
      </c>
      <c r="F644">
        <f>+'Paste Here'!R644</f>
        <v>0</v>
      </c>
      <c r="G644">
        <f>+'Paste Here'!S644</f>
        <v>0</v>
      </c>
      <c r="H644">
        <f>+'Paste Here'!T644</f>
        <v>0</v>
      </c>
      <c r="I644">
        <f>+'Paste Here'!U644</f>
        <v>0</v>
      </c>
      <c r="J644">
        <f>+'Paste Here'!V644</f>
        <v>0</v>
      </c>
      <c r="K644">
        <f>+'Paste Here'!W644</f>
        <v>0</v>
      </c>
    </row>
    <row r="645" spans="1:11">
      <c r="A645" t="str">
        <f t="shared" si="10"/>
        <v>00</v>
      </c>
      <c r="B645">
        <f>+'Paste Here'!N645</f>
        <v>0</v>
      </c>
      <c r="C645">
        <f>+'Paste Here'!O645</f>
        <v>0</v>
      </c>
      <c r="D645">
        <f>+'Paste Here'!P645</f>
        <v>0</v>
      </c>
      <c r="E645">
        <f>+'Paste Here'!Q645</f>
        <v>0</v>
      </c>
      <c r="F645">
        <f>+'Paste Here'!R645</f>
        <v>0</v>
      </c>
      <c r="G645">
        <f>+'Paste Here'!S645</f>
        <v>0</v>
      </c>
      <c r="H645">
        <f>+'Paste Here'!T645</f>
        <v>0</v>
      </c>
      <c r="I645">
        <f>+'Paste Here'!U645</f>
        <v>0</v>
      </c>
      <c r="J645">
        <f>+'Paste Here'!V645</f>
        <v>0</v>
      </c>
      <c r="K645">
        <f>+'Paste Here'!W645</f>
        <v>0</v>
      </c>
    </row>
    <row r="646" spans="1:11">
      <c r="A646" t="str">
        <f t="shared" si="10"/>
        <v>00</v>
      </c>
      <c r="B646">
        <f>+'Paste Here'!N646</f>
        <v>0</v>
      </c>
      <c r="C646">
        <f>+'Paste Here'!O646</f>
        <v>0</v>
      </c>
      <c r="D646">
        <f>+'Paste Here'!P646</f>
        <v>0</v>
      </c>
      <c r="E646">
        <f>+'Paste Here'!Q646</f>
        <v>0</v>
      </c>
      <c r="F646">
        <f>+'Paste Here'!R646</f>
        <v>0</v>
      </c>
      <c r="G646">
        <f>+'Paste Here'!S646</f>
        <v>0</v>
      </c>
      <c r="H646">
        <f>+'Paste Here'!T646</f>
        <v>0</v>
      </c>
      <c r="I646">
        <f>+'Paste Here'!U646</f>
        <v>0</v>
      </c>
      <c r="J646">
        <f>+'Paste Here'!V646</f>
        <v>0</v>
      </c>
      <c r="K646">
        <f>+'Paste Here'!W646</f>
        <v>0</v>
      </c>
    </row>
    <row r="647" spans="1:11">
      <c r="A647" t="str">
        <f t="shared" si="10"/>
        <v>00</v>
      </c>
      <c r="B647">
        <f>+'Paste Here'!N647</f>
        <v>0</v>
      </c>
      <c r="C647">
        <f>+'Paste Here'!O647</f>
        <v>0</v>
      </c>
      <c r="D647">
        <f>+'Paste Here'!P647</f>
        <v>0</v>
      </c>
      <c r="E647">
        <f>+'Paste Here'!Q647</f>
        <v>0</v>
      </c>
      <c r="F647">
        <f>+'Paste Here'!R647</f>
        <v>0</v>
      </c>
      <c r="G647">
        <f>+'Paste Here'!S647</f>
        <v>0</v>
      </c>
      <c r="H647">
        <f>+'Paste Here'!T647</f>
        <v>0</v>
      </c>
      <c r="I647">
        <f>+'Paste Here'!U647</f>
        <v>0</v>
      </c>
      <c r="J647">
        <f>+'Paste Here'!V647</f>
        <v>0</v>
      </c>
      <c r="K647">
        <f>+'Paste Here'!W647</f>
        <v>0</v>
      </c>
    </row>
    <row r="648" spans="1:11">
      <c r="A648" t="str">
        <f t="shared" si="10"/>
        <v>00</v>
      </c>
      <c r="B648">
        <f>+'Paste Here'!N648</f>
        <v>0</v>
      </c>
      <c r="C648">
        <f>+'Paste Here'!O648</f>
        <v>0</v>
      </c>
      <c r="D648">
        <f>+'Paste Here'!P648</f>
        <v>0</v>
      </c>
      <c r="E648">
        <f>+'Paste Here'!Q648</f>
        <v>0</v>
      </c>
      <c r="F648">
        <f>+'Paste Here'!R648</f>
        <v>0</v>
      </c>
      <c r="G648">
        <f>+'Paste Here'!S648</f>
        <v>0</v>
      </c>
      <c r="H648">
        <f>+'Paste Here'!T648</f>
        <v>0</v>
      </c>
      <c r="I648">
        <f>+'Paste Here'!U648</f>
        <v>0</v>
      </c>
      <c r="J648">
        <f>+'Paste Here'!V648</f>
        <v>0</v>
      </c>
      <c r="K648">
        <f>+'Paste Here'!W648</f>
        <v>0</v>
      </c>
    </row>
    <row r="649" spans="1:11">
      <c r="A649" t="str">
        <f t="shared" si="10"/>
        <v>00</v>
      </c>
      <c r="B649">
        <f>+'Paste Here'!N649</f>
        <v>0</v>
      </c>
      <c r="C649">
        <f>+'Paste Here'!O649</f>
        <v>0</v>
      </c>
      <c r="D649">
        <f>+'Paste Here'!P649</f>
        <v>0</v>
      </c>
      <c r="E649">
        <f>+'Paste Here'!Q649</f>
        <v>0</v>
      </c>
      <c r="F649">
        <f>+'Paste Here'!R649</f>
        <v>0</v>
      </c>
      <c r="G649">
        <f>+'Paste Here'!S649</f>
        <v>0</v>
      </c>
      <c r="H649">
        <f>+'Paste Here'!T649</f>
        <v>0</v>
      </c>
      <c r="I649">
        <f>+'Paste Here'!U649</f>
        <v>0</v>
      </c>
      <c r="J649">
        <f>+'Paste Here'!V649</f>
        <v>0</v>
      </c>
      <c r="K649">
        <f>+'Paste Here'!W649</f>
        <v>0</v>
      </c>
    </row>
    <row r="650" spans="1:11">
      <c r="A650" t="str">
        <f t="shared" si="10"/>
        <v>00</v>
      </c>
      <c r="B650">
        <f>+'Paste Here'!N650</f>
        <v>0</v>
      </c>
      <c r="C650">
        <f>+'Paste Here'!O650</f>
        <v>0</v>
      </c>
      <c r="D650">
        <f>+'Paste Here'!P650</f>
        <v>0</v>
      </c>
      <c r="E650">
        <f>+'Paste Here'!Q650</f>
        <v>0</v>
      </c>
      <c r="F650">
        <f>+'Paste Here'!R650</f>
        <v>0</v>
      </c>
      <c r="G650">
        <f>+'Paste Here'!S650</f>
        <v>0</v>
      </c>
      <c r="H650">
        <f>+'Paste Here'!T650</f>
        <v>0</v>
      </c>
      <c r="I650">
        <f>+'Paste Here'!U650</f>
        <v>0</v>
      </c>
      <c r="J650">
        <f>+'Paste Here'!V650</f>
        <v>0</v>
      </c>
      <c r="K650">
        <f>+'Paste Here'!W650</f>
        <v>0</v>
      </c>
    </row>
    <row r="651" spans="1:11">
      <c r="A651" t="str">
        <f t="shared" si="10"/>
        <v>00</v>
      </c>
      <c r="B651">
        <f>+'Paste Here'!N651</f>
        <v>0</v>
      </c>
      <c r="C651">
        <f>+'Paste Here'!O651</f>
        <v>0</v>
      </c>
      <c r="D651">
        <f>+'Paste Here'!P651</f>
        <v>0</v>
      </c>
      <c r="E651">
        <f>+'Paste Here'!Q651</f>
        <v>0</v>
      </c>
      <c r="F651">
        <f>+'Paste Here'!R651</f>
        <v>0</v>
      </c>
      <c r="G651">
        <f>+'Paste Here'!S651</f>
        <v>0</v>
      </c>
      <c r="H651">
        <f>+'Paste Here'!T651</f>
        <v>0</v>
      </c>
      <c r="I651">
        <f>+'Paste Here'!U651</f>
        <v>0</v>
      </c>
      <c r="J651">
        <f>+'Paste Here'!V651</f>
        <v>0</v>
      </c>
      <c r="K651">
        <f>+'Paste Here'!W651</f>
        <v>0</v>
      </c>
    </row>
    <row r="652" spans="1:11">
      <c r="A652" t="str">
        <f t="shared" si="10"/>
        <v>00</v>
      </c>
      <c r="B652">
        <f>+'Paste Here'!N652</f>
        <v>0</v>
      </c>
      <c r="C652">
        <f>+'Paste Here'!O652</f>
        <v>0</v>
      </c>
      <c r="D652">
        <f>+'Paste Here'!P652</f>
        <v>0</v>
      </c>
      <c r="E652">
        <f>+'Paste Here'!Q652</f>
        <v>0</v>
      </c>
      <c r="F652">
        <f>+'Paste Here'!R652</f>
        <v>0</v>
      </c>
      <c r="G652">
        <f>+'Paste Here'!S652</f>
        <v>0</v>
      </c>
      <c r="H652">
        <f>+'Paste Here'!T652</f>
        <v>0</v>
      </c>
      <c r="I652">
        <f>+'Paste Here'!U652</f>
        <v>0</v>
      </c>
      <c r="J652">
        <f>+'Paste Here'!V652</f>
        <v>0</v>
      </c>
      <c r="K652">
        <f>+'Paste Here'!W652</f>
        <v>0</v>
      </c>
    </row>
    <row r="653" spans="1:11">
      <c r="A653" t="str">
        <f t="shared" si="10"/>
        <v>00</v>
      </c>
      <c r="B653">
        <f>+'Paste Here'!N653</f>
        <v>0</v>
      </c>
      <c r="C653">
        <f>+'Paste Here'!O653</f>
        <v>0</v>
      </c>
      <c r="D653">
        <f>+'Paste Here'!P653</f>
        <v>0</v>
      </c>
      <c r="E653">
        <f>+'Paste Here'!Q653</f>
        <v>0</v>
      </c>
      <c r="F653">
        <f>+'Paste Here'!R653</f>
        <v>0</v>
      </c>
      <c r="G653">
        <f>+'Paste Here'!S653</f>
        <v>0</v>
      </c>
      <c r="H653">
        <f>+'Paste Here'!T653</f>
        <v>0</v>
      </c>
      <c r="I653">
        <f>+'Paste Here'!U653</f>
        <v>0</v>
      </c>
      <c r="J653">
        <f>+'Paste Here'!V653</f>
        <v>0</v>
      </c>
      <c r="K653">
        <f>+'Paste Here'!W653</f>
        <v>0</v>
      </c>
    </row>
    <row r="654" spans="1:11">
      <c r="A654" t="str">
        <f t="shared" si="10"/>
        <v>00</v>
      </c>
      <c r="B654">
        <f>+'Paste Here'!N654</f>
        <v>0</v>
      </c>
      <c r="C654">
        <f>+'Paste Here'!O654</f>
        <v>0</v>
      </c>
      <c r="D654">
        <f>+'Paste Here'!P654</f>
        <v>0</v>
      </c>
      <c r="E654">
        <f>+'Paste Here'!Q654</f>
        <v>0</v>
      </c>
      <c r="F654">
        <f>+'Paste Here'!R654</f>
        <v>0</v>
      </c>
      <c r="G654">
        <f>+'Paste Here'!S654</f>
        <v>0</v>
      </c>
      <c r="H654">
        <f>+'Paste Here'!T654</f>
        <v>0</v>
      </c>
      <c r="I654">
        <f>+'Paste Here'!U654</f>
        <v>0</v>
      </c>
      <c r="J654">
        <f>+'Paste Here'!V654</f>
        <v>0</v>
      </c>
      <c r="K654">
        <f>+'Paste Here'!W654</f>
        <v>0</v>
      </c>
    </row>
    <row r="655" spans="1:11">
      <c r="A655" t="str">
        <f t="shared" si="10"/>
        <v>00</v>
      </c>
      <c r="B655">
        <f>+'Paste Here'!N655</f>
        <v>0</v>
      </c>
      <c r="C655">
        <f>+'Paste Here'!O655</f>
        <v>0</v>
      </c>
      <c r="D655">
        <f>+'Paste Here'!P655</f>
        <v>0</v>
      </c>
      <c r="E655">
        <f>+'Paste Here'!Q655</f>
        <v>0</v>
      </c>
      <c r="F655">
        <f>+'Paste Here'!R655</f>
        <v>0</v>
      </c>
      <c r="G655">
        <f>+'Paste Here'!S655</f>
        <v>0</v>
      </c>
      <c r="H655">
        <f>+'Paste Here'!T655</f>
        <v>0</v>
      </c>
      <c r="I655">
        <f>+'Paste Here'!U655</f>
        <v>0</v>
      </c>
      <c r="J655">
        <f>+'Paste Here'!V655</f>
        <v>0</v>
      </c>
      <c r="K655">
        <f>+'Paste Here'!W655</f>
        <v>0</v>
      </c>
    </row>
    <row r="656" spans="1:11">
      <c r="A656" t="str">
        <f t="shared" si="10"/>
        <v>00</v>
      </c>
      <c r="B656">
        <f>+'Paste Here'!N656</f>
        <v>0</v>
      </c>
      <c r="C656">
        <f>+'Paste Here'!O656</f>
        <v>0</v>
      </c>
      <c r="D656">
        <f>+'Paste Here'!P656</f>
        <v>0</v>
      </c>
      <c r="E656">
        <f>+'Paste Here'!Q656</f>
        <v>0</v>
      </c>
      <c r="F656">
        <f>+'Paste Here'!R656</f>
        <v>0</v>
      </c>
      <c r="G656">
        <f>+'Paste Here'!S656</f>
        <v>0</v>
      </c>
      <c r="H656">
        <f>+'Paste Here'!T656</f>
        <v>0</v>
      </c>
      <c r="I656">
        <f>+'Paste Here'!U656</f>
        <v>0</v>
      </c>
      <c r="J656">
        <f>+'Paste Here'!V656</f>
        <v>0</v>
      </c>
      <c r="K656">
        <f>+'Paste Here'!W656</f>
        <v>0</v>
      </c>
    </row>
    <row r="657" spans="1:11">
      <c r="A657" t="str">
        <f t="shared" si="10"/>
        <v>00</v>
      </c>
      <c r="B657">
        <f>+'Paste Here'!N657</f>
        <v>0</v>
      </c>
      <c r="C657">
        <f>+'Paste Here'!O657</f>
        <v>0</v>
      </c>
      <c r="D657">
        <f>+'Paste Here'!P657</f>
        <v>0</v>
      </c>
      <c r="E657">
        <f>+'Paste Here'!Q657</f>
        <v>0</v>
      </c>
      <c r="F657">
        <f>+'Paste Here'!R657</f>
        <v>0</v>
      </c>
      <c r="G657">
        <f>+'Paste Here'!S657</f>
        <v>0</v>
      </c>
      <c r="H657">
        <f>+'Paste Here'!T657</f>
        <v>0</v>
      </c>
      <c r="I657">
        <f>+'Paste Here'!U657</f>
        <v>0</v>
      </c>
      <c r="J657">
        <f>+'Paste Here'!V657</f>
        <v>0</v>
      </c>
      <c r="K657">
        <f>+'Paste Here'!W657</f>
        <v>0</v>
      </c>
    </row>
    <row r="658" spans="1:11">
      <c r="A658" t="str">
        <f t="shared" si="10"/>
        <v>00</v>
      </c>
      <c r="B658">
        <f>+'Paste Here'!N658</f>
        <v>0</v>
      </c>
      <c r="C658">
        <f>+'Paste Here'!O658</f>
        <v>0</v>
      </c>
      <c r="D658">
        <f>+'Paste Here'!P658</f>
        <v>0</v>
      </c>
      <c r="E658">
        <f>+'Paste Here'!Q658</f>
        <v>0</v>
      </c>
      <c r="F658">
        <f>+'Paste Here'!R658</f>
        <v>0</v>
      </c>
      <c r="G658">
        <f>+'Paste Here'!S658</f>
        <v>0</v>
      </c>
      <c r="H658">
        <f>+'Paste Here'!T658</f>
        <v>0</v>
      </c>
      <c r="I658">
        <f>+'Paste Here'!U658</f>
        <v>0</v>
      </c>
      <c r="J658">
        <f>+'Paste Here'!V658</f>
        <v>0</v>
      </c>
      <c r="K658">
        <f>+'Paste Here'!W658</f>
        <v>0</v>
      </c>
    </row>
    <row r="659" spans="1:11">
      <c r="A659" t="str">
        <f t="shared" si="10"/>
        <v>00</v>
      </c>
      <c r="B659">
        <f>+'Paste Here'!N659</f>
        <v>0</v>
      </c>
      <c r="C659">
        <f>+'Paste Here'!O659</f>
        <v>0</v>
      </c>
      <c r="D659">
        <f>+'Paste Here'!P659</f>
        <v>0</v>
      </c>
      <c r="E659">
        <f>+'Paste Here'!Q659</f>
        <v>0</v>
      </c>
      <c r="F659">
        <f>+'Paste Here'!R659</f>
        <v>0</v>
      </c>
      <c r="G659">
        <f>+'Paste Here'!S659</f>
        <v>0</v>
      </c>
      <c r="H659">
        <f>+'Paste Here'!T659</f>
        <v>0</v>
      </c>
      <c r="I659">
        <f>+'Paste Here'!U659</f>
        <v>0</v>
      </c>
      <c r="J659">
        <f>+'Paste Here'!V659</f>
        <v>0</v>
      </c>
      <c r="K659">
        <f>+'Paste Here'!W659</f>
        <v>0</v>
      </c>
    </row>
    <row r="660" spans="1:11">
      <c r="A660" t="str">
        <f t="shared" si="10"/>
        <v>00</v>
      </c>
      <c r="B660">
        <f>+'Paste Here'!N660</f>
        <v>0</v>
      </c>
      <c r="C660">
        <f>+'Paste Here'!O660</f>
        <v>0</v>
      </c>
      <c r="D660">
        <f>+'Paste Here'!P660</f>
        <v>0</v>
      </c>
      <c r="E660">
        <f>+'Paste Here'!Q660</f>
        <v>0</v>
      </c>
      <c r="F660">
        <f>+'Paste Here'!R660</f>
        <v>0</v>
      </c>
      <c r="G660">
        <f>+'Paste Here'!S660</f>
        <v>0</v>
      </c>
      <c r="H660">
        <f>+'Paste Here'!T660</f>
        <v>0</v>
      </c>
      <c r="I660">
        <f>+'Paste Here'!U660</f>
        <v>0</v>
      </c>
      <c r="J660">
        <f>+'Paste Here'!V660</f>
        <v>0</v>
      </c>
      <c r="K660">
        <f>+'Paste Here'!W660</f>
        <v>0</v>
      </c>
    </row>
    <row r="661" spans="1:11">
      <c r="A661" t="str">
        <f t="shared" si="10"/>
        <v>00</v>
      </c>
      <c r="B661">
        <f>+'Paste Here'!N661</f>
        <v>0</v>
      </c>
      <c r="C661">
        <f>+'Paste Here'!O661</f>
        <v>0</v>
      </c>
      <c r="D661">
        <f>+'Paste Here'!P661</f>
        <v>0</v>
      </c>
      <c r="E661">
        <f>+'Paste Here'!Q661</f>
        <v>0</v>
      </c>
      <c r="F661">
        <f>+'Paste Here'!R661</f>
        <v>0</v>
      </c>
      <c r="G661">
        <f>+'Paste Here'!S661</f>
        <v>0</v>
      </c>
      <c r="H661">
        <f>+'Paste Here'!T661</f>
        <v>0</v>
      </c>
      <c r="I661">
        <f>+'Paste Here'!U661</f>
        <v>0</v>
      </c>
      <c r="J661">
        <f>+'Paste Here'!V661</f>
        <v>0</v>
      </c>
      <c r="K661">
        <f>+'Paste Here'!W661</f>
        <v>0</v>
      </c>
    </row>
    <row r="662" spans="1:11">
      <c r="A662" t="str">
        <f t="shared" si="10"/>
        <v>00</v>
      </c>
      <c r="B662">
        <f>+'Paste Here'!N662</f>
        <v>0</v>
      </c>
      <c r="C662">
        <f>+'Paste Here'!O662</f>
        <v>0</v>
      </c>
      <c r="D662">
        <f>+'Paste Here'!P662</f>
        <v>0</v>
      </c>
      <c r="E662">
        <f>+'Paste Here'!Q662</f>
        <v>0</v>
      </c>
      <c r="F662">
        <f>+'Paste Here'!R662</f>
        <v>0</v>
      </c>
      <c r="G662">
        <f>+'Paste Here'!S662</f>
        <v>0</v>
      </c>
      <c r="H662">
        <f>+'Paste Here'!T662</f>
        <v>0</v>
      </c>
      <c r="I662">
        <f>+'Paste Here'!U662</f>
        <v>0</v>
      </c>
      <c r="J662">
        <f>+'Paste Here'!V662</f>
        <v>0</v>
      </c>
      <c r="K662">
        <f>+'Paste Here'!W662</f>
        <v>0</v>
      </c>
    </row>
    <row r="663" spans="1:11">
      <c r="A663" t="str">
        <f t="shared" si="10"/>
        <v>00</v>
      </c>
      <c r="B663">
        <f>+'Paste Here'!N663</f>
        <v>0</v>
      </c>
      <c r="C663">
        <f>+'Paste Here'!O663</f>
        <v>0</v>
      </c>
      <c r="D663">
        <f>+'Paste Here'!P663</f>
        <v>0</v>
      </c>
      <c r="E663">
        <f>+'Paste Here'!Q663</f>
        <v>0</v>
      </c>
      <c r="F663">
        <f>+'Paste Here'!R663</f>
        <v>0</v>
      </c>
      <c r="G663">
        <f>+'Paste Here'!S663</f>
        <v>0</v>
      </c>
      <c r="H663">
        <f>+'Paste Here'!T663</f>
        <v>0</v>
      </c>
      <c r="I663">
        <f>+'Paste Here'!U663</f>
        <v>0</v>
      </c>
      <c r="J663">
        <f>+'Paste Here'!V663</f>
        <v>0</v>
      </c>
      <c r="K663">
        <f>+'Paste Here'!W663</f>
        <v>0</v>
      </c>
    </row>
    <row r="664" spans="1:11">
      <c r="A664" t="str">
        <f t="shared" si="10"/>
        <v>00</v>
      </c>
      <c r="B664">
        <f>+'Paste Here'!N664</f>
        <v>0</v>
      </c>
      <c r="C664">
        <f>+'Paste Here'!O664</f>
        <v>0</v>
      </c>
      <c r="D664">
        <f>+'Paste Here'!P664</f>
        <v>0</v>
      </c>
      <c r="E664">
        <f>+'Paste Here'!Q664</f>
        <v>0</v>
      </c>
      <c r="F664">
        <f>+'Paste Here'!R664</f>
        <v>0</v>
      </c>
      <c r="G664">
        <f>+'Paste Here'!S664</f>
        <v>0</v>
      </c>
      <c r="H664">
        <f>+'Paste Here'!T664</f>
        <v>0</v>
      </c>
      <c r="I664">
        <f>+'Paste Here'!U664</f>
        <v>0</v>
      </c>
      <c r="J664">
        <f>+'Paste Here'!V664</f>
        <v>0</v>
      </c>
      <c r="K664">
        <f>+'Paste Here'!W664</f>
        <v>0</v>
      </c>
    </row>
    <row r="665" spans="1:11">
      <c r="A665" t="str">
        <f t="shared" si="10"/>
        <v>00</v>
      </c>
      <c r="B665">
        <f>+'Paste Here'!N665</f>
        <v>0</v>
      </c>
      <c r="C665">
        <f>+'Paste Here'!O665</f>
        <v>0</v>
      </c>
      <c r="D665">
        <f>+'Paste Here'!P665</f>
        <v>0</v>
      </c>
      <c r="E665">
        <f>+'Paste Here'!Q665</f>
        <v>0</v>
      </c>
      <c r="F665">
        <f>+'Paste Here'!R665</f>
        <v>0</v>
      </c>
      <c r="G665">
        <f>+'Paste Here'!S665</f>
        <v>0</v>
      </c>
      <c r="H665">
        <f>+'Paste Here'!T665</f>
        <v>0</v>
      </c>
      <c r="I665">
        <f>+'Paste Here'!U665</f>
        <v>0</v>
      </c>
      <c r="J665">
        <f>+'Paste Here'!V665</f>
        <v>0</v>
      </c>
      <c r="K665">
        <f>+'Paste Here'!W665</f>
        <v>0</v>
      </c>
    </row>
    <row r="666" spans="1:11">
      <c r="A666" t="str">
        <f t="shared" si="10"/>
        <v>00</v>
      </c>
      <c r="B666">
        <f>+'Paste Here'!N666</f>
        <v>0</v>
      </c>
      <c r="C666">
        <f>+'Paste Here'!O666</f>
        <v>0</v>
      </c>
      <c r="D666">
        <f>+'Paste Here'!P666</f>
        <v>0</v>
      </c>
      <c r="E666">
        <f>+'Paste Here'!Q666</f>
        <v>0</v>
      </c>
      <c r="F666">
        <f>+'Paste Here'!R666</f>
        <v>0</v>
      </c>
      <c r="G666">
        <f>+'Paste Here'!S666</f>
        <v>0</v>
      </c>
      <c r="H666">
        <f>+'Paste Here'!T666</f>
        <v>0</v>
      </c>
      <c r="I666">
        <f>+'Paste Here'!U666</f>
        <v>0</v>
      </c>
      <c r="J666">
        <f>+'Paste Here'!V666</f>
        <v>0</v>
      </c>
      <c r="K666">
        <f>+'Paste Here'!W666</f>
        <v>0</v>
      </c>
    </row>
    <row r="667" spans="1:11">
      <c r="A667" t="str">
        <f t="shared" si="10"/>
        <v>00</v>
      </c>
      <c r="B667">
        <f>+'Paste Here'!N667</f>
        <v>0</v>
      </c>
      <c r="C667">
        <f>+'Paste Here'!O667</f>
        <v>0</v>
      </c>
      <c r="D667">
        <f>+'Paste Here'!P667</f>
        <v>0</v>
      </c>
      <c r="E667">
        <f>+'Paste Here'!Q667</f>
        <v>0</v>
      </c>
      <c r="F667">
        <f>+'Paste Here'!R667</f>
        <v>0</v>
      </c>
      <c r="G667">
        <f>+'Paste Here'!S667</f>
        <v>0</v>
      </c>
      <c r="H667">
        <f>+'Paste Here'!T667</f>
        <v>0</v>
      </c>
      <c r="I667">
        <f>+'Paste Here'!U667</f>
        <v>0</v>
      </c>
      <c r="J667">
        <f>+'Paste Here'!V667</f>
        <v>0</v>
      </c>
      <c r="K667">
        <f>+'Paste Here'!W667</f>
        <v>0</v>
      </c>
    </row>
    <row r="668" spans="1:11">
      <c r="A668" t="str">
        <f t="shared" si="10"/>
        <v>00</v>
      </c>
      <c r="B668">
        <f>+'Paste Here'!N668</f>
        <v>0</v>
      </c>
      <c r="C668">
        <f>+'Paste Here'!O668</f>
        <v>0</v>
      </c>
      <c r="D668">
        <f>+'Paste Here'!P668</f>
        <v>0</v>
      </c>
      <c r="E668">
        <f>+'Paste Here'!Q668</f>
        <v>0</v>
      </c>
      <c r="F668">
        <f>+'Paste Here'!R668</f>
        <v>0</v>
      </c>
      <c r="G668">
        <f>+'Paste Here'!S668</f>
        <v>0</v>
      </c>
      <c r="H668">
        <f>+'Paste Here'!T668</f>
        <v>0</v>
      </c>
      <c r="I668">
        <f>+'Paste Here'!U668</f>
        <v>0</v>
      </c>
      <c r="J668">
        <f>+'Paste Here'!V668</f>
        <v>0</v>
      </c>
      <c r="K668">
        <f>+'Paste Here'!W668</f>
        <v>0</v>
      </c>
    </row>
    <row r="669" spans="1:11">
      <c r="A669" t="str">
        <f t="shared" si="10"/>
        <v>00</v>
      </c>
      <c r="B669">
        <f>+'Paste Here'!N669</f>
        <v>0</v>
      </c>
      <c r="C669">
        <f>+'Paste Here'!O669</f>
        <v>0</v>
      </c>
      <c r="D669">
        <f>+'Paste Here'!P669</f>
        <v>0</v>
      </c>
      <c r="E669">
        <f>+'Paste Here'!Q669</f>
        <v>0</v>
      </c>
      <c r="F669">
        <f>+'Paste Here'!R669</f>
        <v>0</v>
      </c>
      <c r="G669">
        <f>+'Paste Here'!S669</f>
        <v>0</v>
      </c>
      <c r="H669">
        <f>+'Paste Here'!T669</f>
        <v>0</v>
      </c>
      <c r="I669">
        <f>+'Paste Here'!U669</f>
        <v>0</v>
      </c>
      <c r="J669">
        <f>+'Paste Here'!V669</f>
        <v>0</v>
      </c>
      <c r="K669">
        <f>+'Paste Here'!W669</f>
        <v>0</v>
      </c>
    </row>
    <row r="670" spans="1:11">
      <c r="A670" t="str">
        <f t="shared" si="10"/>
        <v>00</v>
      </c>
      <c r="B670">
        <f>+'Paste Here'!N670</f>
        <v>0</v>
      </c>
      <c r="C670">
        <f>+'Paste Here'!O670</f>
        <v>0</v>
      </c>
      <c r="D670">
        <f>+'Paste Here'!P670</f>
        <v>0</v>
      </c>
      <c r="E670">
        <f>+'Paste Here'!Q670</f>
        <v>0</v>
      </c>
      <c r="F670">
        <f>+'Paste Here'!R670</f>
        <v>0</v>
      </c>
      <c r="G670">
        <f>+'Paste Here'!S670</f>
        <v>0</v>
      </c>
      <c r="H670">
        <f>+'Paste Here'!T670</f>
        <v>0</v>
      </c>
      <c r="I670">
        <f>+'Paste Here'!U670</f>
        <v>0</v>
      </c>
      <c r="J670">
        <f>+'Paste Here'!V670</f>
        <v>0</v>
      </c>
      <c r="K670">
        <f>+'Paste Here'!W670</f>
        <v>0</v>
      </c>
    </row>
    <row r="671" spans="1:11">
      <c r="A671" t="str">
        <f t="shared" si="10"/>
        <v>00</v>
      </c>
      <c r="B671">
        <f>+'Paste Here'!N671</f>
        <v>0</v>
      </c>
      <c r="C671">
        <f>+'Paste Here'!O671</f>
        <v>0</v>
      </c>
      <c r="D671">
        <f>+'Paste Here'!P671</f>
        <v>0</v>
      </c>
      <c r="E671">
        <f>+'Paste Here'!Q671</f>
        <v>0</v>
      </c>
      <c r="F671">
        <f>+'Paste Here'!R671</f>
        <v>0</v>
      </c>
      <c r="G671">
        <f>+'Paste Here'!S671</f>
        <v>0</v>
      </c>
      <c r="H671">
        <f>+'Paste Here'!T671</f>
        <v>0</v>
      </c>
      <c r="I671">
        <f>+'Paste Here'!U671</f>
        <v>0</v>
      </c>
      <c r="J671">
        <f>+'Paste Here'!V671</f>
        <v>0</v>
      </c>
      <c r="K671">
        <f>+'Paste Here'!W671</f>
        <v>0</v>
      </c>
    </row>
    <row r="672" spans="1:11">
      <c r="A672" t="str">
        <f t="shared" si="10"/>
        <v>00</v>
      </c>
      <c r="B672">
        <f>+'Paste Here'!N672</f>
        <v>0</v>
      </c>
      <c r="C672">
        <f>+'Paste Here'!O672</f>
        <v>0</v>
      </c>
      <c r="D672">
        <f>+'Paste Here'!P672</f>
        <v>0</v>
      </c>
      <c r="E672">
        <f>+'Paste Here'!Q672</f>
        <v>0</v>
      </c>
      <c r="F672">
        <f>+'Paste Here'!R672</f>
        <v>0</v>
      </c>
      <c r="G672">
        <f>+'Paste Here'!S672</f>
        <v>0</v>
      </c>
      <c r="H672">
        <f>+'Paste Here'!T672</f>
        <v>0</v>
      </c>
      <c r="I672">
        <f>+'Paste Here'!U672</f>
        <v>0</v>
      </c>
      <c r="J672">
        <f>+'Paste Here'!V672</f>
        <v>0</v>
      </c>
      <c r="K672">
        <f>+'Paste Here'!W672</f>
        <v>0</v>
      </c>
    </row>
    <row r="673" spans="1:11">
      <c r="A673" t="str">
        <f t="shared" si="10"/>
        <v>00</v>
      </c>
      <c r="B673">
        <f>+'Paste Here'!N673</f>
        <v>0</v>
      </c>
      <c r="C673">
        <f>+'Paste Here'!O673</f>
        <v>0</v>
      </c>
      <c r="D673">
        <f>+'Paste Here'!P673</f>
        <v>0</v>
      </c>
      <c r="E673">
        <f>+'Paste Here'!Q673</f>
        <v>0</v>
      </c>
      <c r="F673">
        <f>+'Paste Here'!R673</f>
        <v>0</v>
      </c>
      <c r="G673">
        <f>+'Paste Here'!S673</f>
        <v>0</v>
      </c>
      <c r="H673">
        <f>+'Paste Here'!T673</f>
        <v>0</v>
      </c>
      <c r="I673">
        <f>+'Paste Here'!U673</f>
        <v>0</v>
      </c>
      <c r="J673">
        <f>+'Paste Here'!V673</f>
        <v>0</v>
      </c>
      <c r="K673">
        <f>+'Paste Here'!W673</f>
        <v>0</v>
      </c>
    </row>
    <row r="674" spans="1:11">
      <c r="A674" t="str">
        <f t="shared" si="10"/>
        <v>00</v>
      </c>
      <c r="B674">
        <f>+'Paste Here'!N674</f>
        <v>0</v>
      </c>
      <c r="C674">
        <f>+'Paste Here'!O674</f>
        <v>0</v>
      </c>
      <c r="D674">
        <f>+'Paste Here'!P674</f>
        <v>0</v>
      </c>
      <c r="E674">
        <f>+'Paste Here'!Q674</f>
        <v>0</v>
      </c>
      <c r="F674">
        <f>+'Paste Here'!R674</f>
        <v>0</v>
      </c>
      <c r="G674">
        <f>+'Paste Here'!S674</f>
        <v>0</v>
      </c>
      <c r="H674">
        <f>+'Paste Here'!T674</f>
        <v>0</v>
      </c>
      <c r="I674">
        <f>+'Paste Here'!U674</f>
        <v>0</v>
      </c>
      <c r="J674">
        <f>+'Paste Here'!V674</f>
        <v>0</v>
      </c>
      <c r="K674">
        <f>+'Paste Here'!W674</f>
        <v>0</v>
      </c>
    </row>
    <row r="675" spans="1:11">
      <c r="A675" t="str">
        <f t="shared" si="10"/>
        <v>00</v>
      </c>
      <c r="B675">
        <f>+'Paste Here'!N675</f>
        <v>0</v>
      </c>
      <c r="C675">
        <f>+'Paste Here'!O675</f>
        <v>0</v>
      </c>
      <c r="D675">
        <f>+'Paste Here'!P675</f>
        <v>0</v>
      </c>
      <c r="E675">
        <f>+'Paste Here'!Q675</f>
        <v>0</v>
      </c>
      <c r="F675">
        <f>+'Paste Here'!R675</f>
        <v>0</v>
      </c>
      <c r="G675">
        <f>+'Paste Here'!S675</f>
        <v>0</v>
      </c>
      <c r="H675">
        <f>+'Paste Here'!T675</f>
        <v>0</v>
      </c>
      <c r="I675">
        <f>+'Paste Here'!U675</f>
        <v>0</v>
      </c>
      <c r="J675">
        <f>+'Paste Here'!V675</f>
        <v>0</v>
      </c>
      <c r="K675">
        <f>+'Paste Here'!W675</f>
        <v>0</v>
      </c>
    </row>
    <row r="676" spans="1:11">
      <c r="A676" t="str">
        <f t="shared" si="10"/>
        <v>00</v>
      </c>
      <c r="B676">
        <f>+'Paste Here'!N676</f>
        <v>0</v>
      </c>
      <c r="C676">
        <f>+'Paste Here'!O676</f>
        <v>0</v>
      </c>
      <c r="D676">
        <f>+'Paste Here'!P676</f>
        <v>0</v>
      </c>
      <c r="E676">
        <f>+'Paste Here'!Q676</f>
        <v>0</v>
      </c>
      <c r="F676">
        <f>+'Paste Here'!R676</f>
        <v>0</v>
      </c>
      <c r="G676">
        <f>+'Paste Here'!S676</f>
        <v>0</v>
      </c>
      <c r="H676">
        <f>+'Paste Here'!T676</f>
        <v>0</v>
      </c>
      <c r="I676">
        <f>+'Paste Here'!U676</f>
        <v>0</v>
      </c>
      <c r="J676">
        <f>+'Paste Here'!V676</f>
        <v>0</v>
      </c>
      <c r="K676">
        <f>+'Paste Here'!W676</f>
        <v>0</v>
      </c>
    </row>
    <row r="677" spans="1:11">
      <c r="A677" t="str">
        <f t="shared" si="10"/>
        <v>00</v>
      </c>
      <c r="B677">
        <f>+'Paste Here'!N677</f>
        <v>0</v>
      </c>
      <c r="C677">
        <f>+'Paste Here'!O677</f>
        <v>0</v>
      </c>
      <c r="D677">
        <f>+'Paste Here'!P677</f>
        <v>0</v>
      </c>
      <c r="E677">
        <f>+'Paste Here'!Q677</f>
        <v>0</v>
      </c>
      <c r="F677">
        <f>+'Paste Here'!R677</f>
        <v>0</v>
      </c>
      <c r="G677">
        <f>+'Paste Here'!S677</f>
        <v>0</v>
      </c>
      <c r="H677">
        <f>+'Paste Here'!T677</f>
        <v>0</v>
      </c>
      <c r="I677">
        <f>+'Paste Here'!U677</f>
        <v>0</v>
      </c>
      <c r="J677">
        <f>+'Paste Here'!V677</f>
        <v>0</v>
      </c>
      <c r="K677">
        <f>+'Paste Here'!W677</f>
        <v>0</v>
      </c>
    </row>
    <row r="678" spans="1:11">
      <c r="A678" t="str">
        <f t="shared" si="10"/>
        <v>00</v>
      </c>
      <c r="B678">
        <f>+'Paste Here'!N678</f>
        <v>0</v>
      </c>
      <c r="C678">
        <f>+'Paste Here'!O678</f>
        <v>0</v>
      </c>
      <c r="D678">
        <f>+'Paste Here'!P678</f>
        <v>0</v>
      </c>
      <c r="E678">
        <f>+'Paste Here'!Q678</f>
        <v>0</v>
      </c>
      <c r="F678">
        <f>+'Paste Here'!R678</f>
        <v>0</v>
      </c>
      <c r="G678">
        <f>+'Paste Here'!S678</f>
        <v>0</v>
      </c>
      <c r="H678">
        <f>+'Paste Here'!T678</f>
        <v>0</v>
      </c>
      <c r="I678">
        <f>+'Paste Here'!U678</f>
        <v>0</v>
      </c>
      <c r="J678">
        <f>+'Paste Here'!V678</f>
        <v>0</v>
      </c>
      <c r="K678">
        <f>+'Paste Here'!W678</f>
        <v>0</v>
      </c>
    </row>
    <row r="679" spans="1:11">
      <c r="A679" t="str">
        <f t="shared" si="10"/>
        <v>00</v>
      </c>
      <c r="B679">
        <f>+'Paste Here'!N679</f>
        <v>0</v>
      </c>
      <c r="C679">
        <f>+'Paste Here'!O679</f>
        <v>0</v>
      </c>
      <c r="D679">
        <f>+'Paste Here'!P679</f>
        <v>0</v>
      </c>
      <c r="E679">
        <f>+'Paste Here'!Q679</f>
        <v>0</v>
      </c>
      <c r="F679">
        <f>+'Paste Here'!R679</f>
        <v>0</v>
      </c>
      <c r="G679">
        <f>+'Paste Here'!S679</f>
        <v>0</v>
      </c>
      <c r="H679">
        <f>+'Paste Here'!T679</f>
        <v>0</v>
      </c>
      <c r="I679">
        <f>+'Paste Here'!U679</f>
        <v>0</v>
      </c>
      <c r="J679">
        <f>+'Paste Here'!V679</f>
        <v>0</v>
      </c>
      <c r="K679">
        <f>+'Paste Here'!W679</f>
        <v>0</v>
      </c>
    </row>
    <row r="680" spans="1:11">
      <c r="A680" t="str">
        <f t="shared" si="10"/>
        <v>00</v>
      </c>
      <c r="B680">
        <f>+'Paste Here'!N680</f>
        <v>0</v>
      </c>
      <c r="C680">
        <f>+'Paste Here'!O680</f>
        <v>0</v>
      </c>
      <c r="D680">
        <f>+'Paste Here'!P680</f>
        <v>0</v>
      </c>
      <c r="E680">
        <f>+'Paste Here'!Q680</f>
        <v>0</v>
      </c>
      <c r="F680">
        <f>+'Paste Here'!R680</f>
        <v>0</v>
      </c>
      <c r="G680">
        <f>+'Paste Here'!S680</f>
        <v>0</v>
      </c>
      <c r="H680">
        <f>+'Paste Here'!T680</f>
        <v>0</v>
      </c>
      <c r="I680">
        <f>+'Paste Here'!U680</f>
        <v>0</v>
      </c>
      <c r="J680">
        <f>+'Paste Here'!V680</f>
        <v>0</v>
      </c>
      <c r="K680">
        <f>+'Paste Here'!W680</f>
        <v>0</v>
      </c>
    </row>
    <row r="681" spans="1:11">
      <c r="A681" t="str">
        <f t="shared" si="10"/>
        <v>00</v>
      </c>
      <c r="B681">
        <f>+'Paste Here'!N681</f>
        <v>0</v>
      </c>
      <c r="C681">
        <f>+'Paste Here'!O681</f>
        <v>0</v>
      </c>
      <c r="D681">
        <f>+'Paste Here'!P681</f>
        <v>0</v>
      </c>
      <c r="E681">
        <f>+'Paste Here'!Q681</f>
        <v>0</v>
      </c>
      <c r="F681">
        <f>+'Paste Here'!R681</f>
        <v>0</v>
      </c>
      <c r="G681">
        <f>+'Paste Here'!S681</f>
        <v>0</v>
      </c>
      <c r="H681">
        <f>+'Paste Here'!T681</f>
        <v>0</v>
      </c>
      <c r="I681">
        <f>+'Paste Here'!U681</f>
        <v>0</v>
      </c>
      <c r="J681">
        <f>+'Paste Here'!V681</f>
        <v>0</v>
      </c>
      <c r="K681">
        <f>+'Paste Here'!W681</f>
        <v>0</v>
      </c>
    </row>
    <row r="682" spans="1:11">
      <c r="A682" t="str">
        <f t="shared" si="10"/>
        <v>00</v>
      </c>
      <c r="B682">
        <f>+'Paste Here'!N682</f>
        <v>0</v>
      </c>
      <c r="C682">
        <f>+'Paste Here'!O682</f>
        <v>0</v>
      </c>
      <c r="D682">
        <f>+'Paste Here'!P682</f>
        <v>0</v>
      </c>
      <c r="E682">
        <f>+'Paste Here'!Q682</f>
        <v>0</v>
      </c>
      <c r="F682">
        <f>+'Paste Here'!R682</f>
        <v>0</v>
      </c>
      <c r="G682">
        <f>+'Paste Here'!S682</f>
        <v>0</v>
      </c>
      <c r="H682">
        <f>+'Paste Here'!T682</f>
        <v>0</v>
      </c>
      <c r="I682">
        <f>+'Paste Here'!U682</f>
        <v>0</v>
      </c>
      <c r="J682">
        <f>+'Paste Here'!V682</f>
        <v>0</v>
      </c>
      <c r="K682">
        <f>+'Paste Here'!W682</f>
        <v>0</v>
      </c>
    </row>
    <row r="683" spans="1:11">
      <c r="A683" t="str">
        <f t="shared" si="10"/>
        <v>00</v>
      </c>
      <c r="B683">
        <f>+'Paste Here'!N683</f>
        <v>0</v>
      </c>
      <c r="C683">
        <f>+'Paste Here'!O683</f>
        <v>0</v>
      </c>
      <c r="D683">
        <f>+'Paste Here'!P683</f>
        <v>0</v>
      </c>
      <c r="E683">
        <f>+'Paste Here'!Q683</f>
        <v>0</v>
      </c>
      <c r="F683">
        <f>+'Paste Here'!R683</f>
        <v>0</v>
      </c>
      <c r="G683">
        <f>+'Paste Here'!S683</f>
        <v>0</v>
      </c>
      <c r="H683">
        <f>+'Paste Here'!T683</f>
        <v>0</v>
      </c>
      <c r="I683">
        <f>+'Paste Here'!U683</f>
        <v>0</v>
      </c>
      <c r="J683">
        <f>+'Paste Here'!V683</f>
        <v>0</v>
      </c>
      <c r="K683">
        <f>+'Paste Here'!W683</f>
        <v>0</v>
      </c>
    </row>
    <row r="684" spans="1:11">
      <c r="A684" t="str">
        <f t="shared" si="10"/>
        <v>00</v>
      </c>
      <c r="B684">
        <f>+'Paste Here'!N684</f>
        <v>0</v>
      </c>
      <c r="C684">
        <f>+'Paste Here'!O684</f>
        <v>0</v>
      </c>
      <c r="D684">
        <f>+'Paste Here'!P684</f>
        <v>0</v>
      </c>
      <c r="E684">
        <f>+'Paste Here'!Q684</f>
        <v>0</v>
      </c>
      <c r="F684">
        <f>+'Paste Here'!R684</f>
        <v>0</v>
      </c>
      <c r="G684">
        <f>+'Paste Here'!S684</f>
        <v>0</v>
      </c>
      <c r="H684">
        <f>+'Paste Here'!T684</f>
        <v>0</v>
      </c>
      <c r="I684">
        <f>+'Paste Here'!U684</f>
        <v>0</v>
      </c>
      <c r="J684">
        <f>+'Paste Here'!V684</f>
        <v>0</v>
      </c>
      <c r="K684">
        <f>+'Paste Here'!W684</f>
        <v>0</v>
      </c>
    </row>
    <row r="685" spans="1:11">
      <c r="A685" t="str">
        <f t="shared" si="10"/>
        <v>00</v>
      </c>
      <c r="B685">
        <f>+'Paste Here'!N685</f>
        <v>0</v>
      </c>
      <c r="C685">
        <f>+'Paste Here'!O685</f>
        <v>0</v>
      </c>
      <c r="D685">
        <f>+'Paste Here'!P685</f>
        <v>0</v>
      </c>
      <c r="E685">
        <f>+'Paste Here'!Q685</f>
        <v>0</v>
      </c>
      <c r="F685">
        <f>+'Paste Here'!R685</f>
        <v>0</v>
      </c>
      <c r="G685">
        <f>+'Paste Here'!S685</f>
        <v>0</v>
      </c>
      <c r="H685">
        <f>+'Paste Here'!T685</f>
        <v>0</v>
      </c>
      <c r="I685">
        <f>+'Paste Here'!U685</f>
        <v>0</v>
      </c>
      <c r="J685">
        <f>+'Paste Here'!V685</f>
        <v>0</v>
      </c>
      <c r="K685">
        <f>+'Paste Here'!W685</f>
        <v>0</v>
      </c>
    </row>
    <row r="686" spans="1:11">
      <c r="A686" t="str">
        <f t="shared" si="10"/>
        <v>00</v>
      </c>
      <c r="B686">
        <f>+'Paste Here'!N686</f>
        <v>0</v>
      </c>
      <c r="C686">
        <f>+'Paste Here'!O686</f>
        <v>0</v>
      </c>
      <c r="D686">
        <f>+'Paste Here'!P686</f>
        <v>0</v>
      </c>
      <c r="E686">
        <f>+'Paste Here'!Q686</f>
        <v>0</v>
      </c>
      <c r="F686">
        <f>+'Paste Here'!R686</f>
        <v>0</v>
      </c>
      <c r="G686">
        <f>+'Paste Here'!S686</f>
        <v>0</v>
      </c>
      <c r="H686">
        <f>+'Paste Here'!T686</f>
        <v>0</v>
      </c>
      <c r="I686">
        <f>+'Paste Here'!U686</f>
        <v>0</v>
      </c>
      <c r="J686">
        <f>+'Paste Here'!V686</f>
        <v>0</v>
      </c>
      <c r="K686">
        <f>+'Paste Here'!W686</f>
        <v>0</v>
      </c>
    </row>
    <row r="687" spans="1:11">
      <c r="A687" t="str">
        <f t="shared" si="10"/>
        <v>00</v>
      </c>
      <c r="B687">
        <f>+'Paste Here'!N687</f>
        <v>0</v>
      </c>
      <c r="C687">
        <f>+'Paste Here'!O687</f>
        <v>0</v>
      </c>
      <c r="D687">
        <f>+'Paste Here'!P687</f>
        <v>0</v>
      </c>
      <c r="E687">
        <f>+'Paste Here'!Q687</f>
        <v>0</v>
      </c>
      <c r="F687">
        <f>+'Paste Here'!R687</f>
        <v>0</v>
      </c>
      <c r="G687">
        <f>+'Paste Here'!S687</f>
        <v>0</v>
      </c>
      <c r="H687">
        <f>+'Paste Here'!T687</f>
        <v>0</v>
      </c>
      <c r="I687">
        <f>+'Paste Here'!U687</f>
        <v>0</v>
      </c>
      <c r="J687">
        <f>+'Paste Here'!V687</f>
        <v>0</v>
      </c>
      <c r="K687">
        <f>+'Paste Here'!W687</f>
        <v>0</v>
      </c>
    </row>
    <row r="688" spans="1:11">
      <c r="A688" t="str">
        <f t="shared" si="10"/>
        <v>00</v>
      </c>
      <c r="B688">
        <f>+'Paste Here'!N688</f>
        <v>0</v>
      </c>
      <c r="C688">
        <f>+'Paste Here'!O688</f>
        <v>0</v>
      </c>
      <c r="D688">
        <f>+'Paste Here'!P688</f>
        <v>0</v>
      </c>
      <c r="E688">
        <f>+'Paste Here'!Q688</f>
        <v>0</v>
      </c>
      <c r="F688">
        <f>+'Paste Here'!R688</f>
        <v>0</v>
      </c>
      <c r="G688">
        <f>+'Paste Here'!S688</f>
        <v>0</v>
      </c>
      <c r="H688">
        <f>+'Paste Here'!T688</f>
        <v>0</v>
      </c>
      <c r="I688">
        <f>+'Paste Here'!U688</f>
        <v>0</v>
      </c>
      <c r="J688">
        <f>+'Paste Here'!V688</f>
        <v>0</v>
      </c>
      <c r="K688">
        <f>+'Paste Here'!W688</f>
        <v>0</v>
      </c>
    </row>
    <row r="689" spans="1:11">
      <c r="A689" t="str">
        <f t="shared" si="10"/>
        <v>00</v>
      </c>
      <c r="B689">
        <f>+'Paste Here'!N689</f>
        <v>0</v>
      </c>
      <c r="C689">
        <f>+'Paste Here'!O689</f>
        <v>0</v>
      </c>
      <c r="D689">
        <f>+'Paste Here'!P689</f>
        <v>0</v>
      </c>
      <c r="E689">
        <f>+'Paste Here'!Q689</f>
        <v>0</v>
      </c>
      <c r="F689">
        <f>+'Paste Here'!R689</f>
        <v>0</v>
      </c>
      <c r="G689">
        <f>+'Paste Here'!S689</f>
        <v>0</v>
      </c>
      <c r="H689">
        <f>+'Paste Here'!T689</f>
        <v>0</v>
      </c>
      <c r="I689">
        <f>+'Paste Here'!U689</f>
        <v>0</v>
      </c>
      <c r="J689">
        <f>+'Paste Here'!V689</f>
        <v>0</v>
      </c>
      <c r="K689">
        <f>+'Paste Here'!W689</f>
        <v>0</v>
      </c>
    </row>
    <row r="690" spans="1:11">
      <c r="A690" t="str">
        <f t="shared" si="10"/>
        <v>00</v>
      </c>
      <c r="B690">
        <f>+'Paste Here'!N690</f>
        <v>0</v>
      </c>
      <c r="C690">
        <f>+'Paste Here'!O690</f>
        <v>0</v>
      </c>
      <c r="D690">
        <f>+'Paste Here'!P690</f>
        <v>0</v>
      </c>
      <c r="E690">
        <f>+'Paste Here'!Q690</f>
        <v>0</v>
      </c>
      <c r="F690">
        <f>+'Paste Here'!R690</f>
        <v>0</v>
      </c>
      <c r="G690">
        <f>+'Paste Here'!S690</f>
        <v>0</v>
      </c>
      <c r="H690">
        <f>+'Paste Here'!T690</f>
        <v>0</v>
      </c>
      <c r="I690">
        <f>+'Paste Here'!U690</f>
        <v>0</v>
      </c>
      <c r="J690">
        <f>+'Paste Here'!V690</f>
        <v>0</v>
      </c>
      <c r="K690">
        <f>+'Paste Here'!W690</f>
        <v>0</v>
      </c>
    </row>
    <row r="691" spans="1:11">
      <c r="A691" t="str">
        <f t="shared" si="10"/>
        <v>00</v>
      </c>
      <c r="B691">
        <f>+'Paste Here'!N691</f>
        <v>0</v>
      </c>
      <c r="C691">
        <f>+'Paste Here'!O691</f>
        <v>0</v>
      </c>
      <c r="D691">
        <f>+'Paste Here'!P691</f>
        <v>0</v>
      </c>
      <c r="E691">
        <f>+'Paste Here'!Q691</f>
        <v>0</v>
      </c>
      <c r="F691">
        <f>+'Paste Here'!R691</f>
        <v>0</v>
      </c>
      <c r="G691">
        <f>+'Paste Here'!S691</f>
        <v>0</v>
      </c>
      <c r="H691">
        <f>+'Paste Here'!T691</f>
        <v>0</v>
      </c>
      <c r="I691">
        <f>+'Paste Here'!U691</f>
        <v>0</v>
      </c>
      <c r="J691">
        <f>+'Paste Here'!V691</f>
        <v>0</v>
      </c>
      <c r="K691">
        <f>+'Paste Here'!W691</f>
        <v>0</v>
      </c>
    </row>
    <row r="692" spans="1:11">
      <c r="A692" t="str">
        <f t="shared" si="10"/>
        <v>00</v>
      </c>
      <c r="B692">
        <f>+'Paste Here'!N692</f>
        <v>0</v>
      </c>
      <c r="C692">
        <f>+'Paste Here'!O692</f>
        <v>0</v>
      </c>
      <c r="D692">
        <f>+'Paste Here'!P692</f>
        <v>0</v>
      </c>
      <c r="E692">
        <f>+'Paste Here'!Q692</f>
        <v>0</v>
      </c>
      <c r="F692">
        <f>+'Paste Here'!R692</f>
        <v>0</v>
      </c>
      <c r="G692">
        <f>+'Paste Here'!S692</f>
        <v>0</v>
      </c>
      <c r="H692">
        <f>+'Paste Here'!T692</f>
        <v>0</v>
      </c>
      <c r="I692">
        <f>+'Paste Here'!U692</f>
        <v>0</v>
      </c>
      <c r="J692">
        <f>+'Paste Here'!V692</f>
        <v>0</v>
      </c>
      <c r="K692">
        <f>+'Paste Here'!W692</f>
        <v>0</v>
      </c>
    </row>
    <row r="693" spans="1:11">
      <c r="A693" t="str">
        <f t="shared" si="10"/>
        <v>00</v>
      </c>
      <c r="B693">
        <f>+'Paste Here'!N693</f>
        <v>0</v>
      </c>
      <c r="C693">
        <f>+'Paste Here'!O693</f>
        <v>0</v>
      </c>
      <c r="D693">
        <f>+'Paste Here'!P693</f>
        <v>0</v>
      </c>
      <c r="E693">
        <f>+'Paste Here'!Q693</f>
        <v>0</v>
      </c>
      <c r="F693">
        <f>+'Paste Here'!R693</f>
        <v>0</v>
      </c>
      <c r="G693">
        <f>+'Paste Here'!S693</f>
        <v>0</v>
      </c>
      <c r="H693">
        <f>+'Paste Here'!T693</f>
        <v>0</v>
      </c>
      <c r="I693">
        <f>+'Paste Here'!U693</f>
        <v>0</v>
      </c>
      <c r="J693">
        <f>+'Paste Here'!V693</f>
        <v>0</v>
      </c>
      <c r="K693">
        <f>+'Paste Here'!W693</f>
        <v>0</v>
      </c>
    </row>
    <row r="694" spans="1:11">
      <c r="A694" t="str">
        <f t="shared" si="10"/>
        <v>00</v>
      </c>
      <c r="B694">
        <f>+'Paste Here'!N694</f>
        <v>0</v>
      </c>
      <c r="C694">
        <f>+'Paste Here'!O694</f>
        <v>0</v>
      </c>
      <c r="D694">
        <f>+'Paste Here'!P694</f>
        <v>0</v>
      </c>
      <c r="E694">
        <f>+'Paste Here'!Q694</f>
        <v>0</v>
      </c>
      <c r="F694">
        <f>+'Paste Here'!R694</f>
        <v>0</v>
      </c>
      <c r="G694">
        <f>+'Paste Here'!S694</f>
        <v>0</v>
      </c>
      <c r="H694">
        <f>+'Paste Here'!T694</f>
        <v>0</v>
      </c>
      <c r="I694">
        <f>+'Paste Here'!U694</f>
        <v>0</v>
      </c>
      <c r="J694">
        <f>+'Paste Here'!V694</f>
        <v>0</v>
      </c>
      <c r="K694">
        <f>+'Paste Here'!W694</f>
        <v>0</v>
      </c>
    </row>
    <row r="695" spans="1:11">
      <c r="A695" t="str">
        <f t="shared" si="10"/>
        <v>00</v>
      </c>
      <c r="B695">
        <f>+'Paste Here'!N695</f>
        <v>0</v>
      </c>
      <c r="C695">
        <f>+'Paste Here'!O695</f>
        <v>0</v>
      </c>
      <c r="D695">
        <f>+'Paste Here'!P695</f>
        <v>0</v>
      </c>
      <c r="E695">
        <f>+'Paste Here'!Q695</f>
        <v>0</v>
      </c>
      <c r="F695">
        <f>+'Paste Here'!R695</f>
        <v>0</v>
      </c>
      <c r="G695">
        <f>+'Paste Here'!S695</f>
        <v>0</v>
      </c>
      <c r="H695">
        <f>+'Paste Here'!T695</f>
        <v>0</v>
      </c>
      <c r="I695">
        <f>+'Paste Here'!U695</f>
        <v>0</v>
      </c>
      <c r="J695">
        <f>+'Paste Here'!V695</f>
        <v>0</v>
      </c>
      <c r="K695">
        <f>+'Paste Here'!W695</f>
        <v>0</v>
      </c>
    </row>
    <row r="696" spans="1:11">
      <c r="A696" t="str">
        <f t="shared" si="10"/>
        <v>00</v>
      </c>
      <c r="B696">
        <f>+'Paste Here'!N696</f>
        <v>0</v>
      </c>
      <c r="C696">
        <f>+'Paste Here'!O696</f>
        <v>0</v>
      </c>
      <c r="D696">
        <f>+'Paste Here'!P696</f>
        <v>0</v>
      </c>
      <c r="E696">
        <f>+'Paste Here'!Q696</f>
        <v>0</v>
      </c>
      <c r="F696">
        <f>+'Paste Here'!R696</f>
        <v>0</v>
      </c>
      <c r="G696">
        <f>+'Paste Here'!S696</f>
        <v>0</v>
      </c>
      <c r="H696">
        <f>+'Paste Here'!T696</f>
        <v>0</v>
      </c>
      <c r="I696">
        <f>+'Paste Here'!U696</f>
        <v>0</v>
      </c>
      <c r="J696">
        <f>+'Paste Here'!V696</f>
        <v>0</v>
      </c>
      <c r="K696">
        <f>+'Paste Here'!W696</f>
        <v>0</v>
      </c>
    </row>
    <row r="697" spans="1:11">
      <c r="A697" t="str">
        <f t="shared" si="10"/>
        <v>00</v>
      </c>
      <c r="B697">
        <f>+'Paste Here'!N697</f>
        <v>0</v>
      </c>
      <c r="C697">
        <f>+'Paste Here'!O697</f>
        <v>0</v>
      </c>
      <c r="D697">
        <f>+'Paste Here'!P697</f>
        <v>0</v>
      </c>
      <c r="E697">
        <f>+'Paste Here'!Q697</f>
        <v>0</v>
      </c>
      <c r="F697">
        <f>+'Paste Here'!R697</f>
        <v>0</v>
      </c>
      <c r="G697">
        <f>+'Paste Here'!S697</f>
        <v>0</v>
      </c>
      <c r="H697">
        <f>+'Paste Here'!T697</f>
        <v>0</v>
      </c>
      <c r="I697">
        <f>+'Paste Here'!U697</f>
        <v>0</v>
      </c>
      <c r="J697">
        <f>+'Paste Here'!V697</f>
        <v>0</v>
      </c>
      <c r="K697">
        <f>+'Paste Here'!W697</f>
        <v>0</v>
      </c>
    </row>
    <row r="698" spans="1:11">
      <c r="A698" t="str">
        <f t="shared" si="10"/>
        <v>00</v>
      </c>
      <c r="B698">
        <f>+'Paste Here'!N698</f>
        <v>0</v>
      </c>
      <c r="C698">
        <f>+'Paste Here'!O698</f>
        <v>0</v>
      </c>
      <c r="D698">
        <f>+'Paste Here'!P698</f>
        <v>0</v>
      </c>
      <c r="E698">
        <f>+'Paste Here'!Q698</f>
        <v>0</v>
      </c>
      <c r="F698">
        <f>+'Paste Here'!R698</f>
        <v>0</v>
      </c>
      <c r="G698">
        <f>+'Paste Here'!S698</f>
        <v>0</v>
      </c>
      <c r="H698">
        <f>+'Paste Here'!T698</f>
        <v>0</v>
      </c>
      <c r="I698">
        <f>+'Paste Here'!U698</f>
        <v>0</v>
      </c>
      <c r="J698">
        <f>+'Paste Here'!V698</f>
        <v>0</v>
      </c>
      <c r="K698">
        <f>+'Paste Here'!W698</f>
        <v>0</v>
      </c>
    </row>
    <row r="699" spans="1:11">
      <c r="A699" t="str">
        <f t="shared" si="10"/>
        <v>00</v>
      </c>
      <c r="B699">
        <f>+'Paste Here'!N699</f>
        <v>0</v>
      </c>
      <c r="C699">
        <f>+'Paste Here'!O699</f>
        <v>0</v>
      </c>
      <c r="D699">
        <f>+'Paste Here'!P699</f>
        <v>0</v>
      </c>
      <c r="E699">
        <f>+'Paste Here'!Q699</f>
        <v>0</v>
      </c>
      <c r="F699">
        <f>+'Paste Here'!R699</f>
        <v>0</v>
      </c>
      <c r="G699">
        <f>+'Paste Here'!S699</f>
        <v>0</v>
      </c>
      <c r="H699">
        <f>+'Paste Here'!T699</f>
        <v>0</v>
      </c>
      <c r="I699">
        <f>+'Paste Here'!U699</f>
        <v>0</v>
      </c>
      <c r="J699">
        <f>+'Paste Here'!V699</f>
        <v>0</v>
      </c>
      <c r="K699">
        <f>+'Paste Here'!W699</f>
        <v>0</v>
      </c>
    </row>
    <row r="700" spans="1:11">
      <c r="A700" t="str">
        <f t="shared" si="10"/>
        <v>00</v>
      </c>
      <c r="B700">
        <f>+'Paste Here'!N700</f>
        <v>0</v>
      </c>
      <c r="C700">
        <f>+'Paste Here'!O700</f>
        <v>0</v>
      </c>
      <c r="D700">
        <f>+'Paste Here'!P700</f>
        <v>0</v>
      </c>
      <c r="E700">
        <f>+'Paste Here'!Q700</f>
        <v>0</v>
      </c>
      <c r="F700">
        <f>+'Paste Here'!R700</f>
        <v>0</v>
      </c>
      <c r="G700">
        <f>+'Paste Here'!S700</f>
        <v>0</v>
      </c>
      <c r="H700">
        <f>+'Paste Here'!T700</f>
        <v>0</v>
      </c>
      <c r="I700">
        <f>+'Paste Here'!U700</f>
        <v>0</v>
      </c>
      <c r="J700">
        <f>+'Paste Here'!V700</f>
        <v>0</v>
      </c>
      <c r="K700">
        <f>+'Paste Here'!W700</f>
        <v>0</v>
      </c>
    </row>
    <row r="701" spans="1:11">
      <c r="A701" t="str">
        <f t="shared" si="10"/>
        <v>00</v>
      </c>
      <c r="B701">
        <f>+'Paste Here'!N701</f>
        <v>0</v>
      </c>
      <c r="C701">
        <f>+'Paste Here'!O701</f>
        <v>0</v>
      </c>
      <c r="D701">
        <f>+'Paste Here'!P701</f>
        <v>0</v>
      </c>
      <c r="E701">
        <f>+'Paste Here'!Q701</f>
        <v>0</v>
      </c>
      <c r="F701">
        <f>+'Paste Here'!R701</f>
        <v>0</v>
      </c>
      <c r="G701">
        <f>+'Paste Here'!S701</f>
        <v>0</v>
      </c>
      <c r="H701">
        <f>+'Paste Here'!T701</f>
        <v>0</v>
      </c>
      <c r="I701">
        <f>+'Paste Here'!U701</f>
        <v>0</v>
      </c>
      <c r="J701">
        <f>+'Paste Here'!V701</f>
        <v>0</v>
      </c>
      <c r="K701">
        <f>+'Paste Here'!W701</f>
        <v>0</v>
      </c>
    </row>
    <row r="702" spans="1:11">
      <c r="A702" t="str">
        <f t="shared" si="10"/>
        <v>00</v>
      </c>
      <c r="B702">
        <f>+'Paste Here'!N702</f>
        <v>0</v>
      </c>
      <c r="C702">
        <f>+'Paste Here'!O702</f>
        <v>0</v>
      </c>
      <c r="D702">
        <f>+'Paste Here'!P702</f>
        <v>0</v>
      </c>
      <c r="E702">
        <f>+'Paste Here'!Q702</f>
        <v>0</v>
      </c>
      <c r="F702">
        <f>+'Paste Here'!R702</f>
        <v>0</v>
      </c>
      <c r="G702">
        <f>+'Paste Here'!S702</f>
        <v>0</v>
      </c>
      <c r="H702">
        <f>+'Paste Here'!T702</f>
        <v>0</v>
      </c>
      <c r="I702">
        <f>+'Paste Here'!U702</f>
        <v>0</v>
      </c>
      <c r="J702">
        <f>+'Paste Here'!V702</f>
        <v>0</v>
      </c>
      <c r="K702">
        <f>+'Paste Here'!W702</f>
        <v>0</v>
      </c>
    </row>
    <row r="703" spans="1:11">
      <c r="A703" t="str">
        <f t="shared" si="10"/>
        <v>00</v>
      </c>
      <c r="B703">
        <f>+'Paste Here'!N703</f>
        <v>0</v>
      </c>
      <c r="C703">
        <f>+'Paste Here'!O703</f>
        <v>0</v>
      </c>
      <c r="D703">
        <f>+'Paste Here'!P703</f>
        <v>0</v>
      </c>
      <c r="E703">
        <f>+'Paste Here'!Q703</f>
        <v>0</v>
      </c>
      <c r="F703">
        <f>+'Paste Here'!R703</f>
        <v>0</v>
      </c>
      <c r="G703">
        <f>+'Paste Here'!S703</f>
        <v>0</v>
      </c>
      <c r="H703">
        <f>+'Paste Here'!T703</f>
        <v>0</v>
      </c>
      <c r="I703">
        <f>+'Paste Here'!U703</f>
        <v>0</v>
      </c>
      <c r="J703">
        <f>+'Paste Here'!V703</f>
        <v>0</v>
      </c>
      <c r="K703">
        <f>+'Paste Here'!W703</f>
        <v>0</v>
      </c>
    </row>
    <row r="704" spans="1:11">
      <c r="A704" t="str">
        <f t="shared" si="10"/>
        <v>00</v>
      </c>
      <c r="B704">
        <f>+'Paste Here'!N704</f>
        <v>0</v>
      </c>
      <c r="C704">
        <f>+'Paste Here'!O704</f>
        <v>0</v>
      </c>
      <c r="D704">
        <f>+'Paste Here'!P704</f>
        <v>0</v>
      </c>
      <c r="E704">
        <f>+'Paste Here'!Q704</f>
        <v>0</v>
      </c>
      <c r="F704">
        <f>+'Paste Here'!R704</f>
        <v>0</v>
      </c>
      <c r="G704">
        <f>+'Paste Here'!S704</f>
        <v>0</v>
      </c>
      <c r="H704">
        <f>+'Paste Here'!T704</f>
        <v>0</v>
      </c>
      <c r="I704">
        <f>+'Paste Here'!U704</f>
        <v>0</v>
      </c>
      <c r="J704">
        <f>+'Paste Here'!V704</f>
        <v>0</v>
      </c>
      <c r="K704">
        <f>+'Paste Here'!W704</f>
        <v>0</v>
      </c>
    </row>
    <row r="705" spans="1:11">
      <c r="A705" t="str">
        <f t="shared" si="10"/>
        <v>00</v>
      </c>
      <c r="B705">
        <f>+'Paste Here'!N705</f>
        <v>0</v>
      </c>
      <c r="C705">
        <f>+'Paste Here'!O705</f>
        <v>0</v>
      </c>
      <c r="D705">
        <f>+'Paste Here'!P705</f>
        <v>0</v>
      </c>
      <c r="E705">
        <f>+'Paste Here'!Q705</f>
        <v>0</v>
      </c>
      <c r="F705">
        <f>+'Paste Here'!R705</f>
        <v>0</v>
      </c>
      <c r="G705">
        <f>+'Paste Here'!S705</f>
        <v>0</v>
      </c>
      <c r="H705">
        <f>+'Paste Here'!T705</f>
        <v>0</v>
      </c>
      <c r="I705">
        <f>+'Paste Here'!U705</f>
        <v>0</v>
      </c>
      <c r="J705">
        <f>+'Paste Here'!V705</f>
        <v>0</v>
      </c>
      <c r="K705">
        <f>+'Paste Here'!W705</f>
        <v>0</v>
      </c>
    </row>
    <row r="706" spans="1:11">
      <c r="A706" t="str">
        <f t="shared" si="10"/>
        <v>00</v>
      </c>
      <c r="B706">
        <f>+'Paste Here'!N706</f>
        <v>0</v>
      </c>
      <c r="C706">
        <f>+'Paste Here'!O706</f>
        <v>0</v>
      </c>
      <c r="D706">
        <f>+'Paste Here'!P706</f>
        <v>0</v>
      </c>
      <c r="E706">
        <f>+'Paste Here'!Q706</f>
        <v>0</v>
      </c>
      <c r="F706">
        <f>+'Paste Here'!R706</f>
        <v>0</v>
      </c>
      <c r="G706">
        <f>+'Paste Here'!S706</f>
        <v>0</v>
      </c>
      <c r="H706">
        <f>+'Paste Here'!T706</f>
        <v>0</v>
      </c>
      <c r="I706">
        <f>+'Paste Here'!U706</f>
        <v>0</v>
      </c>
      <c r="J706">
        <f>+'Paste Here'!V706</f>
        <v>0</v>
      </c>
      <c r="K706">
        <f>+'Paste Here'!W706</f>
        <v>0</v>
      </c>
    </row>
    <row r="707" spans="1:11">
      <c r="A707" t="str">
        <f t="shared" ref="A707:A770" si="11">+CONCATENATE(C707,D707)</f>
        <v>00</v>
      </c>
      <c r="B707">
        <f>+'Paste Here'!N707</f>
        <v>0</v>
      </c>
      <c r="C707">
        <f>+'Paste Here'!O707</f>
        <v>0</v>
      </c>
      <c r="D707">
        <f>+'Paste Here'!P707</f>
        <v>0</v>
      </c>
      <c r="E707">
        <f>+'Paste Here'!Q707</f>
        <v>0</v>
      </c>
      <c r="F707">
        <f>+'Paste Here'!R707</f>
        <v>0</v>
      </c>
      <c r="G707">
        <f>+'Paste Here'!S707</f>
        <v>0</v>
      </c>
      <c r="H707">
        <f>+'Paste Here'!T707</f>
        <v>0</v>
      </c>
      <c r="I707">
        <f>+'Paste Here'!U707</f>
        <v>0</v>
      </c>
      <c r="J707">
        <f>+'Paste Here'!V707</f>
        <v>0</v>
      </c>
      <c r="K707">
        <f>+'Paste Here'!W707</f>
        <v>0</v>
      </c>
    </row>
    <row r="708" spans="1:11">
      <c r="A708" t="str">
        <f t="shared" si="11"/>
        <v>00</v>
      </c>
      <c r="B708">
        <f>+'Paste Here'!N708</f>
        <v>0</v>
      </c>
      <c r="C708">
        <f>+'Paste Here'!O708</f>
        <v>0</v>
      </c>
      <c r="D708">
        <f>+'Paste Here'!P708</f>
        <v>0</v>
      </c>
      <c r="E708">
        <f>+'Paste Here'!Q708</f>
        <v>0</v>
      </c>
      <c r="F708">
        <f>+'Paste Here'!R708</f>
        <v>0</v>
      </c>
      <c r="G708">
        <f>+'Paste Here'!S708</f>
        <v>0</v>
      </c>
      <c r="H708">
        <f>+'Paste Here'!T708</f>
        <v>0</v>
      </c>
      <c r="I708">
        <f>+'Paste Here'!U708</f>
        <v>0</v>
      </c>
      <c r="J708">
        <f>+'Paste Here'!V708</f>
        <v>0</v>
      </c>
      <c r="K708">
        <f>+'Paste Here'!W708</f>
        <v>0</v>
      </c>
    </row>
    <row r="709" spans="1:11">
      <c r="A709" t="str">
        <f t="shared" si="11"/>
        <v>00</v>
      </c>
      <c r="B709">
        <f>+'Paste Here'!N709</f>
        <v>0</v>
      </c>
      <c r="C709">
        <f>+'Paste Here'!O709</f>
        <v>0</v>
      </c>
      <c r="D709">
        <f>+'Paste Here'!P709</f>
        <v>0</v>
      </c>
      <c r="E709">
        <f>+'Paste Here'!Q709</f>
        <v>0</v>
      </c>
      <c r="F709">
        <f>+'Paste Here'!R709</f>
        <v>0</v>
      </c>
      <c r="G709">
        <f>+'Paste Here'!S709</f>
        <v>0</v>
      </c>
      <c r="H709">
        <f>+'Paste Here'!T709</f>
        <v>0</v>
      </c>
      <c r="I709">
        <f>+'Paste Here'!U709</f>
        <v>0</v>
      </c>
      <c r="J709">
        <f>+'Paste Here'!V709</f>
        <v>0</v>
      </c>
      <c r="K709">
        <f>+'Paste Here'!W709</f>
        <v>0</v>
      </c>
    </row>
    <row r="710" spans="1:11">
      <c r="A710" t="str">
        <f t="shared" si="11"/>
        <v>00</v>
      </c>
      <c r="B710">
        <f>+'Paste Here'!N710</f>
        <v>0</v>
      </c>
      <c r="C710">
        <f>+'Paste Here'!O710</f>
        <v>0</v>
      </c>
      <c r="D710">
        <f>+'Paste Here'!P710</f>
        <v>0</v>
      </c>
      <c r="E710">
        <f>+'Paste Here'!Q710</f>
        <v>0</v>
      </c>
      <c r="F710">
        <f>+'Paste Here'!R710</f>
        <v>0</v>
      </c>
      <c r="G710">
        <f>+'Paste Here'!S710</f>
        <v>0</v>
      </c>
      <c r="H710">
        <f>+'Paste Here'!T710</f>
        <v>0</v>
      </c>
      <c r="I710">
        <f>+'Paste Here'!U710</f>
        <v>0</v>
      </c>
      <c r="J710">
        <f>+'Paste Here'!V710</f>
        <v>0</v>
      </c>
      <c r="K710">
        <f>+'Paste Here'!W710</f>
        <v>0</v>
      </c>
    </row>
    <row r="711" spans="1:11">
      <c r="A711" t="str">
        <f t="shared" si="11"/>
        <v>00</v>
      </c>
      <c r="B711">
        <f>+'Paste Here'!N711</f>
        <v>0</v>
      </c>
      <c r="C711">
        <f>+'Paste Here'!O711</f>
        <v>0</v>
      </c>
      <c r="D711">
        <f>+'Paste Here'!P711</f>
        <v>0</v>
      </c>
      <c r="E711">
        <f>+'Paste Here'!Q711</f>
        <v>0</v>
      </c>
      <c r="F711">
        <f>+'Paste Here'!R711</f>
        <v>0</v>
      </c>
      <c r="G711">
        <f>+'Paste Here'!S711</f>
        <v>0</v>
      </c>
      <c r="H711">
        <f>+'Paste Here'!T711</f>
        <v>0</v>
      </c>
      <c r="I711">
        <f>+'Paste Here'!U711</f>
        <v>0</v>
      </c>
      <c r="J711">
        <f>+'Paste Here'!V711</f>
        <v>0</v>
      </c>
      <c r="K711">
        <f>+'Paste Here'!W711</f>
        <v>0</v>
      </c>
    </row>
    <row r="712" spans="1:11">
      <c r="A712" t="str">
        <f t="shared" si="11"/>
        <v>00</v>
      </c>
      <c r="B712">
        <f>+'Paste Here'!N712</f>
        <v>0</v>
      </c>
      <c r="C712">
        <f>+'Paste Here'!O712</f>
        <v>0</v>
      </c>
      <c r="D712">
        <f>+'Paste Here'!P712</f>
        <v>0</v>
      </c>
      <c r="E712">
        <f>+'Paste Here'!Q712</f>
        <v>0</v>
      </c>
      <c r="F712">
        <f>+'Paste Here'!R712</f>
        <v>0</v>
      </c>
      <c r="G712">
        <f>+'Paste Here'!S712</f>
        <v>0</v>
      </c>
      <c r="H712">
        <f>+'Paste Here'!T712</f>
        <v>0</v>
      </c>
      <c r="I712">
        <f>+'Paste Here'!U712</f>
        <v>0</v>
      </c>
      <c r="J712">
        <f>+'Paste Here'!V712</f>
        <v>0</v>
      </c>
      <c r="K712">
        <f>+'Paste Here'!W712</f>
        <v>0</v>
      </c>
    </row>
    <row r="713" spans="1:11">
      <c r="A713" t="str">
        <f t="shared" si="11"/>
        <v>00</v>
      </c>
      <c r="B713">
        <f>+'Paste Here'!N713</f>
        <v>0</v>
      </c>
      <c r="C713">
        <f>+'Paste Here'!O713</f>
        <v>0</v>
      </c>
      <c r="D713">
        <f>+'Paste Here'!P713</f>
        <v>0</v>
      </c>
      <c r="E713">
        <f>+'Paste Here'!Q713</f>
        <v>0</v>
      </c>
      <c r="F713">
        <f>+'Paste Here'!R713</f>
        <v>0</v>
      </c>
      <c r="G713">
        <f>+'Paste Here'!S713</f>
        <v>0</v>
      </c>
      <c r="H713">
        <f>+'Paste Here'!T713</f>
        <v>0</v>
      </c>
      <c r="I713">
        <f>+'Paste Here'!U713</f>
        <v>0</v>
      </c>
      <c r="J713">
        <f>+'Paste Here'!V713</f>
        <v>0</v>
      </c>
      <c r="K713">
        <f>+'Paste Here'!W713</f>
        <v>0</v>
      </c>
    </row>
    <row r="714" spans="1:11">
      <c r="A714" t="str">
        <f t="shared" si="11"/>
        <v>00</v>
      </c>
      <c r="B714">
        <f>+'Paste Here'!N714</f>
        <v>0</v>
      </c>
      <c r="C714">
        <f>+'Paste Here'!O714</f>
        <v>0</v>
      </c>
      <c r="D714">
        <f>+'Paste Here'!P714</f>
        <v>0</v>
      </c>
      <c r="E714">
        <f>+'Paste Here'!Q714</f>
        <v>0</v>
      </c>
      <c r="F714">
        <f>+'Paste Here'!R714</f>
        <v>0</v>
      </c>
      <c r="G714">
        <f>+'Paste Here'!S714</f>
        <v>0</v>
      </c>
      <c r="H714">
        <f>+'Paste Here'!T714</f>
        <v>0</v>
      </c>
      <c r="I714">
        <f>+'Paste Here'!U714</f>
        <v>0</v>
      </c>
      <c r="J714">
        <f>+'Paste Here'!V714</f>
        <v>0</v>
      </c>
      <c r="K714">
        <f>+'Paste Here'!W714</f>
        <v>0</v>
      </c>
    </row>
    <row r="715" spans="1:11">
      <c r="A715" t="str">
        <f t="shared" si="11"/>
        <v>00</v>
      </c>
      <c r="B715">
        <f>+'Paste Here'!N715</f>
        <v>0</v>
      </c>
      <c r="C715">
        <f>+'Paste Here'!O715</f>
        <v>0</v>
      </c>
      <c r="D715">
        <f>+'Paste Here'!P715</f>
        <v>0</v>
      </c>
      <c r="E715">
        <f>+'Paste Here'!Q715</f>
        <v>0</v>
      </c>
      <c r="F715">
        <f>+'Paste Here'!R715</f>
        <v>0</v>
      </c>
      <c r="G715">
        <f>+'Paste Here'!S715</f>
        <v>0</v>
      </c>
      <c r="H715">
        <f>+'Paste Here'!T715</f>
        <v>0</v>
      </c>
      <c r="I715">
        <f>+'Paste Here'!U715</f>
        <v>0</v>
      </c>
      <c r="J715">
        <f>+'Paste Here'!V715</f>
        <v>0</v>
      </c>
      <c r="K715">
        <f>+'Paste Here'!W715</f>
        <v>0</v>
      </c>
    </row>
    <row r="716" spans="1:11">
      <c r="A716" t="str">
        <f t="shared" si="11"/>
        <v>00</v>
      </c>
      <c r="B716">
        <f>+'Paste Here'!N716</f>
        <v>0</v>
      </c>
      <c r="C716">
        <f>+'Paste Here'!O716</f>
        <v>0</v>
      </c>
      <c r="D716">
        <f>+'Paste Here'!P716</f>
        <v>0</v>
      </c>
      <c r="E716">
        <f>+'Paste Here'!Q716</f>
        <v>0</v>
      </c>
      <c r="F716">
        <f>+'Paste Here'!R716</f>
        <v>0</v>
      </c>
      <c r="G716">
        <f>+'Paste Here'!S716</f>
        <v>0</v>
      </c>
      <c r="H716">
        <f>+'Paste Here'!T716</f>
        <v>0</v>
      </c>
      <c r="I716">
        <f>+'Paste Here'!U716</f>
        <v>0</v>
      </c>
      <c r="J716">
        <f>+'Paste Here'!V716</f>
        <v>0</v>
      </c>
      <c r="K716">
        <f>+'Paste Here'!W716</f>
        <v>0</v>
      </c>
    </row>
    <row r="717" spans="1:11">
      <c r="A717" t="str">
        <f t="shared" si="11"/>
        <v>00</v>
      </c>
      <c r="B717">
        <f>+'Paste Here'!N717</f>
        <v>0</v>
      </c>
      <c r="C717">
        <f>+'Paste Here'!O717</f>
        <v>0</v>
      </c>
      <c r="D717">
        <f>+'Paste Here'!P717</f>
        <v>0</v>
      </c>
      <c r="E717">
        <f>+'Paste Here'!Q717</f>
        <v>0</v>
      </c>
      <c r="F717">
        <f>+'Paste Here'!R717</f>
        <v>0</v>
      </c>
      <c r="G717">
        <f>+'Paste Here'!S717</f>
        <v>0</v>
      </c>
      <c r="H717">
        <f>+'Paste Here'!T717</f>
        <v>0</v>
      </c>
      <c r="I717">
        <f>+'Paste Here'!U717</f>
        <v>0</v>
      </c>
      <c r="J717">
        <f>+'Paste Here'!V717</f>
        <v>0</v>
      </c>
      <c r="K717">
        <f>+'Paste Here'!W717</f>
        <v>0</v>
      </c>
    </row>
    <row r="718" spans="1:11">
      <c r="A718" t="str">
        <f t="shared" si="11"/>
        <v>00</v>
      </c>
      <c r="B718">
        <f>+'Paste Here'!N718</f>
        <v>0</v>
      </c>
      <c r="C718">
        <f>+'Paste Here'!O718</f>
        <v>0</v>
      </c>
      <c r="D718">
        <f>+'Paste Here'!P718</f>
        <v>0</v>
      </c>
      <c r="E718">
        <f>+'Paste Here'!Q718</f>
        <v>0</v>
      </c>
      <c r="F718">
        <f>+'Paste Here'!R718</f>
        <v>0</v>
      </c>
      <c r="G718">
        <f>+'Paste Here'!S718</f>
        <v>0</v>
      </c>
      <c r="H718">
        <f>+'Paste Here'!T718</f>
        <v>0</v>
      </c>
      <c r="I718">
        <f>+'Paste Here'!U718</f>
        <v>0</v>
      </c>
      <c r="J718">
        <f>+'Paste Here'!V718</f>
        <v>0</v>
      </c>
      <c r="K718">
        <f>+'Paste Here'!W718</f>
        <v>0</v>
      </c>
    </row>
    <row r="719" spans="1:11">
      <c r="A719" t="str">
        <f t="shared" si="11"/>
        <v>00</v>
      </c>
      <c r="B719">
        <f>+'Paste Here'!N719</f>
        <v>0</v>
      </c>
      <c r="C719">
        <f>+'Paste Here'!O719</f>
        <v>0</v>
      </c>
      <c r="D719">
        <f>+'Paste Here'!P719</f>
        <v>0</v>
      </c>
      <c r="E719">
        <f>+'Paste Here'!Q719</f>
        <v>0</v>
      </c>
      <c r="F719">
        <f>+'Paste Here'!R719</f>
        <v>0</v>
      </c>
      <c r="G719">
        <f>+'Paste Here'!S719</f>
        <v>0</v>
      </c>
      <c r="H719">
        <f>+'Paste Here'!T719</f>
        <v>0</v>
      </c>
      <c r="I719">
        <f>+'Paste Here'!U719</f>
        <v>0</v>
      </c>
      <c r="J719">
        <f>+'Paste Here'!V719</f>
        <v>0</v>
      </c>
      <c r="K719">
        <f>+'Paste Here'!W719</f>
        <v>0</v>
      </c>
    </row>
    <row r="720" spans="1:11">
      <c r="A720" t="str">
        <f t="shared" si="11"/>
        <v>00</v>
      </c>
      <c r="B720">
        <f>+'Paste Here'!N720</f>
        <v>0</v>
      </c>
      <c r="C720">
        <f>+'Paste Here'!O720</f>
        <v>0</v>
      </c>
      <c r="D720">
        <f>+'Paste Here'!P720</f>
        <v>0</v>
      </c>
      <c r="E720">
        <f>+'Paste Here'!Q720</f>
        <v>0</v>
      </c>
      <c r="F720">
        <f>+'Paste Here'!R720</f>
        <v>0</v>
      </c>
      <c r="G720">
        <f>+'Paste Here'!S720</f>
        <v>0</v>
      </c>
      <c r="H720">
        <f>+'Paste Here'!T720</f>
        <v>0</v>
      </c>
      <c r="I720">
        <f>+'Paste Here'!U720</f>
        <v>0</v>
      </c>
      <c r="J720">
        <f>+'Paste Here'!V720</f>
        <v>0</v>
      </c>
      <c r="K720">
        <f>+'Paste Here'!W720</f>
        <v>0</v>
      </c>
    </row>
    <row r="721" spans="1:11">
      <c r="A721" t="str">
        <f t="shared" si="11"/>
        <v>00</v>
      </c>
      <c r="B721">
        <f>+'Paste Here'!N721</f>
        <v>0</v>
      </c>
      <c r="C721">
        <f>+'Paste Here'!O721</f>
        <v>0</v>
      </c>
      <c r="D721">
        <f>+'Paste Here'!P721</f>
        <v>0</v>
      </c>
      <c r="E721">
        <f>+'Paste Here'!Q721</f>
        <v>0</v>
      </c>
      <c r="F721">
        <f>+'Paste Here'!R721</f>
        <v>0</v>
      </c>
      <c r="G721">
        <f>+'Paste Here'!S721</f>
        <v>0</v>
      </c>
      <c r="H721">
        <f>+'Paste Here'!T721</f>
        <v>0</v>
      </c>
      <c r="I721">
        <f>+'Paste Here'!U721</f>
        <v>0</v>
      </c>
      <c r="J721">
        <f>+'Paste Here'!V721</f>
        <v>0</v>
      </c>
      <c r="K721">
        <f>+'Paste Here'!W721</f>
        <v>0</v>
      </c>
    </row>
    <row r="722" spans="1:11">
      <c r="A722" t="str">
        <f t="shared" si="11"/>
        <v>00</v>
      </c>
      <c r="B722">
        <f>+'Paste Here'!N722</f>
        <v>0</v>
      </c>
      <c r="C722">
        <f>+'Paste Here'!O722</f>
        <v>0</v>
      </c>
      <c r="D722">
        <f>+'Paste Here'!P722</f>
        <v>0</v>
      </c>
      <c r="E722">
        <f>+'Paste Here'!Q722</f>
        <v>0</v>
      </c>
      <c r="F722">
        <f>+'Paste Here'!R722</f>
        <v>0</v>
      </c>
      <c r="G722">
        <f>+'Paste Here'!S722</f>
        <v>0</v>
      </c>
      <c r="H722">
        <f>+'Paste Here'!T722</f>
        <v>0</v>
      </c>
      <c r="I722">
        <f>+'Paste Here'!U722</f>
        <v>0</v>
      </c>
      <c r="J722">
        <f>+'Paste Here'!V722</f>
        <v>0</v>
      </c>
      <c r="K722">
        <f>+'Paste Here'!W722</f>
        <v>0</v>
      </c>
    </row>
    <row r="723" spans="1:11">
      <c r="A723" t="str">
        <f t="shared" si="11"/>
        <v>00</v>
      </c>
      <c r="B723">
        <f>+'Paste Here'!N723</f>
        <v>0</v>
      </c>
      <c r="C723">
        <f>+'Paste Here'!O723</f>
        <v>0</v>
      </c>
      <c r="D723">
        <f>+'Paste Here'!P723</f>
        <v>0</v>
      </c>
      <c r="E723">
        <f>+'Paste Here'!Q723</f>
        <v>0</v>
      </c>
      <c r="F723">
        <f>+'Paste Here'!R723</f>
        <v>0</v>
      </c>
      <c r="G723">
        <f>+'Paste Here'!S723</f>
        <v>0</v>
      </c>
      <c r="H723">
        <f>+'Paste Here'!T723</f>
        <v>0</v>
      </c>
      <c r="I723">
        <f>+'Paste Here'!U723</f>
        <v>0</v>
      </c>
      <c r="J723">
        <f>+'Paste Here'!V723</f>
        <v>0</v>
      </c>
      <c r="K723">
        <f>+'Paste Here'!W723</f>
        <v>0</v>
      </c>
    </row>
    <row r="724" spans="1:11">
      <c r="A724" t="str">
        <f t="shared" si="11"/>
        <v>00</v>
      </c>
      <c r="B724">
        <f>+'Paste Here'!N724</f>
        <v>0</v>
      </c>
      <c r="C724">
        <f>+'Paste Here'!O724</f>
        <v>0</v>
      </c>
      <c r="D724">
        <f>+'Paste Here'!P724</f>
        <v>0</v>
      </c>
      <c r="E724">
        <f>+'Paste Here'!Q724</f>
        <v>0</v>
      </c>
      <c r="F724">
        <f>+'Paste Here'!R724</f>
        <v>0</v>
      </c>
      <c r="G724">
        <f>+'Paste Here'!S724</f>
        <v>0</v>
      </c>
      <c r="H724">
        <f>+'Paste Here'!T724</f>
        <v>0</v>
      </c>
      <c r="I724">
        <f>+'Paste Here'!U724</f>
        <v>0</v>
      </c>
      <c r="J724">
        <f>+'Paste Here'!V724</f>
        <v>0</v>
      </c>
      <c r="K724">
        <f>+'Paste Here'!W724</f>
        <v>0</v>
      </c>
    </row>
    <row r="725" spans="1:11">
      <c r="A725" t="str">
        <f t="shared" si="11"/>
        <v>00</v>
      </c>
      <c r="B725">
        <f>+'Paste Here'!N725</f>
        <v>0</v>
      </c>
      <c r="C725">
        <f>+'Paste Here'!O725</f>
        <v>0</v>
      </c>
      <c r="D725">
        <f>+'Paste Here'!P725</f>
        <v>0</v>
      </c>
      <c r="E725">
        <f>+'Paste Here'!Q725</f>
        <v>0</v>
      </c>
      <c r="F725">
        <f>+'Paste Here'!R725</f>
        <v>0</v>
      </c>
      <c r="G725">
        <f>+'Paste Here'!S725</f>
        <v>0</v>
      </c>
      <c r="H725">
        <f>+'Paste Here'!T725</f>
        <v>0</v>
      </c>
      <c r="I725">
        <f>+'Paste Here'!U725</f>
        <v>0</v>
      </c>
      <c r="J725">
        <f>+'Paste Here'!V725</f>
        <v>0</v>
      </c>
      <c r="K725">
        <f>+'Paste Here'!W725</f>
        <v>0</v>
      </c>
    </row>
    <row r="726" spans="1:11">
      <c r="A726" t="str">
        <f t="shared" si="11"/>
        <v>00</v>
      </c>
      <c r="B726">
        <f>+'Paste Here'!N726</f>
        <v>0</v>
      </c>
      <c r="C726">
        <f>+'Paste Here'!O726</f>
        <v>0</v>
      </c>
      <c r="D726">
        <f>+'Paste Here'!P726</f>
        <v>0</v>
      </c>
      <c r="E726">
        <f>+'Paste Here'!Q726</f>
        <v>0</v>
      </c>
      <c r="F726">
        <f>+'Paste Here'!R726</f>
        <v>0</v>
      </c>
      <c r="G726">
        <f>+'Paste Here'!S726</f>
        <v>0</v>
      </c>
      <c r="H726">
        <f>+'Paste Here'!T726</f>
        <v>0</v>
      </c>
      <c r="I726">
        <f>+'Paste Here'!U726</f>
        <v>0</v>
      </c>
      <c r="J726">
        <f>+'Paste Here'!V726</f>
        <v>0</v>
      </c>
      <c r="K726">
        <f>+'Paste Here'!W726</f>
        <v>0</v>
      </c>
    </row>
    <row r="727" spans="1:11">
      <c r="A727" t="str">
        <f t="shared" si="11"/>
        <v>00</v>
      </c>
      <c r="B727">
        <f>+'Paste Here'!N727</f>
        <v>0</v>
      </c>
      <c r="C727">
        <f>+'Paste Here'!O727</f>
        <v>0</v>
      </c>
      <c r="D727">
        <f>+'Paste Here'!P727</f>
        <v>0</v>
      </c>
      <c r="E727">
        <f>+'Paste Here'!Q727</f>
        <v>0</v>
      </c>
      <c r="F727">
        <f>+'Paste Here'!R727</f>
        <v>0</v>
      </c>
      <c r="G727">
        <f>+'Paste Here'!S727</f>
        <v>0</v>
      </c>
      <c r="H727">
        <f>+'Paste Here'!T727</f>
        <v>0</v>
      </c>
      <c r="I727">
        <f>+'Paste Here'!U727</f>
        <v>0</v>
      </c>
      <c r="J727">
        <f>+'Paste Here'!V727</f>
        <v>0</v>
      </c>
      <c r="K727">
        <f>+'Paste Here'!W727</f>
        <v>0</v>
      </c>
    </row>
    <row r="728" spans="1:11">
      <c r="A728" t="str">
        <f t="shared" si="11"/>
        <v>00</v>
      </c>
      <c r="B728">
        <f>+'Paste Here'!N728</f>
        <v>0</v>
      </c>
      <c r="C728">
        <f>+'Paste Here'!O728</f>
        <v>0</v>
      </c>
      <c r="D728">
        <f>+'Paste Here'!P728</f>
        <v>0</v>
      </c>
      <c r="E728">
        <f>+'Paste Here'!Q728</f>
        <v>0</v>
      </c>
      <c r="F728">
        <f>+'Paste Here'!R728</f>
        <v>0</v>
      </c>
      <c r="G728">
        <f>+'Paste Here'!S728</f>
        <v>0</v>
      </c>
      <c r="H728">
        <f>+'Paste Here'!T728</f>
        <v>0</v>
      </c>
      <c r="I728">
        <f>+'Paste Here'!U728</f>
        <v>0</v>
      </c>
      <c r="J728">
        <f>+'Paste Here'!V728</f>
        <v>0</v>
      </c>
      <c r="K728">
        <f>+'Paste Here'!W728</f>
        <v>0</v>
      </c>
    </row>
    <row r="729" spans="1:11">
      <c r="A729" t="str">
        <f t="shared" si="11"/>
        <v>00</v>
      </c>
      <c r="B729">
        <f>+'Paste Here'!N729</f>
        <v>0</v>
      </c>
      <c r="C729">
        <f>+'Paste Here'!O729</f>
        <v>0</v>
      </c>
      <c r="D729">
        <f>+'Paste Here'!P729</f>
        <v>0</v>
      </c>
      <c r="E729">
        <f>+'Paste Here'!Q729</f>
        <v>0</v>
      </c>
      <c r="F729">
        <f>+'Paste Here'!R729</f>
        <v>0</v>
      </c>
      <c r="G729">
        <f>+'Paste Here'!S729</f>
        <v>0</v>
      </c>
      <c r="H729">
        <f>+'Paste Here'!T729</f>
        <v>0</v>
      </c>
      <c r="I729">
        <f>+'Paste Here'!U729</f>
        <v>0</v>
      </c>
      <c r="J729">
        <f>+'Paste Here'!V729</f>
        <v>0</v>
      </c>
      <c r="K729">
        <f>+'Paste Here'!W729</f>
        <v>0</v>
      </c>
    </row>
    <row r="730" spans="1:11">
      <c r="A730" t="str">
        <f t="shared" si="11"/>
        <v>00</v>
      </c>
      <c r="B730">
        <f>+'Paste Here'!N730</f>
        <v>0</v>
      </c>
      <c r="C730">
        <f>+'Paste Here'!O730</f>
        <v>0</v>
      </c>
      <c r="D730">
        <f>+'Paste Here'!P730</f>
        <v>0</v>
      </c>
      <c r="E730">
        <f>+'Paste Here'!Q730</f>
        <v>0</v>
      </c>
      <c r="F730">
        <f>+'Paste Here'!R730</f>
        <v>0</v>
      </c>
      <c r="G730">
        <f>+'Paste Here'!S730</f>
        <v>0</v>
      </c>
      <c r="H730">
        <f>+'Paste Here'!T730</f>
        <v>0</v>
      </c>
      <c r="I730">
        <f>+'Paste Here'!U730</f>
        <v>0</v>
      </c>
      <c r="J730">
        <f>+'Paste Here'!V730</f>
        <v>0</v>
      </c>
      <c r="K730">
        <f>+'Paste Here'!W730</f>
        <v>0</v>
      </c>
    </row>
    <row r="731" spans="1:11">
      <c r="A731" t="str">
        <f t="shared" si="11"/>
        <v>00</v>
      </c>
      <c r="B731">
        <f>+'Paste Here'!N731</f>
        <v>0</v>
      </c>
      <c r="C731">
        <f>+'Paste Here'!O731</f>
        <v>0</v>
      </c>
      <c r="D731">
        <f>+'Paste Here'!P731</f>
        <v>0</v>
      </c>
      <c r="E731">
        <f>+'Paste Here'!Q731</f>
        <v>0</v>
      </c>
      <c r="F731">
        <f>+'Paste Here'!R731</f>
        <v>0</v>
      </c>
      <c r="G731">
        <f>+'Paste Here'!S731</f>
        <v>0</v>
      </c>
      <c r="H731">
        <f>+'Paste Here'!T731</f>
        <v>0</v>
      </c>
      <c r="I731">
        <f>+'Paste Here'!U731</f>
        <v>0</v>
      </c>
      <c r="J731">
        <f>+'Paste Here'!V731</f>
        <v>0</v>
      </c>
      <c r="K731">
        <f>+'Paste Here'!W731</f>
        <v>0</v>
      </c>
    </row>
    <row r="732" spans="1:11">
      <c r="A732" t="str">
        <f t="shared" si="11"/>
        <v>00</v>
      </c>
      <c r="B732">
        <f>+'Paste Here'!N732</f>
        <v>0</v>
      </c>
      <c r="C732">
        <f>+'Paste Here'!O732</f>
        <v>0</v>
      </c>
      <c r="D732">
        <f>+'Paste Here'!P732</f>
        <v>0</v>
      </c>
      <c r="E732">
        <f>+'Paste Here'!Q732</f>
        <v>0</v>
      </c>
      <c r="F732">
        <f>+'Paste Here'!R732</f>
        <v>0</v>
      </c>
      <c r="G732">
        <f>+'Paste Here'!S732</f>
        <v>0</v>
      </c>
      <c r="H732">
        <f>+'Paste Here'!T732</f>
        <v>0</v>
      </c>
      <c r="I732">
        <f>+'Paste Here'!U732</f>
        <v>0</v>
      </c>
      <c r="J732">
        <f>+'Paste Here'!V732</f>
        <v>0</v>
      </c>
      <c r="K732">
        <f>+'Paste Here'!W732</f>
        <v>0</v>
      </c>
    </row>
    <row r="733" spans="1:11">
      <c r="A733" t="str">
        <f t="shared" si="11"/>
        <v>00</v>
      </c>
      <c r="B733">
        <f>+'Paste Here'!N733</f>
        <v>0</v>
      </c>
      <c r="C733">
        <f>+'Paste Here'!O733</f>
        <v>0</v>
      </c>
      <c r="D733">
        <f>+'Paste Here'!P733</f>
        <v>0</v>
      </c>
      <c r="E733">
        <f>+'Paste Here'!Q733</f>
        <v>0</v>
      </c>
      <c r="F733">
        <f>+'Paste Here'!R733</f>
        <v>0</v>
      </c>
      <c r="G733">
        <f>+'Paste Here'!S733</f>
        <v>0</v>
      </c>
      <c r="H733">
        <f>+'Paste Here'!T733</f>
        <v>0</v>
      </c>
      <c r="I733">
        <f>+'Paste Here'!U733</f>
        <v>0</v>
      </c>
      <c r="J733">
        <f>+'Paste Here'!V733</f>
        <v>0</v>
      </c>
      <c r="K733">
        <f>+'Paste Here'!W733</f>
        <v>0</v>
      </c>
    </row>
    <row r="734" spans="1:11">
      <c r="A734" t="str">
        <f t="shared" si="11"/>
        <v>00</v>
      </c>
      <c r="B734">
        <f>+'Paste Here'!N734</f>
        <v>0</v>
      </c>
      <c r="C734">
        <f>+'Paste Here'!O734</f>
        <v>0</v>
      </c>
      <c r="D734">
        <f>+'Paste Here'!P734</f>
        <v>0</v>
      </c>
      <c r="E734">
        <f>+'Paste Here'!Q734</f>
        <v>0</v>
      </c>
      <c r="F734">
        <f>+'Paste Here'!R734</f>
        <v>0</v>
      </c>
      <c r="G734">
        <f>+'Paste Here'!S734</f>
        <v>0</v>
      </c>
      <c r="H734">
        <f>+'Paste Here'!T734</f>
        <v>0</v>
      </c>
      <c r="I734">
        <f>+'Paste Here'!U734</f>
        <v>0</v>
      </c>
      <c r="J734">
        <f>+'Paste Here'!V734</f>
        <v>0</v>
      </c>
      <c r="K734">
        <f>+'Paste Here'!W734</f>
        <v>0</v>
      </c>
    </row>
    <row r="735" spans="1:11">
      <c r="A735" t="str">
        <f t="shared" si="11"/>
        <v>00</v>
      </c>
      <c r="B735">
        <f>+'Paste Here'!N735</f>
        <v>0</v>
      </c>
      <c r="C735">
        <f>+'Paste Here'!O735</f>
        <v>0</v>
      </c>
      <c r="D735">
        <f>+'Paste Here'!P735</f>
        <v>0</v>
      </c>
      <c r="E735">
        <f>+'Paste Here'!Q735</f>
        <v>0</v>
      </c>
      <c r="F735">
        <f>+'Paste Here'!R735</f>
        <v>0</v>
      </c>
      <c r="G735">
        <f>+'Paste Here'!S735</f>
        <v>0</v>
      </c>
      <c r="H735">
        <f>+'Paste Here'!T735</f>
        <v>0</v>
      </c>
      <c r="I735">
        <f>+'Paste Here'!U735</f>
        <v>0</v>
      </c>
      <c r="J735">
        <f>+'Paste Here'!V735</f>
        <v>0</v>
      </c>
      <c r="K735">
        <f>+'Paste Here'!W735</f>
        <v>0</v>
      </c>
    </row>
    <row r="736" spans="1:11">
      <c r="A736" t="str">
        <f t="shared" si="11"/>
        <v>00</v>
      </c>
      <c r="B736">
        <f>+'Paste Here'!N736</f>
        <v>0</v>
      </c>
      <c r="C736">
        <f>+'Paste Here'!O736</f>
        <v>0</v>
      </c>
      <c r="D736">
        <f>+'Paste Here'!P736</f>
        <v>0</v>
      </c>
      <c r="E736">
        <f>+'Paste Here'!Q736</f>
        <v>0</v>
      </c>
      <c r="F736">
        <f>+'Paste Here'!R736</f>
        <v>0</v>
      </c>
      <c r="G736">
        <f>+'Paste Here'!S736</f>
        <v>0</v>
      </c>
      <c r="H736">
        <f>+'Paste Here'!T736</f>
        <v>0</v>
      </c>
      <c r="I736">
        <f>+'Paste Here'!U736</f>
        <v>0</v>
      </c>
      <c r="J736">
        <f>+'Paste Here'!V736</f>
        <v>0</v>
      </c>
      <c r="K736">
        <f>+'Paste Here'!W736</f>
        <v>0</v>
      </c>
    </row>
    <row r="737" spans="1:11">
      <c r="A737" t="str">
        <f t="shared" si="11"/>
        <v>00</v>
      </c>
      <c r="B737">
        <f>+'Paste Here'!N737</f>
        <v>0</v>
      </c>
      <c r="C737">
        <f>+'Paste Here'!O737</f>
        <v>0</v>
      </c>
      <c r="D737">
        <f>+'Paste Here'!P737</f>
        <v>0</v>
      </c>
      <c r="E737">
        <f>+'Paste Here'!Q737</f>
        <v>0</v>
      </c>
      <c r="F737">
        <f>+'Paste Here'!R737</f>
        <v>0</v>
      </c>
      <c r="G737">
        <f>+'Paste Here'!S737</f>
        <v>0</v>
      </c>
      <c r="H737">
        <f>+'Paste Here'!T737</f>
        <v>0</v>
      </c>
      <c r="I737">
        <f>+'Paste Here'!U737</f>
        <v>0</v>
      </c>
      <c r="J737">
        <f>+'Paste Here'!V737</f>
        <v>0</v>
      </c>
      <c r="K737">
        <f>+'Paste Here'!W737</f>
        <v>0</v>
      </c>
    </row>
    <row r="738" spans="1:11">
      <c r="A738" t="str">
        <f t="shared" si="11"/>
        <v>00</v>
      </c>
      <c r="B738">
        <f>+'Paste Here'!N738</f>
        <v>0</v>
      </c>
      <c r="C738">
        <f>+'Paste Here'!O738</f>
        <v>0</v>
      </c>
      <c r="D738">
        <f>+'Paste Here'!P738</f>
        <v>0</v>
      </c>
      <c r="E738">
        <f>+'Paste Here'!Q738</f>
        <v>0</v>
      </c>
      <c r="F738">
        <f>+'Paste Here'!R738</f>
        <v>0</v>
      </c>
      <c r="G738">
        <f>+'Paste Here'!S738</f>
        <v>0</v>
      </c>
      <c r="H738">
        <f>+'Paste Here'!T738</f>
        <v>0</v>
      </c>
      <c r="I738">
        <f>+'Paste Here'!U738</f>
        <v>0</v>
      </c>
      <c r="J738">
        <f>+'Paste Here'!V738</f>
        <v>0</v>
      </c>
      <c r="K738">
        <f>+'Paste Here'!W738</f>
        <v>0</v>
      </c>
    </row>
    <row r="739" spans="1:11">
      <c r="A739" t="str">
        <f t="shared" si="11"/>
        <v>00</v>
      </c>
      <c r="B739">
        <f>+'Paste Here'!N739</f>
        <v>0</v>
      </c>
      <c r="C739">
        <f>+'Paste Here'!O739</f>
        <v>0</v>
      </c>
      <c r="D739">
        <f>+'Paste Here'!P739</f>
        <v>0</v>
      </c>
      <c r="E739">
        <f>+'Paste Here'!Q739</f>
        <v>0</v>
      </c>
      <c r="F739">
        <f>+'Paste Here'!R739</f>
        <v>0</v>
      </c>
      <c r="G739">
        <f>+'Paste Here'!S739</f>
        <v>0</v>
      </c>
      <c r="H739">
        <f>+'Paste Here'!T739</f>
        <v>0</v>
      </c>
      <c r="I739">
        <f>+'Paste Here'!U739</f>
        <v>0</v>
      </c>
      <c r="J739">
        <f>+'Paste Here'!V739</f>
        <v>0</v>
      </c>
      <c r="K739">
        <f>+'Paste Here'!W739</f>
        <v>0</v>
      </c>
    </row>
    <row r="740" spans="1:11">
      <c r="A740" t="str">
        <f t="shared" si="11"/>
        <v>00</v>
      </c>
      <c r="B740">
        <f>+'Paste Here'!N740</f>
        <v>0</v>
      </c>
      <c r="C740">
        <f>+'Paste Here'!O740</f>
        <v>0</v>
      </c>
      <c r="D740">
        <f>+'Paste Here'!P740</f>
        <v>0</v>
      </c>
      <c r="E740">
        <f>+'Paste Here'!Q740</f>
        <v>0</v>
      </c>
      <c r="F740">
        <f>+'Paste Here'!R740</f>
        <v>0</v>
      </c>
      <c r="G740">
        <f>+'Paste Here'!S740</f>
        <v>0</v>
      </c>
      <c r="H740">
        <f>+'Paste Here'!T740</f>
        <v>0</v>
      </c>
      <c r="I740">
        <f>+'Paste Here'!U740</f>
        <v>0</v>
      </c>
      <c r="J740">
        <f>+'Paste Here'!V740</f>
        <v>0</v>
      </c>
      <c r="K740">
        <f>+'Paste Here'!W740</f>
        <v>0</v>
      </c>
    </row>
    <row r="741" spans="1:11">
      <c r="A741" t="str">
        <f t="shared" si="11"/>
        <v>00</v>
      </c>
      <c r="B741">
        <f>+'Paste Here'!N741</f>
        <v>0</v>
      </c>
      <c r="C741">
        <f>+'Paste Here'!O741</f>
        <v>0</v>
      </c>
      <c r="D741">
        <f>+'Paste Here'!P741</f>
        <v>0</v>
      </c>
      <c r="E741">
        <f>+'Paste Here'!Q741</f>
        <v>0</v>
      </c>
      <c r="F741">
        <f>+'Paste Here'!R741</f>
        <v>0</v>
      </c>
      <c r="G741">
        <f>+'Paste Here'!S741</f>
        <v>0</v>
      </c>
      <c r="H741">
        <f>+'Paste Here'!T741</f>
        <v>0</v>
      </c>
      <c r="I741">
        <f>+'Paste Here'!U741</f>
        <v>0</v>
      </c>
      <c r="J741">
        <f>+'Paste Here'!V741</f>
        <v>0</v>
      </c>
      <c r="K741">
        <f>+'Paste Here'!W741</f>
        <v>0</v>
      </c>
    </row>
    <row r="742" spans="1:11">
      <c r="A742" t="str">
        <f t="shared" si="11"/>
        <v>00</v>
      </c>
      <c r="B742">
        <f>+'Paste Here'!N742</f>
        <v>0</v>
      </c>
      <c r="C742">
        <f>+'Paste Here'!O742</f>
        <v>0</v>
      </c>
      <c r="D742">
        <f>+'Paste Here'!P742</f>
        <v>0</v>
      </c>
      <c r="E742">
        <f>+'Paste Here'!Q742</f>
        <v>0</v>
      </c>
      <c r="F742">
        <f>+'Paste Here'!R742</f>
        <v>0</v>
      </c>
      <c r="G742">
        <f>+'Paste Here'!S742</f>
        <v>0</v>
      </c>
      <c r="H742">
        <f>+'Paste Here'!T742</f>
        <v>0</v>
      </c>
      <c r="I742">
        <f>+'Paste Here'!U742</f>
        <v>0</v>
      </c>
      <c r="J742">
        <f>+'Paste Here'!V742</f>
        <v>0</v>
      </c>
      <c r="K742">
        <f>+'Paste Here'!W742</f>
        <v>0</v>
      </c>
    </row>
    <row r="743" spans="1:11">
      <c r="A743" t="str">
        <f t="shared" si="11"/>
        <v>00</v>
      </c>
      <c r="B743">
        <f>+'Paste Here'!N743</f>
        <v>0</v>
      </c>
      <c r="C743">
        <f>+'Paste Here'!O743</f>
        <v>0</v>
      </c>
      <c r="D743">
        <f>+'Paste Here'!P743</f>
        <v>0</v>
      </c>
      <c r="E743">
        <f>+'Paste Here'!Q743</f>
        <v>0</v>
      </c>
      <c r="F743">
        <f>+'Paste Here'!R743</f>
        <v>0</v>
      </c>
      <c r="G743">
        <f>+'Paste Here'!S743</f>
        <v>0</v>
      </c>
      <c r="H743">
        <f>+'Paste Here'!T743</f>
        <v>0</v>
      </c>
      <c r="I743">
        <f>+'Paste Here'!U743</f>
        <v>0</v>
      </c>
      <c r="J743">
        <f>+'Paste Here'!V743</f>
        <v>0</v>
      </c>
      <c r="K743">
        <f>+'Paste Here'!W743</f>
        <v>0</v>
      </c>
    </row>
    <row r="744" spans="1:11">
      <c r="A744" t="str">
        <f t="shared" si="11"/>
        <v>00</v>
      </c>
      <c r="B744">
        <f>+'Paste Here'!N744</f>
        <v>0</v>
      </c>
      <c r="C744">
        <f>+'Paste Here'!O744</f>
        <v>0</v>
      </c>
      <c r="D744">
        <f>+'Paste Here'!P744</f>
        <v>0</v>
      </c>
      <c r="E744">
        <f>+'Paste Here'!Q744</f>
        <v>0</v>
      </c>
      <c r="F744">
        <f>+'Paste Here'!R744</f>
        <v>0</v>
      </c>
      <c r="G744">
        <f>+'Paste Here'!S744</f>
        <v>0</v>
      </c>
      <c r="H744">
        <f>+'Paste Here'!T744</f>
        <v>0</v>
      </c>
      <c r="I744">
        <f>+'Paste Here'!U744</f>
        <v>0</v>
      </c>
      <c r="J744">
        <f>+'Paste Here'!V744</f>
        <v>0</v>
      </c>
      <c r="K744">
        <f>+'Paste Here'!W744</f>
        <v>0</v>
      </c>
    </row>
    <row r="745" spans="1:11">
      <c r="A745" t="str">
        <f t="shared" si="11"/>
        <v>00</v>
      </c>
      <c r="B745">
        <f>+'Paste Here'!N745</f>
        <v>0</v>
      </c>
      <c r="C745">
        <f>+'Paste Here'!O745</f>
        <v>0</v>
      </c>
      <c r="D745">
        <f>+'Paste Here'!P745</f>
        <v>0</v>
      </c>
      <c r="E745">
        <f>+'Paste Here'!Q745</f>
        <v>0</v>
      </c>
      <c r="F745">
        <f>+'Paste Here'!R745</f>
        <v>0</v>
      </c>
      <c r="G745">
        <f>+'Paste Here'!S745</f>
        <v>0</v>
      </c>
      <c r="H745">
        <f>+'Paste Here'!T745</f>
        <v>0</v>
      </c>
      <c r="I745">
        <f>+'Paste Here'!U745</f>
        <v>0</v>
      </c>
      <c r="J745">
        <f>+'Paste Here'!V745</f>
        <v>0</v>
      </c>
      <c r="K745">
        <f>+'Paste Here'!W745</f>
        <v>0</v>
      </c>
    </row>
    <row r="746" spans="1:11">
      <c r="A746" t="str">
        <f t="shared" si="11"/>
        <v>00</v>
      </c>
      <c r="B746">
        <f>+'Paste Here'!N746</f>
        <v>0</v>
      </c>
      <c r="C746">
        <f>+'Paste Here'!O746</f>
        <v>0</v>
      </c>
      <c r="D746">
        <f>+'Paste Here'!P746</f>
        <v>0</v>
      </c>
      <c r="E746">
        <f>+'Paste Here'!Q746</f>
        <v>0</v>
      </c>
      <c r="F746">
        <f>+'Paste Here'!R746</f>
        <v>0</v>
      </c>
      <c r="G746">
        <f>+'Paste Here'!S746</f>
        <v>0</v>
      </c>
      <c r="H746">
        <f>+'Paste Here'!T746</f>
        <v>0</v>
      </c>
      <c r="I746">
        <f>+'Paste Here'!U746</f>
        <v>0</v>
      </c>
      <c r="J746">
        <f>+'Paste Here'!V746</f>
        <v>0</v>
      </c>
      <c r="K746">
        <f>+'Paste Here'!W746</f>
        <v>0</v>
      </c>
    </row>
    <row r="747" spans="1:11">
      <c r="A747" t="str">
        <f t="shared" si="11"/>
        <v>00</v>
      </c>
      <c r="B747">
        <f>+'Paste Here'!N747</f>
        <v>0</v>
      </c>
      <c r="C747">
        <f>+'Paste Here'!O747</f>
        <v>0</v>
      </c>
      <c r="D747">
        <f>+'Paste Here'!P747</f>
        <v>0</v>
      </c>
      <c r="E747">
        <f>+'Paste Here'!Q747</f>
        <v>0</v>
      </c>
      <c r="F747">
        <f>+'Paste Here'!R747</f>
        <v>0</v>
      </c>
      <c r="G747">
        <f>+'Paste Here'!S747</f>
        <v>0</v>
      </c>
      <c r="H747">
        <f>+'Paste Here'!T747</f>
        <v>0</v>
      </c>
      <c r="I747">
        <f>+'Paste Here'!U747</f>
        <v>0</v>
      </c>
      <c r="J747">
        <f>+'Paste Here'!V747</f>
        <v>0</v>
      </c>
      <c r="K747">
        <f>+'Paste Here'!W747</f>
        <v>0</v>
      </c>
    </row>
    <row r="748" spans="1:11">
      <c r="A748" t="str">
        <f t="shared" si="11"/>
        <v>00</v>
      </c>
      <c r="B748">
        <f>+'Paste Here'!N748</f>
        <v>0</v>
      </c>
      <c r="C748">
        <f>+'Paste Here'!O748</f>
        <v>0</v>
      </c>
      <c r="D748">
        <f>+'Paste Here'!P748</f>
        <v>0</v>
      </c>
      <c r="E748">
        <f>+'Paste Here'!Q748</f>
        <v>0</v>
      </c>
      <c r="F748">
        <f>+'Paste Here'!R748</f>
        <v>0</v>
      </c>
      <c r="G748">
        <f>+'Paste Here'!S748</f>
        <v>0</v>
      </c>
      <c r="H748">
        <f>+'Paste Here'!T748</f>
        <v>0</v>
      </c>
      <c r="I748">
        <f>+'Paste Here'!U748</f>
        <v>0</v>
      </c>
      <c r="J748">
        <f>+'Paste Here'!V748</f>
        <v>0</v>
      </c>
      <c r="K748">
        <f>+'Paste Here'!W748</f>
        <v>0</v>
      </c>
    </row>
    <row r="749" spans="1:11">
      <c r="A749" t="str">
        <f t="shared" si="11"/>
        <v>00</v>
      </c>
      <c r="B749">
        <f>+'Paste Here'!N749</f>
        <v>0</v>
      </c>
      <c r="C749">
        <f>+'Paste Here'!O749</f>
        <v>0</v>
      </c>
      <c r="D749">
        <f>+'Paste Here'!P749</f>
        <v>0</v>
      </c>
      <c r="E749">
        <f>+'Paste Here'!Q749</f>
        <v>0</v>
      </c>
      <c r="F749">
        <f>+'Paste Here'!R749</f>
        <v>0</v>
      </c>
      <c r="G749">
        <f>+'Paste Here'!S749</f>
        <v>0</v>
      </c>
      <c r="H749">
        <f>+'Paste Here'!T749</f>
        <v>0</v>
      </c>
      <c r="I749">
        <f>+'Paste Here'!U749</f>
        <v>0</v>
      </c>
      <c r="J749">
        <f>+'Paste Here'!V749</f>
        <v>0</v>
      </c>
      <c r="K749">
        <f>+'Paste Here'!W749</f>
        <v>0</v>
      </c>
    </row>
    <row r="750" spans="1:11">
      <c r="A750" t="str">
        <f t="shared" si="11"/>
        <v>00</v>
      </c>
      <c r="B750">
        <f>+'Paste Here'!N750</f>
        <v>0</v>
      </c>
      <c r="C750">
        <f>+'Paste Here'!O750</f>
        <v>0</v>
      </c>
      <c r="D750">
        <f>+'Paste Here'!P750</f>
        <v>0</v>
      </c>
      <c r="E750">
        <f>+'Paste Here'!Q750</f>
        <v>0</v>
      </c>
      <c r="F750">
        <f>+'Paste Here'!R750</f>
        <v>0</v>
      </c>
      <c r="G750">
        <f>+'Paste Here'!S750</f>
        <v>0</v>
      </c>
      <c r="H750">
        <f>+'Paste Here'!T750</f>
        <v>0</v>
      </c>
      <c r="I750">
        <f>+'Paste Here'!U750</f>
        <v>0</v>
      </c>
      <c r="J750">
        <f>+'Paste Here'!V750</f>
        <v>0</v>
      </c>
      <c r="K750">
        <f>+'Paste Here'!W750</f>
        <v>0</v>
      </c>
    </row>
    <row r="751" spans="1:11">
      <c r="A751" t="str">
        <f t="shared" si="11"/>
        <v>00</v>
      </c>
      <c r="B751">
        <f>+'Paste Here'!N751</f>
        <v>0</v>
      </c>
      <c r="C751">
        <f>+'Paste Here'!O751</f>
        <v>0</v>
      </c>
      <c r="D751">
        <f>+'Paste Here'!P751</f>
        <v>0</v>
      </c>
      <c r="E751">
        <f>+'Paste Here'!Q751</f>
        <v>0</v>
      </c>
      <c r="F751">
        <f>+'Paste Here'!R751</f>
        <v>0</v>
      </c>
      <c r="G751">
        <f>+'Paste Here'!S751</f>
        <v>0</v>
      </c>
      <c r="H751">
        <f>+'Paste Here'!T751</f>
        <v>0</v>
      </c>
      <c r="I751">
        <f>+'Paste Here'!U751</f>
        <v>0</v>
      </c>
      <c r="J751">
        <f>+'Paste Here'!V751</f>
        <v>0</v>
      </c>
      <c r="K751">
        <f>+'Paste Here'!W751</f>
        <v>0</v>
      </c>
    </row>
    <row r="752" spans="1:11">
      <c r="A752" t="str">
        <f t="shared" si="11"/>
        <v>00</v>
      </c>
      <c r="B752">
        <f>+'Paste Here'!N752</f>
        <v>0</v>
      </c>
      <c r="C752">
        <f>+'Paste Here'!O752</f>
        <v>0</v>
      </c>
      <c r="D752">
        <f>+'Paste Here'!P752</f>
        <v>0</v>
      </c>
      <c r="E752">
        <f>+'Paste Here'!Q752</f>
        <v>0</v>
      </c>
      <c r="F752">
        <f>+'Paste Here'!R752</f>
        <v>0</v>
      </c>
      <c r="G752">
        <f>+'Paste Here'!S752</f>
        <v>0</v>
      </c>
      <c r="H752">
        <f>+'Paste Here'!T752</f>
        <v>0</v>
      </c>
      <c r="I752">
        <f>+'Paste Here'!U752</f>
        <v>0</v>
      </c>
      <c r="J752">
        <f>+'Paste Here'!V752</f>
        <v>0</v>
      </c>
      <c r="K752">
        <f>+'Paste Here'!W752</f>
        <v>0</v>
      </c>
    </row>
    <row r="753" spans="1:11">
      <c r="A753" t="str">
        <f t="shared" si="11"/>
        <v>00</v>
      </c>
      <c r="B753">
        <f>+'Paste Here'!N753</f>
        <v>0</v>
      </c>
      <c r="C753">
        <f>+'Paste Here'!O753</f>
        <v>0</v>
      </c>
      <c r="D753">
        <f>+'Paste Here'!P753</f>
        <v>0</v>
      </c>
      <c r="E753">
        <f>+'Paste Here'!Q753</f>
        <v>0</v>
      </c>
      <c r="F753">
        <f>+'Paste Here'!R753</f>
        <v>0</v>
      </c>
      <c r="G753">
        <f>+'Paste Here'!S753</f>
        <v>0</v>
      </c>
      <c r="H753">
        <f>+'Paste Here'!T753</f>
        <v>0</v>
      </c>
      <c r="I753">
        <f>+'Paste Here'!U753</f>
        <v>0</v>
      </c>
      <c r="J753">
        <f>+'Paste Here'!V753</f>
        <v>0</v>
      </c>
      <c r="K753">
        <f>+'Paste Here'!W753</f>
        <v>0</v>
      </c>
    </row>
    <row r="754" spans="1:11">
      <c r="A754" t="str">
        <f t="shared" si="11"/>
        <v>00</v>
      </c>
      <c r="B754">
        <f>+'Paste Here'!N754</f>
        <v>0</v>
      </c>
      <c r="C754">
        <f>+'Paste Here'!O754</f>
        <v>0</v>
      </c>
      <c r="D754">
        <f>+'Paste Here'!P754</f>
        <v>0</v>
      </c>
      <c r="E754">
        <f>+'Paste Here'!Q754</f>
        <v>0</v>
      </c>
      <c r="F754">
        <f>+'Paste Here'!R754</f>
        <v>0</v>
      </c>
      <c r="G754">
        <f>+'Paste Here'!S754</f>
        <v>0</v>
      </c>
      <c r="H754">
        <f>+'Paste Here'!T754</f>
        <v>0</v>
      </c>
      <c r="I754">
        <f>+'Paste Here'!U754</f>
        <v>0</v>
      </c>
      <c r="J754">
        <f>+'Paste Here'!V754</f>
        <v>0</v>
      </c>
      <c r="K754">
        <f>+'Paste Here'!W754</f>
        <v>0</v>
      </c>
    </row>
    <row r="755" spans="1:11">
      <c r="A755" t="str">
        <f t="shared" si="11"/>
        <v>00</v>
      </c>
      <c r="B755">
        <f>+'Paste Here'!N755</f>
        <v>0</v>
      </c>
      <c r="C755">
        <f>+'Paste Here'!O755</f>
        <v>0</v>
      </c>
      <c r="D755">
        <f>+'Paste Here'!P755</f>
        <v>0</v>
      </c>
      <c r="E755">
        <f>+'Paste Here'!Q755</f>
        <v>0</v>
      </c>
      <c r="F755">
        <f>+'Paste Here'!R755</f>
        <v>0</v>
      </c>
      <c r="G755">
        <f>+'Paste Here'!S755</f>
        <v>0</v>
      </c>
      <c r="H755">
        <f>+'Paste Here'!T755</f>
        <v>0</v>
      </c>
      <c r="I755">
        <f>+'Paste Here'!U755</f>
        <v>0</v>
      </c>
      <c r="J755">
        <f>+'Paste Here'!V755</f>
        <v>0</v>
      </c>
      <c r="K755">
        <f>+'Paste Here'!W755</f>
        <v>0</v>
      </c>
    </row>
    <row r="756" spans="1:11">
      <c r="A756" t="str">
        <f t="shared" si="11"/>
        <v>00</v>
      </c>
      <c r="B756">
        <f>+'Paste Here'!N756</f>
        <v>0</v>
      </c>
      <c r="C756">
        <f>+'Paste Here'!O756</f>
        <v>0</v>
      </c>
      <c r="D756">
        <f>+'Paste Here'!P756</f>
        <v>0</v>
      </c>
      <c r="E756">
        <f>+'Paste Here'!Q756</f>
        <v>0</v>
      </c>
      <c r="F756">
        <f>+'Paste Here'!R756</f>
        <v>0</v>
      </c>
      <c r="G756">
        <f>+'Paste Here'!S756</f>
        <v>0</v>
      </c>
      <c r="H756">
        <f>+'Paste Here'!T756</f>
        <v>0</v>
      </c>
      <c r="I756">
        <f>+'Paste Here'!U756</f>
        <v>0</v>
      </c>
      <c r="J756">
        <f>+'Paste Here'!V756</f>
        <v>0</v>
      </c>
      <c r="K756">
        <f>+'Paste Here'!W756</f>
        <v>0</v>
      </c>
    </row>
    <row r="757" spans="1:11">
      <c r="A757" t="str">
        <f t="shared" si="11"/>
        <v>00</v>
      </c>
      <c r="B757">
        <f>+'Paste Here'!N757</f>
        <v>0</v>
      </c>
      <c r="C757">
        <f>+'Paste Here'!O757</f>
        <v>0</v>
      </c>
      <c r="D757">
        <f>+'Paste Here'!P757</f>
        <v>0</v>
      </c>
      <c r="E757">
        <f>+'Paste Here'!Q757</f>
        <v>0</v>
      </c>
      <c r="F757">
        <f>+'Paste Here'!R757</f>
        <v>0</v>
      </c>
      <c r="G757">
        <f>+'Paste Here'!S757</f>
        <v>0</v>
      </c>
      <c r="H757">
        <f>+'Paste Here'!T757</f>
        <v>0</v>
      </c>
      <c r="I757">
        <f>+'Paste Here'!U757</f>
        <v>0</v>
      </c>
      <c r="J757">
        <f>+'Paste Here'!V757</f>
        <v>0</v>
      </c>
      <c r="K757">
        <f>+'Paste Here'!W757</f>
        <v>0</v>
      </c>
    </row>
    <row r="758" spans="1:11">
      <c r="A758" t="str">
        <f t="shared" si="11"/>
        <v>00</v>
      </c>
      <c r="B758">
        <f>+'Paste Here'!N758</f>
        <v>0</v>
      </c>
      <c r="C758">
        <f>+'Paste Here'!O758</f>
        <v>0</v>
      </c>
      <c r="D758">
        <f>+'Paste Here'!P758</f>
        <v>0</v>
      </c>
      <c r="E758">
        <f>+'Paste Here'!Q758</f>
        <v>0</v>
      </c>
      <c r="F758">
        <f>+'Paste Here'!R758</f>
        <v>0</v>
      </c>
      <c r="G758">
        <f>+'Paste Here'!S758</f>
        <v>0</v>
      </c>
      <c r="H758">
        <f>+'Paste Here'!T758</f>
        <v>0</v>
      </c>
      <c r="I758">
        <f>+'Paste Here'!U758</f>
        <v>0</v>
      </c>
      <c r="J758">
        <f>+'Paste Here'!V758</f>
        <v>0</v>
      </c>
      <c r="K758">
        <f>+'Paste Here'!W758</f>
        <v>0</v>
      </c>
    </row>
    <row r="759" spans="1:11">
      <c r="A759" t="str">
        <f t="shared" si="11"/>
        <v>00</v>
      </c>
      <c r="B759">
        <f>+'Paste Here'!N759</f>
        <v>0</v>
      </c>
      <c r="C759">
        <f>+'Paste Here'!O759</f>
        <v>0</v>
      </c>
      <c r="D759">
        <f>+'Paste Here'!P759</f>
        <v>0</v>
      </c>
      <c r="E759">
        <f>+'Paste Here'!Q759</f>
        <v>0</v>
      </c>
      <c r="F759">
        <f>+'Paste Here'!R759</f>
        <v>0</v>
      </c>
      <c r="G759">
        <f>+'Paste Here'!S759</f>
        <v>0</v>
      </c>
      <c r="H759">
        <f>+'Paste Here'!T759</f>
        <v>0</v>
      </c>
      <c r="I759">
        <f>+'Paste Here'!U759</f>
        <v>0</v>
      </c>
      <c r="J759">
        <f>+'Paste Here'!V759</f>
        <v>0</v>
      </c>
      <c r="K759">
        <f>+'Paste Here'!W759</f>
        <v>0</v>
      </c>
    </row>
    <row r="760" spans="1:11">
      <c r="A760" t="str">
        <f t="shared" si="11"/>
        <v>00</v>
      </c>
      <c r="B760">
        <f>+'Paste Here'!N760</f>
        <v>0</v>
      </c>
      <c r="C760">
        <f>+'Paste Here'!O760</f>
        <v>0</v>
      </c>
      <c r="D760">
        <f>+'Paste Here'!P760</f>
        <v>0</v>
      </c>
      <c r="E760">
        <f>+'Paste Here'!Q760</f>
        <v>0</v>
      </c>
      <c r="F760">
        <f>+'Paste Here'!R760</f>
        <v>0</v>
      </c>
      <c r="G760">
        <f>+'Paste Here'!S760</f>
        <v>0</v>
      </c>
      <c r="H760">
        <f>+'Paste Here'!T760</f>
        <v>0</v>
      </c>
      <c r="I760">
        <f>+'Paste Here'!U760</f>
        <v>0</v>
      </c>
      <c r="J760">
        <f>+'Paste Here'!V760</f>
        <v>0</v>
      </c>
      <c r="K760">
        <f>+'Paste Here'!W760</f>
        <v>0</v>
      </c>
    </row>
    <row r="761" spans="1:11">
      <c r="A761" t="str">
        <f t="shared" si="11"/>
        <v>00</v>
      </c>
      <c r="B761">
        <f>+'Paste Here'!N761</f>
        <v>0</v>
      </c>
      <c r="C761">
        <f>+'Paste Here'!O761</f>
        <v>0</v>
      </c>
      <c r="D761">
        <f>+'Paste Here'!P761</f>
        <v>0</v>
      </c>
      <c r="E761">
        <f>+'Paste Here'!Q761</f>
        <v>0</v>
      </c>
      <c r="F761">
        <f>+'Paste Here'!R761</f>
        <v>0</v>
      </c>
      <c r="G761">
        <f>+'Paste Here'!S761</f>
        <v>0</v>
      </c>
      <c r="H761">
        <f>+'Paste Here'!T761</f>
        <v>0</v>
      </c>
      <c r="I761">
        <f>+'Paste Here'!U761</f>
        <v>0</v>
      </c>
      <c r="J761">
        <f>+'Paste Here'!V761</f>
        <v>0</v>
      </c>
      <c r="K761">
        <f>+'Paste Here'!W761</f>
        <v>0</v>
      </c>
    </row>
    <row r="762" spans="1:11">
      <c r="A762" t="str">
        <f t="shared" si="11"/>
        <v>00</v>
      </c>
      <c r="B762">
        <f>+'Paste Here'!N762</f>
        <v>0</v>
      </c>
      <c r="C762">
        <f>+'Paste Here'!O762</f>
        <v>0</v>
      </c>
      <c r="D762">
        <f>+'Paste Here'!P762</f>
        <v>0</v>
      </c>
      <c r="E762">
        <f>+'Paste Here'!Q762</f>
        <v>0</v>
      </c>
      <c r="F762">
        <f>+'Paste Here'!R762</f>
        <v>0</v>
      </c>
      <c r="G762">
        <f>+'Paste Here'!S762</f>
        <v>0</v>
      </c>
      <c r="H762">
        <f>+'Paste Here'!T762</f>
        <v>0</v>
      </c>
      <c r="I762">
        <f>+'Paste Here'!U762</f>
        <v>0</v>
      </c>
      <c r="J762">
        <f>+'Paste Here'!V762</f>
        <v>0</v>
      </c>
      <c r="K762">
        <f>+'Paste Here'!W762</f>
        <v>0</v>
      </c>
    </row>
    <row r="763" spans="1:11">
      <c r="A763" t="str">
        <f t="shared" si="11"/>
        <v>00</v>
      </c>
      <c r="B763">
        <f>+'Paste Here'!N763</f>
        <v>0</v>
      </c>
      <c r="C763">
        <f>+'Paste Here'!O763</f>
        <v>0</v>
      </c>
      <c r="D763">
        <f>+'Paste Here'!P763</f>
        <v>0</v>
      </c>
      <c r="E763">
        <f>+'Paste Here'!Q763</f>
        <v>0</v>
      </c>
      <c r="F763">
        <f>+'Paste Here'!R763</f>
        <v>0</v>
      </c>
      <c r="G763">
        <f>+'Paste Here'!S763</f>
        <v>0</v>
      </c>
      <c r="H763">
        <f>+'Paste Here'!T763</f>
        <v>0</v>
      </c>
      <c r="I763">
        <f>+'Paste Here'!U763</f>
        <v>0</v>
      </c>
      <c r="J763">
        <f>+'Paste Here'!V763</f>
        <v>0</v>
      </c>
      <c r="K763">
        <f>+'Paste Here'!W763</f>
        <v>0</v>
      </c>
    </row>
    <row r="764" spans="1:11">
      <c r="A764" t="str">
        <f t="shared" si="11"/>
        <v>00</v>
      </c>
      <c r="B764">
        <f>+'Paste Here'!N764</f>
        <v>0</v>
      </c>
      <c r="C764">
        <f>+'Paste Here'!O764</f>
        <v>0</v>
      </c>
      <c r="D764">
        <f>+'Paste Here'!P764</f>
        <v>0</v>
      </c>
      <c r="E764">
        <f>+'Paste Here'!Q764</f>
        <v>0</v>
      </c>
      <c r="F764">
        <f>+'Paste Here'!R764</f>
        <v>0</v>
      </c>
      <c r="G764">
        <f>+'Paste Here'!S764</f>
        <v>0</v>
      </c>
      <c r="H764">
        <f>+'Paste Here'!T764</f>
        <v>0</v>
      </c>
      <c r="I764">
        <f>+'Paste Here'!U764</f>
        <v>0</v>
      </c>
      <c r="J764">
        <f>+'Paste Here'!V764</f>
        <v>0</v>
      </c>
      <c r="K764">
        <f>+'Paste Here'!W764</f>
        <v>0</v>
      </c>
    </row>
    <row r="765" spans="1:11">
      <c r="A765" t="str">
        <f t="shared" si="11"/>
        <v>00</v>
      </c>
      <c r="B765">
        <f>+'Paste Here'!N765</f>
        <v>0</v>
      </c>
      <c r="C765">
        <f>+'Paste Here'!O765</f>
        <v>0</v>
      </c>
      <c r="D765">
        <f>+'Paste Here'!P765</f>
        <v>0</v>
      </c>
      <c r="E765">
        <f>+'Paste Here'!Q765</f>
        <v>0</v>
      </c>
      <c r="F765">
        <f>+'Paste Here'!R765</f>
        <v>0</v>
      </c>
      <c r="G765">
        <f>+'Paste Here'!S765</f>
        <v>0</v>
      </c>
      <c r="H765">
        <f>+'Paste Here'!T765</f>
        <v>0</v>
      </c>
      <c r="I765">
        <f>+'Paste Here'!U765</f>
        <v>0</v>
      </c>
      <c r="J765">
        <f>+'Paste Here'!V765</f>
        <v>0</v>
      </c>
      <c r="K765">
        <f>+'Paste Here'!W765</f>
        <v>0</v>
      </c>
    </row>
    <row r="766" spans="1:11">
      <c r="A766" t="str">
        <f t="shared" si="11"/>
        <v>00</v>
      </c>
      <c r="B766">
        <f>+'Paste Here'!N766</f>
        <v>0</v>
      </c>
      <c r="C766">
        <f>+'Paste Here'!O766</f>
        <v>0</v>
      </c>
      <c r="D766">
        <f>+'Paste Here'!P766</f>
        <v>0</v>
      </c>
      <c r="E766">
        <f>+'Paste Here'!Q766</f>
        <v>0</v>
      </c>
      <c r="F766">
        <f>+'Paste Here'!R766</f>
        <v>0</v>
      </c>
      <c r="G766">
        <f>+'Paste Here'!S766</f>
        <v>0</v>
      </c>
      <c r="H766">
        <f>+'Paste Here'!T766</f>
        <v>0</v>
      </c>
      <c r="I766">
        <f>+'Paste Here'!U766</f>
        <v>0</v>
      </c>
      <c r="J766">
        <f>+'Paste Here'!V766</f>
        <v>0</v>
      </c>
      <c r="K766">
        <f>+'Paste Here'!W766</f>
        <v>0</v>
      </c>
    </row>
    <row r="767" spans="1:11">
      <c r="A767" t="str">
        <f t="shared" si="11"/>
        <v>00</v>
      </c>
      <c r="B767">
        <f>+'Paste Here'!N767</f>
        <v>0</v>
      </c>
      <c r="C767">
        <f>+'Paste Here'!O767</f>
        <v>0</v>
      </c>
      <c r="D767">
        <f>+'Paste Here'!P767</f>
        <v>0</v>
      </c>
      <c r="E767">
        <f>+'Paste Here'!Q767</f>
        <v>0</v>
      </c>
      <c r="F767">
        <f>+'Paste Here'!R767</f>
        <v>0</v>
      </c>
      <c r="G767">
        <f>+'Paste Here'!S767</f>
        <v>0</v>
      </c>
      <c r="H767">
        <f>+'Paste Here'!T767</f>
        <v>0</v>
      </c>
      <c r="I767">
        <f>+'Paste Here'!U767</f>
        <v>0</v>
      </c>
      <c r="J767">
        <f>+'Paste Here'!V767</f>
        <v>0</v>
      </c>
      <c r="K767">
        <f>+'Paste Here'!W767</f>
        <v>0</v>
      </c>
    </row>
    <row r="768" spans="1:11">
      <c r="A768" t="str">
        <f t="shared" si="11"/>
        <v>00</v>
      </c>
      <c r="B768">
        <f>+'Paste Here'!N768</f>
        <v>0</v>
      </c>
      <c r="C768">
        <f>+'Paste Here'!O768</f>
        <v>0</v>
      </c>
      <c r="D768">
        <f>+'Paste Here'!P768</f>
        <v>0</v>
      </c>
      <c r="E768">
        <f>+'Paste Here'!Q768</f>
        <v>0</v>
      </c>
      <c r="F768">
        <f>+'Paste Here'!R768</f>
        <v>0</v>
      </c>
      <c r="G768">
        <f>+'Paste Here'!S768</f>
        <v>0</v>
      </c>
      <c r="H768">
        <f>+'Paste Here'!T768</f>
        <v>0</v>
      </c>
      <c r="I768">
        <f>+'Paste Here'!U768</f>
        <v>0</v>
      </c>
      <c r="J768">
        <f>+'Paste Here'!V768</f>
        <v>0</v>
      </c>
      <c r="K768">
        <f>+'Paste Here'!W768</f>
        <v>0</v>
      </c>
    </row>
    <row r="769" spans="1:11">
      <c r="A769" t="str">
        <f t="shared" si="11"/>
        <v>00</v>
      </c>
      <c r="B769">
        <f>+'Paste Here'!N769</f>
        <v>0</v>
      </c>
      <c r="C769">
        <f>+'Paste Here'!O769</f>
        <v>0</v>
      </c>
      <c r="D769">
        <f>+'Paste Here'!P769</f>
        <v>0</v>
      </c>
      <c r="E769">
        <f>+'Paste Here'!Q769</f>
        <v>0</v>
      </c>
      <c r="F769">
        <f>+'Paste Here'!R769</f>
        <v>0</v>
      </c>
      <c r="G769">
        <f>+'Paste Here'!S769</f>
        <v>0</v>
      </c>
      <c r="H769">
        <f>+'Paste Here'!T769</f>
        <v>0</v>
      </c>
      <c r="I769">
        <f>+'Paste Here'!U769</f>
        <v>0</v>
      </c>
      <c r="J769">
        <f>+'Paste Here'!V769</f>
        <v>0</v>
      </c>
      <c r="K769">
        <f>+'Paste Here'!W769</f>
        <v>0</v>
      </c>
    </row>
    <row r="770" spans="1:11">
      <c r="A770" t="str">
        <f t="shared" si="11"/>
        <v>00</v>
      </c>
      <c r="B770">
        <f>+'Paste Here'!N770</f>
        <v>0</v>
      </c>
      <c r="C770">
        <f>+'Paste Here'!O770</f>
        <v>0</v>
      </c>
      <c r="D770">
        <f>+'Paste Here'!P770</f>
        <v>0</v>
      </c>
      <c r="E770">
        <f>+'Paste Here'!Q770</f>
        <v>0</v>
      </c>
      <c r="F770">
        <f>+'Paste Here'!R770</f>
        <v>0</v>
      </c>
      <c r="G770">
        <f>+'Paste Here'!S770</f>
        <v>0</v>
      </c>
      <c r="H770">
        <f>+'Paste Here'!T770</f>
        <v>0</v>
      </c>
      <c r="I770">
        <f>+'Paste Here'!U770</f>
        <v>0</v>
      </c>
      <c r="J770">
        <f>+'Paste Here'!V770</f>
        <v>0</v>
      </c>
      <c r="K770">
        <f>+'Paste Here'!W770</f>
        <v>0</v>
      </c>
    </row>
    <row r="771" spans="1:11">
      <c r="A771" t="str">
        <f t="shared" ref="A771:A834" si="12">+CONCATENATE(C771,D771)</f>
        <v>00</v>
      </c>
      <c r="B771">
        <f>+'Paste Here'!N771</f>
        <v>0</v>
      </c>
      <c r="C771">
        <f>+'Paste Here'!O771</f>
        <v>0</v>
      </c>
      <c r="D771">
        <f>+'Paste Here'!P771</f>
        <v>0</v>
      </c>
      <c r="E771">
        <f>+'Paste Here'!Q771</f>
        <v>0</v>
      </c>
      <c r="F771">
        <f>+'Paste Here'!R771</f>
        <v>0</v>
      </c>
      <c r="G771">
        <f>+'Paste Here'!S771</f>
        <v>0</v>
      </c>
      <c r="H771">
        <f>+'Paste Here'!T771</f>
        <v>0</v>
      </c>
      <c r="I771">
        <f>+'Paste Here'!U771</f>
        <v>0</v>
      </c>
      <c r="J771">
        <f>+'Paste Here'!V771</f>
        <v>0</v>
      </c>
      <c r="K771">
        <f>+'Paste Here'!W771</f>
        <v>0</v>
      </c>
    </row>
    <row r="772" spans="1:11">
      <c r="A772" t="str">
        <f t="shared" si="12"/>
        <v>00</v>
      </c>
      <c r="B772">
        <f>+'Paste Here'!N772</f>
        <v>0</v>
      </c>
      <c r="C772">
        <f>+'Paste Here'!O772</f>
        <v>0</v>
      </c>
      <c r="D772">
        <f>+'Paste Here'!P772</f>
        <v>0</v>
      </c>
      <c r="E772">
        <f>+'Paste Here'!Q772</f>
        <v>0</v>
      </c>
      <c r="F772">
        <f>+'Paste Here'!R772</f>
        <v>0</v>
      </c>
      <c r="G772">
        <f>+'Paste Here'!S772</f>
        <v>0</v>
      </c>
      <c r="H772">
        <f>+'Paste Here'!T772</f>
        <v>0</v>
      </c>
      <c r="I772">
        <f>+'Paste Here'!U772</f>
        <v>0</v>
      </c>
      <c r="J772">
        <f>+'Paste Here'!V772</f>
        <v>0</v>
      </c>
      <c r="K772">
        <f>+'Paste Here'!W772</f>
        <v>0</v>
      </c>
    </row>
    <row r="773" spans="1:11">
      <c r="A773" t="str">
        <f t="shared" si="12"/>
        <v>00</v>
      </c>
      <c r="B773">
        <f>+'Paste Here'!N773</f>
        <v>0</v>
      </c>
      <c r="C773">
        <f>+'Paste Here'!O773</f>
        <v>0</v>
      </c>
      <c r="D773">
        <f>+'Paste Here'!P773</f>
        <v>0</v>
      </c>
      <c r="E773">
        <f>+'Paste Here'!Q773</f>
        <v>0</v>
      </c>
      <c r="F773">
        <f>+'Paste Here'!R773</f>
        <v>0</v>
      </c>
      <c r="G773">
        <f>+'Paste Here'!S773</f>
        <v>0</v>
      </c>
      <c r="H773">
        <f>+'Paste Here'!T773</f>
        <v>0</v>
      </c>
      <c r="I773">
        <f>+'Paste Here'!U773</f>
        <v>0</v>
      </c>
      <c r="J773">
        <f>+'Paste Here'!V773</f>
        <v>0</v>
      </c>
      <c r="K773">
        <f>+'Paste Here'!W773</f>
        <v>0</v>
      </c>
    </row>
    <row r="774" spans="1:11">
      <c r="A774" t="str">
        <f t="shared" si="12"/>
        <v>00</v>
      </c>
      <c r="B774">
        <f>+'Paste Here'!N774</f>
        <v>0</v>
      </c>
      <c r="C774">
        <f>+'Paste Here'!O774</f>
        <v>0</v>
      </c>
      <c r="D774">
        <f>+'Paste Here'!P774</f>
        <v>0</v>
      </c>
      <c r="E774">
        <f>+'Paste Here'!Q774</f>
        <v>0</v>
      </c>
      <c r="F774">
        <f>+'Paste Here'!R774</f>
        <v>0</v>
      </c>
      <c r="G774">
        <f>+'Paste Here'!S774</f>
        <v>0</v>
      </c>
      <c r="H774">
        <f>+'Paste Here'!T774</f>
        <v>0</v>
      </c>
      <c r="I774">
        <f>+'Paste Here'!U774</f>
        <v>0</v>
      </c>
      <c r="J774">
        <f>+'Paste Here'!V774</f>
        <v>0</v>
      </c>
      <c r="K774">
        <f>+'Paste Here'!W774</f>
        <v>0</v>
      </c>
    </row>
    <row r="775" spans="1:11">
      <c r="A775" t="str">
        <f t="shared" si="12"/>
        <v>00</v>
      </c>
      <c r="B775">
        <f>+'Paste Here'!N775</f>
        <v>0</v>
      </c>
      <c r="C775">
        <f>+'Paste Here'!O775</f>
        <v>0</v>
      </c>
      <c r="D775">
        <f>+'Paste Here'!P775</f>
        <v>0</v>
      </c>
      <c r="E775">
        <f>+'Paste Here'!Q775</f>
        <v>0</v>
      </c>
      <c r="F775">
        <f>+'Paste Here'!R775</f>
        <v>0</v>
      </c>
      <c r="G775">
        <f>+'Paste Here'!S775</f>
        <v>0</v>
      </c>
      <c r="H775">
        <f>+'Paste Here'!T775</f>
        <v>0</v>
      </c>
      <c r="I775">
        <f>+'Paste Here'!U775</f>
        <v>0</v>
      </c>
      <c r="J775">
        <f>+'Paste Here'!V775</f>
        <v>0</v>
      </c>
      <c r="K775">
        <f>+'Paste Here'!W775</f>
        <v>0</v>
      </c>
    </row>
    <row r="776" spans="1:11">
      <c r="A776" t="str">
        <f t="shared" si="12"/>
        <v>00</v>
      </c>
      <c r="B776">
        <f>+'Paste Here'!N776</f>
        <v>0</v>
      </c>
      <c r="C776">
        <f>+'Paste Here'!O776</f>
        <v>0</v>
      </c>
      <c r="D776">
        <f>+'Paste Here'!P776</f>
        <v>0</v>
      </c>
      <c r="E776">
        <f>+'Paste Here'!Q776</f>
        <v>0</v>
      </c>
      <c r="F776">
        <f>+'Paste Here'!R776</f>
        <v>0</v>
      </c>
      <c r="G776">
        <f>+'Paste Here'!S776</f>
        <v>0</v>
      </c>
      <c r="H776">
        <f>+'Paste Here'!T776</f>
        <v>0</v>
      </c>
      <c r="I776">
        <f>+'Paste Here'!U776</f>
        <v>0</v>
      </c>
      <c r="J776">
        <f>+'Paste Here'!V776</f>
        <v>0</v>
      </c>
      <c r="K776">
        <f>+'Paste Here'!W776</f>
        <v>0</v>
      </c>
    </row>
    <row r="777" spans="1:11">
      <c r="A777" t="str">
        <f t="shared" si="12"/>
        <v>00</v>
      </c>
      <c r="B777">
        <f>+'Paste Here'!N777</f>
        <v>0</v>
      </c>
      <c r="C777">
        <f>+'Paste Here'!O777</f>
        <v>0</v>
      </c>
      <c r="D777">
        <f>+'Paste Here'!P777</f>
        <v>0</v>
      </c>
      <c r="E777">
        <f>+'Paste Here'!Q777</f>
        <v>0</v>
      </c>
      <c r="F777">
        <f>+'Paste Here'!R777</f>
        <v>0</v>
      </c>
      <c r="G777">
        <f>+'Paste Here'!S777</f>
        <v>0</v>
      </c>
      <c r="H777">
        <f>+'Paste Here'!T777</f>
        <v>0</v>
      </c>
      <c r="I777">
        <f>+'Paste Here'!U777</f>
        <v>0</v>
      </c>
      <c r="J777">
        <f>+'Paste Here'!V777</f>
        <v>0</v>
      </c>
      <c r="K777">
        <f>+'Paste Here'!W777</f>
        <v>0</v>
      </c>
    </row>
    <row r="778" spans="1:11">
      <c r="A778" t="str">
        <f t="shared" si="12"/>
        <v>00</v>
      </c>
      <c r="B778">
        <f>+'Paste Here'!N778</f>
        <v>0</v>
      </c>
      <c r="C778">
        <f>+'Paste Here'!O778</f>
        <v>0</v>
      </c>
      <c r="D778">
        <f>+'Paste Here'!P778</f>
        <v>0</v>
      </c>
      <c r="E778">
        <f>+'Paste Here'!Q778</f>
        <v>0</v>
      </c>
      <c r="F778">
        <f>+'Paste Here'!R778</f>
        <v>0</v>
      </c>
      <c r="G778">
        <f>+'Paste Here'!S778</f>
        <v>0</v>
      </c>
      <c r="H778">
        <f>+'Paste Here'!T778</f>
        <v>0</v>
      </c>
      <c r="I778">
        <f>+'Paste Here'!U778</f>
        <v>0</v>
      </c>
      <c r="J778">
        <f>+'Paste Here'!V778</f>
        <v>0</v>
      </c>
      <c r="K778">
        <f>+'Paste Here'!W778</f>
        <v>0</v>
      </c>
    </row>
    <row r="779" spans="1:11">
      <c r="A779" t="str">
        <f t="shared" si="12"/>
        <v>00</v>
      </c>
      <c r="B779">
        <f>+'Paste Here'!N779</f>
        <v>0</v>
      </c>
      <c r="C779">
        <f>+'Paste Here'!O779</f>
        <v>0</v>
      </c>
      <c r="D779">
        <f>+'Paste Here'!P779</f>
        <v>0</v>
      </c>
      <c r="E779">
        <f>+'Paste Here'!Q779</f>
        <v>0</v>
      </c>
      <c r="F779">
        <f>+'Paste Here'!R779</f>
        <v>0</v>
      </c>
      <c r="G779">
        <f>+'Paste Here'!S779</f>
        <v>0</v>
      </c>
      <c r="H779">
        <f>+'Paste Here'!T779</f>
        <v>0</v>
      </c>
      <c r="I779">
        <f>+'Paste Here'!U779</f>
        <v>0</v>
      </c>
      <c r="J779">
        <f>+'Paste Here'!V779</f>
        <v>0</v>
      </c>
      <c r="K779">
        <f>+'Paste Here'!W779</f>
        <v>0</v>
      </c>
    </row>
    <row r="780" spans="1:11">
      <c r="A780" t="str">
        <f t="shared" si="12"/>
        <v>00</v>
      </c>
      <c r="B780">
        <f>+'Paste Here'!N780</f>
        <v>0</v>
      </c>
      <c r="C780">
        <f>+'Paste Here'!O780</f>
        <v>0</v>
      </c>
      <c r="D780">
        <f>+'Paste Here'!P780</f>
        <v>0</v>
      </c>
      <c r="E780">
        <f>+'Paste Here'!Q780</f>
        <v>0</v>
      </c>
      <c r="F780">
        <f>+'Paste Here'!R780</f>
        <v>0</v>
      </c>
      <c r="G780">
        <f>+'Paste Here'!S780</f>
        <v>0</v>
      </c>
      <c r="H780">
        <f>+'Paste Here'!T780</f>
        <v>0</v>
      </c>
      <c r="I780">
        <f>+'Paste Here'!U780</f>
        <v>0</v>
      </c>
      <c r="J780">
        <f>+'Paste Here'!V780</f>
        <v>0</v>
      </c>
      <c r="K780">
        <f>+'Paste Here'!W780</f>
        <v>0</v>
      </c>
    </row>
    <row r="781" spans="1:11">
      <c r="A781" t="str">
        <f t="shared" si="12"/>
        <v>00</v>
      </c>
      <c r="B781">
        <f>+'Paste Here'!N781</f>
        <v>0</v>
      </c>
      <c r="C781">
        <f>+'Paste Here'!O781</f>
        <v>0</v>
      </c>
      <c r="D781">
        <f>+'Paste Here'!P781</f>
        <v>0</v>
      </c>
      <c r="E781">
        <f>+'Paste Here'!Q781</f>
        <v>0</v>
      </c>
      <c r="F781">
        <f>+'Paste Here'!R781</f>
        <v>0</v>
      </c>
      <c r="G781">
        <f>+'Paste Here'!S781</f>
        <v>0</v>
      </c>
      <c r="H781">
        <f>+'Paste Here'!T781</f>
        <v>0</v>
      </c>
      <c r="I781">
        <f>+'Paste Here'!U781</f>
        <v>0</v>
      </c>
      <c r="J781">
        <f>+'Paste Here'!V781</f>
        <v>0</v>
      </c>
      <c r="K781">
        <f>+'Paste Here'!W781</f>
        <v>0</v>
      </c>
    </row>
    <row r="782" spans="1:11">
      <c r="A782" t="str">
        <f t="shared" si="12"/>
        <v>00</v>
      </c>
      <c r="B782">
        <f>+'Paste Here'!N782</f>
        <v>0</v>
      </c>
      <c r="C782">
        <f>+'Paste Here'!O782</f>
        <v>0</v>
      </c>
      <c r="D782">
        <f>+'Paste Here'!P782</f>
        <v>0</v>
      </c>
      <c r="E782">
        <f>+'Paste Here'!Q782</f>
        <v>0</v>
      </c>
      <c r="F782">
        <f>+'Paste Here'!R782</f>
        <v>0</v>
      </c>
      <c r="G782">
        <f>+'Paste Here'!S782</f>
        <v>0</v>
      </c>
      <c r="H782">
        <f>+'Paste Here'!T782</f>
        <v>0</v>
      </c>
      <c r="I782">
        <f>+'Paste Here'!U782</f>
        <v>0</v>
      </c>
      <c r="J782">
        <f>+'Paste Here'!V782</f>
        <v>0</v>
      </c>
      <c r="K782">
        <f>+'Paste Here'!W782</f>
        <v>0</v>
      </c>
    </row>
    <row r="783" spans="1:11">
      <c r="A783" t="str">
        <f t="shared" si="12"/>
        <v>00</v>
      </c>
      <c r="B783">
        <f>+'Paste Here'!N783</f>
        <v>0</v>
      </c>
      <c r="C783">
        <f>+'Paste Here'!O783</f>
        <v>0</v>
      </c>
      <c r="D783">
        <f>+'Paste Here'!P783</f>
        <v>0</v>
      </c>
      <c r="E783">
        <f>+'Paste Here'!Q783</f>
        <v>0</v>
      </c>
      <c r="F783">
        <f>+'Paste Here'!R783</f>
        <v>0</v>
      </c>
      <c r="G783">
        <f>+'Paste Here'!S783</f>
        <v>0</v>
      </c>
      <c r="H783">
        <f>+'Paste Here'!T783</f>
        <v>0</v>
      </c>
      <c r="I783">
        <f>+'Paste Here'!U783</f>
        <v>0</v>
      </c>
      <c r="J783">
        <f>+'Paste Here'!V783</f>
        <v>0</v>
      </c>
      <c r="K783">
        <f>+'Paste Here'!W783</f>
        <v>0</v>
      </c>
    </row>
    <row r="784" spans="1:11">
      <c r="A784" t="str">
        <f t="shared" si="12"/>
        <v>00</v>
      </c>
      <c r="B784">
        <f>+'Paste Here'!N784</f>
        <v>0</v>
      </c>
      <c r="C784">
        <f>+'Paste Here'!O784</f>
        <v>0</v>
      </c>
      <c r="D784">
        <f>+'Paste Here'!P784</f>
        <v>0</v>
      </c>
      <c r="E784">
        <f>+'Paste Here'!Q784</f>
        <v>0</v>
      </c>
      <c r="F784">
        <f>+'Paste Here'!R784</f>
        <v>0</v>
      </c>
      <c r="G784">
        <f>+'Paste Here'!S784</f>
        <v>0</v>
      </c>
      <c r="H784">
        <f>+'Paste Here'!T784</f>
        <v>0</v>
      </c>
      <c r="I784">
        <f>+'Paste Here'!U784</f>
        <v>0</v>
      </c>
      <c r="J784">
        <f>+'Paste Here'!V784</f>
        <v>0</v>
      </c>
      <c r="K784">
        <f>+'Paste Here'!W784</f>
        <v>0</v>
      </c>
    </row>
    <row r="785" spans="1:11">
      <c r="A785" t="str">
        <f t="shared" si="12"/>
        <v>00</v>
      </c>
      <c r="B785">
        <f>+'Paste Here'!N785</f>
        <v>0</v>
      </c>
      <c r="C785">
        <f>+'Paste Here'!O785</f>
        <v>0</v>
      </c>
      <c r="D785">
        <f>+'Paste Here'!P785</f>
        <v>0</v>
      </c>
      <c r="E785">
        <f>+'Paste Here'!Q785</f>
        <v>0</v>
      </c>
      <c r="F785">
        <f>+'Paste Here'!R785</f>
        <v>0</v>
      </c>
      <c r="G785">
        <f>+'Paste Here'!S785</f>
        <v>0</v>
      </c>
      <c r="H785">
        <f>+'Paste Here'!T785</f>
        <v>0</v>
      </c>
      <c r="I785">
        <f>+'Paste Here'!U785</f>
        <v>0</v>
      </c>
      <c r="J785">
        <f>+'Paste Here'!V785</f>
        <v>0</v>
      </c>
      <c r="K785">
        <f>+'Paste Here'!W785</f>
        <v>0</v>
      </c>
    </row>
    <row r="786" spans="1:11">
      <c r="A786" t="str">
        <f t="shared" si="12"/>
        <v>00</v>
      </c>
      <c r="B786">
        <f>+'Paste Here'!N786</f>
        <v>0</v>
      </c>
      <c r="C786">
        <f>+'Paste Here'!O786</f>
        <v>0</v>
      </c>
      <c r="D786">
        <f>+'Paste Here'!P786</f>
        <v>0</v>
      </c>
      <c r="E786">
        <f>+'Paste Here'!Q786</f>
        <v>0</v>
      </c>
      <c r="F786">
        <f>+'Paste Here'!R786</f>
        <v>0</v>
      </c>
      <c r="G786">
        <f>+'Paste Here'!S786</f>
        <v>0</v>
      </c>
      <c r="H786">
        <f>+'Paste Here'!T786</f>
        <v>0</v>
      </c>
      <c r="I786">
        <f>+'Paste Here'!U786</f>
        <v>0</v>
      </c>
      <c r="J786">
        <f>+'Paste Here'!V786</f>
        <v>0</v>
      </c>
      <c r="K786">
        <f>+'Paste Here'!W786</f>
        <v>0</v>
      </c>
    </row>
    <row r="787" spans="1:11">
      <c r="A787" t="str">
        <f t="shared" si="12"/>
        <v>00</v>
      </c>
      <c r="B787">
        <f>+'Paste Here'!N787</f>
        <v>0</v>
      </c>
      <c r="C787">
        <f>+'Paste Here'!O787</f>
        <v>0</v>
      </c>
      <c r="D787">
        <f>+'Paste Here'!P787</f>
        <v>0</v>
      </c>
      <c r="E787">
        <f>+'Paste Here'!Q787</f>
        <v>0</v>
      </c>
      <c r="F787">
        <f>+'Paste Here'!R787</f>
        <v>0</v>
      </c>
      <c r="G787">
        <f>+'Paste Here'!S787</f>
        <v>0</v>
      </c>
      <c r="H787">
        <f>+'Paste Here'!T787</f>
        <v>0</v>
      </c>
      <c r="I787">
        <f>+'Paste Here'!U787</f>
        <v>0</v>
      </c>
      <c r="J787">
        <f>+'Paste Here'!V787</f>
        <v>0</v>
      </c>
      <c r="K787">
        <f>+'Paste Here'!W787</f>
        <v>0</v>
      </c>
    </row>
    <row r="788" spans="1:11">
      <c r="A788" t="str">
        <f t="shared" si="12"/>
        <v>00</v>
      </c>
      <c r="B788">
        <f>+'Paste Here'!N788</f>
        <v>0</v>
      </c>
      <c r="C788">
        <f>+'Paste Here'!O788</f>
        <v>0</v>
      </c>
      <c r="D788">
        <f>+'Paste Here'!P788</f>
        <v>0</v>
      </c>
      <c r="E788">
        <f>+'Paste Here'!Q788</f>
        <v>0</v>
      </c>
      <c r="F788">
        <f>+'Paste Here'!R788</f>
        <v>0</v>
      </c>
      <c r="G788">
        <f>+'Paste Here'!S788</f>
        <v>0</v>
      </c>
      <c r="H788">
        <f>+'Paste Here'!T788</f>
        <v>0</v>
      </c>
      <c r="I788">
        <f>+'Paste Here'!U788</f>
        <v>0</v>
      </c>
      <c r="J788">
        <f>+'Paste Here'!V788</f>
        <v>0</v>
      </c>
      <c r="K788">
        <f>+'Paste Here'!W788</f>
        <v>0</v>
      </c>
    </row>
    <row r="789" spans="1:11">
      <c r="A789" t="str">
        <f t="shared" si="12"/>
        <v>00</v>
      </c>
      <c r="B789">
        <f>+'Paste Here'!N789</f>
        <v>0</v>
      </c>
      <c r="C789">
        <f>+'Paste Here'!O789</f>
        <v>0</v>
      </c>
      <c r="D789">
        <f>+'Paste Here'!P789</f>
        <v>0</v>
      </c>
      <c r="E789">
        <f>+'Paste Here'!Q789</f>
        <v>0</v>
      </c>
      <c r="F789">
        <f>+'Paste Here'!R789</f>
        <v>0</v>
      </c>
      <c r="G789">
        <f>+'Paste Here'!S789</f>
        <v>0</v>
      </c>
      <c r="H789">
        <f>+'Paste Here'!T789</f>
        <v>0</v>
      </c>
      <c r="I789">
        <f>+'Paste Here'!U789</f>
        <v>0</v>
      </c>
      <c r="J789">
        <f>+'Paste Here'!V789</f>
        <v>0</v>
      </c>
      <c r="K789">
        <f>+'Paste Here'!W789</f>
        <v>0</v>
      </c>
    </row>
    <row r="790" spans="1:11">
      <c r="A790" t="str">
        <f t="shared" si="12"/>
        <v>00</v>
      </c>
      <c r="B790">
        <f>+'Paste Here'!N790</f>
        <v>0</v>
      </c>
      <c r="C790">
        <f>+'Paste Here'!O790</f>
        <v>0</v>
      </c>
      <c r="D790">
        <f>+'Paste Here'!P790</f>
        <v>0</v>
      </c>
      <c r="E790">
        <f>+'Paste Here'!Q790</f>
        <v>0</v>
      </c>
      <c r="F790">
        <f>+'Paste Here'!R790</f>
        <v>0</v>
      </c>
      <c r="G790">
        <f>+'Paste Here'!S790</f>
        <v>0</v>
      </c>
      <c r="H790">
        <f>+'Paste Here'!T790</f>
        <v>0</v>
      </c>
      <c r="I790">
        <f>+'Paste Here'!U790</f>
        <v>0</v>
      </c>
      <c r="J790">
        <f>+'Paste Here'!V790</f>
        <v>0</v>
      </c>
      <c r="K790">
        <f>+'Paste Here'!W790</f>
        <v>0</v>
      </c>
    </row>
    <row r="791" spans="1:11">
      <c r="A791" t="str">
        <f t="shared" si="12"/>
        <v>00</v>
      </c>
      <c r="B791">
        <f>+'Paste Here'!N791</f>
        <v>0</v>
      </c>
      <c r="C791">
        <f>+'Paste Here'!O791</f>
        <v>0</v>
      </c>
      <c r="D791">
        <f>+'Paste Here'!P791</f>
        <v>0</v>
      </c>
      <c r="E791">
        <f>+'Paste Here'!Q791</f>
        <v>0</v>
      </c>
      <c r="F791">
        <f>+'Paste Here'!R791</f>
        <v>0</v>
      </c>
      <c r="G791">
        <f>+'Paste Here'!S791</f>
        <v>0</v>
      </c>
      <c r="H791">
        <f>+'Paste Here'!T791</f>
        <v>0</v>
      </c>
      <c r="I791">
        <f>+'Paste Here'!U791</f>
        <v>0</v>
      </c>
      <c r="J791">
        <f>+'Paste Here'!V791</f>
        <v>0</v>
      </c>
      <c r="K791">
        <f>+'Paste Here'!W791</f>
        <v>0</v>
      </c>
    </row>
    <row r="792" spans="1:11">
      <c r="A792" t="str">
        <f t="shared" si="12"/>
        <v>00</v>
      </c>
      <c r="B792">
        <f>+'Paste Here'!N792</f>
        <v>0</v>
      </c>
      <c r="C792">
        <f>+'Paste Here'!O792</f>
        <v>0</v>
      </c>
      <c r="D792">
        <f>+'Paste Here'!P792</f>
        <v>0</v>
      </c>
      <c r="E792">
        <f>+'Paste Here'!Q792</f>
        <v>0</v>
      </c>
      <c r="F792">
        <f>+'Paste Here'!R792</f>
        <v>0</v>
      </c>
      <c r="G792">
        <f>+'Paste Here'!S792</f>
        <v>0</v>
      </c>
      <c r="H792">
        <f>+'Paste Here'!T792</f>
        <v>0</v>
      </c>
      <c r="I792">
        <f>+'Paste Here'!U792</f>
        <v>0</v>
      </c>
      <c r="J792">
        <f>+'Paste Here'!V792</f>
        <v>0</v>
      </c>
      <c r="K792">
        <f>+'Paste Here'!W792</f>
        <v>0</v>
      </c>
    </row>
    <row r="793" spans="1:11">
      <c r="A793" t="str">
        <f t="shared" si="12"/>
        <v>00</v>
      </c>
      <c r="B793">
        <f>+'Paste Here'!N793</f>
        <v>0</v>
      </c>
      <c r="C793">
        <f>+'Paste Here'!O793</f>
        <v>0</v>
      </c>
      <c r="D793">
        <f>+'Paste Here'!P793</f>
        <v>0</v>
      </c>
      <c r="E793">
        <f>+'Paste Here'!Q793</f>
        <v>0</v>
      </c>
      <c r="F793">
        <f>+'Paste Here'!R793</f>
        <v>0</v>
      </c>
      <c r="G793">
        <f>+'Paste Here'!S793</f>
        <v>0</v>
      </c>
      <c r="H793">
        <f>+'Paste Here'!T793</f>
        <v>0</v>
      </c>
      <c r="I793">
        <f>+'Paste Here'!U793</f>
        <v>0</v>
      </c>
      <c r="J793">
        <f>+'Paste Here'!V793</f>
        <v>0</v>
      </c>
      <c r="K793">
        <f>+'Paste Here'!W793</f>
        <v>0</v>
      </c>
    </row>
    <row r="794" spans="1:11">
      <c r="A794" t="str">
        <f t="shared" si="12"/>
        <v>00</v>
      </c>
      <c r="B794">
        <f>+'Paste Here'!N794</f>
        <v>0</v>
      </c>
      <c r="C794">
        <f>+'Paste Here'!O794</f>
        <v>0</v>
      </c>
      <c r="D794">
        <f>+'Paste Here'!P794</f>
        <v>0</v>
      </c>
      <c r="E794">
        <f>+'Paste Here'!Q794</f>
        <v>0</v>
      </c>
      <c r="F794">
        <f>+'Paste Here'!R794</f>
        <v>0</v>
      </c>
      <c r="G794">
        <f>+'Paste Here'!S794</f>
        <v>0</v>
      </c>
      <c r="H794">
        <f>+'Paste Here'!T794</f>
        <v>0</v>
      </c>
      <c r="I794">
        <f>+'Paste Here'!U794</f>
        <v>0</v>
      </c>
      <c r="J794">
        <f>+'Paste Here'!V794</f>
        <v>0</v>
      </c>
      <c r="K794">
        <f>+'Paste Here'!W794</f>
        <v>0</v>
      </c>
    </row>
    <row r="795" spans="1:11">
      <c r="A795" t="str">
        <f t="shared" si="12"/>
        <v>00</v>
      </c>
      <c r="B795">
        <f>+'Paste Here'!N795</f>
        <v>0</v>
      </c>
      <c r="C795">
        <f>+'Paste Here'!O795</f>
        <v>0</v>
      </c>
      <c r="D795">
        <f>+'Paste Here'!P795</f>
        <v>0</v>
      </c>
      <c r="E795">
        <f>+'Paste Here'!Q795</f>
        <v>0</v>
      </c>
      <c r="F795">
        <f>+'Paste Here'!R795</f>
        <v>0</v>
      </c>
      <c r="G795">
        <f>+'Paste Here'!S795</f>
        <v>0</v>
      </c>
      <c r="H795">
        <f>+'Paste Here'!T795</f>
        <v>0</v>
      </c>
      <c r="I795">
        <f>+'Paste Here'!U795</f>
        <v>0</v>
      </c>
      <c r="J795">
        <f>+'Paste Here'!V795</f>
        <v>0</v>
      </c>
      <c r="K795">
        <f>+'Paste Here'!W795</f>
        <v>0</v>
      </c>
    </row>
    <row r="796" spans="1:11">
      <c r="A796" t="str">
        <f t="shared" si="12"/>
        <v>00</v>
      </c>
      <c r="B796">
        <f>+'Paste Here'!N796</f>
        <v>0</v>
      </c>
      <c r="C796">
        <f>+'Paste Here'!O796</f>
        <v>0</v>
      </c>
      <c r="D796">
        <f>+'Paste Here'!P796</f>
        <v>0</v>
      </c>
      <c r="E796">
        <f>+'Paste Here'!Q796</f>
        <v>0</v>
      </c>
      <c r="F796">
        <f>+'Paste Here'!R796</f>
        <v>0</v>
      </c>
      <c r="G796">
        <f>+'Paste Here'!S796</f>
        <v>0</v>
      </c>
      <c r="H796">
        <f>+'Paste Here'!T796</f>
        <v>0</v>
      </c>
      <c r="I796">
        <f>+'Paste Here'!U796</f>
        <v>0</v>
      </c>
      <c r="J796">
        <f>+'Paste Here'!V796</f>
        <v>0</v>
      </c>
      <c r="K796">
        <f>+'Paste Here'!W796</f>
        <v>0</v>
      </c>
    </row>
    <row r="797" spans="1:11">
      <c r="A797" t="str">
        <f t="shared" si="12"/>
        <v>00</v>
      </c>
      <c r="B797">
        <f>+'Paste Here'!N797</f>
        <v>0</v>
      </c>
      <c r="C797">
        <f>+'Paste Here'!O797</f>
        <v>0</v>
      </c>
      <c r="D797">
        <f>+'Paste Here'!P797</f>
        <v>0</v>
      </c>
      <c r="E797">
        <f>+'Paste Here'!Q797</f>
        <v>0</v>
      </c>
      <c r="F797">
        <f>+'Paste Here'!R797</f>
        <v>0</v>
      </c>
      <c r="G797">
        <f>+'Paste Here'!S797</f>
        <v>0</v>
      </c>
      <c r="H797">
        <f>+'Paste Here'!T797</f>
        <v>0</v>
      </c>
      <c r="I797">
        <f>+'Paste Here'!U797</f>
        <v>0</v>
      </c>
      <c r="J797">
        <f>+'Paste Here'!V797</f>
        <v>0</v>
      </c>
      <c r="K797">
        <f>+'Paste Here'!W797</f>
        <v>0</v>
      </c>
    </row>
    <row r="798" spans="1:11">
      <c r="A798" t="str">
        <f t="shared" si="12"/>
        <v>00</v>
      </c>
      <c r="B798">
        <f>+'Paste Here'!N798</f>
        <v>0</v>
      </c>
      <c r="C798">
        <f>+'Paste Here'!O798</f>
        <v>0</v>
      </c>
      <c r="D798">
        <f>+'Paste Here'!P798</f>
        <v>0</v>
      </c>
      <c r="E798">
        <f>+'Paste Here'!Q798</f>
        <v>0</v>
      </c>
      <c r="F798">
        <f>+'Paste Here'!R798</f>
        <v>0</v>
      </c>
      <c r="G798">
        <f>+'Paste Here'!S798</f>
        <v>0</v>
      </c>
      <c r="H798">
        <f>+'Paste Here'!T798</f>
        <v>0</v>
      </c>
      <c r="I798">
        <f>+'Paste Here'!U798</f>
        <v>0</v>
      </c>
      <c r="J798">
        <f>+'Paste Here'!V798</f>
        <v>0</v>
      </c>
      <c r="K798">
        <f>+'Paste Here'!W798</f>
        <v>0</v>
      </c>
    </row>
    <row r="799" spans="1:11">
      <c r="A799" t="str">
        <f t="shared" si="12"/>
        <v>00</v>
      </c>
      <c r="B799">
        <f>+'Paste Here'!N799</f>
        <v>0</v>
      </c>
      <c r="C799">
        <f>+'Paste Here'!O799</f>
        <v>0</v>
      </c>
      <c r="D799">
        <f>+'Paste Here'!P799</f>
        <v>0</v>
      </c>
      <c r="E799">
        <f>+'Paste Here'!Q799</f>
        <v>0</v>
      </c>
      <c r="F799">
        <f>+'Paste Here'!R799</f>
        <v>0</v>
      </c>
      <c r="G799">
        <f>+'Paste Here'!S799</f>
        <v>0</v>
      </c>
      <c r="H799">
        <f>+'Paste Here'!T799</f>
        <v>0</v>
      </c>
      <c r="I799">
        <f>+'Paste Here'!U799</f>
        <v>0</v>
      </c>
      <c r="J799">
        <f>+'Paste Here'!V799</f>
        <v>0</v>
      </c>
      <c r="K799">
        <f>+'Paste Here'!W799</f>
        <v>0</v>
      </c>
    </row>
    <row r="800" spans="1:11">
      <c r="A800" t="str">
        <f t="shared" si="12"/>
        <v>00</v>
      </c>
      <c r="B800">
        <f>+'Paste Here'!N800</f>
        <v>0</v>
      </c>
      <c r="C800">
        <f>+'Paste Here'!O800</f>
        <v>0</v>
      </c>
      <c r="D800">
        <f>+'Paste Here'!P800</f>
        <v>0</v>
      </c>
      <c r="E800">
        <f>+'Paste Here'!Q800</f>
        <v>0</v>
      </c>
      <c r="F800">
        <f>+'Paste Here'!R800</f>
        <v>0</v>
      </c>
      <c r="G800">
        <f>+'Paste Here'!S800</f>
        <v>0</v>
      </c>
      <c r="H800">
        <f>+'Paste Here'!T800</f>
        <v>0</v>
      </c>
      <c r="I800">
        <f>+'Paste Here'!U800</f>
        <v>0</v>
      </c>
      <c r="J800">
        <f>+'Paste Here'!V800</f>
        <v>0</v>
      </c>
      <c r="K800">
        <f>+'Paste Here'!W800</f>
        <v>0</v>
      </c>
    </row>
    <row r="801" spans="1:11">
      <c r="A801" t="str">
        <f t="shared" si="12"/>
        <v>00</v>
      </c>
      <c r="B801">
        <f>+'Paste Here'!N801</f>
        <v>0</v>
      </c>
      <c r="C801">
        <f>+'Paste Here'!O801</f>
        <v>0</v>
      </c>
      <c r="D801">
        <f>+'Paste Here'!P801</f>
        <v>0</v>
      </c>
      <c r="E801">
        <f>+'Paste Here'!Q801</f>
        <v>0</v>
      </c>
      <c r="F801">
        <f>+'Paste Here'!R801</f>
        <v>0</v>
      </c>
      <c r="G801">
        <f>+'Paste Here'!S801</f>
        <v>0</v>
      </c>
      <c r="H801">
        <f>+'Paste Here'!T801</f>
        <v>0</v>
      </c>
      <c r="I801">
        <f>+'Paste Here'!U801</f>
        <v>0</v>
      </c>
      <c r="J801">
        <f>+'Paste Here'!V801</f>
        <v>0</v>
      </c>
      <c r="K801">
        <f>+'Paste Here'!W801</f>
        <v>0</v>
      </c>
    </row>
    <row r="802" spans="1:11">
      <c r="A802" t="str">
        <f t="shared" si="12"/>
        <v>00</v>
      </c>
      <c r="B802">
        <f>+'Paste Here'!N802</f>
        <v>0</v>
      </c>
      <c r="C802">
        <f>+'Paste Here'!O802</f>
        <v>0</v>
      </c>
      <c r="D802">
        <f>+'Paste Here'!P802</f>
        <v>0</v>
      </c>
      <c r="E802">
        <f>+'Paste Here'!Q802</f>
        <v>0</v>
      </c>
      <c r="F802">
        <f>+'Paste Here'!R802</f>
        <v>0</v>
      </c>
      <c r="G802">
        <f>+'Paste Here'!S802</f>
        <v>0</v>
      </c>
      <c r="H802">
        <f>+'Paste Here'!T802</f>
        <v>0</v>
      </c>
      <c r="I802">
        <f>+'Paste Here'!U802</f>
        <v>0</v>
      </c>
      <c r="J802">
        <f>+'Paste Here'!V802</f>
        <v>0</v>
      </c>
      <c r="K802">
        <f>+'Paste Here'!W802</f>
        <v>0</v>
      </c>
    </row>
    <row r="803" spans="1:11">
      <c r="A803" t="str">
        <f t="shared" si="12"/>
        <v>00</v>
      </c>
      <c r="B803">
        <f>+'Paste Here'!N803</f>
        <v>0</v>
      </c>
      <c r="C803">
        <f>+'Paste Here'!O803</f>
        <v>0</v>
      </c>
      <c r="D803">
        <f>+'Paste Here'!P803</f>
        <v>0</v>
      </c>
      <c r="E803">
        <f>+'Paste Here'!Q803</f>
        <v>0</v>
      </c>
      <c r="F803">
        <f>+'Paste Here'!R803</f>
        <v>0</v>
      </c>
      <c r="G803">
        <f>+'Paste Here'!S803</f>
        <v>0</v>
      </c>
      <c r="H803">
        <f>+'Paste Here'!T803</f>
        <v>0</v>
      </c>
      <c r="I803">
        <f>+'Paste Here'!U803</f>
        <v>0</v>
      </c>
      <c r="J803">
        <f>+'Paste Here'!V803</f>
        <v>0</v>
      </c>
      <c r="K803">
        <f>+'Paste Here'!W803</f>
        <v>0</v>
      </c>
    </row>
    <row r="804" spans="1:11">
      <c r="A804" t="str">
        <f t="shared" si="12"/>
        <v>00</v>
      </c>
      <c r="B804">
        <f>+'Paste Here'!N804</f>
        <v>0</v>
      </c>
      <c r="C804">
        <f>+'Paste Here'!O804</f>
        <v>0</v>
      </c>
      <c r="D804">
        <f>+'Paste Here'!P804</f>
        <v>0</v>
      </c>
      <c r="E804">
        <f>+'Paste Here'!Q804</f>
        <v>0</v>
      </c>
      <c r="F804">
        <f>+'Paste Here'!R804</f>
        <v>0</v>
      </c>
      <c r="G804">
        <f>+'Paste Here'!S804</f>
        <v>0</v>
      </c>
      <c r="H804">
        <f>+'Paste Here'!T804</f>
        <v>0</v>
      </c>
      <c r="I804">
        <f>+'Paste Here'!U804</f>
        <v>0</v>
      </c>
      <c r="J804">
        <f>+'Paste Here'!V804</f>
        <v>0</v>
      </c>
      <c r="K804">
        <f>+'Paste Here'!W804</f>
        <v>0</v>
      </c>
    </row>
    <row r="805" spans="1:11">
      <c r="A805" t="str">
        <f t="shared" si="12"/>
        <v>00</v>
      </c>
      <c r="B805">
        <f>+'Paste Here'!N805</f>
        <v>0</v>
      </c>
      <c r="C805">
        <f>+'Paste Here'!O805</f>
        <v>0</v>
      </c>
      <c r="D805">
        <f>+'Paste Here'!P805</f>
        <v>0</v>
      </c>
      <c r="E805">
        <f>+'Paste Here'!Q805</f>
        <v>0</v>
      </c>
      <c r="F805">
        <f>+'Paste Here'!R805</f>
        <v>0</v>
      </c>
      <c r="G805">
        <f>+'Paste Here'!S805</f>
        <v>0</v>
      </c>
      <c r="H805">
        <f>+'Paste Here'!T805</f>
        <v>0</v>
      </c>
      <c r="I805">
        <f>+'Paste Here'!U805</f>
        <v>0</v>
      </c>
      <c r="J805">
        <f>+'Paste Here'!V805</f>
        <v>0</v>
      </c>
      <c r="K805">
        <f>+'Paste Here'!W805</f>
        <v>0</v>
      </c>
    </row>
    <row r="806" spans="1:11">
      <c r="A806" t="str">
        <f t="shared" si="12"/>
        <v>00</v>
      </c>
      <c r="B806">
        <f>+'Paste Here'!N806</f>
        <v>0</v>
      </c>
      <c r="C806">
        <f>+'Paste Here'!O806</f>
        <v>0</v>
      </c>
      <c r="D806">
        <f>+'Paste Here'!P806</f>
        <v>0</v>
      </c>
      <c r="E806">
        <f>+'Paste Here'!Q806</f>
        <v>0</v>
      </c>
      <c r="F806">
        <f>+'Paste Here'!R806</f>
        <v>0</v>
      </c>
      <c r="G806">
        <f>+'Paste Here'!S806</f>
        <v>0</v>
      </c>
      <c r="H806">
        <f>+'Paste Here'!T806</f>
        <v>0</v>
      </c>
      <c r="I806">
        <f>+'Paste Here'!U806</f>
        <v>0</v>
      </c>
      <c r="J806">
        <f>+'Paste Here'!V806</f>
        <v>0</v>
      </c>
      <c r="K806">
        <f>+'Paste Here'!W806</f>
        <v>0</v>
      </c>
    </row>
    <row r="807" spans="1:11">
      <c r="A807" t="str">
        <f t="shared" si="12"/>
        <v>00</v>
      </c>
      <c r="B807">
        <f>+'Paste Here'!N807</f>
        <v>0</v>
      </c>
      <c r="C807">
        <f>+'Paste Here'!O807</f>
        <v>0</v>
      </c>
      <c r="D807">
        <f>+'Paste Here'!P807</f>
        <v>0</v>
      </c>
      <c r="E807">
        <f>+'Paste Here'!Q807</f>
        <v>0</v>
      </c>
      <c r="F807">
        <f>+'Paste Here'!R807</f>
        <v>0</v>
      </c>
      <c r="G807">
        <f>+'Paste Here'!S807</f>
        <v>0</v>
      </c>
      <c r="H807">
        <f>+'Paste Here'!T807</f>
        <v>0</v>
      </c>
      <c r="I807">
        <f>+'Paste Here'!U807</f>
        <v>0</v>
      </c>
      <c r="J807">
        <f>+'Paste Here'!V807</f>
        <v>0</v>
      </c>
      <c r="K807">
        <f>+'Paste Here'!W807</f>
        <v>0</v>
      </c>
    </row>
    <row r="808" spans="1:11">
      <c r="A808" t="str">
        <f t="shared" si="12"/>
        <v>00</v>
      </c>
      <c r="B808">
        <f>+'Paste Here'!N808</f>
        <v>0</v>
      </c>
      <c r="C808">
        <f>+'Paste Here'!O808</f>
        <v>0</v>
      </c>
      <c r="D808">
        <f>+'Paste Here'!P808</f>
        <v>0</v>
      </c>
      <c r="E808">
        <f>+'Paste Here'!Q808</f>
        <v>0</v>
      </c>
      <c r="F808">
        <f>+'Paste Here'!R808</f>
        <v>0</v>
      </c>
      <c r="G808">
        <f>+'Paste Here'!S808</f>
        <v>0</v>
      </c>
      <c r="H808">
        <f>+'Paste Here'!T808</f>
        <v>0</v>
      </c>
      <c r="I808">
        <f>+'Paste Here'!U808</f>
        <v>0</v>
      </c>
      <c r="J808">
        <f>+'Paste Here'!V808</f>
        <v>0</v>
      </c>
      <c r="K808">
        <f>+'Paste Here'!W808</f>
        <v>0</v>
      </c>
    </row>
    <row r="809" spans="1:11">
      <c r="A809" t="str">
        <f t="shared" si="12"/>
        <v>00</v>
      </c>
      <c r="B809">
        <f>+'Paste Here'!N809</f>
        <v>0</v>
      </c>
      <c r="C809">
        <f>+'Paste Here'!O809</f>
        <v>0</v>
      </c>
      <c r="D809">
        <f>+'Paste Here'!P809</f>
        <v>0</v>
      </c>
      <c r="E809">
        <f>+'Paste Here'!Q809</f>
        <v>0</v>
      </c>
      <c r="F809">
        <f>+'Paste Here'!R809</f>
        <v>0</v>
      </c>
      <c r="G809">
        <f>+'Paste Here'!S809</f>
        <v>0</v>
      </c>
      <c r="H809">
        <f>+'Paste Here'!T809</f>
        <v>0</v>
      </c>
      <c r="I809">
        <f>+'Paste Here'!U809</f>
        <v>0</v>
      </c>
      <c r="J809">
        <f>+'Paste Here'!V809</f>
        <v>0</v>
      </c>
      <c r="K809">
        <f>+'Paste Here'!W809</f>
        <v>0</v>
      </c>
    </row>
    <row r="810" spans="1:11">
      <c r="A810" t="str">
        <f t="shared" si="12"/>
        <v>00</v>
      </c>
      <c r="B810">
        <f>+'Paste Here'!N810</f>
        <v>0</v>
      </c>
      <c r="C810">
        <f>+'Paste Here'!O810</f>
        <v>0</v>
      </c>
      <c r="D810">
        <f>+'Paste Here'!P810</f>
        <v>0</v>
      </c>
      <c r="E810">
        <f>+'Paste Here'!Q810</f>
        <v>0</v>
      </c>
      <c r="F810">
        <f>+'Paste Here'!R810</f>
        <v>0</v>
      </c>
      <c r="G810">
        <f>+'Paste Here'!S810</f>
        <v>0</v>
      </c>
      <c r="H810">
        <f>+'Paste Here'!T810</f>
        <v>0</v>
      </c>
      <c r="I810">
        <f>+'Paste Here'!U810</f>
        <v>0</v>
      </c>
      <c r="J810">
        <f>+'Paste Here'!V810</f>
        <v>0</v>
      </c>
      <c r="K810">
        <f>+'Paste Here'!W810</f>
        <v>0</v>
      </c>
    </row>
    <row r="811" spans="1:11">
      <c r="A811" t="str">
        <f t="shared" si="12"/>
        <v>00</v>
      </c>
      <c r="B811">
        <f>+'Paste Here'!N811</f>
        <v>0</v>
      </c>
      <c r="C811">
        <f>+'Paste Here'!O811</f>
        <v>0</v>
      </c>
      <c r="D811">
        <f>+'Paste Here'!P811</f>
        <v>0</v>
      </c>
      <c r="E811">
        <f>+'Paste Here'!Q811</f>
        <v>0</v>
      </c>
      <c r="F811">
        <f>+'Paste Here'!R811</f>
        <v>0</v>
      </c>
      <c r="G811">
        <f>+'Paste Here'!S811</f>
        <v>0</v>
      </c>
      <c r="H811">
        <f>+'Paste Here'!T811</f>
        <v>0</v>
      </c>
      <c r="I811">
        <f>+'Paste Here'!U811</f>
        <v>0</v>
      </c>
      <c r="J811">
        <f>+'Paste Here'!V811</f>
        <v>0</v>
      </c>
      <c r="K811">
        <f>+'Paste Here'!W811</f>
        <v>0</v>
      </c>
    </row>
    <row r="812" spans="1:11">
      <c r="A812" t="str">
        <f t="shared" si="12"/>
        <v>00</v>
      </c>
      <c r="B812">
        <f>+'Paste Here'!N812</f>
        <v>0</v>
      </c>
      <c r="C812">
        <f>+'Paste Here'!O812</f>
        <v>0</v>
      </c>
      <c r="D812">
        <f>+'Paste Here'!P812</f>
        <v>0</v>
      </c>
      <c r="E812">
        <f>+'Paste Here'!Q812</f>
        <v>0</v>
      </c>
      <c r="F812">
        <f>+'Paste Here'!R812</f>
        <v>0</v>
      </c>
      <c r="G812">
        <f>+'Paste Here'!S812</f>
        <v>0</v>
      </c>
      <c r="H812">
        <f>+'Paste Here'!T812</f>
        <v>0</v>
      </c>
      <c r="I812">
        <f>+'Paste Here'!U812</f>
        <v>0</v>
      </c>
      <c r="J812">
        <f>+'Paste Here'!V812</f>
        <v>0</v>
      </c>
      <c r="K812">
        <f>+'Paste Here'!W812</f>
        <v>0</v>
      </c>
    </row>
    <row r="813" spans="1:11">
      <c r="A813" t="str">
        <f t="shared" si="12"/>
        <v>00</v>
      </c>
      <c r="B813">
        <f>+'Paste Here'!N813</f>
        <v>0</v>
      </c>
      <c r="C813">
        <f>+'Paste Here'!O813</f>
        <v>0</v>
      </c>
      <c r="D813">
        <f>+'Paste Here'!P813</f>
        <v>0</v>
      </c>
      <c r="E813">
        <f>+'Paste Here'!Q813</f>
        <v>0</v>
      </c>
      <c r="F813">
        <f>+'Paste Here'!R813</f>
        <v>0</v>
      </c>
      <c r="G813">
        <f>+'Paste Here'!S813</f>
        <v>0</v>
      </c>
      <c r="H813">
        <f>+'Paste Here'!T813</f>
        <v>0</v>
      </c>
      <c r="I813">
        <f>+'Paste Here'!U813</f>
        <v>0</v>
      </c>
      <c r="J813">
        <f>+'Paste Here'!V813</f>
        <v>0</v>
      </c>
      <c r="K813">
        <f>+'Paste Here'!W813</f>
        <v>0</v>
      </c>
    </row>
    <row r="814" spans="1:11">
      <c r="A814" t="str">
        <f t="shared" si="12"/>
        <v>00</v>
      </c>
      <c r="B814">
        <f>+'Paste Here'!N814</f>
        <v>0</v>
      </c>
      <c r="C814">
        <f>+'Paste Here'!O814</f>
        <v>0</v>
      </c>
      <c r="D814">
        <f>+'Paste Here'!P814</f>
        <v>0</v>
      </c>
      <c r="E814">
        <f>+'Paste Here'!Q814</f>
        <v>0</v>
      </c>
      <c r="F814">
        <f>+'Paste Here'!R814</f>
        <v>0</v>
      </c>
      <c r="G814">
        <f>+'Paste Here'!S814</f>
        <v>0</v>
      </c>
      <c r="H814">
        <f>+'Paste Here'!T814</f>
        <v>0</v>
      </c>
      <c r="I814">
        <f>+'Paste Here'!U814</f>
        <v>0</v>
      </c>
      <c r="J814">
        <f>+'Paste Here'!V814</f>
        <v>0</v>
      </c>
      <c r="K814">
        <f>+'Paste Here'!W814</f>
        <v>0</v>
      </c>
    </row>
    <row r="815" spans="1:11">
      <c r="A815" t="str">
        <f t="shared" si="12"/>
        <v>00</v>
      </c>
      <c r="B815">
        <f>+'Paste Here'!N815</f>
        <v>0</v>
      </c>
      <c r="C815">
        <f>+'Paste Here'!O815</f>
        <v>0</v>
      </c>
      <c r="D815">
        <f>+'Paste Here'!P815</f>
        <v>0</v>
      </c>
      <c r="E815">
        <f>+'Paste Here'!Q815</f>
        <v>0</v>
      </c>
      <c r="F815">
        <f>+'Paste Here'!R815</f>
        <v>0</v>
      </c>
      <c r="G815">
        <f>+'Paste Here'!S815</f>
        <v>0</v>
      </c>
      <c r="H815">
        <f>+'Paste Here'!T815</f>
        <v>0</v>
      </c>
      <c r="I815">
        <f>+'Paste Here'!U815</f>
        <v>0</v>
      </c>
      <c r="J815">
        <f>+'Paste Here'!V815</f>
        <v>0</v>
      </c>
      <c r="K815">
        <f>+'Paste Here'!W815</f>
        <v>0</v>
      </c>
    </row>
    <row r="816" spans="1:11">
      <c r="A816" t="str">
        <f t="shared" si="12"/>
        <v>00</v>
      </c>
      <c r="B816">
        <f>+'Paste Here'!N816</f>
        <v>0</v>
      </c>
      <c r="C816">
        <f>+'Paste Here'!O816</f>
        <v>0</v>
      </c>
      <c r="D816">
        <f>+'Paste Here'!P816</f>
        <v>0</v>
      </c>
      <c r="E816">
        <f>+'Paste Here'!Q816</f>
        <v>0</v>
      </c>
      <c r="F816">
        <f>+'Paste Here'!R816</f>
        <v>0</v>
      </c>
      <c r="G816">
        <f>+'Paste Here'!S816</f>
        <v>0</v>
      </c>
      <c r="H816">
        <f>+'Paste Here'!T816</f>
        <v>0</v>
      </c>
      <c r="I816">
        <f>+'Paste Here'!U816</f>
        <v>0</v>
      </c>
      <c r="J816">
        <f>+'Paste Here'!V816</f>
        <v>0</v>
      </c>
      <c r="K816">
        <f>+'Paste Here'!W816</f>
        <v>0</v>
      </c>
    </row>
    <row r="817" spans="1:11">
      <c r="A817" t="str">
        <f t="shared" si="12"/>
        <v>00</v>
      </c>
      <c r="B817">
        <f>+'Paste Here'!N817</f>
        <v>0</v>
      </c>
      <c r="C817">
        <f>+'Paste Here'!O817</f>
        <v>0</v>
      </c>
      <c r="D817">
        <f>+'Paste Here'!P817</f>
        <v>0</v>
      </c>
      <c r="E817">
        <f>+'Paste Here'!Q817</f>
        <v>0</v>
      </c>
      <c r="F817">
        <f>+'Paste Here'!R817</f>
        <v>0</v>
      </c>
      <c r="G817">
        <f>+'Paste Here'!S817</f>
        <v>0</v>
      </c>
      <c r="H817">
        <f>+'Paste Here'!T817</f>
        <v>0</v>
      </c>
      <c r="I817">
        <f>+'Paste Here'!U817</f>
        <v>0</v>
      </c>
      <c r="J817">
        <f>+'Paste Here'!V817</f>
        <v>0</v>
      </c>
      <c r="K817">
        <f>+'Paste Here'!W817</f>
        <v>0</v>
      </c>
    </row>
    <row r="818" spans="1:11">
      <c r="A818" t="str">
        <f t="shared" si="12"/>
        <v>00</v>
      </c>
      <c r="B818">
        <f>+'Paste Here'!N818</f>
        <v>0</v>
      </c>
      <c r="C818">
        <f>+'Paste Here'!O818</f>
        <v>0</v>
      </c>
      <c r="D818">
        <f>+'Paste Here'!P818</f>
        <v>0</v>
      </c>
      <c r="E818">
        <f>+'Paste Here'!Q818</f>
        <v>0</v>
      </c>
      <c r="F818">
        <f>+'Paste Here'!R818</f>
        <v>0</v>
      </c>
      <c r="G818">
        <f>+'Paste Here'!S818</f>
        <v>0</v>
      </c>
      <c r="H818">
        <f>+'Paste Here'!T818</f>
        <v>0</v>
      </c>
      <c r="I818">
        <f>+'Paste Here'!U818</f>
        <v>0</v>
      </c>
      <c r="J818">
        <f>+'Paste Here'!V818</f>
        <v>0</v>
      </c>
      <c r="K818">
        <f>+'Paste Here'!W818</f>
        <v>0</v>
      </c>
    </row>
    <row r="819" spans="1:11">
      <c r="A819" t="str">
        <f t="shared" si="12"/>
        <v>00</v>
      </c>
      <c r="B819">
        <f>+'Paste Here'!N819</f>
        <v>0</v>
      </c>
      <c r="C819">
        <f>+'Paste Here'!O819</f>
        <v>0</v>
      </c>
      <c r="D819">
        <f>+'Paste Here'!P819</f>
        <v>0</v>
      </c>
      <c r="E819">
        <f>+'Paste Here'!Q819</f>
        <v>0</v>
      </c>
      <c r="F819">
        <f>+'Paste Here'!R819</f>
        <v>0</v>
      </c>
      <c r="G819">
        <f>+'Paste Here'!S819</f>
        <v>0</v>
      </c>
      <c r="H819">
        <f>+'Paste Here'!T819</f>
        <v>0</v>
      </c>
      <c r="I819">
        <f>+'Paste Here'!U819</f>
        <v>0</v>
      </c>
      <c r="J819">
        <f>+'Paste Here'!V819</f>
        <v>0</v>
      </c>
      <c r="K819">
        <f>+'Paste Here'!W819</f>
        <v>0</v>
      </c>
    </row>
    <row r="820" spans="1:11">
      <c r="A820" t="str">
        <f t="shared" si="12"/>
        <v>00</v>
      </c>
      <c r="B820">
        <f>+'Paste Here'!N820</f>
        <v>0</v>
      </c>
      <c r="C820">
        <f>+'Paste Here'!O820</f>
        <v>0</v>
      </c>
      <c r="D820">
        <f>+'Paste Here'!P820</f>
        <v>0</v>
      </c>
      <c r="E820">
        <f>+'Paste Here'!Q820</f>
        <v>0</v>
      </c>
      <c r="F820">
        <f>+'Paste Here'!R820</f>
        <v>0</v>
      </c>
      <c r="G820">
        <f>+'Paste Here'!S820</f>
        <v>0</v>
      </c>
      <c r="H820">
        <f>+'Paste Here'!T820</f>
        <v>0</v>
      </c>
      <c r="I820">
        <f>+'Paste Here'!U820</f>
        <v>0</v>
      </c>
      <c r="J820">
        <f>+'Paste Here'!V820</f>
        <v>0</v>
      </c>
      <c r="K820">
        <f>+'Paste Here'!W820</f>
        <v>0</v>
      </c>
    </row>
    <row r="821" spans="1:11">
      <c r="A821" t="str">
        <f t="shared" si="12"/>
        <v>00</v>
      </c>
      <c r="B821">
        <f>+'Paste Here'!N821</f>
        <v>0</v>
      </c>
      <c r="C821">
        <f>+'Paste Here'!O821</f>
        <v>0</v>
      </c>
      <c r="D821">
        <f>+'Paste Here'!P821</f>
        <v>0</v>
      </c>
      <c r="E821">
        <f>+'Paste Here'!Q821</f>
        <v>0</v>
      </c>
      <c r="F821">
        <f>+'Paste Here'!R821</f>
        <v>0</v>
      </c>
      <c r="G821">
        <f>+'Paste Here'!S821</f>
        <v>0</v>
      </c>
      <c r="H821">
        <f>+'Paste Here'!T821</f>
        <v>0</v>
      </c>
      <c r="I821">
        <f>+'Paste Here'!U821</f>
        <v>0</v>
      </c>
      <c r="J821">
        <f>+'Paste Here'!V821</f>
        <v>0</v>
      </c>
      <c r="K821">
        <f>+'Paste Here'!W821</f>
        <v>0</v>
      </c>
    </row>
    <row r="822" spans="1:11">
      <c r="A822" t="str">
        <f t="shared" si="12"/>
        <v>00</v>
      </c>
      <c r="B822">
        <f>+'Paste Here'!N822</f>
        <v>0</v>
      </c>
      <c r="C822">
        <f>+'Paste Here'!O822</f>
        <v>0</v>
      </c>
      <c r="D822">
        <f>+'Paste Here'!P822</f>
        <v>0</v>
      </c>
      <c r="E822">
        <f>+'Paste Here'!Q822</f>
        <v>0</v>
      </c>
      <c r="F822">
        <f>+'Paste Here'!R822</f>
        <v>0</v>
      </c>
      <c r="G822">
        <f>+'Paste Here'!S822</f>
        <v>0</v>
      </c>
      <c r="H822">
        <f>+'Paste Here'!T822</f>
        <v>0</v>
      </c>
      <c r="I822">
        <f>+'Paste Here'!U822</f>
        <v>0</v>
      </c>
      <c r="J822">
        <f>+'Paste Here'!V822</f>
        <v>0</v>
      </c>
      <c r="K822">
        <f>+'Paste Here'!W822</f>
        <v>0</v>
      </c>
    </row>
    <row r="823" spans="1:11">
      <c r="A823" t="str">
        <f t="shared" si="12"/>
        <v>00</v>
      </c>
      <c r="B823">
        <f>+'Paste Here'!N823</f>
        <v>0</v>
      </c>
      <c r="C823">
        <f>+'Paste Here'!O823</f>
        <v>0</v>
      </c>
      <c r="D823">
        <f>+'Paste Here'!P823</f>
        <v>0</v>
      </c>
      <c r="E823">
        <f>+'Paste Here'!Q823</f>
        <v>0</v>
      </c>
      <c r="F823">
        <f>+'Paste Here'!R823</f>
        <v>0</v>
      </c>
      <c r="G823">
        <f>+'Paste Here'!S823</f>
        <v>0</v>
      </c>
      <c r="H823">
        <f>+'Paste Here'!T823</f>
        <v>0</v>
      </c>
      <c r="I823">
        <f>+'Paste Here'!U823</f>
        <v>0</v>
      </c>
      <c r="J823">
        <f>+'Paste Here'!V823</f>
        <v>0</v>
      </c>
      <c r="K823">
        <f>+'Paste Here'!W823</f>
        <v>0</v>
      </c>
    </row>
    <row r="824" spans="1:11">
      <c r="A824" t="str">
        <f t="shared" si="12"/>
        <v>00</v>
      </c>
      <c r="B824">
        <f>+'Paste Here'!N824</f>
        <v>0</v>
      </c>
      <c r="C824">
        <f>+'Paste Here'!O824</f>
        <v>0</v>
      </c>
      <c r="D824">
        <f>+'Paste Here'!P824</f>
        <v>0</v>
      </c>
      <c r="E824">
        <f>+'Paste Here'!Q824</f>
        <v>0</v>
      </c>
      <c r="F824">
        <f>+'Paste Here'!R824</f>
        <v>0</v>
      </c>
      <c r="G824">
        <f>+'Paste Here'!S824</f>
        <v>0</v>
      </c>
      <c r="H824">
        <f>+'Paste Here'!T824</f>
        <v>0</v>
      </c>
      <c r="I824">
        <f>+'Paste Here'!U824</f>
        <v>0</v>
      </c>
      <c r="J824">
        <f>+'Paste Here'!V824</f>
        <v>0</v>
      </c>
      <c r="K824">
        <f>+'Paste Here'!W824</f>
        <v>0</v>
      </c>
    </row>
    <row r="825" spans="1:11">
      <c r="A825" t="str">
        <f t="shared" si="12"/>
        <v>00</v>
      </c>
      <c r="B825">
        <f>+'Paste Here'!N825</f>
        <v>0</v>
      </c>
      <c r="C825">
        <f>+'Paste Here'!O825</f>
        <v>0</v>
      </c>
      <c r="D825">
        <f>+'Paste Here'!P825</f>
        <v>0</v>
      </c>
      <c r="E825">
        <f>+'Paste Here'!Q825</f>
        <v>0</v>
      </c>
      <c r="F825">
        <f>+'Paste Here'!R825</f>
        <v>0</v>
      </c>
      <c r="G825">
        <f>+'Paste Here'!S825</f>
        <v>0</v>
      </c>
      <c r="H825">
        <f>+'Paste Here'!T825</f>
        <v>0</v>
      </c>
      <c r="I825">
        <f>+'Paste Here'!U825</f>
        <v>0</v>
      </c>
      <c r="J825">
        <f>+'Paste Here'!V825</f>
        <v>0</v>
      </c>
      <c r="K825">
        <f>+'Paste Here'!W825</f>
        <v>0</v>
      </c>
    </row>
    <row r="826" spans="1:11">
      <c r="A826" t="str">
        <f t="shared" si="12"/>
        <v>00</v>
      </c>
      <c r="B826">
        <f>+'Paste Here'!N826</f>
        <v>0</v>
      </c>
      <c r="C826">
        <f>+'Paste Here'!O826</f>
        <v>0</v>
      </c>
      <c r="D826">
        <f>+'Paste Here'!P826</f>
        <v>0</v>
      </c>
      <c r="E826">
        <f>+'Paste Here'!Q826</f>
        <v>0</v>
      </c>
      <c r="F826">
        <f>+'Paste Here'!R826</f>
        <v>0</v>
      </c>
      <c r="G826">
        <f>+'Paste Here'!S826</f>
        <v>0</v>
      </c>
      <c r="H826">
        <f>+'Paste Here'!T826</f>
        <v>0</v>
      </c>
      <c r="I826">
        <f>+'Paste Here'!U826</f>
        <v>0</v>
      </c>
      <c r="J826">
        <f>+'Paste Here'!V826</f>
        <v>0</v>
      </c>
      <c r="K826">
        <f>+'Paste Here'!W826</f>
        <v>0</v>
      </c>
    </row>
    <row r="827" spans="1:11">
      <c r="A827" t="str">
        <f t="shared" si="12"/>
        <v>00</v>
      </c>
      <c r="B827">
        <f>+'Paste Here'!N827</f>
        <v>0</v>
      </c>
      <c r="C827">
        <f>+'Paste Here'!O827</f>
        <v>0</v>
      </c>
      <c r="D827">
        <f>+'Paste Here'!P827</f>
        <v>0</v>
      </c>
      <c r="E827">
        <f>+'Paste Here'!Q827</f>
        <v>0</v>
      </c>
      <c r="F827">
        <f>+'Paste Here'!R827</f>
        <v>0</v>
      </c>
      <c r="G827">
        <f>+'Paste Here'!S827</f>
        <v>0</v>
      </c>
      <c r="H827">
        <f>+'Paste Here'!T827</f>
        <v>0</v>
      </c>
      <c r="I827">
        <f>+'Paste Here'!U827</f>
        <v>0</v>
      </c>
      <c r="J827">
        <f>+'Paste Here'!V827</f>
        <v>0</v>
      </c>
      <c r="K827">
        <f>+'Paste Here'!W827</f>
        <v>0</v>
      </c>
    </row>
    <row r="828" spans="1:11">
      <c r="A828" t="str">
        <f t="shared" si="12"/>
        <v>00</v>
      </c>
      <c r="B828">
        <f>+'Paste Here'!N828</f>
        <v>0</v>
      </c>
      <c r="C828">
        <f>+'Paste Here'!O828</f>
        <v>0</v>
      </c>
      <c r="D828">
        <f>+'Paste Here'!P828</f>
        <v>0</v>
      </c>
      <c r="E828">
        <f>+'Paste Here'!Q828</f>
        <v>0</v>
      </c>
      <c r="F828">
        <f>+'Paste Here'!R828</f>
        <v>0</v>
      </c>
      <c r="G828">
        <f>+'Paste Here'!S828</f>
        <v>0</v>
      </c>
      <c r="H828">
        <f>+'Paste Here'!T828</f>
        <v>0</v>
      </c>
      <c r="I828">
        <f>+'Paste Here'!U828</f>
        <v>0</v>
      </c>
      <c r="J828">
        <f>+'Paste Here'!V828</f>
        <v>0</v>
      </c>
      <c r="K828">
        <f>+'Paste Here'!W828</f>
        <v>0</v>
      </c>
    </row>
    <row r="829" spans="1:11">
      <c r="A829" t="str">
        <f t="shared" si="12"/>
        <v>00</v>
      </c>
      <c r="B829">
        <f>+'Paste Here'!N829</f>
        <v>0</v>
      </c>
      <c r="C829">
        <f>+'Paste Here'!O829</f>
        <v>0</v>
      </c>
      <c r="D829">
        <f>+'Paste Here'!P829</f>
        <v>0</v>
      </c>
      <c r="E829">
        <f>+'Paste Here'!Q829</f>
        <v>0</v>
      </c>
      <c r="F829">
        <f>+'Paste Here'!R829</f>
        <v>0</v>
      </c>
      <c r="G829">
        <f>+'Paste Here'!S829</f>
        <v>0</v>
      </c>
      <c r="H829">
        <f>+'Paste Here'!T829</f>
        <v>0</v>
      </c>
      <c r="I829">
        <f>+'Paste Here'!U829</f>
        <v>0</v>
      </c>
      <c r="J829">
        <f>+'Paste Here'!V829</f>
        <v>0</v>
      </c>
      <c r="K829">
        <f>+'Paste Here'!W829</f>
        <v>0</v>
      </c>
    </row>
    <row r="830" spans="1:11">
      <c r="A830" t="str">
        <f t="shared" si="12"/>
        <v>00</v>
      </c>
      <c r="B830">
        <f>+'Paste Here'!N830</f>
        <v>0</v>
      </c>
      <c r="C830">
        <f>+'Paste Here'!O830</f>
        <v>0</v>
      </c>
      <c r="D830">
        <f>+'Paste Here'!P830</f>
        <v>0</v>
      </c>
      <c r="E830">
        <f>+'Paste Here'!Q830</f>
        <v>0</v>
      </c>
      <c r="F830">
        <f>+'Paste Here'!R830</f>
        <v>0</v>
      </c>
      <c r="G830">
        <f>+'Paste Here'!S830</f>
        <v>0</v>
      </c>
      <c r="H830">
        <f>+'Paste Here'!T830</f>
        <v>0</v>
      </c>
      <c r="I830">
        <f>+'Paste Here'!U830</f>
        <v>0</v>
      </c>
      <c r="J830">
        <f>+'Paste Here'!V830</f>
        <v>0</v>
      </c>
      <c r="K830">
        <f>+'Paste Here'!W830</f>
        <v>0</v>
      </c>
    </row>
    <row r="831" spans="1:11">
      <c r="A831" t="str">
        <f t="shared" si="12"/>
        <v>00</v>
      </c>
      <c r="B831">
        <f>+'Paste Here'!N831</f>
        <v>0</v>
      </c>
      <c r="C831">
        <f>+'Paste Here'!O831</f>
        <v>0</v>
      </c>
      <c r="D831">
        <f>+'Paste Here'!P831</f>
        <v>0</v>
      </c>
      <c r="E831">
        <f>+'Paste Here'!Q831</f>
        <v>0</v>
      </c>
      <c r="F831">
        <f>+'Paste Here'!R831</f>
        <v>0</v>
      </c>
      <c r="G831">
        <f>+'Paste Here'!S831</f>
        <v>0</v>
      </c>
      <c r="H831">
        <f>+'Paste Here'!T831</f>
        <v>0</v>
      </c>
      <c r="I831">
        <f>+'Paste Here'!U831</f>
        <v>0</v>
      </c>
      <c r="J831">
        <f>+'Paste Here'!V831</f>
        <v>0</v>
      </c>
      <c r="K831">
        <f>+'Paste Here'!W831</f>
        <v>0</v>
      </c>
    </row>
    <row r="832" spans="1:11">
      <c r="A832" t="str">
        <f t="shared" si="12"/>
        <v>00</v>
      </c>
      <c r="B832">
        <f>+'Paste Here'!N832</f>
        <v>0</v>
      </c>
      <c r="C832">
        <f>+'Paste Here'!O832</f>
        <v>0</v>
      </c>
      <c r="D832">
        <f>+'Paste Here'!P832</f>
        <v>0</v>
      </c>
      <c r="E832">
        <f>+'Paste Here'!Q832</f>
        <v>0</v>
      </c>
      <c r="F832">
        <f>+'Paste Here'!R832</f>
        <v>0</v>
      </c>
      <c r="G832">
        <f>+'Paste Here'!S832</f>
        <v>0</v>
      </c>
      <c r="H832">
        <f>+'Paste Here'!T832</f>
        <v>0</v>
      </c>
      <c r="I832">
        <f>+'Paste Here'!U832</f>
        <v>0</v>
      </c>
      <c r="J832">
        <f>+'Paste Here'!V832</f>
        <v>0</v>
      </c>
      <c r="K832">
        <f>+'Paste Here'!W832</f>
        <v>0</v>
      </c>
    </row>
    <row r="833" spans="1:11">
      <c r="A833" t="str">
        <f t="shared" si="12"/>
        <v>00</v>
      </c>
      <c r="B833">
        <f>+'Paste Here'!N833</f>
        <v>0</v>
      </c>
      <c r="C833">
        <f>+'Paste Here'!O833</f>
        <v>0</v>
      </c>
      <c r="D833">
        <f>+'Paste Here'!P833</f>
        <v>0</v>
      </c>
      <c r="E833">
        <f>+'Paste Here'!Q833</f>
        <v>0</v>
      </c>
      <c r="F833">
        <f>+'Paste Here'!R833</f>
        <v>0</v>
      </c>
      <c r="G833">
        <f>+'Paste Here'!S833</f>
        <v>0</v>
      </c>
      <c r="H833">
        <f>+'Paste Here'!T833</f>
        <v>0</v>
      </c>
      <c r="I833">
        <f>+'Paste Here'!U833</f>
        <v>0</v>
      </c>
      <c r="J833">
        <f>+'Paste Here'!V833</f>
        <v>0</v>
      </c>
      <c r="K833">
        <f>+'Paste Here'!W833</f>
        <v>0</v>
      </c>
    </row>
    <row r="834" spans="1:11">
      <c r="A834" t="str">
        <f t="shared" si="12"/>
        <v>00</v>
      </c>
      <c r="B834">
        <f>+'Paste Here'!N834</f>
        <v>0</v>
      </c>
      <c r="C834">
        <f>+'Paste Here'!O834</f>
        <v>0</v>
      </c>
      <c r="D834">
        <f>+'Paste Here'!P834</f>
        <v>0</v>
      </c>
      <c r="E834">
        <f>+'Paste Here'!Q834</f>
        <v>0</v>
      </c>
      <c r="F834">
        <f>+'Paste Here'!R834</f>
        <v>0</v>
      </c>
      <c r="G834">
        <f>+'Paste Here'!S834</f>
        <v>0</v>
      </c>
      <c r="H834">
        <f>+'Paste Here'!T834</f>
        <v>0</v>
      </c>
      <c r="I834">
        <f>+'Paste Here'!U834</f>
        <v>0</v>
      </c>
      <c r="J834">
        <f>+'Paste Here'!V834</f>
        <v>0</v>
      </c>
      <c r="K834">
        <f>+'Paste Here'!W834</f>
        <v>0</v>
      </c>
    </row>
    <row r="835" spans="1:11">
      <c r="A835" t="str">
        <f t="shared" ref="A835:A898" si="13">+CONCATENATE(C835,D835)</f>
        <v>00</v>
      </c>
      <c r="B835">
        <f>+'Paste Here'!N835</f>
        <v>0</v>
      </c>
      <c r="C835">
        <f>+'Paste Here'!O835</f>
        <v>0</v>
      </c>
      <c r="D835">
        <f>+'Paste Here'!P835</f>
        <v>0</v>
      </c>
      <c r="E835">
        <f>+'Paste Here'!Q835</f>
        <v>0</v>
      </c>
      <c r="F835">
        <f>+'Paste Here'!R835</f>
        <v>0</v>
      </c>
      <c r="G835">
        <f>+'Paste Here'!S835</f>
        <v>0</v>
      </c>
      <c r="H835">
        <f>+'Paste Here'!T835</f>
        <v>0</v>
      </c>
      <c r="I835">
        <f>+'Paste Here'!U835</f>
        <v>0</v>
      </c>
      <c r="J835">
        <f>+'Paste Here'!V835</f>
        <v>0</v>
      </c>
      <c r="K835">
        <f>+'Paste Here'!W835</f>
        <v>0</v>
      </c>
    </row>
    <row r="836" spans="1:11">
      <c r="A836" t="str">
        <f t="shared" si="13"/>
        <v>00</v>
      </c>
      <c r="B836">
        <f>+'Paste Here'!N836</f>
        <v>0</v>
      </c>
      <c r="C836">
        <f>+'Paste Here'!O836</f>
        <v>0</v>
      </c>
      <c r="D836">
        <f>+'Paste Here'!P836</f>
        <v>0</v>
      </c>
      <c r="E836">
        <f>+'Paste Here'!Q836</f>
        <v>0</v>
      </c>
      <c r="F836">
        <f>+'Paste Here'!R836</f>
        <v>0</v>
      </c>
      <c r="G836">
        <f>+'Paste Here'!S836</f>
        <v>0</v>
      </c>
      <c r="H836">
        <f>+'Paste Here'!T836</f>
        <v>0</v>
      </c>
      <c r="I836">
        <f>+'Paste Here'!U836</f>
        <v>0</v>
      </c>
      <c r="J836">
        <f>+'Paste Here'!V836</f>
        <v>0</v>
      </c>
      <c r="K836">
        <f>+'Paste Here'!W836</f>
        <v>0</v>
      </c>
    </row>
    <row r="837" spans="1:11">
      <c r="A837" t="str">
        <f t="shared" si="13"/>
        <v>00</v>
      </c>
      <c r="B837">
        <f>+'Paste Here'!N837</f>
        <v>0</v>
      </c>
      <c r="C837">
        <f>+'Paste Here'!O837</f>
        <v>0</v>
      </c>
      <c r="D837">
        <f>+'Paste Here'!P837</f>
        <v>0</v>
      </c>
      <c r="E837">
        <f>+'Paste Here'!Q837</f>
        <v>0</v>
      </c>
      <c r="F837">
        <f>+'Paste Here'!R837</f>
        <v>0</v>
      </c>
      <c r="G837">
        <f>+'Paste Here'!S837</f>
        <v>0</v>
      </c>
      <c r="H837">
        <f>+'Paste Here'!T837</f>
        <v>0</v>
      </c>
      <c r="I837">
        <f>+'Paste Here'!U837</f>
        <v>0</v>
      </c>
      <c r="J837">
        <f>+'Paste Here'!V837</f>
        <v>0</v>
      </c>
      <c r="K837">
        <f>+'Paste Here'!W837</f>
        <v>0</v>
      </c>
    </row>
    <row r="838" spans="1:11">
      <c r="A838" t="str">
        <f t="shared" si="13"/>
        <v>00</v>
      </c>
      <c r="B838">
        <f>+'Paste Here'!N838</f>
        <v>0</v>
      </c>
      <c r="C838">
        <f>+'Paste Here'!O838</f>
        <v>0</v>
      </c>
      <c r="D838">
        <f>+'Paste Here'!P838</f>
        <v>0</v>
      </c>
      <c r="E838">
        <f>+'Paste Here'!Q838</f>
        <v>0</v>
      </c>
      <c r="F838">
        <f>+'Paste Here'!R838</f>
        <v>0</v>
      </c>
      <c r="G838">
        <f>+'Paste Here'!S838</f>
        <v>0</v>
      </c>
      <c r="H838">
        <f>+'Paste Here'!T838</f>
        <v>0</v>
      </c>
      <c r="I838">
        <f>+'Paste Here'!U838</f>
        <v>0</v>
      </c>
      <c r="J838">
        <f>+'Paste Here'!V838</f>
        <v>0</v>
      </c>
      <c r="K838">
        <f>+'Paste Here'!W838</f>
        <v>0</v>
      </c>
    </row>
    <row r="839" spans="1:11">
      <c r="A839" t="str">
        <f t="shared" si="13"/>
        <v>00</v>
      </c>
      <c r="B839">
        <f>+'Paste Here'!N839</f>
        <v>0</v>
      </c>
      <c r="C839">
        <f>+'Paste Here'!O839</f>
        <v>0</v>
      </c>
      <c r="D839">
        <f>+'Paste Here'!P839</f>
        <v>0</v>
      </c>
      <c r="E839">
        <f>+'Paste Here'!Q839</f>
        <v>0</v>
      </c>
      <c r="F839">
        <f>+'Paste Here'!R839</f>
        <v>0</v>
      </c>
      <c r="G839">
        <f>+'Paste Here'!S839</f>
        <v>0</v>
      </c>
      <c r="H839">
        <f>+'Paste Here'!T839</f>
        <v>0</v>
      </c>
      <c r="I839">
        <f>+'Paste Here'!U839</f>
        <v>0</v>
      </c>
      <c r="J839">
        <f>+'Paste Here'!V839</f>
        <v>0</v>
      </c>
      <c r="K839">
        <f>+'Paste Here'!W839</f>
        <v>0</v>
      </c>
    </row>
    <row r="840" spans="1:11">
      <c r="A840" t="str">
        <f t="shared" si="13"/>
        <v>00</v>
      </c>
      <c r="B840">
        <f>+'Paste Here'!N840</f>
        <v>0</v>
      </c>
      <c r="C840">
        <f>+'Paste Here'!O840</f>
        <v>0</v>
      </c>
      <c r="D840">
        <f>+'Paste Here'!P840</f>
        <v>0</v>
      </c>
      <c r="E840">
        <f>+'Paste Here'!Q840</f>
        <v>0</v>
      </c>
      <c r="F840">
        <f>+'Paste Here'!R840</f>
        <v>0</v>
      </c>
      <c r="G840">
        <f>+'Paste Here'!S840</f>
        <v>0</v>
      </c>
      <c r="H840">
        <f>+'Paste Here'!T840</f>
        <v>0</v>
      </c>
      <c r="I840">
        <f>+'Paste Here'!U840</f>
        <v>0</v>
      </c>
      <c r="J840">
        <f>+'Paste Here'!V840</f>
        <v>0</v>
      </c>
      <c r="K840">
        <f>+'Paste Here'!W840</f>
        <v>0</v>
      </c>
    </row>
    <row r="841" spans="1:11">
      <c r="A841" t="str">
        <f t="shared" si="13"/>
        <v>00</v>
      </c>
      <c r="B841">
        <f>+'Paste Here'!N841</f>
        <v>0</v>
      </c>
      <c r="C841">
        <f>+'Paste Here'!O841</f>
        <v>0</v>
      </c>
      <c r="D841">
        <f>+'Paste Here'!P841</f>
        <v>0</v>
      </c>
      <c r="E841">
        <f>+'Paste Here'!Q841</f>
        <v>0</v>
      </c>
      <c r="F841">
        <f>+'Paste Here'!R841</f>
        <v>0</v>
      </c>
      <c r="G841">
        <f>+'Paste Here'!S841</f>
        <v>0</v>
      </c>
      <c r="H841">
        <f>+'Paste Here'!T841</f>
        <v>0</v>
      </c>
      <c r="I841">
        <f>+'Paste Here'!U841</f>
        <v>0</v>
      </c>
      <c r="J841">
        <f>+'Paste Here'!V841</f>
        <v>0</v>
      </c>
      <c r="K841">
        <f>+'Paste Here'!W841</f>
        <v>0</v>
      </c>
    </row>
    <row r="842" spans="1:11">
      <c r="A842" t="str">
        <f t="shared" si="13"/>
        <v>00</v>
      </c>
      <c r="B842">
        <f>+'Paste Here'!N842</f>
        <v>0</v>
      </c>
      <c r="C842">
        <f>+'Paste Here'!O842</f>
        <v>0</v>
      </c>
      <c r="D842">
        <f>+'Paste Here'!P842</f>
        <v>0</v>
      </c>
      <c r="E842">
        <f>+'Paste Here'!Q842</f>
        <v>0</v>
      </c>
      <c r="F842">
        <f>+'Paste Here'!R842</f>
        <v>0</v>
      </c>
      <c r="G842">
        <f>+'Paste Here'!S842</f>
        <v>0</v>
      </c>
      <c r="H842">
        <f>+'Paste Here'!T842</f>
        <v>0</v>
      </c>
      <c r="I842">
        <f>+'Paste Here'!U842</f>
        <v>0</v>
      </c>
      <c r="J842">
        <f>+'Paste Here'!V842</f>
        <v>0</v>
      </c>
      <c r="K842">
        <f>+'Paste Here'!W842</f>
        <v>0</v>
      </c>
    </row>
    <row r="843" spans="1:11">
      <c r="A843" t="str">
        <f t="shared" si="13"/>
        <v>00</v>
      </c>
      <c r="B843">
        <f>+'Paste Here'!N843</f>
        <v>0</v>
      </c>
      <c r="C843">
        <f>+'Paste Here'!O843</f>
        <v>0</v>
      </c>
      <c r="D843">
        <f>+'Paste Here'!P843</f>
        <v>0</v>
      </c>
      <c r="E843">
        <f>+'Paste Here'!Q843</f>
        <v>0</v>
      </c>
      <c r="F843">
        <f>+'Paste Here'!R843</f>
        <v>0</v>
      </c>
      <c r="G843">
        <f>+'Paste Here'!S843</f>
        <v>0</v>
      </c>
      <c r="H843">
        <f>+'Paste Here'!T843</f>
        <v>0</v>
      </c>
      <c r="I843">
        <f>+'Paste Here'!U843</f>
        <v>0</v>
      </c>
      <c r="J843">
        <f>+'Paste Here'!V843</f>
        <v>0</v>
      </c>
      <c r="K843">
        <f>+'Paste Here'!W843</f>
        <v>0</v>
      </c>
    </row>
    <row r="844" spans="1:11">
      <c r="A844" t="str">
        <f t="shared" si="13"/>
        <v>00</v>
      </c>
      <c r="B844">
        <f>+'Paste Here'!N844</f>
        <v>0</v>
      </c>
      <c r="C844">
        <f>+'Paste Here'!O844</f>
        <v>0</v>
      </c>
      <c r="D844">
        <f>+'Paste Here'!P844</f>
        <v>0</v>
      </c>
      <c r="E844">
        <f>+'Paste Here'!Q844</f>
        <v>0</v>
      </c>
      <c r="F844">
        <f>+'Paste Here'!R844</f>
        <v>0</v>
      </c>
      <c r="G844">
        <f>+'Paste Here'!S844</f>
        <v>0</v>
      </c>
      <c r="H844">
        <f>+'Paste Here'!T844</f>
        <v>0</v>
      </c>
      <c r="I844">
        <f>+'Paste Here'!U844</f>
        <v>0</v>
      </c>
      <c r="J844">
        <f>+'Paste Here'!V844</f>
        <v>0</v>
      </c>
      <c r="K844">
        <f>+'Paste Here'!W844</f>
        <v>0</v>
      </c>
    </row>
    <row r="845" spans="1:11">
      <c r="A845" t="str">
        <f t="shared" si="13"/>
        <v>00</v>
      </c>
      <c r="B845">
        <f>+'Paste Here'!N845</f>
        <v>0</v>
      </c>
      <c r="C845">
        <f>+'Paste Here'!O845</f>
        <v>0</v>
      </c>
      <c r="D845">
        <f>+'Paste Here'!P845</f>
        <v>0</v>
      </c>
      <c r="E845">
        <f>+'Paste Here'!Q845</f>
        <v>0</v>
      </c>
      <c r="F845">
        <f>+'Paste Here'!R845</f>
        <v>0</v>
      </c>
      <c r="G845">
        <f>+'Paste Here'!S845</f>
        <v>0</v>
      </c>
      <c r="H845">
        <f>+'Paste Here'!T845</f>
        <v>0</v>
      </c>
      <c r="I845">
        <f>+'Paste Here'!U845</f>
        <v>0</v>
      </c>
      <c r="J845">
        <f>+'Paste Here'!V845</f>
        <v>0</v>
      </c>
      <c r="K845">
        <f>+'Paste Here'!W845</f>
        <v>0</v>
      </c>
    </row>
    <row r="846" spans="1:11">
      <c r="A846" t="str">
        <f t="shared" si="13"/>
        <v>00</v>
      </c>
      <c r="B846">
        <f>+'Paste Here'!N846</f>
        <v>0</v>
      </c>
      <c r="C846">
        <f>+'Paste Here'!O846</f>
        <v>0</v>
      </c>
      <c r="D846">
        <f>+'Paste Here'!P846</f>
        <v>0</v>
      </c>
      <c r="E846">
        <f>+'Paste Here'!Q846</f>
        <v>0</v>
      </c>
      <c r="F846">
        <f>+'Paste Here'!R846</f>
        <v>0</v>
      </c>
      <c r="G846">
        <f>+'Paste Here'!S846</f>
        <v>0</v>
      </c>
      <c r="H846">
        <f>+'Paste Here'!T846</f>
        <v>0</v>
      </c>
      <c r="I846">
        <f>+'Paste Here'!U846</f>
        <v>0</v>
      </c>
      <c r="J846">
        <f>+'Paste Here'!V846</f>
        <v>0</v>
      </c>
      <c r="K846">
        <f>+'Paste Here'!W846</f>
        <v>0</v>
      </c>
    </row>
    <row r="847" spans="1:11">
      <c r="A847" t="str">
        <f t="shared" si="13"/>
        <v>00</v>
      </c>
      <c r="B847">
        <f>+'Paste Here'!N847</f>
        <v>0</v>
      </c>
      <c r="C847">
        <f>+'Paste Here'!O847</f>
        <v>0</v>
      </c>
      <c r="D847">
        <f>+'Paste Here'!P847</f>
        <v>0</v>
      </c>
      <c r="E847">
        <f>+'Paste Here'!Q847</f>
        <v>0</v>
      </c>
      <c r="F847">
        <f>+'Paste Here'!R847</f>
        <v>0</v>
      </c>
      <c r="G847">
        <f>+'Paste Here'!S847</f>
        <v>0</v>
      </c>
      <c r="H847">
        <f>+'Paste Here'!T847</f>
        <v>0</v>
      </c>
      <c r="I847">
        <f>+'Paste Here'!U847</f>
        <v>0</v>
      </c>
      <c r="J847">
        <f>+'Paste Here'!V847</f>
        <v>0</v>
      </c>
      <c r="K847">
        <f>+'Paste Here'!W847</f>
        <v>0</v>
      </c>
    </row>
    <row r="848" spans="1:11">
      <c r="A848" t="str">
        <f t="shared" si="13"/>
        <v>00</v>
      </c>
      <c r="B848">
        <f>+'Paste Here'!N848</f>
        <v>0</v>
      </c>
      <c r="C848">
        <f>+'Paste Here'!O848</f>
        <v>0</v>
      </c>
      <c r="D848">
        <f>+'Paste Here'!P848</f>
        <v>0</v>
      </c>
      <c r="E848">
        <f>+'Paste Here'!Q848</f>
        <v>0</v>
      </c>
      <c r="F848">
        <f>+'Paste Here'!R848</f>
        <v>0</v>
      </c>
      <c r="G848">
        <f>+'Paste Here'!S848</f>
        <v>0</v>
      </c>
      <c r="H848">
        <f>+'Paste Here'!T848</f>
        <v>0</v>
      </c>
      <c r="I848">
        <f>+'Paste Here'!U848</f>
        <v>0</v>
      </c>
      <c r="J848">
        <f>+'Paste Here'!V848</f>
        <v>0</v>
      </c>
      <c r="K848">
        <f>+'Paste Here'!W848</f>
        <v>0</v>
      </c>
    </row>
    <row r="849" spans="1:11">
      <c r="A849" t="str">
        <f t="shared" si="13"/>
        <v>00</v>
      </c>
      <c r="B849">
        <f>+'Paste Here'!N849</f>
        <v>0</v>
      </c>
      <c r="C849">
        <f>+'Paste Here'!O849</f>
        <v>0</v>
      </c>
      <c r="D849">
        <f>+'Paste Here'!P849</f>
        <v>0</v>
      </c>
      <c r="E849">
        <f>+'Paste Here'!Q849</f>
        <v>0</v>
      </c>
      <c r="F849">
        <f>+'Paste Here'!R849</f>
        <v>0</v>
      </c>
      <c r="G849">
        <f>+'Paste Here'!S849</f>
        <v>0</v>
      </c>
      <c r="H849">
        <f>+'Paste Here'!T849</f>
        <v>0</v>
      </c>
      <c r="I849">
        <f>+'Paste Here'!U849</f>
        <v>0</v>
      </c>
      <c r="J849">
        <f>+'Paste Here'!V849</f>
        <v>0</v>
      </c>
      <c r="K849">
        <f>+'Paste Here'!W849</f>
        <v>0</v>
      </c>
    </row>
    <row r="850" spans="1:11">
      <c r="A850" t="str">
        <f t="shared" si="13"/>
        <v>00</v>
      </c>
      <c r="B850">
        <f>+'Paste Here'!N850</f>
        <v>0</v>
      </c>
      <c r="C850">
        <f>+'Paste Here'!O850</f>
        <v>0</v>
      </c>
      <c r="D850">
        <f>+'Paste Here'!P850</f>
        <v>0</v>
      </c>
      <c r="E850">
        <f>+'Paste Here'!Q850</f>
        <v>0</v>
      </c>
      <c r="F850">
        <f>+'Paste Here'!R850</f>
        <v>0</v>
      </c>
      <c r="G850">
        <f>+'Paste Here'!S850</f>
        <v>0</v>
      </c>
      <c r="H850">
        <f>+'Paste Here'!T850</f>
        <v>0</v>
      </c>
      <c r="I850">
        <f>+'Paste Here'!U850</f>
        <v>0</v>
      </c>
      <c r="J850">
        <f>+'Paste Here'!V850</f>
        <v>0</v>
      </c>
      <c r="K850">
        <f>+'Paste Here'!W850</f>
        <v>0</v>
      </c>
    </row>
    <row r="851" spans="1:11">
      <c r="A851" t="str">
        <f t="shared" si="13"/>
        <v>00</v>
      </c>
      <c r="B851">
        <f>+'Paste Here'!N851</f>
        <v>0</v>
      </c>
      <c r="C851">
        <f>+'Paste Here'!O851</f>
        <v>0</v>
      </c>
      <c r="D851">
        <f>+'Paste Here'!P851</f>
        <v>0</v>
      </c>
      <c r="E851">
        <f>+'Paste Here'!Q851</f>
        <v>0</v>
      </c>
      <c r="F851">
        <f>+'Paste Here'!R851</f>
        <v>0</v>
      </c>
      <c r="G851">
        <f>+'Paste Here'!S851</f>
        <v>0</v>
      </c>
      <c r="H851">
        <f>+'Paste Here'!T851</f>
        <v>0</v>
      </c>
      <c r="I851">
        <f>+'Paste Here'!U851</f>
        <v>0</v>
      </c>
      <c r="J851">
        <f>+'Paste Here'!V851</f>
        <v>0</v>
      </c>
      <c r="K851">
        <f>+'Paste Here'!W851</f>
        <v>0</v>
      </c>
    </row>
    <row r="852" spans="1:11">
      <c r="A852" t="str">
        <f t="shared" si="13"/>
        <v>00</v>
      </c>
      <c r="B852">
        <f>+'Paste Here'!N852</f>
        <v>0</v>
      </c>
      <c r="C852">
        <f>+'Paste Here'!O852</f>
        <v>0</v>
      </c>
      <c r="D852">
        <f>+'Paste Here'!P852</f>
        <v>0</v>
      </c>
      <c r="E852">
        <f>+'Paste Here'!Q852</f>
        <v>0</v>
      </c>
      <c r="F852">
        <f>+'Paste Here'!R852</f>
        <v>0</v>
      </c>
      <c r="G852">
        <f>+'Paste Here'!S852</f>
        <v>0</v>
      </c>
      <c r="H852">
        <f>+'Paste Here'!T852</f>
        <v>0</v>
      </c>
      <c r="I852">
        <f>+'Paste Here'!U852</f>
        <v>0</v>
      </c>
      <c r="J852">
        <f>+'Paste Here'!V852</f>
        <v>0</v>
      </c>
      <c r="K852">
        <f>+'Paste Here'!W852</f>
        <v>0</v>
      </c>
    </row>
    <row r="853" spans="1:11">
      <c r="A853" t="str">
        <f t="shared" si="13"/>
        <v>00</v>
      </c>
      <c r="B853">
        <f>+'Paste Here'!N853</f>
        <v>0</v>
      </c>
      <c r="C853">
        <f>+'Paste Here'!O853</f>
        <v>0</v>
      </c>
      <c r="D853">
        <f>+'Paste Here'!P853</f>
        <v>0</v>
      </c>
      <c r="E853">
        <f>+'Paste Here'!Q853</f>
        <v>0</v>
      </c>
      <c r="F853">
        <f>+'Paste Here'!R853</f>
        <v>0</v>
      </c>
      <c r="G853">
        <f>+'Paste Here'!S853</f>
        <v>0</v>
      </c>
      <c r="H853">
        <f>+'Paste Here'!T853</f>
        <v>0</v>
      </c>
      <c r="I853">
        <f>+'Paste Here'!U853</f>
        <v>0</v>
      </c>
      <c r="J853">
        <f>+'Paste Here'!V853</f>
        <v>0</v>
      </c>
      <c r="K853">
        <f>+'Paste Here'!W853</f>
        <v>0</v>
      </c>
    </row>
    <row r="854" spans="1:11">
      <c r="A854" t="str">
        <f t="shared" si="13"/>
        <v>00</v>
      </c>
      <c r="B854">
        <f>+'Paste Here'!N854</f>
        <v>0</v>
      </c>
      <c r="C854">
        <f>+'Paste Here'!O854</f>
        <v>0</v>
      </c>
      <c r="D854">
        <f>+'Paste Here'!P854</f>
        <v>0</v>
      </c>
      <c r="E854">
        <f>+'Paste Here'!Q854</f>
        <v>0</v>
      </c>
      <c r="F854">
        <f>+'Paste Here'!R854</f>
        <v>0</v>
      </c>
      <c r="G854">
        <f>+'Paste Here'!S854</f>
        <v>0</v>
      </c>
      <c r="H854">
        <f>+'Paste Here'!T854</f>
        <v>0</v>
      </c>
      <c r="I854">
        <f>+'Paste Here'!U854</f>
        <v>0</v>
      </c>
      <c r="J854">
        <f>+'Paste Here'!V854</f>
        <v>0</v>
      </c>
      <c r="K854">
        <f>+'Paste Here'!W854</f>
        <v>0</v>
      </c>
    </row>
    <row r="855" spans="1:11">
      <c r="A855" t="str">
        <f t="shared" si="13"/>
        <v>00</v>
      </c>
      <c r="B855">
        <f>+'Paste Here'!N855</f>
        <v>0</v>
      </c>
      <c r="C855">
        <f>+'Paste Here'!O855</f>
        <v>0</v>
      </c>
      <c r="D855">
        <f>+'Paste Here'!P855</f>
        <v>0</v>
      </c>
      <c r="E855">
        <f>+'Paste Here'!Q855</f>
        <v>0</v>
      </c>
      <c r="F855">
        <f>+'Paste Here'!R855</f>
        <v>0</v>
      </c>
      <c r="G855">
        <f>+'Paste Here'!S855</f>
        <v>0</v>
      </c>
      <c r="H855">
        <f>+'Paste Here'!T855</f>
        <v>0</v>
      </c>
      <c r="I855">
        <f>+'Paste Here'!U855</f>
        <v>0</v>
      </c>
      <c r="J855">
        <f>+'Paste Here'!V855</f>
        <v>0</v>
      </c>
      <c r="K855">
        <f>+'Paste Here'!W855</f>
        <v>0</v>
      </c>
    </row>
    <row r="856" spans="1:11">
      <c r="A856" t="str">
        <f t="shared" si="13"/>
        <v>00</v>
      </c>
      <c r="B856">
        <f>+'Paste Here'!N856</f>
        <v>0</v>
      </c>
      <c r="C856">
        <f>+'Paste Here'!O856</f>
        <v>0</v>
      </c>
      <c r="D856">
        <f>+'Paste Here'!P856</f>
        <v>0</v>
      </c>
      <c r="E856">
        <f>+'Paste Here'!Q856</f>
        <v>0</v>
      </c>
      <c r="F856">
        <f>+'Paste Here'!R856</f>
        <v>0</v>
      </c>
      <c r="G856">
        <f>+'Paste Here'!S856</f>
        <v>0</v>
      </c>
      <c r="H856">
        <f>+'Paste Here'!T856</f>
        <v>0</v>
      </c>
      <c r="I856">
        <f>+'Paste Here'!U856</f>
        <v>0</v>
      </c>
      <c r="J856">
        <f>+'Paste Here'!V856</f>
        <v>0</v>
      </c>
      <c r="K856">
        <f>+'Paste Here'!W856</f>
        <v>0</v>
      </c>
    </row>
    <row r="857" spans="1:11">
      <c r="A857" t="str">
        <f t="shared" si="13"/>
        <v>00</v>
      </c>
      <c r="B857">
        <f>+'Paste Here'!N857</f>
        <v>0</v>
      </c>
      <c r="C857">
        <f>+'Paste Here'!O857</f>
        <v>0</v>
      </c>
      <c r="D857">
        <f>+'Paste Here'!P857</f>
        <v>0</v>
      </c>
      <c r="E857">
        <f>+'Paste Here'!Q857</f>
        <v>0</v>
      </c>
      <c r="F857">
        <f>+'Paste Here'!R857</f>
        <v>0</v>
      </c>
      <c r="G857">
        <f>+'Paste Here'!S857</f>
        <v>0</v>
      </c>
      <c r="H857">
        <f>+'Paste Here'!T857</f>
        <v>0</v>
      </c>
      <c r="I857">
        <f>+'Paste Here'!U857</f>
        <v>0</v>
      </c>
      <c r="J857">
        <f>+'Paste Here'!V857</f>
        <v>0</v>
      </c>
      <c r="K857">
        <f>+'Paste Here'!W857</f>
        <v>0</v>
      </c>
    </row>
    <row r="858" spans="1:11">
      <c r="A858" t="str">
        <f t="shared" si="13"/>
        <v>00</v>
      </c>
      <c r="B858">
        <f>+'Paste Here'!N858</f>
        <v>0</v>
      </c>
      <c r="C858">
        <f>+'Paste Here'!O858</f>
        <v>0</v>
      </c>
      <c r="D858">
        <f>+'Paste Here'!P858</f>
        <v>0</v>
      </c>
      <c r="E858">
        <f>+'Paste Here'!Q858</f>
        <v>0</v>
      </c>
      <c r="F858">
        <f>+'Paste Here'!R858</f>
        <v>0</v>
      </c>
      <c r="G858">
        <f>+'Paste Here'!S858</f>
        <v>0</v>
      </c>
      <c r="H858">
        <f>+'Paste Here'!T858</f>
        <v>0</v>
      </c>
      <c r="I858">
        <f>+'Paste Here'!U858</f>
        <v>0</v>
      </c>
      <c r="J858">
        <f>+'Paste Here'!V858</f>
        <v>0</v>
      </c>
      <c r="K858">
        <f>+'Paste Here'!W858</f>
        <v>0</v>
      </c>
    </row>
    <row r="859" spans="1:11">
      <c r="A859" t="str">
        <f t="shared" si="13"/>
        <v>00</v>
      </c>
      <c r="B859">
        <f>+'Paste Here'!N859</f>
        <v>0</v>
      </c>
      <c r="C859">
        <f>+'Paste Here'!O859</f>
        <v>0</v>
      </c>
      <c r="D859">
        <f>+'Paste Here'!P859</f>
        <v>0</v>
      </c>
      <c r="E859">
        <f>+'Paste Here'!Q859</f>
        <v>0</v>
      </c>
      <c r="F859">
        <f>+'Paste Here'!R859</f>
        <v>0</v>
      </c>
      <c r="G859">
        <f>+'Paste Here'!S859</f>
        <v>0</v>
      </c>
      <c r="H859">
        <f>+'Paste Here'!T859</f>
        <v>0</v>
      </c>
      <c r="I859">
        <f>+'Paste Here'!U859</f>
        <v>0</v>
      </c>
      <c r="J859">
        <f>+'Paste Here'!V859</f>
        <v>0</v>
      </c>
      <c r="K859">
        <f>+'Paste Here'!W859</f>
        <v>0</v>
      </c>
    </row>
    <row r="860" spans="1:11">
      <c r="A860" t="str">
        <f t="shared" si="13"/>
        <v>00</v>
      </c>
      <c r="B860">
        <f>+'Paste Here'!N860</f>
        <v>0</v>
      </c>
      <c r="C860">
        <f>+'Paste Here'!O860</f>
        <v>0</v>
      </c>
      <c r="D860">
        <f>+'Paste Here'!P860</f>
        <v>0</v>
      </c>
      <c r="E860">
        <f>+'Paste Here'!Q860</f>
        <v>0</v>
      </c>
      <c r="F860">
        <f>+'Paste Here'!R860</f>
        <v>0</v>
      </c>
      <c r="G860">
        <f>+'Paste Here'!S860</f>
        <v>0</v>
      </c>
      <c r="H860">
        <f>+'Paste Here'!T860</f>
        <v>0</v>
      </c>
      <c r="I860">
        <f>+'Paste Here'!U860</f>
        <v>0</v>
      </c>
      <c r="J860">
        <f>+'Paste Here'!V860</f>
        <v>0</v>
      </c>
      <c r="K860">
        <f>+'Paste Here'!W860</f>
        <v>0</v>
      </c>
    </row>
    <row r="861" spans="1:11">
      <c r="A861" t="str">
        <f t="shared" si="13"/>
        <v>00</v>
      </c>
      <c r="B861">
        <f>+'Paste Here'!N861</f>
        <v>0</v>
      </c>
      <c r="C861">
        <f>+'Paste Here'!O861</f>
        <v>0</v>
      </c>
      <c r="D861">
        <f>+'Paste Here'!P861</f>
        <v>0</v>
      </c>
      <c r="E861">
        <f>+'Paste Here'!Q861</f>
        <v>0</v>
      </c>
      <c r="F861">
        <f>+'Paste Here'!R861</f>
        <v>0</v>
      </c>
      <c r="G861">
        <f>+'Paste Here'!S861</f>
        <v>0</v>
      </c>
      <c r="H861">
        <f>+'Paste Here'!T861</f>
        <v>0</v>
      </c>
      <c r="I861">
        <f>+'Paste Here'!U861</f>
        <v>0</v>
      </c>
      <c r="J861">
        <f>+'Paste Here'!V861</f>
        <v>0</v>
      </c>
      <c r="K861">
        <f>+'Paste Here'!W861</f>
        <v>0</v>
      </c>
    </row>
    <row r="862" spans="1:11">
      <c r="A862" t="str">
        <f t="shared" si="13"/>
        <v>00</v>
      </c>
      <c r="B862">
        <f>+'Paste Here'!N862</f>
        <v>0</v>
      </c>
      <c r="C862">
        <f>+'Paste Here'!O862</f>
        <v>0</v>
      </c>
      <c r="D862">
        <f>+'Paste Here'!P862</f>
        <v>0</v>
      </c>
      <c r="E862">
        <f>+'Paste Here'!Q862</f>
        <v>0</v>
      </c>
      <c r="F862">
        <f>+'Paste Here'!R862</f>
        <v>0</v>
      </c>
      <c r="G862">
        <f>+'Paste Here'!S862</f>
        <v>0</v>
      </c>
      <c r="H862">
        <f>+'Paste Here'!T862</f>
        <v>0</v>
      </c>
      <c r="I862">
        <f>+'Paste Here'!U862</f>
        <v>0</v>
      </c>
      <c r="J862">
        <f>+'Paste Here'!V862</f>
        <v>0</v>
      </c>
      <c r="K862">
        <f>+'Paste Here'!W862</f>
        <v>0</v>
      </c>
    </row>
    <row r="863" spans="1:11">
      <c r="A863" t="str">
        <f t="shared" si="13"/>
        <v>00</v>
      </c>
      <c r="B863">
        <f>+'Paste Here'!N863</f>
        <v>0</v>
      </c>
      <c r="C863">
        <f>+'Paste Here'!O863</f>
        <v>0</v>
      </c>
      <c r="D863">
        <f>+'Paste Here'!P863</f>
        <v>0</v>
      </c>
      <c r="E863">
        <f>+'Paste Here'!Q863</f>
        <v>0</v>
      </c>
      <c r="F863">
        <f>+'Paste Here'!R863</f>
        <v>0</v>
      </c>
      <c r="G863">
        <f>+'Paste Here'!S863</f>
        <v>0</v>
      </c>
      <c r="H863">
        <f>+'Paste Here'!T863</f>
        <v>0</v>
      </c>
      <c r="I863">
        <f>+'Paste Here'!U863</f>
        <v>0</v>
      </c>
      <c r="J863">
        <f>+'Paste Here'!V863</f>
        <v>0</v>
      </c>
      <c r="K863">
        <f>+'Paste Here'!W863</f>
        <v>0</v>
      </c>
    </row>
    <row r="864" spans="1:11">
      <c r="A864" t="str">
        <f t="shared" si="13"/>
        <v>00</v>
      </c>
      <c r="B864">
        <f>+'Paste Here'!N864</f>
        <v>0</v>
      </c>
      <c r="C864">
        <f>+'Paste Here'!O864</f>
        <v>0</v>
      </c>
      <c r="D864">
        <f>+'Paste Here'!P864</f>
        <v>0</v>
      </c>
      <c r="E864">
        <f>+'Paste Here'!Q864</f>
        <v>0</v>
      </c>
      <c r="F864">
        <f>+'Paste Here'!R864</f>
        <v>0</v>
      </c>
      <c r="G864">
        <f>+'Paste Here'!S864</f>
        <v>0</v>
      </c>
      <c r="H864">
        <f>+'Paste Here'!T864</f>
        <v>0</v>
      </c>
      <c r="I864">
        <f>+'Paste Here'!U864</f>
        <v>0</v>
      </c>
      <c r="J864">
        <f>+'Paste Here'!V864</f>
        <v>0</v>
      </c>
      <c r="K864">
        <f>+'Paste Here'!W864</f>
        <v>0</v>
      </c>
    </row>
    <row r="865" spans="1:11">
      <c r="A865" t="str">
        <f t="shared" si="13"/>
        <v>00</v>
      </c>
      <c r="B865">
        <f>+'Paste Here'!N865</f>
        <v>0</v>
      </c>
      <c r="C865">
        <f>+'Paste Here'!O865</f>
        <v>0</v>
      </c>
      <c r="D865">
        <f>+'Paste Here'!P865</f>
        <v>0</v>
      </c>
      <c r="E865">
        <f>+'Paste Here'!Q865</f>
        <v>0</v>
      </c>
      <c r="F865">
        <f>+'Paste Here'!R865</f>
        <v>0</v>
      </c>
      <c r="G865">
        <f>+'Paste Here'!S865</f>
        <v>0</v>
      </c>
      <c r="H865">
        <f>+'Paste Here'!T865</f>
        <v>0</v>
      </c>
      <c r="I865">
        <f>+'Paste Here'!U865</f>
        <v>0</v>
      </c>
      <c r="J865">
        <f>+'Paste Here'!V865</f>
        <v>0</v>
      </c>
      <c r="K865">
        <f>+'Paste Here'!W865</f>
        <v>0</v>
      </c>
    </row>
    <row r="866" spans="1:11">
      <c r="A866" t="str">
        <f t="shared" si="13"/>
        <v>00</v>
      </c>
      <c r="B866">
        <f>+'Paste Here'!N866</f>
        <v>0</v>
      </c>
      <c r="C866">
        <f>+'Paste Here'!O866</f>
        <v>0</v>
      </c>
      <c r="D866">
        <f>+'Paste Here'!P866</f>
        <v>0</v>
      </c>
      <c r="E866">
        <f>+'Paste Here'!Q866</f>
        <v>0</v>
      </c>
      <c r="F866">
        <f>+'Paste Here'!R866</f>
        <v>0</v>
      </c>
      <c r="G866">
        <f>+'Paste Here'!S866</f>
        <v>0</v>
      </c>
      <c r="H866">
        <f>+'Paste Here'!T866</f>
        <v>0</v>
      </c>
      <c r="I866">
        <f>+'Paste Here'!U866</f>
        <v>0</v>
      </c>
      <c r="J866">
        <f>+'Paste Here'!V866</f>
        <v>0</v>
      </c>
      <c r="K866">
        <f>+'Paste Here'!W866</f>
        <v>0</v>
      </c>
    </row>
    <row r="867" spans="1:11">
      <c r="A867" t="str">
        <f t="shared" si="13"/>
        <v>00</v>
      </c>
      <c r="B867">
        <f>+'Paste Here'!N867</f>
        <v>0</v>
      </c>
      <c r="C867">
        <f>+'Paste Here'!O867</f>
        <v>0</v>
      </c>
      <c r="D867">
        <f>+'Paste Here'!P867</f>
        <v>0</v>
      </c>
      <c r="E867">
        <f>+'Paste Here'!Q867</f>
        <v>0</v>
      </c>
      <c r="F867">
        <f>+'Paste Here'!R867</f>
        <v>0</v>
      </c>
      <c r="G867">
        <f>+'Paste Here'!S867</f>
        <v>0</v>
      </c>
      <c r="H867">
        <f>+'Paste Here'!T867</f>
        <v>0</v>
      </c>
      <c r="I867">
        <f>+'Paste Here'!U867</f>
        <v>0</v>
      </c>
      <c r="J867">
        <f>+'Paste Here'!V867</f>
        <v>0</v>
      </c>
      <c r="K867">
        <f>+'Paste Here'!W867</f>
        <v>0</v>
      </c>
    </row>
    <row r="868" spans="1:11">
      <c r="A868" t="str">
        <f t="shared" si="13"/>
        <v>00</v>
      </c>
      <c r="B868">
        <f>+'Paste Here'!N868</f>
        <v>0</v>
      </c>
      <c r="C868">
        <f>+'Paste Here'!O868</f>
        <v>0</v>
      </c>
      <c r="D868">
        <f>+'Paste Here'!P868</f>
        <v>0</v>
      </c>
      <c r="E868">
        <f>+'Paste Here'!Q868</f>
        <v>0</v>
      </c>
      <c r="F868">
        <f>+'Paste Here'!R868</f>
        <v>0</v>
      </c>
      <c r="G868">
        <f>+'Paste Here'!S868</f>
        <v>0</v>
      </c>
      <c r="H868">
        <f>+'Paste Here'!T868</f>
        <v>0</v>
      </c>
      <c r="I868">
        <f>+'Paste Here'!U868</f>
        <v>0</v>
      </c>
      <c r="J868">
        <f>+'Paste Here'!V868</f>
        <v>0</v>
      </c>
      <c r="K868">
        <f>+'Paste Here'!W868</f>
        <v>0</v>
      </c>
    </row>
    <row r="869" spans="1:11">
      <c r="A869" t="str">
        <f t="shared" si="13"/>
        <v>00</v>
      </c>
      <c r="B869">
        <f>+'Paste Here'!N869</f>
        <v>0</v>
      </c>
      <c r="C869">
        <f>+'Paste Here'!O869</f>
        <v>0</v>
      </c>
      <c r="D869">
        <f>+'Paste Here'!P869</f>
        <v>0</v>
      </c>
      <c r="E869">
        <f>+'Paste Here'!Q869</f>
        <v>0</v>
      </c>
      <c r="F869">
        <f>+'Paste Here'!R869</f>
        <v>0</v>
      </c>
      <c r="G869">
        <f>+'Paste Here'!S869</f>
        <v>0</v>
      </c>
      <c r="H869">
        <f>+'Paste Here'!T869</f>
        <v>0</v>
      </c>
      <c r="I869">
        <f>+'Paste Here'!U869</f>
        <v>0</v>
      </c>
      <c r="J869">
        <f>+'Paste Here'!V869</f>
        <v>0</v>
      </c>
      <c r="K869">
        <f>+'Paste Here'!W869</f>
        <v>0</v>
      </c>
    </row>
    <row r="870" spans="1:11">
      <c r="A870" t="str">
        <f t="shared" si="13"/>
        <v>00</v>
      </c>
      <c r="B870">
        <f>+'Paste Here'!N870</f>
        <v>0</v>
      </c>
      <c r="C870">
        <f>+'Paste Here'!O870</f>
        <v>0</v>
      </c>
      <c r="D870">
        <f>+'Paste Here'!P870</f>
        <v>0</v>
      </c>
      <c r="E870">
        <f>+'Paste Here'!Q870</f>
        <v>0</v>
      </c>
      <c r="F870">
        <f>+'Paste Here'!R870</f>
        <v>0</v>
      </c>
      <c r="G870">
        <f>+'Paste Here'!S870</f>
        <v>0</v>
      </c>
      <c r="H870">
        <f>+'Paste Here'!T870</f>
        <v>0</v>
      </c>
      <c r="I870">
        <f>+'Paste Here'!U870</f>
        <v>0</v>
      </c>
      <c r="J870">
        <f>+'Paste Here'!V870</f>
        <v>0</v>
      </c>
      <c r="K870">
        <f>+'Paste Here'!W870</f>
        <v>0</v>
      </c>
    </row>
    <row r="871" spans="1:11">
      <c r="A871" t="str">
        <f t="shared" si="13"/>
        <v>00</v>
      </c>
      <c r="B871">
        <f>+'Paste Here'!N871</f>
        <v>0</v>
      </c>
      <c r="C871">
        <f>+'Paste Here'!O871</f>
        <v>0</v>
      </c>
      <c r="D871">
        <f>+'Paste Here'!P871</f>
        <v>0</v>
      </c>
      <c r="E871">
        <f>+'Paste Here'!Q871</f>
        <v>0</v>
      </c>
      <c r="F871">
        <f>+'Paste Here'!R871</f>
        <v>0</v>
      </c>
      <c r="G871">
        <f>+'Paste Here'!S871</f>
        <v>0</v>
      </c>
      <c r="H871">
        <f>+'Paste Here'!T871</f>
        <v>0</v>
      </c>
      <c r="I871">
        <f>+'Paste Here'!U871</f>
        <v>0</v>
      </c>
      <c r="J871">
        <f>+'Paste Here'!V871</f>
        <v>0</v>
      </c>
      <c r="K871">
        <f>+'Paste Here'!W871</f>
        <v>0</v>
      </c>
    </row>
    <row r="872" spans="1:11">
      <c r="A872" t="str">
        <f t="shared" si="13"/>
        <v>00</v>
      </c>
      <c r="B872">
        <f>+'Paste Here'!N872</f>
        <v>0</v>
      </c>
      <c r="C872">
        <f>+'Paste Here'!O872</f>
        <v>0</v>
      </c>
      <c r="D872">
        <f>+'Paste Here'!P872</f>
        <v>0</v>
      </c>
      <c r="E872">
        <f>+'Paste Here'!Q872</f>
        <v>0</v>
      </c>
      <c r="F872">
        <f>+'Paste Here'!R872</f>
        <v>0</v>
      </c>
      <c r="G872">
        <f>+'Paste Here'!S872</f>
        <v>0</v>
      </c>
      <c r="H872">
        <f>+'Paste Here'!T872</f>
        <v>0</v>
      </c>
      <c r="I872">
        <f>+'Paste Here'!U872</f>
        <v>0</v>
      </c>
      <c r="J872">
        <f>+'Paste Here'!V872</f>
        <v>0</v>
      </c>
      <c r="K872">
        <f>+'Paste Here'!W872</f>
        <v>0</v>
      </c>
    </row>
    <row r="873" spans="1:11">
      <c r="A873" t="str">
        <f t="shared" si="13"/>
        <v>00</v>
      </c>
      <c r="B873">
        <f>+'Paste Here'!N873</f>
        <v>0</v>
      </c>
      <c r="C873">
        <f>+'Paste Here'!O873</f>
        <v>0</v>
      </c>
      <c r="D873">
        <f>+'Paste Here'!P873</f>
        <v>0</v>
      </c>
      <c r="E873">
        <f>+'Paste Here'!Q873</f>
        <v>0</v>
      </c>
      <c r="F873">
        <f>+'Paste Here'!R873</f>
        <v>0</v>
      </c>
      <c r="G873">
        <f>+'Paste Here'!S873</f>
        <v>0</v>
      </c>
      <c r="H873">
        <f>+'Paste Here'!T873</f>
        <v>0</v>
      </c>
      <c r="I873">
        <f>+'Paste Here'!U873</f>
        <v>0</v>
      </c>
      <c r="J873">
        <f>+'Paste Here'!V873</f>
        <v>0</v>
      </c>
      <c r="K873">
        <f>+'Paste Here'!W873</f>
        <v>0</v>
      </c>
    </row>
    <row r="874" spans="1:11">
      <c r="A874" t="str">
        <f t="shared" si="13"/>
        <v>00</v>
      </c>
      <c r="B874">
        <f>+'Paste Here'!N874</f>
        <v>0</v>
      </c>
      <c r="C874">
        <f>+'Paste Here'!O874</f>
        <v>0</v>
      </c>
      <c r="D874">
        <f>+'Paste Here'!P874</f>
        <v>0</v>
      </c>
      <c r="E874">
        <f>+'Paste Here'!Q874</f>
        <v>0</v>
      </c>
      <c r="F874">
        <f>+'Paste Here'!R874</f>
        <v>0</v>
      </c>
      <c r="G874">
        <f>+'Paste Here'!S874</f>
        <v>0</v>
      </c>
      <c r="H874">
        <f>+'Paste Here'!T874</f>
        <v>0</v>
      </c>
      <c r="I874">
        <f>+'Paste Here'!U874</f>
        <v>0</v>
      </c>
      <c r="J874">
        <f>+'Paste Here'!V874</f>
        <v>0</v>
      </c>
      <c r="K874">
        <f>+'Paste Here'!W874</f>
        <v>0</v>
      </c>
    </row>
    <row r="875" spans="1:11">
      <c r="A875" t="str">
        <f t="shared" si="13"/>
        <v>00</v>
      </c>
      <c r="B875">
        <f>+'Paste Here'!N875</f>
        <v>0</v>
      </c>
      <c r="C875">
        <f>+'Paste Here'!O875</f>
        <v>0</v>
      </c>
      <c r="D875">
        <f>+'Paste Here'!P875</f>
        <v>0</v>
      </c>
      <c r="E875">
        <f>+'Paste Here'!Q875</f>
        <v>0</v>
      </c>
      <c r="F875">
        <f>+'Paste Here'!R875</f>
        <v>0</v>
      </c>
      <c r="G875">
        <f>+'Paste Here'!S875</f>
        <v>0</v>
      </c>
      <c r="H875">
        <f>+'Paste Here'!T875</f>
        <v>0</v>
      </c>
      <c r="I875">
        <f>+'Paste Here'!U875</f>
        <v>0</v>
      </c>
      <c r="J875">
        <f>+'Paste Here'!V875</f>
        <v>0</v>
      </c>
      <c r="K875">
        <f>+'Paste Here'!W875</f>
        <v>0</v>
      </c>
    </row>
    <row r="876" spans="1:11">
      <c r="A876" t="str">
        <f t="shared" si="13"/>
        <v>00</v>
      </c>
      <c r="B876">
        <f>+'Paste Here'!N876</f>
        <v>0</v>
      </c>
      <c r="C876">
        <f>+'Paste Here'!O876</f>
        <v>0</v>
      </c>
      <c r="D876">
        <f>+'Paste Here'!P876</f>
        <v>0</v>
      </c>
      <c r="E876">
        <f>+'Paste Here'!Q876</f>
        <v>0</v>
      </c>
      <c r="F876">
        <f>+'Paste Here'!R876</f>
        <v>0</v>
      </c>
      <c r="G876">
        <f>+'Paste Here'!S876</f>
        <v>0</v>
      </c>
      <c r="H876">
        <f>+'Paste Here'!T876</f>
        <v>0</v>
      </c>
      <c r="I876">
        <f>+'Paste Here'!U876</f>
        <v>0</v>
      </c>
      <c r="J876">
        <f>+'Paste Here'!V876</f>
        <v>0</v>
      </c>
      <c r="K876">
        <f>+'Paste Here'!W876</f>
        <v>0</v>
      </c>
    </row>
    <row r="877" spans="1:11">
      <c r="A877" t="str">
        <f t="shared" si="13"/>
        <v>00</v>
      </c>
      <c r="B877">
        <f>+'Paste Here'!N877</f>
        <v>0</v>
      </c>
      <c r="C877">
        <f>+'Paste Here'!O877</f>
        <v>0</v>
      </c>
      <c r="D877">
        <f>+'Paste Here'!P877</f>
        <v>0</v>
      </c>
      <c r="E877">
        <f>+'Paste Here'!Q877</f>
        <v>0</v>
      </c>
      <c r="F877">
        <f>+'Paste Here'!R877</f>
        <v>0</v>
      </c>
      <c r="G877">
        <f>+'Paste Here'!S877</f>
        <v>0</v>
      </c>
      <c r="H877">
        <f>+'Paste Here'!T877</f>
        <v>0</v>
      </c>
      <c r="I877">
        <f>+'Paste Here'!U877</f>
        <v>0</v>
      </c>
      <c r="J877">
        <f>+'Paste Here'!V877</f>
        <v>0</v>
      </c>
      <c r="K877">
        <f>+'Paste Here'!W877</f>
        <v>0</v>
      </c>
    </row>
    <row r="878" spans="1:11">
      <c r="A878" t="str">
        <f t="shared" si="13"/>
        <v>00</v>
      </c>
      <c r="B878">
        <f>+'Paste Here'!N878</f>
        <v>0</v>
      </c>
      <c r="C878">
        <f>+'Paste Here'!O878</f>
        <v>0</v>
      </c>
      <c r="D878">
        <f>+'Paste Here'!P878</f>
        <v>0</v>
      </c>
      <c r="E878">
        <f>+'Paste Here'!Q878</f>
        <v>0</v>
      </c>
      <c r="F878">
        <f>+'Paste Here'!R878</f>
        <v>0</v>
      </c>
      <c r="G878">
        <f>+'Paste Here'!S878</f>
        <v>0</v>
      </c>
      <c r="H878">
        <f>+'Paste Here'!T878</f>
        <v>0</v>
      </c>
      <c r="I878">
        <f>+'Paste Here'!U878</f>
        <v>0</v>
      </c>
      <c r="J878">
        <f>+'Paste Here'!V878</f>
        <v>0</v>
      </c>
      <c r="K878">
        <f>+'Paste Here'!W878</f>
        <v>0</v>
      </c>
    </row>
    <row r="879" spans="1:11">
      <c r="A879" t="str">
        <f t="shared" si="13"/>
        <v>00</v>
      </c>
      <c r="B879">
        <f>+'Paste Here'!N879</f>
        <v>0</v>
      </c>
      <c r="C879">
        <f>+'Paste Here'!O879</f>
        <v>0</v>
      </c>
      <c r="D879">
        <f>+'Paste Here'!P879</f>
        <v>0</v>
      </c>
      <c r="E879">
        <f>+'Paste Here'!Q879</f>
        <v>0</v>
      </c>
      <c r="F879">
        <f>+'Paste Here'!R879</f>
        <v>0</v>
      </c>
      <c r="G879">
        <f>+'Paste Here'!S879</f>
        <v>0</v>
      </c>
      <c r="H879">
        <f>+'Paste Here'!T879</f>
        <v>0</v>
      </c>
      <c r="I879">
        <f>+'Paste Here'!U879</f>
        <v>0</v>
      </c>
      <c r="J879">
        <f>+'Paste Here'!V879</f>
        <v>0</v>
      </c>
      <c r="K879">
        <f>+'Paste Here'!W879</f>
        <v>0</v>
      </c>
    </row>
    <row r="880" spans="1:11">
      <c r="A880" t="str">
        <f t="shared" si="13"/>
        <v>00</v>
      </c>
      <c r="B880">
        <f>+'Paste Here'!N880</f>
        <v>0</v>
      </c>
      <c r="C880">
        <f>+'Paste Here'!O880</f>
        <v>0</v>
      </c>
      <c r="D880">
        <f>+'Paste Here'!P880</f>
        <v>0</v>
      </c>
      <c r="E880">
        <f>+'Paste Here'!Q880</f>
        <v>0</v>
      </c>
      <c r="F880">
        <f>+'Paste Here'!R880</f>
        <v>0</v>
      </c>
      <c r="G880">
        <f>+'Paste Here'!S880</f>
        <v>0</v>
      </c>
      <c r="H880">
        <f>+'Paste Here'!T880</f>
        <v>0</v>
      </c>
      <c r="I880">
        <f>+'Paste Here'!U880</f>
        <v>0</v>
      </c>
      <c r="J880">
        <f>+'Paste Here'!V880</f>
        <v>0</v>
      </c>
      <c r="K880">
        <f>+'Paste Here'!W880</f>
        <v>0</v>
      </c>
    </row>
    <row r="881" spans="1:11">
      <c r="A881" t="str">
        <f t="shared" si="13"/>
        <v>00</v>
      </c>
      <c r="B881">
        <f>+'Paste Here'!N881</f>
        <v>0</v>
      </c>
      <c r="C881">
        <f>+'Paste Here'!O881</f>
        <v>0</v>
      </c>
      <c r="D881">
        <f>+'Paste Here'!P881</f>
        <v>0</v>
      </c>
      <c r="E881">
        <f>+'Paste Here'!Q881</f>
        <v>0</v>
      </c>
      <c r="F881">
        <f>+'Paste Here'!R881</f>
        <v>0</v>
      </c>
      <c r="G881">
        <f>+'Paste Here'!S881</f>
        <v>0</v>
      </c>
      <c r="H881">
        <f>+'Paste Here'!T881</f>
        <v>0</v>
      </c>
      <c r="I881">
        <f>+'Paste Here'!U881</f>
        <v>0</v>
      </c>
      <c r="J881">
        <f>+'Paste Here'!V881</f>
        <v>0</v>
      </c>
      <c r="K881">
        <f>+'Paste Here'!W881</f>
        <v>0</v>
      </c>
    </row>
    <row r="882" spans="1:11">
      <c r="A882" t="str">
        <f t="shared" si="13"/>
        <v>00</v>
      </c>
      <c r="B882">
        <f>+'Paste Here'!N882</f>
        <v>0</v>
      </c>
      <c r="C882">
        <f>+'Paste Here'!O882</f>
        <v>0</v>
      </c>
      <c r="D882">
        <f>+'Paste Here'!P882</f>
        <v>0</v>
      </c>
      <c r="E882">
        <f>+'Paste Here'!Q882</f>
        <v>0</v>
      </c>
      <c r="F882">
        <f>+'Paste Here'!R882</f>
        <v>0</v>
      </c>
      <c r="G882">
        <f>+'Paste Here'!S882</f>
        <v>0</v>
      </c>
      <c r="H882">
        <f>+'Paste Here'!T882</f>
        <v>0</v>
      </c>
      <c r="I882">
        <f>+'Paste Here'!U882</f>
        <v>0</v>
      </c>
      <c r="J882">
        <f>+'Paste Here'!V882</f>
        <v>0</v>
      </c>
      <c r="K882">
        <f>+'Paste Here'!W882</f>
        <v>0</v>
      </c>
    </row>
    <row r="883" spans="1:11">
      <c r="A883" t="str">
        <f t="shared" si="13"/>
        <v>00</v>
      </c>
      <c r="B883">
        <f>+'Paste Here'!N883</f>
        <v>0</v>
      </c>
      <c r="C883">
        <f>+'Paste Here'!O883</f>
        <v>0</v>
      </c>
      <c r="D883">
        <f>+'Paste Here'!P883</f>
        <v>0</v>
      </c>
      <c r="E883">
        <f>+'Paste Here'!Q883</f>
        <v>0</v>
      </c>
      <c r="F883">
        <f>+'Paste Here'!R883</f>
        <v>0</v>
      </c>
      <c r="G883">
        <f>+'Paste Here'!S883</f>
        <v>0</v>
      </c>
      <c r="H883">
        <f>+'Paste Here'!T883</f>
        <v>0</v>
      </c>
      <c r="I883">
        <f>+'Paste Here'!U883</f>
        <v>0</v>
      </c>
      <c r="J883">
        <f>+'Paste Here'!V883</f>
        <v>0</v>
      </c>
      <c r="K883">
        <f>+'Paste Here'!W883</f>
        <v>0</v>
      </c>
    </row>
    <row r="884" spans="1:11">
      <c r="A884" t="str">
        <f t="shared" si="13"/>
        <v>00</v>
      </c>
      <c r="B884">
        <f>+'Paste Here'!N884</f>
        <v>0</v>
      </c>
      <c r="C884">
        <f>+'Paste Here'!O884</f>
        <v>0</v>
      </c>
      <c r="D884">
        <f>+'Paste Here'!P884</f>
        <v>0</v>
      </c>
      <c r="E884">
        <f>+'Paste Here'!Q884</f>
        <v>0</v>
      </c>
      <c r="F884">
        <f>+'Paste Here'!R884</f>
        <v>0</v>
      </c>
      <c r="G884">
        <f>+'Paste Here'!S884</f>
        <v>0</v>
      </c>
      <c r="H884">
        <f>+'Paste Here'!T884</f>
        <v>0</v>
      </c>
      <c r="I884">
        <f>+'Paste Here'!U884</f>
        <v>0</v>
      </c>
      <c r="J884">
        <f>+'Paste Here'!V884</f>
        <v>0</v>
      </c>
      <c r="K884">
        <f>+'Paste Here'!W884</f>
        <v>0</v>
      </c>
    </row>
    <row r="885" spans="1:11">
      <c r="A885" t="str">
        <f t="shared" si="13"/>
        <v>00</v>
      </c>
      <c r="B885">
        <f>+'Paste Here'!N885</f>
        <v>0</v>
      </c>
      <c r="C885">
        <f>+'Paste Here'!O885</f>
        <v>0</v>
      </c>
      <c r="D885">
        <f>+'Paste Here'!P885</f>
        <v>0</v>
      </c>
      <c r="E885">
        <f>+'Paste Here'!Q885</f>
        <v>0</v>
      </c>
      <c r="F885">
        <f>+'Paste Here'!R885</f>
        <v>0</v>
      </c>
      <c r="G885">
        <f>+'Paste Here'!S885</f>
        <v>0</v>
      </c>
      <c r="H885">
        <f>+'Paste Here'!T885</f>
        <v>0</v>
      </c>
      <c r="I885">
        <f>+'Paste Here'!U885</f>
        <v>0</v>
      </c>
      <c r="J885">
        <f>+'Paste Here'!V885</f>
        <v>0</v>
      </c>
      <c r="K885">
        <f>+'Paste Here'!W885</f>
        <v>0</v>
      </c>
    </row>
    <row r="886" spans="1:11">
      <c r="A886" t="str">
        <f t="shared" si="13"/>
        <v>00</v>
      </c>
      <c r="B886">
        <f>+'Paste Here'!N886</f>
        <v>0</v>
      </c>
      <c r="C886">
        <f>+'Paste Here'!O886</f>
        <v>0</v>
      </c>
      <c r="D886">
        <f>+'Paste Here'!P886</f>
        <v>0</v>
      </c>
      <c r="E886">
        <f>+'Paste Here'!Q886</f>
        <v>0</v>
      </c>
      <c r="F886">
        <f>+'Paste Here'!R886</f>
        <v>0</v>
      </c>
      <c r="G886">
        <f>+'Paste Here'!S886</f>
        <v>0</v>
      </c>
      <c r="H886">
        <f>+'Paste Here'!T886</f>
        <v>0</v>
      </c>
      <c r="I886">
        <f>+'Paste Here'!U886</f>
        <v>0</v>
      </c>
      <c r="J886">
        <f>+'Paste Here'!V886</f>
        <v>0</v>
      </c>
      <c r="K886">
        <f>+'Paste Here'!W886</f>
        <v>0</v>
      </c>
    </row>
    <row r="887" spans="1:11">
      <c r="A887" t="str">
        <f t="shared" si="13"/>
        <v>00</v>
      </c>
      <c r="B887">
        <f>+'Paste Here'!N887</f>
        <v>0</v>
      </c>
      <c r="C887">
        <f>+'Paste Here'!O887</f>
        <v>0</v>
      </c>
      <c r="D887">
        <f>+'Paste Here'!P887</f>
        <v>0</v>
      </c>
      <c r="E887">
        <f>+'Paste Here'!Q887</f>
        <v>0</v>
      </c>
      <c r="F887">
        <f>+'Paste Here'!R887</f>
        <v>0</v>
      </c>
      <c r="G887">
        <f>+'Paste Here'!S887</f>
        <v>0</v>
      </c>
      <c r="H887">
        <f>+'Paste Here'!T887</f>
        <v>0</v>
      </c>
      <c r="I887">
        <f>+'Paste Here'!U887</f>
        <v>0</v>
      </c>
      <c r="J887">
        <f>+'Paste Here'!V887</f>
        <v>0</v>
      </c>
      <c r="K887">
        <f>+'Paste Here'!W887</f>
        <v>0</v>
      </c>
    </row>
    <row r="888" spans="1:11">
      <c r="A888" t="str">
        <f t="shared" si="13"/>
        <v>00</v>
      </c>
      <c r="B888">
        <f>+'Paste Here'!N888</f>
        <v>0</v>
      </c>
      <c r="C888">
        <f>+'Paste Here'!O888</f>
        <v>0</v>
      </c>
      <c r="D888">
        <f>+'Paste Here'!P888</f>
        <v>0</v>
      </c>
      <c r="E888">
        <f>+'Paste Here'!Q888</f>
        <v>0</v>
      </c>
      <c r="F888">
        <f>+'Paste Here'!R888</f>
        <v>0</v>
      </c>
      <c r="G888">
        <f>+'Paste Here'!S888</f>
        <v>0</v>
      </c>
      <c r="H888">
        <f>+'Paste Here'!T888</f>
        <v>0</v>
      </c>
      <c r="I888">
        <f>+'Paste Here'!U888</f>
        <v>0</v>
      </c>
      <c r="J888">
        <f>+'Paste Here'!V888</f>
        <v>0</v>
      </c>
      <c r="K888">
        <f>+'Paste Here'!W888</f>
        <v>0</v>
      </c>
    </row>
    <row r="889" spans="1:11">
      <c r="A889" t="str">
        <f t="shared" si="13"/>
        <v>00</v>
      </c>
      <c r="B889">
        <f>+'Paste Here'!N889</f>
        <v>0</v>
      </c>
      <c r="C889">
        <f>+'Paste Here'!O889</f>
        <v>0</v>
      </c>
      <c r="D889">
        <f>+'Paste Here'!P889</f>
        <v>0</v>
      </c>
      <c r="E889">
        <f>+'Paste Here'!Q889</f>
        <v>0</v>
      </c>
      <c r="F889">
        <f>+'Paste Here'!R889</f>
        <v>0</v>
      </c>
      <c r="G889">
        <f>+'Paste Here'!S889</f>
        <v>0</v>
      </c>
      <c r="H889">
        <f>+'Paste Here'!T889</f>
        <v>0</v>
      </c>
      <c r="I889">
        <f>+'Paste Here'!U889</f>
        <v>0</v>
      </c>
      <c r="J889">
        <f>+'Paste Here'!V889</f>
        <v>0</v>
      </c>
      <c r="K889">
        <f>+'Paste Here'!W889</f>
        <v>0</v>
      </c>
    </row>
    <row r="890" spans="1:11">
      <c r="A890" t="str">
        <f t="shared" si="13"/>
        <v>00</v>
      </c>
      <c r="B890">
        <f>+'Paste Here'!N890</f>
        <v>0</v>
      </c>
      <c r="C890">
        <f>+'Paste Here'!O890</f>
        <v>0</v>
      </c>
      <c r="D890">
        <f>+'Paste Here'!P890</f>
        <v>0</v>
      </c>
      <c r="E890">
        <f>+'Paste Here'!Q890</f>
        <v>0</v>
      </c>
      <c r="F890">
        <f>+'Paste Here'!R890</f>
        <v>0</v>
      </c>
      <c r="G890">
        <f>+'Paste Here'!S890</f>
        <v>0</v>
      </c>
      <c r="H890">
        <f>+'Paste Here'!T890</f>
        <v>0</v>
      </c>
      <c r="I890">
        <f>+'Paste Here'!U890</f>
        <v>0</v>
      </c>
      <c r="J890">
        <f>+'Paste Here'!V890</f>
        <v>0</v>
      </c>
      <c r="K890">
        <f>+'Paste Here'!W890</f>
        <v>0</v>
      </c>
    </row>
    <row r="891" spans="1:11">
      <c r="A891" t="str">
        <f t="shared" si="13"/>
        <v>00</v>
      </c>
      <c r="B891">
        <f>+'Paste Here'!N891</f>
        <v>0</v>
      </c>
      <c r="C891">
        <f>+'Paste Here'!O891</f>
        <v>0</v>
      </c>
      <c r="D891">
        <f>+'Paste Here'!P891</f>
        <v>0</v>
      </c>
      <c r="E891">
        <f>+'Paste Here'!Q891</f>
        <v>0</v>
      </c>
      <c r="F891">
        <f>+'Paste Here'!R891</f>
        <v>0</v>
      </c>
      <c r="G891">
        <f>+'Paste Here'!S891</f>
        <v>0</v>
      </c>
      <c r="H891">
        <f>+'Paste Here'!T891</f>
        <v>0</v>
      </c>
      <c r="I891">
        <f>+'Paste Here'!U891</f>
        <v>0</v>
      </c>
      <c r="J891">
        <f>+'Paste Here'!V891</f>
        <v>0</v>
      </c>
      <c r="K891">
        <f>+'Paste Here'!W891</f>
        <v>0</v>
      </c>
    </row>
    <row r="892" spans="1:11">
      <c r="A892" t="str">
        <f t="shared" si="13"/>
        <v>00</v>
      </c>
      <c r="B892">
        <f>+'Paste Here'!N892</f>
        <v>0</v>
      </c>
      <c r="C892">
        <f>+'Paste Here'!O892</f>
        <v>0</v>
      </c>
      <c r="D892">
        <f>+'Paste Here'!P892</f>
        <v>0</v>
      </c>
      <c r="E892">
        <f>+'Paste Here'!Q892</f>
        <v>0</v>
      </c>
      <c r="F892">
        <f>+'Paste Here'!R892</f>
        <v>0</v>
      </c>
      <c r="G892">
        <f>+'Paste Here'!S892</f>
        <v>0</v>
      </c>
      <c r="H892">
        <f>+'Paste Here'!T892</f>
        <v>0</v>
      </c>
      <c r="I892">
        <f>+'Paste Here'!U892</f>
        <v>0</v>
      </c>
      <c r="J892">
        <f>+'Paste Here'!V892</f>
        <v>0</v>
      </c>
      <c r="K892">
        <f>+'Paste Here'!W892</f>
        <v>0</v>
      </c>
    </row>
    <row r="893" spans="1:11">
      <c r="A893" t="str">
        <f t="shared" si="13"/>
        <v>00</v>
      </c>
      <c r="B893">
        <f>+'Paste Here'!N893</f>
        <v>0</v>
      </c>
      <c r="C893">
        <f>+'Paste Here'!O893</f>
        <v>0</v>
      </c>
      <c r="D893">
        <f>+'Paste Here'!P893</f>
        <v>0</v>
      </c>
      <c r="E893">
        <f>+'Paste Here'!Q893</f>
        <v>0</v>
      </c>
      <c r="F893">
        <f>+'Paste Here'!R893</f>
        <v>0</v>
      </c>
      <c r="G893">
        <f>+'Paste Here'!S893</f>
        <v>0</v>
      </c>
      <c r="H893">
        <f>+'Paste Here'!T893</f>
        <v>0</v>
      </c>
      <c r="I893">
        <f>+'Paste Here'!U893</f>
        <v>0</v>
      </c>
      <c r="J893">
        <f>+'Paste Here'!V893</f>
        <v>0</v>
      </c>
      <c r="K893">
        <f>+'Paste Here'!W893</f>
        <v>0</v>
      </c>
    </row>
    <row r="894" spans="1:11">
      <c r="A894" t="str">
        <f t="shared" si="13"/>
        <v>00</v>
      </c>
      <c r="B894">
        <f>+'Paste Here'!N894</f>
        <v>0</v>
      </c>
      <c r="C894">
        <f>+'Paste Here'!O894</f>
        <v>0</v>
      </c>
      <c r="D894">
        <f>+'Paste Here'!P894</f>
        <v>0</v>
      </c>
      <c r="E894">
        <f>+'Paste Here'!Q894</f>
        <v>0</v>
      </c>
      <c r="F894">
        <f>+'Paste Here'!R894</f>
        <v>0</v>
      </c>
      <c r="G894">
        <f>+'Paste Here'!S894</f>
        <v>0</v>
      </c>
      <c r="H894">
        <f>+'Paste Here'!T894</f>
        <v>0</v>
      </c>
      <c r="I894">
        <f>+'Paste Here'!U894</f>
        <v>0</v>
      </c>
      <c r="J894">
        <f>+'Paste Here'!V894</f>
        <v>0</v>
      </c>
      <c r="K894">
        <f>+'Paste Here'!W894</f>
        <v>0</v>
      </c>
    </row>
    <row r="895" spans="1:11">
      <c r="A895" t="str">
        <f t="shared" si="13"/>
        <v>00</v>
      </c>
      <c r="B895">
        <f>+'Paste Here'!N895</f>
        <v>0</v>
      </c>
      <c r="C895">
        <f>+'Paste Here'!O895</f>
        <v>0</v>
      </c>
      <c r="D895">
        <f>+'Paste Here'!P895</f>
        <v>0</v>
      </c>
      <c r="E895">
        <f>+'Paste Here'!Q895</f>
        <v>0</v>
      </c>
      <c r="F895">
        <f>+'Paste Here'!R895</f>
        <v>0</v>
      </c>
      <c r="G895">
        <f>+'Paste Here'!S895</f>
        <v>0</v>
      </c>
      <c r="H895">
        <f>+'Paste Here'!T895</f>
        <v>0</v>
      </c>
      <c r="I895">
        <f>+'Paste Here'!U895</f>
        <v>0</v>
      </c>
      <c r="J895">
        <f>+'Paste Here'!V895</f>
        <v>0</v>
      </c>
      <c r="K895">
        <f>+'Paste Here'!W895</f>
        <v>0</v>
      </c>
    </row>
    <row r="896" spans="1:11">
      <c r="A896" t="str">
        <f t="shared" si="13"/>
        <v>00</v>
      </c>
      <c r="B896">
        <f>+'Paste Here'!N896</f>
        <v>0</v>
      </c>
      <c r="C896">
        <f>+'Paste Here'!O896</f>
        <v>0</v>
      </c>
      <c r="D896">
        <f>+'Paste Here'!P896</f>
        <v>0</v>
      </c>
      <c r="E896">
        <f>+'Paste Here'!Q896</f>
        <v>0</v>
      </c>
      <c r="F896">
        <f>+'Paste Here'!R896</f>
        <v>0</v>
      </c>
      <c r="G896">
        <f>+'Paste Here'!S896</f>
        <v>0</v>
      </c>
      <c r="H896">
        <f>+'Paste Here'!T896</f>
        <v>0</v>
      </c>
      <c r="I896">
        <f>+'Paste Here'!U896</f>
        <v>0</v>
      </c>
      <c r="J896">
        <f>+'Paste Here'!V896</f>
        <v>0</v>
      </c>
      <c r="K896">
        <f>+'Paste Here'!W896</f>
        <v>0</v>
      </c>
    </row>
    <row r="897" spans="1:11">
      <c r="A897" t="str">
        <f t="shared" si="13"/>
        <v>00</v>
      </c>
      <c r="B897">
        <f>+'Paste Here'!N897</f>
        <v>0</v>
      </c>
      <c r="C897">
        <f>+'Paste Here'!O897</f>
        <v>0</v>
      </c>
      <c r="D897">
        <f>+'Paste Here'!P897</f>
        <v>0</v>
      </c>
      <c r="E897">
        <f>+'Paste Here'!Q897</f>
        <v>0</v>
      </c>
      <c r="F897">
        <f>+'Paste Here'!R897</f>
        <v>0</v>
      </c>
      <c r="G897">
        <f>+'Paste Here'!S897</f>
        <v>0</v>
      </c>
      <c r="H897">
        <f>+'Paste Here'!T897</f>
        <v>0</v>
      </c>
      <c r="I897">
        <f>+'Paste Here'!U897</f>
        <v>0</v>
      </c>
      <c r="J897">
        <f>+'Paste Here'!V897</f>
        <v>0</v>
      </c>
      <c r="K897">
        <f>+'Paste Here'!W897</f>
        <v>0</v>
      </c>
    </row>
    <row r="898" spans="1:11">
      <c r="A898" t="str">
        <f t="shared" si="13"/>
        <v>00</v>
      </c>
      <c r="B898">
        <f>+'Paste Here'!N898</f>
        <v>0</v>
      </c>
      <c r="C898">
        <f>+'Paste Here'!O898</f>
        <v>0</v>
      </c>
      <c r="D898">
        <f>+'Paste Here'!P898</f>
        <v>0</v>
      </c>
      <c r="E898">
        <f>+'Paste Here'!Q898</f>
        <v>0</v>
      </c>
      <c r="F898">
        <f>+'Paste Here'!R898</f>
        <v>0</v>
      </c>
      <c r="G898">
        <f>+'Paste Here'!S898</f>
        <v>0</v>
      </c>
      <c r="H898">
        <f>+'Paste Here'!T898</f>
        <v>0</v>
      </c>
      <c r="I898">
        <f>+'Paste Here'!U898</f>
        <v>0</v>
      </c>
      <c r="J898">
        <f>+'Paste Here'!V898</f>
        <v>0</v>
      </c>
      <c r="K898">
        <f>+'Paste Here'!W898</f>
        <v>0</v>
      </c>
    </row>
    <row r="899" spans="1:11">
      <c r="A899" t="str">
        <f t="shared" ref="A899:A962" si="14">+CONCATENATE(C899,D899)</f>
        <v>00</v>
      </c>
      <c r="B899">
        <f>+'Paste Here'!N899</f>
        <v>0</v>
      </c>
      <c r="C899">
        <f>+'Paste Here'!O899</f>
        <v>0</v>
      </c>
      <c r="D899">
        <f>+'Paste Here'!P899</f>
        <v>0</v>
      </c>
      <c r="E899">
        <f>+'Paste Here'!Q899</f>
        <v>0</v>
      </c>
      <c r="F899">
        <f>+'Paste Here'!R899</f>
        <v>0</v>
      </c>
      <c r="G899">
        <f>+'Paste Here'!S899</f>
        <v>0</v>
      </c>
      <c r="H899">
        <f>+'Paste Here'!T899</f>
        <v>0</v>
      </c>
      <c r="I899">
        <f>+'Paste Here'!U899</f>
        <v>0</v>
      </c>
      <c r="J899">
        <f>+'Paste Here'!V899</f>
        <v>0</v>
      </c>
      <c r="K899">
        <f>+'Paste Here'!W899</f>
        <v>0</v>
      </c>
    </row>
    <row r="900" spans="1:11">
      <c r="A900" t="str">
        <f t="shared" si="14"/>
        <v>00</v>
      </c>
      <c r="B900">
        <f>+'Paste Here'!N900</f>
        <v>0</v>
      </c>
      <c r="C900">
        <f>+'Paste Here'!O900</f>
        <v>0</v>
      </c>
      <c r="D900">
        <f>+'Paste Here'!P900</f>
        <v>0</v>
      </c>
      <c r="E900">
        <f>+'Paste Here'!Q900</f>
        <v>0</v>
      </c>
      <c r="F900">
        <f>+'Paste Here'!R900</f>
        <v>0</v>
      </c>
      <c r="G900">
        <f>+'Paste Here'!S900</f>
        <v>0</v>
      </c>
      <c r="H900">
        <f>+'Paste Here'!T900</f>
        <v>0</v>
      </c>
      <c r="I900">
        <f>+'Paste Here'!U900</f>
        <v>0</v>
      </c>
      <c r="J900">
        <f>+'Paste Here'!V900</f>
        <v>0</v>
      </c>
      <c r="K900">
        <f>+'Paste Here'!W900</f>
        <v>0</v>
      </c>
    </row>
    <row r="901" spans="1:11">
      <c r="A901" t="str">
        <f t="shared" si="14"/>
        <v>00</v>
      </c>
      <c r="B901">
        <f>+'Paste Here'!N901</f>
        <v>0</v>
      </c>
      <c r="C901">
        <f>+'Paste Here'!O901</f>
        <v>0</v>
      </c>
      <c r="D901">
        <f>+'Paste Here'!P901</f>
        <v>0</v>
      </c>
      <c r="E901">
        <f>+'Paste Here'!Q901</f>
        <v>0</v>
      </c>
      <c r="F901">
        <f>+'Paste Here'!R901</f>
        <v>0</v>
      </c>
      <c r="G901">
        <f>+'Paste Here'!S901</f>
        <v>0</v>
      </c>
      <c r="H901">
        <f>+'Paste Here'!T901</f>
        <v>0</v>
      </c>
      <c r="I901">
        <f>+'Paste Here'!U901</f>
        <v>0</v>
      </c>
      <c r="J901">
        <f>+'Paste Here'!V901</f>
        <v>0</v>
      </c>
      <c r="K901">
        <f>+'Paste Here'!W901</f>
        <v>0</v>
      </c>
    </row>
    <row r="902" spans="1:11">
      <c r="A902" t="str">
        <f t="shared" si="14"/>
        <v>00</v>
      </c>
      <c r="B902">
        <f>+'Paste Here'!N902</f>
        <v>0</v>
      </c>
      <c r="C902">
        <f>+'Paste Here'!O902</f>
        <v>0</v>
      </c>
      <c r="D902">
        <f>+'Paste Here'!P902</f>
        <v>0</v>
      </c>
      <c r="E902">
        <f>+'Paste Here'!Q902</f>
        <v>0</v>
      </c>
      <c r="F902">
        <f>+'Paste Here'!R902</f>
        <v>0</v>
      </c>
      <c r="G902">
        <f>+'Paste Here'!S902</f>
        <v>0</v>
      </c>
      <c r="H902">
        <f>+'Paste Here'!T902</f>
        <v>0</v>
      </c>
      <c r="I902">
        <f>+'Paste Here'!U902</f>
        <v>0</v>
      </c>
      <c r="J902">
        <f>+'Paste Here'!V902</f>
        <v>0</v>
      </c>
      <c r="K902">
        <f>+'Paste Here'!W902</f>
        <v>0</v>
      </c>
    </row>
    <row r="903" spans="1:11">
      <c r="A903" t="str">
        <f t="shared" si="14"/>
        <v>00</v>
      </c>
      <c r="B903">
        <f>+'Paste Here'!N903</f>
        <v>0</v>
      </c>
      <c r="C903">
        <f>+'Paste Here'!O903</f>
        <v>0</v>
      </c>
      <c r="D903">
        <f>+'Paste Here'!P903</f>
        <v>0</v>
      </c>
      <c r="E903">
        <f>+'Paste Here'!Q903</f>
        <v>0</v>
      </c>
      <c r="F903">
        <f>+'Paste Here'!R903</f>
        <v>0</v>
      </c>
      <c r="G903">
        <f>+'Paste Here'!S903</f>
        <v>0</v>
      </c>
      <c r="H903">
        <f>+'Paste Here'!T903</f>
        <v>0</v>
      </c>
      <c r="I903">
        <f>+'Paste Here'!U903</f>
        <v>0</v>
      </c>
      <c r="J903">
        <f>+'Paste Here'!V903</f>
        <v>0</v>
      </c>
      <c r="K903">
        <f>+'Paste Here'!W903</f>
        <v>0</v>
      </c>
    </row>
    <row r="904" spans="1:11">
      <c r="A904" t="str">
        <f t="shared" si="14"/>
        <v>00</v>
      </c>
      <c r="B904">
        <f>+'Paste Here'!N904</f>
        <v>0</v>
      </c>
      <c r="C904">
        <f>+'Paste Here'!O904</f>
        <v>0</v>
      </c>
      <c r="D904">
        <f>+'Paste Here'!P904</f>
        <v>0</v>
      </c>
      <c r="E904">
        <f>+'Paste Here'!Q904</f>
        <v>0</v>
      </c>
      <c r="F904">
        <f>+'Paste Here'!R904</f>
        <v>0</v>
      </c>
      <c r="G904">
        <f>+'Paste Here'!S904</f>
        <v>0</v>
      </c>
      <c r="H904">
        <f>+'Paste Here'!T904</f>
        <v>0</v>
      </c>
      <c r="I904">
        <f>+'Paste Here'!U904</f>
        <v>0</v>
      </c>
      <c r="J904">
        <f>+'Paste Here'!V904</f>
        <v>0</v>
      </c>
      <c r="K904">
        <f>+'Paste Here'!W904</f>
        <v>0</v>
      </c>
    </row>
    <row r="905" spans="1:11">
      <c r="A905" t="str">
        <f t="shared" si="14"/>
        <v>00</v>
      </c>
      <c r="B905">
        <f>+'Paste Here'!N905</f>
        <v>0</v>
      </c>
      <c r="C905">
        <f>+'Paste Here'!O905</f>
        <v>0</v>
      </c>
      <c r="D905">
        <f>+'Paste Here'!P905</f>
        <v>0</v>
      </c>
      <c r="E905">
        <f>+'Paste Here'!Q905</f>
        <v>0</v>
      </c>
      <c r="F905">
        <f>+'Paste Here'!R905</f>
        <v>0</v>
      </c>
      <c r="G905">
        <f>+'Paste Here'!S905</f>
        <v>0</v>
      </c>
      <c r="H905">
        <f>+'Paste Here'!T905</f>
        <v>0</v>
      </c>
      <c r="I905">
        <f>+'Paste Here'!U905</f>
        <v>0</v>
      </c>
      <c r="J905">
        <f>+'Paste Here'!V905</f>
        <v>0</v>
      </c>
      <c r="K905">
        <f>+'Paste Here'!W905</f>
        <v>0</v>
      </c>
    </row>
    <row r="906" spans="1:11">
      <c r="A906" t="str">
        <f t="shared" si="14"/>
        <v>00</v>
      </c>
      <c r="B906">
        <f>+'Paste Here'!N906</f>
        <v>0</v>
      </c>
      <c r="C906">
        <f>+'Paste Here'!O906</f>
        <v>0</v>
      </c>
      <c r="D906">
        <f>+'Paste Here'!P906</f>
        <v>0</v>
      </c>
      <c r="E906">
        <f>+'Paste Here'!Q906</f>
        <v>0</v>
      </c>
      <c r="F906">
        <f>+'Paste Here'!R906</f>
        <v>0</v>
      </c>
      <c r="G906">
        <f>+'Paste Here'!S906</f>
        <v>0</v>
      </c>
      <c r="H906">
        <f>+'Paste Here'!T906</f>
        <v>0</v>
      </c>
      <c r="I906">
        <f>+'Paste Here'!U906</f>
        <v>0</v>
      </c>
      <c r="J906">
        <f>+'Paste Here'!V906</f>
        <v>0</v>
      </c>
      <c r="K906">
        <f>+'Paste Here'!W906</f>
        <v>0</v>
      </c>
    </row>
    <row r="907" spans="1:11">
      <c r="A907" t="str">
        <f t="shared" si="14"/>
        <v>00</v>
      </c>
      <c r="B907">
        <f>+'Paste Here'!N907</f>
        <v>0</v>
      </c>
      <c r="C907">
        <f>+'Paste Here'!O907</f>
        <v>0</v>
      </c>
      <c r="D907">
        <f>+'Paste Here'!P907</f>
        <v>0</v>
      </c>
      <c r="E907">
        <f>+'Paste Here'!Q907</f>
        <v>0</v>
      </c>
      <c r="F907">
        <f>+'Paste Here'!R907</f>
        <v>0</v>
      </c>
      <c r="G907">
        <f>+'Paste Here'!S907</f>
        <v>0</v>
      </c>
      <c r="H907">
        <f>+'Paste Here'!T907</f>
        <v>0</v>
      </c>
      <c r="I907">
        <f>+'Paste Here'!U907</f>
        <v>0</v>
      </c>
      <c r="J907">
        <f>+'Paste Here'!V907</f>
        <v>0</v>
      </c>
      <c r="K907">
        <f>+'Paste Here'!W907</f>
        <v>0</v>
      </c>
    </row>
    <row r="908" spans="1:11">
      <c r="A908" t="str">
        <f t="shared" si="14"/>
        <v>00</v>
      </c>
      <c r="B908">
        <f>+'Paste Here'!N908</f>
        <v>0</v>
      </c>
      <c r="C908">
        <f>+'Paste Here'!O908</f>
        <v>0</v>
      </c>
      <c r="D908">
        <f>+'Paste Here'!P908</f>
        <v>0</v>
      </c>
      <c r="E908">
        <f>+'Paste Here'!Q908</f>
        <v>0</v>
      </c>
      <c r="F908">
        <f>+'Paste Here'!R908</f>
        <v>0</v>
      </c>
      <c r="G908">
        <f>+'Paste Here'!S908</f>
        <v>0</v>
      </c>
      <c r="H908">
        <f>+'Paste Here'!T908</f>
        <v>0</v>
      </c>
      <c r="I908">
        <f>+'Paste Here'!U908</f>
        <v>0</v>
      </c>
      <c r="J908">
        <f>+'Paste Here'!V908</f>
        <v>0</v>
      </c>
      <c r="K908">
        <f>+'Paste Here'!W908</f>
        <v>0</v>
      </c>
    </row>
    <row r="909" spans="1:11">
      <c r="A909" t="str">
        <f t="shared" si="14"/>
        <v>00</v>
      </c>
      <c r="B909">
        <f>+'Paste Here'!N909</f>
        <v>0</v>
      </c>
      <c r="C909">
        <f>+'Paste Here'!O909</f>
        <v>0</v>
      </c>
      <c r="D909">
        <f>+'Paste Here'!P909</f>
        <v>0</v>
      </c>
      <c r="E909">
        <f>+'Paste Here'!Q909</f>
        <v>0</v>
      </c>
      <c r="F909">
        <f>+'Paste Here'!R909</f>
        <v>0</v>
      </c>
      <c r="G909">
        <f>+'Paste Here'!S909</f>
        <v>0</v>
      </c>
      <c r="H909">
        <f>+'Paste Here'!T909</f>
        <v>0</v>
      </c>
      <c r="I909">
        <f>+'Paste Here'!U909</f>
        <v>0</v>
      </c>
      <c r="J909">
        <f>+'Paste Here'!V909</f>
        <v>0</v>
      </c>
      <c r="K909">
        <f>+'Paste Here'!W909</f>
        <v>0</v>
      </c>
    </row>
    <row r="910" spans="1:11">
      <c r="A910" t="str">
        <f t="shared" si="14"/>
        <v>00</v>
      </c>
      <c r="B910">
        <f>+'Paste Here'!N910</f>
        <v>0</v>
      </c>
      <c r="C910">
        <f>+'Paste Here'!O910</f>
        <v>0</v>
      </c>
      <c r="D910">
        <f>+'Paste Here'!P910</f>
        <v>0</v>
      </c>
      <c r="E910">
        <f>+'Paste Here'!Q910</f>
        <v>0</v>
      </c>
      <c r="F910">
        <f>+'Paste Here'!R910</f>
        <v>0</v>
      </c>
      <c r="G910">
        <f>+'Paste Here'!S910</f>
        <v>0</v>
      </c>
      <c r="H910">
        <f>+'Paste Here'!T910</f>
        <v>0</v>
      </c>
      <c r="I910">
        <f>+'Paste Here'!U910</f>
        <v>0</v>
      </c>
      <c r="J910">
        <f>+'Paste Here'!V910</f>
        <v>0</v>
      </c>
      <c r="K910">
        <f>+'Paste Here'!W910</f>
        <v>0</v>
      </c>
    </row>
    <row r="911" spans="1:11">
      <c r="A911" t="str">
        <f t="shared" si="14"/>
        <v>00</v>
      </c>
      <c r="B911">
        <f>+'Paste Here'!N911</f>
        <v>0</v>
      </c>
      <c r="C911">
        <f>+'Paste Here'!O911</f>
        <v>0</v>
      </c>
      <c r="D911">
        <f>+'Paste Here'!P911</f>
        <v>0</v>
      </c>
      <c r="E911">
        <f>+'Paste Here'!Q911</f>
        <v>0</v>
      </c>
      <c r="F911">
        <f>+'Paste Here'!R911</f>
        <v>0</v>
      </c>
      <c r="G911">
        <f>+'Paste Here'!S911</f>
        <v>0</v>
      </c>
      <c r="H911">
        <f>+'Paste Here'!T911</f>
        <v>0</v>
      </c>
      <c r="I911">
        <f>+'Paste Here'!U911</f>
        <v>0</v>
      </c>
      <c r="J911">
        <f>+'Paste Here'!V911</f>
        <v>0</v>
      </c>
      <c r="K911">
        <f>+'Paste Here'!W911</f>
        <v>0</v>
      </c>
    </row>
    <row r="912" spans="1:11">
      <c r="A912" t="str">
        <f t="shared" si="14"/>
        <v>00</v>
      </c>
      <c r="B912">
        <f>+'Paste Here'!N912</f>
        <v>0</v>
      </c>
      <c r="C912">
        <f>+'Paste Here'!O912</f>
        <v>0</v>
      </c>
      <c r="D912">
        <f>+'Paste Here'!P912</f>
        <v>0</v>
      </c>
      <c r="E912">
        <f>+'Paste Here'!Q912</f>
        <v>0</v>
      </c>
      <c r="F912">
        <f>+'Paste Here'!R912</f>
        <v>0</v>
      </c>
      <c r="G912">
        <f>+'Paste Here'!S912</f>
        <v>0</v>
      </c>
      <c r="H912">
        <f>+'Paste Here'!T912</f>
        <v>0</v>
      </c>
      <c r="I912">
        <f>+'Paste Here'!U912</f>
        <v>0</v>
      </c>
      <c r="J912">
        <f>+'Paste Here'!V912</f>
        <v>0</v>
      </c>
      <c r="K912">
        <f>+'Paste Here'!W912</f>
        <v>0</v>
      </c>
    </row>
    <row r="913" spans="1:11">
      <c r="A913" t="str">
        <f t="shared" si="14"/>
        <v>00</v>
      </c>
      <c r="B913">
        <f>+'Paste Here'!N913</f>
        <v>0</v>
      </c>
      <c r="C913">
        <f>+'Paste Here'!O913</f>
        <v>0</v>
      </c>
      <c r="D913">
        <f>+'Paste Here'!P913</f>
        <v>0</v>
      </c>
      <c r="E913">
        <f>+'Paste Here'!Q913</f>
        <v>0</v>
      </c>
      <c r="F913">
        <f>+'Paste Here'!R913</f>
        <v>0</v>
      </c>
      <c r="G913">
        <f>+'Paste Here'!S913</f>
        <v>0</v>
      </c>
      <c r="H913">
        <f>+'Paste Here'!T913</f>
        <v>0</v>
      </c>
      <c r="I913">
        <f>+'Paste Here'!U913</f>
        <v>0</v>
      </c>
      <c r="J913">
        <f>+'Paste Here'!V913</f>
        <v>0</v>
      </c>
      <c r="K913">
        <f>+'Paste Here'!W913</f>
        <v>0</v>
      </c>
    </row>
    <row r="914" spans="1:11">
      <c r="A914" t="str">
        <f t="shared" si="14"/>
        <v>00</v>
      </c>
      <c r="B914">
        <f>+'Paste Here'!N914</f>
        <v>0</v>
      </c>
      <c r="C914">
        <f>+'Paste Here'!O914</f>
        <v>0</v>
      </c>
      <c r="D914">
        <f>+'Paste Here'!P914</f>
        <v>0</v>
      </c>
      <c r="E914">
        <f>+'Paste Here'!Q914</f>
        <v>0</v>
      </c>
      <c r="F914">
        <f>+'Paste Here'!R914</f>
        <v>0</v>
      </c>
      <c r="G914">
        <f>+'Paste Here'!S914</f>
        <v>0</v>
      </c>
      <c r="H914">
        <f>+'Paste Here'!T914</f>
        <v>0</v>
      </c>
      <c r="I914">
        <f>+'Paste Here'!U914</f>
        <v>0</v>
      </c>
      <c r="J914">
        <f>+'Paste Here'!V914</f>
        <v>0</v>
      </c>
      <c r="K914">
        <f>+'Paste Here'!W914</f>
        <v>0</v>
      </c>
    </row>
    <row r="915" spans="1:11">
      <c r="A915" t="str">
        <f t="shared" si="14"/>
        <v>00</v>
      </c>
      <c r="B915">
        <f>+'Paste Here'!N915</f>
        <v>0</v>
      </c>
      <c r="C915">
        <f>+'Paste Here'!O915</f>
        <v>0</v>
      </c>
      <c r="D915">
        <f>+'Paste Here'!P915</f>
        <v>0</v>
      </c>
      <c r="E915">
        <f>+'Paste Here'!Q915</f>
        <v>0</v>
      </c>
      <c r="F915">
        <f>+'Paste Here'!R915</f>
        <v>0</v>
      </c>
      <c r="G915">
        <f>+'Paste Here'!S915</f>
        <v>0</v>
      </c>
      <c r="H915">
        <f>+'Paste Here'!T915</f>
        <v>0</v>
      </c>
      <c r="I915">
        <f>+'Paste Here'!U915</f>
        <v>0</v>
      </c>
      <c r="J915">
        <f>+'Paste Here'!V915</f>
        <v>0</v>
      </c>
      <c r="K915">
        <f>+'Paste Here'!W915</f>
        <v>0</v>
      </c>
    </row>
    <row r="916" spans="1:11">
      <c r="A916" t="str">
        <f t="shared" si="14"/>
        <v>00</v>
      </c>
      <c r="B916">
        <f>+'Paste Here'!N916</f>
        <v>0</v>
      </c>
      <c r="C916">
        <f>+'Paste Here'!O916</f>
        <v>0</v>
      </c>
      <c r="D916">
        <f>+'Paste Here'!P916</f>
        <v>0</v>
      </c>
      <c r="E916">
        <f>+'Paste Here'!Q916</f>
        <v>0</v>
      </c>
      <c r="F916">
        <f>+'Paste Here'!R916</f>
        <v>0</v>
      </c>
      <c r="G916">
        <f>+'Paste Here'!S916</f>
        <v>0</v>
      </c>
      <c r="H916">
        <f>+'Paste Here'!T916</f>
        <v>0</v>
      </c>
      <c r="I916">
        <f>+'Paste Here'!U916</f>
        <v>0</v>
      </c>
      <c r="J916">
        <f>+'Paste Here'!V916</f>
        <v>0</v>
      </c>
      <c r="K916">
        <f>+'Paste Here'!W916</f>
        <v>0</v>
      </c>
    </row>
    <row r="917" spans="1:11">
      <c r="A917" t="str">
        <f t="shared" si="14"/>
        <v>00</v>
      </c>
      <c r="B917">
        <f>+'Paste Here'!N917</f>
        <v>0</v>
      </c>
      <c r="C917">
        <f>+'Paste Here'!O917</f>
        <v>0</v>
      </c>
      <c r="D917">
        <f>+'Paste Here'!P917</f>
        <v>0</v>
      </c>
      <c r="E917">
        <f>+'Paste Here'!Q917</f>
        <v>0</v>
      </c>
      <c r="F917">
        <f>+'Paste Here'!R917</f>
        <v>0</v>
      </c>
      <c r="G917">
        <f>+'Paste Here'!S917</f>
        <v>0</v>
      </c>
      <c r="H917">
        <f>+'Paste Here'!T917</f>
        <v>0</v>
      </c>
      <c r="I917">
        <f>+'Paste Here'!U917</f>
        <v>0</v>
      </c>
      <c r="J917">
        <f>+'Paste Here'!V917</f>
        <v>0</v>
      </c>
      <c r="K917">
        <f>+'Paste Here'!W917</f>
        <v>0</v>
      </c>
    </row>
    <row r="918" spans="1:11">
      <c r="A918" t="str">
        <f t="shared" si="14"/>
        <v>00</v>
      </c>
      <c r="B918">
        <f>+'Paste Here'!N918</f>
        <v>0</v>
      </c>
      <c r="C918">
        <f>+'Paste Here'!O918</f>
        <v>0</v>
      </c>
      <c r="D918">
        <f>+'Paste Here'!P918</f>
        <v>0</v>
      </c>
      <c r="E918">
        <f>+'Paste Here'!Q918</f>
        <v>0</v>
      </c>
      <c r="F918">
        <f>+'Paste Here'!R918</f>
        <v>0</v>
      </c>
      <c r="G918">
        <f>+'Paste Here'!S918</f>
        <v>0</v>
      </c>
      <c r="H918">
        <f>+'Paste Here'!T918</f>
        <v>0</v>
      </c>
      <c r="I918">
        <f>+'Paste Here'!U918</f>
        <v>0</v>
      </c>
      <c r="J918">
        <f>+'Paste Here'!V918</f>
        <v>0</v>
      </c>
      <c r="K918">
        <f>+'Paste Here'!W918</f>
        <v>0</v>
      </c>
    </row>
    <row r="919" spans="1:11">
      <c r="A919" t="str">
        <f t="shared" si="14"/>
        <v>00</v>
      </c>
      <c r="B919">
        <f>+'Paste Here'!N919</f>
        <v>0</v>
      </c>
      <c r="C919">
        <f>+'Paste Here'!O919</f>
        <v>0</v>
      </c>
      <c r="D919">
        <f>+'Paste Here'!P919</f>
        <v>0</v>
      </c>
      <c r="E919">
        <f>+'Paste Here'!Q919</f>
        <v>0</v>
      </c>
      <c r="F919">
        <f>+'Paste Here'!R919</f>
        <v>0</v>
      </c>
      <c r="G919">
        <f>+'Paste Here'!S919</f>
        <v>0</v>
      </c>
      <c r="H919">
        <f>+'Paste Here'!T919</f>
        <v>0</v>
      </c>
      <c r="I919">
        <f>+'Paste Here'!U919</f>
        <v>0</v>
      </c>
      <c r="J919">
        <f>+'Paste Here'!V919</f>
        <v>0</v>
      </c>
      <c r="K919">
        <f>+'Paste Here'!W919</f>
        <v>0</v>
      </c>
    </row>
    <row r="920" spans="1:11">
      <c r="A920" t="str">
        <f t="shared" si="14"/>
        <v>00</v>
      </c>
      <c r="B920">
        <f>+'Paste Here'!N920</f>
        <v>0</v>
      </c>
      <c r="C920">
        <f>+'Paste Here'!O920</f>
        <v>0</v>
      </c>
      <c r="D920">
        <f>+'Paste Here'!P920</f>
        <v>0</v>
      </c>
      <c r="E920">
        <f>+'Paste Here'!Q920</f>
        <v>0</v>
      </c>
      <c r="F920">
        <f>+'Paste Here'!R920</f>
        <v>0</v>
      </c>
      <c r="G920">
        <f>+'Paste Here'!S920</f>
        <v>0</v>
      </c>
      <c r="H920">
        <f>+'Paste Here'!T920</f>
        <v>0</v>
      </c>
      <c r="I920">
        <f>+'Paste Here'!U920</f>
        <v>0</v>
      </c>
      <c r="J920">
        <f>+'Paste Here'!V920</f>
        <v>0</v>
      </c>
      <c r="K920">
        <f>+'Paste Here'!W920</f>
        <v>0</v>
      </c>
    </row>
    <row r="921" spans="1:11">
      <c r="A921" t="str">
        <f t="shared" si="14"/>
        <v>00</v>
      </c>
      <c r="B921">
        <f>+'Paste Here'!N921</f>
        <v>0</v>
      </c>
      <c r="C921">
        <f>+'Paste Here'!O921</f>
        <v>0</v>
      </c>
      <c r="D921">
        <f>+'Paste Here'!P921</f>
        <v>0</v>
      </c>
      <c r="E921">
        <f>+'Paste Here'!Q921</f>
        <v>0</v>
      </c>
      <c r="F921">
        <f>+'Paste Here'!R921</f>
        <v>0</v>
      </c>
      <c r="G921">
        <f>+'Paste Here'!S921</f>
        <v>0</v>
      </c>
      <c r="H921">
        <f>+'Paste Here'!T921</f>
        <v>0</v>
      </c>
      <c r="I921">
        <f>+'Paste Here'!U921</f>
        <v>0</v>
      </c>
      <c r="J921">
        <f>+'Paste Here'!V921</f>
        <v>0</v>
      </c>
      <c r="K921">
        <f>+'Paste Here'!W921</f>
        <v>0</v>
      </c>
    </row>
    <row r="922" spans="1:11">
      <c r="A922" t="str">
        <f t="shared" si="14"/>
        <v>00</v>
      </c>
      <c r="B922">
        <f>+'Paste Here'!N922</f>
        <v>0</v>
      </c>
      <c r="C922">
        <f>+'Paste Here'!O922</f>
        <v>0</v>
      </c>
      <c r="D922">
        <f>+'Paste Here'!P922</f>
        <v>0</v>
      </c>
      <c r="E922">
        <f>+'Paste Here'!Q922</f>
        <v>0</v>
      </c>
      <c r="F922">
        <f>+'Paste Here'!R922</f>
        <v>0</v>
      </c>
      <c r="G922">
        <f>+'Paste Here'!S922</f>
        <v>0</v>
      </c>
      <c r="H922">
        <f>+'Paste Here'!T922</f>
        <v>0</v>
      </c>
      <c r="I922">
        <f>+'Paste Here'!U922</f>
        <v>0</v>
      </c>
      <c r="J922">
        <f>+'Paste Here'!V922</f>
        <v>0</v>
      </c>
      <c r="K922">
        <f>+'Paste Here'!W922</f>
        <v>0</v>
      </c>
    </row>
    <row r="923" spans="1:11">
      <c r="A923" t="str">
        <f t="shared" si="14"/>
        <v>00</v>
      </c>
      <c r="B923">
        <f>+'Paste Here'!N923</f>
        <v>0</v>
      </c>
      <c r="C923">
        <f>+'Paste Here'!O923</f>
        <v>0</v>
      </c>
      <c r="D923">
        <f>+'Paste Here'!P923</f>
        <v>0</v>
      </c>
      <c r="E923">
        <f>+'Paste Here'!Q923</f>
        <v>0</v>
      </c>
      <c r="F923">
        <f>+'Paste Here'!R923</f>
        <v>0</v>
      </c>
      <c r="G923">
        <f>+'Paste Here'!S923</f>
        <v>0</v>
      </c>
      <c r="H923">
        <f>+'Paste Here'!T923</f>
        <v>0</v>
      </c>
      <c r="I923">
        <f>+'Paste Here'!U923</f>
        <v>0</v>
      </c>
      <c r="J923">
        <f>+'Paste Here'!V923</f>
        <v>0</v>
      </c>
      <c r="K923">
        <f>+'Paste Here'!W923</f>
        <v>0</v>
      </c>
    </row>
    <row r="924" spans="1:11">
      <c r="A924" t="str">
        <f t="shared" si="14"/>
        <v>00</v>
      </c>
      <c r="B924">
        <f>+'Paste Here'!N924</f>
        <v>0</v>
      </c>
      <c r="C924">
        <f>+'Paste Here'!O924</f>
        <v>0</v>
      </c>
      <c r="D924">
        <f>+'Paste Here'!P924</f>
        <v>0</v>
      </c>
      <c r="E924">
        <f>+'Paste Here'!Q924</f>
        <v>0</v>
      </c>
      <c r="F924">
        <f>+'Paste Here'!R924</f>
        <v>0</v>
      </c>
      <c r="G924">
        <f>+'Paste Here'!S924</f>
        <v>0</v>
      </c>
      <c r="H924">
        <f>+'Paste Here'!T924</f>
        <v>0</v>
      </c>
      <c r="I924">
        <f>+'Paste Here'!U924</f>
        <v>0</v>
      </c>
      <c r="J924">
        <f>+'Paste Here'!V924</f>
        <v>0</v>
      </c>
      <c r="K924">
        <f>+'Paste Here'!W924</f>
        <v>0</v>
      </c>
    </row>
    <row r="925" spans="1:11">
      <c r="A925" t="str">
        <f t="shared" si="14"/>
        <v>00</v>
      </c>
      <c r="B925">
        <f>+'Paste Here'!N925</f>
        <v>0</v>
      </c>
      <c r="C925">
        <f>+'Paste Here'!O925</f>
        <v>0</v>
      </c>
      <c r="D925">
        <f>+'Paste Here'!P925</f>
        <v>0</v>
      </c>
      <c r="E925">
        <f>+'Paste Here'!Q925</f>
        <v>0</v>
      </c>
      <c r="F925">
        <f>+'Paste Here'!R925</f>
        <v>0</v>
      </c>
      <c r="G925">
        <f>+'Paste Here'!S925</f>
        <v>0</v>
      </c>
      <c r="H925">
        <f>+'Paste Here'!T925</f>
        <v>0</v>
      </c>
      <c r="I925">
        <f>+'Paste Here'!U925</f>
        <v>0</v>
      </c>
      <c r="J925">
        <f>+'Paste Here'!V925</f>
        <v>0</v>
      </c>
      <c r="K925">
        <f>+'Paste Here'!W925</f>
        <v>0</v>
      </c>
    </row>
    <row r="926" spans="1:11">
      <c r="A926" t="str">
        <f t="shared" si="14"/>
        <v>00</v>
      </c>
      <c r="B926">
        <f>+'Paste Here'!N926</f>
        <v>0</v>
      </c>
      <c r="C926">
        <f>+'Paste Here'!O926</f>
        <v>0</v>
      </c>
      <c r="D926">
        <f>+'Paste Here'!P926</f>
        <v>0</v>
      </c>
      <c r="E926">
        <f>+'Paste Here'!Q926</f>
        <v>0</v>
      </c>
      <c r="F926">
        <f>+'Paste Here'!R926</f>
        <v>0</v>
      </c>
      <c r="G926">
        <f>+'Paste Here'!S926</f>
        <v>0</v>
      </c>
      <c r="H926">
        <f>+'Paste Here'!T926</f>
        <v>0</v>
      </c>
      <c r="I926">
        <f>+'Paste Here'!U926</f>
        <v>0</v>
      </c>
      <c r="J926">
        <f>+'Paste Here'!V926</f>
        <v>0</v>
      </c>
      <c r="K926">
        <f>+'Paste Here'!W926</f>
        <v>0</v>
      </c>
    </row>
    <row r="927" spans="1:11">
      <c r="A927" t="str">
        <f t="shared" si="14"/>
        <v>00</v>
      </c>
      <c r="B927">
        <f>+'Paste Here'!N927</f>
        <v>0</v>
      </c>
      <c r="C927">
        <f>+'Paste Here'!O927</f>
        <v>0</v>
      </c>
      <c r="D927">
        <f>+'Paste Here'!P927</f>
        <v>0</v>
      </c>
      <c r="E927">
        <f>+'Paste Here'!Q927</f>
        <v>0</v>
      </c>
      <c r="F927">
        <f>+'Paste Here'!R927</f>
        <v>0</v>
      </c>
      <c r="G927">
        <f>+'Paste Here'!S927</f>
        <v>0</v>
      </c>
      <c r="H927">
        <f>+'Paste Here'!T927</f>
        <v>0</v>
      </c>
      <c r="I927">
        <f>+'Paste Here'!U927</f>
        <v>0</v>
      </c>
      <c r="J927">
        <f>+'Paste Here'!V927</f>
        <v>0</v>
      </c>
      <c r="K927">
        <f>+'Paste Here'!W927</f>
        <v>0</v>
      </c>
    </row>
    <row r="928" spans="1:11">
      <c r="A928" t="str">
        <f t="shared" si="14"/>
        <v>00</v>
      </c>
      <c r="B928">
        <f>+'Paste Here'!N928</f>
        <v>0</v>
      </c>
      <c r="C928">
        <f>+'Paste Here'!O928</f>
        <v>0</v>
      </c>
      <c r="D928">
        <f>+'Paste Here'!P928</f>
        <v>0</v>
      </c>
      <c r="E928">
        <f>+'Paste Here'!Q928</f>
        <v>0</v>
      </c>
      <c r="F928">
        <f>+'Paste Here'!R928</f>
        <v>0</v>
      </c>
      <c r="G928">
        <f>+'Paste Here'!S928</f>
        <v>0</v>
      </c>
      <c r="H928">
        <f>+'Paste Here'!T928</f>
        <v>0</v>
      </c>
      <c r="I928">
        <f>+'Paste Here'!U928</f>
        <v>0</v>
      </c>
      <c r="J928">
        <f>+'Paste Here'!V928</f>
        <v>0</v>
      </c>
      <c r="K928">
        <f>+'Paste Here'!W928</f>
        <v>0</v>
      </c>
    </row>
    <row r="929" spans="1:11">
      <c r="A929" t="str">
        <f t="shared" si="14"/>
        <v>00</v>
      </c>
      <c r="B929">
        <f>+'Paste Here'!N929</f>
        <v>0</v>
      </c>
      <c r="C929">
        <f>+'Paste Here'!O929</f>
        <v>0</v>
      </c>
      <c r="D929">
        <f>+'Paste Here'!P929</f>
        <v>0</v>
      </c>
      <c r="E929">
        <f>+'Paste Here'!Q929</f>
        <v>0</v>
      </c>
      <c r="F929">
        <f>+'Paste Here'!R929</f>
        <v>0</v>
      </c>
      <c r="G929">
        <f>+'Paste Here'!S929</f>
        <v>0</v>
      </c>
      <c r="H929">
        <f>+'Paste Here'!T929</f>
        <v>0</v>
      </c>
      <c r="I929">
        <f>+'Paste Here'!U929</f>
        <v>0</v>
      </c>
      <c r="J929">
        <f>+'Paste Here'!V929</f>
        <v>0</v>
      </c>
      <c r="K929">
        <f>+'Paste Here'!W929</f>
        <v>0</v>
      </c>
    </row>
    <row r="930" spans="1:11">
      <c r="A930" t="str">
        <f t="shared" si="14"/>
        <v>00</v>
      </c>
      <c r="B930">
        <f>+'Paste Here'!N930</f>
        <v>0</v>
      </c>
      <c r="C930">
        <f>+'Paste Here'!O930</f>
        <v>0</v>
      </c>
      <c r="D930">
        <f>+'Paste Here'!P930</f>
        <v>0</v>
      </c>
      <c r="E930">
        <f>+'Paste Here'!Q930</f>
        <v>0</v>
      </c>
      <c r="F930">
        <f>+'Paste Here'!R930</f>
        <v>0</v>
      </c>
      <c r="G930">
        <f>+'Paste Here'!S930</f>
        <v>0</v>
      </c>
      <c r="H930">
        <f>+'Paste Here'!T930</f>
        <v>0</v>
      </c>
      <c r="I930">
        <f>+'Paste Here'!U930</f>
        <v>0</v>
      </c>
      <c r="J930">
        <f>+'Paste Here'!V930</f>
        <v>0</v>
      </c>
      <c r="K930">
        <f>+'Paste Here'!W930</f>
        <v>0</v>
      </c>
    </row>
    <row r="931" spans="1:11">
      <c r="A931" t="str">
        <f t="shared" si="14"/>
        <v>00</v>
      </c>
      <c r="B931">
        <f>+'Paste Here'!N931</f>
        <v>0</v>
      </c>
      <c r="C931">
        <f>+'Paste Here'!O931</f>
        <v>0</v>
      </c>
      <c r="D931">
        <f>+'Paste Here'!P931</f>
        <v>0</v>
      </c>
      <c r="E931">
        <f>+'Paste Here'!Q931</f>
        <v>0</v>
      </c>
      <c r="F931">
        <f>+'Paste Here'!R931</f>
        <v>0</v>
      </c>
      <c r="G931">
        <f>+'Paste Here'!S931</f>
        <v>0</v>
      </c>
      <c r="H931">
        <f>+'Paste Here'!T931</f>
        <v>0</v>
      </c>
      <c r="I931">
        <f>+'Paste Here'!U931</f>
        <v>0</v>
      </c>
      <c r="J931">
        <f>+'Paste Here'!V931</f>
        <v>0</v>
      </c>
      <c r="K931">
        <f>+'Paste Here'!W931</f>
        <v>0</v>
      </c>
    </row>
    <row r="932" spans="1:11">
      <c r="A932" t="str">
        <f t="shared" si="14"/>
        <v>00</v>
      </c>
      <c r="B932">
        <f>+'Paste Here'!N932</f>
        <v>0</v>
      </c>
      <c r="C932">
        <f>+'Paste Here'!O932</f>
        <v>0</v>
      </c>
      <c r="D932">
        <f>+'Paste Here'!P932</f>
        <v>0</v>
      </c>
      <c r="E932">
        <f>+'Paste Here'!Q932</f>
        <v>0</v>
      </c>
      <c r="F932">
        <f>+'Paste Here'!R932</f>
        <v>0</v>
      </c>
      <c r="G932">
        <f>+'Paste Here'!S932</f>
        <v>0</v>
      </c>
      <c r="H932">
        <f>+'Paste Here'!T932</f>
        <v>0</v>
      </c>
      <c r="I932">
        <f>+'Paste Here'!U932</f>
        <v>0</v>
      </c>
      <c r="J932">
        <f>+'Paste Here'!V932</f>
        <v>0</v>
      </c>
      <c r="K932">
        <f>+'Paste Here'!W932</f>
        <v>0</v>
      </c>
    </row>
    <row r="933" spans="1:11">
      <c r="A933" t="str">
        <f t="shared" si="14"/>
        <v>00</v>
      </c>
      <c r="B933">
        <f>+'Paste Here'!N933</f>
        <v>0</v>
      </c>
      <c r="C933">
        <f>+'Paste Here'!O933</f>
        <v>0</v>
      </c>
      <c r="D933">
        <f>+'Paste Here'!P933</f>
        <v>0</v>
      </c>
      <c r="E933">
        <f>+'Paste Here'!Q933</f>
        <v>0</v>
      </c>
      <c r="F933">
        <f>+'Paste Here'!R933</f>
        <v>0</v>
      </c>
      <c r="G933">
        <f>+'Paste Here'!S933</f>
        <v>0</v>
      </c>
      <c r="H933">
        <f>+'Paste Here'!T933</f>
        <v>0</v>
      </c>
      <c r="I933">
        <f>+'Paste Here'!U933</f>
        <v>0</v>
      </c>
      <c r="J933">
        <f>+'Paste Here'!V933</f>
        <v>0</v>
      </c>
      <c r="K933">
        <f>+'Paste Here'!W933</f>
        <v>0</v>
      </c>
    </row>
    <row r="934" spans="1:11">
      <c r="A934" t="str">
        <f t="shared" si="14"/>
        <v>00</v>
      </c>
      <c r="B934">
        <f>+'Paste Here'!N934</f>
        <v>0</v>
      </c>
      <c r="C934">
        <f>+'Paste Here'!O934</f>
        <v>0</v>
      </c>
      <c r="D934">
        <f>+'Paste Here'!P934</f>
        <v>0</v>
      </c>
      <c r="E934">
        <f>+'Paste Here'!Q934</f>
        <v>0</v>
      </c>
      <c r="F934">
        <f>+'Paste Here'!R934</f>
        <v>0</v>
      </c>
      <c r="G934">
        <f>+'Paste Here'!S934</f>
        <v>0</v>
      </c>
      <c r="H934">
        <f>+'Paste Here'!T934</f>
        <v>0</v>
      </c>
      <c r="I934">
        <f>+'Paste Here'!U934</f>
        <v>0</v>
      </c>
      <c r="J934">
        <f>+'Paste Here'!V934</f>
        <v>0</v>
      </c>
      <c r="K934">
        <f>+'Paste Here'!W934</f>
        <v>0</v>
      </c>
    </row>
    <row r="935" spans="1:11">
      <c r="A935" t="str">
        <f t="shared" si="14"/>
        <v>00</v>
      </c>
      <c r="B935">
        <f>+'Paste Here'!N935</f>
        <v>0</v>
      </c>
      <c r="C935">
        <f>+'Paste Here'!O935</f>
        <v>0</v>
      </c>
      <c r="D935">
        <f>+'Paste Here'!P935</f>
        <v>0</v>
      </c>
      <c r="E935">
        <f>+'Paste Here'!Q935</f>
        <v>0</v>
      </c>
      <c r="F935">
        <f>+'Paste Here'!R935</f>
        <v>0</v>
      </c>
      <c r="G935">
        <f>+'Paste Here'!S935</f>
        <v>0</v>
      </c>
      <c r="H935">
        <f>+'Paste Here'!T935</f>
        <v>0</v>
      </c>
      <c r="I935">
        <f>+'Paste Here'!U935</f>
        <v>0</v>
      </c>
      <c r="J935">
        <f>+'Paste Here'!V935</f>
        <v>0</v>
      </c>
      <c r="K935">
        <f>+'Paste Here'!W935</f>
        <v>0</v>
      </c>
    </row>
    <row r="936" spans="1:11">
      <c r="A936" t="str">
        <f t="shared" si="14"/>
        <v>00</v>
      </c>
      <c r="B936">
        <f>+'Paste Here'!N936</f>
        <v>0</v>
      </c>
      <c r="C936">
        <f>+'Paste Here'!O936</f>
        <v>0</v>
      </c>
      <c r="D936">
        <f>+'Paste Here'!P936</f>
        <v>0</v>
      </c>
      <c r="E936">
        <f>+'Paste Here'!Q936</f>
        <v>0</v>
      </c>
      <c r="F936">
        <f>+'Paste Here'!R936</f>
        <v>0</v>
      </c>
      <c r="G936">
        <f>+'Paste Here'!S936</f>
        <v>0</v>
      </c>
      <c r="H936">
        <f>+'Paste Here'!T936</f>
        <v>0</v>
      </c>
      <c r="I936">
        <f>+'Paste Here'!U936</f>
        <v>0</v>
      </c>
      <c r="J936">
        <f>+'Paste Here'!V936</f>
        <v>0</v>
      </c>
      <c r="K936">
        <f>+'Paste Here'!W936</f>
        <v>0</v>
      </c>
    </row>
    <row r="937" spans="1:11">
      <c r="A937" t="str">
        <f t="shared" si="14"/>
        <v>00</v>
      </c>
      <c r="B937">
        <f>+'Paste Here'!N937</f>
        <v>0</v>
      </c>
      <c r="C937">
        <f>+'Paste Here'!O937</f>
        <v>0</v>
      </c>
      <c r="D937">
        <f>+'Paste Here'!P937</f>
        <v>0</v>
      </c>
      <c r="E937">
        <f>+'Paste Here'!Q937</f>
        <v>0</v>
      </c>
      <c r="F937">
        <f>+'Paste Here'!R937</f>
        <v>0</v>
      </c>
      <c r="G937">
        <f>+'Paste Here'!S937</f>
        <v>0</v>
      </c>
      <c r="H937">
        <f>+'Paste Here'!T937</f>
        <v>0</v>
      </c>
      <c r="I937">
        <f>+'Paste Here'!U937</f>
        <v>0</v>
      </c>
      <c r="J937">
        <f>+'Paste Here'!V937</f>
        <v>0</v>
      </c>
      <c r="K937">
        <f>+'Paste Here'!W937</f>
        <v>0</v>
      </c>
    </row>
    <row r="938" spans="1:11">
      <c r="A938" t="str">
        <f t="shared" si="14"/>
        <v>00</v>
      </c>
      <c r="B938">
        <f>+'Paste Here'!N938</f>
        <v>0</v>
      </c>
      <c r="C938">
        <f>+'Paste Here'!O938</f>
        <v>0</v>
      </c>
      <c r="D938">
        <f>+'Paste Here'!P938</f>
        <v>0</v>
      </c>
      <c r="E938">
        <f>+'Paste Here'!Q938</f>
        <v>0</v>
      </c>
      <c r="F938">
        <f>+'Paste Here'!R938</f>
        <v>0</v>
      </c>
      <c r="G938">
        <f>+'Paste Here'!S938</f>
        <v>0</v>
      </c>
      <c r="H938">
        <f>+'Paste Here'!T938</f>
        <v>0</v>
      </c>
      <c r="I938">
        <f>+'Paste Here'!U938</f>
        <v>0</v>
      </c>
      <c r="J938">
        <f>+'Paste Here'!V938</f>
        <v>0</v>
      </c>
      <c r="K938">
        <f>+'Paste Here'!W938</f>
        <v>0</v>
      </c>
    </row>
    <row r="939" spans="1:11">
      <c r="A939" t="str">
        <f t="shared" si="14"/>
        <v>00</v>
      </c>
      <c r="B939">
        <f>+'Paste Here'!N939</f>
        <v>0</v>
      </c>
      <c r="C939">
        <f>+'Paste Here'!O939</f>
        <v>0</v>
      </c>
      <c r="D939">
        <f>+'Paste Here'!P939</f>
        <v>0</v>
      </c>
      <c r="E939">
        <f>+'Paste Here'!Q939</f>
        <v>0</v>
      </c>
      <c r="F939">
        <f>+'Paste Here'!R939</f>
        <v>0</v>
      </c>
      <c r="G939">
        <f>+'Paste Here'!S939</f>
        <v>0</v>
      </c>
      <c r="H939">
        <f>+'Paste Here'!T939</f>
        <v>0</v>
      </c>
      <c r="I939">
        <f>+'Paste Here'!U939</f>
        <v>0</v>
      </c>
      <c r="J939">
        <f>+'Paste Here'!V939</f>
        <v>0</v>
      </c>
      <c r="K939">
        <f>+'Paste Here'!W939</f>
        <v>0</v>
      </c>
    </row>
    <row r="940" spans="1:11">
      <c r="A940" t="str">
        <f t="shared" si="14"/>
        <v>00</v>
      </c>
      <c r="B940">
        <f>+'Paste Here'!N940</f>
        <v>0</v>
      </c>
      <c r="C940">
        <f>+'Paste Here'!O940</f>
        <v>0</v>
      </c>
      <c r="D940">
        <f>+'Paste Here'!P940</f>
        <v>0</v>
      </c>
      <c r="E940">
        <f>+'Paste Here'!Q940</f>
        <v>0</v>
      </c>
      <c r="F940">
        <f>+'Paste Here'!R940</f>
        <v>0</v>
      </c>
      <c r="G940">
        <f>+'Paste Here'!S940</f>
        <v>0</v>
      </c>
      <c r="H940">
        <f>+'Paste Here'!T940</f>
        <v>0</v>
      </c>
      <c r="I940">
        <f>+'Paste Here'!U940</f>
        <v>0</v>
      </c>
      <c r="J940">
        <f>+'Paste Here'!V940</f>
        <v>0</v>
      </c>
      <c r="K940">
        <f>+'Paste Here'!W940</f>
        <v>0</v>
      </c>
    </row>
    <row r="941" spans="1:11">
      <c r="A941" t="str">
        <f t="shared" si="14"/>
        <v>00</v>
      </c>
      <c r="B941">
        <f>+'Paste Here'!N941</f>
        <v>0</v>
      </c>
      <c r="C941">
        <f>+'Paste Here'!O941</f>
        <v>0</v>
      </c>
      <c r="D941">
        <f>+'Paste Here'!P941</f>
        <v>0</v>
      </c>
      <c r="E941">
        <f>+'Paste Here'!Q941</f>
        <v>0</v>
      </c>
      <c r="F941">
        <f>+'Paste Here'!R941</f>
        <v>0</v>
      </c>
      <c r="G941">
        <f>+'Paste Here'!S941</f>
        <v>0</v>
      </c>
      <c r="H941">
        <f>+'Paste Here'!T941</f>
        <v>0</v>
      </c>
      <c r="I941">
        <f>+'Paste Here'!U941</f>
        <v>0</v>
      </c>
      <c r="J941">
        <f>+'Paste Here'!V941</f>
        <v>0</v>
      </c>
      <c r="K941">
        <f>+'Paste Here'!W941</f>
        <v>0</v>
      </c>
    </row>
    <row r="942" spans="1:11">
      <c r="A942" t="str">
        <f t="shared" si="14"/>
        <v>00</v>
      </c>
      <c r="B942">
        <f>+'Paste Here'!N942</f>
        <v>0</v>
      </c>
      <c r="C942">
        <f>+'Paste Here'!O942</f>
        <v>0</v>
      </c>
      <c r="D942">
        <f>+'Paste Here'!P942</f>
        <v>0</v>
      </c>
      <c r="E942">
        <f>+'Paste Here'!Q942</f>
        <v>0</v>
      </c>
      <c r="F942">
        <f>+'Paste Here'!R942</f>
        <v>0</v>
      </c>
      <c r="G942">
        <f>+'Paste Here'!S942</f>
        <v>0</v>
      </c>
      <c r="H942">
        <f>+'Paste Here'!T942</f>
        <v>0</v>
      </c>
      <c r="I942">
        <f>+'Paste Here'!U942</f>
        <v>0</v>
      </c>
      <c r="J942">
        <f>+'Paste Here'!V942</f>
        <v>0</v>
      </c>
      <c r="K942">
        <f>+'Paste Here'!W942</f>
        <v>0</v>
      </c>
    </row>
    <row r="943" spans="1:11">
      <c r="A943" t="str">
        <f t="shared" si="14"/>
        <v>00</v>
      </c>
      <c r="B943">
        <f>+'Paste Here'!N943</f>
        <v>0</v>
      </c>
      <c r="C943">
        <f>+'Paste Here'!O943</f>
        <v>0</v>
      </c>
      <c r="D943">
        <f>+'Paste Here'!P943</f>
        <v>0</v>
      </c>
      <c r="E943">
        <f>+'Paste Here'!Q943</f>
        <v>0</v>
      </c>
      <c r="F943">
        <f>+'Paste Here'!R943</f>
        <v>0</v>
      </c>
      <c r="G943">
        <f>+'Paste Here'!S943</f>
        <v>0</v>
      </c>
      <c r="H943">
        <f>+'Paste Here'!T943</f>
        <v>0</v>
      </c>
      <c r="I943">
        <f>+'Paste Here'!U943</f>
        <v>0</v>
      </c>
      <c r="J943">
        <f>+'Paste Here'!V943</f>
        <v>0</v>
      </c>
      <c r="K943">
        <f>+'Paste Here'!W943</f>
        <v>0</v>
      </c>
    </row>
    <row r="944" spans="1:11">
      <c r="A944" t="str">
        <f t="shared" si="14"/>
        <v>00</v>
      </c>
      <c r="B944">
        <f>+'Paste Here'!N944</f>
        <v>0</v>
      </c>
      <c r="C944">
        <f>+'Paste Here'!O944</f>
        <v>0</v>
      </c>
      <c r="D944">
        <f>+'Paste Here'!P944</f>
        <v>0</v>
      </c>
      <c r="E944">
        <f>+'Paste Here'!Q944</f>
        <v>0</v>
      </c>
      <c r="F944">
        <f>+'Paste Here'!R944</f>
        <v>0</v>
      </c>
      <c r="G944">
        <f>+'Paste Here'!S944</f>
        <v>0</v>
      </c>
      <c r="H944">
        <f>+'Paste Here'!T944</f>
        <v>0</v>
      </c>
      <c r="I944">
        <f>+'Paste Here'!U944</f>
        <v>0</v>
      </c>
      <c r="J944">
        <f>+'Paste Here'!V944</f>
        <v>0</v>
      </c>
      <c r="K944">
        <f>+'Paste Here'!W944</f>
        <v>0</v>
      </c>
    </row>
    <row r="945" spans="1:11">
      <c r="A945" t="str">
        <f t="shared" si="14"/>
        <v>00</v>
      </c>
      <c r="B945">
        <f>+'Paste Here'!N945</f>
        <v>0</v>
      </c>
      <c r="C945">
        <f>+'Paste Here'!O945</f>
        <v>0</v>
      </c>
      <c r="D945">
        <f>+'Paste Here'!P945</f>
        <v>0</v>
      </c>
      <c r="E945">
        <f>+'Paste Here'!Q945</f>
        <v>0</v>
      </c>
      <c r="F945">
        <f>+'Paste Here'!R945</f>
        <v>0</v>
      </c>
      <c r="G945">
        <f>+'Paste Here'!S945</f>
        <v>0</v>
      </c>
      <c r="H945">
        <f>+'Paste Here'!T945</f>
        <v>0</v>
      </c>
      <c r="I945">
        <f>+'Paste Here'!U945</f>
        <v>0</v>
      </c>
      <c r="J945">
        <f>+'Paste Here'!V945</f>
        <v>0</v>
      </c>
      <c r="K945">
        <f>+'Paste Here'!W945</f>
        <v>0</v>
      </c>
    </row>
    <row r="946" spans="1:11">
      <c r="A946" t="str">
        <f t="shared" si="14"/>
        <v>00</v>
      </c>
      <c r="B946">
        <f>+'Paste Here'!N946</f>
        <v>0</v>
      </c>
      <c r="C946">
        <f>+'Paste Here'!O946</f>
        <v>0</v>
      </c>
      <c r="D946">
        <f>+'Paste Here'!P946</f>
        <v>0</v>
      </c>
      <c r="E946">
        <f>+'Paste Here'!Q946</f>
        <v>0</v>
      </c>
      <c r="F946">
        <f>+'Paste Here'!R946</f>
        <v>0</v>
      </c>
      <c r="G946">
        <f>+'Paste Here'!S946</f>
        <v>0</v>
      </c>
      <c r="H946">
        <f>+'Paste Here'!T946</f>
        <v>0</v>
      </c>
      <c r="I946">
        <f>+'Paste Here'!U946</f>
        <v>0</v>
      </c>
      <c r="J946">
        <f>+'Paste Here'!V946</f>
        <v>0</v>
      </c>
      <c r="K946">
        <f>+'Paste Here'!W946</f>
        <v>0</v>
      </c>
    </row>
    <row r="947" spans="1:11">
      <c r="A947" t="str">
        <f t="shared" si="14"/>
        <v>00</v>
      </c>
      <c r="B947">
        <f>+'Paste Here'!N947</f>
        <v>0</v>
      </c>
      <c r="C947">
        <f>+'Paste Here'!O947</f>
        <v>0</v>
      </c>
      <c r="D947">
        <f>+'Paste Here'!P947</f>
        <v>0</v>
      </c>
      <c r="E947">
        <f>+'Paste Here'!Q947</f>
        <v>0</v>
      </c>
      <c r="F947">
        <f>+'Paste Here'!R947</f>
        <v>0</v>
      </c>
      <c r="G947">
        <f>+'Paste Here'!S947</f>
        <v>0</v>
      </c>
      <c r="H947">
        <f>+'Paste Here'!T947</f>
        <v>0</v>
      </c>
      <c r="I947">
        <f>+'Paste Here'!U947</f>
        <v>0</v>
      </c>
      <c r="J947">
        <f>+'Paste Here'!V947</f>
        <v>0</v>
      </c>
      <c r="K947">
        <f>+'Paste Here'!W947</f>
        <v>0</v>
      </c>
    </row>
    <row r="948" spans="1:11">
      <c r="A948" t="str">
        <f t="shared" si="14"/>
        <v>00</v>
      </c>
      <c r="B948">
        <f>+'Paste Here'!N948</f>
        <v>0</v>
      </c>
      <c r="C948">
        <f>+'Paste Here'!O948</f>
        <v>0</v>
      </c>
      <c r="D948">
        <f>+'Paste Here'!P948</f>
        <v>0</v>
      </c>
      <c r="E948">
        <f>+'Paste Here'!Q948</f>
        <v>0</v>
      </c>
      <c r="F948">
        <f>+'Paste Here'!R948</f>
        <v>0</v>
      </c>
      <c r="G948">
        <f>+'Paste Here'!S948</f>
        <v>0</v>
      </c>
      <c r="H948">
        <f>+'Paste Here'!T948</f>
        <v>0</v>
      </c>
      <c r="I948">
        <f>+'Paste Here'!U948</f>
        <v>0</v>
      </c>
      <c r="J948">
        <f>+'Paste Here'!V948</f>
        <v>0</v>
      </c>
      <c r="K948">
        <f>+'Paste Here'!W948</f>
        <v>0</v>
      </c>
    </row>
    <row r="949" spans="1:11">
      <c r="A949" t="str">
        <f t="shared" si="14"/>
        <v>00</v>
      </c>
      <c r="B949">
        <f>+'Paste Here'!N949</f>
        <v>0</v>
      </c>
      <c r="C949">
        <f>+'Paste Here'!O949</f>
        <v>0</v>
      </c>
      <c r="D949">
        <f>+'Paste Here'!P949</f>
        <v>0</v>
      </c>
      <c r="E949">
        <f>+'Paste Here'!Q949</f>
        <v>0</v>
      </c>
      <c r="F949">
        <f>+'Paste Here'!R949</f>
        <v>0</v>
      </c>
      <c r="G949">
        <f>+'Paste Here'!S949</f>
        <v>0</v>
      </c>
      <c r="H949">
        <f>+'Paste Here'!T949</f>
        <v>0</v>
      </c>
      <c r="I949">
        <f>+'Paste Here'!U949</f>
        <v>0</v>
      </c>
      <c r="J949">
        <f>+'Paste Here'!V949</f>
        <v>0</v>
      </c>
      <c r="K949">
        <f>+'Paste Here'!W949</f>
        <v>0</v>
      </c>
    </row>
    <row r="950" spans="1:11">
      <c r="A950" t="str">
        <f t="shared" si="14"/>
        <v>00</v>
      </c>
      <c r="B950">
        <f>+'Paste Here'!N950</f>
        <v>0</v>
      </c>
      <c r="C950">
        <f>+'Paste Here'!O950</f>
        <v>0</v>
      </c>
      <c r="D950">
        <f>+'Paste Here'!P950</f>
        <v>0</v>
      </c>
      <c r="E950">
        <f>+'Paste Here'!Q950</f>
        <v>0</v>
      </c>
      <c r="F950">
        <f>+'Paste Here'!R950</f>
        <v>0</v>
      </c>
      <c r="G950">
        <f>+'Paste Here'!S950</f>
        <v>0</v>
      </c>
      <c r="H950">
        <f>+'Paste Here'!T950</f>
        <v>0</v>
      </c>
      <c r="I950">
        <f>+'Paste Here'!U950</f>
        <v>0</v>
      </c>
      <c r="J950">
        <f>+'Paste Here'!V950</f>
        <v>0</v>
      </c>
      <c r="K950">
        <f>+'Paste Here'!W950</f>
        <v>0</v>
      </c>
    </row>
    <row r="951" spans="1:11">
      <c r="A951" t="str">
        <f t="shared" si="14"/>
        <v>00</v>
      </c>
      <c r="B951">
        <f>+'Paste Here'!N951</f>
        <v>0</v>
      </c>
      <c r="C951">
        <f>+'Paste Here'!O951</f>
        <v>0</v>
      </c>
      <c r="D951">
        <f>+'Paste Here'!P951</f>
        <v>0</v>
      </c>
      <c r="E951">
        <f>+'Paste Here'!Q951</f>
        <v>0</v>
      </c>
      <c r="F951">
        <f>+'Paste Here'!R951</f>
        <v>0</v>
      </c>
      <c r="G951">
        <f>+'Paste Here'!S951</f>
        <v>0</v>
      </c>
      <c r="H951">
        <f>+'Paste Here'!T951</f>
        <v>0</v>
      </c>
      <c r="I951">
        <f>+'Paste Here'!U951</f>
        <v>0</v>
      </c>
      <c r="J951">
        <f>+'Paste Here'!V951</f>
        <v>0</v>
      </c>
      <c r="K951">
        <f>+'Paste Here'!W951</f>
        <v>0</v>
      </c>
    </row>
    <row r="952" spans="1:11">
      <c r="A952" t="str">
        <f t="shared" si="14"/>
        <v>00</v>
      </c>
      <c r="B952">
        <f>+'Paste Here'!N952</f>
        <v>0</v>
      </c>
      <c r="C952">
        <f>+'Paste Here'!O952</f>
        <v>0</v>
      </c>
      <c r="D952">
        <f>+'Paste Here'!P952</f>
        <v>0</v>
      </c>
      <c r="E952">
        <f>+'Paste Here'!Q952</f>
        <v>0</v>
      </c>
      <c r="F952">
        <f>+'Paste Here'!R952</f>
        <v>0</v>
      </c>
      <c r="G952">
        <f>+'Paste Here'!S952</f>
        <v>0</v>
      </c>
      <c r="H952">
        <f>+'Paste Here'!T952</f>
        <v>0</v>
      </c>
      <c r="I952">
        <f>+'Paste Here'!U952</f>
        <v>0</v>
      </c>
      <c r="J952">
        <f>+'Paste Here'!V952</f>
        <v>0</v>
      </c>
      <c r="K952">
        <f>+'Paste Here'!W952</f>
        <v>0</v>
      </c>
    </row>
    <row r="953" spans="1:11">
      <c r="A953" t="str">
        <f t="shared" si="14"/>
        <v>00</v>
      </c>
      <c r="B953">
        <f>+'Paste Here'!N953</f>
        <v>0</v>
      </c>
      <c r="C953">
        <f>+'Paste Here'!O953</f>
        <v>0</v>
      </c>
      <c r="D953">
        <f>+'Paste Here'!P953</f>
        <v>0</v>
      </c>
      <c r="E953">
        <f>+'Paste Here'!Q953</f>
        <v>0</v>
      </c>
      <c r="F953">
        <f>+'Paste Here'!R953</f>
        <v>0</v>
      </c>
      <c r="G953">
        <f>+'Paste Here'!S953</f>
        <v>0</v>
      </c>
      <c r="H953">
        <f>+'Paste Here'!T953</f>
        <v>0</v>
      </c>
      <c r="I953">
        <f>+'Paste Here'!U953</f>
        <v>0</v>
      </c>
      <c r="J953">
        <f>+'Paste Here'!V953</f>
        <v>0</v>
      </c>
      <c r="K953">
        <f>+'Paste Here'!W953</f>
        <v>0</v>
      </c>
    </row>
    <row r="954" spans="1:11">
      <c r="A954" t="str">
        <f t="shared" si="14"/>
        <v>00</v>
      </c>
      <c r="B954">
        <f>+'Paste Here'!N954</f>
        <v>0</v>
      </c>
      <c r="C954">
        <f>+'Paste Here'!O954</f>
        <v>0</v>
      </c>
      <c r="D954">
        <f>+'Paste Here'!P954</f>
        <v>0</v>
      </c>
      <c r="E954">
        <f>+'Paste Here'!Q954</f>
        <v>0</v>
      </c>
      <c r="F954">
        <f>+'Paste Here'!R954</f>
        <v>0</v>
      </c>
      <c r="G954">
        <f>+'Paste Here'!S954</f>
        <v>0</v>
      </c>
      <c r="H954">
        <f>+'Paste Here'!T954</f>
        <v>0</v>
      </c>
      <c r="I954">
        <f>+'Paste Here'!U954</f>
        <v>0</v>
      </c>
      <c r="J954">
        <f>+'Paste Here'!V954</f>
        <v>0</v>
      </c>
      <c r="K954">
        <f>+'Paste Here'!W954</f>
        <v>0</v>
      </c>
    </row>
    <row r="955" spans="1:11">
      <c r="A955" t="str">
        <f t="shared" si="14"/>
        <v>00</v>
      </c>
      <c r="B955">
        <f>+'Paste Here'!N955</f>
        <v>0</v>
      </c>
      <c r="C955">
        <f>+'Paste Here'!O955</f>
        <v>0</v>
      </c>
      <c r="D955">
        <f>+'Paste Here'!P955</f>
        <v>0</v>
      </c>
      <c r="E955">
        <f>+'Paste Here'!Q955</f>
        <v>0</v>
      </c>
      <c r="F955">
        <f>+'Paste Here'!R955</f>
        <v>0</v>
      </c>
      <c r="G955">
        <f>+'Paste Here'!S955</f>
        <v>0</v>
      </c>
      <c r="H955">
        <f>+'Paste Here'!T955</f>
        <v>0</v>
      </c>
      <c r="I955">
        <f>+'Paste Here'!U955</f>
        <v>0</v>
      </c>
      <c r="J955">
        <f>+'Paste Here'!V955</f>
        <v>0</v>
      </c>
      <c r="K955">
        <f>+'Paste Here'!W955</f>
        <v>0</v>
      </c>
    </row>
    <row r="956" spans="1:11">
      <c r="A956" t="str">
        <f t="shared" si="14"/>
        <v>00</v>
      </c>
      <c r="B956">
        <f>+'Paste Here'!N956</f>
        <v>0</v>
      </c>
      <c r="C956">
        <f>+'Paste Here'!O956</f>
        <v>0</v>
      </c>
      <c r="D956">
        <f>+'Paste Here'!P956</f>
        <v>0</v>
      </c>
      <c r="E956">
        <f>+'Paste Here'!Q956</f>
        <v>0</v>
      </c>
      <c r="F956">
        <f>+'Paste Here'!R956</f>
        <v>0</v>
      </c>
      <c r="G956">
        <f>+'Paste Here'!S956</f>
        <v>0</v>
      </c>
      <c r="H956">
        <f>+'Paste Here'!T956</f>
        <v>0</v>
      </c>
      <c r="I956">
        <f>+'Paste Here'!U956</f>
        <v>0</v>
      </c>
      <c r="J956">
        <f>+'Paste Here'!V956</f>
        <v>0</v>
      </c>
      <c r="K956">
        <f>+'Paste Here'!W956</f>
        <v>0</v>
      </c>
    </row>
    <row r="957" spans="1:11">
      <c r="A957" t="str">
        <f t="shared" si="14"/>
        <v>00</v>
      </c>
      <c r="B957">
        <f>+'Paste Here'!N957</f>
        <v>0</v>
      </c>
      <c r="C957">
        <f>+'Paste Here'!O957</f>
        <v>0</v>
      </c>
      <c r="D957">
        <f>+'Paste Here'!P957</f>
        <v>0</v>
      </c>
      <c r="E957">
        <f>+'Paste Here'!Q957</f>
        <v>0</v>
      </c>
      <c r="F957">
        <f>+'Paste Here'!R957</f>
        <v>0</v>
      </c>
      <c r="G957">
        <f>+'Paste Here'!S957</f>
        <v>0</v>
      </c>
      <c r="H957">
        <f>+'Paste Here'!T957</f>
        <v>0</v>
      </c>
      <c r="I957">
        <f>+'Paste Here'!U957</f>
        <v>0</v>
      </c>
      <c r="J957">
        <f>+'Paste Here'!V957</f>
        <v>0</v>
      </c>
      <c r="K957">
        <f>+'Paste Here'!W957</f>
        <v>0</v>
      </c>
    </row>
    <row r="958" spans="1:11">
      <c r="A958" t="str">
        <f t="shared" si="14"/>
        <v>00</v>
      </c>
      <c r="B958">
        <f>+'Paste Here'!N958</f>
        <v>0</v>
      </c>
      <c r="C958">
        <f>+'Paste Here'!O958</f>
        <v>0</v>
      </c>
      <c r="D958">
        <f>+'Paste Here'!P958</f>
        <v>0</v>
      </c>
      <c r="E958">
        <f>+'Paste Here'!Q958</f>
        <v>0</v>
      </c>
      <c r="F958">
        <f>+'Paste Here'!R958</f>
        <v>0</v>
      </c>
      <c r="G958">
        <f>+'Paste Here'!S958</f>
        <v>0</v>
      </c>
      <c r="H958">
        <f>+'Paste Here'!T958</f>
        <v>0</v>
      </c>
      <c r="I958">
        <f>+'Paste Here'!U958</f>
        <v>0</v>
      </c>
      <c r="J958">
        <f>+'Paste Here'!V958</f>
        <v>0</v>
      </c>
      <c r="K958">
        <f>+'Paste Here'!W958</f>
        <v>0</v>
      </c>
    </row>
    <row r="959" spans="1:11">
      <c r="A959" t="str">
        <f t="shared" si="14"/>
        <v>00</v>
      </c>
      <c r="B959">
        <f>+'Paste Here'!N959</f>
        <v>0</v>
      </c>
      <c r="C959">
        <f>+'Paste Here'!O959</f>
        <v>0</v>
      </c>
      <c r="D959">
        <f>+'Paste Here'!P959</f>
        <v>0</v>
      </c>
      <c r="E959">
        <f>+'Paste Here'!Q959</f>
        <v>0</v>
      </c>
      <c r="F959">
        <f>+'Paste Here'!R959</f>
        <v>0</v>
      </c>
      <c r="G959">
        <f>+'Paste Here'!S959</f>
        <v>0</v>
      </c>
      <c r="H959">
        <f>+'Paste Here'!T959</f>
        <v>0</v>
      </c>
      <c r="I959">
        <f>+'Paste Here'!U959</f>
        <v>0</v>
      </c>
      <c r="J959">
        <f>+'Paste Here'!V959</f>
        <v>0</v>
      </c>
      <c r="K959">
        <f>+'Paste Here'!W959</f>
        <v>0</v>
      </c>
    </row>
    <row r="960" spans="1:11">
      <c r="A960" t="str">
        <f t="shared" si="14"/>
        <v>00</v>
      </c>
      <c r="B960">
        <f>+'Paste Here'!N960</f>
        <v>0</v>
      </c>
      <c r="C960">
        <f>+'Paste Here'!O960</f>
        <v>0</v>
      </c>
      <c r="D960">
        <f>+'Paste Here'!P960</f>
        <v>0</v>
      </c>
      <c r="E960">
        <f>+'Paste Here'!Q960</f>
        <v>0</v>
      </c>
      <c r="F960">
        <f>+'Paste Here'!R960</f>
        <v>0</v>
      </c>
      <c r="G960">
        <f>+'Paste Here'!S960</f>
        <v>0</v>
      </c>
      <c r="H960">
        <f>+'Paste Here'!T960</f>
        <v>0</v>
      </c>
      <c r="I960">
        <f>+'Paste Here'!U960</f>
        <v>0</v>
      </c>
      <c r="J960">
        <f>+'Paste Here'!V960</f>
        <v>0</v>
      </c>
      <c r="K960">
        <f>+'Paste Here'!W960</f>
        <v>0</v>
      </c>
    </row>
    <row r="961" spans="1:11">
      <c r="A961" t="str">
        <f t="shared" si="14"/>
        <v>00</v>
      </c>
      <c r="B961">
        <f>+'Paste Here'!N961</f>
        <v>0</v>
      </c>
      <c r="C961">
        <f>+'Paste Here'!O961</f>
        <v>0</v>
      </c>
      <c r="D961">
        <f>+'Paste Here'!P961</f>
        <v>0</v>
      </c>
      <c r="E961">
        <f>+'Paste Here'!Q961</f>
        <v>0</v>
      </c>
      <c r="F961">
        <f>+'Paste Here'!R961</f>
        <v>0</v>
      </c>
      <c r="G961">
        <f>+'Paste Here'!S961</f>
        <v>0</v>
      </c>
      <c r="H961">
        <f>+'Paste Here'!T961</f>
        <v>0</v>
      </c>
      <c r="I961">
        <f>+'Paste Here'!U961</f>
        <v>0</v>
      </c>
      <c r="J961">
        <f>+'Paste Here'!V961</f>
        <v>0</v>
      </c>
      <c r="K961">
        <f>+'Paste Here'!W961</f>
        <v>0</v>
      </c>
    </row>
    <row r="962" spans="1:11">
      <c r="A962" t="str">
        <f t="shared" si="14"/>
        <v>00</v>
      </c>
      <c r="B962">
        <f>+'Paste Here'!N962</f>
        <v>0</v>
      </c>
      <c r="C962">
        <f>+'Paste Here'!O962</f>
        <v>0</v>
      </c>
      <c r="D962">
        <f>+'Paste Here'!P962</f>
        <v>0</v>
      </c>
      <c r="E962">
        <f>+'Paste Here'!Q962</f>
        <v>0</v>
      </c>
      <c r="F962">
        <f>+'Paste Here'!R962</f>
        <v>0</v>
      </c>
      <c r="G962">
        <f>+'Paste Here'!S962</f>
        <v>0</v>
      </c>
      <c r="H962">
        <f>+'Paste Here'!T962</f>
        <v>0</v>
      </c>
      <c r="I962">
        <f>+'Paste Here'!U962</f>
        <v>0</v>
      </c>
      <c r="J962">
        <f>+'Paste Here'!V962</f>
        <v>0</v>
      </c>
      <c r="K962">
        <f>+'Paste Here'!W962</f>
        <v>0</v>
      </c>
    </row>
    <row r="963" spans="1:11">
      <c r="A963" t="str">
        <f t="shared" ref="A963:A1026" si="15">+CONCATENATE(C963,D963)</f>
        <v>00</v>
      </c>
      <c r="B963">
        <f>+'Paste Here'!N963</f>
        <v>0</v>
      </c>
      <c r="C963">
        <f>+'Paste Here'!O963</f>
        <v>0</v>
      </c>
      <c r="D963">
        <f>+'Paste Here'!P963</f>
        <v>0</v>
      </c>
      <c r="E963">
        <f>+'Paste Here'!Q963</f>
        <v>0</v>
      </c>
      <c r="F963">
        <f>+'Paste Here'!R963</f>
        <v>0</v>
      </c>
      <c r="G963">
        <f>+'Paste Here'!S963</f>
        <v>0</v>
      </c>
      <c r="H963">
        <f>+'Paste Here'!T963</f>
        <v>0</v>
      </c>
      <c r="I963">
        <f>+'Paste Here'!U963</f>
        <v>0</v>
      </c>
      <c r="J963">
        <f>+'Paste Here'!V963</f>
        <v>0</v>
      </c>
      <c r="K963">
        <f>+'Paste Here'!W963</f>
        <v>0</v>
      </c>
    </row>
    <row r="964" spans="1:11">
      <c r="A964" t="str">
        <f t="shared" si="15"/>
        <v>00</v>
      </c>
      <c r="B964">
        <f>+'Paste Here'!N964</f>
        <v>0</v>
      </c>
      <c r="C964">
        <f>+'Paste Here'!O964</f>
        <v>0</v>
      </c>
      <c r="D964">
        <f>+'Paste Here'!P964</f>
        <v>0</v>
      </c>
      <c r="E964">
        <f>+'Paste Here'!Q964</f>
        <v>0</v>
      </c>
      <c r="F964">
        <f>+'Paste Here'!R964</f>
        <v>0</v>
      </c>
      <c r="G964">
        <f>+'Paste Here'!S964</f>
        <v>0</v>
      </c>
      <c r="H964">
        <f>+'Paste Here'!T964</f>
        <v>0</v>
      </c>
      <c r="I964">
        <f>+'Paste Here'!U964</f>
        <v>0</v>
      </c>
      <c r="J964">
        <f>+'Paste Here'!V964</f>
        <v>0</v>
      </c>
      <c r="K964">
        <f>+'Paste Here'!W964</f>
        <v>0</v>
      </c>
    </row>
    <row r="965" spans="1:11">
      <c r="A965" t="str">
        <f t="shared" si="15"/>
        <v>00</v>
      </c>
      <c r="B965">
        <f>+'Paste Here'!N965</f>
        <v>0</v>
      </c>
      <c r="C965">
        <f>+'Paste Here'!O965</f>
        <v>0</v>
      </c>
      <c r="D965">
        <f>+'Paste Here'!P965</f>
        <v>0</v>
      </c>
      <c r="E965">
        <f>+'Paste Here'!Q965</f>
        <v>0</v>
      </c>
      <c r="F965">
        <f>+'Paste Here'!R965</f>
        <v>0</v>
      </c>
      <c r="G965">
        <f>+'Paste Here'!S965</f>
        <v>0</v>
      </c>
      <c r="H965">
        <f>+'Paste Here'!T965</f>
        <v>0</v>
      </c>
      <c r="I965">
        <f>+'Paste Here'!U965</f>
        <v>0</v>
      </c>
      <c r="J965">
        <f>+'Paste Here'!V965</f>
        <v>0</v>
      </c>
      <c r="K965">
        <f>+'Paste Here'!W965</f>
        <v>0</v>
      </c>
    </row>
    <row r="966" spans="1:11">
      <c r="A966" t="str">
        <f t="shared" si="15"/>
        <v>00</v>
      </c>
      <c r="B966">
        <f>+'Paste Here'!N966</f>
        <v>0</v>
      </c>
      <c r="C966">
        <f>+'Paste Here'!O966</f>
        <v>0</v>
      </c>
      <c r="D966">
        <f>+'Paste Here'!P966</f>
        <v>0</v>
      </c>
      <c r="E966">
        <f>+'Paste Here'!Q966</f>
        <v>0</v>
      </c>
      <c r="F966">
        <f>+'Paste Here'!R966</f>
        <v>0</v>
      </c>
      <c r="G966">
        <f>+'Paste Here'!S966</f>
        <v>0</v>
      </c>
      <c r="H966">
        <f>+'Paste Here'!T966</f>
        <v>0</v>
      </c>
      <c r="I966">
        <f>+'Paste Here'!U966</f>
        <v>0</v>
      </c>
      <c r="J966">
        <f>+'Paste Here'!V966</f>
        <v>0</v>
      </c>
      <c r="K966">
        <f>+'Paste Here'!W966</f>
        <v>0</v>
      </c>
    </row>
    <row r="967" spans="1:11">
      <c r="A967" t="str">
        <f t="shared" si="15"/>
        <v>00</v>
      </c>
      <c r="B967">
        <f>+'Paste Here'!N967</f>
        <v>0</v>
      </c>
      <c r="C967">
        <f>+'Paste Here'!O967</f>
        <v>0</v>
      </c>
      <c r="D967">
        <f>+'Paste Here'!P967</f>
        <v>0</v>
      </c>
      <c r="E967">
        <f>+'Paste Here'!Q967</f>
        <v>0</v>
      </c>
      <c r="F967">
        <f>+'Paste Here'!R967</f>
        <v>0</v>
      </c>
      <c r="G967">
        <f>+'Paste Here'!S967</f>
        <v>0</v>
      </c>
      <c r="H967">
        <f>+'Paste Here'!T967</f>
        <v>0</v>
      </c>
      <c r="I967">
        <f>+'Paste Here'!U967</f>
        <v>0</v>
      </c>
      <c r="J967">
        <f>+'Paste Here'!V967</f>
        <v>0</v>
      </c>
      <c r="K967">
        <f>+'Paste Here'!W967</f>
        <v>0</v>
      </c>
    </row>
    <row r="968" spans="1:11">
      <c r="A968" t="str">
        <f t="shared" si="15"/>
        <v>00</v>
      </c>
      <c r="B968">
        <f>+'Paste Here'!N968</f>
        <v>0</v>
      </c>
      <c r="C968">
        <f>+'Paste Here'!O968</f>
        <v>0</v>
      </c>
      <c r="D968">
        <f>+'Paste Here'!P968</f>
        <v>0</v>
      </c>
      <c r="E968">
        <f>+'Paste Here'!Q968</f>
        <v>0</v>
      </c>
      <c r="F968">
        <f>+'Paste Here'!R968</f>
        <v>0</v>
      </c>
      <c r="G968">
        <f>+'Paste Here'!S968</f>
        <v>0</v>
      </c>
      <c r="H968">
        <f>+'Paste Here'!T968</f>
        <v>0</v>
      </c>
      <c r="I968">
        <f>+'Paste Here'!U968</f>
        <v>0</v>
      </c>
      <c r="J968">
        <f>+'Paste Here'!V968</f>
        <v>0</v>
      </c>
      <c r="K968">
        <f>+'Paste Here'!W968</f>
        <v>0</v>
      </c>
    </row>
    <row r="969" spans="1:11">
      <c r="A969" t="str">
        <f t="shared" si="15"/>
        <v>00</v>
      </c>
      <c r="B969">
        <f>+'Paste Here'!N969</f>
        <v>0</v>
      </c>
      <c r="C969">
        <f>+'Paste Here'!O969</f>
        <v>0</v>
      </c>
      <c r="D969">
        <f>+'Paste Here'!P969</f>
        <v>0</v>
      </c>
      <c r="E969">
        <f>+'Paste Here'!Q969</f>
        <v>0</v>
      </c>
      <c r="F969">
        <f>+'Paste Here'!R969</f>
        <v>0</v>
      </c>
      <c r="G969">
        <f>+'Paste Here'!S969</f>
        <v>0</v>
      </c>
      <c r="H969">
        <f>+'Paste Here'!T969</f>
        <v>0</v>
      </c>
      <c r="I969">
        <f>+'Paste Here'!U969</f>
        <v>0</v>
      </c>
      <c r="J969">
        <f>+'Paste Here'!V969</f>
        <v>0</v>
      </c>
      <c r="K969">
        <f>+'Paste Here'!W969</f>
        <v>0</v>
      </c>
    </row>
    <row r="970" spans="1:11">
      <c r="A970" t="str">
        <f t="shared" si="15"/>
        <v>00</v>
      </c>
      <c r="B970">
        <f>+'Paste Here'!N970</f>
        <v>0</v>
      </c>
      <c r="C970">
        <f>+'Paste Here'!O970</f>
        <v>0</v>
      </c>
      <c r="D970">
        <f>+'Paste Here'!P970</f>
        <v>0</v>
      </c>
      <c r="E970">
        <f>+'Paste Here'!Q970</f>
        <v>0</v>
      </c>
      <c r="F970">
        <f>+'Paste Here'!R970</f>
        <v>0</v>
      </c>
      <c r="G970">
        <f>+'Paste Here'!S970</f>
        <v>0</v>
      </c>
      <c r="H970">
        <f>+'Paste Here'!T970</f>
        <v>0</v>
      </c>
      <c r="I970">
        <f>+'Paste Here'!U970</f>
        <v>0</v>
      </c>
      <c r="J970">
        <f>+'Paste Here'!V970</f>
        <v>0</v>
      </c>
      <c r="K970">
        <f>+'Paste Here'!W970</f>
        <v>0</v>
      </c>
    </row>
    <row r="971" spans="1:11">
      <c r="A971" t="str">
        <f t="shared" si="15"/>
        <v>00</v>
      </c>
      <c r="B971">
        <f>+'Paste Here'!N971</f>
        <v>0</v>
      </c>
      <c r="C971">
        <f>+'Paste Here'!O971</f>
        <v>0</v>
      </c>
      <c r="D971">
        <f>+'Paste Here'!P971</f>
        <v>0</v>
      </c>
      <c r="E971">
        <f>+'Paste Here'!Q971</f>
        <v>0</v>
      </c>
      <c r="F971">
        <f>+'Paste Here'!R971</f>
        <v>0</v>
      </c>
      <c r="G971">
        <f>+'Paste Here'!S971</f>
        <v>0</v>
      </c>
      <c r="H971">
        <f>+'Paste Here'!T971</f>
        <v>0</v>
      </c>
      <c r="I971">
        <f>+'Paste Here'!U971</f>
        <v>0</v>
      </c>
      <c r="J971">
        <f>+'Paste Here'!V971</f>
        <v>0</v>
      </c>
      <c r="K971">
        <f>+'Paste Here'!W971</f>
        <v>0</v>
      </c>
    </row>
    <row r="972" spans="1:11">
      <c r="A972" t="str">
        <f t="shared" si="15"/>
        <v>00</v>
      </c>
      <c r="B972">
        <f>+'Paste Here'!N972</f>
        <v>0</v>
      </c>
      <c r="C972">
        <f>+'Paste Here'!O972</f>
        <v>0</v>
      </c>
      <c r="D972">
        <f>+'Paste Here'!P972</f>
        <v>0</v>
      </c>
      <c r="E972">
        <f>+'Paste Here'!Q972</f>
        <v>0</v>
      </c>
      <c r="F972">
        <f>+'Paste Here'!R972</f>
        <v>0</v>
      </c>
      <c r="G972">
        <f>+'Paste Here'!S972</f>
        <v>0</v>
      </c>
      <c r="H972">
        <f>+'Paste Here'!T972</f>
        <v>0</v>
      </c>
      <c r="I972">
        <f>+'Paste Here'!U972</f>
        <v>0</v>
      </c>
      <c r="J972">
        <f>+'Paste Here'!V972</f>
        <v>0</v>
      </c>
      <c r="K972">
        <f>+'Paste Here'!W972</f>
        <v>0</v>
      </c>
    </row>
    <row r="973" spans="1:11">
      <c r="A973" t="str">
        <f t="shared" si="15"/>
        <v>00</v>
      </c>
      <c r="B973">
        <f>+'Paste Here'!N973</f>
        <v>0</v>
      </c>
      <c r="C973">
        <f>+'Paste Here'!O973</f>
        <v>0</v>
      </c>
      <c r="D973">
        <f>+'Paste Here'!P973</f>
        <v>0</v>
      </c>
      <c r="E973">
        <f>+'Paste Here'!Q973</f>
        <v>0</v>
      </c>
      <c r="F973">
        <f>+'Paste Here'!R973</f>
        <v>0</v>
      </c>
      <c r="G973">
        <f>+'Paste Here'!S973</f>
        <v>0</v>
      </c>
      <c r="H973">
        <f>+'Paste Here'!T973</f>
        <v>0</v>
      </c>
      <c r="I973">
        <f>+'Paste Here'!U973</f>
        <v>0</v>
      </c>
      <c r="J973">
        <f>+'Paste Here'!V973</f>
        <v>0</v>
      </c>
      <c r="K973">
        <f>+'Paste Here'!W973</f>
        <v>0</v>
      </c>
    </row>
    <row r="974" spans="1:11">
      <c r="A974" t="str">
        <f t="shared" si="15"/>
        <v>00</v>
      </c>
      <c r="B974">
        <f>+'Paste Here'!N974</f>
        <v>0</v>
      </c>
      <c r="C974">
        <f>+'Paste Here'!O974</f>
        <v>0</v>
      </c>
      <c r="D974">
        <f>+'Paste Here'!P974</f>
        <v>0</v>
      </c>
      <c r="E974">
        <f>+'Paste Here'!Q974</f>
        <v>0</v>
      </c>
      <c r="F974">
        <f>+'Paste Here'!R974</f>
        <v>0</v>
      </c>
      <c r="G974">
        <f>+'Paste Here'!S974</f>
        <v>0</v>
      </c>
      <c r="H974">
        <f>+'Paste Here'!T974</f>
        <v>0</v>
      </c>
      <c r="I974">
        <f>+'Paste Here'!U974</f>
        <v>0</v>
      </c>
      <c r="J974">
        <f>+'Paste Here'!V974</f>
        <v>0</v>
      </c>
      <c r="K974">
        <f>+'Paste Here'!W974</f>
        <v>0</v>
      </c>
    </row>
    <row r="975" spans="1:11">
      <c r="A975" t="str">
        <f t="shared" si="15"/>
        <v>00</v>
      </c>
      <c r="B975">
        <f>+'Paste Here'!N975</f>
        <v>0</v>
      </c>
      <c r="C975">
        <f>+'Paste Here'!O975</f>
        <v>0</v>
      </c>
      <c r="D975">
        <f>+'Paste Here'!P975</f>
        <v>0</v>
      </c>
      <c r="E975">
        <f>+'Paste Here'!Q975</f>
        <v>0</v>
      </c>
      <c r="F975">
        <f>+'Paste Here'!R975</f>
        <v>0</v>
      </c>
      <c r="G975">
        <f>+'Paste Here'!S975</f>
        <v>0</v>
      </c>
      <c r="H975">
        <f>+'Paste Here'!T975</f>
        <v>0</v>
      </c>
      <c r="I975">
        <f>+'Paste Here'!U975</f>
        <v>0</v>
      </c>
      <c r="J975">
        <f>+'Paste Here'!V975</f>
        <v>0</v>
      </c>
      <c r="K975">
        <f>+'Paste Here'!W975</f>
        <v>0</v>
      </c>
    </row>
    <row r="976" spans="1:11">
      <c r="A976" t="str">
        <f t="shared" si="15"/>
        <v>00</v>
      </c>
      <c r="B976">
        <f>+'Paste Here'!N976</f>
        <v>0</v>
      </c>
      <c r="C976">
        <f>+'Paste Here'!O976</f>
        <v>0</v>
      </c>
      <c r="D976">
        <f>+'Paste Here'!P976</f>
        <v>0</v>
      </c>
      <c r="E976">
        <f>+'Paste Here'!Q976</f>
        <v>0</v>
      </c>
      <c r="F976">
        <f>+'Paste Here'!R976</f>
        <v>0</v>
      </c>
      <c r="G976">
        <f>+'Paste Here'!S976</f>
        <v>0</v>
      </c>
      <c r="H976">
        <f>+'Paste Here'!T976</f>
        <v>0</v>
      </c>
      <c r="I976">
        <f>+'Paste Here'!U976</f>
        <v>0</v>
      </c>
      <c r="J976">
        <f>+'Paste Here'!V976</f>
        <v>0</v>
      </c>
      <c r="K976">
        <f>+'Paste Here'!W976</f>
        <v>0</v>
      </c>
    </row>
    <row r="977" spans="1:11">
      <c r="A977" t="str">
        <f t="shared" si="15"/>
        <v>00</v>
      </c>
      <c r="B977">
        <f>+'Paste Here'!N977</f>
        <v>0</v>
      </c>
      <c r="C977">
        <f>+'Paste Here'!O977</f>
        <v>0</v>
      </c>
      <c r="D977">
        <f>+'Paste Here'!P977</f>
        <v>0</v>
      </c>
      <c r="E977">
        <f>+'Paste Here'!Q977</f>
        <v>0</v>
      </c>
      <c r="F977">
        <f>+'Paste Here'!R977</f>
        <v>0</v>
      </c>
      <c r="G977">
        <f>+'Paste Here'!S977</f>
        <v>0</v>
      </c>
      <c r="H977">
        <f>+'Paste Here'!T977</f>
        <v>0</v>
      </c>
      <c r="I977">
        <f>+'Paste Here'!U977</f>
        <v>0</v>
      </c>
      <c r="J977">
        <f>+'Paste Here'!V977</f>
        <v>0</v>
      </c>
      <c r="K977">
        <f>+'Paste Here'!W977</f>
        <v>0</v>
      </c>
    </row>
    <row r="978" spans="1:11">
      <c r="A978" t="str">
        <f t="shared" si="15"/>
        <v>00</v>
      </c>
      <c r="B978">
        <f>+'Paste Here'!N978</f>
        <v>0</v>
      </c>
      <c r="C978">
        <f>+'Paste Here'!O978</f>
        <v>0</v>
      </c>
      <c r="D978">
        <f>+'Paste Here'!P978</f>
        <v>0</v>
      </c>
      <c r="E978">
        <f>+'Paste Here'!Q978</f>
        <v>0</v>
      </c>
      <c r="F978">
        <f>+'Paste Here'!R978</f>
        <v>0</v>
      </c>
      <c r="G978">
        <f>+'Paste Here'!S978</f>
        <v>0</v>
      </c>
      <c r="H978">
        <f>+'Paste Here'!T978</f>
        <v>0</v>
      </c>
      <c r="I978">
        <f>+'Paste Here'!U978</f>
        <v>0</v>
      </c>
      <c r="J978">
        <f>+'Paste Here'!V978</f>
        <v>0</v>
      </c>
      <c r="K978">
        <f>+'Paste Here'!W978</f>
        <v>0</v>
      </c>
    </row>
    <row r="979" spans="1:11">
      <c r="A979" t="str">
        <f t="shared" si="15"/>
        <v>00</v>
      </c>
      <c r="B979">
        <f>+'Paste Here'!N979</f>
        <v>0</v>
      </c>
      <c r="C979">
        <f>+'Paste Here'!O979</f>
        <v>0</v>
      </c>
      <c r="D979">
        <f>+'Paste Here'!P979</f>
        <v>0</v>
      </c>
      <c r="E979">
        <f>+'Paste Here'!Q979</f>
        <v>0</v>
      </c>
      <c r="F979">
        <f>+'Paste Here'!R979</f>
        <v>0</v>
      </c>
      <c r="G979">
        <f>+'Paste Here'!S979</f>
        <v>0</v>
      </c>
      <c r="H979">
        <f>+'Paste Here'!T979</f>
        <v>0</v>
      </c>
      <c r="I979">
        <f>+'Paste Here'!U979</f>
        <v>0</v>
      </c>
      <c r="J979">
        <f>+'Paste Here'!V979</f>
        <v>0</v>
      </c>
      <c r="K979">
        <f>+'Paste Here'!W979</f>
        <v>0</v>
      </c>
    </row>
    <row r="980" spans="1:11">
      <c r="A980" t="str">
        <f t="shared" si="15"/>
        <v>00</v>
      </c>
      <c r="B980">
        <f>+'Paste Here'!N980</f>
        <v>0</v>
      </c>
      <c r="C980">
        <f>+'Paste Here'!O980</f>
        <v>0</v>
      </c>
      <c r="D980">
        <f>+'Paste Here'!P980</f>
        <v>0</v>
      </c>
      <c r="E980">
        <f>+'Paste Here'!Q980</f>
        <v>0</v>
      </c>
      <c r="F980">
        <f>+'Paste Here'!R980</f>
        <v>0</v>
      </c>
      <c r="G980">
        <f>+'Paste Here'!S980</f>
        <v>0</v>
      </c>
      <c r="H980">
        <f>+'Paste Here'!T980</f>
        <v>0</v>
      </c>
      <c r="I980">
        <f>+'Paste Here'!U980</f>
        <v>0</v>
      </c>
      <c r="J980">
        <f>+'Paste Here'!V980</f>
        <v>0</v>
      </c>
      <c r="K980">
        <f>+'Paste Here'!W980</f>
        <v>0</v>
      </c>
    </row>
    <row r="981" spans="1:11">
      <c r="A981" t="str">
        <f t="shared" si="15"/>
        <v>00</v>
      </c>
      <c r="B981">
        <f>+'Paste Here'!N981</f>
        <v>0</v>
      </c>
      <c r="C981">
        <f>+'Paste Here'!O981</f>
        <v>0</v>
      </c>
      <c r="D981">
        <f>+'Paste Here'!P981</f>
        <v>0</v>
      </c>
      <c r="E981">
        <f>+'Paste Here'!Q981</f>
        <v>0</v>
      </c>
      <c r="F981">
        <f>+'Paste Here'!R981</f>
        <v>0</v>
      </c>
      <c r="G981">
        <f>+'Paste Here'!S981</f>
        <v>0</v>
      </c>
      <c r="H981">
        <f>+'Paste Here'!T981</f>
        <v>0</v>
      </c>
      <c r="I981">
        <f>+'Paste Here'!U981</f>
        <v>0</v>
      </c>
      <c r="J981">
        <f>+'Paste Here'!V981</f>
        <v>0</v>
      </c>
      <c r="K981">
        <f>+'Paste Here'!W981</f>
        <v>0</v>
      </c>
    </row>
    <row r="982" spans="1:11">
      <c r="A982" t="str">
        <f t="shared" si="15"/>
        <v>00</v>
      </c>
      <c r="B982">
        <f>+'Paste Here'!N982</f>
        <v>0</v>
      </c>
      <c r="C982">
        <f>+'Paste Here'!O982</f>
        <v>0</v>
      </c>
      <c r="D982">
        <f>+'Paste Here'!P982</f>
        <v>0</v>
      </c>
      <c r="E982">
        <f>+'Paste Here'!Q982</f>
        <v>0</v>
      </c>
      <c r="F982">
        <f>+'Paste Here'!R982</f>
        <v>0</v>
      </c>
      <c r="G982">
        <f>+'Paste Here'!S982</f>
        <v>0</v>
      </c>
      <c r="H982">
        <f>+'Paste Here'!T982</f>
        <v>0</v>
      </c>
      <c r="I982">
        <f>+'Paste Here'!U982</f>
        <v>0</v>
      </c>
      <c r="J982">
        <f>+'Paste Here'!V982</f>
        <v>0</v>
      </c>
      <c r="K982">
        <f>+'Paste Here'!W982</f>
        <v>0</v>
      </c>
    </row>
    <row r="983" spans="1:11">
      <c r="A983" t="str">
        <f t="shared" si="15"/>
        <v>00</v>
      </c>
      <c r="B983">
        <f>+'Paste Here'!N983</f>
        <v>0</v>
      </c>
      <c r="C983">
        <f>+'Paste Here'!O983</f>
        <v>0</v>
      </c>
      <c r="D983">
        <f>+'Paste Here'!P983</f>
        <v>0</v>
      </c>
      <c r="E983">
        <f>+'Paste Here'!Q983</f>
        <v>0</v>
      </c>
      <c r="F983">
        <f>+'Paste Here'!R983</f>
        <v>0</v>
      </c>
      <c r="G983">
        <f>+'Paste Here'!S983</f>
        <v>0</v>
      </c>
      <c r="H983">
        <f>+'Paste Here'!T983</f>
        <v>0</v>
      </c>
      <c r="I983">
        <f>+'Paste Here'!U983</f>
        <v>0</v>
      </c>
      <c r="J983">
        <f>+'Paste Here'!V983</f>
        <v>0</v>
      </c>
      <c r="K983">
        <f>+'Paste Here'!W983</f>
        <v>0</v>
      </c>
    </row>
    <row r="984" spans="1:11">
      <c r="A984" t="str">
        <f t="shared" si="15"/>
        <v>00</v>
      </c>
      <c r="B984">
        <f>+'Paste Here'!N984</f>
        <v>0</v>
      </c>
      <c r="C984">
        <f>+'Paste Here'!O984</f>
        <v>0</v>
      </c>
      <c r="D984">
        <f>+'Paste Here'!P984</f>
        <v>0</v>
      </c>
      <c r="E984">
        <f>+'Paste Here'!Q984</f>
        <v>0</v>
      </c>
      <c r="F984">
        <f>+'Paste Here'!R984</f>
        <v>0</v>
      </c>
      <c r="G984">
        <f>+'Paste Here'!S984</f>
        <v>0</v>
      </c>
      <c r="H984">
        <f>+'Paste Here'!T984</f>
        <v>0</v>
      </c>
      <c r="I984">
        <f>+'Paste Here'!U984</f>
        <v>0</v>
      </c>
      <c r="J984">
        <f>+'Paste Here'!V984</f>
        <v>0</v>
      </c>
      <c r="K984">
        <f>+'Paste Here'!W984</f>
        <v>0</v>
      </c>
    </row>
    <row r="985" spans="1:11">
      <c r="A985" t="str">
        <f t="shared" si="15"/>
        <v>00</v>
      </c>
      <c r="B985">
        <f>+'Paste Here'!N985</f>
        <v>0</v>
      </c>
      <c r="C985">
        <f>+'Paste Here'!O985</f>
        <v>0</v>
      </c>
      <c r="D985">
        <f>+'Paste Here'!P985</f>
        <v>0</v>
      </c>
      <c r="E985">
        <f>+'Paste Here'!Q985</f>
        <v>0</v>
      </c>
      <c r="F985">
        <f>+'Paste Here'!R985</f>
        <v>0</v>
      </c>
      <c r="G985">
        <f>+'Paste Here'!S985</f>
        <v>0</v>
      </c>
      <c r="H985">
        <f>+'Paste Here'!T985</f>
        <v>0</v>
      </c>
      <c r="I985">
        <f>+'Paste Here'!U985</f>
        <v>0</v>
      </c>
      <c r="J985">
        <f>+'Paste Here'!V985</f>
        <v>0</v>
      </c>
      <c r="K985">
        <f>+'Paste Here'!W985</f>
        <v>0</v>
      </c>
    </row>
    <row r="986" spans="1:11">
      <c r="A986" t="str">
        <f t="shared" si="15"/>
        <v>00</v>
      </c>
      <c r="B986">
        <f>+'Paste Here'!N986</f>
        <v>0</v>
      </c>
      <c r="C986">
        <f>+'Paste Here'!O986</f>
        <v>0</v>
      </c>
      <c r="D986">
        <f>+'Paste Here'!P986</f>
        <v>0</v>
      </c>
      <c r="E986">
        <f>+'Paste Here'!Q986</f>
        <v>0</v>
      </c>
      <c r="F986">
        <f>+'Paste Here'!R986</f>
        <v>0</v>
      </c>
      <c r="G986">
        <f>+'Paste Here'!S986</f>
        <v>0</v>
      </c>
      <c r="H986">
        <f>+'Paste Here'!T986</f>
        <v>0</v>
      </c>
      <c r="I986">
        <f>+'Paste Here'!U986</f>
        <v>0</v>
      </c>
      <c r="J986">
        <f>+'Paste Here'!V986</f>
        <v>0</v>
      </c>
      <c r="K986">
        <f>+'Paste Here'!W986</f>
        <v>0</v>
      </c>
    </row>
    <row r="987" spans="1:11">
      <c r="A987" t="str">
        <f t="shared" si="15"/>
        <v>00</v>
      </c>
      <c r="B987">
        <f>+'Paste Here'!N987</f>
        <v>0</v>
      </c>
      <c r="C987">
        <f>+'Paste Here'!O987</f>
        <v>0</v>
      </c>
      <c r="D987">
        <f>+'Paste Here'!P987</f>
        <v>0</v>
      </c>
      <c r="E987">
        <f>+'Paste Here'!Q987</f>
        <v>0</v>
      </c>
      <c r="F987">
        <f>+'Paste Here'!R987</f>
        <v>0</v>
      </c>
      <c r="G987">
        <f>+'Paste Here'!S987</f>
        <v>0</v>
      </c>
      <c r="H987">
        <f>+'Paste Here'!T987</f>
        <v>0</v>
      </c>
      <c r="I987">
        <f>+'Paste Here'!U987</f>
        <v>0</v>
      </c>
      <c r="J987">
        <f>+'Paste Here'!V987</f>
        <v>0</v>
      </c>
      <c r="K987">
        <f>+'Paste Here'!W987</f>
        <v>0</v>
      </c>
    </row>
    <row r="988" spans="1:11">
      <c r="A988" t="str">
        <f t="shared" si="15"/>
        <v>00</v>
      </c>
      <c r="B988">
        <f>+'Paste Here'!N988</f>
        <v>0</v>
      </c>
      <c r="C988">
        <f>+'Paste Here'!O988</f>
        <v>0</v>
      </c>
      <c r="D988">
        <f>+'Paste Here'!P988</f>
        <v>0</v>
      </c>
      <c r="E988">
        <f>+'Paste Here'!Q988</f>
        <v>0</v>
      </c>
      <c r="F988">
        <f>+'Paste Here'!R988</f>
        <v>0</v>
      </c>
      <c r="G988">
        <f>+'Paste Here'!S988</f>
        <v>0</v>
      </c>
      <c r="H988">
        <f>+'Paste Here'!T988</f>
        <v>0</v>
      </c>
      <c r="I988">
        <f>+'Paste Here'!U988</f>
        <v>0</v>
      </c>
      <c r="J988">
        <f>+'Paste Here'!V988</f>
        <v>0</v>
      </c>
      <c r="K988">
        <f>+'Paste Here'!W988</f>
        <v>0</v>
      </c>
    </row>
    <row r="989" spans="1:11">
      <c r="A989" t="str">
        <f t="shared" si="15"/>
        <v>00</v>
      </c>
      <c r="B989">
        <f>+'Paste Here'!N989</f>
        <v>0</v>
      </c>
      <c r="C989">
        <f>+'Paste Here'!O989</f>
        <v>0</v>
      </c>
      <c r="D989">
        <f>+'Paste Here'!P989</f>
        <v>0</v>
      </c>
      <c r="E989">
        <f>+'Paste Here'!Q989</f>
        <v>0</v>
      </c>
      <c r="F989">
        <f>+'Paste Here'!R989</f>
        <v>0</v>
      </c>
      <c r="G989">
        <f>+'Paste Here'!S989</f>
        <v>0</v>
      </c>
      <c r="H989">
        <f>+'Paste Here'!T989</f>
        <v>0</v>
      </c>
      <c r="I989">
        <f>+'Paste Here'!U989</f>
        <v>0</v>
      </c>
      <c r="J989">
        <f>+'Paste Here'!V989</f>
        <v>0</v>
      </c>
      <c r="K989">
        <f>+'Paste Here'!W989</f>
        <v>0</v>
      </c>
    </row>
    <row r="990" spans="1:11">
      <c r="A990" t="str">
        <f t="shared" si="15"/>
        <v>00</v>
      </c>
      <c r="B990">
        <f>+'Paste Here'!N990</f>
        <v>0</v>
      </c>
      <c r="C990">
        <f>+'Paste Here'!O990</f>
        <v>0</v>
      </c>
      <c r="D990">
        <f>+'Paste Here'!P990</f>
        <v>0</v>
      </c>
      <c r="E990">
        <f>+'Paste Here'!Q990</f>
        <v>0</v>
      </c>
      <c r="F990">
        <f>+'Paste Here'!R990</f>
        <v>0</v>
      </c>
      <c r="G990">
        <f>+'Paste Here'!S990</f>
        <v>0</v>
      </c>
      <c r="H990">
        <f>+'Paste Here'!T990</f>
        <v>0</v>
      </c>
      <c r="I990">
        <f>+'Paste Here'!U990</f>
        <v>0</v>
      </c>
      <c r="J990">
        <f>+'Paste Here'!V990</f>
        <v>0</v>
      </c>
      <c r="K990">
        <f>+'Paste Here'!W990</f>
        <v>0</v>
      </c>
    </row>
    <row r="991" spans="1:11">
      <c r="A991" t="str">
        <f t="shared" si="15"/>
        <v>00</v>
      </c>
      <c r="B991">
        <f>+'Paste Here'!N991</f>
        <v>0</v>
      </c>
      <c r="C991">
        <f>+'Paste Here'!O991</f>
        <v>0</v>
      </c>
      <c r="D991">
        <f>+'Paste Here'!P991</f>
        <v>0</v>
      </c>
      <c r="E991">
        <f>+'Paste Here'!Q991</f>
        <v>0</v>
      </c>
      <c r="F991">
        <f>+'Paste Here'!R991</f>
        <v>0</v>
      </c>
      <c r="G991">
        <f>+'Paste Here'!S991</f>
        <v>0</v>
      </c>
      <c r="H991">
        <f>+'Paste Here'!T991</f>
        <v>0</v>
      </c>
      <c r="I991">
        <f>+'Paste Here'!U991</f>
        <v>0</v>
      </c>
      <c r="J991">
        <f>+'Paste Here'!V991</f>
        <v>0</v>
      </c>
      <c r="K991">
        <f>+'Paste Here'!W991</f>
        <v>0</v>
      </c>
    </row>
    <row r="992" spans="1:11">
      <c r="A992" t="str">
        <f t="shared" si="15"/>
        <v>00</v>
      </c>
      <c r="B992">
        <f>+'Paste Here'!N992</f>
        <v>0</v>
      </c>
      <c r="C992">
        <f>+'Paste Here'!O992</f>
        <v>0</v>
      </c>
      <c r="D992">
        <f>+'Paste Here'!P992</f>
        <v>0</v>
      </c>
      <c r="E992">
        <f>+'Paste Here'!Q992</f>
        <v>0</v>
      </c>
      <c r="F992">
        <f>+'Paste Here'!R992</f>
        <v>0</v>
      </c>
      <c r="G992">
        <f>+'Paste Here'!S992</f>
        <v>0</v>
      </c>
      <c r="H992">
        <f>+'Paste Here'!T992</f>
        <v>0</v>
      </c>
      <c r="I992">
        <f>+'Paste Here'!U992</f>
        <v>0</v>
      </c>
      <c r="J992">
        <f>+'Paste Here'!V992</f>
        <v>0</v>
      </c>
      <c r="K992">
        <f>+'Paste Here'!W992</f>
        <v>0</v>
      </c>
    </row>
    <row r="993" spans="1:11">
      <c r="A993" t="str">
        <f t="shared" si="15"/>
        <v>00</v>
      </c>
      <c r="B993">
        <f>+'Paste Here'!N993</f>
        <v>0</v>
      </c>
      <c r="C993">
        <f>+'Paste Here'!O993</f>
        <v>0</v>
      </c>
      <c r="D993">
        <f>+'Paste Here'!P993</f>
        <v>0</v>
      </c>
      <c r="E993">
        <f>+'Paste Here'!Q993</f>
        <v>0</v>
      </c>
      <c r="F993">
        <f>+'Paste Here'!R993</f>
        <v>0</v>
      </c>
      <c r="G993">
        <f>+'Paste Here'!S993</f>
        <v>0</v>
      </c>
      <c r="H993">
        <f>+'Paste Here'!T993</f>
        <v>0</v>
      </c>
      <c r="I993">
        <f>+'Paste Here'!U993</f>
        <v>0</v>
      </c>
      <c r="J993">
        <f>+'Paste Here'!V993</f>
        <v>0</v>
      </c>
      <c r="K993">
        <f>+'Paste Here'!W993</f>
        <v>0</v>
      </c>
    </row>
    <row r="994" spans="1:11">
      <c r="A994" t="str">
        <f t="shared" si="15"/>
        <v>00</v>
      </c>
      <c r="B994">
        <f>+'Paste Here'!N994</f>
        <v>0</v>
      </c>
      <c r="C994">
        <f>+'Paste Here'!O994</f>
        <v>0</v>
      </c>
      <c r="D994">
        <f>+'Paste Here'!P994</f>
        <v>0</v>
      </c>
      <c r="E994">
        <f>+'Paste Here'!Q994</f>
        <v>0</v>
      </c>
      <c r="F994">
        <f>+'Paste Here'!R994</f>
        <v>0</v>
      </c>
      <c r="G994">
        <f>+'Paste Here'!S994</f>
        <v>0</v>
      </c>
      <c r="H994">
        <f>+'Paste Here'!T994</f>
        <v>0</v>
      </c>
      <c r="I994">
        <f>+'Paste Here'!U994</f>
        <v>0</v>
      </c>
      <c r="J994">
        <f>+'Paste Here'!V994</f>
        <v>0</v>
      </c>
      <c r="K994">
        <f>+'Paste Here'!W994</f>
        <v>0</v>
      </c>
    </row>
    <row r="995" spans="1:11">
      <c r="A995" t="str">
        <f t="shared" si="15"/>
        <v>00</v>
      </c>
      <c r="B995">
        <f>+'Paste Here'!N995</f>
        <v>0</v>
      </c>
      <c r="C995">
        <f>+'Paste Here'!O995</f>
        <v>0</v>
      </c>
      <c r="D995">
        <f>+'Paste Here'!P995</f>
        <v>0</v>
      </c>
      <c r="E995">
        <f>+'Paste Here'!Q995</f>
        <v>0</v>
      </c>
      <c r="F995">
        <f>+'Paste Here'!R995</f>
        <v>0</v>
      </c>
      <c r="G995">
        <f>+'Paste Here'!S995</f>
        <v>0</v>
      </c>
      <c r="H995">
        <f>+'Paste Here'!T995</f>
        <v>0</v>
      </c>
      <c r="I995">
        <f>+'Paste Here'!U995</f>
        <v>0</v>
      </c>
      <c r="J995">
        <f>+'Paste Here'!V995</f>
        <v>0</v>
      </c>
      <c r="K995">
        <f>+'Paste Here'!W995</f>
        <v>0</v>
      </c>
    </row>
    <row r="996" spans="1:11">
      <c r="A996" t="str">
        <f t="shared" si="15"/>
        <v>00</v>
      </c>
      <c r="B996">
        <f>+'Paste Here'!N996</f>
        <v>0</v>
      </c>
      <c r="C996">
        <f>+'Paste Here'!O996</f>
        <v>0</v>
      </c>
      <c r="D996">
        <f>+'Paste Here'!P996</f>
        <v>0</v>
      </c>
      <c r="E996">
        <f>+'Paste Here'!Q996</f>
        <v>0</v>
      </c>
      <c r="F996">
        <f>+'Paste Here'!R996</f>
        <v>0</v>
      </c>
      <c r="G996">
        <f>+'Paste Here'!S996</f>
        <v>0</v>
      </c>
      <c r="H996">
        <f>+'Paste Here'!T996</f>
        <v>0</v>
      </c>
      <c r="I996">
        <f>+'Paste Here'!U996</f>
        <v>0</v>
      </c>
      <c r="J996">
        <f>+'Paste Here'!V996</f>
        <v>0</v>
      </c>
      <c r="K996">
        <f>+'Paste Here'!W996</f>
        <v>0</v>
      </c>
    </row>
    <row r="997" spans="1:11">
      <c r="A997" t="str">
        <f t="shared" si="15"/>
        <v>00</v>
      </c>
      <c r="B997">
        <f>+'Paste Here'!N997</f>
        <v>0</v>
      </c>
      <c r="C997">
        <f>+'Paste Here'!O997</f>
        <v>0</v>
      </c>
      <c r="D997">
        <f>+'Paste Here'!P997</f>
        <v>0</v>
      </c>
      <c r="E997">
        <f>+'Paste Here'!Q997</f>
        <v>0</v>
      </c>
      <c r="F997">
        <f>+'Paste Here'!R997</f>
        <v>0</v>
      </c>
      <c r="G997">
        <f>+'Paste Here'!S997</f>
        <v>0</v>
      </c>
      <c r="H997">
        <f>+'Paste Here'!T997</f>
        <v>0</v>
      </c>
      <c r="I997">
        <f>+'Paste Here'!U997</f>
        <v>0</v>
      </c>
      <c r="J997">
        <f>+'Paste Here'!V997</f>
        <v>0</v>
      </c>
      <c r="K997">
        <f>+'Paste Here'!W997</f>
        <v>0</v>
      </c>
    </row>
    <row r="998" spans="1:11">
      <c r="A998" t="str">
        <f t="shared" si="15"/>
        <v>00</v>
      </c>
      <c r="B998">
        <f>+'Paste Here'!N998</f>
        <v>0</v>
      </c>
      <c r="C998">
        <f>+'Paste Here'!O998</f>
        <v>0</v>
      </c>
      <c r="D998">
        <f>+'Paste Here'!P998</f>
        <v>0</v>
      </c>
      <c r="E998">
        <f>+'Paste Here'!Q998</f>
        <v>0</v>
      </c>
      <c r="F998">
        <f>+'Paste Here'!R998</f>
        <v>0</v>
      </c>
      <c r="G998">
        <f>+'Paste Here'!S998</f>
        <v>0</v>
      </c>
      <c r="H998">
        <f>+'Paste Here'!T998</f>
        <v>0</v>
      </c>
      <c r="I998">
        <f>+'Paste Here'!U998</f>
        <v>0</v>
      </c>
      <c r="J998">
        <f>+'Paste Here'!V998</f>
        <v>0</v>
      </c>
      <c r="K998">
        <f>+'Paste Here'!W998</f>
        <v>0</v>
      </c>
    </row>
    <row r="999" spans="1:11">
      <c r="A999" t="str">
        <f t="shared" si="15"/>
        <v>00</v>
      </c>
      <c r="B999">
        <f>+'Paste Here'!N999</f>
        <v>0</v>
      </c>
      <c r="C999">
        <f>+'Paste Here'!O999</f>
        <v>0</v>
      </c>
      <c r="D999">
        <f>+'Paste Here'!P999</f>
        <v>0</v>
      </c>
      <c r="E999">
        <f>+'Paste Here'!Q999</f>
        <v>0</v>
      </c>
      <c r="F999">
        <f>+'Paste Here'!R999</f>
        <v>0</v>
      </c>
      <c r="G999">
        <f>+'Paste Here'!S999</f>
        <v>0</v>
      </c>
      <c r="H999">
        <f>+'Paste Here'!T999</f>
        <v>0</v>
      </c>
      <c r="I999">
        <f>+'Paste Here'!U999</f>
        <v>0</v>
      </c>
      <c r="J999">
        <f>+'Paste Here'!V999</f>
        <v>0</v>
      </c>
      <c r="K999">
        <f>+'Paste Here'!W999</f>
        <v>0</v>
      </c>
    </row>
    <row r="1000" spans="1:11">
      <c r="A1000" t="str">
        <f t="shared" si="15"/>
        <v>00</v>
      </c>
      <c r="B1000">
        <f>+'Paste Here'!N1000</f>
        <v>0</v>
      </c>
      <c r="C1000">
        <f>+'Paste Here'!O1000</f>
        <v>0</v>
      </c>
      <c r="D1000">
        <f>+'Paste Here'!P1000</f>
        <v>0</v>
      </c>
      <c r="E1000">
        <f>+'Paste Here'!Q1000</f>
        <v>0</v>
      </c>
      <c r="F1000">
        <f>+'Paste Here'!R1000</f>
        <v>0</v>
      </c>
      <c r="G1000">
        <f>+'Paste Here'!S1000</f>
        <v>0</v>
      </c>
      <c r="H1000">
        <f>+'Paste Here'!T1000</f>
        <v>0</v>
      </c>
      <c r="I1000">
        <f>+'Paste Here'!U1000</f>
        <v>0</v>
      </c>
      <c r="J1000">
        <f>+'Paste Here'!V1000</f>
        <v>0</v>
      </c>
      <c r="K1000">
        <f>+'Paste Here'!W1000</f>
        <v>0</v>
      </c>
    </row>
    <row r="1001" spans="1:11">
      <c r="A1001" t="str">
        <f t="shared" si="15"/>
        <v>00</v>
      </c>
      <c r="B1001">
        <f>+'Paste Here'!N1001</f>
        <v>0</v>
      </c>
      <c r="C1001">
        <f>+'Paste Here'!O1001</f>
        <v>0</v>
      </c>
      <c r="D1001">
        <f>+'Paste Here'!P1001</f>
        <v>0</v>
      </c>
      <c r="E1001">
        <f>+'Paste Here'!Q1001</f>
        <v>0</v>
      </c>
      <c r="F1001">
        <f>+'Paste Here'!R1001</f>
        <v>0</v>
      </c>
      <c r="G1001">
        <f>+'Paste Here'!S1001</f>
        <v>0</v>
      </c>
      <c r="H1001">
        <f>+'Paste Here'!T1001</f>
        <v>0</v>
      </c>
      <c r="I1001">
        <f>+'Paste Here'!U1001</f>
        <v>0</v>
      </c>
      <c r="J1001">
        <f>+'Paste Here'!V1001</f>
        <v>0</v>
      </c>
      <c r="K1001">
        <f>+'Paste Here'!W1001</f>
        <v>0</v>
      </c>
    </row>
    <row r="1002" spans="1:11">
      <c r="A1002" t="str">
        <f t="shared" si="15"/>
        <v>00</v>
      </c>
      <c r="B1002">
        <f>+'Paste Here'!N1002</f>
        <v>0</v>
      </c>
      <c r="C1002">
        <f>+'Paste Here'!O1002</f>
        <v>0</v>
      </c>
      <c r="D1002">
        <f>+'Paste Here'!P1002</f>
        <v>0</v>
      </c>
      <c r="E1002">
        <f>+'Paste Here'!Q1002</f>
        <v>0</v>
      </c>
      <c r="F1002">
        <f>+'Paste Here'!R1002</f>
        <v>0</v>
      </c>
      <c r="G1002">
        <f>+'Paste Here'!S1002</f>
        <v>0</v>
      </c>
      <c r="H1002">
        <f>+'Paste Here'!T1002</f>
        <v>0</v>
      </c>
      <c r="I1002">
        <f>+'Paste Here'!U1002</f>
        <v>0</v>
      </c>
      <c r="J1002">
        <f>+'Paste Here'!V1002</f>
        <v>0</v>
      </c>
      <c r="K1002">
        <f>+'Paste Here'!W1002</f>
        <v>0</v>
      </c>
    </row>
    <row r="1003" spans="1:11">
      <c r="A1003" t="str">
        <f t="shared" si="15"/>
        <v>00</v>
      </c>
      <c r="B1003">
        <f>+'Paste Here'!N1003</f>
        <v>0</v>
      </c>
      <c r="C1003">
        <f>+'Paste Here'!O1003</f>
        <v>0</v>
      </c>
      <c r="D1003">
        <f>+'Paste Here'!P1003</f>
        <v>0</v>
      </c>
      <c r="E1003">
        <f>+'Paste Here'!Q1003</f>
        <v>0</v>
      </c>
      <c r="F1003">
        <f>+'Paste Here'!R1003</f>
        <v>0</v>
      </c>
      <c r="G1003">
        <f>+'Paste Here'!S1003</f>
        <v>0</v>
      </c>
      <c r="H1003">
        <f>+'Paste Here'!T1003</f>
        <v>0</v>
      </c>
      <c r="I1003">
        <f>+'Paste Here'!U1003</f>
        <v>0</v>
      </c>
      <c r="J1003">
        <f>+'Paste Here'!V1003</f>
        <v>0</v>
      </c>
      <c r="K1003">
        <f>+'Paste Here'!W1003</f>
        <v>0</v>
      </c>
    </row>
    <row r="1004" spans="1:11">
      <c r="A1004" t="str">
        <f t="shared" si="15"/>
        <v>00</v>
      </c>
      <c r="B1004">
        <f>+'Paste Here'!N1004</f>
        <v>0</v>
      </c>
      <c r="C1004">
        <f>+'Paste Here'!O1004</f>
        <v>0</v>
      </c>
      <c r="D1004">
        <f>+'Paste Here'!P1004</f>
        <v>0</v>
      </c>
      <c r="E1004">
        <f>+'Paste Here'!Q1004</f>
        <v>0</v>
      </c>
      <c r="F1004">
        <f>+'Paste Here'!R1004</f>
        <v>0</v>
      </c>
      <c r="G1004">
        <f>+'Paste Here'!S1004</f>
        <v>0</v>
      </c>
      <c r="H1004">
        <f>+'Paste Here'!T1004</f>
        <v>0</v>
      </c>
      <c r="I1004">
        <f>+'Paste Here'!U1004</f>
        <v>0</v>
      </c>
      <c r="J1004">
        <f>+'Paste Here'!V1004</f>
        <v>0</v>
      </c>
      <c r="K1004">
        <f>+'Paste Here'!W1004</f>
        <v>0</v>
      </c>
    </row>
    <row r="1005" spans="1:11">
      <c r="A1005" t="str">
        <f t="shared" si="15"/>
        <v>00</v>
      </c>
      <c r="B1005">
        <f>+'Paste Here'!N1005</f>
        <v>0</v>
      </c>
      <c r="C1005">
        <f>+'Paste Here'!O1005</f>
        <v>0</v>
      </c>
      <c r="D1005">
        <f>+'Paste Here'!P1005</f>
        <v>0</v>
      </c>
      <c r="E1005">
        <f>+'Paste Here'!Q1005</f>
        <v>0</v>
      </c>
      <c r="F1005">
        <f>+'Paste Here'!R1005</f>
        <v>0</v>
      </c>
      <c r="G1005">
        <f>+'Paste Here'!S1005</f>
        <v>0</v>
      </c>
      <c r="H1005">
        <f>+'Paste Here'!T1005</f>
        <v>0</v>
      </c>
      <c r="I1005">
        <f>+'Paste Here'!U1005</f>
        <v>0</v>
      </c>
      <c r="J1005">
        <f>+'Paste Here'!V1005</f>
        <v>0</v>
      </c>
      <c r="K1005">
        <f>+'Paste Here'!W1005</f>
        <v>0</v>
      </c>
    </row>
    <row r="1006" spans="1:11">
      <c r="A1006" t="str">
        <f t="shared" si="15"/>
        <v>00</v>
      </c>
      <c r="B1006">
        <f>+'Paste Here'!N1006</f>
        <v>0</v>
      </c>
      <c r="C1006">
        <f>+'Paste Here'!O1006</f>
        <v>0</v>
      </c>
      <c r="D1006">
        <f>+'Paste Here'!P1006</f>
        <v>0</v>
      </c>
      <c r="E1006">
        <f>+'Paste Here'!Q1006</f>
        <v>0</v>
      </c>
      <c r="F1006">
        <f>+'Paste Here'!R1006</f>
        <v>0</v>
      </c>
      <c r="G1006">
        <f>+'Paste Here'!S1006</f>
        <v>0</v>
      </c>
      <c r="H1006">
        <f>+'Paste Here'!T1006</f>
        <v>0</v>
      </c>
      <c r="I1006">
        <f>+'Paste Here'!U1006</f>
        <v>0</v>
      </c>
      <c r="J1006">
        <f>+'Paste Here'!V1006</f>
        <v>0</v>
      </c>
      <c r="K1006">
        <f>+'Paste Here'!W1006</f>
        <v>0</v>
      </c>
    </row>
    <row r="1007" spans="1:11">
      <c r="A1007" t="str">
        <f t="shared" si="15"/>
        <v>00</v>
      </c>
      <c r="B1007">
        <f>+'Paste Here'!N1007</f>
        <v>0</v>
      </c>
      <c r="C1007">
        <f>+'Paste Here'!O1007</f>
        <v>0</v>
      </c>
      <c r="D1007">
        <f>+'Paste Here'!P1007</f>
        <v>0</v>
      </c>
      <c r="E1007">
        <f>+'Paste Here'!Q1007</f>
        <v>0</v>
      </c>
      <c r="F1007">
        <f>+'Paste Here'!R1007</f>
        <v>0</v>
      </c>
      <c r="G1007">
        <f>+'Paste Here'!S1007</f>
        <v>0</v>
      </c>
      <c r="H1007">
        <f>+'Paste Here'!T1007</f>
        <v>0</v>
      </c>
      <c r="I1007">
        <f>+'Paste Here'!U1007</f>
        <v>0</v>
      </c>
      <c r="J1007">
        <f>+'Paste Here'!V1007</f>
        <v>0</v>
      </c>
      <c r="K1007">
        <f>+'Paste Here'!W1007</f>
        <v>0</v>
      </c>
    </row>
    <row r="1008" spans="1:11">
      <c r="A1008" t="str">
        <f t="shared" si="15"/>
        <v>00</v>
      </c>
      <c r="B1008">
        <f>+'Paste Here'!N1008</f>
        <v>0</v>
      </c>
      <c r="C1008">
        <f>+'Paste Here'!O1008</f>
        <v>0</v>
      </c>
      <c r="D1008">
        <f>+'Paste Here'!P1008</f>
        <v>0</v>
      </c>
      <c r="E1008">
        <f>+'Paste Here'!Q1008</f>
        <v>0</v>
      </c>
      <c r="F1008">
        <f>+'Paste Here'!R1008</f>
        <v>0</v>
      </c>
      <c r="G1008">
        <f>+'Paste Here'!S1008</f>
        <v>0</v>
      </c>
      <c r="H1008">
        <f>+'Paste Here'!T1008</f>
        <v>0</v>
      </c>
      <c r="I1008">
        <f>+'Paste Here'!U1008</f>
        <v>0</v>
      </c>
      <c r="J1008">
        <f>+'Paste Here'!V1008</f>
        <v>0</v>
      </c>
      <c r="K1008">
        <f>+'Paste Here'!W1008</f>
        <v>0</v>
      </c>
    </row>
    <row r="1009" spans="1:11">
      <c r="A1009" t="str">
        <f t="shared" si="15"/>
        <v>00</v>
      </c>
      <c r="B1009">
        <f>+'Paste Here'!N1009</f>
        <v>0</v>
      </c>
      <c r="C1009">
        <f>+'Paste Here'!O1009</f>
        <v>0</v>
      </c>
      <c r="D1009">
        <f>+'Paste Here'!P1009</f>
        <v>0</v>
      </c>
      <c r="E1009">
        <f>+'Paste Here'!Q1009</f>
        <v>0</v>
      </c>
      <c r="F1009">
        <f>+'Paste Here'!R1009</f>
        <v>0</v>
      </c>
      <c r="G1009">
        <f>+'Paste Here'!S1009</f>
        <v>0</v>
      </c>
      <c r="H1009">
        <f>+'Paste Here'!T1009</f>
        <v>0</v>
      </c>
      <c r="I1009">
        <f>+'Paste Here'!U1009</f>
        <v>0</v>
      </c>
      <c r="J1009">
        <f>+'Paste Here'!V1009</f>
        <v>0</v>
      </c>
      <c r="K1009">
        <f>+'Paste Here'!W1009</f>
        <v>0</v>
      </c>
    </row>
    <row r="1010" spans="1:11">
      <c r="A1010" t="str">
        <f t="shared" si="15"/>
        <v>00</v>
      </c>
      <c r="B1010">
        <f>+'Paste Here'!N1010</f>
        <v>0</v>
      </c>
      <c r="C1010">
        <f>+'Paste Here'!O1010</f>
        <v>0</v>
      </c>
      <c r="D1010">
        <f>+'Paste Here'!P1010</f>
        <v>0</v>
      </c>
      <c r="E1010">
        <f>+'Paste Here'!Q1010</f>
        <v>0</v>
      </c>
      <c r="F1010">
        <f>+'Paste Here'!R1010</f>
        <v>0</v>
      </c>
      <c r="G1010">
        <f>+'Paste Here'!S1010</f>
        <v>0</v>
      </c>
      <c r="H1010">
        <f>+'Paste Here'!T1010</f>
        <v>0</v>
      </c>
      <c r="I1010">
        <f>+'Paste Here'!U1010</f>
        <v>0</v>
      </c>
      <c r="J1010">
        <f>+'Paste Here'!V1010</f>
        <v>0</v>
      </c>
      <c r="K1010">
        <f>+'Paste Here'!W1010</f>
        <v>0</v>
      </c>
    </row>
    <row r="1011" spans="1:11">
      <c r="A1011" t="str">
        <f t="shared" si="15"/>
        <v>00</v>
      </c>
      <c r="B1011">
        <f>+'Paste Here'!N1011</f>
        <v>0</v>
      </c>
      <c r="C1011">
        <f>+'Paste Here'!O1011</f>
        <v>0</v>
      </c>
      <c r="D1011">
        <f>+'Paste Here'!P1011</f>
        <v>0</v>
      </c>
      <c r="E1011">
        <f>+'Paste Here'!Q1011</f>
        <v>0</v>
      </c>
      <c r="F1011">
        <f>+'Paste Here'!R1011</f>
        <v>0</v>
      </c>
      <c r="G1011">
        <f>+'Paste Here'!S1011</f>
        <v>0</v>
      </c>
      <c r="H1011">
        <f>+'Paste Here'!T1011</f>
        <v>0</v>
      </c>
      <c r="I1011">
        <f>+'Paste Here'!U1011</f>
        <v>0</v>
      </c>
      <c r="J1011">
        <f>+'Paste Here'!V1011</f>
        <v>0</v>
      </c>
      <c r="K1011">
        <f>+'Paste Here'!W1011</f>
        <v>0</v>
      </c>
    </row>
    <row r="1012" spans="1:11">
      <c r="A1012" t="str">
        <f t="shared" si="15"/>
        <v>00</v>
      </c>
      <c r="B1012">
        <f>+'Paste Here'!N1012</f>
        <v>0</v>
      </c>
      <c r="C1012">
        <f>+'Paste Here'!O1012</f>
        <v>0</v>
      </c>
      <c r="D1012">
        <f>+'Paste Here'!P1012</f>
        <v>0</v>
      </c>
      <c r="E1012">
        <f>+'Paste Here'!Q1012</f>
        <v>0</v>
      </c>
      <c r="F1012">
        <f>+'Paste Here'!R1012</f>
        <v>0</v>
      </c>
      <c r="G1012">
        <f>+'Paste Here'!S1012</f>
        <v>0</v>
      </c>
      <c r="H1012">
        <f>+'Paste Here'!T1012</f>
        <v>0</v>
      </c>
      <c r="I1012">
        <f>+'Paste Here'!U1012</f>
        <v>0</v>
      </c>
      <c r="J1012">
        <f>+'Paste Here'!V1012</f>
        <v>0</v>
      </c>
      <c r="K1012">
        <f>+'Paste Here'!W1012</f>
        <v>0</v>
      </c>
    </row>
    <row r="1013" spans="1:11">
      <c r="A1013" t="str">
        <f t="shared" si="15"/>
        <v>00</v>
      </c>
      <c r="B1013">
        <f>+'Paste Here'!N1013</f>
        <v>0</v>
      </c>
      <c r="C1013">
        <f>+'Paste Here'!O1013</f>
        <v>0</v>
      </c>
      <c r="D1013">
        <f>+'Paste Here'!P1013</f>
        <v>0</v>
      </c>
      <c r="E1013">
        <f>+'Paste Here'!Q1013</f>
        <v>0</v>
      </c>
      <c r="F1013">
        <f>+'Paste Here'!R1013</f>
        <v>0</v>
      </c>
      <c r="G1013">
        <f>+'Paste Here'!S1013</f>
        <v>0</v>
      </c>
      <c r="H1013">
        <f>+'Paste Here'!T1013</f>
        <v>0</v>
      </c>
      <c r="I1013">
        <f>+'Paste Here'!U1013</f>
        <v>0</v>
      </c>
      <c r="J1013">
        <f>+'Paste Here'!V1013</f>
        <v>0</v>
      </c>
      <c r="K1013">
        <f>+'Paste Here'!W1013</f>
        <v>0</v>
      </c>
    </row>
    <row r="1014" spans="1:11">
      <c r="A1014" t="str">
        <f t="shared" si="15"/>
        <v>00</v>
      </c>
      <c r="B1014">
        <f>+'Paste Here'!N1014</f>
        <v>0</v>
      </c>
      <c r="C1014">
        <f>+'Paste Here'!O1014</f>
        <v>0</v>
      </c>
      <c r="D1014">
        <f>+'Paste Here'!P1014</f>
        <v>0</v>
      </c>
      <c r="E1014">
        <f>+'Paste Here'!Q1014</f>
        <v>0</v>
      </c>
      <c r="F1014">
        <f>+'Paste Here'!R1014</f>
        <v>0</v>
      </c>
      <c r="G1014">
        <f>+'Paste Here'!S1014</f>
        <v>0</v>
      </c>
      <c r="H1014">
        <f>+'Paste Here'!T1014</f>
        <v>0</v>
      </c>
      <c r="I1014">
        <f>+'Paste Here'!U1014</f>
        <v>0</v>
      </c>
      <c r="J1014">
        <f>+'Paste Here'!V1014</f>
        <v>0</v>
      </c>
      <c r="K1014">
        <f>+'Paste Here'!W1014</f>
        <v>0</v>
      </c>
    </row>
    <row r="1015" spans="1:11">
      <c r="A1015" t="str">
        <f t="shared" si="15"/>
        <v>00</v>
      </c>
      <c r="B1015">
        <f>+'Paste Here'!N1015</f>
        <v>0</v>
      </c>
      <c r="C1015">
        <f>+'Paste Here'!O1015</f>
        <v>0</v>
      </c>
      <c r="D1015">
        <f>+'Paste Here'!P1015</f>
        <v>0</v>
      </c>
      <c r="E1015">
        <f>+'Paste Here'!Q1015</f>
        <v>0</v>
      </c>
      <c r="F1015">
        <f>+'Paste Here'!R1015</f>
        <v>0</v>
      </c>
      <c r="G1015">
        <f>+'Paste Here'!S1015</f>
        <v>0</v>
      </c>
      <c r="H1015">
        <f>+'Paste Here'!T1015</f>
        <v>0</v>
      </c>
      <c r="I1015">
        <f>+'Paste Here'!U1015</f>
        <v>0</v>
      </c>
      <c r="J1015">
        <f>+'Paste Here'!V1015</f>
        <v>0</v>
      </c>
      <c r="K1015">
        <f>+'Paste Here'!W1015</f>
        <v>0</v>
      </c>
    </row>
    <row r="1016" spans="1:11">
      <c r="A1016" t="str">
        <f t="shared" si="15"/>
        <v>00</v>
      </c>
      <c r="B1016">
        <f>+'Paste Here'!N1016</f>
        <v>0</v>
      </c>
      <c r="C1016">
        <f>+'Paste Here'!O1016</f>
        <v>0</v>
      </c>
      <c r="D1016">
        <f>+'Paste Here'!P1016</f>
        <v>0</v>
      </c>
      <c r="E1016">
        <f>+'Paste Here'!Q1016</f>
        <v>0</v>
      </c>
      <c r="F1016">
        <f>+'Paste Here'!R1016</f>
        <v>0</v>
      </c>
      <c r="G1016">
        <f>+'Paste Here'!S1016</f>
        <v>0</v>
      </c>
      <c r="H1016">
        <f>+'Paste Here'!T1016</f>
        <v>0</v>
      </c>
      <c r="I1016">
        <f>+'Paste Here'!U1016</f>
        <v>0</v>
      </c>
      <c r="J1016">
        <f>+'Paste Here'!V1016</f>
        <v>0</v>
      </c>
      <c r="K1016">
        <f>+'Paste Here'!W1016</f>
        <v>0</v>
      </c>
    </row>
    <row r="1017" spans="1:11">
      <c r="A1017" t="str">
        <f t="shared" si="15"/>
        <v>00</v>
      </c>
      <c r="B1017">
        <f>+'Paste Here'!N1017</f>
        <v>0</v>
      </c>
      <c r="C1017">
        <f>+'Paste Here'!O1017</f>
        <v>0</v>
      </c>
      <c r="D1017">
        <f>+'Paste Here'!P1017</f>
        <v>0</v>
      </c>
      <c r="E1017">
        <f>+'Paste Here'!Q1017</f>
        <v>0</v>
      </c>
      <c r="F1017">
        <f>+'Paste Here'!R1017</f>
        <v>0</v>
      </c>
      <c r="G1017">
        <f>+'Paste Here'!S1017</f>
        <v>0</v>
      </c>
      <c r="H1017">
        <f>+'Paste Here'!T1017</f>
        <v>0</v>
      </c>
      <c r="I1017">
        <f>+'Paste Here'!U1017</f>
        <v>0</v>
      </c>
      <c r="J1017">
        <f>+'Paste Here'!V1017</f>
        <v>0</v>
      </c>
      <c r="K1017">
        <f>+'Paste Here'!W1017</f>
        <v>0</v>
      </c>
    </row>
    <row r="1018" spans="1:11">
      <c r="A1018" t="str">
        <f t="shared" si="15"/>
        <v>00</v>
      </c>
      <c r="B1018">
        <f>+'Paste Here'!N1018</f>
        <v>0</v>
      </c>
      <c r="C1018">
        <f>+'Paste Here'!O1018</f>
        <v>0</v>
      </c>
      <c r="D1018">
        <f>+'Paste Here'!P1018</f>
        <v>0</v>
      </c>
      <c r="E1018">
        <f>+'Paste Here'!Q1018</f>
        <v>0</v>
      </c>
      <c r="F1018">
        <f>+'Paste Here'!R1018</f>
        <v>0</v>
      </c>
      <c r="G1018">
        <f>+'Paste Here'!S1018</f>
        <v>0</v>
      </c>
      <c r="H1018">
        <f>+'Paste Here'!T1018</f>
        <v>0</v>
      </c>
      <c r="I1018">
        <f>+'Paste Here'!U1018</f>
        <v>0</v>
      </c>
      <c r="J1018">
        <f>+'Paste Here'!V1018</f>
        <v>0</v>
      </c>
      <c r="K1018">
        <f>+'Paste Here'!W1018</f>
        <v>0</v>
      </c>
    </row>
    <row r="1019" spans="1:11">
      <c r="A1019" t="str">
        <f t="shared" si="15"/>
        <v>00</v>
      </c>
      <c r="B1019">
        <f>+'Paste Here'!N1019</f>
        <v>0</v>
      </c>
      <c r="C1019">
        <f>+'Paste Here'!O1019</f>
        <v>0</v>
      </c>
      <c r="D1019">
        <f>+'Paste Here'!P1019</f>
        <v>0</v>
      </c>
      <c r="E1019">
        <f>+'Paste Here'!Q1019</f>
        <v>0</v>
      </c>
      <c r="F1019">
        <f>+'Paste Here'!R1019</f>
        <v>0</v>
      </c>
      <c r="G1019">
        <f>+'Paste Here'!S1019</f>
        <v>0</v>
      </c>
      <c r="H1019">
        <f>+'Paste Here'!T1019</f>
        <v>0</v>
      </c>
      <c r="I1019">
        <f>+'Paste Here'!U1019</f>
        <v>0</v>
      </c>
      <c r="J1019">
        <f>+'Paste Here'!V1019</f>
        <v>0</v>
      </c>
      <c r="K1019">
        <f>+'Paste Here'!W1019</f>
        <v>0</v>
      </c>
    </row>
    <row r="1020" spans="1:11">
      <c r="A1020" t="str">
        <f t="shared" si="15"/>
        <v>00</v>
      </c>
      <c r="B1020">
        <f>+'Paste Here'!N1020</f>
        <v>0</v>
      </c>
      <c r="C1020">
        <f>+'Paste Here'!O1020</f>
        <v>0</v>
      </c>
      <c r="D1020">
        <f>+'Paste Here'!P1020</f>
        <v>0</v>
      </c>
      <c r="E1020">
        <f>+'Paste Here'!Q1020</f>
        <v>0</v>
      </c>
      <c r="F1020">
        <f>+'Paste Here'!R1020</f>
        <v>0</v>
      </c>
      <c r="G1020">
        <f>+'Paste Here'!S1020</f>
        <v>0</v>
      </c>
      <c r="H1020">
        <f>+'Paste Here'!T1020</f>
        <v>0</v>
      </c>
      <c r="I1020">
        <f>+'Paste Here'!U1020</f>
        <v>0</v>
      </c>
      <c r="J1020">
        <f>+'Paste Here'!V1020</f>
        <v>0</v>
      </c>
      <c r="K1020">
        <f>+'Paste Here'!W1020</f>
        <v>0</v>
      </c>
    </row>
    <row r="1021" spans="1:11">
      <c r="A1021" t="str">
        <f t="shared" si="15"/>
        <v>00</v>
      </c>
      <c r="B1021">
        <f>+'Paste Here'!N1021</f>
        <v>0</v>
      </c>
      <c r="C1021">
        <f>+'Paste Here'!O1021</f>
        <v>0</v>
      </c>
      <c r="D1021">
        <f>+'Paste Here'!P1021</f>
        <v>0</v>
      </c>
      <c r="E1021">
        <f>+'Paste Here'!Q1021</f>
        <v>0</v>
      </c>
      <c r="F1021">
        <f>+'Paste Here'!R1021</f>
        <v>0</v>
      </c>
      <c r="G1021">
        <f>+'Paste Here'!S1021</f>
        <v>0</v>
      </c>
      <c r="H1021">
        <f>+'Paste Here'!T1021</f>
        <v>0</v>
      </c>
      <c r="I1021">
        <f>+'Paste Here'!U1021</f>
        <v>0</v>
      </c>
      <c r="J1021">
        <f>+'Paste Here'!V1021</f>
        <v>0</v>
      </c>
      <c r="K1021">
        <f>+'Paste Here'!W1021</f>
        <v>0</v>
      </c>
    </row>
    <row r="1022" spans="1:11">
      <c r="A1022" t="str">
        <f t="shared" si="15"/>
        <v>00</v>
      </c>
      <c r="B1022">
        <f>+'Paste Here'!N1022</f>
        <v>0</v>
      </c>
      <c r="C1022">
        <f>+'Paste Here'!O1022</f>
        <v>0</v>
      </c>
      <c r="D1022">
        <f>+'Paste Here'!P1022</f>
        <v>0</v>
      </c>
      <c r="E1022">
        <f>+'Paste Here'!Q1022</f>
        <v>0</v>
      </c>
      <c r="F1022">
        <f>+'Paste Here'!R1022</f>
        <v>0</v>
      </c>
      <c r="G1022">
        <f>+'Paste Here'!S1022</f>
        <v>0</v>
      </c>
      <c r="H1022">
        <f>+'Paste Here'!T1022</f>
        <v>0</v>
      </c>
      <c r="I1022">
        <f>+'Paste Here'!U1022</f>
        <v>0</v>
      </c>
      <c r="J1022">
        <f>+'Paste Here'!V1022</f>
        <v>0</v>
      </c>
      <c r="K1022">
        <f>+'Paste Here'!W1022</f>
        <v>0</v>
      </c>
    </row>
    <row r="1023" spans="1:11">
      <c r="A1023" t="str">
        <f t="shared" si="15"/>
        <v>00</v>
      </c>
      <c r="B1023">
        <f>+'Paste Here'!N1023</f>
        <v>0</v>
      </c>
      <c r="C1023">
        <f>+'Paste Here'!O1023</f>
        <v>0</v>
      </c>
      <c r="D1023">
        <f>+'Paste Here'!P1023</f>
        <v>0</v>
      </c>
      <c r="E1023">
        <f>+'Paste Here'!Q1023</f>
        <v>0</v>
      </c>
      <c r="F1023">
        <f>+'Paste Here'!R1023</f>
        <v>0</v>
      </c>
      <c r="G1023">
        <f>+'Paste Here'!S1023</f>
        <v>0</v>
      </c>
      <c r="H1023">
        <f>+'Paste Here'!T1023</f>
        <v>0</v>
      </c>
      <c r="I1023">
        <f>+'Paste Here'!U1023</f>
        <v>0</v>
      </c>
      <c r="J1023">
        <f>+'Paste Here'!V1023</f>
        <v>0</v>
      </c>
      <c r="K1023">
        <f>+'Paste Here'!W1023</f>
        <v>0</v>
      </c>
    </row>
    <row r="1024" spans="1:11">
      <c r="A1024" t="str">
        <f t="shared" si="15"/>
        <v>00</v>
      </c>
      <c r="B1024">
        <f>+'Paste Here'!N1024</f>
        <v>0</v>
      </c>
      <c r="C1024">
        <f>+'Paste Here'!O1024</f>
        <v>0</v>
      </c>
      <c r="D1024">
        <f>+'Paste Here'!P1024</f>
        <v>0</v>
      </c>
      <c r="E1024">
        <f>+'Paste Here'!Q1024</f>
        <v>0</v>
      </c>
      <c r="F1024">
        <f>+'Paste Here'!R1024</f>
        <v>0</v>
      </c>
      <c r="G1024">
        <f>+'Paste Here'!S1024</f>
        <v>0</v>
      </c>
      <c r="H1024">
        <f>+'Paste Here'!T1024</f>
        <v>0</v>
      </c>
      <c r="I1024">
        <f>+'Paste Here'!U1024</f>
        <v>0</v>
      </c>
      <c r="J1024">
        <f>+'Paste Here'!V1024</f>
        <v>0</v>
      </c>
      <c r="K1024">
        <f>+'Paste Here'!W1024</f>
        <v>0</v>
      </c>
    </row>
    <row r="1025" spans="1:11">
      <c r="A1025" t="str">
        <f t="shared" si="15"/>
        <v>00</v>
      </c>
      <c r="B1025">
        <f>+'Paste Here'!N1025</f>
        <v>0</v>
      </c>
      <c r="C1025">
        <f>+'Paste Here'!O1025</f>
        <v>0</v>
      </c>
      <c r="D1025">
        <f>+'Paste Here'!P1025</f>
        <v>0</v>
      </c>
      <c r="E1025">
        <f>+'Paste Here'!Q1025</f>
        <v>0</v>
      </c>
      <c r="F1025">
        <f>+'Paste Here'!R1025</f>
        <v>0</v>
      </c>
      <c r="G1025">
        <f>+'Paste Here'!S1025</f>
        <v>0</v>
      </c>
      <c r="H1025">
        <f>+'Paste Here'!T1025</f>
        <v>0</v>
      </c>
      <c r="I1025">
        <f>+'Paste Here'!U1025</f>
        <v>0</v>
      </c>
      <c r="J1025">
        <f>+'Paste Here'!V1025</f>
        <v>0</v>
      </c>
      <c r="K1025">
        <f>+'Paste Here'!W1025</f>
        <v>0</v>
      </c>
    </row>
    <row r="1026" spans="1:11">
      <c r="A1026" t="str">
        <f t="shared" si="15"/>
        <v>00</v>
      </c>
      <c r="B1026">
        <f>+'Paste Here'!N1026</f>
        <v>0</v>
      </c>
      <c r="C1026">
        <f>+'Paste Here'!O1026</f>
        <v>0</v>
      </c>
      <c r="D1026">
        <f>+'Paste Here'!P1026</f>
        <v>0</v>
      </c>
      <c r="E1026">
        <f>+'Paste Here'!Q1026</f>
        <v>0</v>
      </c>
      <c r="F1026">
        <f>+'Paste Here'!R1026</f>
        <v>0</v>
      </c>
      <c r="G1026">
        <f>+'Paste Here'!S1026</f>
        <v>0</v>
      </c>
      <c r="H1026">
        <f>+'Paste Here'!T1026</f>
        <v>0</v>
      </c>
      <c r="I1026">
        <f>+'Paste Here'!U1026</f>
        <v>0</v>
      </c>
      <c r="J1026">
        <f>+'Paste Here'!V1026</f>
        <v>0</v>
      </c>
      <c r="K1026">
        <f>+'Paste Here'!W1026</f>
        <v>0</v>
      </c>
    </row>
    <row r="1027" spans="1:11">
      <c r="A1027" t="str">
        <f t="shared" ref="A1027:A1032" si="16">+CONCATENATE(C1027,D1027)</f>
        <v>00</v>
      </c>
      <c r="B1027">
        <f>+'Paste Here'!N1027</f>
        <v>0</v>
      </c>
      <c r="C1027">
        <f>+'Paste Here'!O1027</f>
        <v>0</v>
      </c>
      <c r="D1027">
        <f>+'Paste Here'!P1027</f>
        <v>0</v>
      </c>
      <c r="E1027">
        <f>+'Paste Here'!Q1027</f>
        <v>0</v>
      </c>
      <c r="F1027">
        <f>+'Paste Here'!R1027</f>
        <v>0</v>
      </c>
      <c r="G1027">
        <f>+'Paste Here'!S1027</f>
        <v>0</v>
      </c>
      <c r="H1027">
        <f>+'Paste Here'!T1027</f>
        <v>0</v>
      </c>
      <c r="I1027">
        <f>+'Paste Here'!U1027</f>
        <v>0</v>
      </c>
      <c r="J1027">
        <f>+'Paste Here'!V1027</f>
        <v>0</v>
      </c>
      <c r="K1027">
        <f>+'Paste Here'!W1027</f>
        <v>0</v>
      </c>
    </row>
    <row r="1028" spans="1:11">
      <c r="A1028" t="str">
        <f t="shared" si="16"/>
        <v>00</v>
      </c>
      <c r="B1028">
        <f>+'Paste Here'!N1028</f>
        <v>0</v>
      </c>
      <c r="C1028">
        <f>+'Paste Here'!O1028</f>
        <v>0</v>
      </c>
      <c r="D1028">
        <f>+'Paste Here'!P1028</f>
        <v>0</v>
      </c>
      <c r="E1028">
        <f>+'Paste Here'!Q1028</f>
        <v>0</v>
      </c>
      <c r="F1028">
        <f>+'Paste Here'!R1028</f>
        <v>0</v>
      </c>
      <c r="G1028">
        <f>+'Paste Here'!S1028</f>
        <v>0</v>
      </c>
      <c r="H1028">
        <f>+'Paste Here'!T1028</f>
        <v>0</v>
      </c>
      <c r="I1028">
        <f>+'Paste Here'!U1028</f>
        <v>0</v>
      </c>
      <c r="J1028">
        <f>+'Paste Here'!V1028</f>
        <v>0</v>
      </c>
      <c r="K1028">
        <f>+'Paste Here'!W1028</f>
        <v>0</v>
      </c>
    </row>
    <row r="1029" spans="1:11">
      <c r="A1029" t="str">
        <f t="shared" si="16"/>
        <v>00</v>
      </c>
      <c r="B1029">
        <f>+'Paste Here'!N1029</f>
        <v>0</v>
      </c>
      <c r="C1029">
        <f>+'Paste Here'!O1029</f>
        <v>0</v>
      </c>
      <c r="D1029">
        <f>+'Paste Here'!P1029</f>
        <v>0</v>
      </c>
      <c r="E1029">
        <f>+'Paste Here'!Q1029</f>
        <v>0</v>
      </c>
      <c r="F1029">
        <f>+'Paste Here'!R1029</f>
        <v>0</v>
      </c>
      <c r="G1029">
        <f>+'Paste Here'!S1029</f>
        <v>0</v>
      </c>
      <c r="H1029">
        <f>+'Paste Here'!T1029</f>
        <v>0</v>
      </c>
      <c r="I1029">
        <f>+'Paste Here'!U1029</f>
        <v>0</v>
      </c>
      <c r="J1029">
        <f>+'Paste Here'!V1029</f>
        <v>0</v>
      </c>
      <c r="K1029">
        <f>+'Paste Here'!W1029</f>
        <v>0</v>
      </c>
    </row>
    <row r="1030" spans="1:11">
      <c r="A1030" t="str">
        <f t="shared" si="16"/>
        <v>00</v>
      </c>
      <c r="B1030">
        <f>+'Paste Here'!N1030</f>
        <v>0</v>
      </c>
      <c r="C1030">
        <f>+'Paste Here'!O1030</f>
        <v>0</v>
      </c>
      <c r="D1030">
        <f>+'Paste Here'!P1030</f>
        <v>0</v>
      </c>
      <c r="E1030">
        <f>+'Paste Here'!Q1030</f>
        <v>0</v>
      </c>
      <c r="F1030">
        <f>+'Paste Here'!R1030</f>
        <v>0</v>
      </c>
      <c r="G1030">
        <f>+'Paste Here'!S1030</f>
        <v>0</v>
      </c>
      <c r="H1030">
        <f>+'Paste Here'!T1030</f>
        <v>0</v>
      </c>
      <c r="I1030">
        <f>+'Paste Here'!U1030</f>
        <v>0</v>
      </c>
      <c r="J1030">
        <f>+'Paste Here'!V1030</f>
        <v>0</v>
      </c>
      <c r="K1030">
        <f>+'Paste Here'!W1030</f>
        <v>0</v>
      </c>
    </row>
    <row r="1031" spans="1:11">
      <c r="A1031" t="str">
        <f t="shared" si="16"/>
        <v>00</v>
      </c>
      <c r="B1031">
        <f>+'Paste Here'!N1031</f>
        <v>0</v>
      </c>
      <c r="C1031">
        <f>+'Paste Here'!O1031</f>
        <v>0</v>
      </c>
      <c r="D1031">
        <f>+'Paste Here'!P1031</f>
        <v>0</v>
      </c>
      <c r="E1031">
        <f>+'Paste Here'!Q1031</f>
        <v>0</v>
      </c>
      <c r="F1031">
        <f>+'Paste Here'!R1031</f>
        <v>0</v>
      </c>
      <c r="G1031">
        <f>+'Paste Here'!S1031</f>
        <v>0</v>
      </c>
      <c r="H1031">
        <f>+'Paste Here'!T1031</f>
        <v>0</v>
      </c>
      <c r="I1031">
        <f>+'Paste Here'!U1031</f>
        <v>0</v>
      </c>
      <c r="J1031">
        <f>+'Paste Here'!V1031</f>
        <v>0</v>
      </c>
      <c r="K1031">
        <f>+'Paste Here'!W1031</f>
        <v>0</v>
      </c>
    </row>
    <row r="1032" spans="1:11">
      <c r="A1032" t="str">
        <f t="shared" si="16"/>
        <v>00</v>
      </c>
      <c r="B1032">
        <f>+'Paste Here'!N1032</f>
        <v>0</v>
      </c>
      <c r="C1032">
        <f>+'Paste Here'!O1032</f>
        <v>0</v>
      </c>
      <c r="D1032">
        <f>+'Paste Here'!P1032</f>
        <v>0</v>
      </c>
      <c r="E1032">
        <f>+'Paste Here'!Q1032</f>
        <v>0</v>
      </c>
      <c r="F1032">
        <f>+'Paste Here'!R1032</f>
        <v>0</v>
      </c>
      <c r="G1032">
        <f>+'Paste Here'!S1032</f>
        <v>0</v>
      </c>
      <c r="H1032">
        <f>+'Paste Here'!T1032</f>
        <v>0</v>
      </c>
      <c r="I1032">
        <f>+'Paste Here'!U1032</f>
        <v>0</v>
      </c>
      <c r="J1032">
        <f>+'Paste Here'!V1032</f>
        <v>0</v>
      </c>
      <c r="K1032">
        <f>+'Paste Here'!W1032</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E44C3-B706-4FD0-AB54-E800B633A95B}">
  <sheetPr codeName="Sheet2"/>
  <dimension ref="A1:G63"/>
  <sheetViews>
    <sheetView tabSelected="1" workbookViewId="0">
      <selection activeCell="B5" sqref="B5"/>
    </sheetView>
  </sheetViews>
  <sheetFormatPr defaultRowHeight="15"/>
  <cols>
    <col min="1" max="1" width="15.140625" customWidth="1"/>
    <col min="2" max="2" width="14.28515625" customWidth="1"/>
    <col min="3" max="3" width="68.85546875" bestFit="1" customWidth="1"/>
    <col min="4" max="4" width="16.5703125" bestFit="1" customWidth="1"/>
    <col min="5" max="5" width="16.85546875" customWidth="1"/>
    <col min="6" max="6" width="11.28515625" customWidth="1"/>
    <col min="7" max="7" width="51.42578125" bestFit="1" customWidth="1"/>
  </cols>
  <sheetData>
    <row r="1" spans="1:7">
      <c r="A1" s="4" t="s">
        <v>265</v>
      </c>
      <c r="B1" s="7">
        <v>48</v>
      </c>
      <c r="D1" s="4" t="s">
        <v>266</v>
      </c>
      <c r="E1" s="1">
        <f>+B1*B2</f>
        <v>2880</v>
      </c>
    </row>
    <row r="2" spans="1:7">
      <c r="A2" s="5" t="s">
        <v>267</v>
      </c>
      <c r="B2" s="8">
        <v>60</v>
      </c>
      <c r="D2" s="5" t="s">
        <v>268</v>
      </c>
      <c r="E2" s="2">
        <f>+(B1+B2)*2</f>
        <v>216</v>
      </c>
    </row>
    <row r="3" spans="1:7" ht="15.75" thickBot="1">
      <c r="A3" s="5" t="s">
        <v>269</v>
      </c>
      <c r="B3" s="8">
        <v>12</v>
      </c>
      <c r="D3" s="6" t="s">
        <v>270</v>
      </c>
      <c r="E3" s="3">
        <f>+E2*B3</f>
        <v>2592</v>
      </c>
    </row>
    <row r="4" spans="1:7">
      <c r="A4" s="5" t="s">
        <v>271</v>
      </c>
      <c r="B4" s="8">
        <v>4</v>
      </c>
    </row>
    <row r="5" spans="1:7" ht="15.75" thickBot="1">
      <c r="A5" s="6" t="s">
        <v>272</v>
      </c>
      <c r="B5" s="9">
        <v>262</v>
      </c>
    </row>
    <row r="7" spans="1:7">
      <c r="A7" t="s">
        <v>14</v>
      </c>
      <c r="B7" t="s">
        <v>15</v>
      </c>
      <c r="C7" t="s">
        <v>273</v>
      </c>
      <c r="D7" t="s">
        <v>274</v>
      </c>
      <c r="E7" t="s">
        <v>275</v>
      </c>
      <c r="F7" t="s">
        <v>276</v>
      </c>
      <c r="G7" t="s">
        <v>21</v>
      </c>
    </row>
    <row r="8" spans="1:7">
      <c r="A8" t="s">
        <v>25</v>
      </c>
      <c r="B8" t="s">
        <v>26</v>
      </c>
      <c r="C8" t="s">
        <v>277</v>
      </c>
      <c r="D8">
        <f>+SUMIF('Paste Here'!P:P,B8,'Paste Here'!R:R)</f>
        <v>4</v>
      </c>
      <c r="E8">
        <f>+$B$4</f>
        <v>4</v>
      </c>
      <c r="F8">
        <f t="shared" ref="F8:F13" si="0">+D8-E8</f>
        <v>0</v>
      </c>
    </row>
    <row r="9" spans="1:7">
      <c r="A9" t="s">
        <v>25</v>
      </c>
      <c r="B9" t="s">
        <v>31</v>
      </c>
      <c r="C9" t="str">
        <f>+VLOOKUP(B9,'Paste Here'!P:Q,2,FALSE)</f>
        <v>Five Axle (5 Brake Axles)</v>
      </c>
      <c r="D9">
        <f>+SUMIF('Paste Here'!P:P,B9,'Paste Here'!R:R)</f>
        <v>4</v>
      </c>
      <c r="E9">
        <f>+$B$4</f>
        <v>4</v>
      </c>
      <c r="F9">
        <f t="shared" si="0"/>
        <v>0</v>
      </c>
    </row>
    <row r="10" spans="1:7">
      <c r="A10" t="s">
        <v>37</v>
      </c>
      <c r="B10" t="s">
        <v>38</v>
      </c>
      <c r="C10" t="str">
        <f>+VLOOKUP(B10,'Paste Here'!P:Q,2,FALSE)</f>
        <v>2 X 8 @ 12" O/C</v>
      </c>
      <c r="D10">
        <f>+SUMIFS('Paste Here'!R:R,'Paste Here'!P:P,B10,'Paste Here'!O:O,A10)</f>
        <v>2880</v>
      </c>
      <c r="E10">
        <f>+$E$1</f>
        <v>2880</v>
      </c>
      <c r="F10">
        <f t="shared" si="0"/>
        <v>0</v>
      </c>
    </row>
    <row r="11" spans="1:7">
      <c r="A11" t="s">
        <v>37</v>
      </c>
      <c r="B11" t="s">
        <v>44</v>
      </c>
      <c r="C11" t="str">
        <f>+VLOOKUP(B11,'Paste Here'!P:Q,2,FALSE)</f>
        <v>1-1/8" T&amp;G OSB</v>
      </c>
      <c r="D11">
        <f>+SUMIFS('Paste Here'!R:R,'Paste Here'!P:P,B11,'Paste Here'!O:O,Check!A11)</f>
        <v>2880</v>
      </c>
      <c r="E11">
        <f t="shared" ref="E11:E13" si="1">+$E$1</f>
        <v>2880</v>
      </c>
      <c r="F11">
        <f t="shared" si="0"/>
        <v>0</v>
      </c>
    </row>
    <row r="12" spans="1:7">
      <c r="A12" t="s">
        <v>37</v>
      </c>
      <c r="B12" t="s">
        <v>46</v>
      </c>
      <c r="C12" t="str">
        <f>+VLOOKUP(B12,'Paste Here'!P:Q,2,FALSE)</f>
        <v>R-30 Unfaced (2 layers R-15)</v>
      </c>
      <c r="D12">
        <f>+SUMIFS('Paste Here'!R:R,'Paste Here'!P:P,B12,'Paste Here'!O:O,Check!A12)</f>
        <v>2880</v>
      </c>
      <c r="E12">
        <f t="shared" si="1"/>
        <v>2880</v>
      </c>
      <c r="F12">
        <f t="shared" si="0"/>
        <v>0</v>
      </c>
    </row>
    <row r="13" spans="1:7">
      <c r="A13" t="s">
        <v>37</v>
      </c>
      <c r="B13" t="s">
        <v>48</v>
      </c>
      <c r="C13" t="str">
        <f>IFERROR(+VLOOKUP(A13&amp;B13,Sheet1!A:F,5,FALSE),"-")</f>
        <v>Floor Tile VCT - 1/8" X 12" X 12"</v>
      </c>
      <c r="D13">
        <f>IF(SUMIFS('Paste Here'!R:R,'Paste Here'!P:P,B13,'Paste Here'!O:O,Check!A13)&gt;$E$1*1.2,SUMIFS('Paste Here'!R:R,'Paste Here'!P:P,B13,'Paste Here'!O:O,Check!A13),$E$1)</f>
        <v>2880</v>
      </c>
      <c r="E13">
        <f t="shared" si="1"/>
        <v>2880</v>
      </c>
      <c r="F13">
        <f t="shared" si="0"/>
        <v>0</v>
      </c>
      <c r="G13" t="s">
        <v>278</v>
      </c>
    </row>
    <row r="14" spans="1:7">
      <c r="A14" t="s">
        <v>56</v>
      </c>
      <c r="B14" t="s">
        <v>57</v>
      </c>
      <c r="C14" t="str">
        <f>IFERROR(+VLOOKUP(A14&amp;B14,Sheet1!A:F,5,FALSE),"-")</f>
        <v>2 X 6 Ext. Wall Framing</v>
      </c>
      <c r="D14">
        <f>IFERROR(VLOOKUP(A14&amp;B14,Sheet1!A:F,6,FALSE),0)</f>
        <v>2592</v>
      </c>
      <c r="E14">
        <f>($B$1+$B$2)*$B$3*2</f>
        <v>2592</v>
      </c>
      <c r="F14">
        <f t="shared" ref="F14:F48" si="2">+D14-E14</f>
        <v>0</v>
      </c>
    </row>
    <row r="15" spans="1:7">
      <c r="A15" t="s">
        <v>56</v>
      </c>
      <c r="B15" t="s">
        <v>60</v>
      </c>
      <c r="C15" t="str">
        <f>IFERROR(+VLOOKUP(A15&amp;B15,Sheet1!A:F,5,FALSE),"-")</f>
        <v>Visqueen Vapor Barrier 6 Mil</v>
      </c>
      <c r="D15">
        <f>IFERROR(VLOOKUP(A15&amp;B15,Sheet1!A:F,6,FALSE),0)</f>
        <v>640</v>
      </c>
      <c r="E15">
        <f>IF(IFERROR(MATCH("Smart Panel",C16,-1),0)=0,perimsqft,IF($B$2/($B$1)&gt;4,$B$1*$B$3*2,0))</f>
        <v>0</v>
      </c>
      <c r="F15">
        <f t="shared" si="2"/>
        <v>640</v>
      </c>
      <c r="G15" t="s">
        <v>279</v>
      </c>
    </row>
    <row r="16" spans="1:7">
      <c r="A16" t="s">
        <v>56</v>
      </c>
      <c r="B16" t="s">
        <v>63</v>
      </c>
      <c r="C16" t="str">
        <f>IFERROR(+VLOOKUP(A16&amp;B16,Sheet1!A:F,5,FALSE),"-")</f>
        <v>Smart Panel - 3/8" - 8" O/C Grooves - W/House Wrap</v>
      </c>
      <c r="D16">
        <f>+SUMIFS('Paste Here'!R:R,'Paste Here'!P:P,B16,'Paste Here'!O:O,Check!A16)</f>
        <v>2592</v>
      </c>
      <c r="E16">
        <f>($B$1+$B$2)*$B$3*2</f>
        <v>2592</v>
      </c>
      <c r="F16">
        <f t="shared" si="2"/>
        <v>0</v>
      </c>
      <c r="G16">
        <f>MATCH("Smart Panel",Table1[[#This Row],[Description]],-1)</f>
        <v>1</v>
      </c>
    </row>
    <row r="17" spans="1:6">
      <c r="A17" t="s">
        <v>56</v>
      </c>
      <c r="B17" t="s">
        <v>48</v>
      </c>
      <c r="C17" t="str">
        <f>IFERROR(+VLOOKUP(A17&amp;B17,Sheet1!A:F,5,FALSE),"-")</f>
        <v>1x4 SE WRC Red Cedar</v>
      </c>
      <c r="D17">
        <f>IFERROR(VLOOKUP(A17&amp;B17,Sheet1!A:F,6,FALSE),0)</f>
        <v>224</v>
      </c>
      <c r="E17">
        <f>($B$1+$B$2)*2</f>
        <v>216</v>
      </c>
      <c r="F17">
        <f t="shared" si="2"/>
        <v>8</v>
      </c>
    </row>
    <row r="18" spans="1:6">
      <c r="A18" t="s">
        <v>56</v>
      </c>
      <c r="B18" t="s">
        <v>46</v>
      </c>
      <c r="C18" t="str">
        <f>IFERROR(+VLOOKUP(A18&amp;B18,Sheet1!A:F,5,FALSE),"-")</f>
        <v>R-21 Unfaced (Exterior Wall)</v>
      </c>
      <c r="D18">
        <f>IFERROR(VLOOKUP(A18&amp;B18,Sheet1!A:F,6,FALSE),0)</f>
        <v>2592</v>
      </c>
      <c r="E18">
        <f t="shared" ref="E18" si="3">($B$1+$B$2)*$B$3*2</f>
        <v>2592</v>
      </c>
      <c r="F18">
        <f t="shared" si="2"/>
        <v>0</v>
      </c>
    </row>
    <row r="19" spans="1:6">
      <c r="A19" t="s">
        <v>79</v>
      </c>
      <c r="B19" t="s">
        <v>57</v>
      </c>
      <c r="C19" t="str">
        <f>IFERROR(+VLOOKUP(A19&amp;B19,Sheet1!A:F,5,FALSE),"-")</f>
        <v>2 X 4 Wall Framing - 8' Tall</v>
      </c>
      <c r="D19">
        <f>+SUMIF(Sheet1!A:A,Check!A19&amp;Check!B19,Sheet1!F:F)</f>
        <v>300</v>
      </c>
      <c r="E19">
        <f>+$B$5</f>
        <v>262</v>
      </c>
      <c r="F19">
        <f t="shared" si="2"/>
        <v>38</v>
      </c>
    </row>
    <row r="20" spans="1:6">
      <c r="A20" t="s">
        <v>79</v>
      </c>
      <c r="B20" t="s">
        <v>46</v>
      </c>
      <c r="C20" t="str">
        <f>IFERROR(+VLOOKUP(A20&amp;B20,Sheet1!A:F,5,FALSE),"-")</f>
        <v>R-11 Unfaced Int. Wall @ 8' Tall</v>
      </c>
      <c r="D20">
        <f>IFERROR(VLOOKUP(A20&amp;B20,Sheet1!A:F,6,FALSE),0)</f>
        <v>250</v>
      </c>
      <c r="E20">
        <f>+D20</f>
        <v>250</v>
      </c>
      <c r="F20">
        <f t="shared" si="2"/>
        <v>0</v>
      </c>
    </row>
    <row r="21" spans="1:6">
      <c r="A21" t="s">
        <v>79</v>
      </c>
      <c r="B21" t="s">
        <v>48</v>
      </c>
      <c r="C21" t="s">
        <v>85</v>
      </c>
      <c r="D21">
        <f>+VLOOKUP(Table1[[#This Row],[Description]],'Paste Here'!Q:R,2,FALSE)</f>
        <v>30</v>
      </c>
      <c r="E21">
        <f>+MAX(D50*10)</f>
        <v>20</v>
      </c>
      <c r="F21">
        <f>+D21-E21</f>
        <v>10</v>
      </c>
    </row>
    <row r="22" spans="1:6">
      <c r="A22" t="s">
        <v>79</v>
      </c>
      <c r="B22" t="s">
        <v>48</v>
      </c>
      <c r="C22" t="str">
        <f>IFERROR(+VLOOKUP(A22&amp;B22,Sheet1!A:F,5,FALSE),"-")</f>
        <v>4' FRP Wainscot</v>
      </c>
      <c r="D22">
        <f>+SUMIFS('Paste Here'!R:R,'Paste Here'!P:P,B22,'Paste Here'!O:O,Check!A22)</f>
        <v>1124</v>
      </c>
      <c r="E22">
        <f>+intwall</f>
        <v>262</v>
      </c>
      <c r="F22">
        <f t="shared" si="2"/>
        <v>862</v>
      </c>
    </row>
    <row r="23" spans="1:6">
      <c r="A23" t="s">
        <v>79</v>
      </c>
      <c r="B23" t="s">
        <v>93</v>
      </c>
      <c r="C23" t="str">
        <f>IFERROR(+VLOOKUP(A23&amp;B23,Sheet1!A:F,5,FALSE),"-")</f>
        <v>Roof Support Column - Concealed</v>
      </c>
      <c r="D23">
        <f>+SUMIFS('Paste Here'!R:R,'Paste Here'!P:P,B23,'Paste Here'!O:O,Check!A23)</f>
        <v>18</v>
      </c>
      <c r="E23">
        <f>+IF(MODS=1,0,IF(LENGTH&gt;40,(MODS-1)*4,(MODS-1)*2))</f>
        <v>12</v>
      </c>
      <c r="F23">
        <f t="shared" si="2"/>
        <v>6</v>
      </c>
    </row>
    <row r="24" spans="1:6">
      <c r="A24" t="s">
        <v>79</v>
      </c>
      <c r="B24" t="s">
        <v>33</v>
      </c>
      <c r="C24" t="s">
        <v>96</v>
      </c>
      <c r="D24">
        <f>IFERROR(VLOOKUP(A24&amp;B24,Sheet1!A:F,6,FALSE),0)</f>
        <v>48</v>
      </c>
      <c r="E24">
        <f>IF($B$2/($B$1/$B$4)&gt;4,$B$1,0)</f>
        <v>48</v>
      </c>
      <c r="F24">
        <f t="shared" si="2"/>
        <v>0</v>
      </c>
    </row>
    <row r="25" spans="1:6">
      <c r="A25" t="s">
        <v>100</v>
      </c>
      <c r="B25" t="s">
        <v>100</v>
      </c>
      <c r="C25" t="str">
        <f>IFERROR(+VLOOKUP(A25&amp;B25,Sheet1!A:F,5,FALSE),"-")</f>
        <v>Wall Base Vinyl 4"</v>
      </c>
      <c r="D25">
        <f>IFERROR(VLOOKUP(A25&amp;B25,Sheet1!A:F,6,FALSE),0)</f>
        <v>740</v>
      </c>
      <c r="E25">
        <f>+intwall*2+perimeter</f>
        <v>740</v>
      </c>
      <c r="F25">
        <f t="shared" si="2"/>
        <v>0</v>
      </c>
    </row>
    <row r="26" spans="1:6">
      <c r="A26" t="s">
        <v>103</v>
      </c>
      <c r="B26" t="s">
        <v>104</v>
      </c>
      <c r="C26" t="str">
        <f>IFERROR(+VLOOKUP(A26&amp;B26,Sheet1!A:F,5,FALSE),"-")</f>
        <v>Truss - 12' Wide Mod-Transverse 24" O/C</v>
      </c>
      <c r="D26">
        <f>IFERROR(VLOOKUP(A26&amp;B26,Sheet1!A:F,6,FALSE),0)</f>
        <v>2880</v>
      </c>
      <c r="E26">
        <f>+sqft</f>
        <v>2880</v>
      </c>
      <c r="F26">
        <f t="shared" si="2"/>
        <v>0</v>
      </c>
    </row>
    <row r="27" spans="1:6">
      <c r="A27" t="s">
        <v>103</v>
      </c>
      <c r="B27" t="s">
        <v>38</v>
      </c>
      <c r="C27" t="str">
        <f>IFERROR(+VLOOKUP(A27&amp;B27,Sheet1!A:F,5,FALSE),"-")</f>
        <v>-</v>
      </c>
      <c r="D27">
        <f>IFERROR(VLOOKUP(A27&amp;B27,Sheet1!A:F,6,FALSE),0)</f>
        <v>0</v>
      </c>
      <c r="E27">
        <f>+IF(D26&lt;&gt;0,0,sqft)</f>
        <v>0</v>
      </c>
      <c r="F27">
        <f t="shared" si="2"/>
        <v>0</v>
      </c>
    </row>
    <row r="28" spans="1:6">
      <c r="A28" t="s">
        <v>103</v>
      </c>
      <c r="B28" t="s">
        <v>107</v>
      </c>
      <c r="C28" t="str">
        <f>IFERROR(+VLOOKUP(A28&amp;B28,Sheet1!A:F,5,FALSE),"-")</f>
        <v>LVL - 1 1/2" x 24"- Up to 60'</v>
      </c>
      <c r="D28">
        <f>IFERROR(VLOOKUP(A28&amp;B28,Sheet1!A:F,6,FALSE),0)</f>
        <v>600</v>
      </c>
      <c r="E28">
        <f>+IF(B4&gt;2,B2*2*B4,IF(B4=1,0,B2*2))</f>
        <v>480</v>
      </c>
      <c r="F28">
        <f t="shared" si="2"/>
        <v>120</v>
      </c>
    </row>
    <row r="29" spans="1:6">
      <c r="A29" t="s">
        <v>103</v>
      </c>
      <c r="B29" t="s">
        <v>46</v>
      </c>
      <c r="C29" t="str">
        <f>IFERROR(+VLOOKUP(A29&amp;B29,Sheet1!A:F,5,FALSE),"-")</f>
        <v>R-38 Unfaced</v>
      </c>
      <c r="D29">
        <f>IFERROR(VLOOKUP(A29&amp;B29,Sheet1!A:F,6,FALSE),0)</f>
        <v>2880</v>
      </c>
      <c r="E29">
        <f>+sqft</f>
        <v>2880</v>
      </c>
      <c r="F29">
        <f t="shared" si="2"/>
        <v>0</v>
      </c>
    </row>
    <row r="30" spans="1:6">
      <c r="A30" t="s">
        <v>103</v>
      </c>
      <c r="B30" t="s">
        <v>44</v>
      </c>
      <c r="C30" t="str">
        <f>IFERROR(+VLOOKUP(A30&amp;B30,Sheet1!A:F,5,FALSE),"-")</f>
        <v>5/8" OSB Decking</v>
      </c>
      <c r="D30">
        <f>IFERROR(VLOOKUP(A30&amp;B30,Sheet1!A:F,6,FALSE),0)</f>
        <v>2880</v>
      </c>
      <c r="E30">
        <f>+sqft</f>
        <v>2880</v>
      </c>
      <c r="F30">
        <f t="shared" si="2"/>
        <v>0</v>
      </c>
    </row>
    <row r="31" spans="1:6">
      <c r="A31" t="s">
        <v>103</v>
      </c>
      <c r="B31" t="s">
        <v>48</v>
      </c>
      <c r="C31" t="str">
        <f>IFERROR(+VLOOKUP(A31&amp;B31,Sheet1!A:F,5,FALSE),"-")</f>
        <v>EPDM .045 - Black (Multi Wides) Class C</v>
      </c>
      <c r="D31">
        <f>IFERROR(VLOOKUP(A31&amp;B31,Sheet1!A:F,6,FALSE),0)</f>
        <v>2880</v>
      </c>
      <c r="E31">
        <f>+sqft</f>
        <v>2880</v>
      </c>
      <c r="F31">
        <f t="shared" si="2"/>
        <v>0</v>
      </c>
    </row>
    <row r="32" spans="1:6">
      <c r="A32" t="s">
        <v>103</v>
      </c>
      <c r="B32" t="s">
        <v>115</v>
      </c>
      <c r="C32" t="str">
        <f>IFERROR(+VLOOKUP(A32&amp;B32,Sheet1!A:F,5,FALSE),"-")</f>
        <v>1x8 SE WRC Red Cedar</v>
      </c>
      <c r="D32">
        <f>IFERROR(VLOOKUP(A32&amp;B32,Sheet1!A:F,6,FALSE),0)</f>
        <v>252</v>
      </c>
      <c r="E32">
        <f>+sqft</f>
        <v>2880</v>
      </c>
      <c r="F32">
        <f t="shared" si="2"/>
        <v>-2628</v>
      </c>
    </row>
    <row r="33" spans="1:6">
      <c r="A33" t="s">
        <v>126</v>
      </c>
      <c r="B33" t="s">
        <v>33</v>
      </c>
      <c r="C33" t="str">
        <f>IFERROR(+VLOOKUP(A33&amp;B33,Sheet1!A:F,5,FALSE),"-")</f>
        <v>Farmyard Hickory Window Trim Upgrade</v>
      </c>
      <c r="D33">
        <f>IFERROR(VLOOKUP(A33&amp;B33,Sheet1!A:F,6,FALSE),0)</f>
        <v>9</v>
      </c>
      <c r="E33" t="s">
        <v>277</v>
      </c>
      <c r="F33">
        <v>0</v>
      </c>
    </row>
    <row r="34" spans="1:6">
      <c r="A34" t="s">
        <v>126</v>
      </c>
      <c r="B34" t="s">
        <v>131</v>
      </c>
      <c r="C34" t="str">
        <f>IFERROR(+VLOOKUP(A34&amp;B34,Sheet1!A:F,5,FALSE),"-")</f>
        <v>4030 - H/S - Dual Glazed - Vinyl Frame - Clear Low E</v>
      </c>
      <c r="D34">
        <f>IFERROR(VLOOKUP(A34&amp;B34,Sheet1!A:F,6,FALSE),0)</f>
        <v>9</v>
      </c>
      <c r="E34" t="s">
        <v>277</v>
      </c>
      <c r="F34">
        <v>0</v>
      </c>
    </row>
    <row r="35" spans="1:6">
      <c r="A35" t="s">
        <v>133</v>
      </c>
      <c r="B35" t="s">
        <v>134</v>
      </c>
      <c r="C35" t="str">
        <f>IFERROR(+VLOOKUP(A35&amp;B35,Sheet1!A:F,5,FALSE),"-")</f>
        <v>36X80 - 20ga Door W/Med Adj. Steel Frame (4-5/8" to 8")</v>
      </c>
      <c r="D35">
        <f>IFERROR(VLOOKUP(A35&amp;B35,Sheet1!A:F,6,FALSE),0)</f>
        <v>2</v>
      </c>
      <c r="E35" t="s">
        <v>277</v>
      </c>
      <c r="F35">
        <v>0</v>
      </c>
    </row>
    <row r="36" spans="1:6">
      <c r="A36" t="s">
        <v>133</v>
      </c>
      <c r="B36" t="s">
        <v>136</v>
      </c>
      <c r="C36" t="str">
        <f>IFERROR(+VLOOKUP(A36&amp;B36,Sheet1!A:F,5,FALSE),"-")</f>
        <v>Cal-Royal A2200 Panic Rim Exit Device with Escutcheon Entrance Lever Trim</v>
      </c>
      <c r="D36">
        <f>IFERROR(VLOOKUP(A36&amp;B36,Sheet1!A:F,6,FALSE),0)</f>
        <v>2</v>
      </c>
      <c r="E36" t="s">
        <v>277</v>
      </c>
      <c r="F36">
        <v>0</v>
      </c>
    </row>
    <row r="37" spans="1:6">
      <c r="A37" t="s">
        <v>133</v>
      </c>
      <c r="B37" t="s">
        <v>138</v>
      </c>
      <c r="C37" t="str">
        <f>IFERROR(+VLOOKUP(A37&amp;B37,Sheet1!A:F,5,FALSE),"-")</f>
        <v>Closer - S Parker 900 BCAL</v>
      </c>
      <c r="D37">
        <f>IFERROR(VLOOKUP(A37&amp;B37,Sheet1!A:F,6,FALSE),0)</f>
        <v>2</v>
      </c>
      <c r="E37" t="s">
        <v>277</v>
      </c>
      <c r="F37">
        <v>0</v>
      </c>
    </row>
    <row r="38" spans="1:6">
      <c r="A38" t="s">
        <v>140</v>
      </c>
      <c r="B38" t="s">
        <v>134</v>
      </c>
      <c r="C38" t="str">
        <f>IFERROR(+VLOOKUP(A38&amp;B38,Sheet1!A:F,5,FALSE),"-")</f>
        <v>36X80 - 20-Minute Label - Alpine Oak - W/ Timely Jamb</v>
      </c>
      <c r="D38">
        <f>IFERROR(VLOOKUP(A38&amp;B38,Sheet1!A:F,6,FALSE),0)</f>
        <v>7</v>
      </c>
      <c r="E38" t="s">
        <v>277</v>
      </c>
      <c r="F38">
        <v>0</v>
      </c>
    </row>
    <row r="39" spans="1:6">
      <c r="A39" t="s">
        <v>140</v>
      </c>
      <c r="B39" t="s">
        <v>136</v>
      </c>
      <c r="C39" t="str">
        <f>IFERROR(+VLOOKUP(A39&amp;B39,Sheet1!A:F,5,FALSE),"-")</f>
        <v>Passage - Grade 2 - Lever</v>
      </c>
      <c r="D39">
        <f>IFERROR(VLOOKUP(A39&amp;B39,Sheet1!A:F,6,FALSE),0)</f>
        <v>9</v>
      </c>
      <c r="E39" t="s">
        <v>277</v>
      </c>
      <c r="F39">
        <v>0</v>
      </c>
    </row>
    <row r="40" spans="1:6">
      <c r="A40" t="s">
        <v>140</v>
      </c>
      <c r="B40" t="s">
        <v>138</v>
      </c>
      <c r="C40" t="str">
        <f>IFERROR(+VLOOKUP(A40&amp;B40,Sheet1!A:F,5,FALSE),"-")</f>
        <v>-</v>
      </c>
      <c r="D40">
        <f>IFERROR(VLOOKUP(A40&amp;B40,Sheet1!A:F,6,FALSE),0)</f>
        <v>0</v>
      </c>
      <c r="E40" t="s">
        <v>277</v>
      </c>
      <c r="F40">
        <v>0</v>
      </c>
    </row>
    <row r="41" spans="1:6">
      <c r="A41" t="s">
        <v>153</v>
      </c>
      <c r="B41" t="s">
        <v>154</v>
      </c>
      <c r="C41" t="str">
        <f>IFERROR(+VLOOKUP(A41&amp;B41,Sheet1!A:F,5,FALSE),"-")</f>
        <v>Nema 3R, External, 200 Amp Single Phase W/Main</v>
      </c>
      <c r="D41">
        <f>IFERROR(VLOOKUP(A41&amp;B41,Sheet1!A:F,6,FALSE),0)</f>
        <v>2</v>
      </c>
      <c r="E41" t="s">
        <v>280</v>
      </c>
      <c r="F41" t="str">
        <f>IF(D41&lt;&gt;0,"CHECK CALC","ADD PANEL")</f>
        <v>CHECK CALC</v>
      </c>
    </row>
    <row r="42" spans="1:6">
      <c r="A42" t="s">
        <v>153</v>
      </c>
      <c r="B42" t="s">
        <v>157</v>
      </c>
      <c r="C42" t="str">
        <f>IFERROR(+VLOOKUP(A42&amp;B42,Sheet1!A:F,5,FALSE),"-")</f>
        <v>Flex W/ Ground</v>
      </c>
      <c r="D42">
        <f>IFERROR(VLOOKUP(A42&amp;B42,Sheet1!A:F,6,FALSE),0)</f>
        <v>600</v>
      </c>
      <c r="E42" t="s">
        <v>280</v>
      </c>
      <c r="F42" t="str">
        <f>IF(D42&lt;&gt;0,"CHECK CALC","ADD RACEWAY")</f>
        <v>CHECK CALC</v>
      </c>
    </row>
    <row r="43" spans="1:6">
      <c r="A43" t="s">
        <v>153</v>
      </c>
      <c r="B43" t="s">
        <v>160</v>
      </c>
      <c r="C43" t="str">
        <f>IFERROR(+VLOOKUP(A43&amp;B43,Sheet1!A:F,5,FALSE),"-")</f>
        <v>Flat Panel 2 X 2 - LED - 3400 Lumen</v>
      </c>
      <c r="D43">
        <f>+SUMIFS('Paste Here'!R:R,'Paste Here'!P:P,B43,'Paste Here'!O:O,Check!A43)</f>
        <v>39</v>
      </c>
      <c r="E43">
        <f>+ROUNDUP(sqft/100,0)</f>
        <v>29</v>
      </c>
      <c r="F43">
        <f t="shared" si="2"/>
        <v>10</v>
      </c>
    </row>
    <row r="44" spans="1:6">
      <c r="A44" t="s">
        <v>153</v>
      </c>
      <c r="B44" t="s">
        <v>167</v>
      </c>
      <c r="C44" t="str">
        <f>IFERROR(+VLOOKUP(A44&amp;B44,Sheet1!A:F,5,FALSE),"-")</f>
        <v>Emergency Light - Dual Head</v>
      </c>
      <c r="D44">
        <f>IFERROR(VLOOKUP(A44&amp;B44,Sheet1!A:F,6,FALSE),0)</f>
        <v>5</v>
      </c>
      <c r="E44">
        <v>0</v>
      </c>
      <c r="F44">
        <f t="shared" si="2"/>
        <v>5</v>
      </c>
    </row>
    <row r="45" spans="1:6">
      <c r="A45" t="s">
        <v>153</v>
      </c>
      <c r="B45" t="s">
        <v>164</v>
      </c>
      <c r="C45" t="str">
        <f>IFERROR(+VLOOKUP(A45&amp;B45,Sheet1!A:F,5,FALSE),"-")</f>
        <v>Wall Pack LED With Photocell - 13/18/26W - 3000K/4000K/5000K</v>
      </c>
      <c r="D45">
        <f>IFERROR(VLOOKUP(A45&amp;B45,Sheet1!A:F,6,FALSE),0)</f>
        <v>2</v>
      </c>
      <c r="E45">
        <f>+D35</f>
        <v>2</v>
      </c>
      <c r="F45">
        <f t="shared" si="2"/>
        <v>0</v>
      </c>
    </row>
    <row r="46" spans="1:6">
      <c r="A46" t="s">
        <v>153</v>
      </c>
      <c r="B46" t="s">
        <v>172</v>
      </c>
      <c r="C46" t="str">
        <f>IFERROR(+VLOOKUP(A46&amp;B46,Sheet1!A:F,5,FALSE),"-")</f>
        <v>Momentary Switch - DCC-2</v>
      </c>
      <c r="D46">
        <f>IFERROR(VLOOKUP(A46&amp;B46,Sheet1!A:F,6,FALSE),0)</f>
        <v>3</v>
      </c>
      <c r="F46">
        <f t="shared" si="2"/>
        <v>3</v>
      </c>
    </row>
    <row r="47" spans="1:6">
      <c r="A47" t="s">
        <v>153</v>
      </c>
      <c r="B47" t="s">
        <v>185</v>
      </c>
      <c r="C47" t="str">
        <f>IFERROR(+VLOOKUP(A47&amp;B47,Sheet1!A:F,5,FALSE),"-")</f>
        <v>20A - Duplex</v>
      </c>
      <c r="D47">
        <f>IFERROR(VLOOKUP(A47&amp;B47,Sheet1!A:F,6,FALSE),0)</f>
        <v>24</v>
      </c>
      <c r="E47">
        <f>ROUNDUP((perimeter+intwall*2)/8,0)</f>
        <v>93</v>
      </c>
      <c r="F47">
        <f t="shared" si="2"/>
        <v>-69</v>
      </c>
    </row>
    <row r="48" spans="1:6">
      <c r="A48" t="s">
        <v>153</v>
      </c>
      <c r="B48" t="s">
        <v>198</v>
      </c>
      <c r="C48" t="str">
        <f>IFERROR(+VLOOKUP(A48&amp;B48,Sheet1!A:F,5,FALSE),"-")</f>
        <v>4'x4' FR 5/8" CDX</v>
      </c>
      <c r="D48">
        <f>IFERROR(VLOOKUP(A48&amp;B48,Sheet1!A:F,6,FALSE),0)</f>
        <v>1</v>
      </c>
      <c r="E48">
        <f>ROUNDUP((perimeter+intwall*2)/12,0)</f>
        <v>62</v>
      </c>
      <c r="F48">
        <f t="shared" si="2"/>
        <v>-61</v>
      </c>
    </row>
    <row r="49" spans="1:7">
      <c r="A49" t="s">
        <v>204</v>
      </c>
      <c r="B49" t="s">
        <v>205</v>
      </c>
      <c r="C49" t="str">
        <f>IFERROR(+VLOOKUP(A49&amp;B49,Sheet1!A:F,5,FALSE),"-")</f>
        <v>Pex Plumbing Drop</v>
      </c>
      <c r="D49">
        <f>+SUMIFS('Paste Here'!R:R,'Paste Here'!P:P,B49,'Paste Here'!O:O,Check!A49)</f>
        <v>11</v>
      </c>
      <c r="E49" t="s">
        <v>280</v>
      </c>
      <c r="F49" t="str">
        <f>IF(D49&lt;&gt;0,"CHECK CALC","ADD RACEWAY")</f>
        <v>CHECK CALC</v>
      </c>
    </row>
    <row r="50" spans="1:7">
      <c r="A50" t="s">
        <v>204</v>
      </c>
      <c r="B50" t="s">
        <v>207</v>
      </c>
      <c r="C50" t="str">
        <f>IFERROR(+VLOOKUP(A50&amp;B50,Sheet1!A:F,5,FALSE),"-")</f>
        <v>Water Closet - ADA - Tank Type - 1.28gpf - Elg - White</v>
      </c>
      <c r="D50">
        <f>+SUMIFS('Paste Here'!R:R,'Paste Here'!P:P,B50,'Paste Here'!O:O,Check!A50)</f>
        <v>2</v>
      </c>
      <c r="E50" t="s">
        <v>280</v>
      </c>
      <c r="F50" t="str">
        <f>IF(D50&lt;&gt;0,"CHECK CALC","ADD RACEWAY")</f>
        <v>CHECK CALC</v>
      </c>
    </row>
    <row r="51" spans="1:7">
      <c r="A51" t="s">
        <v>204</v>
      </c>
      <c r="B51" t="s">
        <v>209</v>
      </c>
      <c r="C51" t="str">
        <f>IFERROR(+VLOOKUP(A51&amp;B51,Sheet1!A:F,5,FALSE),"-")</f>
        <v>Lavatory - Wall Hung</v>
      </c>
      <c r="D51">
        <f>+SUMIFS('Paste Here'!R:R,'Paste Here'!P:P,B51,'Paste Here'!O:O,Check!A51)</f>
        <v>5</v>
      </c>
      <c r="E51" t="s">
        <v>280</v>
      </c>
      <c r="F51" t="str">
        <f>IF(D51&lt;&gt;0,"CHECK CALC","ADD RACEWAY")</f>
        <v>CHECK CALC</v>
      </c>
    </row>
    <row r="52" spans="1:7">
      <c r="A52" t="s">
        <v>204</v>
      </c>
      <c r="B52" t="s">
        <v>216</v>
      </c>
      <c r="C52" t="str">
        <f>IFERROR(+VLOOKUP(A52&amp;B52,Sheet1!A:F,5,FALSE),"-")</f>
        <v>Water Cooler - Hi/Low - W/ GFI</v>
      </c>
      <c r="D52">
        <f>+SUMIFS('Paste Here'!R:R,'Paste Here'!P:P,B52,'Paste Here'!O:O,Check!A52)</f>
        <v>1</v>
      </c>
      <c r="E52" t="s">
        <v>280</v>
      </c>
      <c r="F52" t="str">
        <f>IF(D52&lt;&gt;0,"CHECK CALC","ADD RACEWAY")</f>
        <v>CHECK CALC</v>
      </c>
    </row>
    <row r="53" spans="1:7">
      <c r="A53" t="s">
        <v>204</v>
      </c>
      <c r="B53" t="s">
        <v>222</v>
      </c>
      <c r="C53" t="str">
        <f>IFERROR(+VLOOKUP(A53&amp;B53,Sheet1!A:F,5,FALSE),"-")</f>
        <v>06-Gallon - Electric Water Heater</v>
      </c>
      <c r="D53">
        <f>+SUMIFS('Paste Here'!R:R,'Paste Here'!P:P,B53,'Paste Here'!O:O,Check!A53)</f>
        <v>2</v>
      </c>
      <c r="E53">
        <f>+IF($D$51&lt;&gt;0,D53,0)</f>
        <v>2</v>
      </c>
      <c r="F53">
        <f t="shared" ref="F53:F59" si="4">+D53-E53</f>
        <v>0</v>
      </c>
    </row>
    <row r="54" spans="1:7">
      <c r="A54" t="s">
        <v>204</v>
      </c>
      <c r="B54" t="s">
        <v>226</v>
      </c>
      <c r="C54" t="s">
        <v>227</v>
      </c>
      <c r="D54">
        <f>+VLOOKUP(C54,Sheet1!E:F,2,FALSE)</f>
        <v>2</v>
      </c>
      <c r="E54">
        <f t="shared" ref="E54:E56" si="5">+IF($D$51&lt;&gt;0,D54,0)</f>
        <v>2</v>
      </c>
      <c r="F54">
        <f t="shared" si="4"/>
        <v>0</v>
      </c>
    </row>
    <row r="55" spans="1:7">
      <c r="A55" t="s">
        <v>204</v>
      </c>
      <c r="B55" t="s">
        <v>226</v>
      </c>
      <c r="C55" t="s">
        <v>281</v>
      </c>
      <c r="D55" t="e">
        <f>+VLOOKUP(C55,Sheet1!E:F,2,FALSE)</f>
        <v>#N/A</v>
      </c>
      <c r="E55" t="e">
        <f t="shared" si="5"/>
        <v>#N/A</v>
      </c>
      <c r="F55" t="e">
        <f t="shared" si="4"/>
        <v>#N/A</v>
      </c>
    </row>
    <row r="56" spans="1:7">
      <c r="A56" t="s">
        <v>204</v>
      </c>
      <c r="B56" t="s">
        <v>226</v>
      </c>
      <c r="C56" t="s">
        <v>229</v>
      </c>
      <c r="D56">
        <f>+VLOOKUP(C56,Sheet1!E:F,2,FALSE)</f>
        <v>2</v>
      </c>
      <c r="E56">
        <f t="shared" si="5"/>
        <v>2</v>
      </c>
      <c r="F56">
        <f t="shared" si="4"/>
        <v>0</v>
      </c>
    </row>
    <row r="57" spans="1:7">
      <c r="A57" t="s">
        <v>204</v>
      </c>
      <c r="B57" t="s">
        <v>33</v>
      </c>
      <c r="C57" t="str">
        <f>IFERROR(+VLOOKUP(A57&amp;B57,Sheet1!A:F,5,FALSE),"-")</f>
        <v>1/4" Poly Line</v>
      </c>
      <c r="D57">
        <f>+SUMIFS('Paste Here'!R:R,'Paste Here'!P:P,B57,'Paste Here'!O:O,Check!A57)</f>
        <v>3</v>
      </c>
      <c r="E57" t="e">
        <f>+IF(SUM(D49:D56)&lt;&gt;0,1,0)</f>
        <v>#N/A</v>
      </c>
      <c r="F57" t="e">
        <f t="shared" si="4"/>
        <v>#N/A</v>
      </c>
    </row>
    <row r="58" spans="1:7">
      <c r="A58" t="s">
        <v>234</v>
      </c>
      <c r="B58" t="s">
        <v>235</v>
      </c>
      <c r="C58" t="str">
        <f>IFERROR(+VLOOKUP(A58&amp;B58,Sheet1!A:F,5,FALSE),"-")</f>
        <v>4.0-Ton - 15-KW Heat Strip - 1P - Bard, Eubank or Equal w/pgm t-stat</v>
      </c>
      <c r="D58">
        <f>IFERROR(VLOOKUP(A58&amp;B58,Sheet1!A:F,6,FALSE),0)</f>
        <v>2</v>
      </c>
      <c r="E58">
        <f>+IF((sqft/400)&lt;LEFT(C58,3)*D58,D58,ROUNDUP((sqft/400)/LEFT(C58,3),0))</f>
        <v>2</v>
      </c>
      <c r="F58">
        <f t="shared" si="4"/>
        <v>0</v>
      </c>
    </row>
    <row r="59" spans="1:7">
      <c r="A59" t="s">
        <v>234</v>
      </c>
      <c r="B59" t="s">
        <v>240</v>
      </c>
      <c r="C59" t="str">
        <f>IFERROR(+VLOOKUP(A59&amp;B59,Sheet1!A:F,5,FALSE),"-")</f>
        <v>Galv - Return Air Duct</v>
      </c>
      <c r="D59">
        <f>IFERROR(VLOOKUP(A59&amp;B59,Sheet1!A:F,6,FALSE),0)</f>
        <v>200</v>
      </c>
      <c r="E59">
        <f>+ROUNDUP((LENGTH*0.9)*MODS,0)</f>
        <v>216</v>
      </c>
      <c r="F59">
        <f t="shared" si="4"/>
        <v>-16</v>
      </c>
    </row>
    <row r="60" spans="1:7">
      <c r="A60" t="s">
        <v>234</v>
      </c>
      <c r="B60" t="s">
        <v>244</v>
      </c>
      <c r="C60" t="str">
        <f>IFERROR(+VLOOKUP(A60&amp;B60,Sheet1!A:F,5,FALSE),"-")</f>
        <v>100 CFM - Ceiling Mount</v>
      </c>
      <c r="D60">
        <f>IFERROR(VLOOKUP(A60&amp;B60,Sheet1!A:F,6,FALSE),0)</f>
        <v>2</v>
      </c>
      <c r="E60">
        <f>+D50</f>
        <v>2</v>
      </c>
      <c r="F60">
        <f>+D60-E60</f>
        <v>0</v>
      </c>
    </row>
    <row r="61" spans="1:7">
      <c r="A61" t="s">
        <v>33</v>
      </c>
      <c r="B61" t="s">
        <v>33</v>
      </c>
      <c r="C61" t="s">
        <v>258</v>
      </c>
      <c r="D61">
        <f>IFERROR(VLOOKUP(C61,Sheet1!E:F,2,FALSE),0)</f>
        <v>1E-3</v>
      </c>
      <c r="E61">
        <f>+(MODS-1)*LENGTH</f>
        <v>180</v>
      </c>
      <c r="F61">
        <f>+D61-E61</f>
        <v>-179.999</v>
      </c>
    </row>
    <row r="62" spans="1:7">
      <c r="A62" t="s">
        <v>33</v>
      </c>
      <c r="B62" t="s">
        <v>33</v>
      </c>
      <c r="C62" t="s">
        <v>260</v>
      </c>
      <c r="D62">
        <f>IFERROR(VLOOKUP(C62,Sheet1!E:F,2,FALSE),0)</f>
        <v>24</v>
      </c>
      <c r="E62">
        <f>+ROUND(LENGTH/10,0)*2*(MODS-1)</f>
        <v>36</v>
      </c>
      <c r="F62">
        <f>+D62-E62</f>
        <v>-12</v>
      </c>
    </row>
    <row r="63" spans="1:7">
      <c r="A63" t="s">
        <v>261</v>
      </c>
      <c r="B63" t="s">
        <v>262</v>
      </c>
      <c r="C63" t="str">
        <f>IFERROR(+VLOOKUP(A63&amp;B63,Sheet1!A:F,5,FALSE),"-")</f>
        <v>ID Approvals</v>
      </c>
      <c r="D63">
        <f>+COUNTIFS('Paste Here'!O:O,A63,'Paste Here'!P:P,B63)</f>
        <v>1</v>
      </c>
      <c r="E63" t="s">
        <v>277</v>
      </c>
      <c r="F63" t="str">
        <f>+IF(Table1[[#This Row],[Value Found]]=0,"No State Tags?","-")</f>
        <v>-</v>
      </c>
      <c r="G63" t="str">
        <f>+IF(Table1[[#This Row],[Deviance]]&lt;&gt;"-","Tribal or Federal for no state tags","")</f>
        <v/>
      </c>
    </row>
  </sheetData>
  <sheetProtection sheet="1" scenarios="1" selectLockedCells="1"/>
  <conditionalFormatting sqref="A8:F63">
    <cfRule type="expression" dxfId="1" priority="1">
      <formula>$F8="CHECK CALC"</formula>
    </cfRule>
    <cfRule type="expression" dxfId="0" priority="2">
      <formula>$F8&lt;&gt;0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 Quintana</dc:creator>
  <cp:keywords/>
  <dc:description/>
  <cp:lastModifiedBy>Hank Kennedy</cp:lastModifiedBy>
  <cp:revision/>
  <dcterms:created xsi:type="dcterms:W3CDTF">2015-06-05T18:17:20Z</dcterms:created>
  <dcterms:modified xsi:type="dcterms:W3CDTF">2025-12-09T15:46:58Z</dcterms:modified>
  <cp:category/>
  <cp:contentStatus/>
</cp:coreProperties>
</file>
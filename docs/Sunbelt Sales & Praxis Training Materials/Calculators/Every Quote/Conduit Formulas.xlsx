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ales Resources\! SUNBELT\Calculators\"/>
    </mc:Choice>
  </mc:AlternateContent>
  <xr:revisionPtr revIDLastSave="2" documentId="13_ncr:1_{7A7E8FB4-9FB4-4C93-AB08-C3A182766974}" xr6:coauthVersionLast="47" xr6:coauthVersionMax="47" xr10:uidLastSave="{B1DD2D23-682C-45C3-A966-4F6A4446F90D}"/>
  <bookViews>
    <workbookView xWindow="-24735" yWindow="645" windowWidth="21600" windowHeight="14310" firstSheet="3" activeTab="3" xr2:uid="{00000000-000D-0000-FFFF-FFFF00000000}"/>
  </bookViews>
  <sheets>
    <sheet name="EMT Worksheet" sheetId="2" r:id="rId1"/>
    <sheet name="EMT 3PH Worksheet" sheetId="6" r:id="rId2"/>
    <sheet name="EMT" sheetId="1" r:id="rId3"/>
    <sheet name="MC Worksheet" sheetId="5" r:id="rId4"/>
    <sheet name="MC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6" l="1"/>
  <c r="B33" i="6"/>
  <c r="B26" i="6"/>
  <c r="B19" i="6"/>
  <c r="B12" i="6"/>
  <c r="B6" i="6"/>
  <c r="F11" i="6" l="1"/>
  <c r="B19" i="5"/>
  <c r="B12" i="5"/>
  <c r="B6" i="5"/>
  <c r="B6" i="2" l="1"/>
  <c r="F11" i="5" l="1"/>
  <c r="B40" i="2"/>
  <c r="B33" i="2"/>
  <c r="B26" i="2"/>
  <c r="B19" i="2"/>
  <c r="B12" i="2"/>
  <c r="F11" i="2" l="1"/>
</calcChain>
</file>

<file path=xl/sharedStrings.xml><?xml version="1.0" encoding="utf-8"?>
<sst xmlns="http://schemas.openxmlformats.org/spreadsheetml/2006/main" count="158" uniqueCount="71">
  <si>
    <t>EMT Conduit Calculations</t>
  </si>
  <si>
    <t>100 Amp Panel</t>
  </si>
  <si>
    <t># of 100A Panels</t>
  </si>
  <si>
    <t>Module Length</t>
  </si>
  <si>
    <t># of 125A Panels</t>
  </si>
  <si>
    <t>Est Conduit Length per panel</t>
  </si>
  <si>
    <t># of 150A Panels</t>
  </si>
  <si>
    <t># of 200A Panels</t>
  </si>
  <si>
    <t># of 225A Panels</t>
  </si>
  <si>
    <t># of 400A Panels</t>
  </si>
  <si>
    <t>125 Amp Panel</t>
  </si>
  <si>
    <t>Total LF of Conduit</t>
  </si>
  <si>
    <t>150 Amp Panel</t>
  </si>
  <si>
    <t>Total width of units served</t>
  </si>
  <si>
    <t>200 Amp Panel</t>
  </si>
  <si>
    <t>225 Amp Panel</t>
  </si>
  <si>
    <t>400 Amp Panel</t>
  </si>
  <si>
    <t>3 Phase</t>
  </si>
  <si>
    <t>100 Amp Panel - 3PH</t>
  </si>
  <si>
    <t>125 Amp Panel - 3PH</t>
  </si>
  <si>
    <t>150 Amp Panel - 3PH</t>
  </si>
  <si>
    <t>200 Amp Panel - 3PH</t>
  </si>
  <si>
    <t>225 Amp Panel - 3PH</t>
  </si>
  <si>
    <t>400 Amp Panel - 3PH</t>
  </si>
  <si>
    <t>EMT Conduit Run Estimates</t>
  </si>
  <si>
    <t>Panel Size</t>
  </si>
  <si>
    <t>Est # of 20A Circuits</t>
  </si>
  <si>
    <t>Estimated Conduit runs per panel</t>
  </si>
  <si>
    <t>Formula</t>
  </si>
  <si>
    <t>4 circuits</t>
  </si>
  <si>
    <t xml:space="preserve">1.5 runs of Module Length </t>
  </si>
  <si>
    <t>(ML)(Y) x 1.5</t>
  </si>
  <si>
    <t>5 circuits</t>
  </si>
  <si>
    <t>2 runs per Module Length</t>
  </si>
  <si>
    <t>(ML)(Y) x 2</t>
  </si>
  <si>
    <t>8 circuits</t>
  </si>
  <si>
    <t>4 runs of Module Length - plus total width of units served</t>
  </si>
  <si>
    <t>((ML)(Y) x 4)) + W</t>
  </si>
  <si>
    <t>16 circuits</t>
  </si>
  <si>
    <t>5 runs of Module Length - plus 2 times the total width of units served</t>
  </si>
  <si>
    <t>((ML)(Y) x 5)) + 2W</t>
  </si>
  <si>
    <t>20 circuits</t>
  </si>
  <si>
    <t>6 runs of Module Length - plus 2 times the total width of units served</t>
  </si>
  <si>
    <t>((ML)(Y) x 6)) + 2W</t>
  </si>
  <si>
    <t>30 circuits</t>
  </si>
  <si>
    <t>10 runs of Module Length - plus 3 times the total width of units served</t>
  </si>
  <si>
    <t>((ML)(Y) x 10)) + 3W</t>
  </si>
  <si>
    <t xml:space="preserve">3 runs of Module Length </t>
  </si>
  <si>
    <t>(ML)(Y) x 3</t>
  </si>
  <si>
    <t>10 circuits</t>
  </si>
  <si>
    <t>4 runs per Module Length</t>
  </si>
  <si>
    <t>(ML)(Y) x 4</t>
  </si>
  <si>
    <t>7 runs of Module Length - plus 3 times the total width of units served</t>
  </si>
  <si>
    <t>((ML)(Y) x 7)) + 3W</t>
  </si>
  <si>
    <t>42 circuits</t>
  </si>
  <si>
    <t>15 runs of Module Length - plus 4 times the total width of units served</t>
  </si>
  <si>
    <t>((ML)(Y) x 15)) + 4W</t>
  </si>
  <si>
    <t>ML</t>
  </si>
  <si>
    <t>Module Length of units served by panel</t>
  </si>
  <si>
    <t>W</t>
  </si>
  <si>
    <t>Total Module Width of all units served by panel</t>
  </si>
  <si>
    <t>Y</t>
  </si>
  <si>
    <t>Number of Modules served by panel</t>
  </si>
  <si>
    <t>MC Cable Calculations</t>
  </si>
  <si>
    <t>Est MC Cable Length per panel</t>
  </si>
  <si>
    <t>MC Cable Run Estimates</t>
  </si>
  <si>
    <t xml:space="preserve">2 runs of Module Length </t>
  </si>
  <si>
    <t>2.5 runs per Module Length</t>
  </si>
  <si>
    <t>(ML)(Y) x 2.5</t>
  </si>
  <si>
    <t>4 runs of Module Length - plus total 2 times width of units served</t>
  </si>
  <si>
    <t>((ML)(Y) x 4)) + 2W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</si>
</sst>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 applyProtection="1">
      <protection locked="0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0"/>
  <sheetViews>
    <sheetView topLeftCell="A2" zoomScale="80" zoomScaleNormal="80" workbookViewId="0">
      <selection activeCell="B12" sqref="B12"/>
    </sheetView>
  </sheetViews>
  <sheetFormatPr defaultRowHeight="15"/>
  <cols>
    <col min="1" max="1" width="32.85546875" customWidth="1"/>
    <col min="5" max="5" width="21.85546875" customWidth="1"/>
    <col min="6" max="6" width="11.85546875" customWidth="1"/>
  </cols>
  <sheetData>
    <row r="1" spans="1:6" ht="23.25">
      <c r="A1" s="1" t="s">
        <v>0</v>
      </c>
    </row>
    <row r="4" spans="1:6" ht="18.75">
      <c r="A4" s="6" t="s">
        <v>1</v>
      </c>
      <c r="B4" s="7"/>
      <c r="E4" s="3" t="s">
        <v>2</v>
      </c>
      <c r="F4" s="5">
        <v>0</v>
      </c>
    </row>
    <row r="5" spans="1:6">
      <c r="A5" s="3" t="s">
        <v>3</v>
      </c>
      <c r="B5" s="5"/>
      <c r="E5" s="3" t="s">
        <v>4</v>
      </c>
      <c r="F5" s="5">
        <v>0</v>
      </c>
    </row>
    <row r="6" spans="1:6">
      <c r="A6" s="4" t="s">
        <v>5</v>
      </c>
      <c r="B6" s="4">
        <f>(B5)*1.5</f>
        <v>0</v>
      </c>
      <c r="E6" s="3" t="s">
        <v>6</v>
      </c>
      <c r="F6" s="5">
        <v>0</v>
      </c>
    </row>
    <row r="7" spans="1:6">
      <c r="E7" s="3" t="s">
        <v>7</v>
      </c>
      <c r="F7" s="5">
        <v>0</v>
      </c>
    </row>
    <row r="8" spans="1:6">
      <c r="E8" s="3" t="s">
        <v>8</v>
      </c>
      <c r="F8" s="5">
        <v>0</v>
      </c>
    </row>
    <row r="9" spans="1:6">
      <c r="E9" s="3" t="s">
        <v>9</v>
      </c>
      <c r="F9" s="5">
        <v>0</v>
      </c>
    </row>
    <row r="10" spans="1:6" ht="18.75">
      <c r="A10" s="6" t="s">
        <v>10</v>
      </c>
      <c r="B10" s="7"/>
    </row>
    <row r="11" spans="1:6" ht="18.75">
      <c r="A11" s="3" t="s">
        <v>3</v>
      </c>
      <c r="B11" s="5">
        <v>40</v>
      </c>
      <c r="E11" s="2" t="s">
        <v>11</v>
      </c>
      <c r="F11" s="2">
        <f>SUM((F4*B6),(F5*B12),(F6*B19),(F7*B26),(F8*B33),(F9*B40))</f>
        <v>0</v>
      </c>
    </row>
    <row r="12" spans="1:6">
      <c r="A12" s="4" t="s">
        <v>5</v>
      </c>
      <c r="B12" s="4">
        <f>(B11)*2</f>
        <v>80</v>
      </c>
    </row>
    <row r="16" spans="1:6" ht="18.75">
      <c r="A16" s="6" t="s">
        <v>12</v>
      </c>
      <c r="B16" s="7"/>
    </row>
    <row r="17" spans="1:2">
      <c r="A17" s="3" t="s">
        <v>3</v>
      </c>
      <c r="B17" s="5"/>
    </row>
    <row r="18" spans="1:2">
      <c r="A18" s="3" t="s">
        <v>13</v>
      </c>
      <c r="B18" s="5"/>
    </row>
    <row r="19" spans="1:2">
      <c r="A19" s="4" t="s">
        <v>5</v>
      </c>
      <c r="B19" s="4">
        <f>((B17)*3)+B18</f>
        <v>0</v>
      </c>
    </row>
    <row r="23" spans="1:2" ht="18.75">
      <c r="A23" s="6" t="s">
        <v>14</v>
      </c>
      <c r="B23" s="7"/>
    </row>
    <row r="24" spans="1:2">
      <c r="A24" s="3" t="s">
        <v>3</v>
      </c>
      <c r="B24" s="5">
        <v>60</v>
      </c>
    </row>
    <row r="25" spans="1:2">
      <c r="A25" s="3" t="s">
        <v>13</v>
      </c>
      <c r="B25" s="5">
        <v>12</v>
      </c>
    </row>
    <row r="26" spans="1:2">
      <c r="A26" s="4" t="s">
        <v>5</v>
      </c>
      <c r="B26" s="4">
        <f>((B24)*5)+(B25)*2</f>
        <v>324</v>
      </c>
    </row>
    <row r="30" spans="1:2" ht="18.75">
      <c r="A30" s="6" t="s">
        <v>15</v>
      </c>
      <c r="B30" s="7"/>
    </row>
    <row r="31" spans="1:2">
      <c r="A31" s="3" t="s">
        <v>3</v>
      </c>
      <c r="B31" s="5"/>
    </row>
    <row r="32" spans="1:2">
      <c r="A32" s="3" t="s">
        <v>13</v>
      </c>
      <c r="B32" s="5"/>
    </row>
    <row r="33" spans="1:2">
      <c r="A33" s="4" t="s">
        <v>5</v>
      </c>
      <c r="B33" s="4">
        <f>((B31)*6)+(B32)*2</f>
        <v>0</v>
      </c>
    </row>
    <row r="37" spans="1:2" ht="18.75">
      <c r="A37" s="6" t="s">
        <v>16</v>
      </c>
      <c r="B37" s="7"/>
    </row>
    <row r="38" spans="1:2">
      <c r="A38" s="3" t="s">
        <v>3</v>
      </c>
      <c r="B38" s="5"/>
    </row>
    <row r="39" spans="1:2">
      <c r="A39" s="3" t="s">
        <v>13</v>
      </c>
      <c r="B39" s="5"/>
    </row>
    <row r="40" spans="1:2">
      <c r="A40" s="4" t="s">
        <v>5</v>
      </c>
      <c r="B40" s="4">
        <f>((B38)*10)+(B39)*3</f>
        <v>0</v>
      </c>
    </row>
  </sheetData>
  <sheetProtection password="F30B" sheet="1" objects="1" scenarios="1"/>
  <mergeCells count="6">
    <mergeCell ref="A37:B37"/>
    <mergeCell ref="A4:B4"/>
    <mergeCell ref="A10:B10"/>
    <mergeCell ref="A16:B16"/>
    <mergeCell ref="A23:B23"/>
    <mergeCell ref="A30:B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zoomScale="80" zoomScaleNormal="80" workbookViewId="0">
      <selection activeCell="B2" sqref="B2"/>
    </sheetView>
  </sheetViews>
  <sheetFormatPr defaultRowHeight="15"/>
  <cols>
    <col min="1" max="1" width="32.7109375" customWidth="1"/>
    <col min="5" max="5" width="22.7109375" customWidth="1"/>
  </cols>
  <sheetData>
    <row r="1" spans="1:6" ht="23.25">
      <c r="A1" s="1" t="s">
        <v>0</v>
      </c>
    </row>
    <row r="2" spans="1:6" ht="18.75">
      <c r="A2" s="2" t="s">
        <v>17</v>
      </c>
    </row>
    <row r="4" spans="1:6" ht="18.75">
      <c r="A4" s="6" t="s">
        <v>18</v>
      </c>
      <c r="B4" s="7"/>
      <c r="E4" s="3" t="s">
        <v>2</v>
      </c>
      <c r="F4" s="5"/>
    </row>
    <row r="5" spans="1:6">
      <c r="A5" s="3" t="s">
        <v>3</v>
      </c>
      <c r="B5" s="5"/>
      <c r="E5" s="3" t="s">
        <v>4</v>
      </c>
      <c r="F5" s="5"/>
    </row>
    <row r="6" spans="1:6">
      <c r="A6" s="4" t="s">
        <v>5</v>
      </c>
      <c r="B6" s="4">
        <f>(B5)*3</f>
        <v>0</v>
      </c>
      <c r="E6" s="3" t="s">
        <v>6</v>
      </c>
      <c r="F6" s="5"/>
    </row>
    <row r="7" spans="1:6">
      <c r="E7" s="3" t="s">
        <v>7</v>
      </c>
      <c r="F7" s="5"/>
    </row>
    <row r="8" spans="1:6">
      <c r="E8" s="3" t="s">
        <v>8</v>
      </c>
      <c r="F8" s="5"/>
    </row>
    <row r="9" spans="1:6">
      <c r="E9" s="3" t="s">
        <v>9</v>
      </c>
      <c r="F9" s="5"/>
    </row>
    <row r="10" spans="1:6" ht="18.75">
      <c r="A10" s="6" t="s">
        <v>19</v>
      </c>
      <c r="B10" s="7"/>
    </row>
    <row r="11" spans="1:6" ht="18.75">
      <c r="A11" s="3" t="s">
        <v>3</v>
      </c>
      <c r="B11" s="5"/>
      <c r="E11" s="2" t="s">
        <v>11</v>
      </c>
      <c r="F11" s="2">
        <f>SUM((F4*B6),(F5*B12),(F6*B19),(F7*B26),(F8*B33),(F9*B40))</f>
        <v>0</v>
      </c>
    </row>
    <row r="12" spans="1:6">
      <c r="A12" s="4" t="s">
        <v>5</v>
      </c>
      <c r="B12" s="4">
        <f>(B11)*4</f>
        <v>0</v>
      </c>
    </row>
    <row r="16" spans="1:6" ht="18.75">
      <c r="A16" s="6" t="s">
        <v>20</v>
      </c>
      <c r="B16" s="7"/>
    </row>
    <row r="17" spans="1:2">
      <c r="A17" s="3" t="s">
        <v>3</v>
      </c>
      <c r="B17" s="5"/>
    </row>
    <row r="18" spans="1:2">
      <c r="A18" s="3" t="s">
        <v>13</v>
      </c>
      <c r="B18" s="5"/>
    </row>
    <row r="19" spans="1:2">
      <c r="A19" s="4" t="s">
        <v>5</v>
      </c>
      <c r="B19" s="4">
        <f>((B17)*6)+(2*B18)</f>
        <v>0</v>
      </c>
    </row>
    <row r="23" spans="1:2" ht="18.75">
      <c r="A23" s="6" t="s">
        <v>21</v>
      </c>
      <c r="B23" s="7"/>
    </row>
    <row r="24" spans="1:2">
      <c r="A24" s="3" t="s">
        <v>3</v>
      </c>
      <c r="B24" s="5"/>
    </row>
    <row r="25" spans="1:2">
      <c r="A25" s="3" t="s">
        <v>13</v>
      </c>
      <c r="B25" s="5"/>
    </row>
    <row r="26" spans="1:2">
      <c r="A26" s="4" t="s">
        <v>5</v>
      </c>
      <c r="B26" s="4">
        <f>((B24)*7)+(B25)*3</f>
        <v>0</v>
      </c>
    </row>
    <row r="30" spans="1:2" ht="18.75">
      <c r="A30" s="6" t="s">
        <v>22</v>
      </c>
      <c r="B30" s="7"/>
    </row>
    <row r="31" spans="1:2">
      <c r="A31" s="3" t="s">
        <v>3</v>
      </c>
      <c r="B31" s="5"/>
    </row>
    <row r="32" spans="1:2">
      <c r="A32" s="3" t="s">
        <v>13</v>
      </c>
      <c r="B32" s="5"/>
    </row>
    <row r="33" spans="1:2">
      <c r="A33" s="4" t="s">
        <v>5</v>
      </c>
      <c r="B33" s="4">
        <f>((B31)*10)+(B32)*3</f>
        <v>0</v>
      </c>
    </row>
    <row r="37" spans="1:2" ht="18.75">
      <c r="A37" s="6" t="s">
        <v>23</v>
      </c>
      <c r="B37" s="7"/>
    </row>
    <row r="38" spans="1:2">
      <c r="A38" s="3" t="s">
        <v>3</v>
      </c>
      <c r="B38" s="5"/>
    </row>
    <row r="39" spans="1:2">
      <c r="A39" s="3" t="s">
        <v>13</v>
      </c>
      <c r="B39" s="5"/>
    </row>
    <row r="40" spans="1:2">
      <c r="A40" s="4" t="s">
        <v>5</v>
      </c>
      <c r="B40" s="4">
        <f>((B38)*15)+(B39)*4</f>
        <v>0</v>
      </c>
    </row>
  </sheetData>
  <mergeCells count="6">
    <mergeCell ref="A37:B37"/>
    <mergeCell ref="A4:B4"/>
    <mergeCell ref="A10:B10"/>
    <mergeCell ref="A16:B16"/>
    <mergeCell ref="A23:B23"/>
    <mergeCell ref="A30:B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D36"/>
  <sheetViews>
    <sheetView topLeftCell="A10" workbookViewId="0">
      <selection activeCell="D29" sqref="D29"/>
    </sheetView>
  </sheetViews>
  <sheetFormatPr defaultRowHeight="15"/>
  <cols>
    <col min="1" max="1" width="19" customWidth="1"/>
    <col min="2" max="2" width="27.140625" customWidth="1"/>
    <col min="3" max="3" width="70.85546875" customWidth="1"/>
    <col min="4" max="4" width="28.42578125" customWidth="1"/>
  </cols>
  <sheetData>
    <row r="1" spans="1:4" ht="23.25">
      <c r="A1" s="1" t="s">
        <v>24</v>
      </c>
    </row>
    <row r="5" spans="1:4" ht="18.75">
      <c r="A5" s="2" t="s">
        <v>25</v>
      </c>
      <c r="B5" s="2" t="s">
        <v>26</v>
      </c>
      <c r="C5" s="2" t="s">
        <v>27</v>
      </c>
      <c r="D5" s="2" t="s">
        <v>28</v>
      </c>
    </row>
    <row r="7" spans="1:4">
      <c r="A7" t="s">
        <v>1</v>
      </c>
      <c r="B7" t="s">
        <v>29</v>
      </c>
      <c r="C7" t="s">
        <v>30</v>
      </c>
      <c r="D7" t="s">
        <v>31</v>
      </c>
    </row>
    <row r="9" spans="1:4">
      <c r="A9" t="s">
        <v>10</v>
      </c>
      <c r="B9" t="s">
        <v>32</v>
      </c>
      <c r="C9" t="s">
        <v>33</v>
      </c>
      <c r="D9" t="s">
        <v>34</v>
      </c>
    </row>
    <row r="11" spans="1:4">
      <c r="A11" t="s">
        <v>12</v>
      </c>
      <c r="B11" t="s">
        <v>35</v>
      </c>
      <c r="C11" t="s">
        <v>36</v>
      </c>
      <c r="D11" t="s">
        <v>37</v>
      </c>
    </row>
    <row r="13" spans="1:4">
      <c r="A13" t="s">
        <v>14</v>
      </c>
      <c r="B13" t="s">
        <v>38</v>
      </c>
      <c r="C13" t="s">
        <v>39</v>
      </c>
      <c r="D13" t="s">
        <v>40</v>
      </c>
    </row>
    <row r="15" spans="1:4">
      <c r="A15" t="s">
        <v>15</v>
      </c>
      <c r="B15" t="s">
        <v>41</v>
      </c>
      <c r="C15" t="s">
        <v>42</v>
      </c>
      <c r="D15" t="s">
        <v>43</v>
      </c>
    </row>
    <row r="17" spans="1:4">
      <c r="A17" t="s">
        <v>16</v>
      </c>
      <c r="B17" t="s">
        <v>44</v>
      </c>
      <c r="C17" t="s">
        <v>45</v>
      </c>
      <c r="D17" t="s">
        <v>46</v>
      </c>
    </row>
    <row r="20" spans="1:4">
      <c r="A20" t="s">
        <v>18</v>
      </c>
      <c r="B20" t="s">
        <v>35</v>
      </c>
      <c r="C20" t="s">
        <v>47</v>
      </c>
      <c r="D20" t="s">
        <v>48</v>
      </c>
    </row>
    <row r="22" spans="1:4">
      <c r="A22" t="s">
        <v>19</v>
      </c>
      <c r="B22" t="s">
        <v>49</v>
      </c>
      <c r="C22" t="s">
        <v>50</v>
      </c>
      <c r="D22" t="s">
        <v>51</v>
      </c>
    </row>
    <row r="24" spans="1:4">
      <c r="A24" t="s">
        <v>20</v>
      </c>
      <c r="B24" t="s">
        <v>38</v>
      </c>
      <c r="C24" t="s">
        <v>42</v>
      </c>
      <c r="D24" t="s">
        <v>43</v>
      </c>
    </row>
    <row r="26" spans="1:4">
      <c r="A26" t="s">
        <v>21</v>
      </c>
      <c r="B26" t="s">
        <v>41</v>
      </c>
      <c r="C26" t="s">
        <v>52</v>
      </c>
      <c r="D26" t="s">
        <v>53</v>
      </c>
    </row>
    <row r="28" spans="1:4">
      <c r="A28" t="s">
        <v>22</v>
      </c>
      <c r="B28" t="s">
        <v>44</v>
      </c>
      <c r="C28" t="s">
        <v>45</v>
      </c>
      <c r="D28" t="s">
        <v>46</v>
      </c>
    </row>
    <row r="30" spans="1:4">
      <c r="A30" t="s">
        <v>23</v>
      </c>
      <c r="B30" t="s">
        <v>54</v>
      </c>
      <c r="C30" t="s">
        <v>55</v>
      </c>
      <c r="D30" t="s">
        <v>56</v>
      </c>
    </row>
    <row r="34" spans="2:3">
      <c r="B34" t="s">
        <v>57</v>
      </c>
      <c r="C34" t="s">
        <v>58</v>
      </c>
    </row>
    <row r="35" spans="2:3">
      <c r="B35" t="s">
        <v>59</v>
      </c>
      <c r="C35" t="s">
        <v>60</v>
      </c>
    </row>
    <row r="36" spans="2:3">
      <c r="B36" t="s">
        <v>61</v>
      </c>
      <c r="C36" t="s">
        <v>62</v>
      </c>
    </row>
  </sheetData>
  <pageMargins left="0.7" right="0.7" top="0.75" bottom="0.75" header="0.3" footer="0.3"/>
  <pageSetup scale="8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19"/>
  <sheetViews>
    <sheetView tabSelected="1" zoomScale="80" zoomScaleNormal="80" workbookViewId="0">
      <selection activeCell="H5" sqref="H5"/>
    </sheetView>
  </sheetViews>
  <sheetFormatPr defaultRowHeight="15"/>
  <cols>
    <col min="1" max="1" width="32.85546875" customWidth="1"/>
    <col min="5" max="5" width="21.85546875" customWidth="1"/>
    <col min="6" max="6" width="11.85546875" customWidth="1"/>
  </cols>
  <sheetData>
    <row r="1" spans="1:6" ht="23.25">
      <c r="A1" s="1" t="s">
        <v>63</v>
      </c>
    </row>
    <row r="4" spans="1:6" ht="18.75">
      <c r="A4" s="6" t="s">
        <v>1</v>
      </c>
      <c r="B4" s="7"/>
      <c r="E4" s="3" t="s">
        <v>2</v>
      </c>
      <c r="F4" s="5"/>
    </row>
    <row r="5" spans="1:6">
      <c r="A5" s="3" t="s">
        <v>3</v>
      </c>
      <c r="B5" s="5"/>
      <c r="E5" s="3" t="s">
        <v>4</v>
      </c>
      <c r="F5" s="5">
        <v>0</v>
      </c>
    </row>
    <row r="6" spans="1:6">
      <c r="A6" s="4" t="s">
        <v>64</v>
      </c>
      <c r="B6" s="4">
        <f>(B5)*2</f>
        <v>0</v>
      </c>
      <c r="E6" s="3" t="s">
        <v>6</v>
      </c>
      <c r="F6" s="5">
        <v>1</v>
      </c>
    </row>
    <row r="10" spans="1:6" ht="18.75">
      <c r="A10" s="6" t="s">
        <v>10</v>
      </c>
      <c r="B10" s="7"/>
    </row>
    <row r="11" spans="1:6" ht="18.75">
      <c r="A11" s="3" t="s">
        <v>3</v>
      </c>
      <c r="B11" s="5">
        <v>60</v>
      </c>
      <c r="E11" s="2" t="s">
        <v>11</v>
      </c>
      <c r="F11" s="2">
        <f>SUM((F4*B6),(F5*B12),(F6*B19))</f>
        <v>264</v>
      </c>
    </row>
    <row r="12" spans="1:6">
      <c r="A12" s="4" t="s">
        <v>64</v>
      </c>
      <c r="B12" s="4">
        <f>(B11)*2.5</f>
        <v>150</v>
      </c>
    </row>
    <row r="16" spans="1:6" ht="18.75">
      <c r="A16" s="6" t="s">
        <v>12</v>
      </c>
      <c r="B16" s="7"/>
    </row>
    <row r="17" spans="1:2">
      <c r="A17" s="3" t="s">
        <v>3</v>
      </c>
      <c r="B17" s="5">
        <v>60</v>
      </c>
    </row>
    <row r="18" spans="1:2">
      <c r="A18" s="3" t="s">
        <v>13</v>
      </c>
      <c r="B18" s="5">
        <v>24</v>
      </c>
    </row>
    <row r="19" spans="1:2">
      <c r="A19" s="4" t="s">
        <v>64</v>
      </c>
      <c r="B19" s="4">
        <f>((B17)*4)+B18</f>
        <v>264</v>
      </c>
    </row>
  </sheetData>
  <sheetProtection password="F30B" sheet="1" objects="1" scenarios="1"/>
  <mergeCells count="3">
    <mergeCell ref="A4:B4"/>
    <mergeCell ref="A10:B10"/>
    <mergeCell ref="A16:B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D21"/>
  <sheetViews>
    <sheetView workbookViewId="0">
      <selection activeCell="A13" sqref="A13"/>
    </sheetView>
  </sheetViews>
  <sheetFormatPr defaultRowHeight="15"/>
  <cols>
    <col min="1" max="1" width="19" customWidth="1"/>
    <col min="2" max="2" width="27.140625" customWidth="1"/>
    <col min="3" max="3" width="70.85546875" customWidth="1"/>
    <col min="4" max="4" width="28.42578125" customWidth="1"/>
  </cols>
  <sheetData>
    <row r="1" spans="1:4" ht="23.25">
      <c r="A1" s="1" t="s">
        <v>65</v>
      </c>
    </row>
    <row r="5" spans="1:4" ht="18.75">
      <c r="A5" s="2" t="s">
        <v>25</v>
      </c>
      <c r="B5" s="2" t="s">
        <v>26</v>
      </c>
      <c r="C5" s="2" t="s">
        <v>27</v>
      </c>
      <c r="D5" s="2" t="s">
        <v>28</v>
      </c>
    </row>
    <row r="7" spans="1:4">
      <c r="A7" t="s">
        <v>1</v>
      </c>
      <c r="B7" t="s">
        <v>29</v>
      </c>
      <c r="C7" t="s">
        <v>66</v>
      </c>
      <c r="D7" t="s">
        <v>34</v>
      </c>
    </row>
    <row r="9" spans="1:4">
      <c r="A9" t="s">
        <v>10</v>
      </c>
      <c r="B9" t="s">
        <v>32</v>
      </c>
      <c r="C9" t="s">
        <v>67</v>
      </c>
      <c r="D9" t="s">
        <v>68</v>
      </c>
    </row>
    <row r="11" spans="1:4">
      <c r="A11" t="s">
        <v>12</v>
      </c>
      <c r="B11" t="s">
        <v>35</v>
      </c>
      <c r="C11" t="s">
        <v>69</v>
      </c>
      <c r="D11" t="s">
        <v>70</v>
      </c>
    </row>
    <row r="19" spans="2:3">
      <c r="B19" t="s">
        <v>57</v>
      </c>
      <c r="C19" t="s">
        <v>58</v>
      </c>
    </row>
    <row r="20" spans="2:3">
      <c r="B20" t="s">
        <v>59</v>
      </c>
      <c r="C20" t="s">
        <v>60</v>
      </c>
    </row>
    <row r="21" spans="2:3">
      <c r="B21" t="s">
        <v>61</v>
      </c>
      <c r="C21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Devin Duvak</dc:creator>
  <cp:keywords/>
  <dc:description/>
  <cp:lastModifiedBy>Hank Kennedy</cp:lastModifiedBy>
  <cp:revision/>
  <dcterms:created xsi:type="dcterms:W3CDTF">2016-12-09T19:23:11Z</dcterms:created>
  <dcterms:modified xsi:type="dcterms:W3CDTF">2025-12-09T22:53:53Z</dcterms:modified>
  <cp:category/>
  <cp:contentStatus/>
</cp:coreProperties>
</file>
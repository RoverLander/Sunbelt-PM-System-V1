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S:\Sales Resources\"/>
    </mc:Choice>
  </mc:AlternateContent>
  <xr:revisionPtr revIDLastSave="0" documentId="13_ncr:1_{8537E0ED-6E7F-4331-A327-595B6F0E47E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C8" i="1" l="1"/>
  <c r="C7" i="1"/>
  <c r="C6" i="1"/>
  <c r="F6" i="1" s="1"/>
  <c r="C4" i="1"/>
  <c r="F4" i="1" s="1"/>
  <c r="C5" i="1"/>
  <c r="F5" i="1" s="1"/>
  <c r="F16" i="1"/>
  <c r="F15" i="1"/>
  <c r="F14" i="1"/>
  <c r="F13" i="1"/>
  <c r="F12" i="1"/>
  <c r="F11" i="1"/>
  <c r="F10" i="1"/>
  <c r="F9" i="1"/>
  <c r="E8" i="1"/>
  <c r="F7" i="1"/>
  <c r="F8" i="1" l="1"/>
  <c r="F17" i="1" s="1"/>
</calcChain>
</file>

<file path=xl/sharedStrings.xml><?xml version="1.0" encoding="utf-8"?>
<sst xmlns="http://schemas.openxmlformats.org/spreadsheetml/2006/main" count="42" uniqueCount="28">
  <si>
    <t>ABAS Part #</t>
  </si>
  <si>
    <t>Description</t>
  </si>
  <si>
    <t>Quantity</t>
  </si>
  <si>
    <t>Unit</t>
  </si>
  <si>
    <t>Cost</t>
  </si>
  <si>
    <t>Total</t>
  </si>
  <si>
    <t>each</t>
  </si>
  <si>
    <t>{11062}</t>
  </si>
  <si>
    <t>STUD 2"X4"X14'</t>
  </si>
  <si>
    <t>{11632}</t>
  </si>
  <si>
    <t>4 X 8 X 5/8" RAWROCK</t>
  </si>
  <si>
    <t>Need a layer under VCG for 2 layers each side of wall.</t>
  </si>
  <si>
    <t>{11350}</t>
  </si>
  <si>
    <t>FIRE STOP CAULK 10.3OZ (1/12)</t>
  </si>
  <si>
    <t>60 x 68 RP/RP HM Door 18 Ga Rated w/Med Adj</t>
  </si>
  <si>
    <t>Precision PHGFL2214 4914A V-Rod Exit Device</t>
  </si>
  <si>
    <t>{11640}</t>
  </si>
  <si>
    <t>VCG - HAMPTON GREY (4 X 8 X 5/8")</t>
  </si>
  <si>
    <t>Wall Length</t>
  </si>
  <si>
    <t>{11064}</t>
  </si>
  <si>
    <t>STUD 2"X4"X92-5/8"</t>
  </si>
  <si>
    <t>Hinges 4.5 x 4.5 NRP 32D (Stainless)</t>
  </si>
  <si>
    <t>LCN 4040XP Closer AL</t>
  </si>
  <si>
    <t>ABH 2100 24V Magnetic Hold Open US28</t>
  </si>
  <si>
    <t>Smokeseal 726S 20'</t>
  </si>
  <si>
    <t>Astragal 802SB 84" Mil Brush</t>
  </si>
  <si>
    <t>Markup %</t>
  </si>
  <si>
    <t>Total w/markup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</si>
</sst>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0" xfId="0" applyAlignment="1">
      <alignment horizontal="right"/>
    </xf>
    <xf numFmtId="0" fontId="0" fillId="2" borderId="0" xfId="0" applyFill="1"/>
    <xf numFmtId="9" fontId="0" fillId="0" borderId="0" xfId="2" applyFont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21" sqref="E21"/>
    </sheetView>
  </sheetViews>
  <sheetFormatPr defaultRowHeight="15" x14ac:dyDescent="0.25"/>
  <cols>
    <col min="2" max="2" width="55.85546875" customWidth="1"/>
    <col min="5" max="5" width="10.5703125" bestFit="1" customWidth="1"/>
    <col min="6" max="6" width="11.5703125" bestFit="1" customWidth="1"/>
  </cols>
  <sheetData>
    <row r="1" spans="1:7" x14ac:dyDescent="0.25">
      <c r="B1" s="2" t="s">
        <v>18</v>
      </c>
      <c r="C1" s="3">
        <v>60</v>
      </c>
    </row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7" x14ac:dyDescent="0.25">
      <c r="A4" t="s">
        <v>19</v>
      </c>
      <c r="B4" t="s">
        <v>20</v>
      </c>
      <c r="C4">
        <f>C1*1.2</f>
        <v>72</v>
      </c>
      <c r="D4" t="s">
        <v>6</v>
      </c>
      <c r="E4" s="1">
        <v>2.74</v>
      </c>
      <c r="F4" s="1">
        <f>C4*E4</f>
        <v>197.28000000000003</v>
      </c>
    </row>
    <row r="5" spans="1:7" x14ac:dyDescent="0.25">
      <c r="A5" t="s">
        <v>7</v>
      </c>
      <c r="B5" t="s">
        <v>8</v>
      </c>
      <c r="C5">
        <f>ROUNDUP(C1*4/14,0)</f>
        <v>18</v>
      </c>
      <c r="D5" t="s">
        <v>6</v>
      </c>
      <c r="E5" s="1">
        <v>5.9</v>
      </c>
      <c r="F5" s="1">
        <f t="shared" ref="F5:F6" si="0">C5*E5</f>
        <v>106.2</v>
      </c>
    </row>
    <row r="6" spans="1:7" x14ac:dyDescent="0.25">
      <c r="A6" t="s">
        <v>16</v>
      </c>
      <c r="B6" t="s">
        <v>17</v>
      </c>
      <c r="C6">
        <f>ROUNDUP(10*C1/32*2,0)</f>
        <v>38</v>
      </c>
      <c r="D6" t="s">
        <v>6</v>
      </c>
      <c r="E6">
        <v>30.19</v>
      </c>
      <c r="F6" s="1">
        <f t="shared" si="0"/>
        <v>1147.22</v>
      </c>
    </row>
    <row r="7" spans="1:7" x14ac:dyDescent="0.25">
      <c r="A7" t="s">
        <v>9</v>
      </c>
      <c r="B7" t="s">
        <v>10</v>
      </c>
      <c r="C7">
        <f>C6</f>
        <v>38</v>
      </c>
      <c r="D7" t="s">
        <v>6</v>
      </c>
      <c r="E7" s="1">
        <v>13.28</v>
      </c>
      <c r="F7" s="1">
        <f>C7*E7</f>
        <v>504.64</v>
      </c>
      <c r="G7" t="s">
        <v>11</v>
      </c>
    </row>
    <row r="8" spans="1:7" x14ac:dyDescent="0.25">
      <c r="A8" t="s">
        <v>12</v>
      </c>
      <c r="B8" t="s">
        <v>13</v>
      </c>
      <c r="C8">
        <f>ROUNDUP(SUM(C6:C7)/8,0)</f>
        <v>10</v>
      </c>
      <c r="D8" t="s">
        <v>6</v>
      </c>
      <c r="E8" s="1">
        <f>139.2/12</f>
        <v>11.6</v>
      </c>
      <c r="F8" s="1">
        <f>C8*E8</f>
        <v>116</v>
      </c>
    </row>
    <row r="9" spans="1:7" x14ac:dyDescent="0.25">
      <c r="B9" t="s">
        <v>14</v>
      </c>
      <c r="C9">
        <v>1</v>
      </c>
      <c r="D9" t="s">
        <v>6</v>
      </c>
      <c r="E9" s="1">
        <v>953</v>
      </c>
      <c r="F9" s="1">
        <f>C9*E9</f>
        <v>953</v>
      </c>
    </row>
    <row r="10" spans="1:7" x14ac:dyDescent="0.25">
      <c r="B10" t="s">
        <v>21</v>
      </c>
      <c r="C10">
        <v>6</v>
      </c>
      <c r="D10" t="s">
        <v>6</v>
      </c>
      <c r="E10" s="1">
        <v>15.8</v>
      </c>
      <c r="F10" s="1">
        <f>C10*E10</f>
        <v>94.800000000000011</v>
      </c>
    </row>
    <row r="11" spans="1:7" x14ac:dyDescent="0.25">
      <c r="B11" t="s">
        <v>22</v>
      </c>
      <c r="C11">
        <v>2</v>
      </c>
      <c r="D11" t="s">
        <v>6</v>
      </c>
      <c r="E11" s="1">
        <v>595</v>
      </c>
      <c r="F11" s="1">
        <f>C11*E11</f>
        <v>1190</v>
      </c>
    </row>
    <row r="12" spans="1:7" x14ac:dyDescent="0.25">
      <c r="B12" t="s">
        <v>15</v>
      </c>
      <c r="C12">
        <v>1</v>
      </c>
      <c r="D12" t="s">
        <v>6</v>
      </c>
      <c r="E12" s="1">
        <v>2970</v>
      </c>
      <c r="F12" s="1">
        <f>C12*E12</f>
        <v>2970</v>
      </c>
    </row>
    <row r="13" spans="1:7" x14ac:dyDescent="0.25">
      <c r="B13" t="s">
        <v>15</v>
      </c>
      <c r="C13">
        <v>1</v>
      </c>
      <c r="D13" t="s">
        <v>6</v>
      </c>
      <c r="E13" s="1">
        <v>2970</v>
      </c>
      <c r="F13" s="1">
        <f>C13*E13</f>
        <v>2970</v>
      </c>
    </row>
    <row r="14" spans="1:7" x14ac:dyDescent="0.25">
      <c r="B14" t="s">
        <v>23</v>
      </c>
      <c r="C14">
        <v>2</v>
      </c>
      <c r="D14" t="s">
        <v>6</v>
      </c>
      <c r="E14" s="1">
        <v>135</v>
      </c>
      <c r="F14" s="1">
        <f>C14*E14</f>
        <v>270</v>
      </c>
    </row>
    <row r="15" spans="1:7" x14ac:dyDescent="0.25">
      <c r="B15" t="s">
        <v>24</v>
      </c>
      <c r="C15">
        <v>1</v>
      </c>
      <c r="D15" t="s">
        <v>6</v>
      </c>
      <c r="E15" s="1">
        <v>30</v>
      </c>
      <c r="F15" s="1">
        <f>C15*E15</f>
        <v>30</v>
      </c>
    </row>
    <row r="16" spans="1:7" x14ac:dyDescent="0.25">
      <c r="B16" t="s">
        <v>25</v>
      </c>
      <c r="C16">
        <v>2</v>
      </c>
      <c r="D16" t="s">
        <v>6</v>
      </c>
      <c r="E16" s="1">
        <v>30</v>
      </c>
      <c r="F16" s="1">
        <f>C16*E16</f>
        <v>60</v>
      </c>
    </row>
    <row r="17" spans="5:6" x14ac:dyDescent="0.25">
      <c r="E17" t="s">
        <v>5</v>
      </c>
      <c r="F17" s="1">
        <f>SUM(F3:F16)</f>
        <v>10609.14</v>
      </c>
    </row>
    <row r="19" spans="5:6" x14ac:dyDescent="0.25">
      <c r="E19" t="s">
        <v>26</v>
      </c>
      <c r="F19" s="4">
        <v>0.47</v>
      </c>
    </row>
    <row r="20" spans="5:6" x14ac:dyDescent="0.25">
      <c r="E20" t="s">
        <v>27</v>
      </c>
      <c r="F20" s="5">
        <f>F17*(1+F19)</f>
        <v>15595.435799999999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Quintana</dc:creator>
  <cp:lastModifiedBy>Mitch Quintana</cp:lastModifiedBy>
  <dcterms:created xsi:type="dcterms:W3CDTF">2015-06-05T18:17:20Z</dcterms:created>
  <dcterms:modified xsi:type="dcterms:W3CDTF">2024-03-27T13:52:10Z</dcterms:modified>
</cp:coreProperties>
</file>
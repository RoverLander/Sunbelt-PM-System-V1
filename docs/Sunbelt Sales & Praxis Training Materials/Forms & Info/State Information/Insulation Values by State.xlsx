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unbeltmod-my.sharepoint.com/personal/mitch_quintana_nwbsinc_com/Documents/Sunbelt Sales &amp; Praxis Training Materials/Forms &amp; Info/State Information/"/>
    </mc:Choice>
  </mc:AlternateContent>
  <xr:revisionPtr revIDLastSave="4" documentId="13_ncr:1_{4083DDFD-20BE-488A-BD1A-65954A13A88C}" xr6:coauthVersionLast="47" xr6:coauthVersionMax="47" xr10:uidLastSave="{210FFAD6-990F-4795-8E66-90E3BB841268}"/>
  <bookViews>
    <workbookView xWindow="-108" yWindow="-108" windowWidth="23256" windowHeight="12576" firstSheet="2" activeTab="2" xr2:uid="{00000000-000D-0000-FFFF-FFFF00000000}"/>
  </bookViews>
  <sheets>
    <sheet name="List" sheetId="3" state="hidden" r:id="rId1"/>
    <sheet name="Sheet1" sheetId="1" state="hidden" r:id="rId2"/>
    <sheet name="Envelope Requireme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6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2" i="3"/>
</calcChain>
</file>

<file path=xl/sharedStrings.xml><?xml version="1.0" encoding="utf-8"?>
<sst xmlns="http://schemas.openxmlformats.org/spreadsheetml/2006/main" count="466" uniqueCount="49">
  <si>
    <t>Zone 5</t>
  </si>
  <si>
    <t>Zone 6</t>
  </si>
  <si>
    <t>Zone 7</t>
  </si>
  <si>
    <t>Idaho</t>
  </si>
  <si>
    <t>Oregon</t>
  </si>
  <si>
    <t>Washington</t>
  </si>
  <si>
    <t>Wyoming</t>
  </si>
  <si>
    <t>Montana</t>
  </si>
  <si>
    <t>Utah</t>
  </si>
  <si>
    <t>Floor</t>
  </si>
  <si>
    <t>Walls</t>
  </si>
  <si>
    <t>Roof</t>
  </si>
  <si>
    <t>R30</t>
  </si>
  <si>
    <t>R21</t>
  </si>
  <si>
    <t>R38</t>
  </si>
  <si>
    <t>R21+CI3.2</t>
  </si>
  <si>
    <t>R21+CI3.8</t>
  </si>
  <si>
    <t>R51</t>
  </si>
  <si>
    <t>-</t>
  </si>
  <si>
    <t>Nevada</t>
  </si>
  <si>
    <t>Colorado</t>
  </si>
  <si>
    <t>R60</t>
  </si>
  <si>
    <t>R30+CI20</t>
  </si>
  <si>
    <t>R19+CI20</t>
  </si>
  <si>
    <t>CI25</t>
  </si>
  <si>
    <t>CI30</t>
  </si>
  <si>
    <t>R30+CI30</t>
  </si>
  <si>
    <t>R30+CI25</t>
  </si>
  <si>
    <t>CI R-Max Thickness</t>
  </si>
  <si>
    <t>CI3.2</t>
  </si>
  <si>
    <t>0.5"</t>
  </si>
  <si>
    <t>CI3.8</t>
  </si>
  <si>
    <t>0.75"</t>
  </si>
  <si>
    <t>CI20</t>
  </si>
  <si>
    <t>3.5"</t>
  </si>
  <si>
    <t>4.25"</t>
  </si>
  <si>
    <t>State</t>
  </si>
  <si>
    <t>Zone</t>
  </si>
  <si>
    <t>Vented?</t>
  </si>
  <si>
    <t>Vented</t>
  </si>
  <si>
    <t>Unvented</t>
  </si>
  <si>
    <t>Climate Zone</t>
  </si>
  <si>
    <t>Floor R Value</t>
  </si>
  <si>
    <t>Wall R Value</t>
  </si>
  <si>
    <t>Roof R Value</t>
  </si>
  <si>
    <t>Score</t>
  </si>
  <si>
    <t>Value</t>
  </si>
  <si>
    <t>Two Layers of 2.6"</t>
  </si>
  <si>
    <t>For 4.25" and 2.6", assume order minimum of 3520 sqft.  Talk to Sika for pricing.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</si>
</sst>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2" xfId="0" applyFill="1" applyBorder="1"/>
    <xf numFmtId="0" fontId="0" fillId="3" borderId="4" xfId="0" applyFill="1" applyBorder="1"/>
    <xf numFmtId="0" fontId="0" fillId="3" borderId="6" xfId="0" applyFill="1" applyBorder="1"/>
    <xf numFmtId="0" fontId="0" fillId="4" borderId="1" xfId="0" applyFill="1" applyBorder="1"/>
    <xf numFmtId="0" fontId="0" fillId="6" borderId="3" xfId="0" applyFill="1" applyBorder="1"/>
    <xf numFmtId="0" fontId="0" fillId="6" borderId="5" xfId="0" applyFill="1" applyBorder="1"/>
    <xf numFmtId="0" fontId="0" fillId="6" borderId="7" xfId="0" applyFill="1" applyBorder="1"/>
    <xf numFmtId="0" fontId="0" fillId="2" borderId="3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3" borderId="0" xfId="0" applyFill="1"/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173E-D8F6-4993-9CA9-4393F41854F7}">
  <dimension ref="A1:Q49"/>
  <sheetViews>
    <sheetView workbookViewId="0">
      <selection activeCell="G27" sqref="G27"/>
    </sheetView>
  </sheetViews>
  <sheetFormatPr defaultRowHeight="14.4" x14ac:dyDescent="0.3"/>
  <cols>
    <col min="1" max="1" width="16.6640625" bestFit="1" customWidth="1"/>
    <col min="3" max="4" width="16.6640625" customWidth="1"/>
    <col min="8" max="8" width="1" customWidth="1"/>
    <col min="12" max="12" width="1.109375" customWidth="1"/>
  </cols>
  <sheetData>
    <row r="1" spans="1:17" x14ac:dyDescent="0.3">
      <c r="A1" t="s">
        <v>36</v>
      </c>
      <c r="B1" t="s">
        <v>45</v>
      </c>
      <c r="C1" t="s">
        <v>38</v>
      </c>
      <c r="D1" t="s">
        <v>37</v>
      </c>
      <c r="E1" t="s">
        <v>9</v>
      </c>
      <c r="F1" t="s">
        <v>10</v>
      </c>
      <c r="G1" t="s">
        <v>11</v>
      </c>
      <c r="P1" t="s">
        <v>36</v>
      </c>
      <c r="Q1" t="s">
        <v>46</v>
      </c>
    </row>
    <row r="2" spans="1:17" x14ac:dyDescent="0.3">
      <c r="A2" t="s">
        <v>3</v>
      </c>
      <c r="B2">
        <f>+IF(C2="Vented",2,1)*D2+VLOOKUP(A2,$P$1:$Q$9,2,FALSE)</f>
        <v>110</v>
      </c>
      <c r="C2" t="s">
        <v>39</v>
      </c>
      <c r="D2">
        <v>5</v>
      </c>
      <c r="E2" t="s">
        <v>12</v>
      </c>
      <c r="F2" t="s">
        <v>13</v>
      </c>
      <c r="G2" t="s">
        <v>14</v>
      </c>
      <c r="P2" t="s">
        <v>3</v>
      </c>
      <c r="Q2">
        <v>100</v>
      </c>
    </row>
    <row r="3" spans="1:17" x14ac:dyDescent="0.3">
      <c r="A3" t="s">
        <v>4</v>
      </c>
      <c r="B3">
        <f t="shared" ref="B3:B49" si="0">+IF(C3="Vented",2,1)*D3+VLOOKUP(A3,$P$1:$Q$9,2,FALSE)</f>
        <v>210</v>
      </c>
      <c r="C3" t="s">
        <v>39</v>
      </c>
      <c r="D3">
        <v>5</v>
      </c>
      <c r="E3" t="s">
        <v>12</v>
      </c>
      <c r="F3" t="s">
        <v>15</v>
      </c>
      <c r="G3" t="s">
        <v>17</v>
      </c>
      <c r="P3" t="s">
        <v>4</v>
      </c>
      <c r="Q3">
        <v>200</v>
      </c>
    </row>
    <row r="4" spans="1:17" x14ac:dyDescent="0.3">
      <c r="A4" t="s">
        <v>5</v>
      </c>
      <c r="B4">
        <f t="shared" si="0"/>
        <v>310</v>
      </c>
      <c r="C4" t="s">
        <v>39</v>
      </c>
      <c r="D4">
        <v>5</v>
      </c>
      <c r="E4" t="s">
        <v>12</v>
      </c>
      <c r="F4" t="s">
        <v>16</v>
      </c>
      <c r="G4" t="s">
        <v>17</v>
      </c>
      <c r="P4" t="s">
        <v>5</v>
      </c>
      <c r="Q4">
        <v>300</v>
      </c>
    </row>
    <row r="5" spans="1:17" x14ac:dyDescent="0.3">
      <c r="A5" t="s">
        <v>6</v>
      </c>
      <c r="B5">
        <f t="shared" si="0"/>
        <v>410</v>
      </c>
      <c r="C5" t="s">
        <v>39</v>
      </c>
      <c r="D5">
        <v>5</v>
      </c>
      <c r="E5" t="s">
        <v>12</v>
      </c>
      <c r="F5" t="s">
        <v>16</v>
      </c>
      <c r="G5" t="s">
        <v>17</v>
      </c>
      <c r="P5" t="s">
        <v>6</v>
      </c>
      <c r="Q5">
        <v>400</v>
      </c>
    </row>
    <row r="6" spans="1:17" x14ac:dyDescent="0.3">
      <c r="A6" t="s">
        <v>7</v>
      </c>
      <c r="B6">
        <f t="shared" si="0"/>
        <v>510</v>
      </c>
      <c r="C6" t="s">
        <v>39</v>
      </c>
      <c r="D6">
        <v>5</v>
      </c>
      <c r="E6" t="s">
        <v>12</v>
      </c>
      <c r="F6" t="s">
        <v>16</v>
      </c>
      <c r="G6" t="s">
        <v>17</v>
      </c>
      <c r="P6" t="s">
        <v>7</v>
      </c>
      <c r="Q6">
        <v>500</v>
      </c>
    </row>
    <row r="7" spans="1:17" x14ac:dyDescent="0.3">
      <c r="A7" t="s">
        <v>8</v>
      </c>
      <c r="B7">
        <f t="shared" si="0"/>
        <v>610</v>
      </c>
      <c r="C7" t="s">
        <v>39</v>
      </c>
      <c r="D7">
        <v>5</v>
      </c>
      <c r="E7" t="s">
        <v>12</v>
      </c>
      <c r="F7" t="s">
        <v>16</v>
      </c>
      <c r="G7" t="s">
        <v>17</v>
      </c>
      <c r="P7" t="s">
        <v>8</v>
      </c>
      <c r="Q7">
        <v>600</v>
      </c>
    </row>
    <row r="8" spans="1:17" x14ac:dyDescent="0.3">
      <c r="A8" t="s">
        <v>19</v>
      </c>
      <c r="B8">
        <f t="shared" si="0"/>
        <v>710</v>
      </c>
      <c r="C8" t="s">
        <v>39</v>
      </c>
      <c r="D8">
        <v>5</v>
      </c>
      <c r="E8" t="s">
        <v>12</v>
      </c>
      <c r="F8" t="s">
        <v>16</v>
      </c>
      <c r="G8" t="s">
        <v>17</v>
      </c>
      <c r="P8" t="s">
        <v>19</v>
      </c>
      <c r="Q8">
        <v>700</v>
      </c>
    </row>
    <row r="9" spans="1:17" x14ac:dyDescent="0.3">
      <c r="A9" t="s">
        <v>20</v>
      </c>
      <c r="B9">
        <f t="shared" si="0"/>
        <v>810</v>
      </c>
      <c r="C9" t="s">
        <v>39</v>
      </c>
      <c r="D9">
        <v>5</v>
      </c>
      <c r="E9" t="s">
        <v>12</v>
      </c>
      <c r="F9" t="s">
        <v>16</v>
      </c>
      <c r="G9" t="s">
        <v>17</v>
      </c>
      <c r="P9" t="s">
        <v>20</v>
      </c>
      <c r="Q9">
        <v>800</v>
      </c>
    </row>
    <row r="10" spans="1:17" x14ac:dyDescent="0.3">
      <c r="A10" t="s">
        <v>3</v>
      </c>
      <c r="B10">
        <f t="shared" si="0"/>
        <v>105</v>
      </c>
      <c r="C10" t="s">
        <v>40</v>
      </c>
      <c r="D10">
        <v>5</v>
      </c>
      <c r="E10" t="s">
        <v>12</v>
      </c>
      <c r="F10" t="s">
        <v>13</v>
      </c>
      <c r="G10" t="s">
        <v>23</v>
      </c>
    </row>
    <row r="11" spans="1:17" x14ac:dyDescent="0.3">
      <c r="A11" t="s">
        <v>4</v>
      </c>
      <c r="B11">
        <f t="shared" si="0"/>
        <v>205</v>
      </c>
      <c r="C11" t="s">
        <v>40</v>
      </c>
      <c r="D11">
        <v>5</v>
      </c>
      <c r="E11" t="s">
        <v>12</v>
      </c>
      <c r="F11" t="s">
        <v>15</v>
      </c>
      <c r="G11" t="s">
        <v>22</v>
      </c>
    </row>
    <row r="12" spans="1:17" x14ac:dyDescent="0.3">
      <c r="A12" t="s">
        <v>5</v>
      </c>
      <c r="B12">
        <f t="shared" si="0"/>
        <v>305</v>
      </c>
      <c r="C12" t="s">
        <v>40</v>
      </c>
      <c r="D12">
        <v>5</v>
      </c>
      <c r="E12" t="s">
        <v>12</v>
      </c>
      <c r="F12" t="s">
        <v>16</v>
      </c>
      <c r="G12" t="s">
        <v>22</v>
      </c>
    </row>
    <row r="13" spans="1:17" x14ac:dyDescent="0.3">
      <c r="A13" t="s">
        <v>6</v>
      </c>
      <c r="B13">
        <f t="shared" si="0"/>
        <v>405</v>
      </c>
      <c r="C13" t="s">
        <v>40</v>
      </c>
      <c r="D13">
        <v>5</v>
      </c>
      <c r="E13" t="s">
        <v>12</v>
      </c>
      <c r="F13" t="s">
        <v>16</v>
      </c>
      <c r="G13" t="s">
        <v>22</v>
      </c>
    </row>
    <row r="14" spans="1:17" x14ac:dyDescent="0.3">
      <c r="A14" t="s">
        <v>7</v>
      </c>
      <c r="B14">
        <f t="shared" si="0"/>
        <v>505</v>
      </c>
      <c r="C14" t="s">
        <v>40</v>
      </c>
      <c r="D14">
        <v>5</v>
      </c>
      <c r="E14" t="s">
        <v>12</v>
      </c>
      <c r="F14" t="s">
        <v>16</v>
      </c>
      <c r="G14" t="s">
        <v>22</v>
      </c>
    </row>
    <row r="15" spans="1:17" x14ac:dyDescent="0.3">
      <c r="A15" t="s">
        <v>8</v>
      </c>
      <c r="B15">
        <f t="shared" si="0"/>
        <v>605</v>
      </c>
      <c r="C15" t="s">
        <v>40</v>
      </c>
      <c r="D15">
        <v>5</v>
      </c>
      <c r="E15" t="s">
        <v>12</v>
      </c>
      <c r="F15" t="s">
        <v>16</v>
      </c>
      <c r="G15" t="s">
        <v>22</v>
      </c>
    </row>
    <row r="16" spans="1:17" x14ac:dyDescent="0.3">
      <c r="A16" t="s">
        <v>19</v>
      </c>
      <c r="B16">
        <f t="shared" si="0"/>
        <v>705</v>
      </c>
      <c r="C16" t="s">
        <v>40</v>
      </c>
      <c r="D16">
        <v>5</v>
      </c>
      <c r="E16" t="s">
        <v>12</v>
      </c>
      <c r="F16" t="s">
        <v>16</v>
      </c>
      <c r="G16" t="s">
        <v>22</v>
      </c>
    </row>
    <row r="17" spans="1:7" x14ac:dyDescent="0.3">
      <c r="A17" t="s">
        <v>20</v>
      </c>
      <c r="B17">
        <f t="shared" si="0"/>
        <v>805</v>
      </c>
      <c r="C17" t="s">
        <v>40</v>
      </c>
      <c r="D17">
        <v>5</v>
      </c>
      <c r="E17" t="s">
        <v>12</v>
      </c>
      <c r="F17" t="s">
        <v>16</v>
      </c>
      <c r="G17" t="s">
        <v>22</v>
      </c>
    </row>
    <row r="18" spans="1:7" x14ac:dyDescent="0.3">
      <c r="A18" t="s">
        <v>3</v>
      </c>
      <c r="B18">
        <f t="shared" si="0"/>
        <v>112</v>
      </c>
      <c r="C18" t="s">
        <v>39</v>
      </c>
      <c r="D18">
        <v>6</v>
      </c>
      <c r="E18" t="s">
        <v>12</v>
      </c>
      <c r="F18" t="s">
        <v>15</v>
      </c>
      <c r="G18" t="s">
        <v>17</v>
      </c>
    </row>
    <row r="19" spans="1:7" x14ac:dyDescent="0.3">
      <c r="A19" t="s">
        <v>4</v>
      </c>
      <c r="B19">
        <f t="shared" si="0"/>
        <v>212</v>
      </c>
      <c r="C19" t="s">
        <v>39</v>
      </c>
      <c r="D19">
        <v>6</v>
      </c>
      <c r="E19" t="s">
        <v>18</v>
      </c>
      <c r="F19" t="s">
        <v>18</v>
      </c>
      <c r="G19" t="s">
        <v>18</v>
      </c>
    </row>
    <row r="20" spans="1:7" x14ac:dyDescent="0.3">
      <c r="A20" t="s">
        <v>5</v>
      </c>
      <c r="B20">
        <f t="shared" si="0"/>
        <v>312</v>
      </c>
      <c r="C20" t="s">
        <v>39</v>
      </c>
      <c r="D20">
        <v>6</v>
      </c>
      <c r="E20" t="s">
        <v>12</v>
      </c>
      <c r="F20" t="s">
        <v>16</v>
      </c>
      <c r="G20" t="s">
        <v>17</v>
      </c>
    </row>
    <row r="21" spans="1:7" x14ac:dyDescent="0.3">
      <c r="A21" t="s">
        <v>6</v>
      </c>
      <c r="B21">
        <f t="shared" si="0"/>
        <v>412</v>
      </c>
      <c r="C21" t="s">
        <v>39</v>
      </c>
      <c r="D21">
        <v>6</v>
      </c>
      <c r="E21" t="s">
        <v>12</v>
      </c>
      <c r="F21" t="s">
        <v>16</v>
      </c>
      <c r="G21" t="s">
        <v>17</v>
      </c>
    </row>
    <row r="22" spans="1:7" x14ac:dyDescent="0.3">
      <c r="A22" t="s">
        <v>7</v>
      </c>
      <c r="B22">
        <f t="shared" si="0"/>
        <v>512</v>
      </c>
      <c r="C22" t="s">
        <v>39</v>
      </c>
      <c r="D22">
        <v>6</v>
      </c>
      <c r="E22" t="s">
        <v>12</v>
      </c>
      <c r="F22" t="s">
        <v>16</v>
      </c>
      <c r="G22" t="s">
        <v>17</v>
      </c>
    </row>
    <row r="23" spans="1:7" x14ac:dyDescent="0.3">
      <c r="A23" t="s">
        <v>8</v>
      </c>
      <c r="B23">
        <f t="shared" si="0"/>
        <v>612</v>
      </c>
      <c r="C23" t="s">
        <v>39</v>
      </c>
      <c r="D23">
        <v>6</v>
      </c>
      <c r="E23" t="s">
        <v>12</v>
      </c>
      <c r="F23" t="s">
        <v>16</v>
      </c>
      <c r="G23" t="s">
        <v>17</v>
      </c>
    </row>
    <row r="24" spans="1:7" x14ac:dyDescent="0.3">
      <c r="A24" t="s">
        <v>19</v>
      </c>
      <c r="B24">
        <f t="shared" si="0"/>
        <v>712</v>
      </c>
      <c r="C24" t="s">
        <v>39</v>
      </c>
      <c r="D24">
        <v>6</v>
      </c>
      <c r="E24" t="s">
        <v>18</v>
      </c>
      <c r="F24" t="s">
        <v>18</v>
      </c>
      <c r="G24" t="s">
        <v>18</v>
      </c>
    </row>
    <row r="25" spans="1:7" x14ac:dyDescent="0.3">
      <c r="A25" t="s">
        <v>20</v>
      </c>
      <c r="B25">
        <f t="shared" si="0"/>
        <v>812</v>
      </c>
      <c r="C25" t="s">
        <v>39</v>
      </c>
      <c r="D25">
        <v>6</v>
      </c>
      <c r="E25" t="s">
        <v>12</v>
      </c>
      <c r="F25" t="s">
        <v>16</v>
      </c>
      <c r="G25" t="s">
        <v>17</v>
      </c>
    </row>
    <row r="26" spans="1:7" x14ac:dyDescent="0.3">
      <c r="A26" t="s">
        <v>3</v>
      </c>
      <c r="B26">
        <f t="shared" si="0"/>
        <v>106</v>
      </c>
      <c r="C26" t="s">
        <v>40</v>
      </c>
      <c r="D26">
        <v>6</v>
      </c>
      <c r="E26" t="s">
        <v>12</v>
      </c>
      <c r="F26" t="s">
        <v>15</v>
      </c>
      <c r="G26" t="s">
        <v>22</v>
      </c>
    </row>
    <row r="27" spans="1:7" x14ac:dyDescent="0.3">
      <c r="A27" t="s">
        <v>4</v>
      </c>
      <c r="B27">
        <f t="shared" si="0"/>
        <v>206</v>
      </c>
      <c r="C27" t="s">
        <v>40</v>
      </c>
      <c r="D27">
        <v>6</v>
      </c>
      <c r="E27" t="s">
        <v>18</v>
      </c>
      <c r="F27" t="s">
        <v>18</v>
      </c>
      <c r="G27" t="s">
        <v>18</v>
      </c>
    </row>
    <row r="28" spans="1:7" x14ac:dyDescent="0.3">
      <c r="A28" t="s">
        <v>5</v>
      </c>
      <c r="B28">
        <f t="shared" si="0"/>
        <v>306</v>
      </c>
      <c r="C28" t="s">
        <v>40</v>
      </c>
      <c r="D28">
        <v>6</v>
      </c>
      <c r="E28" t="s">
        <v>12</v>
      </c>
      <c r="F28" t="s">
        <v>16</v>
      </c>
      <c r="G28" t="s">
        <v>27</v>
      </c>
    </row>
    <row r="29" spans="1:7" x14ac:dyDescent="0.3">
      <c r="A29" t="s">
        <v>6</v>
      </c>
      <c r="B29">
        <f t="shared" si="0"/>
        <v>406</v>
      </c>
      <c r="C29" t="s">
        <v>40</v>
      </c>
      <c r="D29">
        <v>6</v>
      </c>
      <c r="E29" t="s">
        <v>12</v>
      </c>
      <c r="F29" t="s">
        <v>16</v>
      </c>
      <c r="G29" t="s">
        <v>27</v>
      </c>
    </row>
    <row r="30" spans="1:7" x14ac:dyDescent="0.3">
      <c r="A30" t="s">
        <v>7</v>
      </c>
      <c r="B30">
        <f t="shared" si="0"/>
        <v>506</v>
      </c>
      <c r="C30" t="s">
        <v>40</v>
      </c>
      <c r="D30">
        <v>6</v>
      </c>
      <c r="E30" t="s">
        <v>12</v>
      </c>
      <c r="F30" t="s">
        <v>16</v>
      </c>
      <c r="G30" t="s">
        <v>27</v>
      </c>
    </row>
    <row r="31" spans="1:7" x14ac:dyDescent="0.3">
      <c r="A31" t="s">
        <v>8</v>
      </c>
      <c r="B31">
        <f t="shared" si="0"/>
        <v>606</v>
      </c>
      <c r="C31" t="s">
        <v>40</v>
      </c>
      <c r="D31">
        <v>6</v>
      </c>
      <c r="E31" t="s">
        <v>12</v>
      </c>
      <c r="F31" t="s">
        <v>16</v>
      </c>
      <c r="G31" t="s">
        <v>27</v>
      </c>
    </row>
    <row r="32" spans="1:7" x14ac:dyDescent="0.3">
      <c r="A32" t="s">
        <v>19</v>
      </c>
      <c r="B32">
        <f t="shared" si="0"/>
        <v>706</v>
      </c>
      <c r="C32" t="s">
        <v>40</v>
      </c>
      <c r="D32">
        <v>6</v>
      </c>
      <c r="E32" t="s">
        <v>18</v>
      </c>
      <c r="F32" t="s">
        <v>18</v>
      </c>
      <c r="G32" t="s">
        <v>18</v>
      </c>
    </row>
    <row r="33" spans="1:7" x14ac:dyDescent="0.3">
      <c r="A33" t="s">
        <v>20</v>
      </c>
      <c r="B33">
        <f t="shared" si="0"/>
        <v>806</v>
      </c>
      <c r="C33" t="s">
        <v>40</v>
      </c>
      <c r="D33">
        <v>6</v>
      </c>
      <c r="E33" t="s">
        <v>12</v>
      </c>
      <c r="F33" t="s">
        <v>16</v>
      </c>
      <c r="G33" t="s">
        <v>27</v>
      </c>
    </row>
    <row r="34" spans="1:7" x14ac:dyDescent="0.3">
      <c r="A34" t="s">
        <v>3</v>
      </c>
      <c r="B34">
        <f t="shared" si="0"/>
        <v>114</v>
      </c>
      <c r="C34" t="s">
        <v>39</v>
      </c>
      <c r="D34">
        <v>7</v>
      </c>
      <c r="E34" t="s">
        <v>18</v>
      </c>
      <c r="F34" t="s">
        <v>18</v>
      </c>
      <c r="G34" t="s">
        <v>18</v>
      </c>
    </row>
    <row r="35" spans="1:7" x14ac:dyDescent="0.3">
      <c r="A35" t="s">
        <v>4</v>
      </c>
      <c r="B35">
        <f t="shared" si="0"/>
        <v>214</v>
      </c>
      <c r="C35" t="s">
        <v>39</v>
      </c>
      <c r="D35">
        <v>7</v>
      </c>
      <c r="E35" t="s">
        <v>18</v>
      </c>
      <c r="F35" t="s">
        <v>18</v>
      </c>
      <c r="G35" t="s">
        <v>18</v>
      </c>
    </row>
    <row r="36" spans="1:7" x14ac:dyDescent="0.3">
      <c r="A36" t="s">
        <v>5</v>
      </c>
      <c r="B36">
        <f t="shared" si="0"/>
        <v>314</v>
      </c>
      <c r="C36" t="s">
        <v>39</v>
      </c>
      <c r="D36">
        <v>7</v>
      </c>
      <c r="E36" t="s">
        <v>18</v>
      </c>
      <c r="F36" t="s">
        <v>18</v>
      </c>
      <c r="G36" t="s">
        <v>18</v>
      </c>
    </row>
    <row r="37" spans="1:7" x14ac:dyDescent="0.3">
      <c r="A37" t="s">
        <v>6</v>
      </c>
      <c r="B37">
        <f t="shared" si="0"/>
        <v>414</v>
      </c>
      <c r="C37" t="s">
        <v>39</v>
      </c>
      <c r="D37">
        <v>7</v>
      </c>
      <c r="E37" t="s">
        <v>14</v>
      </c>
      <c r="F37" t="s">
        <v>16</v>
      </c>
      <c r="G37" t="s">
        <v>21</v>
      </c>
    </row>
    <row r="38" spans="1:7" x14ac:dyDescent="0.3">
      <c r="A38" t="s">
        <v>7</v>
      </c>
      <c r="B38">
        <f t="shared" si="0"/>
        <v>514</v>
      </c>
      <c r="C38" t="s">
        <v>39</v>
      </c>
      <c r="D38">
        <v>7</v>
      </c>
      <c r="E38" t="s">
        <v>18</v>
      </c>
      <c r="F38" t="s">
        <v>18</v>
      </c>
      <c r="G38" t="s">
        <v>18</v>
      </c>
    </row>
    <row r="39" spans="1:7" x14ac:dyDescent="0.3">
      <c r="A39" t="s">
        <v>8</v>
      </c>
      <c r="B39">
        <f t="shared" si="0"/>
        <v>614</v>
      </c>
      <c r="C39" t="s">
        <v>39</v>
      </c>
      <c r="D39">
        <v>7</v>
      </c>
      <c r="E39" t="s">
        <v>18</v>
      </c>
      <c r="F39" t="s">
        <v>18</v>
      </c>
      <c r="G39" t="s">
        <v>18</v>
      </c>
    </row>
    <row r="40" spans="1:7" x14ac:dyDescent="0.3">
      <c r="A40" t="s">
        <v>19</v>
      </c>
      <c r="B40">
        <f t="shared" si="0"/>
        <v>714</v>
      </c>
      <c r="C40" t="s">
        <v>39</v>
      </c>
      <c r="D40">
        <v>7</v>
      </c>
      <c r="E40" t="s">
        <v>18</v>
      </c>
      <c r="F40" t="s">
        <v>18</v>
      </c>
      <c r="G40" t="s">
        <v>18</v>
      </c>
    </row>
    <row r="41" spans="1:7" x14ac:dyDescent="0.3">
      <c r="A41" t="s">
        <v>20</v>
      </c>
      <c r="B41">
        <f t="shared" si="0"/>
        <v>814</v>
      </c>
      <c r="C41" t="s">
        <v>39</v>
      </c>
      <c r="D41">
        <v>7</v>
      </c>
      <c r="E41" t="s">
        <v>14</v>
      </c>
      <c r="F41" t="s">
        <v>16</v>
      </c>
      <c r="G41" t="s">
        <v>21</v>
      </c>
    </row>
    <row r="42" spans="1:7" x14ac:dyDescent="0.3">
      <c r="A42" t="s">
        <v>3</v>
      </c>
      <c r="B42">
        <f t="shared" si="0"/>
        <v>107</v>
      </c>
      <c r="C42" t="s">
        <v>40</v>
      </c>
      <c r="D42">
        <v>7</v>
      </c>
      <c r="E42" t="s">
        <v>18</v>
      </c>
      <c r="F42" t="s">
        <v>18</v>
      </c>
      <c r="G42" t="s">
        <v>18</v>
      </c>
    </row>
    <row r="43" spans="1:7" x14ac:dyDescent="0.3">
      <c r="A43" t="s">
        <v>4</v>
      </c>
      <c r="B43">
        <f t="shared" si="0"/>
        <v>207</v>
      </c>
      <c r="C43" t="s">
        <v>40</v>
      </c>
      <c r="D43">
        <v>7</v>
      </c>
      <c r="E43" t="s">
        <v>18</v>
      </c>
      <c r="F43" t="s">
        <v>18</v>
      </c>
      <c r="G43" t="s">
        <v>18</v>
      </c>
    </row>
    <row r="44" spans="1:7" x14ac:dyDescent="0.3">
      <c r="A44" t="s">
        <v>5</v>
      </c>
      <c r="B44">
        <f t="shared" si="0"/>
        <v>307</v>
      </c>
      <c r="C44" t="s">
        <v>40</v>
      </c>
      <c r="D44">
        <v>7</v>
      </c>
      <c r="E44" t="s">
        <v>18</v>
      </c>
      <c r="F44" t="s">
        <v>18</v>
      </c>
      <c r="G44" t="s">
        <v>18</v>
      </c>
    </row>
    <row r="45" spans="1:7" x14ac:dyDescent="0.3">
      <c r="A45" t="s">
        <v>6</v>
      </c>
      <c r="B45">
        <f t="shared" si="0"/>
        <v>407</v>
      </c>
      <c r="C45" t="s">
        <v>40</v>
      </c>
      <c r="D45">
        <v>7</v>
      </c>
      <c r="E45" t="s">
        <v>14</v>
      </c>
      <c r="F45" t="s">
        <v>16</v>
      </c>
      <c r="G45" t="s">
        <v>26</v>
      </c>
    </row>
    <row r="46" spans="1:7" x14ac:dyDescent="0.3">
      <c r="A46" t="s">
        <v>7</v>
      </c>
      <c r="B46">
        <f t="shared" si="0"/>
        <v>507</v>
      </c>
      <c r="C46" t="s">
        <v>40</v>
      </c>
      <c r="D46">
        <v>7</v>
      </c>
      <c r="E46" t="s">
        <v>18</v>
      </c>
      <c r="F46" t="s">
        <v>18</v>
      </c>
      <c r="G46" t="s">
        <v>18</v>
      </c>
    </row>
    <row r="47" spans="1:7" x14ac:dyDescent="0.3">
      <c r="A47" t="s">
        <v>8</v>
      </c>
      <c r="B47">
        <f t="shared" si="0"/>
        <v>607</v>
      </c>
      <c r="C47" t="s">
        <v>40</v>
      </c>
      <c r="D47">
        <v>7</v>
      </c>
      <c r="E47" t="s">
        <v>18</v>
      </c>
      <c r="F47" t="s">
        <v>18</v>
      </c>
      <c r="G47" t="s">
        <v>18</v>
      </c>
    </row>
    <row r="48" spans="1:7" x14ac:dyDescent="0.3">
      <c r="A48" t="s">
        <v>19</v>
      </c>
      <c r="B48">
        <f t="shared" si="0"/>
        <v>707</v>
      </c>
      <c r="C48" t="s">
        <v>40</v>
      </c>
      <c r="D48">
        <v>7</v>
      </c>
      <c r="E48" t="s">
        <v>18</v>
      </c>
      <c r="F48" t="s">
        <v>18</v>
      </c>
      <c r="G48" t="s">
        <v>18</v>
      </c>
    </row>
    <row r="49" spans="1:7" x14ac:dyDescent="0.3">
      <c r="A49" t="s">
        <v>20</v>
      </c>
      <c r="B49">
        <f t="shared" si="0"/>
        <v>807</v>
      </c>
      <c r="C49" t="s">
        <v>40</v>
      </c>
      <c r="D49">
        <v>7</v>
      </c>
      <c r="E49" t="s">
        <v>14</v>
      </c>
      <c r="F49" t="s">
        <v>16</v>
      </c>
      <c r="G4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workbookViewId="0">
      <selection activeCell="N5" sqref="N5"/>
    </sheetView>
  </sheetViews>
  <sheetFormatPr defaultRowHeight="14.4" x14ac:dyDescent="0.3"/>
  <cols>
    <col min="1" max="1" width="16.6640625" bestFit="1" customWidth="1"/>
    <col min="2" max="2" width="16.6640625" customWidth="1"/>
  </cols>
  <sheetData>
    <row r="1" spans="1:11" x14ac:dyDescent="0.3">
      <c r="C1" t="s">
        <v>0</v>
      </c>
      <c r="F1" t="s">
        <v>1</v>
      </c>
      <c r="I1" t="s">
        <v>2</v>
      </c>
    </row>
    <row r="2" spans="1:11" x14ac:dyDescent="0.3">
      <c r="B2" t="s">
        <v>38</v>
      </c>
      <c r="C2" t="s">
        <v>9</v>
      </c>
      <c r="D2" t="s">
        <v>10</v>
      </c>
      <c r="E2" t="s">
        <v>11</v>
      </c>
      <c r="F2" t="s">
        <v>9</v>
      </c>
      <c r="G2" t="s">
        <v>10</v>
      </c>
      <c r="H2" t="s">
        <v>11</v>
      </c>
      <c r="I2" t="s">
        <v>9</v>
      </c>
      <c r="J2" t="s">
        <v>10</v>
      </c>
      <c r="K2" t="s">
        <v>11</v>
      </c>
    </row>
    <row r="3" spans="1:11" x14ac:dyDescent="0.3">
      <c r="A3" t="s">
        <v>3</v>
      </c>
      <c r="B3" t="s">
        <v>39</v>
      </c>
      <c r="C3" t="s">
        <v>12</v>
      </c>
      <c r="D3" t="s">
        <v>13</v>
      </c>
      <c r="E3" t="s">
        <v>14</v>
      </c>
      <c r="F3" t="s">
        <v>12</v>
      </c>
      <c r="G3" t="s">
        <v>15</v>
      </c>
      <c r="H3" t="s">
        <v>17</v>
      </c>
      <c r="I3" t="s">
        <v>18</v>
      </c>
      <c r="J3" t="s">
        <v>18</v>
      </c>
      <c r="K3" t="s">
        <v>18</v>
      </c>
    </row>
    <row r="4" spans="1:11" x14ac:dyDescent="0.3">
      <c r="A4" t="s">
        <v>4</v>
      </c>
      <c r="B4" t="s">
        <v>39</v>
      </c>
      <c r="C4" t="s">
        <v>12</v>
      </c>
      <c r="D4" t="s">
        <v>15</v>
      </c>
      <c r="E4" t="s">
        <v>17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</row>
    <row r="5" spans="1:11" x14ac:dyDescent="0.3">
      <c r="A5" t="s">
        <v>5</v>
      </c>
      <c r="B5" t="s">
        <v>39</v>
      </c>
      <c r="C5" t="s">
        <v>12</v>
      </c>
      <c r="D5" t="s">
        <v>16</v>
      </c>
      <c r="E5" t="s">
        <v>17</v>
      </c>
      <c r="F5" t="s">
        <v>12</v>
      </c>
      <c r="G5" t="s">
        <v>16</v>
      </c>
      <c r="H5" t="s">
        <v>17</v>
      </c>
      <c r="I5" t="s">
        <v>18</v>
      </c>
      <c r="J5" t="s">
        <v>18</v>
      </c>
      <c r="K5" t="s">
        <v>18</v>
      </c>
    </row>
    <row r="6" spans="1:11" x14ac:dyDescent="0.3">
      <c r="A6" t="s">
        <v>6</v>
      </c>
      <c r="B6" t="s">
        <v>39</v>
      </c>
      <c r="C6" t="s">
        <v>12</v>
      </c>
      <c r="D6" t="s">
        <v>16</v>
      </c>
      <c r="E6" t="s">
        <v>17</v>
      </c>
      <c r="F6" t="s">
        <v>12</v>
      </c>
      <c r="G6" t="s">
        <v>16</v>
      </c>
      <c r="H6" t="s">
        <v>17</v>
      </c>
      <c r="I6" t="s">
        <v>14</v>
      </c>
      <c r="J6" t="s">
        <v>16</v>
      </c>
      <c r="K6" t="s">
        <v>21</v>
      </c>
    </row>
    <row r="7" spans="1:11" x14ac:dyDescent="0.3">
      <c r="A7" t="s">
        <v>7</v>
      </c>
      <c r="B7" t="s">
        <v>39</v>
      </c>
      <c r="C7" t="s">
        <v>12</v>
      </c>
      <c r="D7" t="s">
        <v>16</v>
      </c>
      <c r="E7" t="s">
        <v>17</v>
      </c>
      <c r="F7" t="s">
        <v>12</v>
      </c>
      <c r="G7" t="s">
        <v>16</v>
      </c>
      <c r="H7" t="s">
        <v>17</v>
      </c>
      <c r="I7" t="s">
        <v>18</v>
      </c>
      <c r="J7" t="s">
        <v>18</v>
      </c>
      <c r="K7" t="s">
        <v>18</v>
      </c>
    </row>
    <row r="8" spans="1:11" x14ac:dyDescent="0.3">
      <c r="A8" t="s">
        <v>8</v>
      </c>
      <c r="B8" t="s">
        <v>39</v>
      </c>
      <c r="C8" t="s">
        <v>12</v>
      </c>
      <c r="D8" t="s">
        <v>16</v>
      </c>
      <c r="E8" t="s">
        <v>17</v>
      </c>
      <c r="F8" t="s">
        <v>12</v>
      </c>
      <c r="G8" t="s">
        <v>16</v>
      </c>
      <c r="H8" t="s">
        <v>17</v>
      </c>
      <c r="I8" t="s">
        <v>18</v>
      </c>
      <c r="J8" t="s">
        <v>18</v>
      </c>
      <c r="K8" t="s">
        <v>18</v>
      </c>
    </row>
    <row r="9" spans="1:11" x14ac:dyDescent="0.3">
      <c r="A9" t="s">
        <v>19</v>
      </c>
      <c r="B9" t="s">
        <v>39</v>
      </c>
      <c r="C9" t="s">
        <v>12</v>
      </c>
      <c r="D9" t="s">
        <v>16</v>
      </c>
      <c r="E9" t="s">
        <v>17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</row>
    <row r="10" spans="1:11" x14ac:dyDescent="0.3">
      <c r="A10" t="s">
        <v>20</v>
      </c>
      <c r="B10" t="s">
        <v>39</v>
      </c>
      <c r="C10" t="s">
        <v>12</v>
      </c>
      <c r="D10" t="s">
        <v>16</v>
      </c>
      <c r="E10" t="s">
        <v>17</v>
      </c>
      <c r="F10" t="s">
        <v>12</v>
      </c>
      <c r="G10" t="s">
        <v>16</v>
      </c>
      <c r="H10" t="s">
        <v>17</v>
      </c>
      <c r="I10" t="s">
        <v>14</v>
      </c>
      <c r="J10" t="s">
        <v>16</v>
      </c>
      <c r="K10" t="s">
        <v>21</v>
      </c>
    </row>
    <row r="11" spans="1:11" x14ac:dyDescent="0.3">
      <c r="A11" t="s">
        <v>3</v>
      </c>
      <c r="B11" t="s">
        <v>40</v>
      </c>
      <c r="C11" t="s">
        <v>12</v>
      </c>
      <c r="D11" t="s">
        <v>13</v>
      </c>
      <c r="E11" t="s">
        <v>23</v>
      </c>
      <c r="F11" t="s">
        <v>12</v>
      </c>
      <c r="G11" t="s">
        <v>15</v>
      </c>
      <c r="H11" t="s">
        <v>27</v>
      </c>
      <c r="I11" t="s">
        <v>18</v>
      </c>
      <c r="J11" t="s">
        <v>18</v>
      </c>
      <c r="K11" t="s">
        <v>18</v>
      </c>
    </row>
    <row r="12" spans="1:11" x14ac:dyDescent="0.3">
      <c r="A12" t="s">
        <v>4</v>
      </c>
      <c r="B12" t="s">
        <v>40</v>
      </c>
      <c r="C12" t="s">
        <v>12</v>
      </c>
      <c r="D12" t="s">
        <v>15</v>
      </c>
      <c r="E12" t="s">
        <v>22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</row>
    <row r="13" spans="1:11" x14ac:dyDescent="0.3">
      <c r="A13" t="s">
        <v>5</v>
      </c>
      <c r="B13" t="s">
        <v>40</v>
      </c>
      <c r="C13" t="s">
        <v>12</v>
      </c>
      <c r="D13" t="s">
        <v>16</v>
      </c>
      <c r="E13" t="s">
        <v>22</v>
      </c>
      <c r="F13" t="s">
        <v>12</v>
      </c>
      <c r="G13" t="s">
        <v>16</v>
      </c>
      <c r="H13" t="s">
        <v>27</v>
      </c>
      <c r="I13" t="s">
        <v>18</v>
      </c>
      <c r="J13" t="s">
        <v>18</v>
      </c>
      <c r="K13" t="s">
        <v>18</v>
      </c>
    </row>
    <row r="14" spans="1:11" x14ac:dyDescent="0.3">
      <c r="A14" t="s">
        <v>6</v>
      </c>
      <c r="B14" t="s">
        <v>40</v>
      </c>
      <c r="C14" t="s">
        <v>12</v>
      </c>
      <c r="D14" t="s">
        <v>16</v>
      </c>
      <c r="E14" t="s">
        <v>22</v>
      </c>
      <c r="F14" t="s">
        <v>12</v>
      </c>
      <c r="G14" t="s">
        <v>16</v>
      </c>
      <c r="H14" t="s">
        <v>27</v>
      </c>
      <c r="I14" t="s">
        <v>14</v>
      </c>
      <c r="J14" t="s">
        <v>16</v>
      </c>
      <c r="K14" t="s">
        <v>26</v>
      </c>
    </row>
    <row r="15" spans="1:11" x14ac:dyDescent="0.3">
      <c r="A15" t="s">
        <v>7</v>
      </c>
      <c r="B15" t="s">
        <v>40</v>
      </c>
      <c r="C15" t="s">
        <v>12</v>
      </c>
      <c r="D15" t="s">
        <v>16</v>
      </c>
      <c r="E15" t="s">
        <v>22</v>
      </c>
      <c r="F15" t="s">
        <v>12</v>
      </c>
      <c r="G15" t="s">
        <v>16</v>
      </c>
      <c r="H15" t="s">
        <v>27</v>
      </c>
      <c r="I15" t="s">
        <v>18</v>
      </c>
      <c r="J15" t="s">
        <v>18</v>
      </c>
      <c r="K15" t="s">
        <v>18</v>
      </c>
    </row>
    <row r="16" spans="1:11" x14ac:dyDescent="0.3">
      <c r="A16" t="s">
        <v>8</v>
      </c>
      <c r="B16" t="s">
        <v>40</v>
      </c>
      <c r="C16" t="s">
        <v>12</v>
      </c>
      <c r="D16" t="s">
        <v>16</v>
      </c>
      <c r="E16" t="s">
        <v>22</v>
      </c>
      <c r="F16" t="s">
        <v>12</v>
      </c>
      <c r="G16" t="s">
        <v>16</v>
      </c>
      <c r="H16" t="s">
        <v>27</v>
      </c>
      <c r="I16" t="s">
        <v>18</v>
      </c>
      <c r="J16" t="s">
        <v>18</v>
      </c>
      <c r="K16" t="s">
        <v>18</v>
      </c>
    </row>
    <row r="17" spans="1:11" x14ac:dyDescent="0.3">
      <c r="A17" t="s">
        <v>19</v>
      </c>
      <c r="B17" t="s">
        <v>40</v>
      </c>
      <c r="C17" t="s">
        <v>12</v>
      </c>
      <c r="D17" t="s">
        <v>16</v>
      </c>
      <c r="E17" t="s">
        <v>22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</row>
    <row r="18" spans="1:11" x14ac:dyDescent="0.3">
      <c r="A18" t="s">
        <v>20</v>
      </c>
      <c r="B18" t="s">
        <v>40</v>
      </c>
      <c r="C18" t="s">
        <v>12</v>
      </c>
      <c r="D18" t="s">
        <v>16</v>
      </c>
      <c r="E18" t="s">
        <v>22</v>
      </c>
      <c r="F18" t="s">
        <v>12</v>
      </c>
      <c r="G18" t="s">
        <v>16</v>
      </c>
      <c r="H18" t="s">
        <v>27</v>
      </c>
      <c r="I18" t="s">
        <v>14</v>
      </c>
      <c r="J18" t="s">
        <v>16</v>
      </c>
      <c r="K18" t="s">
        <v>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4DE5-74F5-43C4-B59D-E5A98524C646}">
  <dimension ref="B1:F11"/>
  <sheetViews>
    <sheetView tabSelected="1" workbookViewId="0">
      <selection activeCell="C3" sqref="C3"/>
    </sheetView>
  </sheetViews>
  <sheetFormatPr defaultRowHeight="14.4" x14ac:dyDescent="0.3"/>
  <cols>
    <col min="1" max="1" width="2.6640625" customWidth="1"/>
    <col min="2" max="2" width="12.6640625" bestFit="1" customWidth="1"/>
    <col min="3" max="3" width="9.6640625" bestFit="1" customWidth="1"/>
    <col min="4" max="4" width="11.33203125" bestFit="1" customWidth="1"/>
    <col min="5" max="6" width="17" bestFit="1" customWidth="1"/>
    <col min="7" max="8" width="11.33203125" bestFit="1" customWidth="1"/>
    <col min="9" max="9" width="8.88671875" bestFit="1" customWidth="1"/>
    <col min="10" max="10" width="4.109375" bestFit="1" customWidth="1"/>
    <col min="11" max="11" width="11.33203125" bestFit="1" customWidth="1"/>
    <col min="12" max="12" width="4.109375" bestFit="1" customWidth="1"/>
    <col min="13" max="13" width="11.33203125" bestFit="1" customWidth="1"/>
    <col min="14" max="14" width="13.6640625" bestFit="1" customWidth="1"/>
    <col min="15" max="15" width="14.109375" bestFit="1" customWidth="1"/>
    <col min="16" max="16" width="13.6640625" bestFit="1" customWidth="1"/>
    <col min="17" max="17" width="14.109375" bestFit="1" customWidth="1"/>
    <col min="18" max="18" width="18.6640625" bestFit="1" customWidth="1"/>
    <col min="19" max="19" width="19.109375" bestFit="1" customWidth="1"/>
    <col min="20" max="20" width="9" bestFit="1" customWidth="1"/>
    <col min="21" max="21" width="11.33203125" bestFit="1" customWidth="1"/>
  </cols>
  <sheetData>
    <row r="1" spans="2:6" ht="15" thickBot="1" x14ac:dyDescent="0.35"/>
    <row r="2" spans="2:6" x14ac:dyDescent="0.3">
      <c r="B2" s="1" t="s">
        <v>36</v>
      </c>
      <c r="C2" s="8" t="s">
        <v>5</v>
      </c>
      <c r="E2" s="12" t="s">
        <v>28</v>
      </c>
      <c r="F2" s="12"/>
    </row>
    <row r="3" spans="2:6" x14ac:dyDescent="0.3">
      <c r="B3" s="2" t="s">
        <v>38</v>
      </c>
      <c r="C3" s="9" t="s">
        <v>39</v>
      </c>
      <c r="E3" s="4" t="s">
        <v>29</v>
      </c>
      <c r="F3" s="4" t="s">
        <v>30</v>
      </c>
    </row>
    <row r="4" spans="2:6" ht="15" thickBot="1" x14ac:dyDescent="0.35">
      <c r="B4" s="3" t="s">
        <v>41</v>
      </c>
      <c r="C4" s="10">
        <v>5</v>
      </c>
      <c r="E4" s="4" t="s">
        <v>31</v>
      </c>
      <c r="F4" s="4" t="s">
        <v>32</v>
      </c>
    </row>
    <row r="5" spans="2:6" ht="15" thickBot="1" x14ac:dyDescent="0.35">
      <c r="E5" s="4" t="s">
        <v>33</v>
      </c>
      <c r="F5" s="4" t="s">
        <v>34</v>
      </c>
    </row>
    <row r="6" spans="2:6" x14ac:dyDescent="0.3">
      <c r="B6" s="1" t="s">
        <v>42</v>
      </c>
      <c r="C6" s="5" t="str">
        <f>+IF($C$2="","",IF($C$3="","",IF($C$4="","",VLOOKUP((VLOOKUP($C$2,List!$P$1:$Q$9,2,FALSE)+IF('Envelope Requirements'!$C$3="Vented",2,1)*'Envelope Requirements'!$C$4),List!$B:$G,4,FALSE))))</f>
        <v>R30</v>
      </c>
      <c r="E6" s="4" t="s">
        <v>24</v>
      </c>
      <c r="F6" s="4" t="s">
        <v>35</v>
      </c>
    </row>
    <row r="7" spans="2:6" x14ac:dyDescent="0.3">
      <c r="B7" s="2" t="s">
        <v>43</v>
      </c>
      <c r="C7" s="6" t="str">
        <f>+IF($C$2="","",IF($C$3="","",IF($C$4="","",VLOOKUP((VLOOKUP($C$2,List!$P$1:$Q$9,2,FALSE)+IF('Envelope Requirements'!$C$3="Vented",2,1)*'Envelope Requirements'!$C$4),List!$B:$G,5,FALSE))))</f>
        <v>R21+CI3.8</v>
      </c>
      <c r="E7" s="4" t="s">
        <v>25</v>
      </c>
      <c r="F7" s="4" t="s">
        <v>47</v>
      </c>
    </row>
    <row r="8" spans="2:6" ht="15" thickBot="1" x14ac:dyDescent="0.35">
      <c r="B8" s="3" t="s">
        <v>44</v>
      </c>
      <c r="C8" s="7" t="str">
        <f>+IF($C$2="","",IF($C$3="","",IF($C$4="","",VLOOKUP((VLOOKUP($C$2,List!$P$1:$Q$9,2,FALSE)+IF('Envelope Requirements'!$C$3="Vented",2,1)*'Envelope Requirements'!$C$4),List!$B:$G,6,FALSE))))</f>
        <v>R51</v>
      </c>
    </row>
    <row r="11" spans="2:6" x14ac:dyDescent="0.3">
      <c r="B11" s="11" t="s">
        <v>48</v>
      </c>
    </row>
  </sheetData>
  <sheetProtection sheet="1" objects="1" scenarios="1" selectLockedCells="1"/>
  <mergeCells count="1">
    <mergeCell ref="E2:F2"/>
  </mergeCells>
  <dataValidations count="1">
    <dataValidation type="list" allowBlank="1" showInputMessage="1" showErrorMessage="1" sqref="C4" xr:uid="{1A8E6F0C-77D0-4347-BCE4-47904BC453A8}">
      <formula1>"5,6,7"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35D01D-79F4-4B9C-AFA0-501FD95FD216}">
          <x14:formula1>
            <xm:f>List!$C$9:$C$10</xm:f>
          </x14:formula1>
          <xm:sqref>C3</xm:sqref>
        </x14:dataValidation>
        <x14:dataValidation type="list" allowBlank="1" showInputMessage="1" showErrorMessage="1" xr:uid="{39DB0E8F-E6D2-4ED5-BC40-99252B5B4ECB}">
          <x14:formula1>
            <xm:f>List!$A$2:$A$49</xm:f>
          </x14:formula1>
          <xm:sqref>C2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</vt:lpstr>
      <vt:lpstr>Sheet1</vt:lpstr>
      <vt:lpstr>Envelope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Quintana</dc:creator>
  <cp:lastModifiedBy>Mitch Quintana</cp:lastModifiedBy>
  <dcterms:created xsi:type="dcterms:W3CDTF">2015-06-05T18:17:20Z</dcterms:created>
  <dcterms:modified xsi:type="dcterms:W3CDTF">2025-12-09T17:16:52Z</dcterms:modified>
</cp:coreProperties>
</file>
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nbeltmod-my.sharepoint.com/personal/mitch_quintana_nwbsinc_com/Documents/Sunbelt Sales &amp; Praxis Training Materials/"/>
    </mc:Choice>
  </mc:AlternateContent>
  <xr:revisionPtr revIDLastSave="185" documentId="11_F25DC773A252ABDACC104836F95D54FE5BDE58ED" xr6:coauthVersionLast="47" xr6:coauthVersionMax="47" xr10:uidLastSave="{8B534C8B-0054-45DD-BA88-727566A9D433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C19" i="1" s="1"/>
  <c r="A20" i="1"/>
  <c r="A21" i="1"/>
  <c r="C20" i="1"/>
  <c r="C21" i="1"/>
  <c r="A22" i="1"/>
  <c r="C22" i="1" s="1"/>
  <c r="A23" i="1"/>
  <c r="C23" i="1" s="1"/>
  <c r="A24" i="1"/>
  <c r="C24" i="1" s="1"/>
  <c r="A25" i="1"/>
  <c r="C25" i="1" s="1"/>
  <c r="A26" i="1"/>
  <c r="C26" i="1" s="1"/>
  <c r="A27" i="1"/>
  <c r="C27" i="1" s="1"/>
  <c r="A28" i="1"/>
  <c r="C28" i="1" s="1"/>
  <c r="A29" i="1"/>
  <c r="C29" i="1" s="1"/>
  <c r="A18" i="1"/>
  <c r="C18" i="1" s="1"/>
  <c r="C17" i="1"/>
</calcChain>
</file>

<file path=xl/sharedStrings.xml><?xml version="1.0" encoding="utf-8"?>
<sst xmlns="http://schemas.openxmlformats.org/spreadsheetml/2006/main" count="38" uniqueCount="38">
  <si>
    <t>Time Start</t>
  </si>
  <si>
    <t>Time End</t>
  </si>
  <si>
    <t>Whitley Evergreen Training</t>
  </si>
  <si>
    <t>Main Training Goals</t>
  </si>
  <si>
    <t>1)</t>
  </si>
  <si>
    <t>2)</t>
  </si>
  <si>
    <t>3)</t>
  </si>
  <si>
    <t>4)</t>
  </si>
  <si>
    <t>5)</t>
  </si>
  <si>
    <t>6)</t>
  </si>
  <si>
    <t>7)</t>
  </si>
  <si>
    <t>8)</t>
  </si>
  <si>
    <t>Create a list of BOMs in Praxis needing to be added or deleted.</t>
  </si>
  <si>
    <t>Time Elapsed</t>
  </si>
  <si>
    <t>Activity</t>
  </si>
  <si>
    <t>Mitch getting access to Whitley server.  Hank to start training once completed.</t>
  </si>
  <si>
    <t>Learn to create a Sales Release &amp; Building Order Sheet.</t>
  </si>
  <si>
    <t>Understand folder layout for building &amp; quotes.</t>
  </si>
  <si>
    <t>Explain folder importance to other departments.</t>
  </si>
  <si>
    <t>Understand responsibilities in Pre-Customer &amp; Pre-Construction meetings.</t>
  </si>
  <si>
    <t>9)</t>
  </si>
  <si>
    <t>Schedule/Understand the weekly &amp; monthly reports needing sent.</t>
  </si>
  <si>
    <t>Building redline process and cost tracking.</t>
  </si>
  <si>
    <t>How to cancel an order in Praxis.</t>
  </si>
  <si>
    <t>Estimation Process in Praxis.</t>
  </si>
  <si>
    <t>Create quote in test side of Praxis.</t>
  </si>
  <si>
    <t>Lunch</t>
  </si>
  <si>
    <t>Handoff forms, long lead forms, and color selection forms for handoff to internal teams.</t>
  </si>
  <si>
    <t>Hank explains current estimating process to Mitch.</t>
  </si>
  <si>
    <t>Converting a quote to sales order (test version). Rerunning pricing, checking PO amount, how to take options, etc.</t>
  </si>
  <si>
    <t>Creating the Sales and Building Order Sheets.  Important info to include.  Amending sales release when needed.</t>
  </si>
  <si>
    <t>Free work/get caught up on the day.</t>
  </si>
  <si>
    <t>Quote and Building Folder Layouts.  Project Management to sit in?</t>
  </si>
  <si>
    <t>December 9th, 2025</t>
  </si>
  <si>
    <t>Hank and Mitch factory tour.</t>
  </si>
  <si>
    <t>Redline change order process and documentation.</t>
  </si>
  <si>
    <t>Role and responsbility of sales in Sunbelt's system.</t>
  </si>
  <si>
    <t>Mitch explains his estimating process and SOP.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</si>
</sst>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-F400]h:mm:ss\ AM/PM"/>
    <numFmt numFmtId="171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indent="1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right" vertical="center" indent="1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70" fontId="0" fillId="0" borderId="5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0" fontId="0" fillId="0" borderId="6" xfId="0" applyBorder="1"/>
    <xf numFmtId="19" fontId="0" fillId="0" borderId="1" xfId="0" applyNumberFormat="1" applyBorder="1"/>
    <xf numFmtId="170" fontId="0" fillId="0" borderId="7" xfId="0" applyNumberFormat="1" applyBorder="1"/>
    <xf numFmtId="19" fontId="0" fillId="0" borderId="8" xfId="0" applyNumberFormat="1" applyBorder="1"/>
    <xf numFmtId="171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9">
    <dxf>
      <fill>
        <patternFill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h:mm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4" formatCode="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[$-F400]h:mm:ss\ AM/P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C772F3-223D-4AD1-BC5A-4DAB70FB37BC}" name="Table4" displayName="Table4" ref="A16:D29" totalsRowShown="0" headerRowDxfId="1" headerRowBorderDxfId="7" tableBorderDxfId="8" totalsRowBorderDxfId="6">
  <autoFilter ref="A16:D29" xr:uid="{5DC772F3-223D-4AD1-BC5A-4DAB70FB37BC}"/>
  <tableColumns count="4">
    <tableColumn id="1" xr3:uid="{80B88E9B-9ADD-4A80-B783-8F453CA2F403}" name="Time Start" dataDxfId="5">
      <calculatedColumnFormula>+B16</calculatedColumnFormula>
    </tableColumn>
    <tableColumn id="2" xr3:uid="{9250D744-D4DC-4A89-8307-D919A5017116}" name="Time End" dataDxfId="4"/>
    <tableColumn id="3" xr3:uid="{3D51BDE9-2639-4963-83A7-E31ED49E881F}" name="Time Elapsed" dataDxfId="3">
      <calculatedColumnFormula>+B17-A17</calculatedColumnFormula>
    </tableColumn>
    <tableColumn id="4" xr3:uid="{47B8F8E9-CA54-4E28-8CF5-11FD62AF6DC2}" name="Activity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workbookViewId="0">
      <selection activeCell="D23" sqref="D23"/>
    </sheetView>
  </sheetViews>
  <sheetFormatPr defaultRowHeight="14.4" x14ac:dyDescent="0.3"/>
  <cols>
    <col min="1" max="1" width="12.33203125" customWidth="1"/>
    <col min="2" max="2" width="11.33203125" bestFit="1" customWidth="1"/>
    <col min="3" max="3" width="13.5546875" customWidth="1"/>
    <col min="4" max="4" width="111.33203125" bestFit="1" customWidth="1"/>
  </cols>
  <sheetData>
    <row r="1" spans="1:4" ht="46.2" x14ac:dyDescent="0.85">
      <c r="A1" s="7" t="s">
        <v>2</v>
      </c>
      <c r="B1" s="7"/>
      <c r="C1" s="7"/>
      <c r="D1" s="7"/>
    </row>
    <row r="2" spans="1:4" ht="23.4" x14ac:dyDescent="0.45">
      <c r="A2" s="8" t="s">
        <v>33</v>
      </c>
      <c r="B2" s="8"/>
      <c r="C2" s="8"/>
      <c r="D2" s="8"/>
    </row>
    <row r="4" spans="1:4" ht="21" x14ac:dyDescent="0.3">
      <c r="A4" s="1" t="s">
        <v>3</v>
      </c>
      <c r="B4" s="1"/>
      <c r="C4" s="1"/>
      <c r="D4" s="1"/>
    </row>
    <row r="5" spans="1:4" x14ac:dyDescent="0.3">
      <c r="A5" s="2" t="s">
        <v>4</v>
      </c>
      <c r="B5" s="3" t="s">
        <v>24</v>
      </c>
      <c r="C5" s="3"/>
      <c r="D5" s="3"/>
    </row>
    <row r="6" spans="1:4" s="6" customFormat="1" x14ac:dyDescent="0.3">
      <c r="A6" s="4" t="s">
        <v>5</v>
      </c>
      <c r="B6" s="5" t="s">
        <v>12</v>
      </c>
      <c r="C6" s="5"/>
      <c r="D6" s="5"/>
    </row>
    <row r="7" spans="1:4" x14ac:dyDescent="0.3">
      <c r="A7" s="2" t="s">
        <v>6</v>
      </c>
      <c r="B7" s="3" t="s">
        <v>16</v>
      </c>
      <c r="C7" s="3"/>
      <c r="D7" s="3"/>
    </row>
    <row r="8" spans="1:4" s="6" customFormat="1" x14ac:dyDescent="0.3">
      <c r="A8" s="4" t="s">
        <v>7</v>
      </c>
      <c r="B8" s="5" t="s">
        <v>22</v>
      </c>
      <c r="C8" s="5"/>
      <c r="D8" s="5"/>
    </row>
    <row r="9" spans="1:4" x14ac:dyDescent="0.3">
      <c r="A9" s="2" t="s">
        <v>8</v>
      </c>
      <c r="B9" s="3" t="s">
        <v>23</v>
      </c>
      <c r="C9" s="3"/>
      <c r="D9" s="3"/>
    </row>
    <row r="10" spans="1:4" s="6" customFormat="1" x14ac:dyDescent="0.3">
      <c r="A10" s="4" t="s">
        <v>9</v>
      </c>
      <c r="B10" s="5" t="s">
        <v>17</v>
      </c>
      <c r="C10" s="5"/>
      <c r="D10" s="5"/>
    </row>
    <row r="11" spans="1:4" x14ac:dyDescent="0.3">
      <c r="A11" s="2" t="s">
        <v>10</v>
      </c>
      <c r="B11" s="3" t="s">
        <v>18</v>
      </c>
      <c r="C11" s="3"/>
      <c r="D11" s="3"/>
    </row>
    <row r="12" spans="1:4" s="6" customFormat="1" x14ac:dyDescent="0.3">
      <c r="A12" s="4" t="s">
        <v>11</v>
      </c>
      <c r="B12" s="5" t="s">
        <v>19</v>
      </c>
      <c r="C12" s="5"/>
      <c r="D12" s="5"/>
    </row>
    <row r="13" spans="1:4" x14ac:dyDescent="0.3">
      <c r="A13" s="2" t="s">
        <v>20</v>
      </c>
      <c r="B13" s="3" t="s">
        <v>21</v>
      </c>
      <c r="C13" s="3"/>
      <c r="D13" s="3"/>
    </row>
    <row r="16" spans="1:4" x14ac:dyDescent="0.3">
      <c r="A16" s="9" t="s">
        <v>0</v>
      </c>
      <c r="B16" s="10" t="s">
        <v>1</v>
      </c>
      <c r="C16" s="10" t="s">
        <v>13</v>
      </c>
      <c r="D16" s="11" t="s">
        <v>14</v>
      </c>
    </row>
    <row r="17" spans="1:4" x14ac:dyDescent="0.3">
      <c r="A17" s="12">
        <v>0.29166666666666669</v>
      </c>
      <c r="B17" s="13">
        <v>0.3125</v>
      </c>
      <c r="C17" s="14">
        <f>+B17-A17</f>
        <v>2.0833333333333315E-2</v>
      </c>
      <c r="D17" s="15" t="s">
        <v>15</v>
      </c>
    </row>
    <row r="18" spans="1:4" x14ac:dyDescent="0.3">
      <c r="A18" s="12">
        <f>+B17</f>
        <v>0.3125</v>
      </c>
      <c r="B18" s="13">
        <v>0.33333333333333331</v>
      </c>
      <c r="C18" s="14">
        <f>+B18-A18</f>
        <v>2.0833333333333315E-2</v>
      </c>
      <c r="D18" s="15" t="s">
        <v>34</v>
      </c>
    </row>
    <row r="19" spans="1:4" x14ac:dyDescent="0.3">
      <c r="A19" s="12">
        <f t="shared" ref="A19:A21" si="0">+B18</f>
        <v>0.33333333333333331</v>
      </c>
      <c r="B19" s="13">
        <v>0.36458333333333331</v>
      </c>
      <c r="C19" s="14">
        <f>+B19-A19</f>
        <v>3.125E-2</v>
      </c>
      <c r="D19" s="15" t="s">
        <v>28</v>
      </c>
    </row>
    <row r="20" spans="1:4" x14ac:dyDescent="0.3">
      <c r="A20" s="12">
        <f t="shared" si="0"/>
        <v>0.36458333333333331</v>
      </c>
      <c r="B20" s="13">
        <v>0.375</v>
      </c>
      <c r="C20" s="14">
        <f>+B20-A20</f>
        <v>1.0416666666666685E-2</v>
      </c>
      <c r="D20" s="15" t="s">
        <v>36</v>
      </c>
    </row>
    <row r="21" spans="1:4" x14ac:dyDescent="0.3">
      <c r="A21" s="12">
        <f t="shared" si="0"/>
        <v>0.375</v>
      </c>
      <c r="B21" s="16">
        <v>0.41666666666666669</v>
      </c>
      <c r="C21" s="14">
        <f>+B21-A21</f>
        <v>4.1666666666666685E-2</v>
      </c>
      <c r="D21" s="15" t="s">
        <v>37</v>
      </c>
    </row>
    <row r="22" spans="1:4" x14ac:dyDescent="0.3">
      <c r="A22" s="12">
        <f t="shared" ref="A19:A29" si="1">+B21</f>
        <v>0.41666666666666669</v>
      </c>
      <c r="B22" s="13">
        <v>0.4375</v>
      </c>
      <c r="C22" s="14">
        <f>+B22-A22</f>
        <v>2.0833333333333315E-2</v>
      </c>
      <c r="D22" s="15" t="s">
        <v>32</v>
      </c>
    </row>
    <row r="23" spans="1:4" x14ac:dyDescent="0.3">
      <c r="A23" s="12">
        <f t="shared" si="1"/>
        <v>0.4375</v>
      </c>
      <c r="B23" s="16">
        <v>0.5</v>
      </c>
      <c r="C23" s="14">
        <f>+B23-A23</f>
        <v>6.25E-2</v>
      </c>
      <c r="D23" s="15" t="s">
        <v>25</v>
      </c>
    </row>
    <row r="24" spans="1:4" x14ac:dyDescent="0.3">
      <c r="A24" s="12">
        <f t="shared" si="1"/>
        <v>0.5</v>
      </c>
      <c r="B24" s="16">
        <v>0.54166666666666663</v>
      </c>
      <c r="C24" s="14">
        <f t="shared" ref="C24:C29" si="2">+B24-A24</f>
        <v>4.166666666666663E-2</v>
      </c>
      <c r="D24" s="15" t="s">
        <v>26</v>
      </c>
    </row>
    <row r="25" spans="1:4" x14ac:dyDescent="0.3">
      <c r="A25" s="12">
        <f t="shared" si="1"/>
        <v>0.54166666666666663</v>
      </c>
      <c r="B25" s="16">
        <v>0.5625</v>
      </c>
      <c r="C25" s="14">
        <f t="shared" si="2"/>
        <v>2.083333333333337E-2</v>
      </c>
      <c r="D25" s="15" t="s">
        <v>29</v>
      </c>
    </row>
    <row r="26" spans="1:4" x14ac:dyDescent="0.3">
      <c r="A26" s="12">
        <f t="shared" si="1"/>
        <v>0.5625</v>
      </c>
      <c r="B26" s="16">
        <v>0.58333333333333337</v>
      </c>
      <c r="C26" s="14">
        <f t="shared" si="2"/>
        <v>2.083333333333337E-2</v>
      </c>
      <c r="D26" s="15" t="s">
        <v>30</v>
      </c>
    </row>
    <row r="27" spans="1:4" x14ac:dyDescent="0.3">
      <c r="A27" s="12">
        <f t="shared" si="1"/>
        <v>0.58333333333333337</v>
      </c>
      <c r="B27" s="16">
        <v>0.60416666666666663</v>
      </c>
      <c r="C27" s="14">
        <f t="shared" si="2"/>
        <v>2.0833333333333259E-2</v>
      </c>
      <c r="D27" s="15" t="s">
        <v>27</v>
      </c>
    </row>
    <row r="28" spans="1:4" x14ac:dyDescent="0.3">
      <c r="A28" s="12">
        <f t="shared" si="1"/>
        <v>0.60416666666666663</v>
      </c>
      <c r="B28" s="16">
        <v>0.625</v>
      </c>
      <c r="C28" s="14">
        <f t="shared" si="2"/>
        <v>2.083333333333337E-2</v>
      </c>
      <c r="D28" s="15" t="s">
        <v>35</v>
      </c>
    </row>
    <row r="29" spans="1:4" x14ac:dyDescent="0.3">
      <c r="A29" s="17">
        <f t="shared" si="1"/>
        <v>0.625</v>
      </c>
      <c r="B29" s="18">
        <v>0.66666666666666663</v>
      </c>
      <c r="C29" s="19">
        <f t="shared" si="2"/>
        <v>4.166666666666663E-2</v>
      </c>
      <c r="D29" s="20" t="s">
        <v>31</v>
      </c>
    </row>
  </sheetData>
  <mergeCells count="12">
    <mergeCell ref="A1:D1"/>
    <mergeCell ref="B11:D11"/>
    <mergeCell ref="B12:D12"/>
    <mergeCell ref="A4:D4"/>
    <mergeCell ref="B13:D13"/>
    <mergeCell ref="A2:D2"/>
    <mergeCell ref="B5:D5"/>
    <mergeCell ref="B6:D6"/>
    <mergeCell ref="B7:D7"/>
    <mergeCell ref="B8:D8"/>
    <mergeCell ref="B9:D9"/>
    <mergeCell ref="B10:D10"/>
  </mergeCells>
  <conditionalFormatting sqref="A5:D13">
    <cfRule type="expression" dxfId="0" priority="1">
      <formula>+ISEVEN($A5:$D5)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Quintana</dc:creator>
  <cp:lastModifiedBy>Mitch Quintana</cp:lastModifiedBy>
  <dcterms:created xsi:type="dcterms:W3CDTF">2015-06-05T18:17:20Z</dcterms:created>
  <dcterms:modified xsi:type="dcterms:W3CDTF">2025-12-09T03:49:47Z</dcterms:modified>
</cp:coreProperties>
</file>